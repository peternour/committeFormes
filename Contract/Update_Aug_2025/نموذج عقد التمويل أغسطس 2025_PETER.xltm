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Contract\Update_Aug_2025\"/>
    </mc:Choice>
  </mc:AlternateContent>
  <bookViews>
    <workbookView xWindow="0" yWindow="7200" windowWidth="21600" windowHeight="9810"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<sst xmlns="http://schemas.openxmlformats.org/spreadsheetml/2006/main" count="8086" uniqueCount="741">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</sst>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0</v>
      </c>
    </row>
    <row r="2" spans="1:17" ht="33" customHeight="1" thickTop="1" thickBot="1">
      <c r="A2" s="70"/>
      <c r="B2" s="552" t="s">
        <v>165</v>
      </c>
      <c r="C2" s="553"/>
      <c r="D2" s="553"/>
      <c r="E2" s="553"/>
      <c r="F2" s="71"/>
      <c r="G2" s="71"/>
      <c r="H2" s="71"/>
      <c r="I2" s="71"/>
      <c r="J2" s="71"/>
      <c r="K2" s="71"/>
      <c r="L2" s="71"/>
      <c r="M2" s="71"/>
      <c r="N2" s="72"/>
    </row>
    <row r="3" spans="1:17" ht="19.899999999999999" customHeight="1">
      <c r="A3" s="73"/>
      <c r="B3" s="554" t="s">
        <v>164</v>
      </c>
      <c r="C3" s="555"/>
      <c r="D3" s="555"/>
      <c r="E3" s="555"/>
      <c r="N3" s="74"/>
      <c r="P3" s="579"/>
    </row>
    <row r="4" spans="1:17" ht="23.45" customHeight="1">
      <c r="A4" s="73"/>
      <c r="B4" s="137"/>
      <c r="C4" s="593" t="str">
        <f>"مشروع"&amp;" "&amp;IFERROR(INDEX(تفصيلي!Q6:Q205,MATCH(عقد!M1,تفصيلي!B6:B205,0)),"")</f>
        <v xml:space="preserve">مشروع </v>
      </c>
      <c r="D4" s="593"/>
      <c r="E4" s="593"/>
      <c r="N4" s="74"/>
      <c r="P4" s="580"/>
    </row>
    <row r="5" spans="1:17" ht="31.9" customHeight="1" thickBot="1">
      <c r="A5" s="73"/>
      <c r="E5" s="582" t="s">
        <v>137</v>
      </c>
      <c r="F5" s="582"/>
      <c r="G5" s="582"/>
      <c r="H5" s="582"/>
      <c r="I5" s="582"/>
      <c r="J5" s="582"/>
      <c r="N5" s="74"/>
      <c r="P5" s="581"/>
      <c r="Q5" s="135"/>
    </row>
    <row r="6" spans="1:17" ht="6.6" customHeight="1">
      <c r="A6" s="73"/>
      <c r="N6" s="74"/>
    </row>
    <row r="7" spans="1:17" ht="24.6" customHeight="1">
      <c r="A7" s="73"/>
      <c r="B7" s="127" t="s">
        <v>190</v>
      </c>
      <c r="C7" s="136">
        <f>E7</f>
        <v>0</v>
      </c>
      <c r="D7" s="75" t="s">
        <v>188</v>
      </c>
      <c r="E7" s="592"/>
      <c r="F7" s="592"/>
      <c r="G7" s="561" t="s">
        <v>189</v>
      </c>
      <c r="H7" s="561"/>
      <c r="I7" s="561"/>
      <c r="J7" s="561"/>
      <c r="K7" s="561"/>
      <c r="L7" s="561"/>
      <c r="M7" s="561"/>
      <c r="N7" s="74"/>
    </row>
    <row r="8" spans="1:17" ht="65.45" customHeight="1">
      <c r="A8" s="73"/>
      <c r="B8" s="561" t="s">
        <v>166</v>
      </c>
      <c r="C8" s="561"/>
      <c r="D8" s="561"/>
      <c r="E8" s="561"/>
      <c r="F8" s="561"/>
      <c r="G8" s="561"/>
      <c r="H8" s="561"/>
      <c r="I8" s="561"/>
      <c r="J8" s="561"/>
      <c r="K8" s="561"/>
      <c r="L8" s="561"/>
      <c r="M8" s="561"/>
      <c r="N8" s="74"/>
    </row>
    <row r="9" spans="1:17" ht="25.9" customHeight="1">
      <c r="A9" s="73"/>
      <c r="B9" s="69" t="s">
        <v>138</v>
      </c>
      <c r="C9" s="561" t="e">
        <f>INDEX(تفصيلي!C6:C205,MATCH(عقد!M1,تفصيلي!B6:B205,0))</f>
        <v>#N/A</v>
      </c>
      <c r="D9" s="561"/>
      <c r="E9" s="561"/>
      <c r="F9" s="561"/>
      <c r="G9" s="561"/>
      <c r="H9" s="561"/>
      <c r="I9" s="561"/>
      <c r="J9" s="561"/>
      <c r="K9" s="561"/>
      <c r="L9" s="584" t="str" cm="1">
        <f t="array" ref="L9">IFERROR(GenerateQR(D12),"")</f>
        <v/>
      </c>
      <c r="M9" s="585"/>
      <c r="N9" s="74"/>
    </row>
    <row r="10" spans="1:17" ht="25.9" customHeight="1">
      <c r="A10" s="73"/>
      <c r="B10" s="69" t="s">
        <v>139</v>
      </c>
      <c r="C10" s="583" t="e">
        <f>INDEX(تفصيلي!E6:E205,MATCH(عقد!M1,تفصيلي!B6:B205,0))</f>
        <v>#N/A</v>
      </c>
      <c r="D10" s="583"/>
      <c r="E10" s="583"/>
      <c r="F10" s="583"/>
      <c r="G10" s="583"/>
      <c r="H10" s="69" t="s">
        <v>140</v>
      </c>
      <c r="I10" s="561" t="str">
        <f>IFERROR(VLOOKUP($M$1,تفصيلي!B6:T205,5,FALSE),"")</f>
        <v/>
      </c>
      <c r="J10" s="561"/>
      <c r="K10" s="561"/>
      <c r="L10" s="586"/>
      <c r="M10" s="587"/>
      <c r="N10" s="74"/>
    </row>
    <row r="11" spans="1:17" ht="25.15" customHeight="1">
      <c r="A11" s="73"/>
      <c r="B11" s="76" t="s">
        <v>141</v>
      </c>
      <c r="C11" s="590" t="e">
        <f>INDEX(تفصيلي!G6:G205,MATCH(عقد!M1,تفصيلي!B6:B205,0))</f>
        <v>#N/A</v>
      </c>
      <c r="D11" s="590"/>
      <c r="E11" s="590"/>
      <c r="F11" s="590"/>
      <c r="G11" s="590"/>
      <c r="H11" s="590"/>
      <c r="I11" s="590"/>
      <c r="J11" s="590"/>
      <c r="K11" s="590"/>
      <c r="L11" s="586"/>
      <c r="M11" s="587"/>
      <c r="N11" s="74"/>
    </row>
    <row r="12" spans="1:17" ht="25.9" customHeight="1">
      <c r="A12" s="73"/>
      <c r="B12" s="561" t="s">
        <v>142</v>
      </c>
      <c r="C12" s="561"/>
      <c r="D12" s="591" t="e">
        <f>INDEX(تفصيلي!AX6:AX205,MATCH(عقد!M1,تفصيلي!B6:B205,0))</f>
        <v>#N/A</v>
      </c>
      <c r="E12" s="591"/>
      <c r="F12" s="591"/>
      <c r="G12" s="591"/>
      <c r="H12" s="591"/>
      <c r="I12" s="591"/>
      <c r="L12" s="588"/>
      <c r="M12" s="589"/>
      <c r="N12" s="74"/>
    </row>
    <row r="13" spans="1:17" ht="25.9" customHeight="1">
      <c r="A13" s="73"/>
      <c r="B13" s="561" t="s">
        <v>191</v>
      </c>
      <c r="C13" s="561"/>
      <c r="D13" s="561" t="e">
        <f>INDEX(تفصيلي!D6:D205,MATCH(عقد!M1,تفصيلي!B6:B205,0))</f>
        <v>#N/A</v>
      </c>
      <c r="E13" s="561"/>
      <c r="F13" s="561"/>
      <c r="G13" s="575" t="s">
        <v>144</v>
      </c>
      <c r="H13" s="575"/>
      <c r="I13" s="578" t="str">
        <f t="shared" ref="I13" si="0">IFERROR(DATE(IF(LEFT($C$10,1)*1=3,20,19)&amp;MID($C$10,2,2),MID($C$10,4,2),MID($C$10,6,2)),"")</f>
        <v/>
      </c>
      <c r="J13" s="578"/>
      <c r="K13" s="578"/>
      <c r="L13" s="127" t="s">
        <v>143</v>
      </c>
      <c r="M13" s="77" t="str">
        <f ca="1">IFERROR(DATEDIF(I13,TODAY(),"Y")&amp;"  سنة ","")</f>
        <v/>
      </c>
      <c r="N13" s="74"/>
    </row>
    <row r="14" spans="1:17" ht="25.9" customHeight="1">
      <c r="A14" s="73"/>
      <c r="B14" s="563" t="s">
        <v>145</v>
      </c>
      <c r="C14" s="563"/>
      <c r="D14" s="563"/>
      <c r="E14" s="574" t="e">
        <f>INDEX(تفصيلي!AY6:AY205,MATCH(عقد!M1,تفصيلي!B6:B205,0))</f>
        <v>#N/A</v>
      </c>
      <c r="F14" s="574"/>
      <c r="G14" s="574"/>
      <c r="H14" s="574"/>
      <c r="I14" s="574"/>
      <c r="J14" s="575" t="s">
        <v>146</v>
      </c>
      <c r="K14" s="575"/>
      <c r="L14" s="573" t="str">
        <f>IFERROR(INDEX(تفصيلي!H6:H205,MATCH(عقد!M1,تفصيلي!B6:B205,0)),"")</f>
        <v/>
      </c>
      <c r="M14" s="573"/>
      <c r="N14" s="74"/>
    </row>
    <row r="15" spans="1:17" ht="28.9" customHeight="1">
      <c r="A15" s="73"/>
      <c r="B15" s="69" t="s">
        <v>147</v>
      </c>
      <c r="C15" s="561" t="e">
        <f>INDEX(تفصيلي!N6:N205,MATCH(عقد!M1,تفصيلي!B6:B205,0))</f>
        <v>#N/A</v>
      </c>
      <c r="D15" s="561"/>
      <c r="E15" s="561"/>
      <c r="F15" s="561"/>
      <c r="G15" s="561"/>
      <c r="H15" s="561"/>
      <c r="I15" s="561"/>
      <c r="J15" s="561"/>
      <c r="K15" s="561"/>
      <c r="L15" s="561"/>
      <c r="M15" s="561" t="s">
        <v>148</v>
      </c>
      <c r="N15" s="577"/>
    </row>
    <row r="16" spans="1:17" ht="273.60000000000002" customHeight="1">
      <c r="A16" s="73"/>
      <c r="B16" s="561" t="s">
        <v>170</v>
      </c>
      <c r="C16" s="561"/>
      <c r="D16" s="561"/>
      <c r="E16" s="561"/>
      <c r="F16" s="561"/>
      <c r="G16" s="561"/>
      <c r="H16" s="561"/>
      <c r="I16" s="561"/>
      <c r="J16" s="561"/>
      <c r="K16" s="561"/>
      <c r="L16" s="561"/>
      <c r="M16" s="561"/>
      <c r="N16" s="74"/>
    </row>
    <row r="17" spans="1:14" ht="25.9" customHeight="1">
      <c r="A17" s="73"/>
      <c r="B17" s="561" t="s">
        <v>149</v>
      </c>
      <c r="C17" s="561"/>
      <c r="D17" s="561"/>
      <c r="E17" s="574" t="str">
        <f>IFERROR(VLOOKUP($M$1,تفصيلي!B6:R205,9,FALSE) &amp; " / "&amp;VLOOKUP($M$1,تفصيلي!B6:R205,10,FALSE),"")</f>
        <v/>
      </c>
      <c r="F17" s="574"/>
      <c r="G17" s="574"/>
      <c r="H17" s="575" t="s">
        <v>150</v>
      </c>
      <c r="I17" s="575"/>
      <c r="J17" s="575"/>
      <c r="K17" s="576" t="e">
        <f>INDEX(تفصيلي!M6:M205,MATCH(M1,تفصيلي!B6:B205,0))</f>
        <v>#N/A</v>
      </c>
      <c r="L17" s="576"/>
      <c r="M17" s="576"/>
      <c r="N17" s="74"/>
    </row>
    <row r="18" spans="1:14" ht="37.15" customHeight="1">
      <c r="A18" s="73"/>
      <c r="B18" s="561" t="s">
        <v>151</v>
      </c>
      <c r="C18" s="561"/>
      <c r="D18" s="561"/>
      <c r="E18" s="561"/>
      <c r="F18" s="561"/>
      <c r="G18" s="561"/>
      <c r="H18" s="561"/>
      <c r="I18" s="561"/>
      <c r="J18" s="561"/>
      <c r="K18" s="561"/>
      <c r="L18" s="561"/>
      <c r="M18" s="561"/>
      <c r="N18" s="74"/>
    </row>
    <row r="19" spans="1:14" ht="25.9" customHeight="1">
      <c r="A19" s="73"/>
      <c r="B19" s="561" t="s">
        <v>192</v>
      </c>
      <c r="C19" s="561"/>
      <c r="D19" s="561"/>
      <c r="E19" s="561"/>
      <c r="F19" s="561"/>
      <c r="G19" s="561"/>
      <c r="H19" s="561"/>
      <c r="I19" s="561"/>
      <c r="J19" s="561"/>
      <c r="K19" s="571" t="str">
        <f>IFERROR(VLOOKUP($M$1,تفصيلي!B6:O205,14,FALSE),"")</f>
        <v/>
      </c>
      <c r="L19" s="571"/>
      <c r="M19" s="69" t="s">
        <v>152</v>
      </c>
      <c r="N19" s="74"/>
    </row>
    <row r="20" spans="1:14" ht="25.9" customHeight="1">
      <c r="A20" s="73"/>
      <c r="B20" s="569" t="e">
        <f>" ( " &amp;NumberToText(K19,"جنيها","")&amp;" ) "</f>
        <v>#VALUE!</v>
      </c>
      <c r="C20" s="569"/>
      <c r="D20" s="569"/>
      <c r="E20" s="569"/>
      <c r="F20" s="569"/>
      <c r="G20" s="572" t="s">
        <v>153</v>
      </c>
      <c r="H20" s="572"/>
      <c r="I20" s="572"/>
      <c r="J20" s="572"/>
      <c r="K20" s="571" t="e">
        <f>C22-K19</f>
        <v>#VALUE!</v>
      </c>
      <c r="L20" s="571"/>
      <c r="M20" s="69" t="s">
        <v>152</v>
      </c>
      <c r="N20" s="74"/>
    </row>
    <row r="21" spans="1:14" ht="25.9" customHeight="1">
      <c r="A21" s="73"/>
      <c r="B21" s="569" t="e">
        <f>" ( " &amp;NumberToText(K20,"جنيها","")&amp;" ) "</f>
        <v>#VALUE!</v>
      </c>
      <c r="C21" s="569"/>
      <c r="D21" s="569"/>
      <c r="E21" s="569"/>
      <c r="F21" s="569"/>
      <c r="G21" s="563" t="s">
        <v>154</v>
      </c>
      <c r="H21" s="563"/>
      <c r="I21" s="451" t="str">
        <f>IFERROR(VLOOKUP($M$1,تفصيلي!$B$6:$V$205,21,FALSE),"")</f>
        <v/>
      </c>
      <c r="J21" s="570" t="s">
        <v>193</v>
      </c>
      <c r="K21" s="570"/>
      <c r="L21" s="570"/>
      <c r="M21" s="570"/>
      <c r="N21" s="74"/>
    </row>
    <row r="22" spans="1:14" ht="25.9" customHeight="1">
      <c r="A22" s="73"/>
      <c r="B22" s="69" t="s">
        <v>155</v>
      </c>
      <c r="C22" s="571" t="str">
        <f>IFERROR(VLOOKUP($M$1,تفصيلي!B6:T205,19,FALSE),"")</f>
        <v/>
      </c>
      <c r="D22" s="571"/>
      <c r="E22" s="69" t="s">
        <v>35</v>
      </c>
      <c r="F22" s="569" t="e">
        <f>" ( " &amp;NumberToText(C22,"جنيها","")&amp;" ) "</f>
        <v>#VALUE!</v>
      </c>
      <c r="G22" s="569"/>
      <c r="H22" s="569"/>
      <c r="I22" s="569"/>
      <c r="J22" s="569"/>
      <c r="K22" s="570" t="s">
        <v>194</v>
      </c>
      <c r="L22" s="570"/>
      <c r="M22" s="570"/>
      <c r="N22" s="74"/>
    </row>
    <row r="23" spans="1:14" ht="25.9" customHeight="1">
      <c r="A23" s="73"/>
      <c r="B23" s="452" t="str">
        <f>IFERROR(VLOOKUP($M$1,تفصيلي!B6:T205,15,FALSE),"")</f>
        <v/>
      </c>
      <c r="C23" s="561" t="s">
        <v>156</v>
      </c>
      <c r="D23" s="561"/>
      <c r="E23" s="561"/>
      <c r="F23" s="561"/>
      <c r="G23" s="561"/>
      <c r="H23" s="561"/>
      <c r="I23" s="561"/>
      <c r="J23" s="561"/>
      <c r="K23" s="561"/>
      <c r="L23" s="561"/>
      <c r="M23" s="561"/>
      <c r="N23" s="74"/>
    </row>
    <row r="24" spans="1:14" ht="25.9" customHeight="1">
      <c r="A24" s="73"/>
      <c r="B24" s="563" t="s">
        <v>157</v>
      </c>
      <c r="C24" s="563"/>
      <c r="D24" s="563"/>
      <c r="E24" s="563"/>
      <c r="F24" s="563"/>
      <c r="G24" s="563"/>
      <c r="H24" s="563"/>
      <c r="I24" s="563"/>
      <c r="J24" s="563"/>
      <c r="K24" s="567" t="str">
        <f>IFERROR(VLOOKUP($M$1,تفصيلي!B6:T205,17,FALSE),"")</f>
        <v/>
      </c>
      <c r="L24" s="567"/>
      <c r="M24" s="567"/>
      <c r="N24" s="74"/>
    </row>
    <row r="25" spans="1:14" ht="46.15" customHeight="1">
      <c r="A25" s="73"/>
      <c r="B25" s="561" t="s">
        <v>171</v>
      </c>
      <c r="C25" s="561"/>
      <c r="D25" s="561"/>
      <c r="E25" s="561"/>
      <c r="F25" s="561"/>
      <c r="G25" s="561"/>
      <c r="H25" s="561"/>
      <c r="I25" s="561"/>
      <c r="J25" s="561"/>
      <c r="K25" s="561"/>
      <c r="L25" s="561"/>
      <c r="M25" s="561"/>
      <c r="N25" s="74"/>
    </row>
    <row r="26" spans="1:14" ht="25.9" customHeight="1">
      <c r="A26" s="73"/>
      <c r="F26" s="557" t="s">
        <v>196</v>
      </c>
      <c r="G26" s="557"/>
      <c r="H26" s="557"/>
      <c r="I26" s="556" t="s">
        <v>195</v>
      </c>
      <c r="J26" s="568"/>
      <c r="K26" s="568"/>
      <c r="L26" s="568"/>
      <c r="M26" s="568"/>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61" t="s">
        <v>197</v>
      </c>
      <c r="C31" s="561"/>
      <c r="D31" s="561"/>
      <c r="E31" s="561"/>
      <c r="F31" s="561"/>
      <c r="G31" s="561"/>
      <c r="H31" s="561"/>
      <c r="I31" s="561"/>
      <c r="J31" s="561"/>
      <c r="K31" s="561"/>
      <c r="L31" s="561"/>
      <c r="M31" s="561"/>
      <c r="N31" s="74"/>
    </row>
    <row r="32" spans="1:14" ht="122.45" customHeight="1">
      <c r="A32" s="73"/>
      <c r="B32" s="561" t="s">
        <v>198</v>
      </c>
      <c r="C32" s="561"/>
      <c r="D32" s="561"/>
      <c r="E32" s="561"/>
      <c r="F32" s="561"/>
      <c r="G32" s="561"/>
      <c r="H32" s="561"/>
      <c r="I32" s="561"/>
      <c r="J32" s="561"/>
      <c r="K32" s="561"/>
      <c r="L32" s="561"/>
      <c r="M32" s="561"/>
      <c r="N32" s="74"/>
    </row>
    <row r="33" spans="1:14" ht="105.6" customHeight="1">
      <c r="A33" s="73"/>
      <c r="B33" s="561" t="s">
        <v>163</v>
      </c>
      <c r="C33" s="561"/>
      <c r="D33" s="561"/>
      <c r="E33" s="561"/>
      <c r="F33" s="561"/>
      <c r="G33" s="561"/>
      <c r="H33" s="561"/>
      <c r="I33" s="561"/>
      <c r="J33" s="561"/>
      <c r="K33" s="561"/>
      <c r="L33" s="561"/>
      <c r="M33" s="561"/>
      <c r="N33" s="74"/>
    </row>
    <row r="34" spans="1:14" ht="138" customHeight="1">
      <c r="A34" s="73"/>
      <c r="B34" s="562" t="s">
        <v>696</v>
      </c>
      <c r="C34" s="562"/>
      <c r="D34" s="562"/>
      <c r="E34" s="562"/>
      <c r="F34" s="562"/>
      <c r="G34" s="562"/>
      <c r="H34" s="562"/>
      <c r="I34" s="562"/>
      <c r="J34" s="562"/>
      <c r="K34" s="562"/>
      <c r="L34" s="562"/>
      <c r="M34" s="562"/>
      <c r="N34" s="74"/>
    </row>
    <row r="35" spans="1:14" ht="124.15" customHeight="1">
      <c r="A35" s="73"/>
      <c r="B35" s="561" t="s">
        <v>199</v>
      </c>
      <c r="C35" s="561"/>
      <c r="D35" s="561"/>
      <c r="E35" s="561"/>
      <c r="F35" s="561"/>
      <c r="G35" s="561"/>
      <c r="H35" s="561"/>
      <c r="I35" s="561"/>
      <c r="J35" s="561"/>
      <c r="K35" s="561"/>
      <c r="L35" s="561"/>
      <c r="M35" s="561"/>
      <c r="N35" s="74"/>
    </row>
    <row r="36" spans="1:14" ht="43.9" customHeight="1">
      <c r="A36" s="73"/>
      <c r="B36" s="561" t="s">
        <v>158</v>
      </c>
      <c r="C36" s="561"/>
      <c r="D36" s="561"/>
      <c r="E36" s="561"/>
      <c r="F36" s="561"/>
      <c r="G36" s="561"/>
      <c r="H36" s="561"/>
      <c r="I36" s="561"/>
      <c r="J36" s="561"/>
      <c r="K36" s="561"/>
      <c r="L36" s="561"/>
      <c r="M36" s="561"/>
      <c r="N36" s="74"/>
    </row>
    <row r="37" spans="1:14" ht="25.9" customHeight="1">
      <c r="A37" s="73"/>
      <c r="B37" s="557" t="s">
        <v>159</v>
      </c>
      <c r="C37" s="557"/>
      <c r="D37" s="557"/>
      <c r="E37" s="557"/>
      <c r="F37" s="557"/>
      <c r="G37" s="557"/>
      <c r="H37" s="557"/>
      <c r="I37" s="557"/>
      <c r="J37" s="557"/>
      <c r="K37" s="557"/>
      <c r="L37" s="557"/>
      <c r="M37" s="557"/>
      <c r="N37" s="74"/>
    </row>
    <row r="38" spans="1:14" ht="43.9" customHeight="1">
      <c r="A38" s="73"/>
      <c r="B38" s="78" t="s">
        <v>160</v>
      </c>
      <c r="C38" s="558" t="s">
        <v>161</v>
      </c>
      <c r="D38" s="558"/>
      <c r="E38" s="558"/>
      <c r="F38" s="558"/>
      <c r="G38" s="79"/>
      <c r="H38" s="79"/>
      <c r="I38" s="78" t="s">
        <v>160</v>
      </c>
      <c r="J38" s="556" t="s">
        <v>200</v>
      </c>
      <c r="K38" s="556"/>
      <c r="L38" s="556"/>
      <c r="M38" s="556"/>
      <c r="N38" s="74"/>
    </row>
    <row r="39" spans="1:14" ht="37.9" customHeight="1">
      <c r="A39" s="73"/>
      <c r="I39" s="559" t="s">
        <v>139</v>
      </c>
      <c r="J39" s="559"/>
      <c r="K39" s="560" t="e">
        <f>C10</f>
        <v>#N/A</v>
      </c>
      <c r="L39" s="560"/>
      <c r="M39" s="560"/>
      <c r="N39" s="74"/>
    </row>
    <row r="40" spans="1:14" ht="46.15" customHeight="1">
      <c r="A40" s="73"/>
      <c r="B40" s="565" t="s">
        <v>162</v>
      </c>
      <c r="C40" s="565"/>
      <c r="D40" s="556" t="s">
        <v>161</v>
      </c>
      <c r="E40" s="556"/>
      <c r="F40" s="556"/>
      <c r="G40" s="556"/>
      <c r="H40" s="556"/>
      <c r="I40" s="566" t="s">
        <v>201</v>
      </c>
      <c r="J40" s="566"/>
      <c r="K40" s="566"/>
      <c r="L40" s="566"/>
      <c r="M40" s="566"/>
      <c r="N40" s="74"/>
    </row>
    <row r="41" spans="1:14" ht="40.15" customHeight="1">
      <c r="A41" s="73"/>
      <c r="B41" s="559" t="s">
        <v>139</v>
      </c>
      <c r="C41" s="559"/>
      <c r="D41" s="564" t="str">
        <f>IFERROR(VLOOKUP($M$1,تفصيلي!B6:AW205,25,FALSE),"")</f>
        <v/>
      </c>
      <c r="E41" s="564"/>
      <c r="F41" s="564"/>
      <c r="G41" s="564"/>
      <c r="I41" s="559" t="s">
        <v>139</v>
      </c>
      <c r="J41" s="559"/>
      <c r="K41" s="564" t="str">
        <f>IFERROR(VLOOKUP($M$1,تفصيلي!B6:AW205,31,FALSE),"")</f>
        <v/>
      </c>
      <c r="L41" s="564"/>
      <c r="M41" s="56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B6" sqref="B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825" bestFit="1" customWidth="1"/>
    <col min="53" max="53" width="27.28515625" style="826" bestFit="1" customWidth="1"/>
    <col min="54" max="54" width="56.7109375" style="825" bestFit="1" customWidth="1"/>
    <col min="55" max="55" width="31.85546875" style="825" customWidth="1"/>
    <col min="56" max="56" width="31.85546875" style="826" customWidth="1"/>
    <col min="57" max="57" width="60.85546875" style="825" bestFit="1" customWidth="1"/>
    <col min="58" max="16384" width="9.140625" style="185"/>
  </cols>
  <sheetData>
    <row r="1" spans="1:57" s="263" customFormat="1" ht="21" customHeight="1">
      <c r="A1" s="597" t="s">
        <v>47</v>
      </c>
      <c r="B1" s="597"/>
      <c r="C1" s="597"/>
      <c r="D1" s="597"/>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815"/>
      <c r="BA1" s="815"/>
      <c r="BB1" s="815"/>
      <c r="BC1" s="815"/>
      <c r="BD1" s="815"/>
      <c r="BE1" s="815"/>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816"/>
      <c r="BA2" s="816"/>
      <c r="BB2" s="816"/>
      <c r="BC2" s="816"/>
      <c r="BD2" s="816"/>
      <c r="BE2" s="816"/>
    </row>
    <row r="3" spans="1:57" s="270" customFormat="1" ht="40.15" customHeight="1">
      <c r="A3" s="269"/>
      <c r="B3" s="598" t="s">
        <v>687</v>
      </c>
      <c r="C3" s="598"/>
      <c r="D3" s="598"/>
      <c r="E3" s="598"/>
      <c r="F3" s="598"/>
      <c r="G3" s="598"/>
      <c r="H3" s="598"/>
      <c r="I3" s="598"/>
      <c r="J3" s="599" t="s">
        <v>228</v>
      </c>
      <c r="K3" s="599"/>
      <c r="L3" s="599"/>
      <c r="M3" s="599"/>
      <c r="N3" s="599"/>
      <c r="O3" s="600" t="s">
        <v>229</v>
      </c>
      <c r="P3" s="600"/>
      <c r="Q3" s="600"/>
      <c r="R3" s="600"/>
      <c r="S3" s="600"/>
      <c r="T3" s="600"/>
      <c r="U3" s="600"/>
      <c r="V3" s="600"/>
      <c r="W3" s="600"/>
      <c r="X3" s="601" t="s">
        <v>230</v>
      </c>
      <c r="Y3" s="601"/>
      <c r="Z3" s="601"/>
      <c r="AA3" s="601"/>
      <c r="AB3" s="601"/>
      <c r="AC3" s="601"/>
      <c r="AD3" s="595" t="s">
        <v>231</v>
      </c>
      <c r="AE3" s="595"/>
      <c r="AF3" s="595"/>
      <c r="AG3" s="595"/>
      <c r="AH3" s="595"/>
      <c r="AI3" s="595"/>
      <c r="AJ3" s="594" t="s">
        <v>232</v>
      </c>
      <c r="AK3" s="594"/>
      <c r="AL3" s="594"/>
      <c r="AM3" s="594"/>
      <c r="AN3" s="594"/>
      <c r="AO3" s="594"/>
      <c r="AP3" s="596" t="s">
        <v>686</v>
      </c>
      <c r="AQ3" s="596"/>
      <c r="AR3" s="596"/>
      <c r="AS3" s="596"/>
      <c r="AT3" s="596"/>
      <c r="AU3" s="596"/>
      <c r="AV3" s="596"/>
      <c r="AW3" s="596"/>
      <c r="AX3" s="432"/>
      <c r="AY3" s="432"/>
      <c r="AZ3" s="817"/>
      <c r="BA3" s="817"/>
      <c r="BB3" s="817"/>
      <c r="BC3" s="817"/>
      <c r="BD3" s="817"/>
      <c r="BE3" s="817"/>
    </row>
    <row r="4" spans="1:57" s="464" customFormat="1" ht="19.5" customHeight="1">
      <c r="A4" s="453"/>
      <c r="B4" s="55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818"/>
      <c r="BA4" s="818"/>
      <c r="BB4" s="818"/>
      <c r="BC4" s="818"/>
      <c r="BD4" s="818"/>
      <c r="BE4" s="818"/>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819" t="s">
        <v>725</v>
      </c>
      <c r="BA5" s="819" t="s">
        <v>726</v>
      </c>
      <c r="BB5" s="819" t="s">
        <v>727</v>
      </c>
      <c r="BC5" s="819" t="s">
        <v>728</v>
      </c>
      <c r="BD5" s="819" t="s">
        <v>729</v>
      </c>
      <c r="BE5" s="819" t="s">
        <v>730</v>
      </c>
    </row>
    <row r="6" spans="1:57" s="191" customFormat="1" ht="21.6" customHeight="1">
      <c r="A6" s="518">
        <v>1</v>
      </c>
      <c r="B6" s="365"/>
      <c r="C6" s="517"/>
      <c r="D6" s="517"/>
      <c r="E6" s="375"/>
      <c r="F6" s="192" t="s">
        <v>622</v>
      </c>
      <c r="G6" s="525"/>
      <c r="H6" s="193"/>
      <c r="I6" s="193"/>
      <c r="J6" s="535"/>
      <c r="K6" s="535"/>
      <c r="L6" s="535"/>
      <c r="M6" s="536"/>
      <c r="N6" s="535"/>
      <c r="O6" s="367"/>
      <c r="P6" s="368"/>
      <c r="Q6" s="542"/>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 xml:space="preserve"> / </v>
      </c>
      <c r="AZ6" s="820"/>
      <c r="BA6" s="821"/>
      <c r="BB6" s="820"/>
      <c r="BC6" s="820"/>
      <c r="BD6" s="821"/>
      <c r="BE6" s="820"/>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820"/>
      <c r="BA7" s="821"/>
      <c r="BB7" s="820"/>
      <c r="BC7" s="820"/>
      <c r="BD7" s="821"/>
      <c r="BE7" s="820"/>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820"/>
      <c r="BA8" s="821"/>
      <c r="BB8" s="820"/>
      <c r="BC8" s="820"/>
      <c r="BD8" s="821"/>
      <c r="BE8" s="820"/>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820"/>
      <c r="BA9" s="821"/>
      <c r="BB9" s="820"/>
      <c r="BC9" s="820"/>
      <c r="BD9" s="821"/>
      <c r="BE9" s="820"/>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820"/>
      <c r="BA10" s="821"/>
      <c r="BB10" s="820"/>
      <c r="BC10" s="820"/>
      <c r="BD10" s="821"/>
      <c r="BE10" s="820"/>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820"/>
      <c r="BA11" s="821"/>
      <c r="BB11" s="820"/>
      <c r="BC11" s="820"/>
      <c r="BD11" s="821"/>
      <c r="BE11" s="820"/>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820"/>
      <c r="BA12" s="821"/>
      <c r="BB12" s="820"/>
      <c r="BC12" s="820"/>
      <c r="BD12" s="821"/>
      <c r="BE12" s="820"/>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820"/>
      <c r="BA13" s="821"/>
      <c r="BB13" s="820"/>
      <c r="BC13" s="820"/>
      <c r="BD13" s="821"/>
      <c r="BE13" s="820"/>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820"/>
      <c r="BA14" s="821"/>
      <c r="BB14" s="820"/>
      <c r="BC14" s="820"/>
      <c r="BD14" s="821"/>
      <c r="BE14" s="820"/>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820"/>
      <c r="BA15" s="821"/>
      <c r="BB15" s="820"/>
      <c r="BC15" s="820"/>
      <c r="BD15" s="821"/>
      <c r="BE15" s="820"/>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820"/>
      <c r="BA16" s="821"/>
      <c r="BB16" s="820"/>
      <c r="BC16" s="820"/>
      <c r="BD16" s="821"/>
      <c r="BE16" s="820"/>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820"/>
      <c r="BA17" s="821"/>
      <c r="BB17" s="820"/>
      <c r="BC17" s="820"/>
      <c r="BD17" s="821"/>
      <c r="BE17" s="820"/>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820"/>
      <c r="BA18" s="821"/>
      <c r="BB18" s="820"/>
      <c r="BC18" s="820"/>
      <c r="BD18" s="821"/>
      <c r="BE18" s="820"/>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820"/>
      <c r="BA19" s="821"/>
      <c r="BB19" s="820"/>
      <c r="BC19" s="820"/>
      <c r="BD19" s="821"/>
      <c r="BE19" s="820"/>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820"/>
      <c r="BA20" s="821"/>
      <c r="BB20" s="820"/>
      <c r="BC20" s="820"/>
      <c r="BD20" s="821"/>
      <c r="BE20" s="820"/>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820"/>
      <c r="BA21" s="821"/>
      <c r="BB21" s="820"/>
      <c r="BC21" s="820"/>
      <c r="BD21" s="821"/>
      <c r="BE21" s="820"/>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820"/>
      <c r="BA22" s="821"/>
      <c r="BB22" s="820"/>
      <c r="BC22" s="820"/>
      <c r="BD22" s="821"/>
      <c r="BE22" s="820"/>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820"/>
      <c r="BA23" s="821"/>
      <c r="BB23" s="820"/>
      <c r="BC23" s="820"/>
      <c r="BD23" s="821"/>
      <c r="BE23" s="820"/>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820"/>
      <c r="BA24" s="821"/>
      <c r="BB24" s="820"/>
      <c r="BC24" s="820"/>
      <c r="BD24" s="821"/>
      <c r="BE24" s="820"/>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820"/>
      <c r="BA25" s="821"/>
      <c r="BB25" s="820"/>
      <c r="BC25" s="820"/>
      <c r="BD25" s="821"/>
      <c r="BE25" s="820"/>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820"/>
      <c r="BA26" s="821"/>
      <c r="BB26" s="820"/>
      <c r="BC26" s="820"/>
      <c r="BD26" s="821"/>
      <c r="BE26" s="820"/>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820"/>
      <c r="BA27" s="821"/>
      <c r="BB27" s="820"/>
      <c r="BC27" s="820"/>
      <c r="BD27" s="821"/>
      <c r="BE27" s="820"/>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820"/>
      <c r="BA28" s="821"/>
      <c r="BB28" s="820"/>
      <c r="BC28" s="820"/>
      <c r="BD28" s="821"/>
      <c r="BE28" s="820"/>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820"/>
      <c r="BA29" s="821"/>
      <c r="BB29" s="820"/>
      <c r="BC29" s="820"/>
      <c r="BD29" s="821"/>
      <c r="BE29" s="820"/>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820"/>
      <c r="BA30" s="821"/>
      <c r="BB30" s="820"/>
      <c r="BC30" s="820"/>
      <c r="BD30" s="821"/>
      <c r="BE30" s="820"/>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820"/>
      <c r="BA31" s="821"/>
      <c r="BB31" s="820"/>
      <c r="BC31" s="820"/>
      <c r="BD31" s="821"/>
      <c r="BE31" s="820"/>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820"/>
      <c r="BA32" s="821"/>
      <c r="BB32" s="820"/>
      <c r="BC32" s="820"/>
      <c r="BD32" s="821"/>
      <c r="BE32" s="820"/>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820"/>
      <c r="BA33" s="821"/>
      <c r="BB33" s="820"/>
      <c r="BC33" s="820"/>
      <c r="BD33" s="821"/>
      <c r="BE33" s="820"/>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820"/>
      <c r="BA34" s="821"/>
      <c r="BB34" s="820"/>
      <c r="BC34" s="820"/>
      <c r="BD34" s="821"/>
      <c r="BE34" s="820"/>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820"/>
      <c r="BA35" s="821"/>
      <c r="BB35" s="820"/>
      <c r="BC35" s="820"/>
      <c r="BD35" s="821"/>
      <c r="BE35" s="820"/>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820"/>
      <c r="BA36" s="821"/>
      <c r="BB36" s="820"/>
      <c r="BC36" s="820"/>
      <c r="BD36" s="821"/>
      <c r="BE36" s="820"/>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820"/>
      <c r="BA37" s="821"/>
      <c r="BB37" s="820"/>
      <c r="BC37" s="820"/>
      <c r="BD37" s="821"/>
      <c r="BE37" s="820"/>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820"/>
      <c r="BA38" s="821"/>
      <c r="BB38" s="820"/>
      <c r="BC38" s="820"/>
      <c r="BD38" s="821"/>
      <c r="BE38" s="820"/>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820"/>
      <c r="BA39" s="821"/>
      <c r="BB39" s="820"/>
      <c r="BC39" s="820"/>
      <c r="BD39" s="821"/>
      <c r="BE39" s="820"/>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820"/>
      <c r="BA40" s="821"/>
      <c r="BB40" s="820"/>
      <c r="BC40" s="820"/>
      <c r="BD40" s="821"/>
      <c r="BE40" s="820"/>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820"/>
      <c r="BA41" s="821"/>
      <c r="BB41" s="820"/>
      <c r="BC41" s="820"/>
      <c r="BD41" s="821"/>
      <c r="BE41" s="820"/>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820"/>
      <c r="BA42" s="821"/>
      <c r="BB42" s="820"/>
      <c r="BC42" s="820"/>
      <c r="BD42" s="821"/>
      <c r="BE42" s="820"/>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820"/>
      <c r="BA43" s="821"/>
      <c r="BB43" s="820"/>
      <c r="BC43" s="820"/>
      <c r="BD43" s="821"/>
      <c r="BE43" s="820"/>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820"/>
      <c r="BA44" s="821"/>
      <c r="BB44" s="820"/>
      <c r="BC44" s="820"/>
      <c r="BD44" s="821"/>
      <c r="BE44" s="820"/>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820"/>
      <c r="BA45" s="821"/>
      <c r="BB45" s="820"/>
      <c r="BC45" s="820"/>
      <c r="BD45" s="821"/>
      <c r="BE45" s="820"/>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820"/>
      <c r="BA46" s="821"/>
      <c r="BB46" s="820"/>
      <c r="BC46" s="820"/>
      <c r="BD46" s="821"/>
      <c r="BE46" s="820"/>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820"/>
      <c r="BA47" s="821"/>
      <c r="BB47" s="820"/>
      <c r="BC47" s="820"/>
      <c r="BD47" s="821"/>
      <c r="BE47" s="820"/>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820"/>
      <c r="BA48" s="821"/>
      <c r="BB48" s="820"/>
      <c r="BC48" s="820"/>
      <c r="BD48" s="821"/>
      <c r="BE48" s="820"/>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820"/>
      <c r="BA49" s="821"/>
      <c r="BB49" s="820"/>
      <c r="BC49" s="820"/>
      <c r="BD49" s="821"/>
      <c r="BE49" s="820"/>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820"/>
      <c r="BA50" s="821"/>
      <c r="BB50" s="820"/>
      <c r="BC50" s="820"/>
      <c r="BD50" s="821"/>
      <c r="BE50" s="820"/>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820"/>
      <c r="BA51" s="821"/>
      <c r="BB51" s="820"/>
      <c r="BC51" s="820"/>
      <c r="BD51" s="821"/>
      <c r="BE51" s="820"/>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820"/>
      <c r="BA52" s="821"/>
      <c r="BB52" s="820"/>
      <c r="BC52" s="820"/>
      <c r="BD52" s="821"/>
      <c r="BE52" s="820"/>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820"/>
      <c r="BA53" s="821"/>
      <c r="BB53" s="820"/>
      <c r="BC53" s="820"/>
      <c r="BD53" s="821"/>
      <c r="BE53" s="820"/>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820"/>
      <c r="BA54" s="821"/>
      <c r="BB54" s="820"/>
      <c r="BC54" s="820"/>
      <c r="BD54" s="821"/>
      <c r="BE54" s="820"/>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820"/>
      <c r="BA55" s="821"/>
      <c r="BB55" s="820"/>
      <c r="BC55" s="820"/>
      <c r="BD55" s="821"/>
      <c r="BE55" s="820"/>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820"/>
      <c r="BA56" s="821"/>
      <c r="BB56" s="820"/>
      <c r="BC56" s="820"/>
      <c r="BD56" s="821"/>
      <c r="BE56" s="820"/>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820"/>
      <c r="BA57" s="821"/>
      <c r="BB57" s="820"/>
      <c r="BC57" s="820"/>
      <c r="BD57" s="821"/>
      <c r="BE57" s="820"/>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820"/>
      <c r="BA58" s="821"/>
      <c r="BB58" s="820"/>
      <c r="BC58" s="820"/>
      <c r="BD58" s="821"/>
      <c r="BE58" s="820"/>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820"/>
      <c r="BA59" s="821"/>
      <c r="BB59" s="820"/>
      <c r="BC59" s="820"/>
      <c r="BD59" s="821"/>
      <c r="BE59" s="820"/>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820"/>
      <c r="BA60" s="821"/>
      <c r="BB60" s="820"/>
      <c r="BC60" s="820"/>
      <c r="BD60" s="821"/>
      <c r="BE60" s="820"/>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820"/>
      <c r="BA61" s="821"/>
      <c r="BB61" s="820"/>
      <c r="BC61" s="820"/>
      <c r="BD61" s="821"/>
      <c r="BE61" s="820"/>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820"/>
      <c r="BA62" s="821"/>
      <c r="BB62" s="820"/>
      <c r="BC62" s="820"/>
      <c r="BD62" s="821"/>
      <c r="BE62" s="820"/>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820"/>
      <c r="BA63" s="821"/>
      <c r="BB63" s="820"/>
      <c r="BC63" s="820"/>
      <c r="BD63" s="821"/>
      <c r="BE63" s="820"/>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820"/>
      <c r="BA64" s="821"/>
      <c r="BB64" s="820"/>
      <c r="BC64" s="820"/>
      <c r="BD64" s="821"/>
      <c r="BE64" s="820"/>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820"/>
      <c r="BA65" s="821"/>
      <c r="BB65" s="820"/>
      <c r="BC65" s="820"/>
      <c r="BD65" s="821"/>
      <c r="BE65" s="820"/>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820"/>
      <c r="BA66" s="821"/>
      <c r="BB66" s="820"/>
      <c r="BC66" s="820"/>
      <c r="BD66" s="821"/>
      <c r="BE66" s="820"/>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820"/>
      <c r="BA67" s="821"/>
      <c r="BB67" s="820"/>
      <c r="BC67" s="820"/>
      <c r="BD67" s="821"/>
      <c r="BE67" s="820"/>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820"/>
      <c r="BA68" s="821"/>
      <c r="BB68" s="820"/>
      <c r="BC68" s="820"/>
      <c r="BD68" s="821"/>
      <c r="BE68" s="820"/>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820"/>
      <c r="BA69" s="821"/>
      <c r="BB69" s="820"/>
      <c r="BC69" s="820"/>
      <c r="BD69" s="821"/>
      <c r="BE69" s="820"/>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820"/>
      <c r="BA70" s="821"/>
      <c r="BB70" s="820"/>
      <c r="BC70" s="820"/>
      <c r="BD70" s="821"/>
      <c r="BE70" s="820"/>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820"/>
      <c r="BA71" s="821"/>
      <c r="BB71" s="820"/>
      <c r="BC71" s="820"/>
      <c r="BD71" s="821"/>
      <c r="BE71" s="820"/>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820"/>
      <c r="BA72" s="821"/>
      <c r="BB72" s="820"/>
      <c r="BC72" s="820"/>
      <c r="BD72" s="821"/>
      <c r="BE72" s="820"/>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820"/>
      <c r="BA73" s="821"/>
      <c r="BB73" s="820"/>
      <c r="BC73" s="820"/>
      <c r="BD73" s="821"/>
      <c r="BE73" s="820"/>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820"/>
      <c r="BA74" s="821"/>
      <c r="BB74" s="820"/>
      <c r="BC74" s="820"/>
      <c r="BD74" s="821"/>
      <c r="BE74" s="820"/>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820"/>
      <c r="BA75" s="821"/>
      <c r="BB75" s="820"/>
      <c r="BC75" s="820"/>
      <c r="BD75" s="821"/>
      <c r="BE75" s="820"/>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820"/>
      <c r="BA76" s="821"/>
      <c r="BB76" s="820"/>
      <c r="BC76" s="820"/>
      <c r="BD76" s="821"/>
      <c r="BE76" s="820"/>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820"/>
      <c r="BA77" s="821"/>
      <c r="BB77" s="820"/>
      <c r="BC77" s="820"/>
      <c r="BD77" s="821"/>
      <c r="BE77" s="820"/>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820"/>
      <c r="BA78" s="821"/>
      <c r="BB78" s="820"/>
      <c r="BC78" s="820"/>
      <c r="BD78" s="821"/>
      <c r="BE78" s="820"/>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820"/>
      <c r="BA79" s="821"/>
      <c r="BB79" s="820"/>
      <c r="BC79" s="820"/>
      <c r="BD79" s="821"/>
      <c r="BE79" s="820"/>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820"/>
      <c r="BA80" s="821"/>
      <c r="BB80" s="820"/>
      <c r="BC80" s="820"/>
      <c r="BD80" s="821"/>
      <c r="BE80" s="820"/>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820"/>
      <c r="BA81" s="821"/>
      <c r="BB81" s="820"/>
      <c r="BC81" s="820"/>
      <c r="BD81" s="821"/>
      <c r="BE81" s="820"/>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820"/>
      <c r="BA82" s="821"/>
      <c r="BB82" s="820"/>
      <c r="BC82" s="820"/>
      <c r="BD82" s="821"/>
      <c r="BE82" s="820"/>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820"/>
      <c r="BA83" s="821"/>
      <c r="BB83" s="820"/>
      <c r="BC83" s="820"/>
      <c r="BD83" s="821"/>
      <c r="BE83" s="820"/>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820"/>
      <c r="BA84" s="821"/>
      <c r="BB84" s="820"/>
      <c r="BC84" s="820"/>
      <c r="BD84" s="821"/>
      <c r="BE84" s="820"/>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820"/>
      <c r="BA85" s="821"/>
      <c r="BB85" s="820"/>
      <c r="BC85" s="820"/>
      <c r="BD85" s="821"/>
      <c r="BE85" s="820"/>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820"/>
      <c r="BA86" s="821"/>
      <c r="BB86" s="820"/>
      <c r="BC86" s="820"/>
      <c r="BD86" s="821"/>
      <c r="BE86" s="820"/>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820"/>
      <c r="BA87" s="821"/>
      <c r="BB87" s="820"/>
      <c r="BC87" s="820"/>
      <c r="BD87" s="821"/>
      <c r="BE87" s="820"/>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820"/>
      <c r="BA88" s="821"/>
      <c r="BB88" s="820"/>
      <c r="BC88" s="820"/>
      <c r="BD88" s="821"/>
      <c r="BE88" s="820"/>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820"/>
      <c r="BA89" s="821"/>
      <c r="BB89" s="820"/>
      <c r="BC89" s="820"/>
      <c r="BD89" s="821"/>
      <c r="BE89" s="820"/>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820"/>
      <c r="BA90" s="821"/>
      <c r="BB90" s="820"/>
      <c r="BC90" s="820"/>
      <c r="BD90" s="821"/>
      <c r="BE90" s="820"/>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820"/>
      <c r="BA91" s="821"/>
      <c r="BB91" s="820"/>
      <c r="BC91" s="820"/>
      <c r="BD91" s="821"/>
      <c r="BE91" s="820"/>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820"/>
      <c r="BA92" s="821"/>
      <c r="BB92" s="820"/>
      <c r="BC92" s="820"/>
      <c r="BD92" s="821"/>
      <c r="BE92" s="820"/>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820"/>
      <c r="BA93" s="821"/>
      <c r="BB93" s="820"/>
      <c r="BC93" s="820"/>
      <c r="BD93" s="821"/>
      <c r="BE93" s="820"/>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820"/>
      <c r="BA94" s="821"/>
      <c r="BB94" s="820"/>
      <c r="BC94" s="820"/>
      <c r="BD94" s="821"/>
      <c r="BE94" s="820"/>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820"/>
      <c r="BA95" s="821"/>
      <c r="BB95" s="820"/>
      <c r="BC95" s="820"/>
      <c r="BD95" s="821"/>
      <c r="BE95" s="820"/>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820"/>
      <c r="BA96" s="821"/>
      <c r="BB96" s="820"/>
      <c r="BC96" s="820"/>
      <c r="BD96" s="821"/>
      <c r="BE96" s="820"/>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820"/>
      <c r="BA97" s="821"/>
      <c r="BB97" s="820"/>
      <c r="BC97" s="820"/>
      <c r="BD97" s="821"/>
      <c r="BE97" s="820"/>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820"/>
      <c r="BA98" s="821"/>
      <c r="BB98" s="820"/>
      <c r="BC98" s="820"/>
      <c r="BD98" s="821"/>
      <c r="BE98" s="820"/>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820"/>
      <c r="BA99" s="821"/>
      <c r="BB99" s="820"/>
      <c r="BC99" s="820"/>
      <c r="BD99" s="821"/>
      <c r="BE99" s="820"/>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820"/>
      <c r="BA100" s="821"/>
      <c r="BB100" s="820"/>
      <c r="BC100" s="820"/>
      <c r="BD100" s="821"/>
      <c r="BE100" s="820"/>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820"/>
      <c r="BA101" s="821"/>
      <c r="BB101" s="820"/>
      <c r="BC101" s="820"/>
      <c r="BD101" s="821"/>
      <c r="BE101" s="820"/>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820"/>
      <c r="BA102" s="821"/>
      <c r="BB102" s="820"/>
      <c r="BC102" s="820"/>
      <c r="BD102" s="821"/>
      <c r="BE102" s="820"/>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820"/>
      <c r="BA103" s="821"/>
      <c r="BB103" s="820"/>
      <c r="BC103" s="820"/>
      <c r="BD103" s="821"/>
      <c r="BE103" s="820"/>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820"/>
      <c r="BA104" s="821"/>
      <c r="BB104" s="820"/>
      <c r="BC104" s="820"/>
      <c r="BD104" s="821"/>
      <c r="BE104" s="820"/>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820"/>
      <c r="BA105" s="821"/>
      <c r="BB105" s="820"/>
      <c r="BC105" s="820"/>
      <c r="BD105" s="821"/>
      <c r="BE105" s="820"/>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820"/>
      <c r="BA106" s="821"/>
      <c r="BB106" s="820"/>
      <c r="BC106" s="820"/>
      <c r="BD106" s="821"/>
      <c r="BE106" s="820"/>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820"/>
      <c r="BA107" s="821"/>
      <c r="BB107" s="820"/>
      <c r="BC107" s="820"/>
      <c r="BD107" s="821"/>
      <c r="BE107" s="820"/>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820"/>
      <c r="BA108" s="821"/>
      <c r="BB108" s="820"/>
      <c r="BC108" s="820"/>
      <c r="BD108" s="821"/>
      <c r="BE108" s="820"/>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820"/>
      <c r="BA109" s="821"/>
      <c r="BB109" s="820"/>
      <c r="BC109" s="822"/>
      <c r="BD109" s="821"/>
      <c r="BE109" s="822"/>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820"/>
      <c r="BA110" s="821"/>
      <c r="BB110" s="820"/>
      <c r="BC110" s="822"/>
      <c r="BD110" s="821"/>
      <c r="BE110" s="822"/>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820"/>
      <c r="BA111" s="821"/>
      <c r="BB111" s="820"/>
      <c r="BC111" s="822"/>
      <c r="BD111" s="821"/>
      <c r="BE111" s="822"/>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820"/>
      <c r="BA112" s="821"/>
      <c r="BB112" s="820"/>
      <c r="BC112" s="822"/>
      <c r="BD112" s="821"/>
      <c r="BE112" s="822"/>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820"/>
      <c r="BA113" s="821"/>
      <c r="BB113" s="820"/>
      <c r="BC113" s="822"/>
      <c r="BD113" s="821"/>
      <c r="BE113" s="822"/>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820"/>
      <c r="BA114" s="821"/>
      <c r="BB114" s="820"/>
      <c r="BC114" s="822"/>
      <c r="BD114" s="821"/>
      <c r="BE114" s="822"/>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820"/>
      <c r="BA115" s="821"/>
      <c r="BB115" s="820"/>
      <c r="BC115" s="822"/>
      <c r="BD115" s="821"/>
      <c r="BE115" s="822"/>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820"/>
      <c r="BA116" s="821"/>
      <c r="BB116" s="820"/>
      <c r="BC116" s="822"/>
      <c r="BD116" s="821"/>
      <c r="BE116" s="822"/>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820"/>
      <c r="BA117" s="821"/>
      <c r="BB117" s="820"/>
      <c r="BC117" s="822"/>
      <c r="BD117" s="821"/>
      <c r="BE117" s="822"/>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820"/>
      <c r="BA118" s="821"/>
      <c r="BB118" s="820"/>
      <c r="BC118" s="822"/>
      <c r="BD118" s="821"/>
      <c r="BE118" s="822"/>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820"/>
      <c r="BA119" s="821"/>
      <c r="BB119" s="820"/>
      <c r="BC119" s="822"/>
      <c r="BD119" s="821"/>
      <c r="BE119" s="822"/>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820"/>
      <c r="BA120" s="821"/>
      <c r="BB120" s="820"/>
      <c r="BC120" s="822"/>
      <c r="BD120" s="821"/>
      <c r="BE120" s="822"/>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820"/>
      <c r="BA121" s="821"/>
      <c r="BB121" s="820"/>
      <c r="BC121" s="822"/>
      <c r="BD121" s="821"/>
      <c r="BE121" s="822"/>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820"/>
      <c r="BA122" s="821"/>
      <c r="BB122" s="820"/>
      <c r="BC122" s="822"/>
      <c r="BD122" s="821"/>
      <c r="BE122" s="822"/>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820"/>
      <c r="BA123" s="821"/>
      <c r="BB123" s="820"/>
      <c r="BC123" s="822"/>
      <c r="BD123" s="821"/>
      <c r="BE123" s="822"/>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820"/>
      <c r="BA124" s="821"/>
      <c r="BB124" s="820"/>
      <c r="BC124" s="822"/>
      <c r="BD124" s="821"/>
      <c r="BE124" s="822"/>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820"/>
      <c r="BA125" s="821"/>
      <c r="BB125" s="820"/>
      <c r="BC125" s="822"/>
      <c r="BD125" s="821"/>
      <c r="BE125" s="822"/>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820"/>
      <c r="BA126" s="821"/>
      <c r="BB126" s="820"/>
      <c r="BC126" s="822"/>
      <c r="BD126" s="821"/>
      <c r="BE126" s="822"/>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820"/>
      <c r="BA127" s="821"/>
      <c r="BB127" s="820"/>
      <c r="BC127" s="822"/>
      <c r="BD127" s="821"/>
      <c r="BE127" s="822"/>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820"/>
      <c r="BA128" s="821"/>
      <c r="BB128" s="820"/>
      <c r="BC128" s="822"/>
      <c r="BD128" s="821"/>
      <c r="BE128" s="822"/>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820"/>
      <c r="BA129" s="821"/>
      <c r="BB129" s="820"/>
      <c r="BC129" s="822"/>
      <c r="BD129" s="821"/>
      <c r="BE129" s="822"/>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820"/>
      <c r="BA130" s="821"/>
      <c r="BB130" s="820"/>
      <c r="BC130" s="822"/>
      <c r="BD130" s="821"/>
      <c r="BE130" s="822"/>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820"/>
      <c r="BA131" s="821"/>
      <c r="BB131" s="820"/>
      <c r="BC131" s="822"/>
      <c r="BD131" s="821"/>
      <c r="BE131" s="822"/>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820"/>
      <c r="BA132" s="821"/>
      <c r="BB132" s="820"/>
      <c r="BC132" s="822"/>
      <c r="BD132" s="821"/>
      <c r="BE132" s="822"/>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820"/>
      <c r="BA133" s="821"/>
      <c r="BB133" s="820"/>
      <c r="BC133" s="822"/>
      <c r="BD133" s="821"/>
      <c r="BE133" s="822"/>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820"/>
      <c r="BA134" s="821"/>
      <c r="BB134" s="820"/>
      <c r="BC134" s="822"/>
      <c r="BD134" s="821"/>
      <c r="BE134" s="822"/>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820"/>
      <c r="BA135" s="821"/>
      <c r="BB135" s="820"/>
      <c r="BC135" s="822"/>
      <c r="BD135" s="821"/>
      <c r="BE135" s="822"/>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820"/>
      <c r="BA136" s="821"/>
      <c r="BB136" s="820"/>
      <c r="BC136" s="822"/>
      <c r="BD136" s="821"/>
      <c r="BE136" s="822"/>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820"/>
      <c r="BA137" s="821"/>
      <c r="BB137" s="820"/>
      <c r="BC137" s="822"/>
      <c r="BD137" s="821"/>
      <c r="BE137" s="822"/>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820"/>
      <c r="BA138" s="821"/>
      <c r="BB138" s="820"/>
      <c r="BC138" s="822"/>
      <c r="BD138" s="821"/>
      <c r="BE138" s="822"/>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820"/>
      <c r="BA139" s="821"/>
      <c r="BB139" s="820"/>
      <c r="BC139" s="822"/>
      <c r="BD139" s="821"/>
      <c r="BE139" s="822"/>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820"/>
      <c r="BA140" s="821"/>
      <c r="BB140" s="820"/>
      <c r="BC140" s="822"/>
      <c r="BD140" s="821"/>
      <c r="BE140" s="822"/>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820"/>
      <c r="BA141" s="821"/>
      <c r="BB141" s="820"/>
      <c r="BC141" s="822"/>
      <c r="BD141" s="821"/>
      <c r="BE141" s="822"/>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820"/>
      <c r="BA142" s="821"/>
      <c r="BB142" s="820"/>
      <c r="BC142" s="822"/>
      <c r="BD142" s="821"/>
      <c r="BE142" s="822"/>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820"/>
      <c r="BA143" s="821"/>
      <c r="BB143" s="820"/>
      <c r="BC143" s="822"/>
      <c r="BD143" s="821"/>
      <c r="BE143" s="822"/>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820"/>
      <c r="BA144" s="821"/>
      <c r="BB144" s="820"/>
      <c r="BC144" s="822"/>
      <c r="BD144" s="821"/>
      <c r="BE144" s="822"/>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820"/>
      <c r="BA145" s="821"/>
      <c r="BB145" s="820"/>
      <c r="BC145" s="822"/>
      <c r="BD145" s="821"/>
      <c r="BE145" s="822"/>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820"/>
      <c r="BA146" s="821"/>
      <c r="BB146" s="820"/>
      <c r="BC146" s="822"/>
      <c r="BD146" s="821"/>
      <c r="BE146" s="822"/>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820"/>
      <c r="BA147" s="821"/>
      <c r="BB147" s="820"/>
      <c r="BC147" s="822"/>
      <c r="BD147" s="821"/>
      <c r="BE147" s="822"/>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820"/>
      <c r="BA148" s="821"/>
      <c r="BB148" s="820"/>
      <c r="BC148" s="822"/>
      <c r="BD148" s="821"/>
      <c r="BE148" s="822"/>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820"/>
      <c r="BA149" s="821"/>
      <c r="BB149" s="820"/>
      <c r="BC149" s="822"/>
      <c r="BD149" s="821"/>
      <c r="BE149" s="822"/>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820"/>
      <c r="BA150" s="821"/>
      <c r="BB150" s="820"/>
      <c r="BC150" s="822"/>
      <c r="BD150" s="821"/>
      <c r="BE150" s="822"/>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820"/>
      <c r="BA151" s="821"/>
      <c r="BB151" s="820"/>
      <c r="BC151" s="822"/>
      <c r="BD151" s="821"/>
      <c r="BE151" s="822"/>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820"/>
      <c r="BA152" s="821"/>
      <c r="BB152" s="820"/>
      <c r="BC152" s="822"/>
      <c r="BD152" s="821"/>
      <c r="BE152" s="822"/>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820"/>
      <c r="BA153" s="821"/>
      <c r="BB153" s="820"/>
      <c r="BC153" s="822"/>
      <c r="BD153" s="821"/>
      <c r="BE153" s="822"/>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820"/>
      <c r="BA154" s="821"/>
      <c r="BB154" s="820"/>
      <c r="BC154" s="822"/>
      <c r="BD154" s="821"/>
      <c r="BE154" s="822"/>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820"/>
      <c r="BA155" s="821"/>
      <c r="BB155" s="820"/>
      <c r="BC155" s="822"/>
      <c r="BD155" s="821"/>
      <c r="BE155" s="822"/>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820"/>
      <c r="BA156" s="821"/>
      <c r="BB156" s="820"/>
      <c r="BC156" s="823"/>
      <c r="BD156" s="821"/>
      <c r="BE156" s="823"/>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820"/>
      <c r="BA157" s="821"/>
      <c r="BB157" s="820"/>
      <c r="BC157" s="823"/>
      <c r="BD157" s="821"/>
      <c r="BE157" s="823"/>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820"/>
      <c r="BA158" s="821"/>
      <c r="BB158" s="820"/>
      <c r="BC158" s="823"/>
      <c r="BD158" s="821"/>
      <c r="BE158" s="823"/>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820"/>
      <c r="BA159" s="821"/>
      <c r="BB159" s="820"/>
      <c r="BC159" s="823"/>
      <c r="BD159" s="821"/>
      <c r="BE159" s="823"/>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820"/>
      <c r="BA160" s="821"/>
      <c r="BB160" s="820"/>
      <c r="BC160" s="823"/>
      <c r="BD160" s="821"/>
      <c r="BE160" s="823"/>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820"/>
      <c r="BA161" s="821"/>
      <c r="BB161" s="820"/>
      <c r="BC161" s="823"/>
      <c r="BD161" s="821"/>
      <c r="BE161" s="823"/>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820"/>
      <c r="BA162" s="821"/>
      <c r="BB162" s="820"/>
      <c r="BC162" s="823"/>
      <c r="BD162" s="821"/>
      <c r="BE162" s="823"/>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820"/>
      <c r="BA163" s="821"/>
      <c r="BB163" s="820"/>
      <c r="BC163" s="823"/>
      <c r="BD163" s="821"/>
      <c r="BE163" s="823"/>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820"/>
      <c r="BA164" s="821"/>
      <c r="BB164" s="820"/>
      <c r="BC164" s="823"/>
      <c r="BD164" s="821"/>
      <c r="BE164" s="823"/>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820"/>
      <c r="BA165" s="821"/>
      <c r="BB165" s="820"/>
      <c r="BC165" s="823"/>
      <c r="BD165" s="821"/>
      <c r="BE165" s="823"/>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820"/>
      <c r="BA166" s="821"/>
      <c r="BB166" s="820"/>
      <c r="BC166" s="820"/>
      <c r="BD166" s="821"/>
      <c r="BE166" s="820"/>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820"/>
      <c r="BA167" s="821"/>
      <c r="BB167" s="820"/>
      <c r="BC167" s="824"/>
      <c r="BD167" s="821"/>
      <c r="BE167" s="824"/>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820"/>
      <c r="BA168" s="821"/>
      <c r="BB168" s="820"/>
      <c r="BC168" s="824"/>
      <c r="BD168" s="821"/>
      <c r="BE168" s="824"/>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820"/>
      <c r="BA169" s="821"/>
      <c r="BB169" s="820"/>
      <c r="BC169" s="824"/>
      <c r="BD169" s="821"/>
      <c r="BE169" s="824"/>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820"/>
      <c r="BA170" s="821"/>
      <c r="BB170" s="820"/>
      <c r="BC170" s="824"/>
      <c r="BD170" s="821"/>
      <c r="BE170" s="824"/>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820"/>
      <c r="BA171" s="821"/>
      <c r="BB171" s="820"/>
      <c r="BC171" s="824"/>
      <c r="BD171" s="821"/>
      <c r="BE171" s="824"/>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820"/>
      <c r="BA172" s="821"/>
      <c r="BB172" s="820"/>
      <c r="BC172" s="823"/>
      <c r="BD172" s="821"/>
      <c r="BE172" s="823"/>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820"/>
      <c r="BA173" s="821"/>
      <c r="BB173" s="820"/>
      <c r="BC173" s="823"/>
      <c r="BD173" s="821"/>
      <c r="BE173" s="823"/>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820"/>
      <c r="BA174" s="821"/>
      <c r="BB174" s="820"/>
      <c r="BC174" s="823"/>
      <c r="BD174" s="821"/>
      <c r="BE174" s="823"/>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820"/>
      <c r="BA175" s="821"/>
      <c r="BB175" s="820"/>
      <c r="BC175" s="823"/>
      <c r="BD175" s="821"/>
      <c r="BE175" s="823"/>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820"/>
      <c r="BA176" s="821"/>
      <c r="BB176" s="820"/>
      <c r="BC176" s="823"/>
      <c r="BD176" s="821"/>
      <c r="BE176" s="823"/>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820"/>
      <c r="BA177" s="821"/>
      <c r="BB177" s="820"/>
      <c r="BC177" s="823"/>
      <c r="BD177" s="821"/>
      <c r="BE177" s="823"/>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820"/>
      <c r="BA178" s="821"/>
      <c r="BB178" s="820"/>
      <c r="BC178" s="823"/>
      <c r="BD178" s="821"/>
      <c r="BE178" s="823"/>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820"/>
      <c r="BA179" s="821"/>
      <c r="BB179" s="820"/>
      <c r="BC179" s="823"/>
      <c r="BD179" s="821"/>
      <c r="BE179" s="823"/>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820"/>
      <c r="BA180" s="821"/>
      <c r="BB180" s="820"/>
      <c r="BC180" s="823"/>
      <c r="BD180" s="821"/>
      <c r="BE180" s="823"/>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820"/>
      <c r="BA181" s="821"/>
      <c r="BB181" s="820"/>
      <c r="BC181" s="823"/>
      <c r="BD181" s="821"/>
      <c r="BE181" s="823"/>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820"/>
      <c r="BA182" s="821"/>
      <c r="BB182" s="820"/>
      <c r="BC182" s="823"/>
      <c r="BD182" s="821"/>
      <c r="BE182" s="823"/>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820"/>
      <c r="BA183" s="821"/>
      <c r="BB183" s="820"/>
      <c r="BC183" s="823"/>
      <c r="BD183" s="821"/>
      <c r="BE183" s="823"/>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820"/>
      <c r="BA184" s="821"/>
      <c r="BB184" s="820"/>
      <c r="BC184" s="823"/>
      <c r="BD184" s="821"/>
      <c r="BE184" s="823"/>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820"/>
      <c r="BA185" s="821"/>
      <c r="BB185" s="820"/>
      <c r="BC185" s="823"/>
      <c r="BD185" s="821"/>
      <c r="BE185" s="823"/>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820"/>
      <c r="BA186" s="821"/>
      <c r="BB186" s="820"/>
      <c r="BC186" s="823"/>
      <c r="BD186" s="821"/>
      <c r="BE186" s="823"/>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820"/>
      <c r="BA187" s="821"/>
      <c r="BB187" s="820"/>
      <c r="BC187" s="823"/>
      <c r="BD187" s="821"/>
      <c r="BE187" s="823"/>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820"/>
      <c r="BA188" s="821"/>
      <c r="BB188" s="820"/>
      <c r="BC188" s="823"/>
      <c r="BD188" s="821"/>
      <c r="BE188" s="823"/>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820"/>
      <c r="BA189" s="821"/>
      <c r="BB189" s="820"/>
      <c r="BC189" s="823"/>
      <c r="BD189" s="821"/>
      <c r="BE189" s="823"/>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820"/>
      <c r="BA190" s="821"/>
      <c r="BB190" s="820"/>
      <c r="BC190" s="823"/>
      <c r="BD190" s="821"/>
      <c r="BE190" s="823"/>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820"/>
      <c r="BA191" s="821"/>
      <c r="BB191" s="820"/>
      <c r="BC191" s="823"/>
      <c r="BD191" s="821"/>
      <c r="BE191" s="823"/>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820"/>
      <c r="BA192" s="821"/>
      <c r="BB192" s="820"/>
      <c r="BC192" s="823"/>
      <c r="BD192" s="821"/>
      <c r="BE192" s="823"/>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820"/>
      <c r="BA193" s="821"/>
      <c r="BB193" s="820"/>
      <c r="BC193" s="823"/>
      <c r="BD193" s="821"/>
      <c r="BE193" s="823"/>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820"/>
      <c r="BA194" s="821"/>
      <c r="BB194" s="820"/>
      <c r="BC194" s="823"/>
      <c r="BD194" s="821"/>
      <c r="BE194" s="823"/>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820"/>
      <c r="BA195" s="821"/>
      <c r="BB195" s="820"/>
      <c r="BC195" s="823"/>
      <c r="BD195" s="821"/>
      <c r="BE195" s="823"/>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820"/>
      <c r="BA196" s="821"/>
      <c r="BB196" s="820"/>
      <c r="BC196" s="823"/>
      <c r="BD196" s="821"/>
      <c r="BE196" s="823"/>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820"/>
      <c r="BA197" s="821"/>
      <c r="BB197" s="820"/>
      <c r="BC197" s="823"/>
      <c r="BD197" s="821"/>
      <c r="BE197" s="823"/>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820"/>
      <c r="BA198" s="821"/>
      <c r="BB198" s="820"/>
      <c r="BC198" s="823"/>
      <c r="BD198" s="821"/>
      <c r="BE198" s="823"/>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820"/>
      <c r="BA199" s="821"/>
      <c r="BB199" s="820"/>
      <c r="BC199" s="823"/>
      <c r="BD199" s="821"/>
      <c r="BE199" s="823"/>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820"/>
      <c r="BA200" s="821"/>
      <c r="BB200" s="820"/>
      <c r="BC200" s="823"/>
      <c r="BD200" s="821"/>
      <c r="BE200" s="823"/>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820"/>
      <c r="BA201" s="821"/>
      <c r="BB201" s="820"/>
      <c r="BC201" s="823"/>
      <c r="BD201" s="821"/>
      <c r="BE201" s="823"/>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820"/>
      <c r="BA202" s="821"/>
      <c r="BB202" s="820"/>
      <c r="BC202" s="823"/>
      <c r="BD202" s="821"/>
      <c r="BE202" s="823"/>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820"/>
      <c r="BA203" s="821"/>
      <c r="BB203" s="820"/>
      <c r="BC203" s="823"/>
      <c r="BD203" s="821"/>
      <c r="BE203" s="823"/>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820"/>
      <c r="BA204" s="821"/>
      <c r="BB204" s="820"/>
      <c r="BC204" s="823"/>
      <c r="BD204" s="821"/>
      <c r="BE204" s="823"/>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820"/>
      <c r="BA205" s="821"/>
      <c r="BB205" s="820"/>
      <c r="BC205" s="823"/>
      <c r="BD205" s="821"/>
      <c r="BE205" s="823"/>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20" t="s">
        <v>135</v>
      </c>
      <c r="D2" s="620"/>
      <c r="E2" s="620"/>
      <c r="F2" s="620"/>
      <c r="G2" s="620"/>
      <c r="H2" s="620"/>
      <c r="I2" s="620"/>
      <c r="J2" s="620"/>
      <c r="K2" s="620"/>
      <c r="L2" s="620"/>
      <c r="M2" s="620"/>
      <c r="N2" s="620"/>
      <c r="O2" s="620"/>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02" t="s">
        <v>8</v>
      </c>
      <c r="D4" s="602"/>
      <c r="E4" s="603" t="str">
        <f>IFERROR(VLOOKUP(عقد!$M$1,تفصيلي!B6:AW205,23,FALSE),"")</f>
        <v/>
      </c>
      <c r="F4" s="603"/>
      <c r="G4" s="603"/>
      <c r="H4" s="603"/>
      <c r="I4" s="603"/>
      <c r="J4" s="603"/>
      <c r="K4" s="486" t="s">
        <v>38</v>
      </c>
      <c r="L4" s="615" t="e">
        <f>INDEX(تفصيلي!Z6:Z205,MATCH(الكفالة!E4,تفصيلي!X6:X205,0))</f>
        <v>#N/A</v>
      </c>
      <c r="M4" s="615"/>
      <c r="N4" s="615"/>
      <c r="O4" s="615"/>
      <c r="P4" s="389"/>
      <c r="Q4" s="481"/>
    </row>
    <row r="5" spans="1:18" ht="24" customHeight="1">
      <c r="A5" s="119"/>
      <c r="B5" s="388"/>
      <c r="C5" s="602" t="s">
        <v>51</v>
      </c>
      <c r="D5" s="602"/>
      <c r="E5" s="603" t="str">
        <f>IFERROR(VLOOKUP(عقد!$M$1,تفصيلي!B6:AW205,24,FALSE),"")</f>
        <v/>
      </c>
      <c r="F5" s="603"/>
      <c r="G5" s="603"/>
      <c r="H5" s="603"/>
      <c r="I5" s="603"/>
      <c r="J5" s="603"/>
      <c r="K5" s="487" t="s">
        <v>136</v>
      </c>
      <c r="L5" s="616"/>
      <c r="M5" s="616"/>
      <c r="N5" s="616"/>
      <c r="O5" s="616"/>
      <c r="P5" s="389"/>
      <c r="Q5" s="481"/>
      <c r="R5" s="118">
        <f>LEN(L5)</f>
        <v>0</v>
      </c>
    </row>
    <row r="6" spans="1:18" ht="24" customHeight="1">
      <c r="A6" s="119"/>
      <c r="B6" s="388"/>
      <c r="C6" s="602" t="s">
        <v>9</v>
      </c>
      <c r="D6" s="602"/>
      <c r="E6" s="603" t="e">
        <f>INDEX(تفصيلي!AC6:AC205,MATCH(الكفالة!E4,تفصيلي!X6:X205,0))</f>
        <v>#N/A</v>
      </c>
      <c r="F6" s="603"/>
      <c r="G6" s="603"/>
      <c r="H6" s="603"/>
      <c r="I6" s="603"/>
      <c r="J6" s="603"/>
      <c r="K6" s="486" t="s">
        <v>6</v>
      </c>
      <c r="L6" s="603" t="str">
        <f>IFERROR(VLOOKUP(عقد!$M$1,تفصيلي!B6:AW205,27,FALSE),"")</f>
        <v/>
      </c>
      <c r="M6" s="603"/>
      <c r="N6" s="603"/>
      <c r="O6" s="603"/>
      <c r="P6" s="389"/>
      <c r="Q6" s="481"/>
    </row>
    <row r="7" spans="1:18" ht="24" customHeight="1">
      <c r="A7" s="121"/>
      <c r="B7" s="388"/>
      <c r="C7" s="602" t="s">
        <v>203</v>
      </c>
      <c r="D7" s="602"/>
      <c r="E7" s="602"/>
      <c r="F7" s="602"/>
      <c r="G7" s="602"/>
      <c r="H7" s="602"/>
      <c r="I7" s="602"/>
      <c r="J7" s="602"/>
      <c r="K7" s="602"/>
      <c r="L7" s="488">
        <f>عقد!E7</f>
        <v>0</v>
      </c>
      <c r="M7" s="603" t="s">
        <v>202</v>
      </c>
      <c r="N7" s="603"/>
      <c r="O7" s="603"/>
      <c r="P7" s="389"/>
      <c r="Q7" s="481"/>
    </row>
    <row r="8" spans="1:18" ht="24" customHeight="1">
      <c r="A8" s="121"/>
      <c r="B8" s="388"/>
      <c r="C8" s="602" t="s">
        <v>49</v>
      </c>
      <c r="D8" s="602"/>
      <c r="E8" s="602"/>
      <c r="F8" s="603" t="e">
        <f>عقد!C9</f>
        <v>#N/A</v>
      </c>
      <c r="G8" s="603"/>
      <c r="H8" s="603"/>
      <c r="I8" s="603"/>
      <c r="J8" s="602" t="s">
        <v>50</v>
      </c>
      <c r="K8" s="602"/>
      <c r="L8" s="602"/>
      <c r="M8" s="602"/>
      <c r="N8" s="602"/>
      <c r="O8" s="602"/>
      <c r="P8" s="389"/>
      <c r="Q8" s="481"/>
    </row>
    <row r="9" spans="1:18" ht="111.6" customHeight="1">
      <c r="A9" s="117"/>
      <c r="B9" s="484"/>
      <c r="C9" s="618" t="s">
        <v>169</v>
      </c>
      <c r="D9" s="618"/>
      <c r="E9" s="618"/>
      <c r="F9" s="618"/>
      <c r="G9" s="618"/>
      <c r="H9" s="618"/>
      <c r="I9" s="618"/>
      <c r="J9" s="618"/>
      <c r="K9" s="618"/>
      <c r="L9" s="618"/>
      <c r="M9" s="618"/>
      <c r="N9" s="618"/>
      <c r="O9" s="618"/>
      <c r="P9" s="485"/>
      <c r="Q9" s="481"/>
    </row>
    <row r="10" spans="1:18" ht="51.6" customHeight="1">
      <c r="A10" s="117"/>
      <c r="B10" s="484"/>
      <c r="C10" s="604" t="s">
        <v>204</v>
      </c>
      <c r="D10" s="604"/>
      <c r="E10" s="605">
        <f>عقد!$E$7</f>
        <v>0</v>
      </c>
      <c r="F10" s="605"/>
      <c r="G10" s="605"/>
      <c r="H10" s="606" t="s">
        <v>57</v>
      </c>
      <c r="I10" s="606"/>
      <c r="J10" s="606"/>
      <c r="K10" s="606"/>
      <c r="L10" s="617" t="s">
        <v>10</v>
      </c>
      <c r="M10" s="617"/>
      <c r="N10" s="617"/>
      <c r="O10" s="617"/>
      <c r="P10" s="485"/>
      <c r="Q10" s="481"/>
    </row>
    <row r="11" spans="1:18" ht="24" customHeight="1">
      <c r="A11" s="117"/>
      <c r="B11" s="484"/>
      <c r="C11" s="480"/>
      <c r="D11" s="480"/>
      <c r="E11" s="480"/>
      <c r="F11" s="480"/>
      <c r="G11" s="480"/>
      <c r="H11" s="480"/>
      <c r="I11" s="480"/>
      <c r="J11" s="619"/>
      <c r="K11" s="619"/>
      <c r="L11" s="607"/>
      <c r="M11" s="608"/>
      <c r="N11" s="608"/>
      <c r="O11" s="608"/>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11" t="s">
        <v>205</v>
      </c>
      <c r="O13" s="611"/>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20" t="s">
        <v>135</v>
      </c>
      <c r="D16" s="620"/>
      <c r="E16" s="620"/>
      <c r="F16" s="620"/>
      <c r="G16" s="620"/>
      <c r="H16" s="620"/>
      <c r="I16" s="620"/>
      <c r="J16" s="620"/>
      <c r="K16" s="620"/>
      <c r="L16" s="620"/>
      <c r="M16" s="620"/>
      <c r="N16" s="620"/>
      <c r="O16" s="620"/>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02" t="s">
        <v>8</v>
      </c>
      <c r="D18" s="602"/>
      <c r="E18" s="603" t="str">
        <f>IFERROR(VLOOKUP(O15,تفصيلي!$B$6:$AW$205,29,FALSE),"")</f>
        <v/>
      </c>
      <c r="F18" s="603"/>
      <c r="G18" s="603"/>
      <c r="H18" s="603"/>
      <c r="I18" s="603"/>
      <c r="J18" s="603"/>
      <c r="K18" s="486" t="s">
        <v>38</v>
      </c>
      <c r="L18" s="615" t="str">
        <f>IFERROR(VLOOKUP(O15,تفصيلي!$B$6:$AW$205,31,FALSE),"")</f>
        <v/>
      </c>
      <c r="M18" s="615"/>
      <c r="N18" s="615"/>
      <c r="O18" s="615"/>
      <c r="P18" s="389"/>
      <c r="Q18" s="481"/>
    </row>
    <row r="19" spans="1:18" ht="24" customHeight="1">
      <c r="A19" s="119"/>
      <c r="B19" s="388"/>
      <c r="C19" s="602" t="s">
        <v>51</v>
      </c>
      <c r="D19" s="602"/>
      <c r="E19" s="603" t="str">
        <f>IFERROR(VLOOKUP(O15,تفصيلي!$B$6:$AW$205,30,FALSE),"")</f>
        <v/>
      </c>
      <c r="F19" s="603"/>
      <c r="G19" s="603"/>
      <c r="H19" s="603"/>
      <c r="I19" s="603"/>
      <c r="J19" s="603"/>
      <c r="K19" s="487" t="s">
        <v>136</v>
      </c>
      <c r="L19" s="616"/>
      <c r="M19" s="616"/>
      <c r="N19" s="616"/>
      <c r="O19" s="616"/>
      <c r="P19" s="389"/>
      <c r="Q19" s="481"/>
      <c r="R19" s="118">
        <f>LEN(L19)</f>
        <v>0</v>
      </c>
    </row>
    <row r="20" spans="1:18" ht="24" customHeight="1">
      <c r="A20" s="119"/>
      <c r="B20" s="388"/>
      <c r="C20" s="602" t="s">
        <v>9</v>
      </c>
      <c r="D20" s="602"/>
      <c r="E20" s="603" t="str">
        <f>IFERROR(VLOOKUP(O15,تفصيلي!$B$6:$AW$205,34,FALSE),"")</f>
        <v/>
      </c>
      <c r="F20" s="603"/>
      <c r="G20" s="603"/>
      <c r="H20" s="603"/>
      <c r="I20" s="603"/>
      <c r="J20" s="603"/>
      <c r="K20" s="486" t="s">
        <v>6</v>
      </c>
      <c r="L20" s="603" t="str">
        <f>IFERROR(VLOOKUP(O15,تفصيلي!$B$6:$AW$205,33,FALSE),"")</f>
        <v/>
      </c>
      <c r="M20" s="603"/>
      <c r="N20" s="603"/>
      <c r="O20" s="603"/>
      <c r="P20" s="389"/>
      <c r="Q20" s="481"/>
    </row>
    <row r="21" spans="1:18" ht="24" customHeight="1">
      <c r="A21" s="121"/>
      <c r="B21" s="388"/>
      <c r="C21" s="602" t="s">
        <v>203</v>
      </c>
      <c r="D21" s="602"/>
      <c r="E21" s="602"/>
      <c r="F21" s="602"/>
      <c r="G21" s="602"/>
      <c r="H21" s="602"/>
      <c r="I21" s="602"/>
      <c r="J21" s="602"/>
      <c r="K21" s="602"/>
      <c r="L21" s="488">
        <f>L7</f>
        <v>0</v>
      </c>
      <c r="M21" s="603" t="s">
        <v>202</v>
      </c>
      <c r="N21" s="603"/>
      <c r="O21" s="603"/>
      <c r="P21" s="389"/>
      <c r="Q21" s="481"/>
    </row>
    <row r="22" spans="1:18" ht="24" customHeight="1">
      <c r="A22" s="121"/>
      <c r="B22" s="388"/>
      <c r="C22" s="602" t="s">
        <v>49</v>
      </c>
      <c r="D22" s="602"/>
      <c r="E22" s="602"/>
      <c r="F22" s="603" t="e">
        <f>F8</f>
        <v>#N/A</v>
      </c>
      <c r="G22" s="603"/>
      <c r="H22" s="603"/>
      <c r="I22" s="603"/>
      <c r="J22" s="602" t="s">
        <v>50</v>
      </c>
      <c r="K22" s="602"/>
      <c r="L22" s="602"/>
      <c r="M22" s="602"/>
      <c r="N22" s="602"/>
      <c r="O22" s="602"/>
      <c r="P22" s="389"/>
      <c r="Q22" s="481"/>
    </row>
    <row r="23" spans="1:18" ht="111.6" customHeight="1">
      <c r="A23" s="117"/>
      <c r="B23" s="484"/>
      <c r="C23" s="618" t="s">
        <v>169</v>
      </c>
      <c r="D23" s="618"/>
      <c r="E23" s="618"/>
      <c r="F23" s="618"/>
      <c r="G23" s="618"/>
      <c r="H23" s="618"/>
      <c r="I23" s="618"/>
      <c r="J23" s="618"/>
      <c r="K23" s="618"/>
      <c r="L23" s="618"/>
      <c r="M23" s="618"/>
      <c r="N23" s="618"/>
      <c r="O23" s="618"/>
      <c r="P23" s="485"/>
      <c r="Q23" s="481"/>
    </row>
    <row r="24" spans="1:18" ht="51.6" customHeight="1">
      <c r="A24" s="117"/>
      <c r="B24" s="484"/>
      <c r="C24" s="604" t="s">
        <v>204</v>
      </c>
      <c r="D24" s="604"/>
      <c r="E24" s="605">
        <f>عقد!$E$7</f>
        <v>0</v>
      </c>
      <c r="F24" s="605"/>
      <c r="G24" s="605"/>
      <c r="H24" s="606" t="s">
        <v>57</v>
      </c>
      <c r="I24" s="606"/>
      <c r="J24" s="606"/>
      <c r="K24" s="606"/>
      <c r="L24" s="617" t="s">
        <v>10</v>
      </c>
      <c r="M24" s="617"/>
      <c r="N24" s="617"/>
      <c r="O24" s="617"/>
      <c r="P24" s="485"/>
      <c r="Q24" s="481"/>
    </row>
    <row r="25" spans="1:18" ht="24" customHeight="1">
      <c r="A25" s="117"/>
      <c r="B25" s="484"/>
      <c r="C25" s="480"/>
      <c r="D25" s="480"/>
      <c r="E25" s="480"/>
      <c r="F25" s="480"/>
      <c r="G25" s="480"/>
      <c r="H25" s="480"/>
      <c r="I25" s="480"/>
      <c r="J25" s="619"/>
      <c r="K25" s="619"/>
      <c r="L25" s="607"/>
      <c r="M25" s="608"/>
      <c r="N25" s="608"/>
      <c r="O25" s="608"/>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11" t="s">
        <v>646</v>
      </c>
      <c r="O27" s="611"/>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12" t="s">
        <v>135</v>
      </c>
      <c r="D29" s="612"/>
      <c r="E29" s="612"/>
      <c r="F29" s="612"/>
      <c r="G29" s="612"/>
      <c r="H29" s="612"/>
      <c r="I29" s="612"/>
      <c r="J29" s="612"/>
      <c r="K29" s="612"/>
      <c r="L29" s="612"/>
      <c r="M29" s="612"/>
      <c r="N29" s="612"/>
      <c r="O29" s="612"/>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13" t="s">
        <v>8</v>
      </c>
      <c r="D31" s="613"/>
      <c r="E31" s="609" t="str">
        <f>IFERROR(VLOOKUP(O28,تفصيلي!$B$6:$AW$205,35,FALSE),"")</f>
        <v/>
      </c>
      <c r="F31" s="609"/>
      <c r="G31" s="609"/>
      <c r="H31" s="609"/>
      <c r="I31" s="609"/>
      <c r="J31" s="609"/>
      <c r="K31" s="498" t="s">
        <v>38</v>
      </c>
      <c r="L31" s="610" t="str">
        <f>IFERROR(VLOOKUP(O28,تفصيلي!$B$6:$AW$205,37,FALSE),"")</f>
        <v/>
      </c>
      <c r="M31" s="610"/>
      <c r="N31" s="610"/>
      <c r="O31" s="610"/>
      <c r="P31" s="122"/>
      <c r="Q31" s="493"/>
    </row>
    <row r="32" spans="1:18" ht="24" customHeight="1">
      <c r="A32" s="119"/>
      <c r="B32" s="120"/>
      <c r="C32" s="613" t="s">
        <v>51</v>
      </c>
      <c r="D32" s="613"/>
      <c r="E32" s="609" t="str">
        <f>IFERROR(VLOOKUP(O28,تفصيلي!$B$6:$AW$205,36,FALSE),"")</f>
        <v/>
      </c>
      <c r="F32" s="609"/>
      <c r="G32" s="609"/>
      <c r="H32" s="609"/>
      <c r="I32" s="609"/>
      <c r="J32" s="609"/>
      <c r="K32" s="499" t="s">
        <v>136</v>
      </c>
      <c r="L32" s="621" t="str">
        <f>IFERROR(VLOOKUP(O28,تفصيلي!$B$6:$AW$205,38,FALSE),"")</f>
        <v/>
      </c>
      <c r="M32" s="621"/>
      <c r="N32" s="621"/>
      <c r="O32" s="621"/>
      <c r="P32" s="122"/>
      <c r="Q32" s="493"/>
    </row>
    <row r="33" spans="1:17" ht="24" customHeight="1">
      <c r="A33" s="119"/>
      <c r="B33" s="120"/>
      <c r="C33" s="613" t="s">
        <v>9</v>
      </c>
      <c r="D33" s="613"/>
      <c r="E33" s="609" t="str">
        <f>IFERROR(VLOOKUP(O28,تفصيلي!$B$6:$AW$205,40,FALSE),"")</f>
        <v/>
      </c>
      <c r="F33" s="609"/>
      <c r="G33" s="609"/>
      <c r="H33" s="609"/>
      <c r="I33" s="609"/>
      <c r="J33" s="609"/>
      <c r="K33" s="498" t="s">
        <v>6</v>
      </c>
      <c r="L33" s="609" t="str">
        <f>IFERROR(VLOOKUP(O28,تفصيلي!$B$6:$AW$205,39,FALSE),"")</f>
        <v/>
      </c>
      <c r="M33" s="609"/>
      <c r="N33" s="609"/>
      <c r="O33" s="609"/>
      <c r="P33" s="122"/>
      <c r="Q33" s="493"/>
    </row>
    <row r="34" spans="1:17" ht="24" customHeight="1">
      <c r="A34" s="121"/>
      <c r="B34" s="120"/>
      <c r="C34" s="613" t="s">
        <v>203</v>
      </c>
      <c r="D34" s="613"/>
      <c r="E34" s="613"/>
      <c r="F34" s="613"/>
      <c r="G34" s="613"/>
      <c r="H34" s="613"/>
      <c r="I34" s="613"/>
      <c r="J34" s="613"/>
      <c r="K34" s="613"/>
      <c r="L34" s="500">
        <f>L7</f>
        <v>0</v>
      </c>
      <c r="M34" s="609" t="s">
        <v>202</v>
      </c>
      <c r="N34" s="609"/>
      <c r="O34" s="609"/>
      <c r="P34" s="122"/>
      <c r="Q34" s="493"/>
    </row>
    <row r="35" spans="1:17" ht="24" customHeight="1">
      <c r="A35" s="121"/>
      <c r="B35" s="120"/>
      <c r="C35" s="613" t="s">
        <v>49</v>
      </c>
      <c r="D35" s="613"/>
      <c r="E35" s="613"/>
      <c r="F35" s="609" t="e">
        <f>F8</f>
        <v>#N/A</v>
      </c>
      <c r="G35" s="609"/>
      <c r="H35" s="609"/>
      <c r="I35" s="609"/>
      <c r="J35" s="613" t="s">
        <v>50</v>
      </c>
      <c r="K35" s="613"/>
      <c r="L35" s="613"/>
      <c r="M35" s="613"/>
      <c r="N35" s="613"/>
      <c r="O35" s="613"/>
      <c r="P35" s="122"/>
      <c r="Q35" s="493"/>
    </row>
    <row r="36" spans="1:17" ht="111.6" customHeight="1">
      <c r="A36" s="117"/>
      <c r="B36" s="496"/>
      <c r="C36" s="622" t="s">
        <v>169</v>
      </c>
      <c r="D36" s="622"/>
      <c r="E36" s="622"/>
      <c r="F36" s="622"/>
      <c r="G36" s="622"/>
      <c r="H36" s="622"/>
      <c r="I36" s="622"/>
      <c r="J36" s="622"/>
      <c r="K36" s="622"/>
      <c r="L36" s="622"/>
      <c r="M36" s="622"/>
      <c r="N36" s="622"/>
      <c r="O36" s="622"/>
      <c r="P36" s="497"/>
      <c r="Q36" s="493"/>
    </row>
    <row r="37" spans="1:17" ht="51.6" customHeight="1">
      <c r="A37" s="117"/>
      <c r="B37" s="496"/>
      <c r="C37" s="627" t="s">
        <v>204</v>
      </c>
      <c r="D37" s="627"/>
      <c r="E37" s="628">
        <f>عقد!$E$7</f>
        <v>0</v>
      </c>
      <c r="F37" s="628"/>
      <c r="G37" s="628"/>
      <c r="H37" s="629" t="s">
        <v>57</v>
      </c>
      <c r="I37" s="629"/>
      <c r="J37" s="629"/>
      <c r="K37" s="629"/>
      <c r="L37" s="623" t="s">
        <v>10</v>
      </c>
      <c r="M37" s="623"/>
      <c r="N37" s="623"/>
      <c r="O37" s="623"/>
      <c r="P37" s="497"/>
      <c r="Q37" s="493"/>
    </row>
    <row r="38" spans="1:17" ht="24" customHeight="1">
      <c r="A38" s="117"/>
      <c r="B38" s="496"/>
      <c r="C38" s="492"/>
      <c r="D38" s="492"/>
      <c r="E38" s="492"/>
      <c r="F38" s="492"/>
      <c r="G38" s="492"/>
      <c r="H38" s="492"/>
      <c r="I38" s="492"/>
      <c r="J38" s="624"/>
      <c r="K38" s="624"/>
      <c r="L38" s="625"/>
      <c r="M38" s="626"/>
      <c r="N38" s="626"/>
      <c r="O38" s="626"/>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14" t="s">
        <v>647</v>
      </c>
      <c r="O40" s="614"/>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0</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43" t="s">
        <v>64</v>
      </c>
      <c r="D4" s="643"/>
      <c r="E4" s="643"/>
      <c r="F4" s="643"/>
      <c r="G4" s="643"/>
      <c r="H4" s="643"/>
      <c r="I4" s="643"/>
      <c r="J4" s="643"/>
      <c r="K4" s="643"/>
      <c r="L4" s="124"/>
    </row>
    <row r="5" spans="1:12" ht="20.25">
      <c r="A5" s="3"/>
      <c r="B5" s="1"/>
      <c r="C5" s="42"/>
      <c r="D5" s="42"/>
      <c r="E5" s="42"/>
      <c r="F5" s="42"/>
      <c r="G5" s="42"/>
      <c r="H5" s="42"/>
      <c r="I5" s="42"/>
      <c r="J5" s="42"/>
      <c r="K5" s="42"/>
      <c r="L5" s="124"/>
    </row>
    <row r="6" spans="1:12" s="130" customFormat="1" ht="20.45" customHeight="1">
      <c r="A6" s="3"/>
      <c r="B6" s="1"/>
      <c r="C6" s="639" t="s">
        <v>67</v>
      </c>
      <c r="D6" s="639"/>
      <c r="E6" s="170">
        <f>عقد!E7</f>
        <v>0</v>
      </c>
      <c r="F6" s="639" t="s">
        <v>66</v>
      </c>
      <c r="G6" s="639"/>
      <c r="H6" s="639"/>
      <c r="I6" s="639"/>
      <c r="J6" s="639"/>
      <c r="K6" s="639"/>
      <c r="L6" s="124"/>
    </row>
    <row r="7" spans="1:12" s="130" customFormat="1" ht="20.45" customHeight="1">
      <c r="A7" s="3"/>
      <c r="B7" s="1"/>
      <c r="C7" s="640" t="s">
        <v>655</v>
      </c>
      <c r="D7" s="640"/>
      <c r="E7" s="640"/>
      <c r="F7" s="640"/>
      <c r="G7" s="640"/>
      <c r="H7" s="640"/>
      <c r="I7" s="640"/>
      <c r="J7" s="640"/>
      <c r="K7" s="640"/>
      <c r="L7" s="124"/>
    </row>
    <row r="8" spans="1:12" s="130" customFormat="1" ht="20.45" customHeight="1">
      <c r="A8" s="43"/>
      <c r="B8" s="44"/>
      <c r="C8" s="128" t="s">
        <v>65</v>
      </c>
      <c r="D8" s="641" t="e">
        <f>عقد!C9</f>
        <v>#N/A</v>
      </c>
      <c r="E8" s="641"/>
      <c r="F8" s="641"/>
      <c r="G8" s="635" t="s">
        <v>56</v>
      </c>
      <c r="H8" s="635"/>
      <c r="I8" s="642" t="e">
        <f>عقد!C10</f>
        <v>#N/A</v>
      </c>
      <c r="J8" s="642"/>
      <c r="K8" s="642"/>
      <c r="L8" s="125"/>
    </row>
    <row r="9" spans="1:12" s="130" customFormat="1" ht="20.45" customHeight="1">
      <c r="A9" s="43"/>
      <c r="B9" s="44"/>
      <c r="C9" s="128" t="s">
        <v>1</v>
      </c>
      <c r="D9" s="636" t="e">
        <f>عقد!D13</f>
        <v>#N/A</v>
      </c>
      <c r="E9" s="636"/>
      <c r="F9" s="636"/>
      <c r="G9" s="636"/>
      <c r="H9" s="636"/>
      <c r="I9" s="636"/>
      <c r="J9" s="636"/>
      <c r="K9" s="636"/>
      <c r="L9" s="125"/>
    </row>
    <row r="10" spans="1:12" s="130" customFormat="1" ht="20.45" customHeight="1">
      <c r="A10" s="43"/>
      <c r="B10" s="44"/>
      <c r="C10" s="128" t="s">
        <v>645</v>
      </c>
      <c r="D10" s="636" t="e">
        <f>عقد!C11</f>
        <v>#N/A</v>
      </c>
      <c r="E10" s="636"/>
      <c r="F10" s="636"/>
      <c r="G10" s="636"/>
      <c r="H10" s="636"/>
      <c r="I10" s="129" t="s">
        <v>2</v>
      </c>
      <c r="J10" s="636" t="str">
        <f>عقد!I10</f>
        <v/>
      </c>
      <c r="K10" s="636"/>
      <c r="L10" s="125"/>
    </row>
    <row r="11" spans="1:12" s="130" customFormat="1" ht="20.45" customHeight="1">
      <c r="A11" s="43"/>
      <c r="B11" s="44"/>
      <c r="C11" s="637" t="str">
        <f>"اقر وأتعـــهد بموجب هذا السند بأن   "</f>
        <v xml:space="preserve">اقر وأتعـــهد بموجب هذا السند بأن   </v>
      </c>
      <c r="D11" s="637"/>
      <c r="E11"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38"/>
      <c r="G11" s="638"/>
      <c r="H11" s="638"/>
      <c r="I11" s="638"/>
      <c r="J11" s="638"/>
      <c r="K11" s="638"/>
      <c r="L11" s="125"/>
    </row>
    <row r="12" spans="1:12" s="130" customFormat="1" ht="20.45" customHeight="1">
      <c r="A12" s="43"/>
      <c r="B12" s="44"/>
      <c r="C12" s="131" t="str">
        <f>"  الصعيد للتربية والتنمية  "&amp;" مبلغ "</f>
        <v xml:space="preserve">  الصعيد للتربية والتنمية   مبلغ </v>
      </c>
      <c r="D12" s="632" t="e">
        <f>عقد!C22&amp;عقد!E22&amp;عقد!F22</f>
        <v>#VALUE!</v>
      </c>
      <c r="E12" s="633"/>
      <c r="F12" s="633"/>
      <c r="G12" s="633"/>
      <c r="H12" s="633"/>
      <c r="I12" s="633"/>
      <c r="J12" s="633"/>
      <c r="K12" s="129" t="s">
        <v>68</v>
      </c>
      <c r="L12" s="125"/>
    </row>
    <row r="13" spans="1:12" s="130" customFormat="1" ht="20.45" customHeight="1">
      <c r="A13" s="43"/>
      <c r="B13" s="44"/>
      <c r="C13" s="171" t="str">
        <f>IFERROR(VLOOKUP(عقد!M1,تفصيلي!B6:T205,18,FALSE),"")</f>
        <v/>
      </c>
      <c r="D13" s="634" t="s">
        <v>172</v>
      </c>
      <c r="E13" s="634"/>
      <c r="F13" s="634"/>
      <c r="G13" s="634"/>
      <c r="H13" s="634"/>
      <c r="I13" s="634"/>
      <c r="J13" s="634"/>
      <c r="K13" s="634"/>
      <c r="L13" s="125"/>
    </row>
    <row r="14" spans="1:12" s="130" customFormat="1" ht="20.45" customHeight="1">
      <c r="A14" s="43"/>
      <c r="B14" s="44"/>
      <c r="C14" s="635" t="s">
        <v>69</v>
      </c>
      <c r="D14" s="635"/>
      <c r="E14" s="635"/>
      <c r="F14" s="635"/>
      <c r="G14" s="635"/>
      <c r="H14" s="635"/>
      <c r="I14" s="635"/>
      <c r="J14" s="635"/>
      <c r="K14" s="635"/>
      <c r="L14" s="125"/>
    </row>
    <row r="15" spans="1:12" s="130" customFormat="1" ht="20.45" customHeight="1">
      <c r="A15" s="43"/>
      <c r="B15" s="44"/>
      <c r="C15" s="635" t="s">
        <v>70</v>
      </c>
      <c r="D15" s="635"/>
      <c r="E15" s="635"/>
      <c r="F15" s="635"/>
      <c r="G15" s="635"/>
      <c r="H15" s="635"/>
      <c r="I15" s="635"/>
      <c r="J15" s="635"/>
      <c r="K15" s="635"/>
      <c r="L15" s="125"/>
    </row>
    <row r="16" spans="1:12" s="130" customFormat="1" ht="20.45" customHeight="1">
      <c r="A16" s="43"/>
      <c r="B16" s="44"/>
      <c r="C16" s="635" t="s">
        <v>71</v>
      </c>
      <c r="D16" s="635"/>
      <c r="E16" s="635"/>
      <c r="F16" s="635"/>
      <c r="G16" s="635"/>
      <c r="H16" s="635"/>
      <c r="I16" s="635"/>
      <c r="J16" s="635"/>
      <c r="K16" s="635"/>
      <c r="L16" s="125"/>
    </row>
    <row r="17" spans="1:12" ht="26.45" customHeight="1">
      <c r="A17" s="43"/>
      <c r="B17" s="44"/>
      <c r="C17" s="45"/>
      <c r="D17" s="45"/>
      <c r="E17" s="45"/>
      <c r="F17" s="45"/>
      <c r="G17" s="630" t="s">
        <v>3</v>
      </c>
      <c r="H17" s="630"/>
      <c r="I17" s="630"/>
      <c r="J17" s="630"/>
      <c r="K17" s="630"/>
      <c r="L17" s="125"/>
    </row>
    <row r="18" spans="1:12" ht="27" customHeight="1">
      <c r="A18" s="43"/>
      <c r="B18" s="44"/>
      <c r="C18" s="45"/>
      <c r="D18" s="45"/>
      <c r="E18" s="45"/>
      <c r="F18" s="631" t="s">
        <v>4</v>
      </c>
      <c r="G18" s="631"/>
      <c r="H18" s="631"/>
      <c r="I18" s="631"/>
      <c r="J18" s="631"/>
      <c r="K18" s="631"/>
      <c r="L18" s="125"/>
    </row>
    <row r="19" spans="1:12" ht="27" customHeight="1">
      <c r="A19" s="43"/>
      <c r="B19" s="44"/>
      <c r="C19" s="45"/>
      <c r="D19" s="45"/>
      <c r="E19" s="45"/>
      <c r="F19" s="631" t="s">
        <v>5</v>
      </c>
      <c r="G19" s="631"/>
      <c r="H19" s="631"/>
      <c r="I19" s="631"/>
      <c r="J19" s="631"/>
      <c r="K19" s="631"/>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0</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43" t="s">
        <v>64</v>
      </c>
      <c r="D28" s="643"/>
      <c r="E28" s="643"/>
      <c r="F28" s="643"/>
      <c r="G28" s="643"/>
      <c r="H28" s="643"/>
      <c r="I28" s="643"/>
      <c r="J28" s="643"/>
      <c r="K28" s="643"/>
      <c r="L28" s="124"/>
    </row>
    <row r="29" spans="1:12" ht="20.25">
      <c r="A29" s="3"/>
      <c r="B29" s="1"/>
      <c r="C29" s="42"/>
      <c r="D29" s="42"/>
      <c r="E29" s="42"/>
      <c r="F29" s="42"/>
      <c r="G29" s="42"/>
      <c r="H29" s="42"/>
      <c r="I29" s="42"/>
      <c r="J29" s="42"/>
      <c r="K29" s="42"/>
      <c r="L29" s="124"/>
    </row>
    <row r="30" spans="1:12" s="130" customFormat="1" ht="20.45" customHeight="1">
      <c r="A30" s="3"/>
      <c r="B30" s="1"/>
      <c r="C30" s="639" t="s">
        <v>67</v>
      </c>
      <c r="D30" s="639"/>
      <c r="E30" s="170">
        <f>E6</f>
        <v>0</v>
      </c>
      <c r="F30" s="639" t="s">
        <v>66</v>
      </c>
      <c r="G30" s="639"/>
      <c r="H30" s="639"/>
      <c r="I30" s="639"/>
      <c r="J30" s="639"/>
      <c r="K30" s="639"/>
      <c r="L30" s="124"/>
    </row>
    <row r="31" spans="1:12" s="130" customFormat="1" ht="20.45" customHeight="1">
      <c r="A31" s="3"/>
      <c r="B31" s="1"/>
      <c r="C31" s="640" t="s">
        <v>655</v>
      </c>
      <c r="D31" s="640"/>
      <c r="E31" s="640"/>
      <c r="F31" s="640"/>
      <c r="G31" s="640"/>
      <c r="H31" s="640"/>
      <c r="I31" s="640"/>
      <c r="J31" s="640"/>
      <c r="K31" s="640"/>
      <c r="L31" s="124"/>
    </row>
    <row r="32" spans="1:12" s="130" customFormat="1" ht="20.45" customHeight="1">
      <c r="A32" s="43"/>
      <c r="B32" s="44"/>
      <c r="C32" s="128" t="s">
        <v>65</v>
      </c>
      <c r="D32" s="641" t="str">
        <f>IFERROR(VLOOKUP(K1,تفصيلي!$B$6:$AW$205,23,FALSE),"")</f>
        <v/>
      </c>
      <c r="E32" s="641"/>
      <c r="F32" s="641"/>
      <c r="G32" s="635" t="s">
        <v>56</v>
      </c>
      <c r="H32" s="635"/>
      <c r="I32" s="642" t="str">
        <f>IFERROR(VLOOKUP(K25,تفصيلي!$B$6:$AW$205,25,FALSE),"")</f>
        <v/>
      </c>
      <c r="J32" s="642"/>
      <c r="K32" s="642"/>
      <c r="L32" s="125"/>
    </row>
    <row r="33" spans="1:12" s="130" customFormat="1" ht="20.45" customHeight="1">
      <c r="A33" s="43"/>
      <c r="B33" s="44"/>
      <c r="C33" s="128" t="s">
        <v>1</v>
      </c>
      <c r="D33" s="636" t="str">
        <f>IFERROR(VLOOKUP(K25,تفصيلي!$B$6:$AW$205,24,FALSE),"")</f>
        <v/>
      </c>
      <c r="E33" s="636"/>
      <c r="F33" s="636"/>
      <c r="G33" s="636"/>
      <c r="H33" s="636"/>
      <c r="I33" s="636"/>
      <c r="J33" s="636"/>
      <c r="K33" s="636"/>
      <c r="L33" s="125"/>
    </row>
    <row r="34" spans="1:12" s="130" customFormat="1" ht="20.45" customHeight="1">
      <c r="A34" s="43"/>
      <c r="B34" s="44"/>
      <c r="C34" s="128" t="s">
        <v>645</v>
      </c>
      <c r="D34" s="636" t="str">
        <f>IFERROR(VLOOKUP(K25,تفصيلي!$B$6:$AW$205,28,FALSE),"")</f>
        <v/>
      </c>
      <c r="E34" s="636"/>
      <c r="F34" s="636"/>
      <c r="G34" s="636"/>
      <c r="H34" s="636"/>
      <c r="I34" s="129" t="s">
        <v>2</v>
      </c>
      <c r="J34" s="636" t="str">
        <f>IFERROR(VLOOKUP(K25,تفصيلي!$B$6:$AW$205,27,FALSE),"")</f>
        <v/>
      </c>
      <c r="K34" s="636"/>
      <c r="L34" s="125"/>
    </row>
    <row r="35" spans="1:12" s="130" customFormat="1" ht="20.45" customHeight="1">
      <c r="A35" s="43"/>
      <c r="B35" s="44"/>
      <c r="C35" s="637" t="str">
        <f>"اقر وأتعـــهد بموجب هذا السند بأن   "</f>
        <v xml:space="preserve">اقر وأتعـــهد بموجب هذا السند بأن   </v>
      </c>
      <c r="D35" s="637"/>
      <c r="E35"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38"/>
      <c r="G35" s="638"/>
      <c r="H35" s="638"/>
      <c r="I35" s="638"/>
      <c r="J35" s="638"/>
      <c r="K35" s="638"/>
      <c r="L35" s="125"/>
    </row>
    <row r="36" spans="1:12" s="130" customFormat="1" ht="20.45" customHeight="1">
      <c r="A36" s="43"/>
      <c r="B36" s="44"/>
      <c r="C36" s="131" t="str">
        <f>"  الصعيد للتربية والتنمية  "&amp;" مبلغ "</f>
        <v xml:space="preserve">  الصعيد للتربية والتنمية   مبلغ </v>
      </c>
      <c r="D36" s="632" t="e">
        <f>D12</f>
        <v>#VALUE!</v>
      </c>
      <c r="E36" s="633"/>
      <c r="F36" s="633"/>
      <c r="G36" s="633"/>
      <c r="H36" s="633"/>
      <c r="I36" s="633"/>
      <c r="J36" s="633"/>
      <c r="K36" s="129" t="s">
        <v>68</v>
      </c>
      <c r="L36" s="125"/>
    </row>
    <row r="37" spans="1:12" s="130" customFormat="1" ht="20.45" customHeight="1">
      <c r="A37" s="43"/>
      <c r="B37" s="44"/>
      <c r="C37" s="171" t="str">
        <f>C13</f>
        <v/>
      </c>
      <c r="D37" s="634" t="s">
        <v>172</v>
      </c>
      <c r="E37" s="634"/>
      <c r="F37" s="634"/>
      <c r="G37" s="634"/>
      <c r="H37" s="634"/>
      <c r="I37" s="634"/>
      <c r="J37" s="634"/>
      <c r="K37" s="634"/>
      <c r="L37" s="125"/>
    </row>
    <row r="38" spans="1:12" s="130" customFormat="1" ht="20.45" customHeight="1">
      <c r="A38" s="43"/>
      <c r="B38" s="44"/>
      <c r="C38" s="635" t="s">
        <v>69</v>
      </c>
      <c r="D38" s="635"/>
      <c r="E38" s="635"/>
      <c r="F38" s="635"/>
      <c r="G38" s="635"/>
      <c r="H38" s="635"/>
      <c r="I38" s="635"/>
      <c r="J38" s="635"/>
      <c r="K38" s="635"/>
      <c r="L38" s="125"/>
    </row>
    <row r="39" spans="1:12" s="130" customFormat="1" ht="20.45" customHeight="1">
      <c r="A39" s="43"/>
      <c r="B39" s="44"/>
      <c r="C39" s="635" t="s">
        <v>70</v>
      </c>
      <c r="D39" s="635"/>
      <c r="E39" s="635"/>
      <c r="F39" s="635"/>
      <c r="G39" s="635"/>
      <c r="H39" s="635"/>
      <c r="I39" s="635"/>
      <c r="J39" s="635"/>
      <c r="K39" s="635"/>
      <c r="L39" s="125"/>
    </row>
    <row r="40" spans="1:12" s="130" customFormat="1" ht="20.45" customHeight="1">
      <c r="A40" s="43"/>
      <c r="B40" s="44"/>
      <c r="C40" s="635" t="s">
        <v>71</v>
      </c>
      <c r="D40" s="635"/>
      <c r="E40" s="635"/>
      <c r="F40" s="635"/>
      <c r="G40" s="635"/>
      <c r="H40" s="635"/>
      <c r="I40" s="635"/>
      <c r="J40" s="635"/>
      <c r="K40" s="635"/>
      <c r="L40" s="125"/>
    </row>
    <row r="41" spans="1:12" ht="26.45" customHeight="1">
      <c r="A41" s="43"/>
      <c r="B41" s="44"/>
      <c r="C41" s="45"/>
      <c r="D41" s="45"/>
      <c r="E41" s="45"/>
      <c r="F41" s="45"/>
      <c r="G41" s="630" t="s">
        <v>3</v>
      </c>
      <c r="H41" s="630"/>
      <c r="I41" s="630"/>
      <c r="J41" s="630"/>
      <c r="K41" s="630"/>
      <c r="L41" s="125"/>
    </row>
    <row r="42" spans="1:12" ht="27" customHeight="1">
      <c r="A42" s="43"/>
      <c r="B42" s="44"/>
      <c r="C42" s="45"/>
      <c r="D42" s="45"/>
      <c r="E42" s="45"/>
      <c r="F42" s="631" t="s">
        <v>4</v>
      </c>
      <c r="G42" s="631"/>
      <c r="H42" s="631"/>
      <c r="I42" s="631"/>
      <c r="J42" s="631"/>
      <c r="K42" s="631"/>
      <c r="L42" s="125"/>
    </row>
    <row r="43" spans="1:12" ht="27" customHeight="1">
      <c r="A43" s="43"/>
      <c r="B43" s="44"/>
      <c r="C43" s="45"/>
      <c r="D43" s="45"/>
      <c r="E43" s="45"/>
      <c r="F43" s="631" t="s">
        <v>5</v>
      </c>
      <c r="G43" s="631"/>
      <c r="H43" s="631"/>
      <c r="I43" s="631"/>
      <c r="J43" s="631"/>
      <c r="K43" s="631"/>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0</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43" t="s">
        <v>64</v>
      </c>
      <c r="D52" s="643"/>
      <c r="E52" s="643"/>
      <c r="F52" s="643"/>
      <c r="G52" s="643"/>
      <c r="H52" s="643"/>
      <c r="I52" s="643"/>
      <c r="J52" s="643"/>
      <c r="K52" s="643"/>
      <c r="L52" s="124"/>
    </row>
    <row r="53" spans="1:12" ht="20.25">
      <c r="A53" s="3"/>
      <c r="B53" s="1"/>
      <c r="C53" s="42"/>
      <c r="D53" s="42"/>
      <c r="E53" s="42"/>
      <c r="F53" s="42"/>
      <c r="G53" s="42"/>
      <c r="H53" s="42"/>
      <c r="I53" s="42"/>
      <c r="J53" s="42"/>
      <c r="K53" s="42"/>
      <c r="L53" s="124"/>
    </row>
    <row r="54" spans="1:12" s="130" customFormat="1" ht="20.45" customHeight="1">
      <c r="A54" s="3"/>
      <c r="B54" s="1"/>
      <c r="C54" s="639" t="s">
        <v>67</v>
      </c>
      <c r="D54" s="639"/>
      <c r="E54" s="170">
        <f>E30</f>
        <v>0</v>
      </c>
      <c r="F54" s="639" t="s">
        <v>66</v>
      </c>
      <c r="G54" s="639"/>
      <c r="H54" s="639"/>
      <c r="I54" s="639"/>
      <c r="J54" s="639"/>
      <c r="K54" s="639"/>
      <c r="L54" s="124"/>
    </row>
    <row r="55" spans="1:12" s="130" customFormat="1" ht="20.45" customHeight="1">
      <c r="A55" s="3"/>
      <c r="B55" s="1"/>
      <c r="C55" s="640" t="s">
        <v>655</v>
      </c>
      <c r="D55" s="640"/>
      <c r="E55" s="640"/>
      <c r="F55" s="640"/>
      <c r="G55" s="640"/>
      <c r="H55" s="640"/>
      <c r="I55" s="640"/>
      <c r="J55" s="640"/>
      <c r="K55" s="640"/>
      <c r="L55" s="124"/>
    </row>
    <row r="56" spans="1:12" s="130" customFormat="1" ht="20.45" customHeight="1">
      <c r="A56" s="43"/>
      <c r="B56" s="44"/>
      <c r="C56" s="128" t="s">
        <v>65</v>
      </c>
      <c r="D56" s="641" t="str">
        <f>IFERROR(VLOOKUP(K25,تفصيلي!$B$6:$AW$205,29,FALSE),"")</f>
        <v/>
      </c>
      <c r="E56" s="641"/>
      <c r="F56" s="641"/>
      <c r="G56" s="635" t="s">
        <v>56</v>
      </c>
      <c r="H56" s="635"/>
      <c r="I56" s="642" t="str">
        <f>IFERROR(VLOOKUP(K49,تفصيلي!$B$6:$AW$205,31,FALSE),"")</f>
        <v/>
      </c>
      <c r="J56" s="642"/>
      <c r="K56" s="642"/>
      <c r="L56" s="125"/>
    </row>
    <row r="57" spans="1:12" s="130" customFormat="1" ht="20.45" customHeight="1">
      <c r="A57" s="43"/>
      <c r="B57" s="44"/>
      <c r="C57" s="128" t="s">
        <v>1</v>
      </c>
      <c r="D57" s="636" t="str">
        <f>IFERROR(VLOOKUP(K49,تفصيلي!$B$6:$AW$205,30,FALSE),"")</f>
        <v/>
      </c>
      <c r="E57" s="636"/>
      <c r="F57" s="636"/>
      <c r="G57" s="636"/>
      <c r="H57" s="636"/>
      <c r="I57" s="636"/>
      <c r="J57" s="636"/>
      <c r="K57" s="636"/>
      <c r="L57" s="125"/>
    </row>
    <row r="58" spans="1:12" s="130" customFormat="1" ht="20.45" customHeight="1">
      <c r="A58" s="43"/>
      <c r="B58" s="44"/>
      <c r="C58" s="128" t="s">
        <v>645</v>
      </c>
      <c r="D58" s="636" t="str">
        <f>IFERROR(VLOOKUP(K49,تفصيلي!$B$6:$AW$205,34,FALSE),"")</f>
        <v/>
      </c>
      <c r="E58" s="636"/>
      <c r="F58" s="636"/>
      <c r="G58" s="636"/>
      <c r="H58" s="636"/>
      <c r="I58" s="129" t="s">
        <v>2</v>
      </c>
      <c r="J58" s="636" t="str">
        <f>IFERROR(VLOOKUP(K49,تفصيلي!$B$6:$AW$205,33,FALSE),"")</f>
        <v/>
      </c>
      <c r="K58" s="636"/>
      <c r="L58" s="125"/>
    </row>
    <row r="59" spans="1:12" s="130" customFormat="1" ht="20.45" customHeight="1">
      <c r="A59" s="43"/>
      <c r="B59" s="44"/>
      <c r="C59" s="637" t="str">
        <f>"اقر وأتعـــهد بموجب هذا السند بأن   "</f>
        <v xml:space="preserve">اقر وأتعـــهد بموجب هذا السند بأن   </v>
      </c>
      <c r="D59" s="637"/>
      <c r="E59"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38"/>
      <c r="G59" s="638"/>
      <c r="H59" s="638"/>
      <c r="I59" s="638"/>
      <c r="J59" s="638"/>
      <c r="K59" s="638"/>
      <c r="L59" s="125"/>
    </row>
    <row r="60" spans="1:12" s="130" customFormat="1" ht="20.45" customHeight="1">
      <c r="A60" s="43"/>
      <c r="B60" s="44"/>
      <c r="C60" s="131" t="str">
        <f>"  الصعيد للتربية والتنمية  "&amp;" مبلغ "</f>
        <v xml:space="preserve">  الصعيد للتربية والتنمية   مبلغ </v>
      </c>
      <c r="D60" s="632" t="e">
        <f>D36</f>
        <v>#VALUE!</v>
      </c>
      <c r="E60" s="633"/>
      <c r="F60" s="633"/>
      <c r="G60" s="633"/>
      <c r="H60" s="633"/>
      <c r="I60" s="633"/>
      <c r="J60" s="633"/>
      <c r="K60" s="129" t="s">
        <v>68</v>
      </c>
      <c r="L60" s="125"/>
    </row>
    <row r="61" spans="1:12" s="130" customFormat="1" ht="20.45" customHeight="1">
      <c r="A61" s="43"/>
      <c r="B61" s="44"/>
      <c r="C61" s="171" t="str">
        <f>C37</f>
        <v/>
      </c>
      <c r="D61" s="634" t="s">
        <v>172</v>
      </c>
      <c r="E61" s="634"/>
      <c r="F61" s="634"/>
      <c r="G61" s="634"/>
      <c r="H61" s="634"/>
      <c r="I61" s="634"/>
      <c r="J61" s="634"/>
      <c r="K61" s="634"/>
      <c r="L61" s="125"/>
    </row>
    <row r="62" spans="1:12" s="130" customFormat="1" ht="20.45" customHeight="1">
      <c r="A62" s="43"/>
      <c r="B62" s="44"/>
      <c r="C62" s="635" t="s">
        <v>69</v>
      </c>
      <c r="D62" s="635"/>
      <c r="E62" s="635"/>
      <c r="F62" s="635"/>
      <c r="G62" s="635"/>
      <c r="H62" s="635"/>
      <c r="I62" s="635"/>
      <c r="J62" s="635"/>
      <c r="K62" s="635"/>
      <c r="L62" s="125"/>
    </row>
    <row r="63" spans="1:12" s="130" customFormat="1" ht="20.45" customHeight="1">
      <c r="A63" s="43"/>
      <c r="B63" s="44"/>
      <c r="C63" s="635" t="s">
        <v>70</v>
      </c>
      <c r="D63" s="635"/>
      <c r="E63" s="635"/>
      <c r="F63" s="635"/>
      <c r="G63" s="635"/>
      <c r="H63" s="635"/>
      <c r="I63" s="635"/>
      <c r="J63" s="635"/>
      <c r="K63" s="635"/>
      <c r="L63" s="125"/>
    </row>
    <row r="64" spans="1:12" s="130" customFormat="1" ht="20.45" customHeight="1">
      <c r="A64" s="43"/>
      <c r="B64" s="44"/>
      <c r="C64" s="635" t="s">
        <v>71</v>
      </c>
      <c r="D64" s="635"/>
      <c r="E64" s="635"/>
      <c r="F64" s="635"/>
      <c r="G64" s="635"/>
      <c r="H64" s="635"/>
      <c r="I64" s="635"/>
      <c r="J64" s="635"/>
      <c r="K64" s="635"/>
      <c r="L64" s="125"/>
    </row>
    <row r="65" spans="1:12" ht="26.45" customHeight="1">
      <c r="A65" s="43"/>
      <c r="B65" s="44"/>
      <c r="C65" s="45"/>
      <c r="D65" s="45"/>
      <c r="E65" s="45"/>
      <c r="F65" s="45"/>
      <c r="G65" s="630" t="s">
        <v>3</v>
      </c>
      <c r="H65" s="630"/>
      <c r="I65" s="630"/>
      <c r="J65" s="630"/>
      <c r="K65" s="630"/>
      <c r="L65" s="125"/>
    </row>
    <row r="66" spans="1:12" ht="27" customHeight="1">
      <c r="A66" s="43"/>
      <c r="B66" s="44"/>
      <c r="C66" s="45"/>
      <c r="D66" s="45"/>
      <c r="E66" s="45"/>
      <c r="F66" s="631" t="s">
        <v>4</v>
      </c>
      <c r="G66" s="631"/>
      <c r="H66" s="631"/>
      <c r="I66" s="631"/>
      <c r="J66" s="631"/>
      <c r="K66" s="631"/>
      <c r="L66" s="125"/>
    </row>
    <row r="67" spans="1:12" ht="27" customHeight="1">
      <c r="A67" s="43"/>
      <c r="B67" s="44"/>
      <c r="C67" s="45"/>
      <c r="D67" s="45"/>
      <c r="E67" s="45"/>
      <c r="F67" s="631" t="s">
        <v>5</v>
      </c>
      <c r="G67" s="631"/>
      <c r="H67" s="631"/>
      <c r="I67" s="631"/>
      <c r="J67" s="631"/>
      <c r="K67" s="631"/>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0</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43" t="s">
        <v>64</v>
      </c>
      <c r="D77" s="643"/>
      <c r="E77" s="643"/>
      <c r="F77" s="643"/>
      <c r="G77" s="643"/>
      <c r="H77" s="643"/>
      <c r="I77" s="643"/>
      <c r="J77" s="643"/>
      <c r="K77" s="643"/>
      <c r="L77" s="124"/>
    </row>
    <row r="78" spans="1:12" ht="20.25">
      <c r="A78" s="3"/>
      <c r="B78" s="1"/>
      <c r="C78" s="42"/>
      <c r="D78" s="42"/>
      <c r="E78" s="42"/>
      <c r="F78" s="42"/>
      <c r="G78" s="42"/>
      <c r="H78" s="42"/>
      <c r="I78" s="42"/>
      <c r="J78" s="42"/>
      <c r="K78" s="42"/>
      <c r="L78" s="124"/>
    </row>
    <row r="79" spans="1:12" s="130" customFormat="1" ht="20.45" customHeight="1">
      <c r="A79" s="3"/>
      <c r="B79" s="1"/>
      <c r="C79" s="639" t="s">
        <v>67</v>
      </c>
      <c r="D79" s="639"/>
      <c r="E79" s="170">
        <f>E6</f>
        <v>0</v>
      </c>
      <c r="F79" s="639" t="s">
        <v>66</v>
      </c>
      <c r="G79" s="639"/>
      <c r="H79" s="639"/>
      <c r="I79" s="639"/>
      <c r="J79" s="639"/>
      <c r="K79" s="639"/>
      <c r="L79" s="124"/>
    </row>
    <row r="80" spans="1:12" s="130" customFormat="1" ht="20.45" customHeight="1">
      <c r="A80" s="3"/>
      <c r="B80" s="1"/>
      <c r="C80" s="640" t="s">
        <v>655</v>
      </c>
      <c r="D80" s="640"/>
      <c r="E80" s="640"/>
      <c r="F80" s="640"/>
      <c r="G80" s="640"/>
      <c r="H80" s="640"/>
      <c r="I80" s="640"/>
      <c r="J80" s="640"/>
      <c r="K80" s="640"/>
      <c r="L80" s="124"/>
    </row>
    <row r="81" spans="1:12" s="130" customFormat="1" ht="20.45" customHeight="1">
      <c r="A81" s="43"/>
      <c r="B81" s="44"/>
      <c r="C81" s="128" t="s">
        <v>65</v>
      </c>
      <c r="D81" s="641" t="str">
        <f>IFERROR(VLOOKUP(K74,تفصيلي!$B$6:$AW$205,35,FALSE),"")</f>
        <v/>
      </c>
      <c r="E81" s="641"/>
      <c r="F81" s="641"/>
      <c r="G81" s="635" t="s">
        <v>56</v>
      </c>
      <c r="H81" s="635"/>
      <c r="I81" s="642" t="str">
        <f>IFERROR(VLOOKUP(K74,تفصيلي!$B$6:$AW$205,37,FALSE),"")</f>
        <v/>
      </c>
      <c r="J81" s="642"/>
      <c r="K81" s="642"/>
      <c r="L81" s="125"/>
    </row>
    <row r="82" spans="1:12" s="130" customFormat="1" ht="20.45" customHeight="1">
      <c r="A82" s="43"/>
      <c r="B82" s="44"/>
      <c r="C82" s="128" t="s">
        <v>1</v>
      </c>
      <c r="D82" s="636" t="str">
        <f>IFERROR(VLOOKUP(K74,تفصيلي!$B$6:$AW$205,36,FALSE),"")</f>
        <v/>
      </c>
      <c r="E82" s="636"/>
      <c r="F82" s="636"/>
      <c r="G82" s="636"/>
      <c r="H82" s="636"/>
      <c r="I82" s="636"/>
      <c r="J82" s="636"/>
      <c r="K82" s="636"/>
      <c r="L82" s="125"/>
    </row>
    <row r="83" spans="1:12" s="130" customFormat="1" ht="20.45" customHeight="1">
      <c r="A83" s="43"/>
      <c r="B83" s="44"/>
      <c r="C83" s="128" t="s">
        <v>645</v>
      </c>
      <c r="D83" s="636" t="str">
        <f>IFERROR(VLOOKUP(K74,تفصيلي!$B$6:$AW$205,40,FALSE),"")</f>
        <v/>
      </c>
      <c r="E83" s="636"/>
      <c r="F83" s="636"/>
      <c r="G83" s="636"/>
      <c r="H83" s="636"/>
      <c r="I83" s="129" t="s">
        <v>2</v>
      </c>
      <c r="J83" s="636" t="str">
        <f>IFERROR(VLOOKUP(K74,تفصيلي!$B$6:$AW$205,39,FALSE),"")</f>
        <v/>
      </c>
      <c r="K83" s="636"/>
      <c r="L83" s="125"/>
    </row>
    <row r="84" spans="1:12" s="130" customFormat="1" ht="20.45" customHeight="1">
      <c r="A84" s="43"/>
      <c r="B84" s="44"/>
      <c r="C84" s="637" t="str">
        <f>"اقر وأتعـــهد بموجب هذا السند بأن   "</f>
        <v xml:space="preserve">اقر وأتعـــهد بموجب هذا السند بأن   </v>
      </c>
      <c r="D84" s="637"/>
      <c r="E84"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38"/>
      <c r="G84" s="638"/>
      <c r="H84" s="638"/>
      <c r="I84" s="638"/>
      <c r="J84" s="638"/>
      <c r="K84" s="638"/>
      <c r="L84" s="125"/>
    </row>
    <row r="85" spans="1:12" s="130" customFormat="1" ht="20.45" customHeight="1">
      <c r="A85" s="43"/>
      <c r="B85" s="44"/>
      <c r="C85" s="131" t="str">
        <f>"  الصعيد للتربية والتنمية  "&amp;" مبلغ "</f>
        <v xml:space="preserve">  الصعيد للتربية والتنمية   مبلغ </v>
      </c>
      <c r="D85" s="632" t="e">
        <f>D12</f>
        <v>#VALUE!</v>
      </c>
      <c r="E85" s="633"/>
      <c r="F85" s="633"/>
      <c r="G85" s="633"/>
      <c r="H85" s="633"/>
      <c r="I85" s="633"/>
      <c r="J85" s="633"/>
      <c r="K85" s="129" t="s">
        <v>68</v>
      </c>
      <c r="L85" s="125"/>
    </row>
    <row r="86" spans="1:12" s="130" customFormat="1" ht="20.45" customHeight="1">
      <c r="A86" s="43"/>
      <c r="B86" s="44"/>
      <c r="C86" s="171" t="str">
        <f>C13</f>
        <v/>
      </c>
      <c r="D86" s="634" t="s">
        <v>172</v>
      </c>
      <c r="E86" s="634"/>
      <c r="F86" s="634"/>
      <c r="G86" s="634"/>
      <c r="H86" s="634"/>
      <c r="I86" s="634"/>
      <c r="J86" s="634"/>
      <c r="K86" s="634"/>
      <c r="L86" s="125"/>
    </row>
    <row r="87" spans="1:12" s="130" customFormat="1" ht="20.45" customHeight="1">
      <c r="A87" s="43"/>
      <c r="B87" s="44"/>
      <c r="C87" s="635" t="s">
        <v>69</v>
      </c>
      <c r="D87" s="635"/>
      <c r="E87" s="635"/>
      <c r="F87" s="635"/>
      <c r="G87" s="635"/>
      <c r="H87" s="635"/>
      <c r="I87" s="635"/>
      <c r="J87" s="635"/>
      <c r="K87" s="635"/>
      <c r="L87" s="125"/>
    </row>
    <row r="88" spans="1:12" s="130" customFormat="1" ht="20.45" customHeight="1">
      <c r="A88" s="43"/>
      <c r="B88" s="44"/>
      <c r="C88" s="635" t="s">
        <v>70</v>
      </c>
      <c r="D88" s="635"/>
      <c r="E88" s="635"/>
      <c r="F88" s="635"/>
      <c r="G88" s="635"/>
      <c r="H88" s="635"/>
      <c r="I88" s="635"/>
      <c r="J88" s="635"/>
      <c r="K88" s="635"/>
      <c r="L88" s="125"/>
    </row>
    <row r="89" spans="1:12" s="130" customFormat="1" ht="20.45" customHeight="1">
      <c r="A89" s="43"/>
      <c r="B89" s="44"/>
      <c r="C89" s="635" t="s">
        <v>71</v>
      </c>
      <c r="D89" s="635"/>
      <c r="E89" s="635"/>
      <c r="F89" s="635"/>
      <c r="G89" s="635"/>
      <c r="H89" s="635"/>
      <c r="I89" s="635"/>
      <c r="J89" s="635"/>
      <c r="K89" s="635"/>
      <c r="L89" s="125"/>
    </row>
    <row r="90" spans="1:12" ht="26.45" customHeight="1">
      <c r="A90" s="43"/>
      <c r="B90" s="44"/>
      <c r="C90" s="45"/>
      <c r="D90" s="45"/>
      <c r="E90" s="45"/>
      <c r="F90" s="45"/>
      <c r="G90" s="630" t="s">
        <v>3</v>
      </c>
      <c r="H90" s="630"/>
      <c r="I90" s="630"/>
      <c r="J90" s="630"/>
      <c r="K90" s="630"/>
      <c r="L90" s="125"/>
    </row>
    <row r="91" spans="1:12" ht="27" customHeight="1">
      <c r="A91" s="43"/>
      <c r="B91" s="44"/>
      <c r="C91" s="45"/>
      <c r="D91" s="45"/>
      <c r="E91" s="45"/>
      <c r="F91" s="631" t="s">
        <v>4</v>
      </c>
      <c r="G91" s="631"/>
      <c r="H91" s="631"/>
      <c r="I91" s="631"/>
      <c r="J91" s="631"/>
      <c r="K91" s="631"/>
      <c r="L91" s="125"/>
    </row>
    <row r="92" spans="1:12" ht="27" customHeight="1">
      <c r="A92" s="43"/>
      <c r="B92" s="44"/>
      <c r="C92" s="45"/>
      <c r="D92" s="45"/>
      <c r="E92" s="45"/>
      <c r="F92" s="631" t="s">
        <v>5</v>
      </c>
      <c r="G92" s="631"/>
      <c r="H92" s="631"/>
      <c r="I92" s="631"/>
      <c r="J92" s="631"/>
      <c r="K92" s="631"/>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0</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48" t="s">
        <v>173</v>
      </c>
      <c r="D4" s="648"/>
      <c r="E4" s="648"/>
      <c r="F4" s="648"/>
      <c r="G4" s="648"/>
      <c r="H4" s="648"/>
      <c r="I4" s="648"/>
      <c r="J4" s="648"/>
      <c r="K4" s="648"/>
      <c r="L4" s="124"/>
      <c r="M4" s="467"/>
    </row>
    <row r="5" spans="1:13" ht="20.25">
      <c r="A5" s="3"/>
      <c r="B5" s="1"/>
      <c r="C5" s="468"/>
      <c r="D5" s="468"/>
      <c r="E5" s="468"/>
      <c r="F5" s="468"/>
      <c r="G5" s="468"/>
      <c r="H5" s="468"/>
      <c r="I5" s="468"/>
      <c r="J5" s="468"/>
      <c r="K5" s="468"/>
      <c r="L5" s="124"/>
      <c r="M5" s="467"/>
    </row>
    <row r="6" spans="1:13" s="130" customFormat="1" ht="20.45" customHeight="1">
      <c r="A6" s="3"/>
      <c r="B6" s="1"/>
      <c r="C6" s="640" t="e">
        <f>+" أقر أنا الموقع أدناه / "&amp;عقد!$C$9</f>
        <v>#N/A</v>
      </c>
      <c r="D6" s="640"/>
      <c r="E6" s="640"/>
      <c r="F6" s="640"/>
      <c r="G6" s="640"/>
      <c r="H6" s="132" t="s">
        <v>721</v>
      </c>
      <c r="I6" s="132"/>
      <c r="J6" s="132"/>
      <c r="K6" s="132"/>
      <c r="L6" s="124"/>
      <c r="M6" s="469"/>
    </row>
    <row r="7" spans="1:13" s="130" customFormat="1" ht="170.45" customHeight="1">
      <c r="A7" s="3"/>
      <c r="B7" s="1"/>
      <c r="C7" s="649" t="s">
        <v>722</v>
      </c>
      <c r="D7" s="640"/>
      <c r="E7" s="640"/>
      <c r="F7" s="640"/>
      <c r="G7" s="640"/>
      <c r="H7" s="640"/>
      <c r="I7" s="640"/>
      <c r="J7" s="640"/>
      <c r="K7" s="640"/>
      <c r="L7" s="124"/>
      <c r="M7" s="469"/>
    </row>
    <row r="8" spans="1:13" ht="26.45" customHeight="1">
      <c r="A8" s="43"/>
      <c r="B8" s="44"/>
      <c r="C8" s="138" t="s">
        <v>204</v>
      </c>
      <c r="D8" s="644">
        <f>عقد!$E$7</f>
        <v>0</v>
      </c>
      <c r="E8" s="644"/>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47" t="s">
        <v>174</v>
      </c>
      <c r="D15" s="648"/>
      <c r="E15" s="648"/>
      <c r="F15" s="648"/>
      <c r="G15" s="648"/>
      <c r="H15" s="648"/>
      <c r="I15" s="648"/>
      <c r="J15" s="648"/>
      <c r="K15" s="648"/>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40" t="e">
        <f>+" أقر أنا الموقع أدناه / "&amp;عقد!$C$9</f>
        <v>#N/A</v>
      </c>
      <c r="D17" s="640"/>
      <c r="E17" s="640"/>
      <c r="F17" s="640"/>
      <c r="G17" s="651" t="s">
        <v>56</v>
      </c>
      <c r="H17" s="651"/>
      <c r="I17" s="650" t="e">
        <f>عقد!$C$10</f>
        <v>#N/A</v>
      </c>
      <c r="J17" s="650"/>
      <c r="K17" s="650"/>
      <c r="L17" s="124"/>
      <c r="M17" s="469"/>
    </row>
    <row r="18" spans="1:13" s="130" customFormat="1" ht="20.45" customHeight="1">
      <c r="A18" s="3"/>
      <c r="B18" s="1"/>
      <c r="C18" s="639" t="s">
        <v>206</v>
      </c>
      <c r="D18" s="639"/>
      <c r="E18" s="639"/>
      <c r="F18" s="652" t="str">
        <f>عقد!$L$14</f>
        <v/>
      </c>
      <c r="G18" s="652"/>
      <c r="H18" s="652"/>
      <c r="I18" s="132"/>
      <c r="J18" s="132"/>
      <c r="K18" s="132"/>
      <c r="L18" s="124"/>
      <c r="M18" s="469"/>
    </row>
    <row r="19" spans="1:13" s="130" customFormat="1" ht="186" customHeight="1">
      <c r="A19" s="3"/>
      <c r="B19" s="1"/>
      <c r="C19" s="645" t="s">
        <v>175</v>
      </c>
      <c r="D19" s="646"/>
      <c r="E19" s="646"/>
      <c r="F19" s="646"/>
      <c r="G19" s="646"/>
      <c r="H19" s="646"/>
      <c r="I19" s="646"/>
      <c r="J19" s="646"/>
      <c r="K19" s="646"/>
      <c r="L19" s="124"/>
      <c r="M19" s="469"/>
    </row>
    <row r="20" spans="1:13" ht="26.45" customHeight="1">
      <c r="A20" s="43"/>
      <c r="B20" s="44"/>
      <c r="C20" s="138" t="s">
        <v>204</v>
      </c>
      <c r="D20" s="644">
        <f>عقد!E7</f>
        <v>0</v>
      </c>
      <c r="E20" s="644"/>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0</v>
      </c>
    </row>
    <row r="11" spans="2:17" ht="50.25">
      <c r="C11" s="113"/>
      <c r="D11" s="113"/>
      <c r="E11" s="113"/>
      <c r="F11" s="113"/>
      <c r="G11" s="113"/>
      <c r="H11" s="113"/>
      <c r="I11" s="113"/>
      <c r="J11" s="657" t="s">
        <v>120</v>
      </c>
      <c r="K11" s="65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58" t="e">
        <f>عقد!C9</f>
        <v>#N/A</v>
      </c>
      <c r="E13" s="658"/>
      <c r="F13" s="658"/>
      <c r="G13" s="658"/>
      <c r="H13" s="658"/>
      <c r="I13" s="658"/>
      <c r="J13" s="658"/>
      <c r="K13" s="658"/>
      <c r="L13" s="504"/>
      <c r="M13" s="504"/>
      <c r="N13" s="505" t="s">
        <v>121</v>
      </c>
      <c r="O13" s="505"/>
      <c r="P13" s="505" t="s">
        <v>122</v>
      </c>
      <c r="Q13" s="506"/>
    </row>
    <row r="14" spans="2:17" ht="49.5">
      <c r="B14" s="471"/>
      <c r="C14" s="504" t="s">
        <v>123</v>
      </c>
      <c r="D14" s="504"/>
      <c r="E14" s="504"/>
      <c r="F14" s="504"/>
      <c r="G14" s="504"/>
      <c r="H14" s="659" t="e">
        <f>عقد!C10</f>
        <v>#N/A</v>
      </c>
      <c r="I14" s="659"/>
      <c r="J14" s="659"/>
      <c r="K14" s="659"/>
      <c r="L14" s="659"/>
      <c r="M14" s="659"/>
      <c r="N14" s="659"/>
      <c r="O14" s="659"/>
      <c r="P14" s="660"/>
      <c r="Q14" s="506"/>
    </row>
    <row r="15" spans="2:17" ht="70.900000000000006" customHeight="1">
      <c r="B15" s="471"/>
      <c r="C15" s="508" t="s">
        <v>648</v>
      </c>
      <c r="D15" s="661" t="e">
        <f>عقد!C11</f>
        <v>#N/A</v>
      </c>
      <c r="E15" s="661"/>
      <c r="F15" s="661"/>
      <c r="G15" s="661"/>
      <c r="H15" s="661"/>
      <c r="I15" s="661"/>
      <c r="J15" s="661"/>
      <c r="K15" s="661"/>
      <c r="L15" s="661"/>
      <c r="M15" s="661"/>
      <c r="N15" s="661"/>
      <c r="O15" s="661"/>
      <c r="P15" s="661"/>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53">
        <f>عقد!E7</f>
        <v>0</v>
      </c>
      <c r="E18" s="653"/>
      <c r="F18" s="653"/>
      <c r="G18" s="509"/>
      <c r="H18" s="509"/>
      <c r="I18" s="509"/>
      <c r="J18" s="509"/>
      <c r="K18" s="509"/>
      <c r="L18" s="507"/>
      <c r="M18" s="507"/>
      <c r="N18" s="507"/>
      <c r="O18" s="507"/>
      <c r="P18" s="507"/>
      <c r="Q18" s="507"/>
    </row>
    <row r="19" spans="2:23" ht="34.5" customHeight="1">
      <c r="B19" s="471"/>
      <c r="C19" s="654" t="s">
        <v>126</v>
      </c>
      <c r="D19" s="654"/>
      <c r="E19" s="654"/>
      <c r="F19" s="654"/>
      <c r="G19" s="654"/>
      <c r="H19" s="654"/>
      <c r="I19" s="654"/>
      <c r="J19" s="654"/>
      <c r="K19" s="654"/>
      <c r="L19" s="654"/>
      <c r="M19" s="654"/>
      <c r="N19" s="654"/>
      <c r="O19" s="654"/>
      <c r="P19" s="654"/>
      <c r="Q19" s="654"/>
    </row>
    <row r="20" spans="2:23" ht="34.5" customHeight="1">
      <c r="B20" s="471"/>
      <c r="C20" s="654"/>
      <c r="D20" s="654"/>
      <c r="E20" s="654"/>
      <c r="F20" s="654"/>
      <c r="G20" s="654"/>
      <c r="H20" s="654"/>
      <c r="I20" s="654"/>
      <c r="J20" s="654"/>
      <c r="K20" s="654"/>
      <c r="L20" s="654"/>
      <c r="M20" s="654"/>
      <c r="N20" s="654"/>
      <c r="O20" s="654"/>
      <c r="P20" s="654"/>
      <c r="Q20" s="654"/>
    </row>
    <row r="21" spans="2:23" ht="111" customHeight="1">
      <c r="B21" s="471"/>
      <c r="C21" s="654"/>
      <c r="D21" s="654"/>
      <c r="E21" s="654"/>
      <c r="F21" s="654"/>
      <c r="G21" s="654"/>
      <c r="H21" s="654"/>
      <c r="I21" s="654"/>
      <c r="J21" s="654"/>
      <c r="K21" s="654"/>
      <c r="L21" s="654"/>
      <c r="M21" s="654"/>
      <c r="N21" s="654"/>
      <c r="O21" s="654"/>
      <c r="P21" s="654"/>
      <c r="Q21" s="654"/>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55" t="s">
        <v>132</v>
      </c>
      <c r="C31" s="655"/>
      <c r="D31" s="655"/>
      <c r="E31" s="655"/>
      <c r="F31" s="655"/>
      <c r="G31" s="655"/>
      <c r="H31" s="655"/>
      <c r="I31" s="655"/>
      <c r="J31" s="655"/>
      <c r="K31" s="655"/>
      <c r="L31" s="655"/>
      <c r="M31" s="655"/>
      <c r="N31" s="655"/>
      <c r="O31" s="655"/>
      <c r="P31" s="655"/>
      <c r="Q31" s="655"/>
    </row>
    <row r="32" spans="2:23" ht="20.25" customHeight="1">
      <c r="B32" s="655"/>
      <c r="C32" s="655"/>
      <c r="D32" s="655"/>
      <c r="E32" s="655"/>
      <c r="F32" s="655"/>
      <c r="G32" s="655"/>
      <c r="H32" s="655"/>
      <c r="I32" s="655"/>
      <c r="J32" s="655"/>
      <c r="K32" s="655"/>
      <c r="L32" s="655"/>
      <c r="M32" s="655"/>
      <c r="N32" s="655"/>
      <c r="O32" s="655"/>
      <c r="P32" s="655"/>
      <c r="Q32" s="655"/>
    </row>
    <row r="33" spans="2:17" ht="20.25" customHeight="1">
      <c r="B33" s="655"/>
      <c r="C33" s="655"/>
      <c r="D33" s="655"/>
      <c r="E33" s="655"/>
      <c r="F33" s="655"/>
      <c r="G33" s="655"/>
      <c r="H33" s="655"/>
      <c r="I33" s="655"/>
      <c r="J33" s="655"/>
      <c r="K33" s="655"/>
      <c r="L33" s="655"/>
      <c r="M33" s="655"/>
      <c r="N33" s="655"/>
      <c r="O33" s="655"/>
      <c r="P33" s="655"/>
      <c r="Q33" s="655"/>
    </row>
    <row r="34" spans="2:17" ht="20.25" customHeight="1">
      <c r="B34" s="655"/>
      <c r="C34" s="655"/>
      <c r="D34" s="655"/>
      <c r="E34" s="655"/>
      <c r="F34" s="655"/>
      <c r="G34" s="655"/>
      <c r="H34" s="655"/>
      <c r="I34" s="655"/>
      <c r="J34" s="655"/>
      <c r="K34" s="655"/>
      <c r="L34" s="655"/>
      <c r="M34" s="655"/>
      <c r="N34" s="655"/>
      <c r="O34" s="655"/>
      <c r="P34" s="655"/>
      <c r="Q34" s="655"/>
    </row>
    <row r="35" spans="2:17" ht="20.25" customHeight="1">
      <c r="B35" s="655"/>
      <c r="C35" s="655"/>
      <c r="D35" s="655"/>
      <c r="E35" s="655"/>
      <c r="F35" s="655"/>
      <c r="G35" s="655"/>
      <c r="H35" s="655"/>
      <c r="I35" s="655"/>
      <c r="J35" s="655"/>
      <c r="K35" s="655"/>
      <c r="L35" s="655"/>
      <c r="M35" s="655"/>
      <c r="N35" s="655"/>
      <c r="O35" s="655"/>
      <c r="P35" s="655"/>
      <c r="Q35" s="655"/>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56">
        <f>D18</f>
        <v>0</v>
      </c>
      <c r="E46" s="656"/>
      <c r="F46" s="656"/>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00" t="s">
        <v>207</v>
      </c>
      <c r="C4" s="701"/>
      <c r="D4" s="701"/>
      <c r="E4" s="701"/>
      <c r="F4" s="671"/>
    </row>
    <row r="5" spans="2:6" ht="19.5" thickBot="1">
      <c r="B5" s="702" t="s">
        <v>78</v>
      </c>
      <c r="C5" s="703"/>
      <c r="D5" s="703"/>
      <c r="E5" s="703"/>
      <c r="F5" s="672"/>
    </row>
    <row r="6" spans="2:6" ht="15" customHeight="1" thickBot="1">
      <c r="B6" s="92" t="s">
        <v>79</v>
      </c>
      <c r="C6" s="704" t="s">
        <v>210</v>
      </c>
      <c r="D6" s="705"/>
      <c r="E6" s="705"/>
      <c r="F6" s="706"/>
    </row>
    <row r="7" spans="2:6" ht="15" customHeight="1" thickBot="1">
      <c r="B7" s="92" t="s">
        <v>80</v>
      </c>
      <c r="C7" s="685" t="s">
        <v>81</v>
      </c>
      <c r="D7" s="686"/>
      <c r="E7" s="686"/>
      <c r="F7" s="687"/>
    </row>
    <row r="8" spans="2:6" ht="15" customHeight="1" thickBot="1">
      <c r="B8" s="93" t="s">
        <v>82</v>
      </c>
      <c r="C8" s="707" t="str">
        <f>عقد!I21</f>
        <v/>
      </c>
      <c r="D8" s="708"/>
      <c r="E8" s="94" t="s">
        <v>83</v>
      </c>
      <c r="F8" s="95" t="s">
        <v>84</v>
      </c>
    </row>
    <row r="9" spans="2:6" ht="15" customHeight="1">
      <c r="B9" s="96" t="s">
        <v>85</v>
      </c>
      <c r="C9" s="688" t="e">
        <f>C8-C11</f>
        <v>#VALUE!</v>
      </c>
      <c r="D9" s="689"/>
      <c r="E9" s="692" t="s">
        <v>83</v>
      </c>
      <c r="F9" s="683"/>
    </row>
    <row r="10" spans="2:6" ht="15" customHeight="1" thickBot="1">
      <c r="B10" s="97" t="s">
        <v>86</v>
      </c>
      <c r="C10" s="690"/>
      <c r="D10" s="691"/>
      <c r="E10" s="693"/>
      <c r="F10" s="676"/>
    </row>
    <row r="11" spans="2:6" ht="15" customHeight="1">
      <c r="B11" s="96" t="s">
        <v>87</v>
      </c>
      <c r="C11" s="688" t="str">
        <f>IFERROR(VLOOKUP(عقد!M1,تفصيلي!$B$6:$AW$205,22,FALSE),"")</f>
        <v/>
      </c>
      <c r="D11" s="689"/>
      <c r="E11" s="692" t="s">
        <v>83</v>
      </c>
      <c r="F11" s="673" t="s">
        <v>84</v>
      </c>
    </row>
    <row r="12" spans="2:6" ht="15" customHeight="1" thickBot="1">
      <c r="B12" s="97" t="s">
        <v>88</v>
      </c>
      <c r="C12" s="690"/>
      <c r="D12" s="691"/>
      <c r="E12" s="693"/>
      <c r="F12" s="674"/>
    </row>
    <row r="13" spans="2:6" ht="15" customHeight="1" thickBot="1">
      <c r="B13" s="665" t="s">
        <v>89</v>
      </c>
      <c r="C13" s="666"/>
      <c r="D13" s="666"/>
      <c r="E13" s="667"/>
      <c r="F13" s="98"/>
    </row>
    <row r="14" spans="2:6" ht="15" customHeight="1" thickBot="1">
      <c r="B14" s="92" t="s">
        <v>90</v>
      </c>
      <c r="C14" s="685"/>
      <c r="D14" s="686"/>
      <c r="E14" s="687"/>
      <c r="F14" s="683"/>
    </row>
    <row r="15" spans="2:6" ht="15" customHeight="1" thickBot="1">
      <c r="B15" s="92" t="s">
        <v>91</v>
      </c>
      <c r="C15" s="685"/>
      <c r="D15" s="686"/>
      <c r="E15" s="687"/>
      <c r="F15" s="684"/>
    </row>
    <row r="16" spans="2:6" ht="15" customHeight="1">
      <c r="B16" s="100" t="s">
        <v>92</v>
      </c>
      <c r="C16" s="694"/>
      <c r="D16" s="695"/>
      <c r="E16" s="696"/>
      <c r="F16" s="684"/>
    </row>
    <row r="17" spans="2:12" ht="15" customHeight="1" thickBot="1">
      <c r="B17" s="97" t="s">
        <v>93</v>
      </c>
      <c r="C17" s="697"/>
      <c r="D17" s="698"/>
      <c r="E17" s="699"/>
      <c r="F17" s="684"/>
    </row>
    <row r="18" spans="2:12" ht="15" customHeight="1">
      <c r="B18" s="100" t="s">
        <v>94</v>
      </c>
      <c r="C18" s="694"/>
      <c r="D18" s="695"/>
      <c r="E18" s="696"/>
      <c r="F18" s="684"/>
    </row>
    <row r="19" spans="2:12" ht="15" customHeight="1" thickBot="1">
      <c r="B19" s="97" t="s">
        <v>95</v>
      </c>
      <c r="C19" s="697"/>
      <c r="D19" s="698"/>
      <c r="E19" s="699"/>
      <c r="F19" s="684"/>
    </row>
    <row r="20" spans="2:12" ht="15" customHeight="1">
      <c r="B20" s="101" t="s">
        <v>96</v>
      </c>
      <c r="C20" s="694"/>
      <c r="D20" s="695"/>
      <c r="E20" s="696"/>
      <c r="F20" s="684"/>
    </row>
    <row r="21" spans="2:12" ht="15" customHeight="1" thickBot="1">
      <c r="B21" s="102" t="s">
        <v>97</v>
      </c>
      <c r="C21" s="697"/>
      <c r="D21" s="698"/>
      <c r="E21" s="699"/>
      <c r="F21" s="676"/>
    </row>
    <row r="22" spans="2:12" ht="15.6" customHeight="1" thickBot="1">
      <c r="B22" s="665" t="s">
        <v>98</v>
      </c>
      <c r="C22" s="666"/>
      <c r="D22" s="666"/>
      <c r="E22" s="667"/>
      <c r="F22" s="98"/>
    </row>
    <row r="23" spans="2:12" ht="15.6" customHeight="1">
      <c r="B23" s="101" t="s">
        <v>99</v>
      </c>
      <c r="C23" s="677" t="s">
        <v>209</v>
      </c>
      <c r="D23" s="678"/>
      <c r="E23" s="679"/>
      <c r="F23" s="683"/>
      <c r="H23" s="103"/>
    </row>
    <row r="24" spans="2:12" ht="15.6" customHeight="1" thickBot="1">
      <c r="B24" s="97" t="s">
        <v>100</v>
      </c>
      <c r="C24" s="680"/>
      <c r="D24" s="681"/>
      <c r="E24" s="682"/>
      <c r="F24" s="684"/>
      <c r="H24" s="103"/>
    </row>
    <row r="25" spans="2:12" ht="15.6" customHeight="1" thickBot="1">
      <c r="B25" s="93" t="s">
        <v>101</v>
      </c>
      <c r="C25" s="685"/>
      <c r="D25" s="686"/>
      <c r="E25" s="687"/>
      <c r="F25" s="684"/>
      <c r="H25" s="104"/>
      <c r="I25" s="104"/>
      <c r="J25" s="104"/>
    </row>
    <row r="26" spans="2:12" ht="15.6" customHeight="1" thickBot="1">
      <c r="B26" s="105" t="s">
        <v>102</v>
      </c>
      <c r="C26" s="685"/>
      <c r="D26" s="686"/>
      <c r="E26" s="687"/>
      <c r="F26" s="684"/>
      <c r="H26" s="106"/>
      <c r="I26" s="106"/>
      <c r="J26" s="106"/>
    </row>
    <row r="27" spans="2:12" ht="15.6" customHeight="1" thickBot="1">
      <c r="B27" s="93" t="s">
        <v>103</v>
      </c>
      <c r="C27" s="685"/>
      <c r="D27" s="686"/>
      <c r="E27" s="687"/>
      <c r="F27" s="676"/>
    </row>
    <row r="28" spans="2:12" ht="15.6" customHeight="1" thickBot="1">
      <c r="B28" s="665" t="s">
        <v>104</v>
      </c>
      <c r="C28" s="666"/>
      <c r="D28" s="666"/>
      <c r="E28" s="667"/>
      <c r="F28" s="107">
        <f>SUM(C23:E27)</f>
        <v>0</v>
      </c>
      <c r="H28" s="106"/>
      <c r="I28" s="106"/>
      <c r="J28" s="106"/>
    </row>
    <row r="29" spans="2:12" ht="15.6" customHeight="1" thickBot="1">
      <c r="B29" s="668" t="s">
        <v>105</v>
      </c>
      <c r="C29" s="669"/>
      <c r="D29" s="669"/>
      <c r="E29" s="670"/>
      <c r="F29" s="143">
        <v>2.1999999999999999E-2</v>
      </c>
      <c r="I29" s="108"/>
      <c r="J29" s="104"/>
      <c r="L29" s="104"/>
    </row>
    <row r="30" spans="2:12" ht="15.6" customHeight="1" thickBot="1">
      <c r="B30" s="662" t="s">
        <v>106</v>
      </c>
      <c r="C30" s="663"/>
      <c r="D30" s="663"/>
      <c r="E30" s="664"/>
      <c r="F30" s="98" t="s">
        <v>656</v>
      </c>
    </row>
    <row r="31" spans="2:12" ht="15.6" customHeight="1">
      <c r="B31" s="109" t="s">
        <v>107</v>
      </c>
      <c r="C31" s="671" t="s">
        <v>108</v>
      </c>
      <c r="D31" s="110" t="s">
        <v>109</v>
      </c>
      <c r="E31" s="673" t="s">
        <v>110</v>
      </c>
      <c r="F31" s="675"/>
    </row>
    <row r="32" spans="2:12" ht="15.6" customHeight="1" thickBot="1">
      <c r="B32" s="109" t="s">
        <v>111</v>
      </c>
      <c r="C32" s="672"/>
      <c r="D32" s="91" t="s">
        <v>112</v>
      </c>
      <c r="E32" s="674"/>
      <c r="F32" s="676"/>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62" t="s">
        <v>116</v>
      </c>
      <c r="C34" s="663"/>
      <c r="D34" s="663"/>
      <c r="E34" s="664"/>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09" t="e">
        <f>عقد!C10</f>
        <v>#N/A</v>
      </c>
      <c r="G13" s="710"/>
      <c r="H13" s="320"/>
      <c r="I13" s="321" t="s">
        <v>660</v>
      </c>
      <c r="J13" s="711">
        <f>عقد!M1</f>
        <v>0</v>
      </c>
      <c r="K13" s="712"/>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713" t="e">
        <f>عقد!C11</f>
        <v>#N/A</v>
      </c>
      <c r="G15" s="713"/>
      <c r="H15" s="713"/>
      <c r="I15" s="713"/>
      <c r="J15" s="713"/>
      <c r="K15" s="713"/>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714" t="str">
        <f>عقد!L14</f>
        <v/>
      </c>
      <c r="G17" s="714"/>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09" t="e">
        <f>الكفالة!L4</f>
        <v>#N/A</v>
      </c>
      <c r="G31" s="710"/>
      <c r="H31" s="320"/>
      <c r="I31" s="321"/>
      <c r="J31" s="709"/>
      <c r="K31" s="710"/>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713" t="e">
        <f>الكفالة!E6</f>
        <v>#N/A</v>
      </c>
      <c r="G33" s="713"/>
      <c r="H33" s="713"/>
      <c r="I33" s="713"/>
      <c r="J33" s="713"/>
      <c r="K33" s="713"/>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714">
        <f>الكفالة!L5</f>
        <v>0</v>
      </c>
      <c r="G35" s="714"/>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09" t="str">
        <f>الكفالة!L18</f>
        <v/>
      </c>
      <c r="G49" s="710"/>
      <c r="H49" s="320"/>
      <c r="I49" s="321"/>
      <c r="J49" s="709"/>
      <c r="K49" s="710"/>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713" t="str">
        <f>الكفالة!E20</f>
        <v/>
      </c>
      <c r="G51" s="713"/>
      <c r="H51" s="713"/>
      <c r="I51" s="713"/>
      <c r="J51" s="713"/>
      <c r="K51" s="713"/>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714">
        <f>الكفالة!L19</f>
        <v>0</v>
      </c>
      <c r="G53" s="714"/>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715"/>
      <c r="H64" s="715"/>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84"/>
      <c r="C2" s="784"/>
      <c r="E2" s="152"/>
    </row>
    <row r="3" spans="1:16" s="151" customFormat="1" ht="5.45" customHeight="1">
      <c r="B3" s="785"/>
      <c r="C3" s="785"/>
    </row>
    <row r="4" spans="1:16" s="151" customFormat="1" ht="17.45" customHeight="1">
      <c r="A4" s="786" t="s">
        <v>207</v>
      </c>
      <c r="B4" s="787"/>
      <c r="C4" s="787"/>
      <c r="D4" s="787"/>
      <c r="E4" s="787"/>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45" customHeight="1">
      <c r="A5" s="788" t="s">
        <v>78</v>
      </c>
      <c r="B5" s="789"/>
      <c r="C5" s="789"/>
      <c r="D5" s="789"/>
      <c r="E5" s="789"/>
      <c r="F5" s="789"/>
      <c r="G5" s="789"/>
      <c r="H5" s="790"/>
    </row>
    <row r="6" spans="1:16" s="151" customFormat="1" ht="17.45" customHeight="1">
      <c r="A6" s="783" t="s">
        <v>79</v>
      </c>
      <c r="B6" s="783"/>
      <c r="C6" s="783"/>
      <c r="D6" s="783"/>
      <c r="E6" s="783"/>
      <c r="F6" s="392" t="s">
        <v>210</v>
      </c>
      <c r="G6" s="791"/>
      <c r="H6" s="791"/>
    </row>
    <row r="7" spans="1:16" s="151" customFormat="1" ht="17.45" customHeight="1">
      <c r="A7" s="763" t="s">
        <v>80</v>
      </c>
      <c r="B7" s="763"/>
      <c r="C7" s="763"/>
      <c r="D7" s="763"/>
      <c r="E7" s="763"/>
      <c r="F7" s="782" t="s">
        <v>81</v>
      </c>
      <c r="G7" s="782"/>
      <c r="H7" s="782"/>
    </row>
    <row r="8" spans="1:16" s="151" customFormat="1" ht="17.45" customHeight="1">
      <c r="A8" s="783" t="s">
        <v>215</v>
      </c>
      <c r="B8" s="783"/>
      <c r="C8" s="783"/>
      <c r="D8" s="783"/>
      <c r="E8" s="783"/>
      <c r="F8" s="414" t="e">
        <f>INDEX(تفصيلي!V6:V205,MATCH('افصاح-مواعيد'!J4,تفصيلي!B6:B205,0))</f>
        <v>#N/A</v>
      </c>
      <c r="G8" s="167" t="s">
        <v>83</v>
      </c>
      <c r="H8" s="392" t="s">
        <v>84</v>
      </c>
    </row>
    <row r="9" spans="1:16" s="151" customFormat="1" ht="17.45" customHeight="1">
      <c r="A9" s="779" t="s">
        <v>225</v>
      </c>
      <c r="B9" s="780"/>
      <c r="C9" s="780"/>
      <c r="D9" s="780"/>
      <c r="E9" s="781"/>
      <c r="F9" s="415" t="e">
        <f>F8-F10</f>
        <v>#N/A</v>
      </c>
      <c r="G9" s="169" t="s">
        <v>83</v>
      </c>
      <c r="H9" s="393"/>
      <c r="L9" s="758" t="s">
        <v>697</v>
      </c>
      <c r="M9" s="758"/>
      <c r="N9" s="758"/>
      <c r="O9" s="416"/>
    </row>
    <row r="10" spans="1:16" s="151" customFormat="1" ht="17.45" customHeight="1">
      <c r="A10" s="779" t="s">
        <v>224</v>
      </c>
      <c r="B10" s="780"/>
      <c r="C10" s="780"/>
      <c r="D10" s="780"/>
      <c r="E10" s="781"/>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45" customHeight="1">
      <c r="A11" s="760" t="s">
        <v>89</v>
      </c>
      <c r="B11" s="761"/>
      <c r="C11" s="761"/>
      <c r="D11" s="761"/>
      <c r="E11" s="761"/>
      <c r="F11" s="761"/>
      <c r="G11" s="761"/>
      <c r="H11" s="762"/>
      <c r="L11" s="440">
        <v>6000</v>
      </c>
      <c r="M11" s="440">
        <v>14000</v>
      </c>
      <c r="N11" s="441" t="s">
        <v>702</v>
      </c>
      <c r="O11" s="440" t="s">
        <v>703</v>
      </c>
      <c r="P11" s="447">
        <v>0.03</v>
      </c>
    </row>
    <row r="12" spans="1:16" s="151" customFormat="1" ht="17.45" customHeight="1">
      <c r="A12" s="763" t="s">
        <v>90</v>
      </c>
      <c r="B12" s="763"/>
      <c r="C12" s="763"/>
      <c r="D12" s="763"/>
      <c r="E12" s="763"/>
      <c r="F12" s="763"/>
      <c r="G12" s="153"/>
      <c r="H12" s="764"/>
      <c r="L12" s="440">
        <v>14001</v>
      </c>
      <c r="M12" s="440">
        <v>50000</v>
      </c>
      <c r="N12" s="441" t="s">
        <v>704</v>
      </c>
      <c r="O12" s="440" t="s">
        <v>705</v>
      </c>
      <c r="P12" s="447">
        <v>3.5000000000000003E-2</v>
      </c>
    </row>
    <row r="13" spans="1:16" s="151" customFormat="1" ht="17.45" customHeight="1">
      <c r="A13" s="763" t="s">
        <v>91</v>
      </c>
      <c r="B13" s="763"/>
      <c r="C13" s="763"/>
      <c r="D13" s="763"/>
      <c r="E13" s="763"/>
      <c r="F13" s="763"/>
      <c r="G13" s="153"/>
      <c r="H13" s="765"/>
      <c r="L13" s="440">
        <v>50001</v>
      </c>
      <c r="M13" s="440">
        <v>150000</v>
      </c>
      <c r="N13" s="441" t="s">
        <v>706</v>
      </c>
      <c r="O13" s="440" t="s">
        <v>707</v>
      </c>
      <c r="P13" s="447">
        <v>3.5000000000000003E-2</v>
      </c>
    </row>
    <row r="14" spans="1:16" s="151" customFormat="1" ht="17.45" customHeight="1">
      <c r="A14" s="767" t="s">
        <v>226</v>
      </c>
      <c r="B14" s="768"/>
      <c r="C14" s="768"/>
      <c r="D14" s="768"/>
      <c r="E14" s="768"/>
      <c r="F14" s="769"/>
      <c r="G14" s="154"/>
      <c r="H14" s="765"/>
      <c r="L14" s="440"/>
      <c r="M14" s="440"/>
      <c r="N14" s="442"/>
      <c r="O14" s="440"/>
      <c r="P14" s="447"/>
    </row>
    <row r="15" spans="1:16" s="151" customFormat="1" ht="17.45" customHeight="1">
      <c r="A15" s="770" t="s">
        <v>218</v>
      </c>
      <c r="B15" s="771"/>
      <c r="C15" s="771"/>
      <c r="D15" s="771"/>
      <c r="E15" s="771"/>
      <c r="F15" s="772"/>
      <c r="G15" s="155"/>
      <c r="H15" s="765"/>
      <c r="L15" s="440"/>
      <c r="M15" s="440"/>
      <c r="N15" s="442"/>
      <c r="O15" s="440"/>
      <c r="P15" s="447"/>
    </row>
    <row r="16" spans="1:16" s="151" customFormat="1" ht="17.45" customHeight="1">
      <c r="A16" s="773" t="s">
        <v>219</v>
      </c>
      <c r="B16" s="768"/>
      <c r="C16" s="768"/>
      <c r="D16" s="768"/>
      <c r="E16" s="768"/>
      <c r="F16" s="769"/>
      <c r="G16" s="156"/>
      <c r="H16" s="766"/>
      <c r="L16" s="440"/>
      <c r="M16" s="440"/>
      <c r="N16" s="442"/>
      <c r="O16" s="440"/>
      <c r="P16" s="447"/>
    </row>
    <row r="17" spans="1:16" s="151" customFormat="1" ht="17.45" customHeight="1">
      <c r="A17" s="746" t="s">
        <v>98</v>
      </c>
      <c r="B17" s="746"/>
      <c r="C17" s="746"/>
      <c r="D17" s="746"/>
      <c r="E17" s="746"/>
      <c r="F17" s="746"/>
      <c r="G17" s="746"/>
      <c r="H17" s="419"/>
      <c r="L17" s="439"/>
      <c r="M17" s="439"/>
      <c r="N17" s="439"/>
      <c r="O17" s="439"/>
      <c r="P17" s="439"/>
    </row>
    <row r="18" spans="1:16" s="151" customFormat="1" ht="17.45" customHeight="1">
      <c r="A18" s="774" t="s">
        <v>227</v>
      </c>
      <c r="B18" s="775"/>
      <c r="C18" s="775"/>
      <c r="D18" s="775"/>
      <c r="E18" s="775"/>
      <c r="F18" s="776"/>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77" t="s">
        <v>708</v>
      </c>
      <c r="M18" s="777"/>
      <c r="N18" s="443" t="s">
        <v>709</v>
      </c>
      <c r="O18" s="443" t="s">
        <v>719</v>
      </c>
      <c r="P18" s="439"/>
    </row>
    <row r="19" spans="1:16" s="151" customFormat="1" ht="17.45" customHeight="1">
      <c r="A19" s="743" t="s">
        <v>216</v>
      </c>
      <c r="B19" s="743"/>
      <c r="C19" s="743"/>
      <c r="D19" s="743"/>
      <c r="E19" s="743"/>
      <c r="F19" s="743"/>
      <c r="G19" s="146"/>
      <c r="H19" s="150"/>
      <c r="I19" s="157"/>
      <c r="J19" s="157"/>
      <c r="L19" s="444" t="s">
        <v>710</v>
      </c>
      <c r="M19" s="448">
        <v>2.3300000000000001E-2</v>
      </c>
      <c r="N19" s="445" t="e">
        <f>INDEX(تفصيلي!U6:U205,MATCH('افصاح-مواعيد'!J4,تفصيلي!B6:B205))</f>
        <v>#N/A</v>
      </c>
      <c r="O19" s="465"/>
      <c r="P19" s="439"/>
    </row>
    <row r="20" spans="1:16" s="151" customFormat="1" ht="17.45" customHeight="1">
      <c r="A20" s="778" t="s">
        <v>223</v>
      </c>
      <c r="B20" s="778"/>
      <c r="C20" s="778"/>
      <c r="D20" s="778"/>
      <c r="E20" s="778"/>
      <c r="F20" s="778"/>
      <c r="G20" s="146"/>
      <c r="H20" s="150"/>
      <c r="I20" s="158"/>
      <c r="J20" s="158"/>
      <c r="L20" s="444" t="s">
        <v>711</v>
      </c>
      <c r="M20" s="448">
        <v>2.3E-2</v>
      </c>
      <c r="N20" s="449"/>
      <c r="O20" s="439"/>
      <c r="P20" s="439"/>
    </row>
    <row r="21" spans="1:16" s="151" customFormat="1" ht="17.45" customHeight="1">
      <c r="A21" s="759" t="s">
        <v>217</v>
      </c>
      <c r="B21" s="759"/>
      <c r="C21" s="759"/>
      <c r="D21" s="759"/>
      <c r="E21" s="759"/>
      <c r="F21" s="759"/>
      <c r="G21" s="146"/>
      <c r="H21" s="148"/>
      <c r="L21" s="444" t="s">
        <v>712</v>
      </c>
      <c r="M21" s="448">
        <v>2.1999999999999999E-2</v>
      </c>
      <c r="N21" s="449"/>
      <c r="O21" s="439" t="e">
        <f>N19*G39</f>
        <v>#N/A</v>
      </c>
      <c r="P21" s="439"/>
    </row>
    <row r="22" spans="1:16" s="151" customFormat="1" ht="17.45" customHeight="1">
      <c r="A22" s="746" t="s">
        <v>104</v>
      </c>
      <c r="B22" s="746"/>
      <c r="C22" s="746"/>
      <c r="D22" s="746"/>
      <c r="E22" s="746"/>
      <c r="F22" s="746"/>
      <c r="G22" s="746"/>
      <c r="H22" s="423"/>
      <c r="I22" s="158"/>
      <c r="J22" s="158"/>
      <c r="L22" s="446"/>
      <c r="M22" s="449"/>
      <c r="N22" s="449"/>
      <c r="O22" s="439"/>
      <c r="P22" s="439"/>
    </row>
    <row r="23" spans="1:16" s="151" customFormat="1" ht="17.45" customHeight="1">
      <c r="A23" s="747" t="s">
        <v>105</v>
      </c>
      <c r="B23" s="748"/>
      <c r="C23" s="748"/>
      <c r="D23" s="748"/>
      <c r="E23" s="748"/>
      <c r="F23" s="748"/>
      <c r="G23" s="749"/>
      <c r="H23" s="424" t="e">
        <f>CEILING(IF(F4=L19,N19*M19,IF(F4=L20,N19*M20,IF(F4=L21,N19*M21))),1)</f>
        <v>#N/A</v>
      </c>
      <c r="I23" s="159"/>
      <c r="J23" s="157"/>
      <c r="L23" s="445" t="s">
        <v>713</v>
      </c>
      <c r="M23" s="445"/>
      <c r="N23" s="449"/>
      <c r="O23" s="439"/>
      <c r="P23" s="439"/>
    </row>
    <row r="24" spans="1:16" s="151" customFormat="1" ht="17.45" customHeight="1">
      <c r="A24" s="750" t="s">
        <v>106</v>
      </c>
      <c r="B24" s="751"/>
      <c r="C24" s="751"/>
      <c r="D24" s="751"/>
      <c r="E24" s="751"/>
      <c r="F24" s="751"/>
      <c r="G24" s="752"/>
      <c r="H24" s="391" t="e">
        <f>INDEX(تفصيلي!O6:O205,MATCH('افصاح-مواعيد'!J4,تفصيلي!B6:B205,0))</f>
        <v>#N/A</v>
      </c>
      <c r="L24" s="444" t="s">
        <v>712</v>
      </c>
      <c r="M24" s="448" t="s">
        <v>714</v>
      </c>
      <c r="N24" s="449"/>
      <c r="O24" s="439"/>
      <c r="P24" s="439"/>
    </row>
    <row r="25" spans="1:16" s="151" customFormat="1" ht="17.45" customHeight="1">
      <c r="A25" s="753" t="s">
        <v>107</v>
      </c>
      <c r="B25" s="754"/>
      <c r="C25" s="754"/>
      <c r="D25" s="755"/>
      <c r="E25" s="756" t="s">
        <v>108</v>
      </c>
      <c r="F25" s="394" t="s">
        <v>109</v>
      </c>
      <c r="G25" s="756" t="s">
        <v>110</v>
      </c>
      <c r="H25" s="738"/>
      <c r="L25" s="444" t="s">
        <v>711</v>
      </c>
      <c r="M25" s="448" t="s">
        <v>715</v>
      </c>
      <c r="N25" s="449"/>
      <c r="O25" s="439"/>
      <c r="P25" s="439"/>
    </row>
    <row r="26" spans="1:16" s="151" customFormat="1" ht="17.45" customHeight="1">
      <c r="A26" s="740" t="s">
        <v>111</v>
      </c>
      <c r="B26" s="741"/>
      <c r="C26" s="741"/>
      <c r="D26" s="742"/>
      <c r="E26" s="757"/>
      <c r="F26" s="395" t="s">
        <v>112</v>
      </c>
      <c r="G26" s="757"/>
      <c r="H26" s="739"/>
      <c r="L26" s="421" t="s">
        <v>710</v>
      </c>
      <c r="M26" s="450">
        <v>20</v>
      </c>
      <c r="N26" s="449"/>
    </row>
    <row r="27" spans="1:16" s="151" customFormat="1" ht="17.45" customHeight="1">
      <c r="A27" s="743"/>
      <c r="B27" s="743"/>
      <c r="C27" s="743"/>
      <c r="D27" s="743"/>
      <c r="E27" s="425"/>
      <c r="F27" s="426"/>
      <c r="G27" s="427" t="e">
        <f>INDEX(تفصيلي!W6:W205,MATCH('افصاح-مواعيد'!J4,تفصيلي!B6:B205,0))</f>
        <v>#N/A</v>
      </c>
      <c r="H27" s="424" t="e">
        <f>SUM(E27:G27)</f>
        <v>#N/A</v>
      </c>
      <c r="I27" s="151" t="s">
        <v>656</v>
      </c>
      <c r="J27" s="151" t="s">
        <v>656</v>
      </c>
      <c r="N27" s="422"/>
    </row>
    <row r="28" spans="1:16" s="151" customFormat="1" ht="17.45" customHeight="1">
      <c r="A28" s="743" t="s">
        <v>116</v>
      </c>
      <c r="B28" s="743"/>
      <c r="C28" s="743"/>
      <c r="D28" s="743"/>
      <c r="E28" s="743"/>
      <c r="F28" s="743"/>
      <c r="G28" s="743"/>
      <c r="H28" s="428"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44" t="s">
        <v>716</v>
      </c>
      <c r="B31" s="744"/>
      <c r="C31" s="744"/>
      <c r="D31" s="745">
        <f>عقد!E7</f>
        <v>0</v>
      </c>
      <c r="E31" s="745"/>
      <c r="F31" s="744" t="s">
        <v>222</v>
      </c>
      <c r="G31" s="744"/>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30"/>
      <c r="B34" s="730"/>
      <c r="C34" s="730"/>
      <c r="D34" s="730"/>
      <c r="E34" s="730"/>
      <c r="F34" s="730"/>
      <c r="G34" s="730"/>
      <c r="H34" s="730"/>
    </row>
    <row r="35" spans="1:8" s="151" customFormat="1" ht="4.9000000000000004" customHeight="1">
      <c r="A35" s="731"/>
      <c r="B35" s="731"/>
      <c r="C35" s="731"/>
      <c r="D35" s="731"/>
      <c r="E35" s="731"/>
      <c r="F35" s="731"/>
      <c r="G35" s="731"/>
      <c r="H35" s="731"/>
    </row>
    <row r="36" spans="1:8" ht="26.45" customHeight="1">
      <c r="A36" s="732" t="s">
        <v>720</v>
      </c>
      <c r="B36" s="733"/>
      <c r="C36" s="733"/>
      <c r="D36" s="733"/>
      <c r="E36" s="733"/>
      <c r="F36" s="733"/>
      <c r="G36" s="733"/>
      <c r="H36" s="734"/>
    </row>
    <row r="37" spans="1:8" ht="17.45" customHeight="1">
      <c r="A37" s="163" t="s">
        <v>176</v>
      </c>
      <c r="B37" s="735" t="e">
        <f>عقد!C9</f>
        <v>#N/A</v>
      </c>
      <c r="C37" s="735"/>
      <c r="D37" s="735"/>
      <c r="E37" s="735"/>
      <c r="F37" s="162" t="s">
        <v>177</v>
      </c>
      <c r="G37" s="466">
        <f>عقد!M1</f>
        <v>0</v>
      </c>
      <c r="H37" s="164"/>
    </row>
    <row r="38" spans="1:8" ht="17.45" customHeight="1">
      <c r="A38" s="163" t="s">
        <v>178</v>
      </c>
      <c r="B38" s="725" t="str">
        <f>عقد!K19</f>
        <v/>
      </c>
      <c r="C38" s="725"/>
      <c r="D38" s="725"/>
      <c r="E38" s="725"/>
      <c r="F38" s="162" t="s">
        <v>179</v>
      </c>
      <c r="G38" s="736" t="str">
        <f>IFERROR(VLOOKUP(G37,تفصيلي!B6:R205,11,FALSE),"")</f>
        <v/>
      </c>
      <c r="H38" s="737"/>
    </row>
    <row r="39" spans="1:8" ht="17.45" customHeight="1">
      <c r="A39" s="163" t="s">
        <v>180</v>
      </c>
      <c r="B39" s="725" t="str">
        <f>IFERROR(VLOOKUP($G$37,تفصيلي!B6:AW205,20,FALSE),"")</f>
        <v/>
      </c>
      <c r="C39" s="725"/>
      <c r="D39" s="725"/>
      <c r="E39" s="725"/>
      <c r="F39" s="162" t="s">
        <v>181</v>
      </c>
      <c r="G39" s="438" t="str">
        <f>عقد!B23</f>
        <v/>
      </c>
      <c r="H39" s="164"/>
    </row>
    <row r="40" spans="1:8" ht="17.45" customHeight="1">
      <c r="A40" s="726" t="s">
        <v>182</v>
      </c>
      <c r="B40" s="727"/>
      <c r="C40" s="727"/>
      <c r="D40" s="727"/>
      <c r="E40" s="727"/>
      <c r="F40" s="727"/>
      <c r="G40" s="727"/>
      <c r="H40" s="728"/>
    </row>
    <row r="41" spans="1:8" ht="17.45" customHeight="1">
      <c r="A41" s="429" t="s">
        <v>7</v>
      </c>
      <c r="B41" s="729" t="s">
        <v>183</v>
      </c>
      <c r="C41" s="729"/>
      <c r="D41" s="729"/>
      <c r="E41" s="429" t="s">
        <v>7</v>
      </c>
      <c r="F41" s="729" t="s">
        <v>183</v>
      </c>
      <c r="G41" s="729"/>
      <c r="H41" s="729"/>
    </row>
    <row r="42" spans="1:8" ht="17.45" customHeight="1">
      <c r="A42" s="436">
        <v>1</v>
      </c>
      <c r="B42" s="721" t="str">
        <f>عقد!K24</f>
        <v/>
      </c>
      <c r="C42" s="721"/>
      <c r="D42" s="721"/>
      <c r="E42" s="436">
        <v>13</v>
      </c>
      <c r="F42" s="722">
        <f>IF(E42&lt;=$G$39,VLOOKUP(E42,'Data Validation'!$O$2:$P$25,2,FALSE),"ــــــــــــــــــــــــــــــــــــــــــ")</f>
        <v>0</v>
      </c>
      <c r="G42" s="723"/>
      <c r="H42" s="724"/>
    </row>
    <row r="43" spans="1:8" ht="17.45" customHeight="1">
      <c r="A43" s="436">
        <v>2</v>
      </c>
      <c r="B43" s="721">
        <f>IF(A43&lt;=$G$39,VLOOKUP(A43,'Data Validation'!$O$2:$P$25,2,FALSE),"ــــــــــــــــــــــــــــــــــــــــــ")</f>
        <v>0</v>
      </c>
      <c r="C43" s="721"/>
      <c r="D43" s="721"/>
      <c r="E43" s="436">
        <v>14</v>
      </c>
      <c r="F43" s="722">
        <f>IF(E43&lt;=$G$39,VLOOKUP(E43,'Data Validation'!$O$2:$P$25,2,FALSE),"ــــــــــــــــــــــــــــــــــــــــــ")</f>
        <v>0</v>
      </c>
      <c r="G43" s="723"/>
      <c r="H43" s="724"/>
    </row>
    <row r="44" spans="1:8" ht="17.45" customHeight="1">
      <c r="A44" s="436">
        <v>3</v>
      </c>
      <c r="B44" s="721">
        <f>IF(A44&lt;=$G$39,VLOOKUP(A44,'Data Validation'!$O$2:$P$25,2,FALSE),"ــــــــــــــــــــــــــــــــــــــــــ")</f>
        <v>0</v>
      </c>
      <c r="C44" s="721"/>
      <c r="D44" s="721"/>
      <c r="E44" s="436">
        <v>15</v>
      </c>
      <c r="F44" s="722">
        <f>IF(E44&lt;=$G$39,VLOOKUP(E44,'Data Validation'!$O$2:$P$25,2,FALSE),"ــــــــــــــــــــــــــــــــــــــــــ")</f>
        <v>0</v>
      </c>
      <c r="G44" s="723"/>
      <c r="H44" s="724"/>
    </row>
    <row r="45" spans="1:8" ht="17.45" customHeight="1">
      <c r="A45" s="436">
        <v>4</v>
      </c>
      <c r="B45" s="721">
        <f>IF(A45&lt;=$G$39,VLOOKUP(A45,'Data Validation'!$O$2:$P$25,2,FALSE),"ــــــــــــــــــــــــــــــــــــــــــ")</f>
        <v>0</v>
      </c>
      <c r="C45" s="721"/>
      <c r="D45" s="721"/>
      <c r="E45" s="436">
        <v>16</v>
      </c>
      <c r="F45" s="722">
        <f>IF(E45&lt;=$G$39,VLOOKUP(E45,'Data Validation'!$O$2:$P$25,2,FALSE),"ــــــــــــــــــــــــــــــــــــــــــ")</f>
        <v>0</v>
      </c>
      <c r="G45" s="723"/>
      <c r="H45" s="724"/>
    </row>
    <row r="46" spans="1:8" ht="17.45" customHeight="1">
      <c r="A46" s="436">
        <v>5</v>
      </c>
      <c r="B46" s="721">
        <f>IF(A46&lt;=$G$39,VLOOKUP(A46,'Data Validation'!$O$2:$P$25,2,FALSE),"ــــــــــــــــــــــــــــــــــــــــــ")</f>
        <v>0</v>
      </c>
      <c r="C46" s="721"/>
      <c r="D46" s="721"/>
      <c r="E46" s="436">
        <v>17</v>
      </c>
      <c r="F46" s="722">
        <f>IF(E46&lt;=$G$39,VLOOKUP(E46,'Data Validation'!$O$2:$P$25,2,FALSE),"ــــــــــــــــــــــــــــــــــــــــــ")</f>
        <v>0</v>
      </c>
      <c r="G46" s="723"/>
      <c r="H46" s="724"/>
    </row>
    <row r="47" spans="1:8" ht="17.45" customHeight="1">
      <c r="A47" s="436">
        <v>6</v>
      </c>
      <c r="B47" s="721">
        <f>IF(A47&lt;=$G$39,VLOOKUP(A47,'Data Validation'!$O$2:$P$25,2,FALSE),"ــــــــــــــــــــــــــــــــــــــــــ")</f>
        <v>0</v>
      </c>
      <c r="C47" s="721"/>
      <c r="D47" s="721"/>
      <c r="E47" s="436">
        <v>18</v>
      </c>
      <c r="F47" s="722">
        <f>IF(E47&lt;=$G$39,VLOOKUP(E47,'Data Validation'!$O$2:$P$25,2,FALSE),"ــــــــــــــــــــــــــــــــــــــــــ")</f>
        <v>0</v>
      </c>
      <c r="G47" s="723"/>
      <c r="H47" s="724"/>
    </row>
    <row r="48" spans="1:8" ht="17.45" customHeight="1">
      <c r="A48" s="436">
        <v>7</v>
      </c>
      <c r="B48" s="721">
        <f>IF(A48&lt;=$G$39,VLOOKUP(A48,'Data Validation'!$O$2:$P$25,2,FALSE),"ــــــــــــــــــــــــــــــــــــــــــ")</f>
        <v>0</v>
      </c>
      <c r="C48" s="721"/>
      <c r="D48" s="721"/>
      <c r="E48" s="436">
        <v>19</v>
      </c>
      <c r="F48" s="722">
        <f>IF(E48&lt;=$G$39,VLOOKUP(E48,'Data Validation'!$O$2:$P$25,2,FALSE),"ــــــــــــــــــــــــــــــــــــــــــ")</f>
        <v>0</v>
      </c>
      <c r="G48" s="723"/>
      <c r="H48" s="724"/>
    </row>
    <row r="49" spans="1:8" ht="17.45" customHeight="1">
      <c r="A49" s="436">
        <v>8</v>
      </c>
      <c r="B49" s="721">
        <f>IF(A49&lt;=$G$39,VLOOKUP(A49,'Data Validation'!$O$2:$P$25,2,FALSE),"ــــــــــــــــــــــــــــــــــــــــــ")</f>
        <v>0</v>
      </c>
      <c r="C49" s="721"/>
      <c r="D49" s="721"/>
      <c r="E49" s="436">
        <v>20</v>
      </c>
      <c r="F49" s="722">
        <f>IF(E49&lt;=$G$39,VLOOKUP(E49,'Data Validation'!$O$2:$P$25,2,FALSE),"ــــــــــــــــــــــــــــــــــــــــــ")</f>
        <v>0</v>
      </c>
      <c r="G49" s="723"/>
      <c r="H49" s="724"/>
    </row>
    <row r="50" spans="1:8" ht="17.45" customHeight="1">
      <c r="A50" s="436">
        <v>9</v>
      </c>
      <c r="B50" s="721">
        <f>IF(A50&lt;=$G$39,VLOOKUP(A50,'Data Validation'!$O$2:$P$25,2,FALSE),"ــــــــــــــــــــــــــــــــــــــــــ")</f>
        <v>0</v>
      </c>
      <c r="C50" s="721"/>
      <c r="D50" s="721"/>
      <c r="E50" s="436">
        <v>21</v>
      </c>
      <c r="F50" s="722">
        <f>IF(E50&lt;=$G$39,VLOOKUP(E50,'Data Validation'!$O$2:$P$25,2,FALSE),"ــــــــــــــــــــــــــــــــــــــــــ")</f>
        <v>0</v>
      </c>
      <c r="G50" s="723"/>
      <c r="H50" s="724"/>
    </row>
    <row r="51" spans="1:8" ht="17.45" customHeight="1">
      <c r="A51" s="436">
        <v>10</v>
      </c>
      <c r="B51" s="721">
        <f>IF(A51&lt;=$G$39,VLOOKUP(A51,'Data Validation'!$O$2:$P$25,2,FALSE),"ــــــــــــــــــــــــــــــــــــــــــ")</f>
        <v>0</v>
      </c>
      <c r="C51" s="721"/>
      <c r="D51" s="721"/>
      <c r="E51" s="436">
        <v>22</v>
      </c>
      <c r="F51" s="722">
        <f>IF(E51&lt;=$G$39,VLOOKUP(E51,'Data Validation'!$O$2:$P$25,2,FALSE),"ــــــــــــــــــــــــــــــــــــــــــ")</f>
        <v>0</v>
      </c>
      <c r="G51" s="723"/>
      <c r="H51" s="724"/>
    </row>
    <row r="52" spans="1:8" ht="17.45" customHeight="1">
      <c r="A52" s="436">
        <v>11</v>
      </c>
      <c r="B52" s="721">
        <f>IF(A52&lt;=$G$39,VLOOKUP(A52,'Data Validation'!$O$2:$P$25,2,FALSE),"ــــــــــــــــــــــــــــــــــــــــــ")</f>
        <v>0</v>
      </c>
      <c r="C52" s="721"/>
      <c r="D52" s="721"/>
      <c r="E52" s="436">
        <v>23</v>
      </c>
      <c r="F52" s="722">
        <f>IF(E52&lt;=$G$39,VLOOKUP(E52,'Data Validation'!$O$2:$P$25,2,FALSE),"ــــــــــــــــــــــــــــــــــــــــــ")</f>
        <v>0</v>
      </c>
      <c r="G52" s="723"/>
      <c r="H52" s="724"/>
    </row>
    <row r="53" spans="1:8" ht="17.45" customHeight="1">
      <c r="A53" s="436">
        <v>12</v>
      </c>
      <c r="B53" s="721">
        <f>IF(A53&lt;=$G$39,VLOOKUP(A53,'Data Validation'!$O$2:$P$25,2,FALSE),"ــــــــــــــــــــــــــــــــــــــــــ")</f>
        <v>0</v>
      </c>
      <c r="C53" s="721"/>
      <c r="D53" s="721"/>
      <c r="E53" s="436">
        <v>24</v>
      </c>
      <c r="F53" s="722">
        <f>IF(E53&lt;=$G$39,VLOOKUP(E53,'Data Validation'!$O$2:$P$25,2,FALSE),"ــــــــــــــــــــــــــــــــــــــــــ")</f>
        <v>0</v>
      </c>
      <c r="G53" s="723"/>
      <c r="H53" s="724"/>
    </row>
    <row r="54" spans="1:8" ht="17.45" customHeight="1">
      <c r="A54" s="165" t="s">
        <v>184</v>
      </c>
    </row>
    <row r="55" spans="1:8" ht="17.45" customHeight="1">
      <c r="A55" s="717" t="s">
        <v>211</v>
      </c>
      <c r="B55" s="717"/>
      <c r="C55" s="717"/>
      <c r="D55" s="717"/>
      <c r="E55" s="717"/>
      <c r="F55" s="717"/>
      <c r="G55" s="717"/>
      <c r="H55" s="717"/>
    </row>
    <row r="56" spans="1:8" ht="34.15" customHeight="1">
      <c r="A56" s="716" t="s">
        <v>212</v>
      </c>
      <c r="B56" s="716"/>
      <c r="C56" s="716"/>
      <c r="D56" s="716"/>
      <c r="E56" s="716"/>
      <c r="F56" s="716"/>
      <c r="G56" s="716"/>
      <c r="H56" s="716"/>
    </row>
    <row r="57" spans="1:8" ht="33.6" customHeight="1">
      <c r="A57" s="716" t="s">
        <v>213</v>
      </c>
      <c r="B57" s="716"/>
      <c r="C57" s="716"/>
      <c r="D57" s="716"/>
      <c r="E57" s="716"/>
      <c r="F57" s="716"/>
      <c r="G57" s="716"/>
      <c r="H57" s="716"/>
    </row>
    <row r="58" spans="1:8" ht="17.45" customHeight="1">
      <c r="A58" s="717" t="s">
        <v>214</v>
      </c>
      <c r="B58" s="717"/>
      <c r="C58" s="717"/>
      <c r="D58" s="717"/>
      <c r="E58" s="717"/>
      <c r="F58" s="717"/>
      <c r="G58" s="717"/>
      <c r="H58" s="717"/>
    </row>
    <row r="59" spans="1:8" ht="17.45" customHeight="1">
      <c r="A59" s="718" t="s">
        <v>185</v>
      </c>
      <c r="B59" s="718"/>
      <c r="C59" s="718"/>
      <c r="D59" s="719" t="s">
        <v>186</v>
      </c>
      <c r="E59" s="719"/>
      <c r="F59" s="720" t="s">
        <v>187</v>
      </c>
      <c r="G59" s="720"/>
      <c r="H59" s="720"/>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792" t="s">
        <v>614</v>
      </c>
      <c r="B1" s="792"/>
      <c r="C1" s="792"/>
      <c r="D1" s="792"/>
      <c r="E1" s="792"/>
      <c r="F1" s="792"/>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13" customWidth="1"/>
    <col min="2" max="2" width="8.85546875" style="513"/>
    <col min="3" max="3" width="14.140625" style="513" bestFit="1" customWidth="1"/>
    <col min="4" max="5" width="8.85546875" style="513"/>
    <col min="6" max="6" width="18.5703125" style="513" customWidth="1"/>
    <col min="7" max="7" width="8.85546875" style="513"/>
    <col min="8" max="8" width="15.28515625" style="513" customWidth="1"/>
    <col min="9" max="16384" width="8.85546875" style="513"/>
  </cols>
  <sheetData>
    <row r="2" spans="1:11" ht="36.6" customHeight="1">
      <c r="A2" s="793" t="s">
        <v>731</v>
      </c>
      <c r="B2" s="793"/>
      <c r="C2" s="793"/>
      <c r="D2" s="793"/>
      <c r="E2" s="793"/>
      <c r="F2" s="793"/>
      <c r="G2" s="793"/>
      <c r="H2" s="793"/>
      <c r="I2" s="793"/>
      <c r="J2" s="512"/>
      <c r="K2" s="512"/>
    </row>
    <row r="4" spans="1:11" s="514" customFormat="1" ht="20.45" customHeight="1">
      <c r="B4" s="514" t="s">
        <v>732</v>
      </c>
      <c r="C4" s="514" t="e">
        <f>عقد!C9</f>
        <v>#N/A</v>
      </c>
    </row>
    <row r="5" spans="1:11" s="514" customFormat="1" ht="10.15" customHeight="1"/>
    <row r="6" spans="1:11" s="514" customFormat="1" ht="20.25">
      <c r="B6" s="514" t="s">
        <v>733</v>
      </c>
      <c r="G6" s="794" t="s">
        <v>639</v>
      </c>
      <c r="H6" s="794"/>
    </row>
    <row r="7" spans="1:11" s="514" customFormat="1" ht="10.15" customHeight="1"/>
    <row r="8" spans="1:11" s="514" customFormat="1" ht="20.25">
      <c r="B8" s="514" t="s">
        <v>734</v>
      </c>
      <c r="C8" s="795"/>
      <c r="D8" s="795"/>
      <c r="E8" s="795"/>
      <c r="F8" s="795"/>
      <c r="G8" s="795"/>
      <c r="H8" s="795"/>
    </row>
    <row r="9" spans="1:11" s="514" customFormat="1" ht="20.25"/>
    <row r="10" spans="1:11" s="514" customFormat="1" ht="20.25"/>
    <row r="11" spans="1:11" s="514" customFormat="1" ht="20.25">
      <c r="F11" s="514" t="s">
        <v>735</v>
      </c>
    </row>
    <row r="12" spans="1:11" s="514" customFormat="1" ht="20.25">
      <c r="F12" s="515" t="s">
        <v>736</v>
      </c>
    </row>
    <row r="13" spans="1:11" s="514" customFormat="1" ht="20.25"/>
    <row r="14" spans="1:11" s="514" customFormat="1" ht="20.25">
      <c r="E14" s="516" t="s">
        <v>737</v>
      </c>
      <c r="F14" s="796" t="e">
        <f>عقد!C10</f>
        <v>#N/A</v>
      </c>
      <c r="G14" s="796"/>
    </row>
    <row r="15" spans="1:11" s="514" customFormat="1" ht="20.25">
      <c r="E15" s="516" t="s">
        <v>738</v>
      </c>
      <c r="F15" s="797" t="str">
        <f>عقد!L14</f>
        <v/>
      </c>
      <c r="G15" s="797"/>
    </row>
    <row r="16" spans="1:11" s="514" customFormat="1" ht="20.25"/>
    <row r="17" s="514" customFormat="1" ht="20.25"/>
    <row r="18" s="514" customFormat="1" ht="20.25"/>
    <row r="19" s="514" customFormat="1" ht="20.25"/>
    <row r="20" s="514" customFormat="1" ht="20.25"/>
    <row r="21" s="514" customFormat="1" ht="20.25"/>
    <row r="22" s="514" customFormat="1" ht="20.25"/>
    <row r="23" s="514" customFormat="1" ht="20.25"/>
    <row r="24" s="514" customFormat="1" ht="20.25"/>
    <row r="25" s="514" customFormat="1" ht="20.25"/>
    <row r="26" s="514" customFormat="1" ht="20.25"/>
    <row r="27" s="514" customFormat="1" ht="20.25"/>
    <row r="28" s="514" customFormat="1" ht="20.25"/>
    <row r="29" s="514" customFormat="1" ht="20.25"/>
    <row r="30" s="514"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01" t="s">
        <v>45</v>
      </c>
      <c r="C1" s="801"/>
      <c r="D1" s="801"/>
      <c r="E1" s="801"/>
      <c r="F1" s="801"/>
      <c r="G1" s="801"/>
      <c r="H1" s="801"/>
      <c r="I1" s="801"/>
      <c r="J1" s="12"/>
      <c r="K1" s="12"/>
    </row>
    <row r="2" spans="1:15" ht="18.75" thickTop="1">
      <c r="A2" s="799" t="s">
        <v>59</v>
      </c>
      <c r="B2" s="803" t="s">
        <v>29</v>
      </c>
      <c r="C2" s="805" t="s">
        <v>30</v>
      </c>
      <c r="D2" s="807" t="s">
        <v>39</v>
      </c>
      <c r="E2" s="807" t="s">
        <v>40</v>
      </c>
      <c r="F2" s="807" t="s">
        <v>41</v>
      </c>
      <c r="G2" s="809" t="s">
        <v>42</v>
      </c>
      <c r="H2" s="810"/>
      <c r="I2" s="811"/>
      <c r="J2" s="814"/>
      <c r="K2" s="812" t="s">
        <v>44</v>
      </c>
      <c r="L2" s="802" t="s">
        <v>61</v>
      </c>
      <c r="M2" s="798" t="s">
        <v>62</v>
      </c>
    </row>
    <row r="3" spans="1:15" ht="18.75" thickBot="1">
      <c r="A3" s="800"/>
      <c r="B3" s="804"/>
      <c r="C3" s="806"/>
      <c r="D3" s="808"/>
      <c r="E3" s="808"/>
      <c r="F3" s="808"/>
      <c r="G3" s="28" t="s">
        <v>33</v>
      </c>
      <c r="H3" s="29" t="s">
        <v>32</v>
      </c>
      <c r="I3" s="30" t="s">
        <v>31</v>
      </c>
      <c r="J3" s="814"/>
      <c r="K3" s="813"/>
      <c r="L3" s="802"/>
      <c r="M3" s="79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2025-08-13T04:30:11Z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