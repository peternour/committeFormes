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Update_Aug_2025\"/>
    </mc:Choice>
  </mc:AlternateContent>
  <bookViews>
    <workbookView xWindow="0" yWindow="6750" windowWidth="21600" windowHeight="9810"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<sst xmlns="http://schemas.openxmlformats.org/spreadsheetml/2006/main" count="8086" uniqueCount="741">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</sst>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5">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92" fillId="0" borderId="0" xfId="46" applyFont="1" applyAlignment="1" applyProtection="1">
      <alignment horizontal="right"/>
      <protection locked="0"/>
    </xf>
    <xf numFmtId="0" fontId="25" fillId="0" borderId="0" xfId="46" applyFont="1" applyAlignment="1" applyProtection="1">
      <alignment horizontal="right"/>
      <protection locked="0"/>
    </xf>
    <xf numFmtId="0" fontId="95" fillId="0" borderId="0" xfId="46" applyFont="1" applyAlignment="1" applyProtection="1">
      <alignment horizontal="right"/>
      <protection locked="0"/>
    </xf>
    <xf numFmtId="0" fontId="89" fillId="0" borderId="0" xfId="46" applyFont="1" applyFill="1" applyAlignment="1" applyProtection="1">
      <alignment horizontal="right" vertical="center" shrinkToFit="1"/>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0" fontId="107" fillId="40" borderId="60" xfId="48" applyNumberFormat="1" applyFont="1" applyFill="1" applyBorder="1" applyAlignment="1" applyProtection="1">
      <alignment horizontal="right" vertical="center" shrinkToFit="1"/>
      <protection locked="0"/>
    </xf>
    <xf numFmtId="0" fontId="82" fillId="41" borderId="60" xfId="46" applyFont="1" applyFill="1" applyBorder="1" applyAlignment="1" applyProtection="1">
      <alignment horizontal="right" vertical="center"/>
      <protection locked="0"/>
    </xf>
    <xf numFmtId="1" fontId="82" fillId="41" borderId="60" xfId="46" applyNumberFormat="1" applyFont="1" applyFill="1" applyBorder="1" applyAlignment="1" applyProtection="1">
      <alignment horizontal="right" vertical="center"/>
      <protection locked="0"/>
    </xf>
    <xf numFmtId="0" fontId="82" fillId="41" borderId="60" xfId="46" applyFont="1" applyFill="1" applyBorder="1" applyAlignment="1" applyProtection="1">
      <alignment horizontal="right"/>
      <protection locked="0"/>
    </xf>
    <xf numFmtId="0" fontId="85" fillId="41" borderId="60" xfId="46" applyFont="1" applyFill="1" applyBorder="1" applyAlignment="1" applyProtection="1">
      <alignment horizontal="right"/>
      <protection locked="0"/>
    </xf>
    <xf numFmtId="0" fontId="85" fillId="41" borderId="60" xfId="46" applyFont="1" applyFill="1" applyBorder="1" applyAlignment="1" applyProtection="1">
      <alignment horizontal="right" vertical="center"/>
      <protection locked="0"/>
    </xf>
    <xf numFmtId="1" fontId="128" fillId="0" borderId="60" xfId="46" applyNumberFormat="1" applyFont="1" applyFill="1" applyBorder="1" applyAlignment="1" applyProtection="1">
      <alignment horizontal="right" vertical="center" shrinkToFit="1"/>
      <protection locked="0"/>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8">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4"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tabSelected="1" view="pageBreakPreview" zoomScaleNormal="100" zoomScaleSheetLayoutView="100" workbookViewId="0">
      <selection activeCell="P3" sqref="P3:P5"/>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7" ht="26.45" customHeight="1" thickBot="1">
      <c r="L1" s="69" t="s">
        <v>0</v>
      </c>
      <c r="M1" s="510">
        <f>P3</f>
        <v>0</v>
      </c>
    </row>
    <row r="2" spans="1:17" ht="33" customHeight="1" thickTop="1" thickBot="1">
      <c r="A2" s="70"/>
      <c r="B2" s="597" t="s">
        <v>165</v>
      </c>
      <c r="C2" s="598"/>
      <c r="D2" s="598"/>
      <c r="E2" s="598"/>
      <c r="F2" s="71"/>
      <c r="G2" s="71"/>
      <c r="H2" s="71"/>
      <c r="I2" s="71"/>
      <c r="J2" s="71"/>
      <c r="K2" s="71"/>
      <c r="L2" s="71"/>
      <c r="M2" s="71"/>
      <c r="N2" s="72"/>
    </row>
    <row r="3" spans="1:17" ht="19.899999999999999" customHeight="1">
      <c r="A3" s="73"/>
      <c r="B3" s="599" t="s">
        <v>164</v>
      </c>
      <c r="C3" s="600"/>
      <c r="D3" s="600"/>
      <c r="E3" s="600"/>
      <c r="N3" s="74"/>
      <c r="P3" s="562"/>
    </row>
    <row r="4" spans="1:17" ht="23.45" customHeight="1">
      <c r="A4" s="73"/>
      <c r="B4" s="137"/>
      <c r="C4" s="577" t="str">
        <f>"مشروع"&amp;" "&amp;IFERROR(INDEX(تفصيلي!Q6:Q205,MATCH(عقد!M1,تفصيلي!B6:B205,0)),"")</f>
        <v xml:space="preserve">مشروع </v>
      </c>
      <c r="D4" s="577"/>
      <c r="E4" s="577"/>
      <c r="N4" s="74"/>
      <c r="P4" s="563"/>
    </row>
    <row r="5" spans="1:17" ht="31.9" customHeight="1" thickBot="1">
      <c r="A5" s="73"/>
      <c r="E5" s="565" t="s">
        <v>137</v>
      </c>
      <c r="F5" s="565"/>
      <c r="G5" s="565"/>
      <c r="H5" s="565"/>
      <c r="I5" s="565"/>
      <c r="J5" s="565"/>
      <c r="N5" s="74"/>
      <c r="P5" s="564"/>
      <c r="Q5" s="135"/>
    </row>
    <row r="6" spans="1:17" ht="6.6" customHeight="1">
      <c r="A6" s="73"/>
      <c r="N6" s="74"/>
    </row>
    <row r="7" spans="1:17" ht="24.6" customHeight="1">
      <c r="A7" s="73"/>
      <c r="B7" s="127" t="s">
        <v>190</v>
      </c>
      <c r="C7" s="136">
        <f>E7</f>
        <v>0</v>
      </c>
      <c r="D7" s="75" t="s">
        <v>188</v>
      </c>
      <c r="E7" s="576"/>
      <c r="F7" s="576"/>
      <c r="G7" s="566" t="s">
        <v>189</v>
      </c>
      <c r="H7" s="566"/>
      <c r="I7" s="566"/>
      <c r="J7" s="566"/>
      <c r="K7" s="566"/>
      <c r="L7" s="566"/>
      <c r="M7" s="566"/>
      <c r="N7" s="74"/>
    </row>
    <row r="8" spans="1:17" ht="65.45" customHeight="1">
      <c r="A8" s="73"/>
      <c r="B8" s="566" t="s">
        <v>166</v>
      </c>
      <c r="C8" s="566"/>
      <c r="D8" s="566"/>
      <c r="E8" s="566"/>
      <c r="F8" s="566"/>
      <c r="G8" s="566"/>
      <c r="H8" s="566"/>
      <c r="I8" s="566"/>
      <c r="J8" s="566"/>
      <c r="K8" s="566"/>
      <c r="L8" s="566"/>
      <c r="M8" s="566"/>
      <c r="N8" s="74"/>
    </row>
    <row r="9" spans="1:17" ht="25.9" customHeight="1">
      <c r="A9" s="73"/>
      <c r="B9" s="69" t="s">
        <v>138</v>
      </c>
      <c r="C9" s="566" t="e">
        <f>INDEX(تفصيلي!C6:C205,MATCH(عقد!M1,تفصيلي!B6:B205,0))</f>
        <v>#N/A</v>
      </c>
      <c r="D9" s="566"/>
      <c r="E9" s="566"/>
      <c r="F9" s="566"/>
      <c r="G9" s="566"/>
      <c r="H9" s="566"/>
      <c r="I9" s="566"/>
      <c r="J9" s="566"/>
      <c r="K9" s="566"/>
      <c r="L9" s="568" t="str" cm="1">
        <f t="array" ref="L9">IFERROR(GenerateQR(D12),"")</f>
        <v/>
      </c>
      <c r="M9" s="569"/>
      <c r="N9" s="74"/>
    </row>
    <row r="10" spans="1:17" ht="25.9" customHeight="1">
      <c r="A10" s="73"/>
      <c r="B10" s="69" t="s">
        <v>139</v>
      </c>
      <c r="C10" s="567" t="e">
        <f>INDEX(تفصيلي!E6:E205,MATCH(عقد!M1,تفصيلي!B6:B205,0))</f>
        <v>#N/A</v>
      </c>
      <c r="D10" s="567"/>
      <c r="E10" s="567"/>
      <c r="F10" s="567"/>
      <c r="G10" s="567"/>
      <c r="H10" s="69" t="s">
        <v>140</v>
      </c>
      <c r="I10" s="566" t="str">
        <f>IFERROR(VLOOKUP($M$1,تفصيلي!B6:T205,5,FALSE),"")</f>
        <v/>
      </c>
      <c r="J10" s="566"/>
      <c r="K10" s="566"/>
      <c r="L10" s="570"/>
      <c r="M10" s="571"/>
      <c r="N10" s="74"/>
    </row>
    <row r="11" spans="1:17" ht="25.15" customHeight="1">
      <c r="A11" s="73"/>
      <c r="B11" s="76" t="s">
        <v>141</v>
      </c>
      <c r="C11" s="574" t="e">
        <f>INDEX(تفصيلي!G6:G205,MATCH(عقد!M1,تفصيلي!B6:B205,0))</f>
        <v>#N/A</v>
      </c>
      <c r="D11" s="574"/>
      <c r="E11" s="574"/>
      <c r="F11" s="574"/>
      <c r="G11" s="574"/>
      <c r="H11" s="574"/>
      <c r="I11" s="574"/>
      <c r="J11" s="574"/>
      <c r="K11" s="574"/>
      <c r="L11" s="570"/>
      <c r="M11" s="571"/>
      <c r="N11" s="74"/>
    </row>
    <row r="12" spans="1:17" ht="25.9" customHeight="1">
      <c r="A12" s="73"/>
      <c r="B12" s="566" t="s">
        <v>142</v>
      </c>
      <c r="C12" s="566"/>
      <c r="D12" s="575" t="e">
        <f>INDEX(تفصيلي!AX6:AX205,MATCH(عقد!M1,تفصيلي!B6:B205,0))</f>
        <v>#N/A</v>
      </c>
      <c r="E12" s="575"/>
      <c r="F12" s="575"/>
      <c r="G12" s="575"/>
      <c r="H12" s="575"/>
      <c r="I12" s="575"/>
      <c r="L12" s="572"/>
      <c r="M12" s="573"/>
      <c r="N12" s="74"/>
    </row>
    <row r="13" spans="1:17" ht="25.9" customHeight="1">
      <c r="A13" s="73"/>
      <c r="B13" s="566" t="s">
        <v>191</v>
      </c>
      <c r="C13" s="566"/>
      <c r="D13" s="566" t="e">
        <f>INDEX(تفصيلي!D6:D205,MATCH(عقد!M1,تفصيلي!B6:B205,0))</f>
        <v>#N/A</v>
      </c>
      <c r="E13" s="566"/>
      <c r="F13" s="566"/>
      <c r="G13" s="578" t="s">
        <v>144</v>
      </c>
      <c r="H13" s="578"/>
      <c r="I13" s="579" t="str">
        <f t="shared" ref="I13" si="0">IFERROR(DATE(IF(LEFT($C$10,1)*1=3,20,19)&amp;MID($C$10,2,2),MID($C$10,4,2),MID($C$10,6,2)),"")</f>
        <v/>
      </c>
      <c r="J13" s="579"/>
      <c r="K13" s="579"/>
      <c r="L13" s="127" t="s">
        <v>143</v>
      </c>
      <c r="M13" s="77" t="str">
        <f ca="1">IFERROR(DATEDIF(I13,TODAY(),"Y")&amp;"  سنة ","")</f>
        <v/>
      </c>
      <c r="N13" s="74"/>
    </row>
    <row r="14" spans="1:17" ht="25.9" customHeight="1">
      <c r="A14" s="73"/>
      <c r="B14" s="580" t="s">
        <v>145</v>
      </c>
      <c r="C14" s="580"/>
      <c r="D14" s="580"/>
      <c r="E14" s="581" t="e">
        <f>INDEX(تفصيلي!AY6:AY205,MATCH(عقد!M1,تفصيلي!B6:B205,0))</f>
        <v>#N/A</v>
      </c>
      <c r="F14" s="581"/>
      <c r="G14" s="581"/>
      <c r="H14" s="581"/>
      <c r="I14" s="581"/>
      <c r="J14" s="578" t="s">
        <v>146</v>
      </c>
      <c r="K14" s="578"/>
      <c r="L14" s="582" t="str">
        <f>IFERROR(INDEX(تفصيلي!H6:H205,MATCH(عقد!M1,تفصيلي!B6:B205,0)),"")</f>
        <v/>
      </c>
      <c r="M14" s="582"/>
      <c r="N14" s="74"/>
    </row>
    <row r="15" spans="1:17" ht="28.9" customHeight="1">
      <c r="A15" s="73"/>
      <c r="B15" s="69" t="s">
        <v>147</v>
      </c>
      <c r="C15" s="566" t="e">
        <f>INDEX(تفصيلي!N6:N205,MATCH(عقد!M1,تفصيلي!B6:B205,0))</f>
        <v>#N/A</v>
      </c>
      <c r="D15" s="566"/>
      <c r="E15" s="566"/>
      <c r="F15" s="566"/>
      <c r="G15" s="566"/>
      <c r="H15" s="566"/>
      <c r="I15" s="566"/>
      <c r="J15" s="566"/>
      <c r="K15" s="566"/>
      <c r="L15" s="566"/>
      <c r="M15" s="566" t="s">
        <v>148</v>
      </c>
      <c r="N15" s="584"/>
    </row>
    <row r="16" spans="1:17" ht="273.60000000000002" customHeight="1">
      <c r="A16" s="73"/>
      <c r="B16" s="566" t="s">
        <v>170</v>
      </c>
      <c r="C16" s="566"/>
      <c r="D16" s="566"/>
      <c r="E16" s="566"/>
      <c r="F16" s="566"/>
      <c r="G16" s="566"/>
      <c r="H16" s="566"/>
      <c r="I16" s="566"/>
      <c r="J16" s="566"/>
      <c r="K16" s="566"/>
      <c r="L16" s="566"/>
      <c r="M16" s="566"/>
      <c r="N16" s="74"/>
    </row>
    <row r="17" spans="1:14" ht="25.9" customHeight="1">
      <c r="A17" s="73"/>
      <c r="B17" s="566" t="s">
        <v>149</v>
      </c>
      <c r="C17" s="566"/>
      <c r="D17" s="566"/>
      <c r="E17" s="581" t="str">
        <f>IFERROR(VLOOKUP($M$1,تفصيلي!B6:R205,9,FALSE) &amp; " / "&amp;VLOOKUP($M$1,تفصيلي!B6:R205,10,FALSE),"")</f>
        <v/>
      </c>
      <c r="F17" s="581"/>
      <c r="G17" s="581"/>
      <c r="H17" s="578" t="s">
        <v>150</v>
      </c>
      <c r="I17" s="578"/>
      <c r="J17" s="578"/>
      <c r="K17" s="583" t="e">
        <f>INDEX(تفصيلي!M6:M205,MATCH(M1,تفصيلي!B6:B205,0))</f>
        <v>#N/A</v>
      </c>
      <c r="L17" s="583"/>
      <c r="M17" s="583"/>
      <c r="N17" s="74"/>
    </row>
    <row r="18" spans="1:14" ht="37.15" customHeight="1">
      <c r="A18" s="73"/>
      <c r="B18" s="566" t="s">
        <v>151</v>
      </c>
      <c r="C18" s="566"/>
      <c r="D18" s="566"/>
      <c r="E18" s="566"/>
      <c r="F18" s="566"/>
      <c r="G18" s="566"/>
      <c r="H18" s="566"/>
      <c r="I18" s="566"/>
      <c r="J18" s="566"/>
      <c r="K18" s="566"/>
      <c r="L18" s="566"/>
      <c r="M18" s="566"/>
      <c r="N18" s="74"/>
    </row>
    <row r="19" spans="1:14" ht="25.9" customHeight="1">
      <c r="A19" s="73"/>
      <c r="B19" s="566" t="s">
        <v>192</v>
      </c>
      <c r="C19" s="566"/>
      <c r="D19" s="566"/>
      <c r="E19" s="566"/>
      <c r="F19" s="566"/>
      <c r="G19" s="566"/>
      <c r="H19" s="566"/>
      <c r="I19" s="566"/>
      <c r="J19" s="566"/>
      <c r="K19" s="585" t="str">
        <f>IFERROR(VLOOKUP($M$1,تفصيلي!B6:O205,14,FALSE),"")</f>
        <v/>
      </c>
      <c r="L19" s="585"/>
      <c r="M19" s="69" t="s">
        <v>152</v>
      </c>
      <c r="N19" s="74"/>
    </row>
    <row r="20" spans="1:14" ht="25.9" customHeight="1">
      <c r="A20" s="73"/>
      <c r="B20" s="586" t="e">
        <f>" ( " &amp;NumberToText(K19,"جنيها","")&amp;" ) "</f>
        <v>#VALUE!</v>
      </c>
      <c r="C20" s="586"/>
      <c r="D20" s="586"/>
      <c r="E20" s="586"/>
      <c r="F20" s="586"/>
      <c r="G20" s="587" t="s">
        <v>153</v>
      </c>
      <c r="H20" s="587"/>
      <c r="I20" s="587"/>
      <c r="J20" s="587"/>
      <c r="K20" s="585" t="e">
        <f>C22-K19</f>
        <v>#VALUE!</v>
      </c>
      <c r="L20" s="585"/>
      <c r="M20" s="69" t="s">
        <v>152</v>
      </c>
      <c r="N20" s="74"/>
    </row>
    <row r="21" spans="1:14" ht="25.9" customHeight="1">
      <c r="A21" s="73"/>
      <c r="B21" s="586" t="e">
        <f>" ( " &amp;NumberToText(K20,"جنيها","")&amp;" ) "</f>
        <v>#VALUE!</v>
      </c>
      <c r="C21" s="586"/>
      <c r="D21" s="586"/>
      <c r="E21" s="586"/>
      <c r="F21" s="586"/>
      <c r="G21" s="580" t="s">
        <v>154</v>
      </c>
      <c r="H21" s="580"/>
      <c r="I21" s="451" t="str">
        <f>IFERROR(VLOOKUP($M$1,تفصيلي!$B$6:$V$205,21,FALSE),"")</f>
        <v/>
      </c>
      <c r="J21" s="592" t="s">
        <v>193</v>
      </c>
      <c r="K21" s="592"/>
      <c r="L21" s="592"/>
      <c r="M21" s="592"/>
      <c r="N21" s="74"/>
    </row>
    <row r="22" spans="1:14" ht="25.9" customHeight="1">
      <c r="A22" s="73"/>
      <c r="B22" s="69" t="s">
        <v>155</v>
      </c>
      <c r="C22" s="585" t="str">
        <f>IFERROR(VLOOKUP($M$1,تفصيلي!B6:T205,19,FALSE),"")</f>
        <v/>
      </c>
      <c r="D22" s="585"/>
      <c r="E22" s="69" t="s">
        <v>35</v>
      </c>
      <c r="F22" s="586" t="e">
        <f>" ( " &amp;NumberToText(C22,"جنيها","")&amp;" ) "</f>
        <v>#VALUE!</v>
      </c>
      <c r="G22" s="586"/>
      <c r="H22" s="586"/>
      <c r="I22" s="586"/>
      <c r="J22" s="586"/>
      <c r="K22" s="592" t="s">
        <v>194</v>
      </c>
      <c r="L22" s="592"/>
      <c r="M22" s="592"/>
      <c r="N22" s="74"/>
    </row>
    <row r="23" spans="1:14" ht="25.9" customHeight="1">
      <c r="A23" s="73"/>
      <c r="B23" s="452" t="str">
        <f>IFERROR(VLOOKUP($M$1,تفصيلي!B6:T205,15,FALSE),"")</f>
        <v/>
      </c>
      <c r="C23" s="566" t="s">
        <v>156</v>
      </c>
      <c r="D23" s="566"/>
      <c r="E23" s="566"/>
      <c r="F23" s="566"/>
      <c r="G23" s="566"/>
      <c r="H23" s="566"/>
      <c r="I23" s="566"/>
      <c r="J23" s="566"/>
      <c r="K23" s="566"/>
      <c r="L23" s="566"/>
      <c r="M23" s="566"/>
      <c r="N23" s="74"/>
    </row>
    <row r="24" spans="1:14" ht="25.9" customHeight="1">
      <c r="A24" s="73"/>
      <c r="B24" s="580" t="s">
        <v>157</v>
      </c>
      <c r="C24" s="580"/>
      <c r="D24" s="580"/>
      <c r="E24" s="580"/>
      <c r="F24" s="580"/>
      <c r="G24" s="580"/>
      <c r="H24" s="580"/>
      <c r="I24" s="580"/>
      <c r="J24" s="580"/>
      <c r="K24" s="588" t="str">
        <f>IFERROR(VLOOKUP($M$1,تفصيلي!B6:T205,17,FALSE),"")</f>
        <v/>
      </c>
      <c r="L24" s="588"/>
      <c r="M24" s="588"/>
      <c r="N24" s="74"/>
    </row>
    <row r="25" spans="1:14" ht="46.15" customHeight="1">
      <c r="A25" s="73"/>
      <c r="B25" s="566" t="s">
        <v>171</v>
      </c>
      <c r="C25" s="566"/>
      <c r="D25" s="566"/>
      <c r="E25" s="566"/>
      <c r="F25" s="566"/>
      <c r="G25" s="566"/>
      <c r="H25" s="566"/>
      <c r="I25" s="566"/>
      <c r="J25" s="566"/>
      <c r="K25" s="566"/>
      <c r="L25" s="566"/>
      <c r="M25" s="566"/>
      <c r="N25" s="74"/>
    </row>
    <row r="26" spans="1:14" ht="25.9" customHeight="1">
      <c r="A26" s="73"/>
      <c r="F26" s="589" t="s">
        <v>196</v>
      </c>
      <c r="G26" s="589"/>
      <c r="H26" s="589"/>
      <c r="I26" s="590" t="s">
        <v>195</v>
      </c>
      <c r="J26" s="591"/>
      <c r="K26" s="591"/>
      <c r="L26" s="591"/>
      <c r="M26" s="591"/>
      <c r="N26" s="74"/>
    </row>
    <row r="27" spans="1:14" ht="110.45"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66" t="s">
        <v>197</v>
      </c>
      <c r="C31" s="566"/>
      <c r="D31" s="566"/>
      <c r="E31" s="566"/>
      <c r="F31" s="566"/>
      <c r="G31" s="566"/>
      <c r="H31" s="566"/>
      <c r="I31" s="566"/>
      <c r="J31" s="566"/>
      <c r="K31" s="566"/>
      <c r="L31" s="566"/>
      <c r="M31" s="566"/>
      <c r="N31" s="74"/>
    </row>
    <row r="32" spans="1:14" ht="122.45" customHeight="1">
      <c r="A32" s="73"/>
      <c r="B32" s="566" t="s">
        <v>198</v>
      </c>
      <c r="C32" s="566"/>
      <c r="D32" s="566"/>
      <c r="E32" s="566"/>
      <c r="F32" s="566"/>
      <c r="G32" s="566"/>
      <c r="H32" s="566"/>
      <c r="I32" s="566"/>
      <c r="J32" s="566"/>
      <c r="K32" s="566"/>
      <c r="L32" s="566"/>
      <c r="M32" s="566"/>
      <c r="N32" s="74"/>
    </row>
    <row r="33" spans="1:14" ht="105.6" customHeight="1">
      <c r="A33" s="73"/>
      <c r="B33" s="566" t="s">
        <v>163</v>
      </c>
      <c r="C33" s="566"/>
      <c r="D33" s="566"/>
      <c r="E33" s="566"/>
      <c r="F33" s="566"/>
      <c r="G33" s="566"/>
      <c r="H33" s="566"/>
      <c r="I33" s="566"/>
      <c r="J33" s="566"/>
      <c r="K33" s="566"/>
      <c r="L33" s="566"/>
      <c r="M33" s="566"/>
      <c r="N33" s="74"/>
    </row>
    <row r="34" spans="1:14" ht="138" customHeight="1">
      <c r="A34" s="73"/>
      <c r="B34" s="603" t="s">
        <v>696</v>
      </c>
      <c r="C34" s="603"/>
      <c r="D34" s="603"/>
      <c r="E34" s="603"/>
      <c r="F34" s="603"/>
      <c r="G34" s="603"/>
      <c r="H34" s="603"/>
      <c r="I34" s="603"/>
      <c r="J34" s="603"/>
      <c r="K34" s="603"/>
      <c r="L34" s="603"/>
      <c r="M34" s="603"/>
      <c r="N34" s="74"/>
    </row>
    <row r="35" spans="1:14" ht="124.15" customHeight="1">
      <c r="A35" s="73"/>
      <c r="B35" s="566" t="s">
        <v>199</v>
      </c>
      <c r="C35" s="566"/>
      <c r="D35" s="566"/>
      <c r="E35" s="566"/>
      <c r="F35" s="566"/>
      <c r="G35" s="566"/>
      <c r="H35" s="566"/>
      <c r="I35" s="566"/>
      <c r="J35" s="566"/>
      <c r="K35" s="566"/>
      <c r="L35" s="566"/>
      <c r="M35" s="566"/>
      <c r="N35" s="74"/>
    </row>
    <row r="36" spans="1:14" ht="43.9" customHeight="1">
      <c r="A36" s="73"/>
      <c r="B36" s="566" t="s">
        <v>158</v>
      </c>
      <c r="C36" s="566"/>
      <c r="D36" s="566"/>
      <c r="E36" s="566"/>
      <c r="F36" s="566"/>
      <c r="G36" s="566"/>
      <c r="H36" s="566"/>
      <c r="I36" s="566"/>
      <c r="J36" s="566"/>
      <c r="K36" s="566"/>
      <c r="L36" s="566"/>
      <c r="M36" s="566"/>
      <c r="N36" s="74"/>
    </row>
    <row r="37" spans="1:14" ht="25.9" customHeight="1">
      <c r="A37" s="73"/>
      <c r="B37" s="589" t="s">
        <v>159</v>
      </c>
      <c r="C37" s="589"/>
      <c r="D37" s="589"/>
      <c r="E37" s="589"/>
      <c r="F37" s="589"/>
      <c r="G37" s="589"/>
      <c r="H37" s="589"/>
      <c r="I37" s="589"/>
      <c r="J37" s="589"/>
      <c r="K37" s="589"/>
      <c r="L37" s="589"/>
      <c r="M37" s="589"/>
      <c r="N37" s="74"/>
    </row>
    <row r="38" spans="1:14" ht="43.9" customHeight="1">
      <c r="A38" s="73"/>
      <c r="B38" s="78" t="s">
        <v>160</v>
      </c>
      <c r="C38" s="601" t="s">
        <v>161</v>
      </c>
      <c r="D38" s="601"/>
      <c r="E38" s="601"/>
      <c r="F38" s="601"/>
      <c r="G38" s="79"/>
      <c r="H38" s="79"/>
      <c r="I38" s="78" t="s">
        <v>160</v>
      </c>
      <c r="J38" s="590" t="s">
        <v>200</v>
      </c>
      <c r="K38" s="590"/>
      <c r="L38" s="590"/>
      <c r="M38" s="590"/>
      <c r="N38" s="74"/>
    </row>
    <row r="39" spans="1:14" ht="37.9" customHeight="1">
      <c r="A39" s="73"/>
      <c r="I39" s="593" t="s">
        <v>139</v>
      </c>
      <c r="J39" s="593"/>
      <c r="K39" s="602" t="e">
        <f>C10</f>
        <v>#N/A</v>
      </c>
      <c r="L39" s="602"/>
      <c r="M39" s="602"/>
      <c r="N39" s="74"/>
    </row>
    <row r="40" spans="1:14" ht="46.15" customHeight="1">
      <c r="A40" s="73"/>
      <c r="B40" s="595" t="s">
        <v>162</v>
      </c>
      <c r="C40" s="595"/>
      <c r="D40" s="590" t="s">
        <v>161</v>
      </c>
      <c r="E40" s="590"/>
      <c r="F40" s="590"/>
      <c r="G40" s="590"/>
      <c r="H40" s="590"/>
      <c r="I40" s="596" t="s">
        <v>201</v>
      </c>
      <c r="J40" s="596"/>
      <c r="K40" s="596"/>
      <c r="L40" s="596"/>
      <c r="M40" s="596"/>
      <c r="N40" s="74"/>
    </row>
    <row r="41" spans="1:14" ht="40.15" customHeight="1">
      <c r="A41" s="73"/>
      <c r="B41" s="593" t="s">
        <v>139</v>
      </c>
      <c r="C41" s="593"/>
      <c r="D41" s="594" t="str">
        <f>IFERROR(VLOOKUP($M$1,تفصيلي!B6:AW205,25,FALSE),"")</f>
        <v/>
      </c>
      <c r="E41" s="594"/>
      <c r="F41" s="594"/>
      <c r="G41" s="594"/>
      <c r="I41" s="593" t="s">
        <v>139</v>
      </c>
      <c r="J41" s="593"/>
      <c r="K41" s="594" t="str">
        <f>IFERROR(VLOOKUP($M$1,تفصيلي!B6:AW205,31,FALSE),"")</f>
        <v/>
      </c>
      <c r="L41" s="594"/>
      <c r="M41" s="594"/>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168</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27"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D6" activePane="bottomRight" state="frozen"/>
      <selection activeCell="C7" sqref="C7:K7"/>
      <selection pane="topRight" activeCell="C7" sqref="C7:K7"/>
      <selection pane="bottomLeft" activeCell="C7" sqref="C7:K7"/>
      <selection pane="bottomRight" activeCell="B6" sqref="B6"/>
    </sheetView>
  </sheetViews>
  <sheetFormatPr defaultColWidth="9.140625" defaultRowHeight="18.75"/>
  <cols>
    <col min="1" max="1" width="5.85546875" style="185" bestFit="1" customWidth="1"/>
    <col min="2" max="2" width="16.28515625" style="363" bestFit="1" customWidth="1"/>
    <col min="3" max="3" width="49" style="255" customWidth="1"/>
    <col min="4" max="4" width="51.28515625" style="190" customWidth="1"/>
    <col min="5" max="5" width="24.5703125" style="381" customWidth="1"/>
    <col min="6" max="6" width="8.42578125" style="256" customWidth="1"/>
    <col min="7" max="7" width="43" style="185" customWidth="1"/>
    <col min="8" max="8" width="23.5703125" style="188" customWidth="1"/>
    <col min="9" max="9" width="16.140625" style="188" customWidth="1"/>
    <col min="10" max="10" width="25.140625" style="255" customWidth="1"/>
    <col min="11" max="11" width="38.28515625" style="255" bestFit="1" customWidth="1"/>
    <col min="12" max="12" width="34" style="255" bestFit="1" customWidth="1"/>
    <col min="13" max="13" width="21.28515625" style="185" customWidth="1"/>
    <col min="14" max="14" width="102" style="255" bestFit="1" customWidth="1"/>
    <col min="15" max="15" width="10.7109375" style="369" customWidth="1"/>
    <col min="16" max="16" width="9.28515625" style="370" customWidth="1"/>
    <col min="17" max="17" width="36.85546875" style="257" customWidth="1"/>
    <col min="18" max="18" width="22.28515625" style="258" customWidth="1"/>
    <col min="19" max="19" width="23.28515625" style="258" customWidth="1"/>
    <col min="20" max="21" width="14.5703125" style="301" customWidth="1"/>
    <col min="22" max="22" width="14.5703125" style="273" customWidth="1"/>
    <col min="23" max="23" width="14.5703125" style="298" customWidth="1"/>
    <col min="24" max="24" width="32.85546875" style="185" customWidth="1"/>
    <col min="25" max="25" width="42.85546875" style="185" customWidth="1"/>
    <col min="26" max="26" width="25" style="186" customWidth="1"/>
    <col min="27" max="27" width="25" style="187" hidden="1" customWidth="1"/>
    <col min="28" max="28" width="8.42578125" style="256" customWidth="1"/>
    <col min="29" max="29" width="46.7109375" style="185" customWidth="1"/>
    <col min="30" max="30" width="31.85546875" style="185" customWidth="1"/>
    <col min="31" max="31" width="51" style="185" customWidth="1"/>
    <col min="32" max="32" width="27.28515625" style="186" customWidth="1"/>
    <col min="33" max="33" width="27.28515625" style="187" hidden="1" customWidth="1"/>
    <col min="34" max="34" width="12.42578125" style="256" customWidth="1"/>
    <col min="35" max="35" width="44.7109375" style="185" customWidth="1"/>
    <col min="36" max="36" width="31.85546875" style="185" hidden="1" customWidth="1"/>
    <col min="37" max="37" width="51" style="185" hidden="1" customWidth="1"/>
    <col min="38" max="38" width="27.28515625" style="186" hidden="1" customWidth="1"/>
    <col min="39" max="39" width="27.28515625" style="187" hidden="1" customWidth="1"/>
    <col min="40" max="40" width="9.7109375" style="256" hidden="1" customWidth="1"/>
    <col min="41" max="41" width="44.7109375" style="185" hidden="1" customWidth="1"/>
    <col min="42" max="42" width="19.5703125" style="185" customWidth="1"/>
    <col min="43" max="43" width="18.28515625" style="185" customWidth="1"/>
    <col min="44" max="44" width="12.28515625" style="185" customWidth="1"/>
    <col min="45" max="45" width="35.85546875" style="185" customWidth="1"/>
    <col min="46" max="46" width="11.42578125" style="185" customWidth="1"/>
    <col min="47" max="47" width="13.140625" style="185" customWidth="1"/>
    <col min="48" max="49" width="26.7109375" style="189" customWidth="1"/>
    <col min="50" max="50" width="11.5703125" style="433" hidden="1" customWidth="1"/>
    <col min="51" max="51" width="11.140625" style="433" hidden="1" customWidth="1"/>
    <col min="52" max="52" width="33.85546875" style="255" bestFit="1" customWidth="1"/>
    <col min="53" max="53" width="27.28515625" style="363" bestFit="1" customWidth="1"/>
    <col min="54" max="54" width="56.7109375" style="255" bestFit="1" customWidth="1"/>
    <col min="55" max="55" width="31.85546875" style="255" customWidth="1"/>
    <col min="56" max="56" width="31.85546875" style="363" customWidth="1"/>
    <col min="57" max="57" width="60.85546875" style="255" bestFit="1" customWidth="1"/>
    <col min="58" max="16384" width="9.140625" style="185"/>
  </cols>
  <sheetData>
    <row r="1" spans="1:57" s="263" customFormat="1" ht="21" customHeight="1">
      <c r="A1" s="607" t="s">
        <v>47</v>
      </c>
      <c r="B1" s="607"/>
      <c r="C1" s="607"/>
      <c r="D1" s="607"/>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12"/>
      <c r="BA1" s="512"/>
      <c r="BB1" s="512"/>
      <c r="BC1" s="512"/>
      <c r="BD1" s="512"/>
      <c r="BE1" s="512"/>
    </row>
    <row r="2" spans="1:57" s="271" customFormat="1" ht="17.45"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13"/>
      <c r="BA2" s="513"/>
      <c r="BB2" s="513"/>
      <c r="BC2" s="513"/>
      <c r="BD2" s="513"/>
      <c r="BE2" s="513"/>
    </row>
    <row r="3" spans="1:57" s="270" customFormat="1" ht="40.15" customHeight="1">
      <c r="A3" s="269"/>
      <c r="B3" s="608" t="s">
        <v>687</v>
      </c>
      <c r="C3" s="608"/>
      <c r="D3" s="608"/>
      <c r="E3" s="608"/>
      <c r="F3" s="608"/>
      <c r="G3" s="608"/>
      <c r="H3" s="608"/>
      <c r="I3" s="608"/>
      <c r="J3" s="609" t="s">
        <v>228</v>
      </c>
      <c r="K3" s="609"/>
      <c r="L3" s="609"/>
      <c r="M3" s="609"/>
      <c r="N3" s="609"/>
      <c r="O3" s="610" t="s">
        <v>229</v>
      </c>
      <c r="P3" s="610"/>
      <c r="Q3" s="610"/>
      <c r="R3" s="610"/>
      <c r="S3" s="610"/>
      <c r="T3" s="610"/>
      <c r="U3" s="610"/>
      <c r="V3" s="610"/>
      <c r="W3" s="610"/>
      <c r="X3" s="611" t="s">
        <v>230</v>
      </c>
      <c r="Y3" s="611"/>
      <c r="Z3" s="611"/>
      <c r="AA3" s="611"/>
      <c r="AB3" s="611"/>
      <c r="AC3" s="611"/>
      <c r="AD3" s="605" t="s">
        <v>231</v>
      </c>
      <c r="AE3" s="605"/>
      <c r="AF3" s="605"/>
      <c r="AG3" s="605"/>
      <c r="AH3" s="605"/>
      <c r="AI3" s="605"/>
      <c r="AJ3" s="604" t="s">
        <v>232</v>
      </c>
      <c r="AK3" s="604"/>
      <c r="AL3" s="604"/>
      <c r="AM3" s="604"/>
      <c r="AN3" s="604"/>
      <c r="AO3" s="604"/>
      <c r="AP3" s="606" t="s">
        <v>686</v>
      </c>
      <c r="AQ3" s="606"/>
      <c r="AR3" s="606"/>
      <c r="AS3" s="606"/>
      <c r="AT3" s="606"/>
      <c r="AU3" s="606"/>
      <c r="AV3" s="606"/>
      <c r="AW3" s="606"/>
      <c r="AX3" s="432"/>
      <c r="AY3" s="432"/>
      <c r="AZ3" s="514"/>
      <c r="BA3" s="514"/>
      <c r="BB3" s="514"/>
      <c r="BC3" s="514"/>
      <c r="BD3" s="514"/>
      <c r="BE3" s="514"/>
    </row>
    <row r="4" spans="1:57" s="464" customFormat="1" ht="19.5" customHeight="1">
      <c r="A4" s="453"/>
      <c r="B4" s="561">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15"/>
      <c r="BA4" s="515"/>
      <c r="BB4" s="515"/>
      <c r="BC4" s="515"/>
      <c r="BD4" s="515"/>
      <c r="BE4" s="515"/>
    </row>
    <row r="5" spans="1:57" s="358" customFormat="1" ht="29.45"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5" t="s">
        <v>725</v>
      </c>
      <c r="BA5" s="555" t="s">
        <v>726</v>
      </c>
      <c r="BB5" s="555" t="s">
        <v>727</v>
      </c>
      <c r="BC5" s="555" t="s">
        <v>728</v>
      </c>
      <c r="BD5" s="555" t="s">
        <v>729</v>
      </c>
      <c r="BE5" s="555" t="s">
        <v>730</v>
      </c>
    </row>
    <row r="6" spans="1:57" s="191" customFormat="1" ht="21.6" customHeight="1">
      <c r="A6" s="522">
        <v>1</v>
      </c>
      <c r="B6" s="365"/>
      <c r="C6" s="521"/>
      <c r="D6" s="521"/>
      <c r="E6" s="375"/>
      <c r="F6" s="192" t="s">
        <v>622</v>
      </c>
      <c r="G6" s="529"/>
      <c r="H6" s="193"/>
      <c r="I6" s="193"/>
      <c r="J6" s="539"/>
      <c r="K6" s="539"/>
      <c r="L6" s="539"/>
      <c r="M6" s="540"/>
      <c r="N6" s="539"/>
      <c r="O6" s="367"/>
      <c r="P6" s="368"/>
      <c r="Q6" s="546"/>
      <c r="R6" s="194">
        <f>IFERROR(VLOOKUP(1,'Data Validation'!$O$2:$P$25,2,FALSE),"")</f>
        <v>0</v>
      </c>
      <c r="S6" s="194" t="str">
        <f>IFERROR(VLOOKUP($P6,'Data Validation'!$O$2:$P$25,2,FALSE),"")</f>
        <v/>
      </c>
      <c r="T6" s="303">
        <f t="array" ref="T6">IFERROR(INDEX(الاقساط!$F$5:$F$5076,MATCH(1,(الاقساط!$A$5:$A$5076=$Q6)*(الاقساط!$B$5:$B$5076=$O6)*(الاقساط!$C$5:$C$5076=$P6),0)),"")</f>
        <v>0</v>
      </c>
      <c r="U6" s="303">
        <f t="array" ref="U6">IFERROR(INDEX(الاقساط!$H$5:$H$5076,MATCH(1,(الاقساط!$A$5:$A$5076=$Q6)*(الاقساط!$B$5:$B$5076=$O6)*(الاقساط!$C$5:$C$5076=$P6),0)),"")</f>
        <v>0</v>
      </c>
      <c r="V6" s="304">
        <f t="array" ref="V6">IFERROR(INDEX(الاقساط!$D$5:$D$5076,MATCH(1,(الاقساط!$A$5:$A$5076=$Q6)*(الاقساط!$B$5:$B$5076=$O6)*(الاقساط!$C$5:$C$5076=$P6),0)),"")</f>
        <v>0</v>
      </c>
      <c r="W6" s="303">
        <f t="array" ref="W6">IFERROR(INDEX(الاقساط!$G$5:$G$5076,MATCH(1,(الاقساط!$A$5:$A$5076=$Q6)*(الاقساط!$B$5:$B$5076=$O6)*(الاقساط!$C$5:$C$5076=$P6),0)),"")</f>
        <v>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7"/>
      <c r="AW6" s="551"/>
      <c r="AX6" s="434" t="str">
        <f>CONCATENATE(AW6,",",AV6)</f>
        <v>,</v>
      </c>
      <c r="AY6" s="434" t="str">
        <f>CONCATENATE(J6," ","/"," ",K6)</f>
        <v xml:space="preserve"> / </v>
      </c>
      <c r="AZ6" s="556"/>
      <c r="BA6" s="557"/>
      <c r="BB6" s="556"/>
      <c r="BC6" s="556"/>
      <c r="BD6" s="557"/>
      <c r="BE6" s="556"/>
    </row>
    <row r="7" spans="1:57" s="191" customFormat="1" ht="21.6" customHeight="1">
      <c r="A7" s="522">
        <f>A6+1</f>
        <v>2</v>
      </c>
      <c r="B7" s="365"/>
      <c r="C7" s="521"/>
      <c r="D7" s="523"/>
      <c r="E7" s="375"/>
      <c r="F7" s="192" t="s">
        <v>622</v>
      </c>
      <c r="G7" s="529"/>
      <c r="H7" s="193"/>
      <c r="I7" s="193"/>
      <c r="J7" s="539"/>
      <c r="K7" s="539"/>
      <c r="L7" s="539"/>
      <c r="M7" s="540"/>
      <c r="N7" s="539"/>
      <c r="O7" s="367"/>
      <c r="P7" s="368"/>
      <c r="Q7" s="546"/>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7"/>
      <c r="AW7" s="551"/>
      <c r="AX7" s="434" t="str">
        <f t="shared" ref="AX7:AX70" si="6">CONCATENATE(AW7,",",AV7)</f>
        <v>,</v>
      </c>
      <c r="AY7" s="434" t="str">
        <f t="shared" ref="AY7:AY70" si="7">CONCATENATE(J7," ","/"," ",K7)</f>
        <v xml:space="preserve"> / </v>
      </c>
      <c r="AZ7" s="556"/>
      <c r="BA7" s="557"/>
      <c r="BB7" s="556"/>
      <c r="BC7" s="556"/>
      <c r="BD7" s="557"/>
      <c r="BE7" s="556"/>
    </row>
    <row r="8" spans="1:57" s="214" customFormat="1" ht="21.6" customHeight="1">
      <c r="A8" s="522">
        <f t="shared" ref="A8:A71" si="8">A7+1</f>
        <v>3</v>
      </c>
      <c r="B8" s="365"/>
      <c r="C8" s="521"/>
      <c r="D8" s="528"/>
      <c r="E8" s="375"/>
      <c r="F8" s="192" t="s">
        <v>622</v>
      </c>
      <c r="G8" s="529"/>
      <c r="H8" s="193"/>
      <c r="I8" s="193"/>
      <c r="J8" s="539"/>
      <c r="K8" s="539"/>
      <c r="L8" s="539"/>
      <c r="M8" s="540"/>
      <c r="N8" s="539"/>
      <c r="O8" s="367"/>
      <c r="P8" s="368"/>
      <c r="Q8" s="546"/>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7"/>
      <c r="AW8" s="551"/>
      <c r="AX8" s="434" t="str">
        <f t="shared" si="6"/>
        <v>,</v>
      </c>
      <c r="AY8" s="434" t="str">
        <f t="shared" si="7"/>
        <v xml:space="preserve"> / </v>
      </c>
      <c r="AZ8" s="556"/>
      <c r="BA8" s="557"/>
      <c r="BB8" s="556"/>
      <c r="BC8" s="556"/>
      <c r="BD8" s="557"/>
      <c r="BE8" s="556"/>
    </row>
    <row r="9" spans="1:57" s="191" customFormat="1" ht="21.6" customHeight="1">
      <c r="A9" s="522">
        <f t="shared" si="8"/>
        <v>4</v>
      </c>
      <c r="B9" s="365"/>
      <c r="C9" s="521"/>
      <c r="D9" s="528"/>
      <c r="E9" s="375"/>
      <c r="F9" s="192" t="s">
        <v>622</v>
      </c>
      <c r="G9" s="529"/>
      <c r="H9" s="193"/>
      <c r="I9" s="193"/>
      <c r="J9" s="539"/>
      <c r="K9" s="539"/>
      <c r="L9" s="539"/>
      <c r="M9" s="540"/>
      <c r="N9" s="539"/>
      <c r="O9" s="367"/>
      <c r="P9" s="368"/>
      <c r="Q9" s="546"/>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7"/>
      <c r="AW9" s="551"/>
      <c r="AX9" s="434" t="str">
        <f t="shared" si="6"/>
        <v>,</v>
      </c>
      <c r="AY9" s="434" t="str">
        <f t="shared" si="7"/>
        <v xml:space="preserve"> / </v>
      </c>
      <c r="AZ9" s="556"/>
      <c r="BA9" s="557"/>
      <c r="BB9" s="556"/>
      <c r="BC9" s="556"/>
      <c r="BD9" s="557"/>
      <c r="BE9" s="556"/>
    </row>
    <row r="10" spans="1:57" s="191" customFormat="1" ht="21.6" customHeight="1">
      <c r="A10" s="522">
        <f t="shared" si="8"/>
        <v>5</v>
      </c>
      <c r="B10" s="365"/>
      <c r="C10" s="521"/>
      <c r="D10" s="528"/>
      <c r="E10" s="375"/>
      <c r="F10" s="192" t="s">
        <v>622</v>
      </c>
      <c r="G10" s="529"/>
      <c r="H10" s="193"/>
      <c r="I10" s="193"/>
      <c r="J10" s="539"/>
      <c r="K10" s="539"/>
      <c r="L10" s="539"/>
      <c r="M10" s="540"/>
      <c r="N10" s="539"/>
      <c r="O10" s="367"/>
      <c r="P10" s="368"/>
      <c r="Q10" s="546"/>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7"/>
      <c r="AW10" s="551"/>
      <c r="AX10" s="434" t="str">
        <f t="shared" si="6"/>
        <v>,</v>
      </c>
      <c r="AY10" s="434" t="str">
        <f t="shared" si="7"/>
        <v xml:space="preserve"> / </v>
      </c>
      <c r="AZ10" s="556"/>
      <c r="BA10" s="557"/>
      <c r="BB10" s="556"/>
      <c r="BC10" s="556"/>
      <c r="BD10" s="557"/>
      <c r="BE10" s="556"/>
    </row>
    <row r="11" spans="1:57" s="191" customFormat="1" ht="21.6" customHeight="1">
      <c r="A11" s="522">
        <f t="shared" si="8"/>
        <v>6</v>
      </c>
      <c r="B11" s="365"/>
      <c r="C11" s="521"/>
      <c r="D11" s="528"/>
      <c r="E11" s="375"/>
      <c r="F11" s="192" t="s">
        <v>622</v>
      </c>
      <c r="G11" s="529"/>
      <c r="H11" s="193"/>
      <c r="I11" s="193"/>
      <c r="J11" s="539"/>
      <c r="K11" s="539"/>
      <c r="L11" s="539"/>
      <c r="M11" s="540"/>
      <c r="N11" s="539"/>
      <c r="O11" s="367"/>
      <c r="P11" s="368"/>
      <c r="Q11" s="546"/>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7"/>
      <c r="AW11" s="551"/>
      <c r="AX11" s="434" t="str">
        <f t="shared" si="6"/>
        <v>,</v>
      </c>
      <c r="AY11" s="434" t="str">
        <f t="shared" si="7"/>
        <v xml:space="preserve"> / </v>
      </c>
      <c r="AZ11" s="556"/>
      <c r="BA11" s="557"/>
      <c r="BB11" s="556"/>
      <c r="BC11" s="556"/>
      <c r="BD11" s="557"/>
      <c r="BE11" s="556"/>
    </row>
    <row r="12" spans="1:57" s="191" customFormat="1" ht="21.6" customHeight="1">
      <c r="A12" s="522">
        <f t="shared" si="8"/>
        <v>7</v>
      </c>
      <c r="B12" s="365"/>
      <c r="C12" s="521"/>
      <c r="D12" s="528"/>
      <c r="E12" s="375"/>
      <c r="F12" s="192" t="s">
        <v>622</v>
      </c>
      <c r="G12" s="529"/>
      <c r="H12" s="193"/>
      <c r="I12" s="193"/>
      <c r="J12" s="539"/>
      <c r="K12" s="539"/>
      <c r="L12" s="539"/>
      <c r="M12" s="540"/>
      <c r="N12" s="539"/>
      <c r="O12" s="367"/>
      <c r="P12" s="368"/>
      <c r="Q12" s="546"/>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7"/>
      <c r="AW12" s="551"/>
      <c r="AX12" s="434" t="str">
        <f t="shared" si="6"/>
        <v>,</v>
      </c>
      <c r="AY12" s="434" t="str">
        <f t="shared" si="7"/>
        <v xml:space="preserve"> / </v>
      </c>
      <c r="AZ12" s="556"/>
      <c r="BA12" s="557"/>
      <c r="BB12" s="556"/>
      <c r="BC12" s="556"/>
      <c r="BD12" s="557"/>
      <c r="BE12" s="556"/>
    </row>
    <row r="13" spans="1:57" s="214" customFormat="1" ht="21.6" customHeight="1">
      <c r="A13" s="522">
        <f t="shared" si="8"/>
        <v>8</v>
      </c>
      <c r="B13" s="365"/>
      <c r="C13" s="521"/>
      <c r="D13" s="528"/>
      <c r="E13" s="375"/>
      <c r="F13" s="192" t="s">
        <v>622</v>
      </c>
      <c r="G13" s="529"/>
      <c r="H13" s="193"/>
      <c r="I13" s="193"/>
      <c r="J13" s="539"/>
      <c r="K13" s="539"/>
      <c r="L13" s="539"/>
      <c r="M13" s="540"/>
      <c r="N13" s="539"/>
      <c r="O13" s="367"/>
      <c r="P13" s="368"/>
      <c r="Q13" s="546"/>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7"/>
      <c r="AW13" s="551"/>
      <c r="AX13" s="434" t="str">
        <f t="shared" si="6"/>
        <v>,</v>
      </c>
      <c r="AY13" s="434" t="str">
        <f t="shared" si="7"/>
        <v xml:space="preserve"> / </v>
      </c>
      <c r="AZ13" s="556"/>
      <c r="BA13" s="557"/>
      <c r="BB13" s="556"/>
      <c r="BC13" s="556"/>
      <c r="BD13" s="557"/>
      <c r="BE13" s="556"/>
    </row>
    <row r="14" spans="1:57" s="191" customFormat="1" ht="21.6" customHeight="1">
      <c r="A14" s="522">
        <f t="shared" si="8"/>
        <v>9</v>
      </c>
      <c r="B14" s="365"/>
      <c r="C14" s="521"/>
      <c r="D14" s="528"/>
      <c r="E14" s="375"/>
      <c r="F14" s="192" t="s">
        <v>622</v>
      </c>
      <c r="G14" s="529"/>
      <c r="H14" s="193"/>
      <c r="I14" s="193"/>
      <c r="J14" s="539"/>
      <c r="K14" s="539"/>
      <c r="L14" s="539"/>
      <c r="M14" s="540"/>
      <c r="N14" s="539"/>
      <c r="O14" s="367"/>
      <c r="P14" s="368"/>
      <c r="Q14" s="546"/>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7"/>
      <c r="AW14" s="551"/>
      <c r="AX14" s="434" t="str">
        <f t="shared" si="6"/>
        <v>,</v>
      </c>
      <c r="AY14" s="434" t="str">
        <f t="shared" si="7"/>
        <v xml:space="preserve"> / </v>
      </c>
      <c r="AZ14" s="556"/>
      <c r="BA14" s="557"/>
      <c r="BB14" s="556"/>
      <c r="BC14" s="556"/>
      <c r="BD14" s="557"/>
      <c r="BE14" s="556"/>
    </row>
    <row r="15" spans="1:57" s="191" customFormat="1" ht="21.6" customHeight="1">
      <c r="A15" s="522">
        <f t="shared" si="8"/>
        <v>10</v>
      </c>
      <c r="B15" s="362"/>
      <c r="C15" s="523"/>
      <c r="D15" s="528"/>
      <c r="E15" s="375"/>
      <c r="F15" s="192" t="s">
        <v>622</v>
      </c>
      <c r="G15" s="529"/>
      <c r="H15" s="193"/>
      <c r="I15" s="193"/>
      <c r="J15" s="539"/>
      <c r="K15" s="539"/>
      <c r="L15" s="374"/>
      <c r="M15" s="540"/>
      <c r="N15" s="541"/>
      <c r="O15" s="367"/>
      <c r="P15" s="368"/>
      <c r="Q15" s="546"/>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7"/>
      <c r="AW15" s="551"/>
      <c r="AX15" s="434" t="str">
        <f t="shared" si="6"/>
        <v>,</v>
      </c>
      <c r="AY15" s="434" t="str">
        <f t="shared" si="7"/>
        <v xml:space="preserve"> / </v>
      </c>
      <c r="AZ15" s="556"/>
      <c r="BA15" s="557"/>
      <c r="BB15" s="556"/>
      <c r="BC15" s="556"/>
      <c r="BD15" s="557"/>
      <c r="BE15" s="556"/>
    </row>
    <row r="16" spans="1:57" s="191" customFormat="1" ht="21.6" customHeight="1">
      <c r="A16" s="522">
        <f t="shared" si="8"/>
        <v>11</v>
      </c>
      <c r="B16" s="362"/>
      <c r="C16" s="523"/>
      <c r="D16" s="528"/>
      <c r="E16" s="375"/>
      <c r="F16" s="192" t="s">
        <v>622</v>
      </c>
      <c r="G16" s="529"/>
      <c r="H16" s="193"/>
      <c r="I16" s="193"/>
      <c r="J16" s="374"/>
      <c r="K16" s="539"/>
      <c r="L16" s="374"/>
      <c r="M16" s="540"/>
      <c r="N16" s="541"/>
      <c r="O16" s="367"/>
      <c r="P16" s="368"/>
      <c r="Q16" s="546"/>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7"/>
      <c r="AW16" s="551"/>
      <c r="AX16" s="434" t="str">
        <f t="shared" si="6"/>
        <v>,</v>
      </c>
      <c r="AY16" s="434" t="str">
        <f t="shared" si="7"/>
        <v xml:space="preserve"> / </v>
      </c>
      <c r="AZ16" s="556"/>
      <c r="BA16" s="557"/>
      <c r="BB16" s="556"/>
      <c r="BC16" s="556"/>
      <c r="BD16" s="557"/>
      <c r="BE16" s="556"/>
    </row>
    <row r="17" spans="1:57" s="191" customFormat="1" ht="21.6" customHeight="1">
      <c r="A17" s="522">
        <f t="shared" si="8"/>
        <v>12</v>
      </c>
      <c r="B17" s="362"/>
      <c r="C17" s="523"/>
      <c r="D17" s="528"/>
      <c r="E17" s="375"/>
      <c r="F17" s="192" t="s">
        <v>622</v>
      </c>
      <c r="G17" s="529"/>
      <c r="H17" s="193"/>
      <c r="I17" s="193"/>
      <c r="J17" s="374"/>
      <c r="K17" s="539"/>
      <c r="L17" s="374"/>
      <c r="M17" s="540"/>
      <c r="N17" s="541"/>
      <c r="O17" s="367"/>
      <c r="P17" s="368"/>
      <c r="Q17" s="546"/>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7"/>
      <c r="AW17" s="551"/>
      <c r="AX17" s="434" t="str">
        <f t="shared" si="6"/>
        <v>,</v>
      </c>
      <c r="AY17" s="434" t="str">
        <f t="shared" si="7"/>
        <v xml:space="preserve"> / </v>
      </c>
      <c r="AZ17" s="556"/>
      <c r="BA17" s="557"/>
      <c r="BB17" s="556"/>
      <c r="BC17" s="556"/>
      <c r="BD17" s="557"/>
      <c r="BE17" s="556"/>
    </row>
    <row r="18" spans="1:57" s="191" customFormat="1" ht="21.6" customHeight="1">
      <c r="A18" s="522">
        <f t="shared" si="8"/>
        <v>13</v>
      </c>
      <c r="B18" s="362"/>
      <c r="C18" s="523"/>
      <c r="D18" s="528"/>
      <c r="E18" s="375"/>
      <c r="F18" s="192" t="s">
        <v>622</v>
      </c>
      <c r="G18" s="529"/>
      <c r="H18" s="193"/>
      <c r="I18" s="193"/>
      <c r="J18" s="374"/>
      <c r="K18" s="539"/>
      <c r="L18" s="374"/>
      <c r="M18" s="540"/>
      <c r="N18" s="541"/>
      <c r="O18" s="367"/>
      <c r="P18" s="368"/>
      <c r="Q18" s="546"/>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8"/>
      <c r="AW18" s="552"/>
      <c r="AX18" s="434" t="str">
        <f t="shared" si="6"/>
        <v>,</v>
      </c>
      <c r="AY18" s="434" t="str">
        <f t="shared" si="7"/>
        <v xml:space="preserve"> / </v>
      </c>
      <c r="AZ18" s="556"/>
      <c r="BA18" s="557"/>
      <c r="BB18" s="556"/>
      <c r="BC18" s="556"/>
      <c r="BD18" s="557"/>
      <c r="BE18" s="556"/>
    </row>
    <row r="19" spans="1:57" s="191" customFormat="1" ht="21.6" customHeight="1">
      <c r="A19" s="522">
        <f t="shared" si="8"/>
        <v>14</v>
      </c>
      <c r="B19" s="362"/>
      <c r="C19" s="523"/>
      <c r="D19" s="528"/>
      <c r="E19" s="375"/>
      <c r="F19" s="192" t="s">
        <v>622</v>
      </c>
      <c r="G19" s="529"/>
      <c r="H19" s="193"/>
      <c r="I19" s="193"/>
      <c r="J19" s="374"/>
      <c r="K19" s="539"/>
      <c r="L19" s="374"/>
      <c r="M19" s="540"/>
      <c r="N19" s="541"/>
      <c r="O19" s="367"/>
      <c r="P19" s="368"/>
      <c r="Q19" s="546"/>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7"/>
      <c r="AW19" s="551"/>
      <c r="AX19" s="434" t="str">
        <f t="shared" si="6"/>
        <v>,</v>
      </c>
      <c r="AY19" s="434" t="str">
        <f t="shared" si="7"/>
        <v xml:space="preserve"> / </v>
      </c>
      <c r="AZ19" s="556"/>
      <c r="BA19" s="557"/>
      <c r="BB19" s="556"/>
      <c r="BC19" s="556"/>
      <c r="BD19" s="557"/>
      <c r="BE19" s="556"/>
    </row>
    <row r="20" spans="1:57" s="191" customFormat="1" ht="21.6" customHeight="1">
      <c r="A20" s="522">
        <f t="shared" si="8"/>
        <v>15</v>
      </c>
      <c r="B20" s="362"/>
      <c r="C20" s="523"/>
      <c r="D20" s="528"/>
      <c r="E20" s="375"/>
      <c r="F20" s="192" t="s">
        <v>622</v>
      </c>
      <c r="G20" s="529"/>
      <c r="H20" s="193"/>
      <c r="I20" s="193"/>
      <c r="J20" s="374"/>
      <c r="K20" s="539"/>
      <c r="L20" s="374"/>
      <c r="M20" s="540"/>
      <c r="N20" s="541"/>
      <c r="O20" s="367"/>
      <c r="P20" s="368"/>
      <c r="Q20" s="546"/>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7"/>
      <c r="AW20" s="551"/>
      <c r="AX20" s="434" t="str">
        <f t="shared" si="6"/>
        <v>,</v>
      </c>
      <c r="AY20" s="434" t="str">
        <f t="shared" si="7"/>
        <v xml:space="preserve"> / </v>
      </c>
      <c r="AZ20" s="556"/>
      <c r="BA20" s="557"/>
      <c r="BB20" s="556"/>
      <c r="BC20" s="556"/>
      <c r="BD20" s="557"/>
      <c r="BE20" s="556"/>
    </row>
    <row r="21" spans="1:57" s="191" customFormat="1" ht="21.6" customHeight="1">
      <c r="A21" s="522">
        <f t="shared" si="8"/>
        <v>16</v>
      </c>
      <c r="B21" s="362"/>
      <c r="C21" s="523"/>
      <c r="D21" s="528"/>
      <c r="E21" s="375"/>
      <c r="F21" s="192" t="s">
        <v>622</v>
      </c>
      <c r="G21" s="529"/>
      <c r="H21" s="193"/>
      <c r="I21" s="193"/>
      <c r="J21" s="374"/>
      <c r="K21" s="539"/>
      <c r="L21" s="374"/>
      <c r="M21" s="540"/>
      <c r="N21" s="541"/>
      <c r="O21" s="367"/>
      <c r="P21" s="368"/>
      <c r="Q21" s="546"/>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7"/>
      <c r="AW21" s="551"/>
      <c r="AX21" s="434" t="str">
        <f t="shared" si="6"/>
        <v>,</v>
      </c>
      <c r="AY21" s="434" t="str">
        <f t="shared" si="7"/>
        <v xml:space="preserve"> / </v>
      </c>
      <c r="AZ21" s="556"/>
      <c r="BA21" s="557"/>
      <c r="BB21" s="556"/>
      <c r="BC21" s="556"/>
      <c r="BD21" s="557"/>
      <c r="BE21" s="556"/>
    </row>
    <row r="22" spans="1:57" s="191" customFormat="1" ht="21.6" customHeight="1">
      <c r="A22" s="522">
        <f t="shared" si="8"/>
        <v>17</v>
      </c>
      <c r="B22" s="362"/>
      <c r="C22" s="523"/>
      <c r="D22" s="528"/>
      <c r="E22" s="375"/>
      <c r="F22" s="192" t="s">
        <v>622</v>
      </c>
      <c r="G22" s="529"/>
      <c r="H22" s="193"/>
      <c r="I22" s="193"/>
      <c r="J22" s="374"/>
      <c r="K22" s="539"/>
      <c r="L22" s="374"/>
      <c r="M22" s="540"/>
      <c r="N22" s="541"/>
      <c r="O22" s="367"/>
      <c r="P22" s="368"/>
      <c r="Q22" s="546"/>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7"/>
      <c r="AW22" s="551"/>
      <c r="AX22" s="434" t="str">
        <f t="shared" si="6"/>
        <v>,</v>
      </c>
      <c r="AY22" s="434" t="str">
        <f t="shared" si="7"/>
        <v xml:space="preserve"> / </v>
      </c>
      <c r="AZ22" s="556"/>
      <c r="BA22" s="557"/>
      <c r="BB22" s="556"/>
      <c r="BC22" s="556"/>
      <c r="BD22" s="557"/>
      <c r="BE22" s="556"/>
    </row>
    <row r="23" spans="1:57" s="191" customFormat="1" ht="21.6" customHeight="1">
      <c r="A23" s="522">
        <f t="shared" si="8"/>
        <v>18</v>
      </c>
      <c r="B23" s="362"/>
      <c r="C23" s="523"/>
      <c r="D23" s="528"/>
      <c r="E23" s="375"/>
      <c r="F23" s="192" t="s">
        <v>622</v>
      </c>
      <c r="G23" s="529"/>
      <c r="H23" s="193"/>
      <c r="I23" s="193"/>
      <c r="J23" s="374"/>
      <c r="K23" s="539"/>
      <c r="L23" s="374"/>
      <c r="M23" s="540"/>
      <c r="N23" s="541"/>
      <c r="O23" s="367"/>
      <c r="P23" s="368"/>
      <c r="Q23" s="546"/>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7"/>
      <c r="AW23" s="551"/>
      <c r="AX23" s="434" t="str">
        <f t="shared" si="6"/>
        <v>,</v>
      </c>
      <c r="AY23" s="434" t="str">
        <f t="shared" si="7"/>
        <v xml:space="preserve"> / </v>
      </c>
      <c r="AZ23" s="556"/>
      <c r="BA23" s="557"/>
      <c r="BB23" s="556"/>
      <c r="BC23" s="556"/>
      <c r="BD23" s="557"/>
      <c r="BE23" s="556"/>
    </row>
    <row r="24" spans="1:57" s="191" customFormat="1" ht="21.6" customHeight="1">
      <c r="A24" s="522">
        <f t="shared" si="8"/>
        <v>19</v>
      </c>
      <c r="B24" s="362"/>
      <c r="C24" s="523"/>
      <c r="D24" s="528"/>
      <c r="E24" s="375"/>
      <c r="F24" s="192" t="s">
        <v>622</v>
      </c>
      <c r="G24" s="528"/>
      <c r="H24" s="193"/>
      <c r="I24" s="193"/>
      <c r="J24" s="374"/>
      <c r="K24" s="539"/>
      <c r="L24" s="374"/>
      <c r="M24" s="540"/>
      <c r="N24" s="541"/>
      <c r="O24" s="367"/>
      <c r="P24" s="368"/>
      <c r="Q24" s="546"/>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7"/>
      <c r="AW24" s="551"/>
      <c r="AX24" s="434" t="str">
        <f t="shared" si="6"/>
        <v>,</v>
      </c>
      <c r="AY24" s="434" t="str">
        <f t="shared" si="7"/>
        <v xml:space="preserve"> / </v>
      </c>
      <c r="AZ24" s="556"/>
      <c r="BA24" s="557"/>
      <c r="BB24" s="556"/>
      <c r="BC24" s="556"/>
      <c r="BD24" s="557"/>
      <c r="BE24" s="556"/>
    </row>
    <row r="25" spans="1:57" s="191" customFormat="1" ht="21.6" customHeight="1">
      <c r="A25" s="522">
        <f t="shared" si="8"/>
        <v>20</v>
      </c>
      <c r="B25" s="362"/>
      <c r="C25" s="523"/>
      <c r="D25" s="528"/>
      <c r="E25" s="375"/>
      <c r="F25" s="192" t="s">
        <v>622</v>
      </c>
      <c r="G25" s="529"/>
      <c r="H25" s="193"/>
      <c r="I25" s="193"/>
      <c r="J25" s="374"/>
      <c r="K25" s="539"/>
      <c r="L25" s="374"/>
      <c r="M25" s="540"/>
      <c r="N25" s="541"/>
      <c r="O25" s="367"/>
      <c r="P25" s="368"/>
      <c r="Q25" s="546"/>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7"/>
      <c r="AW25" s="551"/>
      <c r="AX25" s="434" t="str">
        <f t="shared" si="6"/>
        <v>,</v>
      </c>
      <c r="AY25" s="434" t="str">
        <f t="shared" si="7"/>
        <v xml:space="preserve"> / </v>
      </c>
      <c r="AZ25" s="556"/>
      <c r="BA25" s="557"/>
      <c r="BB25" s="556"/>
      <c r="BC25" s="556"/>
      <c r="BD25" s="557"/>
      <c r="BE25" s="556"/>
    </row>
    <row r="26" spans="1:57" s="214" customFormat="1" ht="21.6" customHeight="1">
      <c r="A26" s="522">
        <f t="shared" si="8"/>
        <v>21</v>
      </c>
      <c r="B26" s="362"/>
      <c r="C26" s="523"/>
      <c r="D26" s="528"/>
      <c r="E26" s="375"/>
      <c r="F26" s="192" t="s">
        <v>622</v>
      </c>
      <c r="G26" s="529"/>
      <c r="H26" s="193"/>
      <c r="I26" s="193"/>
      <c r="J26" s="374"/>
      <c r="K26" s="539"/>
      <c r="L26" s="374"/>
      <c r="M26" s="540"/>
      <c r="N26" s="541"/>
      <c r="O26" s="367"/>
      <c r="P26" s="368"/>
      <c r="Q26" s="546"/>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7"/>
      <c r="AW26" s="551"/>
      <c r="AX26" s="434" t="str">
        <f t="shared" si="6"/>
        <v>,</v>
      </c>
      <c r="AY26" s="434" t="str">
        <f t="shared" si="7"/>
        <v xml:space="preserve"> / </v>
      </c>
      <c r="AZ26" s="556"/>
      <c r="BA26" s="557"/>
      <c r="BB26" s="556"/>
      <c r="BC26" s="556"/>
      <c r="BD26" s="557"/>
      <c r="BE26" s="556"/>
    </row>
    <row r="27" spans="1:57" s="191" customFormat="1" ht="21.6" customHeight="1">
      <c r="A27" s="522">
        <f t="shared" si="8"/>
        <v>22</v>
      </c>
      <c r="B27" s="362"/>
      <c r="C27" s="523"/>
      <c r="D27" s="528"/>
      <c r="E27" s="375"/>
      <c r="F27" s="192" t="s">
        <v>622</v>
      </c>
      <c r="G27" s="529"/>
      <c r="H27" s="193"/>
      <c r="I27" s="193"/>
      <c r="J27" s="374"/>
      <c r="K27" s="539"/>
      <c r="L27" s="374"/>
      <c r="M27" s="540"/>
      <c r="N27" s="541"/>
      <c r="O27" s="367"/>
      <c r="P27" s="368"/>
      <c r="Q27" s="546"/>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7"/>
      <c r="AW27" s="551"/>
      <c r="AX27" s="434" t="str">
        <f t="shared" si="6"/>
        <v>,</v>
      </c>
      <c r="AY27" s="434" t="str">
        <f t="shared" si="7"/>
        <v xml:space="preserve"> / </v>
      </c>
      <c r="AZ27" s="556"/>
      <c r="BA27" s="557"/>
      <c r="BB27" s="556"/>
      <c r="BC27" s="556"/>
      <c r="BD27" s="557"/>
      <c r="BE27" s="556"/>
    </row>
    <row r="28" spans="1:57" s="191" customFormat="1" ht="21.6" customHeight="1">
      <c r="A28" s="522">
        <f t="shared" si="8"/>
        <v>23</v>
      </c>
      <c r="B28" s="362"/>
      <c r="C28" s="523"/>
      <c r="D28" s="528"/>
      <c r="E28" s="375"/>
      <c r="F28" s="192" t="s">
        <v>622</v>
      </c>
      <c r="G28" s="529"/>
      <c r="H28" s="193"/>
      <c r="I28" s="193"/>
      <c r="J28" s="374"/>
      <c r="K28" s="539"/>
      <c r="L28" s="374"/>
      <c r="M28" s="540"/>
      <c r="N28" s="541"/>
      <c r="O28" s="367"/>
      <c r="P28" s="368"/>
      <c r="Q28" s="546"/>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7"/>
      <c r="AW28" s="551"/>
      <c r="AX28" s="434" t="str">
        <f t="shared" si="6"/>
        <v>,</v>
      </c>
      <c r="AY28" s="434" t="str">
        <f t="shared" si="7"/>
        <v xml:space="preserve"> / </v>
      </c>
      <c r="AZ28" s="556"/>
      <c r="BA28" s="557"/>
      <c r="BB28" s="556"/>
      <c r="BC28" s="556"/>
      <c r="BD28" s="557"/>
      <c r="BE28" s="556"/>
    </row>
    <row r="29" spans="1:57" s="191" customFormat="1" ht="21.6" customHeight="1">
      <c r="A29" s="522">
        <f t="shared" si="8"/>
        <v>24</v>
      </c>
      <c r="B29" s="362"/>
      <c r="C29" s="523"/>
      <c r="D29" s="528"/>
      <c r="E29" s="375"/>
      <c r="F29" s="192" t="s">
        <v>622</v>
      </c>
      <c r="G29" s="529"/>
      <c r="H29" s="193"/>
      <c r="I29" s="193"/>
      <c r="J29" s="374"/>
      <c r="K29" s="539"/>
      <c r="L29" s="374"/>
      <c r="M29" s="540"/>
      <c r="N29" s="541"/>
      <c r="O29" s="367"/>
      <c r="P29" s="368"/>
      <c r="Q29" s="546"/>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7"/>
      <c r="AW29" s="551"/>
      <c r="AX29" s="434" t="str">
        <f t="shared" si="6"/>
        <v>,</v>
      </c>
      <c r="AY29" s="434" t="str">
        <f t="shared" si="7"/>
        <v xml:space="preserve"> / </v>
      </c>
      <c r="AZ29" s="556"/>
      <c r="BA29" s="557"/>
      <c r="BB29" s="556"/>
      <c r="BC29" s="556"/>
      <c r="BD29" s="557"/>
      <c r="BE29" s="556"/>
    </row>
    <row r="30" spans="1:57" s="191" customFormat="1" ht="21.6" customHeight="1">
      <c r="A30" s="522">
        <f t="shared" si="8"/>
        <v>25</v>
      </c>
      <c r="B30" s="362"/>
      <c r="C30" s="523"/>
      <c r="D30" s="528"/>
      <c r="E30" s="375"/>
      <c r="F30" s="192" t="s">
        <v>622</v>
      </c>
      <c r="G30" s="529"/>
      <c r="H30" s="193"/>
      <c r="I30" s="193"/>
      <c r="J30" s="374"/>
      <c r="K30" s="539"/>
      <c r="L30" s="374"/>
      <c r="M30" s="540"/>
      <c r="N30" s="541"/>
      <c r="O30" s="367"/>
      <c r="P30" s="368"/>
      <c r="Q30" s="546"/>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7"/>
      <c r="AW30" s="551"/>
      <c r="AX30" s="434" t="str">
        <f t="shared" si="6"/>
        <v>,</v>
      </c>
      <c r="AY30" s="434" t="str">
        <f t="shared" si="7"/>
        <v xml:space="preserve"> / </v>
      </c>
      <c r="AZ30" s="556"/>
      <c r="BA30" s="557"/>
      <c r="BB30" s="556"/>
      <c r="BC30" s="556"/>
      <c r="BD30" s="557"/>
      <c r="BE30" s="556"/>
    </row>
    <row r="31" spans="1:57" s="191" customFormat="1" ht="21.6" customHeight="1">
      <c r="A31" s="522">
        <f t="shared" si="8"/>
        <v>26</v>
      </c>
      <c r="B31" s="362"/>
      <c r="C31" s="523"/>
      <c r="D31" s="528"/>
      <c r="E31" s="375"/>
      <c r="F31" s="192" t="s">
        <v>622</v>
      </c>
      <c r="G31" s="529"/>
      <c r="H31" s="193"/>
      <c r="I31" s="193"/>
      <c r="J31" s="374"/>
      <c r="K31" s="539"/>
      <c r="L31" s="374"/>
      <c r="M31" s="540"/>
      <c r="N31" s="541"/>
      <c r="O31" s="367"/>
      <c r="P31" s="368"/>
      <c r="Q31" s="546"/>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7"/>
      <c r="AW31" s="551"/>
      <c r="AX31" s="434" t="str">
        <f t="shared" si="6"/>
        <v>,</v>
      </c>
      <c r="AY31" s="434" t="str">
        <f t="shared" si="7"/>
        <v xml:space="preserve"> / </v>
      </c>
      <c r="AZ31" s="556"/>
      <c r="BA31" s="557"/>
      <c r="BB31" s="556"/>
      <c r="BC31" s="556"/>
      <c r="BD31" s="557"/>
      <c r="BE31" s="556"/>
    </row>
    <row r="32" spans="1:57" s="191" customFormat="1" ht="21.6" customHeight="1">
      <c r="A32" s="522">
        <f t="shared" si="8"/>
        <v>27</v>
      </c>
      <c r="B32" s="362"/>
      <c r="C32" s="523"/>
      <c r="D32" s="528"/>
      <c r="E32" s="375"/>
      <c r="F32" s="192" t="s">
        <v>622</v>
      </c>
      <c r="G32" s="529"/>
      <c r="H32" s="193"/>
      <c r="I32" s="193"/>
      <c r="J32" s="374"/>
      <c r="K32" s="539"/>
      <c r="L32" s="374"/>
      <c r="M32" s="540"/>
      <c r="N32" s="541"/>
      <c r="O32" s="367"/>
      <c r="P32" s="368"/>
      <c r="Q32" s="546"/>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7"/>
      <c r="AW32" s="551"/>
      <c r="AX32" s="434" t="str">
        <f t="shared" si="6"/>
        <v>,</v>
      </c>
      <c r="AY32" s="434" t="str">
        <f t="shared" si="7"/>
        <v xml:space="preserve"> / </v>
      </c>
      <c r="AZ32" s="556"/>
      <c r="BA32" s="557"/>
      <c r="BB32" s="556"/>
      <c r="BC32" s="556"/>
      <c r="BD32" s="557"/>
      <c r="BE32" s="556"/>
    </row>
    <row r="33" spans="1:57" s="191" customFormat="1" ht="21.6" customHeight="1">
      <c r="A33" s="522">
        <f t="shared" si="8"/>
        <v>28</v>
      </c>
      <c r="B33" s="362"/>
      <c r="C33" s="523"/>
      <c r="D33" s="528"/>
      <c r="E33" s="375"/>
      <c r="F33" s="192" t="s">
        <v>622</v>
      </c>
      <c r="G33" s="529"/>
      <c r="H33" s="193"/>
      <c r="I33" s="193"/>
      <c r="J33" s="374"/>
      <c r="K33" s="539"/>
      <c r="L33" s="374"/>
      <c r="M33" s="540"/>
      <c r="N33" s="541"/>
      <c r="O33" s="367"/>
      <c r="P33" s="368"/>
      <c r="Q33" s="546"/>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7"/>
      <c r="AW33" s="551"/>
      <c r="AX33" s="434" t="str">
        <f t="shared" si="6"/>
        <v>,</v>
      </c>
      <c r="AY33" s="434" t="str">
        <f t="shared" si="7"/>
        <v xml:space="preserve"> / </v>
      </c>
      <c r="AZ33" s="556"/>
      <c r="BA33" s="557"/>
      <c r="BB33" s="556"/>
      <c r="BC33" s="556"/>
      <c r="BD33" s="557"/>
      <c r="BE33" s="556"/>
    </row>
    <row r="34" spans="1:57" s="191" customFormat="1" ht="21.6" customHeight="1">
      <c r="A34" s="522">
        <f t="shared" si="8"/>
        <v>29</v>
      </c>
      <c r="B34" s="362"/>
      <c r="C34" s="523"/>
      <c r="D34" s="528"/>
      <c r="E34" s="375"/>
      <c r="F34" s="192" t="s">
        <v>622</v>
      </c>
      <c r="G34" s="529"/>
      <c r="H34" s="193"/>
      <c r="I34" s="193"/>
      <c r="J34" s="374"/>
      <c r="K34" s="539"/>
      <c r="L34" s="374"/>
      <c r="M34" s="540"/>
      <c r="N34" s="541"/>
      <c r="O34" s="367"/>
      <c r="P34" s="368"/>
      <c r="Q34" s="546"/>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7"/>
      <c r="AW34" s="551"/>
      <c r="AX34" s="434" t="str">
        <f t="shared" si="6"/>
        <v>,</v>
      </c>
      <c r="AY34" s="434" t="str">
        <f t="shared" si="7"/>
        <v xml:space="preserve"> / </v>
      </c>
      <c r="AZ34" s="556"/>
      <c r="BA34" s="557"/>
      <c r="BB34" s="556"/>
      <c r="BC34" s="556"/>
      <c r="BD34" s="557"/>
      <c r="BE34" s="556"/>
    </row>
    <row r="35" spans="1:57" s="214" customFormat="1" ht="21.6" customHeight="1">
      <c r="A35" s="522">
        <f t="shared" si="8"/>
        <v>30</v>
      </c>
      <c r="B35" s="362"/>
      <c r="C35" s="523"/>
      <c r="D35" s="528"/>
      <c r="E35" s="375"/>
      <c r="F35" s="192" t="s">
        <v>622</v>
      </c>
      <c r="G35" s="529"/>
      <c r="H35" s="193"/>
      <c r="I35" s="193"/>
      <c r="J35" s="374"/>
      <c r="K35" s="539"/>
      <c r="L35" s="374"/>
      <c r="M35" s="540"/>
      <c r="N35" s="541"/>
      <c r="O35" s="367"/>
      <c r="P35" s="368"/>
      <c r="Q35" s="546"/>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7"/>
      <c r="AW35" s="551"/>
      <c r="AX35" s="434" t="str">
        <f t="shared" si="6"/>
        <v>,</v>
      </c>
      <c r="AY35" s="434" t="str">
        <f t="shared" si="7"/>
        <v xml:space="preserve"> / </v>
      </c>
      <c r="AZ35" s="556"/>
      <c r="BA35" s="557"/>
      <c r="BB35" s="556"/>
      <c r="BC35" s="556"/>
      <c r="BD35" s="557"/>
      <c r="BE35" s="556"/>
    </row>
    <row r="36" spans="1:57" s="191" customFormat="1" ht="21.6" customHeight="1">
      <c r="A36" s="522">
        <f t="shared" si="8"/>
        <v>31</v>
      </c>
      <c r="B36" s="362"/>
      <c r="C36" s="523"/>
      <c r="D36" s="528"/>
      <c r="E36" s="375"/>
      <c r="F36" s="192" t="s">
        <v>622</v>
      </c>
      <c r="G36" s="529"/>
      <c r="H36" s="193"/>
      <c r="I36" s="193"/>
      <c r="J36" s="374"/>
      <c r="K36" s="539"/>
      <c r="L36" s="374"/>
      <c r="M36" s="540"/>
      <c r="N36" s="541"/>
      <c r="O36" s="367"/>
      <c r="P36" s="368"/>
      <c r="Q36" s="546"/>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7"/>
      <c r="AW36" s="551"/>
      <c r="AX36" s="434" t="str">
        <f t="shared" si="6"/>
        <v>,</v>
      </c>
      <c r="AY36" s="434" t="str">
        <f t="shared" si="7"/>
        <v xml:space="preserve"> / </v>
      </c>
      <c r="AZ36" s="556"/>
      <c r="BA36" s="557"/>
      <c r="BB36" s="556"/>
      <c r="BC36" s="556"/>
      <c r="BD36" s="557"/>
      <c r="BE36" s="556"/>
    </row>
    <row r="37" spans="1:57" s="191" customFormat="1" ht="21.6" customHeight="1">
      <c r="A37" s="522">
        <f t="shared" si="8"/>
        <v>32</v>
      </c>
      <c r="B37" s="362"/>
      <c r="C37" s="523"/>
      <c r="D37" s="528"/>
      <c r="E37" s="375"/>
      <c r="F37" s="192" t="s">
        <v>622</v>
      </c>
      <c r="G37" s="529"/>
      <c r="H37" s="193"/>
      <c r="I37" s="193"/>
      <c r="J37" s="374"/>
      <c r="K37" s="539"/>
      <c r="L37" s="374"/>
      <c r="M37" s="540"/>
      <c r="N37" s="541"/>
      <c r="O37" s="367"/>
      <c r="P37" s="368"/>
      <c r="Q37" s="546"/>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7"/>
      <c r="AW37" s="551"/>
      <c r="AX37" s="434" t="str">
        <f t="shared" si="6"/>
        <v>,</v>
      </c>
      <c r="AY37" s="434" t="str">
        <f t="shared" si="7"/>
        <v xml:space="preserve"> / </v>
      </c>
      <c r="AZ37" s="556"/>
      <c r="BA37" s="557"/>
      <c r="BB37" s="556"/>
      <c r="BC37" s="556"/>
      <c r="BD37" s="557"/>
      <c r="BE37" s="556"/>
    </row>
    <row r="38" spans="1:57" s="191" customFormat="1" ht="21.6" customHeight="1">
      <c r="A38" s="522">
        <f t="shared" si="8"/>
        <v>33</v>
      </c>
      <c r="B38" s="362"/>
      <c r="C38" s="523"/>
      <c r="D38" s="528"/>
      <c r="E38" s="375"/>
      <c r="F38" s="192" t="s">
        <v>622</v>
      </c>
      <c r="G38" s="529"/>
      <c r="H38" s="193"/>
      <c r="I38" s="193"/>
      <c r="J38" s="374"/>
      <c r="K38" s="539"/>
      <c r="L38" s="374"/>
      <c r="M38" s="540"/>
      <c r="N38" s="541"/>
      <c r="O38" s="367"/>
      <c r="P38" s="368"/>
      <c r="Q38" s="546"/>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7"/>
      <c r="AW38" s="551"/>
      <c r="AX38" s="434" t="str">
        <f t="shared" si="6"/>
        <v>,</v>
      </c>
      <c r="AY38" s="434" t="str">
        <f t="shared" si="7"/>
        <v xml:space="preserve"> / </v>
      </c>
      <c r="AZ38" s="556"/>
      <c r="BA38" s="557"/>
      <c r="BB38" s="556"/>
      <c r="BC38" s="556"/>
      <c r="BD38" s="557"/>
      <c r="BE38" s="556"/>
    </row>
    <row r="39" spans="1:57" s="191" customFormat="1" ht="21.6" customHeight="1">
      <c r="A39" s="522">
        <f t="shared" si="8"/>
        <v>34</v>
      </c>
      <c r="B39" s="362"/>
      <c r="C39" s="523"/>
      <c r="D39" s="528"/>
      <c r="E39" s="375"/>
      <c r="F39" s="192" t="s">
        <v>622</v>
      </c>
      <c r="G39" s="529"/>
      <c r="H39" s="193"/>
      <c r="I39" s="193"/>
      <c r="J39" s="374"/>
      <c r="K39" s="539"/>
      <c r="L39" s="374"/>
      <c r="M39" s="540"/>
      <c r="N39" s="541"/>
      <c r="O39" s="367"/>
      <c r="P39" s="368"/>
      <c r="Q39" s="546"/>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7"/>
      <c r="AW39" s="551"/>
      <c r="AX39" s="434" t="str">
        <f t="shared" si="6"/>
        <v>,</v>
      </c>
      <c r="AY39" s="434" t="str">
        <f t="shared" si="7"/>
        <v xml:space="preserve"> / </v>
      </c>
      <c r="AZ39" s="556"/>
      <c r="BA39" s="557"/>
      <c r="BB39" s="556"/>
      <c r="BC39" s="556"/>
      <c r="BD39" s="557"/>
      <c r="BE39" s="556"/>
    </row>
    <row r="40" spans="1:57" s="191" customFormat="1" ht="21.6" customHeight="1">
      <c r="A40" s="522">
        <f t="shared" si="8"/>
        <v>35</v>
      </c>
      <c r="B40" s="362"/>
      <c r="C40" s="523"/>
      <c r="D40" s="528"/>
      <c r="E40" s="375"/>
      <c r="F40" s="192" t="s">
        <v>622</v>
      </c>
      <c r="G40" s="529"/>
      <c r="H40" s="193"/>
      <c r="I40" s="193"/>
      <c r="J40" s="374"/>
      <c r="K40" s="539"/>
      <c r="L40" s="374"/>
      <c r="M40" s="540"/>
      <c r="N40" s="541"/>
      <c r="O40" s="367"/>
      <c r="P40" s="368"/>
      <c r="Q40" s="546"/>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7"/>
      <c r="AW40" s="551"/>
      <c r="AX40" s="434" t="str">
        <f t="shared" si="6"/>
        <v>,</v>
      </c>
      <c r="AY40" s="434" t="str">
        <f t="shared" si="7"/>
        <v xml:space="preserve"> / </v>
      </c>
      <c r="AZ40" s="556"/>
      <c r="BA40" s="557"/>
      <c r="BB40" s="556"/>
      <c r="BC40" s="556"/>
      <c r="BD40" s="557"/>
      <c r="BE40" s="556"/>
    </row>
    <row r="41" spans="1:57" s="191" customFormat="1" ht="21.6" customHeight="1">
      <c r="A41" s="522">
        <f t="shared" si="8"/>
        <v>36</v>
      </c>
      <c r="B41" s="362"/>
      <c r="C41" s="523"/>
      <c r="D41" s="528"/>
      <c r="E41" s="375"/>
      <c r="F41" s="192" t="s">
        <v>622</v>
      </c>
      <c r="G41" s="529"/>
      <c r="H41" s="193"/>
      <c r="I41" s="193"/>
      <c r="J41" s="374"/>
      <c r="K41" s="539"/>
      <c r="L41" s="374"/>
      <c r="M41" s="540"/>
      <c r="N41" s="541"/>
      <c r="O41" s="367"/>
      <c r="P41" s="368"/>
      <c r="Q41" s="546"/>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7"/>
      <c r="AW41" s="551"/>
      <c r="AX41" s="434" t="str">
        <f t="shared" si="6"/>
        <v>,</v>
      </c>
      <c r="AY41" s="434" t="str">
        <f t="shared" si="7"/>
        <v xml:space="preserve"> / </v>
      </c>
      <c r="AZ41" s="556"/>
      <c r="BA41" s="557"/>
      <c r="BB41" s="556"/>
      <c r="BC41" s="556"/>
      <c r="BD41" s="557"/>
      <c r="BE41" s="556"/>
    </row>
    <row r="42" spans="1:57" s="191" customFormat="1" ht="21.6" customHeight="1">
      <c r="A42" s="522">
        <f t="shared" si="8"/>
        <v>37</v>
      </c>
      <c r="B42" s="362"/>
      <c r="C42" s="523"/>
      <c r="D42" s="528"/>
      <c r="E42" s="375"/>
      <c r="F42" s="192" t="s">
        <v>622</v>
      </c>
      <c r="G42" s="529"/>
      <c r="H42" s="193"/>
      <c r="I42" s="193"/>
      <c r="J42" s="374"/>
      <c r="K42" s="539"/>
      <c r="L42" s="374"/>
      <c r="M42" s="540"/>
      <c r="N42" s="541"/>
      <c r="O42" s="367"/>
      <c r="P42" s="368"/>
      <c r="Q42" s="546"/>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7"/>
      <c r="AW42" s="551"/>
      <c r="AX42" s="434" t="str">
        <f t="shared" si="6"/>
        <v>,</v>
      </c>
      <c r="AY42" s="434" t="str">
        <f t="shared" si="7"/>
        <v xml:space="preserve"> / </v>
      </c>
      <c r="AZ42" s="556"/>
      <c r="BA42" s="557"/>
      <c r="BB42" s="556"/>
      <c r="BC42" s="556"/>
      <c r="BD42" s="557"/>
      <c r="BE42" s="556"/>
    </row>
    <row r="43" spans="1:57" s="191" customFormat="1" ht="21.6" customHeight="1">
      <c r="A43" s="522">
        <f t="shared" si="8"/>
        <v>38</v>
      </c>
      <c r="B43" s="362"/>
      <c r="C43" s="523"/>
      <c r="D43" s="528"/>
      <c r="E43" s="375"/>
      <c r="F43" s="192" t="s">
        <v>622</v>
      </c>
      <c r="G43" s="529"/>
      <c r="H43" s="193"/>
      <c r="I43" s="193"/>
      <c r="J43" s="374"/>
      <c r="K43" s="539"/>
      <c r="L43" s="374"/>
      <c r="M43" s="540"/>
      <c r="N43" s="541"/>
      <c r="O43" s="367"/>
      <c r="P43" s="368"/>
      <c r="Q43" s="546"/>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7"/>
      <c r="AW43" s="551"/>
      <c r="AX43" s="434" t="str">
        <f t="shared" si="6"/>
        <v>,</v>
      </c>
      <c r="AY43" s="434" t="str">
        <f t="shared" si="7"/>
        <v xml:space="preserve"> / </v>
      </c>
      <c r="AZ43" s="556"/>
      <c r="BA43" s="557"/>
      <c r="BB43" s="556"/>
      <c r="BC43" s="556"/>
      <c r="BD43" s="557"/>
      <c r="BE43" s="556"/>
    </row>
    <row r="44" spans="1:57" s="191" customFormat="1" ht="21.6" customHeight="1">
      <c r="A44" s="522">
        <f t="shared" si="8"/>
        <v>39</v>
      </c>
      <c r="B44" s="362"/>
      <c r="C44" s="523"/>
      <c r="D44" s="528"/>
      <c r="E44" s="375"/>
      <c r="F44" s="192" t="s">
        <v>622</v>
      </c>
      <c r="G44" s="529"/>
      <c r="H44" s="193"/>
      <c r="I44" s="193"/>
      <c r="J44" s="374"/>
      <c r="K44" s="539"/>
      <c r="L44" s="374"/>
      <c r="M44" s="540"/>
      <c r="N44" s="541"/>
      <c r="O44" s="367"/>
      <c r="P44" s="368"/>
      <c r="Q44" s="546"/>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7"/>
      <c r="AW44" s="551"/>
      <c r="AX44" s="434" t="str">
        <f t="shared" si="6"/>
        <v>,</v>
      </c>
      <c r="AY44" s="434" t="str">
        <f t="shared" si="7"/>
        <v xml:space="preserve"> / </v>
      </c>
      <c r="AZ44" s="556"/>
      <c r="BA44" s="557"/>
      <c r="BB44" s="556"/>
      <c r="BC44" s="556"/>
      <c r="BD44" s="557"/>
      <c r="BE44" s="556"/>
    </row>
    <row r="45" spans="1:57" s="191" customFormat="1" ht="21.6" customHeight="1">
      <c r="A45" s="522">
        <f t="shared" si="8"/>
        <v>40</v>
      </c>
      <c r="B45" s="362"/>
      <c r="C45" s="523"/>
      <c r="D45" s="528"/>
      <c r="E45" s="375"/>
      <c r="F45" s="192" t="s">
        <v>622</v>
      </c>
      <c r="G45" s="529"/>
      <c r="H45" s="193"/>
      <c r="I45" s="193"/>
      <c r="J45" s="374"/>
      <c r="K45" s="539"/>
      <c r="L45" s="374"/>
      <c r="M45" s="540"/>
      <c r="N45" s="541"/>
      <c r="O45" s="367"/>
      <c r="P45" s="368"/>
      <c r="Q45" s="546"/>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7"/>
      <c r="AW45" s="551"/>
      <c r="AX45" s="434" t="str">
        <f t="shared" si="6"/>
        <v>,</v>
      </c>
      <c r="AY45" s="434" t="str">
        <f t="shared" si="7"/>
        <v xml:space="preserve"> / </v>
      </c>
      <c r="AZ45" s="556"/>
      <c r="BA45" s="557"/>
      <c r="BB45" s="556"/>
      <c r="BC45" s="556"/>
      <c r="BD45" s="557"/>
      <c r="BE45" s="556"/>
    </row>
    <row r="46" spans="1:57" s="191" customFormat="1" ht="21.6" customHeight="1">
      <c r="A46" s="522">
        <f t="shared" si="8"/>
        <v>41</v>
      </c>
      <c r="B46" s="362"/>
      <c r="C46" s="523"/>
      <c r="D46" s="528"/>
      <c r="E46" s="375"/>
      <c r="F46" s="192" t="s">
        <v>622</v>
      </c>
      <c r="G46" s="529"/>
      <c r="H46" s="193"/>
      <c r="I46" s="193"/>
      <c r="J46" s="374"/>
      <c r="K46" s="539"/>
      <c r="L46" s="374"/>
      <c r="M46" s="540"/>
      <c r="N46" s="541"/>
      <c r="O46" s="367"/>
      <c r="P46" s="368"/>
      <c r="Q46" s="546"/>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7"/>
      <c r="AW46" s="551"/>
      <c r="AX46" s="434" t="str">
        <f t="shared" si="6"/>
        <v>,</v>
      </c>
      <c r="AY46" s="434" t="str">
        <f t="shared" si="7"/>
        <v xml:space="preserve"> / </v>
      </c>
      <c r="AZ46" s="556"/>
      <c r="BA46" s="557"/>
      <c r="BB46" s="556"/>
      <c r="BC46" s="556"/>
      <c r="BD46" s="557"/>
      <c r="BE46" s="556"/>
    </row>
    <row r="47" spans="1:57" s="191" customFormat="1" ht="21.6" customHeight="1">
      <c r="A47" s="522">
        <f t="shared" si="8"/>
        <v>42</v>
      </c>
      <c r="B47" s="362"/>
      <c r="C47" s="523"/>
      <c r="D47" s="528"/>
      <c r="E47" s="375"/>
      <c r="F47" s="192" t="s">
        <v>622</v>
      </c>
      <c r="G47" s="529"/>
      <c r="H47" s="193"/>
      <c r="I47" s="193"/>
      <c r="J47" s="374"/>
      <c r="K47" s="539"/>
      <c r="L47" s="374"/>
      <c r="M47" s="540"/>
      <c r="N47" s="541"/>
      <c r="O47" s="367"/>
      <c r="P47" s="368"/>
      <c r="Q47" s="546"/>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7"/>
      <c r="AW47" s="551"/>
      <c r="AX47" s="434" t="str">
        <f t="shared" si="6"/>
        <v>,</v>
      </c>
      <c r="AY47" s="434" t="str">
        <f t="shared" si="7"/>
        <v xml:space="preserve"> / </v>
      </c>
      <c r="AZ47" s="556"/>
      <c r="BA47" s="557"/>
      <c r="BB47" s="556"/>
      <c r="BC47" s="556"/>
      <c r="BD47" s="557"/>
      <c r="BE47" s="556"/>
    </row>
    <row r="48" spans="1:57" s="191" customFormat="1" ht="21.6" customHeight="1">
      <c r="A48" s="522">
        <f t="shared" si="8"/>
        <v>43</v>
      </c>
      <c r="B48" s="362"/>
      <c r="C48" s="523"/>
      <c r="D48" s="528"/>
      <c r="E48" s="375"/>
      <c r="F48" s="192" t="s">
        <v>622</v>
      </c>
      <c r="G48" s="529"/>
      <c r="H48" s="193"/>
      <c r="I48" s="193"/>
      <c r="J48" s="374"/>
      <c r="K48" s="539"/>
      <c r="L48" s="374"/>
      <c r="M48" s="540"/>
      <c r="N48" s="541"/>
      <c r="O48" s="367"/>
      <c r="P48" s="368"/>
      <c r="Q48" s="546"/>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7"/>
      <c r="AW48" s="551"/>
      <c r="AX48" s="434" t="str">
        <f t="shared" si="6"/>
        <v>,</v>
      </c>
      <c r="AY48" s="434" t="str">
        <f t="shared" si="7"/>
        <v xml:space="preserve"> / </v>
      </c>
      <c r="AZ48" s="556"/>
      <c r="BA48" s="557"/>
      <c r="BB48" s="556"/>
      <c r="BC48" s="556"/>
      <c r="BD48" s="557"/>
      <c r="BE48" s="556"/>
    </row>
    <row r="49" spans="1:57" s="191" customFormat="1" ht="21.6" customHeight="1">
      <c r="A49" s="522">
        <f t="shared" si="8"/>
        <v>44</v>
      </c>
      <c r="B49" s="362"/>
      <c r="C49" s="523"/>
      <c r="D49" s="528"/>
      <c r="E49" s="375"/>
      <c r="F49" s="192" t="s">
        <v>622</v>
      </c>
      <c r="G49" s="529"/>
      <c r="H49" s="193"/>
      <c r="I49" s="193"/>
      <c r="J49" s="374"/>
      <c r="K49" s="539"/>
      <c r="L49" s="374"/>
      <c r="M49" s="540"/>
      <c r="N49" s="541"/>
      <c r="O49" s="367"/>
      <c r="P49" s="368"/>
      <c r="Q49" s="546"/>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7"/>
      <c r="AW49" s="551"/>
      <c r="AX49" s="434" t="str">
        <f t="shared" si="6"/>
        <v>,</v>
      </c>
      <c r="AY49" s="434" t="str">
        <f t="shared" si="7"/>
        <v xml:space="preserve"> / </v>
      </c>
      <c r="AZ49" s="556"/>
      <c r="BA49" s="557"/>
      <c r="BB49" s="556"/>
      <c r="BC49" s="556"/>
      <c r="BD49" s="557"/>
      <c r="BE49" s="556"/>
    </row>
    <row r="50" spans="1:57" s="191" customFormat="1" ht="21.6" customHeight="1">
      <c r="A50" s="522">
        <f t="shared" si="8"/>
        <v>45</v>
      </c>
      <c r="B50" s="362"/>
      <c r="C50" s="523"/>
      <c r="D50" s="528"/>
      <c r="E50" s="375"/>
      <c r="F50" s="192" t="s">
        <v>622</v>
      </c>
      <c r="G50" s="529"/>
      <c r="H50" s="193"/>
      <c r="I50" s="193"/>
      <c r="J50" s="374"/>
      <c r="K50" s="539"/>
      <c r="L50" s="374"/>
      <c r="M50" s="540"/>
      <c r="N50" s="541"/>
      <c r="O50" s="367"/>
      <c r="P50" s="368"/>
      <c r="Q50" s="546"/>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7"/>
      <c r="AW50" s="551"/>
      <c r="AX50" s="434" t="str">
        <f t="shared" si="6"/>
        <v>,</v>
      </c>
      <c r="AY50" s="434" t="str">
        <f t="shared" si="7"/>
        <v xml:space="preserve"> / </v>
      </c>
      <c r="AZ50" s="556"/>
      <c r="BA50" s="557"/>
      <c r="BB50" s="556"/>
      <c r="BC50" s="556"/>
      <c r="BD50" s="557"/>
      <c r="BE50" s="556"/>
    </row>
    <row r="51" spans="1:57" s="191" customFormat="1" ht="21.6" customHeight="1">
      <c r="A51" s="522">
        <f t="shared" si="8"/>
        <v>46</v>
      </c>
      <c r="B51" s="362"/>
      <c r="C51" s="523"/>
      <c r="D51" s="528"/>
      <c r="E51" s="376"/>
      <c r="F51" s="192" t="s">
        <v>622</v>
      </c>
      <c r="G51" s="529"/>
      <c r="H51" s="193"/>
      <c r="I51" s="193"/>
      <c r="J51" s="374"/>
      <c r="K51" s="539"/>
      <c r="L51" s="374"/>
      <c r="M51" s="540"/>
      <c r="N51" s="541"/>
      <c r="O51" s="367"/>
      <c r="P51" s="368"/>
      <c r="Q51" s="546"/>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7"/>
      <c r="AW51" s="551"/>
      <c r="AX51" s="434" t="str">
        <f t="shared" si="6"/>
        <v>,</v>
      </c>
      <c r="AY51" s="434" t="str">
        <f t="shared" si="7"/>
        <v xml:space="preserve"> / </v>
      </c>
      <c r="AZ51" s="556"/>
      <c r="BA51" s="557"/>
      <c r="BB51" s="556"/>
      <c r="BC51" s="556"/>
      <c r="BD51" s="557"/>
      <c r="BE51" s="556"/>
    </row>
    <row r="52" spans="1:57" s="191" customFormat="1" ht="21.6" customHeight="1">
      <c r="A52" s="522">
        <f t="shared" si="8"/>
        <v>47</v>
      </c>
      <c r="B52" s="362"/>
      <c r="C52" s="523"/>
      <c r="D52" s="528"/>
      <c r="E52" s="376"/>
      <c r="F52" s="192" t="s">
        <v>622</v>
      </c>
      <c r="G52" s="529"/>
      <c r="H52" s="193"/>
      <c r="I52" s="193"/>
      <c r="J52" s="374"/>
      <c r="K52" s="539"/>
      <c r="L52" s="374"/>
      <c r="M52" s="540"/>
      <c r="N52" s="541"/>
      <c r="O52" s="367"/>
      <c r="P52" s="368"/>
      <c r="Q52" s="546"/>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7"/>
      <c r="AW52" s="551"/>
      <c r="AX52" s="434" t="str">
        <f t="shared" si="6"/>
        <v>,</v>
      </c>
      <c r="AY52" s="434" t="str">
        <f t="shared" si="7"/>
        <v xml:space="preserve"> / </v>
      </c>
      <c r="AZ52" s="556"/>
      <c r="BA52" s="557"/>
      <c r="BB52" s="556"/>
      <c r="BC52" s="556"/>
      <c r="BD52" s="557"/>
      <c r="BE52" s="556"/>
    </row>
    <row r="53" spans="1:57" s="191" customFormat="1" ht="21.6" customHeight="1">
      <c r="A53" s="522">
        <f t="shared" si="8"/>
        <v>48</v>
      </c>
      <c r="B53" s="362"/>
      <c r="C53" s="523"/>
      <c r="D53" s="528"/>
      <c r="E53" s="376"/>
      <c r="F53" s="192" t="s">
        <v>622</v>
      </c>
      <c r="G53" s="529"/>
      <c r="H53" s="193"/>
      <c r="I53" s="193"/>
      <c r="J53" s="374"/>
      <c r="K53" s="539"/>
      <c r="L53" s="374"/>
      <c r="M53" s="540"/>
      <c r="N53" s="541"/>
      <c r="O53" s="367"/>
      <c r="P53" s="368"/>
      <c r="Q53" s="546"/>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7"/>
      <c r="AW53" s="551"/>
      <c r="AX53" s="434" t="str">
        <f t="shared" si="6"/>
        <v>,</v>
      </c>
      <c r="AY53" s="434" t="str">
        <f t="shared" si="7"/>
        <v xml:space="preserve"> / </v>
      </c>
      <c r="AZ53" s="556"/>
      <c r="BA53" s="557"/>
      <c r="BB53" s="556"/>
      <c r="BC53" s="556"/>
      <c r="BD53" s="557"/>
      <c r="BE53" s="556"/>
    </row>
    <row r="54" spans="1:57" s="191" customFormat="1" ht="21.6" customHeight="1">
      <c r="A54" s="522">
        <f t="shared" si="8"/>
        <v>49</v>
      </c>
      <c r="B54" s="362"/>
      <c r="C54" s="523"/>
      <c r="D54" s="528"/>
      <c r="E54" s="376"/>
      <c r="F54" s="192" t="s">
        <v>622</v>
      </c>
      <c r="G54" s="529"/>
      <c r="H54" s="193"/>
      <c r="I54" s="193"/>
      <c r="J54" s="374"/>
      <c r="K54" s="539"/>
      <c r="L54" s="374"/>
      <c r="M54" s="540"/>
      <c r="N54" s="541"/>
      <c r="O54" s="367"/>
      <c r="P54" s="368"/>
      <c r="Q54" s="546"/>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7"/>
      <c r="AW54" s="551"/>
      <c r="AX54" s="434" t="str">
        <f t="shared" si="6"/>
        <v>,</v>
      </c>
      <c r="AY54" s="434" t="str">
        <f t="shared" si="7"/>
        <v xml:space="preserve"> / </v>
      </c>
      <c r="AZ54" s="556"/>
      <c r="BA54" s="557"/>
      <c r="BB54" s="556"/>
      <c r="BC54" s="556"/>
      <c r="BD54" s="557"/>
      <c r="BE54" s="556"/>
    </row>
    <row r="55" spans="1:57" s="191" customFormat="1" ht="21.6" customHeight="1">
      <c r="A55" s="522">
        <f t="shared" si="8"/>
        <v>50</v>
      </c>
      <c r="B55" s="362"/>
      <c r="C55" s="523"/>
      <c r="D55" s="528"/>
      <c r="E55" s="376"/>
      <c r="F55" s="192" t="s">
        <v>622</v>
      </c>
      <c r="G55" s="529"/>
      <c r="H55" s="193"/>
      <c r="I55" s="193"/>
      <c r="J55" s="374"/>
      <c r="K55" s="539"/>
      <c r="L55" s="374"/>
      <c r="M55" s="540"/>
      <c r="N55" s="541"/>
      <c r="O55" s="367"/>
      <c r="P55" s="368"/>
      <c r="Q55" s="546"/>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7"/>
      <c r="AW55" s="551"/>
      <c r="AX55" s="434" t="str">
        <f t="shared" si="6"/>
        <v>,</v>
      </c>
      <c r="AY55" s="434" t="str">
        <f t="shared" si="7"/>
        <v xml:space="preserve"> / </v>
      </c>
      <c r="AZ55" s="556"/>
      <c r="BA55" s="557"/>
      <c r="BB55" s="556"/>
      <c r="BC55" s="556"/>
      <c r="BD55" s="557"/>
      <c r="BE55" s="556"/>
    </row>
    <row r="56" spans="1:57" s="191" customFormat="1" ht="21.6" customHeight="1">
      <c r="A56" s="522">
        <f t="shared" si="8"/>
        <v>51</v>
      </c>
      <c r="B56" s="362"/>
      <c r="C56" s="523"/>
      <c r="D56" s="528"/>
      <c r="E56" s="376"/>
      <c r="F56" s="192" t="s">
        <v>622</v>
      </c>
      <c r="G56" s="529"/>
      <c r="H56" s="193"/>
      <c r="I56" s="193"/>
      <c r="J56" s="374"/>
      <c r="K56" s="539"/>
      <c r="L56" s="374"/>
      <c r="M56" s="540"/>
      <c r="N56" s="541"/>
      <c r="O56" s="367"/>
      <c r="P56" s="368"/>
      <c r="Q56" s="546"/>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7"/>
      <c r="AW56" s="551"/>
      <c r="AX56" s="434" t="str">
        <f t="shared" si="6"/>
        <v>,</v>
      </c>
      <c r="AY56" s="434" t="str">
        <f t="shared" si="7"/>
        <v xml:space="preserve"> / </v>
      </c>
      <c r="AZ56" s="556"/>
      <c r="BA56" s="557"/>
      <c r="BB56" s="556"/>
      <c r="BC56" s="556"/>
      <c r="BD56" s="557"/>
      <c r="BE56" s="556"/>
    </row>
    <row r="57" spans="1:57" s="191" customFormat="1" ht="21.6" customHeight="1">
      <c r="A57" s="522">
        <f t="shared" si="8"/>
        <v>52</v>
      </c>
      <c r="B57" s="362"/>
      <c r="C57" s="523"/>
      <c r="D57" s="528"/>
      <c r="E57" s="376"/>
      <c r="F57" s="192" t="s">
        <v>622</v>
      </c>
      <c r="G57" s="529"/>
      <c r="H57" s="193"/>
      <c r="I57" s="193"/>
      <c r="J57" s="374"/>
      <c r="K57" s="539"/>
      <c r="L57" s="374"/>
      <c r="M57" s="540"/>
      <c r="N57" s="541"/>
      <c r="O57" s="367"/>
      <c r="P57" s="368"/>
      <c r="Q57" s="546"/>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7"/>
      <c r="AW57" s="551"/>
      <c r="AX57" s="434" t="str">
        <f t="shared" si="6"/>
        <v>,</v>
      </c>
      <c r="AY57" s="434" t="str">
        <f t="shared" si="7"/>
        <v xml:space="preserve"> / </v>
      </c>
      <c r="AZ57" s="556"/>
      <c r="BA57" s="557"/>
      <c r="BB57" s="556"/>
      <c r="BC57" s="556"/>
      <c r="BD57" s="557"/>
      <c r="BE57" s="556"/>
    </row>
    <row r="58" spans="1:57" s="191" customFormat="1" ht="21.6" customHeight="1">
      <c r="A58" s="522">
        <f t="shared" si="8"/>
        <v>53</v>
      </c>
      <c r="B58" s="362"/>
      <c r="C58" s="523"/>
      <c r="D58" s="528"/>
      <c r="E58" s="376"/>
      <c r="F58" s="192" t="s">
        <v>622</v>
      </c>
      <c r="G58" s="529"/>
      <c r="H58" s="193"/>
      <c r="I58" s="193"/>
      <c r="J58" s="374"/>
      <c r="K58" s="539"/>
      <c r="L58" s="374"/>
      <c r="M58" s="540"/>
      <c r="N58" s="541"/>
      <c r="O58" s="367"/>
      <c r="P58" s="368"/>
      <c r="Q58" s="546"/>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7"/>
      <c r="AW58" s="551"/>
      <c r="AX58" s="434" t="str">
        <f t="shared" si="6"/>
        <v>,</v>
      </c>
      <c r="AY58" s="434" t="str">
        <f t="shared" si="7"/>
        <v xml:space="preserve"> / </v>
      </c>
      <c r="AZ58" s="556"/>
      <c r="BA58" s="557"/>
      <c r="BB58" s="556"/>
      <c r="BC58" s="556"/>
      <c r="BD58" s="557"/>
      <c r="BE58" s="556"/>
    </row>
    <row r="59" spans="1:57" s="191" customFormat="1" ht="21.6" customHeight="1">
      <c r="A59" s="522">
        <f t="shared" si="8"/>
        <v>54</v>
      </c>
      <c r="B59" s="362"/>
      <c r="C59" s="523"/>
      <c r="D59" s="528"/>
      <c r="E59" s="376"/>
      <c r="F59" s="192" t="s">
        <v>622</v>
      </c>
      <c r="G59" s="529"/>
      <c r="H59" s="193"/>
      <c r="I59" s="193"/>
      <c r="J59" s="374"/>
      <c r="K59" s="539"/>
      <c r="L59" s="374"/>
      <c r="M59" s="540"/>
      <c r="N59" s="541"/>
      <c r="O59" s="367"/>
      <c r="P59" s="368"/>
      <c r="Q59" s="546"/>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7"/>
      <c r="AW59" s="551"/>
      <c r="AX59" s="434" t="str">
        <f t="shared" si="6"/>
        <v>,</v>
      </c>
      <c r="AY59" s="434" t="str">
        <f t="shared" si="7"/>
        <v xml:space="preserve"> / </v>
      </c>
      <c r="AZ59" s="556"/>
      <c r="BA59" s="557"/>
      <c r="BB59" s="556"/>
      <c r="BC59" s="556"/>
      <c r="BD59" s="557"/>
      <c r="BE59" s="556"/>
    </row>
    <row r="60" spans="1:57" s="191" customFormat="1" ht="21.6" customHeight="1">
      <c r="A60" s="522">
        <f t="shared" si="8"/>
        <v>55</v>
      </c>
      <c r="B60" s="362"/>
      <c r="C60" s="523"/>
      <c r="D60" s="528"/>
      <c r="E60" s="376"/>
      <c r="F60" s="192" t="s">
        <v>622</v>
      </c>
      <c r="G60" s="529"/>
      <c r="H60" s="193"/>
      <c r="I60" s="193"/>
      <c r="J60" s="374"/>
      <c r="K60" s="539"/>
      <c r="L60" s="374"/>
      <c r="M60" s="540"/>
      <c r="N60" s="541"/>
      <c r="O60" s="367"/>
      <c r="P60" s="368"/>
      <c r="Q60" s="546"/>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7"/>
      <c r="AW60" s="551"/>
      <c r="AX60" s="434" t="str">
        <f t="shared" si="6"/>
        <v>,</v>
      </c>
      <c r="AY60" s="434" t="str">
        <f t="shared" si="7"/>
        <v xml:space="preserve"> / </v>
      </c>
      <c r="AZ60" s="556"/>
      <c r="BA60" s="557"/>
      <c r="BB60" s="556"/>
      <c r="BC60" s="556"/>
      <c r="BD60" s="557"/>
      <c r="BE60" s="556"/>
    </row>
    <row r="61" spans="1:57" s="191" customFormat="1" ht="21.6" customHeight="1">
      <c r="A61" s="522">
        <f t="shared" si="8"/>
        <v>56</v>
      </c>
      <c r="B61" s="362"/>
      <c r="C61" s="523"/>
      <c r="D61" s="528"/>
      <c r="E61" s="376"/>
      <c r="F61" s="192" t="s">
        <v>622</v>
      </c>
      <c r="G61" s="529"/>
      <c r="H61" s="193"/>
      <c r="I61" s="193"/>
      <c r="J61" s="374"/>
      <c r="K61" s="539"/>
      <c r="L61" s="374"/>
      <c r="M61" s="540"/>
      <c r="N61" s="541"/>
      <c r="O61" s="367"/>
      <c r="P61" s="368"/>
      <c r="Q61" s="546"/>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7"/>
      <c r="AW61" s="551"/>
      <c r="AX61" s="434" t="str">
        <f t="shared" si="6"/>
        <v>,</v>
      </c>
      <c r="AY61" s="434" t="str">
        <f t="shared" si="7"/>
        <v xml:space="preserve"> / </v>
      </c>
      <c r="AZ61" s="556"/>
      <c r="BA61" s="557"/>
      <c r="BB61" s="556"/>
      <c r="BC61" s="556"/>
      <c r="BD61" s="557"/>
      <c r="BE61" s="556"/>
    </row>
    <row r="62" spans="1:57" s="191" customFormat="1" ht="21.6" customHeight="1">
      <c r="A62" s="522">
        <f t="shared" si="8"/>
        <v>57</v>
      </c>
      <c r="B62" s="218"/>
      <c r="C62" s="523"/>
      <c r="D62" s="528"/>
      <c r="E62" s="376"/>
      <c r="F62" s="192" t="s">
        <v>622</v>
      </c>
      <c r="G62" s="529"/>
      <c r="H62" s="193"/>
      <c r="I62" s="193"/>
      <c r="J62" s="374"/>
      <c r="K62" s="539"/>
      <c r="L62" s="374"/>
      <c r="M62" s="540"/>
      <c r="N62" s="541"/>
      <c r="O62" s="367"/>
      <c r="P62" s="368"/>
      <c r="Q62" s="546"/>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7"/>
      <c r="AW62" s="551"/>
      <c r="AX62" s="434" t="str">
        <f t="shared" si="6"/>
        <v>,</v>
      </c>
      <c r="AY62" s="434" t="str">
        <f t="shared" si="7"/>
        <v xml:space="preserve"> / </v>
      </c>
      <c r="AZ62" s="556"/>
      <c r="BA62" s="557"/>
      <c r="BB62" s="556"/>
      <c r="BC62" s="556"/>
      <c r="BD62" s="557"/>
      <c r="BE62" s="556"/>
    </row>
    <row r="63" spans="1:57" s="191" customFormat="1" ht="21.6" customHeight="1">
      <c r="A63" s="522">
        <f t="shared" si="8"/>
        <v>58</v>
      </c>
      <c r="B63" s="218"/>
      <c r="C63" s="523"/>
      <c r="D63" s="528"/>
      <c r="E63" s="376"/>
      <c r="F63" s="192" t="s">
        <v>622</v>
      </c>
      <c r="G63" s="529"/>
      <c r="H63" s="193"/>
      <c r="I63" s="193"/>
      <c r="J63" s="374"/>
      <c r="K63" s="539"/>
      <c r="L63" s="374"/>
      <c r="M63" s="540"/>
      <c r="N63" s="541"/>
      <c r="O63" s="367"/>
      <c r="P63" s="368"/>
      <c r="Q63" s="546"/>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7"/>
      <c r="AW63" s="551"/>
      <c r="AX63" s="434" t="str">
        <f t="shared" si="6"/>
        <v>,</v>
      </c>
      <c r="AY63" s="434" t="str">
        <f t="shared" si="7"/>
        <v xml:space="preserve"> / </v>
      </c>
      <c r="AZ63" s="556"/>
      <c r="BA63" s="557"/>
      <c r="BB63" s="556"/>
      <c r="BC63" s="556"/>
      <c r="BD63" s="557"/>
      <c r="BE63" s="556"/>
    </row>
    <row r="64" spans="1:57" s="191" customFormat="1" ht="21.6" customHeight="1">
      <c r="A64" s="522">
        <f t="shared" si="8"/>
        <v>59</v>
      </c>
      <c r="B64" s="218"/>
      <c r="C64" s="523"/>
      <c r="D64" s="528"/>
      <c r="E64" s="376"/>
      <c r="F64" s="192" t="s">
        <v>622</v>
      </c>
      <c r="G64" s="529"/>
      <c r="H64" s="193"/>
      <c r="I64" s="193"/>
      <c r="J64" s="374"/>
      <c r="K64" s="539"/>
      <c r="L64" s="374"/>
      <c r="M64" s="540"/>
      <c r="N64" s="541"/>
      <c r="O64" s="367"/>
      <c r="P64" s="368"/>
      <c r="Q64" s="546"/>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7"/>
      <c r="AW64" s="551"/>
      <c r="AX64" s="434" t="str">
        <f t="shared" si="6"/>
        <v>,</v>
      </c>
      <c r="AY64" s="434" t="str">
        <f t="shared" si="7"/>
        <v xml:space="preserve"> / </v>
      </c>
      <c r="AZ64" s="556"/>
      <c r="BA64" s="557"/>
      <c r="BB64" s="556"/>
      <c r="BC64" s="556"/>
      <c r="BD64" s="557"/>
      <c r="BE64" s="556"/>
    </row>
    <row r="65" spans="1:57" s="191" customFormat="1" ht="21.6" customHeight="1">
      <c r="A65" s="522">
        <f t="shared" si="8"/>
        <v>60</v>
      </c>
      <c r="B65" s="218"/>
      <c r="C65" s="523"/>
      <c r="D65" s="528"/>
      <c r="E65" s="376"/>
      <c r="F65" s="192" t="s">
        <v>622</v>
      </c>
      <c r="G65" s="529"/>
      <c r="H65" s="193"/>
      <c r="I65" s="193"/>
      <c r="J65" s="374"/>
      <c r="K65" s="539"/>
      <c r="L65" s="374"/>
      <c r="M65" s="540"/>
      <c r="N65" s="541"/>
      <c r="O65" s="367"/>
      <c r="P65" s="368"/>
      <c r="Q65" s="546"/>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7"/>
      <c r="AW65" s="551"/>
      <c r="AX65" s="434" t="str">
        <f t="shared" si="6"/>
        <v>,</v>
      </c>
      <c r="AY65" s="434" t="str">
        <f t="shared" si="7"/>
        <v xml:space="preserve"> / </v>
      </c>
      <c r="AZ65" s="556"/>
      <c r="BA65" s="557"/>
      <c r="BB65" s="556"/>
      <c r="BC65" s="556"/>
      <c r="BD65" s="557"/>
      <c r="BE65" s="556"/>
    </row>
    <row r="66" spans="1:57" s="191" customFormat="1" ht="21.6" customHeight="1">
      <c r="A66" s="522">
        <f t="shared" si="8"/>
        <v>61</v>
      </c>
      <c r="B66" s="218"/>
      <c r="C66" s="523"/>
      <c r="D66" s="528"/>
      <c r="E66" s="376"/>
      <c r="F66" s="192" t="s">
        <v>622</v>
      </c>
      <c r="G66" s="528"/>
      <c r="H66" s="193"/>
      <c r="I66" s="193"/>
      <c r="J66" s="374"/>
      <c r="K66" s="539"/>
      <c r="L66" s="374"/>
      <c r="M66" s="540"/>
      <c r="N66" s="541"/>
      <c r="O66" s="367"/>
      <c r="P66" s="368"/>
      <c r="Q66" s="546"/>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7"/>
      <c r="AW66" s="551"/>
      <c r="AX66" s="434" t="str">
        <f t="shared" si="6"/>
        <v>,</v>
      </c>
      <c r="AY66" s="434" t="str">
        <f t="shared" si="7"/>
        <v xml:space="preserve"> / </v>
      </c>
      <c r="AZ66" s="556"/>
      <c r="BA66" s="557"/>
      <c r="BB66" s="556"/>
      <c r="BC66" s="556"/>
      <c r="BD66" s="557"/>
      <c r="BE66" s="556"/>
    </row>
    <row r="67" spans="1:57" s="191" customFormat="1" ht="21.6" customHeight="1">
      <c r="A67" s="522">
        <f t="shared" si="8"/>
        <v>62</v>
      </c>
      <c r="B67" s="218"/>
      <c r="C67" s="523"/>
      <c r="D67" s="528"/>
      <c r="E67" s="376"/>
      <c r="F67" s="192" t="s">
        <v>622</v>
      </c>
      <c r="G67" s="529"/>
      <c r="H67" s="193"/>
      <c r="I67" s="193"/>
      <c r="J67" s="374"/>
      <c r="K67" s="539"/>
      <c r="L67" s="374"/>
      <c r="M67" s="540"/>
      <c r="N67" s="541"/>
      <c r="O67" s="367"/>
      <c r="P67" s="368"/>
      <c r="Q67" s="546"/>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7"/>
      <c r="AW67" s="551"/>
      <c r="AX67" s="434" t="str">
        <f t="shared" si="6"/>
        <v>,</v>
      </c>
      <c r="AY67" s="434" t="str">
        <f t="shared" si="7"/>
        <v xml:space="preserve"> / </v>
      </c>
      <c r="AZ67" s="556"/>
      <c r="BA67" s="557"/>
      <c r="BB67" s="556"/>
      <c r="BC67" s="556"/>
      <c r="BD67" s="557"/>
      <c r="BE67" s="556"/>
    </row>
    <row r="68" spans="1:57" s="191" customFormat="1" ht="21.6" customHeight="1">
      <c r="A68" s="522">
        <f t="shared" si="8"/>
        <v>63</v>
      </c>
      <c r="B68" s="218"/>
      <c r="C68" s="523"/>
      <c r="D68" s="528"/>
      <c r="E68" s="376"/>
      <c r="F68" s="192" t="s">
        <v>622</v>
      </c>
      <c r="G68" s="529"/>
      <c r="H68" s="193"/>
      <c r="I68" s="193"/>
      <c r="J68" s="374"/>
      <c r="K68" s="539"/>
      <c r="L68" s="374"/>
      <c r="M68" s="540"/>
      <c r="N68" s="541"/>
      <c r="O68" s="367"/>
      <c r="P68" s="368"/>
      <c r="Q68" s="546"/>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7"/>
      <c r="AW68" s="551"/>
      <c r="AX68" s="434" t="str">
        <f t="shared" si="6"/>
        <v>,</v>
      </c>
      <c r="AY68" s="434" t="str">
        <f t="shared" si="7"/>
        <v xml:space="preserve"> / </v>
      </c>
      <c r="AZ68" s="556"/>
      <c r="BA68" s="557"/>
      <c r="BB68" s="556"/>
      <c r="BC68" s="556"/>
      <c r="BD68" s="557"/>
      <c r="BE68" s="556"/>
    </row>
    <row r="69" spans="1:57" s="191" customFormat="1" ht="21.6" customHeight="1">
      <c r="A69" s="522">
        <f t="shared" si="8"/>
        <v>64</v>
      </c>
      <c r="B69" s="218"/>
      <c r="C69" s="523"/>
      <c r="D69" s="528"/>
      <c r="E69" s="376"/>
      <c r="F69" s="192" t="s">
        <v>622</v>
      </c>
      <c r="G69" s="529"/>
      <c r="H69" s="193"/>
      <c r="I69" s="193"/>
      <c r="J69" s="374"/>
      <c r="K69" s="539"/>
      <c r="L69" s="374"/>
      <c r="M69" s="540"/>
      <c r="N69" s="541"/>
      <c r="O69" s="367"/>
      <c r="P69" s="368"/>
      <c r="Q69" s="546"/>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7"/>
      <c r="AW69" s="551"/>
      <c r="AX69" s="434" t="str">
        <f t="shared" si="6"/>
        <v>,</v>
      </c>
      <c r="AY69" s="434" t="str">
        <f t="shared" si="7"/>
        <v xml:space="preserve"> / </v>
      </c>
      <c r="AZ69" s="556"/>
      <c r="BA69" s="557"/>
      <c r="BB69" s="556"/>
      <c r="BC69" s="556"/>
      <c r="BD69" s="557"/>
      <c r="BE69" s="556"/>
    </row>
    <row r="70" spans="1:57" s="191" customFormat="1" ht="21.6" customHeight="1">
      <c r="A70" s="522">
        <f t="shared" si="8"/>
        <v>65</v>
      </c>
      <c r="B70" s="218"/>
      <c r="C70" s="523"/>
      <c r="D70" s="528"/>
      <c r="E70" s="376"/>
      <c r="F70" s="192" t="s">
        <v>622</v>
      </c>
      <c r="G70" s="529"/>
      <c r="H70" s="193"/>
      <c r="I70" s="193"/>
      <c r="J70" s="374"/>
      <c r="K70" s="539"/>
      <c r="L70" s="374"/>
      <c r="M70" s="540"/>
      <c r="N70" s="541"/>
      <c r="O70" s="367"/>
      <c r="P70" s="368"/>
      <c r="Q70" s="546"/>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7"/>
      <c r="AW70" s="551"/>
      <c r="AX70" s="434" t="str">
        <f t="shared" si="6"/>
        <v>,</v>
      </c>
      <c r="AY70" s="434" t="str">
        <f t="shared" si="7"/>
        <v xml:space="preserve"> / </v>
      </c>
      <c r="AZ70" s="556"/>
      <c r="BA70" s="557"/>
      <c r="BB70" s="556"/>
      <c r="BC70" s="556"/>
      <c r="BD70" s="557"/>
      <c r="BE70" s="556"/>
    </row>
    <row r="71" spans="1:57" s="191" customFormat="1" ht="21.6" customHeight="1">
      <c r="A71" s="522">
        <f t="shared" si="8"/>
        <v>66</v>
      </c>
      <c r="B71" s="218"/>
      <c r="C71" s="523"/>
      <c r="D71" s="528"/>
      <c r="E71" s="376"/>
      <c r="F71" s="192" t="s">
        <v>622</v>
      </c>
      <c r="G71" s="529"/>
      <c r="H71" s="193"/>
      <c r="I71" s="193"/>
      <c r="J71" s="374"/>
      <c r="K71" s="539"/>
      <c r="L71" s="374"/>
      <c r="M71" s="540"/>
      <c r="N71" s="541"/>
      <c r="O71" s="367"/>
      <c r="P71" s="368"/>
      <c r="Q71" s="546"/>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7"/>
      <c r="AW71" s="551"/>
      <c r="AX71" s="434" t="str">
        <f t="shared" ref="AX71:AX134" si="15">CONCATENATE(AW71,",",AV71)</f>
        <v>,</v>
      </c>
      <c r="AY71" s="434" t="str">
        <f t="shared" ref="AY71:AY134" si="16">CONCATENATE(J71," ","/"," ",K71)</f>
        <v xml:space="preserve"> / </v>
      </c>
      <c r="AZ71" s="556"/>
      <c r="BA71" s="557"/>
      <c r="BB71" s="556"/>
      <c r="BC71" s="556"/>
      <c r="BD71" s="557"/>
      <c r="BE71" s="556"/>
    </row>
    <row r="72" spans="1:57" s="191" customFormat="1" ht="21.6" customHeight="1">
      <c r="A72" s="522">
        <f t="shared" ref="A72:A135" si="17">A71+1</f>
        <v>67</v>
      </c>
      <c r="B72" s="218"/>
      <c r="C72" s="523"/>
      <c r="D72" s="528"/>
      <c r="E72" s="376"/>
      <c r="F72" s="192" t="s">
        <v>622</v>
      </c>
      <c r="G72" s="529"/>
      <c r="H72" s="193"/>
      <c r="I72" s="193"/>
      <c r="J72" s="374"/>
      <c r="K72" s="539"/>
      <c r="L72" s="374"/>
      <c r="M72" s="540"/>
      <c r="N72" s="541"/>
      <c r="O72" s="367"/>
      <c r="P72" s="368"/>
      <c r="Q72" s="546"/>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7"/>
      <c r="AW72" s="551"/>
      <c r="AX72" s="434" t="str">
        <f t="shared" si="15"/>
        <v>,</v>
      </c>
      <c r="AY72" s="434" t="str">
        <f t="shared" si="16"/>
        <v xml:space="preserve"> / </v>
      </c>
      <c r="AZ72" s="556"/>
      <c r="BA72" s="557"/>
      <c r="BB72" s="556"/>
      <c r="BC72" s="556"/>
      <c r="BD72" s="557"/>
      <c r="BE72" s="556"/>
    </row>
    <row r="73" spans="1:57" s="191" customFormat="1" ht="21.6" customHeight="1">
      <c r="A73" s="522">
        <f t="shared" si="17"/>
        <v>68</v>
      </c>
      <c r="B73" s="218"/>
      <c r="C73" s="523"/>
      <c r="D73" s="528"/>
      <c r="E73" s="376"/>
      <c r="F73" s="192" t="s">
        <v>622</v>
      </c>
      <c r="G73" s="529"/>
      <c r="H73" s="193"/>
      <c r="I73" s="193"/>
      <c r="J73" s="374"/>
      <c r="K73" s="539"/>
      <c r="L73" s="374"/>
      <c r="M73" s="540"/>
      <c r="N73" s="541"/>
      <c r="O73" s="367"/>
      <c r="P73" s="368"/>
      <c r="Q73" s="546"/>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7"/>
      <c r="AW73" s="551"/>
      <c r="AX73" s="434" t="str">
        <f t="shared" si="15"/>
        <v>,</v>
      </c>
      <c r="AY73" s="434" t="str">
        <f t="shared" si="16"/>
        <v xml:space="preserve"> / </v>
      </c>
      <c r="AZ73" s="556"/>
      <c r="BA73" s="557"/>
      <c r="BB73" s="556"/>
      <c r="BC73" s="556"/>
      <c r="BD73" s="557"/>
      <c r="BE73" s="556"/>
    </row>
    <row r="74" spans="1:57" s="191" customFormat="1" ht="21.6" customHeight="1">
      <c r="A74" s="522">
        <f t="shared" si="17"/>
        <v>69</v>
      </c>
      <c r="B74" s="218"/>
      <c r="C74" s="523"/>
      <c r="D74" s="528"/>
      <c r="E74" s="376"/>
      <c r="F74" s="192" t="s">
        <v>622</v>
      </c>
      <c r="G74" s="529"/>
      <c r="H74" s="193"/>
      <c r="I74" s="193"/>
      <c r="J74" s="374"/>
      <c r="K74" s="539"/>
      <c r="L74" s="374"/>
      <c r="M74" s="540"/>
      <c r="N74" s="541"/>
      <c r="O74" s="367"/>
      <c r="P74" s="368"/>
      <c r="Q74" s="546"/>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7"/>
      <c r="AW74" s="551"/>
      <c r="AX74" s="434" t="str">
        <f t="shared" si="15"/>
        <v>,</v>
      </c>
      <c r="AY74" s="434" t="str">
        <f t="shared" si="16"/>
        <v xml:space="preserve"> / </v>
      </c>
      <c r="AZ74" s="556"/>
      <c r="BA74" s="557"/>
      <c r="BB74" s="556"/>
      <c r="BC74" s="556"/>
      <c r="BD74" s="557"/>
      <c r="BE74" s="556"/>
    </row>
    <row r="75" spans="1:57" s="191" customFormat="1" ht="21.6" customHeight="1">
      <c r="A75" s="522">
        <f t="shared" si="17"/>
        <v>70</v>
      </c>
      <c r="B75" s="218"/>
      <c r="C75" s="523"/>
      <c r="D75" s="528"/>
      <c r="E75" s="376"/>
      <c r="F75" s="192" t="s">
        <v>622</v>
      </c>
      <c r="G75" s="529"/>
      <c r="H75" s="193"/>
      <c r="I75" s="193"/>
      <c r="J75" s="374"/>
      <c r="K75" s="539"/>
      <c r="L75" s="374"/>
      <c r="M75" s="540"/>
      <c r="N75" s="541"/>
      <c r="O75" s="367"/>
      <c r="P75" s="368"/>
      <c r="Q75" s="546"/>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7"/>
      <c r="AW75" s="551"/>
      <c r="AX75" s="434" t="str">
        <f t="shared" si="15"/>
        <v>,</v>
      </c>
      <c r="AY75" s="434" t="str">
        <f t="shared" si="16"/>
        <v xml:space="preserve"> / </v>
      </c>
      <c r="AZ75" s="556"/>
      <c r="BA75" s="557"/>
      <c r="BB75" s="556"/>
      <c r="BC75" s="556"/>
      <c r="BD75" s="557"/>
      <c r="BE75" s="556"/>
    </row>
    <row r="76" spans="1:57" s="191" customFormat="1" ht="21.6" customHeight="1">
      <c r="A76" s="522">
        <f t="shared" si="17"/>
        <v>71</v>
      </c>
      <c r="B76" s="218"/>
      <c r="C76" s="523"/>
      <c r="D76" s="528"/>
      <c r="E76" s="376"/>
      <c r="F76" s="192" t="s">
        <v>622</v>
      </c>
      <c r="G76" s="529"/>
      <c r="H76" s="193"/>
      <c r="I76" s="193"/>
      <c r="J76" s="374"/>
      <c r="K76" s="539"/>
      <c r="L76" s="374"/>
      <c r="M76" s="540"/>
      <c r="N76" s="541"/>
      <c r="O76" s="367"/>
      <c r="P76" s="368"/>
      <c r="Q76" s="546"/>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7"/>
      <c r="AW76" s="551"/>
      <c r="AX76" s="434" t="str">
        <f t="shared" si="15"/>
        <v>,</v>
      </c>
      <c r="AY76" s="434" t="str">
        <f t="shared" si="16"/>
        <v xml:space="preserve"> / </v>
      </c>
      <c r="AZ76" s="556"/>
      <c r="BA76" s="557"/>
      <c r="BB76" s="556"/>
      <c r="BC76" s="556"/>
      <c r="BD76" s="557"/>
      <c r="BE76" s="556"/>
    </row>
    <row r="77" spans="1:57" s="191" customFormat="1" ht="21.6" customHeight="1">
      <c r="A77" s="522">
        <f t="shared" si="17"/>
        <v>72</v>
      </c>
      <c r="B77" s="218"/>
      <c r="C77" s="523"/>
      <c r="D77" s="528"/>
      <c r="E77" s="376"/>
      <c r="F77" s="192" t="s">
        <v>622</v>
      </c>
      <c r="G77" s="529"/>
      <c r="H77" s="193"/>
      <c r="I77" s="193"/>
      <c r="J77" s="374"/>
      <c r="K77" s="539"/>
      <c r="L77" s="374"/>
      <c r="M77" s="540"/>
      <c r="N77" s="541"/>
      <c r="O77" s="367"/>
      <c r="P77" s="368"/>
      <c r="Q77" s="546"/>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7"/>
      <c r="AW77" s="551"/>
      <c r="AX77" s="434" t="str">
        <f t="shared" si="15"/>
        <v>,</v>
      </c>
      <c r="AY77" s="434" t="str">
        <f t="shared" si="16"/>
        <v xml:space="preserve"> / </v>
      </c>
      <c r="AZ77" s="556"/>
      <c r="BA77" s="557"/>
      <c r="BB77" s="556"/>
      <c r="BC77" s="556"/>
      <c r="BD77" s="557"/>
      <c r="BE77" s="556"/>
    </row>
    <row r="78" spans="1:57" s="191" customFormat="1" ht="21.6" customHeight="1">
      <c r="A78" s="522">
        <f t="shared" si="17"/>
        <v>73</v>
      </c>
      <c r="B78" s="218"/>
      <c r="C78" s="523"/>
      <c r="D78" s="528"/>
      <c r="E78" s="376"/>
      <c r="F78" s="192" t="s">
        <v>622</v>
      </c>
      <c r="G78" s="529"/>
      <c r="H78" s="193"/>
      <c r="I78" s="193"/>
      <c r="J78" s="374"/>
      <c r="K78" s="539"/>
      <c r="L78" s="374"/>
      <c r="M78" s="540"/>
      <c r="N78" s="541"/>
      <c r="O78" s="367"/>
      <c r="P78" s="368"/>
      <c r="Q78" s="546"/>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7"/>
      <c r="AW78" s="551"/>
      <c r="AX78" s="434" t="str">
        <f t="shared" si="15"/>
        <v>,</v>
      </c>
      <c r="AY78" s="434" t="str">
        <f t="shared" si="16"/>
        <v xml:space="preserve"> / </v>
      </c>
      <c r="AZ78" s="556"/>
      <c r="BA78" s="557"/>
      <c r="BB78" s="556"/>
      <c r="BC78" s="556"/>
      <c r="BD78" s="557"/>
      <c r="BE78" s="556"/>
    </row>
    <row r="79" spans="1:57" s="191" customFormat="1" ht="21.6" customHeight="1">
      <c r="A79" s="522">
        <f t="shared" si="17"/>
        <v>74</v>
      </c>
      <c r="B79" s="218"/>
      <c r="C79" s="523"/>
      <c r="D79" s="528"/>
      <c r="E79" s="376"/>
      <c r="F79" s="192" t="s">
        <v>622</v>
      </c>
      <c r="G79" s="529"/>
      <c r="H79" s="193"/>
      <c r="I79" s="193"/>
      <c r="J79" s="374"/>
      <c r="K79" s="539"/>
      <c r="L79" s="374"/>
      <c r="M79" s="540"/>
      <c r="N79" s="541"/>
      <c r="O79" s="367"/>
      <c r="P79" s="368"/>
      <c r="Q79" s="546"/>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7"/>
      <c r="AW79" s="551"/>
      <c r="AX79" s="434" t="str">
        <f t="shared" si="15"/>
        <v>,</v>
      </c>
      <c r="AY79" s="434" t="str">
        <f t="shared" si="16"/>
        <v xml:space="preserve"> / </v>
      </c>
      <c r="AZ79" s="556"/>
      <c r="BA79" s="557"/>
      <c r="BB79" s="556"/>
      <c r="BC79" s="556"/>
      <c r="BD79" s="557"/>
      <c r="BE79" s="556"/>
    </row>
    <row r="80" spans="1:57" s="191" customFormat="1" ht="21.6" customHeight="1">
      <c r="A80" s="522">
        <f t="shared" si="17"/>
        <v>75</v>
      </c>
      <c r="B80" s="218"/>
      <c r="C80" s="523"/>
      <c r="D80" s="528"/>
      <c r="E80" s="376"/>
      <c r="F80" s="192" t="s">
        <v>622</v>
      </c>
      <c r="G80" s="529"/>
      <c r="H80" s="193"/>
      <c r="I80" s="193"/>
      <c r="J80" s="374"/>
      <c r="K80" s="539"/>
      <c r="L80" s="374"/>
      <c r="M80" s="540"/>
      <c r="N80" s="541"/>
      <c r="O80" s="367"/>
      <c r="P80" s="368"/>
      <c r="Q80" s="546"/>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7"/>
      <c r="AW80" s="551"/>
      <c r="AX80" s="434" t="str">
        <f t="shared" si="15"/>
        <v>,</v>
      </c>
      <c r="AY80" s="434" t="str">
        <f t="shared" si="16"/>
        <v xml:space="preserve"> / </v>
      </c>
      <c r="AZ80" s="556"/>
      <c r="BA80" s="557"/>
      <c r="BB80" s="556"/>
      <c r="BC80" s="556"/>
      <c r="BD80" s="557"/>
      <c r="BE80" s="556"/>
    </row>
    <row r="81" spans="1:57" s="191" customFormat="1" ht="21.6" customHeight="1">
      <c r="A81" s="522">
        <f t="shared" si="17"/>
        <v>76</v>
      </c>
      <c r="B81" s="218"/>
      <c r="C81" s="523"/>
      <c r="D81" s="528"/>
      <c r="E81" s="376"/>
      <c r="F81" s="192" t="s">
        <v>622</v>
      </c>
      <c r="G81" s="529"/>
      <c r="H81" s="193"/>
      <c r="I81" s="193"/>
      <c r="J81" s="374"/>
      <c r="K81" s="539"/>
      <c r="L81" s="374"/>
      <c r="M81" s="540"/>
      <c r="N81" s="541"/>
      <c r="O81" s="367"/>
      <c r="P81" s="368"/>
      <c r="Q81" s="546"/>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7"/>
      <c r="AW81" s="551"/>
      <c r="AX81" s="434" t="str">
        <f t="shared" si="15"/>
        <v>,</v>
      </c>
      <c r="AY81" s="434" t="str">
        <f t="shared" si="16"/>
        <v xml:space="preserve"> / </v>
      </c>
      <c r="AZ81" s="556"/>
      <c r="BA81" s="557"/>
      <c r="BB81" s="556"/>
      <c r="BC81" s="556"/>
      <c r="BD81" s="557"/>
      <c r="BE81" s="556"/>
    </row>
    <row r="82" spans="1:57" s="191" customFormat="1" ht="21.6" customHeight="1">
      <c r="A82" s="522">
        <f t="shared" si="17"/>
        <v>77</v>
      </c>
      <c r="B82" s="218"/>
      <c r="C82" s="523"/>
      <c r="D82" s="528"/>
      <c r="E82" s="376"/>
      <c r="F82" s="192" t="s">
        <v>622</v>
      </c>
      <c r="G82" s="529"/>
      <c r="H82" s="193"/>
      <c r="I82" s="193"/>
      <c r="J82" s="374"/>
      <c r="K82" s="539"/>
      <c r="L82" s="374"/>
      <c r="M82" s="540"/>
      <c r="N82" s="541"/>
      <c r="O82" s="367"/>
      <c r="P82" s="368"/>
      <c r="Q82" s="546"/>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7"/>
      <c r="AW82" s="551"/>
      <c r="AX82" s="434" t="str">
        <f t="shared" si="15"/>
        <v>,</v>
      </c>
      <c r="AY82" s="434" t="str">
        <f t="shared" si="16"/>
        <v xml:space="preserve"> / </v>
      </c>
      <c r="AZ82" s="556"/>
      <c r="BA82" s="557"/>
      <c r="BB82" s="556"/>
      <c r="BC82" s="556"/>
      <c r="BD82" s="557"/>
      <c r="BE82" s="556"/>
    </row>
    <row r="83" spans="1:57" s="191" customFormat="1" ht="21.6" customHeight="1">
      <c r="A83" s="522">
        <f t="shared" si="17"/>
        <v>78</v>
      </c>
      <c r="B83" s="218"/>
      <c r="C83" s="523"/>
      <c r="D83" s="528"/>
      <c r="E83" s="376"/>
      <c r="F83" s="192" t="s">
        <v>622</v>
      </c>
      <c r="G83" s="529"/>
      <c r="H83" s="193"/>
      <c r="I83" s="193"/>
      <c r="J83" s="374"/>
      <c r="K83" s="539"/>
      <c r="L83" s="374"/>
      <c r="M83" s="540"/>
      <c r="N83" s="541"/>
      <c r="O83" s="367"/>
      <c r="P83" s="368"/>
      <c r="Q83" s="546"/>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7"/>
      <c r="AW83" s="551"/>
      <c r="AX83" s="434" t="str">
        <f t="shared" si="15"/>
        <v>,</v>
      </c>
      <c r="AY83" s="434" t="str">
        <f t="shared" si="16"/>
        <v xml:space="preserve"> / </v>
      </c>
      <c r="AZ83" s="556"/>
      <c r="BA83" s="557"/>
      <c r="BB83" s="556"/>
      <c r="BC83" s="556"/>
      <c r="BD83" s="557"/>
      <c r="BE83" s="556"/>
    </row>
    <row r="84" spans="1:57" s="191" customFormat="1" ht="21.6" customHeight="1">
      <c r="A84" s="522">
        <f t="shared" si="17"/>
        <v>79</v>
      </c>
      <c r="B84" s="218"/>
      <c r="C84" s="523"/>
      <c r="D84" s="528"/>
      <c r="E84" s="377"/>
      <c r="F84" s="192" t="s">
        <v>622</v>
      </c>
      <c r="G84" s="529"/>
      <c r="H84" s="193"/>
      <c r="I84" s="193"/>
      <c r="J84" s="374"/>
      <c r="K84" s="539"/>
      <c r="L84" s="542"/>
      <c r="M84" s="540"/>
      <c r="N84" s="543"/>
      <c r="O84" s="367"/>
      <c r="P84" s="368"/>
      <c r="Q84" s="546"/>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7"/>
      <c r="AW84" s="551"/>
      <c r="AX84" s="434" t="str">
        <f t="shared" si="15"/>
        <v>,</v>
      </c>
      <c r="AY84" s="434" t="str">
        <f t="shared" si="16"/>
        <v xml:space="preserve"> / </v>
      </c>
      <c r="AZ84" s="556"/>
      <c r="BA84" s="557"/>
      <c r="BB84" s="556"/>
      <c r="BC84" s="556"/>
      <c r="BD84" s="557"/>
      <c r="BE84" s="556"/>
    </row>
    <row r="85" spans="1:57" s="191" customFormat="1" ht="21.6" customHeight="1">
      <c r="A85" s="522">
        <f t="shared" si="17"/>
        <v>80</v>
      </c>
      <c r="B85" s="218"/>
      <c r="C85" s="523"/>
      <c r="D85" s="528"/>
      <c r="E85" s="377"/>
      <c r="F85" s="192" t="s">
        <v>622</v>
      </c>
      <c r="G85" s="529"/>
      <c r="H85" s="193"/>
      <c r="I85" s="193"/>
      <c r="J85" s="374"/>
      <c r="K85" s="539"/>
      <c r="L85" s="542"/>
      <c r="M85" s="540"/>
      <c r="N85" s="543"/>
      <c r="O85" s="367"/>
      <c r="P85" s="368"/>
      <c r="Q85" s="546"/>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7"/>
      <c r="AW85" s="551"/>
      <c r="AX85" s="434" t="str">
        <f t="shared" si="15"/>
        <v>,</v>
      </c>
      <c r="AY85" s="434" t="str">
        <f t="shared" si="16"/>
        <v xml:space="preserve"> / </v>
      </c>
      <c r="AZ85" s="556"/>
      <c r="BA85" s="557"/>
      <c r="BB85" s="556"/>
      <c r="BC85" s="556"/>
      <c r="BD85" s="557"/>
      <c r="BE85" s="556"/>
    </row>
    <row r="86" spans="1:57" s="191" customFormat="1" ht="21.6" customHeight="1">
      <c r="A86" s="522">
        <f t="shared" si="17"/>
        <v>81</v>
      </c>
      <c r="B86" s="218"/>
      <c r="C86" s="523"/>
      <c r="D86" s="528"/>
      <c r="E86" s="377"/>
      <c r="F86" s="192" t="s">
        <v>622</v>
      </c>
      <c r="G86" s="529"/>
      <c r="H86" s="193"/>
      <c r="I86" s="193"/>
      <c r="J86" s="374"/>
      <c r="K86" s="539"/>
      <c r="L86" s="542"/>
      <c r="M86" s="540"/>
      <c r="N86" s="543"/>
      <c r="O86" s="367"/>
      <c r="P86" s="368"/>
      <c r="Q86" s="546"/>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7"/>
      <c r="AW86" s="551"/>
      <c r="AX86" s="434" t="str">
        <f t="shared" si="15"/>
        <v>,</v>
      </c>
      <c r="AY86" s="434" t="str">
        <f t="shared" si="16"/>
        <v xml:space="preserve"> / </v>
      </c>
      <c r="AZ86" s="556"/>
      <c r="BA86" s="557"/>
      <c r="BB86" s="556"/>
      <c r="BC86" s="556"/>
      <c r="BD86" s="557"/>
      <c r="BE86" s="556"/>
    </row>
    <row r="87" spans="1:57" s="191" customFormat="1" ht="21.6" customHeight="1">
      <c r="A87" s="522">
        <f t="shared" si="17"/>
        <v>82</v>
      </c>
      <c r="B87" s="218"/>
      <c r="C87" s="523"/>
      <c r="D87" s="528"/>
      <c r="E87" s="377"/>
      <c r="F87" s="192" t="s">
        <v>622</v>
      </c>
      <c r="G87" s="529"/>
      <c r="H87" s="223"/>
      <c r="I87" s="223"/>
      <c r="J87" s="374"/>
      <c r="K87" s="539"/>
      <c r="L87" s="542"/>
      <c r="M87" s="540"/>
      <c r="N87" s="543"/>
      <c r="O87" s="367"/>
      <c r="P87" s="368"/>
      <c r="Q87" s="546"/>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7"/>
      <c r="AW87" s="551"/>
      <c r="AX87" s="434" t="str">
        <f t="shared" si="15"/>
        <v>,</v>
      </c>
      <c r="AY87" s="434" t="str">
        <f t="shared" si="16"/>
        <v xml:space="preserve"> / </v>
      </c>
      <c r="AZ87" s="556"/>
      <c r="BA87" s="557"/>
      <c r="BB87" s="556"/>
      <c r="BC87" s="556"/>
      <c r="BD87" s="557"/>
      <c r="BE87" s="556"/>
    </row>
    <row r="88" spans="1:57" s="191" customFormat="1" ht="21.6" customHeight="1">
      <c r="A88" s="522">
        <f t="shared" si="17"/>
        <v>83</v>
      </c>
      <c r="B88" s="218"/>
      <c r="C88" s="523"/>
      <c r="D88" s="528"/>
      <c r="E88" s="377"/>
      <c r="F88" s="192" t="s">
        <v>622</v>
      </c>
      <c r="G88" s="529"/>
      <c r="H88" s="193"/>
      <c r="I88" s="193"/>
      <c r="J88" s="374"/>
      <c r="K88" s="539"/>
      <c r="L88" s="542"/>
      <c r="M88" s="540"/>
      <c r="N88" s="543"/>
      <c r="O88" s="367"/>
      <c r="P88" s="368"/>
      <c r="Q88" s="546"/>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7"/>
      <c r="AW88" s="551"/>
      <c r="AX88" s="434" t="str">
        <f t="shared" si="15"/>
        <v>,</v>
      </c>
      <c r="AY88" s="434" t="str">
        <f t="shared" si="16"/>
        <v xml:space="preserve"> / </v>
      </c>
      <c r="AZ88" s="556"/>
      <c r="BA88" s="557"/>
      <c r="BB88" s="556"/>
      <c r="BC88" s="556"/>
      <c r="BD88" s="557"/>
      <c r="BE88" s="556"/>
    </row>
    <row r="89" spans="1:57" s="191" customFormat="1" ht="21.6" customHeight="1">
      <c r="A89" s="522">
        <f t="shared" si="17"/>
        <v>84</v>
      </c>
      <c r="B89" s="218"/>
      <c r="C89" s="523"/>
      <c r="D89" s="529"/>
      <c r="E89" s="377"/>
      <c r="F89" s="192" t="s">
        <v>622</v>
      </c>
      <c r="G89" s="529"/>
      <c r="H89" s="193"/>
      <c r="I89" s="193"/>
      <c r="J89" s="374"/>
      <c r="K89" s="539"/>
      <c r="L89" s="542"/>
      <c r="M89" s="540"/>
      <c r="N89" s="543"/>
      <c r="O89" s="367"/>
      <c r="P89" s="368"/>
      <c r="Q89" s="546"/>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7"/>
      <c r="AW89" s="551"/>
      <c r="AX89" s="434" t="str">
        <f t="shared" si="15"/>
        <v>,</v>
      </c>
      <c r="AY89" s="434" t="str">
        <f t="shared" si="16"/>
        <v xml:space="preserve"> / </v>
      </c>
      <c r="AZ89" s="556"/>
      <c r="BA89" s="557"/>
      <c r="BB89" s="556"/>
      <c r="BC89" s="556"/>
      <c r="BD89" s="557"/>
      <c r="BE89" s="556"/>
    </row>
    <row r="90" spans="1:57" s="191" customFormat="1" ht="21.6" customHeight="1">
      <c r="A90" s="522">
        <f t="shared" si="17"/>
        <v>85</v>
      </c>
      <c r="B90" s="218"/>
      <c r="C90" s="523"/>
      <c r="D90" s="529"/>
      <c r="E90" s="377"/>
      <c r="F90" s="192" t="s">
        <v>622</v>
      </c>
      <c r="G90" s="529"/>
      <c r="H90" s="193"/>
      <c r="I90" s="193"/>
      <c r="J90" s="374"/>
      <c r="K90" s="539"/>
      <c r="L90" s="542"/>
      <c r="M90" s="540"/>
      <c r="N90" s="543"/>
      <c r="O90" s="367"/>
      <c r="P90" s="368"/>
      <c r="Q90" s="546"/>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7"/>
      <c r="AW90" s="551"/>
      <c r="AX90" s="434" t="str">
        <f t="shared" si="15"/>
        <v>,</v>
      </c>
      <c r="AY90" s="434" t="str">
        <f t="shared" si="16"/>
        <v xml:space="preserve"> / </v>
      </c>
      <c r="AZ90" s="556"/>
      <c r="BA90" s="557"/>
      <c r="BB90" s="556"/>
      <c r="BC90" s="556"/>
      <c r="BD90" s="557"/>
      <c r="BE90" s="556"/>
    </row>
    <row r="91" spans="1:57" s="191" customFormat="1" ht="21.6" customHeight="1">
      <c r="A91" s="522">
        <f t="shared" si="17"/>
        <v>86</v>
      </c>
      <c r="B91" s="218"/>
      <c r="C91" s="523"/>
      <c r="D91" s="528"/>
      <c r="E91" s="377"/>
      <c r="F91" s="192" t="s">
        <v>622</v>
      </c>
      <c r="G91" s="529"/>
      <c r="H91" s="193"/>
      <c r="I91" s="193"/>
      <c r="J91" s="374"/>
      <c r="K91" s="539"/>
      <c r="L91" s="542"/>
      <c r="M91" s="540"/>
      <c r="N91" s="543"/>
      <c r="O91" s="367"/>
      <c r="P91" s="368"/>
      <c r="Q91" s="546"/>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7"/>
      <c r="AW91" s="551"/>
      <c r="AX91" s="434" t="str">
        <f t="shared" si="15"/>
        <v>,</v>
      </c>
      <c r="AY91" s="434" t="str">
        <f t="shared" si="16"/>
        <v xml:space="preserve"> / </v>
      </c>
      <c r="AZ91" s="556"/>
      <c r="BA91" s="557"/>
      <c r="BB91" s="556"/>
      <c r="BC91" s="556"/>
      <c r="BD91" s="557"/>
      <c r="BE91" s="556"/>
    </row>
    <row r="92" spans="1:57" s="191" customFormat="1" ht="21.6" customHeight="1">
      <c r="A92" s="522">
        <f t="shared" si="17"/>
        <v>87</v>
      </c>
      <c r="B92" s="218"/>
      <c r="C92" s="523"/>
      <c r="D92" s="528"/>
      <c r="E92" s="377"/>
      <c r="F92" s="192" t="s">
        <v>622</v>
      </c>
      <c r="G92" s="529"/>
      <c r="H92" s="193"/>
      <c r="I92" s="193"/>
      <c r="J92" s="374"/>
      <c r="K92" s="539"/>
      <c r="L92" s="542"/>
      <c r="M92" s="540"/>
      <c r="N92" s="543"/>
      <c r="O92" s="367"/>
      <c r="P92" s="368"/>
      <c r="Q92" s="546"/>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7"/>
      <c r="AW92" s="551"/>
      <c r="AX92" s="434" t="str">
        <f t="shared" si="15"/>
        <v>,</v>
      </c>
      <c r="AY92" s="434" t="str">
        <f t="shared" si="16"/>
        <v xml:space="preserve"> / </v>
      </c>
      <c r="AZ92" s="556"/>
      <c r="BA92" s="557"/>
      <c r="BB92" s="556"/>
      <c r="BC92" s="556"/>
      <c r="BD92" s="557"/>
      <c r="BE92" s="556"/>
    </row>
    <row r="93" spans="1:57" s="191" customFormat="1" ht="21.6" customHeight="1">
      <c r="A93" s="522">
        <f t="shared" si="17"/>
        <v>88</v>
      </c>
      <c r="B93" s="218"/>
      <c r="C93" s="523"/>
      <c r="D93" s="528"/>
      <c r="E93" s="377"/>
      <c r="F93" s="192" t="s">
        <v>622</v>
      </c>
      <c r="G93" s="529"/>
      <c r="H93" s="193"/>
      <c r="I93" s="193"/>
      <c r="J93" s="374"/>
      <c r="K93" s="539"/>
      <c r="L93" s="542"/>
      <c r="M93" s="540"/>
      <c r="N93" s="543"/>
      <c r="O93" s="367"/>
      <c r="P93" s="368"/>
      <c r="Q93" s="546"/>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7"/>
      <c r="AW93" s="551"/>
      <c r="AX93" s="434" t="str">
        <f t="shared" si="15"/>
        <v>,</v>
      </c>
      <c r="AY93" s="434" t="str">
        <f t="shared" si="16"/>
        <v xml:space="preserve"> / </v>
      </c>
      <c r="AZ93" s="556"/>
      <c r="BA93" s="557"/>
      <c r="BB93" s="556"/>
      <c r="BC93" s="556"/>
      <c r="BD93" s="557"/>
      <c r="BE93" s="556"/>
    </row>
    <row r="94" spans="1:57" s="191" customFormat="1" ht="21.6" customHeight="1">
      <c r="A94" s="522">
        <f t="shared" si="17"/>
        <v>89</v>
      </c>
      <c r="B94" s="218"/>
      <c r="C94" s="523"/>
      <c r="D94" s="529"/>
      <c r="E94" s="377"/>
      <c r="F94" s="192" t="s">
        <v>622</v>
      </c>
      <c r="G94" s="529"/>
      <c r="H94" s="193"/>
      <c r="I94" s="193"/>
      <c r="J94" s="374"/>
      <c r="K94" s="539"/>
      <c r="L94" s="542"/>
      <c r="M94" s="540"/>
      <c r="N94" s="543"/>
      <c r="O94" s="367"/>
      <c r="P94" s="368"/>
      <c r="Q94" s="546"/>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7"/>
      <c r="AW94" s="551"/>
      <c r="AX94" s="434" t="str">
        <f t="shared" si="15"/>
        <v>,</v>
      </c>
      <c r="AY94" s="434" t="str">
        <f t="shared" si="16"/>
        <v xml:space="preserve"> / </v>
      </c>
      <c r="AZ94" s="556"/>
      <c r="BA94" s="557"/>
      <c r="BB94" s="556"/>
      <c r="BC94" s="556"/>
      <c r="BD94" s="557"/>
      <c r="BE94" s="556"/>
    </row>
    <row r="95" spans="1:57" s="191" customFormat="1" ht="21.6" customHeight="1">
      <c r="A95" s="522">
        <f t="shared" si="17"/>
        <v>90</v>
      </c>
      <c r="B95" s="218"/>
      <c r="C95" s="523"/>
      <c r="D95" s="529"/>
      <c r="E95" s="377"/>
      <c r="F95" s="192" t="s">
        <v>622</v>
      </c>
      <c r="G95" s="529"/>
      <c r="H95" s="193"/>
      <c r="I95" s="193"/>
      <c r="J95" s="374"/>
      <c r="K95" s="539"/>
      <c r="L95" s="542"/>
      <c r="M95" s="540"/>
      <c r="N95" s="543"/>
      <c r="O95" s="367"/>
      <c r="P95" s="368"/>
      <c r="Q95" s="546"/>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7"/>
      <c r="AW95" s="551"/>
      <c r="AX95" s="434" t="str">
        <f t="shared" si="15"/>
        <v>,</v>
      </c>
      <c r="AY95" s="434" t="str">
        <f t="shared" si="16"/>
        <v xml:space="preserve"> / </v>
      </c>
      <c r="AZ95" s="556"/>
      <c r="BA95" s="557"/>
      <c r="BB95" s="556"/>
      <c r="BC95" s="556"/>
      <c r="BD95" s="557"/>
      <c r="BE95" s="556"/>
    </row>
    <row r="96" spans="1:57" s="191" customFormat="1" ht="21.6" customHeight="1">
      <c r="A96" s="522">
        <f t="shared" si="17"/>
        <v>91</v>
      </c>
      <c r="B96" s="218"/>
      <c r="C96" s="523"/>
      <c r="D96" s="529"/>
      <c r="E96" s="377"/>
      <c r="F96" s="192" t="s">
        <v>622</v>
      </c>
      <c r="G96" s="529"/>
      <c r="H96" s="193"/>
      <c r="I96" s="193"/>
      <c r="J96" s="374"/>
      <c r="K96" s="539"/>
      <c r="L96" s="542"/>
      <c r="M96" s="540"/>
      <c r="N96" s="543"/>
      <c r="O96" s="367"/>
      <c r="P96" s="368"/>
      <c r="Q96" s="546"/>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7"/>
      <c r="AW96" s="551"/>
      <c r="AX96" s="434" t="str">
        <f t="shared" si="15"/>
        <v>,</v>
      </c>
      <c r="AY96" s="434" t="str">
        <f t="shared" si="16"/>
        <v xml:space="preserve"> / </v>
      </c>
      <c r="AZ96" s="556"/>
      <c r="BA96" s="557"/>
      <c r="BB96" s="556"/>
      <c r="BC96" s="556"/>
      <c r="BD96" s="557"/>
      <c r="BE96" s="556"/>
    </row>
    <row r="97" spans="1:57" s="191" customFormat="1" ht="21.6" customHeight="1">
      <c r="A97" s="522">
        <f t="shared" si="17"/>
        <v>92</v>
      </c>
      <c r="B97" s="218"/>
      <c r="C97" s="523"/>
      <c r="D97" s="528"/>
      <c r="E97" s="377"/>
      <c r="F97" s="192" t="s">
        <v>622</v>
      </c>
      <c r="G97" s="529"/>
      <c r="H97" s="193"/>
      <c r="I97" s="193"/>
      <c r="J97" s="374"/>
      <c r="K97" s="539"/>
      <c r="L97" s="542"/>
      <c r="M97" s="540"/>
      <c r="N97" s="543"/>
      <c r="O97" s="367"/>
      <c r="P97" s="368"/>
      <c r="Q97" s="546"/>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7"/>
      <c r="AW97" s="551"/>
      <c r="AX97" s="434" t="str">
        <f t="shared" si="15"/>
        <v>,</v>
      </c>
      <c r="AY97" s="434" t="str">
        <f t="shared" si="16"/>
        <v xml:space="preserve"> / </v>
      </c>
      <c r="AZ97" s="556"/>
      <c r="BA97" s="557"/>
      <c r="BB97" s="556"/>
      <c r="BC97" s="556"/>
      <c r="BD97" s="557"/>
      <c r="BE97" s="556"/>
    </row>
    <row r="98" spans="1:57" s="191" customFormat="1" ht="21.6" customHeight="1">
      <c r="A98" s="522">
        <f t="shared" si="17"/>
        <v>93</v>
      </c>
      <c r="B98" s="218"/>
      <c r="C98" s="523"/>
      <c r="D98" s="528"/>
      <c r="E98" s="377"/>
      <c r="F98" s="192" t="s">
        <v>622</v>
      </c>
      <c r="G98" s="529"/>
      <c r="H98" s="193"/>
      <c r="I98" s="193"/>
      <c r="J98" s="374"/>
      <c r="K98" s="539"/>
      <c r="L98" s="542"/>
      <c r="M98" s="540"/>
      <c r="N98" s="543"/>
      <c r="O98" s="367"/>
      <c r="P98" s="368"/>
      <c r="Q98" s="546"/>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7"/>
      <c r="AW98" s="551"/>
      <c r="AX98" s="434" t="str">
        <f t="shared" si="15"/>
        <v>,</v>
      </c>
      <c r="AY98" s="434" t="str">
        <f t="shared" si="16"/>
        <v xml:space="preserve"> / </v>
      </c>
      <c r="AZ98" s="556"/>
      <c r="BA98" s="557"/>
      <c r="BB98" s="556"/>
      <c r="BC98" s="556"/>
      <c r="BD98" s="557"/>
      <c r="BE98" s="556"/>
    </row>
    <row r="99" spans="1:57" s="191" customFormat="1" ht="21.6" customHeight="1">
      <c r="A99" s="522">
        <f t="shared" si="17"/>
        <v>94</v>
      </c>
      <c r="B99" s="218"/>
      <c r="C99" s="523"/>
      <c r="D99" s="528"/>
      <c r="E99" s="377"/>
      <c r="F99" s="192" t="s">
        <v>622</v>
      </c>
      <c r="G99" s="529"/>
      <c r="H99" s="193"/>
      <c r="I99" s="193"/>
      <c r="J99" s="374"/>
      <c r="K99" s="539"/>
      <c r="L99" s="542"/>
      <c r="M99" s="540"/>
      <c r="N99" s="543"/>
      <c r="O99" s="367"/>
      <c r="P99" s="368"/>
      <c r="Q99" s="546"/>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7"/>
      <c r="AW99" s="551"/>
      <c r="AX99" s="434" t="str">
        <f t="shared" si="15"/>
        <v>,</v>
      </c>
      <c r="AY99" s="434" t="str">
        <f t="shared" si="16"/>
        <v xml:space="preserve"> / </v>
      </c>
      <c r="AZ99" s="556"/>
      <c r="BA99" s="557"/>
      <c r="BB99" s="556"/>
      <c r="BC99" s="556"/>
      <c r="BD99" s="557"/>
      <c r="BE99" s="556"/>
    </row>
    <row r="100" spans="1:57" s="191" customFormat="1" ht="21.6" customHeight="1">
      <c r="A100" s="522">
        <f t="shared" si="17"/>
        <v>95</v>
      </c>
      <c r="B100" s="218"/>
      <c r="C100" s="523"/>
      <c r="D100" s="528"/>
      <c r="E100" s="377"/>
      <c r="F100" s="192" t="s">
        <v>622</v>
      </c>
      <c r="G100" s="529"/>
      <c r="H100" s="193"/>
      <c r="I100" s="193"/>
      <c r="J100" s="374"/>
      <c r="K100" s="539"/>
      <c r="L100" s="542"/>
      <c r="M100" s="540"/>
      <c r="N100" s="543"/>
      <c r="O100" s="367"/>
      <c r="P100" s="368"/>
      <c r="Q100" s="546"/>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7"/>
      <c r="AW100" s="551"/>
      <c r="AX100" s="434" t="str">
        <f t="shared" si="15"/>
        <v>,</v>
      </c>
      <c r="AY100" s="434" t="str">
        <f t="shared" si="16"/>
        <v xml:space="preserve"> / </v>
      </c>
      <c r="AZ100" s="556"/>
      <c r="BA100" s="557"/>
      <c r="BB100" s="556"/>
      <c r="BC100" s="556"/>
      <c r="BD100" s="557"/>
      <c r="BE100" s="556"/>
    </row>
    <row r="101" spans="1:57" s="191" customFormat="1" ht="21.6" customHeight="1">
      <c r="A101" s="522">
        <f t="shared" si="17"/>
        <v>96</v>
      </c>
      <c r="B101" s="218"/>
      <c r="C101" s="523"/>
      <c r="D101" s="528"/>
      <c r="E101" s="377"/>
      <c r="F101" s="192" t="s">
        <v>622</v>
      </c>
      <c r="G101" s="529"/>
      <c r="H101" s="193"/>
      <c r="I101" s="193"/>
      <c r="J101" s="374"/>
      <c r="K101" s="539"/>
      <c r="L101" s="542"/>
      <c r="M101" s="540"/>
      <c r="N101" s="543"/>
      <c r="O101" s="367"/>
      <c r="P101" s="368"/>
      <c r="Q101" s="546"/>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7"/>
      <c r="AW101" s="551"/>
      <c r="AX101" s="434" t="str">
        <f t="shared" si="15"/>
        <v>,</v>
      </c>
      <c r="AY101" s="434" t="str">
        <f t="shared" si="16"/>
        <v xml:space="preserve"> / </v>
      </c>
      <c r="AZ101" s="556"/>
      <c r="BA101" s="557"/>
      <c r="BB101" s="556"/>
      <c r="BC101" s="556"/>
      <c r="BD101" s="557"/>
      <c r="BE101" s="556"/>
    </row>
    <row r="102" spans="1:57" s="191" customFormat="1" ht="21.6" customHeight="1">
      <c r="A102" s="522">
        <f t="shared" si="17"/>
        <v>97</v>
      </c>
      <c r="B102" s="218"/>
      <c r="C102" s="523"/>
      <c r="D102" s="528"/>
      <c r="E102" s="377"/>
      <c r="F102" s="192" t="s">
        <v>622</v>
      </c>
      <c r="G102" s="529"/>
      <c r="H102" s="193"/>
      <c r="I102" s="193"/>
      <c r="J102" s="374"/>
      <c r="K102" s="539"/>
      <c r="L102" s="542"/>
      <c r="M102" s="540"/>
      <c r="N102" s="543"/>
      <c r="O102" s="367"/>
      <c r="P102" s="368"/>
      <c r="Q102" s="546"/>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7"/>
      <c r="AW102" s="551"/>
      <c r="AX102" s="434" t="str">
        <f t="shared" si="15"/>
        <v>,</v>
      </c>
      <c r="AY102" s="434" t="str">
        <f t="shared" si="16"/>
        <v xml:space="preserve"> / </v>
      </c>
      <c r="AZ102" s="556"/>
      <c r="BA102" s="557"/>
      <c r="BB102" s="556"/>
      <c r="BC102" s="556"/>
      <c r="BD102" s="557"/>
      <c r="BE102" s="556"/>
    </row>
    <row r="103" spans="1:57" s="191" customFormat="1" ht="21.6" customHeight="1">
      <c r="A103" s="522">
        <f t="shared" si="17"/>
        <v>98</v>
      </c>
      <c r="B103" s="218"/>
      <c r="C103" s="523"/>
      <c r="D103" s="529"/>
      <c r="E103" s="377"/>
      <c r="F103" s="192" t="s">
        <v>622</v>
      </c>
      <c r="G103" s="529"/>
      <c r="H103" s="193"/>
      <c r="I103" s="193"/>
      <c r="J103" s="374"/>
      <c r="K103" s="539"/>
      <c r="L103" s="542"/>
      <c r="M103" s="540"/>
      <c r="N103" s="543"/>
      <c r="O103" s="367"/>
      <c r="P103" s="368"/>
      <c r="Q103" s="546"/>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7"/>
      <c r="AW103" s="551"/>
      <c r="AX103" s="434" t="str">
        <f t="shared" si="15"/>
        <v>,</v>
      </c>
      <c r="AY103" s="434" t="str">
        <f t="shared" si="16"/>
        <v xml:space="preserve"> / </v>
      </c>
      <c r="AZ103" s="556"/>
      <c r="BA103" s="557"/>
      <c r="BB103" s="556"/>
      <c r="BC103" s="556"/>
      <c r="BD103" s="557"/>
      <c r="BE103" s="556"/>
    </row>
    <row r="104" spans="1:57" s="191" customFormat="1" ht="21.6" customHeight="1">
      <c r="A104" s="522">
        <f t="shared" si="17"/>
        <v>99</v>
      </c>
      <c r="B104" s="218"/>
      <c r="C104" s="523"/>
      <c r="D104" s="528"/>
      <c r="E104" s="377"/>
      <c r="F104" s="192" t="s">
        <v>622</v>
      </c>
      <c r="G104" s="529"/>
      <c r="H104" s="193"/>
      <c r="I104" s="193"/>
      <c r="J104" s="374"/>
      <c r="K104" s="539"/>
      <c r="L104" s="542"/>
      <c r="M104" s="540"/>
      <c r="N104" s="543"/>
      <c r="O104" s="367"/>
      <c r="P104" s="368"/>
      <c r="Q104" s="546"/>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7"/>
      <c r="AW104" s="551"/>
      <c r="AX104" s="434" t="str">
        <f t="shared" si="15"/>
        <v>,</v>
      </c>
      <c r="AY104" s="434" t="str">
        <f t="shared" si="16"/>
        <v xml:space="preserve"> / </v>
      </c>
      <c r="AZ104" s="556"/>
      <c r="BA104" s="557"/>
      <c r="BB104" s="556"/>
      <c r="BC104" s="556"/>
      <c r="BD104" s="557"/>
      <c r="BE104" s="556"/>
    </row>
    <row r="105" spans="1:57" s="191" customFormat="1" ht="21.6" customHeight="1">
      <c r="A105" s="522">
        <f t="shared" si="17"/>
        <v>100</v>
      </c>
      <c r="B105" s="218"/>
      <c r="C105" s="523"/>
      <c r="D105" s="528"/>
      <c r="E105" s="377"/>
      <c r="F105" s="192" t="s">
        <v>622</v>
      </c>
      <c r="G105" s="529"/>
      <c r="H105" s="193"/>
      <c r="I105" s="193"/>
      <c r="J105" s="374"/>
      <c r="K105" s="539"/>
      <c r="L105" s="542"/>
      <c r="M105" s="540"/>
      <c r="N105" s="543"/>
      <c r="O105" s="367"/>
      <c r="P105" s="368"/>
      <c r="Q105" s="546"/>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7"/>
      <c r="AW105" s="551"/>
      <c r="AX105" s="434" t="str">
        <f t="shared" si="15"/>
        <v>,</v>
      </c>
      <c r="AY105" s="434" t="str">
        <f t="shared" si="16"/>
        <v xml:space="preserve"> / </v>
      </c>
      <c r="AZ105" s="556"/>
      <c r="BA105" s="557"/>
      <c r="BB105" s="556"/>
      <c r="BC105" s="556"/>
      <c r="BD105" s="557"/>
      <c r="BE105" s="556"/>
    </row>
    <row r="106" spans="1:57" s="191" customFormat="1" ht="21.6" customHeight="1">
      <c r="A106" s="522">
        <f t="shared" si="17"/>
        <v>101</v>
      </c>
      <c r="B106" s="218"/>
      <c r="C106" s="523"/>
      <c r="D106" s="528"/>
      <c r="E106" s="377"/>
      <c r="F106" s="192" t="s">
        <v>622</v>
      </c>
      <c r="G106" s="529"/>
      <c r="H106" s="193"/>
      <c r="I106" s="193"/>
      <c r="J106" s="374"/>
      <c r="K106" s="539"/>
      <c r="L106" s="542"/>
      <c r="M106" s="540"/>
      <c r="N106" s="543"/>
      <c r="O106" s="367"/>
      <c r="P106" s="368"/>
      <c r="Q106" s="546"/>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7"/>
      <c r="AW106" s="551"/>
      <c r="AX106" s="434" t="str">
        <f t="shared" si="15"/>
        <v>,</v>
      </c>
      <c r="AY106" s="434" t="str">
        <f t="shared" si="16"/>
        <v xml:space="preserve"> / </v>
      </c>
      <c r="AZ106" s="556"/>
      <c r="BA106" s="557"/>
      <c r="BB106" s="556"/>
      <c r="BC106" s="556"/>
      <c r="BD106" s="557"/>
      <c r="BE106" s="556"/>
    </row>
    <row r="107" spans="1:57" s="191" customFormat="1" ht="21.6" customHeight="1">
      <c r="A107" s="522">
        <f t="shared" si="17"/>
        <v>102</v>
      </c>
      <c r="B107" s="218"/>
      <c r="C107" s="524"/>
      <c r="D107" s="530"/>
      <c r="E107" s="378"/>
      <c r="F107" s="192" t="s">
        <v>622</v>
      </c>
      <c r="G107" s="529"/>
      <c r="H107" s="224"/>
      <c r="I107" s="224"/>
      <c r="J107" s="373"/>
      <c r="K107" s="539"/>
      <c r="L107" s="542"/>
      <c r="M107" s="540"/>
      <c r="N107" s="543"/>
      <c r="O107" s="367"/>
      <c r="P107" s="368"/>
      <c r="Q107" s="546"/>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7"/>
      <c r="AW107" s="551"/>
      <c r="AX107" s="434" t="str">
        <f t="shared" si="15"/>
        <v>,</v>
      </c>
      <c r="AY107" s="434" t="str">
        <f t="shared" si="16"/>
        <v xml:space="preserve"> / </v>
      </c>
      <c r="AZ107" s="556"/>
      <c r="BA107" s="557"/>
      <c r="BB107" s="556"/>
      <c r="BC107" s="556"/>
      <c r="BD107" s="557"/>
      <c r="BE107" s="556"/>
    </row>
    <row r="108" spans="1:57" s="191" customFormat="1" ht="21.6" customHeight="1">
      <c r="A108" s="522">
        <f t="shared" si="17"/>
        <v>103</v>
      </c>
      <c r="B108" s="218"/>
      <c r="C108" s="524"/>
      <c r="D108" s="530"/>
      <c r="E108" s="378"/>
      <c r="F108" s="192" t="s">
        <v>622</v>
      </c>
      <c r="G108" s="529"/>
      <c r="H108" s="229"/>
      <c r="I108" s="229"/>
      <c r="J108" s="373"/>
      <c r="K108" s="539"/>
      <c r="L108" s="542"/>
      <c r="M108" s="540"/>
      <c r="N108" s="543"/>
      <c r="O108" s="367"/>
      <c r="P108" s="368"/>
      <c r="Q108" s="546"/>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7"/>
      <c r="AW108" s="551"/>
      <c r="AX108" s="434" t="str">
        <f t="shared" si="15"/>
        <v>,</v>
      </c>
      <c r="AY108" s="434" t="str">
        <f t="shared" si="16"/>
        <v xml:space="preserve"> / </v>
      </c>
      <c r="AZ108" s="556"/>
      <c r="BA108" s="557"/>
      <c r="BB108" s="556"/>
      <c r="BC108" s="556"/>
      <c r="BD108" s="557"/>
      <c r="BE108" s="556"/>
    </row>
    <row r="109" spans="1:57" ht="21.6" customHeight="1">
      <c r="A109" s="522">
        <f t="shared" si="17"/>
        <v>104</v>
      </c>
      <c r="B109" s="218"/>
      <c r="C109" s="524"/>
      <c r="D109" s="530"/>
      <c r="E109" s="378"/>
      <c r="F109" s="192" t="s">
        <v>622</v>
      </c>
      <c r="G109" s="529"/>
      <c r="H109" s="229"/>
      <c r="I109" s="229"/>
      <c r="J109" s="373"/>
      <c r="K109" s="539"/>
      <c r="L109" s="542"/>
      <c r="M109" s="540"/>
      <c r="N109" s="543"/>
      <c r="O109" s="367"/>
      <c r="P109" s="368"/>
      <c r="Q109" s="546"/>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9"/>
      <c r="AW109" s="553"/>
      <c r="AX109" s="434" t="str">
        <f t="shared" si="15"/>
        <v>,</v>
      </c>
      <c r="AY109" s="434" t="str">
        <f t="shared" si="16"/>
        <v xml:space="preserve"> / </v>
      </c>
      <c r="AZ109" s="556"/>
      <c r="BA109" s="557"/>
      <c r="BB109" s="556"/>
      <c r="BC109" s="558"/>
      <c r="BD109" s="557"/>
      <c r="BE109" s="558"/>
    </row>
    <row r="110" spans="1:57" ht="21.6" customHeight="1">
      <c r="A110" s="522">
        <f t="shared" si="17"/>
        <v>105</v>
      </c>
      <c r="B110" s="218"/>
      <c r="C110" s="524"/>
      <c r="D110" s="530"/>
      <c r="E110" s="378"/>
      <c r="F110" s="192" t="s">
        <v>622</v>
      </c>
      <c r="G110" s="529"/>
      <c r="H110" s="229"/>
      <c r="I110" s="229"/>
      <c r="J110" s="373"/>
      <c r="K110" s="539"/>
      <c r="L110" s="542"/>
      <c r="M110" s="540"/>
      <c r="N110" s="543"/>
      <c r="O110" s="367"/>
      <c r="P110" s="368"/>
      <c r="Q110" s="546"/>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9"/>
      <c r="AW110" s="553"/>
      <c r="AX110" s="434" t="str">
        <f t="shared" si="15"/>
        <v>,</v>
      </c>
      <c r="AY110" s="434" t="str">
        <f t="shared" si="16"/>
        <v xml:space="preserve"> / </v>
      </c>
      <c r="AZ110" s="556"/>
      <c r="BA110" s="557"/>
      <c r="BB110" s="556"/>
      <c r="BC110" s="558"/>
      <c r="BD110" s="557"/>
      <c r="BE110" s="558"/>
    </row>
    <row r="111" spans="1:57" ht="21.6" customHeight="1">
      <c r="A111" s="522">
        <f t="shared" si="17"/>
        <v>106</v>
      </c>
      <c r="B111" s="218"/>
      <c r="C111" s="524"/>
      <c r="D111" s="530"/>
      <c r="E111" s="378"/>
      <c r="F111" s="192" t="s">
        <v>622</v>
      </c>
      <c r="G111" s="529"/>
      <c r="H111" s="229"/>
      <c r="I111" s="229"/>
      <c r="J111" s="373"/>
      <c r="K111" s="539"/>
      <c r="L111" s="542"/>
      <c r="M111" s="540"/>
      <c r="N111" s="543"/>
      <c r="O111" s="367"/>
      <c r="P111" s="368"/>
      <c r="Q111" s="546"/>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9"/>
      <c r="AW111" s="553"/>
      <c r="AX111" s="434" t="str">
        <f t="shared" si="15"/>
        <v>,</v>
      </c>
      <c r="AY111" s="434" t="str">
        <f t="shared" si="16"/>
        <v xml:space="preserve"> / </v>
      </c>
      <c r="AZ111" s="556"/>
      <c r="BA111" s="557"/>
      <c r="BB111" s="556"/>
      <c r="BC111" s="558"/>
      <c r="BD111" s="557"/>
      <c r="BE111" s="558"/>
    </row>
    <row r="112" spans="1:57" ht="21.6" customHeight="1">
      <c r="A112" s="522">
        <f t="shared" si="17"/>
        <v>107</v>
      </c>
      <c r="B112" s="218"/>
      <c r="C112" s="524"/>
      <c r="D112" s="530"/>
      <c r="E112" s="378"/>
      <c r="F112" s="192" t="s">
        <v>622</v>
      </c>
      <c r="G112" s="528"/>
      <c r="H112" s="229"/>
      <c r="I112" s="229"/>
      <c r="J112" s="373"/>
      <c r="K112" s="539"/>
      <c r="L112" s="542"/>
      <c r="M112" s="540"/>
      <c r="N112" s="543"/>
      <c r="O112" s="367"/>
      <c r="P112" s="368"/>
      <c r="Q112" s="546"/>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9"/>
      <c r="AW112" s="553"/>
      <c r="AX112" s="434" t="str">
        <f t="shared" si="15"/>
        <v>,</v>
      </c>
      <c r="AY112" s="434" t="str">
        <f t="shared" si="16"/>
        <v xml:space="preserve"> / </v>
      </c>
      <c r="AZ112" s="556"/>
      <c r="BA112" s="557"/>
      <c r="BB112" s="556"/>
      <c r="BC112" s="558"/>
      <c r="BD112" s="557"/>
      <c r="BE112" s="558"/>
    </row>
    <row r="113" spans="1:57" ht="21.6" customHeight="1">
      <c r="A113" s="522">
        <f t="shared" si="17"/>
        <v>108</v>
      </c>
      <c r="B113" s="218"/>
      <c r="C113" s="524"/>
      <c r="D113" s="530"/>
      <c r="E113" s="378"/>
      <c r="F113" s="192" t="s">
        <v>622</v>
      </c>
      <c r="G113" s="528"/>
      <c r="H113" s="229"/>
      <c r="I113" s="229"/>
      <c r="J113" s="373"/>
      <c r="K113" s="539"/>
      <c r="L113" s="542"/>
      <c r="M113" s="540"/>
      <c r="N113" s="543"/>
      <c r="O113" s="367"/>
      <c r="P113" s="368"/>
      <c r="Q113" s="546"/>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9"/>
      <c r="AW113" s="553"/>
      <c r="AX113" s="434" t="str">
        <f t="shared" si="15"/>
        <v>,</v>
      </c>
      <c r="AY113" s="434" t="str">
        <f t="shared" si="16"/>
        <v xml:space="preserve"> / </v>
      </c>
      <c r="AZ113" s="556"/>
      <c r="BA113" s="557"/>
      <c r="BB113" s="556"/>
      <c r="BC113" s="558"/>
      <c r="BD113" s="557"/>
      <c r="BE113" s="558"/>
    </row>
    <row r="114" spans="1:57" ht="21.6" customHeight="1">
      <c r="A114" s="522">
        <f t="shared" si="17"/>
        <v>109</v>
      </c>
      <c r="B114" s="218"/>
      <c r="C114" s="524"/>
      <c r="D114" s="530"/>
      <c r="E114" s="378"/>
      <c r="F114" s="192" t="s">
        <v>622</v>
      </c>
      <c r="G114" s="529"/>
      <c r="H114" s="229"/>
      <c r="I114" s="229"/>
      <c r="J114" s="373"/>
      <c r="K114" s="539"/>
      <c r="L114" s="542"/>
      <c r="M114" s="540"/>
      <c r="N114" s="543"/>
      <c r="O114" s="367"/>
      <c r="P114" s="368"/>
      <c r="Q114" s="546"/>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9"/>
      <c r="AW114" s="553"/>
      <c r="AX114" s="434" t="str">
        <f t="shared" si="15"/>
        <v>,</v>
      </c>
      <c r="AY114" s="434" t="str">
        <f t="shared" si="16"/>
        <v xml:space="preserve"> / </v>
      </c>
      <c r="AZ114" s="556"/>
      <c r="BA114" s="557"/>
      <c r="BB114" s="556"/>
      <c r="BC114" s="558"/>
      <c r="BD114" s="557"/>
      <c r="BE114" s="558"/>
    </row>
    <row r="115" spans="1:57" ht="21.6" customHeight="1">
      <c r="A115" s="522">
        <f t="shared" si="17"/>
        <v>110</v>
      </c>
      <c r="B115" s="218"/>
      <c r="C115" s="524"/>
      <c r="D115" s="530"/>
      <c r="E115" s="378"/>
      <c r="F115" s="192" t="s">
        <v>622</v>
      </c>
      <c r="G115" s="528"/>
      <c r="H115" s="229"/>
      <c r="I115" s="229"/>
      <c r="J115" s="373"/>
      <c r="K115" s="539"/>
      <c r="L115" s="542"/>
      <c r="M115" s="540"/>
      <c r="N115" s="543"/>
      <c r="O115" s="367"/>
      <c r="P115" s="368"/>
      <c r="Q115" s="546"/>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9"/>
      <c r="AW115" s="553"/>
      <c r="AX115" s="434" t="str">
        <f t="shared" si="15"/>
        <v>,</v>
      </c>
      <c r="AY115" s="434" t="str">
        <f t="shared" si="16"/>
        <v xml:space="preserve"> / </v>
      </c>
      <c r="AZ115" s="556"/>
      <c r="BA115" s="557"/>
      <c r="BB115" s="556"/>
      <c r="BC115" s="558"/>
      <c r="BD115" s="557"/>
      <c r="BE115" s="558"/>
    </row>
    <row r="116" spans="1:57" ht="21.6" customHeight="1">
      <c r="A116" s="522">
        <f t="shared" si="17"/>
        <v>111</v>
      </c>
      <c r="B116" s="218"/>
      <c r="C116" s="524"/>
      <c r="D116" s="530"/>
      <c r="E116" s="378"/>
      <c r="F116" s="192" t="s">
        <v>622</v>
      </c>
      <c r="G116" s="528"/>
      <c r="H116" s="229"/>
      <c r="I116" s="229"/>
      <c r="J116" s="373"/>
      <c r="K116" s="539"/>
      <c r="L116" s="542"/>
      <c r="M116" s="540"/>
      <c r="N116" s="543"/>
      <c r="O116" s="367"/>
      <c r="P116" s="368"/>
      <c r="Q116" s="546"/>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9"/>
      <c r="AW116" s="553"/>
      <c r="AX116" s="434" t="str">
        <f t="shared" si="15"/>
        <v>,</v>
      </c>
      <c r="AY116" s="434" t="str">
        <f t="shared" si="16"/>
        <v xml:space="preserve"> / </v>
      </c>
      <c r="AZ116" s="556"/>
      <c r="BA116" s="557"/>
      <c r="BB116" s="556"/>
      <c r="BC116" s="558"/>
      <c r="BD116" s="557"/>
      <c r="BE116" s="558"/>
    </row>
    <row r="117" spans="1:57" ht="21.6" customHeight="1">
      <c r="A117" s="522">
        <f t="shared" si="17"/>
        <v>112</v>
      </c>
      <c r="B117" s="218"/>
      <c r="C117" s="524"/>
      <c r="D117" s="530"/>
      <c r="E117" s="378"/>
      <c r="F117" s="192" t="s">
        <v>622</v>
      </c>
      <c r="G117" s="534"/>
      <c r="H117" s="229"/>
      <c r="I117" s="229"/>
      <c r="J117" s="373"/>
      <c r="K117" s="539"/>
      <c r="L117" s="542"/>
      <c r="M117" s="540"/>
      <c r="N117" s="543"/>
      <c r="O117" s="367"/>
      <c r="P117" s="368"/>
      <c r="Q117" s="546"/>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9"/>
      <c r="AW117" s="553"/>
      <c r="AX117" s="434" t="str">
        <f t="shared" si="15"/>
        <v>,</v>
      </c>
      <c r="AY117" s="434" t="str">
        <f t="shared" si="16"/>
        <v xml:space="preserve"> / </v>
      </c>
      <c r="AZ117" s="556"/>
      <c r="BA117" s="557"/>
      <c r="BB117" s="556"/>
      <c r="BC117" s="558"/>
      <c r="BD117" s="557"/>
      <c r="BE117" s="558"/>
    </row>
    <row r="118" spans="1:57" ht="21.6" customHeight="1">
      <c r="A118" s="522">
        <f t="shared" si="17"/>
        <v>113</v>
      </c>
      <c r="B118" s="218"/>
      <c r="C118" s="524"/>
      <c r="D118" s="530"/>
      <c r="E118" s="378"/>
      <c r="F118" s="192" t="s">
        <v>622</v>
      </c>
      <c r="G118" s="534"/>
      <c r="H118" s="229"/>
      <c r="I118" s="229"/>
      <c r="J118" s="373"/>
      <c r="K118" s="539"/>
      <c r="L118" s="542"/>
      <c r="M118" s="540"/>
      <c r="N118" s="543"/>
      <c r="O118" s="367"/>
      <c r="P118" s="368"/>
      <c r="Q118" s="546"/>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9"/>
      <c r="AW118" s="553"/>
      <c r="AX118" s="434" t="str">
        <f t="shared" si="15"/>
        <v>,</v>
      </c>
      <c r="AY118" s="434" t="str">
        <f t="shared" si="16"/>
        <v xml:space="preserve"> / </v>
      </c>
      <c r="AZ118" s="556"/>
      <c r="BA118" s="557"/>
      <c r="BB118" s="556"/>
      <c r="BC118" s="558"/>
      <c r="BD118" s="557"/>
      <c r="BE118" s="558"/>
    </row>
    <row r="119" spans="1:57" ht="21.6" customHeight="1">
      <c r="A119" s="522">
        <f t="shared" si="17"/>
        <v>114</v>
      </c>
      <c r="B119" s="218"/>
      <c r="C119" s="524"/>
      <c r="D119" s="530"/>
      <c r="E119" s="378"/>
      <c r="F119" s="192" t="s">
        <v>622</v>
      </c>
      <c r="G119" s="534"/>
      <c r="H119" s="229"/>
      <c r="I119" s="229"/>
      <c r="J119" s="373"/>
      <c r="K119" s="539"/>
      <c r="L119" s="542"/>
      <c r="M119" s="540"/>
      <c r="N119" s="543"/>
      <c r="O119" s="367"/>
      <c r="P119" s="368"/>
      <c r="Q119" s="546"/>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9"/>
      <c r="AW119" s="553"/>
      <c r="AX119" s="434" t="str">
        <f t="shared" si="15"/>
        <v>,</v>
      </c>
      <c r="AY119" s="434" t="str">
        <f t="shared" si="16"/>
        <v xml:space="preserve"> / </v>
      </c>
      <c r="AZ119" s="556"/>
      <c r="BA119" s="557"/>
      <c r="BB119" s="556"/>
      <c r="BC119" s="558"/>
      <c r="BD119" s="557"/>
      <c r="BE119" s="558"/>
    </row>
    <row r="120" spans="1:57" ht="21.6" customHeight="1">
      <c r="A120" s="522">
        <f t="shared" si="17"/>
        <v>115</v>
      </c>
      <c r="B120" s="218"/>
      <c r="C120" s="524"/>
      <c r="D120" s="530"/>
      <c r="E120" s="378"/>
      <c r="F120" s="192" t="s">
        <v>622</v>
      </c>
      <c r="G120" s="534"/>
      <c r="H120" s="229"/>
      <c r="I120" s="229"/>
      <c r="J120" s="373"/>
      <c r="K120" s="539"/>
      <c r="L120" s="542"/>
      <c r="M120" s="540"/>
      <c r="N120" s="543"/>
      <c r="O120" s="367"/>
      <c r="P120" s="368"/>
      <c r="Q120" s="546"/>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9"/>
      <c r="AW120" s="553"/>
      <c r="AX120" s="434" t="str">
        <f t="shared" si="15"/>
        <v>,</v>
      </c>
      <c r="AY120" s="434" t="str">
        <f t="shared" si="16"/>
        <v xml:space="preserve"> / </v>
      </c>
      <c r="AZ120" s="556"/>
      <c r="BA120" s="557"/>
      <c r="BB120" s="556"/>
      <c r="BC120" s="558"/>
      <c r="BD120" s="557"/>
      <c r="BE120" s="558"/>
    </row>
    <row r="121" spans="1:57" ht="21.6" customHeight="1">
      <c r="A121" s="522">
        <f t="shared" si="17"/>
        <v>116</v>
      </c>
      <c r="B121" s="218"/>
      <c r="C121" s="524"/>
      <c r="D121" s="530"/>
      <c r="E121" s="378"/>
      <c r="F121" s="192" t="s">
        <v>622</v>
      </c>
      <c r="G121" s="534"/>
      <c r="H121" s="229"/>
      <c r="I121" s="229"/>
      <c r="J121" s="373"/>
      <c r="K121" s="539"/>
      <c r="L121" s="542"/>
      <c r="M121" s="540"/>
      <c r="N121" s="543"/>
      <c r="O121" s="367"/>
      <c r="P121" s="368"/>
      <c r="Q121" s="546"/>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9"/>
      <c r="AW121" s="553"/>
      <c r="AX121" s="434" t="str">
        <f t="shared" si="15"/>
        <v>,</v>
      </c>
      <c r="AY121" s="434" t="str">
        <f t="shared" si="16"/>
        <v xml:space="preserve"> / </v>
      </c>
      <c r="AZ121" s="556"/>
      <c r="BA121" s="557"/>
      <c r="BB121" s="556"/>
      <c r="BC121" s="558"/>
      <c r="BD121" s="557"/>
      <c r="BE121" s="558"/>
    </row>
    <row r="122" spans="1:57" ht="21.6" customHeight="1">
      <c r="A122" s="522">
        <f t="shared" si="17"/>
        <v>117</v>
      </c>
      <c r="B122" s="218"/>
      <c r="C122" s="524"/>
      <c r="D122" s="530"/>
      <c r="E122" s="378"/>
      <c r="F122" s="192" t="s">
        <v>622</v>
      </c>
      <c r="G122" s="534"/>
      <c r="H122" s="229"/>
      <c r="I122" s="229"/>
      <c r="J122" s="373"/>
      <c r="K122" s="539"/>
      <c r="L122" s="542"/>
      <c r="M122" s="540"/>
      <c r="N122" s="543"/>
      <c r="O122" s="367"/>
      <c r="P122" s="368"/>
      <c r="Q122" s="546"/>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9"/>
      <c r="AW122" s="553"/>
      <c r="AX122" s="434" t="str">
        <f t="shared" si="15"/>
        <v>,</v>
      </c>
      <c r="AY122" s="434" t="str">
        <f t="shared" si="16"/>
        <v xml:space="preserve"> / </v>
      </c>
      <c r="AZ122" s="556"/>
      <c r="BA122" s="557"/>
      <c r="BB122" s="556"/>
      <c r="BC122" s="558"/>
      <c r="BD122" s="557"/>
      <c r="BE122" s="558"/>
    </row>
    <row r="123" spans="1:57" ht="21.6" customHeight="1">
      <c r="A123" s="522">
        <f t="shared" si="17"/>
        <v>118</v>
      </c>
      <c r="B123" s="218"/>
      <c r="C123" s="524"/>
      <c r="D123" s="530"/>
      <c r="E123" s="378"/>
      <c r="F123" s="192" t="s">
        <v>622</v>
      </c>
      <c r="G123" s="534"/>
      <c r="H123" s="229"/>
      <c r="I123" s="229"/>
      <c r="J123" s="373"/>
      <c r="K123" s="539"/>
      <c r="L123" s="542"/>
      <c r="M123" s="540"/>
      <c r="N123" s="543"/>
      <c r="O123" s="367"/>
      <c r="P123" s="368"/>
      <c r="Q123" s="546"/>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9"/>
      <c r="AW123" s="553"/>
      <c r="AX123" s="434" t="str">
        <f t="shared" si="15"/>
        <v>,</v>
      </c>
      <c r="AY123" s="434" t="str">
        <f t="shared" si="16"/>
        <v xml:space="preserve"> / </v>
      </c>
      <c r="AZ123" s="556"/>
      <c r="BA123" s="557"/>
      <c r="BB123" s="556"/>
      <c r="BC123" s="558"/>
      <c r="BD123" s="557"/>
      <c r="BE123" s="558"/>
    </row>
    <row r="124" spans="1:57" ht="21.6" customHeight="1">
      <c r="A124" s="522">
        <f t="shared" si="17"/>
        <v>119</v>
      </c>
      <c r="B124" s="218"/>
      <c r="C124" s="524"/>
      <c r="D124" s="530"/>
      <c r="E124" s="378"/>
      <c r="F124" s="192" t="s">
        <v>622</v>
      </c>
      <c r="G124" s="534"/>
      <c r="H124" s="229"/>
      <c r="I124" s="229"/>
      <c r="J124" s="373"/>
      <c r="K124" s="539"/>
      <c r="L124" s="542"/>
      <c r="M124" s="540"/>
      <c r="N124" s="543"/>
      <c r="O124" s="367"/>
      <c r="P124" s="368"/>
      <c r="Q124" s="546"/>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9"/>
      <c r="AW124" s="553"/>
      <c r="AX124" s="434" t="str">
        <f t="shared" si="15"/>
        <v>,</v>
      </c>
      <c r="AY124" s="434" t="str">
        <f t="shared" si="16"/>
        <v xml:space="preserve"> / </v>
      </c>
      <c r="AZ124" s="556"/>
      <c r="BA124" s="557"/>
      <c r="BB124" s="556"/>
      <c r="BC124" s="558"/>
      <c r="BD124" s="557"/>
      <c r="BE124" s="558"/>
    </row>
    <row r="125" spans="1:57" ht="21.6" customHeight="1">
      <c r="A125" s="522">
        <f t="shared" si="17"/>
        <v>120</v>
      </c>
      <c r="B125" s="218"/>
      <c r="C125" s="524"/>
      <c r="D125" s="530"/>
      <c r="E125" s="378"/>
      <c r="F125" s="192" t="s">
        <v>622</v>
      </c>
      <c r="G125" s="534"/>
      <c r="H125" s="229"/>
      <c r="I125" s="229"/>
      <c r="J125" s="373"/>
      <c r="K125" s="539"/>
      <c r="L125" s="542"/>
      <c r="M125" s="540"/>
      <c r="N125" s="543"/>
      <c r="O125" s="367"/>
      <c r="P125" s="368"/>
      <c r="Q125" s="546"/>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9"/>
      <c r="AW125" s="553"/>
      <c r="AX125" s="434" t="str">
        <f t="shared" si="15"/>
        <v>,</v>
      </c>
      <c r="AY125" s="434" t="str">
        <f t="shared" si="16"/>
        <v xml:space="preserve"> / </v>
      </c>
      <c r="AZ125" s="556"/>
      <c r="BA125" s="557"/>
      <c r="BB125" s="556"/>
      <c r="BC125" s="558"/>
      <c r="BD125" s="557"/>
      <c r="BE125" s="558"/>
    </row>
    <row r="126" spans="1:57" ht="21.6" customHeight="1">
      <c r="A126" s="522">
        <f t="shared" si="17"/>
        <v>121</v>
      </c>
      <c r="B126" s="218"/>
      <c r="C126" s="524"/>
      <c r="D126" s="530"/>
      <c r="E126" s="378"/>
      <c r="F126" s="192" t="s">
        <v>622</v>
      </c>
      <c r="G126" s="534"/>
      <c r="H126" s="229"/>
      <c r="I126" s="229"/>
      <c r="J126" s="373"/>
      <c r="K126" s="539"/>
      <c r="L126" s="542"/>
      <c r="M126" s="540"/>
      <c r="N126" s="543"/>
      <c r="O126" s="367"/>
      <c r="P126" s="368"/>
      <c r="Q126" s="546"/>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9"/>
      <c r="AW126" s="553"/>
      <c r="AX126" s="434" t="str">
        <f t="shared" si="15"/>
        <v>,</v>
      </c>
      <c r="AY126" s="434" t="str">
        <f t="shared" si="16"/>
        <v xml:space="preserve"> / </v>
      </c>
      <c r="AZ126" s="556"/>
      <c r="BA126" s="557"/>
      <c r="BB126" s="556"/>
      <c r="BC126" s="558"/>
      <c r="BD126" s="557"/>
      <c r="BE126" s="558"/>
    </row>
    <row r="127" spans="1:57" ht="21.6" customHeight="1">
      <c r="A127" s="522">
        <f t="shared" si="17"/>
        <v>122</v>
      </c>
      <c r="B127" s="218"/>
      <c r="C127" s="524"/>
      <c r="D127" s="530"/>
      <c r="E127" s="378"/>
      <c r="F127" s="192" t="s">
        <v>622</v>
      </c>
      <c r="G127" s="534"/>
      <c r="H127" s="229"/>
      <c r="I127" s="229"/>
      <c r="J127" s="373"/>
      <c r="K127" s="539"/>
      <c r="L127" s="542"/>
      <c r="M127" s="540"/>
      <c r="N127" s="543"/>
      <c r="O127" s="367"/>
      <c r="P127" s="368"/>
      <c r="Q127" s="546"/>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9"/>
      <c r="AW127" s="553"/>
      <c r="AX127" s="434" t="str">
        <f t="shared" si="15"/>
        <v>,</v>
      </c>
      <c r="AY127" s="434" t="str">
        <f t="shared" si="16"/>
        <v xml:space="preserve"> / </v>
      </c>
      <c r="AZ127" s="556"/>
      <c r="BA127" s="557"/>
      <c r="BB127" s="556"/>
      <c r="BC127" s="558"/>
      <c r="BD127" s="557"/>
      <c r="BE127" s="558"/>
    </row>
    <row r="128" spans="1:57" ht="21.6" customHeight="1">
      <c r="A128" s="522">
        <f t="shared" si="17"/>
        <v>123</v>
      </c>
      <c r="B128" s="218"/>
      <c r="C128" s="524"/>
      <c r="D128" s="530"/>
      <c r="E128" s="378"/>
      <c r="F128" s="192" t="s">
        <v>622</v>
      </c>
      <c r="G128" s="534"/>
      <c r="H128" s="229"/>
      <c r="I128" s="229"/>
      <c r="J128" s="373"/>
      <c r="K128" s="539"/>
      <c r="L128" s="542"/>
      <c r="M128" s="540"/>
      <c r="N128" s="543"/>
      <c r="O128" s="367"/>
      <c r="P128" s="368"/>
      <c r="Q128" s="546"/>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9"/>
      <c r="AW128" s="553"/>
      <c r="AX128" s="434" t="str">
        <f t="shared" si="15"/>
        <v>,</v>
      </c>
      <c r="AY128" s="434" t="str">
        <f t="shared" si="16"/>
        <v xml:space="preserve"> / </v>
      </c>
      <c r="AZ128" s="556"/>
      <c r="BA128" s="557"/>
      <c r="BB128" s="556"/>
      <c r="BC128" s="558"/>
      <c r="BD128" s="557"/>
      <c r="BE128" s="558"/>
    </row>
    <row r="129" spans="1:57" ht="21.6" customHeight="1">
      <c r="A129" s="522">
        <f t="shared" si="17"/>
        <v>124</v>
      </c>
      <c r="B129" s="218"/>
      <c r="C129" s="524"/>
      <c r="D129" s="530"/>
      <c r="E129" s="378"/>
      <c r="F129" s="192" t="s">
        <v>622</v>
      </c>
      <c r="G129" s="534"/>
      <c r="H129" s="229"/>
      <c r="I129" s="229"/>
      <c r="J129" s="373"/>
      <c r="K129" s="539"/>
      <c r="L129" s="542"/>
      <c r="M129" s="540"/>
      <c r="N129" s="543"/>
      <c r="O129" s="367"/>
      <c r="P129" s="368"/>
      <c r="Q129" s="546"/>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9"/>
      <c r="AW129" s="553"/>
      <c r="AX129" s="434" t="str">
        <f t="shared" si="15"/>
        <v>,</v>
      </c>
      <c r="AY129" s="434" t="str">
        <f t="shared" si="16"/>
        <v xml:space="preserve"> / </v>
      </c>
      <c r="AZ129" s="556"/>
      <c r="BA129" s="557"/>
      <c r="BB129" s="556"/>
      <c r="BC129" s="558"/>
      <c r="BD129" s="557"/>
      <c r="BE129" s="558"/>
    </row>
    <row r="130" spans="1:57" ht="21.6" customHeight="1">
      <c r="A130" s="522">
        <f t="shared" si="17"/>
        <v>125</v>
      </c>
      <c r="B130" s="218"/>
      <c r="C130" s="524"/>
      <c r="D130" s="530"/>
      <c r="E130" s="378"/>
      <c r="F130" s="192" t="s">
        <v>622</v>
      </c>
      <c r="G130" s="534"/>
      <c r="H130" s="229"/>
      <c r="I130" s="229"/>
      <c r="J130" s="373"/>
      <c r="K130" s="539"/>
      <c r="L130" s="542"/>
      <c r="M130" s="540"/>
      <c r="N130" s="543"/>
      <c r="O130" s="367"/>
      <c r="P130" s="368"/>
      <c r="Q130" s="546"/>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9"/>
      <c r="AW130" s="553"/>
      <c r="AX130" s="434" t="str">
        <f t="shared" si="15"/>
        <v>,</v>
      </c>
      <c r="AY130" s="434" t="str">
        <f t="shared" si="16"/>
        <v xml:space="preserve"> / </v>
      </c>
      <c r="AZ130" s="556"/>
      <c r="BA130" s="557"/>
      <c r="BB130" s="556"/>
      <c r="BC130" s="558"/>
      <c r="BD130" s="557"/>
      <c r="BE130" s="558"/>
    </row>
    <row r="131" spans="1:57" ht="21.6" customHeight="1">
      <c r="A131" s="522">
        <f t="shared" si="17"/>
        <v>126</v>
      </c>
      <c r="B131" s="218"/>
      <c r="C131" s="524"/>
      <c r="D131" s="530"/>
      <c r="E131" s="378"/>
      <c r="F131" s="192" t="s">
        <v>622</v>
      </c>
      <c r="G131" s="534"/>
      <c r="H131" s="229"/>
      <c r="I131" s="229"/>
      <c r="J131" s="373"/>
      <c r="K131" s="539"/>
      <c r="L131" s="542"/>
      <c r="M131" s="540"/>
      <c r="N131" s="543"/>
      <c r="O131" s="367"/>
      <c r="P131" s="368"/>
      <c r="Q131" s="546"/>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9"/>
      <c r="AW131" s="553"/>
      <c r="AX131" s="434" t="str">
        <f t="shared" si="15"/>
        <v>,</v>
      </c>
      <c r="AY131" s="434" t="str">
        <f t="shared" si="16"/>
        <v xml:space="preserve"> / </v>
      </c>
      <c r="AZ131" s="556"/>
      <c r="BA131" s="557"/>
      <c r="BB131" s="556"/>
      <c r="BC131" s="558"/>
      <c r="BD131" s="557"/>
      <c r="BE131" s="558"/>
    </row>
    <row r="132" spans="1:57" ht="21.6" customHeight="1">
      <c r="A132" s="522">
        <f t="shared" si="17"/>
        <v>127</v>
      </c>
      <c r="B132" s="218"/>
      <c r="C132" s="524"/>
      <c r="D132" s="530"/>
      <c r="E132" s="378"/>
      <c r="F132" s="192" t="s">
        <v>622</v>
      </c>
      <c r="G132" s="534"/>
      <c r="H132" s="229"/>
      <c r="I132" s="229"/>
      <c r="J132" s="373"/>
      <c r="K132" s="539"/>
      <c r="L132" s="542"/>
      <c r="M132" s="540"/>
      <c r="N132" s="543"/>
      <c r="O132" s="367"/>
      <c r="P132" s="368"/>
      <c r="Q132" s="546"/>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9"/>
      <c r="AW132" s="553"/>
      <c r="AX132" s="434" t="str">
        <f t="shared" si="15"/>
        <v>,</v>
      </c>
      <c r="AY132" s="434" t="str">
        <f t="shared" si="16"/>
        <v xml:space="preserve"> / </v>
      </c>
      <c r="AZ132" s="556"/>
      <c r="BA132" s="557"/>
      <c r="BB132" s="556"/>
      <c r="BC132" s="558"/>
      <c r="BD132" s="557"/>
      <c r="BE132" s="558"/>
    </row>
    <row r="133" spans="1:57" ht="21.6" customHeight="1">
      <c r="A133" s="522">
        <f t="shared" si="17"/>
        <v>128</v>
      </c>
      <c r="B133" s="218"/>
      <c r="C133" s="524"/>
      <c r="D133" s="530"/>
      <c r="E133" s="378"/>
      <c r="F133" s="192" t="s">
        <v>622</v>
      </c>
      <c r="G133" s="534"/>
      <c r="H133" s="229"/>
      <c r="I133" s="229"/>
      <c r="J133" s="373"/>
      <c r="K133" s="539"/>
      <c r="L133" s="542"/>
      <c r="M133" s="540"/>
      <c r="N133" s="543"/>
      <c r="O133" s="367"/>
      <c r="P133" s="368"/>
      <c r="Q133" s="546"/>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9"/>
      <c r="AW133" s="553"/>
      <c r="AX133" s="434" t="str">
        <f t="shared" si="15"/>
        <v>,</v>
      </c>
      <c r="AY133" s="434" t="str">
        <f t="shared" si="16"/>
        <v xml:space="preserve"> / </v>
      </c>
      <c r="AZ133" s="556"/>
      <c r="BA133" s="557"/>
      <c r="BB133" s="556"/>
      <c r="BC133" s="558"/>
      <c r="BD133" s="557"/>
      <c r="BE133" s="558"/>
    </row>
    <row r="134" spans="1:57" ht="21.6" customHeight="1">
      <c r="A134" s="522">
        <f t="shared" si="17"/>
        <v>129</v>
      </c>
      <c r="B134" s="218"/>
      <c r="C134" s="524"/>
      <c r="D134" s="530"/>
      <c r="E134" s="378"/>
      <c r="F134" s="192" t="s">
        <v>622</v>
      </c>
      <c r="G134" s="534"/>
      <c r="H134" s="229"/>
      <c r="I134" s="229"/>
      <c r="J134" s="373"/>
      <c r="K134" s="539"/>
      <c r="L134" s="542"/>
      <c r="M134" s="540"/>
      <c r="N134" s="543"/>
      <c r="O134" s="367"/>
      <c r="P134" s="368"/>
      <c r="Q134" s="546"/>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9"/>
      <c r="AW134" s="553"/>
      <c r="AX134" s="434" t="str">
        <f t="shared" si="15"/>
        <v>,</v>
      </c>
      <c r="AY134" s="434" t="str">
        <f t="shared" si="16"/>
        <v xml:space="preserve"> / </v>
      </c>
      <c r="AZ134" s="556"/>
      <c r="BA134" s="557"/>
      <c r="BB134" s="556"/>
      <c r="BC134" s="558"/>
      <c r="BD134" s="557"/>
      <c r="BE134" s="558"/>
    </row>
    <row r="135" spans="1:57" ht="21.6" customHeight="1">
      <c r="A135" s="522">
        <f t="shared" si="17"/>
        <v>130</v>
      </c>
      <c r="B135" s="218"/>
      <c r="C135" s="524"/>
      <c r="D135" s="530"/>
      <c r="E135" s="378"/>
      <c r="F135" s="192" t="s">
        <v>622</v>
      </c>
      <c r="G135" s="534"/>
      <c r="H135" s="229"/>
      <c r="I135" s="229"/>
      <c r="J135" s="373"/>
      <c r="K135" s="539"/>
      <c r="L135" s="542"/>
      <c r="M135" s="540"/>
      <c r="N135" s="543"/>
      <c r="O135" s="367"/>
      <c r="P135" s="368"/>
      <c r="Q135" s="546"/>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9"/>
      <c r="AW135" s="553"/>
      <c r="AX135" s="434" t="str">
        <f t="shared" ref="AX135:AX198" si="24">CONCATENATE(AW135,",",AV135)</f>
        <v>,</v>
      </c>
      <c r="AY135" s="434" t="str">
        <f t="shared" ref="AY135:AY198" si="25">CONCATENATE(J135," ","/"," ",K135)</f>
        <v xml:space="preserve"> / </v>
      </c>
      <c r="AZ135" s="556"/>
      <c r="BA135" s="557"/>
      <c r="BB135" s="556"/>
      <c r="BC135" s="558"/>
      <c r="BD135" s="557"/>
      <c r="BE135" s="558"/>
    </row>
    <row r="136" spans="1:57" ht="21.6" customHeight="1">
      <c r="A136" s="522">
        <f t="shared" ref="A136:A199" si="26">A135+1</f>
        <v>131</v>
      </c>
      <c r="B136" s="218"/>
      <c r="C136" s="524"/>
      <c r="D136" s="530"/>
      <c r="E136" s="378"/>
      <c r="F136" s="192" t="s">
        <v>622</v>
      </c>
      <c r="G136" s="534"/>
      <c r="H136" s="229"/>
      <c r="I136" s="229"/>
      <c r="J136" s="373"/>
      <c r="K136" s="539"/>
      <c r="L136" s="542"/>
      <c r="M136" s="540"/>
      <c r="N136" s="543"/>
      <c r="O136" s="367"/>
      <c r="P136" s="368"/>
      <c r="Q136" s="546"/>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9"/>
      <c r="AW136" s="553"/>
      <c r="AX136" s="434" t="str">
        <f t="shared" si="24"/>
        <v>,</v>
      </c>
      <c r="AY136" s="434" t="str">
        <f t="shared" si="25"/>
        <v xml:space="preserve"> / </v>
      </c>
      <c r="AZ136" s="556"/>
      <c r="BA136" s="557"/>
      <c r="BB136" s="556"/>
      <c r="BC136" s="558"/>
      <c r="BD136" s="557"/>
      <c r="BE136" s="558"/>
    </row>
    <row r="137" spans="1:57" ht="21.6" customHeight="1">
      <c r="A137" s="522">
        <f t="shared" si="26"/>
        <v>132</v>
      </c>
      <c r="B137" s="218"/>
      <c r="C137" s="524"/>
      <c r="D137" s="530"/>
      <c r="E137" s="378"/>
      <c r="F137" s="192" t="s">
        <v>622</v>
      </c>
      <c r="G137" s="534"/>
      <c r="H137" s="229"/>
      <c r="I137" s="229"/>
      <c r="J137" s="373"/>
      <c r="K137" s="539"/>
      <c r="L137" s="542"/>
      <c r="M137" s="540"/>
      <c r="N137" s="543"/>
      <c r="O137" s="367"/>
      <c r="P137" s="368"/>
      <c r="Q137" s="546"/>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9"/>
      <c r="AW137" s="553"/>
      <c r="AX137" s="434" t="str">
        <f t="shared" si="24"/>
        <v>,</v>
      </c>
      <c r="AY137" s="434" t="str">
        <f t="shared" si="25"/>
        <v xml:space="preserve"> / </v>
      </c>
      <c r="AZ137" s="556"/>
      <c r="BA137" s="557"/>
      <c r="BB137" s="556"/>
      <c r="BC137" s="558"/>
      <c r="BD137" s="557"/>
      <c r="BE137" s="558"/>
    </row>
    <row r="138" spans="1:57" ht="21.6" customHeight="1">
      <c r="A138" s="522">
        <f t="shared" si="26"/>
        <v>133</v>
      </c>
      <c r="B138" s="218"/>
      <c r="C138" s="524"/>
      <c r="D138" s="530"/>
      <c r="E138" s="378"/>
      <c r="F138" s="192" t="s">
        <v>622</v>
      </c>
      <c r="G138" s="534"/>
      <c r="H138" s="229"/>
      <c r="I138" s="229"/>
      <c r="J138" s="373"/>
      <c r="K138" s="539"/>
      <c r="L138" s="542"/>
      <c r="M138" s="540"/>
      <c r="N138" s="543"/>
      <c r="O138" s="367"/>
      <c r="P138" s="368"/>
      <c r="Q138" s="546"/>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9"/>
      <c r="AW138" s="553"/>
      <c r="AX138" s="434" t="str">
        <f t="shared" si="24"/>
        <v>,</v>
      </c>
      <c r="AY138" s="434" t="str">
        <f t="shared" si="25"/>
        <v xml:space="preserve"> / </v>
      </c>
      <c r="AZ138" s="556"/>
      <c r="BA138" s="557"/>
      <c r="BB138" s="556"/>
      <c r="BC138" s="558"/>
      <c r="BD138" s="557"/>
      <c r="BE138" s="558"/>
    </row>
    <row r="139" spans="1:57" ht="21.6" customHeight="1">
      <c r="A139" s="522">
        <f t="shared" si="26"/>
        <v>134</v>
      </c>
      <c r="B139" s="218"/>
      <c r="C139" s="524"/>
      <c r="D139" s="530"/>
      <c r="E139" s="378"/>
      <c r="F139" s="192" t="s">
        <v>622</v>
      </c>
      <c r="G139" s="534"/>
      <c r="H139" s="229"/>
      <c r="I139" s="229"/>
      <c r="J139" s="373"/>
      <c r="K139" s="539"/>
      <c r="L139" s="542"/>
      <c r="M139" s="540"/>
      <c r="N139" s="543"/>
      <c r="O139" s="367"/>
      <c r="P139" s="368"/>
      <c r="Q139" s="546"/>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9"/>
      <c r="AW139" s="553"/>
      <c r="AX139" s="434" t="str">
        <f t="shared" si="24"/>
        <v>,</v>
      </c>
      <c r="AY139" s="434" t="str">
        <f t="shared" si="25"/>
        <v xml:space="preserve"> / </v>
      </c>
      <c r="AZ139" s="556"/>
      <c r="BA139" s="557"/>
      <c r="BB139" s="556"/>
      <c r="BC139" s="558"/>
      <c r="BD139" s="557"/>
      <c r="BE139" s="558"/>
    </row>
    <row r="140" spans="1:57" ht="21.6" customHeight="1">
      <c r="A140" s="522">
        <f t="shared" si="26"/>
        <v>135</v>
      </c>
      <c r="B140" s="218"/>
      <c r="C140" s="524"/>
      <c r="D140" s="530"/>
      <c r="E140" s="378"/>
      <c r="F140" s="192" t="s">
        <v>622</v>
      </c>
      <c r="G140" s="534"/>
      <c r="H140" s="229"/>
      <c r="I140" s="229"/>
      <c r="J140" s="373"/>
      <c r="K140" s="539"/>
      <c r="L140" s="542"/>
      <c r="M140" s="540"/>
      <c r="N140" s="543"/>
      <c r="O140" s="367"/>
      <c r="P140" s="368"/>
      <c r="Q140" s="546"/>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9"/>
      <c r="AW140" s="553"/>
      <c r="AX140" s="434" t="str">
        <f t="shared" si="24"/>
        <v>,</v>
      </c>
      <c r="AY140" s="434" t="str">
        <f t="shared" si="25"/>
        <v xml:space="preserve"> / </v>
      </c>
      <c r="AZ140" s="556"/>
      <c r="BA140" s="557"/>
      <c r="BB140" s="556"/>
      <c r="BC140" s="558"/>
      <c r="BD140" s="557"/>
      <c r="BE140" s="558"/>
    </row>
    <row r="141" spans="1:57" ht="21.6" customHeight="1">
      <c r="A141" s="522">
        <f t="shared" si="26"/>
        <v>136</v>
      </c>
      <c r="B141" s="218"/>
      <c r="C141" s="524"/>
      <c r="D141" s="530"/>
      <c r="E141" s="378"/>
      <c r="F141" s="192" t="s">
        <v>622</v>
      </c>
      <c r="G141" s="534"/>
      <c r="H141" s="229"/>
      <c r="I141" s="229"/>
      <c r="J141" s="373"/>
      <c r="K141" s="539"/>
      <c r="L141" s="542"/>
      <c r="M141" s="540"/>
      <c r="N141" s="543"/>
      <c r="O141" s="367"/>
      <c r="P141" s="368"/>
      <c r="Q141" s="546"/>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9"/>
      <c r="AW141" s="553"/>
      <c r="AX141" s="434" t="str">
        <f t="shared" si="24"/>
        <v>,</v>
      </c>
      <c r="AY141" s="434" t="str">
        <f t="shared" si="25"/>
        <v xml:space="preserve"> / </v>
      </c>
      <c r="AZ141" s="556"/>
      <c r="BA141" s="557"/>
      <c r="BB141" s="556"/>
      <c r="BC141" s="558"/>
      <c r="BD141" s="557"/>
      <c r="BE141" s="558"/>
    </row>
    <row r="142" spans="1:57" ht="21.6" customHeight="1">
      <c r="A142" s="522">
        <f t="shared" si="26"/>
        <v>137</v>
      </c>
      <c r="B142" s="218"/>
      <c r="C142" s="524"/>
      <c r="D142" s="530"/>
      <c r="E142" s="378"/>
      <c r="F142" s="192" t="s">
        <v>622</v>
      </c>
      <c r="G142" s="534"/>
      <c r="H142" s="229"/>
      <c r="I142" s="229"/>
      <c r="J142" s="373"/>
      <c r="K142" s="539"/>
      <c r="L142" s="542"/>
      <c r="M142" s="540"/>
      <c r="N142" s="543"/>
      <c r="O142" s="367"/>
      <c r="P142" s="368"/>
      <c r="Q142" s="546"/>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9"/>
      <c r="AW142" s="553"/>
      <c r="AX142" s="434" t="str">
        <f t="shared" si="24"/>
        <v>,</v>
      </c>
      <c r="AY142" s="434" t="str">
        <f t="shared" si="25"/>
        <v xml:space="preserve"> / </v>
      </c>
      <c r="AZ142" s="556"/>
      <c r="BA142" s="557"/>
      <c r="BB142" s="556"/>
      <c r="BC142" s="558"/>
      <c r="BD142" s="557"/>
      <c r="BE142" s="558"/>
    </row>
    <row r="143" spans="1:57" ht="21.6" customHeight="1">
      <c r="A143" s="522">
        <f t="shared" si="26"/>
        <v>138</v>
      </c>
      <c r="B143" s="218"/>
      <c r="C143" s="525"/>
      <c r="D143" s="531"/>
      <c r="E143" s="378"/>
      <c r="F143" s="192" t="s">
        <v>622</v>
      </c>
      <c r="G143" s="535"/>
      <c r="H143" s="236"/>
      <c r="I143" s="236"/>
      <c r="J143" s="544"/>
      <c r="K143" s="539"/>
      <c r="L143" s="542"/>
      <c r="M143" s="540"/>
      <c r="N143" s="543"/>
      <c r="O143" s="367"/>
      <c r="P143" s="368"/>
      <c r="Q143" s="546"/>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9"/>
      <c r="AW143" s="553"/>
      <c r="AX143" s="434" t="str">
        <f t="shared" si="24"/>
        <v>,</v>
      </c>
      <c r="AY143" s="434" t="str">
        <f t="shared" si="25"/>
        <v xml:space="preserve"> / </v>
      </c>
      <c r="AZ143" s="556"/>
      <c r="BA143" s="557"/>
      <c r="BB143" s="556"/>
      <c r="BC143" s="558"/>
      <c r="BD143" s="557"/>
      <c r="BE143" s="558"/>
    </row>
    <row r="144" spans="1:57" ht="21.6" customHeight="1">
      <c r="A144" s="522">
        <f t="shared" si="26"/>
        <v>139</v>
      </c>
      <c r="B144" s="218"/>
      <c r="C144" s="525"/>
      <c r="D144" s="531"/>
      <c r="E144" s="378"/>
      <c r="F144" s="192" t="s">
        <v>622</v>
      </c>
      <c r="G144" s="535"/>
      <c r="H144" s="236"/>
      <c r="I144" s="236"/>
      <c r="J144" s="544"/>
      <c r="K144" s="539"/>
      <c r="L144" s="542"/>
      <c r="M144" s="540"/>
      <c r="N144" s="543"/>
      <c r="O144" s="367"/>
      <c r="P144" s="368"/>
      <c r="Q144" s="546"/>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9"/>
      <c r="AW144" s="553"/>
      <c r="AX144" s="434" t="str">
        <f t="shared" si="24"/>
        <v>,</v>
      </c>
      <c r="AY144" s="434" t="str">
        <f t="shared" si="25"/>
        <v xml:space="preserve"> / </v>
      </c>
      <c r="AZ144" s="556"/>
      <c r="BA144" s="557"/>
      <c r="BB144" s="556"/>
      <c r="BC144" s="558"/>
      <c r="BD144" s="557"/>
      <c r="BE144" s="558"/>
    </row>
    <row r="145" spans="1:57" ht="21.6" customHeight="1">
      <c r="A145" s="522">
        <f t="shared" si="26"/>
        <v>140</v>
      </c>
      <c r="B145" s="218"/>
      <c r="C145" s="525"/>
      <c r="D145" s="531"/>
      <c r="E145" s="378"/>
      <c r="F145" s="192" t="s">
        <v>622</v>
      </c>
      <c r="G145" s="535"/>
      <c r="H145" s="236"/>
      <c r="I145" s="236"/>
      <c r="J145" s="544"/>
      <c r="K145" s="539"/>
      <c r="L145" s="542"/>
      <c r="M145" s="540"/>
      <c r="N145" s="543"/>
      <c r="O145" s="367"/>
      <c r="P145" s="368"/>
      <c r="Q145" s="546"/>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9"/>
      <c r="AW145" s="553"/>
      <c r="AX145" s="434" t="str">
        <f t="shared" si="24"/>
        <v>,</v>
      </c>
      <c r="AY145" s="434" t="str">
        <f t="shared" si="25"/>
        <v xml:space="preserve"> / </v>
      </c>
      <c r="AZ145" s="556"/>
      <c r="BA145" s="557"/>
      <c r="BB145" s="556"/>
      <c r="BC145" s="558"/>
      <c r="BD145" s="557"/>
      <c r="BE145" s="558"/>
    </row>
    <row r="146" spans="1:57" ht="21.6" customHeight="1">
      <c r="A146" s="522">
        <f t="shared" si="26"/>
        <v>141</v>
      </c>
      <c r="B146" s="218"/>
      <c r="C146" s="525"/>
      <c r="D146" s="531"/>
      <c r="E146" s="378"/>
      <c r="F146" s="192" t="s">
        <v>622</v>
      </c>
      <c r="G146" s="535"/>
      <c r="H146" s="236"/>
      <c r="I146" s="236"/>
      <c r="J146" s="544"/>
      <c r="K146" s="539"/>
      <c r="L146" s="542"/>
      <c r="M146" s="540"/>
      <c r="N146" s="543"/>
      <c r="O146" s="367"/>
      <c r="P146" s="368"/>
      <c r="Q146" s="546"/>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9"/>
      <c r="AW146" s="553"/>
      <c r="AX146" s="434" t="str">
        <f t="shared" si="24"/>
        <v>,</v>
      </c>
      <c r="AY146" s="434" t="str">
        <f t="shared" si="25"/>
        <v xml:space="preserve"> / </v>
      </c>
      <c r="AZ146" s="556"/>
      <c r="BA146" s="557"/>
      <c r="BB146" s="556"/>
      <c r="BC146" s="558"/>
      <c r="BD146" s="557"/>
      <c r="BE146" s="558"/>
    </row>
    <row r="147" spans="1:57" ht="21.6" customHeight="1">
      <c r="A147" s="522">
        <f t="shared" si="26"/>
        <v>142</v>
      </c>
      <c r="B147" s="218"/>
      <c r="C147" s="525"/>
      <c r="D147" s="531"/>
      <c r="E147" s="378"/>
      <c r="F147" s="192" t="s">
        <v>622</v>
      </c>
      <c r="G147" s="535"/>
      <c r="H147" s="236"/>
      <c r="I147" s="236"/>
      <c r="J147" s="544"/>
      <c r="K147" s="539"/>
      <c r="L147" s="542"/>
      <c r="M147" s="540"/>
      <c r="N147" s="543"/>
      <c r="O147" s="367"/>
      <c r="P147" s="368"/>
      <c r="Q147" s="546"/>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9"/>
      <c r="AW147" s="553"/>
      <c r="AX147" s="434" t="str">
        <f t="shared" si="24"/>
        <v>,</v>
      </c>
      <c r="AY147" s="434" t="str">
        <f t="shared" si="25"/>
        <v xml:space="preserve"> / </v>
      </c>
      <c r="AZ147" s="556"/>
      <c r="BA147" s="557"/>
      <c r="BB147" s="556"/>
      <c r="BC147" s="558"/>
      <c r="BD147" s="557"/>
      <c r="BE147" s="558"/>
    </row>
    <row r="148" spans="1:57" ht="21.6" customHeight="1">
      <c r="A148" s="522">
        <f t="shared" si="26"/>
        <v>143</v>
      </c>
      <c r="B148" s="218"/>
      <c r="C148" s="525"/>
      <c r="D148" s="531"/>
      <c r="E148" s="378"/>
      <c r="F148" s="192" t="s">
        <v>622</v>
      </c>
      <c r="G148" s="535"/>
      <c r="H148" s="236"/>
      <c r="I148" s="236"/>
      <c r="J148" s="544"/>
      <c r="K148" s="539"/>
      <c r="L148" s="542"/>
      <c r="M148" s="540"/>
      <c r="N148" s="543"/>
      <c r="O148" s="367"/>
      <c r="P148" s="368"/>
      <c r="Q148" s="546"/>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9"/>
      <c r="AW148" s="553"/>
      <c r="AX148" s="434" t="str">
        <f t="shared" si="24"/>
        <v>,</v>
      </c>
      <c r="AY148" s="434" t="str">
        <f t="shared" si="25"/>
        <v xml:space="preserve"> / </v>
      </c>
      <c r="AZ148" s="556"/>
      <c r="BA148" s="557"/>
      <c r="BB148" s="556"/>
      <c r="BC148" s="558"/>
      <c r="BD148" s="557"/>
      <c r="BE148" s="558"/>
    </row>
    <row r="149" spans="1:57" ht="21.6" customHeight="1">
      <c r="A149" s="522">
        <f t="shared" si="26"/>
        <v>144</v>
      </c>
      <c r="B149" s="218"/>
      <c r="C149" s="525"/>
      <c r="D149" s="531"/>
      <c r="E149" s="378"/>
      <c r="F149" s="192" t="s">
        <v>622</v>
      </c>
      <c r="G149" s="535"/>
      <c r="H149" s="236"/>
      <c r="I149" s="236"/>
      <c r="J149" s="544"/>
      <c r="K149" s="539"/>
      <c r="L149" s="542"/>
      <c r="M149" s="540"/>
      <c r="N149" s="543"/>
      <c r="O149" s="367"/>
      <c r="P149" s="368"/>
      <c r="Q149" s="546"/>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9"/>
      <c r="AW149" s="553"/>
      <c r="AX149" s="434" t="str">
        <f t="shared" si="24"/>
        <v>,</v>
      </c>
      <c r="AY149" s="434" t="str">
        <f t="shared" si="25"/>
        <v xml:space="preserve"> / </v>
      </c>
      <c r="AZ149" s="556"/>
      <c r="BA149" s="557"/>
      <c r="BB149" s="556"/>
      <c r="BC149" s="558"/>
      <c r="BD149" s="557"/>
      <c r="BE149" s="558"/>
    </row>
    <row r="150" spans="1:57" ht="21.6" customHeight="1">
      <c r="A150" s="522">
        <f t="shared" si="26"/>
        <v>145</v>
      </c>
      <c r="B150" s="218"/>
      <c r="C150" s="525"/>
      <c r="D150" s="531"/>
      <c r="E150" s="378"/>
      <c r="F150" s="192" t="s">
        <v>622</v>
      </c>
      <c r="G150" s="535"/>
      <c r="H150" s="236"/>
      <c r="I150" s="236"/>
      <c r="J150" s="544"/>
      <c r="K150" s="539"/>
      <c r="L150" s="542"/>
      <c r="M150" s="540"/>
      <c r="N150" s="543"/>
      <c r="O150" s="367"/>
      <c r="P150" s="368"/>
      <c r="Q150" s="546"/>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9"/>
      <c r="AW150" s="553"/>
      <c r="AX150" s="434" t="str">
        <f t="shared" si="24"/>
        <v>,</v>
      </c>
      <c r="AY150" s="434" t="str">
        <f t="shared" si="25"/>
        <v xml:space="preserve"> / </v>
      </c>
      <c r="AZ150" s="556"/>
      <c r="BA150" s="557"/>
      <c r="BB150" s="556"/>
      <c r="BC150" s="558"/>
      <c r="BD150" s="557"/>
      <c r="BE150" s="558"/>
    </row>
    <row r="151" spans="1:57" ht="21.6" customHeight="1">
      <c r="A151" s="522">
        <f t="shared" si="26"/>
        <v>146</v>
      </c>
      <c r="B151" s="218"/>
      <c r="C151" s="525"/>
      <c r="D151" s="531"/>
      <c r="E151" s="378"/>
      <c r="F151" s="192" t="s">
        <v>622</v>
      </c>
      <c r="G151" s="535"/>
      <c r="H151" s="236"/>
      <c r="I151" s="236"/>
      <c r="J151" s="544"/>
      <c r="K151" s="539"/>
      <c r="L151" s="542"/>
      <c r="M151" s="540"/>
      <c r="N151" s="543"/>
      <c r="O151" s="367"/>
      <c r="P151" s="368"/>
      <c r="Q151" s="546"/>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9"/>
      <c r="AW151" s="553"/>
      <c r="AX151" s="434" t="str">
        <f t="shared" si="24"/>
        <v>,</v>
      </c>
      <c r="AY151" s="434" t="str">
        <f t="shared" si="25"/>
        <v xml:space="preserve"> / </v>
      </c>
      <c r="AZ151" s="556"/>
      <c r="BA151" s="557"/>
      <c r="BB151" s="556"/>
      <c r="BC151" s="558"/>
      <c r="BD151" s="557"/>
      <c r="BE151" s="558"/>
    </row>
    <row r="152" spans="1:57" ht="21.6" customHeight="1">
      <c r="A152" s="522">
        <f t="shared" si="26"/>
        <v>147</v>
      </c>
      <c r="B152" s="218"/>
      <c r="C152" s="525"/>
      <c r="D152" s="531"/>
      <c r="E152" s="378"/>
      <c r="F152" s="192" t="s">
        <v>622</v>
      </c>
      <c r="G152" s="535"/>
      <c r="H152" s="236"/>
      <c r="I152" s="236"/>
      <c r="J152" s="544"/>
      <c r="K152" s="539"/>
      <c r="L152" s="542"/>
      <c r="M152" s="540"/>
      <c r="N152" s="543"/>
      <c r="O152" s="367"/>
      <c r="P152" s="368"/>
      <c r="Q152" s="546"/>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9"/>
      <c r="AW152" s="553"/>
      <c r="AX152" s="434" t="str">
        <f t="shared" si="24"/>
        <v>,</v>
      </c>
      <c r="AY152" s="434" t="str">
        <f t="shared" si="25"/>
        <v xml:space="preserve"> / </v>
      </c>
      <c r="AZ152" s="556"/>
      <c r="BA152" s="557"/>
      <c r="BB152" s="556"/>
      <c r="BC152" s="558"/>
      <c r="BD152" s="557"/>
      <c r="BE152" s="558"/>
    </row>
    <row r="153" spans="1:57" ht="21.6" customHeight="1">
      <c r="A153" s="522">
        <f t="shared" si="26"/>
        <v>148</v>
      </c>
      <c r="B153" s="218"/>
      <c r="C153" s="525"/>
      <c r="D153" s="531"/>
      <c r="E153" s="378"/>
      <c r="F153" s="192" t="s">
        <v>622</v>
      </c>
      <c r="G153" s="535"/>
      <c r="H153" s="236"/>
      <c r="I153" s="236"/>
      <c r="J153" s="544"/>
      <c r="K153" s="539"/>
      <c r="L153" s="542"/>
      <c r="M153" s="540"/>
      <c r="N153" s="543"/>
      <c r="O153" s="367"/>
      <c r="P153" s="368"/>
      <c r="Q153" s="546"/>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9"/>
      <c r="AW153" s="553"/>
      <c r="AX153" s="434" t="str">
        <f t="shared" si="24"/>
        <v>,</v>
      </c>
      <c r="AY153" s="434" t="str">
        <f t="shared" si="25"/>
        <v xml:space="preserve"> / </v>
      </c>
      <c r="AZ153" s="556"/>
      <c r="BA153" s="557"/>
      <c r="BB153" s="556"/>
      <c r="BC153" s="558"/>
      <c r="BD153" s="557"/>
      <c r="BE153" s="558"/>
    </row>
    <row r="154" spans="1:57" ht="21.6" customHeight="1">
      <c r="A154" s="522">
        <f t="shared" si="26"/>
        <v>149</v>
      </c>
      <c r="B154" s="218"/>
      <c r="C154" s="525"/>
      <c r="D154" s="531"/>
      <c r="E154" s="378"/>
      <c r="F154" s="192" t="s">
        <v>622</v>
      </c>
      <c r="G154" s="535"/>
      <c r="H154" s="236"/>
      <c r="I154" s="236"/>
      <c r="J154" s="544"/>
      <c r="K154" s="539"/>
      <c r="L154" s="542"/>
      <c r="M154" s="540"/>
      <c r="N154" s="543"/>
      <c r="O154" s="367"/>
      <c r="P154" s="368"/>
      <c r="Q154" s="546"/>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9"/>
      <c r="AW154" s="553"/>
      <c r="AX154" s="434" t="str">
        <f t="shared" si="24"/>
        <v>,</v>
      </c>
      <c r="AY154" s="434" t="str">
        <f t="shared" si="25"/>
        <v xml:space="preserve"> / </v>
      </c>
      <c r="AZ154" s="556"/>
      <c r="BA154" s="557"/>
      <c r="BB154" s="556"/>
      <c r="BC154" s="558"/>
      <c r="BD154" s="557"/>
      <c r="BE154" s="558"/>
    </row>
    <row r="155" spans="1:57" ht="21.6" customHeight="1">
      <c r="A155" s="522">
        <f t="shared" si="26"/>
        <v>150</v>
      </c>
      <c r="B155" s="218"/>
      <c r="C155" s="525"/>
      <c r="D155" s="531"/>
      <c r="E155" s="378"/>
      <c r="F155" s="192" t="s">
        <v>622</v>
      </c>
      <c r="G155" s="535"/>
      <c r="H155" s="236"/>
      <c r="I155" s="236"/>
      <c r="J155" s="544"/>
      <c r="K155" s="539"/>
      <c r="L155" s="542"/>
      <c r="M155" s="540"/>
      <c r="N155" s="543"/>
      <c r="O155" s="367"/>
      <c r="P155" s="368"/>
      <c r="Q155" s="546"/>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9"/>
      <c r="AW155" s="553"/>
      <c r="AX155" s="434" t="str">
        <f t="shared" si="24"/>
        <v>,</v>
      </c>
      <c r="AY155" s="434" t="str">
        <f t="shared" si="25"/>
        <v xml:space="preserve"> / </v>
      </c>
      <c r="AZ155" s="556"/>
      <c r="BA155" s="557"/>
      <c r="BB155" s="556"/>
      <c r="BC155" s="558"/>
      <c r="BD155" s="557"/>
      <c r="BE155" s="558"/>
    </row>
    <row r="156" spans="1:57" s="244" customFormat="1" ht="21.6" customHeight="1">
      <c r="A156" s="522">
        <f t="shared" si="26"/>
        <v>151</v>
      </c>
      <c r="B156" s="218"/>
      <c r="C156" s="526"/>
      <c r="D156" s="532"/>
      <c r="E156" s="378"/>
      <c r="F156" s="192" t="s">
        <v>622</v>
      </c>
      <c r="G156" s="536"/>
      <c r="H156" s="238"/>
      <c r="I156" s="238"/>
      <c r="J156" s="545"/>
      <c r="K156" s="539"/>
      <c r="L156" s="542"/>
      <c r="M156" s="540"/>
      <c r="N156" s="543"/>
      <c r="O156" s="367"/>
      <c r="P156" s="368"/>
      <c r="Q156" s="546"/>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50"/>
      <c r="AW156" s="554"/>
      <c r="AX156" s="434" t="str">
        <f t="shared" si="24"/>
        <v>,</v>
      </c>
      <c r="AY156" s="434" t="str">
        <f t="shared" si="25"/>
        <v xml:space="preserve"> / </v>
      </c>
      <c r="AZ156" s="556"/>
      <c r="BA156" s="557"/>
      <c r="BB156" s="556"/>
      <c r="BC156" s="559"/>
      <c r="BD156" s="557"/>
      <c r="BE156" s="559"/>
    </row>
    <row r="157" spans="1:57" s="244" customFormat="1" ht="21.6" customHeight="1">
      <c r="A157" s="522">
        <f t="shared" si="26"/>
        <v>152</v>
      </c>
      <c r="B157" s="360"/>
      <c r="C157" s="526"/>
      <c r="D157" s="532"/>
      <c r="E157" s="378"/>
      <c r="F157" s="192" t="s">
        <v>622</v>
      </c>
      <c r="G157" s="536"/>
      <c r="H157" s="238"/>
      <c r="I157" s="238"/>
      <c r="J157" s="545"/>
      <c r="K157" s="539"/>
      <c r="L157" s="542"/>
      <c r="M157" s="540"/>
      <c r="N157" s="543"/>
      <c r="O157" s="367"/>
      <c r="P157" s="368"/>
      <c r="Q157" s="546"/>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50"/>
      <c r="AW157" s="554"/>
      <c r="AX157" s="434" t="str">
        <f t="shared" si="24"/>
        <v>,</v>
      </c>
      <c r="AY157" s="434" t="str">
        <f t="shared" si="25"/>
        <v xml:space="preserve"> / </v>
      </c>
      <c r="AZ157" s="556"/>
      <c r="BA157" s="557"/>
      <c r="BB157" s="556"/>
      <c r="BC157" s="559"/>
      <c r="BD157" s="557"/>
      <c r="BE157" s="559"/>
    </row>
    <row r="158" spans="1:57" s="244" customFormat="1" ht="21.6" customHeight="1">
      <c r="A158" s="522">
        <f t="shared" si="26"/>
        <v>153</v>
      </c>
      <c r="B158" s="360"/>
      <c r="C158" s="526"/>
      <c r="D158" s="532"/>
      <c r="E158" s="379"/>
      <c r="F158" s="192" t="s">
        <v>622</v>
      </c>
      <c r="G158" s="536"/>
      <c r="H158" s="238"/>
      <c r="I158" s="238"/>
      <c r="J158" s="545"/>
      <c r="K158" s="539"/>
      <c r="L158" s="545"/>
      <c r="M158" s="540"/>
      <c r="N158" s="543"/>
      <c r="O158" s="367"/>
      <c r="P158" s="368"/>
      <c r="Q158" s="546"/>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50"/>
      <c r="AW158" s="554"/>
      <c r="AX158" s="434" t="str">
        <f t="shared" si="24"/>
        <v>,</v>
      </c>
      <c r="AY158" s="434" t="str">
        <f t="shared" si="25"/>
        <v xml:space="preserve"> / </v>
      </c>
      <c r="AZ158" s="556"/>
      <c r="BA158" s="557"/>
      <c r="BB158" s="556"/>
      <c r="BC158" s="559"/>
      <c r="BD158" s="557"/>
      <c r="BE158" s="559"/>
    </row>
    <row r="159" spans="1:57" s="244" customFormat="1" ht="21.6" customHeight="1">
      <c r="A159" s="522">
        <f t="shared" si="26"/>
        <v>154</v>
      </c>
      <c r="B159" s="360"/>
      <c r="C159" s="526"/>
      <c r="D159" s="532"/>
      <c r="E159" s="379"/>
      <c r="F159" s="192" t="s">
        <v>622</v>
      </c>
      <c r="G159" s="536"/>
      <c r="H159" s="238"/>
      <c r="I159" s="238"/>
      <c r="J159" s="545"/>
      <c r="K159" s="539"/>
      <c r="L159" s="545"/>
      <c r="M159" s="540"/>
      <c r="N159" s="543"/>
      <c r="O159" s="367"/>
      <c r="P159" s="368"/>
      <c r="Q159" s="546"/>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50"/>
      <c r="AW159" s="554"/>
      <c r="AX159" s="434" t="str">
        <f t="shared" si="24"/>
        <v>,</v>
      </c>
      <c r="AY159" s="434" t="str">
        <f t="shared" si="25"/>
        <v xml:space="preserve"> / </v>
      </c>
      <c r="AZ159" s="556"/>
      <c r="BA159" s="557"/>
      <c r="BB159" s="556"/>
      <c r="BC159" s="559"/>
      <c r="BD159" s="557"/>
      <c r="BE159" s="559"/>
    </row>
    <row r="160" spans="1:57" s="244" customFormat="1" ht="21.6" customHeight="1">
      <c r="A160" s="522">
        <f t="shared" si="26"/>
        <v>155</v>
      </c>
      <c r="B160" s="360"/>
      <c r="C160" s="526"/>
      <c r="D160" s="532"/>
      <c r="E160" s="379"/>
      <c r="F160" s="192" t="s">
        <v>622</v>
      </c>
      <c r="G160" s="536"/>
      <c r="H160" s="238"/>
      <c r="I160" s="238"/>
      <c r="J160" s="545"/>
      <c r="K160" s="539"/>
      <c r="L160" s="545"/>
      <c r="M160" s="540"/>
      <c r="N160" s="543"/>
      <c r="O160" s="367"/>
      <c r="P160" s="368"/>
      <c r="Q160" s="546"/>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50"/>
      <c r="AW160" s="554"/>
      <c r="AX160" s="434" t="str">
        <f t="shared" si="24"/>
        <v>,</v>
      </c>
      <c r="AY160" s="434" t="str">
        <f t="shared" si="25"/>
        <v xml:space="preserve"> / </v>
      </c>
      <c r="AZ160" s="556"/>
      <c r="BA160" s="557"/>
      <c r="BB160" s="556"/>
      <c r="BC160" s="559"/>
      <c r="BD160" s="557"/>
      <c r="BE160" s="559"/>
    </row>
    <row r="161" spans="1:57" s="244" customFormat="1" ht="21.6" customHeight="1">
      <c r="A161" s="522">
        <f t="shared" si="26"/>
        <v>156</v>
      </c>
      <c r="B161" s="360"/>
      <c r="C161" s="526"/>
      <c r="D161" s="532"/>
      <c r="E161" s="379"/>
      <c r="F161" s="192" t="s">
        <v>622</v>
      </c>
      <c r="G161" s="536"/>
      <c r="H161" s="238"/>
      <c r="I161" s="238"/>
      <c r="J161" s="545"/>
      <c r="K161" s="539"/>
      <c r="L161" s="545"/>
      <c r="M161" s="540"/>
      <c r="N161" s="543"/>
      <c r="O161" s="367"/>
      <c r="P161" s="368"/>
      <c r="Q161" s="546"/>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50"/>
      <c r="AW161" s="554"/>
      <c r="AX161" s="434" t="str">
        <f t="shared" si="24"/>
        <v>,</v>
      </c>
      <c r="AY161" s="434" t="str">
        <f t="shared" si="25"/>
        <v xml:space="preserve"> / </v>
      </c>
      <c r="AZ161" s="556"/>
      <c r="BA161" s="557"/>
      <c r="BB161" s="556"/>
      <c r="BC161" s="559"/>
      <c r="BD161" s="557"/>
      <c r="BE161" s="559"/>
    </row>
    <row r="162" spans="1:57" s="244" customFormat="1" ht="21.6" customHeight="1">
      <c r="A162" s="522">
        <f t="shared" si="26"/>
        <v>157</v>
      </c>
      <c r="B162" s="360"/>
      <c r="C162" s="526"/>
      <c r="D162" s="532"/>
      <c r="E162" s="379"/>
      <c r="F162" s="192" t="s">
        <v>622</v>
      </c>
      <c r="G162" s="536"/>
      <c r="H162" s="238"/>
      <c r="I162" s="238"/>
      <c r="J162" s="545"/>
      <c r="K162" s="539"/>
      <c r="L162" s="545"/>
      <c r="M162" s="540"/>
      <c r="N162" s="543"/>
      <c r="O162" s="367"/>
      <c r="P162" s="368"/>
      <c r="Q162" s="546"/>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50"/>
      <c r="AW162" s="554"/>
      <c r="AX162" s="434" t="str">
        <f t="shared" si="24"/>
        <v>,</v>
      </c>
      <c r="AY162" s="434" t="str">
        <f t="shared" si="25"/>
        <v xml:space="preserve"> / </v>
      </c>
      <c r="AZ162" s="556"/>
      <c r="BA162" s="557"/>
      <c r="BB162" s="556"/>
      <c r="BC162" s="559"/>
      <c r="BD162" s="557"/>
      <c r="BE162" s="559"/>
    </row>
    <row r="163" spans="1:57" s="244" customFormat="1" ht="21.6" customHeight="1">
      <c r="A163" s="522">
        <f t="shared" si="26"/>
        <v>158</v>
      </c>
      <c r="B163" s="360"/>
      <c r="C163" s="526"/>
      <c r="D163" s="532"/>
      <c r="E163" s="379"/>
      <c r="F163" s="192" t="s">
        <v>622</v>
      </c>
      <c r="G163" s="536"/>
      <c r="H163" s="238"/>
      <c r="I163" s="238"/>
      <c r="J163" s="545"/>
      <c r="K163" s="539"/>
      <c r="L163" s="545"/>
      <c r="M163" s="540"/>
      <c r="N163" s="543"/>
      <c r="O163" s="367"/>
      <c r="P163" s="368"/>
      <c r="Q163" s="546"/>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50"/>
      <c r="AW163" s="554"/>
      <c r="AX163" s="434" t="str">
        <f t="shared" si="24"/>
        <v>,</v>
      </c>
      <c r="AY163" s="434" t="str">
        <f t="shared" si="25"/>
        <v xml:space="preserve"> / </v>
      </c>
      <c r="AZ163" s="556"/>
      <c r="BA163" s="557"/>
      <c r="BB163" s="556"/>
      <c r="BC163" s="559"/>
      <c r="BD163" s="557"/>
      <c r="BE163" s="559"/>
    </row>
    <row r="164" spans="1:57" s="244" customFormat="1" ht="21.6" customHeight="1">
      <c r="A164" s="522">
        <f t="shared" si="26"/>
        <v>159</v>
      </c>
      <c r="B164" s="360"/>
      <c r="C164" s="526"/>
      <c r="D164" s="532"/>
      <c r="E164" s="379"/>
      <c r="F164" s="192" t="s">
        <v>622</v>
      </c>
      <c r="G164" s="536"/>
      <c r="H164" s="238"/>
      <c r="I164" s="238"/>
      <c r="J164" s="545"/>
      <c r="K164" s="539"/>
      <c r="L164" s="545"/>
      <c r="M164" s="540"/>
      <c r="N164" s="543"/>
      <c r="O164" s="367"/>
      <c r="P164" s="368"/>
      <c r="Q164" s="546"/>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50"/>
      <c r="AW164" s="554"/>
      <c r="AX164" s="434" t="str">
        <f t="shared" si="24"/>
        <v>,</v>
      </c>
      <c r="AY164" s="434" t="str">
        <f t="shared" si="25"/>
        <v xml:space="preserve"> / </v>
      </c>
      <c r="AZ164" s="556"/>
      <c r="BA164" s="557"/>
      <c r="BB164" s="556"/>
      <c r="BC164" s="559"/>
      <c r="BD164" s="557"/>
      <c r="BE164" s="559"/>
    </row>
    <row r="165" spans="1:57" s="244" customFormat="1" ht="21.6" customHeight="1">
      <c r="A165" s="522">
        <f t="shared" si="26"/>
        <v>160</v>
      </c>
      <c r="B165" s="360"/>
      <c r="C165" s="526"/>
      <c r="D165" s="532"/>
      <c r="E165" s="379"/>
      <c r="F165" s="192" t="s">
        <v>622</v>
      </c>
      <c r="G165" s="536"/>
      <c r="H165" s="238"/>
      <c r="I165" s="238"/>
      <c r="J165" s="545"/>
      <c r="K165" s="539"/>
      <c r="L165" s="545"/>
      <c r="M165" s="540"/>
      <c r="N165" s="543"/>
      <c r="O165" s="367"/>
      <c r="P165" s="368"/>
      <c r="Q165" s="546"/>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50"/>
      <c r="AW165" s="554"/>
      <c r="AX165" s="434" t="str">
        <f t="shared" si="24"/>
        <v>,</v>
      </c>
      <c r="AY165" s="434" t="str">
        <f t="shared" si="25"/>
        <v xml:space="preserve"> / </v>
      </c>
      <c r="AZ165" s="556"/>
      <c r="BA165" s="557"/>
      <c r="BB165" s="556"/>
      <c r="BC165" s="559"/>
      <c r="BD165" s="557"/>
      <c r="BE165" s="559"/>
    </row>
    <row r="166" spans="1:57" s="191" customFormat="1" ht="21.6" customHeight="1">
      <c r="A166" s="522">
        <f t="shared" si="26"/>
        <v>161</v>
      </c>
      <c r="B166" s="361"/>
      <c r="C166" s="527"/>
      <c r="D166" s="533"/>
      <c r="E166" s="380"/>
      <c r="F166" s="192" t="s">
        <v>622</v>
      </c>
      <c r="G166" s="537"/>
      <c r="H166" s="245"/>
      <c r="I166" s="224"/>
      <c r="J166" s="373"/>
      <c r="K166" s="539"/>
      <c r="L166" s="373"/>
      <c r="M166" s="540"/>
      <c r="N166" s="373"/>
      <c r="O166" s="367"/>
      <c r="P166" s="368"/>
      <c r="Q166" s="546"/>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7"/>
      <c r="AW166" s="551"/>
      <c r="AX166" s="434" t="str">
        <f t="shared" si="24"/>
        <v>,</v>
      </c>
      <c r="AY166" s="434" t="str">
        <f t="shared" si="25"/>
        <v xml:space="preserve"> / </v>
      </c>
      <c r="AZ166" s="556"/>
      <c r="BA166" s="557"/>
      <c r="BB166" s="556"/>
      <c r="BC166" s="556"/>
      <c r="BD166" s="557"/>
      <c r="BE166" s="556"/>
    </row>
    <row r="167" spans="1:57" s="251" customFormat="1" ht="21.6" customHeight="1">
      <c r="A167" s="522">
        <f t="shared" si="26"/>
        <v>162</v>
      </c>
      <c r="B167" s="362"/>
      <c r="C167" s="523"/>
      <c r="D167" s="528"/>
      <c r="E167" s="377"/>
      <c r="F167" s="192" t="s">
        <v>622</v>
      </c>
      <c r="G167" s="538"/>
      <c r="H167" s="250"/>
      <c r="I167" s="193"/>
      <c r="J167" s="374"/>
      <c r="K167" s="539"/>
      <c r="L167" s="374"/>
      <c r="M167" s="540"/>
      <c r="N167" s="374"/>
      <c r="O167" s="367"/>
      <c r="P167" s="368"/>
      <c r="Q167" s="546"/>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8"/>
      <c r="AW167" s="552"/>
      <c r="AX167" s="434" t="str">
        <f t="shared" si="24"/>
        <v>,</v>
      </c>
      <c r="AY167" s="434" t="str">
        <f t="shared" si="25"/>
        <v xml:space="preserve"> / </v>
      </c>
      <c r="AZ167" s="556"/>
      <c r="BA167" s="557"/>
      <c r="BB167" s="556"/>
      <c r="BC167" s="560"/>
      <c r="BD167" s="557"/>
      <c r="BE167" s="560"/>
    </row>
    <row r="168" spans="1:57" s="251" customFormat="1" ht="21.6" customHeight="1">
      <c r="A168" s="522">
        <f t="shared" si="26"/>
        <v>163</v>
      </c>
      <c r="B168" s="362"/>
      <c r="C168" s="523"/>
      <c r="D168" s="528"/>
      <c r="E168" s="377"/>
      <c r="F168" s="192" t="s">
        <v>622</v>
      </c>
      <c r="G168" s="538"/>
      <c r="H168" s="250"/>
      <c r="I168" s="193"/>
      <c r="J168" s="374"/>
      <c r="K168" s="539"/>
      <c r="L168" s="374"/>
      <c r="M168" s="540"/>
      <c r="N168" s="374"/>
      <c r="O168" s="367"/>
      <c r="P168" s="368"/>
      <c r="Q168" s="546"/>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8"/>
      <c r="AW168" s="552"/>
      <c r="AX168" s="434" t="str">
        <f t="shared" si="24"/>
        <v>,</v>
      </c>
      <c r="AY168" s="434" t="str">
        <f t="shared" si="25"/>
        <v xml:space="preserve"> / </v>
      </c>
      <c r="AZ168" s="556"/>
      <c r="BA168" s="557"/>
      <c r="BB168" s="556"/>
      <c r="BC168" s="560"/>
      <c r="BD168" s="557"/>
      <c r="BE168" s="560"/>
    </row>
    <row r="169" spans="1:57" s="251" customFormat="1" ht="21.6" customHeight="1">
      <c r="A169" s="522">
        <f t="shared" si="26"/>
        <v>164</v>
      </c>
      <c r="B169" s="362"/>
      <c r="C169" s="523"/>
      <c r="D169" s="528"/>
      <c r="E169" s="377"/>
      <c r="F169" s="192" t="s">
        <v>622</v>
      </c>
      <c r="G169" s="538"/>
      <c r="H169" s="250"/>
      <c r="I169" s="193"/>
      <c r="J169" s="374"/>
      <c r="K169" s="539"/>
      <c r="L169" s="374"/>
      <c r="M169" s="540"/>
      <c r="N169" s="374"/>
      <c r="O169" s="367"/>
      <c r="P169" s="368"/>
      <c r="Q169" s="546"/>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8"/>
      <c r="AW169" s="552"/>
      <c r="AX169" s="434" t="str">
        <f t="shared" si="24"/>
        <v>,</v>
      </c>
      <c r="AY169" s="434" t="str">
        <f t="shared" si="25"/>
        <v xml:space="preserve"> / </v>
      </c>
      <c r="AZ169" s="556"/>
      <c r="BA169" s="557"/>
      <c r="BB169" s="556"/>
      <c r="BC169" s="560"/>
      <c r="BD169" s="557"/>
      <c r="BE169" s="560"/>
    </row>
    <row r="170" spans="1:57" s="251" customFormat="1" ht="21.6" customHeight="1">
      <c r="A170" s="522">
        <f t="shared" si="26"/>
        <v>165</v>
      </c>
      <c r="B170" s="362"/>
      <c r="C170" s="523"/>
      <c r="D170" s="528"/>
      <c r="E170" s="377"/>
      <c r="F170" s="192" t="s">
        <v>622</v>
      </c>
      <c r="G170" s="538"/>
      <c r="H170" s="250"/>
      <c r="I170" s="193"/>
      <c r="J170" s="374"/>
      <c r="K170" s="539"/>
      <c r="L170" s="374"/>
      <c r="M170" s="540"/>
      <c r="N170" s="374"/>
      <c r="O170" s="367"/>
      <c r="P170" s="368"/>
      <c r="Q170" s="546"/>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8"/>
      <c r="AW170" s="552"/>
      <c r="AX170" s="434" t="str">
        <f t="shared" si="24"/>
        <v>,</v>
      </c>
      <c r="AY170" s="434" t="str">
        <f t="shared" si="25"/>
        <v xml:space="preserve"> / </v>
      </c>
      <c r="AZ170" s="556"/>
      <c r="BA170" s="557"/>
      <c r="BB170" s="556"/>
      <c r="BC170" s="560"/>
      <c r="BD170" s="557"/>
      <c r="BE170" s="560"/>
    </row>
    <row r="171" spans="1:57" s="251" customFormat="1" ht="21.6" customHeight="1">
      <c r="A171" s="522">
        <f t="shared" si="26"/>
        <v>166</v>
      </c>
      <c r="B171" s="362"/>
      <c r="C171" s="523"/>
      <c r="D171" s="528"/>
      <c r="E171" s="377"/>
      <c r="F171" s="192" t="s">
        <v>622</v>
      </c>
      <c r="G171" s="538"/>
      <c r="H171" s="250"/>
      <c r="I171" s="193"/>
      <c r="J171" s="374"/>
      <c r="K171" s="539"/>
      <c r="L171" s="374"/>
      <c r="M171" s="540"/>
      <c r="N171" s="374"/>
      <c r="O171" s="367"/>
      <c r="P171" s="368"/>
      <c r="Q171" s="546"/>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8"/>
      <c r="AW171" s="552"/>
      <c r="AX171" s="434" t="str">
        <f t="shared" si="24"/>
        <v>,</v>
      </c>
      <c r="AY171" s="434" t="str">
        <f t="shared" si="25"/>
        <v xml:space="preserve"> / </v>
      </c>
      <c r="AZ171" s="556"/>
      <c r="BA171" s="557"/>
      <c r="BB171" s="556"/>
      <c r="BC171" s="560"/>
      <c r="BD171" s="557"/>
      <c r="BE171" s="560"/>
    </row>
    <row r="172" spans="1:57" s="244" customFormat="1" ht="21.6" customHeight="1">
      <c r="A172" s="522">
        <f t="shared" si="26"/>
        <v>167</v>
      </c>
      <c r="B172" s="362"/>
      <c r="C172" s="523"/>
      <c r="D172" s="528"/>
      <c r="E172" s="377"/>
      <c r="F172" s="192" t="s">
        <v>622</v>
      </c>
      <c r="G172" s="538"/>
      <c r="H172" s="250"/>
      <c r="I172" s="238"/>
      <c r="J172" s="545"/>
      <c r="K172" s="539"/>
      <c r="L172" s="545"/>
      <c r="M172" s="540"/>
      <c r="N172" s="543"/>
      <c r="O172" s="367"/>
      <c r="P172" s="368"/>
      <c r="Q172" s="546"/>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50"/>
      <c r="AW172" s="554"/>
      <c r="AX172" s="434" t="str">
        <f t="shared" si="24"/>
        <v>,</v>
      </c>
      <c r="AY172" s="434" t="str">
        <f t="shared" si="25"/>
        <v xml:space="preserve"> / </v>
      </c>
      <c r="AZ172" s="556"/>
      <c r="BA172" s="557"/>
      <c r="BB172" s="556"/>
      <c r="BC172" s="559"/>
      <c r="BD172" s="557"/>
      <c r="BE172" s="559"/>
    </row>
    <row r="173" spans="1:57" s="244" customFormat="1" ht="21.6" customHeight="1">
      <c r="A173" s="522">
        <f t="shared" si="26"/>
        <v>168</v>
      </c>
      <c r="B173" s="362"/>
      <c r="C173" s="523"/>
      <c r="D173" s="528"/>
      <c r="E173" s="377"/>
      <c r="F173" s="192" t="s">
        <v>622</v>
      </c>
      <c r="G173" s="538"/>
      <c r="H173" s="250"/>
      <c r="I173" s="238"/>
      <c r="J173" s="545"/>
      <c r="K173" s="539"/>
      <c r="L173" s="545"/>
      <c r="M173" s="540"/>
      <c r="N173" s="543"/>
      <c r="O173" s="367"/>
      <c r="P173" s="368"/>
      <c r="Q173" s="546"/>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50"/>
      <c r="AW173" s="554"/>
      <c r="AX173" s="434" t="str">
        <f t="shared" si="24"/>
        <v>,</v>
      </c>
      <c r="AY173" s="434" t="str">
        <f t="shared" si="25"/>
        <v xml:space="preserve"> / </v>
      </c>
      <c r="AZ173" s="556"/>
      <c r="BA173" s="557"/>
      <c r="BB173" s="556"/>
      <c r="BC173" s="559"/>
      <c r="BD173" s="557"/>
      <c r="BE173" s="559"/>
    </row>
    <row r="174" spans="1:57" s="244" customFormat="1" ht="21.6" customHeight="1">
      <c r="A174" s="522">
        <f t="shared" si="26"/>
        <v>169</v>
      </c>
      <c r="B174" s="362"/>
      <c r="C174" s="523"/>
      <c r="D174" s="528"/>
      <c r="E174" s="377"/>
      <c r="F174" s="192" t="s">
        <v>622</v>
      </c>
      <c r="G174" s="538"/>
      <c r="H174" s="250"/>
      <c r="I174" s="238"/>
      <c r="J174" s="545"/>
      <c r="K174" s="539"/>
      <c r="L174" s="545"/>
      <c r="M174" s="540"/>
      <c r="N174" s="543"/>
      <c r="O174" s="367"/>
      <c r="P174" s="368"/>
      <c r="Q174" s="546"/>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50"/>
      <c r="AW174" s="554"/>
      <c r="AX174" s="434" t="str">
        <f t="shared" si="24"/>
        <v>,</v>
      </c>
      <c r="AY174" s="434" t="str">
        <f t="shared" si="25"/>
        <v xml:space="preserve"> / </v>
      </c>
      <c r="AZ174" s="556"/>
      <c r="BA174" s="557"/>
      <c r="BB174" s="556"/>
      <c r="BC174" s="559"/>
      <c r="BD174" s="557"/>
      <c r="BE174" s="559"/>
    </row>
    <row r="175" spans="1:57" s="244" customFormat="1" ht="21.6" customHeight="1">
      <c r="A175" s="522">
        <f t="shared" si="26"/>
        <v>170</v>
      </c>
      <c r="B175" s="360"/>
      <c r="C175" s="526"/>
      <c r="D175" s="532"/>
      <c r="E175" s="379"/>
      <c r="F175" s="192" t="s">
        <v>622</v>
      </c>
      <c r="G175" s="536"/>
      <c r="H175" s="238"/>
      <c r="I175" s="238"/>
      <c r="J175" s="545"/>
      <c r="K175" s="539"/>
      <c r="L175" s="545"/>
      <c r="M175" s="540"/>
      <c r="N175" s="543"/>
      <c r="O175" s="367"/>
      <c r="P175" s="368"/>
      <c r="Q175" s="546"/>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50"/>
      <c r="AW175" s="554"/>
      <c r="AX175" s="434" t="str">
        <f t="shared" si="24"/>
        <v>,</v>
      </c>
      <c r="AY175" s="434" t="str">
        <f t="shared" si="25"/>
        <v xml:space="preserve"> / </v>
      </c>
      <c r="AZ175" s="556"/>
      <c r="BA175" s="557"/>
      <c r="BB175" s="556"/>
      <c r="BC175" s="559"/>
      <c r="BD175" s="557"/>
      <c r="BE175" s="559"/>
    </row>
    <row r="176" spans="1:57" s="244" customFormat="1" ht="21.6" customHeight="1">
      <c r="A176" s="522">
        <f t="shared" si="26"/>
        <v>171</v>
      </c>
      <c r="B176" s="360"/>
      <c r="C176" s="526"/>
      <c r="D176" s="532"/>
      <c r="E176" s="379"/>
      <c r="F176" s="192" t="s">
        <v>622</v>
      </c>
      <c r="G176" s="536"/>
      <c r="H176" s="238"/>
      <c r="I176" s="238"/>
      <c r="J176" s="545"/>
      <c r="K176" s="539"/>
      <c r="L176" s="545"/>
      <c r="M176" s="540"/>
      <c r="N176" s="543"/>
      <c r="O176" s="367"/>
      <c r="P176" s="368"/>
      <c r="Q176" s="546"/>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50"/>
      <c r="AW176" s="554"/>
      <c r="AX176" s="434" t="str">
        <f t="shared" si="24"/>
        <v>,</v>
      </c>
      <c r="AY176" s="434" t="str">
        <f t="shared" si="25"/>
        <v xml:space="preserve"> / </v>
      </c>
      <c r="AZ176" s="556"/>
      <c r="BA176" s="557"/>
      <c r="BB176" s="556"/>
      <c r="BC176" s="559"/>
      <c r="BD176" s="557"/>
      <c r="BE176" s="559"/>
    </row>
    <row r="177" spans="1:57" s="244" customFormat="1" ht="21.6" customHeight="1">
      <c r="A177" s="522">
        <f t="shared" si="26"/>
        <v>172</v>
      </c>
      <c r="B177" s="360"/>
      <c r="C177" s="526"/>
      <c r="D177" s="532"/>
      <c r="E177" s="379"/>
      <c r="F177" s="192" t="s">
        <v>622</v>
      </c>
      <c r="G177" s="536"/>
      <c r="H177" s="238"/>
      <c r="I177" s="238"/>
      <c r="J177" s="545"/>
      <c r="K177" s="539"/>
      <c r="L177" s="545"/>
      <c r="M177" s="540"/>
      <c r="N177" s="543"/>
      <c r="O177" s="367"/>
      <c r="P177" s="368"/>
      <c r="Q177" s="546"/>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50"/>
      <c r="AW177" s="554"/>
      <c r="AX177" s="434" t="str">
        <f t="shared" si="24"/>
        <v>,</v>
      </c>
      <c r="AY177" s="434" t="str">
        <f t="shared" si="25"/>
        <v xml:space="preserve"> / </v>
      </c>
      <c r="AZ177" s="556"/>
      <c r="BA177" s="557"/>
      <c r="BB177" s="556"/>
      <c r="BC177" s="559"/>
      <c r="BD177" s="557"/>
      <c r="BE177" s="559"/>
    </row>
    <row r="178" spans="1:57" s="244" customFormat="1" ht="21.6" customHeight="1">
      <c r="A178" s="522">
        <f t="shared" si="26"/>
        <v>173</v>
      </c>
      <c r="B178" s="360"/>
      <c r="C178" s="526"/>
      <c r="D178" s="532"/>
      <c r="E178" s="379"/>
      <c r="F178" s="192" t="s">
        <v>622</v>
      </c>
      <c r="G178" s="536"/>
      <c r="H178" s="238"/>
      <c r="I178" s="238"/>
      <c r="J178" s="545"/>
      <c r="K178" s="539"/>
      <c r="L178" s="545"/>
      <c r="M178" s="540"/>
      <c r="N178" s="543"/>
      <c r="O178" s="367"/>
      <c r="P178" s="368"/>
      <c r="Q178" s="546"/>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50"/>
      <c r="AW178" s="554"/>
      <c r="AX178" s="434" t="str">
        <f t="shared" si="24"/>
        <v>,</v>
      </c>
      <c r="AY178" s="434" t="str">
        <f t="shared" si="25"/>
        <v xml:space="preserve"> / </v>
      </c>
      <c r="AZ178" s="556"/>
      <c r="BA178" s="557"/>
      <c r="BB178" s="556"/>
      <c r="BC178" s="559"/>
      <c r="BD178" s="557"/>
      <c r="BE178" s="559"/>
    </row>
    <row r="179" spans="1:57" s="244" customFormat="1" ht="21.6" customHeight="1">
      <c r="A179" s="522">
        <f t="shared" si="26"/>
        <v>174</v>
      </c>
      <c r="B179" s="360"/>
      <c r="C179" s="526"/>
      <c r="D179" s="532"/>
      <c r="E179" s="379"/>
      <c r="F179" s="192" t="s">
        <v>622</v>
      </c>
      <c r="G179" s="536"/>
      <c r="H179" s="238"/>
      <c r="I179" s="238"/>
      <c r="J179" s="545"/>
      <c r="K179" s="539"/>
      <c r="L179" s="545"/>
      <c r="M179" s="540"/>
      <c r="N179" s="543"/>
      <c r="O179" s="367"/>
      <c r="P179" s="368"/>
      <c r="Q179" s="546"/>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50"/>
      <c r="AW179" s="554"/>
      <c r="AX179" s="434" t="str">
        <f t="shared" si="24"/>
        <v>,</v>
      </c>
      <c r="AY179" s="434" t="str">
        <f t="shared" si="25"/>
        <v xml:space="preserve"> / </v>
      </c>
      <c r="AZ179" s="556"/>
      <c r="BA179" s="557"/>
      <c r="BB179" s="556"/>
      <c r="BC179" s="559"/>
      <c r="BD179" s="557"/>
      <c r="BE179" s="559"/>
    </row>
    <row r="180" spans="1:57" s="244" customFormat="1" ht="21.6" customHeight="1">
      <c r="A180" s="522">
        <f t="shared" si="26"/>
        <v>175</v>
      </c>
      <c r="B180" s="360"/>
      <c r="C180" s="526"/>
      <c r="D180" s="532"/>
      <c r="E180" s="379"/>
      <c r="F180" s="192" t="s">
        <v>622</v>
      </c>
      <c r="G180" s="536"/>
      <c r="H180" s="238"/>
      <c r="I180" s="238"/>
      <c r="J180" s="545"/>
      <c r="K180" s="539"/>
      <c r="L180" s="545"/>
      <c r="M180" s="540"/>
      <c r="N180" s="543"/>
      <c r="O180" s="367"/>
      <c r="P180" s="368"/>
      <c r="Q180" s="546"/>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50"/>
      <c r="AW180" s="554"/>
      <c r="AX180" s="434" t="str">
        <f t="shared" si="24"/>
        <v>,</v>
      </c>
      <c r="AY180" s="434" t="str">
        <f t="shared" si="25"/>
        <v xml:space="preserve"> / </v>
      </c>
      <c r="AZ180" s="556"/>
      <c r="BA180" s="557"/>
      <c r="BB180" s="556"/>
      <c r="BC180" s="559"/>
      <c r="BD180" s="557"/>
      <c r="BE180" s="559"/>
    </row>
    <row r="181" spans="1:57" s="244" customFormat="1" ht="21.6" customHeight="1">
      <c r="A181" s="522">
        <f t="shared" si="26"/>
        <v>176</v>
      </c>
      <c r="B181" s="360"/>
      <c r="C181" s="526"/>
      <c r="D181" s="532"/>
      <c r="E181" s="379"/>
      <c r="F181" s="192" t="s">
        <v>622</v>
      </c>
      <c r="G181" s="536"/>
      <c r="H181" s="238"/>
      <c r="I181" s="238"/>
      <c r="J181" s="545"/>
      <c r="K181" s="539"/>
      <c r="L181" s="545"/>
      <c r="M181" s="540"/>
      <c r="N181" s="543"/>
      <c r="O181" s="367"/>
      <c r="P181" s="368"/>
      <c r="Q181" s="546"/>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50"/>
      <c r="AW181" s="554"/>
      <c r="AX181" s="434" t="str">
        <f t="shared" si="24"/>
        <v>,</v>
      </c>
      <c r="AY181" s="434" t="str">
        <f t="shared" si="25"/>
        <v xml:space="preserve"> / </v>
      </c>
      <c r="AZ181" s="556"/>
      <c r="BA181" s="557"/>
      <c r="BB181" s="556"/>
      <c r="BC181" s="559"/>
      <c r="BD181" s="557"/>
      <c r="BE181" s="559"/>
    </row>
    <row r="182" spans="1:57" s="244" customFormat="1" ht="21.6" customHeight="1">
      <c r="A182" s="522">
        <f t="shared" si="26"/>
        <v>177</v>
      </c>
      <c r="B182" s="360"/>
      <c r="C182" s="526"/>
      <c r="D182" s="532"/>
      <c r="E182" s="379"/>
      <c r="F182" s="192" t="s">
        <v>622</v>
      </c>
      <c r="G182" s="536"/>
      <c r="H182" s="238"/>
      <c r="I182" s="238"/>
      <c r="J182" s="545"/>
      <c r="K182" s="539"/>
      <c r="L182" s="545"/>
      <c r="M182" s="540"/>
      <c r="N182" s="543"/>
      <c r="O182" s="367"/>
      <c r="P182" s="368"/>
      <c r="Q182" s="546"/>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50"/>
      <c r="AW182" s="554"/>
      <c r="AX182" s="434" t="str">
        <f t="shared" si="24"/>
        <v>,</v>
      </c>
      <c r="AY182" s="434" t="str">
        <f t="shared" si="25"/>
        <v xml:space="preserve"> / </v>
      </c>
      <c r="AZ182" s="556"/>
      <c r="BA182" s="557"/>
      <c r="BB182" s="556"/>
      <c r="BC182" s="559"/>
      <c r="BD182" s="557"/>
      <c r="BE182" s="559"/>
    </row>
    <row r="183" spans="1:57" s="244" customFormat="1" ht="21.6" customHeight="1">
      <c r="A183" s="522">
        <f t="shared" si="26"/>
        <v>178</v>
      </c>
      <c r="B183" s="360"/>
      <c r="C183" s="526"/>
      <c r="D183" s="532"/>
      <c r="E183" s="379"/>
      <c r="F183" s="192" t="s">
        <v>622</v>
      </c>
      <c r="G183" s="536"/>
      <c r="H183" s="238"/>
      <c r="I183" s="238"/>
      <c r="J183" s="545"/>
      <c r="K183" s="539"/>
      <c r="L183" s="545"/>
      <c r="M183" s="540"/>
      <c r="N183" s="543"/>
      <c r="O183" s="367"/>
      <c r="P183" s="368"/>
      <c r="Q183" s="546"/>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50"/>
      <c r="AW183" s="554"/>
      <c r="AX183" s="434" t="str">
        <f t="shared" si="24"/>
        <v>,</v>
      </c>
      <c r="AY183" s="434" t="str">
        <f t="shared" si="25"/>
        <v xml:space="preserve"> / </v>
      </c>
      <c r="AZ183" s="556"/>
      <c r="BA183" s="557"/>
      <c r="BB183" s="556"/>
      <c r="BC183" s="559"/>
      <c r="BD183" s="557"/>
      <c r="BE183" s="559"/>
    </row>
    <row r="184" spans="1:57" s="244" customFormat="1" ht="21.6" customHeight="1">
      <c r="A184" s="522">
        <f t="shared" si="26"/>
        <v>179</v>
      </c>
      <c r="B184" s="360"/>
      <c r="C184" s="526"/>
      <c r="D184" s="532"/>
      <c r="E184" s="379"/>
      <c r="F184" s="192" t="s">
        <v>622</v>
      </c>
      <c r="G184" s="536"/>
      <c r="H184" s="238"/>
      <c r="I184" s="238"/>
      <c r="J184" s="545"/>
      <c r="K184" s="539"/>
      <c r="L184" s="545"/>
      <c r="M184" s="540"/>
      <c r="N184" s="543"/>
      <c r="O184" s="367"/>
      <c r="P184" s="368"/>
      <c r="Q184" s="546"/>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50"/>
      <c r="AW184" s="554"/>
      <c r="AX184" s="434" t="str">
        <f t="shared" si="24"/>
        <v>,</v>
      </c>
      <c r="AY184" s="434" t="str">
        <f t="shared" si="25"/>
        <v xml:space="preserve"> / </v>
      </c>
      <c r="AZ184" s="556"/>
      <c r="BA184" s="557"/>
      <c r="BB184" s="556"/>
      <c r="BC184" s="559"/>
      <c r="BD184" s="557"/>
      <c r="BE184" s="559"/>
    </row>
    <row r="185" spans="1:57" s="244" customFormat="1" ht="21.6" customHeight="1">
      <c r="A185" s="522">
        <f t="shared" si="26"/>
        <v>180</v>
      </c>
      <c r="B185" s="360"/>
      <c r="C185" s="526"/>
      <c r="D185" s="532"/>
      <c r="E185" s="379"/>
      <c r="F185" s="192" t="s">
        <v>622</v>
      </c>
      <c r="G185" s="536"/>
      <c r="H185" s="238"/>
      <c r="I185" s="238"/>
      <c r="J185" s="545"/>
      <c r="K185" s="539"/>
      <c r="L185" s="545"/>
      <c r="M185" s="540"/>
      <c r="N185" s="543"/>
      <c r="O185" s="367"/>
      <c r="P185" s="368"/>
      <c r="Q185" s="546"/>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50"/>
      <c r="AW185" s="554"/>
      <c r="AX185" s="434" t="str">
        <f t="shared" si="24"/>
        <v>,</v>
      </c>
      <c r="AY185" s="434" t="str">
        <f t="shared" si="25"/>
        <v xml:space="preserve"> / </v>
      </c>
      <c r="AZ185" s="556"/>
      <c r="BA185" s="557"/>
      <c r="BB185" s="556"/>
      <c r="BC185" s="559"/>
      <c r="BD185" s="557"/>
      <c r="BE185" s="559"/>
    </row>
    <row r="186" spans="1:57" s="244" customFormat="1" ht="21.6" customHeight="1">
      <c r="A186" s="522">
        <f t="shared" si="26"/>
        <v>181</v>
      </c>
      <c r="B186" s="360"/>
      <c r="C186" s="526"/>
      <c r="D186" s="532"/>
      <c r="E186" s="379"/>
      <c r="F186" s="192" t="s">
        <v>622</v>
      </c>
      <c r="G186" s="536"/>
      <c r="H186" s="238"/>
      <c r="I186" s="238"/>
      <c r="J186" s="545"/>
      <c r="K186" s="539"/>
      <c r="L186" s="545"/>
      <c r="M186" s="540"/>
      <c r="N186" s="543"/>
      <c r="O186" s="367"/>
      <c r="P186" s="368"/>
      <c r="Q186" s="546"/>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50"/>
      <c r="AW186" s="554"/>
      <c r="AX186" s="434" t="str">
        <f t="shared" si="24"/>
        <v>,</v>
      </c>
      <c r="AY186" s="434" t="str">
        <f t="shared" si="25"/>
        <v xml:space="preserve"> / </v>
      </c>
      <c r="AZ186" s="556"/>
      <c r="BA186" s="557"/>
      <c r="BB186" s="556"/>
      <c r="BC186" s="559"/>
      <c r="BD186" s="557"/>
      <c r="BE186" s="559"/>
    </row>
    <row r="187" spans="1:57" s="244" customFormat="1" ht="21.6" customHeight="1">
      <c r="A187" s="522">
        <f t="shared" si="26"/>
        <v>182</v>
      </c>
      <c r="B187" s="360"/>
      <c r="C187" s="526"/>
      <c r="D187" s="532"/>
      <c r="E187" s="379"/>
      <c r="F187" s="192" t="s">
        <v>622</v>
      </c>
      <c r="G187" s="536"/>
      <c r="H187" s="238"/>
      <c r="I187" s="238"/>
      <c r="J187" s="545"/>
      <c r="K187" s="539"/>
      <c r="L187" s="545"/>
      <c r="M187" s="540"/>
      <c r="N187" s="543"/>
      <c r="O187" s="367"/>
      <c r="P187" s="368"/>
      <c r="Q187" s="546"/>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50"/>
      <c r="AW187" s="554"/>
      <c r="AX187" s="434" t="str">
        <f t="shared" si="24"/>
        <v>,</v>
      </c>
      <c r="AY187" s="434" t="str">
        <f t="shared" si="25"/>
        <v xml:space="preserve"> / </v>
      </c>
      <c r="AZ187" s="556"/>
      <c r="BA187" s="557"/>
      <c r="BB187" s="556"/>
      <c r="BC187" s="559"/>
      <c r="BD187" s="557"/>
      <c r="BE187" s="559"/>
    </row>
    <row r="188" spans="1:57" s="244" customFormat="1" ht="21.6" customHeight="1">
      <c r="A188" s="522">
        <f t="shared" si="26"/>
        <v>183</v>
      </c>
      <c r="B188" s="360"/>
      <c r="C188" s="526"/>
      <c r="D188" s="532"/>
      <c r="E188" s="379"/>
      <c r="F188" s="192" t="s">
        <v>622</v>
      </c>
      <c r="G188" s="536"/>
      <c r="H188" s="238"/>
      <c r="I188" s="238"/>
      <c r="J188" s="545"/>
      <c r="K188" s="539"/>
      <c r="L188" s="545"/>
      <c r="M188" s="540"/>
      <c r="N188" s="543"/>
      <c r="O188" s="367"/>
      <c r="P188" s="368"/>
      <c r="Q188" s="546"/>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50"/>
      <c r="AW188" s="554"/>
      <c r="AX188" s="434" t="str">
        <f t="shared" si="24"/>
        <v>,</v>
      </c>
      <c r="AY188" s="434" t="str">
        <f t="shared" si="25"/>
        <v xml:space="preserve"> / </v>
      </c>
      <c r="AZ188" s="556"/>
      <c r="BA188" s="557"/>
      <c r="BB188" s="556"/>
      <c r="BC188" s="559"/>
      <c r="BD188" s="557"/>
      <c r="BE188" s="559"/>
    </row>
    <row r="189" spans="1:57" s="244" customFormat="1" ht="21.6" customHeight="1">
      <c r="A189" s="522">
        <f t="shared" si="26"/>
        <v>184</v>
      </c>
      <c r="B189" s="360"/>
      <c r="C189" s="526"/>
      <c r="D189" s="532"/>
      <c r="E189" s="379"/>
      <c r="F189" s="192" t="s">
        <v>622</v>
      </c>
      <c r="G189" s="536"/>
      <c r="H189" s="238"/>
      <c r="I189" s="238"/>
      <c r="J189" s="545"/>
      <c r="K189" s="539"/>
      <c r="L189" s="545"/>
      <c r="M189" s="540"/>
      <c r="N189" s="543"/>
      <c r="O189" s="367"/>
      <c r="P189" s="368"/>
      <c r="Q189" s="546"/>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50"/>
      <c r="AW189" s="554"/>
      <c r="AX189" s="434" t="str">
        <f t="shared" si="24"/>
        <v>,</v>
      </c>
      <c r="AY189" s="434" t="str">
        <f t="shared" si="25"/>
        <v xml:space="preserve"> / </v>
      </c>
      <c r="AZ189" s="556"/>
      <c r="BA189" s="557"/>
      <c r="BB189" s="556"/>
      <c r="BC189" s="559"/>
      <c r="BD189" s="557"/>
      <c r="BE189" s="559"/>
    </row>
    <row r="190" spans="1:57" s="244" customFormat="1" ht="21.6" customHeight="1">
      <c r="A190" s="522">
        <f t="shared" si="26"/>
        <v>185</v>
      </c>
      <c r="B190" s="360"/>
      <c r="C190" s="526"/>
      <c r="D190" s="532"/>
      <c r="E190" s="379"/>
      <c r="F190" s="192" t="s">
        <v>622</v>
      </c>
      <c r="G190" s="536"/>
      <c r="H190" s="238"/>
      <c r="I190" s="238"/>
      <c r="J190" s="545"/>
      <c r="K190" s="539"/>
      <c r="L190" s="545"/>
      <c r="M190" s="540"/>
      <c r="N190" s="543"/>
      <c r="O190" s="367"/>
      <c r="P190" s="368"/>
      <c r="Q190" s="546"/>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50"/>
      <c r="AW190" s="554"/>
      <c r="AX190" s="434" t="str">
        <f t="shared" si="24"/>
        <v>,</v>
      </c>
      <c r="AY190" s="434" t="str">
        <f t="shared" si="25"/>
        <v xml:space="preserve"> / </v>
      </c>
      <c r="AZ190" s="556"/>
      <c r="BA190" s="557"/>
      <c r="BB190" s="556"/>
      <c r="BC190" s="559"/>
      <c r="BD190" s="557"/>
      <c r="BE190" s="559"/>
    </row>
    <row r="191" spans="1:57" s="244" customFormat="1" ht="21.6" customHeight="1">
      <c r="A191" s="522">
        <f t="shared" si="26"/>
        <v>186</v>
      </c>
      <c r="B191" s="360"/>
      <c r="C191" s="526"/>
      <c r="D191" s="532"/>
      <c r="E191" s="379"/>
      <c r="F191" s="192" t="s">
        <v>622</v>
      </c>
      <c r="G191" s="536"/>
      <c r="H191" s="238"/>
      <c r="I191" s="238"/>
      <c r="J191" s="545"/>
      <c r="K191" s="539"/>
      <c r="L191" s="545"/>
      <c r="M191" s="540"/>
      <c r="N191" s="543"/>
      <c r="O191" s="367"/>
      <c r="P191" s="368"/>
      <c r="Q191" s="546"/>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50"/>
      <c r="AW191" s="554"/>
      <c r="AX191" s="434" t="str">
        <f t="shared" si="24"/>
        <v>,</v>
      </c>
      <c r="AY191" s="434" t="str">
        <f t="shared" si="25"/>
        <v xml:space="preserve"> / </v>
      </c>
      <c r="AZ191" s="556"/>
      <c r="BA191" s="557"/>
      <c r="BB191" s="556"/>
      <c r="BC191" s="559"/>
      <c r="BD191" s="557"/>
      <c r="BE191" s="559"/>
    </row>
    <row r="192" spans="1:57" s="244" customFormat="1" ht="21.6" customHeight="1">
      <c r="A192" s="522">
        <f t="shared" si="26"/>
        <v>187</v>
      </c>
      <c r="B192" s="360"/>
      <c r="C192" s="526"/>
      <c r="D192" s="532"/>
      <c r="E192" s="379"/>
      <c r="F192" s="192" t="s">
        <v>622</v>
      </c>
      <c r="G192" s="536"/>
      <c r="H192" s="238"/>
      <c r="I192" s="238"/>
      <c r="J192" s="545"/>
      <c r="K192" s="539"/>
      <c r="L192" s="545"/>
      <c r="M192" s="540"/>
      <c r="N192" s="543"/>
      <c r="O192" s="367"/>
      <c r="P192" s="368"/>
      <c r="Q192" s="546"/>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50"/>
      <c r="AW192" s="554"/>
      <c r="AX192" s="434" t="str">
        <f t="shared" si="24"/>
        <v>,</v>
      </c>
      <c r="AY192" s="434" t="str">
        <f t="shared" si="25"/>
        <v xml:space="preserve"> / </v>
      </c>
      <c r="AZ192" s="556"/>
      <c r="BA192" s="557"/>
      <c r="BB192" s="556"/>
      <c r="BC192" s="559"/>
      <c r="BD192" s="557"/>
      <c r="BE192" s="559"/>
    </row>
    <row r="193" spans="1:57" s="244" customFormat="1" ht="21.6" customHeight="1">
      <c r="A193" s="522">
        <f t="shared" si="26"/>
        <v>188</v>
      </c>
      <c r="B193" s="360"/>
      <c r="C193" s="526"/>
      <c r="D193" s="532"/>
      <c r="E193" s="379"/>
      <c r="F193" s="192" t="s">
        <v>622</v>
      </c>
      <c r="G193" s="536"/>
      <c r="H193" s="238"/>
      <c r="I193" s="238"/>
      <c r="J193" s="545"/>
      <c r="K193" s="539"/>
      <c r="L193" s="545"/>
      <c r="M193" s="540"/>
      <c r="N193" s="543"/>
      <c r="O193" s="367"/>
      <c r="P193" s="368"/>
      <c r="Q193" s="546"/>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50"/>
      <c r="AW193" s="554"/>
      <c r="AX193" s="434" t="str">
        <f t="shared" si="24"/>
        <v>,</v>
      </c>
      <c r="AY193" s="434" t="str">
        <f t="shared" si="25"/>
        <v xml:space="preserve"> / </v>
      </c>
      <c r="AZ193" s="556"/>
      <c r="BA193" s="557"/>
      <c r="BB193" s="556"/>
      <c r="BC193" s="559"/>
      <c r="BD193" s="557"/>
      <c r="BE193" s="559"/>
    </row>
    <row r="194" spans="1:57" s="244" customFormat="1" ht="21.6" customHeight="1">
      <c r="A194" s="522">
        <f t="shared" si="26"/>
        <v>189</v>
      </c>
      <c r="B194" s="360"/>
      <c r="C194" s="526"/>
      <c r="D194" s="532"/>
      <c r="E194" s="379"/>
      <c r="F194" s="192" t="s">
        <v>622</v>
      </c>
      <c r="G194" s="536"/>
      <c r="H194" s="238"/>
      <c r="I194" s="238"/>
      <c r="J194" s="545"/>
      <c r="K194" s="539"/>
      <c r="L194" s="545"/>
      <c r="M194" s="540"/>
      <c r="N194" s="543"/>
      <c r="O194" s="367"/>
      <c r="P194" s="368"/>
      <c r="Q194" s="546"/>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50"/>
      <c r="AW194" s="554"/>
      <c r="AX194" s="434" t="str">
        <f t="shared" si="24"/>
        <v>,</v>
      </c>
      <c r="AY194" s="434" t="str">
        <f t="shared" si="25"/>
        <v xml:space="preserve"> / </v>
      </c>
      <c r="AZ194" s="556"/>
      <c r="BA194" s="557"/>
      <c r="BB194" s="556"/>
      <c r="BC194" s="559"/>
      <c r="BD194" s="557"/>
      <c r="BE194" s="559"/>
    </row>
    <row r="195" spans="1:57" s="244" customFormat="1" ht="21.6" customHeight="1">
      <c r="A195" s="522">
        <f t="shared" si="26"/>
        <v>190</v>
      </c>
      <c r="B195" s="360"/>
      <c r="C195" s="526"/>
      <c r="D195" s="532"/>
      <c r="E195" s="379"/>
      <c r="F195" s="192" t="s">
        <v>622</v>
      </c>
      <c r="G195" s="536"/>
      <c r="H195" s="238"/>
      <c r="I195" s="238"/>
      <c r="J195" s="545"/>
      <c r="K195" s="539"/>
      <c r="L195" s="545"/>
      <c r="M195" s="540"/>
      <c r="N195" s="543"/>
      <c r="O195" s="367"/>
      <c r="P195" s="368"/>
      <c r="Q195" s="546"/>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50"/>
      <c r="AW195" s="554"/>
      <c r="AX195" s="434" t="str">
        <f t="shared" si="24"/>
        <v>,</v>
      </c>
      <c r="AY195" s="434" t="str">
        <f t="shared" si="25"/>
        <v xml:space="preserve"> / </v>
      </c>
      <c r="AZ195" s="556"/>
      <c r="BA195" s="557"/>
      <c r="BB195" s="556"/>
      <c r="BC195" s="559"/>
      <c r="BD195" s="557"/>
      <c r="BE195" s="559"/>
    </row>
    <row r="196" spans="1:57" s="244" customFormat="1" ht="21.6" customHeight="1">
      <c r="A196" s="522">
        <f t="shared" si="26"/>
        <v>191</v>
      </c>
      <c r="B196" s="360"/>
      <c r="C196" s="526"/>
      <c r="D196" s="532"/>
      <c r="E196" s="379"/>
      <c r="F196" s="192" t="s">
        <v>622</v>
      </c>
      <c r="G196" s="536"/>
      <c r="H196" s="238"/>
      <c r="I196" s="238"/>
      <c r="J196" s="545"/>
      <c r="K196" s="539"/>
      <c r="L196" s="545"/>
      <c r="M196" s="540"/>
      <c r="N196" s="543"/>
      <c r="O196" s="367"/>
      <c r="P196" s="368"/>
      <c r="Q196" s="546"/>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50"/>
      <c r="AW196" s="554"/>
      <c r="AX196" s="434" t="str">
        <f t="shared" si="24"/>
        <v>,</v>
      </c>
      <c r="AY196" s="434" t="str">
        <f t="shared" si="25"/>
        <v xml:space="preserve"> / </v>
      </c>
      <c r="AZ196" s="556"/>
      <c r="BA196" s="557"/>
      <c r="BB196" s="556"/>
      <c r="BC196" s="559"/>
      <c r="BD196" s="557"/>
      <c r="BE196" s="559"/>
    </row>
    <row r="197" spans="1:57" s="244" customFormat="1" ht="21.6" customHeight="1">
      <c r="A197" s="522">
        <f t="shared" si="26"/>
        <v>192</v>
      </c>
      <c r="B197" s="360"/>
      <c r="C197" s="526"/>
      <c r="D197" s="532"/>
      <c r="E197" s="379"/>
      <c r="F197" s="192" t="s">
        <v>622</v>
      </c>
      <c r="G197" s="536"/>
      <c r="H197" s="238"/>
      <c r="I197" s="238"/>
      <c r="J197" s="545"/>
      <c r="K197" s="539"/>
      <c r="L197" s="545"/>
      <c r="M197" s="540"/>
      <c r="N197" s="543"/>
      <c r="O197" s="367"/>
      <c r="P197" s="368"/>
      <c r="Q197" s="546"/>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50"/>
      <c r="AW197" s="554"/>
      <c r="AX197" s="434" t="str">
        <f t="shared" si="24"/>
        <v>,</v>
      </c>
      <c r="AY197" s="434" t="str">
        <f t="shared" si="25"/>
        <v xml:space="preserve"> / </v>
      </c>
      <c r="AZ197" s="556"/>
      <c r="BA197" s="557"/>
      <c r="BB197" s="556"/>
      <c r="BC197" s="559"/>
      <c r="BD197" s="557"/>
      <c r="BE197" s="559"/>
    </row>
    <row r="198" spans="1:57" s="244" customFormat="1" ht="21.6" customHeight="1">
      <c r="A198" s="522">
        <f t="shared" si="26"/>
        <v>193</v>
      </c>
      <c r="B198" s="360"/>
      <c r="C198" s="526"/>
      <c r="D198" s="532"/>
      <c r="E198" s="379"/>
      <c r="F198" s="192" t="s">
        <v>622</v>
      </c>
      <c r="G198" s="536"/>
      <c r="H198" s="238"/>
      <c r="I198" s="238"/>
      <c r="J198" s="545"/>
      <c r="K198" s="539"/>
      <c r="L198" s="545"/>
      <c r="M198" s="540"/>
      <c r="N198" s="543"/>
      <c r="O198" s="367"/>
      <c r="P198" s="368"/>
      <c r="Q198" s="546"/>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50"/>
      <c r="AW198" s="554"/>
      <c r="AX198" s="434" t="str">
        <f t="shared" si="24"/>
        <v>,</v>
      </c>
      <c r="AY198" s="434" t="str">
        <f t="shared" si="25"/>
        <v xml:space="preserve"> / </v>
      </c>
      <c r="AZ198" s="556"/>
      <c r="BA198" s="557"/>
      <c r="BB198" s="556"/>
      <c r="BC198" s="559"/>
      <c r="BD198" s="557"/>
      <c r="BE198" s="559"/>
    </row>
    <row r="199" spans="1:57" s="244" customFormat="1" ht="21.6" customHeight="1">
      <c r="A199" s="522">
        <f t="shared" si="26"/>
        <v>194</v>
      </c>
      <c r="B199" s="360"/>
      <c r="C199" s="526"/>
      <c r="D199" s="532"/>
      <c r="E199" s="379"/>
      <c r="F199" s="192" t="s">
        <v>622</v>
      </c>
      <c r="G199" s="536"/>
      <c r="H199" s="238"/>
      <c r="I199" s="238"/>
      <c r="J199" s="545"/>
      <c r="K199" s="539"/>
      <c r="L199" s="545"/>
      <c r="M199" s="540"/>
      <c r="N199" s="543"/>
      <c r="O199" s="367"/>
      <c r="P199" s="368"/>
      <c r="Q199" s="546"/>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50"/>
      <c r="AW199" s="554"/>
      <c r="AX199" s="434" t="str">
        <f t="shared" ref="AX199:AX205" si="33">CONCATENATE(AW199,",",AV199)</f>
        <v>,</v>
      </c>
      <c r="AY199" s="434" t="str">
        <f t="shared" ref="AY199:AY205" si="34">CONCATENATE(J199," ","/"," ",K199)</f>
        <v xml:space="preserve"> / </v>
      </c>
      <c r="AZ199" s="556"/>
      <c r="BA199" s="557"/>
      <c r="BB199" s="556"/>
      <c r="BC199" s="559"/>
      <c r="BD199" s="557"/>
      <c r="BE199" s="559"/>
    </row>
    <row r="200" spans="1:57" s="244" customFormat="1" ht="21.6" customHeight="1">
      <c r="A200" s="522">
        <f t="shared" ref="A200:A205" si="35">A199+1</f>
        <v>195</v>
      </c>
      <c r="B200" s="360"/>
      <c r="C200" s="526"/>
      <c r="D200" s="532"/>
      <c r="E200" s="379"/>
      <c r="F200" s="192" t="s">
        <v>622</v>
      </c>
      <c r="G200" s="536"/>
      <c r="H200" s="238"/>
      <c r="I200" s="238"/>
      <c r="J200" s="545"/>
      <c r="K200" s="539"/>
      <c r="L200" s="545"/>
      <c r="M200" s="540"/>
      <c r="N200" s="543"/>
      <c r="O200" s="367"/>
      <c r="P200" s="368"/>
      <c r="Q200" s="546"/>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50"/>
      <c r="AW200" s="554"/>
      <c r="AX200" s="434" t="str">
        <f t="shared" si="33"/>
        <v>,</v>
      </c>
      <c r="AY200" s="434" t="str">
        <f t="shared" si="34"/>
        <v xml:space="preserve"> / </v>
      </c>
      <c r="AZ200" s="556"/>
      <c r="BA200" s="557"/>
      <c r="BB200" s="556"/>
      <c r="BC200" s="559"/>
      <c r="BD200" s="557"/>
      <c r="BE200" s="559"/>
    </row>
    <row r="201" spans="1:57" s="244" customFormat="1" ht="21.6" customHeight="1">
      <c r="A201" s="522">
        <f t="shared" si="35"/>
        <v>196</v>
      </c>
      <c r="B201" s="360"/>
      <c r="C201" s="526"/>
      <c r="D201" s="532"/>
      <c r="E201" s="379"/>
      <c r="F201" s="192" t="s">
        <v>622</v>
      </c>
      <c r="G201" s="536"/>
      <c r="H201" s="238"/>
      <c r="I201" s="238"/>
      <c r="J201" s="545"/>
      <c r="K201" s="539"/>
      <c r="L201" s="545"/>
      <c r="M201" s="540"/>
      <c r="N201" s="543"/>
      <c r="O201" s="367"/>
      <c r="P201" s="368"/>
      <c r="Q201" s="546"/>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50"/>
      <c r="AW201" s="554"/>
      <c r="AX201" s="434" t="str">
        <f t="shared" si="33"/>
        <v>,</v>
      </c>
      <c r="AY201" s="434" t="str">
        <f t="shared" si="34"/>
        <v xml:space="preserve"> / </v>
      </c>
      <c r="AZ201" s="556"/>
      <c r="BA201" s="557"/>
      <c r="BB201" s="556"/>
      <c r="BC201" s="559"/>
      <c r="BD201" s="557"/>
      <c r="BE201" s="559"/>
    </row>
    <row r="202" spans="1:57" s="244" customFormat="1" ht="21.6" customHeight="1">
      <c r="A202" s="522">
        <f t="shared" si="35"/>
        <v>197</v>
      </c>
      <c r="B202" s="360"/>
      <c r="C202" s="526"/>
      <c r="D202" s="532"/>
      <c r="E202" s="379"/>
      <c r="F202" s="192" t="s">
        <v>622</v>
      </c>
      <c r="G202" s="536"/>
      <c r="H202" s="238"/>
      <c r="I202" s="238"/>
      <c r="J202" s="545"/>
      <c r="K202" s="539"/>
      <c r="L202" s="545"/>
      <c r="M202" s="540"/>
      <c r="N202" s="543"/>
      <c r="O202" s="367"/>
      <c r="P202" s="368"/>
      <c r="Q202" s="546"/>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50"/>
      <c r="AW202" s="554"/>
      <c r="AX202" s="434" t="str">
        <f t="shared" si="33"/>
        <v>,</v>
      </c>
      <c r="AY202" s="434" t="str">
        <f t="shared" si="34"/>
        <v xml:space="preserve"> / </v>
      </c>
      <c r="AZ202" s="556"/>
      <c r="BA202" s="557"/>
      <c r="BB202" s="556"/>
      <c r="BC202" s="559"/>
      <c r="BD202" s="557"/>
      <c r="BE202" s="559"/>
    </row>
    <row r="203" spans="1:57" s="244" customFormat="1" ht="21.6" customHeight="1">
      <c r="A203" s="522">
        <f t="shared" si="35"/>
        <v>198</v>
      </c>
      <c r="B203" s="360"/>
      <c r="C203" s="526"/>
      <c r="D203" s="532"/>
      <c r="E203" s="379"/>
      <c r="F203" s="192" t="s">
        <v>622</v>
      </c>
      <c r="G203" s="536"/>
      <c r="H203" s="238"/>
      <c r="I203" s="238"/>
      <c r="J203" s="545"/>
      <c r="K203" s="539"/>
      <c r="L203" s="545"/>
      <c r="M203" s="540"/>
      <c r="N203" s="543"/>
      <c r="O203" s="367"/>
      <c r="P203" s="368"/>
      <c r="Q203" s="546"/>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50"/>
      <c r="AW203" s="554"/>
      <c r="AX203" s="434" t="str">
        <f t="shared" si="33"/>
        <v>,</v>
      </c>
      <c r="AY203" s="434" t="str">
        <f t="shared" si="34"/>
        <v xml:space="preserve"> / </v>
      </c>
      <c r="AZ203" s="556"/>
      <c r="BA203" s="557"/>
      <c r="BB203" s="556"/>
      <c r="BC203" s="559"/>
      <c r="BD203" s="557"/>
      <c r="BE203" s="559"/>
    </row>
    <row r="204" spans="1:57" s="244" customFormat="1" ht="21.6" customHeight="1">
      <c r="A204" s="522">
        <f t="shared" si="35"/>
        <v>199</v>
      </c>
      <c r="B204" s="360"/>
      <c r="C204" s="526"/>
      <c r="D204" s="532"/>
      <c r="E204" s="379"/>
      <c r="F204" s="192" t="s">
        <v>622</v>
      </c>
      <c r="G204" s="536"/>
      <c r="H204" s="238"/>
      <c r="I204" s="238"/>
      <c r="J204" s="545"/>
      <c r="K204" s="539"/>
      <c r="L204" s="545"/>
      <c r="M204" s="540"/>
      <c r="N204" s="543"/>
      <c r="O204" s="367"/>
      <c r="P204" s="368"/>
      <c r="Q204" s="546"/>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50"/>
      <c r="AW204" s="554"/>
      <c r="AX204" s="434" t="str">
        <f t="shared" si="33"/>
        <v>,</v>
      </c>
      <c r="AY204" s="434" t="str">
        <f t="shared" si="34"/>
        <v xml:space="preserve"> / </v>
      </c>
      <c r="AZ204" s="556"/>
      <c r="BA204" s="557"/>
      <c r="BB204" s="556"/>
      <c r="BC204" s="559"/>
      <c r="BD204" s="557"/>
      <c r="BE204" s="559"/>
    </row>
    <row r="205" spans="1:57" s="244" customFormat="1" ht="21.6" customHeight="1">
      <c r="A205" s="522">
        <f t="shared" si="35"/>
        <v>200</v>
      </c>
      <c r="B205" s="360"/>
      <c r="C205" s="526"/>
      <c r="D205" s="532"/>
      <c r="E205" s="379"/>
      <c r="F205" s="192" t="s">
        <v>622</v>
      </c>
      <c r="G205" s="536"/>
      <c r="H205" s="238"/>
      <c r="I205" s="238"/>
      <c r="J205" s="545"/>
      <c r="K205" s="539"/>
      <c r="L205" s="545"/>
      <c r="M205" s="540"/>
      <c r="N205" s="543"/>
      <c r="O205" s="367"/>
      <c r="P205" s="368"/>
      <c r="Q205" s="546"/>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50"/>
      <c r="AW205" s="554"/>
      <c r="AX205" s="434" t="str">
        <f t="shared" si="33"/>
        <v>,</v>
      </c>
      <c r="AY205" s="434" t="str">
        <f t="shared" si="34"/>
        <v xml:space="preserve"> / </v>
      </c>
      <c r="AZ205" s="556"/>
      <c r="BA205" s="557"/>
      <c r="BB205" s="556"/>
      <c r="BC205" s="559"/>
      <c r="BD205" s="557"/>
      <c r="BE205" s="559"/>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6" priority="26">
      <formula>B6=$B$4</formula>
    </cfRule>
  </conditionalFormatting>
  <conditionalFormatting sqref="D6:D205">
    <cfRule type="expression" dxfId="25" priority="24">
      <formula>B6=$B$4</formula>
    </cfRule>
  </conditionalFormatting>
  <conditionalFormatting sqref="E6:E205">
    <cfRule type="expression" dxfId="24" priority="23">
      <formula>B6=$B$4</formula>
    </cfRule>
  </conditionalFormatting>
  <conditionalFormatting sqref="F6:F205">
    <cfRule type="expression" dxfId="23" priority="22">
      <formula>B6=$B$4</formula>
    </cfRule>
  </conditionalFormatting>
  <conditionalFormatting sqref="G6:G205">
    <cfRule type="expression" dxfId="22" priority="21">
      <formula>B6=$B$4</formula>
    </cfRule>
  </conditionalFormatting>
  <conditionalFormatting sqref="H6:H205">
    <cfRule type="expression" dxfId="21" priority="20">
      <formula>B6=$B$4</formula>
    </cfRule>
  </conditionalFormatting>
  <conditionalFormatting sqref="I6:I205">
    <cfRule type="expression" dxfId="20" priority="19">
      <formula>B6=$B$4</formula>
    </cfRule>
  </conditionalFormatting>
  <conditionalFormatting sqref="J6:J205">
    <cfRule type="expression" dxfId="19" priority="18">
      <formula>B6=$B$4</formula>
    </cfRule>
  </conditionalFormatting>
  <conditionalFormatting sqref="K7:K205">
    <cfRule type="expression" dxfId="18" priority="17">
      <formula>B6=$B$4</formula>
    </cfRule>
  </conditionalFormatting>
  <conditionalFormatting sqref="K6:K205">
    <cfRule type="expression" dxfId="17" priority="16">
      <formula>B6=$B$4</formula>
    </cfRule>
  </conditionalFormatting>
  <conditionalFormatting sqref="L6:L205">
    <cfRule type="expression" dxfId="16" priority="15">
      <formula>B6=$B$4</formula>
    </cfRule>
  </conditionalFormatting>
  <conditionalFormatting sqref="M6:M205">
    <cfRule type="expression" dxfId="15" priority="14">
      <formula>B6=$B$4</formula>
    </cfRule>
  </conditionalFormatting>
  <conditionalFormatting sqref="N6:N205">
    <cfRule type="expression" dxfId="14" priority="13">
      <formula>B6=$B$4</formula>
    </cfRule>
  </conditionalFormatting>
  <conditionalFormatting sqref="O6:O205">
    <cfRule type="expression" dxfId="13" priority="8">
      <formula>B6=$B$4</formula>
    </cfRule>
  </conditionalFormatting>
  <conditionalFormatting sqref="P6:P205">
    <cfRule type="expression" dxfId="12" priority="6">
      <formula>B6=$B$4</formula>
    </cfRule>
  </conditionalFormatting>
  <conditionalFormatting sqref="Q6:Q205">
    <cfRule type="expression" dxfId="11" priority="5">
      <formula>B6=$B$4</formula>
    </cfRule>
  </conditionalFormatting>
  <conditionalFormatting sqref="R6:R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18" customWidth="1"/>
    <col min="2" max="2" width="1.7109375" style="118" customWidth="1"/>
    <col min="3" max="5" width="8.85546875" style="118"/>
    <col min="6" max="7" width="6" style="118" customWidth="1"/>
    <col min="8" max="9" width="4.7109375" style="118" customWidth="1"/>
    <col min="10" max="11" width="11" style="118" customWidth="1"/>
    <col min="12" max="12" width="11.85546875" style="118" customWidth="1"/>
    <col min="13" max="14" width="8.85546875" style="118" customWidth="1"/>
    <col min="15" max="15" width="11" style="118" customWidth="1"/>
    <col min="16" max="16" width="1.42578125" style="118" customWidth="1"/>
    <col min="17" max="17" width="2.28515625" style="118" customWidth="1"/>
    <col min="18" max="16384" width="8.85546875" style="118"/>
  </cols>
  <sheetData>
    <row r="1" spans="1:18" ht="19.899999999999999"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28" t="s">
        <v>135</v>
      </c>
      <c r="D2" s="628"/>
      <c r="E2" s="628"/>
      <c r="F2" s="628"/>
      <c r="G2" s="628"/>
      <c r="H2" s="628"/>
      <c r="I2" s="628"/>
      <c r="J2" s="628"/>
      <c r="K2" s="628"/>
      <c r="L2" s="628"/>
      <c r="M2" s="628"/>
      <c r="N2" s="628"/>
      <c r="O2" s="628"/>
      <c r="P2" s="483"/>
      <c r="Q2" s="481"/>
    </row>
    <row r="3" spans="1:18" ht="11.45" customHeight="1">
      <c r="A3" s="117"/>
      <c r="B3" s="484"/>
      <c r="C3" s="480"/>
      <c r="D3" s="480"/>
      <c r="E3" s="480"/>
      <c r="F3" s="480"/>
      <c r="G3" s="480"/>
      <c r="H3" s="480"/>
      <c r="I3" s="480"/>
      <c r="J3" s="480"/>
      <c r="K3" s="480"/>
      <c r="L3" s="480"/>
      <c r="M3" s="480"/>
      <c r="N3" s="480"/>
      <c r="O3" s="480"/>
      <c r="P3" s="485"/>
      <c r="Q3" s="481"/>
    </row>
    <row r="4" spans="1:18" ht="24" customHeight="1">
      <c r="A4" s="119"/>
      <c r="B4" s="388"/>
      <c r="C4" s="622" t="s">
        <v>8</v>
      </c>
      <c r="D4" s="622"/>
      <c r="E4" s="624" t="str">
        <f>IFERROR(VLOOKUP(عقد!$M$1,تفصيلي!B6:AW205,23,FALSE),"")</f>
        <v/>
      </c>
      <c r="F4" s="624"/>
      <c r="G4" s="624"/>
      <c r="H4" s="624"/>
      <c r="I4" s="624"/>
      <c r="J4" s="624"/>
      <c r="K4" s="486" t="s">
        <v>38</v>
      </c>
      <c r="L4" s="626" t="e">
        <f>INDEX(تفصيلي!Z6:Z205,MATCH(الكفالة!E4,تفصيلي!X6:X205,0))</f>
        <v>#N/A</v>
      </c>
      <c r="M4" s="626"/>
      <c r="N4" s="626"/>
      <c r="O4" s="626"/>
      <c r="P4" s="389"/>
      <c r="Q4" s="481"/>
    </row>
    <row r="5" spans="1:18" ht="24" customHeight="1">
      <c r="A5" s="119"/>
      <c r="B5" s="388"/>
      <c r="C5" s="622" t="s">
        <v>51</v>
      </c>
      <c r="D5" s="622"/>
      <c r="E5" s="624" t="str">
        <f>IFERROR(VLOOKUP(عقد!$M$1,تفصيلي!B6:AW205,24,FALSE),"")</f>
        <v/>
      </c>
      <c r="F5" s="624"/>
      <c r="G5" s="624"/>
      <c r="H5" s="624"/>
      <c r="I5" s="624"/>
      <c r="J5" s="624"/>
      <c r="K5" s="487" t="s">
        <v>136</v>
      </c>
      <c r="L5" s="625"/>
      <c r="M5" s="625"/>
      <c r="N5" s="625"/>
      <c r="O5" s="625"/>
      <c r="P5" s="389"/>
      <c r="Q5" s="481"/>
      <c r="R5" s="118">
        <f>LEN(L5)</f>
        <v>0</v>
      </c>
    </row>
    <row r="6" spans="1:18" ht="24" customHeight="1">
      <c r="A6" s="119"/>
      <c r="B6" s="388"/>
      <c r="C6" s="622" t="s">
        <v>9</v>
      </c>
      <c r="D6" s="622"/>
      <c r="E6" s="624" t="e">
        <f>INDEX(تفصيلي!AC6:AC205,MATCH(الكفالة!E4,تفصيلي!X6:X205,0))</f>
        <v>#N/A</v>
      </c>
      <c r="F6" s="624"/>
      <c r="G6" s="624"/>
      <c r="H6" s="624"/>
      <c r="I6" s="624"/>
      <c r="J6" s="624"/>
      <c r="K6" s="486" t="s">
        <v>6</v>
      </c>
      <c r="L6" s="624" t="str">
        <f>IFERROR(VLOOKUP(عقد!$M$1,تفصيلي!B6:AW205,27,FALSE),"")</f>
        <v/>
      </c>
      <c r="M6" s="624"/>
      <c r="N6" s="624"/>
      <c r="O6" s="624"/>
      <c r="P6" s="389"/>
      <c r="Q6" s="481"/>
    </row>
    <row r="7" spans="1:18" ht="24" customHeight="1">
      <c r="A7" s="121"/>
      <c r="B7" s="388"/>
      <c r="C7" s="622" t="s">
        <v>203</v>
      </c>
      <c r="D7" s="622"/>
      <c r="E7" s="622"/>
      <c r="F7" s="622"/>
      <c r="G7" s="622"/>
      <c r="H7" s="622"/>
      <c r="I7" s="622"/>
      <c r="J7" s="622"/>
      <c r="K7" s="622"/>
      <c r="L7" s="488">
        <f>عقد!E7</f>
        <v>0</v>
      </c>
      <c r="M7" s="624" t="s">
        <v>202</v>
      </c>
      <c r="N7" s="624"/>
      <c r="O7" s="624"/>
      <c r="P7" s="389"/>
      <c r="Q7" s="481"/>
    </row>
    <row r="8" spans="1:18" ht="24" customHeight="1">
      <c r="A8" s="121"/>
      <c r="B8" s="388"/>
      <c r="C8" s="622" t="s">
        <v>49</v>
      </c>
      <c r="D8" s="622"/>
      <c r="E8" s="622"/>
      <c r="F8" s="624" t="e">
        <f>عقد!C9</f>
        <v>#N/A</v>
      </c>
      <c r="G8" s="624"/>
      <c r="H8" s="624"/>
      <c r="I8" s="624"/>
      <c r="J8" s="622" t="s">
        <v>50</v>
      </c>
      <c r="K8" s="622"/>
      <c r="L8" s="622"/>
      <c r="M8" s="622"/>
      <c r="N8" s="622"/>
      <c r="O8" s="622"/>
      <c r="P8" s="389"/>
      <c r="Q8" s="481"/>
    </row>
    <row r="9" spans="1:18" ht="111.6" customHeight="1">
      <c r="A9" s="117"/>
      <c r="B9" s="484"/>
      <c r="C9" s="629" t="s">
        <v>169</v>
      </c>
      <c r="D9" s="629"/>
      <c r="E9" s="629"/>
      <c r="F9" s="629"/>
      <c r="G9" s="629"/>
      <c r="H9" s="629"/>
      <c r="I9" s="629"/>
      <c r="J9" s="629"/>
      <c r="K9" s="629"/>
      <c r="L9" s="629"/>
      <c r="M9" s="629"/>
      <c r="N9" s="629"/>
      <c r="O9" s="629"/>
      <c r="P9" s="485"/>
      <c r="Q9" s="481"/>
    </row>
    <row r="10" spans="1:18" ht="51.6" customHeight="1">
      <c r="A10" s="117"/>
      <c r="B10" s="484"/>
      <c r="C10" s="635" t="s">
        <v>204</v>
      </c>
      <c r="D10" s="635"/>
      <c r="E10" s="637">
        <f>عقد!$E$7</f>
        <v>0</v>
      </c>
      <c r="F10" s="637"/>
      <c r="G10" s="637"/>
      <c r="H10" s="636" t="s">
        <v>57</v>
      </c>
      <c r="I10" s="636"/>
      <c r="J10" s="636"/>
      <c r="K10" s="636"/>
      <c r="L10" s="630" t="s">
        <v>10</v>
      </c>
      <c r="M10" s="630"/>
      <c r="N10" s="630"/>
      <c r="O10" s="630"/>
      <c r="P10" s="485"/>
      <c r="Q10" s="481"/>
    </row>
    <row r="11" spans="1:18" ht="24" customHeight="1">
      <c r="A11" s="117"/>
      <c r="B11" s="484"/>
      <c r="C11" s="480"/>
      <c r="D11" s="480"/>
      <c r="E11" s="480"/>
      <c r="F11" s="480"/>
      <c r="G11" s="480"/>
      <c r="H11" s="480"/>
      <c r="I11" s="480"/>
      <c r="J11" s="627"/>
      <c r="K11" s="627"/>
      <c r="L11" s="631"/>
      <c r="M11" s="632"/>
      <c r="N11" s="632"/>
      <c r="O11" s="632"/>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33" t="s">
        <v>205</v>
      </c>
      <c r="O13" s="633"/>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899999999999999"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28" t="s">
        <v>135</v>
      </c>
      <c r="D16" s="628"/>
      <c r="E16" s="628"/>
      <c r="F16" s="628"/>
      <c r="G16" s="628"/>
      <c r="H16" s="628"/>
      <c r="I16" s="628"/>
      <c r="J16" s="628"/>
      <c r="K16" s="628"/>
      <c r="L16" s="628"/>
      <c r="M16" s="628"/>
      <c r="N16" s="628"/>
      <c r="O16" s="628"/>
      <c r="P16" s="483"/>
      <c r="Q16" s="481"/>
    </row>
    <row r="17" spans="1:18" ht="11.45"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22" t="s">
        <v>8</v>
      </c>
      <c r="D18" s="622"/>
      <c r="E18" s="624" t="str">
        <f>IFERROR(VLOOKUP(O15,تفصيلي!$B$6:$AW$205,29,FALSE),"")</f>
        <v/>
      </c>
      <c r="F18" s="624"/>
      <c r="G18" s="624"/>
      <c r="H18" s="624"/>
      <c r="I18" s="624"/>
      <c r="J18" s="624"/>
      <c r="K18" s="486" t="s">
        <v>38</v>
      </c>
      <c r="L18" s="626" t="str">
        <f>IFERROR(VLOOKUP(O15,تفصيلي!$B$6:$AW$205,31,FALSE),"")</f>
        <v/>
      </c>
      <c r="M18" s="626"/>
      <c r="N18" s="626"/>
      <c r="O18" s="626"/>
      <c r="P18" s="389"/>
      <c r="Q18" s="481"/>
    </row>
    <row r="19" spans="1:18" ht="24" customHeight="1">
      <c r="A19" s="119"/>
      <c r="B19" s="388"/>
      <c r="C19" s="622" t="s">
        <v>51</v>
      </c>
      <c r="D19" s="622"/>
      <c r="E19" s="624" t="str">
        <f>IFERROR(VLOOKUP(O15,تفصيلي!$B$6:$AW$205,30,FALSE),"")</f>
        <v/>
      </c>
      <c r="F19" s="624"/>
      <c r="G19" s="624"/>
      <c r="H19" s="624"/>
      <c r="I19" s="624"/>
      <c r="J19" s="624"/>
      <c r="K19" s="487" t="s">
        <v>136</v>
      </c>
      <c r="L19" s="625"/>
      <c r="M19" s="625"/>
      <c r="N19" s="625"/>
      <c r="O19" s="625"/>
      <c r="P19" s="389"/>
      <c r="Q19" s="481"/>
      <c r="R19" s="118">
        <f>LEN(L19)</f>
        <v>0</v>
      </c>
    </row>
    <row r="20" spans="1:18" ht="24" customHeight="1">
      <c r="A20" s="119"/>
      <c r="B20" s="388"/>
      <c r="C20" s="622" t="s">
        <v>9</v>
      </c>
      <c r="D20" s="622"/>
      <c r="E20" s="624" t="str">
        <f>IFERROR(VLOOKUP(O15,تفصيلي!$B$6:$AW$205,34,FALSE),"")</f>
        <v/>
      </c>
      <c r="F20" s="624"/>
      <c r="G20" s="624"/>
      <c r="H20" s="624"/>
      <c r="I20" s="624"/>
      <c r="J20" s="624"/>
      <c r="K20" s="486" t="s">
        <v>6</v>
      </c>
      <c r="L20" s="624" t="str">
        <f>IFERROR(VLOOKUP(O15,تفصيلي!$B$6:$AW$205,33,FALSE),"")</f>
        <v/>
      </c>
      <c r="M20" s="624"/>
      <c r="N20" s="624"/>
      <c r="O20" s="624"/>
      <c r="P20" s="389"/>
      <c r="Q20" s="481"/>
    </row>
    <row r="21" spans="1:18" ht="24" customHeight="1">
      <c r="A21" s="121"/>
      <c r="B21" s="388"/>
      <c r="C21" s="622" t="s">
        <v>203</v>
      </c>
      <c r="D21" s="622"/>
      <c r="E21" s="622"/>
      <c r="F21" s="622"/>
      <c r="G21" s="622"/>
      <c r="H21" s="622"/>
      <c r="I21" s="622"/>
      <c r="J21" s="622"/>
      <c r="K21" s="622"/>
      <c r="L21" s="488">
        <f>L7</f>
        <v>0</v>
      </c>
      <c r="M21" s="624" t="s">
        <v>202</v>
      </c>
      <c r="N21" s="624"/>
      <c r="O21" s="624"/>
      <c r="P21" s="389"/>
      <c r="Q21" s="481"/>
    </row>
    <row r="22" spans="1:18" ht="24" customHeight="1">
      <c r="A22" s="121"/>
      <c r="B22" s="388"/>
      <c r="C22" s="622" t="s">
        <v>49</v>
      </c>
      <c r="D22" s="622"/>
      <c r="E22" s="622"/>
      <c r="F22" s="624" t="e">
        <f>F8</f>
        <v>#N/A</v>
      </c>
      <c r="G22" s="624"/>
      <c r="H22" s="624"/>
      <c r="I22" s="624"/>
      <c r="J22" s="622" t="s">
        <v>50</v>
      </c>
      <c r="K22" s="622"/>
      <c r="L22" s="622"/>
      <c r="M22" s="622"/>
      <c r="N22" s="622"/>
      <c r="O22" s="622"/>
      <c r="P22" s="389"/>
      <c r="Q22" s="481"/>
    </row>
    <row r="23" spans="1:18" ht="111.6" customHeight="1">
      <c r="A23" s="117"/>
      <c r="B23" s="484"/>
      <c r="C23" s="629" t="s">
        <v>169</v>
      </c>
      <c r="D23" s="629"/>
      <c r="E23" s="629"/>
      <c r="F23" s="629"/>
      <c r="G23" s="629"/>
      <c r="H23" s="629"/>
      <c r="I23" s="629"/>
      <c r="J23" s="629"/>
      <c r="K23" s="629"/>
      <c r="L23" s="629"/>
      <c r="M23" s="629"/>
      <c r="N23" s="629"/>
      <c r="O23" s="629"/>
      <c r="P23" s="485"/>
      <c r="Q23" s="481"/>
    </row>
    <row r="24" spans="1:18" ht="51.6" customHeight="1">
      <c r="A24" s="117"/>
      <c r="B24" s="484"/>
      <c r="C24" s="635" t="s">
        <v>204</v>
      </c>
      <c r="D24" s="635"/>
      <c r="E24" s="637">
        <f>عقد!$E$7</f>
        <v>0</v>
      </c>
      <c r="F24" s="637"/>
      <c r="G24" s="637"/>
      <c r="H24" s="636" t="s">
        <v>57</v>
      </c>
      <c r="I24" s="636"/>
      <c r="J24" s="636"/>
      <c r="K24" s="636"/>
      <c r="L24" s="630" t="s">
        <v>10</v>
      </c>
      <c r="M24" s="630"/>
      <c r="N24" s="630"/>
      <c r="O24" s="630"/>
      <c r="P24" s="485"/>
      <c r="Q24" s="481"/>
    </row>
    <row r="25" spans="1:18" ht="24" customHeight="1">
      <c r="A25" s="117"/>
      <c r="B25" s="484"/>
      <c r="C25" s="480"/>
      <c r="D25" s="480"/>
      <c r="E25" s="480"/>
      <c r="F25" s="480"/>
      <c r="G25" s="480"/>
      <c r="H25" s="480"/>
      <c r="I25" s="480"/>
      <c r="J25" s="627"/>
      <c r="K25" s="627"/>
      <c r="L25" s="631"/>
      <c r="M25" s="632"/>
      <c r="N25" s="632"/>
      <c r="O25" s="632"/>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33" t="s">
        <v>646</v>
      </c>
      <c r="O27" s="633"/>
      <c r="P27" s="480"/>
      <c r="Q27" s="481"/>
    </row>
    <row r="28" spans="1:18" ht="19.899999999999999"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39" t="s">
        <v>135</v>
      </c>
      <c r="D29" s="639"/>
      <c r="E29" s="639"/>
      <c r="F29" s="639"/>
      <c r="G29" s="639"/>
      <c r="H29" s="639"/>
      <c r="I29" s="639"/>
      <c r="J29" s="639"/>
      <c r="K29" s="639"/>
      <c r="L29" s="639"/>
      <c r="M29" s="639"/>
      <c r="N29" s="639"/>
      <c r="O29" s="639"/>
      <c r="P29" s="495"/>
      <c r="Q29" s="493"/>
    </row>
    <row r="30" spans="1:18" ht="11.45"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0" t="s">
        <v>8</v>
      </c>
      <c r="D31" s="620"/>
      <c r="E31" s="621" t="str">
        <f>IFERROR(VLOOKUP(O28,تفصيلي!$B$6:$AW$205,35,FALSE),"")</f>
        <v/>
      </c>
      <c r="F31" s="621"/>
      <c r="G31" s="621"/>
      <c r="H31" s="621"/>
      <c r="I31" s="621"/>
      <c r="J31" s="621"/>
      <c r="K31" s="498" t="s">
        <v>38</v>
      </c>
      <c r="L31" s="638" t="str">
        <f>IFERROR(VLOOKUP(O28,تفصيلي!$B$6:$AW$205,37,FALSE),"")</f>
        <v/>
      </c>
      <c r="M31" s="638"/>
      <c r="N31" s="638"/>
      <c r="O31" s="638"/>
      <c r="P31" s="122"/>
      <c r="Q31" s="493"/>
    </row>
    <row r="32" spans="1:18" ht="24" customHeight="1">
      <c r="A32" s="119"/>
      <c r="B32" s="120"/>
      <c r="C32" s="620" t="s">
        <v>51</v>
      </c>
      <c r="D32" s="620"/>
      <c r="E32" s="621" t="str">
        <f>IFERROR(VLOOKUP(O28,تفصيلي!$B$6:$AW$205,36,FALSE),"")</f>
        <v/>
      </c>
      <c r="F32" s="621"/>
      <c r="G32" s="621"/>
      <c r="H32" s="621"/>
      <c r="I32" s="621"/>
      <c r="J32" s="621"/>
      <c r="K32" s="499" t="s">
        <v>136</v>
      </c>
      <c r="L32" s="623" t="str">
        <f>IFERROR(VLOOKUP(O28,تفصيلي!$B$6:$AW$205,38,FALSE),"")</f>
        <v/>
      </c>
      <c r="M32" s="623"/>
      <c r="N32" s="623"/>
      <c r="O32" s="623"/>
      <c r="P32" s="122"/>
      <c r="Q32" s="493"/>
    </row>
    <row r="33" spans="1:17" ht="24" customHeight="1">
      <c r="A33" s="119"/>
      <c r="B33" s="120"/>
      <c r="C33" s="620" t="s">
        <v>9</v>
      </c>
      <c r="D33" s="620"/>
      <c r="E33" s="621" t="str">
        <f>IFERROR(VLOOKUP(O28,تفصيلي!$B$6:$AW$205,40,FALSE),"")</f>
        <v/>
      </c>
      <c r="F33" s="621"/>
      <c r="G33" s="621"/>
      <c r="H33" s="621"/>
      <c r="I33" s="621"/>
      <c r="J33" s="621"/>
      <c r="K33" s="498" t="s">
        <v>6</v>
      </c>
      <c r="L33" s="621" t="str">
        <f>IFERROR(VLOOKUP(O28,تفصيلي!$B$6:$AW$205,39,FALSE),"")</f>
        <v/>
      </c>
      <c r="M33" s="621"/>
      <c r="N33" s="621"/>
      <c r="O33" s="621"/>
      <c r="P33" s="122"/>
      <c r="Q33" s="493"/>
    </row>
    <row r="34" spans="1:17" ht="24" customHeight="1">
      <c r="A34" s="121"/>
      <c r="B34" s="120"/>
      <c r="C34" s="620" t="s">
        <v>203</v>
      </c>
      <c r="D34" s="620"/>
      <c r="E34" s="620"/>
      <c r="F34" s="620"/>
      <c r="G34" s="620"/>
      <c r="H34" s="620"/>
      <c r="I34" s="620"/>
      <c r="J34" s="620"/>
      <c r="K34" s="620"/>
      <c r="L34" s="500">
        <f>L7</f>
        <v>0</v>
      </c>
      <c r="M34" s="621" t="s">
        <v>202</v>
      </c>
      <c r="N34" s="621"/>
      <c r="O34" s="621"/>
      <c r="P34" s="122"/>
      <c r="Q34" s="493"/>
    </row>
    <row r="35" spans="1:17" ht="24" customHeight="1">
      <c r="A35" s="121"/>
      <c r="B35" s="120"/>
      <c r="C35" s="620" t="s">
        <v>49</v>
      </c>
      <c r="D35" s="620"/>
      <c r="E35" s="620"/>
      <c r="F35" s="621" t="e">
        <f>F8</f>
        <v>#N/A</v>
      </c>
      <c r="G35" s="621"/>
      <c r="H35" s="621"/>
      <c r="I35" s="621"/>
      <c r="J35" s="620" t="s">
        <v>50</v>
      </c>
      <c r="K35" s="620"/>
      <c r="L35" s="620"/>
      <c r="M35" s="620"/>
      <c r="N35" s="620"/>
      <c r="O35" s="620"/>
      <c r="P35" s="122"/>
      <c r="Q35" s="493"/>
    </row>
    <row r="36" spans="1:17" ht="111.6" customHeight="1">
      <c r="A36" s="117"/>
      <c r="B36" s="496"/>
      <c r="C36" s="612" t="s">
        <v>169</v>
      </c>
      <c r="D36" s="612"/>
      <c r="E36" s="612"/>
      <c r="F36" s="612"/>
      <c r="G36" s="612"/>
      <c r="H36" s="612"/>
      <c r="I36" s="612"/>
      <c r="J36" s="612"/>
      <c r="K36" s="612"/>
      <c r="L36" s="612"/>
      <c r="M36" s="612"/>
      <c r="N36" s="612"/>
      <c r="O36" s="612"/>
      <c r="P36" s="497"/>
      <c r="Q36" s="493"/>
    </row>
    <row r="37" spans="1:17" ht="51.6" customHeight="1">
      <c r="A37" s="117"/>
      <c r="B37" s="496"/>
      <c r="C37" s="617" t="s">
        <v>204</v>
      </c>
      <c r="D37" s="617"/>
      <c r="E37" s="618">
        <f>عقد!$E$7</f>
        <v>0</v>
      </c>
      <c r="F37" s="618"/>
      <c r="G37" s="618"/>
      <c r="H37" s="619" t="s">
        <v>57</v>
      </c>
      <c r="I37" s="619"/>
      <c r="J37" s="619"/>
      <c r="K37" s="619"/>
      <c r="L37" s="613" t="s">
        <v>10</v>
      </c>
      <c r="M37" s="613"/>
      <c r="N37" s="613"/>
      <c r="O37" s="613"/>
      <c r="P37" s="497"/>
      <c r="Q37" s="493"/>
    </row>
    <row r="38" spans="1:17" ht="24" customHeight="1">
      <c r="A38" s="117"/>
      <c r="B38" s="496"/>
      <c r="C38" s="492"/>
      <c r="D38" s="492"/>
      <c r="E38" s="492"/>
      <c r="F38" s="492"/>
      <c r="G38" s="492"/>
      <c r="H38" s="492"/>
      <c r="I38" s="492"/>
      <c r="J38" s="614"/>
      <c r="K38" s="614"/>
      <c r="L38" s="615"/>
      <c r="M38" s="616"/>
      <c r="N38" s="616"/>
      <c r="O38" s="616"/>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34" t="s">
        <v>647</v>
      </c>
      <c r="O40" s="634"/>
      <c r="P40" s="492"/>
      <c r="Q40" s="493"/>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3"/>
      <c r="B1" s="133"/>
      <c r="C1" s="133"/>
      <c r="D1" s="133"/>
      <c r="E1" s="133"/>
      <c r="F1" s="133"/>
      <c r="G1" s="133"/>
      <c r="H1" s="133"/>
      <c r="I1" s="133"/>
      <c r="J1" s="134" t="s">
        <v>0</v>
      </c>
      <c r="K1" s="134">
        <f>عقد!M1</f>
        <v>0</v>
      </c>
      <c r="L1" s="133"/>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0.25">
      <c r="A4" s="3"/>
      <c r="B4" s="1"/>
      <c r="C4" s="647" t="s">
        <v>64</v>
      </c>
      <c r="D4" s="647"/>
      <c r="E4" s="647"/>
      <c r="F4" s="647"/>
      <c r="G4" s="647"/>
      <c r="H4" s="647"/>
      <c r="I4" s="647"/>
      <c r="J4" s="647"/>
      <c r="K4" s="647"/>
      <c r="L4" s="124"/>
    </row>
    <row r="5" spans="1:12" ht="20.25">
      <c r="A5" s="3"/>
      <c r="B5" s="1"/>
      <c r="C5" s="42"/>
      <c r="D5" s="42"/>
      <c r="E5" s="42"/>
      <c r="F5" s="42"/>
      <c r="G5" s="42"/>
      <c r="H5" s="42"/>
      <c r="I5" s="42"/>
      <c r="J5" s="42"/>
      <c r="K5" s="42"/>
      <c r="L5" s="124"/>
    </row>
    <row r="6" spans="1:12" s="130" customFormat="1" ht="20.45" customHeight="1">
      <c r="A6" s="3"/>
      <c r="B6" s="1"/>
      <c r="C6" s="648" t="s">
        <v>67</v>
      </c>
      <c r="D6" s="648"/>
      <c r="E6" s="170">
        <f>عقد!E7</f>
        <v>0</v>
      </c>
      <c r="F6" s="648" t="s">
        <v>66</v>
      </c>
      <c r="G6" s="648"/>
      <c r="H6" s="648"/>
      <c r="I6" s="648"/>
      <c r="J6" s="648"/>
      <c r="K6" s="648"/>
      <c r="L6" s="124"/>
    </row>
    <row r="7" spans="1:12" s="130" customFormat="1" ht="20.45" customHeight="1">
      <c r="A7" s="3"/>
      <c r="B7" s="1"/>
      <c r="C7" s="649" t="s">
        <v>655</v>
      </c>
      <c r="D7" s="649"/>
      <c r="E7" s="649"/>
      <c r="F7" s="649"/>
      <c r="G7" s="649"/>
      <c r="H7" s="649"/>
      <c r="I7" s="649"/>
      <c r="J7" s="649"/>
      <c r="K7" s="649"/>
      <c r="L7" s="124"/>
    </row>
    <row r="8" spans="1:12" s="130" customFormat="1" ht="20.45" customHeight="1">
      <c r="A8" s="43"/>
      <c r="B8" s="44"/>
      <c r="C8" s="128" t="s">
        <v>65</v>
      </c>
      <c r="D8" s="650" t="e">
        <f>عقد!C9</f>
        <v>#N/A</v>
      </c>
      <c r="E8" s="650"/>
      <c r="F8" s="650"/>
      <c r="G8" s="641" t="s">
        <v>56</v>
      </c>
      <c r="H8" s="641"/>
      <c r="I8" s="651" t="e">
        <f>عقد!C10</f>
        <v>#N/A</v>
      </c>
      <c r="J8" s="651"/>
      <c r="K8" s="651"/>
      <c r="L8" s="125"/>
    </row>
    <row r="9" spans="1:12" s="130" customFormat="1" ht="20.45" customHeight="1">
      <c r="A9" s="43"/>
      <c r="B9" s="44"/>
      <c r="C9" s="128" t="s">
        <v>1</v>
      </c>
      <c r="D9" s="642" t="e">
        <f>عقد!D13</f>
        <v>#N/A</v>
      </c>
      <c r="E9" s="642"/>
      <c r="F9" s="642"/>
      <c r="G9" s="642"/>
      <c r="H9" s="642"/>
      <c r="I9" s="642"/>
      <c r="J9" s="642"/>
      <c r="K9" s="642"/>
      <c r="L9" s="125"/>
    </row>
    <row r="10" spans="1:12" s="130" customFormat="1" ht="20.45" customHeight="1">
      <c r="A10" s="43"/>
      <c r="B10" s="44"/>
      <c r="C10" s="128" t="s">
        <v>645</v>
      </c>
      <c r="D10" s="642" t="e">
        <f>عقد!C11</f>
        <v>#N/A</v>
      </c>
      <c r="E10" s="642"/>
      <c r="F10" s="642"/>
      <c r="G10" s="642"/>
      <c r="H10" s="642"/>
      <c r="I10" s="129" t="s">
        <v>2</v>
      </c>
      <c r="J10" s="642" t="str">
        <f>عقد!I10</f>
        <v/>
      </c>
      <c r="K10" s="642"/>
      <c r="L10" s="125"/>
    </row>
    <row r="11" spans="1:12" s="130" customFormat="1" ht="20.45" customHeight="1">
      <c r="A11" s="43"/>
      <c r="B11" s="44"/>
      <c r="C11" s="643" t="str">
        <f>"اقر وأتعـــهد بموجب هذا السند بأن   "</f>
        <v xml:space="preserve">اقر وأتعـــهد بموجب هذا السند بأن   </v>
      </c>
      <c r="D11" s="643"/>
      <c r="E11" s="64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4"/>
      <c r="G11" s="644"/>
      <c r="H11" s="644"/>
      <c r="I11" s="644"/>
      <c r="J11" s="644"/>
      <c r="K11" s="644"/>
      <c r="L11" s="125"/>
    </row>
    <row r="12" spans="1:12" s="130" customFormat="1" ht="20.45" customHeight="1">
      <c r="A12" s="43"/>
      <c r="B12" s="44"/>
      <c r="C12" s="131" t="str">
        <f>"  الصعيد للتربية والتنمية  "&amp;" مبلغ "</f>
        <v xml:space="preserve">  الصعيد للتربية والتنمية   مبلغ </v>
      </c>
      <c r="D12" s="645" t="e">
        <f>عقد!C22&amp;عقد!E22&amp;عقد!F22</f>
        <v>#VALUE!</v>
      </c>
      <c r="E12" s="646"/>
      <c r="F12" s="646"/>
      <c r="G12" s="646"/>
      <c r="H12" s="646"/>
      <c r="I12" s="646"/>
      <c r="J12" s="646"/>
      <c r="K12" s="129" t="s">
        <v>68</v>
      </c>
      <c r="L12" s="125"/>
    </row>
    <row r="13" spans="1:12" s="130" customFormat="1" ht="20.45" customHeight="1">
      <c r="A13" s="43"/>
      <c r="B13" s="44"/>
      <c r="C13" s="171" t="str">
        <f>IFERROR(VLOOKUP(عقد!M1,تفصيلي!B6:T205,18,FALSE),"")</f>
        <v/>
      </c>
      <c r="D13" s="640" t="s">
        <v>172</v>
      </c>
      <c r="E13" s="640"/>
      <c r="F13" s="640"/>
      <c r="G13" s="640"/>
      <c r="H13" s="640"/>
      <c r="I13" s="640"/>
      <c r="J13" s="640"/>
      <c r="K13" s="640"/>
      <c r="L13" s="125"/>
    </row>
    <row r="14" spans="1:12" s="130" customFormat="1" ht="20.45" customHeight="1">
      <c r="A14" s="43"/>
      <c r="B14" s="44"/>
      <c r="C14" s="641" t="s">
        <v>69</v>
      </c>
      <c r="D14" s="641"/>
      <c r="E14" s="641"/>
      <c r="F14" s="641"/>
      <c r="G14" s="641"/>
      <c r="H14" s="641"/>
      <c r="I14" s="641"/>
      <c r="J14" s="641"/>
      <c r="K14" s="641"/>
      <c r="L14" s="125"/>
    </row>
    <row r="15" spans="1:12" s="130" customFormat="1" ht="20.45" customHeight="1">
      <c r="A15" s="43"/>
      <c r="B15" s="44"/>
      <c r="C15" s="641" t="s">
        <v>70</v>
      </c>
      <c r="D15" s="641"/>
      <c r="E15" s="641"/>
      <c r="F15" s="641"/>
      <c r="G15" s="641"/>
      <c r="H15" s="641"/>
      <c r="I15" s="641"/>
      <c r="J15" s="641"/>
      <c r="K15" s="641"/>
      <c r="L15" s="125"/>
    </row>
    <row r="16" spans="1:12" s="130" customFormat="1" ht="20.45" customHeight="1">
      <c r="A16" s="43"/>
      <c r="B16" s="44"/>
      <c r="C16" s="641" t="s">
        <v>71</v>
      </c>
      <c r="D16" s="641"/>
      <c r="E16" s="641"/>
      <c r="F16" s="641"/>
      <c r="G16" s="641"/>
      <c r="H16" s="641"/>
      <c r="I16" s="641"/>
      <c r="J16" s="641"/>
      <c r="K16" s="641"/>
      <c r="L16" s="125"/>
    </row>
    <row r="17" spans="1:12" ht="26.45" customHeight="1">
      <c r="A17" s="43"/>
      <c r="B17" s="44"/>
      <c r="C17" s="45"/>
      <c r="D17" s="45"/>
      <c r="E17" s="45"/>
      <c r="F17" s="45"/>
      <c r="G17" s="652" t="s">
        <v>3</v>
      </c>
      <c r="H17" s="652"/>
      <c r="I17" s="652"/>
      <c r="J17" s="652"/>
      <c r="K17" s="652"/>
      <c r="L17" s="125"/>
    </row>
    <row r="18" spans="1:12" ht="27" customHeight="1">
      <c r="A18" s="43"/>
      <c r="B18" s="44"/>
      <c r="C18" s="45"/>
      <c r="D18" s="45"/>
      <c r="E18" s="45"/>
      <c r="F18" s="653" t="s">
        <v>4</v>
      </c>
      <c r="G18" s="653"/>
      <c r="H18" s="653"/>
      <c r="I18" s="653"/>
      <c r="J18" s="653"/>
      <c r="K18" s="653"/>
      <c r="L18" s="125"/>
    </row>
    <row r="19" spans="1:12" ht="27" customHeight="1">
      <c r="A19" s="43"/>
      <c r="B19" s="44"/>
      <c r="C19" s="45"/>
      <c r="D19" s="45"/>
      <c r="E19" s="45"/>
      <c r="F19" s="653" t="s">
        <v>5</v>
      </c>
      <c r="G19" s="653"/>
      <c r="H19" s="653"/>
      <c r="I19" s="653"/>
      <c r="J19" s="653"/>
      <c r="K19" s="653"/>
      <c r="L19" s="125"/>
    </row>
    <row r="20" spans="1:12" ht="18">
      <c r="A20" s="43"/>
      <c r="B20" s="44"/>
      <c r="C20" s="45"/>
      <c r="D20" s="45"/>
      <c r="E20" s="45"/>
      <c r="F20" s="45"/>
      <c r="G20" s="45"/>
      <c r="H20" s="45"/>
      <c r="I20" s="45"/>
      <c r="J20" s="45"/>
      <c r="K20" s="45"/>
      <c r="L20" s="125"/>
    </row>
    <row r="21" spans="1:12" ht="18">
      <c r="A21" s="43"/>
      <c r="B21" s="88"/>
      <c r="C21" s="89"/>
      <c r="D21" s="89"/>
      <c r="E21" s="89"/>
      <c r="F21" s="89"/>
      <c r="G21" s="89"/>
      <c r="H21" s="89"/>
      <c r="I21" s="89"/>
      <c r="J21" s="89"/>
      <c r="K21" s="89"/>
      <c r="L21" s="126"/>
    </row>
    <row r="22" spans="1:12" ht="13.5" thickTop="1"/>
    <row r="23" spans="1:12" ht="24" customHeight="1"/>
    <row r="25" spans="1:12" ht="15.6" customHeight="1">
      <c r="A25" s="133"/>
      <c r="B25" s="133"/>
      <c r="C25" s="133"/>
      <c r="D25" s="133"/>
      <c r="E25" s="133"/>
      <c r="F25" s="133"/>
      <c r="G25" s="133"/>
      <c r="H25" s="133"/>
      <c r="I25" s="133"/>
      <c r="J25" s="134" t="s">
        <v>0</v>
      </c>
      <c r="K25" s="134">
        <f>K1</f>
        <v>0</v>
      </c>
      <c r="L25" s="133"/>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0.25">
      <c r="A28" s="3"/>
      <c r="B28" s="1"/>
      <c r="C28" s="647" t="s">
        <v>64</v>
      </c>
      <c r="D28" s="647"/>
      <c r="E28" s="647"/>
      <c r="F28" s="647"/>
      <c r="G28" s="647"/>
      <c r="H28" s="647"/>
      <c r="I28" s="647"/>
      <c r="J28" s="647"/>
      <c r="K28" s="647"/>
      <c r="L28" s="124"/>
    </row>
    <row r="29" spans="1:12" ht="20.25">
      <c r="A29" s="3"/>
      <c r="B29" s="1"/>
      <c r="C29" s="42"/>
      <c r="D29" s="42"/>
      <c r="E29" s="42"/>
      <c r="F29" s="42"/>
      <c r="G29" s="42"/>
      <c r="H29" s="42"/>
      <c r="I29" s="42"/>
      <c r="J29" s="42"/>
      <c r="K29" s="42"/>
      <c r="L29" s="124"/>
    </row>
    <row r="30" spans="1:12" s="130" customFormat="1" ht="20.45" customHeight="1">
      <c r="A30" s="3"/>
      <c r="B30" s="1"/>
      <c r="C30" s="648" t="s">
        <v>67</v>
      </c>
      <c r="D30" s="648"/>
      <c r="E30" s="170">
        <f>E6</f>
        <v>0</v>
      </c>
      <c r="F30" s="648" t="s">
        <v>66</v>
      </c>
      <c r="G30" s="648"/>
      <c r="H30" s="648"/>
      <c r="I30" s="648"/>
      <c r="J30" s="648"/>
      <c r="K30" s="648"/>
      <c r="L30" s="124"/>
    </row>
    <row r="31" spans="1:12" s="130" customFormat="1" ht="20.45" customHeight="1">
      <c r="A31" s="3"/>
      <c r="B31" s="1"/>
      <c r="C31" s="649" t="s">
        <v>655</v>
      </c>
      <c r="D31" s="649"/>
      <c r="E31" s="649"/>
      <c r="F31" s="649"/>
      <c r="G31" s="649"/>
      <c r="H31" s="649"/>
      <c r="I31" s="649"/>
      <c r="J31" s="649"/>
      <c r="K31" s="649"/>
      <c r="L31" s="124"/>
    </row>
    <row r="32" spans="1:12" s="130" customFormat="1" ht="20.45" customHeight="1">
      <c r="A32" s="43"/>
      <c r="B32" s="44"/>
      <c r="C32" s="128" t="s">
        <v>65</v>
      </c>
      <c r="D32" s="650" t="str">
        <f>IFERROR(VLOOKUP(K1,تفصيلي!$B$6:$AW$205,23,FALSE),"")</f>
        <v/>
      </c>
      <c r="E32" s="650"/>
      <c r="F32" s="650"/>
      <c r="G32" s="641" t="s">
        <v>56</v>
      </c>
      <c r="H32" s="641"/>
      <c r="I32" s="651" t="str">
        <f>IFERROR(VLOOKUP(K25,تفصيلي!$B$6:$AW$205,25,FALSE),"")</f>
        <v/>
      </c>
      <c r="J32" s="651"/>
      <c r="K32" s="651"/>
      <c r="L32" s="125"/>
    </row>
    <row r="33" spans="1:12" s="130" customFormat="1" ht="20.45" customHeight="1">
      <c r="A33" s="43"/>
      <c r="B33" s="44"/>
      <c r="C33" s="128" t="s">
        <v>1</v>
      </c>
      <c r="D33" s="642" t="str">
        <f>IFERROR(VLOOKUP(K25,تفصيلي!$B$6:$AW$205,24,FALSE),"")</f>
        <v/>
      </c>
      <c r="E33" s="642"/>
      <c r="F33" s="642"/>
      <c r="G33" s="642"/>
      <c r="H33" s="642"/>
      <c r="I33" s="642"/>
      <c r="J33" s="642"/>
      <c r="K33" s="642"/>
      <c r="L33" s="125"/>
    </row>
    <row r="34" spans="1:12" s="130" customFormat="1" ht="20.45" customHeight="1">
      <c r="A34" s="43"/>
      <c r="B34" s="44"/>
      <c r="C34" s="128" t="s">
        <v>645</v>
      </c>
      <c r="D34" s="642" t="str">
        <f>IFERROR(VLOOKUP(K25,تفصيلي!$B$6:$AW$205,28,FALSE),"")</f>
        <v/>
      </c>
      <c r="E34" s="642"/>
      <c r="F34" s="642"/>
      <c r="G34" s="642"/>
      <c r="H34" s="642"/>
      <c r="I34" s="129" t="s">
        <v>2</v>
      </c>
      <c r="J34" s="642" t="str">
        <f>IFERROR(VLOOKUP(K25,تفصيلي!$B$6:$AW$205,27,FALSE),"")</f>
        <v/>
      </c>
      <c r="K34" s="642"/>
      <c r="L34" s="125"/>
    </row>
    <row r="35" spans="1:12" s="130" customFormat="1" ht="20.45" customHeight="1">
      <c r="A35" s="43"/>
      <c r="B35" s="44"/>
      <c r="C35" s="643" t="str">
        <f>"اقر وأتعـــهد بموجب هذا السند بأن   "</f>
        <v xml:space="preserve">اقر وأتعـــهد بموجب هذا السند بأن   </v>
      </c>
      <c r="D35" s="643"/>
      <c r="E35" s="64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4"/>
      <c r="G35" s="644"/>
      <c r="H35" s="644"/>
      <c r="I35" s="644"/>
      <c r="J35" s="644"/>
      <c r="K35" s="644"/>
      <c r="L35" s="125"/>
    </row>
    <row r="36" spans="1:12" s="130" customFormat="1" ht="20.45" customHeight="1">
      <c r="A36" s="43"/>
      <c r="B36" s="44"/>
      <c r="C36" s="131" t="str">
        <f>"  الصعيد للتربية والتنمية  "&amp;" مبلغ "</f>
        <v xml:space="preserve">  الصعيد للتربية والتنمية   مبلغ </v>
      </c>
      <c r="D36" s="645" t="e">
        <f>D12</f>
        <v>#VALUE!</v>
      </c>
      <c r="E36" s="646"/>
      <c r="F36" s="646"/>
      <c r="G36" s="646"/>
      <c r="H36" s="646"/>
      <c r="I36" s="646"/>
      <c r="J36" s="646"/>
      <c r="K36" s="129" t="s">
        <v>68</v>
      </c>
      <c r="L36" s="125"/>
    </row>
    <row r="37" spans="1:12" s="130" customFormat="1" ht="20.45" customHeight="1">
      <c r="A37" s="43"/>
      <c r="B37" s="44"/>
      <c r="C37" s="171" t="str">
        <f>C13</f>
        <v/>
      </c>
      <c r="D37" s="640" t="s">
        <v>172</v>
      </c>
      <c r="E37" s="640"/>
      <c r="F37" s="640"/>
      <c r="G37" s="640"/>
      <c r="H37" s="640"/>
      <c r="I37" s="640"/>
      <c r="J37" s="640"/>
      <c r="K37" s="640"/>
      <c r="L37" s="125"/>
    </row>
    <row r="38" spans="1:12" s="130" customFormat="1" ht="20.45" customHeight="1">
      <c r="A38" s="43"/>
      <c r="B38" s="44"/>
      <c r="C38" s="641" t="s">
        <v>69</v>
      </c>
      <c r="D38" s="641"/>
      <c r="E38" s="641"/>
      <c r="F38" s="641"/>
      <c r="G38" s="641"/>
      <c r="H38" s="641"/>
      <c r="I38" s="641"/>
      <c r="J38" s="641"/>
      <c r="K38" s="641"/>
      <c r="L38" s="125"/>
    </row>
    <row r="39" spans="1:12" s="130" customFormat="1" ht="20.45" customHeight="1">
      <c r="A39" s="43"/>
      <c r="B39" s="44"/>
      <c r="C39" s="641" t="s">
        <v>70</v>
      </c>
      <c r="D39" s="641"/>
      <c r="E39" s="641"/>
      <c r="F39" s="641"/>
      <c r="G39" s="641"/>
      <c r="H39" s="641"/>
      <c r="I39" s="641"/>
      <c r="J39" s="641"/>
      <c r="K39" s="641"/>
      <c r="L39" s="125"/>
    </row>
    <row r="40" spans="1:12" s="130" customFormat="1" ht="20.45" customHeight="1">
      <c r="A40" s="43"/>
      <c r="B40" s="44"/>
      <c r="C40" s="641" t="s">
        <v>71</v>
      </c>
      <c r="D40" s="641"/>
      <c r="E40" s="641"/>
      <c r="F40" s="641"/>
      <c r="G40" s="641"/>
      <c r="H40" s="641"/>
      <c r="I40" s="641"/>
      <c r="J40" s="641"/>
      <c r="K40" s="641"/>
      <c r="L40" s="125"/>
    </row>
    <row r="41" spans="1:12" ht="26.45" customHeight="1">
      <c r="A41" s="43"/>
      <c r="B41" s="44"/>
      <c r="C41" s="45"/>
      <c r="D41" s="45"/>
      <c r="E41" s="45"/>
      <c r="F41" s="45"/>
      <c r="G41" s="652" t="s">
        <v>3</v>
      </c>
      <c r="H41" s="652"/>
      <c r="I41" s="652"/>
      <c r="J41" s="652"/>
      <c r="K41" s="652"/>
      <c r="L41" s="125"/>
    </row>
    <row r="42" spans="1:12" ht="27" customHeight="1">
      <c r="A42" s="43"/>
      <c r="B42" s="44"/>
      <c r="C42" s="45"/>
      <c r="D42" s="45"/>
      <c r="E42" s="45"/>
      <c r="F42" s="653" t="s">
        <v>4</v>
      </c>
      <c r="G42" s="653"/>
      <c r="H42" s="653"/>
      <c r="I42" s="653"/>
      <c r="J42" s="653"/>
      <c r="K42" s="653"/>
      <c r="L42" s="125"/>
    </row>
    <row r="43" spans="1:12" ht="27" customHeight="1">
      <c r="A43" s="43"/>
      <c r="B43" s="44"/>
      <c r="C43" s="45"/>
      <c r="D43" s="45"/>
      <c r="E43" s="45"/>
      <c r="F43" s="653" t="s">
        <v>5</v>
      </c>
      <c r="G43" s="653"/>
      <c r="H43" s="653"/>
      <c r="I43" s="653"/>
      <c r="J43" s="653"/>
      <c r="K43" s="653"/>
      <c r="L43" s="125"/>
    </row>
    <row r="44" spans="1:12" ht="18">
      <c r="A44" s="43"/>
      <c r="B44" s="44"/>
      <c r="C44" s="45"/>
      <c r="D44" s="45"/>
      <c r="E44" s="45"/>
      <c r="F44" s="45"/>
      <c r="G44" s="45"/>
      <c r="H44" s="45"/>
      <c r="I44" s="45"/>
      <c r="J44" s="45"/>
      <c r="K44" s="45"/>
      <c r="L44" s="125"/>
    </row>
    <row r="45" spans="1:12" ht="18.75" thickBot="1">
      <c r="A45" s="43"/>
      <c r="B45" s="88"/>
      <c r="C45" s="89"/>
      <c r="D45" s="89"/>
      <c r="E45" s="89"/>
      <c r="F45" s="89"/>
      <c r="G45" s="89"/>
      <c r="H45" s="89"/>
      <c r="I45" s="89"/>
      <c r="J45" s="89"/>
      <c r="K45" s="89"/>
      <c r="L45" s="126"/>
    </row>
    <row r="46" spans="1:12" ht="13.5" thickTop="1"/>
    <row r="47" spans="1:12" ht="24" customHeight="1"/>
    <row r="49" spans="1:12" ht="15.6" customHeight="1">
      <c r="A49" s="133"/>
      <c r="B49" s="133"/>
      <c r="C49" s="133"/>
      <c r="D49" s="133"/>
      <c r="E49" s="133"/>
      <c r="F49" s="133"/>
      <c r="G49" s="133"/>
      <c r="H49" s="133"/>
      <c r="I49" s="133"/>
      <c r="J49" s="134" t="s">
        <v>0</v>
      </c>
      <c r="K49" s="134">
        <f>K25</f>
        <v>0</v>
      </c>
      <c r="L49" s="133"/>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0.25">
      <c r="A52" s="3"/>
      <c r="B52" s="1"/>
      <c r="C52" s="647" t="s">
        <v>64</v>
      </c>
      <c r="D52" s="647"/>
      <c r="E52" s="647"/>
      <c r="F52" s="647"/>
      <c r="G52" s="647"/>
      <c r="H52" s="647"/>
      <c r="I52" s="647"/>
      <c r="J52" s="647"/>
      <c r="K52" s="647"/>
      <c r="L52" s="124"/>
    </row>
    <row r="53" spans="1:12" ht="20.25">
      <c r="A53" s="3"/>
      <c r="B53" s="1"/>
      <c r="C53" s="42"/>
      <c r="D53" s="42"/>
      <c r="E53" s="42"/>
      <c r="F53" s="42"/>
      <c r="G53" s="42"/>
      <c r="H53" s="42"/>
      <c r="I53" s="42"/>
      <c r="J53" s="42"/>
      <c r="K53" s="42"/>
      <c r="L53" s="124"/>
    </row>
    <row r="54" spans="1:12" s="130" customFormat="1" ht="20.45" customHeight="1">
      <c r="A54" s="3"/>
      <c r="B54" s="1"/>
      <c r="C54" s="648" t="s">
        <v>67</v>
      </c>
      <c r="D54" s="648"/>
      <c r="E54" s="170">
        <f>E30</f>
        <v>0</v>
      </c>
      <c r="F54" s="648" t="s">
        <v>66</v>
      </c>
      <c r="G54" s="648"/>
      <c r="H54" s="648"/>
      <c r="I54" s="648"/>
      <c r="J54" s="648"/>
      <c r="K54" s="648"/>
      <c r="L54" s="124"/>
    </row>
    <row r="55" spans="1:12" s="130" customFormat="1" ht="20.45" customHeight="1">
      <c r="A55" s="3"/>
      <c r="B55" s="1"/>
      <c r="C55" s="649" t="s">
        <v>655</v>
      </c>
      <c r="D55" s="649"/>
      <c r="E55" s="649"/>
      <c r="F55" s="649"/>
      <c r="G55" s="649"/>
      <c r="H55" s="649"/>
      <c r="I55" s="649"/>
      <c r="J55" s="649"/>
      <c r="K55" s="649"/>
      <c r="L55" s="124"/>
    </row>
    <row r="56" spans="1:12" s="130" customFormat="1" ht="20.45" customHeight="1">
      <c r="A56" s="43"/>
      <c r="B56" s="44"/>
      <c r="C56" s="128" t="s">
        <v>65</v>
      </c>
      <c r="D56" s="650" t="str">
        <f>IFERROR(VLOOKUP(K25,تفصيلي!$B$6:$AW$205,29,FALSE),"")</f>
        <v/>
      </c>
      <c r="E56" s="650"/>
      <c r="F56" s="650"/>
      <c r="G56" s="641" t="s">
        <v>56</v>
      </c>
      <c r="H56" s="641"/>
      <c r="I56" s="651" t="str">
        <f>IFERROR(VLOOKUP(K49,تفصيلي!$B$6:$AW$205,31,FALSE),"")</f>
        <v/>
      </c>
      <c r="J56" s="651"/>
      <c r="K56" s="651"/>
      <c r="L56" s="125"/>
    </row>
    <row r="57" spans="1:12" s="130" customFormat="1" ht="20.45" customHeight="1">
      <c r="A57" s="43"/>
      <c r="B57" s="44"/>
      <c r="C57" s="128" t="s">
        <v>1</v>
      </c>
      <c r="D57" s="642" t="str">
        <f>IFERROR(VLOOKUP(K49,تفصيلي!$B$6:$AW$205,30,FALSE),"")</f>
        <v/>
      </c>
      <c r="E57" s="642"/>
      <c r="F57" s="642"/>
      <c r="G57" s="642"/>
      <c r="H57" s="642"/>
      <c r="I57" s="642"/>
      <c r="J57" s="642"/>
      <c r="K57" s="642"/>
      <c r="L57" s="125"/>
    </row>
    <row r="58" spans="1:12" s="130" customFormat="1" ht="20.45" customHeight="1">
      <c r="A58" s="43"/>
      <c r="B58" s="44"/>
      <c r="C58" s="128" t="s">
        <v>645</v>
      </c>
      <c r="D58" s="642" t="str">
        <f>IFERROR(VLOOKUP(K49,تفصيلي!$B$6:$AW$205,34,FALSE),"")</f>
        <v/>
      </c>
      <c r="E58" s="642"/>
      <c r="F58" s="642"/>
      <c r="G58" s="642"/>
      <c r="H58" s="642"/>
      <c r="I58" s="129" t="s">
        <v>2</v>
      </c>
      <c r="J58" s="642" t="str">
        <f>IFERROR(VLOOKUP(K49,تفصيلي!$B$6:$AW$205,33,FALSE),"")</f>
        <v/>
      </c>
      <c r="K58" s="642"/>
      <c r="L58" s="125"/>
    </row>
    <row r="59" spans="1:12" s="130" customFormat="1" ht="20.45" customHeight="1">
      <c r="A59" s="43"/>
      <c r="B59" s="44"/>
      <c r="C59" s="643" t="str">
        <f>"اقر وأتعـــهد بموجب هذا السند بأن   "</f>
        <v xml:space="preserve">اقر وأتعـــهد بموجب هذا السند بأن   </v>
      </c>
      <c r="D59" s="643"/>
      <c r="E59" s="64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4"/>
      <c r="G59" s="644"/>
      <c r="H59" s="644"/>
      <c r="I59" s="644"/>
      <c r="J59" s="644"/>
      <c r="K59" s="644"/>
      <c r="L59" s="125"/>
    </row>
    <row r="60" spans="1:12" s="130" customFormat="1" ht="20.45" customHeight="1">
      <c r="A60" s="43"/>
      <c r="B60" s="44"/>
      <c r="C60" s="131" t="str">
        <f>"  الصعيد للتربية والتنمية  "&amp;" مبلغ "</f>
        <v xml:space="preserve">  الصعيد للتربية والتنمية   مبلغ </v>
      </c>
      <c r="D60" s="645" t="e">
        <f>D36</f>
        <v>#VALUE!</v>
      </c>
      <c r="E60" s="646"/>
      <c r="F60" s="646"/>
      <c r="G60" s="646"/>
      <c r="H60" s="646"/>
      <c r="I60" s="646"/>
      <c r="J60" s="646"/>
      <c r="K60" s="129" t="s">
        <v>68</v>
      </c>
      <c r="L60" s="125"/>
    </row>
    <row r="61" spans="1:12" s="130" customFormat="1" ht="20.45" customHeight="1">
      <c r="A61" s="43"/>
      <c r="B61" s="44"/>
      <c r="C61" s="171" t="str">
        <f>C37</f>
        <v/>
      </c>
      <c r="D61" s="640" t="s">
        <v>172</v>
      </c>
      <c r="E61" s="640"/>
      <c r="F61" s="640"/>
      <c r="G61" s="640"/>
      <c r="H61" s="640"/>
      <c r="I61" s="640"/>
      <c r="J61" s="640"/>
      <c r="K61" s="640"/>
      <c r="L61" s="125"/>
    </row>
    <row r="62" spans="1:12" s="130" customFormat="1" ht="20.45" customHeight="1">
      <c r="A62" s="43"/>
      <c r="B62" s="44"/>
      <c r="C62" s="641" t="s">
        <v>69</v>
      </c>
      <c r="D62" s="641"/>
      <c r="E62" s="641"/>
      <c r="F62" s="641"/>
      <c r="G62" s="641"/>
      <c r="H62" s="641"/>
      <c r="I62" s="641"/>
      <c r="J62" s="641"/>
      <c r="K62" s="641"/>
      <c r="L62" s="125"/>
    </row>
    <row r="63" spans="1:12" s="130" customFormat="1" ht="20.45" customHeight="1">
      <c r="A63" s="43"/>
      <c r="B63" s="44"/>
      <c r="C63" s="641" t="s">
        <v>70</v>
      </c>
      <c r="D63" s="641"/>
      <c r="E63" s="641"/>
      <c r="F63" s="641"/>
      <c r="G63" s="641"/>
      <c r="H63" s="641"/>
      <c r="I63" s="641"/>
      <c r="J63" s="641"/>
      <c r="K63" s="641"/>
      <c r="L63" s="125"/>
    </row>
    <row r="64" spans="1:12" s="130" customFormat="1" ht="20.45" customHeight="1">
      <c r="A64" s="43"/>
      <c r="B64" s="44"/>
      <c r="C64" s="641" t="s">
        <v>71</v>
      </c>
      <c r="D64" s="641"/>
      <c r="E64" s="641"/>
      <c r="F64" s="641"/>
      <c r="G64" s="641"/>
      <c r="H64" s="641"/>
      <c r="I64" s="641"/>
      <c r="J64" s="641"/>
      <c r="K64" s="641"/>
      <c r="L64" s="125"/>
    </row>
    <row r="65" spans="1:12" ht="26.45" customHeight="1">
      <c r="A65" s="43"/>
      <c r="B65" s="44"/>
      <c r="C65" s="45"/>
      <c r="D65" s="45"/>
      <c r="E65" s="45"/>
      <c r="F65" s="45"/>
      <c r="G65" s="652" t="s">
        <v>3</v>
      </c>
      <c r="H65" s="652"/>
      <c r="I65" s="652"/>
      <c r="J65" s="652"/>
      <c r="K65" s="652"/>
      <c r="L65" s="125"/>
    </row>
    <row r="66" spans="1:12" ht="27" customHeight="1">
      <c r="A66" s="43"/>
      <c r="B66" s="44"/>
      <c r="C66" s="45"/>
      <c r="D66" s="45"/>
      <c r="E66" s="45"/>
      <c r="F66" s="653" t="s">
        <v>4</v>
      </c>
      <c r="G66" s="653"/>
      <c r="H66" s="653"/>
      <c r="I66" s="653"/>
      <c r="J66" s="653"/>
      <c r="K66" s="653"/>
      <c r="L66" s="125"/>
    </row>
    <row r="67" spans="1:12" ht="27" customHeight="1">
      <c r="A67" s="43"/>
      <c r="B67" s="44"/>
      <c r="C67" s="45"/>
      <c r="D67" s="45"/>
      <c r="E67" s="45"/>
      <c r="F67" s="653" t="s">
        <v>5</v>
      </c>
      <c r="G67" s="653"/>
      <c r="H67" s="653"/>
      <c r="I67" s="653"/>
      <c r="J67" s="653"/>
      <c r="K67" s="653"/>
      <c r="L67" s="125"/>
    </row>
    <row r="68" spans="1:12" ht="18">
      <c r="A68" s="43"/>
      <c r="B68" s="44"/>
      <c r="C68" s="45"/>
      <c r="D68" s="45"/>
      <c r="E68" s="45"/>
      <c r="F68" s="45"/>
      <c r="G68" s="45"/>
      <c r="H68" s="45"/>
      <c r="I68" s="45"/>
      <c r="J68" s="45"/>
      <c r="K68" s="45"/>
      <c r="L68" s="125"/>
    </row>
    <row r="69" spans="1:12" ht="18.75" thickBot="1">
      <c r="A69" s="43"/>
      <c r="B69" s="88"/>
      <c r="C69" s="89"/>
      <c r="D69" s="89"/>
      <c r="E69" s="89"/>
      <c r="F69" s="89"/>
      <c r="G69" s="89"/>
      <c r="H69" s="89"/>
      <c r="I69" s="89"/>
      <c r="J69" s="89"/>
      <c r="K69" s="89"/>
      <c r="L69" s="126"/>
    </row>
    <row r="70" spans="1:12" ht="13.5" thickTop="1"/>
    <row r="71" spans="1:12" ht="24" customHeight="1"/>
    <row r="74" spans="1:12" ht="15.6" customHeight="1">
      <c r="A74" s="133"/>
      <c r="B74" s="133"/>
      <c r="C74" s="133"/>
      <c r="D74" s="133"/>
      <c r="E74" s="133"/>
      <c r="F74" s="133"/>
      <c r="G74" s="133"/>
      <c r="H74" s="133"/>
      <c r="I74" s="133"/>
      <c r="J74" s="134" t="s">
        <v>0</v>
      </c>
      <c r="K74" s="134">
        <f>K49</f>
        <v>0</v>
      </c>
      <c r="L74" s="133"/>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0.25">
      <c r="A77" s="3"/>
      <c r="B77" s="1"/>
      <c r="C77" s="647" t="s">
        <v>64</v>
      </c>
      <c r="D77" s="647"/>
      <c r="E77" s="647"/>
      <c r="F77" s="647"/>
      <c r="G77" s="647"/>
      <c r="H77" s="647"/>
      <c r="I77" s="647"/>
      <c r="J77" s="647"/>
      <c r="K77" s="647"/>
      <c r="L77" s="124"/>
    </row>
    <row r="78" spans="1:12" ht="20.25">
      <c r="A78" s="3"/>
      <c r="B78" s="1"/>
      <c r="C78" s="42"/>
      <c r="D78" s="42"/>
      <c r="E78" s="42"/>
      <c r="F78" s="42"/>
      <c r="G78" s="42"/>
      <c r="H78" s="42"/>
      <c r="I78" s="42"/>
      <c r="J78" s="42"/>
      <c r="K78" s="42"/>
      <c r="L78" s="124"/>
    </row>
    <row r="79" spans="1:12" s="130" customFormat="1" ht="20.45" customHeight="1">
      <c r="A79" s="3"/>
      <c r="B79" s="1"/>
      <c r="C79" s="648" t="s">
        <v>67</v>
      </c>
      <c r="D79" s="648"/>
      <c r="E79" s="170">
        <f>E6</f>
        <v>0</v>
      </c>
      <c r="F79" s="648" t="s">
        <v>66</v>
      </c>
      <c r="G79" s="648"/>
      <c r="H79" s="648"/>
      <c r="I79" s="648"/>
      <c r="J79" s="648"/>
      <c r="K79" s="648"/>
      <c r="L79" s="124"/>
    </row>
    <row r="80" spans="1:12" s="130" customFormat="1" ht="20.45" customHeight="1">
      <c r="A80" s="3"/>
      <c r="B80" s="1"/>
      <c r="C80" s="649" t="s">
        <v>655</v>
      </c>
      <c r="D80" s="649"/>
      <c r="E80" s="649"/>
      <c r="F80" s="649"/>
      <c r="G80" s="649"/>
      <c r="H80" s="649"/>
      <c r="I80" s="649"/>
      <c r="J80" s="649"/>
      <c r="K80" s="649"/>
      <c r="L80" s="124"/>
    </row>
    <row r="81" spans="1:12" s="130" customFormat="1" ht="20.45" customHeight="1">
      <c r="A81" s="43"/>
      <c r="B81" s="44"/>
      <c r="C81" s="128" t="s">
        <v>65</v>
      </c>
      <c r="D81" s="650" t="str">
        <f>IFERROR(VLOOKUP(K74,تفصيلي!$B$6:$AW$205,35,FALSE),"")</f>
        <v/>
      </c>
      <c r="E81" s="650"/>
      <c r="F81" s="650"/>
      <c r="G81" s="641" t="s">
        <v>56</v>
      </c>
      <c r="H81" s="641"/>
      <c r="I81" s="651" t="str">
        <f>IFERROR(VLOOKUP(K74,تفصيلي!$B$6:$AW$205,37,FALSE),"")</f>
        <v/>
      </c>
      <c r="J81" s="651"/>
      <c r="K81" s="651"/>
      <c r="L81" s="125"/>
    </row>
    <row r="82" spans="1:12" s="130" customFormat="1" ht="20.45" customHeight="1">
      <c r="A82" s="43"/>
      <c r="B82" s="44"/>
      <c r="C82" s="128" t="s">
        <v>1</v>
      </c>
      <c r="D82" s="642" t="str">
        <f>IFERROR(VLOOKUP(K74,تفصيلي!$B$6:$AW$205,36,FALSE),"")</f>
        <v/>
      </c>
      <c r="E82" s="642"/>
      <c r="F82" s="642"/>
      <c r="G82" s="642"/>
      <c r="H82" s="642"/>
      <c r="I82" s="642"/>
      <c r="J82" s="642"/>
      <c r="K82" s="642"/>
      <c r="L82" s="125"/>
    </row>
    <row r="83" spans="1:12" s="130" customFormat="1" ht="20.45" customHeight="1">
      <c r="A83" s="43"/>
      <c r="B83" s="44"/>
      <c r="C83" s="128" t="s">
        <v>645</v>
      </c>
      <c r="D83" s="642" t="str">
        <f>IFERROR(VLOOKUP(K74,تفصيلي!$B$6:$AW$205,40,FALSE),"")</f>
        <v/>
      </c>
      <c r="E83" s="642"/>
      <c r="F83" s="642"/>
      <c r="G83" s="642"/>
      <c r="H83" s="642"/>
      <c r="I83" s="129" t="s">
        <v>2</v>
      </c>
      <c r="J83" s="642" t="str">
        <f>IFERROR(VLOOKUP(K74,تفصيلي!$B$6:$AW$205,39,FALSE),"")</f>
        <v/>
      </c>
      <c r="K83" s="642"/>
      <c r="L83" s="125"/>
    </row>
    <row r="84" spans="1:12" s="130" customFormat="1" ht="20.45" customHeight="1">
      <c r="A84" s="43"/>
      <c r="B84" s="44"/>
      <c r="C84" s="643" t="str">
        <f>"اقر وأتعـــهد بموجب هذا السند بأن   "</f>
        <v xml:space="preserve">اقر وأتعـــهد بموجب هذا السند بأن   </v>
      </c>
      <c r="D84" s="643"/>
      <c r="E84" s="64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4"/>
      <c r="G84" s="644"/>
      <c r="H84" s="644"/>
      <c r="I84" s="644"/>
      <c r="J84" s="644"/>
      <c r="K84" s="644"/>
      <c r="L84" s="125"/>
    </row>
    <row r="85" spans="1:12" s="130" customFormat="1" ht="20.45" customHeight="1">
      <c r="A85" s="43"/>
      <c r="B85" s="44"/>
      <c r="C85" s="131" t="str">
        <f>"  الصعيد للتربية والتنمية  "&amp;" مبلغ "</f>
        <v xml:space="preserve">  الصعيد للتربية والتنمية   مبلغ </v>
      </c>
      <c r="D85" s="645" t="e">
        <f>D12</f>
        <v>#VALUE!</v>
      </c>
      <c r="E85" s="646"/>
      <c r="F85" s="646"/>
      <c r="G85" s="646"/>
      <c r="H85" s="646"/>
      <c r="I85" s="646"/>
      <c r="J85" s="646"/>
      <c r="K85" s="129" t="s">
        <v>68</v>
      </c>
      <c r="L85" s="125"/>
    </row>
    <row r="86" spans="1:12" s="130" customFormat="1" ht="20.45" customHeight="1">
      <c r="A86" s="43"/>
      <c r="B86" s="44"/>
      <c r="C86" s="171" t="str">
        <f>C13</f>
        <v/>
      </c>
      <c r="D86" s="640" t="s">
        <v>172</v>
      </c>
      <c r="E86" s="640"/>
      <c r="F86" s="640"/>
      <c r="G86" s="640"/>
      <c r="H86" s="640"/>
      <c r="I86" s="640"/>
      <c r="J86" s="640"/>
      <c r="K86" s="640"/>
      <c r="L86" s="125"/>
    </row>
    <row r="87" spans="1:12" s="130" customFormat="1" ht="20.45" customHeight="1">
      <c r="A87" s="43"/>
      <c r="B87" s="44"/>
      <c r="C87" s="641" t="s">
        <v>69</v>
      </c>
      <c r="D87" s="641"/>
      <c r="E87" s="641"/>
      <c r="F87" s="641"/>
      <c r="G87" s="641"/>
      <c r="H87" s="641"/>
      <c r="I87" s="641"/>
      <c r="J87" s="641"/>
      <c r="K87" s="641"/>
      <c r="L87" s="125"/>
    </row>
    <row r="88" spans="1:12" s="130" customFormat="1" ht="20.45" customHeight="1">
      <c r="A88" s="43"/>
      <c r="B88" s="44"/>
      <c r="C88" s="641" t="s">
        <v>70</v>
      </c>
      <c r="D88" s="641"/>
      <c r="E88" s="641"/>
      <c r="F88" s="641"/>
      <c r="G88" s="641"/>
      <c r="H88" s="641"/>
      <c r="I88" s="641"/>
      <c r="J88" s="641"/>
      <c r="K88" s="641"/>
      <c r="L88" s="125"/>
    </row>
    <row r="89" spans="1:12" s="130" customFormat="1" ht="20.45" customHeight="1">
      <c r="A89" s="43"/>
      <c r="B89" s="44"/>
      <c r="C89" s="641" t="s">
        <v>71</v>
      </c>
      <c r="D89" s="641"/>
      <c r="E89" s="641"/>
      <c r="F89" s="641"/>
      <c r="G89" s="641"/>
      <c r="H89" s="641"/>
      <c r="I89" s="641"/>
      <c r="J89" s="641"/>
      <c r="K89" s="641"/>
      <c r="L89" s="125"/>
    </row>
    <row r="90" spans="1:12" ht="26.45" customHeight="1">
      <c r="A90" s="43"/>
      <c r="B90" s="44"/>
      <c r="C90" s="45"/>
      <c r="D90" s="45"/>
      <c r="E90" s="45"/>
      <c r="F90" s="45"/>
      <c r="G90" s="652" t="s">
        <v>3</v>
      </c>
      <c r="H90" s="652"/>
      <c r="I90" s="652"/>
      <c r="J90" s="652"/>
      <c r="K90" s="652"/>
      <c r="L90" s="125"/>
    </row>
    <row r="91" spans="1:12" ht="27" customHeight="1">
      <c r="A91" s="43"/>
      <c r="B91" s="44"/>
      <c r="C91" s="45"/>
      <c r="D91" s="45"/>
      <c r="E91" s="45"/>
      <c r="F91" s="653" t="s">
        <v>4</v>
      </c>
      <c r="G91" s="653"/>
      <c r="H91" s="653"/>
      <c r="I91" s="653"/>
      <c r="J91" s="653"/>
      <c r="K91" s="653"/>
      <c r="L91" s="125"/>
    </row>
    <row r="92" spans="1:12" ht="27" customHeight="1">
      <c r="A92" s="43"/>
      <c r="B92" s="44"/>
      <c r="C92" s="45"/>
      <c r="D92" s="45"/>
      <c r="E92" s="45"/>
      <c r="F92" s="653" t="s">
        <v>5</v>
      </c>
      <c r="G92" s="653"/>
      <c r="H92" s="653"/>
      <c r="I92" s="653"/>
      <c r="J92" s="653"/>
      <c r="K92" s="653"/>
      <c r="L92" s="125"/>
    </row>
    <row r="93" spans="1:12" ht="18">
      <c r="A93" s="43"/>
      <c r="B93" s="44"/>
      <c r="C93" s="45"/>
      <c r="D93" s="45"/>
      <c r="E93" s="45"/>
      <c r="F93" s="45"/>
      <c r="G93" s="45"/>
      <c r="H93" s="45"/>
      <c r="I93" s="45"/>
      <c r="J93" s="45"/>
      <c r="K93" s="45"/>
      <c r="L93" s="125"/>
    </row>
    <row r="94" spans="1:12" ht="18.75" thickBot="1">
      <c r="A94" s="43"/>
      <c r="B94" s="88"/>
      <c r="C94" s="89"/>
      <c r="D94" s="89"/>
      <c r="E94" s="89"/>
      <c r="F94" s="89"/>
      <c r="G94" s="89"/>
      <c r="H94" s="89"/>
      <c r="I94" s="89"/>
      <c r="J94" s="89"/>
      <c r="K94" s="89"/>
      <c r="L94" s="126"/>
    </row>
    <row r="95" spans="1:12" ht="13.5"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S7" sqref="S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3"/>
      <c r="B1" s="133"/>
      <c r="C1" s="133"/>
      <c r="D1" s="133"/>
      <c r="E1" s="133"/>
      <c r="F1" s="133"/>
      <c r="G1" s="133"/>
      <c r="H1" s="133"/>
      <c r="I1" s="133"/>
      <c r="J1" s="470" t="s">
        <v>0</v>
      </c>
      <c r="K1" s="470">
        <f>عقد!M1</f>
        <v>0</v>
      </c>
      <c r="L1" s="133"/>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25">
      <c r="A4" s="3"/>
      <c r="B4" s="1"/>
      <c r="C4" s="658" t="s">
        <v>173</v>
      </c>
      <c r="D4" s="658"/>
      <c r="E4" s="658"/>
      <c r="F4" s="658"/>
      <c r="G4" s="658"/>
      <c r="H4" s="658"/>
      <c r="I4" s="658"/>
      <c r="J4" s="658"/>
      <c r="K4" s="658"/>
      <c r="L4" s="124"/>
      <c r="M4" s="467"/>
    </row>
    <row r="5" spans="1:13" ht="20.25">
      <c r="A5" s="3"/>
      <c r="B5" s="1"/>
      <c r="C5" s="468"/>
      <c r="D5" s="468"/>
      <c r="E5" s="468"/>
      <c r="F5" s="468"/>
      <c r="G5" s="468"/>
      <c r="H5" s="468"/>
      <c r="I5" s="468"/>
      <c r="J5" s="468"/>
      <c r="K5" s="468"/>
      <c r="L5" s="124"/>
      <c r="M5" s="467"/>
    </row>
    <row r="6" spans="1:13" s="130" customFormat="1" ht="20.45" customHeight="1">
      <c r="A6" s="3"/>
      <c r="B6" s="1"/>
      <c r="C6" s="649" t="e">
        <f>+" أقر أنا الموقع أدناه / "&amp;عقد!$C$9</f>
        <v>#N/A</v>
      </c>
      <c r="D6" s="649"/>
      <c r="E6" s="649"/>
      <c r="F6" s="649"/>
      <c r="G6" s="649"/>
      <c r="H6" s="132" t="s">
        <v>721</v>
      </c>
      <c r="I6" s="132"/>
      <c r="J6" s="132"/>
      <c r="K6" s="132"/>
      <c r="L6" s="124"/>
      <c r="M6" s="469"/>
    </row>
    <row r="7" spans="1:13" s="130" customFormat="1" ht="170.45" customHeight="1">
      <c r="A7" s="3"/>
      <c r="B7" s="1"/>
      <c r="C7" s="659" t="s">
        <v>722</v>
      </c>
      <c r="D7" s="649"/>
      <c r="E7" s="649"/>
      <c r="F7" s="649"/>
      <c r="G7" s="649"/>
      <c r="H7" s="649"/>
      <c r="I7" s="649"/>
      <c r="J7" s="649"/>
      <c r="K7" s="649"/>
      <c r="L7" s="124"/>
      <c r="M7" s="469"/>
    </row>
    <row r="8" spans="1:13" ht="26.45" customHeight="1">
      <c r="A8" s="43"/>
      <c r="B8" s="44"/>
      <c r="C8" s="138" t="s">
        <v>204</v>
      </c>
      <c r="D8" s="654">
        <f>عقد!$E$7</f>
        <v>0</v>
      </c>
      <c r="E8" s="654"/>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8">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15"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5" customHeight="1">
      <c r="A15" s="3"/>
      <c r="B15" s="1"/>
      <c r="C15" s="657" t="s">
        <v>174</v>
      </c>
      <c r="D15" s="658"/>
      <c r="E15" s="658"/>
      <c r="F15" s="658"/>
      <c r="G15" s="658"/>
      <c r="H15" s="658"/>
      <c r="I15" s="658"/>
      <c r="J15" s="658"/>
      <c r="K15" s="658"/>
      <c r="L15" s="124"/>
      <c r="M15" s="467"/>
    </row>
    <row r="16" spans="1:13" ht="20.25">
      <c r="A16" s="3"/>
      <c r="B16" s="1"/>
      <c r="C16" s="468"/>
      <c r="D16" s="468"/>
      <c r="E16" s="468"/>
      <c r="F16" s="468"/>
      <c r="G16" s="468"/>
      <c r="H16" s="468"/>
      <c r="I16" s="468"/>
      <c r="J16" s="468"/>
      <c r="K16" s="468"/>
      <c r="L16" s="124"/>
      <c r="M16" s="467"/>
    </row>
    <row r="17" spans="1:13" s="130" customFormat="1" ht="20.45" customHeight="1">
      <c r="A17" s="3"/>
      <c r="B17" s="1"/>
      <c r="C17" s="649" t="e">
        <f>+" أقر أنا الموقع أدناه / "&amp;عقد!$C$9</f>
        <v>#N/A</v>
      </c>
      <c r="D17" s="649"/>
      <c r="E17" s="649"/>
      <c r="F17" s="649"/>
      <c r="G17" s="661" t="s">
        <v>56</v>
      </c>
      <c r="H17" s="661"/>
      <c r="I17" s="660" t="e">
        <f>عقد!$C$10</f>
        <v>#N/A</v>
      </c>
      <c r="J17" s="660"/>
      <c r="K17" s="660"/>
      <c r="L17" s="124"/>
      <c r="M17" s="469"/>
    </row>
    <row r="18" spans="1:13" s="130" customFormat="1" ht="20.45" customHeight="1">
      <c r="A18" s="3"/>
      <c r="B18" s="1"/>
      <c r="C18" s="648" t="s">
        <v>206</v>
      </c>
      <c r="D18" s="648"/>
      <c r="E18" s="648"/>
      <c r="F18" s="662" t="str">
        <f>عقد!$L$14</f>
        <v/>
      </c>
      <c r="G18" s="662"/>
      <c r="H18" s="662"/>
      <c r="I18" s="132"/>
      <c r="J18" s="132"/>
      <c r="K18" s="132"/>
      <c r="L18" s="124"/>
      <c r="M18" s="469"/>
    </row>
    <row r="19" spans="1:13" s="130" customFormat="1" ht="186" customHeight="1">
      <c r="A19" s="3"/>
      <c r="B19" s="1"/>
      <c r="C19" s="655" t="s">
        <v>175</v>
      </c>
      <c r="D19" s="656"/>
      <c r="E19" s="656"/>
      <c r="F19" s="656"/>
      <c r="G19" s="656"/>
      <c r="H19" s="656"/>
      <c r="I19" s="656"/>
      <c r="J19" s="656"/>
      <c r="K19" s="656"/>
      <c r="L19" s="124"/>
      <c r="M19" s="469"/>
    </row>
    <row r="20" spans="1:13" ht="26.45" customHeight="1">
      <c r="A20" s="43"/>
      <c r="B20" s="44"/>
      <c r="C20" s="138" t="s">
        <v>204</v>
      </c>
      <c r="D20" s="654">
        <f>عقد!E7</f>
        <v>0</v>
      </c>
      <c r="E20" s="654"/>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8">
      <c r="A22" s="43"/>
      <c r="B22" s="44"/>
      <c r="C22" s="45"/>
      <c r="D22" s="45"/>
      <c r="E22" s="45"/>
      <c r="F22" s="45"/>
      <c r="G22" s="45"/>
      <c r="H22" s="45"/>
      <c r="I22" s="45"/>
      <c r="J22" s="45"/>
      <c r="K22" s="45"/>
      <c r="L22" s="125"/>
      <c r="M22" s="467"/>
    </row>
    <row r="23" spans="1:13" ht="61.15" customHeight="1" thickBot="1">
      <c r="A23" s="43"/>
      <c r="B23" s="88"/>
      <c r="C23" s="89"/>
      <c r="D23" s="89"/>
      <c r="E23" s="89"/>
      <c r="F23" s="89"/>
      <c r="G23" s="89"/>
      <c r="H23" s="89"/>
      <c r="I23" s="89"/>
      <c r="J23" s="89"/>
      <c r="K23" s="89"/>
      <c r="L23" s="126"/>
      <c r="M23" s="467"/>
    </row>
    <row r="24" spans="1:13" ht="13.5"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9"/>
      <c r="Q10" s="140" t="str">
        <f>"كود: "&amp;عقد!M1</f>
        <v>كود: 0</v>
      </c>
    </row>
    <row r="11" spans="2:17" ht="50.25">
      <c r="C11" s="113"/>
      <c r="D11" s="113"/>
      <c r="E11" s="113"/>
      <c r="F11" s="113"/>
      <c r="G11" s="113"/>
      <c r="H11" s="113"/>
      <c r="I11" s="113"/>
      <c r="J11" s="667" t="s">
        <v>120</v>
      </c>
      <c r="K11" s="667"/>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471"/>
      <c r="C13" s="503" t="s">
        <v>8</v>
      </c>
      <c r="D13" s="668" t="e">
        <f>عقد!C9</f>
        <v>#N/A</v>
      </c>
      <c r="E13" s="668"/>
      <c r="F13" s="668"/>
      <c r="G13" s="668"/>
      <c r="H13" s="668"/>
      <c r="I13" s="668"/>
      <c r="J13" s="668"/>
      <c r="K13" s="668"/>
      <c r="L13" s="504"/>
      <c r="M13" s="504"/>
      <c r="N13" s="505" t="s">
        <v>121</v>
      </c>
      <c r="O13" s="505"/>
      <c r="P13" s="505" t="s">
        <v>122</v>
      </c>
      <c r="Q13" s="506"/>
    </row>
    <row r="14" spans="2:17" ht="49.5">
      <c r="B14" s="471"/>
      <c r="C14" s="504" t="s">
        <v>123</v>
      </c>
      <c r="D14" s="504"/>
      <c r="E14" s="504"/>
      <c r="F14" s="504"/>
      <c r="G14" s="504"/>
      <c r="H14" s="669" t="e">
        <f>عقد!C10</f>
        <v>#N/A</v>
      </c>
      <c r="I14" s="669"/>
      <c r="J14" s="669"/>
      <c r="K14" s="669"/>
      <c r="L14" s="669"/>
      <c r="M14" s="669"/>
      <c r="N14" s="669"/>
      <c r="O14" s="669"/>
      <c r="P14" s="670"/>
      <c r="Q14" s="506"/>
    </row>
    <row r="15" spans="2:17" ht="70.900000000000006" customHeight="1">
      <c r="B15" s="471"/>
      <c r="C15" s="508" t="s">
        <v>648</v>
      </c>
      <c r="D15" s="671" t="e">
        <f>عقد!C11</f>
        <v>#N/A</v>
      </c>
      <c r="E15" s="671"/>
      <c r="F15" s="671"/>
      <c r="G15" s="671"/>
      <c r="H15" s="671"/>
      <c r="I15" s="671"/>
      <c r="J15" s="671"/>
      <c r="K15" s="671"/>
      <c r="L15" s="671"/>
      <c r="M15" s="671"/>
      <c r="N15" s="671"/>
      <c r="O15" s="671"/>
      <c r="P15" s="671"/>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25">
      <c r="B18" s="471"/>
      <c r="C18" s="508" t="s">
        <v>125</v>
      </c>
      <c r="D18" s="663">
        <f>عقد!E7</f>
        <v>0</v>
      </c>
      <c r="E18" s="663"/>
      <c r="F18" s="663"/>
      <c r="G18" s="509"/>
      <c r="H18" s="509"/>
      <c r="I18" s="509"/>
      <c r="J18" s="509"/>
      <c r="K18" s="509"/>
      <c r="L18" s="507"/>
      <c r="M18" s="507"/>
      <c r="N18" s="507"/>
      <c r="O18" s="507"/>
      <c r="P18" s="507"/>
      <c r="Q18" s="507"/>
    </row>
    <row r="19" spans="2:23" ht="34.5" customHeight="1">
      <c r="B19" s="471"/>
      <c r="C19" s="664" t="s">
        <v>126</v>
      </c>
      <c r="D19" s="664"/>
      <c r="E19" s="664"/>
      <c r="F19" s="664"/>
      <c r="G19" s="664"/>
      <c r="H19" s="664"/>
      <c r="I19" s="664"/>
      <c r="J19" s="664"/>
      <c r="K19" s="664"/>
      <c r="L19" s="664"/>
      <c r="M19" s="664"/>
      <c r="N19" s="664"/>
      <c r="O19" s="664"/>
      <c r="P19" s="664"/>
      <c r="Q19" s="664"/>
    </row>
    <row r="20" spans="2:23" ht="34.5" customHeight="1">
      <c r="B20" s="471"/>
      <c r="C20" s="664"/>
      <c r="D20" s="664"/>
      <c r="E20" s="664"/>
      <c r="F20" s="664"/>
      <c r="G20" s="664"/>
      <c r="H20" s="664"/>
      <c r="I20" s="664"/>
      <c r="J20" s="664"/>
      <c r="K20" s="664"/>
      <c r="L20" s="664"/>
      <c r="M20" s="664"/>
      <c r="N20" s="664"/>
      <c r="O20" s="664"/>
      <c r="P20" s="664"/>
      <c r="Q20" s="664"/>
    </row>
    <row r="21" spans="2:23" ht="111" customHeight="1">
      <c r="B21" s="471"/>
      <c r="C21" s="664"/>
      <c r="D21" s="664"/>
      <c r="E21" s="664"/>
      <c r="F21" s="664"/>
      <c r="G21" s="664"/>
      <c r="H21" s="664"/>
      <c r="I21" s="664"/>
      <c r="J21" s="664"/>
      <c r="K21" s="664"/>
      <c r="L21" s="664"/>
      <c r="M21" s="664"/>
      <c r="N21" s="664"/>
      <c r="O21" s="664"/>
      <c r="P21" s="664"/>
      <c r="Q21" s="664"/>
    </row>
    <row r="22" spans="2:23" ht="49.5">
      <c r="B22" s="471"/>
      <c r="C22" s="505" t="s">
        <v>127</v>
      </c>
      <c r="D22" s="505"/>
      <c r="E22" s="505"/>
      <c r="F22" s="505"/>
      <c r="G22" s="505"/>
      <c r="H22" s="505"/>
      <c r="I22" s="505"/>
      <c r="J22" s="505"/>
      <c r="K22" s="505"/>
      <c r="L22" s="505"/>
      <c r="M22" s="505"/>
      <c r="N22" s="505"/>
      <c r="O22" s="505"/>
      <c r="P22" s="505"/>
      <c r="Q22" s="505"/>
    </row>
    <row r="23" spans="2:23" ht="49.5">
      <c r="B23" s="471"/>
      <c r="C23" s="472"/>
      <c r="D23" s="472"/>
      <c r="E23" s="472"/>
      <c r="F23" s="472"/>
      <c r="G23" s="472"/>
      <c r="H23" s="472"/>
      <c r="I23" s="472"/>
      <c r="J23" s="472"/>
      <c r="K23" s="472"/>
      <c r="L23" s="472"/>
      <c r="M23" s="472"/>
      <c r="N23" s="472"/>
      <c r="O23" s="472"/>
      <c r="P23" s="472"/>
      <c r="Q23" s="472"/>
    </row>
    <row r="24" spans="2:23" ht="49.5">
      <c r="B24" s="471"/>
      <c r="C24" s="472"/>
      <c r="D24" s="472"/>
      <c r="E24" s="472"/>
      <c r="F24" s="472"/>
      <c r="G24" s="472"/>
      <c r="H24" s="472"/>
      <c r="I24" s="472"/>
      <c r="J24" s="472"/>
      <c r="K24" s="472"/>
      <c r="L24" s="472"/>
      <c r="M24" s="472"/>
      <c r="N24" s="472"/>
      <c r="O24" s="472"/>
      <c r="P24" s="473"/>
      <c r="Q24" s="472"/>
    </row>
    <row r="25" spans="2:23" ht="49.5">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5">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5" t="s">
        <v>132</v>
      </c>
      <c r="C31" s="665"/>
      <c r="D31" s="665"/>
      <c r="E31" s="665"/>
      <c r="F31" s="665"/>
      <c r="G31" s="665"/>
      <c r="H31" s="665"/>
      <c r="I31" s="665"/>
      <c r="J31" s="665"/>
      <c r="K31" s="665"/>
      <c r="L31" s="665"/>
      <c r="M31" s="665"/>
      <c r="N31" s="665"/>
      <c r="O31" s="665"/>
      <c r="P31" s="665"/>
      <c r="Q31" s="665"/>
    </row>
    <row r="32" spans="2:23" ht="20.25" customHeight="1">
      <c r="B32" s="665"/>
      <c r="C32" s="665"/>
      <c r="D32" s="665"/>
      <c r="E32" s="665"/>
      <c r="F32" s="665"/>
      <c r="G32" s="665"/>
      <c r="H32" s="665"/>
      <c r="I32" s="665"/>
      <c r="J32" s="665"/>
      <c r="K32" s="665"/>
      <c r="L32" s="665"/>
      <c r="M32" s="665"/>
      <c r="N32" s="665"/>
      <c r="O32" s="665"/>
      <c r="P32" s="665"/>
      <c r="Q32" s="665"/>
    </row>
    <row r="33" spans="2:17" ht="20.25" customHeight="1">
      <c r="B33" s="665"/>
      <c r="C33" s="665"/>
      <c r="D33" s="665"/>
      <c r="E33" s="665"/>
      <c r="F33" s="665"/>
      <c r="G33" s="665"/>
      <c r="H33" s="665"/>
      <c r="I33" s="665"/>
      <c r="J33" s="665"/>
      <c r="K33" s="665"/>
      <c r="L33" s="665"/>
      <c r="M33" s="665"/>
      <c r="N33" s="665"/>
      <c r="O33" s="665"/>
      <c r="P33" s="665"/>
      <c r="Q33" s="665"/>
    </row>
    <row r="34" spans="2:17" ht="20.25" customHeight="1">
      <c r="B34" s="665"/>
      <c r="C34" s="665"/>
      <c r="D34" s="665"/>
      <c r="E34" s="665"/>
      <c r="F34" s="665"/>
      <c r="G34" s="665"/>
      <c r="H34" s="665"/>
      <c r="I34" s="665"/>
      <c r="J34" s="665"/>
      <c r="K34" s="665"/>
      <c r="L34" s="665"/>
      <c r="M34" s="665"/>
      <c r="N34" s="665"/>
      <c r="O34" s="665"/>
      <c r="P34" s="665"/>
      <c r="Q34" s="665"/>
    </row>
    <row r="35" spans="2:17" ht="20.25" customHeight="1">
      <c r="B35" s="665"/>
      <c r="C35" s="665"/>
      <c r="D35" s="665"/>
      <c r="E35" s="665"/>
      <c r="F35" s="665"/>
      <c r="G35" s="665"/>
      <c r="H35" s="665"/>
      <c r="I35" s="665"/>
      <c r="J35" s="665"/>
      <c r="K35" s="665"/>
      <c r="L35" s="665"/>
      <c r="M35" s="665"/>
      <c r="N35" s="665"/>
      <c r="O35" s="665"/>
      <c r="P35" s="665"/>
      <c r="Q35" s="665"/>
    </row>
    <row r="36" spans="2:17" ht="49.5">
      <c r="B36" s="472"/>
      <c r="C36" s="472"/>
      <c r="D36" s="472"/>
      <c r="E36" s="472"/>
      <c r="F36" s="472"/>
      <c r="G36" s="472"/>
      <c r="H36" s="472"/>
      <c r="I36" s="472"/>
      <c r="J36" s="472"/>
      <c r="K36" s="472"/>
      <c r="L36" s="472"/>
      <c r="M36" s="472"/>
      <c r="N36" s="472"/>
      <c r="O36" s="472"/>
      <c r="P36" s="472"/>
      <c r="Q36" s="472"/>
    </row>
    <row r="37" spans="2:17" ht="49.5">
      <c r="B37" s="472"/>
      <c r="C37" s="472"/>
      <c r="D37" s="472"/>
      <c r="E37" s="472"/>
      <c r="F37" s="472"/>
      <c r="G37" s="472"/>
      <c r="H37" s="472"/>
      <c r="I37" s="472"/>
      <c r="J37" s="472"/>
      <c r="K37" s="472"/>
      <c r="L37" s="472"/>
      <c r="M37" s="472"/>
      <c r="N37" s="472"/>
      <c r="O37" s="472"/>
      <c r="P37" s="472"/>
      <c r="Q37" s="472"/>
    </row>
    <row r="38" spans="2:17" ht="49.5">
      <c r="B38" s="472"/>
      <c r="C38" s="472"/>
      <c r="D38" s="472"/>
      <c r="E38" s="472"/>
      <c r="F38" s="472"/>
      <c r="G38" s="472"/>
      <c r="H38" s="472"/>
      <c r="I38" s="472"/>
      <c r="J38" s="472"/>
      <c r="K38" s="472"/>
      <c r="L38" s="472"/>
      <c r="M38" s="472"/>
      <c r="N38" s="472"/>
      <c r="O38" s="472"/>
      <c r="P38" s="472"/>
      <c r="Q38" s="472"/>
    </row>
    <row r="39" spans="2:17" ht="49.5">
      <c r="B39" s="472"/>
      <c r="C39" s="472"/>
      <c r="D39" s="472"/>
      <c r="E39" s="472"/>
      <c r="F39" s="472"/>
      <c r="G39" s="472"/>
      <c r="H39" s="472"/>
      <c r="I39" s="472"/>
      <c r="J39" s="472"/>
      <c r="K39" s="472"/>
      <c r="L39" s="472"/>
      <c r="M39" s="472"/>
      <c r="N39" s="472"/>
      <c r="O39" s="473" t="s">
        <v>128</v>
      </c>
      <c r="P39" s="473"/>
      <c r="Q39" s="472"/>
    </row>
    <row r="40" spans="2:17" ht="49.5">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5">
      <c r="B43" s="472"/>
      <c r="C43" s="472"/>
      <c r="D43" s="472"/>
      <c r="E43" s="472"/>
      <c r="F43" s="472"/>
      <c r="G43" s="472"/>
      <c r="H43" s="472"/>
      <c r="I43" s="472"/>
      <c r="J43" s="472"/>
      <c r="K43" s="472"/>
      <c r="L43" s="472"/>
      <c r="M43" s="472"/>
      <c r="N43" s="472"/>
      <c r="O43" s="472"/>
      <c r="P43" s="472"/>
      <c r="Q43" s="472"/>
    </row>
    <row r="44" spans="2:17" ht="49.5">
      <c r="B44" s="472"/>
      <c r="C44" s="472"/>
      <c r="D44" s="472"/>
      <c r="E44" s="472"/>
      <c r="F44" s="472"/>
      <c r="G44" s="472"/>
      <c r="H44" s="472"/>
      <c r="I44" s="472"/>
      <c r="J44" s="472"/>
      <c r="K44" s="472"/>
      <c r="L44" s="472"/>
      <c r="M44" s="472"/>
      <c r="N44" s="472"/>
      <c r="O44" s="472"/>
      <c r="P44" s="472"/>
      <c r="Q44" s="472"/>
    </row>
    <row r="45" spans="2:17" ht="49.5">
      <c r="B45" s="472"/>
      <c r="C45" s="472"/>
      <c r="D45" s="472"/>
      <c r="E45" s="472"/>
      <c r="F45" s="472"/>
      <c r="G45" s="472"/>
      <c r="H45" s="472"/>
      <c r="I45" s="472"/>
      <c r="J45" s="472"/>
      <c r="K45" s="472"/>
      <c r="L45" s="472"/>
      <c r="M45" s="472"/>
      <c r="N45" s="472"/>
      <c r="O45" s="472"/>
      <c r="P45" s="472"/>
      <c r="Q45" s="472"/>
    </row>
    <row r="46" spans="2:17" ht="49.5">
      <c r="B46" s="472"/>
      <c r="C46" s="473" t="s">
        <v>125</v>
      </c>
      <c r="D46" s="666">
        <f>D18</f>
        <v>0</v>
      </c>
      <c r="E46" s="666"/>
      <c r="F46" s="666"/>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1" t="s">
        <v>77</v>
      </c>
      <c r="E2" s="90">
        <v>0</v>
      </c>
    </row>
    <row r="3" spans="2:6" ht="17.45" customHeight="1" thickBot="1">
      <c r="B3" s="142" t="s">
        <v>208</v>
      </c>
    </row>
    <row r="4" spans="2:6" ht="18.75">
      <c r="B4" s="680" t="s">
        <v>207</v>
      </c>
      <c r="C4" s="681"/>
      <c r="D4" s="681"/>
      <c r="E4" s="681"/>
      <c r="F4" s="682"/>
    </row>
    <row r="5" spans="2:6" ht="19.5" thickBot="1">
      <c r="B5" s="683" t="s">
        <v>78</v>
      </c>
      <c r="C5" s="684"/>
      <c r="D5" s="684"/>
      <c r="E5" s="684"/>
      <c r="F5" s="685"/>
    </row>
    <row r="6" spans="2:6" ht="15" customHeight="1" thickBot="1">
      <c r="B6" s="92" t="s">
        <v>79</v>
      </c>
      <c r="C6" s="686" t="s">
        <v>210</v>
      </c>
      <c r="D6" s="687"/>
      <c r="E6" s="687"/>
      <c r="F6" s="688"/>
    </row>
    <row r="7" spans="2:6" ht="15" customHeight="1" thickBot="1">
      <c r="B7" s="92" t="s">
        <v>80</v>
      </c>
      <c r="C7" s="689" t="s">
        <v>81</v>
      </c>
      <c r="D7" s="690"/>
      <c r="E7" s="690"/>
      <c r="F7" s="691"/>
    </row>
    <row r="8" spans="2:6" ht="15" customHeight="1" thickBot="1">
      <c r="B8" s="93" t="s">
        <v>82</v>
      </c>
      <c r="C8" s="692" t="str">
        <f>عقد!I21</f>
        <v/>
      </c>
      <c r="D8" s="693"/>
      <c r="E8" s="94" t="s">
        <v>83</v>
      </c>
      <c r="F8" s="95" t="s">
        <v>84</v>
      </c>
    </row>
    <row r="9" spans="2:6" ht="15" customHeight="1">
      <c r="B9" s="96" t="s">
        <v>85</v>
      </c>
      <c r="C9" s="672" t="e">
        <f>C8-C11</f>
        <v>#VALUE!</v>
      </c>
      <c r="D9" s="673"/>
      <c r="E9" s="676" t="s">
        <v>83</v>
      </c>
      <c r="F9" s="678"/>
    </row>
    <row r="10" spans="2:6" ht="15" customHeight="1" thickBot="1">
      <c r="B10" s="97" t="s">
        <v>86</v>
      </c>
      <c r="C10" s="674"/>
      <c r="D10" s="675"/>
      <c r="E10" s="677"/>
      <c r="F10" s="679"/>
    </row>
    <row r="11" spans="2:6" ht="15" customHeight="1">
      <c r="B11" s="96" t="s">
        <v>87</v>
      </c>
      <c r="C11" s="672" t="str">
        <f>IFERROR(VLOOKUP(عقد!M1,تفصيلي!$B$6:$AW$205,22,FALSE),"")</f>
        <v/>
      </c>
      <c r="D11" s="673"/>
      <c r="E11" s="676" t="s">
        <v>83</v>
      </c>
      <c r="F11" s="694" t="s">
        <v>84</v>
      </c>
    </row>
    <row r="12" spans="2:6" ht="15" customHeight="1" thickBot="1">
      <c r="B12" s="97" t="s">
        <v>88</v>
      </c>
      <c r="C12" s="674"/>
      <c r="D12" s="675"/>
      <c r="E12" s="677"/>
      <c r="F12" s="695"/>
    </row>
    <row r="13" spans="2:6" ht="15" customHeight="1" thickBot="1">
      <c r="B13" s="696" t="s">
        <v>89</v>
      </c>
      <c r="C13" s="697"/>
      <c r="D13" s="697"/>
      <c r="E13" s="698"/>
      <c r="F13" s="98"/>
    </row>
    <row r="14" spans="2:6" ht="15" customHeight="1" thickBot="1">
      <c r="B14" s="92" t="s">
        <v>90</v>
      </c>
      <c r="C14" s="689"/>
      <c r="D14" s="690"/>
      <c r="E14" s="691"/>
      <c r="F14" s="678"/>
    </row>
    <row r="15" spans="2:6" ht="15" customHeight="1" thickBot="1">
      <c r="B15" s="92" t="s">
        <v>91</v>
      </c>
      <c r="C15" s="689"/>
      <c r="D15" s="690"/>
      <c r="E15" s="691"/>
      <c r="F15" s="699"/>
    </row>
    <row r="16" spans="2:6" ht="15" customHeight="1">
      <c r="B16" s="100" t="s">
        <v>92</v>
      </c>
      <c r="C16" s="700"/>
      <c r="D16" s="701"/>
      <c r="E16" s="702"/>
      <c r="F16" s="699"/>
    </row>
    <row r="17" spans="2:12" ht="15" customHeight="1" thickBot="1">
      <c r="B17" s="97" t="s">
        <v>93</v>
      </c>
      <c r="C17" s="703"/>
      <c r="D17" s="704"/>
      <c r="E17" s="705"/>
      <c r="F17" s="699"/>
    </row>
    <row r="18" spans="2:12" ht="15" customHeight="1">
      <c r="B18" s="100" t="s">
        <v>94</v>
      </c>
      <c r="C18" s="700"/>
      <c r="D18" s="701"/>
      <c r="E18" s="702"/>
      <c r="F18" s="699"/>
    </row>
    <row r="19" spans="2:12" ht="15" customHeight="1" thickBot="1">
      <c r="B19" s="97" t="s">
        <v>95</v>
      </c>
      <c r="C19" s="703"/>
      <c r="D19" s="704"/>
      <c r="E19" s="705"/>
      <c r="F19" s="699"/>
    </row>
    <row r="20" spans="2:12" ht="15" customHeight="1">
      <c r="B20" s="101" t="s">
        <v>96</v>
      </c>
      <c r="C20" s="700"/>
      <c r="D20" s="701"/>
      <c r="E20" s="702"/>
      <c r="F20" s="699"/>
    </row>
    <row r="21" spans="2:12" ht="15" customHeight="1" thickBot="1">
      <c r="B21" s="102" t="s">
        <v>97</v>
      </c>
      <c r="C21" s="703"/>
      <c r="D21" s="704"/>
      <c r="E21" s="705"/>
      <c r="F21" s="679"/>
    </row>
    <row r="22" spans="2:12" ht="15.6" customHeight="1" thickBot="1">
      <c r="B22" s="696" t="s">
        <v>98</v>
      </c>
      <c r="C22" s="697"/>
      <c r="D22" s="697"/>
      <c r="E22" s="698"/>
      <c r="F22" s="98"/>
    </row>
    <row r="23" spans="2:12" ht="15.6" customHeight="1">
      <c r="B23" s="101" t="s">
        <v>99</v>
      </c>
      <c r="C23" s="707" t="s">
        <v>209</v>
      </c>
      <c r="D23" s="708"/>
      <c r="E23" s="709"/>
      <c r="F23" s="678"/>
      <c r="H23" s="103"/>
    </row>
    <row r="24" spans="2:12" ht="15.6" customHeight="1" thickBot="1">
      <c r="B24" s="97" t="s">
        <v>100</v>
      </c>
      <c r="C24" s="710"/>
      <c r="D24" s="711"/>
      <c r="E24" s="712"/>
      <c r="F24" s="699"/>
      <c r="H24" s="103"/>
    </row>
    <row r="25" spans="2:12" ht="15.6" customHeight="1" thickBot="1">
      <c r="B25" s="93" t="s">
        <v>101</v>
      </c>
      <c r="C25" s="689"/>
      <c r="D25" s="690"/>
      <c r="E25" s="691"/>
      <c r="F25" s="699"/>
      <c r="H25" s="104"/>
      <c r="I25" s="104"/>
      <c r="J25" s="104"/>
    </row>
    <row r="26" spans="2:12" ht="15.6" customHeight="1" thickBot="1">
      <c r="B26" s="105" t="s">
        <v>102</v>
      </c>
      <c r="C26" s="689"/>
      <c r="D26" s="690"/>
      <c r="E26" s="691"/>
      <c r="F26" s="699"/>
      <c r="H26" s="106"/>
      <c r="I26" s="106"/>
      <c r="J26" s="106"/>
    </row>
    <row r="27" spans="2:12" ht="15.6" customHeight="1" thickBot="1">
      <c r="B27" s="93" t="s">
        <v>103</v>
      </c>
      <c r="C27" s="689"/>
      <c r="D27" s="690"/>
      <c r="E27" s="691"/>
      <c r="F27" s="679"/>
    </row>
    <row r="28" spans="2:12" ht="15.6" customHeight="1" thickBot="1">
      <c r="B28" s="696" t="s">
        <v>104</v>
      </c>
      <c r="C28" s="697"/>
      <c r="D28" s="697"/>
      <c r="E28" s="698"/>
      <c r="F28" s="107">
        <f>SUM(C23:E27)</f>
        <v>0</v>
      </c>
      <c r="H28" s="106"/>
      <c r="I28" s="106"/>
      <c r="J28" s="106"/>
    </row>
    <row r="29" spans="2:12" ht="15.6" customHeight="1" thickBot="1">
      <c r="B29" s="716" t="s">
        <v>105</v>
      </c>
      <c r="C29" s="717"/>
      <c r="D29" s="717"/>
      <c r="E29" s="718"/>
      <c r="F29" s="143">
        <v>2.1999999999999999E-2</v>
      </c>
      <c r="I29" s="108"/>
      <c r="J29" s="104"/>
      <c r="L29" s="104"/>
    </row>
    <row r="30" spans="2:12" ht="15.6" customHeight="1" thickBot="1">
      <c r="B30" s="713" t="s">
        <v>106</v>
      </c>
      <c r="C30" s="714"/>
      <c r="D30" s="714"/>
      <c r="E30" s="715"/>
      <c r="F30" s="98" t="s">
        <v>656</v>
      </c>
    </row>
    <row r="31" spans="2:12" ht="15.6" customHeight="1">
      <c r="B31" s="109" t="s">
        <v>107</v>
      </c>
      <c r="C31" s="682" t="s">
        <v>108</v>
      </c>
      <c r="D31" s="110" t="s">
        <v>109</v>
      </c>
      <c r="E31" s="694" t="s">
        <v>110</v>
      </c>
      <c r="F31" s="706"/>
    </row>
    <row r="32" spans="2:12" ht="15.6" customHeight="1" thickBot="1">
      <c r="B32" s="109" t="s">
        <v>111</v>
      </c>
      <c r="C32" s="685"/>
      <c r="D32" s="91" t="s">
        <v>112</v>
      </c>
      <c r="E32" s="695"/>
      <c r="F32" s="679"/>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713" t="s">
        <v>116</v>
      </c>
      <c r="C34" s="714"/>
      <c r="D34" s="714"/>
      <c r="E34" s="715"/>
      <c r="F34" s="145"/>
    </row>
    <row r="36" spans="2:10">
      <c r="B36" s="112" t="s">
        <v>117</v>
      </c>
      <c r="C36" s="112" t="s">
        <v>118</v>
      </c>
      <c r="D36" s="112"/>
      <c r="E36" s="112"/>
      <c r="F36" s="112" t="s">
        <v>119</v>
      </c>
    </row>
    <row r="37" spans="2:10">
      <c r="B37" s="47" t="s">
        <v>656</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5546875" defaultRowHeight="15"/>
  <cols>
    <col min="1" max="2" width="19.7109375" style="274" customWidth="1"/>
    <col min="3" max="3" width="15.7109375" style="275" customWidth="1"/>
    <col min="4" max="4" width="17.42578125" style="276" customWidth="1"/>
    <col min="5" max="6" width="17.42578125" style="277" customWidth="1"/>
    <col min="7" max="7" width="16.7109375" style="277" customWidth="1"/>
    <col min="8" max="8" width="20.140625" style="277" customWidth="1"/>
    <col min="9" max="16384" width="8.85546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75" thickBot="1">
      <c r="A8" s="288" t="s">
        <v>640</v>
      </c>
      <c r="B8" s="288">
        <v>6000</v>
      </c>
      <c r="C8" s="289">
        <v>10</v>
      </c>
      <c r="D8" s="290">
        <v>0.21</v>
      </c>
      <c r="E8" s="291">
        <v>1060</v>
      </c>
      <c r="F8" s="291">
        <v>7060</v>
      </c>
      <c r="G8" s="291">
        <v>150</v>
      </c>
      <c r="H8" s="291">
        <v>691</v>
      </c>
      <c r="I8" s="292" t="str">
        <f t="shared" si="0"/>
        <v>GooD</v>
      </c>
    </row>
    <row r="9" spans="1:9" ht="15.7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75" thickBot="1">
      <c r="A13" s="288" t="s">
        <v>640</v>
      </c>
      <c r="B13" s="288">
        <v>6500</v>
      </c>
      <c r="C13" s="289">
        <v>10</v>
      </c>
      <c r="D13" s="290">
        <v>0.21</v>
      </c>
      <c r="E13" s="291">
        <v>1143</v>
      </c>
      <c r="F13" s="291">
        <v>7643</v>
      </c>
      <c r="G13" s="291">
        <v>163</v>
      </c>
      <c r="H13" s="291">
        <v>748</v>
      </c>
      <c r="I13" s="292" t="str">
        <f t="shared" si="0"/>
        <v>GooD</v>
      </c>
    </row>
    <row r="14" spans="1:9" ht="15.7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75" thickBot="1">
      <c r="A18" s="288" t="s">
        <v>640</v>
      </c>
      <c r="B18" s="288">
        <v>7000</v>
      </c>
      <c r="C18" s="289">
        <v>10</v>
      </c>
      <c r="D18" s="290">
        <v>0.21</v>
      </c>
      <c r="E18" s="291">
        <v>1235</v>
      </c>
      <c r="F18" s="291">
        <v>8235</v>
      </c>
      <c r="G18" s="291">
        <v>175</v>
      </c>
      <c r="H18" s="291">
        <v>806</v>
      </c>
      <c r="I18" s="292" t="str">
        <f t="shared" si="0"/>
        <v>GooD</v>
      </c>
    </row>
    <row r="19" spans="1:9" ht="15.7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75" thickBot="1">
      <c r="A23" s="288" t="s">
        <v>640</v>
      </c>
      <c r="B23" s="288">
        <v>7500</v>
      </c>
      <c r="C23" s="289">
        <v>10</v>
      </c>
      <c r="D23" s="290">
        <v>0.21</v>
      </c>
      <c r="E23" s="291">
        <v>1318</v>
      </c>
      <c r="F23" s="291">
        <v>8818</v>
      </c>
      <c r="G23" s="291">
        <v>188</v>
      </c>
      <c r="H23" s="291">
        <v>863</v>
      </c>
      <c r="I23" s="292" t="str">
        <f t="shared" si="0"/>
        <v>GooD</v>
      </c>
    </row>
    <row r="24" spans="1:9" ht="15.7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75" thickBot="1">
      <c r="A28" s="288" t="s">
        <v>640</v>
      </c>
      <c r="B28" s="288">
        <v>8000</v>
      </c>
      <c r="C28" s="289">
        <v>10</v>
      </c>
      <c r="D28" s="290">
        <v>0.21</v>
      </c>
      <c r="E28" s="291">
        <v>1410</v>
      </c>
      <c r="F28" s="291">
        <v>9410</v>
      </c>
      <c r="G28" s="291">
        <v>200</v>
      </c>
      <c r="H28" s="291">
        <v>921</v>
      </c>
      <c r="I28" s="292" t="str">
        <f t="shared" si="0"/>
        <v>GooD</v>
      </c>
    </row>
    <row r="29" spans="1:9" ht="15.7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75" thickBot="1">
      <c r="A33" s="288" t="s">
        <v>640</v>
      </c>
      <c r="B33" s="288">
        <v>8500</v>
      </c>
      <c r="C33" s="289">
        <v>10</v>
      </c>
      <c r="D33" s="290">
        <v>0.21</v>
      </c>
      <c r="E33" s="291">
        <v>1493</v>
      </c>
      <c r="F33" s="291">
        <v>9993</v>
      </c>
      <c r="G33" s="291">
        <v>213</v>
      </c>
      <c r="H33" s="291">
        <v>978</v>
      </c>
      <c r="I33" s="292" t="str">
        <f t="shared" si="0"/>
        <v>GooD</v>
      </c>
    </row>
    <row r="34" spans="1:9" ht="15.7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75" thickBot="1">
      <c r="A38" s="288" t="s">
        <v>640</v>
      </c>
      <c r="B38" s="288">
        <v>9000</v>
      </c>
      <c r="C38" s="289">
        <v>10</v>
      </c>
      <c r="D38" s="290">
        <v>0.21</v>
      </c>
      <c r="E38" s="291">
        <v>1585</v>
      </c>
      <c r="F38" s="291">
        <v>10585</v>
      </c>
      <c r="G38" s="291">
        <v>225</v>
      </c>
      <c r="H38" s="291">
        <v>1036</v>
      </c>
      <c r="I38" s="292" t="str">
        <f t="shared" si="0"/>
        <v>GooD</v>
      </c>
    </row>
    <row r="39" spans="1:9" ht="15.7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75" thickBot="1">
      <c r="A43" s="288" t="s">
        <v>640</v>
      </c>
      <c r="B43" s="288">
        <v>9500</v>
      </c>
      <c r="C43" s="289">
        <v>10</v>
      </c>
      <c r="D43" s="290">
        <v>0.21</v>
      </c>
      <c r="E43" s="291">
        <v>1668</v>
      </c>
      <c r="F43" s="291">
        <v>11168</v>
      </c>
      <c r="G43" s="291">
        <v>238</v>
      </c>
      <c r="H43" s="291">
        <v>1093</v>
      </c>
      <c r="I43" s="292" t="str">
        <f t="shared" si="0"/>
        <v>GooD</v>
      </c>
    </row>
    <row r="44" spans="1:9" ht="15.7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75" thickBot="1">
      <c r="A48" s="288" t="s">
        <v>640</v>
      </c>
      <c r="B48" s="288">
        <v>10000</v>
      </c>
      <c r="C48" s="289">
        <v>10</v>
      </c>
      <c r="D48" s="290">
        <v>0.21</v>
      </c>
      <c r="E48" s="291">
        <v>1760</v>
      </c>
      <c r="F48" s="291">
        <v>11760</v>
      </c>
      <c r="G48" s="291">
        <v>250</v>
      </c>
      <c r="H48" s="291">
        <v>1151</v>
      </c>
      <c r="I48" s="292" t="str">
        <f t="shared" si="0"/>
        <v>GooD</v>
      </c>
    </row>
    <row r="49" spans="1:9" ht="15.7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75" thickBot="1">
      <c r="A53" s="288" t="s">
        <v>640</v>
      </c>
      <c r="B53" s="288">
        <v>10500</v>
      </c>
      <c r="C53" s="289">
        <v>10</v>
      </c>
      <c r="D53" s="290">
        <v>0.21</v>
      </c>
      <c r="E53" s="291">
        <v>1843</v>
      </c>
      <c r="F53" s="291">
        <v>12343</v>
      </c>
      <c r="G53" s="291">
        <v>263</v>
      </c>
      <c r="H53" s="291">
        <v>1208</v>
      </c>
      <c r="I53" s="292" t="str">
        <f t="shared" si="0"/>
        <v>GooD</v>
      </c>
    </row>
    <row r="54" spans="1:9" ht="15.7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75" thickBot="1">
      <c r="A58" s="288" t="s">
        <v>640</v>
      </c>
      <c r="B58" s="288">
        <v>11000</v>
      </c>
      <c r="C58" s="289">
        <v>10</v>
      </c>
      <c r="D58" s="290">
        <v>0.21</v>
      </c>
      <c r="E58" s="291">
        <v>1935</v>
      </c>
      <c r="F58" s="291">
        <v>12935</v>
      </c>
      <c r="G58" s="291">
        <v>275</v>
      </c>
      <c r="H58" s="291">
        <v>1266</v>
      </c>
      <c r="I58" s="292" t="str">
        <f t="shared" si="0"/>
        <v>GooD</v>
      </c>
    </row>
    <row r="59" spans="1:9" ht="15.7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75" thickBot="1">
      <c r="A63" s="288" t="s">
        <v>640</v>
      </c>
      <c r="B63" s="288">
        <v>11500</v>
      </c>
      <c r="C63" s="289">
        <v>10</v>
      </c>
      <c r="D63" s="290">
        <v>0.21</v>
      </c>
      <c r="E63" s="291">
        <v>2018</v>
      </c>
      <c r="F63" s="291">
        <v>13518</v>
      </c>
      <c r="G63" s="291">
        <v>288</v>
      </c>
      <c r="H63" s="291">
        <v>1323</v>
      </c>
      <c r="I63" s="292" t="str">
        <f t="shared" si="0"/>
        <v>GooD</v>
      </c>
    </row>
    <row r="64" spans="1:9" ht="15.7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7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7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75" thickBot="1">
      <c r="A73" s="288" t="s">
        <v>640</v>
      </c>
      <c r="B73" s="288">
        <v>12500</v>
      </c>
      <c r="C73" s="289">
        <v>10</v>
      </c>
      <c r="D73" s="290">
        <v>0.21</v>
      </c>
      <c r="E73" s="291">
        <v>2193</v>
      </c>
      <c r="F73" s="291">
        <v>14693</v>
      </c>
      <c r="G73" s="291">
        <v>313</v>
      </c>
      <c r="H73" s="291">
        <v>1438</v>
      </c>
      <c r="I73" s="292" t="str">
        <f t="shared" si="1"/>
        <v>GooD</v>
      </c>
    </row>
    <row r="74" spans="1:9" ht="15.7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75" thickBot="1">
      <c r="A78" s="288" t="s">
        <v>640</v>
      </c>
      <c r="B78" s="288">
        <v>13000</v>
      </c>
      <c r="C78" s="289">
        <v>10</v>
      </c>
      <c r="D78" s="290">
        <v>0.21</v>
      </c>
      <c r="E78" s="291">
        <v>2285</v>
      </c>
      <c r="F78" s="291">
        <v>15285</v>
      </c>
      <c r="G78" s="291">
        <v>325</v>
      </c>
      <c r="H78" s="291">
        <v>1496</v>
      </c>
      <c r="I78" s="292" t="str">
        <f t="shared" si="1"/>
        <v>GooD</v>
      </c>
    </row>
    <row r="79" spans="1:9" ht="15.7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75" thickBot="1">
      <c r="A83" s="288" t="s">
        <v>640</v>
      </c>
      <c r="B83" s="288">
        <v>13500</v>
      </c>
      <c r="C83" s="289">
        <v>10</v>
      </c>
      <c r="D83" s="290">
        <v>0.21</v>
      </c>
      <c r="E83" s="291">
        <v>2368</v>
      </c>
      <c r="F83" s="291">
        <v>15868</v>
      </c>
      <c r="G83" s="291">
        <v>338</v>
      </c>
      <c r="H83" s="291">
        <v>1553</v>
      </c>
      <c r="I83" s="292" t="str">
        <f t="shared" si="1"/>
        <v>GooD</v>
      </c>
    </row>
    <row r="84" spans="1:9" ht="15.7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75" thickBot="1">
      <c r="A88" s="288" t="s">
        <v>640</v>
      </c>
      <c r="B88" s="288">
        <v>14000</v>
      </c>
      <c r="C88" s="289">
        <v>10</v>
      </c>
      <c r="D88" s="290">
        <v>0.21</v>
      </c>
      <c r="E88" s="291">
        <v>2460</v>
      </c>
      <c r="F88" s="291">
        <v>16460</v>
      </c>
      <c r="G88" s="291">
        <v>350</v>
      </c>
      <c r="H88" s="291">
        <v>1611</v>
      </c>
      <c r="I88" s="292" t="str">
        <f t="shared" si="1"/>
        <v>GooD</v>
      </c>
    </row>
    <row r="89" spans="1:9" ht="15.7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75" thickBot="1">
      <c r="A93" s="288" t="s">
        <v>640</v>
      </c>
      <c r="B93" s="288">
        <v>14500</v>
      </c>
      <c r="C93" s="289">
        <v>12</v>
      </c>
      <c r="D93" s="290">
        <v>0.21</v>
      </c>
      <c r="E93" s="291">
        <v>3047</v>
      </c>
      <c r="F93" s="291">
        <v>17547</v>
      </c>
      <c r="G93" s="291">
        <v>435</v>
      </c>
      <c r="H93" s="291">
        <v>1426</v>
      </c>
      <c r="I93" s="292" t="str">
        <f t="shared" si="1"/>
        <v>GooD</v>
      </c>
    </row>
    <row r="94" spans="1:9" ht="15.7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75" thickBot="1">
      <c r="A98" s="288" t="s">
        <v>640</v>
      </c>
      <c r="B98" s="288">
        <v>15000</v>
      </c>
      <c r="C98" s="289">
        <v>8</v>
      </c>
      <c r="D98" s="290">
        <v>0.21</v>
      </c>
      <c r="E98" s="291">
        <v>2108</v>
      </c>
      <c r="F98" s="291">
        <v>17108</v>
      </c>
      <c r="G98" s="291">
        <v>300</v>
      </c>
      <c r="H98" s="291">
        <v>2101</v>
      </c>
      <c r="I98" s="292" t="str">
        <f t="shared" si="1"/>
        <v>GooD</v>
      </c>
    </row>
    <row r="99" spans="1:9" ht="15.7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75" thickBot="1">
      <c r="A103" s="288" t="s">
        <v>640</v>
      </c>
      <c r="B103" s="288">
        <v>15000</v>
      </c>
      <c r="C103" s="289">
        <v>18</v>
      </c>
      <c r="D103" s="290">
        <v>0.21</v>
      </c>
      <c r="E103" s="291">
        <v>4737</v>
      </c>
      <c r="F103" s="291">
        <v>19737</v>
      </c>
      <c r="G103" s="291">
        <v>675</v>
      </c>
      <c r="H103" s="291">
        <v>1059</v>
      </c>
      <c r="I103" s="292" t="str">
        <f t="shared" si="1"/>
        <v>GooD</v>
      </c>
    </row>
    <row r="104" spans="1:9" ht="15.7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75" thickBot="1">
      <c r="A108" s="288" t="s">
        <v>640</v>
      </c>
      <c r="B108" s="288">
        <v>15500</v>
      </c>
      <c r="C108" s="289">
        <v>14</v>
      </c>
      <c r="D108" s="290">
        <v>0.21</v>
      </c>
      <c r="E108" s="291">
        <v>3803</v>
      </c>
      <c r="F108" s="291">
        <v>19303</v>
      </c>
      <c r="G108" s="291">
        <v>543</v>
      </c>
      <c r="H108" s="291">
        <v>1340</v>
      </c>
      <c r="I108" s="292" t="str">
        <f t="shared" si="1"/>
        <v>GooD</v>
      </c>
    </row>
    <row r="109" spans="1:9" ht="15.7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75" thickBot="1">
      <c r="A113" s="288" t="s">
        <v>640</v>
      </c>
      <c r="B113" s="288">
        <v>16000</v>
      </c>
      <c r="C113" s="289">
        <v>10</v>
      </c>
      <c r="D113" s="290">
        <v>0.21</v>
      </c>
      <c r="E113" s="291">
        <v>2810</v>
      </c>
      <c r="F113" s="291">
        <v>18810</v>
      </c>
      <c r="G113" s="291">
        <v>400</v>
      </c>
      <c r="H113" s="291">
        <v>1841</v>
      </c>
      <c r="I113" s="292" t="str">
        <f t="shared" si="1"/>
        <v>GooD</v>
      </c>
    </row>
    <row r="114" spans="1:9" ht="15.7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75" thickBot="1">
      <c r="A118" s="288" t="s">
        <v>640</v>
      </c>
      <c r="B118" s="288">
        <v>16500</v>
      </c>
      <c r="C118" s="289">
        <v>6</v>
      </c>
      <c r="D118" s="290">
        <v>0.21</v>
      </c>
      <c r="E118" s="291">
        <v>1736</v>
      </c>
      <c r="F118" s="291">
        <v>18236</v>
      </c>
      <c r="G118" s="291">
        <v>248</v>
      </c>
      <c r="H118" s="291">
        <v>2998</v>
      </c>
      <c r="I118" s="292" t="str">
        <f t="shared" si="1"/>
        <v>GooD</v>
      </c>
    </row>
    <row r="119" spans="1:9" ht="15.7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75" thickBot="1">
      <c r="A123" s="288" t="s">
        <v>640</v>
      </c>
      <c r="B123" s="288">
        <v>16500</v>
      </c>
      <c r="C123" s="289">
        <v>16</v>
      </c>
      <c r="D123" s="290">
        <v>0.21</v>
      </c>
      <c r="E123" s="291">
        <v>4624</v>
      </c>
      <c r="F123" s="291">
        <v>21124</v>
      </c>
      <c r="G123" s="291">
        <v>660</v>
      </c>
      <c r="H123" s="291">
        <v>1279</v>
      </c>
      <c r="I123" s="292" t="str">
        <f t="shared" si="1"/>
        <v>GooD</v>
      </c>
    </row>
    <row r="124" spans="1:9" ht="15.7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75" thickBot="1">
      <c r="A128" s="288" t="s">
        <v>640</v>
      </c>
      <c r="B128" s="288">
        <v>17000</v>
      </c>
      <c r="C128" s="289">
        <v>12</v>
      </c>
      <c r="D128" s="290">
        <v>0.21</v>
      </c>
      <c r="E128" s="291">
        <v>3574</v>
      </c>
      <c r="F128" s="291">
        <v>20574</v>
      </c>
      <c r="G128" s="291">
        <v>510</v>
      </c>
      <c r="H128" s="291">
        <v>1672</v>
      </c>
      <c r="I128" s="292" t="str">
        <f t="shared" si="1"/>
        <v>GooD</v>
      </c>
    </row>
    <row r="129" spans="1:9" ht="15.7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7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7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75" thickBot="1">
      <c r="A138" s="288" t="s">
        <v>640</v>
      </c>
      <c r="B138" s="288">
        <v>17500</v>
      </c>
      <c r="C138" s="289">
        <v>18</v>
      </c>
      <c r="D138" s="290">
        <v>0.21</v>
      </c>
      <c r="E138" s="291">
        <v>5518</v>
      </c>
      <c r="F138" s="291">
        <v>23018</v>
      </c>
      <c r="G138" s="291">
        <v>788</v>
      </c>
      <c r="H138" s="291">
        <v>1235</v>
      </c>
      <c r="I138" s="292" t="str">
        <f t="shared" si="2"/>
        <v>GooD</v>
      </c>
    </row>
    <row r="139" spans="1:9" ht="15.7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75" thickBot="1">
      <c r="A143" s="288" t="s">
        <v>640</v>
      </c>
      <c r="B143" s="288">
        <v>18000</v>
      </c>
      <c r="C143" s="289">
        <v>14</v>
      </c>
      <c r="D143" s="290">
        <v>0.21</v>
      </c>
      <c r="E143" s="291">
        <v>4414</v>
      </c>
      <c r="F143" s="291">
        <v>22414</v>
      </c>
      <c r="G143" s="291">
        <v>630</v>
      </c>
      <c r="H143" s="291">
        <v>1556</v>
      </c>
      <c r="I143" s="292" t="str">
        <f t="shared" si="2"/>
        <v>GooD</v>
      </c>
    </row>
    <row r="144" spans="1:9" ht="15.7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75" thickBot="1">
      <c r="A150" s="288" t="s">
        <v>640</v>
      </c>
      <c r="B150" s="288">
        <v>18500</v>
      </c>
      <c r="C150" s="289">
        <v>14</v>
      </c>
      <c r="D150" s="290">
        <v>0.21</v>
      </c>
      <c r="E150" s="291">
        <v>4534</v>
      </c>
      <c r="F150" s="291">
        <v>23034</v>
      </c>
      <c r="G150" s="291">
        <v>648</v>
      </c>
      <c r="H150" s="291">
        <v>1599</v>
      </c>
      <c r="I150" s="292" t="str">
        <f t="shared" si="2"/>
        <v>GooD</v>
      </c>
    </row>
    <row r="151" spans="1:9" ht="15.7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75" thickBot="1">
      <c r="A153" s="288" t="s">
        <v>640</v>
      </c>
      <c r="B153" s="288">
        <v>19000</v>
      </c>
      <c r="C153" s="289">
        <v>6</v>
      </c>
      <c r="D153" s="290">
        <v>0.21</v>
      </c>
      <c r="E153" s="291">
        <v>1997</v>
      </c>
      <c r="F153" s="291">
        <v>20997</v>
      </c>
      <c r="G153" s="291">
        <v>285</v>
      </c>
      <c r="H153" s="291">
        <v>3452</v>
      </c>
      <c r="I153" s="292" t="str">
        <f t="shared" si="2"/>
        <v>GooD</v>
      </c>
    </row>
    <row r="154" spans="1:9" ht="15.7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75" thickBot="1">
      <c r="A156" s="288" t="s">
        <v>640</v>
      </c>
      <c r="B156" s="288">
        <v>19000</v>
      </c>
      <c r="C156" s="289">
        <v>12</v>
      </c>
      <c r="D156" s="290">
        <v>0.21</v>
      </c>
      <c r="E156" s="291">
        <v>3998</v>
      </c>
      <c r="F156" s="291">
        <v>22998</v>
      </c>
      <c r="G156" s="291">
        <v>570</v>
      </c>
      <c r="H156" s="291">
        <v>1869</v>
      </c>
      <c r="I156" s="292" t="str">
        <f t="shared" si="2"/>
        <v>GooD</v>
      </c>
    </row>
    <row r="157" spans="1:9" ht="15.7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75" thickBot="1">
      <c r="A159" s="288" t="s">
        <v>640</v>
      </c>
      <c r="B159" s="288">
        <v>19000</v>
      </c>
      <c r="C159" s="289">
        <v>18</v>
      </c>
      <c r="D159" s="290">
        <v>0.21</v>
      </c>
      <c r="E159" s="291">
        <v>5993</v>
      </c>
      <c r="F159" s="291">
        <v>24993</v>
      </c>
      <c r="G159" s="291">
        <v>855</v>
      </c>
      <c r="H159" s="291">
        <v>1341</v>
      </c>
      <c r="I159" s="292" t="str">
        <f t="shared" si="2"/>
        <v>GooD</v>
      </c>
    </row>
    <row r="160" spans="1:9" ht="15.7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75" thickBot="1">
      <c r="A162" s="288" t="s">
        <v>640</v>
      </c>
      <c r="B162" s="288">
        <v>19500</v>
      </c>
      <c r="C162" s="289">
        <v>10</v>
      </c>
      <c r="D162" s="290">
        <v>0.21</v>
      </c>
      <c r="E162" s="291">
        <v>3418</v>
      </c>
      <c r="F162" s="291">
        <v>22918</v>
      </c>
      <c r="G162" s="291">
        <v>488</v>
      </c>
      <c r="H162" s="291">
        <v>2243</v>
      </c>
      <c r="I162" s="292" t="str">
        <f t="shared" si="2"/>
        <v>GooD</v>
      </c>
    </row>
    <row r="163" spans="1:9" ht="15.7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75" thickBot="1">
      <c r="A165" s="288" t="s">
        <v>640</v>
      </c>
      <c r="B165" s="288">
        <v>19500</v>
      </c>
      <c r="C165" s="289">
        <v>16</v>
      </c>
      <c r="D165" s="290">
        <v>0.21</v>
      </c>
      <c r="E165" s="291">
        <v>5472</v>
      </c>
      <c r="F165" s="291">
        <v>24972</v>
      </c>
      <c r="G165" s="291">
        <v>780</v>
      </c>
      <c r="H165" s="291">
        <v>1512</v>
      </c>
      <c r="I165" s="292" t="str">
        <f t="shared" si="2"/>
        <v>GooD</v>
      </c>
    </row>
    <row r="166" spans="1:9" ht="15.7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75" thickBot="1">
      <c r="A168" s="288" t="s">
        <v>640</v>
      </c>
      <c r="B168" s="288">
        <v>20000</v>
      </c>
      <c r="C168" s="289">
        <v>8</v>
      </c>
      <c r="D168" s="290">
        <v>0.21</v>
      </c>
      <c r="E168" s="291">
        <v>2808</v>
      </c>
      <c r="F168" s="291">
        <v>22808</v>
      </c>
      <c r="G168" s="291">
        <v>400</v>
      </c>
      <c r="H168" s="291">
        <v>2801</v>
      </c>
      <c r="I168" s="292" t="str">
        <f t="shared" si="2"/>
        <v>GooD</v>
      </c>
    </row>
    <row r="169" spans="1:9" ht="15.7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75" thickBot="1">
      <c r="A171" s="288" t="s">
        <v>640</v>
      </c>
      <c r="B171" s="288">
        <v>20000</v>
      </c>
      <c r="C171" s="289">
        <v>14</v>
      </c>
      <c r="D171" s="290">
        <v>0.21</v>
      </c>
      <c r="E171" s="291">
        <v>4906</v>
      </c>
      <c r="F171" s="291">
        <v>24906</v>
      </c>
      <c r="G171" s="291">
        <v>700</v>
      </c>
      <c r="H171" s="291">
        <v>1729</v>
      </c>
      <c r="I171" s="292" t="str">
        <f t="shared" si="2"/>
        <v>GooD</v>
      </c>
    </row>
    <row r="172" spans="1:9" ht="15.7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75" thickBot="1">
      <c r="A174" s="288" t="s">
        <v>640</v>
      </c>
      <c r="B174" s="288">
        <v>20000</v>
      </c>
      <c r="C174" s="289">
        <v>20</v>
      </c>
      <c r="D174" s="290">
        <v>0.21</v>
      </c>
      <c r="E174" s="291">
        <v>7020</v>
      </c>
      <c r="F174" s="291">
        <v>27020</v>
      </c>
      <c r="G174" s="291">
        <v>1000</v>
      </c>
      <c r="H174" s="291">
        <v>1301</v>
      </c>
      <c r="I174" s="292" t="str">
        <f t="shared" si="2"/>
        <v>GooD</v>
      </c>
    </row>
    <row r="175" spans="1:9" ht="15.7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75" thickBot="1">
      <c r="A177" s="288" t="s">
        <v>640</v>
      </c>
      <c r="B177" s="288">
        <v>21000</v>
      </c>
      <c r="C177" s="289">
        <v>6</v>
      </c>
      <c r="D177" s="290">
        <v>0.21</v>
      </c>
      <c r="E177" s="291">
        <v>2211</v>
      </c>
      <c r="F177" s="291">
        <v>23211</v>
      </c>
      <c r="G177" s="291">
        <v>315</v>
      </c>
      <c r="H177" s="291">
        <v>3816</v>
      </c>
      <c r="I177" s="292" t="str">
        <f t="shared" si="2"/>
        <v>GooD</v>
      </c>
    </row>
    <row r="178" spans="1:9" ht="15.7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75" thickBot="1">
      <c r="A180" s="288" t="s">
        <v>640</v>
      </c>
      <c r="B180" s="288">
        <v>21000</v>
      </c>
      <c r="C180" s="289">
        <v>12</v>
      </c>
      <c r="D180" s="290">
        <v>0.21</v>
      </c>
      <c r="E180" s="291">
        <v>4422</v>
      </c>
      <c r="F180" s="291">
        <v>25422</v>
      </c>
      <c r="G180" s="291">
        <v>630</v>
      </c>
      <c r="H180" s="291">
        <v>2066</v>
      </c>
      <c r="I180" s="292" t="str">
        <f t="shared" si="2"/>
        <v>GooD</v>
      </c>
    </row>
    <row r="181" spans="1:9" ht="15.7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75" thickBot="1">
      <c r="A183" s="288" t="s">
        <v>640</v>
      </c>
      <c r="B183" s="288">
        <v>21000</v>
      </c>
      <c r="C183" s="289">
        <v>18</v>
      </c>
      <c r="D183" s="290">
        <v>0.21</v>
      </c>
      <c r="E183" s="291">
        <v>6621</v>
      </c>
      <c r="F183" s="291">
        <v>27621</v>
      </c>
      <c r="G183" s="291">
        <v>945</v>
      </c>
      <c r="H183" s="291">
        <v>1482</v>
      </c>
      <c r="I183" s="292" t="str">
        <f t="shared" si="2"/>
        <v>GooD</v>
      </c>
    </row>
    <row r="184" spans="1:9" ht="15.7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75" thickBot="1">
      <c r="A186" s="288" t="s">
        <v>640</v>
      </c>
      <c r="B186" s="288">
        <v>21000</v>
      </c>
      <c r="C186" s="289">
        <v>24</v>
      </c>
      <c r="D186" s="290">
        <v>0.21</v>
      </c>
      <c r="E186" s="291">
        <v>8844</v>
      </c>
      <c r="F186" s="291">
        <v>29844</v>
      </c>
      <c r="G186" s="291">
        <v>1260</v>
      </c>
      <c r="H186" s="291">
        <v>1191</v>
      </c>
      <c r="I186" s="292" t="str">
        <f t="shared" si="2"/>
        <v>GooD</v>
      </c>
    </row>
    <row r="187" spans="1:9" ht="15.7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75" thickBot="1">
      <c r="A189" s="288" t="s">
        <v>640</v>
      </c>
      <c r="B189" s="288">
        <v>22000</v>
      </c>
      <c r="C189" s="289">
        <v>10</v>
      </c>
      <c r="D189" s="290">
        <v>0.21</v>
      </c>
      <c r="E189" s="291">
        <v>3860</v>
      </c>
      <c r="F189" s="291">
        <v>25860</v>
      </c>
      <c r="G189" s="291">
        <v>550</v>
      </c>
      <c r="H189" s="291">
        <v>2531</v>
      </c>
      <c r="I189" s="292" t="str">
        <f t="shared" si="2"/>
        <v>GooD</v>
      </c>
    </row>
    <row r="190" spans="1:9" ht="15.7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75" thickBot="1">
      <c r="A192" s="288" t="s">
        <v>640</v>
      </c>
      <c r="B192" s="288">
        <v>22000</v>
      </c>
      <c r="C192" s="289">
        <v>16</v>
      </c>
      <c r="D192" s="290">
        <v>0.21</v>
      </c>
      <c r="E192" s="291">
        <v>6176</v>
      </c>
      <c r="F192" s="291">
        <v>28176</v>
      </c>
      <c r="G192" s="291">
        <v>880</v>
      </c>
      <c r="H192" s="291">
        <v>1706</v>
      </c>
      <c r="I192" s="292" t="str">
        <f t="shared" si="2"/>
        <v>GooD</v>
      </c>
    </row>
    <row r="193" spans="1:9" ht="15.7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75" thickBot="1">
      <c r="A195" s="288" t="s">
        <v>640</v>
      </c>
      <c r="B195" s="288">
        <v>22000</v>
      </c>
      <c r="C195" s="289">
        <v>22</v>
      </c>
      <c r="D195" s="290">
        <v>0.21</v>
      </c>
      <c r="E195" s="291">
        <v>8492</v>
      </c>
      <c r="F195" s="291">
        <v>30492</v>
      </c>
      <c r="G195" s="291">
        <v>1210</v>
      </c>
      <c r="H195" s="291">
        <v>1331</v>
      </c>
      <c r="I195" s="292" t="str">
        <f t="shared" si="2"/>
        <v>GooD</v>
      </c>
    </row>
    <row r="196" spans="1:9" ht="15.7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75" thickBot="1">
      <c r="A198" s="288" t="s">
        <v>640</v>
      </c>
      <c r="B198" s="288">
        <v>23000</v>
      </c>
      <c r="C198" s="289">
        <v>8</v>
      </c>
      <c r="D198" s="290">
        <v>0.21</v>
      </c>
      <c r="E198" s="291">
        <v>3228</v>
      </c>
      <c r="F198" s="291">
        <v>26228</v>
      </c>
      <c r="G198" s="291">
        <v>460</v>
      </c>
      <c r="H198" s="291">
        <v>3221</v>
      </c>
      <c r="I198" s="292" t="str">
        <f t="shared" si="2"/>
        <v>GooD</v>
      </c>
    </row>
    <row r="199" spans="1:9" ht="15.7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75" thickBot="1">
      <c r="A201" s="288" t="s">
        <v>640</v>
      </c>
      <c r="B201" s="288">
        <v>23000</v>
      </c>
      <c r="C201" s="289">
        <v>14</v>
      </c>
      <c r="D201" s="290">
        <v>0.21</v>
      </c>
      <c r="E201" s="291">
        <v>5637</v>
      </c>
      <c r="F201" s="291">
        <v>28637</v>
      </c>
      <c r="G201" s="291">
        <v>805</v>
      </c>
      <c r="H201" s="291">
        <v>1988</v>
      </c>
      <c r="I201" s="292" t="str">
        <f t="shared" si="3"/>
        <v>GooD</v>
      </c>
    </row>
    <row r="202" spans="1:9" ht="15.7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75" thickBot="1">
      <c r="A204" s="288" t="s">
        <v>640</v>
      </c>
      <c r="B204" s="288">
        <v>23000</v>
      </c>
      <c r="C204" s="289">
        <v>20</v>
      </c>
      <c r="D204" s="290">
        <v>0.21</v>
      </c>
      <c r="E204" s="291">
        <v>8070</v>
      </c>
      <c r="F204" s="291">
        <v>31070</v>
      </c>
      <c r="G204" s="291">
        <v>1150</v>
      </c>
      <c r="H204" s="291">
        <v>1496</v>
      </c>
      <c r="I204" s="292" t="str">
        <f t="shared" si="3"/>
        <v>GooD</v>
      </c>
    </row>
    <row r="205" spans="1:9" ht="15.7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75" thickBot="1">
      <c r="A207" s="288" t="s">
        <v>640</v>
      </c>
      <c r="B207" s="288">
        <v>24000</v>
      </c>
      <c r="C207" s="289">
        <v>6</v>
      </c>
      <c r="D207" s="290">
        <v>0.21</v>
      </c>
      <c r="E207" s="291">
        <v>2526</v>
      </c>
      <c r="F207" s="291">
        <v>26526</v>
      </c>
      <c r="G207" s="291">
        <v>360</v>
      </c>
      <c r="H207" s="291">
        <v>4361</v>
      </c>
      <c r="I207" s="292" t="str">
        <f t="shared" si="3"/>
        <v>GooD</v>
      </c>
    </row>
    <row r="208" spans="1:9" ht="15.7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75" thickBot="1">
      <c r="A210" s="288" t="s">
        <v>640</v>
      </c>
      <c r="B210" s="288">
        <v>24000</v>
      </c>
      <c r="C210" s="289">
        <v>12</v>
      </c>
      <c r="D210" s="290">
        <v>0.21</v>
      </c>
      <c r="E210" s="291">
        <v>5052</v>
      </c>
      <c r="F210" s="291">
        <v>29052</v>
      </c>
      <c r="G210" s="291">
        <v>720</v>
      </c>
      <c r="H210" s="291">
        <v>2361</v>
      </c>
      <c r="I210" s="292" t="str">
        <f t="shared" si="3"/>
        <v>GooD</v>
      </c>
    </row>
    <row r="211" spans="1:9" ht="15.7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75" thickBot="1">
      <c r="A213" s="288" t="s">
        <v>640</v>
      </c>
      <c r="B213" s="288">
        <v>24000</v>
      </c>
      <c r="C213" s="289">
        <v>18</v>
      </c>
      <c r="D213" s="290">
        <v>0.21</v>
      </c>
      <c r="E213" s="291">
        <v>7572</v>
      </c>
      <c r="F213" s="291">
        <v>31572</v>
      </c>
      <c r="G213" s="291">
        <v>1080</v>
      </c>
      <c r="H213" s="291">
        <v>1694</v>
      </c>
      <c r="I213" s="292" t="str">
        <f t="shared" si="3"/>
        <v>GooD</v>
      </c>
    </row>
    <row r="214" spans="1:9" ht="15.7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75" thickBot="1">
      <c r="A216" s="288" t="s">
        <v>640</v>
      </c>
      <c r="B216" s="288">
        <v>24000</v>
      </c>
      <c r="C216" s="289">
        <v>24</v>
      </c>
      <c r="D216" s="290">
        <v>0.21</v>
      </c>
      <c r="E216" s="291">
        <v>10104</v>
      </c>
      <c r="F216" s="291">
        <v>34104</v>
      </c>
      <c r="G216" s="291">
        <v>1440</v>
      </c>
      <c r="H216" s="291">
        <v>1361</v>
      </c>
      <c r="I216" s="292" t="str">
        <f t="shared" si="3"/>
        <v>GooD</v>
      </c>
    </row>
    <row r="217" spans="1:9" ht="15.7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75" thickBot="1">
      <c r="A219" s="288" t="s">
        <v>640</v>
      </c>
      <c r="B219" s="288">
        <v>25000</v>
      </c>
      <c r="C219" s="289">
        <v>10</v>
      </c>
      <c r="D219" s="290">
        <v>0.21</v>
      </c>
      <c r="E219" s="291">
        <v>4385</v>
      </c>
      <c r="F219" s="291">
        <v>29385</v>
      </c>
      <c r="G219" s="291">
        <v>625</v>
      </c>
      <c r="H219" s="291">
        <v>2876</v>
      </c>
      <c r="I219" s="292" t="str">
        <f t="shared" si="3"/>
        <v>GooD</v>
      </c>
    </row>
    <row r="220" spans="1:9" ht="15.7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75" thickBot="1">
      <c r="A222" s="288" t="s">
        <v>640</v>
      </c>
      <c r="B222" s="288">
        <v>25000</v>
      </c>
      <c r="C222" s="289">
        <v>16</v>
      </c>
      <c r="D222" s="290">
        <v>0.21</v>
      </c>
      <c r="E222" s="291">
        <v>7008</v>
      </c>
      <c r="F222" s="291">
        <v>32008</v>
      </c>
      <c r="G222" s="291">
        <v>1000</v>
      </c>
      <c r="H222" s="291">
        <v>1938</v>
      </c>
      <c r="I222" s="292" t="str">
        <f t="shared" si="3"/>
        <v>GooD</v>
      </c>
    </row>
    <row r="223" spans="1:9" ht="15.7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75" thickBot="1">
      <c r="A225" s="288" t="s">
        <v>640</v>
      </c>
      <c r="B225" s="288">
        <v>25000</v>
      </c>
      <c r="C225" s="289">
        <v>22</v>
      </c>
      <c r="D225" s="290">
        <v>0.21</v>
      </c>
      <c r="E225" s="291">
        <v>9639</v>
      </c>
      <c r="F225" s="291">
        <v>34639</v>
      </c>
      <c r="G225" s="291">
        <v>1375</v>
      </c>
      <c r="H225" s="291">
        <v>1512</v>
      </c>
      <c r="I225" s="292" t="str">
        <f t="shared" si="3"/>
        <v>GooD</v>
      </c>
    </row>
    <row r="226" spans="1:9" ht="15.7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75" thickBot="1">
      <c r="A228" s="288" t="s">
        <v>640</v>
      </c>
      <c r="B228" s="288">
        <v>26000</v>
      </c>
      <c r="C228" s="289">
        <v>8</v>
      </c>
      <c r="D228" s="290">
        <v>0.21</v>
      </c>
      <c r="E228" s="291">
        <v>3648</v>
      </c>
      <c r="F228" s="291">
        <v>29648</v>
      </c>
      <c r="G228" s="291">
        <v>520</v>
      </c>
      <c r="H228" s="291">
        <v>3641</v>
      </c>
      <c r="I228" s="292" t="str">
        <f t="shared" si="3"/>
        <v>GooD</v>
      </c>
    </row>
    <row r="229" spans="1:9" ht="15.7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75" thickBot="1">
      <c r="A231" s="288" t="s">
        <v>640</v>
      </c>
      <c r="B231" s="288">
        <v>26000</v>
      </c>
      <c r="C231" s="289">
        <v>14</v>
      </c>
      <c r="D231" s="290">
        <v>0.21</v>
      </c>
      <c r="E231" s="291">
        <v>6382</v>
      </c>
      <c r="F231" s="291">
        <v>32382</v>
      </c>
      <c r="G231" s="291">
        <v>910</v>
      </c>
      <c r="H231" s="291">
        <v>2248</v>
      </c>
      <c r="I231" s="292" t="str">
        <f t="shared" si="3"/>
        <v>GooD</v>
      </c>
    </row>
    <row r="232" spans="1:9" ht="15.7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75" thickBot="1">
      <c r="A234" s="288" t="s">
        <v>640</v>
      </c>
      <c r="B234" s="288">
        <v>26000</v>
      </c>
      <c r="C234" s="289">
        <v>20</v>
      </c>
      <c r="D234" s="290">
        <v>0.21</v>
      </c>
      <c r="E234" s="291">
        <v>9120</v>
      </c>
      <c r="F234" s="291">
        <v>35120</v>
      </c>
      <c r="G234" s="291">
        <v>1300</v>
      </c>
      <c r="H234" s="291">
        <v>1691</v>
      </c>
      <c r="I234" s="292" t="str">
        <f t="shared" si="3"/>
        <v>GooD</v>
      </c>
    </row>
    <row r="235" spans="1:9" ht="15.7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75" thickBot="1">
      <c r="A237" s="288" t="s">
        <v>640</v>
      </c>
      <c r="B237" s="288">
        <v>27000</v>
      </c>
      <c r="C237" s="289">
        <v>6</v>
      </c>
      <c r="D237" s="290">
        <v>0.21</v>
      </c>
      <c r="E237" s="291">
        <v>2841</v>
      </c>
      <c r="F237" s="291">
        <v>29841</v>
      </c>
      <c r="G237" s="291">
        <v>405</v>
      </c>
      <c r="H237" s="291">
        <v>4906</v>
      </c>
      <c r="I237" s="292" t="str">
        <f t="shared" si="3"/>
        <v>GooD</v>
      </c>
    </row>
    <row r="238" spans="1:9" ht="15.7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75" thickBot="1">
      <c r="A240" s="288" t="s">
        <v>640</v>
      </c>
      <c r="B240" s="288">
        <v>27000</v>
      </c>
      <c r="C240" s="289">
        <v>12</v>
      </c>
      <c r="D240" s="290">
        <v>0.21</v>
      </c>
      <c r="E240" s="291">
        <v>5682</v>
      </c>
      <c r="F240" s="291">
        <v>32682</v>
      </c>
      <c r="G240" s="291">
        <v>810</v>
      </c>
      <c r="H240" s="291">
        <v>2656</v>
      </c>
      <c r="I240" s="292" t="str">
        <f t="shared" si="3"/>
        <v>GooD</v>
      </c>
    </row>
    <row r="241" spans="1:9" ht="15.7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75" thickBot="1">
      <c r="A245" s="288" t="s">
        <v>640</v>
      </c>
      <c r="B245" s="288">
        <v>27000</v>
      </c>
      <c r="C245" s="289">
        <v>22</v>
      </c>
      <c r="D245" s="290">
        <v>0.21</v>
      </c>
      <c r="E245" s="291">
        <v>10411</v>
      </c>
      <c r="F245" s="291">
        <v>37411</v>
      </c>
      <c r="G245" s="291">
        <v>1485</v>
      </c>
      <c r="H245" s="291">
        <v>1633</v>
      </c>
      <c r="I245" s="292" t="str">
        <f t="shared" si="3"/>
        <v>GooD</v>
      </c>
    </row>
    <row r="246" spans="1:9" ht="15.7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75" thickBot="1">
      <c r="A250" s="288" t="s">
        <v>640</v>
      </c>
      <c r="B250" s="288">
        <v>28000</v>
      </c>
      <c r="C250" s="289">
        <v>12</v>
      </c>
      <c r="D250" s="290">
        <v>0.21</v>
      </c>
      <c r="E250" s="291">
        <v>5888</v>
      </c>
      <c r="F250" s="291">
        <v>33888</v>
      </c>
      <c r="G250" s="291">
        <v>840</v>
      </c>
      <c r="H250" s="291">
        <v>2754</v>
      </c>
      <c r="I250" s="292" t="str">
        <f t="shared" si="3"/>
        <v>GooD</v>
      </c>
    </row>
    <row r="251" spans="1:9" ht="15.7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75" thickBot="1">
      <c r="A255" s="288" t="s">
        <v>640</v>
      </c>
      <c r="B255" s="288">
        <v>28000</v>
      </c>
      <c r="C255" s="289">
        <v>22</v>
      </c>
      <c r="D255" s="290">
        <v>0.21</v>
      </c>
      <c r="E255" s="291">
        <v>10786</v>
      </c>
      <c r="F255" s="291">
        <v>38786</v>
      </c>
      <c r="G255" s="291">
        <v>1540</v>
      </c>
      <c r="H255" s="291">
        <v>1693</v>
      </c>
      <c r="I255" s="292" t="str">
        <f t="shared" si="3"/>
        <v>GooD</v>
      </c>
    </row>
    <row r="256" spans="1:9" ht="15.7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75" thickBot="1">
      <c r="A260" s="288" t="s">
        <v>640</v>
      </c>
      <c r="B260" s="288">
        <v>29000</v>
      </c>
      <c r="C260" s="289">
        <v>12</v>
      </c>
      <c r="D260" s="290">
        <v>0.21</v>
      </c>
      <c r="E260" s="291">
        <v>6094</v>
      </c>
      <c r="F260" s="291">
        <v>35094</v>
      </c>
      <c r="G260" s="291">
        <v>870</v>
      </c>
      <c r="H260" s="291">
        <v>2852</v>
      </c>
      <c r="I260" s="292" t="str">
        <f t="shared" si="3"/>
        <v>GooD</v>
      </c>
    </row>
    <row r="261" spans="1:9" ht="15.7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75" thickBot="1">
      <c r="A265" s="288" t="s">
        <v>640</v>
      </c>
      <c r="B265" s="288">
        <v>29000</v>
      </c>
      <c r="C265" s="289">
        <v>22</v>
      </c>
      <c r="D265" s="290">
        <v>0.21</v>
      </c>
      <c r="E265" s="291">
        <v>11183</v>
      </c>
      <c r="F265" s="291">
        <v>40183</v>
      </c>
      <c r="G265" s="291">
        <v>1595</v>
      </c>
      <c r="H265" s="291">
        <v>1754</v>
      </c>
      <c r="I265" s="292" t="str">
        <f t="shared" si="4"/>
        <v>GooD</v>
      </c>
    </row>
    <row r="266" spans="1:9" ht="15.7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75" thickBot="1">
      <c r="A270" s="288" t="s">
        <v>640</v>
      </c>
      <c r="B270" s="288">
        <v>30000</v>
      </c>
      <c r="C270" s="289">
        <v>12</v>
      </c>
      <c r="D270" s="290">
        <v>0.21</v>
      </c>
      <c r="E270" s="291">
        <v>6312</v>
      </c>
      <c r="F270" s="291">
        <v>36312</v>
      </c>
      <c r="G270" s="291">
        <v>900</v>
      </c>
      <c r="H270" s="291">
        <v>2951</v>
      </c>
      <c r="I270" s="292" t="str">
        <f t="shared" si="4"/>
        <v>GooD</v>
      </c>
    </row>
    <row r="271" spans="1:9" ht="15.7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75" thickBot="1">
      <c r="A275" s="288" t="s">
        <v>640</v>
      </c>
      <c r="B275" s="288">
        <v>30000</v>
      </c>
      <c r="C275" s="289">
        <v>22</v>
      </c>
      <c r="D275" s="290">
        <v>0.21</v>
      </c>
      <c r="E275" s="291">
        <v>11558</v>
      </c>
      <c r="F275" s="291">
        <v>41558</v>
      </c>
      <c r="G275" s="291">
        <v>1650</v>
      </c>
      <c r="H275" s="291">
        <v>1814</v>
      </c>
      <c r="I275" s="292" t="str">
        <f t="shared" si="4"/>
        <v>GooD</v>
      </c>
    </row>
    <row r="276" spans="1:9" ht="15.7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75" thickBot="1">
      <c r="A280" s="288" t="s">
        <v>640</v>
      </c>
      <c r="B280" s="288">
        <v>31000</v>
      </c>
      <c r="C280" s="289">
        <v>12</v>
      </c>
      <c r="D280" s="290">
        <v>0.21</v>
      </c>
      <c r="E280" s="291">
        <v>6518</v>
      </c>
      <c r="F280" s="291">
        <v>37518</v>
      </c>
      <c r="G280" s="291">
        <v>930</v>
      </c>
      <c r="H280" s="291">
        <v>3049</v>
      </c>
      <c r="I280" s="292" t="str">
        <f t="shared" si="4"/>
        <v>GooD</v>
      </c>
    </row>
    <row r="281" spans="1:9" ht="15.7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75" thickBot="1">
      <c r="A285" s="288" t="s">
        <v>640</v>
      </c>
      <c r="B285" s="288">
        <v>31000</v>
      </c>
      <c r="C285" s="289">
        <v>22</v>
      </c>
      <c r="D285" s="290">
        <v>0.21</v>
      </c>
      <c r="E285" s="291">
        <v>11955</v>
      </c>
      <c r="F285" s="291">
        <v>42955</v>
      </c>
      <c r="G285" s="291">
        <v>1705</v>
      </c>
      <c r="H285" s="291">
        <v>1875</v>
      </c>
      <c r="I285" s="292" t="str">
        <f t="shared" si="4"/>
        <v>GooD</v>
      </c>
    </row>
    <row r="286" spans="1:9" ht="15.7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75" thickBot="1">
      <c r="A290" s="288" t="s">
        <v>640</v>
      </c>
      <c r="B290" s="288">
        <v>32000</v>
      </c>
      <c r="C290" s="289">
        <v>12</v>
      </c>
      <c r="D290" s="290">
        <v>0.21</v>
      </c>
      <c r="E290" s="291">
        <v>6724</v>
      </c>
      <c r="F290" s="291">
        <v>38724</v>
      </c>
      <c r="G290" s="291">
        <v>960</v>
      </c>
      <c r="H290" s="291">
        <v>3147</v>
      </c>
      <c r="I290" s="292" t="str">
        <f t="shared" si="4"/>
        <v>GooD</v>
      </c>
    </row>
    <row r="291" spans="1:9" ht="15.7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75" thickBot="1">
      <c r="A295" s="288" t="s">
        <v>640</v>
      </c>
      <c r="B295" s="288">
        <v>32000</v>
      </c>
      <c r="C295" s="289">
        <v>22</v>
      </c>
      <c r="D295" s="290">
        <v>0.21</v>
      </c>
      <c r="E295" s="291">
        <v>12330</v>
      </c>
      <c r="F295" s="291">
        <v>44330</v>
      </c>
      <c r="G295" s="291">
        <v>1760</v>
      </c>
      <c r="H295" s="291">
        <v>1935</v>
      </c>
      <c r="I295" s="292" t="str">
        <f t="shared" si="4"/>
        <v>GooD</v>
      </c>
    </row>
    <row r="296" spans="1:9" ht="15.7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75" thickBot="1">
      <c r="A300" s="288" t="s">
        <v>640</v>
      </c>
      <c r="B300" s="288">
        <v>33000</v>
      </c>
      <c r="C300" s="289">
        <v>12</v>
      </c>
      <c r="D300" s="290">
        <v>0.21</v>
      </c>
      <c r="E300" s="291">
        <v>6942</v>
      </c>
      <c r="F300" s="291">
        <v>39942</v>
      </c>
      <c r="G300" s="291">
        <v>990</v>
      </c>
      <c r="H300" s="291">
        <v>3246</v>
      </c>
      <c r="I300" s="292" t="str">
        <f t="shared" si="4"/>
        <v>GooD</v>
      </c>
    </row>
    <row r="301" spans="1:9" ht="15.7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75" thickBot="1">
      <c r="A305" s="288" t="s">
        <v>640</v>
      </c>
      <c r="B305" s="288">
        <v>33000</v>
      </c>
      <c r="C305" s="289">
        <v>22</v>
      </c>
      <c r="D305" s="290">
        <v>0.21</v>
      </c>
      <c r="E305" s="291">
        <v>12727</v>
      </c>
      <c r="F305" s="291">
        <v>45727</v>
      </c>
      <c r="G305" s="291">
        <v>1815</v>
      </c>
      <c r="H305" s="291">
        <v>1996</v>
      </c>
      <c r="I305" s="292" t="str">
        <f t="shared" si="4"/>
        <v>GooD</v>
      </c>
    </row>
    <row r="306" spans="1:9" ht="15.7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75" thickBot="1">
      <c r="A310" s="288" t="s">
        <v>640</v>
      </c>
      <c r="B310" s="288">
        <v>34000</v>
      </c>
      <c r="C310" s="289">
        <v>12</v>
      </c>
      <c r="D310" s="290">
        <v>0.21</v>
      </c>
      <c r="E310" s="291">
        <v>7148</v>
      </c>
      <c r="F310" s="291">
        <v>41148</v>
      </c>
      <c r="G310" s="291">
        <v>1020</v>
      </c>
      <c r="H310" s="291">
        <v>3344</v>
      </c>
      <c r="I310" s="292" t="str">
        <f t="shared" si="4"/>
        <v>GooD</v>
      </c>
    </row>
    <row r="311" spans="1:9" ht="15.7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75" thickBot="1">
      <c r="A315" s="288" t="s">
        <v>640</v>
      </c>
      <c r="B315" s="288">
        <v>34000</v>
      </c>
      <c r="C315" s="289">
        <v>22</v>
      </c>
      <c r="D315" s="290">
        <v>0.21</v>
      </c>
      <c r="E315" s="291">
        <v>13102</v>
      </c>
      <c r="F315" s="291">
        <v>47102</v>
      </c>
      <c r="G315" s="291">
        <v>1870</v>
      </c>
      <c r="H315" s="291">
        <v>2056</v>
      </c>
      <c r="I315" s="292" t="str">
        <f t="shared" si="4"/>
        <v>GooD</v>
      </c>
    </row>
    <row r="316" spans="1:9" ht="15.7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75" thickBot="1">
      <c r="A320" s="288" t="s">
        <v>640</v>
      </c>
      <c r="B320" s="288">
        <v>35000</v>
      </c>
      <c r="C320" s="289">
        <v>12</v>
      </c>
      <c r="D320" s="290">
        <v>0.21</v>
      </c>
      <c r="E320" s="291">
        <v>7354</v>
      </c>
      <c r="F320" s="291">
        <v>42354</v>
      </c>
      <c r="G320" s="291">
        <v>1050</v>
      </c>
      <c r="H320" s="291">
        <v>3442</v>
      </c>
      <c r="I320" s="292" t="str">
        <f t="shared" si="4"/>
        <v>GooD</v>
      </c>
    </row>
    <row r="321" spans="1:9" ht="15.7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75" thickBot="1">
      <c r="A325" s="288" t="s">
        <v>640</v>
      </c>
      <c r="B325" s="288">
        <v>35000</v>
      </c>
      <c r="C325" s="289">
        <v>22</v>
      </c>
      <c r="D325" s="290">
        <v>0.21</v>
      </c>
      <c r="E325" s="291">
        <v>13477</v>
      </c>
      <c r="F325" s="291">
        <v>48477</v>
      </c>
      <c r="G325" s="291">
        <v>1925</v>
      </c>
      <c r="H325" s="291">
        <v>2116</v>
      </c>
      <c r="I325" s="292" t="str">
        <f t="shared" si="4"/>
        <v>GooD</v>
      </c>
    </row>
    <row r="326" spans="1:9" ht="15.7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75" thickBot="1">
      <c r="A330" s="288" t="s">
        <v>640</v>
      </c>
      <c r="B330" s="288">
        <v>36000</v>
      </c>
      <c r="C330" s="289">
        <v>12</v>
      </c>
      <c r="D330" s="290">
        <v>0.21</v>
      </c>
      <c r="E330" s="291">
        <v>7572</v>
      </c>
      <c r="F330" s="291">
        <v>43572</v>
      </c>
      <c r="G330" s="291">
        <v>1080</v>
      </c>
      <c r="H330" s="291">
        <v>3541</v>
      </c>
      <c r="I330" s="292" t="str">
        <f t="shared" si="5"/>
        <v>GooD</v>
      </c>
    </row>
    <row r="331" spans="1:9" ht="15.7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75" thickBot="1">
      <c r="A335" s="288" t="s">
        <v>640</v>
      </c>
      <c r="B335" s="288">
        <v>36000</v>
      </c>
      <c r="C335" s="289">
        <v>22</v>
      </c>
      <c r="D335" s="290">
        <v>0.21</v>
      </c>
      <c r="E335" s="291">
        <v>13874</v>
      </c>
      <c r="F335" s="291">
        <v>49874</v>
      </c>
      <c r="G335" s="291">
        <v>1980</v>
      </c>
      <c r="H335" s="291">
        <v>2177</v>
      </c>
      <c r="I335" s="292" t="str">
        <f t="shared" si="5"/>
        <v>GooD</v>
      </c>
    </row>
    <row r="336" spans="1:9" ht="15.7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75" thickBot="1">
      <c r="A340" s="288" t="s">
        <v>640</v>
      </c>
      <c r="B340" s="288">
        <v>37000</v>
      </c>
      <c r="C340" s="289">
        <v>12</v>
      </c>
      <c r="D340" s="290">
        <v>0.21</v>
      </c>
      <c r="E340" s="291">
        <v>7778</v>
      </c>
      <c r="F340" s="291">
        <v>44778</v>
      </c>
      <c r="G340" s="291">
        <v>1110</v>
      </c>
      <c r="H340" s="291">
        <v>3639</v>
      </c>
      <c r="I340" s="292" t="str">
        <f t="shared" si="5"/>
        <v>GooD</v>
      </c>
    </row>
    <row r="341" spans="1:9" ht="15.7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75" thickBot="1">
      <c r="A345" s="288" t="s">
        <v>640</v>
      </c>
      <c r="B345" s="288">
        <v>37000</v>
      </c>
      <c r="C345" s="289">
        <v>22</v>
      </c>
      <c r="D345" s="290">
        <v>0.21</v>
      </c>
      <c r="E345" s="291">
        <v>14249</v>
      </c>
      <c r="F345" s="291">
        <v>51249</v>
      </c>
      <c r="G345" s="291">
        <v>2035</v>
      </c>
      <c r="H345" s="291">
        <v>2237</v>
      </c>
      <c r="I345" s="292" t="str">
        <f t="shared" si="5"/>
        <v>GooD</v>
      </c>
    </row>
    <row r="346" spans="1:9" ht="15.7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75" thickBot="1">
      <c r="A350" s="288" t="s">
        <v>640</v>
      </c>
      <c r="B350" s="288">
        <v>38000</v>
      </c>
      <c r="C350" s="289">
        <v>12</v>
      </c>
      <c r="D350" s="290">
        <v>0.21</v>
      </c>
      <c r="E350" s="291">
        <v>7984</v>
      </c>
      <c r="F350" s="291">
        <v>45984</v>
      </c>
      <c r="G350" s="291">
        <v>1140</v>
      </c>
      <c r="H350" s="291">
        <v>3737</v>
      </c>
      <c r="I350" s="292" t="str">
        <f t="shared" si="5"/>
        <v>GooD</v>
      </c>
    </row>
    <row r="351" spans="1:9" ht="15.7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75" thickBot="1">
      <c r="A355" s="288" t="s">
        <v>640</v>
      </c>
      <c r="B355" s="288">
        <v>38000</v>
      </c>
      <c r="C355" s="289">
        <v>22</v>
      </c>
      <c r="D355" s="290">
        <v>0.21</v>
      </c>
      <c r="E355" s="291">
        <v>14646</v>
      </c>
      <c r="F355" s="291">
        <v>52646</v>
      </c>
      <c r="G355" s="291">
        <v>2090</v>
      </c>
      <c r="H355" s="291">
        <v>2298</v>
      </c>
      <c r="I355" s="292" t="str">
        <f t="shared" si="5"/>
        <v>GooD</v>
      </c>
    </row>
    <row r="356" spans="1:9" ht="15.7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75" thickBot="1">
      <c r="A360" s="288" t="s">
        <v>640</v>
      </c>
      <c r="B360" s="288">
        <v>39000</v>
      </c>
      <c r="C360" s="289">
        <v>12</v>
      </c>
      <c r="D360" s="290">
        <v>0.21</v>
      </c>
      <c r="E360" s="291">
        <v>8202</v>
      </c>
      <c r="F360" s="291">
        <v>47202</v>
      </c>
      <c r="G360" s="291">
        <v>1170</v>
      </c>
      <c r="H360" s="291">
        <v>3836</v>
      </c>
      <c r="I360" s="292" t="str">
        <f t="shared" si="5"/>
        <v>GooD</v>
      </c>
    </row>
    <row r="361" spans="1:9" ht="15.7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75" thickBot="1">
      <c r="A365" s="288" t="s">
        <v>640</v>
      </c>
      <c r="B365" s="288">
        <v>39000</v>
      </c>
      <c r="C365" s="289">
        <v>22</v>
      </c>
      <c r="D365" s="290">
        <v>0.21</v>
      </c>
      <c r="E365" s="291">
        <v>15021</v>
      </c>
      <c r="F365" s="291">
        <v>54021</v>
      </c>
      <c r="G365" s="291">
        <v>2145</v>
      </c>
      <c r="H365" s="291">
        <v>2358</v>
      </c>
      <c r="I365" s="292" t="str">
        <f t="shared" si="5"/>
        <v>GooD</v>
      </c>
    </row>
    <row r="366" spans="1:9" ht="15.7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75" thickBot="1">
      <c r="A370" s="288" t="s">
        <v>640</v>
      </c>
      <c r="B370" s="288">
        <v>40000</v>
      </c>
      <c r="C370" s="289">
        <v>12</v>
      </c>
      <c r="D370" s="290">
        <v>0.21</v>
      </c>
      <c r="E370" s="291">
        <v>8408</v>
      </c>
      <c r="F370" s="291">
        <v>48408</v>
      </c>
      <c r="G370" s="291">
        <v>1200</v>
      </c>
      <c r="H370" s="291">
        <v>3934</v>
      </c>
      <c r="I370" s="292" t="str">
        <f t="shared" si="5"/>
        <v>GooD</v>
      </c>
    </row>
    <row r="371" spans="1:9" ht="15.7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75" thickBot="1">
      <c r="A375" s="288" t="s">
        <v>640</v>
      </c>
      <c r="B375" s="288">
        <v>40000</v>
      </c>
      <c r="C375" s="289">
        <v>22</v>
      </c>
      <c r="D375" s="290">
        <v>0.21</v>
      </c>
      <c r="E375" s="291">
        <v>15418</v>
      </c>
      <c r="F375" s="291">
        <v>55418</v>
      </c>
      <c r="G375" s="291">
        <v>2200</v>
      </c>
      <c r="H375" s="291">
        <v>2419</v>
      </c>
      <c r="I375" s="292" t="str">
        <f t="shared" si="5"/>
        <v>GooD</v>
      </c>
    </row>
    <row r="376" spans="1:9" ht="15.7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75" thickBot="1">
      <c r="A380" s="288" t="s">
        <v>640</v>
      </c>
      <c r="B380" s="288">
        <v>41000</v>
      </c>
      <c r="C380" s="289">
        <v>12</v>
      </c>
      <c r="D380" s="290">
        <v>0.21</v>
      </c>
      <c r="E380" s="291">
        <v>8614</v>
      </c>
      <c r="F380" s="291">
        <v>49614</v>
      </c>
      <c r="G380" s="291">
        <v>1230</v>
      </c>
      <c r="H380" s="291">
        <v>4032</v>
      </c>
      <c r="I380" s="292" t="str">
        <f t="shared" si="5"/>
        <v>GooD</v>
      </c>
    </row>
    <row r="381" spans="1:9" ht="15.7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75" thickBot="1">
      <c r="A387" s="288" t="s">
        <v>640</v>
      </c>
      <c r="B387" s="288">
        <v>42000</v>
      </c>
      <c r="C387" s="289">
        <v>6</v>
      </c>
      <c r="D387" s="290">
        <v>0.21</v>
      </c>
      <c r="E387" s="291">
        <v>4416</v>
      </c>
      <c r="F387" s="291">
        <v>46416</v>
      </c>
      <c r="G387" s="291">
        <v>630</v>
      </c>
      <c r="H387" s="291">
        <v>7631</v>
      </c>
      <c r="I387" s="292" t="str">
        <f t="shared" si="5"/>
        <v>GooD</v>
      </c>
    </row>
    <row r="388" spans="1:9" ht="15.7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75" thickBot="1">
      <c r="A390" s="288" t="s">
        <v>640</v>
      </c>
      <c r="B390" s="288">
        <v>42000</v>
      </c>
      <c r="C390" s="289">
        <v>12</v>
      </c>
      <c r="D390" s="290">
        <v>0.21</v>
      </c>
      <c r="E390" s="291">
        <v>8832</v>
      </c>
      <c r="F390" s="291">
        <v>50832</v>
      </c>
      <c r="G390" s="291">
        <v>1260</v>
      </c>
      <c r="H390" s="291">
        <v>4131</v>
      </c>
      <c r="I390" s="292" t="str">
        <f t="shared" si="5"/>
        <v>GooD</v>
      </c>
    </row>
    <row r="391" spans="1:9" ht="15.7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75" thickBot="1">
      <c r="A393" s="288" t="s">
        <v>640</v>
      </c>
      <c r="B393" s="288">
        <v>42000</v>
      </c>
      <c r="C393" s="289">
        <v>18</v>
      </c>
      <c r="D393" s="290">
        <v>0.21</v>
      </c>
      <c r="E393" s="291">
        <v>13242</v>
      </c>
      <c r="F393" s="291">
        <v>55242</v>
      </c>
      <c r="G393" s="291">
        <v>1890</v>
      </c>
      <c r="H393" s="291">
        <v>2964</v>
      </c>
      <c r="I393" s="292" t="str">
        <f t="shared" si="6"/>
        <v>GooD</v>
      </c>
    </row>
    <row r="394" spans="1:9" ht="15.7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75" thickBot="1">
      <c r="A396" s="288" t="s">
        <v>640</v>
      </c>
      <c r="B396" s="288">
        <v>42000</v>
      </c>
      <c r="C396" s="289">
        <v>24</v>
      </c>
      <c r="D396" s="290">
        <v>0.21</v>
      </c>
      <c r="E396" s="291">
        <v>17664</v>
      </c>
      <c r="F396" s="291">
        <v>59664</v>
      </c>
      <c r="G396" s="291">
        <v>2520</v>
      </c>
      <c r="H396" s="291">
        <v>2381</v>
      </c>
      <c r="I396" s="292" t="str">
        <f t="shared" si="6"/>
        <v>GooD</v>
      </c>
    </row>
    <row r="397" spans="1:9" ht="15.7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75" thickBot="1">
      <c r="A399" s="288" t="s">
        <v>640</v>
      </c>
      <c r="B399" s="288">
        <v>43000</v>
      </c>
      <c r="C399" s="289">
        <v>10</v>
      </c>
      <c r="D399" s="290">
        <v>0.21</v>
      </c>
      <c r="E399" s="291">
        <v>7535</v>
      </c>
      <c r="F399" s="291">
        <v>50535</v>
      </c>
      <c r="G399" s="291">
        <v>1075</v>
      </c>
      <c r="H399" s="291">
        <v>4946</v>
      </c>
      <c r="I399" s="292" t="str">
        <f t="shared" si="6"/>
        <v>GooD</v>
      </c>
    </row>
    <row r="400" spans="1:9" ht="15.7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75" thickBot="1">
      <c r="A402" s="288" t="s">
        <v>640</v>
      </c>
      <c r="B402" s="288">
        <v>43000</v>
      </c>
      <c r="C402" s="289">
        <v>16</v>
      </c>
      <c r="D402" s="290">
        <v>0.21</v>
      </c>
      <c r="E402" s="291">
        <v>12048</v>
      </c>
      <c r="F402" s="291">
        <v>55048</v>
      </c>
      <c r="G402" s="291">
        <v>1720</v>
      </c>
      <c r="H402" s="291">
        <v>3333</v>
      </c>
      <c r="I402" s="292" t="str">
        <f t="shared" si="6"/>
        <v>GooD</v>
      </c>
    </row>
    <row r="403" spans="1:9" ht="15.7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75" thickBot="1">
      <c r="A405" s="288" t="s">
        <v>640</v>
      </c>
      <c r="B405" s="288">
        <v>43000</v>
      </c>
      <c r="C405" s="289">
        <v>22</v>
      </c>
      <c r="D405" s="290">
        <v>0.21</v>
      </c>
      <c r="E405" s="291">
        <v>16565</v>
      </c>
      <c r="F405" s="291">
        <v>59565</v>
      </c>
      <c r="G405" s="291">
        <v>2365</v>
      </c>
      <c r="H405" s="291">
        <v>2600</v>
      </c>
      <c r="I405" s="292" t="str">
        <f t="shared" si="6"/>
        <v>GooD</v>
      </c>
    </row>
    <row r="406" spans="1:9" ht="15.7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75" thickBot="1">
      <c r="A408" s="288" t="s">
        <v>640</v>
      </c>
      <c r="B408" s="288">
        <v>44000</v>
      </c>
      <c r="C408" s="289">
        <v>8</v>
      </c>
      <c r="D408" s="290">
        <v>0.21</v>
      </c>
      <c r="E408" s="291">
        <v>6168</v>
      </c>
      <c r="F408" s="291">
        <v>50168</v>
      </c>
      <c r="G408" s="291">
        <v>880</v>
      </c>
      <c r="H408" s="291">
        <v>6161</v>
      </c>
      <c r="I408" s="292" t="str">
        <f t="shared" si="6"/>
        <v>GooD</v>
      </c>
    </row>
    <row r="409" spans="1:9" ht="15.7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75" thickBot="1">
      <c r="A411" s="288" t="s">
        <v>640</v>
      </c>
      <c r="B411" s="288">
        <v>44000</v>
      </c>
      <c r="C411" s="289">
        <v>14</v>
      </c>
      <c r="D411" s="290">
        <v>0.21</v>
      </c>
      <c r="E411" s="291">
        <v>10782</v>
      </c>
      <c r="F411" s="291">
        <v>54782</v>
      </c>
      <c r="G411" s="291">
        <v>1540</v>
      </c>
      <c r="H411" s="291">
        <v>3803</v>
      </c>
      <c r="I411" s="292" t="str">
        <f t="shared" si="6"/>
        <v>GooD</v>
      </c>
    </row>
    <row r="412" spans="1:9" ht="15.7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75" thickBot="1">
      <c r="A414" s="288" t="s">
        <v>640</v>
      </c>
      <c r="B414" s="288">
        <v>44000</v>
      </c>
      <c r="C414" s="289">
        <v>20</v>
      </c>
      <c r="D414" s="290">
        <v>0.21</v>
      </c>
      <c r="E414" s="291">
        <v>15420</v>
      </c>
      <c r="F414" s="291">
        <v>59420</v>
      </c>
      <c r="G414" s="291">
        <v>2200</v>
      </c>
      <c r="H414" s="291">
        <v>2861</v>
      </c>
      <c r="I414" s="292" t="str">
        <f t="shared" si="6"/>
        <v>GooD</v>
      </c>
    </row>
    <row r="415" spans="1:9" ht="15.7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75" thickBot="1">
      <c r="A417" s="288" t="s">
        <v>640</v>
      </c>
      <c r="B417" s="288">
        <v>45000</v>
      </c>
      <c r="C417" s="289">
        <v>6</v>
      </c>
      <c r="D417" s="290">
        <v>0.21</v>
      </c>
      <c r="E417" s="291">
        <v>4731</v>
      </c>
      <c r="F417" s="291">
        <v>49731</v>
      </c>
      <c r="G417" s="291">
        <v>675</v>
      </c>
      <c r="H417" s="291">
        <v>8176</v>
      </c>
      <c r="I417" s="292" t="str">
        <f t="shared" si="6"/>
        <v>GooD</v>
      </c>
    </row>
    <row r="418" spans="1:9" ht="15.7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75" thickBot="1">
      <c r="A420" s="288" t="s">
        <v>640</v>
      </c>
      <c r="B420" s="288">
        <v>45000</v>
      </c>
      <c r="C420" s="289">
        <v>12</v>
      </c>
      <c r="D420" s="290">
        <v>0.21</v>
      </c>
      <c r="E420" s="291">
        <v>9462</v>
      </c>
      <c r="F420" s="291">
        <v>54462</v>
      </c>
      <c r="G420" s="291">
        <v>1350</v>
      </c>
      <c r="H420" s="291">
        <v>4426</v>
      </c>
      <c r="I420" s="292" t="str">
        <f t="shared" si="6"/>
        <v>GooD</v>
      </c>
    </row>
    <row r="421" spans="1:9" ht="15.7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75" thickBot="1">
      <c r="A423" s="288" t="s">
        <v>640</v>
      </c>
      <c r="B423" s="288">
        <v>45000</v>
      </c>
      <c r="C423" s="289">
        <v>18</v>
      </c>
      <c r="D423" s="290">
        <v>0.21</v>
      </c>
      <c r="E423" s="291">
        <v>14193</v>
      </c>
      <c r="F423" s="291">
        <v>59193</v>
      </c>
      <c r="G423" s="291">
        <v>2025</v>
      </c>
      <c r="H423" s="291">
        <v>3176</v>
      </c>
      <c r="I423" s="292" t="str">
        <f t="shared" si="6"/>
        <v>GooD</v>
      </c>
    </row>
    <row r="424" spans="1:9" ht="15.7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75" thickBot="1">
      <c r="A426" s="288" t="s">
        <v>640</v>
      </c>
      <c r="B426" s="288">
        <v>45000</v>
      </c>
      <c r="C426" s="289">
        <v>24</v>
      </c>
      <c r="D426" s="290">
        <v>0.21</v>
      </c>
      <c r="E426" s="291">
        <v>18924</v>
      </c>
      <c r="F426" s="291">
        <v>63924</v>
      </c>
      <c r="G426" s="291">
        <v>2700</v>
      </c>
      <c r="H426" s="291">
        <v>2551</v>
      </c>
      <c r="I426" s="292" t="str">
        <f t="shared" si="6"/>
        <v>GooD</v>
      </c>
    </row>
    <row r="427" spans="1:9" ht="15.7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75" thickBot="1">
      <c r="A429" s="288" t="s">
        <v>640</v>
      </c>
      <c r="B429" s="288">
        <v>46000</v>
      </c>
      <c r="C429" s="289">
        <v>10</v>
      </c>
      <c r="D429" s="290">
        <v>0.21</v>
      </c>
      <c r="E429" s="291">
        <v>8060</v>
      </c>
      <c r="F429" s="291">
        <v>54060</v>
      </c>
      <c r="G429" s="291">
        <v>1150</v>
      </c>
      <c r="H429" s="291">
        <v>5291</v>
      </c>
      <c r="I429" s="292" t="str">
        <f t="shared" si="6"/>
        <v>GooD</v>
      </c>
    </row>
    <row r="430" spans="1:9" ht="15.7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75" thickBot="1">
      <c r="A432" s="288" t="s">
        <v>640</v>
      </c>
      <c r="B432" s="288">
        <v>46000</v>
      </c>
      <c r="C432" s="289">
        <v>16</v>
      </c>
      <c r="D432" s="290">
        <v>0.21</v>
      </c>
      <c r="E432" s="291">
        <v>12896</v>
      </c>
      <c r="F432" s="291">
        <v>58896</v>
      </c>
      <c r="G432" s="291">
        <v>1840</v>
      </c>
      <c r="H432" s="291">
        <v>3566</v>
      </c>
      <c r="I432" s="292" t="str">
        <f t="shared" si="6"/>
        <v>GooD</v>
      </c>
    </row>
    <row r="433" spans="1:9" ht="15.7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75" thickBot="1">
      <c r="A435" s="288" t="s">
        <v>640</v>
      </c>
      <c r="B435" s="288">
        <v>46000</v>
      </c>
      <c r="C435" s="289">
        <v>22</v>
      </c>
      <c r="D435" s="290">
        <v>0.21</v>
      </c>
      <c r="E435" s="291">
        <v>17712</v>
      </c>
      <c r="F435" s="291">
        <v>63712</v>
      </c>
      <c r="G435" s="291">
        <v>2530</v>
      </c>
      <c r="H435" s="291">
        <v>2781</v>
      </c>
      <c r="I435" s="292" t="str">
        <f t="shared" si="6"/>
        <v>GooD</v>
      </c>
    </row>
    <row r="436" spans="1:9" ht="15.7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75" thickBot="1">
      <c r="A438" s="288" t="s">
        <v>640</v>
      </c>
      <c r="B438" s="288">
        <v>47000</v>
      </c>
      <c r="C438" s="289">
        <v>8</v>
      </c>
      <c r="D438" s="290">
        <v>0.21</v>
      </c>
      <c r="E438" s="291">
        <v>6588</v>
      </c>
      <c r="F438" s="291">
        <v>53588</v>
      </c>
      <c r="G438" s="291">
        <v>940</v>
      </c>
      <c r="H438" s="291">
        <v>6581</v>
      </c>
      <c r="I438" s="292" t="str">
        <f t="shared" si="6"/>
        <v>GooD</v>
      </c>
    </row>
    <row r="439" spans="1:9" ht="15.7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75" thickBot="1">
      <c r="A441" s="288" t="s">
        <v>640</v>
      </c>
      <c r="B441" s="288">
        <v>47000</v>
      </c>
      <c r="C441" s="289">
        <v>14</v>
      </c>
      <c r="D441" s="290">
        <v>0.21</v>
      </c>
      <c r="E441" s="291">
        <v>11527</v>
      </c>
      <c r="F441" s="291">
        <v>58527</v>
      </c>
      <c r="G441" s="291">
        <v>1645</v>
      </c>
      <c r="H441" s="291">
        <v>4063</v>
      </c>
      <c r="I441" s="292" t="str">
        <f t="shared" si="6"/>
        <v>GooD</v>
      </c>
    </row>
    <row r="442" spans="1:9" ht="15.7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75" thickBot="1">
      <c r="A444" s="288" t="s">
        <v>640</v>
      </c>
      <c r="B444" s="288">
        <v>47000</v>
      </c>
      <c r="C444" s="289">
        <v>20</v>
      </c>
      <c r="D444" s="290">
        <v>0.21</v>
      </c>
      <c r="E444" s="291">
        <v>16470</v>
      </c>
      <c r="F444" s="291">
        <v>63470</v>
      </c>
      <c r="G444" s="291">
        <v>2350</v>
      </c>
      <c r="H444" s="291">
        <v>3056</v>
      </c>
      <c r="I444" s="292" t="str">
        <f t="shared" si="6"/>
        <v>GooD</v>
      </c>
    </row>
    <row r="445" spans="1:9" ht="15.7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75" thickBot="1">
      <c r="A447" s="288" t="s">
        <v>640</v>
      </c>
      <c r="B447" s="288">
        <v>48000</v>
      </c>
      <c r="C447" s="289">
        <v>6</v>
      </c>
      <c r="D447" s="290">
        <v>0.21</v>
      </c>
      <c r="E447" s="291">
        <v>5046</v>
      </c>
      <c r="F447" s="291">
        <v>53046</v>
      </c>
      <c r="G447" s="291">
        <v>720</v>
      </c>
      <c r="H447" s="291">
        <v>8721</v>
      </c>
      <c r="I447" s="292" t="str">
        <f t="shared" si="6"/>
        <v>GooD</v>
      </c>
    </row>
    <row r="448" spans="1:9" ht="15.7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75" thickBot="1">
      <c r="A450" s="288" t="s">
        <v>640</v>
      </c>
      <c r="B450" s="288">
        <v>48000</v>
      </c>
      <c r="C450" s="289">
        <v>12</v>
      </c>
      <c r="D450" s="290">
        <v>0.21</v>
      </c>
      <c r="E450" s="291">
        <v>10092</v>
      </c>
      <c r="F450" s="291">
        <v>58092</v>
      </c>
      <c r="G450" s="291">
        <v>1440</v>
      </c>
      <c r="H450" s="291">
        <v>4721</v>
      </c>
      <c r="I450" s="292" t="str">
        <f t="shared" si="6"/>
        <v>GooD</v>
      </c>
    </row>
    <row r="451" spans="1:9" ht="15.7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75" thickBot="1">
      <c r="A453" s="288" t="s">
        <v>640</v>
      </c>
      <c r="B453" s="288">
        <v>48000</v>
      </c>
      <c r="C453" s="289">
        <v>18</v>
      </c>
      <c r="D453" s="290">
        <v>0.21</v>
      </c>
      <c r="E453" s="291">
        <v>15126</v>
      </c>
      <c r="F453" s="291">
        <v>63126</v>
      </c>
      <c r="G453" s="291">
        <v>2160</v>
      </c>
      <c r="H453" s="291">
        <v>3387</v>
      </c>
      <c r="I453" s="292" t="str">
        <f t="shared" si="6"/>
        <v>GooD</v>
      </c>
    </row>
    <row r="454" spans="1:9" ht="15.7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75" thickBot="1">
      <c r="A456" s="288" t="s">
        <v>640</v>
      </c>
      <c r="B456" s="288">
        <v>48000</v>
      </c>
      <c r="C456" s="289">
        <v>24</v>
      </c>
      <c r="D456" s="290">
        <v>0.21</v>
      </c>
      <c r="E456" s="291">
        <v>20184</v>
      </c>
      <c r="F456" s="291">
        <v>68184</v>
      </c>
      <c r="G456" s="291">
        <v>2880</v>
      </c>
      <c r="H456" s="291">
        <v>2721</v>
      </c>
      <c r="I456" s="292" t="str">
        <f t="shared" si="6"/>
        <v>GooD</v>
      </c>
    </row>
    <row r="457" spans="1:9" ht="15.7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75" thickBot="1">
      <c r="A459" s="288" t="s">
        <v>640</v>
      </c>
      <c r="B459" s="288">
        <v>49000</v>
      </c>
      <c r="C459" s="289">
        <v>10</v>
      </c>
      <c r="D459" s="290">
        <v>0.21</v>
      </c>
      <c r="E459" s="291">
        <v>8585</v>
      </c>
      <c r="F459" s="291">
        <v>57585</v>
      </c>
      <c r="G459" s="291">
        <v>1225</v>
      </c>
      <c r="H459" s="291">
        <v>5636</v>
      </c>
      <c r="I459" s="292" t="str">
        <f t="shared" si="7"/>
        <v>GooD</v>
      </c>
    </row>
    <row r="460" spans="1:9" ht="15.7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75" thickBot="1">
      <c r="A462" s="288" t="s">
        <v>640</v>
      </c>
      <c r="B462" s="288">
        <v>49000</v>
      </c>
      <c r="C462" s="289">
        <v>16</v>
      </c>
      <c r="D462" s="290">
        <v>0.21</v>
      </c>
      <c r="E462" s="291">
        <v>13728</v>
      </c>
      <c r="F462" s="291">
        <v>62728</v>
      </c>
      <c r="G462" s="291">
        <v>1960</v>
      </c>
      <c r="H462" s="291">
        <v>3798</v>
      </c>
      <c r="I462" s="292" t="str">
        <f t="shared" si="7"/>
        <v>GooD</v>
      </c>
    </row>
    <row r="463" spans="1:9" ht="15.7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75" thickBot="1">
      <c r="A465" s="288" t="s">
        <v>640</v>
      </c>
      <c r="B465" s="288">
        <v>49000</v>
      </c>
      <c r="C465" s="289">
        <v>22</v>
      </c>
      <c r="D465" s="290">
        <v>0.21</v>
      </c>
      <c r="E465" s="291">
        <v>18881</v>
      </c>
      <c r="F465" s="291">
        <v>67881</v>
      </c>
      <c r="G465" s="291">
        <v>2695</v>
      </c>
      <c r="H465" s="291">
        <v>2963</v>
      </c>
      <c r="I465" s="292" t="str">
        <f t="shared" si="7"/>
        <v>GooD</v>
      </c>
    </row>
    <row r="466" spans="1:9" ht="15.7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75" thickBot="1">
      <c r="A468" s="288" t="s">
        <v>640</v>
      </c>
      <c r="B468" s="288">
        <v>50000</v>
      </c>
      <c r="C468" s="289">
        <v>8</v>
      </c>
      <c r="D468" s="290">
        <v>0.21</v>
      </c>
      <c r="E468" s="291">
        <v>7008</v>
      </c>
      <c r="F468" s="291">
        <v>57008</v>
      </c>
      <c r="G468" s="291">
        <v>1000</v>
      </c>
      <c r="H468" s="291">
        <v>7001</v>
      </c>
      <c r="I468" s="292" t="str">
        <f t="shared" si="7"/>
        <v>GooD</v>
      </c>
    </row>
    <row r="469" spans="1:9" ht="15.7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75" thickBot="1">
      <c r="A471" s="288" t="s">
        <v>640</v>
      </c>
      <c r="B471" s="288">
        <v>50000</v>
      </c>
      <c r="C471" s="289">
        <v>14</v>
      </c>
      <c r="D471" s="290">
        <v>0.21</v>
      </c>
      <c r="E471" s="291">
        <v>12258</v>
      </c>
      <c r="F471" s="291">
        <v>62258</v>
      </c>
      <c r="G471" s="291">
        <v>1750</v>
      </c>
      <c r="H471" s="291">
        <v>4322</v>
      </c>
      <c r="I471" s="292" t="str">
        <f t="shared" si="7"/>
        <v>GooD</v>
      </c>
    </row>
    <row r="472" spans="1:9" ht="15.7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75" thickBot="1">
      <c r="A474" s="288" t="s">
        <v>640</v>
      </c>
      <c r="B474" s="288">
        <v>50000</v>
      </c>
      <c r="C474" s="289">
        <v>20</v>
      </c>
      <c r="D474" s="290">
        <v>0.21</v>
      </c>
      <c r="E474" s="291">
        <v>17520</v>
      </c>
      <c r="F474" s="291">
        <v>67520</v>
      </c>
      <c r="G474" s="291">
        <v>2500</v>
      </c>
      <c r="H474" s="291">
        <v>3251</v>
      </c>
      <c r="I474" s="292" t="str">
        <f t="shared" si="7"/>
        <v>GooD</v>
      </c>
    </row>
    <row r="475" spans="1:9" ht="15.7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75" thickBot="1">
      <c r="A477" s="288" t="s">
        <v>653</v>
      </c>
      <c r="B477" s="288">
        <v>6000</v>
      </c>
      <c r="C477" s="289">
        <v>4</v>
      </c>
      <c r="D477" s="290">
        <v>0.21</v>
      </c>
      <c r="E477" s="291">
        <v>424</v>
      </c>
      <c r="F477" s="291">
        <v>6424</v>
      </c>
      <c r="G477" s="291">
        <v>60</v>
      </c>
      <c r="H477" s="291">
        <v>1591</v>
      </c>
      <c r="I477" s="292" t="str">
        <f t="shared" si="7"/>
        <v>GooD</v>
      </c>
    </row>
    <row r="478" spans="1:9" ht="15.7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75" thickBot="1">
      <c r="A482" s="288" t="s">
        <v>653</v>
      </c>
      <c r="B482" s="288">
        <v>6500</v>
      </c>
      <c r="C482" s="289">
        <v>4</v>
      </c>
      <c r="D482" s="290">
        <v>0.21</v>
      </c>
      <c r="E482" s="291">
        <v>457</v>
      </c>
      <c r="F482" s="291">
        <v>6957</v>
      </c>
      <c r="G482" s="291">
        <v>65</v>
      </c>
      <c r="H482" s="291">
        <v>1723</v>
      </c>
      <c r="I482" s="292" t="str">
        <f t="shared" si="7"/>
        <v>GooD</v>
      </c>
    </row>
    <row r="483" spans="1:9" ht="15.7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75" thickBot="1">
      <c r="A487" s="288" t="s">
        <v>653</v>
      </c>
      <c r="B487" s="288">
        <v>7000</v>
      </c>
      <c r="C487" s="289">
        <v>4</v>
      </c>
      <c r="D487" s="290">
        <v>0.21</v>
      </c>
      <c r="E487" s="291">
        <v>494</v>
      </c>
      <c r="F487" s="291">
        <v>7494</v>
      </c>
      <c r="G487" s="291">
        <v>70</v>
      </c>
      <c r="H487" s="291">
        <v>1856</v>
      </c>
      <c r="I487" s="292" t="str">
        <f t="shared" si="7"/>
        <v>GooD</v>
      </c>
    </row>
    <row r="488" spans="1:9" ht="15.7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75" thickBot="1">
      <c r="A492" s="288" t="s">
        <v>653</v>
      </c>
      <c r="B492" s="288">
        <v>7500</v>
      </c>
      <c r="C492" s="289">
        <v>4</v>
      </c>
      <c r="D492" s="290">
        <v>0.21</v>
      </c>
      <c r="E492" s="291">
        <v>527</v>
      </c>
      <c r="F492" s="291">
        <v>8027</v>
      </c>
      <c r="G492" s="291">
        <v>75</v>
      </c>
      <c r="H492" s="291">
        <v>1988</v>
      </c>
      <c r="I492" s="292" t="str">
        <f t="shared" si="7"/>
        <v>GooD</v>
      </c>
    </row>
    <row r="493" spans="1:9" ht="15.7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75" thickBot="1">
      <c r="A497" s="288" t="s">
        <v>653</v>
      </c>
      <c r="B497" s="288">
        <v>8000</v>
      </c>
      <c r="C497" s="289">
        <v>4</v>
      </c>
      <c r="D497" s="290">
        <v>0.21</v>
      </c>
      <c r="E497" s="291">
        <v>564</v>
      </c>
      <c r="F497" s="291">
        <v>8564</v>
      </c>
      <c r="G497" s="291">
        <v>80</v>
      </c>
      <c r="H497" s="291">
        <v>2121</v>
      </c>
      <c r="I497" s="292" t="str">
        <f t="shared" si="7"/>
        <v>GooD</v>
      </c>
    </row>
    <row r="498" spans="1:9" ht="15.7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75" thickBot="1">
      <c r="A502" s="288" t="s">
        <v>653</v>
      </c>
      <c r="B502" s="288">
        <v>8500</v>
      </c>
      <c r="C502" s="289">
        <v>4</v>
      </c>
      <c r="D502" s="290">
        <v>0.21</v>
      </c>
      <c r="E502" s="291">
        <v>597</v>
      </c>
      <c r="F502" s="291">
        <v>9097</v>
      </c>
      <c r="G502" s="291">
        <v>85</v>
      </c>
      <c r="H502" s="291">
        <v>2253</v>
      </c>
      <c r="I502" s="292" t="str">
        <f t="shared" si="7"/>
        <v>GooD</v>
      </c>
    </row>
    <row r="503" spans="1:9" ht="15.7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75" thickBot="1">
      <c r="A507" s="288" t="s">
        <v>653</v>
      </c>
      <c r="B507" s="288">
        <v>9000</v>
      </c>
      <c r="C507" s="289">
        <v>4</v>
      </c>
      <c r="D507" s="290">
        <v>0.21</v>
      </c>
      <c r="E507" s="291">
        <v>634</v>
      </c>
      <c r="F507" s="291">
        <v>9634</v>
      </c>
      <c r="G507" s="291">
        <v>90</v>
      </c>
      <c r="H507" s="291">
        <v>2386</v>
      </c>
      <c r="I507" s="292" t="str">
        <f t="shared" si="7"/>
        <v>GooD</v>
      </c>
    </row>
    <row r="508" spans="1:9" ht="15.7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75" thickBot="1">
      <c r="A512" s="288" t="s">
        <v>653</v>
      </c>
      <c r="B512" s="288">
        <v>9500</v>
      </c>
      <c r="C512" s="289">
        <v>4</v>
      </c>
      <c r="D512" s="290">
        <v>0.21</v>
      </c>
      <c r="E512" s="291">
        <v>667</v>
      </c>
      <c r="F512" s="291">
        <v>10167</v>
      </c>
      <c r="G512" s="291">
        <v>95</v>
      </c>
      <c r="H512" s="291">
        <v>2518</v>
      </c>
      <c r="I512" s="292" t="str">
        <f t="shared" si="7"/>
        <v>GooD</v>
      </c>
    </row>
    <row r="513" spans="1:9" ht="15.7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75" thickBot="1">
      <c r="A517" s="288" t="s">
        <v>653</v>
      </c>
      <c r="B517" s="288">
        <v>10000</v>
      </c>
      <c r="C517" s="289">
        <v>4</v>
      </c>
      <c r="D517" s="290">
        <v>0.21</v>
      </c>
      <c r="E517" s="291">
        <v>704</v>
      </c>
      <c r="F517" s="291">
        <v>10704</v>
      </c>
      <c r="G517" s="291">
        <v>100</v>
      </c>
      <c r="H517" s="291">
        <v>2651</v>
      </c>
      <c r="I517" s="292" t="str">
        <f t="shared" si="7"/>
        <v>GooD</v>
      </c>
    </row>
    <row r="518" spans="1:9" ht="15.7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7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7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75" thickBot="1">
      <c r="A527" s="288" t="s">
        <v>653</v>
      </c>
      <c r="B527" s="288">
        <v>11000</v>
      </c>
      <c r="C527" s="289">
        <v>4</v>
      </c>
      <c r="D527" s="290">
        <v>0.21</v>
      </c>
      <c r="E527" s="291">
        <v>774</v>
      </c>
      <c r="F527" s="291">
        <v>11774</v>
      </c>
      <c r="G527" s="291">
        <v>110</v>
      </c>
      <c r="H527" s="291">
        <v>2916</v>
      </c>
      <c r="I527" s="292" t="str">
        <f t="shared" si="8"/>
        <v>GooD</v>
      </c>
    </row>
    <row r="528" spans="1:9" ht="15.7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75" thickBot="1">
      <c r="A532" s="288" t="s">
        <v>653</v>
      </c>
      <c r="B532" s="288">
        <v>11500</v>
      </c>
      <c r="C532" s="289">
        <v>4</v>
      </c>
      <c r="D532" s="290">
        <v>0.21</v>
      </c>
      <c r="E532" s="291">
        <v>807</v>
      </c>
      <c r="F532" s="291">
        <v>12307</v>
      </c>
      <c r="G532" s="291">
        <v>115</v>
      </c>
      <c r="H532" s="291">
        <v>3048</v>
      </c>
      <c r="I532" s="292" t="str">
        <f t="shared" si="8"/>
        <v>GooD</v>
      </c>
    </row>
    <row r="533" spans="1:9" ht="15.7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75" thickBot="1">
      <c r="A537" s="288" t="s">
        <v>653</v>
      </c>
      <c r="B537" s="288">
        <v>12000</v>
      </c>
      <c r="C537" s="289">
        <v>4</v>
      </c>
      <c r="D537" s="290">
        <v>0.21</v>
      </c>
      <c r="E537" s="291">
        <v>844</v>
      </c>
      <c r="F537" s="291">
        <v>12844</v>
      </c>
      <c r="G537" s="291">
        <v>120</v>
      </c>
      <c r="H537" s="291">
        <v>3181</v>
      </c>
      <c r="I537" s="292" t="str">
        <f t="shared" si="8"/>
        <v>GooD</v>
      </c>
    </row>
    <row r="538" spans="1:9" ht="15.7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75" thickBot="1">
      <c r="A542" s="288" t="s">
        <v>653</v>
      </c>
      <c r="B542" s="288">
        <v>12500</v>
      </c>
      <c r="C542" s="289">
        <v>4</v>
      </c>
      <c r="D542" s="290">
        <v>0.21</v>
      </c>
      <c r="E542" s="291">
        <v>877</v>
      </c>
      <c r="F542" s="291">
        <v>13377</v>
      </c>
      <c r="G542" s="291">
        <v>125</v>
      </c>
      <c r="H542" s="291">
        <v>3313</v>
      </c>
      <c r="I542" s="292" t="str">
        <f t="shared" si="8"/>
        <v>GooD</v>
      </c>
    </row>
    <row r="543" spans="1:9" ht="15.7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75" thickBot="1">
      <c r="A547" s="288" t="s">
        <v>653</v>
      </c>
      <c r="B547" s="288">
        <v>13000</v>
      </c>
      <c r="C547" s="289">
        <v>4</v>
      </c>
      <c r="D547" s="290">
        <v>0.21</v>
      </c>
      <c r="E547" s="291">
        <v>914</v>
      </c>
      <c r="F547" s="291">
        <v>13914</v>
      </c>
      <c r="G547" s="291">
        <v>130</v>
      </c>
      <c r="H547" s="291">
        <v>3446</v>
      </c>
      <c r="I547" s="292" t="str">
        <f t="shared" si="8"/>
        <v>GooD</v>
      </c>
    </row>
    <row r="548" spans="1:9" ht="15.7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75" thickBot="1">
      <c r="A552" s="288" t="s">
        <v>653</v>
      </c>
      <c r="B552" s="288">
        <v>13500</v>
      </c>
      <c r="C552" s="289">
        <v>4</v>
      </c>
      <c r="D552" s="290">
        <v>0.21</v>
      </c>
      <c r="E552" s="291">
        <v>947</v>
      </c>
      <c r="F552" s="291">
        <v>14447</v>
      </c>
      <c r="G552" s="291">
        <v>135</v>
      </c>
      <c r="H552" s="291">
        <v>3578</v>
      </c>
      <c r="I552" s="292" t="str">
        <f t="shared" si="8"/>
        <v>GooD</v>
      </c>
    </row>
    <row r="553" spans="1:9" ht="15.7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75" thickBot="1">
      <c r="A557" s="288" t="s">
        <v>653</v>
      </c>
      <c r="B557" s="288">
        <v>14000</v>
      </c>
      <c r="C557" s="289">
        <v>4</v>
      </c>
      <c r="D557" s="290">
        <v>0.21</v>
      </c>
      <c r="E557" s="291">
        <v>984</v>
      </c>
      <c r="F557" s="291">
        <v>14984</v>
      </c>
      <c r="G557" s="291">
        <v>140</v>
      </c>
      <c r="H557" s="291">
        <v>3711</v>
      </c>
      <c r="I557" s="292" t="str">
        <f t="shared" si="8"/>
        <v>GooD</v>
      </c>
    </row>
    <row r="558" spans="1:9" ht="15.7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75" thickBot="1">
      <c r="A562" s="288" t="s">
        <v>653</v>
      </c>
      <c r="B562" s="288">
        <v>14500</v>
      </c>
      <c r="C562" s="289">
        <v>6</v>
      </c>
      <c r="D562" s="290">
        <v>0.21</v>
      </c>
      <c r="E562" s="291">
        <v>1528</v>
      </c>
      <c r="F562" s="291">
        <v>16028</v>
      </c>
      <c r="G562" s="291">
        <v>218</v>
      </c>
      <c r="H562" s="291">
        <v>2635</v>
      </c>
      <c r="I562" s="292" t="str">
        <f t="shared" si="8"/>
        <v>GooD</v>
      </c>
    </row>
    <row r="563" spans="1:9" ht="15.7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75" thickBot="1">
      <c r="A567" s="288" t="s">
        <v>653</v>
      </c>
      <c r="B567" s="288">
        <v>14500</v>
      </c>
      <c r="C567" s="289">
        <v>16</v>
      </c>
      <c r="D567" s="290">
        <v>0.21</v>
      </c>
      <c r="E567" s="291">
        <v>4064</v>
      </c>
      <c r="F567" s="291">
        <v>18564</v>
      </c>
      <c r="G567" s="291">
        <v>580</v>
      </c>
      <c r="H567" s="291">
        <v>1124</v>
      </c>
      <c r="I567" s="292" t="str">
        <f t="shared" si="8"/>
        <v>GooD</v>
      </c>
    </row>
    <row r="568" spans="1:9" ht="15.7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75" thickBot="1">
      <c r="A572" s="288" t="s">
        <v>653</v>
      </c>
      <c r="B572" s="288">
        <v>15000</v>
      </c>
      <c r="C572" s="289">
        <v>12</v>
      </c>
      <c r="D572" s="290">
        <v>0.21</v>
      </c>
      <c r="E572" s="291">
        <v>3162</v>
      </c>
      <c r="F572" s="291">
        <v>18162</v>
      </c>
      <c r="G572" s="291">
        <v>450</v>
      </c>
      <c r="H572" s="291">
        <v>1476</v>
      </c>
      <c r="I572" s="292" t="str">
        <f t="shared" si="8"/>
        <v>GooD</v>
      </c>
    </row>
    <row r="573" spans="1:9" ht="15.7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75" thickBot="1">
      <c r="A577" s="288" t="s">
        <v>653</v>
      </c>
      <c r="B577" s="288">
        <v>15500</v>
      </c>
      <c r="C577" s="289">
        <v>8</v>
      </c>
      <c r="D577" s="290">
        <v>0.21</v>
      </c>
      <c r="E577" s="291">
        <v>2178</v>
      </c>
      <c r="F577" s="291">
        <v>17678</v>
      </c>
      <c r="G577" s="291">
        <v>310</v>
      </c>
      <c r="H577" s="291">
        <v>2171</v>
      </c>
      <c r="I577" s="292" t="str">
        <f t="shared" si="8"/>
        <v>GooD</v>
      </c>
    </row>
    <row r="578" spans="1:9" ht="15.7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75" thickBot="1">
      <c r="A582" s="288" t="s">
        <v>653</v>
      </c>
      <c r="B582" s="288">
        <v>15500</v>
      </c>
      <c r="C582" s="289">
        <v>18</v>
      </c>
      <c r="D582" s="290">
        <v>0.21</v>
      </c>
      <c r="E582" s="291">
        <v>4890</v>
      </c>
      <c r="F582" s="291">
        <v>20390</v>
      </c>
      <c r="G582" s="291">
        <v>698</v>
      </c>
      <c r="H582" s="291">
        <v>1094</v>
      </c>
      <c r="I582" s="292" t="str">
        <f t="shared" si="8"/>
        <v>GooD</v>
      </c>
    </row>
    <row r="583" spans="1:9" ht="15.7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75" thickBot="1">
      <c r="A587" s="288" t="s">
        <v>653</v>
      </c>
      <c r="B587" s="288">
        <v>16000</v>
      </c>
      <c r="C587" s="289">
        <v>14</v>
      </c>
      <c r="D587" s="290">
        <v>0.21</v>
      </c>
      <c r="E587" s="291">
        <v>3922</v>
      </c>
      <c r="F587" s="291">
        <v>19922</v>
      </c>
      <c r="G587" s="291">
        <v>560</v>
      </c>
      <c r="H587" s="291">
        <v>1383</v>
      </c>
      <c r="I587" s="292" t="str">
        <f t="shared" si="9"/>
        <v>GooD</v>
      </c>
    </row>
    <row r="588" spans="1:9" ht="15.7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75" thickBot="1">
      <c r="A592" s="288" t="s">
        <v>653</v>
      </c>
      <c r="B592" s="288">
        <v>16500</v>
      </c>
      <c r="C592" s="289">
        <v>10</v>
      </c>
      <c r="D592" s="290">
        <v>0.21</v>
      </c>
      <c r="E592" s="291">
        <v>2893</v>
      </c>
      <c r="F592" s="291">
        <v>19393</v>
      </c>
      <c r="G592" s="291">
        <v>413</v>
      </c>
      <c r="H592" s="291">
        <v>1898</v>
      </c>
      <c r="I592" s="292" t="str">
        <f t="shared" si="9"/>
        <v>GooD</v>
      </c>
    </row>
    <row r="593" spans="1:9" ht="15.7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75" thickBot="1">
      <c r="A597" s="288" t="s">
        <v>653</v>
      </c>
      <c r="B597" s="288">
        <v>17000</v>
      </c>
      <c r="C597" s="289">
        <v>6</v>
      </c>
      <c r="D597" s="290">
        <v>0.21</v>
      </c>
      <c r="E597" s="291">
        <v>1789</v>
      </c>
      <c r="F597" s="291">
        <v>18789</v>
      </c>
      <c r="G597" s="291">
        <v>255</v>
      </c>
      <c r="H597" s="291">
        <v>3089</v>
      </c>
      <c r="I597" s="292" t="str">
        <f t="shared" si="9"/>
        <v>GooD</v>
      </c>
    </row>
    <row r="598" spans="1:9" ht="15.7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75" thickBot="1">
      <c r="A602" s="288" t="s">
        <v>653</v>
      </c>
      <c r="B602" s="288">
        <v>17000</v>
      </c>
      <c r="C602" s="289">
        <v>16</v>
      </c>
      <c r="D602" s="290">
        <v>0.21</v>
      </c>
      <c r="E602" s="291">
        <v>4768</v>
      </c>
      <c r="F602" s="291">
        <v>21768</v>
      </c>
      <c r="G602" s="291">
        <v>680</v>
      </c>
      <c r="H602" s="291">
        <v>1318</v>
      </c>
      <c r="I602" s="292" t="str">
        <f t="shared" si="9"/>
        <v>GooD</v>
      </c>
    </row>
    <row r="603" spans="1:9" ht="15.7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75" thickBot="1">
      <c r="A607" s="288" t="s">
        <v>653</v>
      </c>
      <c r="B607" s="288">
        <v>17500</v>
      </c>
      <c r="C607" s="289">
        <v>12</v>
      </c>
      <c r="D607" s="290">
        <v>0.21</v>
      </c>
      <c r="E607" s="291">
        <v>3677</v>
      </c>
      <c r="F607" s="291">
        <v>21177</v>
      </c>
      <c r="G607" s="291">
        <v>525</v>
      </c>
      <c r="H607" s="291">
        <v>1721</v>
      </c>
      <c r="I607" s="292" t="str">
        <f t="shared" si="9"/>
        <v>GooD</v>
      </c>
    </row>
    <row r="608" spans="1:9" ht="15.7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75" thickBot="1">
      <c r="A612" s="288" t="s">
        <v>653</v>
      </c>
      <c r="B612" s="288">
        <v>18000</v>
      </c>
      <c r="C612" s="289">
        <v>8</v>
      </c>
      <c r="D612" s="290">
        <v>0.21</v>
      </c>
      <c r="E612" s="291">
        <v>2528</v>
      </c>
      <c r="F612" s="291">
        <v>20528</v>
      </c>
      <c r="G612" s="291">
        <v>360</v>
      </c>
      <c r="H612" s="291">
        <v>2521</v>
      </c>
      <c r="I612" s="292" t="str">
        <f t="shared" si="9"/>
        <v>GooD</v>
      </c>
    </row>
    <row r="613" spans="1:9" ht="15.7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75" thickBot="1">
      <c r="A617" s="288" t="s">
        <v>653</v>
      </c>
      <c r="B617" s="288">
        <v>18000</v>
      </c>
      <c r="C617" s="289">
        <v>18</v>
      </c>
      <c r="D617" s="290">
        <v>0.21</v>
      </c>
      <c r="E617" s="291">
        <v>5688</v>
      </c>
      <c r="F617" s="291">
        <v>23688</v>
      </c>
      <c r="G617" s="291">
        <v>810</v>
      </c>
      <c r="H617" s="291">
        <v>1271</v>
      </c>
      <c r="I617" s="292" t="str">
        <f t="shared" si="9"/>
        <v>GooD</v>
      </c>
    </row>
    <row r="618" spans="1:9" ht="15.7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75" thickBot="1">
      <c r="A624" s="288" t="s">
        <v>653</v>
      </c>
      <c r="B624" s="288">
        <v>18500</v>
      </c>
      <c r="C624" s="289">
        <v>18</v>
      </c>
      <c r="D624" s="290">
        <v>0.21</v>
      </c>
      <c r="E624" s="291">
        <v>5841</v>
      </c>
      <c r="F624" s="291">
        <v>24341</v>
      </c>
      <c r="G624" s="291">
        <v>833</v>
      </c>
      <c r="H624" s="291">
        <v>1306</v>
      </c>
      <c r="I624" s="292" t="str">
        <f t="shared" si="9"/>
        <v>GooD</v>
      </c>
    </row>
    <row r="625" spans="1:9" ht="15.7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75" thickBot="1">
      <c r="A627" s="288" t="s">
        <v>653</v>
      </c>
      <c r="B627" s="288">
        <v>19000</v>
      </c>
      <c r="C627" s="289">
        <v>10</v>
      </c>
      <c r="D627" s="290">
        <v>0.21</v>
      </c>
      <c r="E627" s="291">
        <v>3335</v>
      </c>
      <c r="F627" s="291">
        <v>22335</v>
      </c>
      <c r="G627" s="291">
        <v>475</v>
      </c>
      <c r="H627" s="291">
        <v>2186</v>
      </c>
      <c r="I627" s="292" t="str">
        <f t="shared" si="9"/>
        <v>GooD</v>
      </c>
    </row>
    <row r="628" spans="1:9" ht="15.7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75" thickBot="1">
      <c r="A630" s="288" t="s">
        <v>653</v>
      </c>
      <c r="B630" s="288">
        <v>19000</v>
      </c>
      <c r="C630" s="289">
        <v>16</v>
      </c>
      <c r="D630" s="290">
        <v>0.21</v>
      </c>
      <c r="E630" s="291">
        <v>5328</v>
      </c>
      <c r="F630" s="291">
        <v>24328</v>
      </c>
      <c r="G630" s="291">
        <v>760</v>
      </c>
      <c r="H630" s="291">
        <v>1473</v>
      </c>
      <c r="I630" s="292" t="str">
        <f t="shared" si="9"/>
        <v>GooD</v>
      </c>
    </row>
    <row r="631" spans="1:9" ht="15.7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75" thickBot="1">
      <c r="A633" s="288" t="s">
        <v>653</v>
      </c>
      <c r="B633" s="288">
        <v>19500</v>
      </c>
      <c r="C633" s="289">
        <v>8</v>
      </c>
      <c r="D633" s="290">
        <v>0.21</v>
      </c>
      <c r="E633" s="291">
        <v>2738</v>
      </c>
      <c r="F633" s="291">
        <v>22238</v>
      </c>
      <c r="G633" s="291">
        <v>390</v>
      </c>
      <c r="H633" s="291">
        <v>2731</v>
      </c>
      <c r="I633" s="292" t="str">
        <f t="shared" si="9"/>
        <v>GooD</v>
      </c>
    </row>
    <row r="634" spans="1:9" ht="15.7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75" thickBot="1">
      <c r="A636" s="288" t="s">
        <v>653</v>
      </c>
      <c r="B636" s="288">
        <v>19500</v>
      </c>
      <c r="C636" s="289">
        <v>14</v>
      </c>
      <c r="D636" s="290">
        <v>0.21</v>
      </c>
      <c r="E636" s="291">
        <v>4787</v>
      </c>
      <c r="F636" s="291">
        <v>24287</v>
      </c>
      <c r="G636" s="291">
        <v>683</v>
      </c>
      <c r="H636" s="291">
        <v>1686</v>
      </c>
      <c r="I636" s="292" t="str">
        <f t="shared" si="9"/>
        <v>GooD</v>
      </c>
    </row>
    <row r="637" spans="1:9" ht="15.7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75" thickBot="1">
      <c r="A639" s="288" t="s">
        <v>653</v>
      </c>
      <c r="B639" s="288">
        <v>20000</v>
      </c>
      <c r="C639" s="289">
        <v>6</v>
      </c>
      <c r="D639" s="290">
        <v>0.21</v>
      </c>
      <c r="E639" s="291">
        <v>2104</v>
      </c>
      <c r="F639" s="291">
        <v>22104</v>
      </c>
      <c r="G639" s="291">
        <v>300</v>
      </c>
      <c r="H639" s="291">
        <v>3634</v>
      </c>
      <c r="I639" s="292" t="str">
        <f t="shared" si="9"/>
        <v>GooD</v>
      </c>
    </row>
    <row r="640" spans="1:9" ht="15.7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75" thickBot="1">
      <c r="A642" s="288" t="s">
        <v>653</v>
      </c>
      <c r="B642" s="288">
        <v>20000</v>
      </c>
      <c r="C642" s="289">
        <v>12</v>
      </c>
      <c r="D642" s="290">
        <v>0.21</v>
      </c>
      <c r="E642" s="291">
        <v>4204</v>
      </c>
      <c r="F642" s="291">
        <v>24204</v>
      </c>
      <c r="G642" s="291">
        <v>600</v>
      </c>
      <c r="H642" s="291">
        <v>1967</v>
      </c>
      <c r="I642" s="292" t="str">
        <f t="shared" si="9"/>
        <v>GooD</v>
      </c>
    </row>
    <row r="643" spans="1:9" ht="15.7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75" thickBot="1">
      <c r="A645" s="288" t="s">
        <v>653</v>
      </c>
      <c r="B645" s="288">
        <v>20000</v>
      </c>
      <c r="C645" s="289">
        <v>18</v>
      </c>
      <c r="D645" s="290">
        <v>0.21</v>
      </c>
      <c r="E645" s="291">
        <v>6316</v>
      </c>
      <c r="F645" s="291">
        <v>26316</v>
      </c>
      <c r="G645" s="291">
        <v>900</v>
      </c>
      <c r="H645" s="291">
        <v>1412</v>
      </c>
      <c r="I645" s="292" t="str">
        <f t="shared" si="9"/>
        <v>GooD</v>
      </c>
    </row>
    <row r="646" spans="1:9" ht="15.7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75" thickBot="1">
      <c r="A648" s="288" t="s">
        <v>653</v>
      </c>
      <c r="B648" s="288">
        <v>20000</v>
      </c>
      <c r="C648" s="289">
        <v>24</v>
      </c>
      <c r="D648" s="290">
        <v>0.21</v>
      </c>
      <c r="E648" s="291">
        <v>8416</v>
      </c>
      <c r="F648" s="291">
        <v>28416</v>
      </c>
      <c r="G648" s="291">
        <v>1200</v>
      </c>
      <c r="H648" s="291">
        <v>1134</v>
      </c>
      <c r="I648" s="292" t="str">
        <f t="shared" si="9"/>
        <v>GooD</v>
      </c>
    </row>
    <row r="649" spans="1:9" ht="15.7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7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7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75" thickBot="1">
      <c r="A654" s="288" t="s">
        <v>653</v>
      </c>
      <c r="B654" s="288">
        <v>21000</v>
      </c>
      <c r="C654" s="289">
        <v>16</v>
      </c>
      <c r="D654" s="290">
        <v>0.21</v>
      </c>
      <c r="E654" s="291">
        <v>5888</v>
      </c>
      <c r="F654" s="291">
        <v>26888</v>
      </c>
      <c r="G654" s="291">
        <v>840</v>
      </c>
      <c r="H654" s="291">
        <v>1628</v>
      </c>
      <c r="I654" s="292" t="str">
        <f t="shared" si="10"/>
        <v>GooD</v>
      </c>
    </row>
    <row r="655" spans="1:9" ht="15.7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75" thickBot="1">
      <c r="A657" s="288" t="s">
        <v>653</v>
      </c>
      <c r="B657" s="288">
        <v>21000</v>
      </c>
      <c r="C657" s="289">
        <v>22</v>
      </c>
      <c r="D657" s="290">
        <v>0.21</v>
      </c>
      <c r="E657" s="291">
        <v>8095</v>
      </c>
      <c r="F657" s="291">
        <v>29095</v>
      </c>
      <c r="G657" s="291">
        <v>1155</v>
      </c>
      <c r="H657" s="291">
        <v>1270</v>
      </c>
      <c r="I657" s="292" t="str">
        <f t="shared" si="10"/>
        <v>GooD</v>
      </c>
    </row>
    <row r="658" spans="1:9" ht="15.7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75" thickBot="1">
      <c r="A660" s="288" t="s">
        <v>653</v>
      </c>
      <c r="B660" s="288">
        <v>22000</v>
      </c>
      <c r="C660" s="289">
        <v>8</v>
      </c>
      <c r="D660" s="290">
        <v>0.21</v>
      </c>
      <c r="E660" s="291">
        <v>3088</v>
      </c>
      <c r="F660" s="291">
        <v>25088</v>
      </c>
      <c r="G660" s="291">
        <v>440</v>
      </c>
      <c r="H660" s="291">
        <v>3081</v>
      </c>
      <c r="I660" s="292" t="str">
        <f t="shared" si="10"/>
        <v>GooD</v>
      </c>
    </row>
    <row r="661" spans="1:9" ht="15.7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75" thickBot="1">
      <c r="A663" s="288" t="s">
        <v>653</v>
      </c>
      <c r="B663" s="288">
        <v>22000</v>
      </c>
      <c r="C663" s="289">
        <v>14</v>
      </c>
      <c r="D663" s="290">
        <v>0.21</v>
      </c>
      <c r="E663" s="291">
        <v>5398</v>
      </c>
      <c r="F663" s="291">
        <v>27398</v>
      </c>
      <c r="G663" s="291">
        <v>770</v>
      </c>
      <c r="H663" s="291">
        <v>1902</v>
      </c>
      <c r="I663" s="292" t="str">
        <f t="shared" si="10"/>
        <v>GooD</v>
      </c>
    </row>
    <row r="664" spans="1:9" ht="15.7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75" thickBot="1">
      <c r="A666" s="288" t="s">
        <v>653</v>
      </c>
      <c r="B666" s="288">
        <v>22000</v>
      </c>
      <c r="C666" s="289">
        <v>20</v>
      </c>
      <c r="D666" s="290">
        <v>0.21</v>
      </c>
      <c r="E666" s="291">
        <v>7720</v>
      </c>
      <c r="F666" s="291">
        <v>29720</v>
      </c>
      <c r="G666" s="291">
        <v>1100</v>
      </c>
      <c r="H666" s="291">
        <v>1431</v>
      </c>
      <c r="I666" s="292" t="str">
        <f t="shared" si="10"/>
        <v>GooD</v>
      </c>
    </row>
    <row r="667" spans="1:9" ht="15.7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75" thickBot="1">
      <c r="A669" s="288" t="s">
        <v>653</v>
      </c>
      <c r="B669" s="288">
        <v>23000</v>
      </c>
      <c r="C669" s="289">
        <v>6</v>
      </c>
      <c r="D669" s="290">
        <v>0.21</v>
      </c>
      <c r="E669" s="291">
        <v>2419</v>
      </c>
      <c r="F669" s="291">
        <v>25419</v>
      </c>
      <c r="G669" s="291">
        <v>345</v>
      </c>
      <c r="H669" s="291">
        <v>4179</v>
      </c>
      <c r="I669" s="292" t="str">
        <f t="shared" si="10"/>
        <v>GooD</v>
      </c>
    </row>
    <row r="670" spans="1:9" ht="15.7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75" thickBot="1">
      <c r="A672" s="288" t="s">
        <v>653</v>
      </c>
      <c r="B672" s="288">
        <v>23000</v>
      </c>
      <c r="C672" s="289">
        <v>12</v>
      </c>
      <c r="D672" s="290">
        <v>0.21</v>
      </c>
      <c r="E672" s="291">
        <v>4834</v>
      </c>
      <c r="F672" s="291">
        <v>27834</v>
      </c>
      <c r="G672" s="291">
        <v>690</v>
      </c>
      <c r="H672" s="291">
        <v>2262</v>
      </c>
      <c r="I672" s="292" t="str">
        <f t="shared" si="10"/>
        <v>GooD</v>
      </c>
    </row>
    <row r="673" spans="1:9" ht="15.7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75" thickBot="1">
      <c r="A675" s="288" t="s">
        <v>653</v>
      </c>
      <c r="B675" s="288">
        <v>23000</v>
      </c>
      <c r="C675" s="289">
        <v>18</v>
      </c>
      <c r="D675" s="290">
        <v>0.21</v>
      </c>
      <c r="E675" s="291">
        <v>7249</v>
      </c>
      <c r="F675" s="291">
        <v>30249</v>
      </c>
      <c r="G675" s="291">
        <v>1035</v>
      </c>
      <c r="H675" s="291">
        <v>1623</v>
      </c>
      <c r="I675" s="292" t="str">
        <f t="shared" si="10"/>
        <v>GooD</v>
      </c>
    </row>
    <row r="676" spans="1:9" ht="15.7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75" thickBot="1">
      <c r="A678" s="288" t="s">
        <v>653</v>
      </c>
      <c r="B678" s="288">
        <v>23000</v>
      </c>
      <c r="C678" s="289">
        <v>24</v>
      </c>
      <c r="D678" s="290">
        <v>0.21</v>
      </c>
      <c r="E678" s="291">
        <v>9676</v>
      </c>
      <c r="F678" s="291">
        <v>32676</v>
      </c>
      <c r="G678" s="291">
        <v>1380</v>
      </c>
      <c r="H678" s="291">
        <v>1304</v>
      </c>
      <c r="I678" s="292" t="str">
        <f t="shared" si="10"/>
        <v>GooD</v>
      </c>
    </row>
    <row r="679" spans="1:9" ht="15.7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75" thickBot="1">
      <c r="A681" s="288" t="s">
        <v>653</v>
      </c>
      <c r="B681" s="288">
        <v>24000</v>
      </c>
      <c r="C681" s="289">
        <v>10</v>
      </c>
      <c r="D681" s="290">
        <v>0.21</v>
      </c>
      <c r="E681" s="291">
        <v>4210</v>
      </c>
      <c r="F681" s="291">
        <v>28210</v>
      </c>
      <c r="G681" s="291">
        <v>600</v>
      </c>
      <c r="H681" s="291">
        <v>2761</v>
      </c>
      <c r="I681" s="292" t="str">
        <f t="shared" si="10"/>
        <v>GooD</v>
      </c>
    </row>
    <row r="682" spans="1:9" ht="15.7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75" thickBot="1">
      <c r="A684" s="288" t="s">
        <v>653</v>
      </c>
      <c r="B684" s="288">
        <v>24000</v>
      </c>
      <c r="C684" s="289">
        <v>16</v>
      </c>
      <c r="D684" s="290">
        <v>0.21</v>
      </c>
      <c r="E684" s="291">
        <v>6736</v>
      </c>
      <c r="F684" s="291">
        <v>30736</v>
      </c>
      <c r="G684" s="291">
        <v>960</v>
      </c>
      <c r="H684" s="291">
        <v>1861</v>
      </c>
      <c r="I684" s="292" t="str">
        <f t="shared" si="10"/>
        <v>GooD</v>
      </c>
    </row>
    <row r="685" spans="1:9" ht="15.7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75" thickBot="1">
      <c r="A687" s="288" t="s">
        <v>653</v>
      </c>
      <c r="B687" s="288">
        <v>24000</v>
      </c>
      <c r="C687" s="289">
        <v>22</v>
      </c>
      <c r="D687" s="290">
        <v>0.21</v>
      </c>
      <c r="E687" s="291">
        <v>9242</v>
      </c>
      <c r="F687" s="291">
        <v>33242</v>
      </c>
      <c r="G687" s="291">
        <v>1320</v>
      </c>
      <c r="H687" s="291">
        <v>1451</v>
      </c>
      <c r="I687" s="292" t="str">
        <f t="shared" si="10"/>
        <v>GooD</v>
      </c>
    </row>
    <row r="688" spans="1:9" ht="15.7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75" thickBot="1">
      <c r="A690" s="288" t="s">
        <v>653</v>
      </c>
      <c r="B690" s="288">
        <v>25000</v>
      </c>
      <c r="C690" s="289">
        <v>8</v>
      </c>
      <c r="D690" s="290">
        <v>0.21</v>
      </c>
      <c r="E690" s="291">
        <v>3508</v>
      </c>
      <c r="F690" s="291">
        <v>28508</v>
      </c>
      <c r="G690" s="291">
        <v>500</v>
      </c>
      <c r="H690" s="291">
        <v>3501</v>
      </c>
      <c r="I690" s="292" t="str">
        <f t="shared" si="10"/>
        <v>GooD</v>
      </c>
    </row>
    <row r="691" spans="1:9" ht="15.7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75" thickBot="1">
      <c r="A693" s="288" t="s">
        <v>653</v>
      </c>
      <c r="B693" s="288">
        <v>25000</v>
      </c>
      <c r="C693" s="289">
        <v>14</v>
      </c>
      <c r="D693" s="290">
        <v>0.21</v>
      </c>
      <c r="E693" s="291">
        <v>6129</v>
      </c>
      <c r="F693" s="291">
        <v>31129</v>
      </c>
      <c r="G693" s="291">
        <v>875</v>
      </c>
      <c r="H693" s="291">
        <v>2161</v>
      </c>
      <c r="I693" s="292" t="str">
        <f t="shared" si="10"/>
        <v>GooD</v>
      </c>
    </row>
    <row r="694" spans="1:9" ht="15.7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75" thickBot="1">
      <c r="A696" s="288" t="s">
        <v>653</v>
      </c>
      <c r="B696" s="288">
        <v>25000</v>
      </c>
      <c r="C696" s="289">
        <v>20</v>
      </c>
      <c r="D696" s="290">
        <v>0.21</v>
      </c>
      <c r="E696" s="291">
        <v>8770</v>
      </c>
      <c r="F696" s="291">
        <v>33770</v>
      </c>
      <c r="G696" s="291">
        <v>1250</v>
      </c>
      <c r="H696" s="291">
        <v>1626</v>
      </c>
      <c r="I696" s="292" t="str">
        <f t="shared" si="10"/>
        <v>GooD</v>
      </c>
    </row>
    <row r="697" spans="1:9" ht="15.7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75" thickBot="1">
      <c r="A699" s="288" t="s">
        <v>653</v>
      </c>
      <c r="B699" s="288">
        <v>26000</v>
      </c>
      <c r="C699" s="289">
        <v>6</v>
      </c>
      <c r="D699" s="290">
        <v>0.21</v>
      </c>
      <c r="E699" s="291">
        <v>2734</v>
      </c>
      <c r="F699" s="291">
        <v>28734</v>
      </c>
      <c r="G699" s="291">
        <v>390</v>
      </c>
      <c r="H699" s="291">
        <v>4724</v>
      </c>
      <c r="I699" s="292" t="str">
        <f t="shared" si="10"/>
        <v>GooD</v>
      </c>
    </row>
    <row r="700" spans="1:9" ht="15.7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75" thickBot="1">
      <c r="A702" s="288" t="s">
        <v>653</v>
      </c>
      <c r="B702" s="288">
        <v>26000</v>
      </c>
      <c r="C702" s="289">
        <v>12</v>
      </c>
      <c r="D702" s="290">
        <v>0.21</v>
      </c>
      <c r="E702" s="291">
        <v>5464</v>
      </c>
      <c r="F702" s="291">
        <v>31464</v>
      </c>
      <c r="G702" s="291">
        <v>780</v>
      </c>
      <c r="H702" s="291">
        <v>2557</v>
      </c>
      <c r="I702" s="292" t="str">
        <f t="shared" si="10"/>
        <v>GooD</v>
      </c>
    </row>
    <row r="703" spans="1:9" ht="15.7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75" thickBot="1">
      <c r="A705" s="288" t="s">
        <v>653</v>
      </c>
      <c r="B705" s="288">
        <v>26000</v>
      </c>
      <c r="C705" s="289">
        <v>18</v>
      </c>
      <c r="D705" s="290">
        <v>0.21</v>
      </c>
      <c r="E705" s="291">
        <v>8200</v>
      </c>
      <c r="F705" s="291">
        <v>34200</v>
      </c>
      <c r="G705" s="291">
        <v>1170</v>
      </c>
      <c r="H705" s="291">
        <v>1835</v>
      </c>
      <c r="I705" s="292" t="str">
        <f t="shared" si="10"/>
        <v>GooD</v>
      </c>
    </row>
    <row r="706" spans="1:9" ht="15.7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75" thickBot="1">
      <c r="A708" s="288" t="s">
        <v>653</v>
      </c>
      <c r="B708" s="288">
        <v>26000</v>
      </c>
      <c r="C708" s="289">
        <v>24</v>
      </c>
      <c r="D708" s="290">
        <v>0.21</v>
      </c>
      <c r="E708" s="291">
        <v>10936</v>
      </c>
      <c r="F708" s="291">
        <v>36936</v>
      </c>
      <c r="G708" s="291">
        <v>1560</v>
      </c>
      <c r="H708" s="291">
        <v>1474</v>
      </c>
      <c r="I708" s="292" t="str">
        <f t="shared" si="10"/>
        <v>GooD</v>
      </c>
    </row>
    <row r="709" spans="1:9" ht="15.7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75" thickBot="1">
      <c r="A711" s="288" t="s">
        <v>653</v>
      </c>
      <c r="B711" s="288">
        <v>27000</v>
      </c>
      <c r="C711" s="289">
        <v>10</v>
      </c>
      <c r="D711" s="290">
        <v>0.21</v>
      </c>
      <c r="E711" s="291">
        <v>4735</v>
      </c>
      <c r="F711" s="291">
        <v>31735</v>
      </c>
      <c r="G711" s="291">
        <v>675</v>
      </c>
      <c r="H711" s="291">
        <v>3106</v>
      </c>
      <c r="I711" s="292" t="str">
        <f t="shared" si="10"/>
        <v>GooD</v>
      </c>
    </row>
    <row r="712" spans="1:9" ht="15.7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75" thickBot="1">
      <c r="A714" s="288" t="s">
        <v>653</v>
      </c>
      <c r="B714" s="288">
        <v>27000</v>
      </c>
      <c r="C714" s="289">
        <v>16</v>
      </c>
      <c r="D714" s="290">
        <v>0.21</v>
      </c>
      <c r="E714" s="291">
        <v>7568</v>
      </c>
      <c r="F714" s="291">
        <v>34568</v>
      </c>
      <c r="G714" s="291">
        <v>1080</v>
      </c>
      <c r="H714" s="291">
        <v>2093</v>
      </c>
      <c r="I714" s="292" t="str">
        <f t="shared" si="10"/>
        <v>GooD</v>
      </c>
    </row>
    <row r="715" spans="1:9" ht="15.7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75" thickBot="1">
      <c r="A719" s="288" t="s">
        <v>653</v>
      </c>
      <c r="B719" s="288">
        <v>28000</v>
      </c>
      <c r="C719" s="289">
        <v>6</v>
      </c>
      <c r="D719" s="290">
        <v>0.21</v>
      </c>
      <c r="E719" s="291">
        <v>2942</v>
      </c>
      <c r="F719" s="291">
        <v>30942</v>
      </c>
      <c r="G719" s="291">
        <v>420</v>
      </c>
      <c r="H719" s="291">
        <v>5087</v>
      </c>
      <c r="I719" s="292" t="str">
        <f t="shared" si="11"/>
        <v>GooD</v>
      </c>
    </row>
    <row r="720" spans="1:9" ht="15.7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75" thickBot="1">
      <c r="A724" s="288" t="s">
        <v>653</v>
      </c>
      <c r="B724" s="288">
        <v>28000</v>
      </c>
      <c r="C724" s="289">
        <v>16</v>
      </c>
      <c r="D724" s="290">
        <v>0.21</v>
      </c>
      <c r="E724" s="291">
        <v>7856</v>
      </c>
      <c r="F724" s="291">
        <v>35856</v>
      </c>
      <c r="G724" s="291">
        <v>1120</v>
      </c>
      <c r="H724" s="291">
        <v>2171</v>
      </c>
      <c r="I724" s="292" t="str">
        <f t="shared" si="11"/>
        <v>GooD</v>
      </c>
    </row>
    <row r="725" spans="1:9" ht="15.7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75" thickBot="1">
      <c r="A729" s="288" t="s">
        <v>653</v>
      </c>
      <c r="B729" s="288">
        <v>29000</v>
      </c>
      <c r="C729" s="289">
        <v>6</v>
      </c>
      <c r="D729" s="290">
        <v>0.21</v>
      </c>
      <c r="E729" s="291">
        <v>3049</v>
      </c>
      <c r="F729" s="291">
        <v>32049</v>
      </c>
      <c r="G729" s="291">
        <v>435</v>
      </c>
      <c r="H729" s="291">
        <v>5269</v>
      </c>
      <c r="I729" s="292" t="str">
        <f t="shared" si="11"/>
        <v>GooD</v>
      </c>
    </row>
    <row r="730" spans="1:9" ht="15.7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75" thickBot="1">
      <c r="A734" s="288" t="s">
        <v>653</v>
      </c>
      <c r="B734" s="288">
        <v>29000</v>
      </c>
      <c r="C734" s="289">
        <v>16</v>
      </c>
      <c r="D734" s="290">
        <v>0.21</v>
      </c>
      <c r="E734" s="291">
        <v>8128</v>
      </c>
      <c r="F734" s="291">
        <v>37128</v>
      </c>
      <c r="G734" s="291">
        <v>1160</v>
      </c>
      <c r="H734" s="291">
        <v>2248</v>
      </c>
      <c r="I734" s="292" t="str">
        <f t="shared" si="11"/>
        <v>GooD</v>
      </c>
    </row>
    <row r="735" spans="1:9" ht="15.7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75" thickBot="1">
      <c r="A739" s="288" t="s">
        <v>653</v>
      </c>
      <c r="B739" s="288">
        <v>30000</v>
      </c>
      <c r="C739" s="289">
        <v>6</v>
      </c>
      <c r="D739" s="290">
        <v>0.21</v>
      </c>
      <c r="E739" s="291">
        <v>3156</v>
      </c>
      <c r="F739" s="291">
        <v>33156</v>
      </c>
      <c r="G739" s="291">
        <v>450</v>
      </c>
      <c r="H739" s="291">
        <v>5451</v>
      </c>
      <c r="I739" s="292" t="str">
        <f t="shared" si="11"/>
        <v>GooD</v>
      </c>
    </row>
    <row r="740" spans="1:9" ht="15.7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75" thickBot="1">
      <c r="A744" s="288" t="s">
        <v>653</v>
      </c>
      <c r="B744" s="288">
        <v>30000</v>
      </c>
      <c r="C744" s="289">
        <v>16</v>
      </c>
      <c r="D744" s="290">
        <v>0.21</v>
      </c>
      <c r="E744" s="291">
        <v>8416</v>
      </c>
      <c r="F744" s="291">
        <v>38416</v>
      </c>
      <c r="G744" s="291">
        <v>1200</v>
      </c>
      <c r="H744" s="291">
        <v>2326</v>
      </c>
      <c r="I744" s="292" t="str">
        <f t="shared" si="11"/>
        <v>GooD</v>
      </c>
    </row>
    <row r="745" spans="1:9" ht="15.7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75" thickBot="1">
      <c r="A749" s="288" t="s">
        <v>653</v>
      </c>
      <c r="B749" s="288">
        <v>31000</v>
      </c>
      <c r="C749" s="289">
        <v>6</v>
      </c>
      <c r="D749" s="290">
        <v>0.21</v>
      </c>
      <c r="E749" s="291">
        <v>3257</v>
      </c>
      <c r="F749" s="291">
        <v>34257</v>
      </c>
      <c r="G749" s="291">
        <v>465</v>
      </c>
      <c r="H749" s="291">
        <v>5632</v>
      </c>
      <c r="I749" s="292" t="str">
        <f t="shared" si="11"/>
        <v>GooD</v>
      </c>
    </row>
    <row r="750" spans="1:9" ht="15.7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75" thickBot="1">
      <c r="A754" s="288" t="s">
        <v>653</v>
      </c>
      <c r="B754" s="288">
        <v>31000</v>
      </c>
      <c r="C754" s="289">
        <v>16</v>
      </c>
      <c r="D754" s="290">
        <v>0.21</v>
      </c>
      <c r="E754" s="291">
        <v>8688</v>
      </c>
      <c r="F754" s="291">
        <v>39688</v>
      </c>
      <c r="G754" s="291">
        <v>1240</v>
      </c>
      <c r="H754" s="291">
        <v>2403</v>
      </c>
      <c r="I754" s="292" t="str">
        <f t="shared" si="11"/>
        <v>GooD</v>
      </c>
    </row>
    <row r="755" spans="1:9" ht="15.7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75" thickBot="1">
      <c r="A759" s="288" t="s">
        <v>653</v>
      </c>
      <c r="B759" s="288">
        <v>32000</v>
      </c>
      <c r="C759" s="289">
        <v>6</v>
      </c>
      <c r="D759" s="290">
        <v>0.21</v>
      </c>
      <c r="E759" s="291">
        <v>3364</v>
      </c>
      <c r="F759" s="291">
        <v>35364</v>
      </c>
      <c r="G759" s="291">
        <v>480</v>
      </c>
      <c r="H759" s="291">
        <v>5814</v>
      </c>
      <c r="I759" s="292" t="str">
        <f t="shared" si="11"/>
        <v>GooD</v>
      </c>
    </row>
    <row r="760" spans="1:9" ht="15.7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75" thickBot="1">
      <c r="A764" s="288" t="s">
        <v>653</v>
      </c>
      <c r="B764" s="288">
        <v>32000</v>
      </c>
      <c r="C764" s="289">
        <v>16</v>
      </c>
      <c r="D764" s="290">
        <v>0.21</v>
      </c>
      <c r="E764" s="291">
        <v>8976</v>
      </c>
      <c r="F764" s="291">
        <v>40976</v>
      </c>
      <c r="G764" s="291">
        <v>1280</v>
      </c>
      <c r="H764" s="291">
        <v>2481</v>
      </c>
      <c r="I764" s="292" t="str">
        <f t="shared" si="11"/>
        <v>GooD</v>
      </c>
    </row>
    <row r="765" spans="1:9" ht="15.7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75" thickBot="1">
      <c r="A769" s="288" t="s">
        <v>653</v>
      </c>
      <c r="B769" s="288">
        <v>33000</v>
      </c>
      <c r="C769" s="289">
        <v>6</v>
      </c>
      <c r="D769" s="290">
        <v>0.21</v>
      </c>
      <c r="E769" s="291">
        <v>3471</v>
      </c>
      <c r="F769" s="291">
        <v>36471</v>
      </c>
      <c r="G769" s="291">
        <v>495</v>
      </c>
      <c r="H769" s="291">
        <v>5996</v>
      </c>
      <c r="I769" s="292" t="str">
        <f t="shared" si="11"/>
        <v>GooD</v>
      </c>
    </row>
    <row r="770" spans="1:9" ht="15.7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75" thickBot="1">
      <c r="A774" s="288" t="s">
        <v>653</v>
      </c>
      <c r="B774" s="288">
        <v>33000</v>
      </c>
      <c r="C774" s="289">
        <v>16</v>
      </c>
      <c r="D774" s="290">
        <v>0.21</v>
      </c>
      <c r="E774" s="291">
        <v>9248</v>
      </c>
      <c r="F774" s="291">
        <v>42248</v>
      </c>
      <c r="G774" s="291">
        <v>1320</v>
      </c>
      <c r="H774" s="291">
        <v>2558</v>
      </c>
      <c r="I774" s="292" t="str">
        <f t="shared" si="11"/>
        <v>GooD</v>
      </c>
    </row>
    <row r="775" spans="1:9" ht="15.7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75" thickBot="1">
      <c r="A779" s="288" t="s">
        <v>653</v>
      </c>
      <c r="B779" s="288">
        <v>34000</v>
      </c>
      <c r="C779" s="289">
        <v>6</v>
      </c>
      <c r="D779" s="290">
        <v>0.21</v>
      </c>
      <c r="E779" s="291">
        <v>3572</v>
      </c>
      <c r="F779" s="291">
        <v>37572</v>
      </c>
      <c r="G779" s="291">
        <v>510</v>
      </c>
      <c r="H779" s="291">
        <v>6177</v>
      </c>
      <c r="I779" s="292" t="str">
        <f t="shared" si="11"/>
        <v>GooD</v>
      </c>
    </row>
    <row r="780" spans="1:9" ht="15.7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75" thickBot="1">
      <c r="A784" s="288" t="s">
        <v>653</v>
      </c>
      <c r="B784" s="288">
        <v>34000</v>
      </c>
      <c r="C784" s="289">
        <v>16</v>
      </c>
      <c r="D784" s="290">
        <v>0.21</v>
      </c>
      <c r="E784" s="291">
        <v>9536</v>
      </c>
      <c r="F784" s="291">
        <v>43536</v>
      </c>
      <c r="G784" s="291">
        <v>1360</v>
      </c>
      <c r="H784" s="291">
        <v>2636</v>
      </c>
      <c r="I784" s="292" t="str">
        <f t="shared" si="12"/>
        <v>GooD</v>
      </c>
    </row>
    <row r="785" spans="1:9" ht="15.7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75" thickBot="1">
      <c r="A789" s="288" t="s">
        <v>653</v>
      </c>
      <c r="B789" s="288">
        <v>35000</v>
      </c>
      <c r="C789" s="289">
        <v>6</v>
      </c>
      <c r="D789" s="290">
        <v>0.21</v>
      </c>
      <c r="E789" s="291">
        <v>3679</v>
      </c>
      <c r="F789" s="291">
        <v>38679</v>
      </c>
      <c r="G789" s="291">
        <v>525</v>
      </c>
      <c r="H789" s="291">
        <v>6359</v>
      </c>
      <c r="I789" s="292" t="str">
        <f t="shared" si="12"/>
        <v>GooD</v>
      </c>
    </row>
    <row r="790" spans="1:9" ht="15.7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75" thickBot="1">
      <c r="A794" s="288" t="s">
        <v>653</v>
      </c>
      <c r="B794" s="288">
        <v>35000</v>
      </c>
      <c r="C794" s="289">
        <v>16</v>
      </c>
      <c r="D794" s="290">
        <v>0.21</v>
      </c>
      <c r="E794" s="291">
        <v>9808</v>
      </c>
      <c r="F794" s="291">
        <v>44808</v>
      </c>
      <c r="G794" s="291">
        <v>1400</v>
      </c>
      <c r="H794" s="291">
        <v>2713</v>
      </c>
      <c r="I794" s="292" t="str">
        <f t="shared" si="12"/>
        <v>GooD</v>
      </c>
    </row>
    <row r="795" spans="1:9" ht="15.7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75" thickBot="1">
      <c r="A799" s="288" t="s">
        <v>653</v>
      </c>
      <c r="B799" s="288">
        <v>36000</v>
      </c>
      <c r="C799" s="289">
        <v>6</v>
      </c>
      <c r="D799" s="290">
        <v>0.21</v>
      </c>
      <c r="E799" s="291">
        <v>3786</v>
      </c>
      <c r="F799" s="291">
        <v>39786</v>
      </c>
      <c r="G799" s="291">
        <v>540</v>
      </c>
      <c r="H799" s="291">
        <v>6541</v>
      </c>
      <c r="I799" s="292" t="str">
        <f t="shared" si="12"/>
        <v>GooD</v>
      </c>
    </row>
    <row r="800" spans="1:9" ht="15.7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75" thickBot="1">
      <c r="A804" s="288" t="s">
        <v>653</v>
      </c>
      <c r="B804" s="288">
        <v>36000</v>
      </c>
      <c r="C804" s="289">
        <v>16</v>
      </c>
      <c r="D804" s="290">
        <v>0.21</v>
      </c>
      <c r="E804" s="291">
        <v>10096</v>
      </c>
      <c r="F804" s="291">
        <v>46096</v>
      </c>
      <c r="G804" s="291">
        <v>1440</v>
      </c>
      <c r="H804" s="291">
        <v>2791</v>
      </c>
      <c r="I804" s="292" t="str">
        <f t="shared" si="12"/>
        <v>GooD</v>
      </c>
    </row>
    <row r="805" spans="1:9" ht="15.7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75" thickBot="1">
      <c r="A809" s="288" t="s">
        <v>653</v>
      </c>
      <c r="B809" s="288">
        <v>37000</v>
      </c>
      <c r="C809" s="289">
        <v>6</v>
      </c>
      <c r="D809" s="290">
        <v>0.21</v>
      </c>
      <c r="E809" s="291">
        <v>3887</v>
      </c>
      <c r="F809" s="291">
        <v>40887</v>
      </c>
      <c r="G809" s="291">
        <v>555</v>
      </c>
      <c r="H809" s="291">
        <v>6722</v>
      </c>
      <c r="I809" s="292" t="str">
        <f t="shared" si="12"/>
        <v>GooD</v>
      </c>
    </row>
    <row r="810" spans="1:9" ht="15.7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75" thickBot="1">
      <c r="A814" s="288" t="s">
        <v>653</v>
      </c>
      <c r="B814" s="288">
        <v>37000</v>
      </c>
      <c r="C814" s="289">
        <v>16</v>
      </c>
      <c r="D814" s="290">
        <v>0.21</v>
      </c>
      <c r="E814" s="291">
        <v>10368</v>
      </c>
      <c r="F814" s="291">
        <v>47368</v>
      </c>
      <c r="G814" s="291">
        <v>1480</v>
      </c>
      <c r="H814" s="291">
        <v>2868</v>
      </c>
      <c r="I814" s="292" t="str">
        <f t="shared" si="12"/>
        <v>GooD</v>
      </c>
    </row>
    <row r="815" spans="1:9" ht="15.7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75" thickBot="1">
      <c r="A819" s="288" t="s">
        <v>653</v>
      </c>
      <c r="B819" s="288">
        <v>38000</v>
      </c>
      <c r="C819" s="289">
        <v>6</v>
      </c>
      <c r="D819" s="290">
        <v>0.21</v>
      </c>
      <c r="E819" s="291">
        <v>3994</v>
      </c>
      <c r="F819" s="291">
        <v>41994</v>
      </c>
      <c r="G819" s="291">
        <v>570</v>
      </c>
      <c r="H819" s="291">
        <v>6904</v>
      </c>
      <c r="I819" s="292" t="str">
        <f t="shared" si="12"/>
        <v>GooD</v>
      </c>
    </row>
    <row r="820" spans="1:9" ht="15.7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75" thickBot="1">
      <c r="A824" s="288" t="s">
        <v>653</v>
      </c>
      <c r="B824" s="288">
        <v>38000</v>
      </c>
      <c r="C824" s="289">
        <v>16</v>
      </c>
      <c r="D824" s="290">
        <v>0.21</v>
      </c>
      <c r="E824" s="291">
        <v>10656</v>
      </c>
      <c r="F824" s="291">
        <v>48656</v>
      </c>
      <c r="G824" s="291">
        <v>1520</v>
      </c>
      <c r="H824" s="291">
        <v>2946</v>
      </c>
      <c r="I824" s="292" t="str">
        <f t="shared" si="12"/>
        <v>GooD</v>
      </c>
    </row>
    <row r="825" spans="1:9" ht="15.7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75" thickBot="1">
      <c r="A829" s="288" t="s">
        <v>653</v>
      </c>
      <c r="B829" s="288">
        <v>39000</v>
      </c>
      <c r="C829" s="289">
        <v>6</v>
      </c>
      <c r="D829" s="290">
        <v>0.21</v>
      </c>
      <c r="E829" s="291">
        <v>4101</v>
      </c>
      <c r="F829" s="291">
        <v>43101</v>
      </c>
      <c r="G829" s="291">
        <v>585</v>
      </c>
      <c r="H829" s="291">
        <v>7086</v>
      </c>
      <c r="I829" s="292" t="str">
        <f t="shared" si="12"/>
        <v>GooD</v>
      </c>
    </row>
    <row r="830" spans="1:9" ht="15.7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75" thickBot="1">
      <c r="A834" s="288" t="s">
        <v>653</v>
      </c>
      <c r="B834" s="288">
        <v>39000</v>
      </c>
      <c r="C834" s="289">
        <v>16</v>
      </c>
      <c r="D834" s="290">
        <v>0.21</v>
      </c>
      <c r="E834" s="291">
        <v>10928</v>
      </c>
      <c r="F834" s="291">
        <v>49928</v>
      </c>
      <c r="G834" s="291">
        <v>1560</v>
      </c>
      <c r="H834" s="291">
        <v>3023</v>
      </c>
      <c r="I834" s="292" t="str">
        <f t="shared" si="12"/>
        <v>GooD</v>
      </c>
    </row>
    <row r="835" spans="1:9" ht="15.7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75" thickBot="1">
      <c r="A839" s="288" t="s">
        <v>653</v>
      </c>
      <c r="B839" s="288">
        <v>40000</v>
      </c>
      <c r="C839" s="289">
        <v>6</v>
      </c>
      <c r="D839" s="290">
        <v>0.21</v>
      </c>
      <c r="E839" s="291">
        <v>4202</v>
      </c>
      <c r="F839" s="291">
        <v>44202</v>
      </c>
      <c r="G839" s="291">
        <v>600</v>
      </c>
      <c r="H839" s="291">
        <v>7267</v>
      </c>
      <c r="I839" s="292" t="str">
        <f t="shared" si="12"/>
        <v>GooD</v>
      </c>
    </row>
    <row r="840" spans="1:9" ht="15.7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75" thickBot="1">
      <c r="A844" s="288" t="s">
        <v>653</v>
      </c>
      <c r="B844" s="288">
        <v>40000</v>
      </c>
      <c r="C844" s="289">
        <v>16</v>
      </c>
      <c r="D844" s="290">
        <v>0.21</v>
      </c>
      <c r="E844" s="291">
        <v>11216</v>
      </c>
      <c r="F844" s="291">
        <v>51216</v>
      </c>
      <c r="G844" s="291">
        <v>1600</v>
      </c>
      <c r="H844" s="291">
        <v>3101</v>
      </c>
      <c r="I844" s="292" t="str">
        <f t="shared" si="12"/>
        <v>GooD</v>
      </c>
    </row>
    <row r="845" spans="1:9" ht="15.7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75" thickBot="1">
      <c r="A849" s="288" t="s">
        <v>653</v>
      </c>
      <c r="B849" s="288">
        <v>41000</v>
      </c>
      <c r="C849" s="289">
        <v>6</v>
      </c>
      <c r="D849" s="290">
        <v>0.21</v>
      </c>
      <c r="E849" s="291">
        <v>4309</v>
      </c>
      <c r="F849" s="291">
        <v>45309</v>
      </c>
      <c r="G849" s="291">
        <v>615</v>
      </c>
      <c r="H849" s="291">
        <v>7449</v>
      </c>
      <c r="I849" s="292" t="str">
        <f t="shared" si="13"/>
        <v>GooD</v>
      </c>
    </row>
    <row r="850" spans="1:9" ht="15.7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75" thickBot="1">
      <c r="A854" s="288" t="s">
        <v>653</v>
      </c>
      <c r="B854" s="288">
        <v>41000</v>
      </c>
      <c r="C854" s="289">
        <v>16</v>
      </c>
      <c r="D854" s="290">
        <v>0.21</v>
      </c>
      <c r="E854" s="291">
        <v>11488</v>
      </c>
      <c r="F854" s="291">
        <v>52488</v>
      </c>
      <c r="G854" s="291">
        <v>1640</v>
      </c>
      <c r="H854" s="291">
        <v>3178</v>
      </c>
      <c r="I854" s="292" t="str">
        <f t="shared" si="13"/>
        <v>GooD</v>
      </c>
    </row>
    <row r="855" spans="1:9" ht="15.7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75" thickBot="1">
      <c r="A861" s="288" t="s">
        <v>653</v>
      </c>
      <c r="B861" s="288">
        <v>42000</v>
      </c>
      <c r="C861" s="289">
        <v>10</v>
      </c>
      <c r="D861" s="290">
        <v>0.21</v>
      </c>
      <c r="E861" s="291">
        <v>7360</v>
      </c>
      <c r="F861" s="291">
        <v>49360</v>
      </c>
      <c r="G861" s="291">
        <v>1050</v>
      </c>
      <c r="H861" s="291">
        <v>4831</v>
      </c>
      <c r="I861" s="292" t="str">
        <f t="shared" si="13"/>
        <v>GooD</v>
      </c>
    </row>
    <row r="862" spans="1:9" ht="15.7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75" thickBot="1">
      <c r="A864" s="288" t="s">
        <v>653</v>
      </c>
      <c r="B864" s="288">
        <v>42000</v>
      </c>
      <c r="C864" s="289">
        <v>16</v>
      </c>
      <c r="D864" s="290">
        <v>0.21</v>
      </c>
      <c r="E864" s="291">
        <v>11776</v>
      </c>
      <c r="F864" s="291">
        <v>53776</v>
      </c>
      <c r="G864" s="291">
        <v>1680</v>
      </c>
      <c r="H864" s="291">
        <v>3256</v>
      </c>
      <c r="I864" s="292" t="str">
        <f t="shared" si="13"/>
        <v>GooD</v>
      </c>
    </row>
    <row r="865" spans="1:9" ht="15.7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75" thickBot="1">
      <c r="A867" s="288" t="s">
        <v>653</v>
      </c>
      <c r="B867" s="288">
        <v>42000</v>
      </c>
      <c r="C867" s="289">
        <v>22</v>
      </c>
      <c r="D867" s="290">
        <v>0.21</v>
      </c>
      <c r="E867" s="291">
        <v>16190</v>
      </c>
      <c r="F867" s="291">
        <v>58190</v>
      </c>
      <c r="G867" s="291">
        <v>2310</v>
      </c>
      <c r="H867" s="291">
        <v>2540</v>
      </c>
      <c r="I867" s="292" t="str">
        <f t="shared" si="13"/>
        <v>GooD</v>
      </c>
    </row>
    <row r="868" spans="1:9" ht="15.7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75" thickBot="1">
      <c r="A870" s="288" t="s">
        <v>653</v>
      </c>
      <c r="B870" s="288">
        <v>43000</v>
      </c>
      <c r="C870" s="289">
        <v>8</v>
      </c>
      <c r="D870" s="290">
        <v>0.21</v>
      </c>
      <c r="E870" s="291">
        <v>6028</v>
      </c>
      <c r="F870" s="291">
        <v>49028</v>
      </c>
      <c r="G870" s="291">
        <v>860</v>
      </c>
      <c r="H870" s="291">
        <v>6021</v>
      </c>
      <c r="I870" s="292" t="str">
        <f t="shared" si="13"/>
        <v>GooD</v>
      </c>
    </row>
    <row r="871" spans="1:9" ht="15.7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75" thickBot="1">
      <c r="A873" s="288" t="s">
        <v>653</v>
      </c>
      <c r="B873" s="288">
        <v>43000</v>
      </c>
      <c r="C873" s="289">
        <v>14</v>
      </c>
      <c r="D873" s="290">
        <v>0.21</v>
      </c>
      <c r="E873" s="291">
        <v>10543</v>
      </c>
      <c r="F873" s="291">
        <v>53543</v>
      </c>
      <c r="G873" s="291">
        <v>1505</v>
      </c>
      <c r="H873" s="291">
        <v>3717</v>
      </c>
      <c r="I873" s="292" t="str">
        <f t="shared" si="13"/>
        <v>GooD</v>
      </c>
    </row>
    <row r="874" spans="1:9" ht="15.7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75" thickBot="1">
      <c r="A876" s="288" t="s">
        <v>653</v>
      </c>
      <c r="B876" s="288">
        <v>43000</v>
      </c>
      <c r="C876" s="289">
        <v>20</v>
      </c>
      <c r="D876" s="290">
        <v>0.21</v>
      </c>
      <c r="E876" s="291">
        <v>15070</v>
      </c>
      <c r="F876" s="291">
        <v>58070</v>
      </c>
      <c r="G876" s="291">
        <v>2150</v>
      </c>
      <c r="H876" s="291">
        <v>2796</v>
      </c>
      <c r="I876" s="292" t="str">
        <f t="shared" si="13"/>
        <v>GooD</v>
      </c>
    </row>
    <row r="877" spans="1:9" ht="15.7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75" thickBot="1">
      <c r="A879" s="288" t="s">
        <v>653</v>
      </c>
      <c r="B879" s="288">
        <v>44000</v>
      </c>
      <c r="C879" s="289">
        <v>6</v>
      </c>
      <c r="D879" s="290">
        <v>0.21</v>
      </c>
      <c r="E879" s="291">
        <v>4624</v>
      </c>
      <c r="F879" s="291">
        <v>48624</v>
      </c>
      <c r="G879" s="291">
        <v>660</v>
      </c>
      <c r="H879" s="291">
        <v>7994</v>
      </c>
      <c r="I879" s="292" t="str">
        <f t="shared" si="13"/>
        <v>GooD</v>
      </c>
    </row>
    <row r="880" spans="1:9" ht="15.7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75" thickBot="1">
      <c r="A882" s="288" t="s">
        <v>653</v>
      </c>
      <c r="B882" s="288">
        <v>44000</v>
      </c>
      <c r="C882" s="289">
        <v>12</v>
      </c>
      <c r="D882" s="290">
        <v>0.21</v>
      </c>
      <c r="E882" s="291">
        <v>9244</v>
      </c>
      <c r="F882" s="291">
        <v>53244</v>
      </c>
      <c r="G882" s="291">
        <v>1320</v>
      </c>
      <c r="H882" s="291">
        <v>4327</v>
      </c>
      <c r="I882" s="292" t="str">
        <f t="shared" si="13"/>
        <v>GooD</v>
      </c>
    </row>
    <row r="883" spans="1:9" ht="15.7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75" thickBot="1">
      <c r="A885" s="288" t="s">
        <v>653</v>
      </c>
      <c r="B885" s="288">
        <v>44000</v>
      </c>
      <c r="C885" s="289">
        <v>18</v>
      </c>
      <c r="D885" s="290">
        <v>0.21</v>
      </c>
      <c r="E885" s="291">
        <v>13870</v>
      </c>
      <c r="F885" s="291">
        <v>57870</v>
      </c>
      <c r="G885" s="291">
        <v>1980</v>
      </c>
      <c r="H885" s="291">
        <v>3105</v>
      </c>
      <c r="I885" s="292" t="str">
        <f t="shared" si="13"/>
        <v>GooD</v>
      </c>
    </row>
    <row r="886" spans="1:9" ht="15.7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75" thickBot="1">
      <c r="A888" s="288" t="s">
        <v>653</v>
      </c>
      <c r="B888" s="288">
        <v>44000</v>
      </c>
      <c r="C888" s="289">
        <v>24</v>
      </c>
      <c r="D888" s="290">
        <v>0.21</v>
      </c>
      <c r="E888" s="291">
        <v>18496</v>
      </c>
      <c r="F888" s="291">
        <v>62496</v>
      </c>
      <c r="G888" s="291">
        <v>2640</v>
      </c>
      <c r="H888" s="291">
        <v>2494</v>
      </c>
      <c r="I888" s="292" t="str">
        <f t="shared" si="13"/>
        <v>GooD</v>
      </c>
    </row>
    <row r="889" spans="1:9" ht="15.7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75" thickBot="1">
      <c r="A891" s="288" t="s">
        <v>653</v>
      </c>
      <c r="B891" s="288">
        <v>45000</v>
      </c>
      <c r="C891" s="289">
        <v>10</v>
      </c>
      <c r="D891" s="290">
        <v>0.21</v>
      </c>
      <c r="E891" s="291">
        <v>7885</v>
      </c>
      <c r="F891" s="291">
        <v>52885</v>
      </c>
      <c r="G891" s="291">
        <v>1125</v>
      </c>
      <c r="H891" s="291">
        <v>5176</v>
      </c>
      <c r="I891" s="292" t="str">
        <f t="shared" si="13"/>
        <v>GooD</v>
      </c>
    </row>
    <row r="892" spans="1:9" ht="15.7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75" thickBot="1">
      <c r="A894" s="288" t="s">
        <v>653</v>
      </c>
      <c r="B894" s="288">
        <v>45000</v>
      </c>
      <c r="C894" s="289">
        <v>16</v>
      </c>
      <c r="D894" s="290">
        <v>0.21</v>
      </c>
      <c r="E894" s="291">
        <v>12608</v>
      </c>
      <c r="F894" s="291">
        <v>57608</v>
      </c>
      <c r="G894" s="291">
        <v>1800</v>
      </c>
      <c r="H894" s="291">
        <v>3488</v>
      </c>
      <c r="I894" s="292" t="str">
        <f t="shared" si="13"/>
        <v>GooD</v>
      </c>
    </row>
    <row r="895" spans="1:9" ht="15.7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75" thickBot="1">
      <c r="A897" s="288" t="s">
        <v>653</v>
      </c>
      <c r="B897" s="288">
        <v>45000</v>
      </c>
      <c r="C897" s="289">
        <v>22</v>
      </c>
      <c r="D897" s="290">
        <v>0.21</v>
      </c>
      <c r="E897" s="291">
        <v>17337</v>
      </c>
      <c r="F897" s="291">
        <v>62337</v>
      </c>
      <c r="G897" s="291">
        <v>2475</v>
      </c>
      <c r="H897" s="291">
        <v>2721</v>
      </c>
      <c r="I897" s="292" t="str">
        <f t="shared" si="13"/>
        <v>GooD</v>
      </c>
    </row>
    <row r="898" spans="1:9" ht="15.7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75" thickBot="1">
      <c r="A900" s="288" t="s">
        <v>653</v>
      </c>
      <c r="B900" s="288">
        <v>46000</v>
      </c>
      <c r="C900" s="289">
        <v>8</v>
      </c>
      <c r="D900" s="290">
        <v>0.21</v>
      </c>
      <c r="E900" s="291">
        <v>6448</v>
      </c>
      <c r="F900" s="291">
        <v>52448</v>
      </c>
      <c r="G900" s="291">
        <v>920</v>
      </c>
      <c r="H900" s="291">
        <v>6441</v>
      </c>
      <c r="I900" s="292" t="str">
        <f t="shared" si="13"/>
        <v>GooD</v>
      </c>
    </row>
    <row r="901" spans="1:9" ht="15.7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75" thickBot="1">
      <c r="A903" s="288" t="s">
        <v>653</v>
      </c>
      <c r="B903" s="288">
        <v>46000</v>
      </c>
      <c r="C903" s="289">
        <v>14</v>
      </c>
      <c r="D903" s="290">
        <v>0.21</v>
      </c>
      <c r="E903" s="291">
        <v>11274</v>
      </c>
      <c r="F903" s="291">
        <v>57274</v>
      </c>
      <c r="G903" s="291">
        <v>1610</v>
      </c>
      <c r="H903" s="291">
        <v>3976</v>
      </c>
      <c r="I903" s="292" t="str">
        <f t="shared" si="13"/>
        <v>GooD</v>
      </c>
    </row>
    <row r="904" spans="1:9" ht="15.7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75" thickBot="1">
      <c r="A906" s="288" t="s">
        <v>653</v>
      </c>
      <c r="B906" s="288">
        <v>46000</v>
      </c>
      <c r="C906" s="289">
        <v>20</v>
      </c>
      <c r="D906" s="290">
        <v>0.21</v>
      </c>
      <c r="E906" s="291">
        <v>16120</v>
      </c>
      <c r="F906" s="291">
        <v>62120</v>
      </c>
      <c r="G906" s="291">
        <v>2300</v>
      </c>
      <c r="H906" s="291">
        <v>2991</v>
      </c>
      <c r="I906" s="292" t="str">
        <f t="shared" si="13"/>
        <v>GooD</v>
      </c>
    </row>
    <row r="907" spans="1:9" ht="15.7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75" thickBot="1">
      <c r="A909" s="288" t="s">
        <v>653</v>
      </c>
      <c r="B909" s="288">
        <v>47000</v>
      </c>
      <c r="C909" s="289">
        <v>6</v>
      </c>
      <c r="D909" s="290">
        <v>0.21</v>
      </c>
      <c r="E909" s="291">
        <v>4939</v>
      </c>
      <c r="F909" s="291">
        <v>51939</v>
      </c>
      <c r="G909" s="291">
        <v>705</v>
      </c>
      <c r="H909" s="291">
        <v>8539</v>
      </c>
      <c r="I909" s="292" t="str">
        <f t="shared" si="13"/>
        <v>GooD</v>
      </c>
    </row>
    <row r="910" spans="1:9" ht="15.7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7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7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75" thickBot="1">
      <c r="A915" s="288" t="s">
        <v>653</v>
      </c>
      <c r="B915" s="288">
        <v>47000</v>
      </c>
      <c r="C915" s="289">
        <v>18</v>
      </c>
      <c r="D915" s="290">
        <v>0.21</v>
      </c>
      <c r="E915" s="291">
        <v>14821</v>
      </c>
      <c r="F915" s="291">
        <v>61821</v>
      </c>
      <c r="G915" s="291">
        <v>2115</v>
      </c>
      <c r="H915" s="291">
        <v>3317</v>
      </c>
      <c r="I915" s="292" t="str">
        <f t="shared" si="14"/>
        <v>GooD</v>
      </c>
    </row>
    <row r="916" spans="1:9" ht="15.7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75" thickBot="1">
      <c r="A918" s="288" t="s">
        <v>653</v>
      </c>
      <c r="B918" s="288">
        <v>47000</v>
      </c>
      <c r="C918" s="289">
        <v>24</v>
      </c>
      <c r="D918" s="290">
        <v>0.21</v>
      </c>
      <c r="E918" s="291">
        <v>19756</v>
      </c>
      <c r="F918" s="291">
        <v>66756</v>
      </c>
      <c r="G918" s="291">
        <v>2820</v>
      </c>
      <c r="H918" s="291">
        <v>2664</v>
      </c>
      <c r="I918" s="292" t="str">
        <f t="shared" si="14"/>
        <v>GooD</v>
      </c>
    </row>
    <row r="919" spans="1:9" ht="15.7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75" thickBot="1">
      <c r="A921" s="288" t="s">
        <v>653</v>
      </c>
      <c r="B921" s="288">
        <v>48000</v>
      </c>
      <c r="C921" s="289">
        <v>10</v>
      </c>
      <c r="D921" s="290">
        <v>0.21</v>
      </c>
      <c r="E921" s="291">
        <v>8410</v>
      </c>
      <c r="F921" s="291">
        <v>56410</v>
      </c>
      <c r="G921" s="291">
        <v>1200</v>
      </c>
      <c r="H921" s="291">
        <v>5521</v>
      </c>
      <c r="I921" s="292" t="str">
        <f t="shared" si="14"/>
        <v>GooD</v>
      </c>
    </row>
    <row r="922" spans="1:9" ht="15.7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75" thickBot="1">
      <c r="A924" s="288" t="s">
        <v>653</v>
      </c>
      <c r="B924" s="288">
        <v>48000</v>
      </c>
      <c r="C924" s="289">
        <v>16</v>
      </c>
      <c r="D924" s="290">
        <v>0.21</v>
      </c>
      <c r="E924" s="291">
        <v>13456</v>
      </c>
      <c r="F924" s="291">
        <v>61456</v>
      </c>
      <c r="G924" s="291">
        <v>1920</v>
      </c>
      <c r="H924" s="291">
        <v>3721</v>
      </c>
      <c r="I924" s="292" t="str">
        <f t="shared" si="14"/>
        <v>GooD</v>
      </c>
    </row>
    <row r="925" spans="1:9" ht="15.7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75" thickBot="1">
      <c r="A927" s="288" t="s">
        <v>653</v>
      </c>
      <c r="B927" s="288">
        <v>48000</v>
      </c>
      <c r="C927" s="289">
        <v>22</v>
      </c>
      <c r="D927" s="290">
        <v>0.21</v>
      </c>
      <c r="E927" s="291">
        <v>18484</v>
      </c>
      <c r="F927" s="291">
        <v>66484</v>
      </c>
      <c r="G927" s="291">
        <v>2640</v>
      </c>
      <c r="H927" s="291">
        <v>2902</v>
      </c>
      <c r="I927" s="292" t="str">
        <f t="shared" si="14"/>
        <v>GooD</v>
      </c>
    </row>
    <row r="928" spans="1:9" ht="15.7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75" thickBot="1">
      <c r="A930" s="288" t="s">
        <v>653</v>
      </c>
      <c r="B930" s="288">
        <v>49000</v>
      </c>
      <c r="C930" s="289">
        <v>8</v>
      </c>
      <c r="D930" s="290">
        <v>0.21</v>
      </c>
      <c r="E930" s="291">
        <v>6868</v>
      </c>
      <c r="F930" s="291">
        <v>55868</v>
      </c>
      <c r="G930" s="291">
        <v>980</v>
      </c>
      <c r="H930" s="291">
        <v>6861</v>
      </c>
      <c r="I930" s="292" t="str">
        <f t="shared" si="14"/>
        <v>GooD</v>
      </c>
    </row>
    <row r="931" spans="1:9" ht="15.7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75" thickBot="1">
      <c r="A933" s="288" t="s">
        <v>653</v>
      </c>
      <c r="B933" s="288">
        <v>49000</v>
      </c>
      <c r="C933" s="289">
        <v>14</v>
      </c>
      <c r="D933" s="290">
        <v>0.21</v>
      </c>
      <c r="E933" s="291">
        <v>12019</v>
      </c>
      <c r="F933" s="291">
        <v>61019</v>
      </c>
      <c r="G933" s="291">
        <v>1715</v>
      </c>
      <c r="H933" s="291">
        <v>4236</v>
      </c>
      <c r="I933" s="292" t="str">
        <f t="shared" si="14"/>
        <v>GooD</v>
      </c>
    </row>
    <row r="934" spans="1:9" ht="15.7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75" thickBot="1">
      <c r="A936" s="288" t="s">
        <v>653</v>
      </c>
      <c r="B936" s="288">
        <v>49000</v>
      </c>
      <c r="C936" s="289">
        <v>20</v>
      </c>
      <c r="D936" s="290">
        <v>0.21</v>
      </c>
      <c r="E936" s="291">
        <v>17170</v>
      </c>
      <c r="F936" s="291">
        <v>66170</v>
      </c>
      <c r="G936" s="291">
        <v>2450</v>
      </c>
      <c r="H936" s="291">
        <v>3186</v>
      </c>
      <c r="I936" s="292" t="str">
        <f t="shared" si="14"/>
        <v>GooD</v>
      </c>
    </row>
    <row r="937" spans="1:9" ht="15.7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75" thickBot="1">
      <c r="A939" s="288" t="s">
        <v>653</v>
      </c>
      <c r="B939" s="288">
        <v>50000</v>
      </c>
      <c r="C939" s="289">
        <v>6</v>
      </c>
      <c r="D939" s="290">
        <v>0.21</v>
      </c>
      <c r="E939" s="291">
        <v>5254</v>
      </c>
      <c r="F939" s="291">
        <v>55254</v>
      </c>
      <c r="G939" s="291">
        <v>750</v>
      </c>
      <c r="H939" s="291">
        <v>9084</v>
      </c>
      <c r="I939" s="292" t="str">
        <f t="shared" si="14"/>
        <v>GooD</v>
      </c>
    </row>
    <row r="940" spans="1:9" ht="15.7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75" thickBot="1">
      <c r="A942" s="288" t="s">
        <v>653</v>
      </c>
      <c r="B942" s="288">
        <v>50000</v>
      </c>
      <c r="C942" s="289">
        <v>12</v>
      </c>
      <c r="D942" s="290">
        <v>0.21</v>
      </c>
      <c r="E942" s="291">
        <v>10504</v>
      </c>
      <c r="F942" s="291">
        <v>60504</v>
      </c>
      <c r="G942" s="291">
        <v>1500</v>
      </c>
      <c r="H942" s="291">
        <v>4917</v>
      </c>
      <c r="I942" s="292" t="str">
        <f t="shared" si="14"/>
        <v>GooD</v>
      </c>
    </row>
    <row r="943" spans="1:9" ht="15.7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75" thickBot="1">
      <c r="A945" s="288" t="s">
        <v>653</v>
      </c>
      <c r="B945" s="288">
        <v>50000</v>
      </c>
      <c r="C945" s="289">
        <v>18</v>
      </c>
      <c r="D945" s="290">
        <v>0.21</v>
      </c>
      <c r="E945" s="291">
        <v>15754</v>
      </c>
      <c r="F945" s="291">
        <v>65754</v>
      </c>
      <c r="G945" s="291">
        <v>2250</v>
      </c>
      <c r="H945" s="291">
        <v>3528</v>
      </c>
      <c r="I945" s="292" t="str">
        <f t="shared" si="14"/>
        <v>GooD</v>
      </c>
    </row>
    <row r="946" spans="1:9" ht="15.7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75" thickBot="1">
      <c r="A948" s="288" t="s">
        <v>653</v>
      </c>
      <c r="B948" s="288">
        <v>50000</v>
      </c>
      <c r="C948" s="289">
        <v>24</v>
      </c>
      <c r="D948" s="290">
        <v>0.21</v>
      </c>
      <c r="E948" s="291">
        <v>21016</v>
      </c>
      <c r="F948" s="291">
        <v>71016</v>
      </c>
      <c r="G948" s="291">
        <v>3000</v>
      </c>
      <c r="H948" s="291">
        <v>2834</v>
      </c>
      <c r="I948" s="292" t="str">
        <f t="shared" si="14"/>
        <v>GooD</v>
      </c>
    </row>
    <row r="949" spans="1:9" ht="15.7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75" thickBot="1">
      <c r="A951" s="288" t="s">
        <v>641</v>
      </c>
      <c r="B951" s="288">
        <v>6000</v>
      </c>
      <c r="C951" s="289">
        <v>8</v>
      </c>
      <c r="D951" s="290">
        <v>0.21</v>
      </c>
      <c r="E951" s="291">
        <v>848</v>
      </c>
      <c r="F951" s="291">
        <v>6848</v>
      </c>
      <c r="G951" s="291">
        <v>120</v>
      </c>
      <c r="H951" s="291">
        <v>841</v>
      </c>
      <c r="I951" s="292" t="str">
        <f t="shared" si="14"/>
        <v>GooD</v>
      </c>
    </row>
    <row r="952" spans="1:9" ht="15.7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75" thickBot="1">
      <c r="A956" s="288" t="s">
        <v>641</v>
      </c>
      <c r="B956" s="288">
        <v>6500</v>
      </c>
      <c r="C956" s="289">
        <v>8</v>
      </c>
      <c r="D956" s="290">
        <v>0.21</v>
      </c>
      <c r="E956" s="291">
        <v>918</v>
      </c>
      <c r="F956" s="291">
        <v>7418</v>
      </c>
      <c r="G956" s="291">
        <v>130</v>
      </c>
      <c r="H956" s="291">
        <v>911</v>
      </c>
      <c r="I956" s="292" t="str">
        <f t="shared" si="14"/>
        <v>GooD</v>
      </c>
    </row>
    <row r="957" spans="1:9" ht="15.7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75" thickBot="1">
      <c r="A961" s="288" t="s">
        <v>641</v>
      </c>
      <c r="B961" s="288">
        <v>7000</v>
      </c>
      <c r="C961" s="289">
        <v>8</v>
      </c>
      <c r="D961" s="290">
        <v>0.21</v>
      </c>
      <c r="E961" s="291">
        <v>988</v>
      </c>
      <c r="F961" s="291">
        <v>7988</v>
      </c>
      <c r="G961" s="291">
        <v>140</v>
      </c>
      <c r="H961" s="291">
        <v>981</v>
      </c>
      <c r="I961" s="292" t="str">
        <f t="shared" si="14"/>
        <v>GooD</v>
      </c>
    </row>
    <row r="962" spans="1:9" ht="15.7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75" thickBot="1">
      <c r="A966" s="288" t="s">
        <v>641</v>
      </c>
      <c r="B966" s="288">
        <v>7500</v>
      </c>
      <c r="C966" s="289">
        <v>8</v>
      </c>
      <c r="D966" s="290">
        <v>0.21</v>
      </c>
      <c r="E966" s="291">
        <v>1058</v>
      </c>
      <c r="F966" s="291">
        <v>8558</v>
      </c>
      <c r="G966" s="291">
        <v>150</v>
      </c>
      <c r="H966" s="291">
        <v>1051</v>
      </c>
      <c r="I966" s="292" t="str">
        <f t="shared" si="14"/>
        <v>GooD</v>
      </c>
    </row>
    <row r="967" spans="1:9" ht="15.7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75" thickBot="1">
      <c r="A971" s="288" t="s">
        <v>641</v>
      </c>
      <c r="B971" s="288">
        <v>8000</v>
      </c>
      <c r="C971" s="289">
        <v>8</v>
      </c>
      <c r="D971" s="290">
        <v>0.21</v>
      </c>
      <c r="E971" s="291">
        <v>1128</v>
      </c>
      <c r="F971" s="291">
        <v>9128</v>
      </c>
      <c r="G971" s="291">
        <v>160</v>
      </c>
      <c r="H971" s="291">
        <v>1121</v>
      </c>
      <c r="I971" s="292" t="str">
        <f t="shared" si="14"/>
        <v>GooD</v>
      </c>
    </row>
    <row r="972" spans="1:9" ht="15.7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7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7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75" thickBot="1">
      <c r="A981" s="288" t="s">
        <v>641</v>
      </c>
      <c r="B981" s="288">
        <v>9000</v>
      </c>
      <c r="C981" s="289">
        <v>8</v>
      </c>
      <c r="D981" s="290">
        <v>0.21</v>
      </c>
      <c r="E981" s="291">
        <v>1268</v>
      </c>
      <c r="F981" s="291">
        <v>10268</v>
      </c>
      <c r="G981" s="291">
        <v>180</v>
      </c>
      <c r="H981" s="291">
        <v>1261</v>
      </c>
      <c r="I981" s="292" t="str">
        <f t="shared" si="15"/>
        <v>GooD</v>
      </c>
    </row>
    <row r="982" spans="1:9" ht="15.7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75" thickBot="1">
      <c r="A986" s="288" t="s">
        <v>641</v>
      </c>
      <c r="B986" s="288">
        <v>9500</v>
      </c>
      <c r="C986" s="289">
        <v>8</v>
      </c>
      <c r="D986" s="290">
        <v>0.21</v>
      </c>
      <c r="E986" s="291">
        <v>1338</v>
      </c>
      <c r="F986" s="291">
        <v>10838</v>
      </c>
      <c r="G986" s="291">
        <v>190</v>
      </c>
      <c r="H986" s="291">
        <v>1331</v>
      </c>
      <c r="I986" s="292" t="str">
        <f t="shared" si="15"/>
        <v>GooD</v>
      </c>
    </row>
    <row r="987" spans="1:9" ht="15.7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75" thickBot="1">
      <c r="A991" s="288" t="s">
        <v>641</v>
      </c>
      <c r="B991" s="288">
        <v>10000</v>
      </c>
      <c r="C991" s="289">
        <v>8</v>
      </c>
      <c r="D991" s="290">
        <v>0.21</v>
      </c>
      <c r="E991" s="291">
        <v>1408</v>
      </c>
      <c r="F991" s="291">
        <v>11408</v>
      </c>
      <c r="G991" s="291">
        <v>200</v>
      </c>
      <c r="H991" s="291">
        <v>1401</v>
      </c>
      <c r="I991" s="292" t="str">
        <f t="shared" si="15"/>
        <v>GooD</v>
      </c>
    </row>
    <row r="992" spans="1:9" ht="15.7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75" thickBot="1">
      <c r="A996" s="288" t="s">
        <v>641</v>
      </c>
      <c r="B996" s="288">
        <v>10500</v>
      </c>
      <c r="C996" s="289">
        <v>8</v>
      </c>
      <c r="D996" s="290">
        <v>0.21</v>
      </c>
      <c r="E996" s="291">
        <v>1478</v>
      </c>
      <c r="F996" s="291">
        <v>11978</v>
      </c>
      <c r="G996" s="291">
        <v>210</v>
      </c>
      <c r="H996" s="291">
        <v>1471</v>
      </c>
      <c r="I996" s="292" t="str">
        <f t="shared" si="15"/>
        <v>GooD</v>
      </c>
    </row>
    <row r="997" spans="1:9" ht="15.7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75" thickBot="1">
      <c r="A1001" s="288" t="s">
        <v>641</v>
      </c>
      <c r="B1001" s="288">
        <v>11000</v>
      </c>
      <c r="C1001" s="289">
        <v>8</v>
      </c>
      <c r="D1001" s="290">
        <v>0.21</v>
      </c>
      <c r="E1001" s="291">
        <v>1548</v>
      </c>
      <c r="F1001" s="291">
        <v>12548</v>
      </c>
      <c r="G1001" s="291">
        <v>220</v>
      </c>
      <c r="H1001" s="291">
        <v>1541</v>
      </c>
      <c r="I1001" s="292" t="str">
        <f t="shared" si="15"/>
        <v>GooD</v>
      </c>
    </row>
    <row r="1002" spans="1:9" ht="15.7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75" thickBot="1">
      <c r="A1006" s="288" t="s">
        <v>641</v>
      </c>
      <c r="B1006" s="288">
        <v>11500</v>
      </c>
      <c r="C1006" s="289">
        <v>8</v>
      </c>
      <c r="D1006" s="290">
        <v>0.21</v>
      </c>
      <c r="E1006" s="291">
        <v>1618</v>
      </c>
      <c r="F1006" s="291">
        <v>13118</v>
      </c>
      <c r="G1006" s="291">
        <v>230</v>
      </c>
      <c r="H1006" s="291">
        <v>1611</v>
      </c>
      <c r="I1006" s="292" t="str">
        <f t="shared" si="15"/>
        <v>GooD</v>
      </c>
    </row>
    <row r="1007" spans="1:9" ht="15.7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75" thickBot="1">
      <c r="A1011" s="288" t="s">
        <v>641</v>
      </c>
      <c r="B1011" s="288">
        <v>12000</v>
      </c>
      <c r="C1011" s="289">
        <v>8</v>
      </c>
      <c r="D1011" s="290">
        <v>0.21</v>
      </c>
      <c r="E1011" s="291">
        <v>1688</v>
      </c>
      <c r="F1011" s="291">
        <v>13688</v>
      </c>
      <c r="G1011" s="291">
        <v>240</v>
      </c>
      <c r="H1011" s="291">
        <v>1681</v>
      </c>
      <c r="I1011" s="292" t="str">
        <f t="shared" si="15"/>
        <v>GooD</v>
      </c>
    </row>
    <row r="1012" spans="1:9" ht="15.7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75" thickBot="1">
      <c r="A1016" s="288" t="s">
        <v>641</v>
      </c>
      <c r="B1016" s="288">
        <v>12500</v>
      </c>
      <c r="C1016" s="289">
        <v>8</v>
      </c>
      <c r="D1016" s="290">
        <v>0.21</v>
      </c>
      <c r="E1016" s="291">
        <v>1758</v>
      </c>
      <c r="F1016" s="291">
        <v>14258</v>
      </c>
      <c r="G1016" s="291">
        <v>250</v>
      </c>
      <c r="H1016" s="291">
        <v>1751</v>
      </c>
      <c r="I1016" s="292" t="str">
        <f t="shared" si="15"/>
        <v>GooD</v>
      </c>
    </row>
    <row r="1017" spans="1:9" ht="15.7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75" thickBot="1">
      <c r="A1021" s="288" t="s">
        <v>641</v>
      </c>
      <c r="B1021" s="288">
        <v>13000</v>
      </c>
      <c r="C1021" s="289">
        <v>8</v>
      </c>
      <c r="D1021" s="290">
        <v>0.21</v>
      </c>
      <c r="E1021" s="291">
        <v>1828</v>
      </c>
      <c r="F1021" s="291">
        <v>14828</v>
      </c>
      <c r="G1021" s="291">
        <v>260</v>
      </c>
      <c r="H1021" s="291">
        <v>1821</v>
      </c>
      <c r="I1021" s="292" t="str">
        <f t="shared" si="15"/>
        <v>GooD</v>
      </c>
    </row>
    <row r="1022" spans="1:9" ht="15.7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75" thickBot="1">
      <c r="A1026" s="288" t="s">
        <v>641</v>
      </c>
      <c r="B1026" s="288">
        <v>13500</v>
      </c>
      <c r="C1026" s="289">
        <v>8</v>
      </c>
      <c r="D1026" s="290">
        <v>0.21</v>
      </c>
      <c r="E1026" s="291">
        <v>1898</v>
      </c>
      <c r="F1026" s="291">
        <v>15398</v>
      </c>
      <c r="G1026" s="291">
        <v>270</v>
      </c>
      <c r="H1026" s="291">
        <v>1891</v>
      </c>
      <c r="I1026" s="292" t="str">
        <f t="shared" si="15"/>
        <v>GooD</v>
      </c>
    </row>
    <row r="1027" spans="1:9" ht="15.7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75" thickBot="1">
      <c r="A1031" s="288" t="s">
        <v>641</v>
      </c>
      <c r="B1031" s="288">
        <v>14000</v>
      </c>
      <c r="C1031" s="289">
        <v>8</v>
      </c>
      <c r="D1031" s="290">
        <v>0.21</v>
      </c>
      <c r="E1031" s="291">
        <v>1968</v>
      </c>
      <c r="F1031" s="291">
        <v>15968</v>
      </c>
      <c r="G1031" s="291">
        <v>280</v>
      </c>
      <c r="H1031" s="291">
        <v>1961</v>
      </c>
      <c r="I1031" s="292" t="str">
        <f t="shared" si="15"/>
        <v>GooD</v>
      </c>
    </row>
    <row r="1032" spans="1:9" ht="15.7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75" thickBot="1">
      <c r="A1036" s="288" t="s">
        <v>641</v>
      </c>
      <c r="B1036" s="288">
        <v>14500</v>
      </c>
      <c r="C1036" s="289">
        <v>10</v>
      </c>
      <c r="D1036" s="290">
        <v>0.21</v>
      </c>
      <c r="E1036" s="291">
        <v>2543</v>
      </c>
      <c r="F1036" s="291">
        <v>17043</v>
      </c>
      <c r="G1036" s="291">
        <v>363</v>
      </c>
      <c r="H1036" s="291">
        <v>1668</v>
      </c>
      <c r="I1036" s="292" t="str">
        <f t="shared" si="15"/>
        <v>GooD</v>
      </c>
    </row>
    <row r="1037" spans="1:9" ht="15.7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75" thickBot="1">
      <c r="A1041" s="288" t="s">
        <v>641</v>
      </c>
      <c r="B1041" s="288">
        <v>15000</v>
      </c>
      <c r="C1041" s="289">
        <v>6</v>
      </c>
      <c r="D1041" s="290">
        <v>0.21</v>
      </c>
      <c r="E1041" s="291">
        <v>1581</v>
      </c>
      <c r="F1041" s="291">
        <v>16581</v>
      </c>
      <c r="G1041" s="291">
        <v>225</v>
      </c>
      <c r="H1041" s="291">
        <v>2726</v>
      </c>
      <c r="I1041" s="292" t="str">
        <f t="shared" si="16"/>
        <v>GooD</v>
      </c>
    </row>
    <row r="1042" spans="1:9" ht="15.7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75" thickBot="1">
      <c r="A1046" s="288" t="s">
        <v>641</v>
      </c>
      <c r="B1046" s="288">
        <v>15000</v>
      </c>
      <c r="C1046" s="289">
        <v>16</v>
      </c>
      <c r="D1046" s="290">
        <v>0.21</v>
      </c>
      <c r="E1046" s="291">
        <v>4208</v>
      </c>
      <c r="F1046" s="291">
        <v>19208</v>
      </c>
      <c r="G1046" s="291">
        <v>600</v>
      </c>
      <c r="H1046" s="291">
        <v>1163</v>
      </c>
      <c r="I1046" s="292" t="str">
        <f t="shared" si="16"/>
        <v>GooD</v>
      </c>
    </row>
    <row r="1047" spans="1:9" ht="15.7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75" thickBot="1">
      <c r="A1051" s="288" t="s">
        <v>641</v>
      </c>
      <c r="B1051" s="288">
        <v>15500</v>
      </c>
      <c r="C1051" s="289">
        <v>12</v>
      </c>
      <c r="D1051" s="290">
        <v>0.21</v>
      </c>
      <c r="E1051" s="291">
        <v>3265</v>
      </c>
      <c r="F1051" s="291">
        <v>18765</v>
      </c>
      <c r="G1051" s="291">
        <v>465</v>
      </c>
      <c r="H1051" s="291">
        <v>1525</v>
      </c>
      <c r="I1051" s="292" t="str">
        <f t="shared" si="16"/>
        <v>GooD</v>
      </c>
    </row>
    <row r="1052" spans="1:9" ht="15.7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75" thickBot="1">
      <c r="A1056" s="288" t="s">
        <v>641</v>
      </c>
      <c r="B1056" s="288">
        <v>16000</v>
      </c>
      <c r="C1056" s="289">
        <v>8</v>
      </c>
      <c r="D1056" s="290">
        <v>0.21</v>
      </c>
      <c r="E1056" s="291">
        <v>2248</v>
      </c>
      <c r="F1056" s="291">
        <v>18248</v>
      </c>
      <c r="G1056" s="291">
        <v>320</v>
      </c>
      <c r="H1056" s="291">
        <v>2241</v>
      </c>
      <c r="I1056" s="292" t="str">
        <f t="shared" si="16"/>
        <v>GooD</v>
      </c>
    </row>
    <row r="1057" spans="1:9" ht="15.7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75" thickBot="1">
      <c r="A1061" s="288" t="s">
        <v>641</v>
      </c>
      <c r="B1061" s="288">
        <v>16000</v>
      </c>
      <c r="C1061" s="289">
        <v>18</v>
      </c>
      <c r="D1061" s="290">
        <v>0.21</v>
      </c>
      <c r="E1061" s="291">
        <v>5042</v>
      </c>
      <c r="F1061" s="291">
        <v>21042</v>
      </c>
      <c r="G1061" s="291">
        <v>720</v>
      </c>
      <c r="H1061" s="291">
        <v>1129</v>
      </c>
      <c r="I1061" s="292" t="str">
        <f t="shared" si="16"/>
        <v>GooD</v>
      </c>
    </row>
    <row r="1062" spans="1:9" ht="15.7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75" thickBot="1">
      <c r="A1066" s="288" t="s">
        <v>641</v>
      </c>
      <c r="B1066" s="288">
        <v>16500</v>
      </c>
      <c r="C1066" s="289">
        <v>14</v>
      </c>
      <c r="D1066" s="290">
        <v>0.21</v>
      </c>
      <c r="E1066" s="291">
        <v>4056</v>
      </c>
      <c r="F1066" s="291">
        <v>20556</v>
      </c>
      <c r="G1066" s="291">
        <v>578</v>
      </c>
      <c r="H1066" s="291">
        <v>1427</v>
      </c>
      <c r="I1066" s="292" t="str">
        <f t="shared" si="16"/>
        <v>GooD</v>
      </c>
    </row>
    <row r="1067" spans="1:9" ht="15.7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75" thickBot="1">
      <c r="A1071" s="288" t="s">
        <v>641</v>
      </c>
      <c r="B1071" s="288">
        <v>17000</v>
      </c>
      <c r="C1071" s="289">
        <v>10</v>
      </c>
      <c r="D1071" s="290">
        <v>0.21</v>
      </c>
      <c r="E1071" s="291">
        <v>2985</v>
      </c>
      <c r="F1071" s="291">
        <v>19985</v>
      </c>
      <c r="G1071" s="291">
        <v>425</v>
      </c>
      <c r="H1071" s="291">
        <v>1956</v>
      </c>
      <c r="I1071" s="292" t="str">
        <f t="shared" si="16"/>
        <v>GooD</v>
      </c>
    </row>
    <row r="1072" spans="1:9" ht="15.7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75" thickBot="1">
      <c r="A1076" s="288" t="s">
        <v>641</v>
      </c>
      <c r="B1076" s="288">
        <v>17500</v>
      </c>
      <c r="C1076" s="289">
        <v>6</v>
      </c>
      <c r="D1076" s="290">
        <v>0.21</v>
      </c>
      <c r="E1076" s="291">
        <v>1843</v>
      </c>
      <c r="F1076" s="291">
        <v>19343</v>
      </c>
      <c r="G1076" s="291">
        <v>263</v>
      </c>
      <c r="H1076" s="291">
        <v>3180</v>
      </c>
      <c r="I1076" s="292" t="str">
        <f t="shared" si="16"/>
        <v>GooD</v>
      </c>
    </row>
    <row r="1077" spans="1:9" ht="15.7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75" thickBot="1">
      <c r="A1081" s="288" t="s">
        <v>641</v>
      </c>
      <c r="B1081" s="288">
        <v>17500</v>
      </c>
      <c r="C1081" s="289">
        <v>16</v>
      </c>
      <c r="D1081" s="290">
        <v>0.21</v>
      </c>
      <c r="E1081" s="291">
        <v>4912</v>
      </c>
      <c r="F1081" s="291">
        <v>22412</v>
      </c>
      <c r="G1081" s="291">
        <v>700</v>
      </c>
      <c r="H1081" s="291">
        <v>1357</v>
      </c>
      <c r="I1081" s="292" t="str">
        <f t="shared" si="16"/>
        <v>GooD</v>
      </c>
    </row>
    <row r="1082" spans="1:9" ht="15.7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75" thickBot="1">
      <c r="A1086" s="288" t="s">
        <v>641</v>
      </c>
      <c r="B1086" s="288">
        <v>18000</v>
      </c>
      <c r="C1086" s="289">
        <v>12</v>
      </c>
      <c r="D1086" s="290">
        <v>0.21</v>
      </c>
      <c r="E1086" s="291">
        <v>3792</v>
      </c>
      <c r="F1086" s="291">
        <v>21792</v>
      </c>
      <c r="G1086" s="291">
        <v>540</v>
      </c>
      <c r="H1086" s="291">
        <v>1771</v>
      </c>
      <c r="I1086" s="292" t="str">
        <f t="shared" si="16"/>
        <v>GooD</v>
      </c>
    </row>
    <row r="1087" spans="1:9" ht="15.7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75" thickBot="1">
      <c r="A1091" s="288" t="s">
        <v>641</v>
      </c>
      <c r="B1091" s="288">
        <v>18500</v>
      </c>
      <c r="C1091" s="289">
        <v>8</v>
      </c>
      <c r="D1091" s="290">
        <v>0.21</v>
      </c>
      <c r="E1091" s="291">
        <v>2598</v>
      </c>
      <c r="F1091" s="291">
        <v>21098</v>
      </c>
      <c r="G1091" s="291">
        <v>370</v>
      </c>
      <c r="H1091" s="291">
        <v>2591</v>
      </c>
      <c r="I1091" s="292" t="str">
        <f t="shared" si="16"/>
        <v>GooD</v>
      </c>
    </row>
    <row r="1092" spans="1:9" ht="15.7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75" thickBot="1">
      <c r="A1098" s="288" t="s">
        <v>641</v>
      </c>
      <c r="B1098" s="288">
        <v>19000</v>
      </c>
      <c r="C1098" s="289">
        <v>8</v>
      </c>
      <c r="D1098" s="290">
        <v>0.21</v>
      </c>
      <c r="E1098" s="291">
        <v>2668</v>
      </c>
      <c r="F1098" s="291">
        <v>21668</v>
      </c>
      <c r="G1098" s="291">
        <v>380</v>
      </c>
      <c r="H1098" s="291">
        <v>2661</v>
      </c>
      <c r="I1098" s="292" t="str">
        <f t="shared" si="16"/>
        <v>GooD</v>
      </c>
    </row>
    <row r="1099" spans="1:9" ht="15.7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75" thickBot="1">
      <c r="A1101" s="288" t="s">
        <v>641</v>
      </c>
      <c r="B1101" s="288">
        <v>19000</v>
      </c>
      <c r="C1101" s="289">
        <v>14</v>
      </c>
      <c r="D1101" s="290">
        <v>0.21</v>
      </c>
      <c r="E1101" s="291">
        <v>4667</v>
      </c>
      <c r="F1101" s="291">
        <v>23667</v>
      </c>
      <c r="G1101" s="291">
        <v>665</v>
      </c>
      <c r="H1101" s="291">
        <v>1643</v>
      </c>
      <c r="I1101" s="292" t="str">
        <f t="shared" si="16"/>
        <v>GooD</v>
      </c>
    </row>
    <row r="1102" spans="1:9" ht="15.7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75" thickBot="1">
      <c r="A1104" s="288" t="s">
        <v>641</v>
      </c>
      <c r="B1104" s="288">
        <v>19500</v>
      </c>
      <c r="C1104" s="289">
        <v>6</v>
      </c>
      <c r="D1104" s="290">
        <v>0.21</v>
      </c>
      <c r="E1104" s="291">
        <v>2051</v>
      </c>
      <c r="F1104" s="291">
        <v>21551</v>
      </c>
      <c r="G1104" s="291">
        <v>293</v>
      </c>
      <c r="H1104" s="291">
        <v>3543</v>
      </c>
      <c r="I1104" s="292" t="str">
        <f t="shared" si="16"/>
        <v>GooD</v>
      </c>
    </row>
    <row r="1105" spans="1:9" ht="15.7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75" thickBot="1">
      <c r="A1107" s="288" t="s">
        <v>641</v>
      </c>
      <c r="B1107" s="288">
        <v>19500</v>
      </c>
      <c r="C1107" s="289">
        <v>12</v>
      </c>
      <c r="D1107" s="290">
        <v>0.21</v>
      </c>
      <c r="E1107" s="291">
        <v>4101</v>
      </c>
      <c r="F1107" s="291">
        <v>23601</v>
      </c>
      <c r="G1107" s="291">
        <v>585</v>
      </c>
      <c r="H1107" s="291">
        <v>1918</v>
      </c>
      <c r="I1107" s="292" t="str">
        <f t="shared" si="17"/>
        <v>GooD</v>
      </c>
    </row>
    <row r="1108" spans="1:9" ht="15.7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75" thickBot="1">
      <c r="A1110" s="288" t="s">
        <v>641</v>
      </c>
      <c r="B1110" s="288">
        <v>19500</v>
      </c>
      <c r="C1110" s="289">
        <v>18</v>
      </c>
      <c r="D1110" s="290">
        <v>0.21</v>
      </c>
      <c r="E1110" s="291">
        <v>6146</v>
      </c>
      <c r="F1110" s="291">
        <v>25646</v>
      </c>
      <c r="G1110" s="291">
        <v>878</v>
      </c>
      <c r="H1110" s="291">
        <v>1376</v>
      </c>
      <c r="I1110" s="292" t="str">
        <f t="shared" si="17"/>
        <v>GooD</v>
      </c>
    </row>
    <row r="1111" spans="1:9" ht="15.7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75" thickBot="1">
      <c r="A1113" s="288" t="s">
        <v>641</v>
      </c>
      <c r="B1113" s="288">
        <v>20000</v>
      </c>
      <c r="C1113" s="289">
        <v>10</v>
      </c>
      <c r="D1113" s="290">
        <v>0.21</v>
      </c>
      <c r="E1113" s="291">
        <v>3510</v>
      </c>
      <c r="F1113" s="291">
        <v>23510</v>
      </c>
      <c r="G1113" s="291">
        <v>500</v>
      </c>
      <c r="H1113" s="291">
        <v>2301</v>
      </c>
      <c r="I1113" s="292" t="str">
        <f t="shared" si="17"/>
        <v>GooD</v>
      </c>
    </row>
    <row r="1114" spans="1:9" ht="15.7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75" thickBot="1">
      <c r="A1116" s="288" t="s">
        <v>641</v>
      </c>
      <c r="B1116" s="288">
        <v>20000</v>
      </c>
      <c r="C1116" s="289">
        <v>16</v>
      </c>
      <c r="D1116" s="290">
        <v>0.21</v>
      </c>
      <c r="E1116" s="291">
        <v>5616</v>
      </c>
      <c r="F1116" s="291">
        <v>25616</v>
      </c>
      <c r="G1116" s="291">
        <v>800</v>
      </c>
      <c r="H1116" s="291">
        <v>1551</v>
      </c>
      <c r="I1116" s="292" t="str">
        <f t="shared" si="17"/>
        <v>GooD</v>
      </c>
    </row>
    <row r="1117" spans="1:9" ht="15.7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75" thickBot="1">
      <c r="A1119" s="288" t="s">
        <v>641</v>
      </c>
      <c r="B1119" s="288">
        <v>20000</v>
      </c>
      <c r="C1119" s="289">
        <v>22</v>
      </c>
      <c r="D1119" s="290">
        <v>0.21</v>
      </c>
      <c r="E1119" s="291">
        <v>7720</v>
      </c>
      <c r="F1119" s="291">
        <v>27720</v>
      </c>
      <c r="G1119" s="291">
        <v>1100</v>
      </c>
      <c r="H1119" s="291">
        <v>1210</v>
      </c>
      <c r="I1119" s="292" t="str">
        <f t="shared" si="17"/>
        <v>GooD</v>
      </c>
    </row>
    <row r="1120" spans="1:9" ht="15.7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75" thickBot="1">
      <c r="A1122" s="288" t="s">
        <v>641</v>
      </c>
      <c r="B1122" s="288">
        <v>21000</v>
      </c>
      <c r="C1122" s="289">
        <v>8</v>
      </c>
      <c r="D1122" s="290">
        <v>0.21</v>
      </c>
      <c r="E1122" s="291">
        <v>2948</v>
      </c>
      <c r="F1122" s="291">
        <v>23948</v>
      </c>
      <c r="G1122" s="291">
        <v>420</v>
      </c>
      <c r="H1122" s="291">
        <v>2941</v>
      </c>
      <c r="I1122" s="292" t="str">
        <f t="shared" si="17"/>
        <v>GooD</v>
      </c>
    </row>
    <row r="1123" spans="1:9" ht="15.7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75" thickBot="1">
      <c r="A1125" s="288" t="s">
        <v>641</v>
      </c>
      <c r="B1125" s="288">
        <v>21000</v>
      </c>
      <c r="C1125" s="289">
        <v>14</v>
      </c>
      <c r="D1125" s="290">
        <v>0.21</v>
      </c>
      <c r="E1125" s="291">
        <v>5159</v>
      </c>
      <c r="F1125" s="291">
        <v>26159</v>
      </c>
      <c r="G1125" s="291">
        <v>735</v>
      </c>
      <c r="H1125" s="291">
        <v>1816</v>
      </c>
      <c r="I1125" s="292" t="str">
        <f t="shared" si="17"/>
        <v>GooD</v>
      </c>
    </row>
    <row r="1126" spans="1:9" ht="15.7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75" thickBot="1">
      <c r="A1128" s="288" t="s">
        <v>641</v>
      </c>
      <c r="B1128" s="288">
        <v>21000</v>
      </c>
      <c r="C1128" s="289">
        <v>20</v>
      </c>
      <c r="D1128" s="290">
        <v>0.21</v>
      </c>
      <c r="E1128" s="291">
        <v>7370</v>
      </c>
      <c r="F1128" s="291">
        <v>28370</v>
      </c>
      <c r="G1128" s="291">
        <v>1050</v>
      </c>
      <c r="H1128" s="291">
        <v>1366</v>
      </c>
      <c r="I1128" s="292" t="str">
        <f t="shared" si="17"/>
        <v>GooD</v>
      </c>
    </row>
    <row r="1129" spans="1:9" ht="15.7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75" thickBot="1">
      <c r="A1131" s="288" t="s">
        <v>641</v>
      </c>
      <c r="B1131" s="288">
        <v>22000</v>
      </c>
      <c r="C1131" s="289">
        <v>6</v>
      </c>
      <c r="D1131" s="290">
        <v>0.21</v>
      </c>
      <c r="E1131" s="291">
        <v>2312</v>
      </c>
      <c r="F1131" s="291">
        <v>24312</v>
      </c>
      <c r="G1131" s="291">
        <v>330</v>
      </c>
      <c r="H1131" s="291">
        <v>3997</v>
      </c>
      <c r="I1131" s="292" t="str">
        <f t="shared" si="17"/>
        <v>GooD</v>
      </c>
    </row>
    <row r="1132" spans="1:9" ht="15.7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75" thickBot="1">
      <c r="A1134" s="288" t="s">
        <v>641</v>
      </c>
      <c r="B1134" s="288">
        <v>22000</v>
      </c>
      <c r="C1134" s="289">
        <v>12</v>
      </c>
      <c r="D1134" s="290">
        <v>0.21</v>
      </c>
      <c r="E1134" s="291">
        <v>4628</v>
      </c>
      <c r="F1134" s="291">
        <v>26628</v>
      </c>
      <c r="G1134" s="291">
        <v>660</v>
      </c>
      <c r="H1134" s="291">
        <v>2164</v>
      </c>
      <c r="I1134" s="292" t="str">
        <f t="shared" si="17"/>
        <v>GooD</v>
      </c>
    </row>
    <row r="1135" spans="1:9" ht="15.7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75" thickBot="1">
      <c r="A1137" s="288" t="s">
        <v>641</v>
      </c>
      <c r="B1137" s="288">
        <v>22000</v>
      </c>
      <c r="C1137" s="289">
        <v>18</v>
      </c>
      <c r="D1137" s="290">
        <v>0.21</v>
      </c>
      <c r="E1137" s="291">
        <v>6944</v>
      </c>
      <c r="F1137" s="291">
        <v>28944</v>
      </c>
      <c r="G1137" s="291">
        <v>990</v>
      </c>
      <c r="H1137" s="291">
        <v>1553</v>
      </c>
      <c r="I1137" s="292" t="str">
        <f t="shared" si="17"/>
        <v>GooD</v>
      </c>
    </row>
    <row r="1138" spans="1:9" ht="15.7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75" thickBot="1">
      <c r="A1140" s="288" t="s">
        <v>641</v>
      </c>
      <c r="B1140" s="288">
        <v>22000</v>
      </c>
      <c r="C1140" s="289">
        <v>24</v>
      </c>
      <c r="D1140" s="290">
        <v>0.21</v>
      </c>
      <c r="E1140" s="291">
        <v>9248</v>
      </c>
      <c r="F1140" s="291">
        <v>31248</v>
      </c>
      <c r="G1140" s="291">
        <v>1320</v>
      </c>
      <c r="H1140" s="291">
        <v>1247</v>
      </c>
      <c r="I1140" s="292" t="str">
        <f t="shared" si="17"/>
        <v>GooD</v>
      </c>
    </row>
    <row r="1141" spans="1:9" ht="15.7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75" thickBot="1">
      <c r="A1143" s="288" t="s">
        <v>641</v>
      </c>
      <c r="B1143" s="288">
        <v>23000</v>
      </c>
      <c r="C1143" s="289">
        <v>10</v>
      </c>
      <c r="D1143" s="290">
        <v>0.21</v>
      </c>
      <c r="E1143" s="291">
        <v>4035</v>
      </c>
      <c r="F1143" s="291">
        <v>27035</v>
      </c>
      <c r="G1143" s="291">
        <v>575</v>
      </c>
      <c r="H1143" s="291">
        <v>2646</v>
      </c>
      <c r="I1143" s="292" t="str">
        <f t="shared" si="17"/>
        <v>GooD</v>
      </c>
    </row>
    <row r="1144" spans="1:9" ht="15.7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75" thickBot="1">
      <c r="A1146" s="288" t="s">
        <v>641</v>
      </c>
      <c r="B1146" s="288">
        <v>23000</v>
      </c>
      <c r="C1146" s="289">
        <v>16</v>
      </c>
      <c r="D1146" s="290">
        <v>0.21</v>
      </c>
      <c r="E1146" s="291">
        <v>6448</v>
      </c>
      <c r="F1146" s="291">
        <v>29448</v>
      </c>
      <c r="G1146" s="291">
        <v>920</v>
      </c>
      <c r="H1146" s="291">
        <v>1783</v>
      </c>
      <c r="I1146" s="292" t="str">
        <f t="shared" si="17"/>
        <v>GooD</v>
      </c>
    </row>
    <row r="1147" spans="1:9" ht="15.7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75" thickBot="1">
      <c r="A1149" s="288" t="s">
        <v>641</v>
      </c>
      <c r="B1149" s="288">
        <v>23000</v>
      </c>
      <c r="C1149" s="289">
        <v>22</v>
      </c>
      <c r="D1149" s="290">
        <v>0.21</v>
      </c>
      <c r="E1149" s="291">
        <v>8867</v>
      </c>
      <c r="F1149" s="291">
        <v>31867</v>
      </c>
      <c r="G1149" s="291">
        <v>1265</v>
      </c>
      <c r="H1149" s="291">
        <v>1391</v>
      </c>
      <c r="I1149" s="292" t="str">
        <f t="shared" si="17"/>
        <v>GooD</v>
      </c>
    </row>
    <row r="1150" spans="1:9" ht="15.7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75" thickBot="1">
      <c r="A1152" s="288" t="s">
        <v>641</v>
      </c>
      <c r="B1152" s="288">
        <v>24000</v>
      </c>
      <c r="C1152" s="289">
        <v>8</v>
      </c>
      <c r="D1152" s="290">
        <v>0.21</v>
      </c>
      <c r="E1152" s="291">
        <v>3368</v>
      </c>
      <c r="F1152" s="291">
        <v>27368</v>
      </c>
      <c r="G1152" s="291">
        <v>480</v>
      </c>
      <c r="H1152" s="291">
        <v>3361</v>
      </c>
      <c r="I1152" s="292" t="str">
        <f t="shared" si="17"/>
        <v>GooD</v>
      </c>
    </row>
    <row r="1153" spans="1:9" ht="15.7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75" thickBot="1">
      <c r="A1155" s="288" t="s">
        <v>641</v>
      </c>
      <c r="B1155" s="288">
        <v>24000</v>
      </c>
      <c r="C1155" s="289">
        <v>14</v>
      </c>
      <c r="D1155" s="290">
        <v>0.21</v>
      </c>
      <c r="E1155" s="291">
        <v>5890</v>
      </c>
      <c r="F1155" s="291">
        <v>29890</v>
      </c>
      <c r="G1155" s="291">
        <v>840</v>
      </c>
      <c r="H1155" s="291">
        <v>2075</v>
      </c>
      <c r="I1155" s="292" t="str">
        <f t="shared" si="17"/>
        <v>GooD</v>
      </c>
    </row>
    <row r="1156" spans="1:9" ht="15.7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75" thickBot="1">
      <c r="A1158" s="288" t="s">
        <v>641</v>
      </c>
      <c r="B1158" s="288">
        <v>24000</v>
      </c>
      <c r="C1158" s="289">
        <v>20</v>
      </c>
      <c r="D1158" s="290">
        <v>0.21</v>
      </c>
      <c r="E1158" s="291">
        <v>8420</v>
      </c>
      <c r="F1158" s="291">
        <v>32420</v>
      </c>
      <c r="G1158" s="291">
        <v>1200</v>
      </c>
      <c r="H1158" s="291">
        <v>1561</v>
      </c>
      <c r="I1158" s="292" t="str">
        <f t="shared" si="17"/>
        <v>GooD</v>
      </c>
    </row>
    <row r="1159" spans="1:9" ht="15.7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75" thickBot="1">
      <c r="A1161" s="288" t="s">
        <v>641</v>
      </c>
      <c r="B1161" s="288">
        <v>25000</v>
      </c>
      <c r="C1161" s="289">
        <v>6</v>
      </c>
      <c r="D1161" s="290">
        <v>0.21</v>
      </c>
      <c r="E1161" s="291">
        <v>2627</v>
      </c>
      <c r="F1161" s="291">
        <v>27627</v>
      </c>
      <c r="G1161" s="291">
        <v>375</v>
      </c>
      <c r="H1161" s="291">
        <v>4542</v>
      </c>
      <c r="I1161" s="292" t="str">
        <f t="shared" si="17"/>
        <v>GooD</v>
      </c>
    </row>
    <row r="1162" spans="1:9" ht="15.7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75" thickBot="1">
      <c r="A1164" s="288" t="s">
        <v>641</v>
      </c>
      <c r="B1164" s="288">
        <v>25000</v>
      </c>
      <c r="C1164" s="289">
        <v>12</v>
      </c>
      <c r="D1164" s="290">
        <v>0.21</v>
      </c>
      <c r="E1164" s="291">
        <v>5258</v>
      </c>
      <c r="F1164" s="291">
        <v>30258</v>
      </c>
      <c r="G1164" s="291">
        <v>750</v>
      </c>
      <c r="H1164" s="291">
        <v>2459</v>
      </c>
      <c r="I1164" s="292" t="str">
        <f t="shared" si="17"/>
        <v>GooD</v>
      </c>
    </row>
    <row r="1165" spans="1:9" ht="15.7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75" thickBot="1">
      <c r="A1167" s="288" t="s">
        <v>641</v>
      </c>
      <c r="B1167" s="288">
        <v>25000</v>
      </c>
      <c r="C1167" s="289">
        <v>18</v>
      </c>
      <c r="D1167" s="290">
        <v>0.21</v>
      </c>
      <c r="E1167" s="291">
        <v>7877</v>
      </c>
      <c r="F1167" s="291">
        <v>32877</v>
      </c>
      <c r="G1167" s="291">
        <v>1125</v>
      </c>
      <c r="H1167" s="291">
        <v>1764</v>
      </c>
      <c r="I1167" s="292" t="str">
        <f t="shared" si="17"/>
        <v>GooD</v>
      </c>
    </row>
    <row r="1168" spans="1:9" ht="15.7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75" thickBot="1">
      <c r="A1170" s="288" t="s">
        <v>641</v>
      </c>
      <c r="B1170" s="288">
        <v>25000</v>
      </c>
      <c r="C1170" s="289">
        <v>24</v>
      </c>
      <c r="D1170" s="290">
        <v>0.21</v>
      </c>
      <c r="E1170" s="291">
        <v>10508</v>
      </c>
      <c r="F1170" s="291">
        <v>35508</v>
      </c>
      <c r="G1170" s="291">
        <v>1500</v>
      </c>
      <c r="H1170" s="291">
        <v>1417</v>
      </c>
      <c r="I1170" s="292" t="str">
        <f t="shared" si="17"/>
        <v>GooD</v>
      </c>
    </row>
    <row r="1171" spans="1:9" ht="15.7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75" thickBot="1">
      <c r="A1173" s="288" t="s">
        <v>641</v>
      </c>
      <c r="B1173" s="288">
        <v>26000</v>
      </c>
      <c r="C1173" s="289">
        <v>10</v>
      </c>
      <c r="D1173" s="290">
        <v>0.21</v>
      </c>
      <c r="E1173" s="291">
        <v>4560</v>
      </c>
      <c r="F1173" s="291">
        <v>30560</v>
      </c>
      <c r="G1173" s="291">
        <v>650</v>
      </c>
      <c r="H1173" s="291">
        <v>2991</v>
      </c>
      <c r="I1173" s="292" t="str">
        <f t="shared" si="18"/>
        <v>GooD</v>
      </c>
    </row>
    <row r="1174" spans="1:9" ht="15.7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75" thickBot="1">
      <c r="A1176" s="288" t="s">
        <v>641</v>
      </c>
      <c r="B1176" s="288">
        <v>26000</v>
      </c>
      <c r="C1176" s="289">
        <v>16</v>
      </c>
      <c r="D1176" s="290">
        <v>0.21</v>
      </c>
      <c r="E1176" s="291">
        <v>7296</v>
      </c>
      <c r="F1176" s="291">
        <v>33296</v>
      </c>
      <c r="G1176" s="291">
        <v>1040</v>
      </c>
      <c r="H1176" s="291">
        <v>2016</v>
      </c>
      <c r="I1176" s="292" t="str">
        <f t="shared" si="18"/>
        <v>GooD</v>
      </c>
    </row>
    <row r="1177" spans="1:9" ht="15.7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75" thickBot="1">
      <c r="A1179" s="288" t="s">
        <v>641</v>
      </c>
      <c r="B1179" s="288">
        <v>26000</v>
      </c>
      <c r="C1179" s="289">
        <v>22</v>
      </c>
      <c r="D1179" s="290">
        <v>0.21</v>
      </c>
      <c r="E1179" s="291">
        <v>10014</v>
      </c>
      <c r="F1179" s="291">
        <v>36014</v>
      </c>
      <c r="G1179" s="291">
        <v>1430</v>
      </c>
      <c r="H1179" s="291">
        <v>1572</v>
      </c>
      <c r="I1179" s="292" t="str">
        <f t="shared" si="18"/>
        <v>GooD</v>
      </c>
    </row>
    <row r="1180" spans="1:9" ht="15.7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75" thickBot="1">
      <c r="A1182" s="288" t="s">
        <v>641</v>
      </c>
      <c r="B1182" s="288">
        <v>27000</v>
      </c>
      <c r="C1182" s="289">
        <v>8</v>
      </c>
      <c r="D1182" s="290">
        <v>0.21</v>
      </c>
      <c r="E1182" s="291">
        <v>3788</v>
      </c>
      <c r="F1182" s="291">
        <v>30788</v>
      </c>
      <c r="G1182" s="291">
        <v>540</v>
      </c>
      <c r="H1182" s="291">
        <v>3781</v>
      </c>
      <c r="I1182" s="292" t="str">
        <f t="shared" si="18"/>
        <v>GooD</v>
      </c>
    </row>
    <row r="1183" spans="1:9" ht="15.7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75" thickBot="1">
      <c r="A1185" s="288" t="s">
        <v>641</v>
      </c>
      <c r="B1185" s="288">
        <v>27000</v>
      </c>
      <c r="C1185" s="289">
        <v>14</v>
      </c>
      <c r="D1185" s="290">
        <v>0.21</v>
      </c>
      <c r="E1185" s="291">
        <v>6621</v>
      </c>
      <c r="F1185" s="291">
        <v>33621</v>
      </c>
      <c r="G1185" s="291">
        <v>945</v>
      </c>
      <c r="H1185" s="291">
        <v>2334</v>
      </c>
      <c r="I1185" s="292" t="str">
        <f t="shared" si="18"/>
        <v>GooD</v>
      </c>
    </row>
    <row r="1186" spans="1:9" ht="15.7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75" thickBot="1">
      <c r="A1188" s="288" t="s">
        <v>641</v>
      </c>
      <c r="B1188" s="288">
        <v>27000</v>
      </c>
      <c r="C1188" s="289">
        <v>20</v>
      </c>
      <c r="D1188" s="290">
        <v>0.21</v>
      </c>
      <c r="E1188" s="291">
        <v>9470</v>
      </c>
      <c r="F1188" s="291">
        <v>36470</v>
      </c>
      <c r="G1188" s="291">
        <v>1350</v>
      </c>
      <c r="H1188" s="291">
        <v>1756</v>
      </c>
      <c r="I1188" s="292" t="str">
        <f t="shared" si="18"/>
        <v>GooD</v>
      </c>
    </row>
    <row r="1189" spans="1:9" ht="15.7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75" thickBot="1">
      <c r="A1193" s="288" t="s">
        <v>641</v>
      </c>
      <c r="B1193" s="288">
        <v>28000</v>
      </c>
      <c r="C1193" s="289">
        <v>10</v>
      </c>
      <c r="D1193" s="290">
        <v>0.21</v>
      </c>
      <c r="E1193" s="291">
        <v>4910</v>
      </c>
      <c r="F1193" s="291">
        <v>32910</v>
      </c>
      <c r="G1193" s="291">
        <v>700</v>
      </c>
      <c r="H1193" s="291">
        <v>3221</v>
      </c>
      <c r="I1193" s="292" t="str">
        <f t="shared" si="18"/>
        <v>GooD</v>
      </c>
    </row>
    <row r="1194" spans="1:9" ht="15.7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75" thickBot="1">
      <c r="A1198" s="288" t="s">
        <v>641</v>
      </c>
      <c r="B1198" s="288">
        <v>28000</v>
      </c>
      <c r="C1198" s="289">
        <v>20</v>
      </c>
      <c r="D1198" s="290">
        <v>0.21</v>
      </c>
      <c r="E1198" s="291">
        <v>9820</v>
      </c>
      <c r="F1198" s="291">
        <v>37820</v>
      </c>
      <c r="G1198" s="291">
        <v>1400</v>
      </c>
      <c r="H1198" s="291">
        <v>1821</v>
      </c>
      <c r="I1198" s="292" t="str">
        <f t="shared" si="18"/>
        <v>GooD</v>
      </c>
    </row>
    <row r="1199" spans="1:9" ht="15.7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75" thickBot="1">
      <c r="A1203" s="288" t="s">
        <v>641</v>
      </c>
      <c r="B1203" s="288">
        <v>29000</v>
      </c>
      <c r="C1203" s="289">
        <v>10</v>
      </c>
      <c r="D1203" s="290">
        <v>0.21</v>
      </c>
      <c r="E1203" s="291">
        <v>5085</v>
      </c>
      <c r="F1203" s="291">
        <v>34085</v>
      </c>
      <c r="G1203" s="291">
        <v>725</v>
      </c>
      <c r="H1203" s="291">
        <v>3336</v>
      </c>
      <c r="I1203" s="292" t="str">
        <f t="shared" si="18"/>
        <v>GooD</v>
      </c>
    </row>
    <row r="1204" spans="1:9" ht="15.7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75" thickBot="1">
      <c r="A1208" s="288" t="s">
        <v>641</v>
      </c>
      <c r="B1208" s="288">
        <v>29000</v>
      </c>
      <c r="C1208" s="289">
        <v>20</v>
      </c>
      <c r="D1208" s="290">
        <v>0.21</v>
      </c>
      <c r="E1208" s="291">
        <v>10170</v>
      </c>
      <c r="F1208" s="291">
        <v>39170</v>
      </c>
      <c r="G1208" s="291">
        <v>1450</v>
      </c>
      <c r="H1208" s="291">
        <v>1886</v>
      </c>
      <c r="I1208" s="292" t="str">
        <f t="shared" si="18"/>
        <v>GooD</v>
      </c>
    </row>
    <row r="1209" spans="1:9" ht="15.7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75" thickBot="1">
      <c r="A1213" s="288" t="s">
        <v>641</v>
      </c>
      <c r="B1213" s="288">
        <v>30000</v>
      </c>
      <c r="C1213" s="289">
        <v>10</v>
      </c>
      <c r="D1213" s="290">
        <v>0.21</v>
      </c>
      <c r="E1213" s="291">
        <v>5260</v>
      </c>
      <c r="F1213" s="291">
        <v>35260</v>
      </c>
      <c r="G1213" s="291">
        <v>750</v>
      </c>
      <c r="H1213" s="291">
        <v>3451</v>
      </c>
      <c r="I1213" s="292" t="str">
        <f t="shared" si="18"/>
        <v>GooD</v>
      </c>
    </row>
    <row r="1214" spans="1:9" ht="15.7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75" thickBot="1">
      <c r="A1218" s="288" t="s">
        <v>641</v>
      </c>
      <c r="B1218" s="288">
        <v>30000</v>
      </c>
      <c r="C1218" s="289">
        <v>20</v>
      </c>
      <c r="D1218" s="290">
        <v>0.21</v>
      </c>
      <c r="E1218" s="291">
        <v>10520</v>
      </c>
      <c r="F1218" s="291">
        <v>40520</v>
      </c>
      <c r="G1218" s="291">
        <v>1500</v>
      </c>
      <c r="H1218" s="291">
        <v>1951</v>
      </c>
      <c r="I1218" s="292" t="str">
        <f t="shared" si="18"/>
        <v>GooD</v>
      </c>
    </row>
    <row r="1219" spans="1:9" ht="15.7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75" thickBot="1">
      <c r="A1223" s="288" t="s">
        <v>641</v>
      </c>
      <c r="B1223" s="288">
        <v>31000</v>
      </c>
      <c r="C1223" s="289">
        <v>10</v>
      </c>
      <c r="D1223" s="290">
        <v>0.21</v>
      </c>
      <c r="E1223" s="291">
        <v>5435</v>
      </c>
      <c r="F1223" s="291">
        <v>36435</v>
      </c>
      <c r="G1223" s="291">
        <v>775</v>
      </c>
      <c r="H1223" s="291">
        <v>3566</v>
      </c>
      <c r="I1223" s="292" t="str">
        <f t="shared" si="18"/>
        <v>GooD</v>
      </c>
    </row>
    <row r="1224" spans="1:9" ht="15.7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75" thickBot="1">
      <c r="A1228" s="288" t="s">
        <v>641</v>
      </c>
      <c r="B1228" s="288">
        <v>31000</v>
      </c>
      <c r="C1228" s="289">
        <v>20</v>
      </c>
      <c r="D1228" s="290">
        <v>0.21</v>
      </c>
      <c r="E1228" s="291">
        <v>10870</v>
      </c>
      <c r="F1228" s="291">
        <v>41870</v>
      </c>
      <c r="G1228" s="291">
        <v>1550</v>
      </c>
      <c r="H1228" s="291">
        <v>2016</v>
      </c>
      <c r="I1228" s="292" t="str">
        <f t="shared" si="18"/>
        <v>GooD</v>
      </c>
    </row>
    <row r="1229" spans="1:9" ht="15.7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75" thickBot="1">
      <c r="A1233" s="288" t="s">
        <v>641</v>
      </c>
      <c r="B1233" s="288">
        <v>32000</v>
      </c>
      <c r="C1233" s="289">
        <v>10</v>
      </c>
      <c r="D1233" s="290">
        <v>0.21</v>
      </c>
      <c r="E1233" s="291">
        <v>5610</v>
      </c>
      <c r="F1233" s="291">
        <v>37610</v>
      </c>
      <c r="G1233" s="291">
        <v>800</v>
      </c>
      <c r="H1233" s="291">
        <v>3681</v>
      </c>
      <c r="I1233" s="292" t="str">
        <f t="shared" si="18"/>
        <v>GooD</v>
      </c>
    </row>
    <row r="1234" spans="1:9" ht="15.7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75" thickBot="1">
      <c r="A1238" s="288" t="s">
        <v>641</v>
      </c>
      <c r="B1238" s="288">
        <v>32000</v>
      </c>
      <c r="C1238" s="289">
        <v>20</v>
      </c>
      <c r="D1238" s="290">
        <v>0.21</v>
      </c>
      <c r="E1238" s="291">
        <v>11220</v>
      </c>
      <c r="F1238" s="291">
        <v>43220</v>
      </c>
      <c r="G1238" s="291">
        <v>1600</v>
      </c>
      <c r="H1238" s="291">
        <v>2081</v>
      </c>
      <c r="I1238" s="292" t="str">
        <f t="shared" si="19"/>
        <v>GooD</v>
      </c>
    </row>
    <row r="1239" spans="1:9" ht="15.7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75" thickBot="1">
      <c r="A1243" s="288" t="s">
        <v>641</v>
      </c>
      <c r="B1243" s="288">
        <v>33000</v>
      </c>
      <c r="C1243" s="289">
        <v>10</v>
      </c>
      <c r="D1243" s="290">
        <v>0.21</v>
      </c>
      <c r="E1243" s="291">
        <v>5785</v>
      </c>
      <c r="F1243" s="291">
        <v>38785</v>
      </c>
      <c r="G1243" s="291">
        <v>825</v>
      </c>
      <c r="H1243" s="291">
        <v>3796</v>
      </c>
      <c r="I1243" s="292" t="str">
        <f t="shared" si="19"/>
        <v>GooD</v>
      </c>
    </row>
    <row r="1244" spans="1:9" ht="15.7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75" thickBot="1">
      <c r="A1248" s="288" t="s">
        <v>641</v>
      </c>
      <c r="B1248" s="288">
        <v>33000</v>
      </c>
      <c r="C1248" s="289">
        <v>20</v>
      </c>
      <c r="D1248" s="290">
        <v>0.21</v>
      </c>
      <c r="E1248" s="291">
        <v>11570</v>
      </c>
      <c r="F1248" s="291">
        <v>44570</v>
      </c>
      <c r="G1248" s="291">
        <v>1650</v>
      </c>
      <c r="H1248" s="291">
        <v>2146</v>
      </c>
      <c r="I1248" s="292" t="str">
        <f t="shared" si="19"/>
        <v>GooD</v>
      </c>
    </row>
    <row r="1249" spans="1:9" ht="15.7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75" thickBot="1">
      <c r="A1253" s="288" t="s">
        <v>641</v>
      </c>
      <c r="B1253" s="288">
        <v>34000</v>
      </c>
      <c r="C1253" s="289">
        <v>10</v>
      </c>
      <c r="D1253" s="290">
        <v>0.21</v>
      </c>
      <c r="E1253" s="291">
        <v>5960</v>
      </c>
      <c r="F1253" s="291">
        <v>39960</v>
      </c>
      <c r="G1253" s="291">
        <v>850</v>
      </c>
      <c r="H1253" s="291">
        <v>3911</v>
      </c>
      <c r="I1253" s="292" t="str">
        <f t="shared" si="19"/>
        <v>GooD</v>
      </c>
    </row>
    <row r="1254" spans="1:9" ht="15.7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75" thickBot="1">
      <c r="A1258" s="288" t="s">
        <v>641</v>
      </c>
      <c r="B1258" s="288">
        <v>34000</v>
      </c>
      <c r="C1258" s="289">
        <v>20</v>
      </c>
      <c r="D1258" s="290">
        <v>0.21</v>
      </c>
      <c r="E1258" s="291">
        <v>11920</v>
      </c>
      <c r="F1258" s="291">
        <v>45920</v>
      </c>
      <c r="G1258" s="291">
        <v>1700</v>
      </c>
      <c r="H1258" s="291">
        <v>2211</v>
      </c>
      <c r="I1258" s="292" t="str">
        <f t="shared" si="19"/>
        <v>GooD</v>
      </c>
    </row>
    <row r="1259" spans="1:9" ht="15.7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75" thickBot="1">
      <c r="A1263" s="288" t="s">
        <v>641</v>
      </c>
      <c r="B1263" s="288">
        <v>35000</v>
      </c>
      <c r="C1263" s="289">
        <v>10</v>
      </c>
      <c r="D1263" s="290">
        <v>0.21</v>
      </c>
      <c r="E1263" s="291">
        <v>6135</v>
      </c>
      <c r="F1263" s="291">
        <v>41135</v>
      </c>
      <c r="G1263" s="291">
        <v>875</v>
      </c>
      <c r="H1263" s="291">
        <v>4026</v>
      </c>
      <c r="I1263" s="292" t="str">
        <f t="shared" si="19"/>
        <v>GooD</v>
      </c>
    </row>
    <row r="1264" spans="1:9" ht="15.7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75" thickBot="1">
      <c r="A1268" s="288" t="s">
        <v>641</v>
      </c>
      <c r="B1268" s="288">
        <v>35000</v>
      </c>
      <c r="C1268" s="289">
        <v>20</v>
      </c>
      <c r="D1268" s="290">
        <v>0.21</v>
      </c>
      <c r="E1268" s="291">
        <v>12270</v>
      </c>
      <c r="F1268" s="291">
        <v>47270</v>
      </c>
      <c r="G1268" s="291">
        <v>1750</v>
      </c>
      <c r="H1268" s="291">
        <v>2276</v>
      </c>
      <c r="I1268" s="292" t="str">
        <f t="shared" si="19"/>
        <v>GooD</v>
      </c>
    </row>
    <row r="1269" spans="1:9" ht="15.7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75" thickBot="1">
      <c r="A1273" s="288" t="s">
        <v>641</v>
      </c>
      <c r="B1273" s="288">
        <v>36000</v>
      </c>
      <c r="C1273" s="289">
        <v>10</v>
      </c>
      <c r="D1273" s="290">
        <v>0.21</v>
      </c>
      <c r="E1273" s="291">
        <v>6310</v>
      </c>
      <c r="F1273" s="291">
        <v>42310</v>
      </c>
      <c r="G1273" s="291">
        <v>900</v>
      </c>
      <c r="H1273" s="291">
        <v>4141</v>
      </c>
      <c r="I1273" s="292" t="str">
        <f t="shared" si="19"/>
        <v>GooD</v>
      </c>
    </row>
    <row r="1274" spans="1:9" ht="15.7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75" thickBot="1">
      <c r="A1278" s="288" t="s">
        <v>641</v>
      </c>
      <c r="B1278" s="288">
        <v>36000</v>
      </c>
      <c r="C1278" s="289">
        <v>20</v>
      </c>
      <c r="D1278" s="290">
        <v>0.21</v>
      </c>
      <c r="E1278" s="291">
        <v>12620</v>
      </c>
      <c r="F1278" s="291">
        <v>48620</v>
      </c>
      <c r="G1278" s="291">
        <v>1800</v>
      </c>
      <c r="H1278" s="291">
        <v>2341</v>
      </c>
      <c r="I1278" s="292" t="str">
        <f t="shared" si="19"/>
        <v>GooD</v>
      </c>
    </row>
    <row r="1279" spans="1:9" ht="15.7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75" thickBot="1">
      <c r="A1283" s="288" t="s">
        <v>641</v>
      </c>
      <c r="B1283" s="288">
        <v>37000</v>
      </c>
      <c r="C1283" s="289">
        <v>10</v>
      </c>
      <c r="D1283" s="290">
        <v>0.21</v>
      </c>
      <c r="E1283" s="291">
        <v>6485</v>
      </c>
      <c r="F1283" s="291">
        <v>43485</v>
      </c>
      <c r="G1283" s="291">
        <v>925</v>
      </c>
      <c r="H1283" s="291">
        <v>4256</v>
      </c>
      <c r="I1283" s="292" t="str">
        <f t="shared" si="19"/>
        <v>GooD</v>
      </c>
    </row>
    <row r="1284" spans="1:9" ht="15.7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75" thickBot="1">
      <c r="A1288" s="288" t="s">
        <v>641</v>
      </c>
      <c r="B1288" s="288">
        <v>37000</v>
      </c>
      <c r="C1288" s="289">
        <v>20</v>
      </c>
      <c r="D1288" s="290">
        <v>0.21</v>
      </c>
      <c r="E1288" s="291">
        <v>12970</v>
      </c>
      <c r="F1288" s="291">
        <v>49970</v>
      </c>
      <c r="G1288" s="291">
        <v>1850</v>
      </c>
      <c r="H1288" s="291">
        <v>2406</v>
      </c>
      <c r="I1288" s="292" t="str">
        <f t="shared" si="19"/>
        <v>GooD</v>
      </c>
    </row>
    <row r="1289" spans="1:9" ht="15.7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75" thickBot="1">
      <c r="A1293" s="288" t="s">
        <v>641</v>
      </c>
      <c r="B1293" s="288">
        <v>38000</v>
      </c>
      <c r="C1293" s="289">
        <v>10</v>
      </c>
      <c r="D1293" s="290">
        <v>0.21</v>
      </c>
      <c r="E1293" s="291">
        <v>6660</v>
      </c>
      <c r="F1293" s="291">
        <v>44660</v>
      </c>
      <c r="G1293" s="291">
        <v>950</v>
      </c>
      <c r="H1293" s="291">
        <v>4371</v>
      </c>
      <c r="I1293" s="292" t="str">
        <f t="shared" si="19"/>
        <v>GooD</v>
      </c>
    </row>
    <row r="1294" spans="1:9" ht="15.7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75" thickBot="1">
      <c r="A1298" s="288" t="s">
        <v>641</v>
      </c>
      <c r="B1298" s="288">
        <v>38000</v>
      </c>
      <c r="C1298" s="289">
        <v>20</v>
      </c>
      <c r="D1298" s="290">
        <v>0.21</v>
      </c>
      <c r="E1298" s="291">
        <v>13320</v>
      </c>
      <c r="F1298" s="291">
        <v>51320</v>
      </c>
      <c r="G1298" s="291">
        <v>1900</v>
      </c>
      <c r="H1298" s="291">
        <v>2471</v>
      </c>
      <c r="I1298" s="292" t="str">
        <f t="shared" si="19"/>
        <v>GooD</v>
      </c>
    </row>
    <row r="1299" spans="1:9" ht="15.7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75" thickBot="1">
      <c r="A1303" s="288" t="s">
        <v>641</v>
      </c>
      <c r="B1303" s="288">
        <v>39000</v>
      </c>
      <c r="C1303" s="289">
        <v>10</v>
      </c>
      <c r="D1303" s="290">
        <v>0.21</v>
      </c>
      <c r="E1303" s="291">
        <v>6835</v>
      </c>
      <c r="F1303" s="291">
        <v>45835</v>
      </c>
      <c r="G1303" s="291">
        <v>975</v>
      </c>
      <c r="H1303" s="291">
        <v>4486</v>
      </c>
      <c r="I1303" s="292" t="str">
        <f t="shared" si="19"/>
        <v>GooD</v>
      </c>
    </row>
    <row r="1304" spans="1:9" ht="15.7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75" thickBot="1">
      <c r="A1308" s="288" t="s">
        <v>641</v>
      </c>
      <c r="B1308" s="288">
        <v>39000</v>
      </c>
      <c r="C1308" s="289">
        <v>20</v>
      </c>
      <c r="D1308" s="290">
        <v>0.21</v>
      </c>
      <c r="E1308" s="291">
        <v>13670</v>
      </c>
      <c r="F1308" s="291">
        <v>52670</v>
      </c>
      <c r="G1308" s="291">
        <v>1950</v>
      </c>
      <c r="H1308" s="291">
        <v>2536</v>
      </c>
      <c r="I1308" s="292" t="str">
        <f t="shared" si="19"/>
        <v>GooD</v>
      </c>
    </row>
    <row r="1309" spans="1:9" ht="15.7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75" thickBot="1">
      <c r="A1313" s="288" t="s">
        <v>641</v>
      </c>
      <c r="B1313" s="288">
        <v>40000</v>
      </c>
      <c r="C1313" s="289">
        <v>10</v>
      </c>
      <c r="D1313" s="290">
        <v>0.21</v>
      </c>
      <c r="E1313" s="291">
        <v>7010</v>
      </c>
      <c r="F1313" s="291">
        <v>47010</v>
      </c>
      <c r="G1313" s="291">
        <v>1000</v>
      </c>
      <c r="H1313" s="291">
        <v>4601</v>
      </c>
      <c r="I1313" s="292" t="str">
        <f t="shared" si="19"/>
        <v>GooD</v>
      </c>
    </row>
    <row r="1314" spans="1:9" ht="15.7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75" thickBot="1">
      <c r="A1318" s="288" t="s">
        <v>641</v>
      </c>
      <c r="B1318" s="288">
        <v>40000</v>
      </c>
      <c r="C1318" s="289">
        <v>20</v>
      </c>
      <c r="D1318" s="290">
        <v>0.21</v>
      </c>
      <c r="E1318" s="291">
        <v>14020</v>
      </c>
      <c r="F1318" s="291">
        <v>54020</v>
      </c>
      <c r="G1318" s="291">
        <v>2000</v>
      </c>
      <c r="H1318" s="291">
        <v>2601</v>
      </c>
      <c r="I1318" s="292" t="str">
        <f t="shared" si="19"/>
        <v>GooD</v>
      </c>
    </row>
    <row r="1319" spans="1:9" ht="15.7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75" thickBot="1">
      <c r="A1323" s="288" t="s">
        <v>641</v>
      </c>
      <c r="B1323" s="288">
        <v>41000</v>
      </c>
      <c r="C1323" s="289">
        <v>10</v>
      </c>
      <c r="D1323" s="290">
        <v>0.21</v>
      </c>
      <c r="E1323" s="291">
        <v>7185</v>
      </c>
      <c r="F1323" s="291">
        <v>48185</v>
      </c>
      <c r="G1323" s="291">
        <v>1025</v>
      </c>
      <c r="H1323" s="291">
        <v>4716</v>
      </c>
      <c r="I1323" s="292" t="str">
        <f t="shared" si="19"/>
        <v>GooD</v>
      </c>
    </row>
    <row r="1324" spans="1:9" ht="15.7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75" thickBot="1">
      <c r="A1328" s="288" t="s">
        <v>641</v>
      </c>
      <c r="B1328" s="288">
        <v>41000</v>
      </c>
      <c r="C1328" s="289">
        <v>20</v>
      </c>
      <c r="D1328" s="290">
        <v>0.21</v>
      </c>
      <c r="E1328" s="291">
        <v>14370</v>
      </c>
      <c r="F1328" s="291">
        <v>55370</v>
      </c>
      <c r="G1328" s="291">
        <v>2050</v>
      </c>
      <c r="H1328" s="291">
        <v>2666</v>
      </c>
      <c r="I1328" s="292" t="str">
        <f t="shared" si="19"/>
        <v>GooD</v>
      </c>
    </row>
    <row r="1329" spans="1:9" ht="15.7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75" thickBot="1">
      <c r="A1335" s="288" t="s">
        <v>641</v>
      </c>
      <c r="B1335" s="288">
        <v>42000</v>
      </c>
      <c r="C1335" s="289">
        <v>14</v>
      </c>
      <c r="D1335" s="290">
        <v>0.21</v>
      </c>
      <c r="E1335" s="291">
        <v>10304</v>
      </c>
      <c r="F1335" s="291">
        <v>52304</v>
      </c>
      <c r="G1335" s="291">
        <v>1470</v>
      </c>
      <c r="H1335" s="291">
        <v>3631</v>
      </c>
      <c r="I1335" s="292" t="str">
        <f t="shared" si="19"/>
        <v>GooD</v>
      </c>
    </row>
    <row r="1336" spans="1:9" ht="15.7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75" thickBot="1">
      <c r="A1338" s="288" t="s">
        <v>641</v>
      </c>
      <c r="B1338" s="288">
        <v>42000</v>
      </c>
      <c r="C1338" s="289">
        <v>20</v>
      </c>
      <c r="D1338" s="290">
        <v>0.21</v>
      </c>
      <c r="E1338" s="291">
        <v>14720</v>
      </c>
      <c r="F1338" s="291">
        <v>56720</v>
      </c>
      <c r="G1338" s="291">
        <v>2100</v>
      </c>
      <c r="H1338" s="291">
        <v>2731</v>
      </c>
      <c r="I1338" s="292" t="str">
        <f t="shared" si="19"/>
        <v>GooD</v>
      </c>
    </row>
    <row r="1339" spans="1:9" ht="15.7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75" thickBot="1">
      <c r="A1341" s="288" t="s">
        <v>641</v>
      </c>
      <c r="B1341" s="288">
        <v>43000</v>
      </c>
      <c r="C1341" s="289">
        <v>6</v>
      </c>
      <c r="D1341" s="290">
        <v>0.21</v>
      </c>
      <c r="E1341" s="291">
        <v>4517</v>
      </c>
      <c r="F1341" s="291">
        <v>47517</v>
      </c>
      <c r="G1341" s="291">
        <v>645</v>
      </c>
      <c r="H1341" s="291">
        <v>7812</v>
      </c>
      <c r="I1341" s="292" t="str">
        <f t="shared" si="20"/>
        <v>GooD</v>
      </c>
    </row>
    <row r="1342" spans="1:9" ht="15.7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75" thickBot="1">
      <c r="A1344" s="288" t="s">
        <v>641</v>
      </c>
      <c r="B1344" s="288">
        <v>43000</v>
      </c>
      <c r="C1344" s="289">
        <v>12</v>
      </c>
      <c r="D1344" s="290">
        <v>0.21</v>
      </c>
      <c r="E1344" s="291">
        <v>9038</v>
      </c>
      <c r="F1344" s="291">
        <v>52038</v>
      </c>
      <c r="G1344" s="291">
        <v>1290</v>
      </c>
      <c r="H1344" s="291">
        <v>4229</v>
      </c>
      <c r="I1344" s="292" t="str">
        <f t="shared" si="20"/>
        <v>GooD</v>
      </c>
    </row>
    <row r="1345" spans="1:9" ht="15.7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75" thickBot="1">
      <c r="A1347" s="288" t="s">
        <v>641</v>
      </c>
      <c r="B1347" s="288">
        <v>43000</v>
      </c>
      <c r="C1347" s="289">
        <v>18</v>
      </c>
      <c r="D1347" s="290">
        <v>0.21</v>
      </c>
      <c r="E1347" s="291">
        <v>13547</v>
      </c>
      <c r="F1347" s="291">
        <v>56547</v>
      </c>
      <c r="G1347" s="291">
        <v>1935</v>
      </c>
      <c r="H1347" s="291">
        <v>3034</v>
      </c>
      <c r="I1347" s="292" t="str">
        <f t="shared" si="20"/>
        <v>GooD</v>
      </c>
    </row>
    <row r="1348" spans="1:9" ht="15.7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75" thickBot="1">
      <c r="A1350" s="288" t="s">
        <v>641</v>
      </c>
      <c r="B1350" s="288">
        <v>43000</v>
      </c>
      <c r="C1350" s="289">
        <v>24</v>
      </c>
      <c r="D1350" s="290">
        <v>0.21</v>
      </c>
      <c r="E1350" s="291">
        <v>18068</v>
      </c>
      <c r="F1350" s="291">
        <v>61068</v>
      </c>
      <c r="G1350" s="291">
        <v>2580</v>
      </c>
      <c r="H1350" s="291">
        <v>2437</v>
      </c>
      <c r="I1350" s="292" t="str">
        <f t="shared" si="20"/>
        <v>GooD</v>
      </c>
    </row>
    <row r="1351" spans="1:9" ht="15.7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75" thickBot="1">
      <c r="A1353" s="288" t="s">
        <v>641</v>
      </c>
      <c r="B1353" s="288">
        <v>44000</v>
      </c>
      <c r="C1353" s="289">
        <v>10</v>
      </c>
      <c r="D1353" s="290">
        <v>0.21</v>
      </c>
      <c r="E1353" s="291">
        <v>7710</v>
      </c>
      <c r="F1353" s="291">
        <v>51710</v>
      </c>
      <c r="G1353" s="291">
        <v>1100</v>
      </c>
      <c r="H1353" s="291">
        <v>5061</v>
      </c>
      <c r="I1353" s="292" t="str">
        <f t="shared" si="20"/>
        <v>GooD</v>
      </c>
    </row>
    <row r="1354" spans="1:9" ht="15.7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75" thickBot="1">
      <c r="A1356" s="288" t="s">
        <v>641</v>
      </c>
      <c r="B1356" s="288">
        <v>44000</v>
      </c>
      <c r="C1356" s="289">
        <v>16</v>
      </c>
      <c r="D1356" s="290">
        <v>0.21</v>
      </c>
      <c r="E1356" s="291">
        <v>12336</v>
      </c>
      <c r="F1356" s="291">
        <v>56336</v>
      </c>
      <c r="G1356" s="291">
        <v>1760</v>
      </c>
      <c r="H1356" s="291">
        <v>3411</v>
      </c>
      <c r="I1356" s="292" t="str">
        <f t="shared" si="20"/>
        <v>GooD</v>
      </c>
    </row>
    <row r="1357" spans="1:9" ht="15.7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75" thickBot="1">
      <c r="A1359" s="288" t="s">
        <v>641</v>
      </c>
      <c r="B1359" s="288">
        <v>44000</v>
      </c>
      <c r="C1359" s="289">
        <v>22</v>
      </c>
      <c r="D1359" s="290">
        <v>0.21</v>
      </c>
      <c r="E1359" s="291">
        <v>16962</v>
      </c>
      <c r="F1359" s="291">
        <v>60962</v>
      </c>
      <c r="G1359" s="291">
        <v>2420</v>
      </c>
      <c r="H1359" s="291">
        <v>2661</v>
      </c>
      <c r="I1359" s="292" t="str">
        <f t="shared" si="20"/>
        <v>GooD</v>
      </c>
    </row>
    <row r="1360" spans="1:9" ht="15.7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75" thickBot="1">
      <c r="A1362" s="288" t="s">
        <v>641</v>
      </c>
      <c r="B1362" s="288">
        <v>45000</v>
      </c>
      <c r="C1362" s="289">
        <v>8</v>
      </c>
      <c r="D1362" s="290">
        <v>0.21</v>
      </c>
      <c r="E1362" s="291">
        <v>6308</v>
      </c>
      <c r="F1362" s="291">
        <v>51308</v>
      </c>
      <c r="G1362" s="291">
        <v>900</v>
      </c>
      <c r="H1362" s="291">
        <v>6301</v>
      </c>
      <c r="I1362" s="292" t="str">
        <f t="shared" si="20"/>
        <v>GooD</v>
      </c>
    </row>
    <row r="1363" spans="1:9" ht="15.7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75" thickBot="1">
      <c r="A1365" s="288" t="s">
        <v>641</v>
      </c>
      <c r="B1365" s="288">
        <v>45000</v>
      </c>
      <c r="C1365" s="289">
        <v>14</v>
      </c>
      <c r="D1365" s="290">
        <v>0.21</v>
      </c>
      <c r="E1365" s="291">
        <v>11035</v>
      </c>
      <c r="F1365" s="291">
        <v>56035</v>
      </c>
      <c r="G1365" s="291">
        <v>1575</v>
      </c>
      <c r="H1365" s="291">
        <v>3890</v>
      </c>
      <c r="I1365" s="292" t="str">
        <f t="shared" si="20"/>
        <v>GooD</v>
      </c>
    </row>
    <row r="1366" spans="1:9" ht="15.7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75" thickBot="1">
      <c r="A1368" s="288" t="s">
        <v>641</v>
      </c>
      <c r="B1368" s="288">
        <v>45000</v>
      </c>
      <c r="C1368" s="289">
        <v>20</v>
      </c>
      <c r="D1368" s="290">
        <v>0.21</v>
      </c>
      <c r="E1368" s="291">
        <v>15770</v>
      </c>
      <c r="F1368" s="291">
        <v>60770</v>
      </c>
      <c r="G1368" s="291">
        <v>2250</v>
      </c>
      <c r="H1368" s="291">
        <v>2926</v>
      </c>
      <c r="I1368" s="292" t="str">
        <f t="shared" si="20"/>
        <v>GooD</v>
      </c>
    </row>
    <row r="1369" spans="1:9" ht="15.7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75" thickBot="1">
      <c r="A1371" s="288" t="s">
        <v>641</v>
      </c>
      <c r="B1371" s="288">
        <v>46000</v>
      </c>
      <c r="C1371" s="289">
        <v>6</v>
      </c>
      <c r="D1371" s="290">
        <v>0.21</v>
      </c>
      <c r="E1371" s="291">
        <v>4832</v>
      </c>
      <c r="F1371" s="291">
        <v>50832</v>
      </c>
      <c r="G1371" s="291">
        <v>690</v>
      </c>
      <c r="H1371" s="291">
        <v>8357</v>
      </c>
      <c r="I1371" s="292" t="str">
        <f t="shared" si="20"/>
        <v>GooD</v>
      </c>
    </row>
    <row r="1372" spans="1:9" ht="15.7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75" thickBot="1">
      <c r="A1374" s="288" t="s">
        <v>641</v>
      </c>
      <c r="B1374" s="288">
        <v>46000</v>
      </c>
      <c r="C1374" s="289">
        <v>12</v>
      </c>
      <c r="D1374" s="290">
        <v>0.21</v>
      </c>
      <c r="E1374" s="291">
        <v>9668</v>
      </c>
      <c r="F1374" s="291">
        <v>55668</v>
      </c>
      <c r="G1374" s="291">
        <v>1380</v>
      </c>
      <c r="H1374" s="291">
        <v>4524</v>
      </c>
      <c r="I1374" s="292" t="str">
        <f t="shared" si="20"/>
        <v>GooD</v>
      </c>
    </row>
    <row r="1375" spans="1:9" ht="15.7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75" thickBot="1">
      <c r="A1377" s="288" t="s">
        <v>641</v>
      </c>
      <c r="B1377" s="288">
        <v>46000</v>
      </c>
      <c r="C1377" s="289">
        <v>18</v>
      </c>
      <c r="D1377" s="290">
        <v>0.21</v>
      </c>
      <c r="E1377" s="291">
        <v>14498</v>
      </c>
      <c r="F1377" s="291">
        <v>60498</v>
      </c>
      <c r="G1377" s="291">
        <v>2070</v>
      </c>
      <c r="H1377" s="291">
        <v>3246</v>
      </c>
      <c r="I1377" s="292" t="str">
        <f t="shared" si="20"/>
        <v>GooD</v>
      </c>
    </row>
    <row r="1378" spans="1:9" ht="15.7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75" thickBot="1">
      <c r="A1380" s="288" t="s">
        <v>641</v>
      </c>
      <c r="B1380" s="288">
        <v>46000</v>
      </c>
      <c r="C1380" s="289">
        <v>24</v>
      </c>
      <c r="D1380" s="290">
        <v>0.21</v>
      </c>
      <c r="E1380" s="291">
        <v>19328</v>
      </c>
      <c r="F1380" s="291">
        <v>65328</v>
      </c>
      <c r="G1380" s="291">
        <v>2760</v>
      </c>
      <c r="H1380" s="291">
        <v>2607</v>
      </c>
      <c r="I1380" s="292" t="str">
        <f t="shared" si="20"/>
        <v>GooD</v>
      </c>
    </row>
    <row r="1381" spans="1:9" ht="15.7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75" thickBot="1">
      <c r="A1383" s="288" t="s">
        <v>641</v>
      </c>
      <c r="B1383" s="288">
        <v>47000</v>
      </c>
      <c r="C1383" s="289">
        <v>10</v>
      </c>
      <c r="D1383" s="290">
        <v>0.21</v>
      </c>
      <c r="E1383" s="291">
        <v>8235</v>
      </c>
      <c r="F1383" s="291">
        <v>55235</v>
      </c>
      <c r="G1383" s="291">
        <v>1175</v>
      </c>
      <c r="H1383" s="291">
        <v>5406</v>
      </c>
      <c r="I1383" s="292" t="str">
        <f t="shared" si="20"/>
        <v>GooD</v>
      </c>
    </row>
    <row r="1384" spans="1:9" ht="15.7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75" thickBot="1">
      <c r="A1386" s="288" t="s">
        <v>641</v>
      </c>
      <c r="B1386" s="288">
        <v>47000</v>
      </c>
      <c r="C1386" s="289">
        <v>16</v>
      </c>
      <c r="D1386" s="290">
        <v>0.21</v>
      </c>
      <c r="E1386" s="291">
        <v>13168</v>
      </c>
      <c r="F1386" s="291">
        <v>60168</v>
      </c>
      <c r="G1386" s="291">
        <v>1880</v>
      </c>
      <c r="H1386" s="291">
        <v>3643</v>
      </c>
      <c r="I1386" s="292" t="str">
        <f t="shared" si="20"/>
        <v>GooD</v>
      </c>
    </row>
    <row r="1387" spans="1:9" ht="15.7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75" thickBot="1">
      <c r="A1389" s="288" t="s">
        <v>641</v>
      </c>
      <c r="B1389" s="288">
        <v>47000</v>
      </c>
      <c r="C1389" s="289">
        <v>22</v>
      </c>
      <c r="D1389" s="290">
        <v>0.21</v>
      </c>
      <c r="E1389" s="291">
        <v>18109</v>
      </c>
      <c r="F1389" s="291">
        <v>65109</v>
      </c>
      <c r="G1389" s="291">
        <v>2585</v>
      </c>
      <c r="H1389" s="291">
        <v>2842</v>
      </c>
      <c r="I1389" s="292" t="str">
        <f t="shared" si="20"/>
        <v>GooD</v>
      </c>
    </row>
    <row r="1390" spans="1:9" ht="15.7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75" thickBot="1">
      <c r="A1392" s="288" t="s">
        <v>641</v>
      </c>
      <c r="B1392" s="288">
        <v>48000</v>
      </c>
      <c r="C1392" s="289">
        <v>8</v>
      </c>
      <c r="D1392" s="290">
        <v>0.21</v>
      </c>
      <c r="E1392" s="291">
        <v>6728</v>
      </c>
      <c r="F1392" s="291">
        <v>54728</v>
      </c>
      <c r="G1392" s="291">
        <v>960</v>
      </c>
      <c r="H1392" s="291">
        <v>6721</v>
      </c>
      <c r="I1392" s="292" t="str">
        <f t="shared" si="20"/>
        <v>GooD</v>
      </c>
    </row>
    <row r="1393" spans="1:9" ht="15.7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75" thickBot="1">
      <c r="A1395" s="288" t="s">
        <v>641</v>
      </c>
      <c r="B1395" s="288">
        <v>48000</v>
      </c>
      <c r="C1395" s="289">
        <v>14</v>
      </c>
      <c r="D1395" s="290">
        <v>0.21</v>
      </c>
      <c r="E1395" s="291">
        <v>11766</v>
      </c>
      <c r="F1395" s="291">
        <v>59766</v>
      </c>
      <c r="G1395" s="291">
        <v>1680</v>
      </c>
      <c r="H1395" s="291">
        <v>4149</v>
      </c>
      <c r="I1395" s="292" t="str">
        <f t="shared" si="20"/>
        <v>GooD</v>
      </c>
    </row>
    <row r="1396" spans="1:9" ht="15.7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75" thickBot="1">
      <c r="A1398" s="288" t="s">
        <v>641</v>
      </c>
      <c r="B1398" s="288">
        <v>48000</v>
      </c>
      <c r="C1398" s="289">
        <v>20</v>
      </c>
      <c r="D1398" s="290">
        <v>0.21</v>
      </c>
      <c r="E1398" s="291">
        <v>16820</v>
      </c>
      <c r="F1398" s="291">
        <v>64820</v>
      </c>
      <c r="G1398" s="291">
        <v>2400</v>
      </c>
      <c r="H1398" s="291">
        <v>3121</v>
      </c>
      <c r="I1398" s="292" t="str">
        <f t="shared" si="20"/>
        <v>GooD</v>
      </c>
    </row>
    <row r="1399" spans="1:9" ht="15.7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75" thickBot="1">
      <c r="A1401" s="288" t="s">
        <v>641</v>
      </c>
      <c r="B1401" s="288">
        <v>49000</v>
      </c>
      <c r="C1401" s="289">
        <v>6</v>
      </c>
      <c r="D1401" s="290">
        <v>0.21</v>
      </c>
      <c r="E1401" s="291">
        <v>5147</v>
      </c>
      <c r="F1401" s="291">
        <v>54147</v>
      </c>
      <c r="G1401" s="291">
        <v>735</v>
      </c>
      <c r="H1401" s="291">
        <v>8902</v>
      </c>
      <c r="I1401" s="292" t="str">
        <f t="shared" si="20"/>
        <v>GooD</v>
      </c>
    </row>
    <row r="1402" spans="1:9" ht="15.7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75" thickBot="1">
      <c r="A1404" s="288" t="s">
        <v>641</v>
      </c>
      <c r="B1404" s="288">
        <v>49000</v>
      </c>
      <c r="C1404" s="289">
        <v>12</v>
      </c>
      <c r="D1404" s="290">
        <v>0.21</v>
      </c>
      <c r="E1404" s="291">
        <v>10298</v>
      </c>
      <c r="F1404" s="291">
        <v>59298</v>
      </c>
      <c r="G1404" s="291">
        <v>1470</v>
      </c>
      <c r="H1404" s="291">
        <v>4819</v>
      </c>
      <c r="I1404" s="292" t="str">
        <f t="shared" si="20"/>
        <v>GooD</v>
      </c>
    </row>
    <row r="1405" spans="1:9" ht="15.7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75" thickBot="1">
      <c r="A1407" s="288" t="s">
        <v>641</v>
      </c>
      <c r="B1407" s="288">
        <v>49000</v>
      </c>
      <c r="C1407" s="289">
        <v>18</v>
      </c>
      <c r="D1407" s="290">
        <v>0.21</v>
      </c>
      <c r="E1407" s="291">
        <v>15449</v>
      </c>
      <c r="F1407" s="291">
        <v>64449</v>
      </c>
      <c r="G1407" s="291">
        <v>2205</v>
      </c>
      <c r="H1407" s="291">
        <v>3458</v>
      </c>
      <c r="I1407" s="292" t="str">
        <f t="shared" si="21"/>
        <v>GooD</v>
      </c>
    </row>
    <row r="1408" spans="1:9" ht="15.7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75" thickBot="1">
      <c r="A1410" s="288" t="s">
        <v>641</v>
      </c>
      <c r="B1410" s="288">
        <v>49000</v>
      </c>
      <c r="C1410" s="289">
        <v>24</v>
      </c>
      <c r="D1410" s="290">
        <v>0.21</v>
      </c>
      <c r="E1410" s="291">
        <v>20588</v>
      </c>
      <c r="F1410" s="291">
        <v>69588</v>
      </c>
      <c r="G1410" s="291">
        <v>2940</v>
      </c>
      <c r="H1410" s="291">
        <v>2777</v>
      </c>
      <c r="I1410" s="292" t="str">
        <f t="shared" si="21"/>
        <v>GooD</v>
      </c>
    </row>
    <row r="1411" spans="1:9" ht="15.7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75" thickBot="1">
      <c r="A1413" s="288" t="s">
        <v>641</v>
      </c>
      <c r="B1413" s="288">
        <v>50000</v>
      </c>
      <c r="C1413" s="289">
        <v>10</v>
      </c>
      <c r="D1413" s="290">
        <v>0.21</v>
      </c>
      <c r="E1413" s="291">
        <v>8760</v>
      </c>
      <c r="F1413" s="291">
        <v>58760</v>
      </c>
      <c r="G1413" s="291">
        <v>1250</v>
      </c>
      <c r="H1413" s="291">
        <v>5751</v>
      </c>
      <c r="I1413" s="292" t="str">
        <f t="shared" si="21"/>
        <v>GooD</v>
      </c>
    </row>
    <row r="1414" spans="1:9" ht="15.7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75" thickBot="1">
      <c r="A1416" s="288" t="s">
        <v>641</v>
      </c>
      <c r="B1416" s="288">
        <v>50000</v>
      </c>
      <c r="C1416" s="289">
        <v>16</v>
      </c>
      <c r="D1416" s="290">
        <v>0.21</v>
      </c>
      <c r="E1416" s="291">
        <v>14016</v>
      </c>
      <c r="F1416" s="291">
        <v>64016</v>
      </c>
      <c r="G1416" s="291">
        <v>2000</v>
      </c>
      <c r="H1416" s="291">
        <v>3876</v>
      </c>
      <c r="I1416" s="292" t="str">
        <f t="shared" si="21"/>
        <v>GooD</v>
      </c>
    </row>
    <row r="1417" spans="1:9" ht="15.7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75" thickBot="1">
      <c r="A1419" s="288" t="s">
        <v>641</v>
      </c>
      <c r="B1419" s="288">
        <v>50000</v>
      </c>
      <c r="C1419" s="289">
        <v>22</v>
      </c>
      <c r="D1419" s="290">
        <v>0.21</v>
      </c>
      <c r="E1419" s="291">
        <v>19256</v>
      </c>
      <c r="F1419" s="291">
        <v>69256</v>
      </c>
      <c r="G1419" s="291">
        <v>2750</v>
      </c>
      <c r="H1419" s="291">
        <v>3023</v>
      </c>
      <c r="I1419" s="292" t="str">
        <f t="shared" si="21"/>
        <v>GooD</v>
      </c>
    </row>
    <row r="1420" spans="1:9" ht="15.7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75" thickBot="1">
      <c r="A1422" s="288" t="s">
        <v>644</v>
      </c>
      <c r="B1422" s="288">
        <v>6000</v>
      </c>
      <c r="C1422" s="289">
        <v>6</v>
      </c>
      <c r="D1422" s="290">
        <v>0.21</v>
      </c>
      <c r="E1422" s="291">
        <v>636</v>
      </c>
      <c r="F1422" s="291">
        <v>6636</v>
      </c>
      <c r="G1422" s="291">
        <v>90</v>
      </c>
      <c r="H1422" s="291">
        <v>1091</v>
      </c>
      <c r="I1422" s="292" t="str">
        <f t="shared" si="21"/>
        <v>GooD</v>
      </c>
    </row>
    <row r="1423" spans="1:9" ht="15.7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75" thickBot="1">
      <c r="A1425" s="288" t="s">
        <v>644</v>
      </c>
      <c r="B1425" s="288">
        <v>6000</v>
      </c>
      <c r="C1425" s="289">
        <v>12</v>
      </c>
      <c r="D1425" s="290">
        <v>0.21</v>
      </c>
      <c r="E1425" s="291">
        <v>1272</v>
      </c>
      <c r="F1425" s="291">
        <v>7272</v>
      </c>
      <c r="G1425" s="291">
        <v>180</v>
      </c>
      <c r="H1425" s="291">
        <v>591</v>
      </c>
      <c r="I1425" s="292" t="str">
        <f t="shared" si="21"/>
        <v>GooD</v>
      </c>
    </row>
    <row r="1426" spans="1:9" ht="15.7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75" thickBot="1">
      <c r="A1428" s="288" t="s">
        <v>644</v>
      </c>
      <c r="B1428" s="288">
        <v>6500</v>
      </c>
      <c r="C1428" s="289">
        <v>8</v>
      </c>
      <c r="D1428" s="290">
        <v>0.21</v>
      </c>
      <c r="E1428" s="291">
        <v>918</v>
      </c>
      <c r="F1428" s="291">
        <v>7418</v>
      </c>
      <c r="G1428" s="291">
        <v>130</v>
      </c>
      <c r="H1428" s="291">
        <v>911</v>
      </c>
      <c r="I1428" s="292" t="str">
        <f t="shared" si="21"/>
        <v>GooD</v>
      </c>
    </row>
    <row r="1429" spans="1:9" ht="15.7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75" thickBot="1">
      <c r="A1431" s="288" t="s">
        <v>644</v>
      </c>
      <c r="B1431" s="288">
        <v>7000</v>
      </c>
      <c r="C1431" s="289">
        <v>4</v>
      </c>
      <c r="D1431" s="290">
        <v>0.21</v>
      </c>
      <c r="E1431" s="291">
        <v>494</v>
      </c>
      <c r="F1431" s="291">
        <v>7494</v>
      </c>
      <c r="G1431" s="291">
        <v>70</v>
      </c>
      <c r="H1431" s="291">
        <v>1856</v>
      </c>
      <c r="I1431" s="292" t="str">
        <f t="shared" si="21"/>
        <v>GooD</v>
      </c>
    </row>
    <row r="1432" spans="1:9" ht="15.7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75" thickBot="1">
      <c r="A1434" s="288" t="s">
        <v>644</v>
      </c>
      <c r="B1434" s="288">
        <v>7000</v>
      </c>
      <c r="C1434" s="289">
        <v>10</v>
      </c>
      <c r="D1434" s="290">
        <v>0.21</v>
      </c>
      <c r="E1434" s="291">
        <v>1235</v>
      </c>
      <c r="F1434" s="291">
        <v>8235</v>
      </c>
      <c r="G1434" s="291">
        <v>175</v>
      </c>
      <c r="H1434" s="291">
        <v>806</v>
      </c>
      <c r="I1434" s="292" t="str">
        <f t="shared" si="21"/>
        <v>GooD</v>
      </c>
    </row>
    <row r="1435" spans="1:9" ht="15.7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75" thickBot="1">
      <c r="A1437" s="288" t="s">
        <v>644</v>
      </c>
      <c r="B1437" s="288">
        <v>7500</v>
      </c>
      <c r="C1437" s="289">
        <v>6</v>
      </c>
      <c r="D1437" s="290">
        <v>0.21</v>
      </c>
      <c r="E1437" s="291">
        <v>791</v>
      </c>
      <c r="F1437" s="291">
        <v>8291</v>
      </c>
      <c r="G1437" s="291">
        <v>113</v>
      </c>
      <c r="H1437" s="291">
        <v>1363</v>
      </c>
      <c r="I1437" s="292" t="str">
        <f t="shared" si="21"/>
        <v>GooD</v>
      </c>
    </row>
    <row r="1438" spans="1:9" ht="15.7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75" thickBot="1">
      <c r="A1440" s="288" t="s">
        <v>644</v>
      </c>
      <c r="B1440" s="288">
        <v>7500</v>
      </c>
      <c r="C1440" s="289">
        <v>12</v>
      </c>
      <c r="D1440" s="290">
        <v>0.21</v>
      </c>
      <c r="E1440" s="291">
        <v>1581</v>
      </c>
      <c r="F1440" s="291">
        <v>9081</v>
      </c>
      <c r="G1440" s="291">
        <v>225</v>
      </c>
      <c r="H1440" s="291">
        <v>738</v>
      </c>
      <c r="I1440" s="292" t="str">
        <f t="shared" si="21"/>
        <v>GooD</v>
      </c>
    </row>
    <row r="1441" spans="1:9" ht="15.7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75" thickBot="1">
      <c r="A1443" s="288" t="s">
        <v>644</v>
      </c>
      <c r="B1443" s="288">
        <v>8000</v>
      </c>
      <c r="C1443" s="289">
        <v>8</v>
      </c>
      <c r="D1443" s="290">
        <v>0.21</v>
      </c>
      <c r="E1443" s="291">
        <v>1128</v>
      </c>
      <c r="F1443" s="291">
        <v>9128</v>
      </c>
      <c r="G1443" s="291">
        <v>160</v>
      </c>
      <c r="H1443" s="291">
        <v>1121</v>
      </c>
      <c r="I1443" s="292" t="str">
        <f t="shared" si="21"/>
        <v>GooD</v>
      </c>
    </row>
    <row r="1444" spans="1:9" ht="15.7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75" thickBot="1">
      <c r="A1446" s="288" t="s">
        <v>644</v>
      </c>
      <c r="B1446" s="288">
        <v>8500</v>
      </c>
      <c r="C1446" s="289">
        <v>4</v>
      </c>
      <c r="D1446" s="290">
        <v>0.21</v>
      </c>
      <c r="E1446" s="291">
        <v>597</v>
      </c>
      <c r="F1446" s="291">
        <v>9097</v>
      </c>
      <c r="G1446" s="291">
        <v>85</v>
      </c>
      <c r="H1446" s="291">
        <v>2253</v>
      </c>
      <c r="I1446" s="292" t="str">
        <f t="shared" si="21"/>
        <v>GooD</v>
      </c>
    </row>
    <row r="1447" spans="1:9" ht="15.7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75" thickBot="1">
      <c r="A1449" s="288" t="s">
        <v>644</v>
      </c>
      <c r="B1449" s="288">
        <v>8500</v>
      </c>
      <c r="C1449" s="289">
        <v>10</v>
      </c>
      <c r="D1449" s="290">
        <v>0.21</v>
      </c>
      <c r="E1449" s="291">
        <v>1493</v>
      </c>
      <c r="F1449" s="291">
        <v>9993</v>
      </c>
      <c r="G1449" s="291">
        <v>213</v>
      </c>
      <c r="H1449" s="291">
        <v>978</v>
      </c>
      <c r="I1449" s="292" t="str">
        <f t="shared" si="21"/>
        <v>GooD</v>
      </c>
    </row>
    <row r="1450" spans="1:9" ht="15.7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75" thickBot="1">
      <c r="A1452" s="288" t="s">
        <v>644</v>
      </c>
      <c r="B1452" s="288">
        <v>9000</v>
      </c>
      <c r="C1452" s="289">
        <v>6</v>
      </c>
      <c r="D1452" s="290">
        <v>0.21</v>
      </c>
      <c r="E1452" s="291">
        <v>951</v>
      </c>
      <c r="F1452" s="291">
        <v>9951</v>
      </c>
      <c r="G1452" s="291">
        <v>135</v>
      </c>
      <c r="H1452" s="291">
        <v>1636</v>
      </c>
      <c r="I1452" s="292" t="str">
        <f t="shared" si="21"/>
        <v>GooD</v>
      </c>
    </row>
    <row r="1453" spans="1:9" ht="15.7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75" thickBot="1">
      <c r="A1455" s="288" t="s">
        <v>644</v>
      </c>
      <c r="B1455" s="288">
        <v>9000</v>
      </c>
      <c r="C1455" s="289">
        <v>12</v>
      </c>
      <c r="D1455" s="290">
        <v>0.21</v>
      </c>
      <c r="E1455" s="291">
        <v>1902</v>
      </c>
      <c r="F1455" s="291">
        <v>10902</v>
      </c>
      <c r="G1455" s="291">
        <v>270</v>
      </c>
      <c r="H1455" s="291">
        <v>886</v>
      </c>
      <c r="I1455" s="292" t="str">
        <f t="shared" si="21"/>
        <v>GooD</v>
      </c>
    </row>
    <row r="1456" spans="1:9" ht="15.7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75" thickBot="1">
      <c r="A1458" s="288" t="s">
        <v>644</v>
      </c>
      <c r="B1458" s="288">
        <v>9500</v>
      </c>
      <c r="C1458" s="289">
        <v>8</v>
      </c>
      <c r="D1458" s="290">
        <v>0.21</v>
      </c>
      <c r="E1458" s="291">
        <v>1338</v>
      </c>
      <c r="F1458" s="291">
        <v>10838</v>
      </c>
      <c r="G1458" s="291">
        <v>190</v>
      </c>
      <c r="H1458" s="291">
        <v>1331</v>
      </c>
      <c r="I1458" s="292" t="str">
        <f t="shared" si="21"/>
        <v>GooD</v>
      </c>
    </row>
    <row r="1459" spans="1:9" ht="15.7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75" thickBot="1">
      <c r="A1461" s="288" t="s">
        <v>644</v>
      </c>
      <c r="B1461" s="288">
        <v>10000</v>
      </c>
      <c r="C1461" s="289">
        <v>4</v>
      </c>
      <c r="D1461" s="290">
        <v>0.21</v>
      </c>
      <c r="E1461" s="291">
        <v>704</v>
      </c>
      <c r="F1461" s="291">
        <v>10704</v>
      </c>
      <c r="G1461" s="291">
        <v>100</v>
      </c>
      <c r="H1461" s="291">
        <v>2651</v>
      </c>
      <c r="I1461" s="292" t="str">
        <f t="shared" si="21"/>
        <v>GooD</v>
      </c>
    </row>
    <row r="1462" spans="1:9" ht="15.7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75" thickBot="1">
      <c r="A1464" s="288" t="s">
        <v>644</v>
      </c>
      <c r="B1464" s="288">
        <v>10000</v>
      </c>
      <c r="C1464" s="289">
        <v>10</v>
      </c>
      <c r="D1464" s="290">
        <v>0.21</v>
      </c>
      <c r="E1464" s="291">
        <v>1760</v>
      </c>
      <c r="F1464" s="291">
        <v>11760</v>
      </c>
      <c r="G1464" s="291">
        <v>250</v>
      </c>
      <c r="H1464" s="291">
        <v>1151</v>
      </c>
      <c r="I1464" s="292" t="str">
        <f t="shared" si="21"/>
        <v>GooD</v>
      </c>
    </row>
    <row r="1465" spans="1:9" ht="15.7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75" thickBot="1">
      <c r="A1467" s="288" t="s">
        <v>644</v>
      </c>
      <c r="B1467" s="288">
        <v>10500</v>
      </c>
      <c r="C1467" s="289">
        <v>6</v>
      </c>
      <c r="D1467" s="290">
        <v>0.21</v>
      </c>
      <c r="E1467" s="291">
        <v>1106</v>
      </c>
      <c r="F1467" s="291">
        <v>11606</v>
      </c>
      <c r="G1467" s="291">
        <v>158</v>
      </c>
      <c r="H1467" s="291">
        <v>1908</v>
      </c>
      <c r="I1467" s="292" t="str">
        <f t="shared" si="21"/>
        <v>GooD</v>
      </c>
    </row>
    <row r="1468" spans="1:9" ht="15.7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75" thickBot="1">
      <c r="A1470" s="288" t="s">
        <v>644</v>
      </c>
      <c r="B1470" s="288">
        <v>10500</v>
      </c>
      <c r="C1470" s="289">
        <v>12</v>
      </c>
      <c r="D1470" s="290">
        <v>0.21</v>
      </c>
      <c r="E1470" s="291">
        <v>2211</v>
      </c>
      <c r="F1470" s="291">
        <v>12711</v>
      </c>
      <c r="G1470" s="291">
        <v>315</v>
      </c>
      <c r="H1470" s="291">
        <v>1033</v>
      </c>
      <c r="I1470" s="292" t="str">
        <f t="shared" si="22"/>
        <v>GooD</v>
      </c>
    </row>
    <row r="1471" spans="1:9" ht="15.7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75" thickBot="1">
      <c r="A1473" s="288" t="s">
        <v>644</v>
      </c>
      <c r="B1473" s="288">
        <v>11000</v>
      </c>
      <c r="C1473" s="289">
        <v>8</v>
      </c>
      <c r="D1473" s="290">
        <v>0.21</v>
      </c>
      <c r="E1473" s="291">
        <v>1548</v>
      </c>
      <c r="F1473" s="291">
        <v>12548</v>
      </c>
      <c r="G1473" s="291">
        <v>220</v>
      </c>
      <c r="H1473" s="291">
        <v>1541</v>
      </c>
      <c r="I1473" s="292" t="str">
        <f t="shared" si="22"/>
        <v>GooD</v>
      </c>
    </row>
    <row r="1474" spans="1:9" ht="15.7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75" thickBot="1">
      <c r="A1476" s="288" t="s">
        <v>644</v>
      </c>
      <c r="B1476" s="288">
        <v>11500</v>
      </c>
      <c r="C1476" s="289">
        <v>4</v>
      </c>
      <c r="D1476" s="290">
        <v>0.21</v>
      </c>
      <c r="E1476" s="291">
        <v>807</v>
      </c>
      <c r="F1476" s="291">
        <v>12307</v>
      </c>
      <c r="G1476" s="291">
        <v>115</v>
      </c>
      <c r="H1476" s="291">
        <v>3048</v>
      </c>
      <c r="I1476" s="292" t="str">
        <f t="shared" si="22"/>
        <v>GooD</v>
      </c>
    </row>
    <row r="1477" spans="1:9" ht="15.7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75" thickBot="1">
      <c r="A1479" s="288" t="s">
        <v>644</v>
      </c>
      <c r="B1479" s="288">
        <v>11500</v>
      </c>
      <c r="C1479" s="289">
        <v>10</v>
      </c>
      <c r="D1479" s="290">
        <v>0.21</v>
      </c>
      <c r="E1479" s="291">
        <v>2018</v>
      </c>
      <c r="F1479" s="291">
        <v>13518</v>
      </c>
      <c r="G1479" s="291">
        <v>288</v>
      </c>
      <c r="H1479" s="291">
        <v>1323</v>
      </c>
      <c r="I1479" s="292" t="str">
        <f t="shared" si="22"/>
        <v>GooD</v>
      </c>
    </row>
    <row r="1480" spans="1:9" ht="15.7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75" thickBot="1">
      <c r="A1482" s="288" t="s">
        <v>644</v>
      </c>
      <c r="B1482" s="288">
        <v>12000</v>
      </c>
      <c r="C1482" s="289">
        <v>6</v>
      </c>
      <c r="D1482" s="290">
        <v>0.21</v>
      </c>
      <c r="E1482" s="291">
        <v>1266</v>
      </c>
      <c r="F1482" s="291">
        <v>13266</v>
      </c>
      <c r="G1482" s="291">
        <v>180</v>
      </c>
      <c r="H1482" s="291">
        <v>2181</v>
      </c>
      <c r="I1482" s="292" t="str">
        <f t="shared" si="22"/>
        <v>GooD</v>
      </c>
    </row>
    <row r="1483" spans="1:9" ht="15.7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75" thickBot="1">
      <c r="A1485" s="288" t="s">
        <v>644</v>
      </c>
      <c r="B1485" s="288">
        <v>12000</v>
      </c>
      <c r="C1485" s="289">
        <v>12</v>
      </c>
      <c r="D1485" s="290">
        <v>0.21</v>
      </c>
      <c r="E1485" s="291">
        <v>2532</v>
      </c>
      <c r="F1485" s="291">
        <v>14532</v>
      </c>
      <c r="G1485" s="291">
        <v>360</v>
      </c>
      <c r="H1485" s="291">
        <v>1181</v>
      </c>
      <c r="I1485" s="292" t="str">
        <f t="shared" si="22"/>
        <v>GooD</v>
      </c>
    </row>
    <row r="1486" spans="1:9" ht="15.7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75" thickBot="1">
      <c r="A1488" s="288" t="s">
        <v>644</v>
      </c>
      <c r="B1488" s="288">
        <v>12500</v>
      </c>
      <c r="C1488" s="289">
        <v>8</v>
      </c>
      <c r="D1488" s="290">
        <v>0.21</v>
      </c>
      <c r="E1488" s="291">
        <v>1758</v>
      </c>
      <c r="F1488" s="291">
        <v>14258</v>
      </c>
      <c r="G1488" s="291">
        <v>250</v>
      </c>
      <c r="H1488" s="291">
        <v>1751</v>
      </c>
      <c r="I1488" s="292" t="str">
        <f t="shared" si="22"/>
        <v>GooD</v>
      </c>
    </row>
    <row r="1489" spans="1:9" ht="15.7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75" thickBot="1">
      <c r="A1491" s="288" t="s">
        <v>644</v>
      </c>
      <c r="B1491" s="288">
        <v>13000</v>
      </c>
      <c r="C1491" s="289">
        <v>4</v>
      </c>
      <c r="D1491" s="290">
        <v>0.21</v>
      </c>
      <c r="E1491" s="291">
        <v>914</v>
      </c>
      <c r="F1491" s="291">
        <v>13914</v>
      </c>
      <c r="G1491" s="291">
        <v>130</v>
      </c>
      <c r="H1491" s="291">
        <v>3446</v>
      </c>
      <c r="I1491" s="292" t="str">
        <f t="shared" si="22"/>
        <v>GooD</v>
      </c>
    </row>
    <row r="1492" spans="1:9" ht="15.7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75" thickBot="1">
      <c r="A1494" s="288" t="s">
        <v>644</v>
      </c>
      <c r="B1494" s="288">
        <v>13000</v>
      </c>
      <c r="C1494" s="289">
        <v>10</v>
      </c>
      <c r="D1494" s="290">
        <v>0.21</v>
      </c>
      <c r="E1494" s="291">
        <v>2285</v>
      </c>
      <c r="F1494" s="291">
        <v>15285</v>
      </c>
      <c r="G1494" s="291">
        <v>325</v>
      </c>
      <c r="H1494" s="291">
        <v>1496</v>
      </c>
      <c r="I1494" s="292" t="str">
        <f t="shared" si="22"/>
        <v>GooD</v>
      </c>
    </row>
    <row r="1495" spans="1:9" ht="15.7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75" thickBot="1">
      <c r="A1497" s="288" t="s">
        <v>644</v>
      </c>
      <c r="B1497" s="288">
        <v>13500</v>
      </c>
      <c r="C1497" s="289">
        <v>6</v>
      </c>
      <c r="D1497" s="290">
        <v>0.21</v>
      </c>
      <c r="E1497" s="291">
        <v>1421</v>
      </c>
      <c r="F1497" s="291">
        <v>14921</v>
      </c>
      <c r="G1497" s="291">
        <v>203</v>
      </c>
      <c r="H1497" s="291">
        <v>2453</v>
      </c>
      <c r="I1497" s="292" t="str">
        <f t="shared" si="22"/>
        <v>GooD</v>
      </c>
    </row>
    <row r="1498" spans="1:9" ht="15.7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75" thickBot="1">
      <c r="A1500" s="288" t="s">
        <v>644</v>
      </c>
      <c r="B1500" s="288">
        <v>13500</v>
      </c>
      <c r="C1500" s="289">
        <v>12</v>
      </c>
      <c r="D1500" s="290">
        <v>0.21</v>
      </c>
      <c r="E1500" s="291">
        <v>2841</v>
      </c>
      <c r="F1500" s="291">
        <v>16341</v>
      </c>
      <c r="G1500" s="291">
        <v>405</v>
      </c>
      <c r="H1500" s="291">
        <v>1328</v>
      </c>
      <c r="I1500" s="292" t="str">
        <f t="shared" si="22"/>
        <v>GooD</v>
      </c>
    </row>
    <row r="1501" spans="1:9" ht="15.7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75" thickBot="1">
      <c r="A1503" s="288" t="s">
        <v>644</v>
      </c>
      <c r="B1503" s="288">
        <v>14000</v>
      </c>
      <c r="C1503" s="289">
        <v>8</v>
      </c>
      <c r="D1503" s="290">
        <v>0.21</v>
      </c>
      <c r="E1503" s="291">
        <v>1968</v>
      </c>
      <c r="F1503" s="291">
        <v>15968</v>
      </c>
      <c r="G1503" s="291">
        <v>280</v>
      </c>
      <c r="H1503" s="291">
        <v>1961</v>
      </c>
      <c r="I1503" s="292" t="str">
        <f t="shared" si="22"/>
        <v>GooD</v>
      </c>
    </row>
    <row r="1504" spans="1:9" ht="15.7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75" thickBot="1">
      <c r="A1506" s="288" t="s">
        <v>644</v>
      </c>
      <c r="B1506" s="288">
        <v>14500</v>
      </c>
      <c r="C1506" s="289">
        <v>6</v>
      </c>
      <c r="D1506" s="290">
        <v>0.21</v>
      </c>
      <c r="E1506" s="291">
        <v>1528</v>
      </c>
      <c r="F1506" s="291">
        <v>16028</v>
      </c>
      <c r="G1506" s="291">
        <v>218</v>
      </c>
      <c r="H1506" s="291">
        <v>2635</v>
      </c>
      <c r="I1506" s="292" t="str">
        <f t="shared" si="22"/>
        <v>GooD</v>
      </c>
    </row>
    <row r="1507" spans="1:9" ht="15.7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75" thickBot="1">
      <c r="A1509" s="288" t="s">
        <v>644</v>
      </c>
      <c r="B1509" s="288">
        <v>14500</v>
      </c>
      <c r="C1509" s="289">
        <v>12</v>
      </c>
      <c r="D1509" s="290">
        <v>0.21</v>
      </c>
      <c r="E1509" s="291">
        <v>3047</v>
      </c>
      <c r="F1509" s="291">
        <v>17547</v>
      </c>
      <c r="G1509" s="291">
        <v>435</v>
      </c>
      <c r="H1509" s="291">
        <v>1426</v>
      </c>
      <c r="I1509" s="292" t="str">
        <f t="shared" si="22"/>
        <v>GooD</v>
      </c>
    </row>
    <row r="1510" spans="1:9" ht="15.7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75" thickBot="1">
      <c r="A1512" s="288" t="s">
        <v>644</v>
      </c>
      <c r="B1512" s="288">
        <v>14500</v>
      </c>
      <c r="C1512" s="289">
        <v>18</v>
      </c>
      <c r="D1512" s="290">
        <v>0.21</v>
      </c>
      <c r="E1512" s="291">
        <v>4585</v>
      </c>
      <c r="F1512" s="291">
        <v>19085</v>
      </c>
      <c r="G1512" s="291">
        <v>653</v>
      </c>
      <c r="H1512" s="291">
        <v>1024</v>
      </c>
      <c r="I1512" s="292" t="str">
        <f t="shared" si="22"/>
        <v>GooD</v>
      </c>
    </row>
    <row r="1513" spans="1:9" ht="15.7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75" thickBot="1">
      <c r="A1515" s="288" t="s">
        <v>644</v>
      </c>
      <c r="B1515" s="288">
        <v>15000</v>
      </c>
      <c r="C1515" s="289">
        <v>10</v>
      </c>
      <c r="D1515" s="290">
        <v>0.21</v>
      </c>
      <c r="E1515" s="291">
        <v>2635</v>
      </c>
      <c r="F1515" s="291">
        <v>17635</v>
      </c>
      <c r="G1515" s="291">
        <v>375</v>
      </c>
      <c r="H1515" s="291">
        <v>1726</v>
      </c>
      <c r="I1515" s="292" t="str">
        <f t="shared" si="22"/>
        <v>GooD</v>
      </c>
    </row>
    <row r="1516" spans="1:9" ht="15.7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75" thickBot="1">
      <c r="A1518" s="288" t="s">
        <v>644</v>
      </c>
      <c r="B1518" s="288">
        <v>15000</v>
      </c>
      <c r="C1518" s="289">
        <v>16</v>
      </c>
      <c r="D1518" s="290">
        <v>0.21</v>
      </c>
      <c r="E1518" s="291">
        <v>4208</v>
      </c>
      <c r="F1518" s="291">
        <v>19208</v>
      </c>
      <c r="G1518" s="291">
        <v>600</v>
      </c>
      <c r="H1518" s="291">
        <v>1163</v>
      </c>
      <c r="I1518" s="292" t="str">
        <f t="shared" si="22"/>
        <v>GooD</v>
      </c>
    </row>
    <row r="1519" spans="1:9" ht="15.7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75" thickBot="1">
      <c r="A1521" s="288" t="s">
        <v>644</v>
      </c>
      <c r="B1521" s="288">
        <v>15500</v>
      </c>
      <c r="C1521" s="289">
        <v>8</v>
      </c>
      <c r="D1521" s="290">
        <v>0.21</v>
      </c>
      <c r="E1521" s="291">
        <v>2178</v>
      </c>
      <c r="F1521" s="291">
        <v>17678</v>
      </c>
      <c r="G1521" s="291">
        <v>310</v>
      </c>
      <c r="H1521" s="291">
        <v>2171</v>
      </c>
      <c r="I1521" s="292" t="str">
        <f t="shared" si="22"/>
        <v>GooD</v>
      </c>
    </row>
    <row r="1522" spans="1:9" ht="15.7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75" thickBot="1">
      <c r="A1524" s="288" t="s">
        <v>644</v>
      </c>
      <c r="B1524" s="288">
        <v>15500</v>
      </c>
      <c r="C1524" s="289">
        <v>14</v>
      </c>
      <c r="D1524" s="290">
        <v>0.21</v>
      </c>
      <c r="E1524" s="291">
        <v>3803</v>
      </c>
      <c r="F1524" s="291">
        <v>19303</v>
      </c>
      <c r="G1524" s="291">
        <v>543</v>
      </c>
      <c r="H1524" s="291">
        <v>1340</v>
      </c>
      <c r="I1524" s="292" t="str">
        <f t="shared" si="22"/>
        <v>GooD</v>
      </c>
    </row>
    <row r="1525" spans="1:9" ht="15.7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75" thickBot="1">
      <c r="A1527" s="288" t="s">
        <v>644</v>
      </c>
      <c r="B1527" s="288">
        <v>16000</v>
      </c>
      <c r="C1527" s="289">
        <v>6</v>
      </c>
      <c r="D1527" s="290">
        <v>0.21</v>
      </c>
      <c r="E1527" s="291">
        <v>1682</v>
      </c>
      <c r="F1527" s="291">
        <v>17682</v>
      </c>
      <c r="G1527" s="291">
        <v>240</v>
      </c>
      <c r="H1527" s="291">
        <v>2907</v>
      </c>
      <c r="I1527" s="292" t="str">
        <f t="shared" si="22"/>
        <v>GooD</v>
      </c>
    </row>
    <row r="1528" spans="1:9" ht="15.7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75" thickBot="1">
      <c r="A1530" s="288" t="s">
        <v>644</v>
      </c>
      <c r="B1530" s="288">
        <v>16000</v>
      </c>
      <c r="C1530" s="289">
        <v>12</v>
      </c>
      <c r="D1530" s="290">
        <v>0.21</v>
      </c>
      <c r="E1530" s="291">
        <v>3368</v>
      </c>
      <c r="F1530" s="291">
        <v>19368</v>
      </c>
      <c r="G1530" s="291">
        <v>480</v>
      </c>
      <c r="H1530" s="291">
        <v>1574</v>
      </c>
      <c r="I1530" s="292" t="str">
        <f t="shared" si="22"/>
        <v>GooD</v>
      </c>
    </row>
    <row r="1531" spans="1:9" ht="15.7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7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7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75" thickBot="1">
      <c r="A1536" s="288" t="s">
        <v>644</v>
      </c>
      <c r="B1536" s="288">
        <v>16500</v>
      </c>
      <c r="C1536" s="289">
        <v>10</v>
      </c>
      <c r="D1536" s="290">
        <v>0.21</v>
      </c>
      <c r="E1536" s="291">
        <v>2893</v>
      </c>
      <c r="F1536" s="291">
        <v>19393</v>
      </c>
      <c r="G1536" s="291">
        <v>413</v>
      </c>
      <c r="H1536" s="291">
        <v>1898</v>
      </c>
      <c r="I1536" s="292" t="str">
        <f t="shared" si="23"/>
        <v>GooD</v>
      </c>
    </row>
    <row r="1537" spans="1:9" ht="15.7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75" thickBot="1">
      <c r="A1539" s="288" t="s">
        <v>644</v>
      </c>
      <c r="B1539" s="288">
        <v>16500</v>
      </c>
      <c r="C1539" s="289">
        <v>16</v>
      </c>
      <c r="D1539" s="290">
        <v>0.21</v>
      </c>
      <c r="E1539" s="291">
        <v>4624</v>
      </c>
      <c r="F1539" s="291">
        <v>21124</v>
      </c>
      <c r="G1539" s="291">
        <v>660</v>
      </c>
      <c r="H1539" s="291">
        <v>1279</v>
      </c>
      <c r="I1539" s="292" t="str">
        <f t="shared" si="23"/>
        <v>GooD</v>
      </c>
    </row>
    <row r="1540" spans="1:9" ht="15.7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75" thickBot="1">
      <c r="A1542" s="288" t="s">
        <v>644</v>
      </c>
      <c r="B1542" s="288">
        <v>17000</v>
      </c>
      <c r="C1542" s="289">
        <v>8</v>
      </c>
      <c r="D1542" s="290">
        <v>0.21</v>
      </c>
      <c r="E1542" s="291">
        <v>2388</v>
      </c>
      <c r="F1542" s="291">
        <v>19388</v>
      </c>
      <c r="G1542" s="291">
        <v>340</v>
      </c>
      <c r="H1542" s="291">
        <v>2381</v>
      </c>
      <c r="I1542" s="292" t="str">
        <f t="shared" si="23"/>
        <v>GooD</v>
      </c>
    </row>
    <row r="1543" spans="1:9" ht="15.7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75" thickBot="1">
      <c r="A1545" s="288" t="s">
        <v>644</v>
      </c>
      <c r="B1545" s="288">
        <v>17000</v>
      </c>
      <c r="C1545" s="289">
        <v>14</v>
      </c>
      <c r="D1545" s="290">
        <v>0.21</v>
      </c>
      <c r="E1545" s="291">
        <v>4175</v>
      </c>
      <c r="F1545" s="291">
        <v>21175</v>
      </c>
      <c r="G1545" s="291">
        <v>595</v>
      </c>
      <c r="H1545" s="291">
        <v>1470</v>
      </c>
      <c r="I1545" s="292" t="str">
        <f t="shared" si="23"/>
        <v>GooD</v>
      </c>
    </row>
    <row r="1546" spans="1:9" ht="15.7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75" thickBot="1">
      <c r="A1548" s="288" t="s">
        <v>644</v>
      </c>
      <c r="B1548" s="288">
        <v>17500</v>
      </c>
      <c r="C1548" s="289">
        <v>6</v>
      </c>
      <c r="D1548" s="290">
        <v>0.21</v>
      </c>
      <c r="E1548" s="291">
        <v>1843</v>
      </c>
      <c r="F1548" s="291">
        <v>19343</v>
      </c>
      <c r="G1548" s="291">
        <v>263</v>
      </c>
      <c r="H1548" s="291">
        <v>3180</v>
      </c>
      <c r="I1548" s="292" t="str">
        <f t="shared" si="23"/>
        <v>GooD</v>
      </c>
    </row>
    <row r="1549" spans="1:9" ht="15.7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75" thickBot="1">
      <c r="A1551" s="288" t="s">
        <v>644</v>
      </c>
      <c r="B1551" s="288">
        <v>17500</v>
      </c>
      <c r="C1551" s="289">
        <v>12</v>
      </c>
      <c r="D1551" s="290">
        <v>0.21</v>
      </c>
      <c r="E1551" s="291">
        <v>3677</v>
      </c>
      <c r="F1551" s="291">
        <v>21177</v>
      </c>
      <c r="G1551" s="291">
        <v>525</v>
      </c>
      <c r="H1551" s="291">
        <v>1721</v>
      </c>
      <c r="I1551" s="292" t="str">
        <f t="shared" si="23"/>
        <v>GooD</v>
      </c>
    </row>
    <row r="1552" spans="1:9" ht="15.7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75" thickBot="1">
      <c r="A1554" s="288" t="s">
        <v>644</v>
      </c>
      <c r="B1554" s="288">
        <v>17500</v>
      </c>
      <c r="C1554" s="289">
        <v>18</v>
      </c>
      <c r="D1554" s="290">
        <v>0.21</v>
      </c>
      <c r="E1554" s="291">
        <v>5518</v>
      </c>
      <c r="F1554" s="291">
        <v>23018</v>
      </c>
      <c r="G1554" s="291">
        <v>788</v>
      </c>
      <c r="H1554" s="291">
        <v>1235</v>
      </c>
      <c r="I1554" s="292" t="str">
        <f t="shared" si="23"/>
        <v>GooD</v>
      </c>
    </row>
    <row r="1555" spans="1:9" ht="15.7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75" thickBot="1">
      <c r="A1557" s="288" t="s">
        <v>644</v>
      </c>
      <c r="B1557" s="288">
        <v>18000</v>
      </c>
      <c r="C1557" s="289">
        <v>10</v>
      </c>
      <c r="D1557" s="290">
        <v>0.21</v>
      </c>
      <c r="E1557" s="291">
        <v>3160</v>
      </c>
      <c r="F1557" s="291">
        <v>21160</v>
      </c>
      <c r="G1557" s="291">
        <v>450</v>
      </c>
      <c r="H1557" s="291">
        <v>2071</v>
      </c>
      <c r="I1557" s="292" t="str">
        <f t="shared" si="23"/>
        <v>GooD</v>
      </c>
    </row>
    <row r="1558" spans="1:9" ht="15.7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75" thickBot="1">
      <c r="A1560" s="288" t="s">
        <v>644</v>
      </c>
      <c r="B1560" s="288">
        <v>18000</v>
      </c>
      <c r="C1560" s="289">
        <v>16</v>
      </c>
      <c r="D1560" s="290">
        <v>0.21</v>
      </c>
      <c r="E1560" s="291">
        <v>5056</v>
      </c>
      <c r="F1560" s="291">
        <v>23056</v>
      </c>
      <c r="G1560" s="291">
        <v>720</v>
      </c>
      <c r="H1560" s="291">
        <v>1396</v>
      </c>
      <c r="I1560" s="292" t="str">
        <f t="shared" si="23"/>
        <v>GooD</v>
      </c>
    </row>
    <row r="1561" spans="1:9" ht="15.7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75" thickBot="1">
      <c r="A1563" s="288" t="s">
        <v>644</v>
      </c>
      <c r="B1563" s="288">
        <v>18500</v>
      </c>
      <c r="C1563" s="289">
        <v>8</v>
      </c>
      <c r="D1563" s="290">
        <v>0.21</v>
      </c>
      <c r="E1563" s="291">
        <v>2598</v>
      </c>
      <c r="F1563" s="291">
        <v>21098</v>
      </c>
      <c r="G1563" s="291">
        <v>370</v>
      </c>
      <c r="H1563" s="291">
        <v>2591</v>
      </c>
      <c r="I1563" s="292" t="str">
        <f t="shared" si="23"/>
        <v>GooD</v>
      </c>
    </row>
    <row r="1564" spans="1:9" ht="15.7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75" thickBot="1">
      <c r="A1566" s="288" t="s">
        <v>644</v>
      </c>
      <c r="B1566" s="288">
        <v>18500</v>
      </c>
      <c r="C1566" s="289">
        <v>14</v>
      </c>
      <c r="D1566" s="290">
        <v>0.21</v>
      </c>
      <c r="E1566" s="291">
        <v>4534</v>
      </c>
      <c r="F1566" s="291">
        <v>23034</v>
      </c>
      <c r="G1566" s="291">
        <v>648</v>
      </c>
      <c r="H1566" s="291">
        <v>1599</v>
      </c>
      <c r="I1566" s="292" t="str">
        <f t="shared" si="23"/>
        <v>GooD</v>
      </c>
    </row>
    <row r="1567" spans="1:9" ht="15.7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75" thickBot="1">
      <c r="A1569" s="288" t="s">
        <v>644</v>
      </c>
      <c r="B1569" s="288">
        <v>19000</v>
      </c>
      <c r="C1569" s="289">
        <v>6</v>
      </c>
      <c r="D1569" s="290">
        <v>0.21</v>
      </c>
      <c r="E1569" s="291">
        <v>1997</v>
      </c>
      <c r="F1569" s="291">
        <v>20997</v>
      </c>
      <c r="G1569" s="291">
        <v>285</v>
      </c>
      <c r="H1569" s="291">
        <v>3452</v>
      </c>
      <c r="I1569" s="292" t="str">
        <f t="shared" si="23"/>
        <v>GooD</v>
      </c>
    </row>
    <row r="1570" spans="1:9" ht="15.7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75" thickBot="1">
      <c r="A1572" s="288" t="s">
        <v>644</v>
      </c>
      <c r="B1572" s="288">
        <v>19000</v>
      </c>
      <c r="C1572" s="289">
        <v>12</v>
      </c>
      <c r="D1572" s="290">
        <v>0.21</v>
      </c>
      <c r="E1572" s="291">
        <v>3998</v>
      </c>
      <c r="F1572" s="291">
        <v>22998</v>
      </c>
      <c r="G1572" s="291">
        <v>570</v>
      </c>
      <c r="H1572" s="291">
        <v>1869</v>
      </c>
      <c r="I1572" s="292" t="str">
        <f t="shared" si="23"/>
        <v>GooD</v>
      </c>
    </row>
    <row r="1573" spans="1:9" ht="15.7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75" thickBot="1">
      <c r="A1575" s="288" t="s">
        <v>644</v>
      </c>
      <c r="B1575" s="288">
        <v>19000</v>
      </c>
      <c r="C1575" s="289">
        <v>18</v>
      </c>
      <c r="D1575" s="290">
        <v>0.21</v>
      </c>
      <c r="E1575" s="291">
        <v>5993</v>
      </c>
      <c r="F1575" s="291">
        <v>24993</v>
      </c>
      <c r="G1575" s="291">
        <v>855</v>
      </c>
      <c r="H1575" s="291">
        <v>1341</v>
      </c>
      <c r="I1575" s="292" t="str">
        <f t="shared" si="23"/>
        <v>GooD</v>
      </c>
    </row>
    <row r="1576" spans="1:9" ht="15.7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75" thickBot="1">
      <c r="A1578" s="288" t="s">
        <v>644</v>
      </c>
      <c r="B1578" s="288">
        <v>19500</v>
      </c>
      <c r="C1578" s="289">
        <v>10</v>
      </c>
      <c r="D1578" s="290">
        <v>0.21</v>
      </c>
      <c r="E1578" s="291">
        <v>3418</v>
      </c>
      <c r="F1578" s="291">
        <v>22918</v>
      </c>
      <c r="G1578" s="291">
        <v>488</v>
      </c>
      <c r="H1578" s="291">
        <v>2243</v>
      </c>
      <c r="I1578" s="292" t="str">
        <f t="shared" si="23"/>
        <v>GooD</v>
      </c>
    </row>
    <row r="1579" spans="1:9" ht="15.7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75" thickBot="1">
      <c r="A1581" s="288" t="s">
        <v>644</v>
      </c>
      <c r="B1581" s="288">
        <v>19500</v>
      </c>
      <c r="C1581" s="289">
        <v>16</v>
      </c>
      <c r="D1581" s="290">
        <v>0.21</v>
      </c>
      <c r="E1581" s="291">
        <v>5472</v>
      </c>
      <c r="F1581" s="291">
        <v>24972</v>
      </c>
      <c r="G1581" s="291">
        <v>780</v>
      </c>
      <c r="H1581" s="291">
        <v>1512</v>
      </c>
      <c r="I1581" s="292" t="str">
        <f t="shared" si="23"/>
        <v>GooD</v>
      </c>
    </row>
    <row r="1582" spans="1:9" ht="15.7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75" thickBot="1">
      <c r="A1584" s="288" t="s">
        <v>644</v>
      </c>
      <c r="B1584" s="288">
        <v>20000</v>
      </c>
      <c r="C1584" s="289">
        <v>8</v>
      </c>
      <c r="D1584" s="290">
        <v>0.21</v>
      </c>
      <c r="E1584" s="291">
        <v>2808</v>
      </c>
      <c r="F1584" s="291">
        <v>22808</v>
      </c>
      <c r="G1584" s="291">
        <v>400</v>
      </c>
      <c r="H1584" s="291">
        <v>2801</v>
      </c>
      <c r="I1584" s="292" t="str">
        <f t="shared" si="23"/>
        <v>GooD</v>
      </c>
    </row>
    <row r="1585" spans="1:9" ht="15.7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75" thickBot="1">
      <c r="A1587" s="288" t="s">
        <v>644</v>
      </c>
      <c r="B1587" s="288">
        <v>20000</v>
      </c>
      <c r="C1587" s="289">
        <v>14</v>
      </c>
      <c r="D1587" s="290">
        <v>0.21</v>
      </c>
      <c r="E1587" s="291">
        <v>4906</v>
      </c>
      <c r="F1587" s="291">
        <v>24906</v>
      </c>
      <c r="G1587" s="291">
        <v>700</v>
      </c>
      <c r="H1587" s="291">
        <v>1729</v>
      </c>
      <c r="I1587" s="292" t="str">
        <f t="shared" si="23"/>
        <v>GooD</v>
      </c>
    </row>
    <row r="1588" spans="1:9" ht="15.7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75" thickBot="1">
      <c r="A1590" s="288" t="s">
        <v>644</v>
      </c>
      <c r="B1590" s="288">
        <v>20000</v>
      </c>
      <c r="C1590" s="289">
        <v>20</v>
      </c>
      <c r="D1590" s="290">
        <v>0.21</v>
      </c>
      <c r="E1590" s="291">
        <v>7020</v>
      </c>
      <c r="F1590" s="291">
        <v>27020</v>
      </c>
      <c r="G1590" s="291">
        <v>1000</v>
      </c>
      <c r="H1590" s="291">
        <v>1301</v>
      </c>
      <c r="I1590" s="292" t="str">
        <f t="shared" si="23"/>
        <v>GooD</v>
      </c>
    </row>
    <row r="1591" spans="1:9" ht="15.7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75" thickBot="1">
      <c r="A1593" s="288" t="s">
        <v>644</v>
      </c>
      <c r="B1593" s="288">
        <v>21000</v>
      </c>
      <c r="C1593" s="289">
        <v>6</v>
      </c>
      <c r="D1593" s="290">
        <v>0.21</v>
      </c>
      <c r="E1593" s="291">
        <v>2211</v>
      </c>
      <c r="F1593" s="291">
        <v>23211</v>
      </c>
      <c r="G1593" s="291">
        <v>315</v>
      </c>
      <c r="H1593" s="291">
        <v>3816</v>
      </c>
      <c r="I1593" s="292" t="str">
        <f t="shared" si="23"/>
        <v>GooD</v>
      </c>
    </row>
    <row r="1594" spans="1:9" ht="15.7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75" thickBot="1">
      <c r="A1596" s="288" t="s">
        <v>644</v>
      </c>
      <c r="B1596" s="288">
        <v>21000</v>
      </c>
      <c r="C1596" s="289">
        <v>12</v>
      </c>
      <c r="D1596" s="290">
        <v>0.21</v>
      </c>
      <c r="E1596" s="291">
        <v>4422</v>
      </c>
      <c r="F1596" s="291">
        <v>25422</v>
      </c>
      <c r="G1596" s="291">
        <v>630</v>
      </c>
      <c r="H1596" s="291">
        <v>2066</v>
      </c>
      <c r="I1596" s="292" t="str">
        <f t="shared" si="23"/>
        <v>GooD</v>
      </c>
    </row>
    <row r="1597" spans="1:9" ht="15.7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75" thickBot="1">
      <c r="A1599" s="288" t="s">
        <v>644</v>
      </c>
      <c r="B1599" s="288">
        <v>21000</v>
      </c>
      <c r="C1599" s="289">
        <v>18</v>
      </c>
      <c r="D1599" s="290">
        <v>0.21</v>
      </c>
      <c r="E1599" s="291">
        <v>6621</v>
      </c>
      <c r="F1599" s="291">
        <v>27621</v>
      </c>
      <c r="G1599" s="291">
        <v>945</v>
      </c>
      <c r="H1599" s="291">
        <v>1482</v>
      </c>
      <c r="I1599" s="292" t="str">
        <f t="shared" si="24"/>
        <v>GooD</v>
      </c>
    </row>
    <row r="1600" spans="1:9" ht="15.7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75" thickBot="1">
      <c r="A1602" s="288" t="s">
        <v>644</v>
      </c>
      <c r="B1602" s="288">
        <v>21000</v>
      </c>
      <c r="C1602" s="289">
        <v>24</v>
      </c>
      <c r="D1602" s="290">
        <v>0.21</v>
      </c>
      <c r="E1602" s="291">
        <v>8844</v>
      </c>
      <c r="F1602" s="291">
        <v>29844</v>
      </c>
      <c r="G1602" s="291">
        <v>1260</v>
      </c>
      <c r="H1602" s="291">
        <v>1191</v>
      </c>
      <c r="I1602" s="292" t="str">
        <f t="shared" si="24"/>
        <v>GooD</v>
      </c>
    </row>
    <row r="1603" spans="1:9" ht="15.7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75" thickBot="1">
      <c r="A1605" s="288" t="s">
        <v>644</v>
      </c>
      <c r="B1605" s="288">
        <v>22000</v>
      </c>
      <c r="C1605" s="289">
        <v>10</v>
      </c>
      <c r="D1605" s="290">
        <v>0.21</v>
      </c>
      <c r="E1605" s="291">
        <v>3860</v>
      </c>
      <c r="F1605" s="291">
        <v>25860</v>
      </c>
      <c r="G1605" s="291">
        <v>550</v>
      </c>
      <c r="H1605" s="291">
        <v>2531</v>
      </c>
      <c r="I1605" s="292" t="str">
        <f t="shared" si="24"/>
        <v>GooD</v>
      </c>
    </row>
    <row r="1606" spans="1:9" ht="15.7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75" thickBot="1">
      <c r="A1608" s="288" t="s">
        <v>644</v>
      </c>
      <c r="B1608" s="288">
        <v>22000</v>
      </c>
      <c r="C1608" s="289">
        <v>16</v>
      </c>
      <c r="D1608" s="290">
        <v>0.21</v>
      </c>
      <c r="E1608" s="291">
        <v>6176</v>
      </c>
      <c r="F1608" s="291">
        <v>28176</v>
      </c>
      <c r="G1608" s="291">
        <v>880</v>
      </c>
      <c r="H1608" s="291">
        <v>1706</v>
      </c>
      <c r="I1608" s="292" t="str">
        <f t="shared" si="24"/>
        <v>GooD</v>
      </c>
    </row>
    <row r="1609" spans="1:9" ht="15.7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75" thickBot="1">
      <c r="A1611" s="288" t="s">
        <v>644</v>
      </c>
      <c r="B1611" s="288">
        <v>22000</v>
      </c>
      <c r="C1611" s="289">
        <v>22</v>
      </c>
      <c r="D1611" s="290">
        <v>0.21</v>
      </c>
      <c r="E1611" s="291">
        <v>8492</v>
      </c>
      <c r="F1611" s="291">
        <v>30492</v>
      </c>
      <c r="G1611" s="291">
        <v>1210</v>
      </c>
      <c r="H1611" s="291">
        <v>1331</v>
      </c>
      <c r="I1611" s="292" t="str">
        <f t="shared" si="24"/>
        <v>GooD</v>
      </c>
    </row>
    <row r="1612" spans="1:9" ht="15.7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75" thickBot="1">
      <c r="A1614" s="288" t="s">
        <v>644</v>
      </c>
      <c r="B1614" s="288">
        <v>23000</v>
      </c>
      <c r="C1614" s="289">
        <v>8</v>
      </c>
      <c r="D1614" s="290">
        <v>0.21</v>
      </c>
      <c r="E1614" s="291">
        <v>3228</v>
      </c>
      <c r="F1614" s="291">
        <v>26228</v>
      </c>
      <c r="G1614" s="291">
        <v>460</v>
      </c>
      <c r="H1614" s="291">
        <v>3221</v>
      </c>
      <c r="I1614" s="292" t="str">
        <f t="shared" si="24"/>
        <v>GooD</v>
      </c>
    </row>
    <row r="1615" spans="1:9" ht="15.7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75" thickBot="1">
      <c r="A1617" s="288" t="s">
        <v>644</v>
      </c>
      <c r="B1617" s="288">
        <v>23000</v>
      </c>
      <c r="C1617" s="289">
        <v>14</v>
      </c>
      <c r="D1617" s="290">
        <v>0.21</v>
      </c>
      <c r="E1617" s="291">
        <v>5637</v>
      </c>
      <c r="F1617" s="291">
        <v>28637</v>
      </c>
      <c r="G1617" s="291">
        <v>805</v>
      </c>
      <c r="H1617" s="291">
        <v>1988</v>
      </c>
      <c r="I1617" s="292" t="str">
        <f t="shared" si="24"/>
        <v>GooD</v>
      </c>
    </row>
    <row r="1618" spans="1:9" ht="15.7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75" thickBot="1">
      <c r="A1620" s="288" t="s">
        <v>644</v>
      </c>
      <c r="B1620" s="288">
        <v>23000</v>
      </c>
      <c r="C1620" s="289">
        <v>20</v>
      </c>
      <c r="D1620" s="290">
        <v>0.21</v>
      </c>
      <c r="E1620" s="291">
        <v>8070</v>
      </c>
      <c r="F1620" s="291">
        <v>31070</v>
      </c>
      <c r="G1620" s="291">
        <v>1150</v>
      </c>
      <c r="H1620" s="291">
        <v>1496</v>
      </c>
      <c r="I1620" s="292" t="str">
        <f t="shared" si="24"/>
        <v>GooD</v>
      </c>
    </row>
    <row r="1621" spans="1:9" ht="15.7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75" thickBot="1">
      <c r="A1623" s="288" t="s">
        <v>644</v>
      </c>
      <c r="B1623" s="288">
        <v>24000</v>
      </c>
      <c r="C1623" s="289">
        <v>6</v>
      </c>
      <c r="D1623" s="290">
        <v>0.21</v>
      </c>
      <c r="E1623" s="291">
        <v>2526</v>
      </c>
      <c r="F1623" s="291">
        <v>26526</v>
      </c>
      <c r="G1623" s="291">
        <v>360</v>
      </c>
      <c r="H1623" s="291">
        <v>4361</v>
      </c>
      <c r="I1623" s="292" t="str">
        <f t="shared" si="24"/>
        <v>GooD</v>
      </c>
    </row>
    <row r="1624" spans="1:9" ht="15.7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75" thickBot="1">
      <c r="A1626" s="288" t="s">
        <v>644</v>
      </c>
      <c r="B1626" s="288">
        <v>24000</v>
      </c>
      <c r="C1626" s="289">
        <v>12</v>
      </c>
      <c r="D1626" s="290">
        <v>0.21</v>
      </c>
      <c r="E1626" s="291">
        <v>5052</v>
      </c>
      <c r="F1626" s="291">
        <v>29052</v>
      </c>
      <c r="G1626" s="291">
        <v>720</v>
      </c>
      <c r="H1626" s="291">
        <v>2361</v>
      </c>
      <c r="I1626" s="292" t="str">
        <f t="shared" si="24"/>
        <v>GooD</v>
      </c>
    </row>
    <row r="1627" spans="1:9" ht="15.7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75" thickBot="1">
      <c r="A1629" s="288" t="s">
        <v>644</v>
      </c>
      <c r="B1629" s="288">
        <v>24000</v>
      </c>
      <c r="C1629" s="289">
        <v>18</v>
      </c>
      <c r="D1629" s="290">
        <v>0.21</v>
      </c>
      <c r="E1629" s="291">
        <v>7572</v>
      </c>
      <c r="F1629" s="291">
        <v>31572</v>
      </c>
      <c r="G1629" s="291">
        <v>1080</v>
      </c>
      <c r="H1629" s="291">
        <v>1694</v>
      </c>
      <c r="I1629" s="292" t="str">
        <f t="shared" si="24"/>
        <v>GooD</v>
      </c>
    </row>
    <row r="1630" spans="1:9" ht="15.7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75" thickBot="1">
      <c r="A1632" s="288" t="s">
        <v>644</v>
      </c>
      <c r="B1632" s="288">
        <v>24000</v>
      </c>
      <c r="C1632" s="289">
        <v>24</v>
      </c>
      <c r="D1632" s="290">
        <v>0.21</v>
      </c>
      <c r="E1632" s="291">
        <v>10104</v>
      </c>
      <c r="F1632" s="291">
        <v>34104</v>
      </c>
      <c r="G1632" s="291">
        <v>1440</v>
      </c>
      <c r="H1632" s="291">
        <v>1361</v>
      </c>
      <c r="I1632" s="292" t="str">
        <f t="shared" si="24"/>
        <v>GooD</v>
      </c>
    </row>
    <row r="1633" spans="1:9" ht="15.7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75" thickBot="1">
      <c r="A1635" s="288" t="s">
        <v>644</v>
      </c>
      <c r="B1635" s="288">
        <v>25000</v>
      </c>
      <c r="C1635" s="289">
        <v>10</v>
      </c>
      <c r="D1635" s="290">
        <v>0.21</v>
      </c>
      <c r="E1635" s="291">
        <v>4385</v>
      </c>
      <c r="F1635" s="291">
        <v>29385</v>
      </c>
      <c r="G1635" s="291">
        <v>625</v>
      </c>
      <c r="H1635" s="291">
        <v>2876</v>
      </c>
      <c r="I1635" s="292" t="str">
        <f t="shared" si="24"/>
        <v>GooD</v>
      </c>
    </row>
    <row r="1636" spans="1:9" ht="15.7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75" thickBot="1">
      <c r="A1638" s="288" t="s">
        <v>644</v>
      </c>
      <c r="B1638" s="288">
        <v>25000</v>
      </c>
      <c r="C1638" s="289">
        <v>16</v>
      </c>
      <c r="D1638" s="290">
        <v>0.21</v>
      </c>
      <c r="E1638" s="291">
        <v>7008</v>
      </c>
      <c r="F1638" s="291">
        <v>32008</v>
      </c>
      <c r="G1638" s="291">
        <v>1000</v>
      </c>
      <c r="H1638" s="291">
        <v>1938</v>
      </c>
      <c r="I1638" s="292" t="str">
        <f t="shared" si="24"/>
        <v>GooD</v>
      </c>
    </row>
    <row r="1639" spans="1:9" ht="15.7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75" thickBot="1">
      <c r="A1641" s="288" t="s">
        <v>644</v>
      </c>
      <c r="B1641" s="288">
        <v>25000</v>
      </c>
      <c r="C1641" s="289">
        <v>22</v>
      </c>
      <c r="D1641" s="290">
        <v>0.21</v>
      </c>
      <c r="E1641" s="291">
        <v>9639</v>
      </c>
      <c r="F1641" s="291">
        <v>34639</v>
      </c>
      <c r="G1641" s="291">
        <v>1375</v>
      </c>
      <c r="H1641" s="291">
        <v>1512</v>
      </c>
      <c r="I1641" s="292" t="str">
        <f t="shared" si="24"/>
        <v>GooD</v>
      </c>
    </row>
    <row r="1642" spans="1:9" ht="15.7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75" thickBot="1">
      <c r="A1644" s="288" t="s">
        <v>644</v>
      </c>
      <c r="B1644" s="288">
        <v>26000</v>
      </c>
      <c r="C1644" s="289">
        <v>8</v>
      </c>
      <c r="D1644" s="290">
        <v>0.21</v>
      </c>
      <c r="E1644" s="291">
        <v>3648</v>
      </c>
      <c r="F1644" s="291">
        <v>29648</v>
      </c>
      <c r="G1644" s="291">
        <v>520</v>
      </c>
      <c r="H1644" s="291">
        <v>3641</v>
      </c>
      <c r="I1644" s="292" t="str">
        <f t="shared" si="24"/>
        <v>GooD</v>
      </c>
    </row>
    <row r="1645" spans="1:9" ht="15.7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75" thickBot="1">
      <c r="A1647" s="288" t="s">
        <v>644</v>
      </c>
      <c r="B1647" s="288">
        <v>26000</v>
      </c>
      <c r="C1647" s="289">
        <v>14</v>
      </c>
      <c r="D1647" s="290">
        <v>0.21</v>
      </c>
      <c r="E1647" s="291">
        <v>6382</v>
      </c>
      <c r="F1647" s="291">
        <v>32382</v>
      </c>
      <c r="G1647" s="291">
        <v>910</v>
      </c>
      <c r="H1647" s="291">
        <v>2248</v>
      </c>
      <c r="I1647" s="292" t="str">
        <f t="shared" si="24"/>
        <v>GooD</v>
      </c>
    </row>
    <row r="1648" spans="1:9" ht="15.7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75" thickBot="1">
      <c r="A1650" s="288" t="s">
        <v>644</v>
      </c>
      <c r="B1650" s="288">
        <v>26000</v>
      </c>
      <c r="C1650" s="289">
        <v>20</v>
      </c>
      <c r="D1650" s="290">
        <v>0.21</v>
      </c>
      <c r="E1650" s="291">
        <v>9120</v>
      </c>
      <c r="F1650" s="291">
        <v>35120</v>
      </c>
      <c r="G1650" s="291">
        <v>1300</v>
      </c>
      <c r="H1650" s="291">
        <v>1691</v>
      </c>
      <c r="I1650" s="292" t="str">
        <f t="shared" si="24"/>
        <v>GooD</v>
      </c>
    </row>
    <row r="1651" spans="1:9" ht="15.7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75" thickBot="1">
      <c r="A1653" s="288" t="s">
        <v>644</v>
      </c>
      <c r="B1653" s="288">
        <v>27000</v>
      </c>
      <c r="C1653" s="289">
        <v>6</v>
      </c>
      <c r="D1653" s="290">
        <v>0.21</v>
      </c>
      <c r="E1653" s="291">
        <v>2841</v>
      </c>
      <c r="F1653" s="291">
        <v>29841</v>
      </c>
      <c r="G1653" s="291">
        <v>405</v>
      </c>
      <c r="H1653" s="291">
        <v>4906</v>
      </c>
      <c r="I1653" s="292" t="str">
        <f t="shared" si="24"/>
        <v>GooD</v>
      </c>
    </row>
    <row r="1654" spans="1:9" ht="15.7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75" thickBot="1">
      <c r="A1656" s="288" t="s">
        <v>644</v>
      </c>
      <c r="B1656" s="288">
        <v>27000</v>
      </c>
      <c r="C1656" s="289">
        <v>12</v>
      </c>
      <c r="D1656" s="290">
        <v>0.21</v>
      </c>
      <c r="E1656" s="291">
        <v>5682</v>
      </c>
      <c r="F1656" s="291">
        <v>32682</v>
      </c>
      <c r="G1656" s="291">
        <v>810</v>
      </c>
      <c r="H1656" s="291">
        <v>2656</v>
      </c>
      <c r="I1656" s="292" t="str">
        <f t="shared" si="24"/>
        <v>GooD</v>
      </c>
    </row>
    <row r="1657" spans="1:9" ht="15.7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75" thickBot="1">
      <c r="A1659" s="288" t="s">
        <v>644</v>
      </c>
      <c r="B1659" s="288">
        <v>27000</v>
      </c>
      <c r="C1659" s="289">
        <v>18</v>
      </c>
      <c r="D1659" s="290">
        <v>0.21</v>
      </c>
      <c r="E1659" s="291">
        <v>8523</v>
      </c>
      <c r="F1659" s="291">
        <v>35523</v>
      </c>
      <c r="G1659" s="291">
        <v>1215</v>
      </c>
      <c r="H1659" s="291">
        <v>1906</v>
      </c>
      <c r="I1659" s="292" t="str">
        <f t="shared" si="24"/>
        <v>GooD</v>
      </c>
    </row>
    <row r="1660" spans="1:9" ht="15.7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75" thickBot="1">
      <c r="A1662" s="288" t="s">
        <v>644</v>
      </c>
      <c r="B1662" s="288">
        <v>27000</v>
      </c>
      <c r="C1662" s="289">
        <v>24</v>
      </c>
      <c r="D1662" s="290">
        <v>0.21</v>
      </c>
      <c r="E1662" s="291">
        <v>11364</v>
      </c>
      <c r="F1662" s="291">
        <v>38364</v>
      </c>
      <c r="G1662" s="291">
        <v>1620</v>
      </c>
      <c r="H1662" s="291">
        <v>1531</v>
      </c>
      <c r="I1662" s="292" t="str">
        <f t="shared" si="25"/>
        <v>GooD</v>
      </c>
    </row>
    <row r="1663" spans="1:9" ht="15.7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75" thickBot="1">
      <c r="A1665" s="288" t="s">
        <v>644</v>
      </c>
      <c r="B1665" s="288">
        <v>28000</v>
      </c>
      <c r="C1665" s="289">
        <v>10</v>
      </c>
      <c r="D1665" s="290">
        <v>0.21</v>
      </c>
      <c r="E1665" s="291">
        <v>4910</v>
      </c>
      <c r="F1665" s="291">
        <v>32910</v>
      </c>
      <c r="G1665" s="291">
        <v>700</v>
      </c>
      <c r="H1665" s="291">
        <v>3221</v>
      </c>
      <c r="I1665" s="292" t="str">
        <f t="shared" si="25"/>
        <v>GooD</v>
      </c>
    </row>
    <row r="1666" spans="1:9" ht="15.7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75" thickBot="1">
      <c r="A1668" s="288" t="s">
        <v>644</v>
      </c>
      <c r="B1668" s="288">
        <v>28000</v>
      </c>
      <c r="C1668" s="289">
        <v>16</v>
      </c>
      <c r="D1668" s="290">
        <v>0.21</v>
      </c>
      <c r="E1668" s="291">
        <v>7856</v>
      </c>
      <c r="F1668" s="291">
        <v>35856</v>
      </c>
      <c r="G1668" s="291">
        <v>1120</v>
      </c>
      <c r="H1668" s="291">
        <v>2171</v>
      </c>
      <c r="I1668" s="292" t="str">
        <f t="shared" si="25"/>
        <v>GooD</v>
      </c>
    </row>
    <row r="1669" spans="1:9" ht="15.7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75" thickBot="1">
      <c r="A1671" s="288" t="s">
        <v>644</v>
      </c>
      <c r="B1671" s="288">
        <v>28000</v>
      </c>
      <c r="C1671" s="289">
        <v>22</v>
      </c>
      <c r="D1671" s="290">
        <v>0.21</v>
      </c>
      <c r="E1671" s="291">
        <v>10786</v>
      </c>
      <c r="F1671" s="291">
        <v>38786</v>
      </c>
      <c r="G1671" s="291">
        <v>1540</v>
      </c>
      <c r="H1671" s="291">
        <v>1693</v>
      </c>
      <c r="I1671" s="292" t="str">
        <f t="shared" si="25"/>
        <v>GooD</v>
      </c>
    </row>
    <row r="1672" spans="1:9" ht="15.7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75" thickBot="1">
      <c r="A1674" s="288" t="s">
        <v>644</v>
      </c>
      <c r="B1674" s="288">
        <v>29000</v>
      </c>
      <c r="C1674" s="289">
        <v>8</v>
      </c>
      <c r="D1674" s="290">
        <v>0.21</v>
      </c>
      <c r="E1674" s="291">
        <v>4068</v>
      </c>
      <c r="F1674" s="291">
        <v>33068</v>
      </c>
      <c r="G1674" s="291">
        <v>580</v>
      </c>
      <c r="H1674" s="291">
        <v>4061</v>
      </c>
      <c r="I1674" s="292" t="str">
        <f t="shared" si="25"/>
        <v>GooD</v>
      </c>
    </row>
    <row r="1675" spans="1:9" ht="15.7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75" thickBot="1">
      <c r="A1677" s="288" t="s">
        <v>644</v>
      </c>
      <c r="B1677" s="288">
        <v>29000</v>
      </c>
      <c r="C1677" s="289">
        <v>14</v>
      </c>
      <c r="D1677" s="290">
        <v>0.21</v>
      </c>
      <c r="E1677" s="291">
        <v>7113</v>
      </c>
      <c r="F1677" s="291">
        <v>36113</v>
      </c>
      <c r="G1677" s="291">
        <v>1015</v>
      </c>
      <c r="H1677" s="291">
        <v>2507</v>
      </c>
      <c r="I1677" s="292" t="str">
        <f t="shared" si="25"/>
        <v>GooD</v>
      </c>
    </row>
    <row r="1678" spans="1:9" ht="15.7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75" thickBot="1">
      <c r="A1680" s="288" t="s">
        <v>644</v>
      </c>
      <c r="B1680" s="288">
        <v>29000</v>
      </c>
      <c r="C1680" s="289">
        <v>20</v>
      </c>
      <c r="D1680" s="290">
        <v>0.21</v>
      </c>
      <c r="E1680" s="291">
        <v>10170</v>
      </c>
      <c r="F1680" s="291">
        <v>39170</v>
      </c>
      <c r="G1680" s="291">
        <v>1450</v>
      </c>
      <c r="H1680" s="291">
        <v>1886</v>
      </c>
      <c r="I1680" s="292" t="str">
        <f t="shared" si="25"/>
        <v>GooD</v>
      </c>
    </row>
    <row r="1681" spans="1:9" ht="15.7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75" thickBot="1">
      <c r="A1683" s="288" t="s">
        <v>644</v>
      </c>
      <c r="B1683" s="288">
        <v>30000</v>
      </c>
      <c r="C1683" s="289">
        <v>6</v>
      </c>
      <c r="D1683" s="290">
        <v>0.21</v>
      </c>
      <c r="E1683" s="291">
        <v>3156</v>
      </c>
      <c r="F1683" s="291">
        <v>33156</v>
      </c>
      <c r="G1683" s="291">
        <v>450</v>
      </c>
      <c r="H1683" s="291">
        <v>5451</v>
      </c>
      <c r="I1683" s="292" t="str">
        <f t="shared" si="25"/>
        <v>GooD</v>
      </c>
    </row>
    <row r="1684" spans="1:9" ht="15.7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75" thickBot="1">
      <c r="A1686" s="288" t="s">
        <v>644</v>
      </c>
      <c r="B1686" s="288">
        <v>30000</v>
      </c>
      <c r="C1686" s="289">
        <v>12</v>
      </c>
      <c r="D1686" s="290">
        <v>0.21</v>
      </c>
      <c r="E1686" s="291">
        <v>6312</v>
      </c>
      <c r="F1686" s="291">
        <v>36312</v>
      </c>
      <c r="G1686" s="291">
        <v>900</v>
      </c>
      <c r="H1686" s="291">
        <v>2951</v>
      </c>
      <c r="I1686" s="292" t="str">
        <f t="shared" si="25"/>
        <v>GooD</v>
      </c>
    </row>
    <row r="1687" spans="1:9" ht="15.7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75" thickBot="1">
      <c r="A1689" s="288" t="s">
        <v>644</v>
      </c>
      <c r="B1689" s="288">
        <v>30000</v>
      </c>
      <c r="C1689" s="289">
        <v>18</v>
      </c>
      <c r="D1689" s="290">
        <v>0.21</v>
      </c>
      <c r="E1689" s="291">
        <v>9456</v>
      </c>
      <c r="F1689" s="291">
        <v>39456</v>
      </c>
      <c r="G1689" s="291">
        <v>1350</v>
      </c>
      <c r="H1689" s="291">
        <v>2117</v>
      </c>
      <c r="I1689" s="292" t="str">
        <f t="shared" si="25"/>
        <v>GooD</v>
      </c>
    </row>
    <row r="1690" spans="1:9" ht="15.7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75" thickBot="1">
      <c r="A1692" s="288" t="s">
        <v>644</v>
      </c>
      <c r="B1692" s="288">
        <v>30000</v>
      </c>
      <c r="C1692" s="289">
        <v>24</v>
      </c>
      <c r="D1692" s="290">
        <v>0.21</v>
      </c>
      <c r="E1692" s="291">
        <v>12624</v>
      </c>
      <c r="F1692" s="291">
        <v>42624</v>
      </c>
      <c r="G1692" s="291">
        <v>1800</v>
      </c>
      <c r="H1692" s="291">
        <v>1701</v>
      </c>
      <c r="I1692" s="292" t="str">
        <f t="shared" si="25"/>
        <v>GooD</v>
      </c>
    </row>
    <row r="1693" spans="1:9" ht="15.7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75" thickBot="1">
      <c r="A1695" s="288" t="s">
        <v>644</v>
      </c>
      <c r="B1695" s="288">
        <v>31000</v>
      </c>
      <c r="C1695" s="289">
        <v>10</v>
      </c>
      <c r="D1695" s="290">
        <v>0.21</v>
      </c>
      <c r="E1695" s="291">
        <v>5435</v>
      </c>
      <c r="F1695" s="291">
        <v>36435</v>
      </c>
      <c r="G1695" s="291">
        <v>775</v>
      </c>
      <c r="H1695" s="291">
        <v>3566</v>
      </c>
      <c r="I1695" s="292" t="str">
        <f t="shared" si="25"/>
        <v>GooD</v>
      </c>
    </row>
    <row r="1696" spans="1:9" ht="15.7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75" thickBot="1">
      <c r="A1698" s="288" t="s">
        <v>644</v>
      </c>
      <c r="B1698" s="288">
        <v>31000</v>
      </c>
      <c r="C1698" s="289">
        <v>16</v>
      </c>
      <c r="D1698" s="290">
        <v>0.21</v>
      </c>
      <c r="E1698" s="291">
        <v>8688</v>
      </c>
      <c r="F1698" s="291">
        <v>39688</v>
      </c>
      <c r="G1698" s="291">
        <v>1240</v>
      </c>
      <c r="H1698" s="291">
        <v>2403</v>
      </c>
      <c r="I1698" s="292" t="str">
        <f t="shared" si="25"/>
        <v>GooD</v>
      </c>
    </row>
    <row r="1699" spans="1:9" ht="15.7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75" thickBot="1">
      <c r="A1701" s="288" t="s">
        <v>644</v>
      </c>
      <c r="B1701" s="288">
        <v>31000</v>
      </c>
      <c r="C1701" s="289">
        <v>22</v>
      </c>
      <c r="D1701" s="290">
        <v>0.21</v>
      </c>
      <c r="E1701" s="291">
        <v>11955</v>
      </c>
      <c r="F1701" s="291">
        <v>42955</v>
      </c>
      <c r="G1701" s="291">
        <v>1705</v>
      </c>
      <c r="H1701" s="291">
        <v>1875</v>
      </c>
      <c r="I1701" s="292" t="str">
        <f t="shared" si="25"/>
        <v>GooD</v>
      </c>
    </row>
    <row r="1702" spans="1:9" ht="15.7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75" thickBot="1">
      <c r="A1704" s="288" t="s">
        <v>644</v>
      </c>
      <c r="B1704" s="288">
        <v>32000</v>
      </c>
      <c r="C1704" s="289">
        <v>8</v>
      </c>
      <c r="D1704" s="290">
        <v>0.21</v>
      </c>
      <c r="E1704" s="291">
        <v>4488</v>
      </c>
      <c r="F1704" s="291">
        <v>36488</v>
      </c>
      <c r="G1704" s="291">
        <v>640</v>
      </c>
      <c r="H1704" s="291">
        <v>4481</v>
      </c>
      <c r="I1704" s="292" t="str">
        <f t="shared" si="25"/>
        <v>GooD</v>
      </c>
    </row>
    <row r="1705" spans="1:9" ht="15.7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75" thickBot="1">
      <c r="A1707" s="288" t="s">
        <v>644</v>
      </c>
      <c r="B1707" s="288">
        <v>32000</v>
      </c>
      <c r="C1707" s="289">
        <v>14</v>
      </c>
      <c r="D1707" s="290">
        <v>0.21</v>
      </c>
      <c r="E1707" s="291">
        <v>7844</v>
      </c>
      <c r="F1707" s="291">
        <v>39844</v>
      </c>
      <c r="G1707" s="291">
        <v>1120</v>
      </c>
      <c r="H1707" s="291">
        <v>2766</v>
      </c>
      <c r="I1707" s="292" t="str">
        <f t="shared" si="25"/>
        <v>GooD</v>
      </c>
    </row>
    <row r="1708" spans="1:9" ht="15.7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75" thickBot="1">
      <c r="A1710" s="288" t="s">
        <v>644</v>
      </c>
      <c r="B1710" s="288">
        <v>32000</v>
      </c>
      <c r="C1710" s="289">
        <v>20</v>
      </c>
      <c r="D1710" s="290">
        <v>0.21</v>
      </c>
      <c r="E1710" s="291">
        <v>11220</v>
      </c>
      <c r="F1710" s="291">
        <v>43220</v>
      </c>
      <c r="G1710" s="291">
        <v>1600</v>
      </c>
      <c r="H1710" s="291">
        <v>2081</v>
      </c>
      <c r="I1710" s="292" t="str">
        <f t="shared" si="25"/>
        <v>GooD</v>
      </c>
    </row>
    <row r="1711" spans="1:9" ht="15.7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75" thickBot="1">
      <c r="A1713" s="288" t="s">
        <v>644</v>
      </c>
      <c r="B1713" s="288">
        <v>33000</v>
      </c>
      <c r="C1713" s="289">
        <v>6</v>
      </c>
      <c r="D1713" s="290">
        <v>0.21</v>
      </c>
      <c r="E1713" s="291">
        <v>3471</v>
      </c>
      <c r="F1713" s="291">
        <v>36471</v>
      </c>
      <c r="G1713" s="291">
        <v>495</v>
      </c>
      <c r="H1713" s="291">
        <v>5996</v>
      </c>
      <c r="I1713" s="292" t="str">
        <f t="shared" si="25"/>
        <v>GooD</v>
      </c>
    </row>
    <row r="1714" spans="1:9" ht="15.7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75" thickBot="1">
      <c r="A1716" s="288" t="s">
        <v>644</v>
      </c>
      <c r="B1716" s="288">
        <v>33000</v>
      </c>
      <c r="C1716" s="289">
        <v>12</v>
      </c>
      <c r="D1716" s="290">
        <v>0.21</v>
      </c>
      <c r="E1716" s="291">
        <v>6942</v>
      </c>
      <c r="F1716" s="291">
        <v>39942</v>
      </c>
      <c r="G1716" s="291">
        <v>990</v>
      </c>
      <c r="H1716" s="291">
        <v>3246</v>
      </c>
      <c r="I1716" s="292" t="str">
        <f t="shared" si="25"/>
        <v>GooD</v>
      </c>
    </row>
    <row r="1717" spans="1:9" ht="15.7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75" thickBot="1">
      <c r="A1719" s="288" t="s">
        <v>644</v>
      </c>
      <c r="B1719" s="288">
        <v>33000</v>
      </c>
      <c r="C1719" s="289">
        <v>18</v>
      </c>
      <c r="D1719" s="290">
        <v>0.21</v>
      </c>
      <c r="E1719" s="291">
        <v>10407</v>
      </c>
      <c r="F1719" s="291">
        <v>43407</v>
      </c>
      <c r="G1719" s="291">
        <v>1485</v>
      </c>
      <c r="H1719" s="291">
        <v>2329</v>
      </c>
      <c r="I1719" s="292" t="str">
        <f t="shared" si="25"/>
        <v>GooD</v>
      </c>
    </row>
    <row r="1720" spans="1:9" ht="15.7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75" thickBot="1">
      <c r="A1722" s="288" t="s">
        <v>644</v>
      </c>
      <c r="B1722" s="288">
        <v>33000</v>
      </c>
      <c r="C1722" s="289">
        <v>24</v>
      </c>
      <c r="D1722" s="290">
        <v>0.21</v>
      </c>
      <c r="E1722" s="291">
        <v>13884</v>
      </c>
      <c r="F1722" s="291">
        <v>46884</v>
      </c>
      <c r="G1722" s="291">
        <v>1980</v>
      </c>
      <c r="H1722" s="291">
        <v>1871</v>
      </c>
      <c r="I1722" s="292" t="str">
        <f t="shared" si="25"/>
        <v>GooD</v>
      </c>
    </row>
    <row r="1723" spans="1:9" ht="15.7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7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7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75" thickBot="1">
      <c r="A1728" s="288" t="s">
        <v>644</v>
      </c>
      <c r="B1728" s="288">
        <v>34000</v>
      </c>
      <c r="C1728" s="289">
        <v>16</v>
      </c>
      <c r="D1728" s="290">
        <v>0.21</v>
      </c>
      <c r="E1728" s="291">
        <v>9536</v>
      </c>
      <c r="F1728" s="291">
        <v>43536</v>
      </c>
      <c r="G1728" s="291">
        <v>1360</v>
      </c>
      <c r="H1728" s="291">
        <v>2636</v>
      </c>
      <c r="I1728" s="292" t="str">
        <f t="shared" si="26"/>
        <v>GooD</v>
      </c>
    </row>
    <row r="1729" spans="1:9" ht="15.7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75" thickBot="1">
      <c r="A1731" s="288" t="s">
        <v>644</v>
      </c>
      <c r="B1731" s="288">
        <v>34000</v>
      </c>
      <c r="C1731" s="289">
        <v>22</v>
      </c>
      <c r="D1731" s="290">
        <v>0.21</v>
      </c>
      <c r="E1731" s="291">
        <v>13102</v>
      </c>
      <c r="F1731" s="291">
        <v>47102</v>
      </c>
      <c r="G1731" s="291">
        <v>1870</v>
      </c>
      <c r="H1731" s="291">
        <v>2056</v>
      </c>
      <c r="I1731" s="292" t="str">
        <f t="shared" si="26"/>
        <v>GooD</v>
      </c>
    </row>
    <row r="1732" spans="1:9" ht="15.7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75" thickBot="1">
      <c r="A1734" s="288" t="s">
        <v>644</v>
      </c>
      <c r="B1734" s="288">
        <v>35000</v>
      </c>
      <c r="C1734" s="289">
        <v>8</v>
      </c>
      <c r="D1734" s="290">
        <v>0.21</v>
      </c>
      <c r="E1734" s="291">
        <v>4908</v>
      </c>
      <c r="F1734" s="291">
        <v>39908</v>
      </c>
      <c r="G1734" s="291">
        <v>700</v>
      </c>
      <c r="H1734" s="291">
        <v>4901</v>
      </c>
      <c r="I1734" s="292" t="str">
        <f t="shared" si="26"/>
        <v>GooD</v>
      </c>
    </row>
    <row r="1735" spans="1:9" ht="15.7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75" thickBot="1">
      <c r="A1737" s="288" t="s">
        <v>644</v>
      </c>
      <c r="B1737" s="288">
        <v>35000</v>
      </c>
      <c r="C1737" s="289">
        <v>14</v>
      </c>
      <c r="D1737" s="290">
        <v>0.21</v>
      </c>
      <c r="E1737" s="291">
        <v>8589</v>
      </c>
      <c r="F1737" s="291">
        <v>43589</v>
      </c>
      <c r="G1737" s="291">
        <v>1225</v>
      </c>
      <c r="H1737" s="291">
        <v>3026</v>
      </c>
      <c r="I1737" s="292" t="str">
        <f t="shared" si="26"/>
        <v>GooD</v>
      </c>
    </row>
    <row r="1738" spans="1:9" ht="15.7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75" thickBot="1">
      <c r="A1740" s="288" t="s">
        <v>644</v>
      </c>
      <c r="B1740" s="288">
        <v>35000</v>
      </c>
      <c r="C1740" s="289">
        <v>20</v>
      </c>
      <c r="D1740" s="290">
        <v>0.21</v>
      </c>
      <c r="E1740" s="291">
        <v>12270</v>
      </c>
      <c r="F1740" s="291">
        <v>47270</v>
      </c>
      <c r="G1740" s="291">
        <v>1750</v>
      </c>
      <c r="H1740" s="291">
        <v>2276</v>
      </c>
      <c r="I1740" s="292" t="str">
        <f t="shared" si="26"/>
        <v>GooD</v>
      </c>
    </row>
    <row r="1741" spans="1:9" ht="15.7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75" thickBot="1">
      <c r="A1743" s="288" t="s">
        <v>644</v>
      </c>
      <c r="B1743" s="288">
        <v>36000</v>
      </c>
      <c r="C1743" s="289">
        <v>6</v>
      </c>
      <c r="D1743" s="290">
        <v>0.21</v>
      </c>
      <c r="E1743" s="291">
        <v>3786</v>
      </c>
      <c r="F1743" s="291">
        <v>39786</v>
      </c>
      <c r="G1743" s="291">
        <v>540</v>
      </c>
      <c r="H1743" s="291">
        <v>6541</v>
      </c>
      <c r="I1743" s="292" t="str">
        <f t="shared" si="26"/>
        <v>GooD</v>
      </c>
    </row>
    <row r="1744" spans="1:9" ht="15.7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75" thickBot="1">
      <c r="A1746" s="288" t="s">
        <v>644</v>
      </c>
      <c r="B1746" s="288">
        <v>36000</v>
      </c>
      <c r="C1746" s="289">
        <v>12</v>
      </c>
      <c r="D1746" s="290">
        <v>0.21</v>
      </c>
      <c r="E1746" s="291">
        <v>7572</v>
      </c>
      <c r="F1746" s="291">
        <v>43572</v>
      </c>
      <c r="G1746" s="291">
        <v>1080</v>
      </c>
      <c r="H1746" s="291">
        <v>3541</v>
      </c>
      <c r="I1746" s="292" t="str">
        <f t="shared" si="26"/>
        <v>GooD</v>
      </c>
    </row>
    <row r="1747" spans="1:9" ht="15.7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75" thickBot="1">
      <c r="A1749" s="288" t="s">
        <v>644</v>
      </c>
      <c r="B1749" s="288">
        <v>36000</v>
      </c>
      <c r="C1749" s="289">
        <v>18</v>
      </c>
      <c r="D1749" s="290">
        <v>0.21</v>
      </c>
      <c r="E1749" s="291">
        <v>11358</v>
      </c>
      <c r="F1749" s="291">
        <v>47358</v>
      </c>
      <c r="G1749" s="291">
        <v>1620</v>
      </c>
      <c r="H1749" s="291">
        <v>2541</v>
      </c>
      <c r="I1749" s="292" t="str">
        <f t="shared" si="26"/>
        <v>GooD</v>
      </c>
    </row>
    <row r="1750" spans="1:9" ht="15.7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75" thickBot="1">
      <c r="A1752" s="288" t="s">
        <v>644</v>
      </c>
      <c r="B1752" s="288">
        <v>36000</v>
      </c>
      <c r="C1752" s="289">
        <v>24</v>
      </c>
      <c r="D1752" s="290">
        <v>0.21</v>
      </c>
      <c r="E1752" s="291">
        <v>15144</v>
      </c>
      <c r="F1752" s="291">
        <v>51144</v>
      </c>
      <c r="G1752" s="291">
        <v>2160</v>
      </c>
      <c r="H1752" s="291">
        <v>2041</v>
      </c>
      <c r="I1752" s="292" t="str">
        <f t="shared" si="26"/>
        <v>GooD</v>
      </c>
    </row>
    <row r="1753" spans="1:9" ht="15.7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75" thickBot="1">
      <c r="A1755" s="288" t="s">
        <v>644</v>
      </c>
      <c r="B1755" s="288">
        <v>37000</v>
      </c>
      <c r="C1755" s="289">
        <v>10</v>
      </c>
      <c r="D1755" s="290">
        <v>0.21</v>
      </c>
      <c r="E1755" s="291">
        <v>6485</v>
      </c>
      <c r="F1755" s="291">
        <v>43485</v>
      </c>
      <c r="G1755" s="291">
        <v>925</v>
      </c>
      <c r="H1755" s="291">
        <v>4256</v>
      </c>
      <c r="I1755" s="292" t="str">
        <f t="shared" si="26"/>
        <v>GooD</v>
      </c>
    </row>
    <row r="1756" spans="1:9" ht="15.7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75" thickBot="1">
      <c r="A1758" s="288" t="s">
        <v>644</v>
      </c>
      <c r="B1758" s="288">
        <v>37000</v>
      </c>
      <c r="C1758" s="289">
        <v>16</v>
      </c>
      <c r="D1758" s="290">
        <v>0.21</v>
      </c>
      <c r="E1758" s="291">
        <v>10368</v>
      </c>
      <c r="F1758" s="291">
        <v>47368</v>
      </c>
      <c r="G1758" s="291">
        <v>1480</v>
      </c>
      <c r="H1758" s="291">
        <v>2868</v>
      </c>
      <c r="I1758" s="292" t="str">
        <f t="shared" si="26"/>
        <v>GooD</v>
      </c>
    </row>
    <row r="1759" spans="1:9" ht="15.7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75" thickBot="1">
      <c r="A1761" s="288" t="s">
        <v>644</v>
      </c>
      <c r="B1761" s="288">
        <v>37000</v>
      </c>
      <c r="C1761" s="289">
        <v>22</v>
      </c>
      <c r="D1761" s="290">
        <v>0.21</v>
      </c>
      <c r="E1761" s="291">
        <v>14249</v>
      </c>
      <c r="F1761" s="291">
        <v>51249</v>
      </c>
      <c r="G1761" s="291">
        <v>2035</v>
      </c>
      <c r="H1761" s="291">
        <v>2237</v>
      </c>
      <c r="I1761" s="292" t="str">
        <f t="shared" si="26"/>
        <v>GooD</v>
      </c>
    </row>
    <row r="1762" spans="1:9" ht="15.7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75" thickBot="1">
      <c r="A1764" s="288" t="s">
        <v>644</v>
      </c>
      <c r="B1764" s="288">
        <v>38000</v>
      </c>
      <c r="C1764" s="289">
        <v>8</v>
      </c>
      <c r="D1764" s="290">
        <v>0.21</v>
      </c>
      <c r="E1764" s="291">
        <v>5328</v>
      </c>
      <c r="F1764" s="291">
        <v>43328</v>
      </c>
      <c r="G1764" s="291">
        <v>760</v>
      </c>
      <c r="H1764" s="291">
        <v>5321</v>
      </c>
      <c r="I1764" s="292" t="str">
        <f t="shared" si="26"/>
        <v>GooD</v>
      </c>
    </row>
    <row r="1765" spans="1:9" ht="15.7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75" thickBot="1">
      <c r="A1767" s="288" t="s">
        <v>644</v>
      </c>
      <c r="B1767" s="288">
        <v>38000</v>
      </c>
      <c r="C1767" s="289">
        <v>14</v>
      </c>
      <c r="D1767" s="290">
        <v>0.21</v>
      </c>
      <c r="E1767" s="291">
        <v>9320</v>
      </c>
      <c r="F1767" s="291">
        <v>47320</v>
      </c>
      <c r="G1767" s="291">
        <v>1330</v>
      </c>
      <c r="H1767" s="291">
        <v>3285</v>
      </c>
      <c r="I1767" s="292" t="str">
        <f t="shared" si="26"/>
        <v>GooD</v>
      </c>
    </row>
    <row r="1768" spans="1:9" ht="15.7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75" thickBot="1">
      <c r="A1770" s="288" t="s">
        <v>644</v>
      </c>
      <c r="B1770" s="288">
        <v>38000</v>
      </c>
      <c r="C1770" s="289">
        <v>20</v>
      </c>
      <c r="D1770" s="290">
        <v>0.21</v>
      </c>
      <c r="E1770" s="291">
        <v>13320</v>
      </c>
      <c r="F1770" s="291">
        <v>51320</v>
      </c>
      <c r="G1770" s="291">
        <v>1900</v>
      </c>
      <c r="H1770" s="291">
        <v>2471</v>
      </c>
      <c r="I1770" s="292" t="str">
        <f t="shared" si="26"/>
        <v>GooD</v>
      </c>
    </row>
    <row r="1771" spans="1:9" ht="15.7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75" thickBot="1">
      <c r="A1773" s="288" t="s">
        <v>644</v>
      </c>
      <c r="B1773" s="288">
        <v>39000</v>
      </c>
      <c r="C1773" s="289">
        <v>6</v>
      </c>
      <c r="D1773" s="290">
        <v>0.21</v>
      </c>
      <c r="E1773" s="291">
        <v>4101</v>
      </c>
      <c r="F1773" s="291">
        <v>43101</v>
      </c>
      <c r="G1773" s="291">
        <v>585</v>
      </c>
      <c r="H1773" s="291">
        <v>7086</v>
      </c>
      <c r="I1773" s="292" t="str">
        <f t="shared" si="26"/>
        <v>GooD</v>
      </c>
    </row>
    <row r="1774" spans="1:9" ht="15.7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75" thickBot="1">
      <c r="A1776" s="288" t="s">
        <v>644</v>
      </c>
      <c r="B1776" s="288">
        <v>39000</v>
      </c>
      <c r="C1776" s="289">
        <v>12</v>
      </c>
      <c r="D1776" s="290">
        <v>0.21</v>
      </c>
      <c r="E1776" s="291">
        <v>8202</v>
      </c>
      <c r="F1776" s="291">
        <v>47202</v>
      </c>
      <c r="G1776" s="291">
        <v>1170</v>
      </c>
      <c r="H1776" s="291">
        <v>3836</v>
      </c>
      <c r="I1776" s="292" t="str">
        <f t="shared" si="26"/>
        <v>GooD</v>
      </c>
    </row>
    <row r="1777" spans="1:9" ht="15.7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75" thickBot="1">
      <c r="A1779" s="288" t="s">
        <v>644</v>
      </c>
      <c r="B1779" s="288">
        <v>39000</v>
      </c>
      <c r="C1779" s="289">
        <v>18</v>
      </c>
      <c r="D1779" s="290">
        <v>0.21</v>
      </c>
      <c r="E1779" s="291">
        <v>12291</v>
      </c>
      <c r="F1779" s="291">
        <v>51291</v>
      </c>
      <c r="G1779" s="291">
        <v>1755</v>
      </c>
      <c r="H1779" s="291">
        <v>2752</v>
      </c>
      <c r="I1779" s="292" t="str">
        <f t="shared" si="26"/>
        <v>GooD</v>
      </c>
    </row>
    <row r="1780" spans="1:9" ht="15.7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75" thickBot="1">
      <c r="A1782" s="288" t="s">
        <v>644</v>
      </c>
      <c r="B1782" s="288">
        <v>39000</v>
      </c>
      <c r="C1782" s="289">
        <v>24</v>
      </c>
      <c r="D1782" s="290">
        <v>0.21</v>
      </c>
      <c r="E1782" s="291">
        <v>16404</v>
      </c>
      <c r="F1782" s="291">
        <v>55404</v>
      </c>
      <c r="G1782" s="291">
        <v>2340</v>
      </c>
      <c r="H1782" s="291">
        <v>2211</v>
      </c>
      <c r="I1782" s="292" t="str">
        <f t="shared" si="26"/>
        <v>GooD</v>
      </c>
    </row>
    <row r="1783" spans="1:9" ht="15.7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75" thickBot="1">
      <c r="A1785" s="288" t="s">
        <v>644</v>
      </c>
      <c r="B1785" s="288">
        <v>40000</v>
      </c>
      <c r="C1785" s="289">
        <v>10</v>
      </c>
      <c r="D1785" s="290">
        <v>0.21</v>
      </c>
      <c r="E1785" s="291">
        <v>7010</v>
      </c>
      <c r="F1785" s="291">
        <v>47010</v>
      </c>
      <c r="G1785" s="291">
        <v>1000</v>
      </c>
      <c r="H1785" s="291">
        <v>4601</v>
      </c>
      <c r="I1785" s="292" t="str">
        <f t="shared" si="26"/>
        <v>GooD</v>
      </c>
    </row>
    <row r="1786" spans="1:9" ht="15.7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75" thickBot="1">
      <c r="A1788" s="288" t="s">
        <v>644</v>
      </c>
      <c r="B1788" s="288">
        <v>40000</v>
      </c>
      <c r="C1788" s="289">
        <v>16</v>
      </c>
      <c r="D1788" s="290">
        <v>0.21</v>
      </c>
      <c r="E1788" s="291">
        <v>11216</v>
      </c>
      <c r="F1788" s="291">
        <v>51216</v>
      </c>
      <c r="G1788" s="291">
        <v>1600</v>
      </c>
      <c r="H1788" s="291">
        <v>3101</v>
      </c>
      <c r="I1788" s="292" t="str">
        <f t="shared" si="26"/>
        <v>GooD</v>
      </c>
    </row>
    <row r="1789" spans="1:9" ht="15.7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75" thickBot="1">
      <c r="A1791" s="288" t="s">
        <v>644</v>
      </c>
      <c r="B1791" s="288">
        <v>40000</v>
      </c>
      <c r="C1791" s="289">
        <v>22</v>
      </c>
      <c r="D1791" s="290">
        <v>0.21</v>
      </c>
      <c r="E1791" s="291">
        <v>15418</v>
      </c>
      <c r="F1791" s="291">
        <v>55418</v>
      </c>
      <c r="G1791" s="291">
        <v>2200</v>
      </c>
      <c r="H1791" s="291">
        <v>2419</v>
      </c>
      <c r="I1791" s="292" t="str">
        <f t="shared" si="27"/>
        <v>GooD</v>
      </c>
    </row>
    <row r="1792" spans="1:9" ht="15.7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75" thickBot="1">
      <c r="A1794" s="288" t="s">
        <v>644</v>
      </c>
      <c r="B1794" s="288">
        <v>41000</v>
      </c>
      <c r="C1794" s="289">
        <v>8</v>
      </c>
      <c r="D1794" s="290">
        <v>0.21</v>
      </c>
      <c r="E1794" s="291">
        <v>5748</v>
      </c>
      <c r="F1794" s="291">
        <v>46748</v>
      </c>
      <c r="G1794" s="291">
        <v>820</v>
      </c>
      <c r="H1794" s="291">
        <v>5741</v>
      </c>
      <c r="I1794" s="292" t="str">
        <f t="shared" si="27"/>
        <v>GooD</v>
      </c>
    </row>
    <row r="1795" spans="1:9" ht="15.7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75" thickBot="1">
      <c r="A1797" s="288" t="s">
        <v>644</v>
      </c>
      <c r="B1797" s="288">
        <v>41000</v>
      </c>
      <c r="C1797" s="289">
        <v>14</v>
      </c>
      <c r="D1797" s="290">
        <v>0.21</v>
      </c>
      <c r="E1797" s="291">
        <v>10051</v>
      </c>
      <c r="F1797" s="291">
        <v>51051</v>
      </c>
      <c r="G1797" s="291">
        <v>1435</v>
      </c>
      <c r="H1797" s="291">
        <v>3544</v>
      </c>
      <c r="I1797" s="292" t="str">
        <f t="shared" si="27"/>
        <v>GooD</v>
      </c>
    </row>
    <row r="1798" spans="1:9" ht="15.7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75" thickBot="1">
      <c r="A1800" s="288" t="s">
        <v>644</v>
      </c>
      <c r="B1800" s="288">
        <v>41000</v>
      </c>
      <c r="C1800" s="289">
        <v>20</v>
      </c>
      <c r="D1800" s="290">
        <v>0.21</v>
      </c>
      <c r="E1800" s="291">
        <v>14370</v>
      </c>
      <c r="F1800" s="291">
        <v>55370</v>
      </c>
      <c r="G1800" s="291">
        <v>2050</v>
      </c>
      <c r="H1800" s="291">
        <v>2666</v>
      </c>
      <c r="I1800" s="292" t="str">
        <f t="shared" si="27"/>
        <v>GooD</v>
      </c>
    </row>
    <row r="1801" spans="1:9" ht="15.7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75" thickBot="1">
      <c r="A1803" s="288" t="s">
        <v>644</v>
      </c>
      <c r="B1803" s="288">
        <v>42000</v>
      </c>
      <c r="C1803" s="289">
        <v>6</v>
      </c>
      <c r="D1803" s="290">
        <v>0.21</v>
      </c>
      <c r="E1803" s="291">
        <v>4416</v>
      </c>
      <c r="F1803" s="291">
        <v>46416</v>
      </c>
      <c r="G1803" s="291">
        <v>630</v>
      </c>
      <c r="H1803" s="291">
        <v>7631</v>
      </c>
      <c r="I1803" s="292" t="str">
        <f t="shared" si="27"/>
        <v>GooD</v>
      </c>
    </row>
    <row r="1804" spans="1:9" ht="15.7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75" thickBot="1">
      <c r="A1806" s="288" t="s">
        <v>644</v>
      </c>
      <c r="B1806" s="288">
        <v>42000</v>
      </c>
      <c r="C1806" s="289">
        <v>12</v>
      </c>
      <c r="D1806" s="290">
        <v>0.21</v>
      </c>
      <c r="E1806" s="291">
        <v>8832</v>
      </c>
      <c r="F1806" s="291">
        <v>50832</v>
      </c>
      <c r="G1806" s="291">
        <v>1260</v>
      </c>
      <c r="H1806" s="291">
        <v>4131</v>
      </c>
      <c r="I1806" s="292" t="str">
        <f t="shared" si="27"/>
        <v>GooD</v>
      </c>
    </row>
    <row r="1807" spans="1:9" ht="15.7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75" thickBot="1">
      <c r="A1809" s="288" t="s">
        <v>644</v>
      </c>
      <c r="B1809" s="288">
        <v>42000</v>
      </c>
      <c r="C1809" s="289">
        <v>18</v>
      </c>
      <c r="D1809" s="290">
        <v>0.21</v>
      </c>
      <c r="E1809" s="291">
        <v>13242</v>
      </c>
      <c r="F1809" s="291">
        <v>55242</v>
      </c>
      <c r="G1809" s="291">
        <v>1890</v>
      </c>
      <c r="H1809" s="291">
        <v>2964</v>
      </c>
      <c r="I1809" s="292" t="str">
        <f t="shared" si="27"/>
        <v>GooD</v>
      </c>
    </row>
    <row r="1810" spans="1:9" ht="15.7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75" thickBot="1">
      <c r="A1812" s="288" t="s">
        <v>644</v>
      </c>
      <c r="B1812" s="288">
        <v>42000</v>
      </c>
      <c r="C1812" s="289">
        <v>24</v>
      </c>
      <c r="D1812" s="290">
        <v>0.21</v>
      </c>
      <c r="E1812" s="291">
        <v>17664</v>
      </c>
      <c r="F1812" s="291">
        <v>59664</v>
      </c>
      <c r="G1812" s="291">
        <v>2520</v>
      </c>
      <c r="H1812" s="291">
        <v>2381</v>
      </c>
      <c r="I1812" s="292" t="str">
        <f t="shared" si="27"/>
        <v>GooD</v>
      </c>
    </row>
    <row r="1813" spans="1:9" ht="15.7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75" thickBot="1">
      <c r="A1815" s="288" t="s">
        <v>644</v>
      </c>
      <c r="B1815" s="288">
        <v>43000</v>
      </c>
      <c r="C1815" s="289">
        <v>10</v>
      </c>
      <c r="D1815" s="290">
        <v>0.21</v>
      </c>
      <c r="E1815" s="291">
        <v>7535</v>
      </c>
      <c r="F1815" s="291">
        <v>50535</v>
      </c>
      <c r="G1815" s="291">
        <v>1075</v>
      </c>
      <c r="H1815" s="291">
        <v>4946</v>
      </c>
      <c r="I1815" s="292" t="str">
        <f t="shared" si="27"/>
        <v>GooD</v>
      </c>
    </row>
    <row r="1816" spans="1:9" ht="15.7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75" thickBot="1">
      <c r="A1818" s="288" t="s">
        <v>644</v>
      </c>
      <c r="B1818" s="288">
        <v>43000</v>
      </c>
      <c r="C1818" s="289">
        <v>16</v>
      </c>
      <c r="D1818" s="290">
        <v>0.21</v>
      </c>
      <c r="E1818" s="291">
        <v>12048</v>
      </c>
      <c r="F1818" s="291">
        <v>55048</v>
      </c>
      <c r="G1818" s="291">
        <v>1720</v>
      </c>
      <c r="H1818" s="291">
        <v>3333</v>
      </c>
      <c r="I1818" s="292" t="str">
        <f t="shared" si="27"/>
        <v>GooD</v>
      </c>
    </row>
    <row r="1819" spans="1:9" ht="15.7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75" thickBot="1">
      <c r="A1821" s="288" t="s">
        <v>644</v>
      </c>
      <c r="B1821" s="288">
        <v>43000</v>
      </c>
      <c r="C1821" s="289">
        <v>22</v>
      </c>
      <c r="D1821" s="290">
        <v>0.21</v>
      </c>
      <c r="E1821" s="291">
        <v>16565</v>
      </c>
      <c r="F1821" s="291">
        <v>59565</v>
      </c>
      <c r="G1821" s="291">
        <v>2365</v>
      </c>
      <c r="H1821" s="291">
        <v>2600</v>
      </c>
      <c r="I1821" s="292" t="str">
        <f t="shared" si="27"/>
        <v>GooD</v>
      </c>
    </row>
    <row r="1822" spans="1:9" ht="15.7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75" thickBot="1">
      <c r="A1824" s="288" t="s">
        <v>644</v>
      </c>
      <c r="B1824" s="288">
        <v>44000</v>
      </c>
      <c r="C1824" s="289">
        <v>8</v>
      </c>
      <c r="D1824" s="290">
        <v>0.21</v>
      </c>
      <c r="E1824" s="291">
        <v>6168</v>
      </c>
      <c r="F1824" s="291">
        <v>50168</v>
      </c>
      <c r="G1824" s="291">
        <v>880</v>
      </c>
      <c r="H1824" s="291">
        <v>6161</v>
      </c>
      <c r="I1824" s="292" t="str">
        <f t="shared" si="27"/>
        <v>GooD</v>
      </c>
    </row>
    <row r="1825" spans="1:9" ht="15.7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75" thickBot="1">
      <c r="A1827" s="288" t="s">
        <v>644</v>
      </c>
      <c r="B1827" s="288">
        <v>44000</v>
      </c>
      <c r="C1827" s="289">
        <v>14</v>
      </c>
      <c r="D1827" s="290">
        <v>0.21</v>
      </c>
      <c r="E1827" s="291">
        <v>10782</v>
      </c>
      <c r="F1827" s="291">
        <v>54782</v>
      </c>
      <c r="G1827" s="291">
        <v>1540</v>
      </c>
      <c r="H1827" s="291">
        <v>3803</v>
      </c>
      <c r="I1827" s="292" t="str">
        <f t="shared" si="27"/>
        <v>GooD</v>
      </c>
    </row>
    <row r="1828" spans="1:9" ht="15.7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75" thickBot="1">
      <c r="A1830" s="288" t="s">
        <v>644</v>
      </c>
      <c r="B1830" s="288">
        <v>44000</v>
      </c>
      <c r="C1830" s="289">
        <v>20</v>
      </c>
      <c r="D1830" s="290">
        <v>0.21</v>
      </c>
      <c r="E1830" s="291">
        <v>15420</v>
      </c>
      <c r="F1830" s="291">
        <v>59420</v>
      </c>
      <c r="G1830" s="291">
        <v>2200</v>
      </c>
      <c r="H1830" s="291">
        <v>2861</v>
      </c>
      <c r="I1830" s="292" t="str">
        <f t="shared" si="27"/>
        <v>GooD</v>
      </c>
    </row>
    <row r="1831" spans="1:9" ht="15.7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75" thickBot="1">
      <c r="A1833" s="288" t="s">
        <v>644</v>
      </c>
      <c r="B1833" s="288">
        <v>45000</v>
      </c>
      <c r="C1833" s="289">
        <v>6</v>
      </c>
      <c r="D1833" s="290">
        <v>0.21</v>
      </c>
      <c r="E1833" s="291">
        <v>4731</v>
      </c>
      <c r="F1833" s="291">
        <v>49731</v>
      </c>
      <c r="G1833" s="291">
        <v>675</v>
      </c>
      <c r="H1833" s="291">
        <v>8176</v>
      </c>
      <c r="I1833" s="292" t="str">
        <f t="shared" si="27"/>
        <v>GooD</v>
      </c>
    </row>
    <row r="1834" spans="1:9" ht="15.7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75" thickBot="1">
      <c r="A1836" s="288" t="s">
        <v>644</v>
      </c>
      <c r="B1836" s="288">
        <v>45000</v>
      </c>
      <c r="C1836" s="289">
        <v>12</v>
      </c>
      <c r="D1836" s="290">
        <v>0.21</v>
      </c>
      <c r="E1836" s="291">
        <v>9462</v>
      </c>
      <c r="F1836" s="291">
        <v>54462</v>
      </c>
      <c r="G1836" s="291">
        <v>1350</v>
      </c>
      <c r="H1836" s="291">
        <v>4426</v>
      </c>
      <c r="I1836" s="292" t="str">
        <f t="shared" si="27"/>
        <v>GooD</v>
      </c>
    </row>
    <row r="1837" spans="1:9" ht="15.7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75" thickBot="1">
      <c r="A1839" s="288" t="s">
        <v>644</v>
      </c>
      <c r="B1839" s="288">
        <v>45000</v>
      </c>
      <c r="C1839" s="289">
        <v>18</v>
      </c>
      <c r="D1839" s="290">
        <v>0.21</v>
      </c>
      <c r="E1839" s="291">
        <v>14193</v>
      </c>
      <c r="F1839" s="291">
        <v>59193</v>
      </c>
      <c r="G1839" s="291">
        <v>2025</v>
      </c>
      <c r="H1839" s="291">
        <v>3176</v>
      </c>
      <c r="I1839" s="292" t="str">
        <f t="shared" si="27"/>
        <v>GooD</v>
      </c>
    </row>
    <row r="1840" spans="1:9" ht="15.7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75" thickBot="1">
      <c r="A1842" s="288" t="s">
        <v>644</v>
      </c>
      <c r="B1842" s="288">
        <v>45000</v>
      </c>
      <c r="C1842" s="289">
        <v>24</v>
      </c>
      <c r="D1842" s="290">
        <v>0.21</v>
      </c>
      <c r="E1842" s="291">
        <v>18924</v>
      </c>
      <c r="F1842" s="291">
        <v>63924</v>
      </c>
      <c r="G1842" s="291">
        <v>2700</v>
      </c>
      <c r="H1842" s="291">
        <v>2551</v>
      </c>
      <c r="I1842" s="292" t="str">
        <f t="shared" si="27"/>
        <v>GooD</v>
      </c>
    </row>
    <row r="1843" spans="1:9" ht="15.7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75" thickBot="1">
      <c r="A1845" s="288" t="s">
        <v>644</v>
      </c>
      <c r="B1845" s="288">
        <v>46000</v>
      </c>
      <c r="C1845" s="289">
        <v>10</v>
      </c>
      <c r="D1845" s="290">
        <v>0.21</v>
      </c>
      <c r="E1845" s="291">
        <v>8060</v>
      </c>
      <c r="F1845" s="291">
        <v>54060</v>
      </c>
      <c r="G1845" s="291">
        <v>1150</v>
      </c>
      <c r="H1845" s="291">
        <v>5291</v>
      </c>
      <c r="I1845" s="292" t="str">
        <f t="shared" si="27"/>
        <v>GooD</v>
      </c>
    </row>
    <row r="1846" spans="1:9" ht="15.7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75" thickBot="1">
      <c r="A1848" s="288" t="s">
        <v>644</v>
      </c>
      <c r="B1848" s="288">
        <v>46000</v>
      </c>
      <c r="C1848" s="289">
        <v>16</v>
      </c>
      <c r="D1848" s="290">
        <v>0.21</v>
      </c>
      <c r="E1848" s="291">
        <v>12896</v>
      </c>
      <c r="F1848" s="291">
        <v>58896</v>
      </c>
      <c r="G1848" s="291">
        <v>1840</v>
      </c>
      <c r="H1848" s="291">
        <v>3566</v>
      </c>
      <c r="I1848" s="292" t="str">
        <f t="shared" si="27"/>
        <v>GooD</v>
      </c>
    </row>
    <row r="1849" spans="1:9" ht="15.7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75" thickBot="1">
      <c r="A1851" s="288" t="s">
        <v>644</v>
      </c>
      <c r="B1851" s="288">
        <v>46000</v>
      </c>
      <c r="C1851" s="289">
        <v>22</v>
      </c>
      <c r="D1851" s="290">
        <v>0.21</v>
      </c>
      <c r="E1851" s="291">
        <v>17712</v>
      </c>
      <c r="F1851" s="291">
        <v>63712</v>
      </c>
      <c r="G1851" s="291">
        <v>2530</v>
      </c>
      <c r="H1851" s="291">
        <v>2781</v>
      </c>
      <c r="I1851" s="292" t="str">
        <f t="shared" si="27"/>
        <v>GooD</v>
      </c>
    </row>
    <row r="1852" spans="1:9" ht="15.7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75" thickBot="1">
      <c r="A1854" s="288" t="s">
        <v>644</v>
      </c>
      <c r="B1854" s="288">
        <v>47000</v>
      </c>
      <c r="C1854" s="289">
        <v>8</v>
      </c>
      <c r="D1854" s="290">
        <v>0.21</v>
      </c>
      <c r="E1854" s="291">
        <v>6588</v>
      </c>
      <c r="F1854" s="291">
        <v>53588</v>
      </c>
      <c r="G1854" s="291">
        <v>940</v>
      </c>
      <c r="H1854" s="291">
        <v>6581</v>
      </c>
      <c r="I1854" s="292" t="str">
        <f t="shared" si="28"/>
        <v>GooD</v>
      </c>
    </row>
    <row r="1855" spans="1:9" ht="15.7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75" thickBot="1">
      <c r="A1857" s="288" t="s">
        <v>644</v>
      </c>
      <c r="B1857" s="288">
        <v>47000</v>
      </c>
      <c r="C1857" s="289">
        <v>14</v>
      </c>
      <c r="D1857" s="290">
        <v>0.21</v>
      </c>
      <c r="E1857" s="291">
        <v>11527</v>
      </c>
      <c r="F1857" s="291">
        <v>58527</v>
      </c>
      <c r="G1857" s="291">
        <v>1645</v>
      </c>
      <c r="H1857" s="291">
        <v>4063</v>
      </c>
      <c r="I1857" s="292" t="str">
        <f t="shared" si="28"/>
        <v>GooD</v>
      </c>
    </row>
    <row r="1858" spans="1:9" ht="15.7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75" thickBot="1">
      <c r="A1860" s="288" t="s">
        <v>644</v>
      </c>
      <c r="B1860" s="288">
        <v>47000</v>
      </c>
      <c r="C1860" s="289">
        <v>20</v>
      </c>
      <c r="D1860" s="290">
        <v>0.21</v>
      </c>
      <c r="E1860" s="291">
        <v>16470</v>
      </c>
      <c r="F1860" s="291">
        <v>63470</v>
      </c>
      <c r="G1860" s="291">
        <v>2350</v>
      </c>
      <c r="H1860" s="291">
        <v>3056</v>
      </c>
      <c r="I1860" s="292" t="str">
        <f t="shared" si="28"/>
        <v>GooD</v>
      </c>
    </row>
    <row r="1861" spans="1:9" ht="15.7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75" thickBot="1">
      <c r="A1863" s="288" t="s">
        <v>644</v>
      </c>
      <c r="B1863" s="288">
        <v>48000</v>
      </c>
      <c r="C1863" s="289">
        <v>6</v>
      </c>
      <c r="D1863" s="290">
        <v>0.21</v>
      </c>
      <c r="E1863" s="291">
        <v>5046</v>
      </c>
      <c r="F1863" s="291">
        <v>53046</v>
      </c>
      <c r="G1863" s="291">
        <v>720</v>
      </c>
      <c r="H1863" s="291">
        <v>8721</v>
      </c>
      <c r="I1863" s="292" t="str">
        <f t="shared" si="28"/>
        <v>GooD</v>
      </c>
    </row>
    <row r="1864" spans="1:9" ht="15.7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75" thickBot="1">
      <c r="A1866" s="288" t="s">
        <v>644</v>
      </c>
      <c r="B1866" s="288">
        <v>48000</v>
      </c>
      <c r="C1866" s="289">
        <v>12</v>
      </c>
      <c r="D1866" s="290">
        <v>0.21</v>
      </c>
      <c r="E1866" s="291">
        <v>10092</v>
      </c>
      <c r="F1866" s="291">
        <v>58092</v>
      </c>
      <c r="G1866" s="291">
        <v>1440</v>
      </c>
      <c r="H1866" s="291">
        <v>4721</v>
      </c>
      <c r="I1866" s="292" t="str">
        <f t="shared" si="28"/>
        <v>GooD</v>
      </c>
    </row>
    <row r="1867" spans="1:9" ht="15.7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75" thickBot="1">
      <c r="A1869" s="288" t="s">
        <v>644</v>
      </c>
      <c r="B1869" s="288">
        <v>48000</v>
      </c>
      <c r="C1869" s="289">
        <v>18</v>
      </c>
      <c r="D1869" s="290">
        <v>0.21</v>
      </c>
      <c r="E1869" s="291">
        <v>15126</v>
      </c>
      <c r="F1869" s="291">
        <v>63126</v>
      </c>
      <c r="G1869" s="291">
        <v>2160</v>
      </c>
      <c r="H1869" s="291">
        <v>3387</v>
      </c>
      <c r="I1869" s="292" t="str">
        <f t="shared" si="28"/>
        <v>GooD</v>
      </c>
    </row>
    <row r="1870" spans="1:9" ht="15.7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75" thickBot="1">
      <c r="A1872" s="288" t="s">
        <v>644</v>
      </c>
      <c r="B1872" s="288">
        <v>48000</v>
      </c>
      <c r="C1872" s="289">
        <v>24</v>
      </c>
      <c r="D1872" s="290">
        <v>0.21</v>
      </c>
      <c r="E1872" s="291">
        <v>20184</v>
      </c>
      <c r="F1872" s="291">
        <v>68184</v>
      </c>
      <c r="G1872" s="291">
        <v>2880</v>
      </c>
      <c r="H1872" s="291">
        <v>2721</v>
      </c>
      <c r="I1872" s="292" t="str">
        <f t="shared" si="28"/>
        <v>GooD</v>
      </c>
    </row>
    <row r="1873" spans="1:9" ht="15.7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75" thickBot="1">
      <c r="A1875" s="288" t="s">
        <v>644</v>
      </c>
      <c r="B1875" s="288">
        <v>49000</v>
      </c>
      <c r="C1875" s="289">
        <v>10</v>
      </c>
      <c r="D1875" s="290">
        <v>0.21</v>
      </c>
      <c r="E1875" s="291">
        <v>8585</v>
      </c>
      <c r="F1875" s="291">
        <v>57585</v>
      </c>
      <c r="G1875" s="291">
        <v>1225</v>
      </c>
      <c r="H1875" s="291">
        <v>5636</v>
      </c>
      <c r="I1875" s="292" t="str">
        <f t="shared" si="28"/>
        <v>GooD</v>
      </c>
    </row>
    <row r="1876" spans="1:9" ht="15.7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75" thickBot="1">
      <c r="A1878" s="288" t="s">
        <v>644</v>
      </c>
      <c r="B1878" s="288">
        <v>49000</v>
      </c>
      <c r="C1878" s="289">
        <v>16</v>
      </c>
      <c r="D1878" s="290">
        <v>0.21</v>
      </c>
      <c r="E1878" s="291">
        <v>13728</v>
      </c>
      <c r="F1878" s="291">
        <v>62728</v>
      </c>
      <c r="G1878" s="291">
        <v>1960</v>
      </c>
      <c r="H1878" s="291">
        <v>3798</v>
      </c>
      <c r="I1878" s="292" t="str">
        <f t="shared" si="28"/>
        <v>GooD</v>
      </c>
    </row>
    <row r="1879" spans="1:9" ht="15.7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75" thickBot="1">
      <c r="A1881" s="288" t="s">
        <v>644</v>
      </c>
      <c r="B1881" s="288">
        <v>49000</v>
      </c>
      <c r="C1881" s="289">
        <v>22</v>
      </c>
      <c r="D1881" s="290">
        <v>0.21</v>
      </c>
      <c r="E1881" s="291">
        <v>18881</v>
      </c>
      <c r="F1881" s="291">
        <v>67881</v>
      </c>
      <c r="G1881" s="291">
        <v>2695</v>
      </c>
      <c r="H1881" s="291">
        <v>2963</v>
      </c>
      <c r="I1881" s="292" t="str">
        <f t="shared" si="28"/>
        <v>GooD</v>
      </c>
    </row>
    <row r="1882" spans="1:9" ht="15.7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75" thickBot="1">
      <c r="A1884" s="288" t="s">
        <v>644</v>
      </c>
      <c r="B1884" s="288">
        <v>50000</v>
      </c>
      <c r="C1884" s="289">
        <v>8</v>
      </c>
      <c r="D1884" s="290">
        <v>0.21</v>
      </c>
      <c r="E1884" s="291">
        <v>7008</v>
      </c>
      <c r="F1884" s="291">
        <v>57008</v>
      </c>
      <c r="G1884" s="291">
        <v>1000</v>
      </c>
      <c r="H1884" s="291">
        <v>7001</v>
      </c>
      <c r="I1884" s="292" t="str">
        <f t="shared" si="28"/>
        <v>GooD</v>
      </c>
    </row>
    <row r="1885" spans="1:9" ht="15.7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75" thickBot="1">
      <c r="A1887" s="288" t="s">
        <v>644</v>
      </c>
      <c r="B1887" s="288">
        <v>50000</v>
      </c>
      <c r="C1887" s="289">
        <v>14</v>
      </c>
      <c r="D1887" s="290">
        <v>0.21</v>
      </c>
      <c r="E1887" s="291">
        <v>12258</v>
      </c>
      <c r="F1887" s="291">
        <v>62258</v>
      </c>
      <c r="G1887" s="291">
        <v>1750</v>
      </c>
      <c r="H1887" s="291">
        <v>4322</v>
      </c>
      <c r="I1887" s="292" t="str">
        <f t="shared" si="28"/>
        <v>GooD</v>
      </c>
    </row>
    <row r="1888" spans="1:9" ht="15.7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75" thickBot="1">
      <c r="A1890" s="288" t="s">
        <v>644</v>
      </c>
      <c r="B1890" s="288">
        <v>50000</v>
      </c>
      <c r="C1890" s="289">
        <v>20</v>
      </c>
      <c r="D1890" s="290">
        <v>0.21</v>
      </c>
      <c r="E1890" s="291">
        <v>17520</v>
      </c>
      <c r="F1890" s="291">
        <v>67520</v>
      </c>
      <c r="G1890" s="291">
        <v>2500</v>
      </c>
      <c r="H1890" s="291">
        <v>3251</v>
      </c>
      <c r="I1890" s="292" t="str">
        <f t="shared" si="28"/>
        <v>GooD</v>
      </c>
    </row>
    <row r="1891" spans="1:9" ht="15.7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75" thickBot="1">
      <c r="A1893" s="288" t="s">
        <v>637</v>
      </c>
      <c r="B1893" s="288">
        <v>8000</v>
      </c>
      <c r="C1893" s="289">
        <v>4</v>
      </c>
      <c r="D1893" s="290">
        <v>0.31</v>
      </c>
      <c r="E1893" s="291">
        <v>828</v>
      </c>
      <c r="F1893" s="291">
        <v>8828</v>
      </c>
      <c r="G1893" s="291">
        <v>80</v>
      </c>
      <c r="H1893" s="291">
        <v>2187</v>
      </c>
      <c r="I1893" s="292" t="str">
        <f t="shared" si="28"/>
        <v>GooD</v>
      </c>
    </row>
    <row r="1894" spans="1:9" ht="15.7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75" thickBot="1">
      <c r="A1896" s="288" t="s">
        <v>637</v>
      </c>
      <c r="B1896" s="288">
        <v>8000</v>
      </c>
      <c r="C1896" s="289">
        <v>10</v>
      </c>
      <c r="D1896" s="290">
        <v>0.31</v>
      </c>
      <c r="E1896" s="291">
        <v>2070</v>
      </c>
      <c r="F1896" s="291">
        <v>10070</v>
      </c>
      <c r="G1896" s="291">
        <v>200</v>
      </c>
      <c r="H1896" s="291">
        <v>987</v>
      </c>
      <c r="I1896" s="292" t="str">
        <f t="shared" si="28"/>
        <v>GooD</v>
      </c>
    </row>
    <row r="1897" spans="1:9" ht="15.7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75" thickBot="1">
      <c r="A1899" s="288" t="s">
        <v>637</v>
      </c>
      <c r="B1899" s="288">
        <v>8500</v>
      </c>
      <c r="C1899" s="289">
        <v>6</v>
      </c>
      <c r="D1899" s="290">
        <v>0.31</v>
      </c>
      <c r="E1899" s="291">
        <v>1324</v>
      </c>
      <c r="F1899" s="291">
        <v>9824</v>
      </c>
      <c r="G1899" s="291">
        <v>128</v>
      </c>
      <c r="H1899" s="291">
        <v>1616</v>
      </c>
      <c r="I1899" s="292" t="str">
        <f t="shared" si="28"/>
        <v>GooD</v>
      </c>
    </row>
    <row r="1900" spans="1:9" ht="15.7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75" thickBot="1">
      <c r="A1902" s="288" t="s">
        <v>637</v>
      </c>
      <c r="B1902" s="288">
        <v>8500</v>
      </c>
      <c r="C1902" s="289">
        <v>12</v>
      </c>
      <c r="D1902" s="290">
        <v>0.31</v>
      </c>
      <c r="E1902" s="291">
        <v>2639</v>
      </c>
      <c r="F1902" s="291">
        <v>11139</v>
      </c>
      <c r="G1902" s="291">
        <v>255</v>
      </c>
      <c r="H1902" s="291">
        <v>907</v>
      </c>
      <c r="I1902" s="292" t="str">
        <f t="shared" si="28"/>
        <v>GooD</v>
      </c>
    </row>
    <row r="1903" spans="1:9" ht="15.7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75" thickBot="1">
      <c r="A1905" s="288" t="s">
        <v>637</v>
      </c>
      <c r="B1905" s="288">
        <v>9000</v>
      </c>
      <c r="C1905" s="289">
        <v>8</v>
      </c>
      <c r="D1905" s="290">
        <v>0.31</v>
      </c>
      <c r="E1905" s="291">
        <v>1868</v>
      </c>
      <c r="F1905" s="291">
        <v>10868</v>
      </c>
      <c r="G1905" s="291">
        <v>180</v>
      </c>
      <c r="H1905" s="291">
        <v>1336</v>
      </c>
      <c r="I1905" s="292" t="str">
        <f t="shared" si="28"/>
        <v>GooD</v>
      </c>
    </row>
    <row r="1906" spans="1:9" ht="15.7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75" thickBot="1">
      <c r="A1908" s="288" t="s">
        <v>637</v>
      </c>
      <c r="B1908" s="288">
        <v>9500</v>
      </c>
      <c r="C1908" s="289">
        <v>4</v>
      </c>
      <c r="D1908" s="290">
        <v>0.31</v>
      </c>
      <c r="E1908" s="291">
        <v>983</v>
      </c>
      <c r="F1908" s="291">
        <v>10483</v>
      </c>
      <c r="G1908" s="291">
        <v>95</v>
      </c>
      <c r="H1908" s="291">
        <v>2597</v>
      </c>
      <c r="I1908" s="292" t="str">
        <f t="shared" si="28"/>
        <v>GooD</v>
      </c>
    </row>
    <row r="1909" spans="1:9" ht="15.7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75" thickBot="1">
      <c r="A1911" s="288" t="s">
        <v>637</v>
      </c>
      <c r="B1911" s="288">
        <v>9500</v>
      </c>
      <c r="C1911" s="289">
        <v>10</v>
      </c>
      <c r="D1911" s="290">
        <v>0.31</v>
      </c>
      <c r="E1911" s="291">
        <v>2458</v>
      </c>
      <c r="F1911" s="291">
        <v>11958</v>
      </c>
      <c r="G1911" s="291">
        <v>238</v>
      </c>
      <c r="H1911" s="291">
        <v>1172</v>
      </c>
      <c r="I1911" s="292" t="str">
        <f t="shared" si="28"/>
        <v>GooD</v>
      </c>
    </row>
    <row r="1912" spans="1:9" ht="15.7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75" thickBot="1">
      <c r="A1914" s="288" t="s">
        <v>637</v>
      </c>
      <c r="B1914" s="288">
        <v>10000</v>
      </c>
      <c r="C1914" s="289">
        <v>6</v>
      </c>
      <c r="D1914" s="290">
        <v>0.31</v>
      </c>
      <c r="E1914" s="291">
        <v>1556</v>
      </c>
      <c r="F1914" s="291">
        <v>11556</v>
      </c>
      <c r="G1914" s="291">
        <v>150</v>
      </c>
      <c r="H1914" s="291">
        <v>1901</v>
      </c>
      <c r="I1914" s="292" t="str">
        <f t="shared" si="28"/>
        <v>GooD</v>
      </c>
    </row>
    <row r="1915" spans="1:9" ht="15.7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7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7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75" thickBot="1">
      <c r="A1920" s="288" t="s">
        <v>637</v>
      </c>
      <c r="B1920" s="288">
        <v>10500</v>
      </c>
      <c r="C1920" s="289">
        <v>8</v>
      </c>
      <c r="D1920" s="290">
        <v>0.31</v>
      </c>
      <c r="E1920" s="291">
        <v>2174</v>
      </c>
      <c r="F1920" s="291">
        <v>12674</v>
      </c>
      <c r="G1920" s="291">
        <v>210</v>
      </c>
      <c r="H1920" s="291">
        <v>1558</v>
      </c>
      <c r="I1920" s="292" t="str">
        <f t="shared" si="29"/>
        <v>GooD</v>
      </c>
    </row>
    <row r="1921" spans="1:9" ht="15.7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75" thickBot="1">
      <c r="A1923" s="288" t="s">
        <v>637</v>
      </c>
      <c r="B1923" s="288">
        <v>11000</v>
      </c>
      <c r="C1923" s="289">
        <v>4</v>
      </c>
      <c r="D1923" s="290">
        <v>0.31</v>
      </c>
      <c r="E1923" s="291">
        <v>1138</v>
      </c>
      <c r="F1923" s="291">
        <v>12138</v>
      </c>
      <c r="G1923" s="291">
        <v>110</v>
      </c>
      <c r="H1923" s="291">
        <v>3007</v>
      </c>
      <c r="I1923" s="292" t="str">
        <f t="shared" si="29"/>
        <v>GooD</v>
      </c>
    </row>
    <row r="1924" spans="1:9" ht="15.7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75" thickBot="1">
      <c r="A1926" s="288" t="s">
        <v>637</v>
      </c>
      <c r="B1926" s="288">
        <v>11000</v>
      </c>
      <c r="C1926" s="289">
        <v>10</v>
      </c>
      <c r="D1926" s="290">
        <v>0.31</v>
      </c>
      <c r="E1926" s="291">
        <v>2845</v>
      </c>
      <c r="F1926" s="291">
        <v>13845</v>
      </c>
      <c r="G1926" s="291">
        <v>275</v>
      </c>
      <c r="H1926" s="291">
        <v>1357</v>
      </c>
      <c r="I1926" s="292" t="str">
        <f t="shared" si="29"/>
        <v>GooD</v>
      </c>
    </row>
    <row r="1927" spans="1:9" ht="15.7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75" thickBot="1">
      <c r="A1929" s="288" t="s">
        <v>637</v>
      </c>
      <c r="B1929" s="288">
        <v>11500</v>
      </c>
      <c r="C1929" s="289">
        <v>6</v>
      </c>
      <c r="D1929" s="290">
        <v>0.31</v>
      </c>
      <c r="E1929" s="291">
        <v>1789</v>
      </c>
      <c r="F1929" s="291">
        <v>13289</v>
      </c>
      <c r="G1929" s="291">
        <v>173</v>
      </c>
      <c r="H1929" s="291">
        <v>2186</v>
      </c>
      <c r="I1929" s="292" t="str">
        <f t="shared" si="29"/>
        <v>GooD</v>
      </c>
    </row>
    <row r="1930" spans="1:9" ht="15.7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75" thickBot="1">
      <c r="A1932" s="288" t="s">
        <v>637</v>
      </c>
      <c r="B1932" s="288">
        <v>11500</v>
      </c>
      <c r="C1932" s="289">
        <v>12</v>
      </c>
      <c r="D1932" s="290">
        <v>0.31</v>
      </c>
      <c r="E1932" s="291">
        <v>3569</v>
      </c>
      <c r="F1932" s="291">
        <v>15069</v>
      </c>
      <c r="G1932" s="291">
        <v>345</v>
      </c>
      <c r="H1932" s="291">
        <v>1227</v>
      </c>
      <c r="I1932" s="292" t="str">
        <f t="shared" si="29"/>
        <v>GooD</v>
      </c>
    </row>
    <row r="1933" spans="1:9" ht="15.7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75" thickBot="1">
      <c r="A1935" s="288" t="s">
        <v>637</v>
      </c>
      <c r="B1935" s="288">
        <v>12000</v>
      </c>
      <c r="C1935" s="289">
        <v>8</v>
      </c>
      <c r="D1935" s="290">
        <v>0.31</v>
      </c>
      <c r="E1935" s="291">
        <v>2488</v>
      </c>
      <c r="F1935" s="291">
        <v>14488</v>
      </c>
      <c r="G1935" s="291">
        <v>240</v>
      </c>
      <c r="H1935" s="291">
        <v>1781</v>
      </c>
      <c r="I1935" s="292" t="str">
        <f t="shared" si="29"/>
        <v>GooD</v>
      </c>
    </row>
    <row r="1936" spans="1:9" ht="15.7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75" thickBot="1">
      <c r="A1938" s="288" t="s">
        <v>637</v>
      </c>
      <c r="B1938" s="288">
        <v>12500</v>
      </c>
      <c r="C1938" s="289">
        <v>4</v>
      </c>
      <c r="D1938" s="290">
        <v>0.31</v>
      </c>
      <c r="E1938" s="291">
        <v>1293</v>
      </c>
      <c r="F1938" s="291">
        <v>13793</v>
      </c>
      <c r="G1938" s="291">
        <v>125</v>
      </c>
      <c r="H1938" s="291">
        <v>3417</v>
      </c>
      <c r="I1938" s="292" t="str">
        <f t="shared" si="29"/>
        <v>GooD</v>
      </c>
    </row>
    <row r="1939" spans="1:9" ht="15.7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75" thickBot="1">
      <c r="A1941" s="288" t="s">
        <v>637</v>
      </c>
      <c r="B1941" s="288">
        <v>12500</v>
      </c>
      <c r="C1941" s="289">
        <v>10</v>
      </c>
      <c r="D1941" s="290">
        <v>0.31</v>
      </c>
      <c r="E1941" s="291">
        <v>3233</v>
      </c>
      <c r="F1941" s="291">
        <v>15733</v>
      </c>
      <c r="G1941" s="291">
        <v>313</v>
      </c>
      <c r="H1941" s="291">
        <v>1542</v>
      </c>
      <c r="I1941" s="292" t="str">
        <f t="shared" si="29"/>
        <v>GooD</v>
      </c>
    </row>
    <row r="1942" spans="1:9" ht="15.7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75" thickBot="1">
      <c r="A1944" s="288" t="s">
        <v>637</v>
      </c>
      <c r="B1944" s="288">
        <v>13000</v>
      </c>
      <c r="C1944" s="289">
        <v>6</v>
      </c>
      <c r="D1944" s="290">
        <v>0.31</v>
      </c>
      <c r="E1944" s="291">
        <v>2021</v>
      </c>
      <c r="F1944" s="291">
        <v>15021</v>
      </c>
      <c r="G1944" s="291">
        <v>195</v>
      </c>
      <c r="H1944" s="291">
        <v>2471</v>
      </c>
      <c r="I1944" s="292" t="str">
        <f t="shared" si="29"/>
        <v>GooD</v>
      </c>
    </row>
    <row r="1945" spans="1:9" ht="15.7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75" thickBot="1">
      <c r="A1947" s="288" t="s">
        <v>637</v>
      </c>
      <c r="B1947" s="288">
        <v>13000</v>
      </c>
      <c r="C1947" s="289">
        <v>12</v>
      </c>
      <c r="D1947" s="290">
        <v>0.31</v>
      </c>
      <c r="E1947" s="291">
        <v>4034</v>
      </c>
      <c r="F1947" s="291">
        <v>17034</v>
      </c>
      <c r="G1947" s="291">
        <v>390</v>
      </c>
      <c r="H1947" s="291">
        <v>1387</v>
      </c>
      <c r="I1947" s="292" t="str">
        <f t="shared" si="29"/>
        <v>GooD</v>
      </c>
    </row>
    <row r="1948" spans="1:9" ht="15.7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75" thickBot="1">
      <c r="A1950" s="288" t="s">
        <v>637</v>
      </c>
      <c r="B1950" s="288">
        <v>13500</v>
      </c>
      <c r="C1950" s="289">
        <v>8</v>
      </c>
      <c r="D1950" s="290">
        <v>0.31</v>
      </c>
      <c r="E1950" s="291">
        <v>2794</v>
      </c>
      <c r="F1950" s="291">
        <v>16294</v>
      </c>
      <c r="G1950" s="291">
        <v>270</v>
      </c>
      <c r="H1950" s="291">
        <v>2003</v>
      </c>
      <c r="I1950" s="292" t="str">
        <f t="shared" si="29"/>
        <v>GooD</v>
      </c>
    </row>
    <row r="1951" spans="1:9" ht="15.7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75" thickBot="1">
      <c r="A1953" s="288" t="s">
        <v>637</v>
      </c>
      <c r="B1953" s="288">
        <v>14000</v>
      </c>
      <c r="C1953" s="289">
        <v>4</v>
      </c>
      <c r="D1953" s="290">
        <v>0.31</v>
      </c>
      <c r="E1953" s="291">
        <v>1448</v>
      </c>
      <c r="F1953" s="291">
        <v>15448</v>
      </c>
      <c r="G1953" s="291">
        <v>140</v>
      </c>
      <c r="H1953" s="291">
        <v>3827</v>
      </c>
      <c r="I1953" s="292" t="str">
        <f t="shared" si="29"/>
        <v>GooD</v>
      </c>
    </row>
    <row r="1954" spans="1:9" ht="15.7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75" thickBot="1">
      <c r="A1956" s="288" t="s">
        <v>637</v>
      </c>
      <c r="B1956" s="288">
        <v>14000</v>
      </c>
      <c r="C1956" s="289">
        <v>10</v>
      </c>
      <c r="D1956" s="290">
        <v>0.31</v>
      </c>
      <c r="E1956" s="291">
        <v>3620</v>
      </c>
      <c r="F1956" s="291">
        <v>17620</v>
      </c>
      <c r="G1956" s="291">
        <v>350</v>
      </c>
      <c r="H1956" s="291">
        <v>1727</v>
      </c>
      <c r="I1956" s="292" t="str">
        <f t="shared" si="29"/>
        <v>GooD</v>
      </c>
    </row>
    <row r="1957" spans="1:9" ht="15.7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75" thickBot="1">
      <c r="A1959" s="288" t="s">
        <v>637</v>
      </c>
      <c r="B1959" s="288">
        <v>14500</v>
      </c>
      <c r="C1959" s="289">
        <v>6</v>
      </c>
      <c r="D1959" s="290">
        <v>0.31</v>
      </c>
      <c r="E1959" s="291">
        <v>2248</v>
      </c>
      <c r="F1959" s="291">
        <v>16748</v>
      </c>
      <c r="G1959" s="291">
        <v>254</v>
      </c>
      <c r="H1959" s="291">
        <v>2749</v>
      </c>
      <c r="I1959" s="292" t="str">
        <f t="shared" si="29"/>
        <v>GooD</v>
      </c>
    </row>
    <row r="1960" spans="1:9" ht="15.7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75" thickBot="1">
      <c r="A1962" s="288" t="s">
        <v>637</v>
      </c>
      <c r="B1962" s="288">
        <v>14500</v>
      </c>
      <c r="C1962" s="289">
        <v>12</v>
      </c>
      <c r="D1962" s="290">
        <v>0.31</v>
      </c>
      <c r="E1962" s="291">
        <v>4500</v>
      </c>
      <c r="F1962" s="291">
        <v>19000</v>
      </c>
      <c r="G1962" s="291">
        <v>508</v>
      </c>
      <c r="H1962" s="291">
        <v>1541</v>
      </c>
      <c r="I1962" s="292" t="str">
        <f t="shared" si="29"/>
        <v>GooD</v>
      </c>
    </row>
    <row r="1963" spans="1:9" ht="15.7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75" thickBot="1">
      <c r="A1965" s="288" t="s">
        <v>637</v>
      </c>
      <c r="B1965" s="288">
        <v>15000</v>
      </c>
      <c r="C1965" s="289">
        <v>8</v>
      </c>
      <c r="D1965" s="290">
        <v>0.31</v>
      </c>
      <c r="E1965" s="291">
        <v>3102</v>
      </c>
      <c r="F1965" s="291">
        <v>18102</v>
      </c>
      <c r="G1965" s="291">
        <v>350</v>
      </c>
      <c r="H1965" s="291">
        <v>2219</v>
      </c>
      <c r="I1965" s="292" t="str">
        <f t="shared" si="29"/>
        <v>GooD</v>
      </c>
    </row>
    <row r="1966" spans="1:9" ht="15.7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75" thickBot="1">
      <c r="A1968" s="288" t="s">
        <v>637</v>
      </c>
      <c r="B1968" s="288">
        <v>15500</v>
      </c>
      <c r="C1968" s="289">
        <v>4</v>
      </c>
      <c r="D1968" s="290">
        <v>0.31</v>
      </c>
      <c r="E1968" s="291">
        <v>1605</v>
      </c>
      <c r="F1968" s="291">
        <v>17105</v>
      </c>
      <c r="G1968" s="291">
        <v>181</v>
      </c>
      <c r="H1968" s="291">
        <v>4231</v>
      </c>
      <c r="I1968" s="292" t="str">
        <f t="shared" si="29"/>
        <v>GooD</v>
      </c>
    </row>
    <row r="1969" spans="1:9" ht="15.7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75" thickBot="1">
      <c r="A1971" s="288" t="s">
        <v>637</v>
      </c>
      <c r="B1971" s="288">
        <v>15500</v>
      </c>
      <c r="C1971" s="289">
        <v>10</v>
      </c>
      <c r="D1971" s="290">
        <v>0.31</v>
      </c>
      <c r="E1971" s="291">
        <v>4013</v>
      </c>
      <c r="F1971" s="291">
        <v>19513</v>
      </c>
      <c r="G1971" s="291">
        <v>453</v>
      </c>
      <c r="H1971" s="291">
        <v>1906</v>
      </c>
      <c r="I1971" s="292" t="str">
        <f t="shared" si="29"/>
        <v>GooD</v>
      </c>
    </row>
    <row r="1972" spans="1:9" ht="15.7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75" thickBot="1">
      <c r="A1974" s="288" t="s">
        <v>637</v>
      </c>
      <c r="B1974" s="288">
        <v>16000</v>
      </c>
      <c r="C1974" s="289">
        <v>6</v>
      </c>
      <c r="D1974" s="290">
        <v>0.31</v>
      </c>
      <c r="E1974" s="291">
        <v>2484</v>
      </c>
      <c r="F1974" s="291">
        <v>18484</v>
      </c>
      <c r="G1974" s="291">
        <v>280</v>
      </c>
      <c r="H1974" s="291">
        <v>3034</v>
      </c>
      <c r="I1974" s="292" t="str">
        <f t="shared" si="29"/>
        <v>GooD</v>
      </c>
    </row>
    <row r="1975" spans="1:9" ht="15.7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75" thickBot="1">
      <c r="A1977" s="288" t="s">
        <v>637</v>
      </c>
      <c r="B1977" s="288">
        <v>16000</v>
      </c>
      <c r="C1977" s="289">
        <v>12</v>
      </c>
      <c r="D1977" s="290">
        <v>0.31</v>
      </c>
      <c r="E1977" s="291">
        <v>4972</v>
      </c>
      <c r="F1977" s="291">
        <v>20972</v>
      </c>
      <c r="G1977" s="291">
        <v>560</v>
      </c>
      <c r="H1977" s="291">
        <v>1701</v>
      </c>
      <c r="I1977" s="292" t="str">
        <f t="shared" si="29"/>
        <v>GooD</v>
      </c>
    </row>
    <row r="1978" spans="1:9" ht="15.7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75" thickBot="1">
      <c r="A1980" s="288" t="s">
        <v>637</v>
      </c>
      <c r="B1980" s="288">
        <v>16500</v>
      </c>
      <c r="C1980" s="289">
        <v>8</v>
      </c>
      <c r="D1980" s="290">
        <v>0.31</v>
      </c>
      <c r="E1980" s="291">
        <v>3413</v>
      </c>
      <c r="F1980" s="291">
        <v>19913</v>
      </c>
      <c r="G1980" s="291">
        <v>385</v>
      </c>
      <c r="H1980" s="291">
        <v>2441</v>
      </c>
      <c r="I1980" s="292" t="str">
        <f t="shared" si="29"/>
        <v>GooD</v>
      </c>
    </row>
    <row r="1981" spans="1:9" ht="15.7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75" thickBot="1">
      <c r="A1983" s="288" t="s">
        <v>637</v>
      </c>
      <c r="B1983" s="288">
        <v>17000</v>
      </c>
      <c r="C1983" s="289">
        <v>4</v>
      </c>
      <c r="D1983" s="290">
        <v>0.31</v>
      </c>
      <c r="E1983" s="291">
        <v>1759</v>
      </c>
      <c r="F1983" s="291">
        <v>18759</v>
      </c>
      <c r="G1983" s="291">
        <v>199</v>
      </c>
      <c r="H1983" s="291">
        <v>4640</v>
      </c>
      <c r="I1983" s="292" t="str">
        <f t="shared" si="30"/>
        <v>GooD</v>
      </c>
    </row>
    <row r="1984" spans="1:9" ht="15.7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75" thickBot="1">
      <c r="A1986" s="288" t="s">
        <v>637</v>
      </c>
      <c r="B1986" s="288">
        <v>17000</v>
      </c>
      <c r="C1986" s="289">
        <v>10</v>
      </c>
      <c r="D1986" s="290">
        <v>0.31</v>
      </c>
      <c r="E1986" s="291">
        <v>4396</v>
      </c>
      <c r="F1986" s="291">
        <v>21396</v>
      </c>
      <c r="G1986" s="291">
        <v>496</v>
      </c>
      <c r="H1986" s="291">
        <v>2090</v>
      </c>
      <c r="I1986" s="292" t="str">
        <f t="shared" si="30"/>
        <v>GooD</v>
      </c>
    </row>
    <row r="1987" spans="1:9" ht="15.7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75" thickBot="1">
      <c r="A1989" s="288" t="s">
        <v>637</v>
      </c>
      <c r="B1989" s="288">
        <v>17500</v>
      </c>
      <c r="C1989" s="289">
        <v>6</v>
      </c>
      <c r="D1989" s="290">
        <v>0.31</v>
      </c>
      <c r="E1989" s="291">
        <v>2715</v>
      </c>
      <c r="F1989" s="291">
        <v>20215</v>
      </c>
      <c r="G1989" s="291">
        <v>307</v>
      </c>
      <c r="H1989" s="291">
        <v>3318</v>
      </c>
      <c r="I1989" s="292" t="str">
        <f t="shared" si="30"/>
        <v>GooD</v>
      </c>
    </row>
    <row r="1990" spans="1:9" ht="15.7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75" thickBot="1">
      <c r="A1992" s="288" t="s">
        <v>637</v>
      </c>
      <c r="B1992" s="288">
        <v>17500</v>
      </c>
      <c r="C1992" s="289">
        <v>12</v>
      </c>
      <c r="D1992" s="290">
        <v>0.31</v>
      </c>
      <c r="E1992" s="291">
        <v>5433</v>
      </c>
      <c r="F1992" s="291">
        <v>22933</v>
      </c>
      <c r="G1992" s="291">
        <v>613</v>
      </c>
      <c r="H1992" s="291">
        <v>1860</v>
      </c>
      <c r="I1992" s="292" t="str">
        <f t="shared" si="30"/>
        <v>GooD</v>
      </c>
    </row>
    <row r="1993" spans="1:9" ht="15.7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75" thickBot="1">
      <c r="A1995" s="288" t="s">
        <v>637</v>
      </c>
      <c r="B1995" s="288">
        <v>18000</v>
      </c>
      <c r="C1995" s="289">
        <v>8</v>
      </c>
      <c r="D1995" s="290">
        <v>0.31</v>
      </c>
      <c r="E1995" s="291">
        <v>3724</v>
      </c>
      <c r="F1995" s="291">
        <v>21724</v>
      </c>
      <c r="G1995" s="291">
        <v>420</v>
      </c>
      <c r="H1995" s="291">
        <v>2663</v>
      </c>
      <c r="I1995" s="292" t="str">
        <f t="shared" si="30"/>
        <v>GooD</v>
      </c>
    </row>
    <row r="1996" spans="1:9" ht="15.7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75" thickBot="1">
      <c r="A1998" s="288" t="s">
        <v>637</v>
      </c>
      <c r="B1998" s="288">
        <v>18500</v>
      </c>
      <c r="C1998" s="289">
        <v>4</v>
      </c>
      <c r="D1998" s="290">
        <v>0.31</v>
      </c>
      <c r="E1998" s="291">
        <v>1912</v>
      </c>
      <c r="F1998" s="291">
        <v>20412</v>
      </c>
      <c r="G1998" s="291">
        <v>216</v>
      </c>
      <c r="H1998" s="291">
        <v>5049</v>
      </c>
      <c r="I1998" s="292" t="str">
        <f t="shared" si="30"/>
        <v>GooD</v>
      </c>
    </row>
    <row r="1999" spans="1:9" ht="15.7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75" thickBot="1">
      <c r="A2001" s="288" t="s">
        <v>637</v>
      </c>
      <c r="B2001" s="288">
        <v>18500</v>
      </c>
      <c r="C2001" s="289">
        <v>10</v>
      </c>
      <c r="D2001" s="290">
        <v>0.31</v>
      </c>
      <c r="E2001" s="291">
        <v>4780</v>
      </c>
      <c r="F2001" s="291">
        <v>23280</v>
      </c>
      <c r="G2001" s="291">
        <v>540</v>
      </c>
      <c r="H2001" s="291">
        <v>2274</v>
      </c>
      <c r="I2001" s="292" t="str">
        <f t="shared" si="30"/>
        <v>GooD</v>
      </c>
    </row>
    <row r="2002" spans="1:9" ht="15.7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75" thickBot="1">
      <c r="A2004" s="288" t="s">
        <v>637</v>
      </c>
      <c r="B2004" s="288">
        <v>19000</v>
      </c>
      <c r="C2004" s="289">
        <v>6</v>
      </c>
      <c r="D2004" s="290">
        <v>0.31</v>
      </c>
      <c r="E2004" s="291">
        <v>2951</v>
      </c>
      <c r="F2004" s="291">
        <v>21951</v>
      </c>
      <c r="G2004" s="291">
        <v>333</v>
      </c>
      <c r="H2004" s="291">
        <v>3603</v>
      </c>
      <c r="I2004" s="292" t="str">
        <f t="shared" si="30"/>
        <v>GooD</v>
      </c>
    </row>
    <row r="2005" spans="1:9" ht="15.7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75" thickBot="1">
      <c r="A2007" s="288" t="s">
        <v>637</v>
      </c>
      <c r="B2007" s="288">
        <v>19000</v>
      </c>
      <c r="C2007" s="289">
        <v>12</v>
      </c>
      <c r="D2007" s="290">
        <v>0.31</v>
      </c>
      <c r="E2007" s="291">
        <v>5893</v>
      </c>
      <c r="F2007" s="291">
        <v>24893</v>
      </c>
      <c r="G2007" s="291">
        <v>665</v>
      </c>
      <c r="H2007" s="291">
        <v>2019</v>
      </c>
      <c r="I2007" s="292" t="str">
        <f t="shared" si="30"/>
        <v>GooD</v>
      </c>
    </row>
    <row r="2008" spans="1:9" ht="15.7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75" thickBot="1">
      <c r="A2010" s="288" t="s">
        <v>637</v>
      </c>
      <c r="B2010" s="288">
        <v>19500</v>
      </c>
      <c r="C2010" s="289">
        <v>8</v>
      </c>
      <c r="D2010" s="290">
        <v>0.31</v>
      </c>
      <c r="E2010" s="291">
        <v>4035</v>
      </c>
      <c r="F2010" s="291">
        <v>23535</v>
      </c>
      <c r="G2010" s="291">
        <v>455</v>
      </c>
      <c r="H2010" s="291">
        <v>2885</v>
      </c>
      <c r="I2010" s="292" t="str">
        <f t="shared" si="30"/>
        <v>GooD</v>
      </c>
    </row>
    <row r="2011" spans="1:9" ht="15.7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75" thickBot="1">
      <c r="A2013" s="288" t="s">
        <v>637</v>
      </c>
      <c r="B2013" s="288">
        <v>20000</v>
      </c>
      <c r="C2013" s="289">
        <v>4</v>
      </c>
      <c r="D2013" s="290">
        <v>0.31</v>
      </c>
      <c r="E2013" s="291">
        <v>2070</v>
      </c>
      <c r="F2013" s="291">
        <v>22070</v>
      </c>
      <c r="G2013" s="291">
        <v>234</v>
      </c>
      <c r="H2013" s="291">
        <v>5459</v>
      </c>
      <c r="I2013" s="292" t="str">
        <f t="shared" si="30"/>
        <v>GooD</v>
      </c>
    </row>
    <row r="2014" spans="1:9" ht="15.7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75" thickBot="1">
      <c r="A2016" s="288" t="s">
        <v>637</v>
      </c>
      <c r="B2016" s="288">
        <v>20000</v>
      </c>
      <c r="C2016" s="289">
        <v>10</v>
      </c>
      <c r="D2016" s="290">
        <v>0.31</v>
      </c>
      <c r="E2016" s="291">
        <v>5174</v>
      </c>
      <c r="F2016" s="291">
        <v>25174</v>
      </c>
      <c r="G2016" s="291">
        <v>584</v>
      </c>
      <c r="H2016" s="291">
        <v>2459</v>
      </c>
      <c r="I2016" s="292" t="str">
        <f t="shared" si="30"/>
        <v>GooD</v>
      </c>
    </row>
    <row r="2017" spans="1:9" ht="15.7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75" thickBot="1">
      <c r="A2019" s="288" t="s">
        <v>637</v>
      </c>
      <c r="B2019" s="288">
        <v>20000</v>
      </c>
      <c r="C2019" s="289">
        <v>16</v>
      </c>
      <c r="D2019" s="290">
        <v>0.31</v>
      </c>
      <c r="E2019" s="291">
        <v>8278</v>
      </c>
      <c r="F2019" s="291">
        <v>28278</v>
      </c>
      <c r="G2019" s="291">
        <v>934</v>
      </c>
      <c r="H2019" s="291">
        <v>1709</v>
      </c>
      <c r="I2019" s="292" t="str">
        <f t="shared" si="30"/>
        <v>GooD</v>
      </c>
    </row>
    <row r="2020" spans="1:9" ht="15.7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75" thickBot="1">
      <c r="A2022" s="288" t="s">
        <v>637</v>
      </c>
      <c r="B2022" s="288">
        <v>20000</v>
      </c>
      <c r="C2022" s="289">
        <v>22</v>
      </c>
      <c r="D2022" s="290">
        <v>0.31</v>
      </c>
      <c r="E2022" s="291">
        <v>11380</v>
      </c>
      <c r="F2022" s="291">
        <v>31380</v>
      </c>
      <c r="G2022" s="291">
        <v>1284</v>
      </c>
      <c r="H2022" s="291">
        <v>1368</v>
      </c>
      <c r="I2022" s="292" t="str">
        <f t="shared" si="30"/>
        <v>GooD</v>
      </c>
    </row>
    <row r="2023" spans="1:9" ht="15.7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75" thickBot="1">
      <c r="A2025" s="288" t="s">
        <v>637</v>
      </c>
      <c r="B2025" s="288">
        <v>21000</v>
      </c>
      <c r="C2025" s="289">
        <v>6</v>
      </c>
      <c r="D2025" s="290">
        <v>0.31</v>
      </c>
      <c r="E2025" s="291">
        <v>3260</v>
      </c>
      <c r="F2025" s="291">
        <v>24260</v>
      </c>
      <c r="G2025" s="291">
        <v>368</v>
      </c>
      <c r="H2025" s="291">
        <v>3982</v>
      </c>
      <c r="I2025" s="292" t="str">
        <f t="shared" si="30"/>
        <v>GooD</v>
      </c>
    </row>
    <row r="2026" spans="1:9" ht="15.7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75" thickBot="1">
      <c r="A2030" s="288" t="s">
        <v>637</v>
      </c>
      <c r="B2030" s="288">
        <v>21000</v>
      </c>
      <c r="C2030" s="289">
        <v>16</v>
      </c>
      <c r="D2030" s="290">
        <v>0.31</v>
      </c>
      <c r="E2030" s="291">
        <v>8684</v>
      </c>
      <c r="F2030" s="291">
        <v>29684</v>
      </c>
      <c r="G2030" s="291">
        <v>980</v>
      </c>
      <c r="H2030" s="291">
        <v>1794</v>
      </c>
      <c r="I2030" s="292" t="str">
        <f t="shared" si="30"/>
        <v>GooD</v>
      </c>
    </row>
    <row r="2031" spans="1:9" ht="15.7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75" thickBot="1">
      <c r="A2035" s="288" t="s">
        <v>637</v>
      </c>
      <c r="B2035" s="288">
        <v>22000</v>
      </c>
      <c r="C2035" s="289">
        <v>4</v>
      </c>
      <c r="D2035" s="290">
        <v>0.31</v>
      </c>
      <c r="E2035" s="291">
        <v>2277</v>
      </c>
      <c r="F2035" s="291">
        <v>24277</v>
      </c>
      <c r="G2035" s="291">
        <v>257</v>
      </c>
      <c r="H2035" s="291">
        <v>6005</v>
      </c>
      <c r="I2035" s="292" t="str">
        <f t="shared" si="30"/>
        <v>GooD</v>
      </c>
    </row>
    <row r="2036" spans="1:9" ht="15.7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75" thickBot="1">
      <c r="A2040" s="288" t="s">
        <v>637</v>
      </c>
      <c r="B2040" s="288">
        <v>22000</v>
      </c>
      <c r="C2040" s="289">
        <v>14</v>
      </c>
      <c r="D2040" s="290">
        <v>0.31</v>
      </c>
      <c r="E2040" s="291">
        <v>7963</v>
      </c>
      <c r="F2040" s="291">
        <v>29963</v>
      </c>
      <c r="G2040" s="291">
        <v>899</v>
      </c>
      <c r="H2040" s="291">
        <v>2076</v>
      </c>
      <c r="I2040" s="292" t="str">
        <f t="shared" si="30"/>
        <v>GooD</v>
      </c>
    </row>
    <row r="2041" spans="1:9" ht="15.7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7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7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75" thickBot="1">
      <c r="A2050" s="403" t="s">
        <v>637</v>
      </c>
      <c r="B2050" s="403">
        <v>23000</v>
      </c>
      <c r="C2050" s="404">
        <v>12</v>
      </c>
      <c r="D2050" s="405">
        <v>0.31</v>
      </c>
      <c r="E2050" s="406">
        <v>7133</v>
      </c>
      <c r="F2050" s="406">
        <v>30133</v>
      </c>
      <c r="G2050" s="406">
        <v>805</v>
      </c>
      <c r="H2050" s="406">
        <v>2444</v>
      </c>
      <c r="I2050" s="407" t="str">
        <f t="shared" si="31"/>
        <v>GooD</v>
      </c>
    </row>
    <row r="2051" spans="1:9" ht="15.7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75" thickBot="1">
      <c r="A2055" s="288" t="s">
        <v>637</v>
      </c>
      <c r="B2055" s="288">
        <v>23000</v>
      </c>
      <c r="C2055" s="289">
        <v>22</v>
      </c>
      <c r="D2055" s="290">
        <v>0.31</v>
      </c>
      <c r="E2055" s="291">
        <v>13082</v>
      </c>
      <c r="F2055" s="291">
        <v>36082</v>
      </c>
      <c r="G2055" s="291">
        <v>1476</v>
      </c>
      <c r="H2055" s="291">
        <v>1573</v>
      </c>
      <c r="I2055" s="292" t="str">
        <f t="shared" si="31"/>
        <v>GooD</v>
      </c>
    </row>
    <row r="2056" spans="1:9" ht="15.7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75" thickBot="1">
      <c r="A2060" s="288" t="s">
        <v>637</v>
      </c>
      <c r="B2060" s="288">
        <v>24000</v>
      </c>
      <c r="C2060" s="289">
        <v>10</v>
      </c>
      <c r="D2060" s="290">
        <v>0.31</v>
      </c>
      <c r="E2060" s="291">
        <v>6210</v>
      </c>
      <c r="F2060" s="291">
        <v>30210</v>
      </c>
      <c r="G2060" s="291">
        <v>700</v>
      </c>
      <c r="H2060" s="291">
        <v>2951</v>
      </c>
      <c r="I2060" s="292" t="str">
        <f t="shared" si="31"/>
        <v>GooD</v>
      </c>
    </row>
    <row r="2061" spans="1:9" ht="15.7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75" thickBot="1">
      <c r="A2065" s="288" t="s">
        <v>637</v>
      </c>
      <c r="B2065" s="288">
        <v>24000</v>
      </c>
      <c r="C2065" s="289">
        <v>20</v>
      </c>
      <c r="D2065" s="290">
        <v>0.31</v>
      </c>
      <c r="E2065" s="291">
        <v>12420</v>
      </c>
      <c r="F2065" s="291">
        <v>36420</v>
      </c>
      <c r="G2065" s="291">
        <v>1400</v>
      </c>
      <c r="H2065" s="291">
        <v>1751</v>
      </c>
      <c r="I2065" s="292" t="str">
        <f t="shared" si="31"/>
        <v>GooD</v>
      </c>
    </row>
    <row r="2066" spans="1:9" ht="15.7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75" thickBot="1">
      <c r="A2070" s="288" t="s">
        <v>637</v>
      </c>
      <c r="B2070" s="288">
        <v>25000</v>
      </c>
      <c r="C2070" s="289">
        <v>8</v>
      </c>
      <c r="D2070" s="290">
        <v>0.31</v>
      </c>
      <c r="E2070" s="291">
        <v>5168</v>
      </c>
      <c r="F2070" s="291">
        <v>30168</v>
      </c>
      <c r="G2070" s="291">
        <v>584</v>
      </c>
      <c r="H2070" s="291">
        <v>3698</v>
      </c>
      <c r="I2070" s="292" t="str">
        <f t="shared" si="31"/>
        <v>GooD</v>
      </c>
    </row>
    <row r="2071" spans="1:9" ht="15.7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75" thickBot="1">
      <c r="A2075" s="288" t="s">
        <v>637</v>
      </c>
      <c r="B2075" s="288">
        <v>25000</v>
      </c>
      <c r="C2075" s="289">
        <v>18</v>
      </c>
      <c r="D2075" s="290">
        <v>0.31</v>
      </c>
      <c r="E2075" s="291">
        <v>11629</v>
      </c>
      <c r="F2075" s="291">
        <v>36629</v>
      </c>
      <c r="G2075" s="291">
        <v>1313</v>
      </c>
      <c r="H2075" s="291">
        <v>1962</v>
      </c>
      <c r="I2075" s="292" t="str">
        <f t="shared" si="31"/>
        <v>GooD</v>
      </c>
    </row>
    <row r="2076" spans="1:9" ht="15.7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75" thickBot="1">
      <c r="A2080" s="288" t="s">
        <v>637</v>
      </c>
      <c r="B2080" s="288">
        <v>26000</v>
      </c>
      <c r="C2080" s="289">
        <v>6</v>
      </c>
      <c r="D2080" s="290">
        <v>0.31</v>
      </c>
      <c r="E2080" s="291">
        <v>4035</v>
      </c>
      <c r="F2080" s="291">
        <v>30035</v>
      </c>
      <c r="G2080" s="291">
        <v>455</v>
      </c>
      <c r="H2080" s="291">
        <v>4930</v>
      </c>
      <c r="I2080" s="292" t="str">
        <f t="shared" si="31"/>
        <v>GooD</v>
      </c>
    </row>
    <row r="2081" spans="1:9" ht="15.7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75" thickBot="1">
      <c r="A2085" s="288" t="s">
        <v>637</v>
      </c>
      <c r="B2085" s="288">
        <v>26000</v>
      </c>
      <c r="C2085" s="289">
        <v>16</v>
      </c>
      <c r="D2085" s="290">
        <v>0.31</v>
      </c>
      <c r="E2085" s="291">
        <v>10750</v>
      </c>
      <c r="F2085" s="291">
        <v>36750</v>
      </c>
      <c r="G2085" s="291">
        <v>1214</v>
      </c>
      <c r="H2085" s="291">
        <v>2221</v>
      </c>
      <c r="I2085" s="292" t="str">
        <f t="shared" si="31"/>
        <v>GooD</v>
      </c>
    </row>
    <row r="2086" spans="1:9" ht="15.7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75" thickBot="1">
      <c r="A2090" s="288" t="s">
        <v>637</v>
      </c>
      <c r="B2090" s="288">
        <v>27000</v>
      </c>
      <c r="C2090" s="289">
        <v>4</v>
      </c>
      <c r="D2090" s="290">
        <v>0.31</v>
      </c>
      <c r="E2090" s="291">
        <v>2791</v>
      </c>
      <c r="F2090" s="291">
        <v>29791</v>
      </c>
      <c r="G2090" s="291">
        <v>315</v>
      </c>
      <c r="H2090" s="291">
        <v>7369</v>
      </c>
      <c r="I2090" s="292" t="str">
        <f t="shared" si="31"/>
        <v>GooD</v>
      </c>
    </row>
    <row r="2091" spans="1:9" ht="15.7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75" thickBot="1">
      <c r="A2095" s="288" t="s">
        <v>637</v>
      </c>
      <c r="B2095" s="288">
        <v>27000</v>
      </c>
      <c r="C2095" s="289">
        <v>14</v>
      </c>
      <c r="D2095" s="290">
        <v>0.31</v>
      </c>
      <c r="E2095" s="291">
        <v>9775</v>
      </c>
      <c r="F2095" s="291">
        <v>36775</v>
      </c>
      <c r="G2095" s="291">
        <v>1103</v>
      </c>
      <c r="H2095" s="291">
        <v>2548</v>
      </c>
      <c r="I2095" s="292" t="str">
        <f t="shared" si="31"/>
        <v>GooD</v>
      </c>
    </row>
    <row r="2096" spans="1:9" ht="15.7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75" thickBot="1">
      <c r="A2100" s="288" t="s">
        <v>637</v>
      </c>
      <c r="B2100" s="288">
        <v>27000</v>
      </c>
      <c r="C2100" s="289">
        <v>24</v>
      </c>
      <c r="D2100" s="290">
        <v>0.31</v>
      </c>
      <c r="E2100" s="291">
        <v>16746</v>
      </c>
      <c r="F2100" s="291">
        <v>43746</v>
      </c>
      <c r="G2100" s="291">
        <v>1890</v>
      </c>
      <c r="H2100" s="291">
        <v>1744</v>
      </c>
      <c r="I2100" s="292" t="str">
        <f t="shared" si="31"/>
        <v>GooD</v>
      </c>
    </row>
    <row r="2101" spans="1:9" ht="15.7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75" thickBot="1">
      <c r="A2105" s="288" t="s">
        <v>637</v>
      </c>
      <c r="B2105" s="288">
        <v>28000</v>
      </c>
      <c r="C2105" s="289">
        <v>12</v>
      </c>
      <c r="D2105" s="290">
        <v>0.31</v>
      </c>
      <c r="E2105" s="291">
        <v>8692</v>
      </c>
      <c r="F2105" s="291">
        <v>36692</v>
      </c>
      <c r="G2105" s="291">
        <v>980</v>
      </c>
      <c r="H2105" s="291">
        <v>2976</v>
      </c>
      <c r="I2105" s="292" t="str">
        <f t="shared" si="31"/>
        <v>GooD</v>
      </c>
    </row>
    <row r="2106" spans="1:9" ht="15.7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75" thickBot="1">
      <c r="A2110" s="288" t="s">
        <v>637</v>
      </c>
      <c r="B2110" s="288">
        <v>28000</v>
      </c>
      <c r="C2110" s="289">
        <v>22</v>
      </c>
      <c r="D2110" s="290">
        <v>0.31</v>
      </c>
      <c r="E2110" s="291">
        <v>15927</v>
      </c>
      <c r="F2110" s="291">
        <v>43927</v>
      </c>
      <c r="G2110" s="291">
        <v>1797</v>
      </c>
      <c r="H2110" s="291">
        <v>1915</v>
      </c>
      <c r="I2110" s="292" t="str">
        <f t="shared" si="32"/>
        <v>GooD</v>
      </c>
    </row>
    <row r="2111" spans="1:9" ht="15.7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75" thickBot="1">
      <c r="A2115" s="288" t="s">
        <v>637</v>
      </c>
      <c r="B2115" s="288">
        <v>29000</v>
      </c>
      <c r="C2115" s="289">
        <v>10</v>
      </c>
      <c r="D2115" s="290">
        <v>0.31</v>
      </c>
      <c r="E2115" s="291">
        <v>7496</v>
      </c>
      <c r="F2115" s="291">
        <v>36496</v>
      </c>
      <c r="G2115" s="291">
        <v>846</v>
      </c>
      <c r="H2115" s="291">
        <v>3565</v>
      </c>
      <c r="I2115" s="292" t="str">
        <f t="shared" si="32"/>
        <v>GooD</v>
      </c>
    </row>
    <row r="2116" spans="1:9" ht="15.7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75" thickBot="1">
      <c r="A2120" s="288" t="s">
        <v>637</v>
      </c>
      <c r="B2120" s="288">
        <v>29000</v>
      </c>
      <c r="C2120" s="289">
        <v>20</v>
      </c>
      <c r="D2120" s="290">
        <v>0.31</v>
      </c>
      <c r="E2120" s="291">
        <v>14992</v>
      </c>
      <c r="F2120" s="291">
        <v>43992</v>
      </c>
      <c r="G2120" s="291">
        <v>1692</v>
      </c>
      <c r="H2120" s="291">
        <v>2115</v>
      </c>
      <c r="I2120" s="292" t="str">
        <f t="shared" si="32"/>
        <v>GooD</v>
      </c>
    </row>
    <row r="2121" spans="1:9" ht="15.7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75" thickBot="1">
      <c r="A2125" s="288" t="s">
        <v>637</v>
      </c>
      <c r="B2125" s="288">
        <v>30000</v>
      </c>
      <c r="C2125" s="289">
        <v>8</v>
      </c>
      <c r="D2125" s="290">
        <v>0.31</v>
      </c>
      <c r="E2125" s="291">
        <v>6204</v>
      </c>
      <c r="F2125" s="291">
        <v>36204</v>
      </c>
      <c r="G2125" s="291">
        <v>700</v>
      </c>
      <c r="H2125" s="291">
        <v>4438</v>
      </c>
      <c r="I2125" s="292" t="str">
        <f t="shared" si="32"/>
        <v>GooD</v>
      </c>
    </row>
    <row r="2126" spans="1:9" ht="15.7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75" thickBot="1">
      <c r="A2130" s="288" t="s">
        <v>637</v>
      </c>
      <c r="B2130" s="288">
        <v>30000</v>
      </c>
      <c r="C2130" s="289">
        <v>18</v>
      </c>
      <c r="D2130" s="290">
        <v>0.31</v>
      </c>
      <c r="E2130" s="291">
        <v>13965</v>
      </c>
      <c r="F2130" s="291">
        <v>43965</v>
      </c>
      <c r="G2130" s="291">
        <v>1575</v>
      </c>
      <c r="H2130" s="291">
        <v>2355</v>
      </c>
      <c r="I2130" s="292" t="str">
        <f t="shared" si="32"/>
        <v>GooD</v>
      </c>
    </row>
    <row r="2131" spans="1:9" ht="15.7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75" thickBot="1">
      <c r="A2135" s="288" t="s">
        <v>637</v>
      </c>
      <c r="B2135" s="288">
        <v>31000</v>
      </c>
      <c r="C2135" s="289">
        <v>6</v>
      </c>
      <c r="D2135" s="290">
        <v>0.31</v>
      </c>
      <c r="E2135" s="291">
        <v>4811</v>
      </c>
      <c r="F2135" s="291">
        <v>35811</v>
      </c>
      <c r="G2135" s="291">
        <v>543</v>
      </c>
      <c r="H2135" s="291">
        <v>5878</v>
      </c>
      <c r="I2135" s="292" t="str">
        <f t="shared" si="32"/>
        <v>GooD</v>
      </c>
    </row>
    <row r="2136" spans="1:9" ht="15.7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75" thickBot="1">
      <c r="A2140" s="288" t="s">
        <v>637</v>
      </c>
      <c r="B2140" s="288">
        <v>31000</v>
      </c>
      <c r="C2140" s="289">
        <v>16</v>
      </c>
      <c r="D2140" s="290">
        <v>0.31</v>
      </c>
      <c r="E2140" s="291">
        <v>12815</v>
      </c>
      <c r="F2140" s="291">
        <v>43815</v>
      </c>
      <c r="G2140" s="291">
        <v>1447</v>
      </c>
      <c r="H2140" s="291">
        <v>2648</v>
      </c>
      <c r="I2140" s="292" t="str">
        <f t="shared" si="32"/>
        <v>GooD</v>
      </c>
    </row>
    <row r="2141" spans="1:9" ht="15.7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75" thickBot="1">
      <c r="A2145" s="288" t="s">
        <v>637</v>
      </c>
      <c r="B2145" s="288">
        <v>32000</v>
      </c>
      <c r="C2145" s="289">
        <v>4</v>
      </c>
      <c r="D2145" s="290">
        <v>0.31</v>
      </c>
      <c r="E2145" s="291">
        <v>3310</v>
      </c>
      <c r="F2145" s="291">
        <v>35310</v>
      </c>
      <c r="G2145" s="291">
        <v>374</v>
      </c>
      <c r="H2145" s="291">
        <v>8734</v>
      </c>
      <c r="I2145" s="292" t="str">
        <f t="shared" si="32"/>
        <v>GooD</v>
      </c>
    </row>
    <row r="2146" spans="1:9" ht="15.7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75" thickBot="1">
      <c r="A2152" s="288" t="s">
        <v>637</v>
      </c>
      <c r="B2152" s="288">
        <v>32000</v>
      </c>
      <c r="C2152" s="289">
        <v>18</v>
      </c>
      <c r="D2152" s="290">
        <v>0.31</v>
      </c>
      <c r="E2152" s="291">
        <v>14896</v>
      </c>
      <c r="F2152" s="291">
        <v>46896</v>
      </c>
      <c r="G2152" s="291">
        <v>1680</v>
      </c>
      <c r="H2152" s="291">
        <v>2512</v>
      </c>
      <c r="I2152" s="292" t="str">
        <f t="shared" si="32"/>
        <v>GooD</v>
      </c>
    </row>
    <row r="2153" spans="1:9" ht="15.7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75" thickBot="1">
      <c r="A2155" s="288" t="s">
        <v>637</v>
      </c>
      <c r="B2155" s="288">
        <v>32000</v>
      </c>
      <c r="C2155" s="289">
        <v>24</v>
      </c>
      <c r="D2155" s="290">
        <v>0.31</v>
      </c>
      <c r="E2155" s="291">
        <v>19848</v>
      </c>
      <c r="F2155" s="291">
        <v>51848</v>
      </c>
      <c r="G2155" s="291">
        <v>2240</v>
      </c>
      <c r="H2155" s="291">
        <v>2067</v>
      </c>
      <c r="I2155" s="292" t="str">
        <f t="shared" si="32"/>
        <v>GooD</v>
      </c>
    </row>
    <row r="2156" spans="1:9" ht="15.7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75" thickBot="1">
      <c r="A2158" s="288" t="s">
        <v>637</v>
      </c>
      <c r="B2158" s="288">
        <v>33000</v>
      </c>
      <c r="C2158" s="289">
        <v>8</v>
      </c>
      <c r="D2158" s="290">
        <v>0.31</v>
      </c>
      <c r="E2158" s="291">
        <v>6826</v>
      </c>
      <c r="F2158" s="291">
        <v>39826</v>
      </c>
      <c r="G2158" s="291">
        <v>770</v>
      </c>
      <c r="H2158" s="291">
        <v>4882</v>
      </c>
      <c r="I2158" s="292" t="str">
        <f t="shared" si="32"/>
        <v>GooD</v>
      </c>
    </row>
    <row r="2159" spans="1:9" ht="15.7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75" thickBot="1">
      <c r="A2161" s="288" t="s">
        <v>637</v>
      </c>
      <c r="B2161" s="288">
        <v>33000</v>
      </c>
      <c r="C2161" s="289">
        <v>14</v>
      </c>
      <c r="D2161" s="290">
        <v>0.31</v>
      </c>
      <c r="E2161" s="291">
        <v>11944</v>
      </c>
      <c r="F2161" s="291">
        <v>44944</v>
      </c>
      <c r="G2161" s="291">
        <v>1348</v>
      </c>
      <c r="H2161" s="291">
        <v>3114</v>
      </c>
      <c r="I2161" s="292" t="str">
        <f t="shared" si="32"/>
        <v>GooD</v>
      </c>
    </row>
    <row r="2162" spans="1:9" ht="15.7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75" thickBot="1">
      <c r="A2164" s="288" t="s">
        <v>637</v>
      </c>
      <c r="B2164" s="288">
        <v>33000</v>
      </c>
      <c r="C2164" s="289">
        <v>20</v>
      </c>
      <c r="D2164" s="290">
        <v>0.31</v>
      </c>
      <c r="E2164" s="291">
        <v>17065</v>
      </c>
      <c r="F2164" s="291">
        <v>50065</v>
      </c>
      <c r="G2164" s="291">
        <v>1925</v>
      </c>
      <c r="H2164" s="291">
        <v>2407</v>
      </c>
      <c r="I2164" s="292" t="str">
        <f t="shared" si="32"/>
        <v>GooD</v>
      </c>
    </row>
    <row r="2165" spans="1:9" ht="15.7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75" thickBot="1">
      <c r="A2167" s="288" t="s">
        <v>637</v>
      </c>
      <c r="B2167" s="288">
        <v>34000</v>
      </c>
      <c r="C2167" s="289">
        <v>4</v>
      </c>
      <c r="D2167" s="290">
        <v>0.31</v>
      </c>
      <c r="E2167" s="291">
        <v>3517</v>
      </c>
      <c r="F2167" s="291">
        <v>37517</v>
      </c>
      <c r="G2167" s="291">
        <v>397</v>
      </c>
      <c r="H2167" s="291">
        <v>9280</v>
      </c>
      <c r="I2167" s="292" t="str">
        <f t="shared" si="32"/>
        <v>GooD</v>
      </c>
    </row>
    <row r="2168" spans="1:9" ht="15.7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75" thickBot="1">
      <c r="A2170" s="288" t="s">
        <v>637</v>
      </c>
      <c r="B2170" s="288">
        <v>34000</v>
      </c>
      <c r="C2170" s="289">
        <v>10</v>
      </c>
      <c r="D2170" s="290">
        <v>0.31</v>
      </c>
      <c r="E2170" s="291">
        <v>8792</v>
      </c>
      <c r="F2170" s="291">
        <v>42792</v>
      </c>
      <c r="G2170" s="291">
        <v>992</v>
      </c>
      <c r="H2170" s="291">
        <v>4180</v>
      </c>
      <c r="I2170" s="292" t="str">
        <f t="shared" si="32"/>
        <v>GooD</v>
      </c>
    </row>
    <row r="2171" spans="1:9" ht="15.7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75" thickBot="1">
      <c r="A2173" s="288" t="s">
        <v>637</v>
      </c>
      <c r="B2173" s="288">
        <v>34000</v>
      </c>
      <c r="C2173" s="289">
        <v>16</v>
      </c>
      <c r="D2173" s="290">
        <v>0.31</v>
      </c>
      <c r="E2173" s="291">
        <v>14067</v>
      </c>
      <c r="F2173" s="291">
        <v>48067</v>
      </c>
      <c r="G2173" s="291">
        <v>1587</v>
      </c>
      <c r="H2173" s="291">
        <v>2905</v>
      </c>
      <c r="I2173" s="292" t="str">
        <f t="shared" si="32"/>
        <v>GooD</v>
      </c>
    </row>
    <row r="2174" spans="1:9" ht="15.7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75" thickBot="1">
      <c r="A2176" s="288" t="s">
        <v>637</v>
      </c>
      <c r="B2176" s="288">
        <v>34000</v>
      </c>
      <c r="C2176" s="289">
        <v>22</v>
      </c>
      <c r="D2176" s="290">
        <v>0.31</v>
      </c>
      <c r="E2176" s="291">
        <v>19332</v>
      </c>
      <c r="F2176" s="291">
        <v>53332</v>
      </c>
      <c r="G2176" s="291">
        <v>2182</v>
      </c>
      <c r="H2176" s="291">
        <v>2325</v>
      </c>
      <c r="I2176" s="292" t="str">
        <f t="shared" si="32"/>
        <v>GooD</v>
      </c>
    </row>
    <row r="2177" spans="1:9" ht="15.7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75" thickBot="1">
      <c r="A2179" s="288" t="s">
        <v>637</v>
      </c>
      <c r="B2179" s="288">
        <v>35000</v>
      </c>
      <c r="C2179" s="289">
        <v>6</v>
      </c>
      <c r="D2179" s="290">
        <v>0.31</v>
      </c>
      <c r="E2179" s="291">
        <v>5429</v>
      </c>
      <c r="F2179" s="291">
        <v>40429</v>
      </c>
      <c r="G2179" s="291">
        <v>613</v>
      </c>
      <c r="H2179" s="291">
        <v>6636</v>
      </c>
      <c r="I2179" s="292" t="str">
        <f t="shared" si="32"/>
        <v>GooD</v>
      </c>
    </row>
    <row r="2180" spans="1:9" ht="15.7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75" thickBot="1">
      <c r="A2182" s="288" t="s">
        <v>637</v>
      </c>
      <c r="B2182" s="288">
        <v>35000</v>
      </c>
      <c r="C2182" s="289">
        <v>12</v>
      </c>
      <c r="D2182" s="290">
        <v>0.31</v>
      </c>
      <c r="E2182" s="291">
        <v>10853</v>
      </c>
      <c r="F2182" s="291">
        <v>45853</v>
      </c>
      <c r="G2182" s="291">
        <v>1225</v>
      </c>
      <c r="H2182" s="291">
        <v>3719</v>
      </c>
      <c r="I2182" s="292" t="str">
        <f t="shared" si="32"/>
        <v>GooD</v>
      </c>
    </row>
    <row r="2183" spans="1:9" ht="15.7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75" thickBot="1">
      <c r="A2185" s="288" t="s">
        <v>637</v>
      </c>
      <c r="B2185" s="288">
        <v>35000</v>
      </c>
      <c r="C2185" s="289">
        <v>18</v>
      </c>
      <c r="D2185" s="290">
        <v>0.31</v>
      </c>
      <c r="E2185" s="291">
        <v>16284</v>
      </c>
      <c r="F2185" s="291">
        <v>51284</v>
      </c>
      <c r="G2185" s="291">
        <v>1838</v>
      </c>
      <c r="H2185" s="291">
        <v>2747</v>
      </c>
      <c r="I2185" s="292" t="str">
        <f t="shared" si="32"/>
        <v>GooD</v>
      </c>
    </row>
    <row r="2186" spans="1:9" ht="15.7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75" thickBot="1">
      <c r="A2188" s="288" t="s">
        <v>637</v>
      </c>
      <c r="B2188" s="288">
        <v>35000</v>
      </c>
      <c r="C2188" s="289">
        <v>24</v>
      </c>
      <c r="D2188" s="290">
        <v>0.31</v>
      </c>
      <c r="E2188" s="291">
        <v>21714</v>
      </c>
      <c r="F2188" s="291">
        <v>56714</v>
      </c>
      <c r="G2188" s="291">
        <v>2450</v>
      </c>
      <c r="H2188" s="291">
        <v>2261</v>
      </c>
      <c r="I2188" s="292" t="str">
        <f t="shared" si="32"/>
        <v>GooD</v>
      </c>
    </row>
    <row r="2189" spans="1:9" ht="15.7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75" thickBot="1">
      <c r="A2191" s="288" t="s">
        <v>637</v>
      </c>
      <c r="B2191" s="288">
        <v>36000</v>
      </c>
      <c r="C2191" s="289">
        <v>8</v>
      </c>
      <c r="D2191" s="290">
        <v>0.31</v>
      </c>
      <c r="E2191" s="291">
        <v>7448</v>
      </c>
      <c r="F2191" s="291">
        <v>43448</v>
      </c>
      <c r="G2191" s="291">
        <v>840</v>
      </c>
      <c r="H2191" s="291">
        <v>5326</v>
      </c>
      <c r="I2191" s="292" t="str">
        <f t="shared" si="32"/>
        <v>GooD</v>
      </c>
    </row>
    <row r="2192" spans="1:9" ht="15.7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75" thickBot="1">
      <c r="A2194" s="288" t="s">
        <v>637</v>
      </c>
      <c r="B2194" s="288">
        <v>36000</v>
      </c>
      <c r="C2194" s="289">
        <v>14</v>
      </c>
      <c r="D2194" s="290">
        <v>0.31</v>
      </c>
      <c r="E2194" s="291">
        <v>13028</v>
      </c>
      <c r="F2194" s="291">
        <v>49028</v>
      </c>
      <c r="G2194" s="291">
        <v>1470</v>
      </c>
      <c r="H2194" s="291">
        <v>3397</v>
      </c>
      <c r="I2194" s="292" t="str">
        <f t="shared" si="32"/>
        <v>GooD</v>
      </c>
    </row>
    <row r="2195" spans="1:9" ht="15.7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75" thickBot="1">
      <c r="A2197" s="288" t="s">
        <v>637</v>
      </c>
      <c r="B2197" s="288">
        <v>36000</v>
      </c>
      <c r="C2197" s="289">
        <v>20</v>
      </c>
      <c r="D2197" s="290">
        <v>0.31</v>
      </c>
      <c r="E2197" s="291">
        <v>18620</v>
      </c>
      <c r="F2197" s="291">
        <v>54620</v>
      </c>
      <c r="G2197" s="291">
        <v>2100</v>
      </c>
      <c r="H2197" s="291">
        <v>2626</v>
      </c>
      <c r="I2197" s="292" t="str">
        <f t="shared" si="32"/>
        <v>GooD</v>
      </c>
    </row>
    <row r="2198" spans="1:9" ht="15.7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75" thickBot="1">
      <c r="A2200" s="288" t="s">
        <v>637</v>
      </c>
      <c r="B2200" s="288">
        <v>37000</v>
      </c>
      <c r="C2200" s="289">
        <v>4</v>
      </c>
      <c r="D2200" s="290">
        <v>0.31</v>
      </c>
      <c r="E2200" s="291">
        <v>3824</v>
      </c>
      <c r="F2200" s="291">
        <v>40824</v>
      </c>
      <c r="G2200" s="291">
        <v>432</v>
      </c>
      <c r="H2200" s="291">
        <v>10098</v>
      </c>
      <c r="I2200" s="292" t="str">
        <f t="shared" si="32"/>
        <v>GooD</v>
      </c>
    </row>
    <row r="2201" spans="1:9" ht="15.7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75" thickBot="1">
      <c r="A2203" s="288" t="s">
        <v>637</v>
      </c>
      <c r="B2203" s="288">
        <v>37000</v>
      </c>
      <c r="C2203" s="289">
        <v>10</v>
      </c>
      <c r="D2203" s="290">
        <v>0.31</v>
      </c>
      <c r="E2203" s="291">
        <v>9560</v>
      </c>
      <c r="F2203" s="291">
        <v>46560</v>
      </c>
      <c r="G2203" s="291">
        <v>1080</v>
      </c>
      <c r="H2203" s="291">
        <v>4548</v>
      </c>
      <c r="I2203" s="292" t="str">
        <f t="shared" si="32"/>
        <v>GooD</v>
      </c>
    </row>
    <row r="2204" spans="1:9" ht="15.7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75" thickBot="1">
      <c r="A2206" s="288" t="s">
        <v>637</v>
      </c>
      <c r="B2206" s="288">
        <v>37000</v>
      </c>
      <c r="C2206" s="289">
        <v>16</v>
      </c>
      <c r="D2206" s="290">
        <v>0.31</v>
      </c>
      <c r="E2206" s="291">
        <v>15303</v>
      </c>
      <c r="F2206" s="291">
        <v>52303</v>
      </c>
      <c r="G2206" s="291">
        <v>1727</v>
      </c>
      <c r="H2206" s="291">
        <v>3161</v>
      </c>
      <c r="I2206" s="292" t="str">
        <f t="shared" si="32"/>
        <v>GooD</v>
      </c>
    </row>
    <row r="2207" spans="1:9" ht="15.7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75" thickBot="1">
      <c r="A2209" s="288" t="s">
        <v>637</v>
      </c>
      <c r="B2209" s="288">
        <v>37000</v>
      </c>
      <c r="C2209" s="289">
        <v>22</v>
      </c>
      <c r="D2209" s="290">
        <v>0.31</v>
      </c>
      <c r="E2209" s="291">
        <v>21035</v>
      </c>
      <c r="F2209" s="291">
        <v>58035</v>
      </c>
      <c r="G2209" s="291">
        <v>2375</v>
      </c>
      <c r="H2209" s="291">
        <v>2530</v>
      </c>
      <c r="I2209" s="292" t="str">
        <f t="shared" si="32"/>
        <v>GooD</v>
      </c>
    </row>
    <row r="2210" spans="1:9" ht="15.7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75" thickBot="1">
      <c r="A2212" s="288" t="s">
        <v>637</v>
      </c>
      <c r="B2212" s="288">
        <v>38000</v>
      </c>
      <c r="C2212" s="289">
        <v>6</v>
      </c>
      <c r="D2212" s="290">
        <v>0.31</v>
      </c>
      <c r="E2212" s="291">
        <v>5895</v>
      </c>
      <c r="F2212" s="291">
        <v>43895</v>
      </c>
      <c r="G2212" s="291">
        <v>665</v>
      </c>
      <c r="H2212" s="291">
        <v>7205</v>
      </c>
      <c r="I2212" s="292" t="str">
        <f t="shared" si="32"/>
        <v>GooD</v>
      </c>
    </row>
    <row r="2213" spans="1:9" ht="15.7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75" thickBot="1">
      <c r="A2215" s="288" t="s">
        <v>637</v>
      </c>
      <c r="B2215" s="288">
        <v>38000</v>
      </c>
      <c r="C2215" s="289">
        <v>12</v>
      </c>
      <c r="D2215" s="290">
        <v>0.31</v>
      </c>
      <c r="E2215" s="291">
        <v>11786</v>
      </c>
      <c r="F2215" s="291">
        <v>49786</v>
      </c>
      <c r="G2215" s="291">
        <v>1330</v>
      </c>
      <c r="H2215" s="291">
        <v>4038</v>
      </c>
      <c r="I2215" s="292" t="str">
        <f t="shared" si="33"/>
        <v>GooD</v>
      </c>
    </row>
    <row r="2216" spans="1:9" ht="15.7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75" thickBot="1">
      <c r="A2218" s="288" t="s">
        <v>637</v>
      </c>
      <c r="B2218" s="288">
        <v>38000</v>
      </c>
      <c r="C2218" s="289">
        <v>18</v>
      </c>
      <c r="D2218" s="290">
        <v>0.31</v>
      </c>
      <c r="E2218" s="291">
        <v>17671</v>
      </c>
      <c r="F2218" s="291">
        <v>55671</v>
      </c>
      <c r="G2218" s="291">
        <v>1995</v>
      </c>
      <c r="H2218" s="291">
        <v>2982</v>
      </c>
      <c r="I2218" s="292" t="str">
        <f t="shared" si="33"/>
        <v>GooD</v>
      </c>
    </row>
    <row r="2219" spans="1:9" ht="15.7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75" thickBot="1">
      <c r="A2221" s="288" t="s">
        <v>637</v>
      </c>
      <c r="B2221" s="288">
        <v>38000</v>
      </c>
      <c r="C2221" s="289">
        <v>24</v>
      </c>
      <c r="D2221" s="290">
        <v>0.31</v>
      </c>
      <c r="E2221" s="291">
        <v>23580</v>
      </c>
      <c r="F2221" s="291">
        <v>61580</v>
      </c>
      <c r="G2221" s="291">
        <v>2660</v>
      </c>
      <c r="H2221" s="291">
        <v>2455</v>
      </c>
      <c r="I2221" s="292" t="str">
        <f t="shared" si="33"/>
        <v>GooD</v>
      </c>
    </row>
    <row r="2222" spans="1:9" ht="15.7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75" thickBot="1">
      <c r="A2224" s="288" t="s">
        <v>637</v>
      </c>
      <c r="B2224" s="288">
        <v>39000</v>
      </c>
      <c r="C2224" s="289">
        <v>8</v>
      </c>
      <c r="D2224" s="290">
        <v>0.31</v>
      </c>
      <c r="E2224" s="291">
        <v>8062</v>
      </c>
      <c r="F2224" s="291">
        <v>47062</v>
      </c>
      <c r="G2224" s="291">
        <v>910</v>
      </c>
      <c r="H2224" s="291">
        <v>5769</v>
      </c>
      <c r="I2224" s="292" t="str">
        <f t="shared" si="33"/>
        <v>GooD</v>
      </c>
    </row>
    <row r="2225" spans="1:9" ht="15.7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75" thickBot="1">
      <c r="A2227" s="288" t="s">
        <v>637</v>
      </c>
      <c r="B2227" s="288">
        <v>39000</v>
      </c>
      <c r="C2227" s="289">
        <v>14</v>
      </c>
      <c r="D2227" s="290">
        <v>0.31</v>
      </c>
      <c r="E2227" s="291">
        <v>14113</v>
      </c>
      <c r="F2227" s="291">
        <v>53113</v>
      </c>
      <c r="G2227" s="291">
        <v>1593</v>
      </c>
      <c r="H2227" s="291">
        <v>3680</v>
      </c>
      <c r="I2227" s="292" t="str">
        <f t="shared" si="33"/>
        <v>GooD</v>
      </c>
    </row>
    <row r="2228" spans="1:9" ht="15.7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75" thickBot="1">
      <c r="A2230" s="288" t="s">
        <v>637</v>
      </c>
      <c r="B2230" s="288">
        <v>39000</v>
      </c>
      <c r="C2230" s="289">
        <v>20</v>
      </c>
      <c r="D2230" s="290">
        <v>0.31</v>
      </c>
      <c r="E2230" s="291">
        <v>20155</v>
      </c>
      <c r="F2230" s="291">
        <v>59155</v>
      </c>
      <c r="G2230" s="291">
        <v>2275</v>
      </c>
      <c r="H2230" s="291">
        <v>2844</v>
      </c>
      <c r="I2230" s="292" t="str">
        <f t="shared" si="33"/>
        <v>GooD</v>
      </c>
    </row>
    <row r="2231" spans="1:9" ht="15.7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75" thickBot="1">
      <c r="A2233" s="288" t="s">
        <v>637</v>
      </c>
      <c r="B2233" s="288">
        <v>40000</v>
      </c>
      <c r="C2233" s="289">
        <v>4</v>
      </c>
      <c r="D2233" s="290">
        <v>0.31</v>
      </c>
      <c r="E2233" s="291">
        <v>4135</v>
      </c>
      <c r="F2233" s="291">
        <v>44135</v>
      </c>
      <c r="G2233" s="291">
        <v>467</v>
      </c>
      <c r="H2233" s="291">
        <v>10917</v>
      </c>
      <c r="I2233" s="292" t="str">
        <f t="shared" si="33"/>
        <v>GooD</v>
      </c>
    </row>
    <row r="2234" spans="1:9" ht="15.7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75" thickBot="1">
      <c r="A2236" s="288" t="s">
        <v>637</v>
      </c>
      <c r="B2236" s="288">
        <v>40000</v>
      </c>
      <c r="C2236" s="289">
        <v>10</v>
      </c>
      <c r="D2236" s="290">
        <v>0.31</v>
      </c>
      <c r="E2236" s="291">
        <v>10337</v>
      </c>
      <c r="F2236" s="291">
        <v>50337</v>
      </c>
      <c r="G2236" s="291">
        <v>1167</v>
      </c>
      <c r="H2236" s="291">
        <v>4917</v>
      </c>
      <c r="I2236" s="292" t="str">
        <f t="shared" si="33"/>
        <v>GooD</v>
      </c>
    </row>
    <row r="2237" spans="1:9" ht="15.7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75" thickBot="1">
      <c r="A2239" s="288" t="s">
        <v>637</v>
      </c>
      <c r="B2239" s="288">
        <v>40000</v>
      </c>
      <c r="C2239" s="289">
        <v>16</v>
      </c>
      <c r="D2239" s="290">
        <v>0.31</v>
      </c>
      <c r="E2239" s="291">
        <v>16539</v>
      </c>
      <c r="F2239" s="291">
        <v>56539</v>
      </c>
      <c r="G2239" s="291">
        <v>1867</v>
      </c>
      <c r="H2239" s="291">
        <v>3417</v>
      </c>
      <c r="I2239" s="292" t="str">
        <f t="shared" si="33"/>
        <v>GooD</v>
      </c>
    </row>
    <row r="2240" spans="1:9" ht="15.7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75" thickBot="1">
      <c r="A2242" s="288" t="s">
        <v>637</v>
      </c>
      <c r="B2242" s="288">
        <v>40000</v>
      </c>
      <c r="C2242" s="289">
        <v>22</v>
      </c>
      <c r="D2242" s="290">
        <v>0.31</v>
      </c>
      <c r="E2242" s="291">
        <v>22737</v>
      </c>
      <c r="F2242" s="291">
        <v>62737</v>
      </c>
      <c r="G2242" s="291">
        <v>2567</v>
      </c>
      <c r="H2242" s="291">
        <v>2735</v>
      </c>
      <c r="I2242" s="292" t="str">
        <f t="shared" si="33"/>
        <v>GooD</v>
      </c>
    </row>
    <row r="2243" spans="1:9" ht="15.7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75" thickBot="1">
      <c r="A2245" s="288" t="s">
        <v>637</v>
      </c>
      <c r="B2245" s="288">
        <v>41000</v>
      </c>
      <c r="C2245" s="289">
        <v>6</v>
      </c>
      <c r="D2245" s="290">
        <v>0.31</v>
      </c>
      <c r="E2245" s="291">
        <v>6356</v>
      </c>
      <c r="F2245" s="291">
        <v>47356</v>
      </c>
      <c r="G2245" s="291">
        <v>718</v>
      </c>
      <c r="H2245" s="291">
        <v>7773</v>
      </c>
      <c r="I2245" s="292" t="str">
        <f t="shared" si="33"/>
        <v>GooD</v>
      </c>
    </row>
    <row r="2246" spans="1:9" ht="15.7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75" thickBot="1">
      <c r="A2248" s="288" t="s">
        <v>637</v>
      </c>
      <c r="B2248" s="288">
        <v>41000</v>
      </c>
      <c r="C2248" s="289">
        <v>12</v>
      </c>
      <c r="D2248" s="290">
        <v>0.31</v>
      </c>
      <c r="E2248" s="291">
        <v>12719</v>
      </c>
      <c r="F2248" s="291">
        <v>53719</v>
      </c>
      <c r="G2248" s="291">
        <v>1435</v>
      </c>
      <c r="H2248" s="291">
        <v>4357</v>
      </c>
      <c r="I2248" s="292" t="str">
        <f t="shared" si="33"/>
        <v>GooD</v>
      </c>
    </row>
    <row r="2249" spans="1:9" ht="15.7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75" thickBot="1">
      <c r="A2251" s="288" t="s">
        <v>637</v>
      </c>
      <c r="B2251" s="288">
        <v>41000</v>
      </c>
      <c r="C2251" s="289">
        <v>18</v>
      </c>
      <c r="D2251" s="290">
        <v>0.31</v>
      </c>
      <c r="E2251" s="291">
        <v>19077</v>
      </c>
      <c r="F2251" s="291">
        <v>60077</v>
      </c>
      <c r="G2251" s="291">
        <v>2153</v>
      </c>
      <c r="H2251" s="291">
        <v>3218</v>
      </c>
      <c r="I2251" s="292" t="str">
        <f t="shared" si="33"/>
        <v>GooD</v>
      </c>
    </row>
    <row r="2252" spans="1:9" ht="15.7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75" thickBot="1">
      <c r="A2254" s="288" t="s">
        <v>637</v>
      </c>
      <c r="B2254" s="288">
        <v>41000</v>
      </c>
      <c r="C2254" s="289">
        <v>24</v>
      </c>
      <c r="D2254" s="290">
        <v>0.31</v>
      </c>
      <c r="E2254" s="291">
        <v>25422</v>
      </c>
      <c r="F2254" s="291">
        <v>66422</v>
      </c>
      <c r="G2254" s="291">
        <v>2870</v>
      </c>
      <c r="H2254" s="291">
        <v>2648</v>
      </c>
      <c r="I2254" s="292" t="str">
        <f t="shared" si="33"/>
        <v>GooD</v>
      </c>
    </row>
    <row r="2255" spans="1:9" ht="15.7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75" thickBot="1">
      <c r="A2257" s="288" t="s">
        <v>637</v>
      </c>
      <c r="B2257" s="288">
        <v>42000</v>
      </c>
      <c r="C2257" s="289">
        <v>8</v>
      </c>
      <c r="D2257" s="290">
        <v>0.31</v>
      </c>
      <c r="E2257" s="291">
        <v>8684</v>
      </c>
      <c r="F2257" s="291">
        <v>50684</v>
      </c>
      <c r="G2257" s="291">
        <v>980</v>
      </c>
      <c r="H2257" s="291">
        <v>6213</v>
      </c>
      <c r="I2257" s="292" t="str">
        <f t="shared" si="33"/>
        <v>GooD</v>
      </c>
    </row>
    <row r="2258" spans="1:9" ht="15.7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75" thickBot="1">
      <c r="A2260" s="288" t="s">
        <v>637</v>
      </c>
      <c r="B2260" s="288">
        <v>42000</v>
      </c>
      <c r="C2260" s="289">
        <v>14</v>
      </c>
      <c r="D2260" s="290">
        <v>0.31</v>
      </c>
      <c r="E2260" s="291">
        <v>15197</v>
      </c>
      <c r="F2260" s="291">
        <v>57197</v>
      </c>
      <c r="G2260" s="291">
        <v>1715</v>
      </c>
      <c r="H2260" s="291">
        <v>3963</v>
      </c>
      <c r="I2260" s="292" t="str">
        <f t="shared" si="33"/>
        <v>GooD</v>
      </c>
    </row>
    <row r="2261" spans="1:9" ht="15.7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75" thickBot="1">
      <c r="A2263" s="288" t="s">
        <v>637</v>
      </c>
      <c r="B2263" s="288">
        <v>42000</v>
      </c>
      <c r="C2263" s="289">
        <v>20</v>
      </c>
      <c r="D2263" s="290">
        <v>0.31</v>
      </c>
      <c r="E2263" s="291">
        <v>21710</v>
      </c>
      <c r="F2263" s="291">
        <v>63710</v>
      </c>
      <c r="G2263" s="291">
        <v>2450</v>
      </c>
      <c r="H2263" s="291">
        <v>3063</v>
      </c>
      <c r="I2263" s="292" t="str">
        <f t="shared" si="33"/>
        <v>GooD</v>
      </c>
    </row>
    <row r="2264" spans="1:9" ht="15.7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75" thickBot="1">
      <c r="A2266" s="288" t="s">
        <v>637</v>
      </c>
      <c r="B2266" s="288">
        <v>43000</v>
      </c>
      <c r="C2266" s="289">
        <v>4</v>
      </c>
      <c r="D2266" s="290">
        <v>0.31</v>
      </c>
      <c r="E2266" s="291">
        <v>4446</v>
      </c>
      <c r="F2266" s="291">
        <v>47446</v>
      </c>
      <c r="G2266" s="291">
        <v>502</v>
      </c>
      <c r="H2266" s="291">
        <v>11736</v>
      </c>
      <c r="I2266" s="292" t="str">
        <f t="shared" si="33"/>
        <v>GooD</v>
      </c>
    </row>
    <row r="2267" spans="1:9" ht="15.7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75" thickBot="1">
      <c r="A2269" s="288" t="s">
        <v>637</v>
      </c>
      <c r="B2269" s="288">
        <v>43000</v>
      </c>
      <c r="C2269" s="289">
        <v>10</v>
      </c>
      <c r="D2269" s="290">
        <v>0.31</v>
      </c>
      <c r="E2269" s="291">
        <v>11115</v>
      </c>
      <c r="F2269" s="291">
        <v>54115</v>
      </c>
      <c r="G2269" s="291">
        <v>1255</v>
      </c>
      <c r="H2269" s="291">
        <v>5286</v>
      </c>
      <c r="I2269" s="292" t="str">
        <f t="shared" si="33"/>
        <v>GooD</v>
      </c>
    </row>
    <row r="2270" spans="1:9" ht="15.7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75" thickBot="1">
      <c r="A2272" s="288" t="s">
        <v>637</v>
      </c>
      <c r="B2272" s="288">
        <v>43000</v>
      </c>
      <c r="C2272" s="289">
        <v>16</v>
      </c>
      <c r="D2272" s="290">
        <v>0.31</v>
      </c>
      <c r="E2272" s="291">
        <v>17775</v>
      </c>
      <c r="F2272" s="291">
        <v>60775</v>
      </c>
      <c r="G2272" s="291">
        <v>2007</v>
      </c>
      <c r="H2272" s="291">
        <v>3673</v>
      </c>
      <c r="I2272" s="292" t="str">
        <f t="shared" si="33"/>
        <v>GooD</v>
      </c>
    </row>
    <row r="2273" spans="1:9" ht="15.7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75" thickBot="1">
      <c r="A2275" s="288" t="s">
        <v>637</v>
      </c>
      <c r="B2275" s="288">
        <v>43000</v>
      </c>
      <c r="C2275" s="289">
        <v>22</v>
      </c>
      <c r="D2275" s="290">
        <v>0.31</v>
      </c>
      <c r="E2275" s="291">
        <v>24440</v>
      </c>
      <c r="F2275" s="291">
        <v>67440</v>
      </c>
      <c r="G2275" s="291">
        <v>2760</v>
      </c>
      <c r="H2275" s="291">
        <v>2940</v>
      </c>
      <c r="I2275" s="292" t="str">
        <f t="shared" si="33"/>
        <v>GooD</v>
      </c>
    </row>
    <row r="2276" spans="1:9" ht="15.7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75" thickBot="1">
      <c r="A2278" s="288" t="s">
        <v>637</v>
      </c>
      <c r="B2278" s="288">
        <v>44000</v>
      </c>
      <c r="C2278" s="289">
        <v>6</v>
      </c>
      <c r="D2278" s="290">
        <v>0.31</v>
      </c>
      <c r="E2278" s="291">
        <v>6822</v>
      </c>
      <c r="F2278" s="291">
        <v>50822</v>
      </c>
      <c r="G2278" s="291">
        <v>770</v>
      </c>
      <c r="H2278" s="291">
        <v>8342</v>
      </c>
      <c r="I2278" s="292" t="str">
        <f t="shared" si="33"/>
        <v>GooD</v>
      </c>
    </row>
    <row r="2279" spans="1:9" ht="15.7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75" thickBot="1">
      <c r="A2281" s="288" t="s">
        <v>637</v>
      </c>
      <c r="B2281" s="288">
        <v>44000</v>
      </c>
      <c r="C2281" s="289">
        <v>12</v>
      </c>
      <c r="D2281" s="290">
        <v>0.31</v>
      </c>
      <c r="E2281" s="291">
        <v>13652</v>
      </c>
      <c r="F2281" s="291">
        <v>57652</v>
      </c>
      <c r="G2281" s="291">
        <v>1540</v>
      </c>
      <c r="H2281" s="291">
        <v>4676</v>
      </c>
      <c r="I2281" s="292" t="str">
        <f t="shared" si="34"/>
        <v>GooD</v>
      </c>
    </row>
    <row r="2282" spans="1:9" ht="15.7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75" thickBot="1">
      <c r="A2284" s="288" t="s">
        <v>637</v>
      </c>
      <c r="B2284" s="288">
        <v>44000</v>
      </c>
      <c r="C2284" s="289">
        <v>18</v>
      </c>
      <c r="D2284" s="290">
        <v>0.31</v>
      </c>
      <c r="E2284" s="291">
        <v>20464</v>
      </c>
      <c r="F2284" s="291">
        <v>64464</v>
      </c>
      <c r="G2284" s="291">
        <v>2310</v>
      </c>
      <c r="H2284" s="291">
        <v>3453</v>
      </c>
      <c r="I2284" s="292" t="str">
        <f t="shared" si="34"/>
        <v>GooD</v>
      </c>
    </row>
    <row r="2285" spans="1:9" ht="15.7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75" thickBot="1">
      <c r="A2287" s="288" t="s">
        <v>637</v>
      </c>
      <c r="B2287" s="288">
        <v>44000</v>
      </c>
      <c r="C2287" s="289">
        <v>24</v>
      </c>
      <c r="D2287" s="290">
        <v>0.31</v>
      </c>
      <c r="E2287" s="291">
        <v>27288</v>
      </c>
      <c r="F2287" s="291">
        <v>71288</v>
      </c>
      <c r="G2287" s="291">
        <v>3080</v>
      </c>
      <c r="H2287" s="291">
        <v>2842</v>
      </c>
      <c r="I2287" s="292" t="str">
        <f t="shared" si="34"/>
        <v>GooD</v>
      </c>
    </row>
    <row r="2288" spans="1:9" ht="15.7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75" thickBot="1">
      <c r="A2290" s="288" t="s">
        <v>637</v>
      </c>
      <c r="B2290" s="288">
        <v>45000</v>
      </c>
      <c r="C2290" s="289">
        <v>8</v>
      </c>
      <c r="D2290" s="290">
        <v>0.31</v>
      </c>
      <c r="E2290" s="291">
        <v>9306</v>
      </c>
      <c r="F2290" s="291">
        <v>54306</v>
      </c>
      <c r="G2290" s="291">
        <v>1050</v>
      </c>
      <c r="H2290" s="291">
        <v>6657</v>
      </c>
      <c r="I2290" s="292" t="str">
        <f t="shared" si="34"/>
        <v>GooD</v>
      </c>
    </row>
    <row r="2291" spans="1:9" ht="15.7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75" thickBot="1">
      <c r="A2293" s="288" t="s">
        <v>637</v>
      </c>
      <c r="B2293" s="288">
        <v>45000</v>
      </c>
      <c r="C2293" s="289">
        <v>14</v>
      </c>
      <c r="D2293" s="290">
        <v>0.31</v>
      </c>
      <c r="E2293" s="291">
        <v>16282</v>
      </c>
      <c r="F2293" s="291">
        <v>61282</v>
      </c>
      <c r="G2293" s="291">
        <v>1838</v>
      </c>
      <c r="H2293" s="291">
        <v>4246</v>
      </c>
      <c r="I2293" s="292" t="str">
        <f t="shared" si="34"/>
        <v>GooD</v>
      </c>
    </row>
    <row r="2294" spans="1:9" ht="15.7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75" thickBot="1">
      <c r="A2296" s="288" t="s">
        <v>637</v>
      </c>
      <c r="B2296" s="288">
        <v>45000</v>
      </c>
      <c r="C2296" s="289">
        <v>20</v>
      </c>
      <c r="D2296" s="290">
        <v>0.31</v>
      </c>
      <c r="E2296" s="291">
        <v>23265</v>
      </c>
      <c r="F2296" s="291">
        <v>68265</v>
      </c>
      <c r="G2296" s="291">
        <v>2625</v>
      </c>
      <c r="H2296" s="291">
        <v>3282</v>
      </c>
      <c r="I2296" s="292" t="str">
        <f t="shared" si="34"/>
        <v>GooD</v>
      </c>
    </row>
    <row r="2297" spans="1:9" ht="15.7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75" thickBot="1">
      <c r="A2299" s="288" t="s">
        <v>637</v>
      </c>
      <c r="B2299" s="288">
        <v>46000</v>
      </c>
      <c r="C2299" s="289">
        <v>4</v>
      </c>
      <c r="D2299" s="290">
        <v>0.31</v>
      </c>
      <c r="E2299" s="291">
        <v>4757</v>
      </c>
      <c r="F2299" s="291">
        <v>50757</v>
      </c>
      <c r="G2299" s="291">
        <v>537</v>
      </c>
      <c r="H2299" s="291">
        <v>12555</v>
      </c>
      <c r="I2299" s="292" t="str">
        <f t="shared" si="34"/>
        <v>GooD</v>
      </c>
    </row>
    <row r="2300" spans="1:9" ht="15.7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75" thickBot="1">
      <c r="A2302" s="288" t="s">
        <v>637</v>
      </c>
      <c r="B2302" s="288">
        <v>46000</v>
      </c>
      <c r="C2302" s="289">
        <v>10</v>
      </c>
      <c r="D2302" s="290">
        <v>0.31</v>
      </c>
      <c r="E2302" s="291">
        <v>11892</v>
      </c>
      <c r="F2302" s="291">
        <v>57892</v>
      </c>
      <c r="G2302" s="291">
        <v>1342</v>
      </c>
      <c r="H2302" s="291">
        <v>5655</v>
      </c>
      <c r="I2302" s="292" t="str">
        <f t="shared" si="34"/>
        <v>GooD</v>
      </c>
    </row>
    <row r="2303" spans="1:9" ht="15.7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75" thickBot="1">
      <c r="A2305" s="288" t="s">
        <v>637</v>
      </c>
      <c r="B2305" s="288">
        <v>46000</v>
      </c>
      <c r="C2305" s="289">
        <v>16</v>
      </c>
      <c r="D2305" s="290">
        <v>0.31</v>
      </c>
      <c r="E2305" s="291">
        <v>19027</v>
      </c>
      <c r="F2305" s="291">
        <v>65027</v>
      </c>
      <c r="G2305" s="291">
        <v>2147</v>
      </c>
      <c r="H2305" s="291">
        <v>3930</v>
      </c>
      <c r="I2305" s="292" t="str">
        <f t="shared" si="34"/>
        <v>GooD</v>
      </c>
    </row>
    <row r="2306" spans="1:9" ht="15.7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75" thickBot="1">
      <c r="A2308" s="288" t="s">
        <v>637</v>
      </c>
      <c r="B2308" s="288">
        <v>46000</v>
      </c>
      <c r="C2308" s="289">
        <v>22</v>
      </c>
      <c r="D2308" s="290">
        <v>0.31</v>
      </c>
      <c r="E2308" s="291">
        <v>26164</v>
      </c>
      <c r="F2308" s="291">
        <v>72164</v>
      </c>
      <c r="G2308" s="291">
        <v>2952</v>
      </c>
      <c r="H2308" s="291">
        <v>3146</v>
      </c>
      <c r="I2308" s="292" t="str">
        <f t="shared" si="34"/>
        <v>GooD</v>
      </c>
    </row>
    <row r="2309" spans="1:9" ht="15.7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75" thickBot="1">
      <c r="A2311" s="288" t="s">
        <v>637</v>
      </c>
      <c r="B2311" s="288">
        <v>47000</v>
      </c>
      <c r="C2311" s="289">
        <v>6</v>
      </c>
      <c r="D2311" s="290">
        <v>0.31</v>
      </c>
      <c r="E2311" s="291">
        <v>7289</v>
      </c>
      <c r="F2311" s="291">
        <v>54289</v>
      </c>
      <c r="G2311" s="291">
        <v>823</v>
      </c>
      <c r="H2311" s="291">
        <v>8911</v>
      </c>
      <c r="I2311" s="292" t="str">
        <f t="shared" si="34"/>
        <v>GooD</v>
      </c>
    </row>
    <row r="2312" spans="1:9" ht="15.7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75" thickBot="1">
      <c r="A2314" s="288" t="s">
        <v>637</v>
      </c>
      <c r="B2314" s="288">
        <v>47000</v>
      </c>
      <c r="C2314" s="289">
        <v>12</v>
      </c>
      <c r="D2314" s="290">
        <v>0.31</v>
      </c>
      <c r="E2314" s="291">
        <v>14573</v>
      </c>
      <c r="F2314" s="291">
        <v>61573</v>
      </c>
      <c r="G2314" s="291">
        <v>1645</v>
      </c>
      <c r="H2314" s="291">
        <v>4994</v>
      </c>
      <c r="I2314" s="292" t="str">
        <f t="shared" si="34"/>
        <v>GooD</v>
      </c>
    </row>
    <row r="2315" spans="1:9" ht="15.7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75" thickBot="1">
      <c r="A2317" s="288" t="s">
        <v>637</v>
      </c>
      <c r="B2317" s="288">
        <v>47000</v>
      </c>
      <c r="C2317" s="289">
        <v>18</v>
      </c>
      <c r="D2317" s="290">
        <v>0.31</v>
      </c>
      <c r="E2317" s="291">
        <v>21870</v>
      </c>
      <c r="F2317" s="291">
        <v>68870</v>
      </c>
      <c r="G2317" s="291">
        <v>2468</v>
      </c>
      <c r="H2317" s="291">
        <v>3689</v>
      </c>
      <c r="I2317" s="292" t="str">
        <f t="shared" si="34"/>
        <v>GooD</v>
      </c>
    </row>
    <row r="2318" spans="1:9" ht="15.7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75" thickBot="1">
      <c r="A2320" s="288" t="s">
        <v>637</v>
      </c>
      <c r="B2320" s="288">
        <v>47000</v>
      </c>
      <c r="C2320" s="289">
        <v>24</v>
      </c>
      <c r="D2320" s="290">
        <v>0.31</v>
      </c>
      <c r="E2320" s="291">
        <v>29154</v>
      </c>
      <c r="F2320" s="291">
        <v>76154</v>
      </c>
      <c r="G2320" s="291">
        <v>3290</v>
      </c>
      <c r="H2320" s="291">
        <v>3036</v>
      </c>
      <c r="I2320" s="292" t="str">
        <f t="shared" si="34"/>
        <v>GooD</v>
      </c>
    </row>
    <row r="2321" spans="1:9" ht="15.7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75" thickBot="1">
      <c r="A2323" s="288" t="s">
        <v>637</v>
      </c>
      <c r="B2323" s="288">
        <v>48000</v>
      </c>
      <c r="C2323" s="289">
        <v>8</v>
      </c>
      <c r="D2323" s="290">
        <v>0.31</v>
      </c>
      <c r="E2323" s="291">
        <v>9928</v>
      </c>
      <c r="F2323" s="291">
        <v>57928</v>
      </c>
      <c r="G2323" s="291">
        <v>1120</v>
      </c>
      <c r="H2323" s="291">
        <v>7101</v>
      </c>
      <c r="I2323" s="292" t="str">
        <f t="shared" si="34"/>
        <v>GooD</v>
      </c>
    </row>
    <row r="2324" spans="1:9" ht="15.7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75" thickBot="1">
      <c r="A2326" s="288" t="s">
        <v>637</v>
      </c>
      <c r="B2326" s="288">
        <v>48000</v>
      </c>
      <c r="C2326" s="289">
        <v>14</v>
      </c>
      <c r="D2326" s="290">
        <v>0.31</v>
      </c>
      <c r="E2326" s="291">
        <v>17366</v>
      </c>
      <c r="F2326" s="291">
        <v>65366</v>
      </c>
      <c r="G2326" s="291">
        <v>1960</v>
      </c>
      <c r="H2326" s="291">
        <v>4529</v>
      </c>
      <c r="I2326" s="292" t="str">
        <f t="shared" si="34"/>
        <v>GooD</v>
      </c>
    </row>
    <row r="2327" spans="1:9" ht="15.7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75" thickBot="1">
      <c r="A2329" s="288" t="s">
        <v>637</v>
      </c>
      <c r="B2329" s="288">
        <v>48000</v>
      </c>
      <c r="C2329" s="289">
        <v>20</v>
      </c>
      <c r="D2329" s="290">
        <v>0.31</v>
      </c>
      <c r="E2329" s="291">
        <v>24820</v>
      </c>
      <c r="F2329" s="291">
        <v>72820</v>
      </c>
      <c r="G2329" s="291">
        <v>2800</v>
      </c>
      <c r="H2329" s="291">
        <v>3501</v>
      </c>
      <c r="I2329" s="292" t="str">
        <f t="shared" si="34"/>
        <v>GooD</v>
      </c>
    </row>
    <row r="2330" spans="1:9" ht="15.7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75" thickBot="1">
      <c r="A2332" s="288" t="s">
        <v>637</v>
      </c>
      <c r="B2332" s="288">
        <v>49000</v>
      </c>
      <c r="C2332" s="289">
        <v>4</v>
      </c>
      <c r="D2332" s="290">
        <v>0.31</v>
      </c>
      <c r="E2332" s="291">
        <v>5064</v>
      </c>
      <c r="F2332" s="291">
        <v>54064</v>
      </c>
      <c r="G2332" s="291">
        <v>572</v>
      </c>
      <c r="H2332" s="291">
        <v>13373</v>
      </c>
      <c r="I2332" s="292" t="str">
        <f t="shared" si="34"/>
        <v>GooD</v>
      </c>
    </row>
    <row r="2333" spans="1:9" ht="15.7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75" thickBot="1">
      <c r="A2335" s="288" t="s">
        <v>637</v>
      </c>
      <c r="B2335" s="288">
        <v>49000</v>
      </c>
      <c r="C2335" s="289">
        <v>10</v>
      </c>
      <c r="D2335" s="290">
        <v>0.31</v>
      </c>
      <c r="E2335" s="291">
        <v>12660</v>
      </c>
      <c r="F2335" s="291">
        <v>61660</v>
      </c>
      <c r="G2335" s="291">
        <v>1430</v>
      </c>
      <c r="H2335" s="291">
        <v>6023</v>
      </c>
      <c r="I2335" s="292" t="str">
        <f t="shared" si="34"/>
        <v>GooD</v>
      </c>
    </row>
    <row r="2336" spans="1:9" ht="15.7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75" thickBot="1">
      <c r="A2338" s="288" t="s">
        <v>637</v>
      </c>
      <c r="B2338" s="288">
        <v>49000</v>
      </c>
      <c r="C2338" s="289">
        <v>16</v>
      </c>
      <c r="D2338" s="290">
        <v>0.31</v>
      </c>
      <c r="E2338" s="291">
        <v>20263</v>
      </c>
      <c r="F2338" s="291">
        <v>69263</v>
      </c>
      <c r="G2338" s="291">
        <v>2287</v>
      </c>
      <c r="H2338" s="291">
        <v>4186</v>
      </c>
      <c r="I2338" s="292" t="str">
        <f t="shared" si="34"/>
        <v>GooD</v>
      </c>
    </row>
    <row r="2339" spans="1:9" ht="15.7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75" thickBot="1">
      <c r="A2341" s="288" t="s">
        <v>637</v>
      </c>
      <c r="B2341" s="288">
        <v>49000</v>
      </c>
      <c r="C2341" s="289">
        <v>22</v>
      </c>
      <c r="D2341" s="290">
        <v>0.31</v>
      </c>
      <c r="E2341" s="291">
        <v>27867</v>
      </c>
      <c r="F2341" s="291">
        <v>76867</v>
      </c>
      <c r="G2341" s="291">
        <v>3145</v>
      </c>
      <c r="H2341" s="291">
        <v>3351</v>
      </c>
      <c r="I2341" s="292" t="str">
        <f t="shared" si="34"/>
        <v>GooD</v>
      </c>
    </row>
    <row r="2342" spans="1:9" ht="15.7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75" thickBot="1">
      <c r="A2344" s="288" t="s">
        <v>637</v>
      </c>
      <c r="B2344" s="288">
        <v>50000</v>
      </c>
      <c r="C2344" s="289">
        <v>6</v>
      </c>
      <c r="D2344" s="290">
        <v>0.31</v>
      </c>
      <c r="E2344" s="291">
        <v>7755</v>
      </c>
      <c r="F2344" s="291">
        <v>57755</v>
      </c>
      <c r="G2344" s="291">
        <v>875</v>
      </c>
      <c r="H2344" s="291">
        <v>9480</v>
      </c>
      <c r="I2344" s="292" t="str">
        <f t="shared" si="35"/>
        <v>GooD</v>
      </c>
    </row>
    <row r="2345" spans="1:9" ht="15.7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75" thickBot="1">
      <c r="A2347" s="288" t="s">
        <v>637</v>
      </c>
      <c r="B2347" s="288">
        <v>50000</v>
      </c>
      <c r="C2347" s="289">
        <v>12</v>
      </c>
      <c r="D2347" s="290">
        <v>0.31</v>
      </c>
      <c r="E2347" s="291">
        <v>15506</v>
      </c>
      <c r="F2347" s="291">
        <v>65506</v>
      </c>
      <c r="G2347" s="291">
        <v>1750</v>
      </c>
      <c r="H2347" s="291">
        <v>5313</v>
      </c>
      <c r="I2347" s="292" t="str">
        <f t="shared" si="35"/>
        <v>GooD</v>
      </c>
    </row>
    <row r="2348" spans="1:9" ht="15.7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75" thickBot="1">
      <c r="A2350" s="288" t="s">
        <v>637</v>
      </c>
      <c r="B2350" s="288">
        <v>50000</v>
      </c>
      <c r="C2350" s="289">
        <v>18</v>
      </c>
      <c r="D2350" s="290">
        <v>0.31</v>
      </c>
      <c r="E2350" s="291">
        <v>23257</v>
      </c>
      <c r="F2350" s="291">
        <v>73257</v>
      </c>
      <c r="G2350" s="291">
        <v>2625</v>
      </c>
      <c r="H2350" s="291">
        <v>3924</v>
      </c>
      <c r="I2350" s="292" t="str">
        <f t="shared" si="35"/>
        <v>GooD</v>
      </c>
    </row>
    <row r="2351" spans="1:9" ht="15.7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75" thickBot="1">
      <c r="A2353" s="288" t="s">
        <v>637</v>
      </c>
      <c r="B2353" s="288">
        <v>50000</v>
      </c>
      <c r="C2353" s="289">
        <v>24</v>
      </c>
      <c r="D2353" s="290">
        <v>0.31</v>
      </c>
      <c r="E2353" s="291">
        <v>31020</v>
      </c>
      <c r="F2353" s="291">
        <v>81020</v>
      </c>
      <c r="G2353" s="291">
        <v>3500</v>
      </c>
      <c r="H2353" s="291">
        <v>3230</v>
      </c>
      <c r="I2353" s="292" t="str">
        <f t="shared" si="35"/>
        <v>GooD</v>
      </c>
    </row>
    <row r="2354" spans="1:9" ht="15.7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75" thickBot="1">
      <c r="A2356" s="288" t="s">
        <v>638</v>
      </c>
      <c r="B2356" s="288">
        <v>8000</v>
      </c>
      <c r="C2356" s="289">
        <v>8</v>
      </c>
      <c r="D2356" s="290">
        <v>0.31</v>
      </c>
      <c r="E2356" s="291">
        <v>1656</v>
      </c>
      <c r="F2356" s="291">
        <v>9656</v>
      </c>
      <c r="G2356" s="291">
        <v>160</v>
      </c>
      <c r="H2356" s="291">
        <v>1187</v>
      </c>
      <c r="I2356" s="292" t="str">
        <f t="shared" si="35"/>
        <v>GooD</v>
      </c>
    </row>
    <row r="2357" spans="1:9" ht="15.7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75" thickBot="1">
      <c r="A2359" s="288" t="s">
        <v>638</v>
      </c>
      <c r="B2359" s="288">
        <v>8500</v>
      </c>
      <c r="C2359" s="289">
        <v>4</v>
      </c>
      <c r="D2359" s="290">
        <v>0.31</v>
      </c>
      <c r="E2359" s="291">
        <v>881</v>
      </c>
      <c r="F2359" s="291">
        <v>9381</v>
      </c>
      <c r="G2359" s="291">
        <v>85</v>
      </c>
      <c r="H2359" s="291">
        <v>2324</v>
      </c>
      <c r="I2359" s="292" t="str">
        <f t="shared" si="35"/>
        <v>GooD</v>
      </c>
    </row>
    <row r="2360" spans="1:9" ht="15.7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75" thickBot="1">
      <c r="A2362" s="288" t="s">
        <v>638</v>
      </c>
      <c r="B2362" s="288">
        <v>8500</v>
      </c>
      <c r="C2362" s="289">
        <v>10</v>
      </c>
      <c r="D2362" s="290">
        <v>0.31</v>
      </c>
      <c r="E2362" s="291">
        <v>2203</v>
      </c>
      <c r="F2362" s="291">
        <v>10703</v>
      </c>
      <c r="G2362" s="291">
        <v>213</v>
      </c>
      <c r="H2362" s="291">
        <v>1049</v>
      </c>
      <c r="I2362" s="292" t="str">
        <f t="shared" si="35"/>
        <v>GooD</v>
      </c>
    </row>
    <row r="2363" spans="1:9" ht="15.7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75" thickBot="1">
      <c r="A2365" s="288" t="s">
        <v>638</v>
      </c>
      <c r="B2365" s="288">
        <v>9000</v>
      </c>
      <c r="C2365" s="289">
        <v>6</v>
      </c>
      <c r="D2365" s="290">
        <v>0.31</v>
      </c>
      <c r="E2365" s="291">
        <v>1401</v>
      </c>
      <c r="F2365" s="291">
        <v>10401</v>
      </c>
      <c r="G2365" s="291">
        <v>135</v>
      </c>
      <c r="H2365" s="291">
        <v>1711</v>
      </c>
      <c r="I2365" s="292" t="str">
        <f t="shared" si="35"/>
        <v>GooD</v>
      </c>
    </row>
    <row r="2366" spans="1:9" ht="15.7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75" thickBot="1">
      <c r="A2368" s="288" t="s">
        <v>638</v>
      </c>
      <c r="B2368" s="288">
        <v>9000</v>
      </c>
      <c r="C2368" s="289">
        <v>12</v>
      </c>
      <c r="D2368" s="290">
        <v>0.31</v>
      </c>
      <c r="E2368" s="291">
        <v>2802</v>
      </c>
      <c r="F2368" s="291">
        <v>11802</v>
      </c>
      <c r="G2368" s="291">
        <v>270</v>
      </c>
      <c r="H2368" s="291">
        <v>961</v>
      </c>
      <c r="I2368" s="292" t="str">
        <f t="shared" si="35"/>
        <v>GooD</v>
      </c>
    </row>
    <row r="2369" spans="1:9" ht="15.7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75" thickBot="1">
      <c r="A2371" s="288" t="s">
        <v>638</v>
      </c>
      <c r="B2371" s="288">
        <v>9500</v>
      </c>
      <c r="C2371" s="289">
        <v>8</v>
      </c>
      <c r="D2371" s="290">
        <v>0.31</v>
      </c>
      <c r="E2371" s="291">
        <v>1970</v>
      </c>
      <c r="F2371" s="291">
        <v>11470</v>
      </c>
      <c r="G2371" s="291">
        <v>190</v>
      </c>
      <c r="H2371" s="291">
        <v>1410</v>
      </c>
      <c r="I2371" s="292" t="str">
        <f t="shared" si="35"/>
        <v>GooD</v>
      </c>
    </row>
    <row r="2372" spans="1:9" ht="15.7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75" thickBot="1">
      <c r="A2374" s="288" t="s">
        <v>638</v>
      </c>
      <c r="B2374" s="288">
        <v>10000</v>
      </c>
      <c r="C2374" s="289">
        <v>4</v>
      </c>
      <c r="D2374" s="290">
        <v>0.31</v>
      </c>
      <c r="E2374" s="291">
        <v>1036</v>
      </c>
      <c r="F2374" s="291">
        <v>11036</v>
      </c>
      <c r="G2374" s="291">
        <v>100</v>
      </c>
      <c r="H2374" s="291">
        <v>2734</v>
      </c>
      <c r="I2374" s="292" t="str">
        <f t="shared" si="35"/>
        <v>GooD</v>
      </c>
    </row>
    <row r="2375" spans="1:9" ht="15.7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75" thickBot="1">
      <c r="A2377" s="288" t="s">
        <v>638</v>
      </c>
      <c r="B2377" s="288">
        <v>10000</v>
      </c>
      <c r="C2377" s="289">
        <v>10</v>
      </c>
      <c r="D2377" s="290">
        <v>0.31</v>
      </c>
      <c r="E2377" s="291">
        <v>2590</v>
      </c>
      <c r="F2377" s="291">
        <v>12590</v>
      </c>
      <c r="G2377" s="291">
        <v>250</v>
      </c>
      <c r="H2377" s="291">
        <v>1234</v>
      </c>
      <c r="I2377" s="292" t="str">
        <f t="shared" si="35"/>
        <v>GooD</v>
      </c>
    </row>
    <row r="2378" spans="1:9" ht="15.7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75" thickBot="1">
      <c r="A2380" s="288" t="s">
        <v>638</v>
      </c>
      <c r="B2380" s="288">
        <v>10500</v>
      </c>
      <c r="C2380" s="289">
        <v>6</v>
      </c>
      <c r="D2380" s="290">
        <v>0.31</v>
      </c>
      <c r="E2380" s="291">
        <v>1634</v>
      </c>
      <c r="F2380" s="291">
        <v>12134</v>
      </c>
      <c r="G2380" s="291">
        <v>158</v>
      </c>
      <c r="H2380" s="291">
        <v>1996</v>
      </c>
      <c r="I2380" s="292" t="str">
        <f t="shared" si="35"/>
        <v>GooD</v>
      </c>
    </row>
    <row r="2381" spans="1:9" ht="15.7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75" thickBot="1">
      <c r="A2383" s="288" t="s">
        <v>638</v>
      </c>
      <c r="B2383" s="288">
        <v>10500</v>
      </c>
      <c r="C2383" s="289">
        <v>12</v>
      </c>
      <c r="D2383" s="290">
        <v>0.31</v>
      </c>
      <c r="E2383" s="291">
        <v>3267</v>
      </c>
      <c r="F2383" s="291">
        <v>13767</v>
      </c>
      <c r="G2383" s="291">
        <v>315</v>
      </c>
      <c r="H2383" s="291">
        <v>1121</v>
      </c>
      <c r="I2383" s="292" t="str">
        <f t="shared" si="35"/>
        <v>GooD</v>
      </c>
    </row>
    <row r="2384" spans="1:9" ht="15.7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75" thickBot="1">
      <c r="A2386" s="288" t="s">
        <v>638</v>
      </c>
      <c r="B2386" s="288">
        <v>11000</v>
      </c>
      <c r="C2386" s="289">
        <v>8</v>
      </c>
      <c r="D2386" s="290">
        <v>0.31</v>
      </c>
      <c r="E2386" s="291">
        <v>2276</v>
      </c>
      <c r="F2386" s="291">
        <v>13276</v>
      </c>
      <c r="G2386" s="291">
        <v>220</v>
      </c>
      <c r="H2386" s="291">
        <v>1632</v>
      </c>
      <c r="I2386" s="292" t="str">
        <f t="shared" si="35"/>
        <v>GooD</v>
      </c>
    </row>
    <row r="2387" spans="1:9" ht="15.7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75" thickBot="1">
      <c r="A2389" s="288" t="s">
        <v>638</v>
      </c>
      <c r="B2389" s="288">
        <v>11500</v>
      </c>
      <c r="C2389" s="289">
        <v>4</v>
      </c>
      <c r="D2389" s="290">
        <v>0.31</v>
      </c>
      <c r="E2389" s="291">
        <v>1191</v>
      </c>
      <c r="F2389" s="291">
        <v>12691</v>
      </c>
      <c r="G2389" s="291">
        <v>115</v>
      </c>
      <c r="H2389" s="291">
        <v>3144</v>
      </c>
      <c r="I2389" s="292" t="str">
        <f t="shared" si="35"/>
        <v>GooD</v>
      </c>
    </row>
    <row r="2390" spans="1:9" ht="15.7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75" thickBot="1">
      <c r="A2392" s="288" t="s">
        <v>638</v>
      </c>
      <c r="B2392" s="288">
        <v>11500</v>
      </c>
      <c r="C2392" s="289">
        <v>10</v>
      </c>
      <c r="D2392" s="290">
        <v>0.31</v>
      </c>
      <c r="E2392" s="291">
        <v>2978</v>
      </c>
      <c r="F2392" s="291">
        <v>14478</v>
      </c>
      <c r="G2392" s="291">
        <v>288</v>
      </c>
      <c r="H2392" s="291">
        <v>1419</v>
      </c>
      <c r="I2392" s="292" t="str">
        <f t="shared" si="35"/>
        <v>GooD</v>
      </c>
    </row>
    <row r="2393" spans="1:9" ht="15.7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75" thickBot="1">
      <c r="A2395" s="288" t="s">
        <v>638</v>
      </c>
      <c r="B2395" s="288">
        <v>12000</v>
      </c>
      <c r="C2395" s="289">
        <v>6</v>
      </c>
      <c r="D2395" s="290">
        <v>0.31</v>
      </c>
      <c r="E2395" s="291">
        <v>1866</v>
      </c>
      <c r="F2395" s="291">
        <v>13866</v>
      </c>
      <c r="G2395" s="291">
        <v>180</v>
      </c>
      <c r="H2395" s="291">
        <v>2281</v>
      </c>
      <c r="I2395" s="292" t="str">
        <f t="shared" si="35"/>
        <v>GooD</v>
      </c>
    </row>
    <row r="2396" spans="1:9" ht="15.7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75" thickBot="1">
      <c r="A2398" s="288" t="s">
        <v>638</v>
      </c>
      <c r="B2398" s="288">
        <v>12000</v>
      </c>
      <c r="C2398" s="289">
        <v>12</v>
      </c>
      <c r="D2398" s="290">
        <v>0.31</v>
      </c>
      <c r="E2398" s="291">
        <v>3732</v>
      </c>
      <c r="F2398" s="291">
        <v>15732</v>
      </c>
      <c r="G2398" s="291">
        <v>360</v>
      </c>
      <c r="H2398" s="291">
        <v>1281</v>
      </c>
      <c r="I2398" s="292" t="str">
        <f t="shared" si="35"/>
        <v>GooD</v>
      </c>
    </row>
    <row r="2399" spans="1:9" ht="15.7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75" thickBot="1">
      <c r="A2401" s="288" t="s">
        <v>638</v>
      </c>
      <c r="B2401" s="288">
        <v>12500</v>
      </c>
      <c r="C2401" s="289">
        <v>8</v>
      </c>
      <c r="D2401" s="290">
        <v>0.31</v>
      </c>
      <c r="E2401" s="291">
        <v>2590</v>
      </c>
      <c r="F2401" s="291">
        <v>15090</v>
      </c>
      <c r="G2401" s="291">
        <v>250</v>
      </c>
      <c r="H2401" s="291">
        <v>1855</v>
      </c>
      <c r="I2401" s="292" t="str">
        <f t="shared" si="35"/>
        <v>GooD</v>
      </c>
    </row>
    <row r="2402" spans="1:9" ht="15.7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75" thickBot="1">
      <c r="A2404" s="288" t="s">
        <v>638</v>
      </c>
      <c r="B2404" s="288">
        <v>13000</v>
      </c>
      <c r="C2404" s="289">
        <v>4</v>
      </c>
      <c r="D2404" s="290">
        <v>0.31</v>
      </c>
      <c r="E2404" s="291">
        <v>1346</v>
      </c>
      <c r="F2404" s="291">
        <v>14346</v>
      </c>
      <c r="G2404" s="291">
        <v>130</v>
      </c>
      <c r="H2404" s="291">
        <v>3554</v>
      </c>
      <c r="I2404" s="292" t="str">
        <f t="shared" si="35"/>
        <v>GooD</v>
      </c>
    </row>
    <row r="2405" spans="1:9" ht="15.7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7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7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75" thickBot="1">
      <c r="A2410" s="288" t="s">
        <v>638</v>
      </c>
      <c r="B2410" s="288">
        <v>13500</v>
      </c>
      <c r="C2410" s="289">
        <v>6</v>
      </c>
      <c r="D2410" s="290">
        <v>0.31</v>
      </c>
      <c r="E2410" s="291">
        <v>2099</v>
      </c>
      <c r="F2410" s="291">
        <v>15599</v>
      </c>
      <c r="G2410" s="291">
        <v>203</v>
      </c>
      <c r="H2410" s="291">
        <v>2566</v>
      </c>
      <c r="I2410" s="292" t="str">
        <f t="shared" si="36"/>
        <v>GooD</v>
      </c>
    </row>
    <row r="2411" spans="1:9" ht="15.7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75" thickBot="1">
      <c r="A2413" s="288" t="s">
        <v>638</v>
      </c>
      <c r="B2413" s="288">
        <v>13500</v>
      </c>
      <c r="C2413" s="289">
        <v>12</v>
      </c>
      <c r="D2413" s="290">
        <v>0.31</v>
      </c>
      <c r="E2413" s="291">
        <v>4197</v>
      </c>
      <c r="F2413" s="291">
        <v>17697</v>
      </c>
      <c r="G2413" s="291">
        <v>405</v>
      </c>
      <c r="H2413" s="291">
        <v>1441</v>
      </c>
      <c r="I2413" s="292" t="str">
        <f t="shared" si="36"/>
        <v>GooD</v>
      </c>
    </row>
    <row r="2414" spans="1:9" ht="15.7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75" thickBot="1">
      <c r="A2416" s="288" t="s">
        <v>638</v>
      </c>
      <c r="B2416" s="288">
        <v>14000</v>
      </c>
      <c r="C2416" s="289">
        <v>8</v>
      </c>
      <c r="D2416" s="290">
        <v>0.31</v>
      </c>
      <c r="E2416" s="291">
        <v>2896</v>
      </c>
      <c r="F2416" s="291">
        <v>16896</v>
      </c>
      <c r="G2416" s="291">
        <v>280</v>
      </c>
      <c r="H2416" s="291">
        <v>2077</v>
      </c>
      <c r="I2416" s="292" t="str">
        <f t="shared" si="36"/>
        <v>GooD</v>
      </c>
    </row>
    <row r="2417" spans="1:9" ht="15.7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75" thickBot="1">
      <c r="A2419" s="288" t="s">
        <v>638</v>
      </c>
      <c r="B2419" s="288">
        <v>14500</v>
      </c>
      <c r="C2419" s="289">
        <v>4</v>
      </c>
      <c r="D2419" s="290">
        <v>0.31</v>
      </c>
      <c r="E2419" s="291">
        <v>1502</v>
      </c>
      <c r="F2419" s="291">
        <v>16002</v>
      </c>
      <c r="G2419" s="291">
        <v>170</v>
      </c>
      <c r="H2419" s="291">
        <v>3958</v>
      </c>
      <c r="I2419" s="292" t="str">
        <f t="shared" si="36"/>
        <v>GooD</v>
      </c>
    </row>
    <row r="2420" spans="1:9" ht="15.7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75" thickBot="1">
      <c r="A2422" s="288" t="s">
        <v>638</v>
      </c>
      <c r="B2422" s="288">
        <v>14500</v>
      </c>
      <c r="C2422" s="289">
        <v>10</v>
      </c>
      <c r="D2422" s="290">
        <v>0.31</v>
      </c>
      <c r="E2422" s="291">
        <v>3753</v>
      </c>
      <c r="F2422" s="291">
        <v>18253</v>
      </c>
      <c r="G2422" s="291">
        <v>423</v>
      </c>
      <c r="H2422" s="291">
        <v>1783</v>
      </c>
      <c r="I2422" s="292" t="str">
        <f t="shared" si="36"/>
        <v>GooD</v>
      </c>
    </row>
    <row r="2423" spans="1:9" ht="15.7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75" thickBot="1">
      <c r="A2425" s="288" t="s">
        <v>638</v>
      </c>
      <c r="B2425" s="288">
        <v>15000</v>
      </c>
      <c r="C2425" s="289">
        <v>6</v>
      </c>
      <c r="D2425" s="290">
        <v>0.31</v>
      </c>
      <c r="E2425" s="291">
        <v>2327</v>
      </c>
      <c r="F2425" s="291">
        <v>17327</v>
      </c>
      <c r="G2425" s="291">
        <v>263</v>
      </c>
      <c r="H2425" s="291">
        <v>2844</v>
      </c>
      <c r="I2425" s="292" t="str">
        <f t="shared" si="36"/>
        <v>GooD</v>
      </c>
    </row>
    <row r="2426" spans="1:9" ht="15.7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75" thickBot="1">
      <c r="A2428" s="288" t="s">
        <v>638</v>
      </c>
      <c r="B2428" s="288">
        <v>15000</v>
      </c>
      <c r="C2428" s="289">
        <v>12</v>
      </c>
      <c r="D2428" s="290">
        <v>0.31</v>
      </c>
      <c r="E2428" s="291">
        <v>4653</v>
      </c>
      <c r="F2428" s="291">
        <v>19653</v>
      </c>
      <c r="G2428" s="291">
        <v>525</v>
      </c>
      <c r="H2428" s="291">
        <v>1594</v>
      </c>
      <c r="I2428" s="292" t="str">
        <f t="shared" si="36"/>
        <v>GooD</v>
      </c>
    </row>
    <row r="2429" spans="1:9" ht="15.7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75" thickBot="1">
      <c r="A2431" s="288" t="s">
        <v>638</v>
      </c>
      <c r="B2431" s="288">
        <v>15500</v>
      </c>
      <c r="C2431" s="289">
        <v>8</v>
      </c>
      <c r="D2431" s="290">
        <v>0.31</v>
      </c>
      <c r="E2431" s="291">
        <v>3206</v>
      </c>
      <c r="F2431" s="291">
        <v>18706</v>
      </c>
      <c r="G2431" s="291">
        <v>362</v>
      </c>
      <c r="H2431" s="291">
        <v>2293</v>
      </c>
      <c r="I2431" s="292" t="str">
        <f t="shared" si="36"/>
        <v>GooD</v>
      </c>
    </row>
    <row r="2432" spans="1:9" ht="15.7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75" thickBot="1">
      <c r="A2434" s="288" t="s">
        <v>638</v>
      </c>
      <c r="B2434" s="288">
        <v>16000</v>
      </c>
      <c r="C2434" s="289">
        <v>4</v>
      </c>
      <c r="D2434" s="290">
        <v>0.31</v>
      </c>
      <c r="E2434" s="291">
        <v>1655</v>
      </c>
      <c r="F2434" s="291">
        <v>17655</v>
      </c>
      <c r="G2434" s="291">
        <v>187</v>
      </c>
      <c r="H2434" s="291">
        <v>4367</v>
      </c>
      <c r="I2434" s="292" t="str">
        <f t="shared" si="36"/>
        <v>GooD</v>
      </c>
    </row>
    <row r="2435" spans="1:9" ht="15.7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75" thickBot="1">
      <c r="A2437" s="288" t="s">
        <v>638</v>
      </c>
      <c r="B2437" s="288">
        <v>16000</v>
      </c>
      <c r="C2437" s="289">
        <v>10</v>
      </c>
      <c r="D2437" s="290">
        <v>0.31</v>
      </c>
      <c r="E2437" s="291">
        <v>4137</v>
      </c>
      <c r="F2437" s="291">
        <v>20137</v>
      </c>
      <c r="G2437" s="291">
        <v>467</v>
      </c>
      <c r="H2437" s="291">
        <v>1967</v>
      </c>
      <c r="I2437" s="292" t="str">
        <f t="shared" si="36"/>
        <v>GooD</v>
      </c>
    </row>
    <row r="2438" spans="1:9" ht="15.7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75" thickBot="1">
      <c r="A2440" s="288" t="s">
        <v>638</v>
      </c>
      <c r="B2440" s="288">
        <v>16500</v>
      </c>
      <c r="C2440" s="289">
        <v>6</v>
      </c>
      <c r="D2440" s="290">
        <v>0.31</v>
      </c>
      <c r="E2440" s="291">
        <v>2563</v>
      </c>
      <c r="F2440" s="291">
        <v>19063</v>
      </c>
      <c r="G2440" s="291">
        <v>289</v>
      </c>
      <c r="H2440" s="291">
        <v>3129</v>
      </c>
      <c r="I2440" s="292" t="str">
        <f t="shared" si="36"/>
        <v>GooD</v>
      </c>
    </row>
    <row r="2441" spans="1:9" ht="15.7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75" thickBot="1">
      <c r="A2443" s="288" t="s">
        <v>638</v>
      </c>
      <c r="B2443" s="288">
        <v>16500</v>
      </c>
      <c r="C2443" s="289">
        <v>12</v>
      </c>
      <c r="D2443" s="290">
        <v>0.31</v>
      </c>
      <c r="E2443" s="291">
        <v>5126</v>
      </c>
      <c r="F2443" s="291">
        <v>21626</v>
      </c>
      <c r="G2443" s="291">
        <v>578</v>
      </c>
      <c r="H2443" s="291">
        <v>1754</v>
      </c>
      <c r="I2443" s="292" t="str">
        <f t="shared" si="36"/>
        <v>GooD</v>
      </c>
    </row>
    <row r="2444" spans="1:9" ht="15.7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75" thickBot="1">
      <c r="A2446" s="288" t="s">
        <v>638</v>
      </c>
      <c r="B2446" s="288">
        <v>17000</v>
      </c>
      <c r="C2446" s="289">
        <v>8</v>
      </c>
      <c r="D2446" s="290">
        <v>0.31</v>
      </c>
      <c r="E2446" s="291">
        <v>3517</v>
      </c>
      <c r="F2446" s="291">
        <v>20517</v>
      </c>
      <c r="G2446" s="291">
        <v>397</v>
      </c>
      <c r="H2446" s="291">
        <v>2515</v>
      </c>
      <c r="I2446" s="292" t="str">
        <f t="shared" si="36"/>
        <v>GooD</v>
      </c>
    </row>
    <row r="2447" spans="1:9" ht="15.7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75" thickBot="1">
      <c r="A2449" s="288" t="s">
        <v>638</v>
      </c>
      <c r="B2449" s="288">
        <v>17500</v>
      </c>
      <c r="C2449" s="289">
        <v>4</v>
      </c>
      <c r="D2449" s="290">
        <v>0.31</v>
      </c>
      <c r="E2449" s="291">
        <v>1813</v>
      </c>
      <c r="F2449" s="291">
        <v>19313</v>
      </c>
      <c r="G2449" s="291">
        <v>205</v>
      </c>
      <c r="H2449" s="291">
        <v>4777</v>
      </c>
      <c r="I2449" s="292" t="str">
        <f t="shared" si="36"/>
        <v>GooD</v>
      </c>
    </row>
    <row r="2450" spans="1:9" ht="15.7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75" thickBot="1">
      <c r="A2452" s="288" t="s">
        <v>638</v>
      </c>
      <c r="B2452" s="288">
        <v>17500</v>
      </c>
      <c r="C2452" s="289">
        <v>10</v>
      </c>
      <c r="D2452" s="290">
        <v>0.31</v>
      </c>
      <c r="E2452" s="291">
        <v>4531</v>
      </c>
      <c r="F2452" s="291">
        <v>22031</v>
      </c>
      <c r="G2452" s="291">
        <v>511</v>
      </c>
      <c r="H2452" s="291">
        <v>2152</v>
      </c>
      <c r="I2452" s="292" t="str">
        <f t="shared" si="36"/>
        <v>GooD</v>
      </c>
    </row>
    <row r="2453" spans="1:9" ht="15.7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75" thickBot="1">
      <c r="A2455" s="288" t="s">
        <v>638</v>
      </c>
      <c r="B2455" s="288">
        <v>18000</v>
      </c>
      <c r="C2455" s="289">
        <v>6</v>
      </c>
      <c r="D2455" s="290">
        <v>0.31</v>
      </c>
      <c r="E2455" s="291">
        <v>2793</v>
      </c>
      <c r="F2455" s="291">
        <v>20793</v>
      </c>
      <c r="G2455" s="291">
        <v>315</v>
      </c>
      <c r="H2455" s="291">
        <v>3413</v>
      </c>
      <c r="I2455" s="292" t="str">
        <f t="shared" si="36"/>
        <v>GooD</v>
      </c>
    </row>
    <row r="2456" spans="1:9" ht="15.7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75" thickBot="1">
      <c r="A2458" s="288" t="s">
        <v>638</v>
      </c>
      <c r="B2458" s="288">
        <v>18000</v>
      </c>
      <c r="C2458" s="289">
        <v>12</v>
      </c>
      <c r="D2458" s="290">
        <v>0.31</v>
      </c>
      <c r="E2458" s="291">
        <v>5586</v>
      </c>
      <c r="F2458" s="291">
        <v>23586</v>
      </c>
      <c r="G2458" s="291">
        <v>630</v>
      </c>
      <c r="H2458" s="291">
        <v>1913</v>
      </c>
      <c r="I2458" s="292" t="str">
        <f t="shared" si="36"/>
        <v>GooD</v>
      </c>
    </row>
    <row r="2459" spans="1:9" ht="15.7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75" thickBot="1">
      <c r="A2461" s="288" t="s">
        <v>638</v>
      </c>
      <c r="B2461" s="288">
        <v>18500</v>
      </c>
      <c r="C2461" s="289">
        <v>8</v>
      </c>
      <c r="D2461" s="290">
        <v>0.31</v>
      </c>
      <c r="E2461" s="291">
        <v>3828</v>
      </c>
      <c r="F2461" s="291">
        <v>22328</v>
      </c>
      <c r="G2461" s="291">
        <v>432</v>
      </c>
      <c r="H2461" s="291">
        <v>2737</v>
      </c>
      <c r="I2461" s="292" t="str">
        <f t="shared" si="36"/>
        <v>GooD</v>
      </c>
    </row>
    <row r="2462" spans="1:9" ht="15.7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75" thickBot="1">
      <c r="A2464" s="288" t="s">
        <v>638</v>
      </c>
      <c r="B2464" s="288">
        <v>19000</v>
      </c>
      <c r="C2464" s="289">
        <v>4</v>
      </c>
      <c r="D2464" s="290">
        <v>0.31</v>
      </c>
      <c r="E2464" s="291">
        <v>1966</v>
      </c>
      <c r="F2464" s="291">
        <v>20966</v>
      </c>
      <c r="G2464" s="291">
        <v>222</v>
      </c>
      <c r="H2464" s="291">
        <v>5186</v>
      </c>
      <c r="I2464" s="292" t="str">
        <f t="shared" si="36"/>
        <v>GooD</v>
      </c>
    </row>
    <row r="2465" spans="1:9" ht="15.7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75" thickBot="1">
      <c r="A2467" s="288" t="s">
        <v>638</v>
      </c>
      <c r="B2467" s="288">
        <v>19000</v>
      </c>
      <c r="C2467" s="289">
        <v>10</v>
      </c>
      <c r="D2467" s="290">
        <v>0.31</v>
      </c>
      <c r="E2467" s="291">
        <v>4915</v>
      </c>
      <c r="F2467" s="291">
        <v>23915</v>
      </c>
      <c r="G2467" s="291">
        <v>555</v>
      </c>
      <c r="H2467" s="291">
        <v>2336</v>
      </c>
      <c r="I2467" s="292" t="str">
        <f t="shared" si="36"/>
        <v>GooD</v>
      </c>
    </row>
    <row r="2468" spans="1:9" ht="15.7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75" thickBot="1">
      <c r="A2470" s="288" t="s">
        <v>638</v>
      </c>
      <c r="B2470" s="288">
        <v>19500</v>
      </c>
      <c r="C2470" s="289">
        <v>6</v>
      </c>
      <c r="D2470" s="290">
        <v>0.31</v>
      </c>
      <c r="E2470" s="291">
        <v>3024</v>
      </c>
      <c r="F2470" s="291">
        <v>22524</v>
      </c>
      <c r="G2470" s="291">
        <v>342</v>
      </c>
      <c r="H2470" s="291">
        <v>3697</v>
      </c>
      <c r="I2470" s="292" t="str">
        <f t="shared" si="36"/>
        <v>GooD</v>
      </c>
    </row>
    <row r="2471" spans="1:9" ht="15.7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75" thickBot="1">
      <c r="A2473" s="288" t="s">
        <v>638</v>
      </c>
      <c r="B2473" s="288">
        <v>19500</v>
      </c>
      <c r="C2473" s="289">
        <v>12</v>
      </c>
      <c r="D2473" s="290">
        <v>0.31</v>
      </c>
      <c r="E2473" s="291">
        <v>6047</v>
      </c>
      <c r="F2473" s="291">
        <v>25547</v>
      </c>
      <c r="G2473" s="291">
        <v>683</v>
      </c>
      <c r="H2473" s="291">
        <v>2072</v>
      </c>
      <c r="I2473" s="292" t="str">
        <f t="shared" si="37"/>
        <v>GooD</v>
      </c>
    </row>
    <row r="2474" spans="1:9" ht="15.7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75" thickBot="1">
      <c r="A2476" s="288" t="s">
        <v>638</v>
      </c>
      <c r="B2476" s="288">
        <v>20000</v>
      </c>
      <c r="C2476" s="289">
        <v>8</v>
      </c>
      <c r="D2476" s="290">
        <v>0.31</v>
      </c>
      <c r="E2476" s="291">
        <v>4139</v>
      </c>
      <c r="F2476" s="291">
        <v>24139</v>
      </c>
      <c r="G2476" s="291">
        <v>467</v>
      </c>
      <c r="H2476" s="291">
        <v>2959</v>
      </c>
      <c r="I2476" s="292" t="str">
        <f t="shared" si="37"/>
        <v>GooD</v>
      </c>
    </row>
    <row r="2477" spans="1:9" ht="15.7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75" thickBot="1">
      <c r="A2479" s="288" t="s">
        <v>638</v>
      </c>
      <c r="B2479" s="288">
        <v>20000</v>
      </c>
      <c r="C2479" s="289">
        <v>14</v>
      </c>
      <c r="D2479" s="290">
        <v>0.31</v>
      </c>
      <c r="E2479" s="291">
        <v>7235</v>
      </c>
      <c r="F2479" s="291">
        <v>27235</v>
      </c>
      <c r="G2479" s="291">
        <v>817</v>
      </c>
      <c r="H2479" s="291">
        <v>1887</v>
      </c>
      <c r="I2479" s="292" t="str">
        <f t="shared" si="37"/>
        <v>GooD</v>
      </c>
    </row>
    <row r="2480" spans="1:9" ht="15.7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75" thickBot="1">
      <c r="A2482" s="288" t="s">
        <v>638</v>
      </c>
      <c r="B2482" s="288">
        <v>20000</v>
      </c>
      <c r="C2482" s="289">
        <v>20</v>
      </c>
      <c r="D2482" s="290">
        <v>0.31</v>
      </c>
      <c r="E2482" s="291">
        <v>10347</v>
      </c>
      <c r="F2482" s="291">
        <v>30347</v>
      </c>
      <c r="G2482" s="291">
        <v>1167</v>
      </c>
      <c r="H2482" s="291">
        <v>1459</v>
      </c>
      <c r="I2482" s="292" t="str">
        <f t="shared" si="37"/>
        <v>GooD</v>
      </c>
    </row>
    <row r="2483" spans="1:9" ht="15.7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75" thickBot="1">
      <c r="A2485" s="288" t="s">
        <v>638</v>
      </c>
      <c r="B2485" s="288">
        <v>21000</v>
      </c>
      <c r="C2485" s="289">
        <v>4</v>
      </c>
      <c r="D2485" s="290">
        <v>0.31</v>
      </c>
      <c r="E2485" s="291">
        <v>2173</v>
      </c>
      <c r="F2485" s="291">
        <v>23173</v>
      </c>
      <c r="G2485" s="291">
        <v>245</v>
      </c>
      <c r="H2485" s="291">
        <v>5732</v>
      </c>
      <c r="I2485" s="292" t="str">
        <f t="shared" si="37"/>
        <v>GooD</v>
      </c>
    </row>
    <row r="2486" spans="1:9" ht="15.7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75" thickBot="1">
      <c r="A2488" s="288" t="s">
        <v>638</v>
      </c>
      <c r="B2488" s="288">
        <v>21000</v>
      </c>
      <c r="C2488" s="289">
        <v>10</v>
      </c>
      <c r="D2488" s="290">
        <v>0.31</v>
      </c>
      <c r="E2488" s="291">
        <v>5433</v>
      </c>
      <c r="F2488" s="291">
        <v>26433</v>
      </c>
      <c r="G2488" s="291">
        <v>613</v>
      </c>
      <c r="H2488" s="291">
        <v>2582</v>
      </c>
      <c r="I2488" s="292" t="str">
        <f t="shared" si="37"/>
        <v>GooD</v>
      </c>
    </row>
    <row r="2489" spans="1:9" ht="15.7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75" thickBot="1">
      <c r="A2491" s="288" t="s">
        <v>638</v>
      </c>
      <c r="B2491" s="288">
        <v>21000</v>
      </c>
      <c r="C2491" s="289">
        <v>16</v>
      </c>
      <c r="D2491" s="290">
        <v>0.31</v>
      </c>
      <c r="E2491" s="291">
        <v>8684</v>
      </c>
      <c r="F2491" s="291">
        <v>29684</v>
      </c>
      <c r="G2491" s="291">
        <v>980</v>
      </c>
      <c r="H2491" s="291">
        <v>1794</v>
      </c>
      <c r="I2491" s="292" t="str">
        <f t="shared" si="37"/>
        <v>GooD</v>
      </c>
    </row>
    <row r="2492" spans="1:9" ht="15.7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75" thickBot="1">
      <c r="A2494" s="288" t="s">
        <v>638</v>
      </c>
      <c r="B2494" s="288">
        <v>21000</v>
      </c>
      <c r="C2494" s="289">
        <v>22</v>
      </c>
      <c r="D2494" s="290">
        <v>0.31</v>
      </c>
      <c r="E2494" s="291">
        <v>11940</v>
      </c>
      <c r="F2494" s="291">
        <v>32940</v>
      </c>
      <c r="G2494" s="291">
        <v>1348</v>
      </c>
      <c r="H2494" s="291">
        <v>1436</v>
      </c>
      <c r="I2494" s="292" t="str">
        <f t="shared" si="37"/>
        <v>GooD</v>
      </c>
    </row>
    <row r="2495" spans="1:9" ht="15.7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75" thickBot="1">
      <c r="A2497" s="288" t="s">
        <v>638</v>
      </c>
      <c r="B2497" s="288">
        <v>22000</v>
      </c>
      <c r="C2497" s="289">
        <v>6</v>
      </c>
      <c r="D2497" s="290">
        <v>0.31</v>
      </c>
      <c r="E2497" s="291">
        <v>3411</v>
      </c>
      <c r="F2497" s="291">
        <v>25411</v>
      </c>
      <c r="G2497" s="291">
        <v>385</v>
      </c>
      <c r="H2497" s="291">
        <v>4171</v>
      </c>
      <c r="I2497" s="292" t="str">
        <f t="shared" si="37"/>
        <v>GooD</v>
      </c>
    </row>
    <row r="2498" spans="1:9" ht="15.7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75" thickBot="1">
      <c r="A2500" s="288" t="s">
        <v>638</v>
      </c>
      <c r="B2500" s="288">
        <v>22000</v>
      </c>
      <c r="C2500" s="289">
        <v>12</v>
      </c>
      <c r="D2500" s="290">
        <v>0.31</v>
      </c>
      <c r="E2500" s="291">
        <v>6826</v>
      </c>
      <c r="F2500" s="291">
        <v>28826</v>
      </c>
      <c r="G2500" s="291">
        <v>770</v>
      </c>
      <c r="H2500" s="291">
        <v>2338</v>
      </c>
      <c r="I2500" s="292" t="str">
        <f t="shared" si="37"/>
        <v>GooD</v>
      </c>
    </row>
    <row r="2501" spans="1:9" ht="15.7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75" thickBot="1">
      <c r="A2503" s="288" t="s">
        <v>638</v>
      </c>
      <c r="B2503" s="288">
        <v>22000</v>
      </c>
      <c r="C2503" s="289">
        <v>18</v>
      </c>
      <c r="D2503" s="290">
        <v>0.31</v>
      </c>
      <c r="E2503" s="291">
        <v>10241</v>
      </c>
      <c r="F2503" s="291">
        <v>32241</v>
      </c>
      <c r="G2503" s="291">
        <v>1155</v>
      </c>
      <c r="H2503" s="291">
        <v>1727</v>
      </c>
      <c r="I2503" s="292" t="str">
        <f t="shared" si="37"/>
        <v>GooD</v>
      </c>
    </row>
    <row r="2504" spans="1:9" ht="15.7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75" thickBot="1">
      <c r="A2506" s="288" t="s">
        <v>638</v>
      </c>
      <c r="B2506" s="288">
        <v>22000</v>
      </c>
      <c r="C2506" s="289">
        <v>24</v>
      </c>
      <c r="D2506" s="290">
        <v>0.31</v>
      </c>
      <c r="E2506" s="291">
        <v>13644</v>
      </c>
      <c r="F2506" s="291">
        <v>35644</v>
      </c>
      <c r="G2506" s="291">
        <v>1540</v>
      </c>
      <c r="H2506" s="291">
        <v>1421</v>
      </c>
      <c r="I2506" s="292" t="str">
        <f t="shared" si="37"/>
        <v>GooD</v>
      </c>
    </row>
    <row r="2507" spans="1:9" ht="15.7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75" thickBot="1">
      <c r="A2509" s="288" t="s">
        <v>638</v>
      </c>
      <c r="B2509" s="288">
        <v>23000</v>
      </c>
      <c r="C2509" s="289">
        <v>8</v>
      </c>
      <c r="D2509" s="290">
        <v>0.31</v>
      </c>
      <c r="E2509" s="291">
        <v>4761</v>
      </c>
      <c r="F2509" s="291">
        <v>27761</v>
      </c>
      <c r="G2509" s="291">
        <v>537</v>
      </c>
      <c r="H2509" s="291">
        <v>3403</v>
      </c>
      <c r="I2509" s="292" t="str">
        <f t="shared" si="37"/>
        <v>GooD</v>
      </c>
    </row>
    <row r="2510" spans="1:9" ht="15.7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75" thickBot="1">
      <c r="A2512" s="288" t="s">
        <v>638</v>
      </c>
      <c r="B2512" s="288">
        <v>23000</v>
      </c>
      <c r="C2512" s="289">
        <v>14</v>
      </c>
      <c r="D2512" s="290">
        <v>0.31</v>
      </c>
      <c r="E2512" s="291">
        <v>8320</v>
      </c>
      <c r="F2512" s="291">
        <v>31320</v>
      </c>
      <c r="G2512" s="291">
        <v>940</v>
      </c>
      <c r="H2512" s="291">
        <v>2170</v>
      </c>
      <c r="I2512" s="292" t="str">
        <f t="shared" si="37"/>
        <v>GooD</v>
      </c>
    </row>
    <row r="2513" spans="1:9" ht="15.7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75" thickBot="1">
      <c r="A2515" s="288" t="s">
        <v>638</v>
      </c>
      <c r="B2515" s="288">
        <v>23000</v>
      </c>
      <c r="C2515" s="289">
        <v>20</v>
      </c>
      <c r="D2515" s="290">
        <v>0.31</v>
      </c>
      <c r="E2515" s="291">
        <v>11902</v>
      </c>
      <c r="F2515" s="291">
        <v>34902</v>
      </c>
      <c r="G2515" s="291">
        <v>1342</v>
      </c>
      <c r="H2515" s="291">
        <v>1678</v>
      </c>
      <c r="I2515" s="292" t="str">
        <f t="shared" si="37"/>
        <v>GooD</v>
      </c>
    </row>
    <row r="2516" spans="1:9" ht="15.7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75" thickBot="1">
      <c r="A2518" s="288" t="s">
        <v>638</v>
      </c>
      <c r="B2518" s="288">
        <v>24000</v>
      </c>
      <c r="C2518" s="289">
        <v>4</v>
      </c>
      <c r="D2518" s="290">
        <v>0.31</v>
      </c>
      <c r="E2518" s="291">
        <v>2484</v>
      </c>
      <c r="F2518" s="291">
        <v>26484</v>
      </c>
      <c r="G2518" s="291">
        <v>280</v>
      </c>
      <c r="H2518" s="291">
        <v>6551</v>
      </c>
      <c r="I2518" s="292" t="str">
        <f t="shared" si="37"/>
        <v>GooD</v>
      </c>
    </row>
    <row r="2519" spans="1:9" ht="15.7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75" thickBot="1">
      <c r="A2521" s="288" t="s">
        <v>638</v>
      </c>
      <c r="B2521" s="288">
        <v>24000</v>
      </c>
      <c r="C2521" s="289">
        <v>10</v>
      </c>
      <c r="D2521" s="290">
        <v>0.31</v>
      </c>
      <c r="E2521" s="291">
        <v>6210</v>
      </c>
      <c r="F2521" s="291">
        <v>30210</v>
      </c>
      <c r="G2521" s="291">
        <v>700</v>
      </c>
      <c r="H2521" s="291">
        <v>2951</v>
      </c>
      <c r="I2521" s="292" t="str">
        <f t="shared" si="37"/>
        <v>GooD</v>
      </c>
    </row>
    <row r="2522" spans="1:9" ht="15.7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75" thickBot="1">
      <c r="A2524" s="288" t="s">
        <v>638</v>
      </c>
      <c r="B2524" s="288">
        <v>24000</v>
      </c>
      <c r="C2524" s="289">
        <v>16</v>
      </c>
      <c r="D2524" s="290">
        <v>0.31</v>
      </c>
      <c r="E2524" s="291">
        <v>9936</v>
      </c>
      <c r="F2524" s="291">
        <v>33936</v>
      </c>
      <c r="G2524" s="291">
        <v>1120</v>
      </c>
      <c r="H2524" s="291">
        <v>2051</v>
      </c>
      <c r="I2524" s="292" t="str">
        <f t="shared" si="37"/>
        <v>GooD</v>
      </c>
    </row>
    <row r="2525" spans="1:9" ht="15.7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75" thickBot="1">
      <c r="A2527" s="288" t="s">
        <v>638</v>
      </c>
      <c r="B2527" s="288">
        <v>24000</v>
      </c>
      <c r="C2527" s="289">
        <v>22</v>
      </c>
      <c r="D2527" s="290">
        <v>0.31</v>
      </c>
      <c r="E2527" s="291">
        <v>13642</v>
      </c>
      <c r="F2527" s="291">
        <v>37642</v>
      </c>
      <c r="G2527" s="291">
        <v>1540</v>
      </c>
      <c r="H2527" s="291">
        <v>1641</v>
      </c>
      <c r="I2527" s="292" t="str">
        <f t="shared" si="37"/>
        <v>GooD</v>
      </c>
    </row>
    <row r="2528" spans="1:9" ht="15.7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75" thickBot="1">
      <c r="A2530" s="288" t="s">
        <v>638</v>
      </c>
      <c r="B2530" s="288">
        <v>25000</v>
      </c>
      <c r="C2530" s="289">
        <v>6</v>
      </c>
      <c r="D2530" s="290">
        <v>0.31</v>
      </c>
      <c r="E2530" s="291">
        <v>3878</v>
      </c>
      <c r="F2530" s="291">
        <v>28878</v>
      </c>
      <c r="G2530" s="291">
        <v>438</v>
      </c>
      <c r="H2530" s="291">
        <v>4740</v>
      </c>
      <c r="I2530" s="292" t="str">
        <f t="shared" si="37"/>
        <v>GooD</v>
      </c>
    </row>
    <row r="2531" spans="1:9" ht="15.7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75" thickBot="1">
      <c r="A2533" s="288" t="s">
        <v>638</v>
      </c>
      <c r="B2533" s="288">
        <v>25000</v>
      </c>
      <c r="C2533" s="289">
        <v>12</v>
      </c>
      <c r="D2533" s="290">
        <v>0.31</v>
      </c>
      <c r="E2533" s="291">
        <v>7759</v>
      </c>
      <c r="F2533" s="291">
        <v>32759</v>
      </c>
      <c r="G2533" s="291">
        <v>875</v>
      </c>
      <c r="H2533" s="291">
        <v>2657</v>
      </c>
      <c r="I2533" s="292" t="str">
        <f t="shared" si="37"/>
        <v>GooD</v>
      </c>
    </row>
    <row r="2534" spans="1:9" ht="15.7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75" thickBot="1">
      <c r="A2536" s="288" t="s">
        <v>638</v>
      </c>
      <c r="B2536" s="288">
        <v>25000</v>
      </c>
      <c r="C2536" s="289">
        <v>18</v>
      </c>
      <c r="D2536" s="290">
        <v>0.31</v>
      </c>
      <c r="E2536" s="291">
        <v>11629</v>
      </c>
      <c r="F2536" s="291">
        <v>36629</v>
      </c>
      <c r="G2536" s="291">
        <v>1313</v>
      </c>
      <c r="H2536" s="291">
        <v>1962</v>
      </c>
      <c r="I2536" s="292" t="str">
        <f t="shared" si="38"/>
        <v>GooD</v>
      </c>
    </row>
    <row r="2537" spans="1:9" ht="15.7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75" thickBot="1">
      <c r="A2539" s="288" t="s">
        <v>638</v>
      </c>
      <c r="B2539" s="288">
        <v>25000</v>
      </c>
      <c r="C2539" s="289">
        <v>24</v>
      </c>
      <c r="D2539" s="290">
        <v>0.31</v>
      </c>
      <c r="E2539" s="291">
        <v>15510</v>
      </c>
      <c r="F2539" s="291">
        <v>40510</v>
      </c>
      <c r="G2539" s="291">
        <v>1750</v>
      </c>
      <c r="H2539" s="291">
        <v>1615</v>
      </c>
      <c r="I2539" s="292" t="str">
        <f t="shared" si="38"/>
        <v>GooD</v>
      </c>
    </row>
    <row r="2540" spans="1:9" ht="15.7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75" thickBot="1">
      <c r="A2542" s="288" t="s">
        <v>638</v>
      </c>
      <c r="B2542" s="288">
        <v>26000</v>
      </c>
      <c r="C2542" s="289">
        <v>8</v>
      </c>
      <c r="D2542" s="290">
        <v>0.31</v>
      </c>
      <c r="E2542" s="291">
        <v>5375</v>
      </c>
      <c r="F2542" s="291">
        <v>31375</v>
      </c>
      <c r="G2542" s="291">
        <v>607</v>
      </c>
      <c r="H2542" s="291">
        <v>3846</v>
      </c>
      <c r="I2542" s="292" t="str">
        <f t="shared" si="38"/>
        <v>GooD</v>
      </c>
    </row>
    <row r="2543" spans="1:9" ht="15.7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75" thickBot="1">
      <c r="A2545" s="288" t="s">
        <v>638</v>
      </c>
      <c r="B2545" s="288">
        <v>26000</v>
      </c>
      <c r="C2545" s="289">
        <v>14</v>
      </c>
      <c r="D2545" s="290">
        <v>0.31</v>
      </c>
      <c r="E2545" s="291">
        <v>9404</v>
      </c>
      <c r="F2545" s="291">
        <v>35404</v>
      </c>
      <c r="G2545" s="291">
        <v>1062</v>
      </c>
      <c r="H2545" s="291">
        <v>2453</v>
      </c>
      <c r="I2545" s="292" t="str">
        <f t="shared" si="38"/>
        <v>GooD</v>
      </c>
    </row>
    <row r="2546" spans="1:9" ht="15.7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75" thickBot="1">
      <c r="A2548" s="288" t="s">
        <v>638</v>
      </c>
      <c r="B2548" s="288">
        <v>26000</v>
      </c>
      <c r="C2548" s="289">
        <v>20</v>
      </c>
      <c r="D2548" s="290">
        <v>0.31</v>
      </c>
      <c r="E2548" s="291">
        <v>13437</v>
      </c>
      <c r="F2548" s="291">
        <v>39437</v>
      </c>
      <c r="G2548" s="291">
        <v>1517</v>
      </c>
      <c r="H2548" s="291">
        <v>1896</v>
      </c>
      <c r="I2548" s="292" t="str">
        <f t="shared" si="38"/>
        <v>GooD</v>
      </c>
    </row>
    <row r="2549" spans="1:9" ht="15.7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75" thickBot="1">
      <c r="A2551" s="288" t="s">
        <v>638</v>
      </c>
      <c r="B2551" s="288">
        <v>27000</v>
      </c>
      <c r="C2551" s="289">
        <v>4</v>
      </c>
      <c r="D2551" s="290">
        <v>0.31</v>
      </c>
      <c r="E2551" s="291">
        <v>2791</v>
      </c>
      <c r="F2551" s="291">
        <v>29791</v>
      </c>
      <c r="G2551" s="291">
        <v>315</v>
      </c>
      <c r="H2551" s="291">
        <v>7369</v>
      </c>
      <c r="I2551" s="292" t="str">
        <f t="shared" si="38"/>
        <v>GooD</v>
      </c>
    </row>
    <row r="2552" spans="1:9" ht="15.7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75" thickBot="1">
      <c r="A2554" s="288" t="s">
        <v>638</v>
      </c>
      <c r="B2554" s="288">
        <v>27000</v>
      </c>
      <c r="C2554" s="289">
        <v>10</v>
      </c>
      <c r="D2554" s="290">
        <v>0.31</v>
      </c>
      <c r="E2554" s="291">
        <v>6978</v>
      </c>
      <c r="F2554" s="291">
        <v>33978</v>
      </c>
      <c r="G2554" s="291">
        <v>788</v>
      </c>
      <c r="H2554" s="291">
        <v>3319</v>
      </c>
      <c r="I2554" s="292" t="str">
        <f t="shared" si="38"/>
        <v>GooD</v>
      </c>
    </row>
    <row r="2555" spans="1:9" ht="15.7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75" thickBot="1">
      <c r="A2557" s="288" t="s">
        <v>638</v>
      </c>
      <c r="B2557" s="288">
        <v>27000</v>
      </c>
      <c r="C2557" s="289">
        <v>16</v>
      </c>
      <c r="D2557" s="290">
        <v>0.31</v>
      </c>
      <c r="E2557" s="291">
        <v>11172</v>
      </c>
      <c r="F2557" s="291">
        <v>38172</v>
      </c>
      <c r="G2557" s="291">
        <v>1260</v>
      </c>
      <c r="H2557" s="291">
        <v>2307</v>
      </c>
      <c r="I2557" s="292" t="str">
        <f t="shared" si="38"/>
        <v>GooD</v>
      </c>
    </row>
    <row r="2558" spans="1:9" ht="15.7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75" thickBot="1">
      <c r="A2560" s="288" t="s">
        <v>638</v>
      </c>
      <c r="B2560" s="288">
        <v>27000</v>
      </c>
      <c r="C2560" s="289">
        <v>22</v>
      </c>
      <c r="D2560" s="290">
        <v>0.31</v>
      </c>
      <c r="E2560" s="291">
        <v>15367</v>
      </c>
      <c r="F2560" s="291">
        <v>42367</v>
      </c>
      <c r="G2560" s="291">
        <v>1733</v>
      </c>
      <c r="H2560" s="291">
        <v>1847</v>
      </c>
      <c r="I2560" s="292" t="str">
        <f t="shared" si="38"/>
        <v>GooD</v>
      </c>
    </row>
    <row r="2561" spans="1:9" ht="15.7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75" thickBot="1">
      <c r="A2563" s="288" t="s">
        <v>638</v>
      </c>
      <c r="B2563" s="288">
        <v>28000</v>
      </c>
      <c r="C2563" s="289">
        <v>6</v>
      </c>
      <c r="D2563" s="290">
        <v>0.31</v>
      </c>
      <c r="E2563" s="291">
        <v>4344</v>
      </c>
      <c r="F2563" s="291">
        <v>32344</v>
      </c>
      <c r="G2563" s="291">
        <v>490</v>
      </c>
      <c r="H2563" s="291">
        <v>5309</v>
      </c>
      <c r="I2563" s="292" t="str">
        <f t="shared" si="38"/>
        <v>GooD</v>
      </c>
    </row>
    <row r="2564" spans="1:9" ht="15.7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75" thickBot="1">
      <c r="A2566" s="288" t="s">
        <v>638</v>
      </c>
      <c r="B2566" s="288">
        <v>28000</v>
      </c>
      <c r="C2566" s="289">
        <v>12</v>
      </c>
      <c r="D2566" s="290">
        <v>0.31</v>
      </c>
      <c r="E2566" s="291">
        <v>8692</v>
      </c>
      <c r="F2566" s="291">
        <v>36692</v>
      </c>
      <c r="G2566" s="291">
        <v>980</v>
      </c>
      <c r="H2566" s="291">
        <v>2976</v>
      </c>
      <c r="I2566" s="292" t="str">
        <f t="shared" si="38"/>
        <v>GooD</v>
      </c>
    </row>
    <row r="2567" spans="1:9" ht="15.7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75" thickBot="1">
      <c r="A2569" s="288" t="s">
        <v>638</v>
      </c>
      <c r="B2569" s="288">
        <v>28000</v>
      </c>
      <c r="C2569" s="289">
        <v>18</v>
      </c>
      <c r="D2569" s="290">
        <v>0.31</v>
      </c>
      <c r="E2569" s="291">
        <v>13034</v>
      </c>
      <c r="F2569" s="291">
        <v>41034</v>
      </c>
      <c r="G2569" s="291">
        <v>1470</v>
      </c>
      <c r="H2569" s="291">
        <v>2198</v>
      </c>
      <c r="I2569" s="292" t="str">
        <f t="shared" si="38"/>
        <v>GooD</v>
      </c>
    </row>
    <row r="2570" spans="1:9" ht="15.7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75" thickBot="1">
      <c r="A2572" s="288" t="s">
        <v>638</v>
      </c>
      <c r="B2572" s="288">
        <v>28000</v>
      </c>
      <c r="C2572" s="289">
        <v>24</v>
      </c>
      <c r="D2572" s="290">
        <v>0.31</v>
      </c>
      <c r="E2572" s="291">
        <v>17376</v>
      </c>
      <c r="F2572" s="291">
        <v>45376</v>
      </c>
      <c r="G2572" s="291">
        <v>1960</v>
      </c>
      <c r="H2572" s="291">
        <v>1809</v>
      </c>
      <c r="I2572" s="292" t="str">
        <f t="shared" si="38"/>
        <v>GooD</v>
      </c>
    </row>
    <row r="2573" spans="1:9" ht="15.7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75" thickBot="1">
      <c r="A2575" s="288" t="s">
        <v>638</v>
      </c>
      <c r="B2575" s="288">
        <v>29000</v>
      </c>
      <c r="C2575" s="289">
        <v>8</v>
      </c>
      <c r="D2575" s="290">
        <v>0.31</v>
      </c>
      <c r="E2575" s="291">
        <v>5997</v>
      </c>
      <c r="F2575" s="291">
        <v>34997</v>
      </c>
      <c r="G2575" s="291">
        <v>677</v>
      </c>
      <c r="H2575" s="291">
        <v>4290</v>
      </c>
      <c r="I2575" s="292" t="str">
        <f t="shared" si="38"/>
        <v>GooD</v>
      </c>
    </row>
    <row r="2576" spans="1:9" ht="15.7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75" thickBot="1">
      <c r="A2578" s="288" t="s">
        <v>638</v>
      </c>
      <c r="B2578" s="288">
        <v>29000</v>
      </c>
      <c r="C2578" s="289">
        <v>14</v>
      </c>
      <c r="D2578" s="290">
        <v>0.31</v>
      </c>
      <c r="E2578" s="291">
        <v>10503</v>
      </c>
      <c r="F2578" s="291">
        <v>39503</v>
      </c>
      <c r="G2578" s="291">
        <v>1185</v>
      </c>
      <c r="H2578" s="291">
        <v>2737</v>
      </c>
      <c r="I2578" s="292" t="str">
        <f t="shared" si="38"/>
        <v>GooD</v>
      </c>
    </row>
    <row r="2579" spans="1:9" ht="15.7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75" thickBot="1">
      <c r="A2581" s="288" t="s">
        <v>638</v>
      </c>
      <c r="B2581" s="288">
        <v>29000</v>
      </c>
      <c r="C2581" s="289">
        <v>20</v>
      </c>
      <c r="D2581" s="290">
        <v>0.31</v>
      </c>
      <c r="E2581" s="291">
        <v>14992</v>
      </c>
      <c r="F2581" s="291">
        <v>43992</v>
      </c>
      <c r="G2581" s="291">
        <v>1692</v>
      </c>
      <c r="H2581" s="291">
        <v>2115</v>
      </c>
      <c r="I2581" s="292" t="str">
        <f t="shared" si="38"/>
        <v>GooD</v>
      </c>
    </row>
    <row r="2582" spans="1:9" ht="15.7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75" thickBot="1">
      <c r="A2584" s="288" t="s">
        <v>638</v>
      </c>
      <c r="B2584" s="288">
        <v>30000</v>
      </c>
      <c r="C2584" s="289">
        <v>4</v>
      </c>
      <c r="D2584" s="290">
        <v>0.31</v>
      </c>
      <c r="E2584" s="291">
        <v>3102</v>
      </c>
      <c r="F2584" s="291">
        <v>33102</v>
      </c>
      <c r="G2584" s="291">
        <v>350</v>
      </c>
      <c r="H2584" s="291">
        <v>8188</v>
      </c>
      <c r="I2584" s="292" t="str">
        <f t="shared" si="38"/>
        <v>GooD</v>
      </c>
    </row>
    <row r="2585" spans="1:9" ht="15.7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75" thickBot="1">
      <c r="A2587" s="288" t="s">
        <v>638</v>
      </c>
      <c r="B2587" s="288">
        <v>30000</v>
      </c>
      <c r="C2587" s="289">
        <v>10</v>
      </c>
      <c r="D2587" s="290">
        <v>0.31</v>
      </c>
      <c r="E2587" s="291">
        <v>7755</v>
      </c>
      <c r="F2587" s="291">
        <v>37755</v>
      </c>
      <c r="G2587" s="291">
        <v>875</v>
      </c>
      <c r="H2587" s="291">
        <v>3688</v>
      </c>
      <c r="I2587" s="292" t="str">
        <f t="shared" si="38"/>
        <v>GooD</v>
      </c>
    </row>
    <row r="2588" spans="1:9" ht="15.7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75" thickBot="1">
      <c r="A2590" s="288" t="s">
        <v>638</v>
      </c>
      <c r="B2590" s="288">
        <v>30000</v>
      </c>
      <c r="C2590" s="289">
        <v>16</v>
      </c>
      <c r="D2590" s="290">
        <v>0.31</v>
      </c>
      <c r="E2590" s="291">
        <v>12408</v>
      </c>
      <c r="F2590" s="291">
        <v>42408</v>
      </c>
      <c r="G2590" s="291">
        <v>1400</v>
      </c>
      <c r="H2590" s="291">
        <v>2563</v>
      </c>
      <c r="I2590" s="292" t="str">
        <f t="shared" si="38"/>
        <v>GooD</v>
      </c>
    </row>
    <row r="2591" spans="1:9" ht="15.7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75" thickBot="1">
      <c r="A2593" s="288" t="s">
        <v>638</v>
      </c>
      <c r="B2593" s="288">
        <v>30000</v>
      </c>
      <c r="C2593" s="289">
        <v>22</v>
      </c>
      <c r="D2593" s="290">
        <v>0.31</v>
      </c>
      <c r="E2593" s="291">
        <v>17069</v>
      </c>
      <c r="F2593" s="291">
        <v>47069</v>
      </c>
      <c r="G2593" s="291">
        <v>1925</v>
      </c>
      <c r="H2593" s="291">
        <v>2052</v>
      </c>
      <c r="I2593" s="292" t="str">
        <f t="shared" si="38"/>
        <v>GooD</v>
      </c>
    </row>
    <row r="2594" spans="1:9" ht="15.7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75" thickBot="1">
      <c r="A2596" s="288" t="s">
        <v>638</v>
      </c>
      <c r="B2596" s="288">
        <v>31000</v>
      </c>
      <c r="C2596" s="289">
        <v>6</v>
      </c>
      <c r="D2596" s="290">
        <v>0.31</v>
      </c>
      <c r="E2596" s="291">
        <v>4811</v>
      </c>
      <c r="F2596" s="291">
        <v>35811</v>
      </c>
      <c r="G2596" s="291">
        <v>543</v>
      </c>
      <c r="H2596" s="291">
        <v>5878</v>
      </c>
      <c r="I2596" s="292" t="str">
        <f t="shared" si="38"/>
        <v>GooD</v>
      </c>
    </row>
    <row r="2597" spans="1:9" ht="15.7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7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7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75" thickBot="1">
      <c r="A2602" s="288" t="s">
        <v>638</v>
      </c>
      <c r="B2602" s="288">
        <v>31000</v>
      </c>
      <c r="C2602" s="289">
        <v>18</v>
      </c>
      <c r="D2602" s="290">
        <v>0.31</v>
      </c>
      <c r="E2602" s="291">
        <v>14422</v>
      </c>
      <c r="F2602" s="291">
        <v>45422</v>
      </c>
      <c r="G2602" s="291">
        <v>1628</v>
      </c>
      <c r="H2602" s="291">
        <v>2433</v>
      </c>
      <c r="I2602" s="292" t="str">
        <f t="shared" si="39"/>
        <v>GooD</v>
      </c>
    </row>
    <row r="2603" spans="1:9" ht="15.7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75" thickBot="1">
      <c r="A2605" s="288" t="s">
        <v>638</v>
      </c>
      <c r="B2605" s="288">
        <v>31000</v>
      </c>
      <c r="C2605" s="289">
        <v>24</v>
      </c>
      <c r="D2605" s="290">
        <v>0.31</v>
      </c>
      <c r="E2605" s="291">
        <v>19242</v>
      </c>
      <c r="F2605" s="291">
        <v>50242</v>
      </c>
      <c r="G2605" s="291">
        <v>2170</v>
      </c>
      <c r="H2605" s="291">
        <v>2003</v>
      </c>
      <c r="I2605" s="292" t="str">
        <f t="shared" si="39"/>
        <v>GooD</v>
      </c>
    </row>
    <row r="2606" spans="1:9" ht="15.7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75" thickBot="1">
      <c r="A2608" s="288" t="s">
        <v>638</v>
      </c>
      <c r="B2608" s="288">
        <v>32000</v>
      </c>
      <c r="C2608" s="289">
        <v>8</v>
      </c>
      <c r="D2608" s="290">
        <v>0.31</v>
      </c>
      <c r="E2608" s="291">
        <v>6619</v>
      </c>
      <c r="F2608" s="291">
        <v>38619</v>
      </c>
      <c r="G2608" s="291">
        <v>747</v>
      </c>
      <c r="H2608" s="291">
        <v>4734</v>
      </c>
      <c r="I2608" s="292" t="str">
        <f t="shared" si="39"/>
        <v>GooD</v>
      </c>
    </row>
    <row r="2609" spans="1:9" ht="15.7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75" thickBot="1">
      <c r="A2611" s="288" t="s">
        <v>638</v>
      </c>
      <c r="B2611" s="288">
        <v>32000</v>
      </c>
      <c r="C2611" s="289">
        <v>14</v>
      </c>
      <c r="D2611" s="290">
        <v>0.31</v>
      </c>
      <c r="E2611" s="291">
        <v>11587</v>
      </c>
      <c r="F2611" s="291">
        <v>43587</v>
      </c>
      <c r="G2611" s="291">
        <v>1307</v>
      </c>
      <c r="H2611" s="291">
        <v>3020</v>
      </c>
      <c r="I2611" s="292" t="str">
        <f t="shared" si="39"/>
        <v>GooD</v>
      </c>
    </row>
    <row r="2612" spans="1:9" ht="15.7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75" thickBot="1">
      <c r="A2614" s="288" t="s">
        <v>638</v>
      </c>
      <c r="B2614" s="288">
        <v>32000</v>
      </c>
      <c r="C2614" s="289">
        <v>20</v>
      </c>
      <c r="D2614" s="290">
        <v>0.31</v>
      </c>
      <c r="E2614" s="291">
        <v>16547</v>
      </c>
      <c r="F2614" s="291">
        <v>48547</v>
      </c>
      <c r="G2614" s="291">
        <v>1867</v>
      </c>
      <c r="H2614" s="291">
        <v>2334</v>
      </c>
      <c r="I2614" s="292" t="str">
        <f t="shared" si="39"/>
        <v>GooD</v>
      </c>
    </row>
    <row r="2615" spans="1:9" ht="15.7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75" thickBot="1">
      <c r="A2617" s="288" t="s">
        <v>638</v>
      </c>
      <c r="B2617" s="288">
        <v>33000</v>
      </c>
      <c r="C2617" s="289">
        <v>4</v>
      </c>
      <c r="D2617" s="290">
        <v>0.31</v>
      </c>
      <c r="E2617" s="291">
        <v>3413</v>
      </c>
      <c r="F2617" s="291">
        <v>36413</v>
      </c>
      <c r="G2617" s="291">
        <v>385</v>
      </c>
      <c r="H2617" s="291">
        <v>9007</v>
      </c>
      <c r="I2617" s="292" t="str">
        <f t="shared" si="39"/>
        <v>GooD</v>
      </c>
    </row>
    <row r="2618" spans="1:9" ht="15.7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75" thickBot="1">
      <c r="A2620" s="288" t="s">
        <v>638</v>
      </c>
      <c r="B2620" s="288">
        <v>33000</v>
      </c>
      <c r="C2620" s="289">
        <v>10</v>
      </c>
      <c r="D2620" s="290">
        <v>0.31</v>
      </c>
      <c r="E2620" s="291">
        <v>8533</v>
      </c>
      <c r="F2620" s="291">
        <v>41533</v>
      </c>
      <c r="G2620" s="291">
        <v>963</v>
      </c>
      <c r="H2620" s="291">
        <v>4057</v>
      </c>
      <c r="I2620" s="292" t="str">
        <f t="shared" si="39"/>
        <v>GooD</v>
      </c>
    </row>
    <row r="2621" spans="1:9" ht="15.7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75" thickBot="1">
      <c r="A2623" s="288" t="s">
        <v>638</v>
      </c>
      <c r="B2623" s="288">
        <v>33000</v>
      </c>
      <c r="C2623" s="289">
        <v>16</v>
      </c>
      <c r="D2623" s="290">
        <v>0.31</v>
      </c>
      <c r="E2623" s="291">
        <v>13644</v>
      </c>
      <c r="F2623" s="291">
        <v>46644</v>
      </c>
      <c r="G2623" s="291">
        <v>1540</v>
      </c>
      <c r="H2623" s="291">
        <v>2819</v>
      </c>
      <c r="I2623" s="292" t="str">
        <f t="shared" si="39"/>
        <v>GooD</v>
      </c>
    </row>
    <row r="2624" spans="1:9" ht="15.7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75" thickBot="1">
      <c r="A2626" s="288" t="s">
        <v>638</v>
      </c>
      <c r="B2626" s="288">
        <v>33000</v>
      </c>
      <c r="C2626" s="289">
        <v>22</v>
      </c>
      <c r="D2626" s="290">
        <v>0.31</v>
      </c>
      <c r="E2626" s="291">
        <v>18772</v>
      </c>
      <c r="F2626" s="291">
        <v>51772</v>
      </c>
      <c r="G2626" s="291">
        <v>2118</v>
      </c>
      <c r="H2626" s="291">
        <v>2257</v>
      </c>
      <c r="I2626" s="292" t="str">
        <f t="shared" si="39"/>
        <v>GooD</v>
      </c>
    </row>
    <row r="2627" spans="1:9" ht="15.7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75" thickBot="1">
      <c r="A2629" s="288" t="s">
        <v>638</v>
      </c>
      <c r="B2629" s="288">
        <v>34000</v>
      </c>
      <c r="C2629" s="289">
        <v>6</v>
      </c>
      <c r="D2629" s="290">
        <v>0.31</v>
      </c>
      <c r="E2629" s="291">
        <v>5271</v>
      </c>
      <c r="F2629" s="291">
        <v>39271</v>
      </c>
      <c r="G2629" s="291">
        <v>595</v>
      </c>
      <c r="H2629" s="291">
        <v>6446</v>
      </c>
      <c r="I2629" s="292" t="str">
        <f t="shared" si="39"/>
        <v>GooD</v>
      </c>
    </row>
    <row r="2630" spans="1:9" ht="15.7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75" thickBot="1">
      <c r="A2632" s="288" t="s">
        <v>638</v>
      </c>
      <c r="B2632" s="288">
        <v>34000</v>
      </c>
      <c r="C2632" s="289">
        <v>12</v>
      </c>
      <c r="D2632" s="290">
        <v>0.31</v>
      </c>
      <c r="E2632" s="291">
        <v>10546</v>
      </c>
      <c r="F2632" s="291">
        <v>44546</v>
      </c>
      <c r="G2632" s="291">
        <v>1190</v>
      </c>
      <c r="H2632" s="291">
        <v>3613</v>
      </c>
      <c r="I2632" s="292" t="str">
        <f t="shared" si="39"/>
        <v>GooD</v>
      </c>
    </row>
    <row r="2633" spans="1:9" ht="15.7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75" thickBot="1">
      <c r="A2635" s="288" t="s">
        <v>638</v>
      </c>
      <c r="B2635" s="288">
        <v>34000</v>
      </c>
      <c r="C2635" s="289">
        <v>18</v>
      </c>
      <c r="D2635" s="290">
        <v>0.31</v>
      </c>
      <c r="E2635" s="291">
        <v>15827</v>
      </c>
      <c r="F2635" s="291">
        <v>49827</v>
      </c>
      <c r="G2635" s="291">
        <v>1785</v>
      </c>
      <c r="H2635" s="291">
        <v>2669</v>
      </c>
      <c r="I2635" s="292" t="str">
        <f t="shared" si="39"/>
        <v>GooD</v>
      </c>
    </row>
    <row r="2636" spans="1:9" ht="15.7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75" thickBot="1">
      <c r="A2638" s="288" t="s">
        <v>638</v>
      </c>
      <c r="B2638" s="288">
        <v>34000</v>
      </c>
      <c r="C2638" s="289">
        <v>24</v>
      </c>
      <c r="D2638" s="290">
        <v>0.31</v>
      </c>
      <c r="E2638" s="291">
        <v>21084</v>
      </c>
      <c r="F2638" s="291">
        <v>55084</v>
      </c>
      <c r="G2638" s="291">
        <v>2380</v>
      </c>
      <c r="H2638" s="291">
        <v>2196</v>
      </c>
      <c r="I2638" s="292" t="str">
        <f t="shared" si="39"/>
        <v>GooD</v>
      </c>
    </row>
    <row r="2639" spans="1:9" ht="15.7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75" thickBot="1">
      <c r="A2641" s="288" t="s">
        <v>638</v>
      </c>
      <c r="B2641" s="288">
        <v>35000</v>
      </c>
      <c r="C2641" s="289">
        <v>8</v>
      </c>
      <c r="D2641" s="290">
        <v>0.31</v>
      </c>
      <c r="E2641" s="291">
        <v>7241</v>
      </c>
      <c r="F2641" s="291">
        <v>42241</v>
      </c>
      <c r="G2641" s="291">
        <v>817</v>
      </c>
      <c r="H2641" s="291">
        <v>5178</v>
      </c>
      <c r="I2641" s="292" t="str">
        <f t="shared" si="39"/>
        <v>GooD</v>
      </c>
    </row>
    <row r="2642" spans="1:9" ht="15.7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75" thickBot="1">
      <c r="A2644" s="288" t="s">
        <v>638</v>
      </c>
      <c r="B2644" s="288">
        <v>35000</v>
      </c>
      <c r="C2644" s="289">
        <v>14</v>
      </c>
      <c r="D2644" s="290">
        <v>0.31</v>
      </c>
      <c r="E2644" s="291">
        <v>12672</v>
      </c>
      <c r="F2644" s="291">
        <v>47672</v>
      </c>
      <c r="G2644" s="291">
        <v>1430</v>
      </c>
      <c r="H2644" s="291">
        <v>3303</v>
      </c>
      <c r="I2644" s="292" t="str">
        <f t="shared" si="39"/>
        <v>GooD</v>
      </c>
    </row>
    <row r="2645" spans="1:9" ht="15.7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75" thickBot="1">
      <c r="A2647" s="288" t="s">
        <v>638</v>
      </c>
      <c r="B2647" s="288">
        <v>35000</v>
      </c>
      <c r="C2647" s="289">
        <v>20</v>
      </c>
      <c r="D2647" s="290">
        <v>0.31</v>
      </c>
      <c r="E2647" s="291">
        <v>18102</v>
      </c>
      <c r="F2647" s="291">
        <v>53102</v>
      </c>
      <c r="G2647" s="291">
        <v>2042</v>
      </c>
      <c r="H2647" s="291">
        <v>2553</v>
      </c>
      <c r="I2647" s="292" t="str">
        <f t="shared" si="39"/>
        <v>GooD</v>
      </c>
    </row>
    <row r="2648" spans="1:9" ht="15.7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75" thickBot="1">
      <c r="A2650" s="288" t="s">
        <v>638</v>
      </c>
      <c r="B2650" s="288">
        <v>36000</v>
      </c>
      <c r="C2650" s="289">
        <v>4</v>
      </c>
      <c r="D2650" s="290">
        <v>0.31</v>
      </c>
      <c r="E2650" s="291">
        <v>3724</v>
      </c>
      <c r="F2650" s="291">
        <v>39724</v>
      </c>
      <c r="G2650" s="291">
        <v>420</v>
      </c>
      <c r="H2650" s="291">
        <v>9826</v>
      </c>
      <c r="I2650" s="292" t="str">
        <f t="shared" si="39"/>
        <v>GooD</v>
      </c>
    </row>
    <row r="2651" spans="1:9" ht="15.7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75" thickBot="1">
      <c r="A2653" s="288" t="s">
        <v>638</v>
      </c>
      <c r="B2653" s="288">
        <v>36000</v>
      </c>
      <c r="C2653" s="289">
        <v>10</v>
      </c>
      <c r="D2653" s="290">
        <v>0.31</v>
      </c>
      <c r="E2653" s="291">
        <v>9310</v>
      </c>
      <c r="F2653" s="291">
        <v>45310</v>
      </c>
      <c r="G2653" s="291">
        <v>1050</v>
      </c>
      <c r="H2653" s="291">
        <v>4426</v>
      </c>
      <c r="I2653" s="292" t="str">
        <f t="shared" si="39"/>
        <v>GooD</v>
      </c>
    </row>
    <row r="2654" spans="1:9" ht="15.7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75" thickBot="1">
      <c r="A2656" s="288" t="s">
        <v>638</v>
      </c>
      <c r="B2656" s="288">
        <v>36000</v>
      </c>
      <c r="C2656" s="289">
        <v>16</v>
      </c>
      <c r="D2656" s="290">
        <v>0.31</v>
      </c>
      <c r="E2656" s="291">
        <v>14896</v>
      </c>
      <c r="F2656" s="291">
        <v>50896</v>
      </c>
      <c r="G2656" s="291">
        <v>1680</v>
      </c>
      <c r="H2656" s="291">
        <v>3076</v>
      </c>
      <c r="I2656" s="292" t="str">
        <f t="shared" si="39"/>
        <v>GooD</v>
      </c>
    </row>
    <row r="2657" spans="1:9" ht="15.7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75" thickBot="1">
      <c r="A2659" s="288" t="s">
        <v>638</v>
      </c>
      <c r="B2659" s="288">
        <v>36000</v>
      </c>
      <c r="C2659" s="289">
        <v>22</v>
      </c>
      <c r="D2659" s="290">
        <v>0.31</v>
      </c>
      <c r="E2659" s="291">
        <v>20474</v>
      </c>
      <c r="F2659" s="291">
        <v>56474</v>
      </c>
      <c r="G2659" s="291">
        <v>2310</v>
      </c>
      <c r="H2659" s="291">
        <v>2462</v>
      </c>
      <c r="I2659" s="292" t="str">
        <f t="shared" si="39"/>
        <v>GooD</v>
      </c>
    </row>
    <row r="2660" spans="1:9" ht="15.7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75" thickBot="1">
      <c r="A2662" s="288" t="s">
        <v>638</v>
      </c>
      <c r="B2662" s="288">
        <v>37000</v>
      </c>
      <c r="C2662" s="289">
        <v>6</v>
      </c>
      <c r="D2662" s="290">
        <v>0.31</v>
      </c>
      <c r="E2662" s="291">
        <v>5738</v>
      </c>
      <c r="F2662" s="291">
        <v>42738</v>
      </c>
      <c r="G2662" s="291">
        <v>648</v>
      </c>
      <c r="H2662" s="291">
        <v>7015</v>
      </c>
      <c r="I2662" s="292" t="str">
        <f t="shared" si="39"/>
        <v>GooD</v>
      </c>
    </row>
    <row r="2663" spans="1:9" ht="15.7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75" thickBot="1">
      <c r="A2665" s="288" t="s">
        <v>638</v>
      </c>
      <c r="B2665" s="288">
        <v>37000</v>
      </c>
      <c r="C2665" s="289">
        <v>12</v>
      </c>
      <c r="D2665" s="290">
        <v>0.31</v>
      </c>
      <c r="E2665" s="291">
        <v>11479</v>
      </c>
      <c r="F2665" s="291">
        <v>48479</v>
      </c>
      <c r="G2665" s="291">
        <v>1295</v>
      </c>
      <c r="H2665" s="291">
        <v>3932</v>
      </c>
      <c r="I2665" s="292" t="str">
        <f t="shared" si="40"/>
        <v>GooD</v>
      </c>
    </row>
    <row r="2666" spans="1:9" ht="15.7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75" thickBot="1">
      <c r="A2668" s="288" t="s">
        <v>638</v>
      </c>
      <c r="B2668" s="288">
        <v>37000</v>
      </c>
      <c r="C2668" s="289">
        <v>18</v>
      </c>
      <c r="D2668" s="290">
        <v>0.31</v>
      </c>
      <c r="E2668" s="291">
        <v>17215</v>
      </c>
      <c r="F2668" s="291">
        <v>54215</v>
      </c>
      <c r="G2668" s="291">
        <v>1943</v>
      </c>
      <c r="H2668" s="291">
        <v>2904</v>
      </c>
      <c r="I2668" s="292" t="str">
        <f t="shared" si="40"/>
        <v>GooD</v>
      </c>
    </row>
    <row r="2669" spans="1:9" ht="15.7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75" thickBot="1">
      <c r="A2671" s="288" t="s">
        <v>638</v>
      </c>
      <c r="B2671" s="288">
        <v>37000</v>
      </c>
      <c r="C2671" s="289">
        <v>24</v>
      </c>
      <c r="D2671" s="290">
        <v>0.31</v>
      </c>
      <c r="E2671" s="291">
        <v>22950</v>
      </c>
      <c r="F2671" s="291">
        <v>59950</v>
      </c>
      <c r="G2671" s="291">
        <v>2590</v>
      </c>
      <c r="H2671" s="291">
        <v>2390</v>
      </c>
      <c r="I2671" s="292" t="str">
        <f t="shared" si="40"/>
        <v>GooD</v>
      </c>
    </row>
    <row r="2672" spans="1:9" ht="15.7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75" thickBot="1">
      <c r="A2674" s="288" t="s">
        <v>638</v>
      </c>
      <c r="B2674" s="288">
        <v>38000</v>
      </c>
      <c r="C2674" s="289">
        <v>8</v>
      </c>
      <c r="D2674" s="290">
        <v>0.31</v>
      </c>
      <c r="E2674" s="291">
        <v>7855</v>
      </c>
      <c r="F2674" s="291">
        <v>45855</v>
      </c>
      <c r="G2674" s="291">
        <v>887</v>
      </c>
      <c r="H2674" s="291">
        <v>5621</v>
      </c>
      <c r="I2674" s="292" t="str">
        <f t="shared" si="40"/>
        <v>GooD</v>
      </c>
    </row>
    <row r="2675" spans="1:9" ht="15.7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75" thickBot="1">
      <c r="A2677" s="288" t="s">
        <v>638</v>
      </c>
      <c r="B2677" s="288">
        <v>38000</v>
      </c>
      <c r="C2677" s="289">
        <v>14</v>
      </c>
      <c r="D2677" s="290">
        <v>0.31</v>
      </c>
      <c r="E2677" s="291">
        <v>13756</v>
      </c>
      <c r="F2677" s="291">
        <v>51756</v>
      </c>
      <c r="G2677" s="291">
        <v>1552</v>
      </c>
      <c r="H2677" s="291">
        <v>3586</v>
      </c>
      <c r="I2677" s="292" t="str">
        <f t="shared" si="40"/>
        <v>GooD</v>
      </c>
    </row>
    <row r="2678" spans="1:9" ht="15.7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75" thickBot="1">
      <c r="A2680" s="288" t="s">
        <v>638</v>
      </c>
      <c r="B2680" s="288">
        <v>38000</v>
      </c>
      <c r="C2680" s="289">
        <v>20</v>
      </c>
      <c r="D2680" s="290">
        <v>0.31</v>
      </c>
      <c r="E2680" s="291">
        <v>19637</v>
      </c>
      <c r="F2680" s="291">
        <v>57637</v>
      </c>
      <c r="G2680" s="291">
        <v>2217</v>
      </c>
      <c r="H2680" s="291">
        <v>2771</v>
      </c>
      <c r="I2680" s="292" t="str">
        <f t="shared" si="40"/>
        <v>GooD</v>
      </c>
    </row>
    <row r="2681" spans="1:9" ht="15.7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75" thickBot="1">
      <c r="A2683" s="288" t="s">
        <v>638</v>
      </c>
      <c r="B2683" s="288">
        <v>39000</v>
      </c>
      <c r="C2683" s="289">
        <v>4</v>
      </c>
      <c r="D2683" s="290">
        <v>0.31</v>
      </c>
      <c r="E2683" s="291">
        <v>4031</v>
      </c>
      <c r="F2683" s="291">
        <v>43031</v>
      </c>
      <c r="G2683" s="291">
        <v>455</v>
      </c>
      <c r="H2683" s="291">
        <v>10644</v>
      </c>
      <c r="I2683" s="292" t="str">
        <f t="shared" si="40"/>
        <v>GooD</v>
      </c>
    </row>
    <row r="2684" spans="1:9" ht="15.7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75" thickBot="1">
      <c r="A2686" s="288" t="s">
        <v>638</v>
      </c>
      <c r="B2686" s="288">
        <v>39000</v>
      </c>
      <c r="C2686" s="289">
        <v>10</v>
      </c>
      <c r="D2686" s="290">
        <v>0.31</v>
      </c>
      <c r="E2686" s="291">
        <v>10078</v>
      </c>
      <c r="F2686" s="291">
        <v>49078</v>
      </c>
      <c r="G2686" s="291">
        <v>1138</v>
      </c>
      <c r="H2686" s="291">
        <v>4794</v>
      </c>
      <c r="I2686" s="292" t="str">
        <f t="shared" si="40"/>
        <v>GooD</v>
      </c>
    </row>
    <row r="2687" spans="1:9" ht="15.7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75" thickBot="1">
      <c r="A2689" s="288" t="s">
        <v>638</v>
      </c>
      <c r="B2689" s="288">
        <v>39000</v>
      </c>
      <c r="C2689" s="289">
        <v>16</v>
      </c>
      <c r="D2689" s="290">
        <v>0.31</v>
      </c>
      <c r="E2689" s="291">
        <v>16132</v>
      </c>
      <c r="F2689" s="291">
        <v>55132</v>
      </c>
      <c r="G2689" s="291">
        <v>1820</v>
      </c>
      <c r="H2689" s="291">
        <v>3332</v>
      </c>
      <c r="I2689" s="292" t="str">
        <f t="shared" si="40"/>
        <v>GooD</v>
      </c>
    </row>
    <row r="2690" spans="1:9" ht="15.7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75" thickBot="1">
      <c r="A2692" s="288" t="s">
        <v>638</v>
      </c>
      <c r="B2692" s="288">
        <v>39000</v>
      </c>
      <c r="C2692" s="289">
        <v>22</v>
      </c>
      <c r="D2692" s="290">
        <v>0.31</v>
      </c>
      <c r="E2692" s="291">
        <v>22177</v>
      </c>
      <c r="F2692" s="291">
        <v>61177</v>
      </c>
      <c r="G2692" s="291">
        <v>2503</v>
      </c>
      <c r="H2692" s="291">
        <v>2667</v>
      </c>
      <c r="I2692" s="292" t="str">
        <f t="shared" si="40"/>
        <v>GooD</v>
      </c>
    </row>
    <row r="2693" spans="1:9" ht="15.7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75" thickBot="1">
      <c r="A2695" s="288" t="s">
        <v>638</v>
      </c>
      <c r="B2695" s="288">
        <v>40000</v>
      </c>
      <c r="C2695" s="289">
        <v>6</v>
      </c>
      <c r="D2695" s="290">
        <v>0.31</v>
      </c>
      <c r="E2695" s="291">
        <v>6204</v>
      </c>
      <c r="F2695" s="291">
        <v>46204</v>
      </c>
      <c r="G2695" s="291">
        <v>700</v>
      </c>
      <c r="H2695" s="291">
        <v>7584</v>
      </c>
      <c r="I2695" s="292" t="str">
        <f t="shared" si="40"/>
        <v>GooD</v>
      </c>
    </row>
    <row r="2696" spans="1:9" ht="15.7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75" thickBot="1">
      <c r="A2698" s="288" t="s">
        <v>638</v>
      </c>
      <c r="B2698" s="288">
        <v>40000</v>
      </c>
      <c r="C2698" s="289">
        <v>12</v>
      </c>
      <c r="D2698" s="290">
        <v>0.31</v>
      </c>
      <c r="E2698" s="291">
        <v>12412</v>
      </c>
      <c r="F2698" s="291">
        <v>52412</v>
      </c>
      <c r="G2698" s="291">
        <v>1400</v>
      </c>
      <c r="H2698" s="291">
        <v>4251</v>
      </c>
      <c r="I2698" s="292" t="str">
        <f t="shared" si="40"/>
        <v>GooD</v>
      </c>
    </row>
    <row r="2699" spans="1:9" ht="15.7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75" thickBot="1">
      <c r="A2701" s="288" t="s">
        <v>638</v>
      </c>
      <c r="B2701" s="288">
        <v>40000</v>
      </c>
      <c r="C2701" s="289">
        <v>18</v>
      </c>
      <c r="D2701" s="290">
        <v>0.31</v>
      </c>
      <c r="E2701" s="291">
        <v>18602</v>
      </c>
      <c r="F2701" s="291">
        <v>58602</v>
      </c>
      <c r="G2701" s="291">
        <v>2100</v>
      </c>
      <c r="H2701" s="291">
        <v>3139</v>
      </c>
      <c r="I2701" s="292" t="str">
        <f t="shared" si="40"/>
        <v>GooD</v>
      </c>
    </row>
    <row r="2702" spans="1:9" ht="15.7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75" thickBot="1">
      <c r="A2704" s="288" t="s">
        <v>638</v>
      </c>
      <c r="B2704" s="288">
        <v>40000</v>
      </c>
      <c r="C2704" s="289">
        <v>24</v>
      </c>
      <c r="D2704" s="290">
        <v>0.31</v>
      </c>
      <c r="E2704" s="291">
        <v>24816</v>
      </c>
      <c r="F2704" s="291">
        <v>64816</v>
      </c>
      <c r="G2704" s="291">
        <v>2800</v>
      </c>
      <c r="H2704" s="291">
        <v>2584</v>
      </c>
      <c r="I2704" s="292" t="str">
        <f t="shared" si="40"/>
        <v>GooD</v>
      </c>
    </row>
    <row r="2705" spans="1:9" ht="15.7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75" thickBot="1">
      <c r="A2707" s="288" t="s">
        <v>638</v>
      </c>
      <c r="B2707" s="288">
        <v>41000</v>
      </c>
      <c r="C2707" s="289">
        <v>8</v>
      </c>
      <c r="D2707" s="290">
        <v>0.31</v>
      </c>
      <c r="E2707" s="291">
        <v>8477</v>
      </c>
      <c r="F2707" s="291">
        <v>49477</v>
      </c>
      <c r="G2707" s="291">
        <v>957</v>
      </c>
      <c r="H2707" s="291">
        <v>6065</v>
      </c>
      <c r="I2707" s="292" t="str">
        <f t="shared" si="40"/>
        <v>GooD</v>
      </c>
    </row>
    <row r="2708" spans="1:9" ht="15.7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75" thickBot="1">
      <c r="A2710" s="288" t="s">
        <v>638</v>
      </c>
      <c r="B2710" s="288">
        <v>41000</v>
      </c>
      <c r="C2710" s="289">
        <v>14</v>
      </c>
      <c r="D2710" s="290">
        <v>0.31</v>
      </c>
      <c r="E2710" s="291">
        <v>14841</v>
      </c>
      <c r="F2710" s="291">
        <v>55841</v>
      </c>
      <c r="G2710" s="291">
        <v>1675</v>
      </c>
      <c r="H2710" s="291">
        <v>3869</v>
      </c>
      <c r="I2710" s="292" t="str">
        <f t="shared" si="40"/>
        <v>GooD</v>
      </c>
    </row>
    <row r="2711" spans="1:9" ht="15.7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75" thickBot="1">
      <c r="A2713" s="288" t="s">
        <v>638</v>
      </c>
      <c r="B2713" s="288">
        <v>41000</v>
      </c>
      <c r="C2713" s="289">
        <v>20</v>
      </c>
      <c r="D2713" s="290">
        <v>0.31</v>
      </c>
      <c r="E2713" s="291">
        <v>21192</v>
      </c>
      <c r="F2713" s="291">
        <v>62192</v>
      </c>
      <c r="G2713" s="291">
        <v>2392</v>
      </c>
      <c r="H2713" s="291">
        <v>2990</v>
      </c>
      <c r="I2713" s="292" t="str">
        <f t="shared" si="40"/>
        <v>GooD</v>
      </c>
    </row>
    <row r="2714" spans="1:9" ht="15.7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75" thickBot="1">
      <c r="A2716" s="288" t="s">
        <v>638</v>
      </c>
      <c r="B2716" s="288">
        <v>42000</v>
      </c>
      <c r="C2716" s="289">
        <v>4</v>
      </c>
      <c r="D2716" s="290">
        <v>0.31</v>
      </c>
      <c r="E2716" s="291">
        <v>4342</v>
      </c>
      <c r="F2716" s="291">
        <v>46342</v>
      </c>
      <c r="G2716" s="291">
        <v>490</v>
      </c>
      <c r="H2716" s="291">
        <v>11463</v>
      </c>
      <c r="I2716" s="292" t="str">
        <f t="shared" si="40"/>
        <v>GooD</v>
      </c>
    </row>
    <row r="2717" spans="1:9" ht="15.7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75" thickBot="1">
      <c r="A2719" s="288" t="s">
        <v>638</v>
      </c>
      <c r="B2719" s="288">
        <v>42000</v>
      </c>
      <c r="C2719" s="289">
        <v>10</v>
      </c>
      <c r="D2719" s="290">
        <v>0.31</v>
      </c>
      <c r="E2719" s="291">
        <v>10855</v>
      </c>
      <c r="F2719" s="291">
        <v>52855</v>
      </c>
      <c r="G2719" s="291">
        <v>1225</v>
      </c>
      <c r="H2719" s="291">
        <v>5163</v>
      </c>
      <c r="I2719" s="292" t="str">
        <f t="shared" si="40"/>
        <v>GooD</v>
      </c>
    </row>
    <row r="2720" spans="1:9" ht="15.7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75" thickBot="1">
      <c r="A2722" s="288" t="s">
        <v>638</v>
      </c>
      <c r="B2722" s="288">
        <v>42000</v>
      </c>
      <c r="C2722" s="289">
        <v>16</v>
      </c>
      <c r="D2722" s="290">
        <v>0.31</v>
      </c>
      <c r="E2722" s="291">
        <v>17368</v>
      </c>
      <c r="F2722" s="291">
        <v>59368</v>
      </c>
      <c r="G2722" s="291">
        <v>1960</v>
      </c>
      <c r="H2722" s="291">
        <v>3588</v>
      </c>
      <c r="I2722" s="292" t="str">
        <f t="shared" si="40"/>
        <v>GooD</v>
      </c>
    </row>
    <row r="2723" spans="1:9" ht="15.7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75" thickBot="1">
      <c r="A2725" s="288" t="s">
        <v>638</v>
      </c>
      <c r="B2725" s="288">
        <v>42000</v>
      </c>
      <c r="C2725" s="289">
        <v>22</v>
      </c>
      <c r="D2725" s="290">
        <v>0.31</v>
      </c>
      <c r="E2725" s="291">
        <v>23879</v>
      </c>
      <c r="F2725" s="291">
        <v>65879</v>
      </c>
      <c r="G2725" s="291">
        <v>2695</v>
      </c>
      <c r="H2725" s="291">
        <v>2872</v>
      </c>
      <c r="I2725" s="292" t="str">
        <f t="shared" si="40"/>
        <v>GooD</v>
      </c>
    </row>
    <row r="2726" spans="1:9" ht="15.7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75" thickBot="1">
      <c r="A2728" s="288" t="s">
        <v>638</v>
      </c>
      <c r="B2728" s="288">
        <v>43000</v>
      </c>
      <c r="C2728" s="289">
        <v>6</v>
      </c>
      <c r="D2728" s="290">
        <v>0.31</v>
      </c>
      <c r="E2728" s="291">
        <v>6671</v>
      </c>
      <c r="F2728" s="291">
        <v>49671</v>
      </c>
      <c r="G2728" s="291">
        <v>753</v>
      </c>
      <c r="H2728" s="291">
        <v>8153</v>
      </c>
      <c r="I2728" s="292" t="str">
        <f t="shared" si="41"/>
        <v>GooD</v>
      </c>
    </row>
    <row r="2729" spans="1:9" ht="15.7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75" thickBot="1">
      <c r="A2731" s="288" t="s">
        <v>638</v>
      </c>
      <c r="B2731" s="288">
        <v>43000</v>
      </c>
      <c r="C2731" s="289">
        <v>12</v>
      </c>
      <c r="D2731" s="290">
        <v>0.31</v>
      </c>
      <c r="E2731" s="291">
        <v>13333</v>
      </c>
      <c r="F2731" s="291">
        <v>56333</v>
      </c>
      <c r="G2731" s="291">
        <v>1505</v>
      </c>
      <c r="H2731" s="291">
        <v>4569</v>
      </c>
      <c r="I2731" s="292" t="str">
        <f t="shared" si="41"/>
        <v>GooD</v>
      </c>
    </row>
    <row r="2732" spans="1:9" ht="15.7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75" thickBot="1">
      <c r="A2734" s="288" t="s">
        <v>638</v>
      </c>
      <c r="B2734" s="288">
        <v>43000</v>
      </c>
      <c r="C2734" s="289">
        <v>18</v>
      </c>
      <c r="D2734" s="290">
        <v>0.31</v>
      </c>
      <c r="E2734" s="291">
        <v>20008</v>
      </c>
      <c r="F2734" s="291">
        <v>63008</v>
      </c>
      <c r="G2734" s="291">
        <v>2258</v>
      </c>
      <c r="H2734" s="291">
        <v>3375</v>
      </c>
      <c r="I2734" s="292" t="str">
        <f t="shared" si="41"/>
        <v>GooD</v>
      </c>
    </row>
    <row r="2735" spans="1:9" ht="15.7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75" thickBot="1">
      <c r="A2737" s="288" t="s">
        <v>638</v>
      </c>
      <c r="B2737" s="288">
        <v>43000</v>
      </c>
      <c r="C2737" s="289">
        <v>24</v>
      </c>
      <c r="D2737" s="290">
        <v>0.31</v>
      </c>
      <c r="E2737" s="291">
        <v>26682</v>
      </c>
      <c r="F2737" s="291">
        <v>69682</v>
      </c>
      <c r="G2737" s="291">
        <v>3010</v>
      </c>
      <c r="H2737" s="291">
        <v>2778</v>
      </c>
      <c r="I2737" s="292" t="str">
        <f t="shared" si="41"/>
        <v>GooD</v>
      </c>
    </row>
    <row r="2738" spans="1:9" ht="15.7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75" thickBot="1">
      <c r="A2740" s="288" t="s">
        <v>638</v>
      </c>
      <c r="B2740" s="288">
        <v>44000</v>
      </c>
      <c r="C2740" s="289">
        <v>8</v>
      </c>
      <c r="D2740" s="290">
        <v>0.31</v>
      </c>
      <c r="E2740" s="291">
        <v>9099</v>
      </c>
      <c r="F2740" s="291">
        <v>53099</v>
      </c>
      <c r="G2740" s="291">
        <v>1027</v>
      </c>
      <c r="H2740" s="291">
        <v>6509</v>
      </c>
      <c r="I2740" s="292" t="str">
        <f t="shared" si="41"/>
        <v>GooD</v>
      </c>
    </row>
    <row r="2741" spans="1:9" ht="15.7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75" thickBot="1">
      <c r="A2743" s="288" t="s">
        <v>638</v>
      </c>
      <c r="B2743" s="288">
        <v>44000</v>
      </c>
      <c r="C2743" s="289">
        <v>14</v>
      </c>
      <c r="D2743" s="290">
        <v>0.31</v>
      </c>
      <c r="E2743" s="291">
        <v>15925</v>
      </c>
      <c r="F2743" s="291">
        <v>59925</v>
      </c>
      <c r="G2743" s="291">
        <v>1797</v>
      </c>
      <c r="H2743" s="291">
        <v>4152</v>
      </c>
      <c r="I2743" s="292" t="str">
        <f t="shared" si="41"/>
        <v>GooD</v>
      </c>
    </row>
    <row r="2744" spans="1:9" ht="15.7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75" thickBot="1">
      <c r="A2746" s="288" t="s">
        <v>638</v>
      </c>
      <c r="B2746" s="288">
        <v>44000</v>
      </c>
      <c r="C2746" s="289">
        <v>20</v>
      </c>
      <c r="D2746" s="290">
        <v>0.31</v>
      </c>
      <c r="E2746" s="291">
        <v>22747</v>
      </c>
      <c r="F2746" s="291">
        <v>66747</v>
      </c>
      <c r="G2746" s="291">
        <v>2567</v>
      </c>
      <c r="H2746" s="291">
        <v>3209</v>
      </c>
      <c r="I2746" s="292" t="str">
        <f t="shared" si="41"/>
        <v>GooD</v>
      </c>
    </row>
    <row r="2747" spans="1:9" ht="15.7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75" thickBot="1">
      <c r="A2749" s="288" t="s">
        <v>638</v>
      </c>
      <c r="B2749" s="288">
        <v>45000</v>
      </c>
      <c r="C2749" s="289">
        <v>4</v>
      </c>
      <c r="D2749" s="290">
        <v>0.31</v>
      </c>
      <c r="E2749" s="291">
        <v>4653</v>
      </c>
      <c r="F2749" s="291">
        <v>49653</v>
      </c>
      <c r="G2749" s="291">
        <v>525</v>
      </c>
      <c r="H2749" s="291">
        <v>12282</v>
      </c>
      <c r="I2749" s="292" t="str">
        <f t="shared" si="41"/>
        <v>GooD</v>
      </c>
    </row>
    <row r="2750" spans="1:9" ht="15.7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75" thickBot="1">
      <c r="A2752" s="288" t="s">
        <v>638</v>
      </c>
      <c r="B2752" s="288">
        <v>45000</v>
      </c>
      <c r="C2752" s="289">
        <v>10</v>
      </c>
      <c r="D2752" s="290">
        <v>0.31</v>
      </c>
      <c r="E2752" s="291">
        <v>11633</v>
      </c>
      <c r="F2752" s="291">
        <v>56633</v>
      </c>
      <c r="G2752" s="291">
        <v>1313</v>
      </c>
      <c r="H2752" s="291">
        <v>5532</v>
      </c>
      <c r="I2752" s="292" t="str">
        <f t="shared" si="41"/>
        <v>GooD</v>
      </c>
    </row>
    <row r="2753" spans="1:9" ht="15.7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75" thickBot="1">
      <c r="A2755" s="288" t="s">
        <v>638</v>
      </c>
      <c r="B2755" s="288">
        <v>45000</v>
      </c>
      <c r="C2755" s="289">
        <v>16</v>
      </c>
      <c r="D2755" s="290">
        <v>0.31</v>
      </c>
      <c r="E2755" s="291">
        <v>18604</v>
      </c>
      <c r="F2755" s="291">
        <v>63604</v>
      </c>
      <c r="G2755" s="291">
        <v>2100</v>
      </c>
      <c r="H2755" s="291">
        <v>3844</v>
      </c>
      <c r="I2755" s="292" t="str">
        <f t="shared" si="41"/>
        <v>GooD</v>
      </c>
    </row>
    <row r="2756" spans="1:9" ht="15.7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75" thickBot="1">
      <c r="A2758" s="288" t="s">
        <v>638</v>
      </c>
      <c r="B2758" s="288">
        <v>45000</v>
      </c>
      <c r="C2758" s="289">
        <v>22</v>
      </c>
      <c r="D2758" s="290">
        <v>0.31</v>
      </c>
      <c r="E2758" s="291">
        <v>25582</v>
      </c>
      <c r="F2758" s="291">
        <v>70582</v>
      </c>
      <c r="G2758" s="291">
        <v>2888</v>
      </c>
      <c r="H2758" s="291">
        <v>3077</v>
      </c>
      <c r="I2758" s="292" t="str">
        <f t="shared" si="41"/>
        <v>GooD</v>
      </c>
    </row>
    <row r="2759" spans="1:9" ht="15.7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75" thickBot="1">
      <c r="A2761" s="288" t="s">
        <v>638</v>
      </c>
      <c r="B2761" s="288">
        <v>46000</v>
      </c>
      <c r="C2761" s="289">
        <v>6</v>
      </c>
      <c r="D2761" s="290">
        <v>0.31</v>
      </c>
      <c r="E2761" s="291">
        <v>7131</v>
      </c>
      <c r="F2761" s="291">
        <v>53131</v>
      </c>
      <c r="G2761" s="291">
        <v>805</v>
      </c>
      <c r="H2761" s="291">
        <v>8721</v>
      </c>
      <c r="I2761" s="292" t="str">
        <f t="shared" si="41"/>
        <v>GooD</v>
      </c>
    </row>
    <row r="2762" spans="1:9" ht="15.7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75" thickBot="1">
      <c r="A2764" s="288" t="s">
        <v>638</v>
      </c>
      <c r="B2764" s="288">
        <v>46000</v>
      </c>
      <c r="C2764" s="289">
        <v>12</v>
      </c>
      <c r="D2764" s="290">
        <v>0.31</v>
      </c>
      <c r="E2764" s="291">
        <v>14266</v>
      </c>
      <c r="F2764" s="291">
        <v>60266</v>
      </c>
      <c r="G2764" s="291">
        <v>1610</v>
      </c>
      <c r="H2764" s="291">
        <v>4888</v>
      </c>
      <c r="I2764" s="292" t="str">
        <f t="shared" si="41"/>
        <v>GooD</v>
      </c>
    </row>
    <row r="2765" spans="1:9" ht="15.7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75" thickBot="1">
      <c r="A2767" s="288" t="s">
        <v>638</v>
      </c>
      <c r="B2767" s="288">
        <v>46000</v>
      </c>
      <c r="C2767" s="289">
        <v>18</v>
      </c>
      <c r="D2767" s="290">
        <v>0.31</v>
      </c>
      <c r="E2767" s="291">
        <v>21395</v>
      </c>
      <c r="F2767" s="291">
        <v>67395</v>
      </c>
      <c r="G2767" s="291">
        <v>2415</v>
      </c>
      <c r="H2767" s="291">
        <v>3610</v>
      </c>
      <c r="I2767" s="292" t="str">
        <f t="shared" si="41"/>
        <v>GooD</v>
      </c>
    </row>
    <row r="2768" spans="1:9" ht="15.7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75" thickBot="1">
      <c r="A2770" s="288" t="s">
        <v>638</v>
      </c>
      <c r="B2770" s="288">
        <v>46000</v>
      </c>
      <c r="C2770" s="289">
        <v>24</v>
      </c>
      <c r="D2770" s="290">
        <v>0.31</v>
      </c>
      <c r="E2770" s="291">
        <v>28524</v>
      </c>
      <c r="F2770" s="291">
        <v>74524</v>
      </c>
      <c r="G2770" s="291">
        <v>3220</v>
      </c>
      <c r="H2770" s="291">
        <v>2971</v>
      </c>
      <c r="I2770" s="292" t="str">
        <f t="shared" si="41"/>
        <v>GooD</v>
      </c>
    </row>
    <row r="2771" spans="1:9" ht="15.7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75" thickBot="1">
      <c r="A2773" s="288" t="s">
        <v>638</v>
      </c>
      <c r="B2773" s="288">
        <v>47000</v>
      </c>
      <c r="C2773" s="289">
        <v>8</v>
      </c>
      <c r="D2773" s="290">
        <v>0.31</v>
      </c>
      <c r="E2773" s="291">
        <v>9721</v>
      </c>
      <c r="F2773" s="291">
        <v>56721</v>
      </c>
      <c r="G2773" s="291">
        <v>1097</v>
      </c>
      <c r="H2773" s="291">
        <v>6953</v>
      </c>
      <c r="I2773" s="292" t="str">
        <f t="shared" si="41"/>
        <v>GooD</v>
      </c>
    </row>
    <row r="2774" spans="1:9" ht="15.7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75" thickBot="1">
      <c r="A2776" s="288" t="s">
        <v>638</v>
      </c>
      <c r="B2776" s="288">
        <v>47000</v>
      </c>
      <c r="C2776" s="289">
        <v>14</v>
      </c>
      <c r="D2776" s="290">
        <v>0.31</v>
      </c>
      <c r="E2776" s="291">
        <v>17010</v>
      </c>
      <c r="F2776" s="291">
        <v>64010</v>
      </c>
      <c r="G2776" s="291">
        <v>1920</v>
      </c>
      <c r="H2776" s="291">
        <v>4435</v>
      </c>
      <c r="I2776" s="292" t="str">
        <f t="shared" si="41"/>
        <v>GooD</v>
      </c>
    </row>
    <row r="2777" spans="1:9" ht="15.7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75" thickBot="1">
      <c r="A2779" s="288" t="s">
        <v>638</v>
      </c>
      <c r="B2779" s="288">
        <v>47000</v>
      </c>
      <c r="C2779" s="289">
        <v>20</v>
      </c>
      <c r="D2779" s="290">
        <v>0.31</v>
      </c>
      <c r="E2779" s="291">
        <v>24302</v>
      </c>
      <c r="F2779" s="291">
        <v>71302</v>
      </c>
      <c r="G2779" s="291">
        <v>2742</v>
      </c>
      <c r="H2779" s="291">
        <v>3428</v>
      </c>
      <c r="I2779" s="292" t="str">
        <f t="shared" si="41"/>
        <v>GooD</v>
      </c>
    </row>
    <row r="2780" spans="1:9" ht="15.7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75" thickBot="1">
      <c r="A2782" s="288" t="s">
        <v>638</v>
      </c>
      <c r="B2782" s="288">
        <v>48000</v>
      </c>
      <c r="C2782" s="289">
        <v>4</v>
      </c>
      <c r="D2782" s="290">
        <v>0.31</v>
      </c>
      <c r="E2782" s="291">
        <v>4964</v>
      </c>
      <c r="F2782" s="291">
        <v>52964</v>
      </c>
      <c r="G2782" s="291">
        <v>560</v>
      </c>
      <c r="H2782" s="291">
        <v>13101</v>
      </c>
      <c r="I2782" s="292" t="str">
        <f t="shared" si="41"/>
        <v>GooD</v>
      </c>
    </row>
    <row r="2783" spans="1:9" ht="15.7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75" thickBot="1">
      <c r="A2785" s="288" t="s">
        <v>638</v>
      </c>
      <c r="B2785" s="288">
        <v>48000</v>
      </c>
      <c r="C2785" s="289">
        <v>10</v>
      </c>
      <c r="D2785" s="290">
        <v>0.31</v>
      </c>
      <c r="E2785" s="291">
        <v>12410</v>
      </c>
      <c r="F2785" s="291">
        <v>60410</v>
      </c>
      <c r="G2785" s="291">
        <v>1400</v>
      </c>
      <c r="H2785" s="291">
        <v>5901</v>
      </c>
      <c r="I2785" s="292" t="str">
        <f t="shared" si="41"/>
        <v>GooD</v>
      </c>
    </row>
    <row r="2786" spans="1:9" ht="15.7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75" thickBot="1">
      <c r="A2788" s="288" t="s">
        <v>638</v>
      </c>
      <c r="B2788" s="288">
        <v>48000</v>
      </c>
      <c r="C2788" s="289">
        <v>16</v>
      </c>
      <c r="D2788" s="290">
        <v>0.31</v>
      </c>
      <c r="E2788" s="291">
        <v>19856</v>
      </c>
      <c r="F2788" s="291">
        <v>67856</v>
      </c>
      <c r="G2788" s="291">
        <v>2240</v>
      </c>
      <c r="H2788" s="291">
        <v>4101</v>
      </c>
      <c r="I2788" s="292" t="str">
        <f t="shared" si="41"/>
        <v>GooD</v>
      </c>
    </row>
    <row r="2789" spans="1:9" ht="15.7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7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7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75" thickBot="1">
      <c r="A2794" s="288" t="s">
        <v>638</v>
      </c>
      <c r="B2794" s="288">
        <v>49000</v>
      </c>
      <c r="C2794" s="289">
        <v>6</v>
      </c>
      <c r="D2794" s="290">
        <v>0.31</v>
      </c>
      <c r="E2794" s="291">
        <v>7598</v>
      </c>
      <c r="F2794" s="291">
        <v>56598</v>
      </c>
      <c r="G2794" s="291">
        <v>858</v>
      </c>
      <c r="H2794" s="291">
        <v>9290</v>
      </c>
      <c r="I2794" s="292" t="str">
        <f t="shared" si="42"/>
        <v>GooD</v>
      </c>
    </row>
    <row r="2795" spans="1:9" ht="15.7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75" thickBot="1">
      <c r="A2797" s="288" t="s">
        <v>638</v>
      </c>
      <c r="B2797" s="288">
        <v>49000</v>
      </c>
      <c r="C2797" s="289">
        <v>12</v>
      </c>
      <c r="D2797" s="290">
        <v>0.31</v>
      </c>
      <c r="E2797" s="291">
        <v>15199</v>
      </c>
      <c r="F2797" s="291">
        <v>64199</v>
      </c>
      <c r="G2797" s="291">
        <v>1715</v>
      </c>
      <c r="H2797" s="291">
        <v>5207</v>
      </c>
      <c r="I2797" s="292" t="str">
        <f t="shared" si="42"/>
        <v>GooD</v>
      </c>
    </row>
    <row r="2798" spans="1:9" ht="15.7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75" thickBot="1">
      <c r="A2800" s="288" t="s">
        <v>638</v>
      </c>
      <c r="B2800" s="288">
        <v>49000</v>
      </c>
      <c r="C2800" s="289">
        <v>18</v>
      </c>
      <c r="D2800" s="290">
        <v>0.31</v>
      </c>
      <c r="E2800" s="291">
        <v>22801</v>
      </c>
      <c r="F2800" s="291">
        <v>71801</v>
      </c>
      <c r="G2800" s="291">
        <v>2573</v>
      </c>
      <c r="H2800" s="291">
        <v>3846</v>
      </c>
      <c r="I2800" s="292" t="str">
        <f t="shared" si="42"/>
        <v>GooD</v>
      </c>
    </row>
    <row r="2801" spans="1:9" ht="15.7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75" thickBot="1">
      <c r="A2803" s="288" t="s">
        <v>638</v>
      </c>
      <c r="B2803" s="288">
        <v>49000</v>
      </c>
      <c r="C2803" s="289">
        <v>24</v>
      </c>
      <c r="D2803" s="290">
        <v>0.31</v>
      </c>
      <c r="E2803" s="291">
        <v>30390</v>
      </c>
      <c r="F2803" s="291">
        <v>79390</v>
      </c>
      <c r="G2803" s="291">
        <v>3430</v>
      </c>
      <c r="H2803" s="291">
        <v>3165</v>
      </c>
      <c r="I2803" s="292" t="str">
        <f t="shared" si="42"/>
        <v>GooD</v>
      </c>
    </row>
    <row r="2804" spans="1:9" ht="15.7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75" thickBot="1">
      <c r="A2806" s="288" t="s">
        <v>638</v>
      </c>
      <c r="B2806" s="288">
        <v>50000</v>
      </c>
      <c r="C2806" s="289">
        <v>8</v>
      </c>
      <c r="D2806" s="290">
        <v>0.31</v>
      </c>
      <c r="E2806" s="291">
        <v>10335</v>
      </c>
      <c r="F2806" s="291">
        <v>60335</v>
      </c>
      <c r="G2806" s="291">
        <v>1167</v>
      </c>
      <c r="H2806" s="291">
        <v>7396</v>
      </c>
      <c r="I2806" s="292" t="str">
        <f t="shared" si="42"/>
        <v>GooD</v>
      </c>
    </row>
    <row r="2807" spans="1:9" ht="15.7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75" thickBot="1">
      <c r="A2809" s="288" t="s">
        <v>638</v>
      </c>
      <c r="B2809" s="288">
        <v>50000</v>
      </c>
      <c r="C2809" s="289">
        <v>14</v>
      </c>
      <c r="D2809" s="290">
        <v>0.31</v>
      </c>
      <c r="E2809" s="291">
        <v>18094</v>
      </c>
      <c r="F2809" s="291">
        <v>68094</v>
      </c>
      <c r="G2809" s="291">
        <v>2042</v>
      </c>
      <c r="H2809" s="291">
        <v>4718</v>
      </c>
      <c r="I2809" s="292" t="str">
        <f t="shared" si="42"/>
        <v>GooD</v>
      </c>
    </row>
    <row r="2810" spans="1:9" ht="15.7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75" thickBot="1">
      <c r="A2812" s="288" t="s">
        <v>638</v>
      </c>
      <c r="B2812" s="288">
        <v>50000</v>
      </c>
      <c r="C2812" s="289">
        <v>20</v>
      </c>
      <c r="D2812" s="290">
        <v>0.31</v>
      </c>
      <c r="E2812" s="291">
        <v>25837</v>
      </c>
      <c r="F2812" s="291">
        <v>75837</v>
      </c>
      <c r="G2812" s="291">
        <v>2917</v>
      </c>
      <c r="H2812" s="291">
        <v>3646</v>
      </c>
      <c r="I2812" s="292" t="str">
        <f t="shared" si="42"/>
        <v>GooD</v>
      </c>
    </row>
    <row r="2813" spans="1:9" ht="15.7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75" thickBot="1">
      <c r="A2815" s="288" t="s">
        <v>643</v>
      </c>
      <c r="B2815" s="288">
        <v>8000</v>
      </c>
      <c r="C2815" s="289">
        <v>4</v>
      </c>
      <c r="D2815" s="290">
        <v>0.31</v>
      </c>
      <c r="E2815" s="291">
        <v>828</v>
      </c>
      <c r="F2815" s="291">
        <v>8828</v>
      </c>
      <c r="G2815" s="291">
        <v>80</v>
      </c>
      <c r="H2815" s="291">
        <v>2187</v>
      </c>
      <c r="I2815" s="292" t="str">
        <f t="shared" si="42"/>
        <v>GooD</v>
      </c>
    </row>
    <row r="2816" spans="1:9" ht="15.7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75" thickBot="1">
      <c r="A2818" s="288" t="s">
        <v>643</v>
      </c>
      <c r="B2818" s="288">
        <v>8000</v>
      </c>
      <c r="C2818" s="289">
        <v>10</v>
      </c>
      <c r="D2818" s="290">
        <v>0.31</v>
      </c>
      <c r="E2818" s="291">
        <v>2070</v>
      </c>
      <c r="F2818" s="291">
        <v>10070</v>
      </c>
      <c r="G2818" s="291">
        <v>200</v>
      </c>
      <c r="H2818" s="291">
        <v>987</v>
      </c>
      <c r="I2818" s="292" t="str">
        <f t="shared" si="42"/>
        <v>GooD</v>
      </c>
    </row>
    <row r="2819" spans="1:9" ht="15.7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75" thickBot="1">
      <c r="A2821" s="288" t="s">
        <v>643</v>
      </c>
      <c r="B2821" s="288">
        <v>8500</v>
      </c>
      <c r="C2821" s="289">
        <v>6</v>
      </c>
      <c r="D2821" s="290">
        <v>0.31</v>
      </c>
      <c r="E2821" s="291">
        <v>1324</v>
      </c>
      <c r="F2821" s="291">
        <v>9824</v>
      </c>
      <c r="G2821" s="291">
        <v>128</v>
      </c>
      <c r="H2821" s="291">
        <v>1616</v>
      </c>
      <c r="I2821" s="292" t="str">
        <f t="shared" si="42"/>
        <v>GooD</v>
      </c>
    </row>
    <row r="2822" spans="1:9" ht="15.7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75" thickBot="1">
      <c r="A2824" s="288" t="s">
        <v>643</v>
      </c>
      <c r="B2824" s="288">
        <v>8500</v>
      </c>
      <c r="C2824" s="289">
        <v>12</v>
      </c>
      <c r="D2824" s="290">
        <v>0.31</v>
      </c>
      <c r="E2824" s="291">
        <v>2639</v>
      </c>
      <c r="F2824" s="291">
        <v>11139</v>
      </c>
      <c r="G2824" s="291">
        <v>255</v>
      </c>
      <c r="H2824" s="291">
        <v>907</v>
      </c>
      <c r="I2824" s="292" t="str">
        <f t="shared" si="42"/>
        <v>GooD</v>
      </c>
    </row>
    <row r="2825" spans="1:9" ht="15.7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75" thickBot="1">
      <c r="A2827" s="288" t="s">
        <v>643</v>
      </c>
      <c r="B2827" s="288">
        <v>9000</v>
      </c>
      <c r="C2827" s="289">
        <v>8</v>
      </c>
      <c r="D2827" s="290">
        <v>0.31</v>
      </c>
      <c r="E2827" s="291">
        <v>1868</v>
      </c>
      <c r="F2827" s="291">
        <v>10868</v>
      </c>
      <c r="G2827" s="291">
        <v>180</v>
      </c>
      <c r="H2827" s="291">
        <v>1336</v>
      </c>
      <c r="I2827" s="292" t="str">
        <f t="shared" si="42"/>
        <v>GooD</v>
      </c>
    </row>
    <row r="2828" spans="1:9" ht="15.7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75" thickBot="1">
      <c r="A2830" s="288" t="s">
        <v>643</v>
      </c>
      <c r="B2830" s="288">
        <v>9500</v>
      </c>
      <c r="C2830" s="289">
        <v>4</v>
      </c>
      <c r="D2830" s="290">
        <v>0.31</v>
      </c>
      <c r="E2830" s="291">
        <v>983</v>
      </c>
      <c r="F2830" s="291">
        <v>10483</v>
      </c>
      <c r="G2830" s="291">
        <v>95</v>
      </c>
      <c r="H2830" s="291">
        <v>2597</v>
      </c>
      <c r="I2830" s="292" t="str">
        <f t="shared" si="42"/>
        <v>GooD</v>
      </c>
    </row>
    <row r="2831" spans="1:9" ht="15.7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75" thickBot="1">
      <c r="A2833" s="288" t="s">
        <v>643</v>
      </c>
      <c r="B2833" s="288">
        <v>9500</v>
      </c>
      <c r="C2833" s="289">
        <v>10</v>
      </c>
      <c r="D2833" s="290">
        <v>0.31</v>
      </c>
      <c r="E2833" s="291">
        <v>2458</v>
      </c>
      <c r="F2833" s="291">
        <v>11958</v>
      </c>
      <c r="G2833" s="291">
        <v>238</v>
      </c>
      <c r="H2833" s="291">
        <v>1172</v>
      </c>
      <c r="I2833" s="292" t="str">
        <f t="shared" si="42"/>
        <v>GooD</v>
      </c>
    </row>
    <row r="2834" spans="1:9" ht="15.7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75" thickBot="1">
      <c r="A2836" s="288" t="s">
        <v>643</v>
      </c>
      <c r="B2836" s="288">
        <v>10000</v>
      </c>
      <c r="C2836" s="289">
        <v>6</v>
      </c>
      <c r="D2836" s="290">
        <v>0.31</v>
      </c>
      <c r="E2836" s="291">
        <v>1556</v>
      </c>
      <c r="F2836" s="291">
        <v>11556</v>
      </c>
      <c r="G2836" s="291">
        <v>150</v>
      </c>
      <c r="H2836" s="291">
        <v>1901</v>
      </c>
      <c r="I2836" s="292" t="str">
        <f t="shared" si="42"/>
        <v>GooD</v>
      </c>
    </row>
    <row r="2837" spans="1:9" ht="15.7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75" thickBot="1">
      <c r="A2839" s="288" t="s">
        <v>643</v>
      </c>
      <c r="B2839" s="288">
        <v>10000</v>
      </c>
      <c r="C2839" s="289">
        <v>12</v>
      </c>
      <c r="D2839" s="290">
        <v>0.31</v>
      </c>
      <c r="E2839" s="291">
        <v>3104</v>
      </c>
      <c r="F2839" s="291">
        <v>13104</v>
      </c>
      <c r="G2839" s="291">
        <v>300</v>
      </c>
      <c r="H2839" s="291">
        <v>1067</v>
      </c>
      <c r="I2839" s="292" t="str">
        <f t="shared" si="42"/>
        <v>GooD</v>
      </c>
    </row>
    <row r="2840" spans="1:9" ht="15.7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75" thickBot="1">
      <c r="A2842" s="288" t="s">
        <v>643</v>
      </c>
      <c r="B2842" s="288">
        <v>10500</v>
      </c>
      <c r="C2842" s="289">
        <v>8</v>
      </c>
      <c r="D2842" s="290">
        <v>0.31</v>
      </c>
      <c r="E2842" s="291">
        <v>2174</v>
      </c>
      <c r="F2842" s="291">
        <v>12674</v>
      </c>
      <c r="G2842" s="291">
        <v>210</v>
      </c>
      <c r="H2842" s="291">
        <v>1558</v>
      </c>
      <c r="I2842" s="292" t="str">
        <f t="shared" si="42"/>
        <v>GooD</v>
      </c>
    </row>
    <row r="2843" spans="1:9" ht="15.7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75" thickBot="1">
      <c r="A2847" s="288" t="s">
        <v>643</v>
      </c>
      <c r="B2847" s="288">
        <v>11000</v>
      </c>
      <c r="C2847" s="289">
        <v>8</v>
      </c>
      <c r="D2847" s="290">
        <v>0.31</v>
      </c>
      <c r="E2847" s="291">
        <v>2276</v>
      </c>
      <c r="F2847" s="291">
        <v>13276</v>
      </c>
      <c r="G2847" s="291">
        <v>220</v>
      </c>
      <c r="H2847" s="291">
        <v>1632</v>
      </c>
      <c r="I2847" s="292" t="str">
        <f t="shared" si="42"/>
        <v>GooD</v>
      </c>
    </row>
    <row r="2848" spans="1:9" ht="15.7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75" thickBot="1">
      <c r="A2852" s="288" t="s">
        <v>643</v>
      </c>
      <c r="B2852" s="288">
        <v>11500</v>
      </c>
      <c r="C2852" s="289">
        <v>8</v>
      </c>
      <c r="D2852" s="290">
        <v>0.31</v>
      </c>
      <c r="E2852" s="291">
        <v>2378</v>
      </c>
      <c r="F2852" s="291">
        <v>13878</v>
      </c>
      <c r="G2852" s="291">
        <v>230</v>
      </c>
      <c r="H2852" s="291">
        <v>1706</v>
      </c>
      <c r="I2852" s="292" t="str">
        <f t="shared" si="42"/>
        <v>GooD</v>
      </c>
    </row>
    <row r="2853" spans="1:9" ht="15.7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75" thickBot="1">
      <c r="A2857" s="288" t="s">
        <v>643</v>
      </c>
      <c r="B2857" s="288">
        <v>12000</v>
      </c>
      <c r="C2857" s="289">
        <v>8</v>
      </c>
      <c r="D2857" s="290">
        <v>0.31</v>
      </c>
      <c r="E2857" s="291">
        <v>2488</v>
      </c>
      <c r="F2857" s="291">
        <v>14488</v>
      </c>
      <c r="G2857" s="291">
        <v>240</v>
      </c>
      <c r="H2857" s="291">
        <v>1781</v>
      </c>
      <c r="I2857" s="292" t="str">
        <f t="shared" si="43"/>
        <v>GooD</v>
      </c>
    </row>
    <row r="2858" spans="1:9" ht="15.7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75" thickBot="1">
      <c r="A2862" s="288" t="s">
        <v>643</v>
      </c>
      <c r="B2862" s="288">
        <v>12500</v>
      </c>
      <c r="C2862" s="289">
        <v>8</v>
      </c>
      <c r="D2862" s="290">
        <v>0.31</v>
      </c>
      <c r="E2862" s="291">
        <v>2590</v>
      </c>
      <c r="F2862" s="291">
        <v>15090</v>
      </c>
      <c r="G2862" s="291">
        <v>250</v>
      </c>
      <c r="H2862" s="291">
        <v>1855</v>
      </c>
      <c r="I2862" s="292" t="str">
        <f t="shared" si="43"/>
        <v>GooD</v>
      </c>
    </row>
    <row r="2863" spans="1:9" ht="15.7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75" thickBot="1">
      <c r="A2867" s="288" t="s">
        <v>643</v>
      </c>
      <c r="B2867" s="288">
        <v>13000</v>
      </c>
      <c r="C2867" s="289">
        <v>8</v>
      </c>
      <c r="D2867" s="290">
        <v>0.31</v>
      </c>
      <c r="E2867" s="291">
        <v>2692</v>
      </c>
      <c r="F2867" s="291">
        <v>15692</v>
      </c>
      <c r="G2867" s="291">
        <v>260</v>
      </c>
      <c r="H2867" s="291">
        <v>1929</v>
      </c>
      <c r="I2867" s="292" t="str">
        <f t="shared" si="43"/>
        <v>GooD</v>
      </c>
    </row>
    <row r="2868" spans="1:9" ht="15.7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75" thickBot="1">
      <c r="A2872" s="288" t="s">
        <v>643</v>
      </c>
      <c r="B2872" s="288">
        <v>13500</v>
      </c>
      <c r="C2872" s="289">
        <v>8</v>
      </c>
      <c r="D2872" s="290">
        <v>0.31</v>
      </c>
      <c r="E2872" s="291">
        <v>2794</v>
      </c>
      <c r="F2872" s="291">
        <v>16294</v>
      </c>
      <c r="G2872" s="291">
        <v>270</v>
      </c>
      <c r="H2872" s="291">
        <v>2003</v>
      </c>
      <c r="I2872" s="292" t="str">
        <f t="shared" si="43"/>
        <v>GooD</v>
      </c>
    </row>
    <row r="2873" spans="1:9" ht="15.7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75" thickBot="1">
      <c r="A2877" s="288" t="s">
        <v>643</v>
      </c>
      <c r="B2877" s="288">
        <v>14000</v>
      </c>
      <c r="C2877" s="289">
        <v>8</v>
      </c>
      <c r="D2877" s="290">
        <v>0.31</v>
      </c>
      <c r="E2877" s="291">
        <v>2896</v>
      </c>
      <c r="F2877" s="291">
        <v>16896</v>
      </c>
      <c r="G2877" s="291">
        <v>280</v>
      </c>
      <c r="H2877" s="291">
        <v>2077</v>
      </c>
      <c r="I2877" s="292" t="str">
        <f t="shared" si="43"/>
        <v>GooD</v>
      </c>
    </row>
    <row r="2878" spans="1:9" ht="15.7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75" thickBot="1">
      <c r="A2882" s="288" t="s">
        <v>643</v>
      </c>
      <c r="B2882" s="288">
        <v>14500</v>
      </c>
      <c r="C2882" s="289">
        <v>8</v>
      </c>
      <c r="D2882" s="290">
        <v>0.31</v>
      </c>
      <c r="E2882" s="291">
        <v>2999</v>
      </c>
      <c r="F2882" s="291">
        <v>17499</v>
      </c>
      <c r="G2882" s="291">
        <v>339</v>
      </c>
      <c r="H2882" s="291">
        <v>2145</v>
      </c>
      <c r="I2882" s="292" t="str">
        <f t="shared" si="43"/>
        <v>GooD</v>
      </c>
    </row>
    <row r="2883" spans="1:9" ht="15.7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75" thickBot="1">
      <c r="A2887" s="288" t="s">
        <v>643</v>
      </c>
      <c r="B2887" s="288">
        <v>15000</v>
      </c>
      <c r="C2887" s="289">
        <v>8</v>
      </c>
      <c r="D2887" s="290">
        <v>0.31</v>
      </c>
      <c r="E2887" s="291">
        <v>3102</v>
      </c>
      <c r="F2887" s="291">
        <v>18102</v>
      </c>
      <c r="G2887" s="291">
        <v>350</v>
      </c>
      <c r="H2887" s="291">
        <v>2219</v>
      </c>
      <c r="I2887" s="292" t="str">
        <f t="shared" si="43"/>
        <v>GooD</v>
      </c>
    </row>
    <row r="2888" spans="1:9" ht="15.7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75" thickBot="1">
      <c r="A2892" s="288" t="s">
        <v>643</v>
      </c>
      <c r="B2892" s="288">
        <v>15500</v>
      </c>
      <c r="C2892" s="289">
        <v>8</v>
      </c>
      <c r="D2892" s="290">
        <v>0.31</v>
      </c>
      <c r="E2892" s="291">
        <v>3206</v>
      </c>
      <c r="F2892" s="291">
        <v>18706</v>
      </c>
      <c r="G2892" s="291">
        <v>362</v>
      </c>
      <c r="H2892" s="291">
        <v>2293</v>
      </c>
      <c r="I2892" s="292" t="str">
        <f t="shared" si="43"/>
        <v>GooD</v>
      </c>
    </row>
    <row r="2893" spans="1:9" ht="15.7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75" thickBot="1">
      <c r="A2897" s="288" t="s">
        <v>643</v>
      </c>
      <c r="B2897" s="288">
        <v>16000</v>
      </c>
      <c r="C2897" s="289">
        <v>8</v>
      </c>
      <c r="D2897" s="290">
        <v>0.31</v>
      </c>
      <c r="E2897" s="291">
        <v>3310</v>
      </c>
      <c r="F2897" s="291">
        <v>19310</v>
      </c>
      <c r="G2897" s="291">
        <v>374</v>
      </c>
      <c r="H2897" s="291">
        <v>2367</v>
      </c>
      <c r="I2897" s="292" t="str">
        <f t="shared" si="43"/>
        <v>GooD</v>
      </c>
    </row>
    <row r="2898" spans="1:9" ht="15.7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75" thickBot="1">
      <c r="A2902" s="288" t="s">
        <v>643</v>
      </c>
      <c r="B2902" s="288">
        <v>16500</v>
      </c>
      <c r="C2902" s="289">
        <v>8</v>
      </c>
      <c r="D2902" s="290">
        <v>0.31</v>
      </c>
      <c r="E2902" s="291">
        <v>3413</v>
      </c>
      <c r="F2902" s="291">
        <v>19913</v>
      </c>
      <c r="G2902" s="291">
        <v>385</v>
      </c>
      <c r="H2902" s="291">
        <v>2441</v>
      </c>
      <c r="I2902" s="292" t="str">
        <f t="shared" si="43"/>
        <v>GooD</v>
      </c>
    </row>
    <row r="2903" spans="1:9" ht="15.7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75" thickBot="1">
      <c r="A2907" s="288" t="s">
        <v>643</v>
      </c>
      <c r="B2907" s="288">
        <v>17000</v>
      </c>
      <c r="C2907" s="289">
        <v>8</v>
      </c>
      <c r="D2907" s="290">
        <v>0.31</v>
      </c>
      <c r="E2907" s="291">
        <v>3517</v>
      </c>
      <c r="F2907" s="291">
        <v>20517</v>
      </c>
      <c r="G2907" s="291">
        <v>397</v>
      </c>
      <c r="H2907" s="291">
        <v>2515</v>
      </c>
      <c r="I2907" s="292" t="str">
        <f t="shared" si="43"/>
        <v>GooD</v>
      </c>
    </row>
    <row r="2908" spans="1:9" ht="15.7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75" thickBot="1">
      <c r="A2912" s="288" t="s">
        <v>643</v>
      </c>
      <c r="B2912" s="288">
        <v>17500</v>
      </c>
      <c r="C2912" s="289">
        <v>8</v>
      </c>
      <c r="D2912" s="290">
        <v>0.31</v>
      </c>
      <c r="E2912" s="291">
        <v>3621</v>
      </c>
      <c r="F2912" s="291">
        <v>21121</v>
      </c>
      <c r="G2912" s="291">
        <v>409</v>
      </c>
      <c r="H2912" s="291">
        <v>2589</v>
      </c>
      <c r="I2912" s="292" t="str">
        <f t="shared" si="43"/>
        <v>GooD</v>
      </c>
    </row>
    <row r="2913" spans="1:9" ht="15.7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75" thickBot="1">
      <c r="A2917" s="288" t="s">
        <v>643</v>
      </c>
      <c r="B2917" s="288">
        <v>18000</v>
      </c>
      <c r="C2917" s="289">
        <v>8</v>
      </c>
      <c r="D2917" s="290">
        <v>0.31</v>
      </c>
      <c r="E2917" s="291">
        <v>3724</v>
      </c>
      <c r="F2917" s="291">
        <v>21724</v>
      </c>
      <c r="G2917" s="291">
        <v>420</v>
      </c>
      <c r="H2917" s="291">
        <v>2663</v>
      </c>
      <c r="I2917" s="292" t="str">
        <f t="shared" si="43"/>
        <v>GooD</v>
      </c>
    </row>
    <row r="2918" spans="1:9" ht="15.7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75" thickBot="1">
      <c r="A2922" s="288" t="s">
        <v>643</v>
      </c>
      <c r="B2922" s="288">
        <v>18500</v>
      </c>
      <c r="C2922" s="289">
        <v>8</v>
      </c>
      <c r="D2922" s="290">
        <v>0.31</v>
      </c>
      <c r="E2922" s="291">
        <v>3828</v>
      </c>
      <c r="F2922" s="291">
        <v>22328</v>
      </c>
      <c r="G2922" s="291">
        <v>432</v>
      </c>
      <c r="H2922" s="291">
        <v>2737</v>
      </c>
      <c r="I2922" s="292" t="str">
        <f t="shared" si="44"/>
        <v>GooD</v>
      </c>
    </row>
    <row r="2923" spans="1:9" ht="15.7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75" thickBot="1">
      <c r="A2927" s="288" t="s">
        <v>643</v>
      </c>
      <c r="B2927" s="288">
        <v>19000</v>
      </c>
      <c r="C2927" s="289">
        <v>8</v>
      </c>
      <c r="D2927" s="290">
        <v>0.31</v>
      </c>
      <c r="E2927" s="291">
        <v>3932</v>
      </c>
      <c r="F2927" s="291">
        <v>22932</v>
      </c>
      <c r="G2927" s="291">
        <v>444</v>
      </c>
      <c r="H2927" s="291">
        <v>2811</v>
      </c>
      <c r="I2927" s="292" t="str">
        <f t="shared" si="44"/>
        <v>GooD</v>
      </c>
    </row>
    <row r="2928" spans="1:9" ht="15.7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75" thickBot="1">
      <c r="A2932" s="288" t="s">
        <v>643</v>
      </c>
      <c r="B2932" s="288">
        <v>19500</v>
      </c>
      <c r="C2932" s="289">
        <v>8</v>
      </c>
      <c r="D2932" s="290">
        <v>0.31</v>
      </c>
      <c r="E2932" s="291">
        <v>4035</v>
      </c>
      <c r="F2932" s="291">
        <v>23535</v>
      </c>
      <c r="G2932" s="291">
        <v>455</v>
      </c>
      <c r="H2932" s="291">
        <v>2885</v>
      </c>
      <c r="I2932" s="292" t="str">
        <f t="shared" si="44"/>
        <v>GooD</v>
      </c>
    </row>
    <row r="2933" spans="1:9" ht="15.7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75" thickBot="1">
      <c r="A2937" s="288" t="s">
        <v>643</v>
      </c>
      <c r="B2937" s="288">
        <v>20000</v>
      </c>
      <c r="C2937" s="289">
        <v>8</v>
      </c>
      <c r="D2937" s="290">
        <v>0.31</v>
      </c>
      <c r="E2937" s="291">
        <v>4139</v>
      </c>
      <c r="F2937" s="291">
        <v>24139</v>
      </c>
      <c r="G2937" s="291">
        <v>467</v>
      </c>
      <c r="H2937" s="291">
        <v>2959</v>
      </c>
      <c r="I2937" s="292" t="str">
        <f t="shared" si="44"/>
        <v>GooD</v>
      </c>
    </row>
    <row r="2938" spans="1:9" ht="15.7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75" thickBot="1">
      <c r="A2942" s="288" t="s">
        <v>643</v>
      </c>
      <c r="B2942" s="288">
        <v>20000</v>
      </c>
      <c r="C2942" s="289">
        <v>18</v>
      </c>
      <c r="D2942" s="290">
        <v>0.31</v>
      </c>
      <c r="E2942" s="291">
        <v>9310</v>
      </c>
      <c r="F2942" s="291">
        <v>29310</v>
      </c>
      <c r="G2942" s="291">
        <v>1050</v>
      </c>
      <c r="H2942" s="291">
        <v>1570</v>
      </c>
      <c r="I2942" s="292" t="str">
        <f t="shared" si="44"/>
        <v>GooD</v>
      </c>
    </row>
    <row r="2943" spans="1:9" ht="15.7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75" thickBot="1">
      <c r="A2947" s="288" t="s">
        <v>643</v>
      </c>
      <c r="B2947" s="288">
        <v>21000</v>
      </c>
      <c r="C2947" s="289">
        <v>6</v>
      </c>
      <c r="D2947" s="290">
        <v>0.31</v>
      </c>
      <c r="E2947" s="291">
        <v>3260</v>
      </c>
      <c r="F2947" s="291">
        <v>24260</v>
      </c>
      <c r="G2947" s="291">
        <v>368</v>
      </c>
      <c r="H2947" s="291">
        <v>3982</v>
      </c>
      <c r="I2947" s="292" t="str">
        <f t="shared" si="44"/>
        <v>GooD</v>
      </c>
    </row>
    <row r="2948" spans="1:9" ht="15.7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75" thickBot="1">
      <c r="A2952" s="288" t="s">
        <v>643</v>
      </c>
      <c r="B2952" s="288">
        <v>21000</v>
      </c>
      <c r="C2952" s="289">
        <v>16</v>
      </c>
      <c r="D2952" s="290">
        <v>0.31</v>
      </c>
      <c r="E2952" s="291">
        <v>8684</v>
      </c>
      <c r="F2952" s="291">
        <v>29684</v>
      </c>
      <c r="G2952" s="291">
        <v>980</v>
      </c>
      <c r="H2952" s="291">
        <v>1794</v>
      </c>
      <c r="I2952" s="292" t="str">
        <f t="shared" si="44"/>
        <v>GooD</v>
      </c>
    </row>
    <row r="2953" spans="1:9" ht="15.7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75" thickBot="1">
      <c r="A2957" s="288" t="s">
        <v>643</v>
      </c>
      <c r="B2957" s="288">
        <v>22000</v>
      </c>
      <c r="C2957" s="289">
        <v>4</v>
      </c>
      <c r="D2957" s="290">
        <v>0.31</v>
      </c>
      <c r="E2957" s="291">
        <v>2277</v>
      </c>
      <c r="F2957" s="291">
        <v>24277</v>
      </c>
      <c r="G2957" s="291">
        <v>257</v>
      </c>
      <c r="H2957" s="291">
        <v>6005</v>
      </c>
      <c r="I2957" s="292" t="str">
        <f t="shared" si="44"/>
        <v>GooD</v>
      </c>
    </row>
    <row r="2958" spans="1:9" ht="15.7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75" thickBot="1">
      <c r="A2962" s="288" t="s">
        <v>643</v>
      </c>
      <c r="B2962" s="288">
        <v>22000</v>
      </c>
      <c r="C2962" s="289">
        <v>14</v>
      </c>
      <c r="D2962" s="290">
        <v>0.31</v>
      </c>
      <c r="E2962" s="291">
        <v>7963</v>
      </c>
      <c r="F2962" s="291">
        <v>29963</v>
      </c>
      <c r="G2962" s="291">
        <v>899</v>
      </c>
      <c r="H2962" s="291">
        <v>2076</v>
      </c>
      <c r="I2962" s="292" t="str">
        <f t="shared" si="44"/>
        <v>GooD</v>
      </c>
    </row>
    <row r="2963" spans="1:9" ht="15.7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75" thickBot="1">
      <c r="A2969" s="288" t="s">
        <v>643</v>
      </c>
      <c r="B2969" s="288">
        <v>23000</v>
      </c>
      <c r="C2969" s="289">
        <v>6</v>
      </c>
      <c r="D2969" s="290">
        <v>0.31</v>
      </c>
      <c r="E2969" s="291">
        <v>3569</v>
      </c>
      <c r="F2969" s="291">
        <v>26569</v>
      </c>
      <c r="G2969" s="291">
        <v>403</v>
      </c>
      <c r="H2969" s="291">
        <v>4361</v>
      </c>
      <c r="I2969" s="292" t="str">
        <f t="shared" si="44"/>
        <v>GooD</v>
      </c>
    </row>
    <row r="2970" spans="1:9" ht="15.7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75" thickBot="1">
      <c r="A2972" s="288" t="s">
        <v>643</v>
      </c>
      <c r="B2972" s="288">
        <v>23000</v>
      </c>
      <c r="C2972" s="289">
        <v>12</v>
      </c>
      <c r="D2972" s="290">
        <v>0.31</v>
      </c>
      <c r="E2972" s="291">
        <v>7133</v>
      </c>
      <c r="F2972" s="291">
        <v>30133</v>
      </c>
      <c r="G2972" s="291">
        <v>805</v>
      </c>
      <c r="H2972" s="291">
        <v>2444</v>
      </c>
      <c r="I2972" s="292" t="str">
        <f t="shared" si="44"/>
        <v>GooD</v>
      </c>
    </row>
    <row r="2973" spans="1:9" ht="15.7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75" thickBot="1">
      <c r="A2975" s="288" t="s">
        <v>643</v>
      </c>
      <c r="B2975" s="288">
        <v>23000</v>
      </c>
      <c r="C2975" s="289">
        <v>18</v>
      </c>
      <c r="D2975" s="290">
        <v>0.31</v>
      </c>
      <c r="E2975" s="291">
        <v>10698</v>
      </c>
      <c r="F2975" s="291">
        <v>33698</v>
      </c>
      <c r="G2975" s="291">
        <v>1208</v>
      </c>
      <c r="H2975" s="291">
        <v>1805</v>
      </c>
      <c r="I2975" s="292" t="str">
        <f t="shared" si="44"/>
        <v>GooD</v>
      </c>
    </row>
    <row r="2976" spans="1:9" ht="15.7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75" thickBot="1">
      <c r="A2978" s="288" t="s">
        <v>643</v>
      </c>
      <c r="B2978" s="288">
        <v>23000</v>
      </c>
      <c r="C2978" s="289">
        <v>24</v>
      </c>
      <c r="D2978" s="290">
        <v>0.31</v>
      </c>
      <c r="E2978" s="291">
        <v>14274</v>
      </c>
      <c r="F2978" s="291">
        <v>37274</v>
      </c>
      <c r="G2978" s="291">
        <v>1610</v>
      </c>
      <c r="H2978" s="291">
        <v>1486</v>
      </c>
      <c r="I2978" s="292" t="str">
        <f t="shared" si="44"/>
        <v>GooD</v>
      </c>
    </row>
    <row r="2979" spans="1:9" ht="15.7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75" thickBot="1">
      <c r="A2981" s="288" t="s">
        <v>643</v>
      </c>
      <c r="B2981" s="288">
        <v>24000</v>
      </c>
      <c r="C2981" s="289">
        <v>8</v>
      </c>
      <c r="D2981" s="290">
        <v>0.31</v>
      </c>
      <c r="E2981" s="291">
        <v>4968</v>
      </c>
      <c r="F2981" s="291">
        <v>28968</v>
      </c>
      <c r="G2981" s="291">
        <v>560</v>
      </c>
      <c r="H2981" s="291">
        <v>3551</v>
      </c>
      <c r="I2981" s="292" t="str">
        <f t="shared" si="44"/>
        <v>GooD</v>
      </c>
    </row>
    <row r="2982" spans="1:9" ht="15.7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75" thickBot="1">
      <c r="A2984" s="288" t="s">
        <v>643</v>
      </c>
      <c r="B2984" s="288">
        <v>24000</v>
      </c>
      <c r="C2984" s="289">
        <v>14</v>
      </c>
      <c r="D2984" s="290">
        <v>0.31</v>
      </c>
      <c r="E2984" s="291">
        <v>8690</v>
      </c>
      <c r="F2984" s="291">
        <v>32690</v>
      </c>
      <c r="G2984" s="291">
        <v>980</v>
      </c>
      <c r="H2984" s="291">
        <v>2265</v>
      </c>
      <c r="I2984" s="292" t="str">
        <f t="shared" si="45"/>
        <v>GooD</v>
      </c>
    </row>
    <row r="2985" spans="1:9" ht="15.7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75" thickBot="1">
      <c r="A2987" s="288" t="s">
        <v>643</v>
      </c>
      <c r="B2987" s="288">
        <v>24000</v>
      </c>
      <c r="C2987" s="289">
        <v>20</v>
      </c>
      <c r="D2987" s="290">
        <v>0.31</v>
      </c>
      <c r="E2987" s="291">
        <v>12420</v>
      </c>
      <c r="F2987" s="291">
        <v>36420</v>
      </c>
      <c r="G2987" s="291">
        <v>1400</v>
      </c>
      <c r="H2987" s="291">
        <v>1751</v>
      </c>
      <c r="I2987" s="292" t="str">
        <f t="shared" si="45"/>
        <v>GooD</v>
      </c>
    </row>
    <row r="2988" spans="1:9" ht="15.7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75" thickBot="1">
      <c r="A2990" s="288" t="s">
        <v>643</v>
      </c>
      <c r="B2990" s="288">
        <v>25000</v>
      </c>
      <c r="C2990" s="289">
        <v>4</v>
      </c>
      <c r="D2990" s="290">
        <v>0.31</v>
      </c>
      <c r="E2990" s="291">
        <v>2584</v>
      </c>
      <c r="F2990" s="291">
        <v>27584</v>
      </c>
      <c r="G2990" s="291">
        <v>292</v>
      </c>
      <c r="H2990" s="291">
        <v>6823</v>
      </c>
      <c r="I2990" s="292" t="str">
        <f t="shared" si="45"/>
        <v>GooD</v>
      </c>
    </row>
    <row r="2991" spans="1:9" ht="15.7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75" thickBot="1">
      <c r="A2993" s="288" t="s">
        <v>643</v>
      </c>
      <c r="B2993" s="288">
        <v>25000</v>
      </c>
      <c r="C2993" s="289">
        <v>10</v>
      </c>
      <c r="D2993" s="290">
        <v>0.31</v>
      </c>
      <c r="E2993" s="291">
        <v>6460</v>
      </c>
      <c r="F2993" s="291">
        <v>31460</v>
      </c>
      <c r="G2993" s="291">
        <v>730</v>
      </c>
      <c r="H2993" s="291">
        <v>3073</v>
      </c>
      <c r="I2993" s="292" t="str">
        <f t="shared" si="45"/>
        <v>GooD</v>
      </c>
    </row>
    <row r="2994" spans="1:9" ht="15.7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75" thickBot="1">
      <c r="A2996" s="288" t="s">
        <v>643</v>
      </c>
      <c r="B2996" s="288">
        <v>25000</v>
      </c>
      <c r="C2996" s="289">
        <v>16</v>
      </c>
      <c r="D2996" s="290">
        <v>0.31</v>
      </c>
      <c r="E2996" s="291">
        <v>10343</v>
      </c>
      <c r="F2996" s="291">
        <v>35343</v>
      </c>
      <c r="G2996" s="291">
        <v>1167</v>
      </c>
      <c r="H2996" s="291">
        <v>2136</v>
      </c>
      <c r="I2996" s="292" t="str">
        <f t="shared" si="45"/>
        <v>GooD</v>
      </c>
    </row>
    <row r="2997" spans="1:9" ht="15.7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75" thickBot="1">
      <c r="A2999" s="288" t="s">
        <v>643</v>
      </c>
      <c r="B2999" s="288">
        <v>25000</v>
      </c>
      <c r="C2999" s="289">
        <v>22</v>
      </c>
      <c r="D2999" s="290">
        <v>0.31</v>
      </c>
      <c r="E2999" s="291">
        <v>14225</v>
      </c>
      <c r="F2999" s="291">
        <v>39225</v>
      </c>
      <c r="G2999" s="291">
        <v>1605</v>
      </c>
      <c r="H2999" s="291">
        <v>1710</v>
      </c>
      <c r="I2999" s="292" t="str">
        <f t="shared" si="45"/>
        <v>GooD</v>
      </c>
    </row>
    <row r="3000" spans="1:9" ht="15.7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75" thickBot="1">
      <c r="A3002" s="288" t="s">
        <v>643</v>
      </c>
      <c r="B3002" s="288">
        <v>26000</v>
      </c>
      <c r="C3002" s="289">
        <v>6</v>
      </c>
      <c r="D3002" s="290">
        <v>0.31</v>
      </c>
      <c r="E3002" s="291">
        <v>4035</v>
      </c>
      <c r="F3002" s="291">
        <v>30035</v>
      </c>
      <c r="G3002" s="291">
        <v>455</v>
      </c>
      <c r="H3002" s="291">
        <v>4930</v>
      </c>
      <c r="I3002" s="292" t="str">
        <f t="shared" si="45"/>
        <v>GooD</v>
      </c>
    </row>
    <row r="3003" spans="1:9" ht="15.7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75" thickBot="1">
      <c r="A3005" s="288" t="s">
        <v>643</v>
      </c>
      <c r="B3005" s="288">
        <v>26000</v>
      </c>
      <c r="C3005" s="289">
        <v>12</v>
      </c>
      <c r="D3005" s="290">
        <v>0.31</v>
      </c>
      <c r="E3005" s="291">
        <v>8066</v>
      </c>
      <c r="F3005" s="291">
        <v>34066</v>
      </c>
      <c r="G3005" s="291">
        <v>910</v>
      </c>
      <c r="H3005" s="291">
        <v>2763</v>
      </c>
      <c r="I3005" s="292" t="str">
        <f t="shared" si="45"/>
        <v>GooD</v>
      </c>
    </row>
    <row r="3006" spans="1:9" ht="15.7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75" thickBot="1">
      <c r="A3008" s="288" t="s">
        <v>643</v>
      </c>
      <c r="B3008" s="288">
        <v>26000</v>
      </c>
      <c r="C3008" s="289">
        <v>18</v>
      </c>
      <c r="D3008" s="290">
        <v>0.31</v>
      </c>
      <c r="E3008" s="291">
        <v>12103</v>
      </c>
      <c r="F3008" s="291">
        <v>38103</v>
      </c>
      <c r="G3008" s="291">
        <v>1365</v>
      </c>
      <c r="H3008" s="291">
        <v>2041</v>
      </c>
      <c r="I3008" s="292" t="str">
        <f t="shared" si="45"/>
        <v>GooD</v>
      </c>
    </row>
    <row r="3009" spans="1:9" ht="15.7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75" thickBot="1">
      <c r="A3011" s="288" t="s">
        <v>643</v>
      </c>
      <c r="B3011" s="288">
        <v>26000</v>
      </c>
      <c r="C3011" s="289">
        <v>24</v>
      </c>
      <c r="D3011" s="290">
        <v>0.31</v>
      </c>
      <c r="E3011" s="291">
        <v>16140</v>
      </c>
      <c r="F3011" s="291">
        <v>42140</v>
      </c>
      <c r="G3011" s="291">
        <v>1820</v>
      </c>
      <c r="H3011" s="291">
        <v>1680</v>
      </c>
      <c r="I3011" s="292" t="str">
        <f t="shared" si="45"/>
        <v>GooD</v>
      </c>
    </row>
    <row r="3012" spans="1:9" ht="15.7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75" thickBot="1">
      <c r="A3014" s="288" t="s">
        <v>643</v>
      </c>
      <c r="B3014" s="288">
        <v>27000</v>
      </c>
      <c r="C3014" s="289">
        <v>8</v>
      </c>
      <c r="D3014" s="290">
        <v>0.31</v>
      </c>
      <c r="E3014" s="291">
        <v>5582</v>
      </c>
      <c r="F3014" s="291">
        <v>32582</v>
      </c>
      <c r="G3014" s="291">
        <v>630</v>
      </c>
      <c r="H3014" s="291">
        <v>3994</v>
      </c>
      <c r="I3014" s="292" t="str">
        <f t="shared" si="45"/>
        <v>GooD</v>
      </c>
    </row>
    <row r="3015" spans="1:9" ht="15.7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75" thickBot="1">
      <c r="A3017" s="288" t="s">
        <v>643</v>
      </c>
      <c r="B3017" s="288">
        <v>27000</v>
      </c>
      <c r="C3017" s="289">
        <v>14</v>
      </c>
      <c r="D3017" s="290">
        <v>0.31</v>
      </c>
      <c r="E3017" s="291">
        <v>9775</v>
      </c>
      <c r="F3017" s="291">
        <v>36775</v>
      </c>
      <c r="G3017" s="291">
        <v>1103</v>
      </c>
      <c r="H3017" s="291">
        <v>2548</v>
      </c>
      <c r="I3017" s="292" t="str">
        <f t="shared" si="45"/>
        <v>GooD</v>
      </c>
    </row>
    <row r="3018" spans="1:9" ht="15.7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75" thickBot="1">
      <c r="A3020" s="288" t="s">
        <v>643</v>
      </c>
      <c r="B3020" s="288">
        <v>27000</v>
      </c>
      <c r="C3020" s="289">
        <v>20</v>
      </c>
      <c r="D3020" s="290">
        <v>0.31</v>
      </c>
      <c r="E3020" s="291">
        <v>13955</v>
      </c>
      <c r="F3020" s="291">
        <v>40955</v>
      </c>
      <c r="G3020" s="291">
        <v>1575</v>
      </c>
      <c r="H3020" s="291">
        <v>1969</v>
      </c>
      <c r="I3020" s="292" t="str">
        <f t="shared" si="45"/>
        <v>GooD</v>
      </c>
    </row>
    <row r="3021" spans="1:9" ht="15.7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75" thickBot="1">
      <c r="A3023" s="288" t="s">
        <v>643</v>
      </c>
      <c r="B3023" s="288">
        <v>28000</v>
      </c>
      <c r="C3023" s="289">
        <v>4</v>
      </c>
      <c r="D3023" s="290">
        <v>0.31</v>
      </c>
      <c r="E3023" s="291">
        <v>2895</v>
      </c>
      <c r="F3023" s="291">
        <v>30895</v>
      </c>
      <c r="G3023" s="291">
        <v>327</v>
      </c>
      <c r="H3023" s="291">
        <v>7642</v>
      </c>
      <c r="I3023" s="292" t="str">
        <f t="shared" si="45"/>
        <v>GooD</v>
      </c>
    </row>
    <row r="3024" spans="1:9" ht="15.7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75" thickBot="1">
      <c r="A3026" s="288" t="s">
        <v>643</v>
      </c>
      <c r="B3026" s="288">
        <v>28000</v>
      </c>
      <c r="C3026" s="289">
        <v>10</v>
      </c>
      <c r="D3026" s="290">
        <v>0.31</v>
      </c>
      <c r="E3026" s="291">
        <v>7237</v>
      </c>
      <c r="F3026" s="291">
        <v>35237</v>
      </c>
      <c r="G3026" s="291">
        <v>817</v>
      </c>
      <c r="H3026" s="291">
        <v>3442</v>
      </c>
      <c r="I3026" s="292" t="str">
        <f t="shared" si="45"/>
        <v>GooD</v>
      </c>
    </row>
    <row r="3027" spans="1:9" ht="15.7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75" thickBot="1">
      <c r="A3029" s="288" t="s">
        <v>643</v>
      </c>
      <c r="B3029" s="288">
        <v>28000</v>
      </c>
      <c r="C3029" s="289">
        <v>16</v>
      </c>
      <c r="D3029" s="290">
        <v>0.31</v>
      </c>
      <c r="E3029" s="291">
        <v>11579</v>
      </c>
      <c r="F3029" s="291">
        <v>39579</v>
      </c>
      <c r="G3029" s="291">
        <v>1307</v>
      </c>
      <c r="H3029" s="291">
        <v>2392</v>
      </c>
      <c r="I3029" s="292" t="str">
        <f t="shared" si="45"/>
        <v>GooD</v>
      </c>
    </row>
    <row r="3030" spans="1:9" ht="15.7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75" thickBot="1">
      <c r="A3032" s="288" t="s">
        <v>643</v>
      </c>
      <c r="B3032" s="288">
        <v>28000</v>
      </c>
      <c r="C3032" s="289">
        <v>22</v>
      </c>
      <c r="D3032" s="290">
        <v>0.31</v>
      </c>
      <c r="E3032" s="291">
        <v>15927</v>
      </c>
      <c r="F3032" s="291">
        <v>43927</v>
      </c>
      <c r="G3032" s="291">
        <v>1797</v>
      </c>
      <c r="H3032" s="291">
        <v>1915</v>
      </c>
      <c r="I3032" s="292" t="str">
        <f t="shared" si="45"/>
        <v>GooD</v>
      </c>
    </row>
    <row r="3033" spans="1:9" ht="15.7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75" thickBot="1">
      <c r="A3035" s="288" t="s">
        <v>643</v>
      </c>
      <c r="B3035" s="288">
        <v>29000</v>
      </c>
      <c r="C3035" s="289">
        <v>6</v>
      </c>
      <c r="D3035" s="290">
        <v>0.31</v>
      </c>
      <c r="E3035" s="291">
        <v>4496</v>
      </c>
      <c r="F3035" s="291">
        <v>33496</v>
      </c>
      <c r="G3035" s="291">
        <v>508</v>
      </c>
      <c r="H3035" s="291">
        <v>5498</v>
      </c>
      <c r="I3035" s="292" t="str">
        <f t="shared" si="45"/>
        <v>GooD</v>
      </c>
    </row>
    <row r="3036" spans="1:9" ht="15.7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75" thickBot="1">
      <c r="A3038" s="288" t="s">
        <v>643</v>
      </c>
      <c r="B3038" s="288">
        <v>29000</v>
      </c>
      <c r="C3038" s="289">
        <v>12</v>
      </c>
      <c r="D3038" s="290">
        <v>0.31</v>
      </c>
      <c r="E3038" s="291">
        <v>8999</v>
      </c>
      <c r="F3038" s="291">
        <v>37999</v>
      </c>
      <c r="G3038" s="291">
        <v>1015</v>
      </c>
      <c r="H3038" s="291">
        <v>3082</v>
      </c>
      <c r="I3038" s="292" t="str">
        <f t="shared" si="45"/>
        <v>GooD</v>
      </c>
    </row>
    <row r="3039" spans="1:9" ht="15.7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75" thickBot="1">
      <c r="A3041" s="288" t="s">
        <v>643</v>
      </c>
      <c r="B3041" s="288">
        <v>29000</v>
      </c>
      <c r="C3041" s="289">
        <v>18</v>
      </c>
      <c r="D3041" s="290">
        <v>0.31</v>
      </c>
      <c r="E3041" s="291">
        <v>13491</v>
      </c>
      <c r="F3041" s="291">
        <v>42491</v>
      </c>
      <c r="G3041" s="291">
        <v>1523</v>
      </c>
      <c r="H3041" s="291">
        <v>2276</v>
      </c>
      <c r="I3041" s="292" t="str">
        <f t="shared" si="45"/>
        <v>GooD</v>
      </c>
    </row>
    <row r="3042" spans="1:9" ht="15.7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75" thickBot="1">
      <c r="A3044" s="288" t="s">
        <v>643</v>
      </c>
      <c r="B3044" s="288">
        <v>29000</v>
      </c>
      <c r="C3044" s="289">
        <v>24</v>
      </c>
      <c r="D3044" s="290">
        <v>0.31</v>
      </c>
      <c r="E3044" s="291">
        <v>17982</v>
      </c>
      <c r="F3044" s="291">
        <v>46982</v>
      </c>
      <c r="G3044" s="291">
        <v>2030</v>
      </c>
      <c r="H3044" s="291">
        <v>1873</v>
      </c>
      <c r="I3044" s="292" t="str">
        <f t="shared" si="45"/>
        <v>GooD</v>
      </c>
    </row>
    <row r="3045" spans="1:9" ht="15.7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75" thickBot="1">
      <c r="A3047" s="288" t="s">
        <v>643</v>
      </c>
      <c r="B3047" s="288">
        <v>30000</v>
      </c>
      <c r="C3047" s="289">
        <v>8</v>
      </c>
      <c r="D3047" s="290">
        <v>0.31</v>
      </c>
      <c r="E3047" s="291">
        <v>6204</v>
      </c>
      <c r="F3047" s="291">
        <v>36204</v>
      </c>
      <c r="G3047" s="291">
        <v>700</v>
      </c>
      <c r="H3047" s="291">
        <v>4438</v>
      </c>
      <c r="I3047" s="292" t="str">
        <f t="shared" si="45"/>
        <v>GooD</v>
      </c>
    </row>
    <row r="3048" spans="1:9" ht="15.7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75" thickBot="1">
      <c r="A3050" s="288" t="s">
        <v>643</v>
      </c>
      <c r="B3050" s="288">
        <v>30000</v>
      </c>
      <c r="C3050" s="289">
        <v>14</v>
      </c>
      <c r="D3050" s="290">
        <v>0.31</v>
      </c>
      <c r="E3050" s="291">
        <v>10859</v>
      </c>
      <c r="F3050" s="291">
        <v>40859</v>
      </c>
      <c r="G3050" s="291">
        <v>1225</v>
      </c>
      <c r="H3050" s="291">
        <v>2831</v>
      </c>
      <c r="I3050" s="292" t="str">
        <f t="shared" si="45"/>
        <v>GooD</v>
      </c>
    </row>
    <row r="3051" spans="1:9" ht="15.7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75" thickBot="1">
      <c r="A3053" s="288" t="s">
        <v>643</v>
      </c>
      <c r="B3053" s="288">
        <v>30000</v>
      </c>
      <c r="C3053" s="289">
        <v>20</v>
      </c>
      <c r="D3053" s="290">
        <v>0.31</v>
      </c>
      <c r="E3053" s="291">
        <v>15510</v>
      </c>
      <c r="F3053" s="291">
        <v>45510</v>
      </c>
      <c r="G3053" s="291">
        <v>1750</v>
      </c>
      <c r="H3053" s="291">
        <v>2188</v>
      </c>
      <c r="I3053" s="292" t="str">
        <f t="shared" si="45"/>
        <v>GooD</v>
      </c>
    </row>
    <row r="3054" spans="1:9" ht="15.7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75" thickBot="1">
      <c r="A3056" s="288" t="s">
        <v>643</v>
      </c>
      <c r="B3056" s="288">
        <v>31000</v>
      </c>
      <c r="C3056" s="289">
        <v>4</v>
      </c>
      <c r="D3056" s="290">
        <v>0.31</v>
      </c>
      <c r="E3056" s="291">
        <v>3206</v>
      </c>
      <c r="F3056" s="291">
        <v>34206</v>
      </c>
      <c r="G3056" s="291">
        <v>362</v>
      </c>
      <c r="H3056" s="291">
        <v>8461</v>
      </c>
      <c r="I3056" s="292" t="str">
        <f t="shared" si="45"/>
        <v>GooD</v>
      </c>
    </row>
    <row r="3057" spans="1:9" ht="15.7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75" thickBot="1">
      <c r="A3059" s="288" t="s">
        <v>643</v>
      </c>
      <c r="B3059" s="288">
        <v>31000</v>
      </c>
      <c r="C3059" s="289">
        <v>10</v>
      </c>
      <c r="D3059" s="290">
        <v>0.31</v>
      </c>
      <c r="E3059" s="291">
        <v>8015</v>
      </c>
      <c r="F3059" s="291">
        <v>39015</v>
      </c>
      <c r="G3059" s="291">
        <v>905</v>
      </c>
      <c r="H3059" s="291">
        <v>3811</v>
      </c>
      <c r="I3059" s="292" t="str">
        <f t="shared" si="45"/>
        <v>GooD</v>
      </c>
    </row>
    <row r="3060" spans="1:9" ht="15.7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75" thickBot="1">
      <c r="A3062" s="288" t="s">
        <v>643</v>
      </c>
      <c r="B3062" s="288">
        <v>31000</v>
      </c>
      <c r="C3062" s="289">
        <v>16</v>
      </c>
      <c r="D3062" s="290">
        <v>0.31</v>
      </c>
      <c r="E3062" s="291">
        <v>12815</v>
      </c>
      <c r="F3062" s="291">
        <v>43815</v>
      </c>
      <c r="G3062" s="291">
        <v>1447</v>
      </c>
      <c r="H3062" s="291">
        <v>2648</v>
      </c>
      <c r="I3062" s="292" t="str">
        <f t="shared" si="45"/>
        <v>GooD</v>
      </c>
    </row>
    <row r="3063" spans="1:9" ht="15.7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75" thickBot="1">
      <c r="A3065" s="288" t="s">
        <v>643</v>
      </c>
      <c r="B3065" s="288">
        <v>31000</v>
      </c>
      <c r="C3065" s="289">
        <v>22</v>
      </c>
      <c r="D3065" s="290">
        <v>0.31</v>
      </c>
      <c r="E3065" s="291">
        <v>17630</v>
      </c>
      <c r="F3065" s="291">
        <v>48630</v>
      </c>
      <c r="G3065" s="291">
        <v>1990</v>
      </c>
      <c r="H3065" s="291">
        <v>2120</v>
      </c>
      <c r="I3065" s="292" t="str">
        <f t="shared" si="45"/>
        <v>GooD</v>
      </c>
    </row>
    <row r="3066" spans="1:9" ht="15.7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75" thickBot="1">
      <c r="A3068" s="288" t="s">
        <v>643</v>
      </c>
      <c r="B3068" s="288">
        <v>32000</v>
      </c>
      <c r="C3068" s="289">
        <v>6</v>
      </c>
      <c r="D3068" s="290">
        <v>0.31</v>
      </c>
      <c r="E3068" s="291">
        <v>4962</v>
      </c>
      <c r="F3068" s="291">
        <v>36962</v>
      </c>
      <c r="G3068" s="291">
        <v>560</v>
      </c>
      <c r="H3068" s="291">
        <v>6067</v>
      </c>
      <c r="I3068" s="292" t="str">
        <f t="shared" si="45"/>
        <v>GooD</v>
      </c>
    </row>
    <row r="3069" spans="1:9" ht="15.7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75" thickBot="1">
      <c r="A3071" s="288" t="s">
        <v>643</v>
      </c>
      <c r="B3071" s="288">
        <v>32000</v>
      </c>
      <c r="C3071" s="289">
        <v>12</v>
      </c>
      <c r="D3071" s="290">
        <v>0.31</v>
      </c>
      <c r="E3071" s="291">
        <v>9932</v>
      </c>
      <c r="F3071" s="291">
        <v>41932</v>
      </c>
      <c r="G3071" s="291">
        <v>1120</v>
      </c>
      <c r="H3071" s="291">
        <v>3401</v>
      </c>
      <c r="I3071" s="292" t="str">
        <f t="shared" si="45"/>
        <v>GooD</v>
      </c>
    </row>
    <row r="3072" spans="1:9" ht="15.7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75" thickBot="1">
      <c r="A3074" s="288" t="s">
        <v>643</v>
      </c>
      <c r="B3074" s="288">
        <v>32000</v>
      </c>
      <c r="C3074" s="289">
        <v>18</v>
      </c>
      <c r="D3074" s="290">
        <v>0.31</v>
      </c>
      <c r="E3074" s="291">
        <v>14896</v>
      </c>
      <c r="F3074" s="291">
        <v>46896</v>
      </c>
      <c r="G3074" s="291">
        <v>1680</v>
      </c>
      <c r="H3074" s="291">
        <v>2512</v>
      </c>
      <c r="I3074" s="292" t="str">
        <f t="shared" si="45"/>
        <v>GooD</v>
      </c>
    </row>
    <row r="3075" spans="1:9" ht="15.7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75" thickBot="1">
      <c r="A3077" s="288" t="s">
        <v>643</v>
      </c>
      <c r="B3077" s="288">
        <v>32000</v>
      </c>
      <c r="C3077" s="289">
        <v>24</v>
      </c>
      <c r="D3077" s="290">
        <v>0.31</v>
      </c>
      <c r="E3077" s="291">
        <v>19848</v>
      </c>
      <c r="F3077" s="291">
        <v>51848</v>
      </c>
      <c r="G3077" s="291">
        <v>2240</v>
      </c>
      <c r="H3077" s="291">
        <v>2067</v>
      </c>
      <c r="I3077" s="292" t="str">
        <f t="shared" si="45"/>
        <v>GooD</v>
      </c>
    </row>
    <row r="3078" spans="1:9" ht="15.7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75" thickBot="1">
      <c r="A3080" s="288" t="s">
        <v>643</v>
      </c>
      <c r="B3080" s="288">
        <v>33000</v>
      </c>
      <c r="C3080" s="289">
        <v>8</v>
      </c>
      <c r="D3080" s="290">
        <v>0.31</v>
      </c>
      <c r="E3080" s="291">
        <v>6826</v>
      </c>
      <c r="F3080" s="291">
        <v>39826</v>
      </c>
      <c r="G3080" s="291">
        <v>770</v>
      </c>
      <c r="H3080" s="291">
        <v>4882</v>
      </c>
      <c r="I3080" s="292" t="str">
        <f t="shared" si="45"/>
        <v>GooD</v>
      </c>
    </row>
    <row r="3081" spans="1:9" ht="15.7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75" thickBot="1">
      <c r="A3083" s="288" t="s">
        <v>643</v>
      </c>
      <c r="B3083" s="288">
        <v>33000</v>
      </c>
      <c r="C3083" s="289">
        <v>14</v>
      </c>
      <c r="D3083" s="290">
        <v>0.31</v>
      </c>
      <c r="E3083" s="291">
        <v>11944</v>
      </c>
      <c r="F3083" s="291">
        <v>44944</v>
      </c>
      <c r="G3083" s="291">
        <v>1348</v>
      </c>
      <c r="H3083" s="291">
        <v>3114</v>
      </c>
      <c r="I3083" s="292" t="str">
        <f t="shared" si="45"/>
        <v>GooD</v>
      </c>
    </row>
    <row r="3084" spans="1:9" ht="15.7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75" thickBot="1">
      <c r="A3086" s="288" t="s">
        <v>643</v>
      </c>
      <c r="B3086" s="288">
        <v>33000</v>
      </c>
      <c r="C3086" s="289">
        <v>20</v>
      </c>
      <c r="D3086" s="290">
        <v>0.31</v>
      </c>
      <c r="E3086" s="291">
        <v>17065</v>
      </c>
      <c r="F3086" s="291">
        <v>50065</v>
      </c>
      <c r="G3086" s="291">
        <v>1925</v>
      </c>
      <c r="H3086" s="291">
        <v>2407</v>
      </c>
      <c r="I3086" s="292" t="str">
        <f t="shared" si="45"/>
        <v>GooD</v>
      </c>
    </row>
    <row r="3087" spans="1:9" ht="15.7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75" thickBot="1">
      <c r="A3089" s="288" t="s">
        <v>643</v>
      </c>
      <c r="B3089" s="288">
        <v>34000</v>
      </c>
      <c r="C3089" s="289">
        <v>4</v>
      </c>
      <c r="D3089" s="290">
        <v>0.31</v>
      </c>
      <c r="E3089" s="291">
        <v>3517</v>
      </c>
      <c r="F3089" s="291">
        <v>37517</v>
      </c>
      <c r="G3089" s="291">
        <v>397</v>
      </c>
      <c r="H3089" s="291">
        <v>9280</v>
      </c>
      <c r="I3089" s="292" t="str">
        <f t="shared" si="46"/>
        <v>GooD</v>
      </c>
    </row>
    <row r="3090" spans="1:9" ht="15.7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75" thickBot="1">
      <c r="A3092" s="288" t="s">
        <v>643</v>
      </c>
      <c r="B3092" s="288">
        <v>34000</v>
      </c>
      <c r="C3092" s="289">
        <v>10</v>
      </c>
      <c r="D3092" s="290">
        <v>0.31</v>
      </c>
      <c r="E3092" s="291">
        <v>8792</v>
      </c>
      <c r="F3092" s="291">
        <v>42792</v>
      </c>
      <c r="G3092" s="291">
        <v>992</v>
      </c>
      <c r="H3092" s="291">
        <v>4180</v>
      </c>
      <c r="I3092" s="292" t="str">
        <f t="shared" si="46"/>
        <v>GooD</v>
      </c>
    </row>
    <row r="3093" spans="1:9" ht="15.7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75" thickBot="1">
      <c r="A3095" s="288" t="s">
        <v>643</v>
      </c>
      <c r="B3095" s="288">
        <v>34000</v>
      </c>
      <c r="C3095" s="289">
        <v>16</v>
      </c>
      <c r="D3095" s="290">
        <v>0.31</v>
      </c>
      <c r="E3095" s="291">
        <v>14067</v>
      </c>
      <c r="F3095" s="291">
        <v>48067</v>
      </c>
      <c r="G3095" s="291">
        <v>1587</v>
      </c>
      <c r="H3095" s="291">
        <v>2905</v>
      </c>
      <c r="I3095" s="292" t="str">
        <f t="shared" si="46"/>
        <v>GooD</v>
      </c>
    </row>
    <row r="3096" spans="1:9" ht="15.7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75" thickBot="1">
      <c r="A3098" s="288" t="s">
        <v>643</v>
      </c>
      <c r="B3098" s="288">
        <v>34000</v>
      </c>
      <c r="C3098" s="289">
        <v>22</v>
      </c>
      <c r="D3098" s="290">
        <v>0.31</v>
      </c>
      <c r="E3098" s="291">
        <v>19332</v>
      </c>
      <c r="F3098" s="291">
        <v>53332</v>
      </c>
      <c r="G3098" s="291">
        <v>2182</v>
      </c>
      <c r="H3098" s="291">
        <v>2325</v>
      </c>
      <c r="I3098" s="292" t="str">
        <f t="shared" si="46"/>
        <v>GooD</v>
      </c>
    </row>
    <row r="3099" spans="1:9" ht="15.7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75" thickBot="1">
      <c r="A3101" s="288" t="s">
        <v>643</v>
      </c>
      <c r="B3101" s="288">
        <v>35000</v>
      </c>
      <c r="C3101" s="289">
        <v>6</v>
      </c>
      <c r="D3101" s="290">
        <v>0.31</v>
      </c>
      <c r="E3101" s="291">
        <v>5429</v>
      </c>
      <c r="F3101" s="291">
        <v>40429</v>
      </c>
      <c r="G3101" s="291">
        <v>613</v>
      </c>
      <c r="H3101" s="291">
        <v>6636</v>
      </c>
      <c r="I3101" s="292" t="str">
        <f t="shared" si="46"/>
        <v>GooD</v>
      </c>
    </row>
    <row r="3102" spans="1:9" ht="15.7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75" thickBot="1">
      <c r="A3104" s="288" t="s">
        <v>643</v>
      </c>
      <c r="B3104" s="288">
        <v>35000</v>
      </c>
      <c r="C3104" s="289">
        <v>12</v>
      </c>
      <c r="D3104" s="290">
        <v>0.31</v>
      </c>
      <c r="E3104" s="291">
        <v>10853</v>
      </c>
      <c r="F3104" s="291">
        <v>45853</v>
      </c>
      <c r="G3104" s="291">
        <v>1225</v>
      </c>
      <c r="H3104" s="291">
        <v>3719</v>
      </c>
      <c r="I3104" s="292" t="str">
        <f t="shared" si="46"/>
        <v>GooD</v>
      </c>
    </row>
    <row r="3105" spans="1:9" ht="15.7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75" thickBot="1">
      <c r="A3107" s="288" t="s">
        <v>643</v>
      </c>
      <c r="B3107" s="288">
        <v>35000</v>
      </c>
      <c r="C3107" s="289">
        <v>18</v>
      </c>
      <c r="D3107" s="290">
        <v>0.31</v>
      </c>
      <c r="E3107" s="291">
        <v>16284</v>
      </c>
      <c r="F3107" s="291">
        <v>51284</v>
      </c>
      <c r="G3107" s="291">
        <v>1838</v>
      </c>
      <c r="H3107" s="291">
        <v>2747</v>
      </c>
      <c r="I3107" s="292" t="str">
        <f t="shared" si="46"/>
        <v>GooD</v>
      </c>
    </row>
    <row r="3108" spans="1:9" ht="15.7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75" thickBot="1">
      <c r="A3110" s="288" t="s">
        <v>643</v>
      </c>
      <c r="B3110" s="288">
        <v>35000</v>
      </c>
      <c r="C3110" s="289">
        <v>24</v>
      </c>
      <c r="D3110" s="290">
        <v>0.31</v>
      </c>
      <c r="E3110" s="291">
        <v>21714</v>
      </c>
      <c r="F3110" s="291">
        <v>56714</v>
      </c>
      <c r="G3110" s="291">
        <v>2450</v>
      </c>
      <c r="H3110" s="291">
        <v>2261</v>
      </c>
      <c r="I3110" s="292" t="str">
        <f t="shared" si="46"/>
        <v>GooD</v>
      </c>
    </row>
    <row r="3111" spans="1:9" ht="15.7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75" thickBot="1">
      <c r="A3113" s="288" t="s">
        <v>643</v>
      </c>
      <c r="B3113" s="288">
        <v>36000</v>
      </c>
      <c r="C3113" s="289">
        <v>8</v>
      </c>
      <c r="D3113" s="290">
        <v>0.31</v>
      </c>
      <c r="E3113" s="291">
        <v>7448</v>
      </c>
      <c r="F3113" s="291">
        <v>43448</v>
      </c>
      <c r="G3113" s="291">
        <v>840</v>
      </c>
      <c r="H3113" s="291">
        <v>5326</v>
      </c>
      <c r="I3113" s="292" t="str">
        <f t="shared" si="46"/>
        <v>GooD</v>
      </c>
    </row>
    <row r="3114" spans="1:9" ht="15.7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75" thickBot="1">
      <c r="A3116" s="288" t="s">
        <v>643</v>
      </c>
      <c r="B3116" s="288">
        <v>36000</v>
      </c>
      <c r="C3116" s="289">
        <v>14</v>
      </c>
      <c r="D3116" s="290">
        <v>0.31</v>
      </c>
      <c r="E3116" s="291">
        <v>13028</v>
      </c>
      <c r="F3116" s="291">
        <v>49028</v>
      </c>
      <c r="G3116" s="291">
        <v>1470</v>
      </c>
      <c r="H3116" s="291">
        <v>3397</v>
      </c>
      <c r="I3116" s="292" t="str">
        <f t="shared" si="46"/>
        <v>GooD</v>
      </c>
    </row>
    <row r="3117" spans="1:9" ht="15.7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75" thickBot="1">
      <c r="A3119" s="288" t="s">
        <v>643</v>
      </c>
      <c r="B3119" s="288">
        <v>36000</v>
      </c>
      <c r="C3119" s="289">
        <v>20</v>
      </c>
      <c r="D3119" s="290">
        <v>0.31</v>
      </c>
      <c r="E3119" s="291">
        <v>18620</v>
      </c>
      <c r="F3119" s="291">
        <v>54620</v>
      </c>
      <c r="G3119" s="291">
        <v>2100</v>
      </c>
      <c r="H3119" s="291">
        <v>2626</v>
      </c>
      <c r="I3119" s="292" t="str">
        <f t="shared" si="46"/>
        <v>GooD</v>
      </c>
    </row>
    <row r="3120" spans="1:9" ht="15.7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75" thickBot="1">
      <c r="A3122" s="288" t="s">
        <v>643</v>
      </c>
      <c r="B3122" s="288">
        <v>37000</v>
      </c>
      <c r="C3122" s="289">
        <v>4</v>
      </c>
      <c r="D3122" s="290">
        <v>0.31</v>
      </c>
      <c r="E3122" s="291">
        <v>3824</v>
      </c>
      <c r="F3122" s="291">
        <v>40824</v>
      </c>
      <c r="G3122" s="291">
        <v>432</v>
      </c>
      <c r="H3122" s="291">
        <v>10098</v>
      </c>
      <c r="I3122" s="292" t="str">
        <f t="shared" si="46"/>
        <v>GooD</v>
      </c>
    </row>
    <row r="3123" spans="1:9" ht="15.7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75" thickBot="1">
      <c r="A3125" s="288" t="s">
        <v>643</v>
      </c>
      <c r="B3125" s="288">
        <v>37000</v>
      </c>
      <c r="C3125" s="289">
        <v>10</v>
      </c>
      <c r="D3125" s="290">
        <v>0.31</v>
      </c>
      <c r="E3125" s="291">
        <v>9560</v>
      </c>
      <c r="F3125" s="291">
        <v>46560</v>
      </c>
      <c r="G3125" s="291">
        <v>1080</v>
      </c>
      <c r="H3125" s="291">
        <v>4548</v>
      </c>
      <c r="I3125" s="292" t="str">
        <f t="shared" si="46"/>
        <v>GooD</v>
      </c>
    </row>
    <row r="3126" spans="1:9" ht="15.7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75" thickBot="1">
      <c r="A3128" s="288" t="s">
        <v>643</v>
      </c>
      <c r="B3128" s="288">
        <v>37000</v>
      </c>
      <c r="C3128" s="289">
        <v>16</v>
      </c>
      <c r="D3128" s="290">
        <v>0.31</v>
      </c>
      <c r="E3128" s="291">
        <v>15303</v>
      </c>
      <c r="F3128" s="291">
        <v>52303</v>
      </c>
      <c r="G3128" s="291">
        <v>1727</v>
      </c>
      <c r="H3128" s="291">
        <v>3161</v>
      </c>
      <c r="I3128" s="292" t="str">
        <f t="shared" si="46"/>
        <v>GooD</v>
      </c>
    </row>
    <row r="3129" spans="1:9" ht="15.7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75" thickBot="1">
      <c r="A3131" s="288" t="s">
        <v>643</v>
      </c>
      <c r="B3131" s="288">
        <v>37000</v>
      </c>
      <c r="C3131" s="289">
        <v>22</v>
      </c>
      <c r="D3131" s="290">
        <v>0.31</v>
      </c>
      <c r="E3131" s="291">
        <v>21035</v>
      </c>
      <c r="F3131" s="291">
        <v>58035</v>
      </c>
      <c r="G3131" s="291">
        <v>2375</v>
      </c>
      <c r="H3131" s="291">
        <v>2530</v>
      </c>
      <c r="I3131" s="292" t="str">
        <f t="shared" si="46"/>
        <v>GooD</v>
      </c>
    </row>
    <row r="3132" spans="1:9" ht="15.7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75" thickBot="1">
      <c r="A3134" s="288" t="s">
        <v>643</v>
      </c>
      <c r="B3134" s="288">
        <v>38000</v>
      </c>
      <c r="C3134" s="289">
        <v>6</v>
      </c>
      <c r="D3134" s="290">
        <v>0.31</v>
      </c>
      <c r="E3134" s="291">
        <v>5895</v>
      </c>
      <c r="F3134" s="291">
        <v>43895</v>
      </c>
      <c r="G3134" s="291">
        <v>665</v>
      </c>
      <c r="H3134" s="291">
        <v>7205</v>
      </c>
      <c r="I3134" s="292" t="str">
        <f t="shared" si="46"/>
        <v>GooD</v>
      </c>
    </row>
    <row r="3135" spans="1:9" ht="15.7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75" thickBot="1">
      <c r="A3137" s="288" t="s">
        <v>643</v>
      </c>
      <c r="B3137" s="288">
        <v>38000</v>
      </c>
      <c r="C3137" s="289">
        <v>12</v>
      </c>
      <c r="D3137" s="290">
        <v>0.31</v>
      </c>
      <c r="E3137" s="291">
        <v>11786</v>
      </c>
      <c r="F3137" s="291">
        <v>49786</v>
      </c>
      <c r="G3137" s="291">
        <v>1330</v>
      </c>
      <c r="H3137" s="291">
        <v>4038</v>
      </c>
      <c r="I3137" s="292" t="str">
        <f t="shared" si="46"/>
        <v>GooD</v>
      </c>
    </row>
    <row r="3138" spans="1:9" ht="15.7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75" thickBot="1">
      <c r="A3140" s="288" t="s">
        <v>643</v>
      </c>
      <c r="B3140" s="288">
        <v>38000</v>
      </c>
      <c r="C3140" s="289">
        <v>18</v>
      </c>
      <c r="D3140" s="290">
        <v>0.31</v>
      </c>
      <c r="E3140" s="291">
        <v>17671</v>
      </c>
      <c r="F3140" s="291">
        <v>55671</v>
      </c>
      <c r="G3140" s="291">
        <v>1995</v>
      </c>
      <c r="H3140" s="291">
        <v>2982</v>
      </c>
      <c r="I3140" s="292" t="str">
        <f t="shared" si="46"/>
        <v>GooD</v>
      </c>
    </row>
    <row r="3141" spans="1:9" ht="15.7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75" thickBot="1">
      <c r="A3143" s="288" t="s">
        <v>643</v>
      </c>
      <c r="B3143" s="288">
        <v>38000</v>
      </c>
      <c r="C3143" s="289">
        <v>24</v>
      </c>
      <c r="D3143" s="290">
        <v>0.31</v>
      </c>
      <c r="E3143" s="291">
        <v>23580</v>
      </c>
      <c r="F3143" s="291">
        <v>61580</v>
      </c>
      <c r="G3143" s="291">
        <v>2660</v>
      </c>
      <c r="H3143" s="291">
        <v>2455</v>
      </c>
      <c r="I3143" s="292" t="str">
        <f t="shared" si="46"/>
        <v>GooD</v>
      </c>
    </row>
    <row r="3144" spans="1:9" ht="15.7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75" thickBot="1">
      <c r="A3146" s="288" t="s">
        <v>643</v>
      </c>
      <c r="B3146" s="288">
        <v>39000</v>
      </c>
      <c r="C3146" s="289">
        <v>8</v>
      </c>
      <c r="D3146" s="290">
        <v>0.31</v>
      </c>
      <c r="E3146" s="291">
        <v>8062</v>
      </c>
      <c r="F3146" s="291">
        <v>47062</v>
      </c>
      <c r="G3146" s="291">
        <v>910</v>
      </c>
      <c r="H3146" s="291">
        <v>5769</v>
      </c>
      <c r="I3146" s="292" t="str">
        <f t="shared" si="46"/>
        <v>GooD</v>
      </c>
    </row>
    <row r="3147" spans="1:9" ht="15.7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75" thickBot="1">
      <c r="A3149" s="288" t="s">
        <v>643</v>
      </c>
      <c r="B3149" s="288">
        <v>39000</v>
      </c>
      <c r="C3149" s="289">
        <v>14</v>
      </c>
      <c r="D3149" s="290">
        <v>0.31</v>
      </c>
      <c r="E3149" s="291">
        <v>14113</v>
      </c>
      <c r="F3149" s="291">
        <v>53113</v>
      </c>
      <c r="G3149" s="291">
        <v>1593</v>
      </c>
      <c r="H3149" s="291">
        <v>3680</v>
      </c>
      <c r="I3149" s="292" t="str">
        <f t="shared" si="46"/>
        <v>GooD</v>
      </c>
    </row>
    <row r="3150" spans="1:9" ht="15.7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75" thickBot="1">
      <c r="A3152" s="288" t="s">
        <v>643</v>
      </c>
      <c r="B3152" s="288">
        <v>39000</v>
      </c>
      <c r="C3152" s="289">
        <v>20</v>
      </c>
      <c r="D3152" s="290">
        <v>0.31</v>
      </c>
      <c r="E3152" s="291">
        <v>20155</v>
      </c>
      <c r="F3152" s="291">
        <v>59155</v>
      </c>
      <c r="G3152" s="291">
        <v>2275</v>
      </c>
      <c r="H3152" s="291">
        <v>2844</v>
      </c>
      <c r="I3152" s="292" t="str">
        <f t="shared" si="46"/>
        <v>GooD</v>
      </c>
    </row>
    <row r="3153" spans="1:9" ht="15.7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75" thickBot="1">
      <c r="A3155" s="288" t="s">
        <v>643</v>
      </c>
      <c r="B3155" s="288">
        <v>40000</v>
      </c>
      <c r="C3155" s="289">
        <v>4</v>
      </c>
      <c r="D3155" s="290">
        <v>0.31</v>
      </c>
      <c r="E3155" s="291">
        <v>4135</v>
      </c>
      <c r="F3155" s="291">
        <v>44135</v>
      </c>
      <c r="G3155" s="291">
        <v>467</v>
      </c>
      <c r="H3155" s="291">
        <v>10917</v>
      </c>
      <c r="I3155" s="292" t="str">
        <f t="shared" si="47"/>
        <v>GooD</v>
      </c>
    </row>
    <row r="3156" spans="1:9" ht="15.7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75" thickBot="1">
      <c r="A3158" s="288" t="s">
        <v>643</v>
      </c>
      <c r="B3158" s="288">
        <v>40000</v>
      </c>
      <c r="C3158" s="289">
        <v>10</v>
      </c>
      <c r="D3158" s="290">
        <v>0.31</v>
      </c>
      <c r="E3158" s="291">
        <v>10337</v>
      </c>
      <c r="F3158" s="291">
        <v>50337</v>
      </c>
      <c r="G3158" s="291">
        <v>1167</v>
      </c>
      <c r="H3158" s="291">
        <v>4917</v>
      </c>
      <c r="I3158" s="292" t="str">
        <f t="shared" si="47"/>
        <v>GooD</v>
      </c>
    </row>
    <row r="3159" spans="1:9" ht="15.7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75" thickBot="1">
      <c r="A3161" s="288" t="s">
        <v>643</v>
      </c>
      <c r="B3161" s="288">
        <v>40000</v>
      </c>
      <c r="C3161" s="289">
        <v>16</v>
      </c>
      <c r="D3161" s="290">
        <v>0.31</v>
      </c>
      <c r="E3161" s="291">
        <v>16539</v>
      </c>
      <c r="F3161" s="291">
        <v>56539</v>
      </c>
      <c r="G3161" s="291">
        <v>1867</v>
      </c>
      <c r="H3161" s="291">
        <v>3417</v>
      </c>
      <c r="I3161" s="292" t="str">
        <f t="shared" si="47"/>
        <v>GooD</v>
      </c>
    </row>
    <row r="3162" spans="1:9" ht="15.7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75" thickBot="1">
      <c r="A3164" s="288" t="s">
        <v>643</v>
      </c>
      <c r="B3164" s="288">
        <v>40000</v>
      </c>
      <c r="C3164" s="289">
        <v>22</v>
      </c>
      <c r="D3164" s="290">
        <v>0.31</v>
      </c>
      <c r="E3164" s="291">
        <v>22737</v>
      </c>
      <c r="F3164" s="291">
        <v>62737</v>
      </c>
      <c r="G3164" s="291">
        <v>2567</v>
      </c>
      <c r="H3164" s="291">
        <v>2735</v>
      </c>
      <c r="I3164" s="292" t="str">
        <f t="shared" si="47"/>
        <v>GooD</v>
      </c>
    </row>
    <row r="3165" spans="1:9" ht="15.7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75" thickBot="1">
      <c r="A3167" s="288" t="s">
        <v>643</v>
      </c>
      <c r="B3167" s="288">
        <v>41000</v>
      </c>
      <c r="C3167" s="289">
        <v>6</v>
      </c>
      <c r="D3167" s="290">
        <v>0.31</v>
      </c>
      <c r="E3167" s="291">
        <v>6356</v>
      </c>
      <c r="F3167" s="291">
        <v>47356</v>
      </c>
      <c r="G3167" s="291">
        <v>718</v>
      </c>
      <c r="H3167" s="291">
        <v>7773</v>
      </c>
      <c r="I3167" s="292" t="str">
        <f t="shared" si="47"/>
        <v>GooD</v>
      </c>
    </row>
    <row r="3168" spans="1:9" ht="15.7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75" thickBot="1">
      <c r="A3170" s="288" t="s">
        <v>643</v>
      </c>
      <c r="B3170" s="288">
        <v>41000</v>
      </c>
      <c r="C3170" s="289">
        <v>12</v>
      </c>
      <c r="D3170" s="290">
        <v>0.31</v>
      </c>
      <c r="E3170" s="291">
        <v>12719</v>
      </c>
      <c r="F3170" s="291">
        <v>53719</v>
      </c>
      <c r="G3170" s="291">
        <v>1435</v>
      </c>
      <c r="H3170" s="291">
        <v>4357</v>
      </c>
      <c r="I3170" s="292" t="str">
        <f t="shared" si="47"/>
        <v>GooD</v>
      </c>
    </row>
    <row r="3171" spans="1:9" ht="15.7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75" thickBot="1">
      <c r="A3173" s="288" t="s">
        <v>643</v>
      </c>
      <c r="B3173" s="288">
        <v>41000</v>
      </c>
      <c r="C3173" s="289">
        <v>18</v>
      </c>
      <c r="D3173" s="290">
        <v>0.31</v>
      </c>
      <c r="E3173" s="291">
        <v>19077</v>
      </c>
      <c r="F3173" s="291">
        <v>60077</v>
      </c>
      <c r="G3173" s="291">
        <v>2153</v>
      </c>
      <c r="H3173" s="291">
        <v>3218</v>
      </c>
      <c r="I3173" s="292" t="str">
        <f t="shared" si="47"/>
        <v>GooD</v>
      </c>
    </row>
    <row r="3174" spans="1:9" ht="15.7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75" thickBot="1">
      <c r="A3176" s="288" t="s">
        <v>643</v>
      </c>
      <c r="B3176" s="288">
        <v>41000</v>
      </c>
      <c r="C3176" s="289">
        <v>24</v>
      </c>
      <c r="D3176" s="290">
        <v>0.31</v>
      </c>
      <c r="E3176" s="291">
        <v>25422</v>
      </c>
      <c r="F3176" s="291">
        <v>66422</v>
      </c>
      <c r="G3176" s="291">
        <v>2870</v>
      </c>
      <c r="H3176" s="291">
        <v>2648</v>
      </c>
      <c r="I3176" s="292" t="str">
        <f t="shared" si="47"/>
        <v>GooD</v>
      </c>
    </row>
    <row r="3177" spans="1:9" ht="15.7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75" thickBot="1">
      <c r="A3179" s="288" t="s">
        <v>643</v>
      </c>
      <c r="B3179" s="288">
        <v>42000</v>
      </c>
      <c r="C3179" s="289">
        <v>8</v>
      </c>
      <c r="D3179" s="290">
        <v>0.31</v>
      </c>
      <c r="E3179" s="291">
        <v>8684</v>
      </c>
      <c r="F3179" s="291">
        <v>50684</v>
      </c>
      <c r="G3179" s="291">
        <v>980</v>
      </c>
      <c r="H3179" s="291">
        <v>6213</v>
      </c>
      <c r="I3179" s="292" t="str">
        <f t="shared" si="47"/>
        <v>GooD</v>
      </c>
    </row>
    <row r="3180" spans="1:9" ht="15.7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75" thickBot="1">
      <c r="A3182" s="288" t="s">
        <v>643</v>
      </c>
      <c r="B3182" s="288">
        <v>42000</v>
      </c>
      <c r="C3182" s="289">
        <v>14</v>
      </c>
      <c r="D3182" s="290">
        <v>0.31</v>
      </c>
      <c r="E3182" s="291">
        <v>15197</v>
      </c>
      <c r="F3182" s="291">
        <v>57197</v>
      </c>
      <c r="G3182" s="291">
        <v>1715</v>
      </c>
      <c r="H3182" s="291">
        <v>3963</v>
      </c>
      <c r="I3182" s="292" t="str">
        <f t="shared" si="47"/>
        <v>GooD</v>
      </c>
    </row>
    <row r="3183" spans="1:9" ht="15.7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75" thickBot="1">
      <c r="A3185" s="288" t="s">
        <v>643</v>
      </c>
      <c r="B3185" s="288">
        <v>42000</v>
      </c>
      <c r="C3185" s="289">
        <v>20</v>
      </c>
      <c r="D3185" s="290">
        <v>0.31</v>
      </c>
      <c r="E3185" s="291">
        <v>21710</v>
      </c>
      <c r="F3185" s="291">
        <v>63710</v>
      </c>
      <c r="G3185" s="291">
        <v>2450</v>
      </c>
      <c r="H3185" s="291">
        <v>3063</v>
      </c>
      <c r="I3185" s="292" t="str">
        <f t="shared" si="47"/>
        <v>GooD</v>
      </c>
    </row>
    <row r="3186" spans="1:9" ht="15.7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75" thickBot="1">
      <c r="A3188" s="288" t="s">
        <v>643</v>
      </c>
      <c r="B3188" s="288">
        <v>43000</v>
      </c>
      <c r="C3188" s="289">
        <v>4</v>
      </c>
      <c r="D3188" s="290">
        <v>0.31</v>
      </c>
      <c r="E3188" s="291">
        <v>4446</v>
      </c>
      <c r="F3188" s="291">
        <v>47446</v>
      </c>
      <c r="G3188" s="291">
        <v>502</v>
      </c>
      <c r="H3188" s="291">
        <v>11736</v>
      </c>
      <c r="I3188" s="292" t="str">
        <f t="shared" si="47"/>
        <v>GooD</v>
      </c>
    </row>
    <row r="3189" spans="1:9" ht="15.7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75" thickBot="1">
      <c r="A3191" s="288" t="s">
        <v>643</v>
      </c>
      <c r="B3191" s="288">
        <v>43000</v>
      </c>
      <c r="C3191" s="289">
        <v>10</v>
      </c>
      <c r="D3191" s="290">
        <v>0.31</v>
      </c>
      <c r="E3191" s="291">
        <v>11115</v>
      </c>
      <c r="F3191" s="291">
        <v>54115</v>
      </c>
      <c r="G3191" s="291">
        <v>1255</v>
      </c>
      <c r="H3191" s="291">
        <v>5286</v>
      </c>
      <c r="I3191" s="292" t="str">
        <f t="shared" si="47"/>
        <v>GooD</v>
      </c>
    </row>
    <row r="3192" spans="1:9" ht="15.7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75" thickBot="1">
      <c r="A3194" s="288" t="s">
        <v>643</v>
      </c>
      <c r="B3194" s="288">
        <v>43000</v>
      </c>
      <c r="C3194" s="289">
        <v>16</v>
      </c>
      <c r="D3194" s="290">
        <v>0.31</v>
      </c>
      <c r="E3194" s="291">
        <v>17775</v>
      </c>
      <c r="F3194" s="291">
        <v>60775</v>
      </c>
      <c r="G3194" s="291">
        <v>2007</v>
      </c>
      <c r="H3194" s="291">
        <v>3673</v>
      </c>
      <c r="I3194" s="292" t="str">
        <f t="shared" si="47"/>
        <v>GooD</v>
      </c>
    </row>
    <row r="3195" spans="1:9" ht="15.7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75" thickBot="1">
      <c r="A3197" s="288" t="s">
        <v>643</v>
      </c>
      <c r="B3197" s="288">
        <v>43000</v>
      </c>
      <c r="C3197" s="289">
        <v>22</v>
      </c>
      <c r="D3197" s="290">
        <v>0.31</v>
      </c>
      <c r="E3197" s="291">
        <v>24440</v>
      </c>
      <c r="F3197" s="291">
        <v>67440</v>
      </c>
      <c r="G3197" s="291">
        <v>2760</v>
      </c>
      <c r="H3197" s="291">
        <v>2940</v>
      </c>
      <c r="I3197" s="292" t="str">
        <f t="shared" si="47"/>
        <v>GooD</v>
      </c>
    </row>
    <row r="3198" spans="1:9" ht="15.7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75" thickBot="1">
      <c r="A3200" s="288" t="s">
        <v>643</v>
      </c>
      <c r="B3200" s="288">
        <v>44000</v>
      </c>
      <c r="C3200" s="289">
        <v>6</v>
      </c>
      <c r="D3200" s="290">
        <v>0.31</v>
      </c>
      <c r="E3200" s="291">
        <v>6822</v>
      </c>
      <c r="F3200" s="291">
        <v>50822</v>
      </c>
      <c r="G3200" s="291">
        <v>770</v>
      </c>
      <c r="H3200" s="291">
        <v>8342</v>
      </c>
      <c r="I3200" s="292" t="str">
        <f t="shared" si="47"/>
        <v>GooD</v>
      </c>
    </row>
    <row r="3201" spans="1:9" ht="15.7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75" thickBot="1">
      <c r="A3203" s="288" t="s">
        <v>643</v>
      </c>
      <c r="B3203" s="288">
        <v>44000</v>
      </c>
      <c r="C3203" s="289">
        <v>12</v>
      </c>
      <c r="D3203" s="290">
        <v>0.31</v>
      </c>
      <c r="E3203" s="291">
        <v>13652</v>
      </c>
      <c r="F3203" s="291">
        <v>57652</v>
      </c>
      <c r="G3203" s="291">
        <v>1540</v>
      </c>
      <c r="H3203" s="291">
        <v>4676</v>
      </c>
      <c r="I3203" s="292" t="str">
        <f t="shared" si="47"/>
        <v>GooD</v>
      </c>
    </row>
    <row r="3204" spans="1:9" ht="15.7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75" thickBot="1">
      <c r="A3206" s="288" t="s">
        <v>643</v>
      </c>
      <c r="B3206" s="288">
        <v>44000</v>
      </c>
      <c r="C3206" s="289">
        <v>18</v>
      </c>
      <c r="D3206" s="290">
        <v>0.31</v>
      </c>
      <c r="E3206" s="291">
        <v>20464</v>
      </c>
      <c r="F3206" s="291">
        <v>64464</v>
      </c>
      <c r="G3206" s="291">
        <v>2310</v>
      </c>
      <c r="H3206" s="291">
        <v>3453</v>
      </c>
      <c r="I3206" s="292" t="str">
        <f t="shared" si="47"/>
        <v>GooD</v>
      </c>
    </row>
    <row r="3207" spans="1:9" ht="15.7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75" thickBot="1">
      <c r="A3209" s="288" t="s">
        <v>643</v>
      </c>
      <c r="B3209" s="288">
        <v>44000</v>
      </c>
      <c r="C3209" s="289">
        <v>24</v>
      </c>
      <c r="D3209" s="290">
        <v>0.31</v>
      </c>
      <c r="E3209" s="291">
        <v>27288</v>
      </c>
      <c r="F3209" s="291">
        <v>71288</v>
      </c>
      <c r="G3209" s="291">
        <v>3080</v>
      </c>
      <c r="H3209" s="291">
        <v>2842</v>
      </c>
      <c r="I3209" s="292" t="str">
        <f t="shared" si="47"/>
        <v>GooD</v>
      </c>
    </row>
    <row r="3210" spans="1:9" ht="15.7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75" thickBot="1">
      <c r="A3212" s="288" t="s">
        <v>643</v>
      </c>
      <c r="B3212" s="288">
        <v>45000</v>
      </c>
      <c r="C3212" s="289">
        <v>8</v>
      </c>
      <c r="D3212" s="290">
        <v>0.31</v>
      </c>
      <c r="E3212" s="291">
        <v>9306</v>
      </c>
      <c r="F3212" s="291">
        <v>54306</v>
      </c>
      <c r="G3212" s="291">
        <v>1050</v>
      </c>
      <c r="H3212" s="291">
        <v>6657</v>
      </c>
      <c r="I3212" s="292" t="str">
        <f t="shared" si="47"/>
        <v>GooD</v>
      </c>
    </row>
    <row r="3213" spans="1:9" ht="15.7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75" thickBot="1">
      <c r="A3215" s="288" t="s">
        <v>643</v>
      </c>
      <c r="B3215" s="288">
        <v>45000</v>
      </c>
      <c r="C3215" s="289">
        <v>14</v>
      </c>
      <c r="D3215" s="290">
        <v>0.31</v>
      </c>
      <c r="E3215" s="291">
        <v>16282</v>
      </c>
      <c r="F3215" s="291">
        <v>61282</v>
      </c>
      <c r="G3215" s="291">
        <v>1838</v>
      </c>
      <c r="H3215" s="291">
        <v>4246</v>
      </c>
      <c r="I3215" s="292" t="str">
        <f t="shared" si="47"/>
        <v>GooD</v>
      </c>
    </row>
    <row r="3216" spans="1:9" ht="15.7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75" thickBot="1">
      <c r="A3218" s="288" t="s">
        <v>643</v>
      </c>
      <c r="B3218" s="288">
        <v>45000</v>
      </c>
      <c r="C3218" s="289">
        <v>20</v>
      </c>
      <c r="D3218" s="290">
        <v>0.31</v>
      </c>
      <c r="E3218" s="291">
        <v>23265</v>
      </c>
      <c r="F3218" s="291">
        <v>68265</v>
      </c>
      <c r="G3218" s="291">
        <v>2625</v>
      </c>
      <c r="H3218" s="291">
        <v>3282</v>
      </c>
      <c r="I3218" s="292" t="str">
        <f t="shared" si="48"/>
        <v>GooD</v>
      </c>
    </row>
    <row r="3219" spans="1:9" ht="15.7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75" thickBot="1">
      <c r="A3221" s="288" t="s">
        <v>643</v>
      </c>
      <c r="B3221" s="288">
        <v>46000</v>
      </c>
      <c r="C3221" s="289">
        <v>4</v>
      </c>
      <c r="D3221" s="290">
        <v>0.31</v>
      </c>
      <c r="E3221" s="291">
        <v>4757</v>
      </c>
      <c r="F3221" s="291">
        <v>50757</v>
      </c>
      <c r="G3221" s="291">
        <v>537</v>
      </c>
      <c r="H3221" s="291">
        <v>12555</v>
      </c>
      <c r="I3221" s="292" t="str">
        <f t="shared" si="48"/>
        <v>GooD</v>
      </c>
    </row>
    <row r="3222" spans="1:9" ht="15.7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75" thickBot="1">
      <c r="A3224" s="288" t="s">
        <v>643</v>
      </c>
      <c r="B3224" s="288">
        <v>46000</v>
      </c>
      <c r="C3224" s="289">
        <v>10</v>
      </c>
      <c r="D3224" s="290">
        <v>0.31</v>
      </c>
      <c r="E3224" s="291">
        <v>11892</v>
      </c>
      <c r="F3224" s="291">
        <v>57892</v>
      </c>
      <c r="G3224" s="291">
        <v>1342</v>
      </c>
      <c r="H3224" s="291">
        <v>5655</v>
      </c>
      <c r="I3224" s="292" t="str">
        <f t="shared" si="48"/>
        <v>GooD</v>
      </c>
    </row>
    <row r="3225" spans="1:9" ht="15.7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75" thickBot="1">
      <c r="A3227" s="288" t="s">
        <v>643</v>
      </c>
      <c r="B3227" s="288">
        <v>46000</v>
      </c>
      <c r="C3227" s="289">
        <v>16</v>
      </c>
      <c r="D3227" s="290">
        <v>0.31</v>
      </c>
      <c r="E3227" s="291">
        <v>19027</v>
      </c>
      <c r="F3227" s="291">
        <v>65027</v>
      </c>
      <c r="G3227" s="291">
        <v>2147</v>
      </c>
      <c r="H3227" s="291">
        <v>3930</v>
      </c>
      <c r="I3227" s="292" t="str">
        <f t="shared" si="48"/>
        <v>GooD</v>
      </c>
    </row>
    <row r="3228" spans="1:9" ht="15.7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75" thickBot="1">
      <c r="A3230" s="288" t="s">
        <v>643</v>
      </c>
      <c r="B3230" s="288">
        <v>46000</v>
      </c>
      <c r="C3230" s="289">
        <v>22</v>
      </c>
      <c r="D3230" s="290">
        <v>0.31</v>
      </c>
      <c r="E3230" s="291">
        <v>26164</v>
      </c>
      <c r="F3230" s="291">
        <v>72164</v>
      </c>
      <c r="G3230" s="291">
        <v>2952</v>
      </c>
      <c r="H3230" s="291">
        <v>3146</v>
      </c>
      <c r="I3230" s="292" t="str">
        <f t="shared" si="48"/>
        <v>GooD</v>
      </c>
    </row>
    <row r="3231" spans="1:9" ht="15.7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75" thickBot="1">
      <c r="A3233" s="288" t="s">
        <v>643</v>
      </c>
      <c r="B3233" s="288">
        <v>47000</v>
      </c>
      <c r="C3233" s="289">
        <v>6</v>
      </c>
      <c r="D3233" s="290">
        <v>0.31</v>
      </c>
      <c r="E3233" s="291">
        <v>7289</v>
      </c>
      <c r="F3233" s="291">
        <v>54289</v>
      </c>
      <c r="G3233" s="291">
        <v>823</v>
      </c>
      <c r="H3233" s="291">
        <v>8911</v>
      </c>
      <c r="I3233" s="292" t="str">
        <f t="shared" si="48"/>
        <v>GooD</v>
      </c>
    </row>
    <row r="3234" spans="1:9" ht="15.7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75" thickBot="1">
      <c r="A3236" s="288" t="s">
        <v>643</v>
      </c>
      <c r="B3236" s="288">
        <v>47000</v>
      </c>
      <c r="C3236" s="289">
        <v>12</v>
      </c>
      <c r="D3236" s="290">
        <v>0.31</v>
      </c>
      <c r="E3236" s="291">
        <v>14573</v>
      </c>
      <c r="F3236" s="291">
        <v>61573</v>
      </c>
      <c r="G3236" s="291">
        <v>1645</v>
      </c>
      <c r="H3236" s="291">
        <v>4994</v>
      </c>
      <c r="I3236" s="292" t="str">
        <f t="shared" si="48"/>
        <v>GooD</v>
      </c>
    </row>
    <row r="3237" spans="1:9" ht="15.7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75" thickBot="1">
      <c r="A3239" s="288" t="s">
        <v>643</v>
      </c>
      <c r="B3239" s="288">
        <v>47000</v>
      </c>
      <c r="C3239" s="289">
        <v>18</v>
      </c>
      <c r="D3239" s="290">
        <v>0.31</v>
      </c>
      <c r="E3239" s="291">
        <v>21870</v>
      </c>
      <c r="F3239" s="291">
        <v>68870</v>
      </c>
      <c r="G3239" s="291">
        <v>2468</v>
      </c>
      <c r="H3239" s="291">
        <v>3689</v>
      </c>
      <c r="I3239" s="292" t="str">
        <f t="shared" si="48"/>
        <v>GooD</v>
      </c>
    </row>
    <row r="3240" spans="1:9" ht="15.7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75" thickBot="1">
      <c r="A3242" s="288" t="s">
        <v>643</v>
      </c>
      <c r="B3242" s="288">
        <v>47000</v>
      </c>
      <c r="C3242" s="289">
        <v>24</v>
      </c>
      <c r="D3242" s="290">
        <v>0.31</v>
      </c>
      <c r="E3242" s="291">
        <v>29154</v>
      </c>
      <c r="F3242" s="291">
        <v>76154</v>
      </c>
      <c r="G3242" s="291">
        <v>3290</v>
      </c>
      <c r="H3242" s="291">
        <v>3036</v>
      </c>
      <c r="I3242" s="292" t="str">
        <f t="shared" si="48"/>
        <v>GooD</v>
      </c>
    </row>
    <row r="3243" spans="1:9" ht="15.7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75" thickBot="1">
      <c r="A3245" s="288" t="s">
        <v>643</v>
      </c>
      <c r="B3245" s="288">
        <v>48000</v>
      </c>
      <c r="C3245" s="289">
        <v>8</v>
      </c>
      <c r="D3245" s="290">
        <v>0.31</v>
      </c>
      <c r="E3245" s="291">
        <v>9928</v>
      </c>
      <c r="F3245" s="291">
        <v>57928</v>
      </c>
      <c r="G3245" s="291">
        <v>1120</v>
      </c>
      <c r="H3245" s="291">
        <v>7101</v>
      </c>
      <c r="I3245" s="292" t="str">
        <f t="shared" si="48"/>
        <v>GooD</v>
      </c>
    </row>
    <row r="3246" spans="1:9" ht="15.7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75" thickBot="1">
      <c r="A3248" s="288" t="s">
        <v>643</v>
      </c>
      <c r="B3248" s="288">
        <v>48000</v>
      </c>
      <c r="C3248" s="289">
        <v>14</v>
      </c>
      <c r="D3248" s="290">
        <v>0.31</v>
      </c>
      <c r="E3248" s="291">
        <v>17366</v>
      </c>
      <c r="F3248" s="291">
        <v>65366</v>
      </c>
      <c r="G3248" s="291">
        <v>1960</v>
      </c>
      <c r="H3248" s="291">
        <v>4529</v>
      </c>
      <c r="I3248" s="292" t="str">
        <f t="shared" si="48"/>
        <v>GooD</v>
      </c>
    </row>
    <row r="3249" spans="1:9" ht="15.7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75" thickBot="1">
      <c r="A3251" s="288" t="s">
        <v>643</v>
      </c>
      <c r="B3251" s="288">
        <v>48000</v>
      </c>
      <c r="C3251" s="289">
        <v>20</v>
      </c>
      <c r="D3251" s="290">
        <v>0.31</v>
      </c>
      <c r="E3251" s="291">
        <v>24820</v>
      </c>
      <c r="F3251" s="291">
        <v>72820</v>
      </c>
      <c r="G3251" s="291">
        <v>2800</v>
      </c>
      <c r="H3251" s="291">
        <v>3501</v>
      </c>
      <c r="I3251" s="292" t="str">
        <f t="shared" si="48"/>
        <v>GooD</v>
      </c>
    </row>
    <row r="3252" spans="1:9" ht="15.7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75" thickBot="1">
      <c r="A3254" s="288" t="s">
        <v>643</v>
      </c>
      <c r="B3254" s="288">
        <v>49000</v>
      </c>
      <c r="C3254" s="289">
        <v>4</v>
      </c>
      <c r="D3254" s="290">
        <v>0.31</v>
      </c>
      <c r="E3254" s="291">
        <v>5064</v>
      </c>
      <c r="F3254" s="291">
        <v>54064</v>
      </c>
      <c r="G3254" s="291">
        <v>572</v>
      </c>
      <c r="H3254" s="291">
        <v>13373</v>
      </c>
      <c r="I3254" s="292" t="str">
        <f t="shared" si="48"/>
        <v>GooD</v>
      </c>
    </row>
    <row r="3255" spans="1:9" ht="15.7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75" thickBot="1">
      <c r="A3257" s="288" t="s">
        <v>643</v>
      </c>
      <c r="B3257" s="288">
        <v>49000</v>
      </c>
      <c r="C3257" s="289">
        <v>10</v>
      </c>
      <c r="D3257" s="290">
        <v>0.31</v>
      </c>
      <c r="E3257" s="291">
        <v>12660</v>
      </c>
      <c r="F3257" s="291">
        <v>61660</v>
      </c>
      <c r="G3257" s="291">
        <v>1430</v>
      </c>
      <c r="H3257" s="291">
        <v>6023</v>
      </c>
      <c r="I3257" s="292" t="str">
        <f t="shared" si="48"/>
        <v>GooD</v>
      </c>
    </row>
    <row r="3258" spans="1:9" ht="15.7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75" thickBot="1">
      <c r="A3260" s="288" t="s">
        <v>643</v>
      </c>
      <c r="B3260" s="288">
        <v>49000</v>
      </c>
      <c r="C3260" s="289">
        <v>16</v>
      </c>
      <c r="D3260" s="290">
        <v>0.31</v>
      </c>
      <c r="E3260" s="291">
        <v>20263</v>
      </c>
      <c r="F3260" s="291">
        <v>69263</v>
      </c>
      <c r="G3260" s="291">
        <v>2287</v>
      </c>
      <c r="H3260" s="291">
        <v>4186</v>
      </c>
      <c r="I3260" s="292" t="str">
        <f t="shared" si="48"/>
        <v>GooD</v>
      </c>
    </row>
    <row r="3261" spans="1:9" ht="15.7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75" thickBot="1">
      <c r="A3263" s="288" t="s">
        <v>643</v>
      </c>
      <c r="B3263" s="288">
        <v>49000</v>
      </c>
      <c r="C3263" s="289">
        <v>22</v>
      </c>
      <c r="D3263" s="290">
        <v>0.31</v>
      </c>
      <c r="E3263" s="291">
        <v>27867</v>
      </c>
      <c r="F3263" s="291">
        <v>76867</v>
      </c>
      <c r="G3263" s="291">
        <v>3145</v>
      </c>
      <c r="H3263" s="291">
        <v>3351</v>
      </c>
      <c r="I3263" s="292" t="str">
        <f t="shared" si="48"/>
        <v>GooD</v>
      </c>
    </row>
    <row r="3264" spans="1:9" ht="15.7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75" thickBot="1">
      <c r="A3266" s="288" t="s">
        <v>643</v>
      </c>
      <c r="B3266" s="288">
        <v>50000</v>
      </c>
      <c r="C3266" s="289">
        <v>6</v>
      </c>
      <c r="D3266" s="290">
        <v>0.31</v>
      </c>
      <c r="E3266" s="291">
        <v>7755</v>
      </c>
      <c r="F3266" s="291">
        <v>57755</v>
      </c>
      <c r="G3266" s="291">
        <v>875</v>
      </c>
      <c r="H3266" s="291">
        <v>9480</v>
      </c>
      <c r="I3266" s="292" t="str">
        <f t="shared" si="48"/>
        <v>GooD</v>
      </c>
    </row>
    <row r="3267" spans="1:9" ht="15.7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75" thickBot="1">
      <c r="A3269" s="288" t="s">
        <v>643</v>
      </c>
      <c r="B3269" s="288">
        <v>50000</v>
      </c>
      <c r="C3269" s="289">
        <v>12</v>
      </c>
      <c r="D3269" s="290">
        <v>0.31</v>
      </c>
      <c r="E3269" s="291">
        <v>15506</v>
      </c>
      <c r="F3269" s="291">
        <v>65506</v>
      </c>
      <c r="G3269" s="291">
        <v>1750</v>
      </c>
      <c r="H3269" s="291">
        <v>5313</v>
      </c>
      <c r="I3269" s="292" t="str">
        <f t="shared" si="48"/>
        <v>GooD</v>
      </c>
    </row>
    <row r="3270" spans="1:9" ht="15.7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75" thickBot="1">
      <c r="A3272" s="288" t="s">
        <v>643</v>
      </c>
      <c r="B3272" s="288">
        <v>50000</v>
      </c>
      <c r="C3272" s="289">
        <v>18</v>
      </c>
      <c r="D3272" s="290">
        <v>0.31</v>
      </c>
      <c r="E3272" s="291">
        <v>23257</v>
      </c>
      <c r="F3272" s="291">
        <v>73257</v>
      </c>
      <c r="G3272" s="291">
        <v>2625</v>
      </c>
      <c r="H3272" s="291">
        <v>3924</v>
      </c>
      <c r="I3272" s="292" t="str">
        <f t="shared" si="48"/>
        <v>GooD</v>
      </c>
    </row>
    <row r="3273" spans="1:9" ht="15.7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75" thickBot="1">
      <c r="A3275" s="288" t="s">
        <v>643</v>
      </c>
      <c r="B3275" s="288">
        <v>50000</v>
      </c>
      <c r="C3275" s="289">
        <v>24</v>
      </c>
      <c r="D3275" s="290">
        <v>0.31</v>
      </c>
      <c r="E3275" s="291">
        <v>31020</v>
      </c>
      <c r="F3275" s="291">
        <v>81020</v>
      </c>
      <c r="G3275" s="291">
        <v>3500</v>
      </c>
      <c r="H3275" s="291">
        <v>3230</v>
      </c>
      <c r="I3275" s="292" t="str">
        <f t="shared" si="48"/>
        <v>GooD</v>
      </c>
    </row>
    <row r="3276" spans="1:9" ht="15.7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75" thickBot="1">
      <c r="A3278" s="288" t="s">
        <v>637</v>
      </c>
      <c r="B3278" s="288">
        <v>51000</v>
      </c>
      <c r="C3278" s="289">
        <v>24</v>
      </c>
      <c r="D3278" s="290">
        <v>0.315</v>
      </c>
      <c r="E3278" s="291">
        <v>32131</v>
      </c>
      <c r="F3278" s="291">
        <v>83131</v>
      </c>
      <c r="G3278" s="291">
        <v>3571</v>
      </c>
      <c r="H3278" s="291">
        <v>3315</v>
      </c>
      <c r="I3278" s="292" t="str">
        <f t="shared" si="48"/>
        <v>GooD</v>
      </c>
    </row>
    <row r="3279" spans="1:9" ht="15.7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7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7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75" thickBot="1">
      <c r="A3284" s="288" t="s">
        <v>637</v>
      </c>
      <c r="B3284" s="288">
        <v>53000</v>
      </c>
      <c r="C3284" s="289">
        <v>24</v>
      </c>
      <c r="D3284" s="290">
        <v>0.315</v>
      </c>
      <c r="E3284" s="291">
        <v>33391</v>
      </c>
      <c r="F3284" s="291">
        <v>86391</v>
      </c>
      <c r="G3284" s="291">
        <v>3711</v>
      </c>
      <c r="H3284" s="291">
        <v>3445</v>
      </c>
      <c r="I3284" s="292" t="str">
        <f t="shared" si="49"/>
        <v>GooD</v>
      </c>
    </row>
    <row r="3285" spans="1:9" ht="15.7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75" thickBot="1">
      <c r="A3287" s="288" t="s">
        <v>637</v>
      </c>
      <c r="B3287" s="288">
        <v>54000</v>
      </c>
      <c r="C3287" s="289">
        <v>24</v>
      </c>
      <c r="D3287" s="290">
        <v>0.315</v>
      </c>
      <c r="E3287" s="291">
        <v>34021</v>
      </c>
      <c r="F3287" s="291">
        <v>88021</v>
      </c>
      <c r="G3287" s="291">
        <v>3781</v>
      </c>
      <c r="H3287" s="291">
        <v>3510</v>
      </c>
      <c r="I3287" s="292" t="str">
        <f t="shared" si="49"/>
        <v>GooD</v>
      </c>
    </row>
    <row r="3288" spans="1:9" ht="15.7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75" thickBot="1">
      <c r="A3290" s="288" t="s">
        <v>637</v>
      </c>
      <c r="B3290" s="288">
        <v>55000</v>
      </c>
      <c r="C3290" s="289">
        <v>24</v>
      </c>
      <c r="D3290" s="290">
        <v>0.315</v>
      </c>
      <c r="E3290" s="291">
        <v>34651</v>
      </c>
      <c r="F3290" s="291">
        <v>89651</v>
      </c>
      <c r="G3290" s="291">
        <v>3851</v>
      </c>
      <c r="H3290" s="291">
        <v>3575</v>
      </c>
      <c r="I3290" s="292" t="str">
        <f t="shared" si="49"/>
        <v>GooD</v>
      </c>
    </row>
    <row r="3291" spans="1:9" ht="15.7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75" thickBot="1">
      <c r="A3293" s="288" t="s">
        <v>637</v>
      </c>
      <c r="B3293" s="288">
        <v>56000</v>
      </c>
      <c r="C3293" s="289">
        <v>24</v>
      </c>
      <c r="D3293" s="290">
        <v>0.315</v>
      </c>
      <c r="E3293" s="291">
        <v>35281</v>
      </c>
      <c r="F3293" s="291">
        <v>91281</v>
      </c>
      <c r="G3293" s="291">
        <v>3921</v>
      </c>
      <c r="H3293" s="291">
        <v>3640</v>
      </c>
      <c r="I3293" s="292" t="str">
        <f t="shared" si="49"/>
        <v>GooD</v>
      </c>
    </row>
    <row r="3294" spans="1:9" ht="15.7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75" thickBot="1">
      <c r="A3296" s="288" t="s">
        <v>637</v>
      </c>
      <c r="B3296" s="288">
        <v>57000</v>
      </c>
      <c r="C3296" s="289">
        <v>24</v>
      </c>
      <c r="D3296" s="290">
        <v>0.315</v>
      </c>
      <c r="E3296" s="291">
        <v>35911</v>
      </c>
      <c r="F3296" s="291">
        <v>92911</v>
      </c>
      <c r="G3296" s="291">
        <v>3991</v>
      </c>
      <c r="H3296" s="291">
        <v>3705</v>
      </c>
      <c r="I3296" s="292" t="str">
        <f t="shared" si="49"/>
        <v>GooD</v>
      </c>
    </row>
    <row r="3297" spans="1:9" ht="15.7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75" thickBot="1">
      <c r="A3299" s="288" t="s">
        <v>637</v>
      </c>
      <c r="B3299" s="288">
        <v>58000</v>
      </c>
      <c r="C3299" s="289">
        <v>24</v>
      </c>
      <c r="D3299" s="290">
        <v>0.315</v>
      </c>
      <c r="E3299" s="291">
        <v>36541</v>
      </c>
      <c r="F3299" s="291">
        <v>94541</v>
      </c>
      <c r="G3299" s="291">
        <v>4061</v>
      </c>
      <c r="H3299" s="291">
        <v>3770</v>
      </c>
      <c r="I3299" s="292" t="str">
        <f t="shared" si="49"/>
        <v>GooD</v>
      </c>
    </row>
    <row r="3300" spans="1:9" ht="15.7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75" thickBot="1">
      <c r="A3302" s="288" t="s">
        <v>637</v>
      </c>
      <c r="B3302" s="288">
        <v>59000</v>
      </c>
      <c r="C3302" s="289">
        <v>24</v>
      </c>
      <c r="D3302" s="290">
        <v>0.315</v>
      </c>
      <c r="E3302" s="291">
        <v>37171</v>
      </c>
      <c r="F3302" s="291">
        <v>96171</v>
      </c>
      <c r="G3302" s="291">
        <v>4131</v>
      </c>
      <c r="H3302" s="291">
        <v>3835</v>
      </c>
      <c r="I3302" s="292" t="str">
        <f t="shared" si="49"/>
        <v>GooD</v>
      </c>
    </row>
    <row r="3303" spans="1:9" ht="15.7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75" thickBot="1">
      <c r="A3305" s="288" t="s">
        <v>637</v>
      </c>
      <c r="B3305" s="288">
        <v>60000</v>
      </c>
      <c r="C3305" s="289">
        <v>24</v>
      </c>
      <c r="D3305" s="290">
        <v>0.315</v>
      </c>
      <c r="E3305" s="291">
        <v>37801</v>
      </c>
      <c r="F3305" s="291">
        <v>97801</v>
      </c>
      <c r="G3305" s="291">
        <v>4201</v>
      </c>
      <c r="H3305" s="291">
        <v>3900</v>
      </c>
      <c r="I3305" s="292" t="str">
        <f t="shared" si="49"/>
        <v>GooD</v>
      </c>
    </row>
    <row r="3306" spans="1:9" ht="15.7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75" thickBot="1">
      <c r="A3308" s="288" t="s">
        <v>637</v>
      </c>
      <c r="B3308" s="288">
        <v>61000</v>
      </c>
      <c r="C3308" s="289">
        <v>24</v>
      </c>
      <c r="D3308" s="290">
        <v>0.315</v>
      </c>
      <c r="E3308" s="291">
        <v>38431</v>
      </c>
      <c r="F3308" s="291">
        <v>99431</v>
      </c>
      <c r="G3308" s="291">
        <v>4271</v>
      </c>
      <c r="H3308" s="291">
        <v>3965</v>
      </c>
      <c r="I3308" s="292" t="str">
        <f t="shared" si="49"/>
        <v>GooD</v>
      </c>
    </row>
    <row r="3309" spans="1:9" ht="15.7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75" thickBot="1">
      <c r="A3311" s="288" t="s">
        <v>637</v>
      </c>
      <c r="B3311" s="288">
        <v>62000</v>
      </c>
      <c r="C3311" s="289">
        <v>24</v>
      </c>
      <c r="D3311" s="290">
        <v>0.315</v>
      </c>
      <c r="E3311" s="291">
        <v>39061</v>
      </c>
      <c r="F3311" s="291">
        <v>101061</v>
      </c>
      <c r="G3311" s="291">
        <v>4341</v>
      </c>
      <c r="H3311" s="291">
        <v>4030</v>
      </c>
      <c r="I3311" s="292" t="str">
        <f t="shared" si="49"/>
        <v>GooD</v>
      </c>
    </row>
    <row r="3312" spans="1:9" ht="15.7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75" thickBot="1">
      <c r="A3314" s="288" t="s">
        <v>637</v>
      </c>
      <c r="B3314" s="288">
        <v>63000</v>
      </c>
      <c r="C3314" s="289">
        <v>24</v>
      </c>
      <c r="D3314" s="290">
        <v>0.315</v>
      </c>
      <c r="E3314" s="291">
        <v>39691</v>
      </c>
      <c r="F3314" s="291">
        <v>102691</v>
      </c>
      <c r="G3314" s="291">
        <v>4411</v>
      </c>
      <c r="H3314" s="291">
        <v>4095</v>
      </c>
      <c r="I3314" s="292" t="str">
        <f t="shared" si="49"/>
        <v>GooD</v>
      </c>
    </row>
    <row r="3315" spans="1:9" ht="15.7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75" thickBot="1">
      <c r="A3317" s="288" t="s">
        <v>637</v>
      </c>
      <c r="B3317" s="288">
        <v>64000</v>
      </c>
      <c r="C3317" s="289">
        <v>24</v>
      </c>
      <c r="D3317" s="290">
        <v>0.315</v>
      </c>
      <c r="E3317" s="291">
        <v>40321</v>
      </c>
      <c r="F3317" s="291">
        <v>104321</v>
      </c>
      <c r="G3317" s="291">
        <v>4481</v>
      </c>
      <c r="H3317" s="291">
        <v>4160</v>
      </c>
      <c r="I3317" s="292" t="str">
        <f t="shared" si="49"/>
        <v>GooD</v>
      </c>
    </row>
    <row r="3318" spans="1:9" ht="15.7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75" thickBot="1">
      <c r="A3320" s="288" t="s">
        <v>637</v>
      </c>
      <c r="B3320" s="288">
        <v>65000</v>
      </c>
      <c r="C3320" s="289">
        <v>24</v>
      </c>
      <c r="D3320" s="290">
        <v>0.315</v>
      </c>
      <c r="E3320" s="291">
        <v>40951</v>
      </c>
      <c r="F3320" s="291">
        <v>105951</v>
      </c>
      <c r="G3320" s="291">
        <v>4551</v>
      </c>
      <c r="H3320" s="291">
        <v>4225</v>
      </c>
      <c r="I3320" s="292" t="str">
        <f t="shared" si="49"/>
        <v>GooD</v>
      </c>
    </row>
    <row r="3321" spans="1:9" ht="15.7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75" thickBot="1">
      <c r="A3323" s="288" t="s">
        <v>637</v>
      </c>
      <c r="B3323" s="288">
        <v>66000</v>
      </c>
      <c r="C3323" s="289">
        <v>24</v>
      </c>
      <c r="D3323" s="290">
        <v>0.315</v>
      </c>
      <c r="E3323" s="291">
        <v>41581</v>
      </c>
      <c r="F3323" s="291">
        <v>107581</v>
      </c>
      <c r="G3323" s="291">
        <v>4621</v>
      </c>
      <c r="H3323" s="291">
        <v>4290</v>
      </c>
      <c r="I3323" s="292" t="str">
        <f t="shared" si="49"/>
        <v>GooD</v>
      </c>
    </row>
    <row r="3324" spans="1:9" ht="15.7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75" thickBot="1">
      <c r="A3326" s="288" t="s">
        <v>637</v>
      </c>
      <c r="B3326" s="288">
        <v>67000</v>
      </c>
      <c r="C3326" s="289">
        <v>24</v>
      </c>
      <c r="D3326" s="290">
        <v>0.315</v>
      </c>
      <c r="E3326" s="291">
        <v>42211</v>
      </c>
      <c r="F3326" s="291">
        <v>109211</v>
      </c>
      <c r="G3326" s="291">
        <v>4691</v>
      </c>
      <c r="H3326" s="291">
        <v>4355</v>
      </c>
      <c r="I3326" s="292" t="str">
        <f t="shared" si="49"/>
        <v>GooD</v>
      </c>
    </row>
    <row r="3327" spans="1:9" ht="15.7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75" thickBot="1">
      <c r="A3329" s="288" t="s">
        <v>637</v>
      </c>
      <c r="B3329" s="288">
        <v>68000</v>
      </c>
      <c r="C3329" s="289">
        <v>24</v>
      </c>
      <c r="D3329" s="290">
        <v>0.315</v>
      </c>
      <c r="E3329" s="291">
        <v>42841</v>
      </c>
      <c r="F3329" s="291">
        <v>110841</v>
      </c>
      <c r="G3329" s="291">
        <v>4761</v>
      </c>
      <c r="H3329" s="291">
        <v>4420</v>
      </c>
      <c r="I3329" s="292" t="str">
        <f t="shared" si="49"/>
        <v>GooD</v>
      </c>
    </row>
    <row r="3330" spans="1:9" ht="15.7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75" thickBot="1">
      <c r="A3332" s="288" t="s">
        <v>637</v>
      </c>
      <c r="B3332" s="288">
        <v>69000</v>
      </c>
      <c r="C3332" s="289">
        <v>24</v>
      </c>
      <c r="D3332" s="290">
        <v>0.315</v>
      </c>
      <c r="E3332" s="291">
        <v>43471</v>
      </c>
      <c r="F3332" s="291">
        <v>112471</v>
      </c>
      <c r="G3332" s="291">
        <v>4831</v>
      </c>
      <c r="H3332" s="291">
        <v>4485</v>
      </c>
      <c r="I3332" s="292" t="str">
        <f t="shared" si="49"/>
        <v>GooD</v>
      </c>
    </row>
    <row r="3333" spans="1:9" ht="15.7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75" thickBot="1">
      <c r="A3335" s="288" t="s">
        <v>637</v>
      </c>
      <c r="B3335" s="288">
        <v>70000</v>
      </c>
      <c r="C3335" s="289">
        <v>24</v>
      </c>
      <c r="D3335" s="290">
        <v>0.315</v>
      </c>
      <c r="E3335" s="291">
        <v>44101</v>
      </c>
      <c r="F3335" s="291">
        <v>114101</v>
      </c>
      <c r="G3335" s="291">
        <v>4901</v>
      </c>
      <c r="H3335" s="291">
        <v>4550</v>
      </c>
      <c r="I3335" s="292" t="str">
        <f t="shared" si="49"/>
        <v>GooD</v>
      </c>
    </row>
    <row r="3336" spans="1:9" ht="15.7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75" thickBot="1">
      <c r="A3338" s="288" t="s">
        <v>637</v>
      </c>
      <c r="B3338" s="288">
        <v>71000</v>
      </c>
      <c r="C3338" s="289">
        <v>24</v>
      </c>
      <c r="D3338" s="290">
        <v>0.315</v>
      </c>
      <c r="E3338" s="291">
        <v>44731</v>
      </c>
      <c r="F3338" s="291">
        <v>115731</v>
      </c>
      <c r="G3338" s="291">
        <v>4971</v>
      </c>
      <c r="H3338" s="291">
        <v>4615</v>
      </c>
      <c r="I3338" s="292" t="str">
        <f t="shared" si="49"/>
        <v>GooD</v>
      </c>
    </row>
    <row r="3339" spans="1:9" ht="15.7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75" thickBot="1">
      <c r="A3341" s="288" t="s">
        <v>637</v>
      </c>
      <c r="B3341" s="288">
        <v>72000</v>
      </c>
      <c r="C3341" s="289">
        <v>24</v>
      </c>
      <c r="D3341" s="290">
        <v>0.315</v>
      </c>
      <c r="E3341" s="291">
        <v>45361</v>
      </c>
      <c r="F3341" s="291">
        <v>117361</v>
      </c>
      <c r="G3341" s="291">
        <v>5041</v>
      </c>
      <c r="H3341" s="291">
        <v>4680</v>
      </c>
      <c r="I3341" s="292" t="str">
        <f t="shared" si="49"/>
        <v>GooD</v>
      </c>
    </row>
    <row r="3342" spans="1:9" ht="15.7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75" thickBot="1">
      <c r="A3344" s="288" t="s">
        <v>637</v>
      </c>
      <c r="B3344" s="288">
        <v>73000</v>
      </c>
      <c r="C3344" s="289">
        <v>24</v>
      </c>
      <c r="D3344" s="290">
        <v>0.315</v>
      </c>
      <c r="E3344" s="291">
        <v>45991</v>
      </c>
      <c r="F3344" s="291">
        <v>118991</v>
      </c>
      <c r="G3344" s="291">
        <v>5111</v>
      </c>
      <c r="H3344" s="291">
        <v>4745</v>
      </c>
      <c r="I3344" s="292" t="str">
        <f t="shared" si="49"/>
        <v>GooD</v>
      </c>
    </row>
    <row r="3345" spans="1:9" ht="15.7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75" thickBot="1">
      <c r="A3347" s="288" t="s">
        <v>637</v>
      </c>
      <c r="B3347" s="288">
        <v>74000</v>
      </c>
      <c r="C3347" s="289">
        <v>24</v>
      </c>
      <c r="D3347" s="290">
        <v>0.315</v>
      </c>
      <c r="E3347" s="291">
        <v>46621</v>
      </c>
      <c r="F3347" s="291">
        <v>120621</v>
      </c>
      <c r="G3347" s="291">
        <v>5181</v>
      </c>
      <c r="H3347" s="291">
        <v>4810</v>
      </c>
      <c r="I3347" s="292" t="str">
        <f t="shared" si="50"/>
        <v>GooD</v>
      </c>
    </row>
    <row r="3348" spans="1:9" ht="15.7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75" thickBot="1">
      <c r="A3350" s="288" t="s">
        <v>637</v>
      </c>
      <c r="B3350" s="288">
        <v>75000</v>
      </c>
      <c r="C3350" s="289">
        <v>24</v>
      </c>
      <c r="D3350" s="290">
        <v>0.315</v>
      </c>
      <c r="E3350" s="291">
        <v>47251</v>
      </c>
      <c r="F3350" s="291">
        <v>122251</v>
      </c>
      <c r="G3350" s="291">
        <v>5251</v>
      </c>
      <c r="H3350" s="291">
        <v>4875</v>
      </c>
      <c r="I3350" s="292" t="str">
        <f t="shared" si="50"/>
        <v>GooD</v>
      </c>
    </row>
    <row r="3351" spans="1:9" ht="15.7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75" thickBot="1">
      <c r="A3353" s="288" t="s">
        <v>637</v>
      </c>
      <c r="B3353" s="288">
        <v>76000</v>
      </c>
      <c r="C3353" s="289">
        <v>24</v>
      </c>
      <c r="D3353" s="290">
        <v>0.315</v>
      </c>
      <c r="E3353" s="291">
        <v>47881</v>
      </c>
      <c r="F3353" s="291">
        <v>123881</v>
      </c>
      <c r="G3353" s="291">
        <v>5321</v>
      </c>
      <c r="H3353" s="291">
        <v>4940</v>
      </c>
      <c r="I3353" s="292" t="str">
        <f t="shared" si="50"/>
        <v>GooD</v>
      </c>
    </row>
    <row r="3354" spans="1:9" ht="15.7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75" thickBot="1">
      <c r="A3356" s="288" t="s">
        <v>637</v>
      </c>
      <c r="B3356" s="288">
        <v>77000</v>
      </c>
      <c r="C3356" s="289">
        <v>24</v>
      </c>
      <c r="D3356" s="290">
        <v>0.315</v>
      </c>
      <c r="E3356" s="291">
        <v>48511</v>
      </c>
      <c r="F3356" s="291">
        <v>125511</v>
      </c>
      <c r="G3356" s="291">
        <v>5391</v>
      </c>
      <c r="H3356" s="291">
        <v>5005</v>
      </c>
      <c r="I3356" s="292" t="str">
        <f t="shared" si="50"/>
        <v>GooD</v>
      </c>
    </row>
    <row r="3357" spans="1:9" ht="15.7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75" thickBot="1">
      <c r="A3359" s="288" t="s">
        <v>637</v>
      </c>
      <c r="B3359" s="288">
        <v>78000</v>
      </c>
      <c r="C3359" s="289">
        <v>24</v>
      </c>
      <c r="D3359" s="290">
        <v>0.315</v>
      </c>
      <c r="E3359" s="291">
        <v>49141</v>
      </c>
      <c r="F3359" s="291">
        <v>127141</v>
      </c>
      <c r="G3359" s="291">
        <v>5461</v>
      </c>
      <c r="H3359" s="291">
        <v>5070</v>
      </c>
      <c r="I3359" s="292" t="str">
        <f t="shared" si="50"/>
        <v>GooD</v>
      </c>
    </row>
    <row r="3360" spans="1:9" ht="15.7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75" thickBot="1">
      <c r="A3362" s="288" t="s">
        <v>637</v>
      </c>
      <c r="B3362" s="288">
        <v>79000</v>
      </c>
      <c r="C3362" s="289">
        <v>24</v>
      </c>
      <c r="D3362" s="290">
        <v>0.315</v>
      </c>
      <c r="E3362" s="291">
        <v>49771</v>
      </c>
      <c r="F3362" s="291">
        <v>128771</v>
      </c>
      <c r="G3362" s="291">
        <v>5531</v>
      </c>
      <c r="H3362" s="291">
        <v>5135</v>
      </c>
      <c r="I3362" s="292" t="str">
        <f t="shared" si="50"/>
        <v>GooD</v>
      </c>
    </row>
    <row r="3363" spans="1:9" ht="15.7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75" thickBot="1">
      <c r="A3365" s="288" t="s">
        <v>637</v>
      </c>
      <c r="B3365" s="288">
        <v>80000</v>
      </c>
      <c r="C3365" s="289">
        <v>24</v>
      </c>
      <c r="D3365" s="290">
        <v>0.315</v>
      </c>
      <c r="E3365" s="291">
        <v>50401</v>
      </c>
      <c r="F3365" s="291">
        <v>130401</v>
      </c>
      <c r="G3365" s="291">
        <v>5601</v>
      </c>
      <c r="H3365" s="291">
        <v>5200</v>
      </c>
      <c r="I3365" s="292" t="str">
        <f t="shared" si="50"/>
        <v>GooD</v>
      </c>
    </row>
    <row r="3366" spans="1:9" ht="15.7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75" thickBot="1">
      <c r="A3368" s="288" t="s">
        <v>637</v>
      </c>
      <c r="B3368" s="288">
        <v>81000</v>
      </c>
      <c r="C3368" s="289">
        <v>24</v>
      </c>
      <c r="D3368" s="290">
        <v>0.315</v>
      </c>
      <c r="E3368" s="291">
        <v>51031</v>
      </c>
      <c r="F3368" s="291">
        <v>132031</v>
      </c>
      <c r="G3368" s="291">
        <v>5671</v>
      </c>
      <c r="H3368" s="291">
        <v>5265</v>
      </c>
      <c r="I3368" s="292" t="str">
        <f t="shared" si="50"/>
        <v>GooD</v>
      </c>
    </row>
    <row r="3369" spans="1:9" ht="15.7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75" thickBot="1">
      <c r="A3371" s="288" t="s">
        <v>637</v>
      </c>
      <c r="B3371" s="288">
        <v>82000</v>
      </c>
      <c r="C3371" s="289">
        <v>24</v>
      </c>
      <c r="D3371" s="290">
        <v>0.315</v>
      </c>
      <c r="E3371" s="291">
        <v>51661</v>
      </c>
      <c r="F3371" s="291">
        <v>133661</v>
      </c>
      <c r="G3371" s="291">
        <v>5741</v>
      </c>
      <c r="H3371" s="291">
        <v>5330</v>
      </c>
      <c r="I3371" s="292" t="str">
        <f t="shared" si="50"/>
        <v>GooD</v>
      </c>
    </row>
    <row r="3372" spans="1:9" ht="15.7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75" thickBot="1">
      <c r="A3374" s="288" t="s">
        <v>637</v>
      </c>
      <c r="B3374" s="288">
        <v>83000</v>
      </c>
      <c r="C3374" s="289">
        <v>24</v>
      </c>
      <c r="D3374" s="290">
        <v>0.315</v>
      </c>
      <c r="E3374" s="291">
        <v>52291</v>
      </c>
      <c r="F3374" s="291">
        <v>135291</v>
      </c>
      <c r="G3374" s="291">
        <v>5811</v>
      </c>
      <c r="H3374" s="291">
        <v>5395</v>
      </c>
      <c r="I3374" s="292" t="str">
        <f t="shared" si="50"/>
        <v>GooD</v>
      </c>
    </row>
    <row r="3375" spans="1:9" ht="15.7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75" thickBot="1">
      <c r="A3377" s="288" t="s">
        <v>637</v>
      </c>
      <c r="B3377" s="288">
        <v>84000</v>
      </c>
      <c r="C3377" s="289">
        <v>24</v>
      </c>
      <c r="D3377" s="290">
        <v>0.315</v>
      </c>
      <c r="E3377" s="291">
        <v>52921</v>
      </c>
      <c r="F3377" s="291">
        <v>136921</v>
      </c>
      <c r="G3377" s="291">
        <v>5881</v>
      </c>
      <c r="H3377" s="291">
        <v>5460</v>
      </c>
      <c r="I3377" s="292" t="str">
        <f t="shared" si="50"/>
        <v>GooD</v>
      </c>
    </row>
    <row r="3378" spans="1:9" ht="15.7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75" thickBot="1">
      <c r="A3380" s="288" t="s">
        <v>637</v>
      </c>
      <c r="B3380" s="288">
        <v>85000</v>
      </c>
      <c r="C3380" s="289">
        <v>24</v>
      </c>
      <c r="D3380" s="290">
        <v>0.315</v>
      </c>
      <c r="E3380" s="291">
        <v>53551</v>
      </c>
      <c r="F3380" s="291">
        <v>138551</v>
      </c>
      <c r="G3380" s="291">
        <v>5951</v>
      </c>
      <c r="H3380" s="291">
        <v>5525</v>
      </c>
      <c r="I3380" s="292" t="str">
        <f t="shared" si="50"/>
        <v>GooD</v>
      </c>
    </row>
    <row r="3381" spans="1:9" ht="15.7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75" thickBot="1">
      <c r="A3383" s="288" t="s">
        <v>637</v>
      </c>
      <c r="B3383" s="288">
        <v>86000</v>
      </c>
      <c r="C3383" s="289">
        <v>24</v>
      </c>
      <c r="D3383" s="290">
        <v>0.315</v>
      </c>
      <c r="E3383" s="291">
        <v>54181</v>
      </c>
      <c r="F3383" s="291">
        <v>140181</v>
      </c>
      <c r="G3383" s="291">
        <v>6021</v>
      </c>
      <c r="H3383" s="291">
        <v>5590</v>
      </c>
      <c r="I3383" s="292" t="str">
        <f t="shared" si="50"/>
        <v>GooD</v>
      </c>
    </row>
    <row r="3384" spans="1:9" ht="15.7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75" thickBot="1">
      <c r="A3386" s="288" t="s">
        <v>637</v>
      </c>
      <c r="B3386" s="288">
        <v>87000</v>
      </c>
      <c r="C3386" s="289">
        <v>24</v>
      </c>
      <c r="D3386" s="290">
        <v>0.315</v>
      </c>
      <c r="E3386" s="291">
        <v>54811</v>
      </c>
      <c r="F3386" s="291">
        <v>141811</v>
      </c>
      <c r="G3386" s="291">
        <v>6091</v>
      </c>
      <c r="H3386" s="291">
        <v>5655</v>
      </c>
      <c r="I3386" s="292" t="str">
        <f t="shared" si="50"/>
        <v>GooD</v>
      </c>
    </row>
    <row r="3387" spans="1:9" ht="15.7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75" thickBot="1">
      <c r="A3389" s="288" t="s">
        <v>637</v>
      </c>
      <c r="B3389" s="288">
        <v>88000</v>
      </c>
      <c r="C3389" s="289">
        <v>24</v>
      </c>
      <c r="D3389" s="290">
        <v>0.315</v>
      </c>
      <c r="E3389" s="291">
        <v>55441</v>
      </c>
      <c r="F3389" s="291">
        <v>143441</v>
      </c>
      <c r="G3389" s="291">
        <v>6161</v>
      </c>
      <c r="H3389" s="291">
        <v>5720</v>
      </c>
      <c r="I3389" s="292" t="str">
        <f t="shared" si="50"/>
        <v>GooD</v>
      </c>
    </row>
    <row r="3390" spans="1:9" ht="15.7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75" thickBot="1">
      <c r="A3392" s="288" t="s">
        <v>637</v>
      </c>
      <c r="B3392" s="288">
        <v>89000</v>
      </c>
      <c r="C3392" s="289">
        <v>24</v>
      </c>
      <c r="D3392" s="290">
        <v>0.315</v>
      </c>
      <c r="E3392" s="291">
        <v>56071</v>
      </c>
      <c r="F3392" s="291">
        <v>145071</v>
      </c>
      <c r="G3392" s="291">
        <v>6231</v>
      </c>
      <c r="H3392" s="291">
        <v>5785</v>
      </c>
      <c r="I3392" s="292" t="str">
        <f t="shared" si="50"/>
        <v>GooD</v>
      </c>
    </row>
    <row r="3393" spans="1:9" ht="15.7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75" thickBot="1">
      <c r="A3395" s="288" t="s">
        <v>637</v>
      </c>
      <c r="B3395" s="288">
        <v>90000</v>
      </c>
      <c r="C3395" s="289">
        <v>24</v>
      </c>
      <c r="D3395" s="290">
        <v>0.315</v>
      </c>
      <c r="E3395" s="291">
        <v>56701</v>
      </c>
      <c r="F3395" s="291">
        <v>146701</v>
      </c>
      <c r="G3395" s="291">
        <v>6301</v>
      </c>
      <c r="H3395" s="291">
        <v>5850</v>
      </c>
      <c r="I3395" s="292" t="str">
        <f t="shared" si="50"/>
        <v>GooD</v>
      </c>
    </row>
    <row r="3396" spans="1:9" ht="15.7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75" thickBot="1">
      <c r="A3398" s="288" t="s">
        <v>637</v>
      </c>
      <c r="B3398" s="288">
        <v>91000</v>
      </c>
      <c r="C3398" s="289">
        <v>24</v>
      </c>
      <c r="D3398" s="290">
        <v>0.315</v>
      </c>
      <c r="E3398" s="291">
        <v>57331</v>
      </c>
      <c r="F3398" s="291">
        <v>148331</v>
      </c>
      <c r="G3398" s="291">
        <v>6371</v>
      </c>
      <c r="H3398" s="291">
        <v>5915</v>
      </c>
      <c r="I3398" s="292" t="str">
        <f t="shared" si="50"/>
        <v>GooD</v>
      </c>
    </row>
    <row r="3399" spans="1:9" ht="15.7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75" thickBot="1">
      <c r="A3401" s="288" t="s">
        <v>637</v>
      </c>
      <c r="B3401" s="288">
        <v>92000</v>
      </c>
      <c r="C3401" s="289">
        <v>24</v>
      </c>
      <c r="D3401" s="290">
        <v>0.315</v>
      </c>
      <c r="E3401" s="291">
        <v>57961</v>
      </c>
      <c r="F3401" s="291">
        <v>149961</v>
      </c>
      <c r="G3401" s="291">
        <v>6441</v>
      </c>
      <c r="H3401" s="291">
        <v>5980</v>
      </c>
      <c r="I3401" s="292" t="str">
        <f t="shared" si="50"/>
        <v>GooD</v>
      </c>
    </row>
    <row r="3402" spans="1:9" ht="15.7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75" thickBot="1">
      <c r="A3404" s="288" t="s">
        <v>637</v>
      </c>
      <c r="B3404" s="288">
        <v>93000</v>
      </c>
      <c r="C3404" s="289">
        <v>24</v>
      </c>
      <c r="D3404" s="290">
        <v>0.315</v>
      </c>
      <c r="E3404" s="291">
        <v>58591</v>
      </c>
      <c r="F3404" s="291">
        <v>151591</v>
      </c>
      <c r="G3404" s="291">
        <v>6511</v>
      </c>
      <c r="H3404" s="291">
        <v>6045</v>
      </c>
      <c r="I3404" s="292" t="str">
        <f t="shared" si="50"/>
        <v>GooD</v>
      </c>
    </row>
    <row r="3405" spans="1:9" ht="15.7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75" thickBot="1">
      <c r="A3407" s="288" t="s">
        <v>637</v>
      </c>
      <c r="B3407" s="288">
        <v>94000</v>
      </c>
      <c r="C3407" s="289">
        <v>24</v>
      </c>
      <c r="D3407" s="290">
        <v>0.315</v>
      </c>
      <c r="E3407" s="291">
        <v>59221</v>
      </c>
      <c r="F3407" s="291">
        <v>153221</v>
      </c>
      <c r="G3407" s="291">
        <v>6581</v>
      </c>
      <c r="H3407" s="291">
        <v>6110</v>
      </c>
      <c r="I3407" s="292" t="str">
        <f t="shared" si="50"/>
        <v>GooD</v>
      </c>
    </row>
    <row r="3408" spans="1:9" ht="15.7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75" thickBot="1">
      <c r="A3410" s="288" t="s">
        <v>637</v>
      </c>
      <c r="B3410" s="288">
        <v>95000</v>
      </c>
      <c r="C3410" s="289">
        <v>24</v>
      </c>
      <c r="D3410" s="290">
        <v>0.315</v>
      </c>
      <c r="E3410" s="291">
        <v>59851</v>
      </c>
      <c r="F3410" s="291">
        <v>154851</v>
      </c>
      <c r="G3410" s="291">
        <v>6651</v>
      </c>
      <c r="H3410" s="291">
        <v>6175</v>
      </c>
      <c r="I3410" s="292" t="str">
        <f t="shared" si="51"/>
        <v>GooD</v>
      </c>
    </row>
    <row r="3411" spans="1:9" ht="15.7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75" thickBot="1">
      <c r="A3413" s="288" t="s">
        <v>637</v>
      </c>
      <c r="B3413" s="288">
        <v>96000</v>
      </c>
      <c r="C3413" s="289">
        <v>24</v>
      </c>
      <c r="D3413" s="290">
        <v>0.315</v>
      </c>
      <c r="E3413" s="291">
        <v>60481</v>
      </c>
      <c r="F3413" s="291">
        <v>156481</v>
      </c>
      <c r="G3413" s="291">
        <v>6721</v>
      </c>
      <c r="H3413" s="291">
        <v>6240</v>
      </c>
      <c r="I3413" s="292" t="str">
        <f t="shared" si="51"/>
        <v>GooD</v>
      </c>
    </row>
    <row r="3414" spans="1:9" ht="15.7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75" thickBot="1">
      <c r="A3416" s="288" t="s">
        <v>637</v>
      </c>
      <c r="B3416" s="288">
        <v>97000</v>
      </c>
      <c r="C3416" s="289">
        <v>24</v>
      </c>
      <c r="D3416" s="290">
        <v>0.315</v>
      </c>
      <c r="E3416" s="291">
        <v>61111</v>
      </c>
      <c r="F3416" s="291">
        <v>158111</v>
      </c>
      <c r="G3416" s="291">
        <v>6791</v>
      </c>
      <c r="H3416" s="291">
        <v>6305</v>
      </c>
      <c r="I3416" s="292" t="str">
        <f t="shared" si="51"/>
        <v>GooD</v>
      </c>
    </row>
    <row r="3417" spans="1:9" ht="15.7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75" thickBot="1">
      <c r="A3419" s="288" t="s">
        <v>637</v>
      </c>
      <c r="B3419" s="288">
        <v>98000</v>
      </c>
      <c r="C3419" s="289">
        <v>24</v>
      </c>
      <c r="D3419" s="290">
        <v>0.315</v>
      </c>
      <c r="E3419" s="291">
        <v>61741</v>
      </c>
      <c r="F3419" s="291">
        <v>159741</v>
      </c>
      <c r="G3419" s="291">
        <v>6861</v>
      </c>
      <c r="H3419" s="291">
        <v>6370</v>
      </c>
      <c r="I3419" s="292" t="str">
        <f t="shared" si="51"/>
        <v>GooD</v>
      </c>
    </row>
    <row r="3420" spans="1:9" ht="15.7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75" thickBot="1">
      <c r="A3422" s="288" t="s">
        <v>637</v>
      </c>
      <c r="B3422" s="288">
        <v>99000</v>
      </c>
      <c r="C3422" s="289">
        <v>24</v>
      </c>
      <c r="D3422" s="290">
        <v>0.315</v>
      </c>
      <c r="E3422" s="291">
        <v>62371</v>
      </c>
      <c r="F3422" s="291">
        <v>161371</v>
      </c>
      <c r="G3422" s="291">
        <v>6931</v>
      </c>
      <c r="H3422" s="291">
        <v>6435</v>
      </c>
      <c r="I3422" s="292" t="str">
        <f t="shared" si="51"/>
        <v>GooD</v>
      </c>
    </row>
    <row r="3423" spans="1:9" ht="15.7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75" thickBot="1">
      <c r="A3425" s="288" t="s">
        <v>637</v>
      </c>
      <c r="B3425" s="288">
        <v>100000</v>
      </c>
      <c r="C3425" s="289">
        <v>24</v>
      </c>
      <c r="D3425" s="290">
        <v>0.315</v>
      </c>
      <c r="E3425" s="291">
        <v>63001</v>
      </c>
      <c r="F3425" s="291">
        <v>163001</v>
      </c>
      <c r="G3425" s="291">
        <v>7001</v>
      </c>
      <c r="H3425" s="291">
        <v>6500</v>
      </c>
      <c r="I3425" s="292" t="str">
        <f t="shared" si="51"/>
        <v>GooD</v>
      </c>
    </row>
    <row r="3426" spans="1:9" ht="15.7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75" thickBot="1">
      <c r="A3428" s="288" t="s">
        <v>637</v>
      </c>
      <c r="B3428" s="288">
        <v>101000</v>
      </c>
      <c r="C3428" s="289">
        <v>24</v>
      </c>
      <c r="D3428" s="290">
        <v>0.315</v>
      </c>
      <c r="E3428" s="291">
        <v>63631</v>
      </c>
      <c r="F3428" s="291">
        <v>164631</v>
      </c>
      <c r="G3428" s="291">
        <v>7071</v>
      </c>
      <c r="H3428" s="291">
        <v>6565</v>
      </c>
      <c r="I3428" s="292" t="str">
        <f t="shared" si="51"/>
        <v>GooD</v>
      </c>
    </row>
    <row r="3429" spans="1:9" ht="15.7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75" thickBot="1">
      <c r="A3431" s="288" t="s">
        <v>637</v>
      </c>
      <c r="B3431" s="288">
        <v>102000</v>
      </c>
      <c r="C3431" s="289">
        <v>24</v>
      </c>
      <c r="D3431" s="290">
        <v>0.315</v>
      </c>
      <c r="E3431" s="291">
        <v>64261</v>
      </c>
      <c r="F3431" s="291">
        <v>166261</v>
      </c>
      <c r="G3431" s="291">
        <v>7141</v>
      </c>
      <c r="H3431" s="291">
        <v>6630</v>
      </c>
      <c r="I3431" s="292" t="str">
        <f t="shared" si="51"/>
        <v>GooD</v>
      </c>
    </row>
    <row r="3432" spans="1:9" ht="15.7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75" thickBot="1">
      <c r="A3434" s="288" t="s">
        <v>637</v>
      </c>
      <c r="B3434" s="288">
        <v>103000</v>
      </c>
      <c r="C3434" s="289">
        <v>24</v>
      </c>
      <c r="D3434" s="290">
        <v>0.315</v>
      </c>
      <c r="E3434" s="291">
        <v>64891</v>
      </c>
      <c r="F3434" s="291">
        <v>167891</v>
      </c>
      <c r="G3434" s="291">
        <v>7211</v>
      </c>
      <c r="H3434" s="291">
        <v>6695</v>
      </c>
      <c r="I3434" s="292" t="str">
        <f t="shared" si="51"/>
        <v>GooD</v>
      </c>
    </row>
    <row r="3435" spans="1:9" ht="15.7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75" thickBot="1">
      <c r="A3437" s="288" t="s">
        <v>637</v>
      </c>
      <c r="B3437" s="288">
        <v>104000</v>
      </c>
      <c r="C3437" s="289">
        <v>24</v>
      </c>
      <c r="D3437" s="290">
        <v>0.315</v>
      </c>
      <c r="E3437" s="291">
        <v>65521</v>
      </c>
      <c r="F3437" s="291">
        <v>169521</v>
      </c>
      <c r="G3437" s="291">
        <v>7281</v>
      </c>
      <c r="H3437" s="291">
        <v>6760</v>
      </c>
      <c r="I3437" s="292" t="str">
        <f t="shared" si="51"/>
        <v>GooD</v>
      </c>
    </row>
    <row r="3438" spans="1:9" ht="15.7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75" thickBot="1">
      <c r="A3440" s="288" t="s">
        <v>637</v>
      </c>
      <c r="B3440" s="288">
        <v>105000</v>
      </c>
      <c r="C3440" s="289">
        <v>24</v>
      </c>
      <c r="D3440" s="290">
        <v>0.315</v>
      </c>
      <c r="E3440" s="291">
        <v>66151</v>
      </c>
      <c r="F3440" s="291">
        <v>171151</v>
      </c>
      <c r="G3440" s="291">
        <v>7351</v>
      </c>
      <c r="H3440" s="291">
        <v>6825</v>
      </c>
      <c r="I3440" s="292" t="str">
        <f t="shared" si="51"/>
        <v>GooD</v>
      </c>
    </row>
    <row r="3441" spans="1:9" ht="15.7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75" thickBot="1">
      <c r="A3443" s="288" t="s">
        <v>637</v>
      </c>
      <c r="B3443" s="288">
        <v>106000</v>
      </c>
      <c r="C3443" s="289">
        <v>24</v>
      </c>
      <c r="D3443" s="290">
        <v>0.315</v>
      </c>
      <c r="E3443" s="291">
        <v>66781</v>
      </c>
      <c r="F3443" s="291">
        <v>172781</v>
      </c>
      <c r="G3443" s="291">
        <v>7421</v>
      </c>
      <c r="H3443" s="291">
        <v>6890</v>
      </c>
      <c r="I3443" s="292" t="str">
        <f t="shared" si="51"/>
        <v>GooD</v>
      </c>
    </row>
    <row r="3444" spans="1:9" ht="15.7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75" thickBot="1">
      <c r="A3446" s="288" t="s">
        <v>637</v>
      </c>
      <c r="B3446" s="288">
        <v>107000</v>
      </c>
      <c r="C3446" s="289">
        <v>24</v>
      </c>
      <c r="D3446" s="290">
        <v>0.315</v>
      </c>
      <c r="E3446" s="291">
        <v>67411</v>
      </c>
      <c r="F3446" s="291">
        <v>174411</v>
      </c>
      <c r="G3446" s="291">
        <v>7491</v>
      </c>
      <c r="H3446" s="291">
        <v>6955</v>
      </c>
      <c r="I3446" s="292" t="str">
        <f t="shared" si="51"/>
        <v>GooD</v>
      </c>
    </row>
    <row r="3447" spans="1:9" ht="15.7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75" thickBot="1">
      <c r="A3449" s="288" t="s">
        <v>637</v>
      </c>
      <c r="B3449" s="288">
        <v>108000</v>
      </c>
      <c r="C3449" s="289">
        <v>24</v>
      </c>
      <c r="D3449" s="290">
        <v>0.315</v>
      </c>
      <c r="E3449" s="291">
        <v>68041</v>
      </c>
      <c r="F3449" s="291">
        <v>176041</v>
      </c>
      <c r="G3449" s="291">
        <v>7561</v>
      </c>
      <c r="H3449" s="291">
        <v>7020</v>
      </c>
      <c r="I3449" s="292" t="str">
        <f t="shared" si="51"/>
        <v>GooD</v>
      </c>
    </row>
    <row r="3450" spans="1:9" ht="15.7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75" thickBot="1">
      <c r="A3452" s="288" t="s">
        <v>637</v>
      </c>
      <c r="B3452" s="288">
        <v>109000</v>
      </c>
      <c r="C3452" s="289">
        <v>24</v>
      </c>
      <c r="D3452" s="290">
        <v>0.315</v>
      </c>
      <c r="E3452" s="291">
        <v>68671</v>
      </c>
      <c r="F3452" s="291">
        <v>177671</v>
      </c>
      <c r="G3452" s="291">
        <v>7631</v>
      </c>
      <c r="H3452" s="291">
        <v>7085</v>
      </c>
      <c r="I3452" s="292" t="str">
        <f t="shared" si="51"/>
        <v>GooD</v>
      </c>
    </row>
    <row r="3453" spans="1:9" ht="15.7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75" thickBot="1">
      <c r="A3455" s="288" t="s">
        <v>637</v>
      </c>
      <c r="B3455" s="288">
        <v>110000</v>
      </c>
      <c r="C3455" s="289">
        <v>24</v>
      </c>
      <c r="D3455" s="290">
        <v>0.315</v>
      </c>
      <c r="E3455" s="291">
        <v>69301</v>
      </c>
      <c r="F3455" s="291">
        <v>179301</v>
      </c>
      <c r="G3455" s="291">
        <v>7701</v>
      </c>
      <c r="H3455" s="291">
        <v>7150</v>
      </c>
      <c r="I3455" s="292" t="str">
        <f t="shared" si="51"/>
        <v>GooD</v>
      </c>
    </row>
    <row r="3456" spans="1:9" ht="15.7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75" thickBot="1">
      <c r="A3458" s="288" t="s">
        <v>637</v>
      </c>
      <c r="B3458" s="288">
        <v>111000</v>
      </c>
      <c r="C3458" s="289">
        <v>24</v>
      </c>
      <c r="D3458" s="290">
        <v>0.315</v>
      </c>
      <c r="E3458" s="291">
        <v>69931</v>
      </c>
      <c r="F3458" s="291">
        <v>180931</v>
      </c>
      <c r="G3458" s="291">
        <v>7771</v>
      </c>
      <c r="H3458" s="291">
        <v>7215</v>
      </c>
      <c r="I3458" s="292" t="str">
        <f t="shared" si="51"/>
        <v>GooD</v>
      </c>
    </row>
    <row r="3459" spans="1:9" ht="15.7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75" thickBot="1">
      <c r="A3461" s="288" t="s">
        <v>637</v>
      </c>
      <c r="B3461" s="288">
        <v>112000</v>
      </c>
      <c r="C3461" s="289">
        <v>24</v>
      </c>
      <c r="D3461" s="290">
        <v>0.315</v>
      </c>
      <c r="E3461" s="291">
        <v>70561</v>
      </c>
      <c r="F3461" s="291">
        <v>182561</v>
      </c>
      <c r="G3461" s="291">
        <v>7841</v>
      </c>
      <c r="H3461" s="291">
        <v>7280</v>
      </c>
      <c r="I3461" s="292" t="str">
        <f t="shared" si="51"/>
        <v>GooD</v>
      </c>
    </row>
    <row r="3462" spans="1:9" ht="15.7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75" thickBot="1">
      <c r="A3464" s="288" t="s">
        <v>637</v>
      </c>
      <c r="B3464" s="288">
        <v>113000</v>
      </c>
      <c r="C3464" s="289">
        <v>24</v>
      </c>
      <c r="D3464" s="290">
        <v>0.315</v>
      </c>
      <c r="E3464" s="291">
        <v>71191</v>
      </c>
      <c r="F3464" s="291">
        <v>184191</v>
      </c>
      <c r="G3464" s="291">
        <v>7911</v>
      </c>
      <c r="H3464" s="291">
        <v>7345</v>
      </c>
      <c r="I3464" s="292" t="str">
        <f t="shared" si="51"/>
        <v>GooD</v>
      </c>
    </row>
    <row r="3465" spans="1:9" ht="15.7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75" thickBot="1">
      <c r="A3467" s="288" t="s">
        <v>637</v>
      </c>
      <c r="B3467" s="288">
        <v>114000</v>
      </c>
      <c r="C3467" s="289">
        <v>24</v>
      </c>
      <c r="D3467" s="290">
        <v>0.315</v>
      </c>
      <c r="E3467" s="291">
        <v>71821</v>
      </c>
      <c r="F3467" s="291">
        <v>185821</v>
      </c>
      <c r="G3467" s="291">
        <v>7981</v>
      </c>
      <c r="H3467" s="291">
        <v>7410</v>
      </c>
      <c r="I3467" s="292" t="str">
        <f t="shared" si="51"/>
        <v>GooD</v>
      </c>
    </row>
    <row r="3468" spans="1:9" ht="15.7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75" thickBot="1">
      <c r="A3470" s="288" t="s">
        <v>637</v>
      </c>
      <c r="B3470" s="288">
        <v>115000</v>
      </c>
      <c r="C3470" s="289">
        <v>24</v>
      </c>
      <c r="D3470" s="290">
        <v>0.315</v>
      </c>
      <c r="E3470" s="291">
        <v>72451</v>
      </c>
      <c r="F3470" s="291">
        <v>187451</v>
      </c>
      <c r="G3470" s="291">
        <v>8051</v>
      </c>
      <c r="H3470" s="291">
        <v>7475</v>
      </c>
      <c r="I3470" s="292" t="str">
        <f t="shared" si="51"/>
        <v>GooD</v>
      </c>
    </row>
    <row r="3471" spans="1:9" ht="15.7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7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7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75" thickBot="1">
      <c r="A3476" s="288" t="s">
        <v>637</v>
      </c>
      <c r="B3476" s="288">
        <v>117000</v>
      </c>
      <c r="C3476" s="289">
        <v>24</v>
      </c>
      <c r="D3476" s="290">
        <v>0.315</v>
      </c>
      <c r="E3476" s="291">
        <v>73711</v>
      </c>
      <c r="F3476" s="291">
        <v>190711</v>
      </c>
      <c r="G3476" s="291">
        <v>8191</v>
      </c>
      <c r="H3476" s="291">
        <v>7605</v>
      </c>
      <c r="I3476" s="292" t="str">
        <f t="shared" si="52"/>
        <v>GooD</v>
      </c>
    </row>
    <row r="3477" spans="1:9" ht="15.7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75" thickBot="1">
      <c r="A3479" s="288" t="s">
        <v>637</v>
      </c>
      <c r="B3479" s="288">
        <v>118000</v>
      </c>
      <c r="C3479" s="289">
        <v>24</v>
      </c>
      <c r="D3479" s="290">
        <v>0.315</v>
      </c>
      <c r="E3479" s="291">
        <v>74341</v>
      </c>
      <c r="F3479" s="291">
        <v>192341</v>
      </c>
      <c r="G3479" s="291">
        <v>8261</v>
      </c>
      <c r="H3479" s="291">
        <v>7670</v>
      </c>
      <c r="I3479" s="292" t="str">
        <f t="shared" si="52"/>
        <v>GooD</v>
      </c>
    </row>
    <row r="3480" spans="1:9" ht="15.7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75" thickBot="1">
      <c r="A3482" s="288" t="s">
        <v>637</v>
      </c>
      <c r="B3482" s="288">
        <v>119000</v>
      </c>
      <c r="C3482" s="289">
        <v>24</v>
      </c>
      <c r="D3482" s="290">
        <v>0.315</v>
      </c>
      <c r="E3482" s="291">
        <v>74971</v>
      </c>
      <c r="F3482" s="291">
        <v>193971</v>
      </c>
      <c r="G3482" s="291">
        <v>8331</v>
      </c>
      <c r="H3482" s="291">
        <v>7735</v>
      </c>
      <c r="I3482" s="292" t="str">
        <f t="shared" si="52"/>
        <v>GooD</v>
      </c>
    </row>
    <row r="3483" spans="1:9" ht="15.7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75" thickBot="1">
      <c r="A3485" s="288" t="s">
        <v>637</v>
      </c>
      <c r="B3485" s="288">
        <v>120000</v>
      </c>
      <c r="C3485" s="289">
        <v>24</v>
      </c>
      <c r="D3485" s="290">
        <v>0.315</v>
      </c>
      <c r="E3485" s="291">
        <v>75601</v>
      </c>
      <c r="F3485" s="291">
        <v>195601</v>
      </c>
      <c r="G3485" s="291">
        <v>8401</v>
      </c>
      <c r="H3485" s="291">
        <v>7800</v>
      </c>
      <c r="I3485" s="292" t="str">
        <f t="shared" si="52"/>
        <v>GooD</v>
      </c>
    </row>
    <row r="3486" spans="1:9" ht="15.7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75" thickBot="1">
      <c r="A3488" s="288" t="s">
        <v>637</v>
      </c>
      <c r="B3488" s="288">
        <v>121000</v>
      </c>
      <c r="C3488" s="289">
        <v>24</v>
      </c>
      <c r="D3488" s="290">
        <v>0.315</v>
      </c>
      <c r="E3488" s="291">
        <v>76231</v>
      </c>
      <c r="F3488" s="291">
        <v>197231</v>
      </c>
      <c r="G3488" s="291">
        <v>8471</v>
      </c>
      <c r="H3488" s="291">
        <v>7865</v>
      </c>
      <c r="I3488" s="292" t="str">
        <f t="shared" si="52"/>
        <v>GooD</v>
      </c>
    </row>
    <row r="3489" spans="1:9" ht="15.7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75" thickBot="1">
      <c r="A3491" s="288" t="s">
        <v>637</v>
      </c>
      <c r="B3491" s="288">
        <v>122000</v>
      </c>
      <c r="C3491" s="289">
        <v>24</v>
      </c>
      <c r="D3491" s="290">
        <v>0.315</v>
      </c>
      <c r="E3491" s="291">
        <v>76861</v>
      </c>
      <c r="F3491" s="291">
        <v>198861</v>
      </c>
      <c r="G3491" s="291">
        <v>8541</v>
      </c>
      <c r="H3491" s="291">
        <v>7930</v>
      </c>
      <c r="I3491" s="292" t="str">
        <f t="shared" si="52"/>
        <v>GooD</v>
      </c>
    </row>
    <row r="3492" spans="1:9" ht="15.7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75" thickBot="1">
      <c r="A3494" s="288" t="s">
        <v>637</v>
      </c>
      <c r="B3494" s="288">
        <v>123000</v>
      </c>
      <c r="C3494" s="289">
        <v>24</v>
      </c>
      <c r="D3494" s="290">
        <v>0.315</v>
      </c>
      <c r="E3494" s="291">
        <v>77491</v>
      </c>
      <c r="F3494" s="291">
        <v>200491</v>
      </c>
      <c r="G3494" s="291">
        <v>8611</v>
      </c>
      <c r="H3494" s="291">
        <v>7995</v>
      </c>
      <c r="I3494" s="292" t="str">
        <f t="shared" si="52"/>
        <v>GooD</v>
      </c>
    </row>
    <row r="3495" spans="1:9" ht="15.7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75" thickBot="1">
      <c r="A3497" s="288" t="s">
        <v>637</v>
      </c>
      <c r="B3497" s="288">
        <v>124000</v>
      </c>
      <c r="C3497" s="289">
        <v>24</v>
      </c>
      <c r="D3497" s="290">
        <v>0.315</v>
      </c>
      <c r="E3497" s="291">
        <v>78121</v>
      </c>
      <c r="F3497" s="291">
        <v>202121</v>
      </c>
      <c r="G3497" s="291">
        <v>8681</v>
      </c>
      <c r="H3497" s="291">
        <v>8060</v>
      </c>
      <c r="I3497" s="292" t="str">
        <f t="shared" si="52"/>
        <v>GooD</v>
      </c>
    </row>
    <row r="3498" spans="1:9" ht="15.7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75" thickBot="1">
      <c r="A3500" s="288" t="s">
        <v>637</v>
      </c>
      <c r="B3500" s="288">
        <v>125000</v>
      </c>
      <c r="C3500" s="289">
        <v>24</v>
      </c>
      <c r="D3500" s="290">
        <v>0.315</v>
      </c>
      <c r="E3500" s="291">
        <v>78751</v>
      </c>
      <c r="F3500" s="291">
        <v>203751</v>
      </c>
      <c r="G3500" s="291">
        <v>8751</v>
      </c>
      <c r="H3500" s="291">
        <v>8125</v>
      </c>
      <c r="I3500" s="292" t="str">
        <f t="shared" si="52"/>
        <v>GooD</v>
      </c>
    </row>
    <row r="3501" spans="1:9" ht="15.7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75" thickBot="1">
      <c r="A3503" s="288" t="s">
        <v>637</v>
      </c>
      <c r="B3503" s="288">
        <v>126000</v>
      </c>
      <c r="C3503" s="289">
        <v>24</v>
      </c>
      <c r="D3503" s="290">
        <v>0.315</v>
      </c>
      <c r="E3503" s="291">
        <v>79381</v>
      </c>
      <c r="F3503" s="291">
        <v>205381</v>
      </c>
      <c r="G3503" s="291">
        <v>8821</v>
      </c>
      <c r="H3503" s="291">
        <v>8190</v>
      </c>
      <c r="I3503" s="292" t="str">
        <f t="shared" si="52"/>
        <v>GooD</v>
      </c>
    </row>
    <row r="3504" spans="1:9" ht="15.7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75" thickBot="1">
      <c r="A3506" s="288" t="s">
        <v>637</v>
      </c>
      <c r="B3506" s="288">
        <v>127000</v>
      </c>
      <c r="C3506" s="289">
        <v>24</v>
      </c>
      <c r="D3506" s="290">
        <v>0.315</v>
      </c>
      <c r="E3506" s="291">
        <v>80011</v>
      </c>
      <c r="F3506" s="291">
        <v>207011</v>
      </c>
      <c r="G3506" s="291">
        <v>8891</v>
      </c>
      <c r="H3506" s="291">
        <v>8255</v>
      </c>
      <c r="I3506" s="292" t="str">
        <f t="shared" si="52"/>
        <v>GooD</v>
      </c>
    </row>
    <row r="3507" spans="1:9" ht="15.7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75" thickBot="1">
      <c r="A3509" s="288" t="s">
        <v>637</v>
      </c>
      <c r="B3509" s="288">
        <v>128000</v>
      </c>
      <c r="C3509" s="289">
        <v>24</v>
      </c>
      <c r="D3509" s="290">
        <v>0.315</v>
      </c>
      <c r="E3509" s="291">
        <v>80641</v>
      </c>
      <c r="F3509" s="291">
        <v>208641</v>
      </c>
      <c r="G3509" s="291">
        <v>8961</v>
      </c>
      <c r="H3509" s="291">
        <v>8320</v>
      </c>
      <c r="I3509" s="292" t="str">
        <f t="shared" si="52"/>
        <v>GooD</v>
      </c>
    </row>
    <row r="3510" spans="1:9" ht="15.7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75" thickBot="1">
      <c r="A3512" s="288" t="s">
        <v>637</v>
      </c>
      <c r="B3512" s="288">
        <v>129000</v>
      </c>
      <c r="C3512" s="289">
        <v>24</v>
      </c>
      <c r="D3512" s="290">
        <v>0.315</v>
      </c>
      <c r="E3512" s="291">
        <v>81271</v>
      </c>
      <c r="F3512" s="291">
        <v>210271</v>
      </c>
      <c r="G3512" s="291">
        <v>9031</v>
      </c>
      <c r="H3512" s="291">
        <v>8385</v>
      </c>
      <c r="I3512" s="292" t="str">
        <f t="shared" si="52"/>
        <v>GooD</v>
      </c>
    </row>
    <row r="3513" spans="1:9" ht="15.7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75" thickBot="1">
      <c r="A3515" s="288" t="s">
        <v>637</v>
      </c>
      <c r="B3515" s="288">
        <v>130000</v>
      </c>
      <c r="C3515" s="289">
        <v>24</v>
      </c>
      <c r="D3515" s="290">
        <v>0.315</v>
      </c>
      <c r="E3515" s="291">
        <v>81901</v>
      </c>
      <c r="F3515" s="291">
        <v>211901</v>
      </c>
      <c r="G3515" s="291">
        <v>9101</v>
      </c>
      <c r="H3515" s="291">
        <v>8450</v>
      </c>
      <c r="I3515" s="292" t="str">
        <f t="shared" si="52"/>
        <v>GooD</v>
      </c>
    </row>
    <row r="3516" spans="1:9" ht="15.7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75" thickBot="1">
      <c r="A3518" s="288" t="s">
        <v>637</v>
      </c>
      <c r="B3518" s="288">
        <v>131000</v>
      </c>
      <c r="C3518" s="289">
        <v>24</v>
      </c>
      <c r="D3518" s="290">
        <v>0.315</v>
      </c>
      <c r="E3518" s="291">
        <v>82531</v>
      </c>
      <c r="F3518" s="291">
        <v>213531</v>
      </c>
      <c r="G3518" s="291">
        <v>9171</v>
      </c>
      <c r="H3518" s="291">
        <v>8515</v>
      </c>
      <c r="I3518" s="292" t="str">
        <f t="shared" si="52"/>
        <v>GooD</v>
      </c>
    </row>
    <row r="3519" spans="1:9" ht="15.7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75" thickBot="1">
      <c r="A3521" s="288" t="s">
        <v>637</v>
      </c>
      <c r="B3521" s="288">
        <v>132000</v>
      </c>
      <c r="C3521" s="289">
        <v>24</v>
      </c>
      <c r="D3521" s="290">
        <v>0.315</v>
      </c>
      <c r="E3521" s="291">
        <v>83161</v>
      </c>
      <c r="F3521" s="291">
        <v>215161</v>
      </c>
      <c r="G3521" s="291">
        <v>9241</v>
      </c>
      <c r="H3521" s="291">
        <v>8580</v>
      </c>
      <c r="I3521" s="292" t="str">
        <f t="shared" si="52"/>
        <v>GooD</v>
      </c>
    </row>
    <row r="3522" spans="1:9" ht="15.7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75" thickBot="1">
      <c r="A3524" s="288" t="s">
        <v>637</v>
      </c>
      <c r="B3524" s="288">
        <v>133000</v>
      </c>
      <c r="C3524" s="289">
        <v>24</v>
      </c>
      <c r="D3524" s="290">
        <v>0.315</v>
      </c>
      <c r="E3524" s="291">
        <v>83791</v>
      </c>
      <c r="F3524" s="291">
        <v>216791</v>
      </c>
      <c r="G3524" s="291">
        <v>9311</v>
      </c>
      <c r="H3524" s="291">
        <v>8645</v>
      </c>
      <c r="I3524" s="292" t="str">
        <f t="shared" si="52"/>
        <v>GooD</v>
      </c>
    </row>
    <row r="3525" spans="1:9" ht="15.7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75" thickBot="1">
      <c r="A3527" s="288" t="s">
        <v>637</v>
      </c>
      <c r="B3527" s="288">
        <v>134000</v>
      </c>
      <c r="C3527" s="289">
        <v>24</v>
      </c>
      <c r="D3527" s="290">
        <v>0.315</v>
      </c>
      <c r="E3527" s="291">
        <v>84421</v>
      </c>
      <c r="F3527" s="291">
        <v>218421</v>
      </c>
      <c r="G3527" s="291">
        <v>9381</v>
      </c>
      <c r="H3527" s="291">
        <v>8710</v>
      </c>
      <c r="I3527" s="292" t="str">
        <f t="shared" si="52"/>
        <v>GooD</v>
      </c>
    </row>
    <row r="3528" spans="1:9" ht="15.7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75" thickBot="1">
      <c r="A3530" s="288" t="s">
        <v>637</v>
      </c>
      <c r="B3530" s="288">
        <v>135000</v>
      </c>
      <c r="C3530" s="289">
        <v>24</v>
      </c>
      <c r="D3530" s="290">
        <v>0.315</v>
      </c>
      <c r="E3530" s="291">
        <v>85051</v>
      </c>
      <c r="F3530" s="291">
        <v>220051</v>
      </c>
      <c r="G3530" s="291">
        <v>9451</v>
      </c>
      <c r="H3530" s="291">
        <v>8775</v>
      </c>
      <c r="I3530" s="292" t="str">
        <f t="shared" si="52"/>
        <v>GooD</v>
      </c>
    </row>
    <row r="3531" spans="1:9" ht="15.7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75" thickBot="1">
      <c r="A3533" s="288" t="s">
        <v>637</v>
      </c>
      <c r="B3533" s="288">
        <v>136000</v>
      </c>
      <c r="C3533" s="289">
        <v>24</v>
      </c>
      <c r="D3533" s="290">
        <v>0.315</v>
      </c>
      <c r="E3533" s="291">
        <v>85681</v>
      </c>
      <c r="F3533" s="291">
        <v>221681</v>
      </c>
      <c r="G3533" s="291">
        <v>9521</v>
      </c>
      <c r="H3533" s="291">
        <v>8840</v>
      </c>
      <c r="I3533" s="292" t="str">
        <f t="shared" si="52"/>
        <v>GooD</v>
      </c>
    </row>
    <row r="3534" spans="1:9" ht="15.7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75" thickBot="1">
      <c r="A3536" s="288" t="s">
        <v>637</v>
      </c>
      <c r="B3536" s="288">
        <v>137000</v>
      </c>
      <c r="C3536" s="289">
        <v>24</v>
      </c>
      <c r="D3536" s="290">
        <v>0.315</v>
      </c>
      <c r="E3536" s="291">
        <v>86311</v>
      </c>
      <c r="F3536" s="291">
        <v>223311</v>
      </c>
      <c r="G3536" s="291">
        <v>9591</v>
      </c>
      <c r="H3536" s="291">
        <v>8905</v>
      </c>
      <c r="I3536" s="292" t="str">
        <f t="shared" si="52"/>
        <v>GooD</v>
      </c>
    </row>
    <row r="3537" spans="1:9" ht="15.7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75" thickBot="1">
      <c r="A3539" s="288" t="s">
        <v>637</v>
      </c>
      <c r="B3539" s="288">
        <v>138000</v>
      </c>
      <c r="C3539" s="289">
        <v>24</v>
      </c>
      <c r="D3539" s="290">
        <v>0.315</v>
      </c>
      <c r="E3539" s="291">
        <v>86941</v>
      </c>
      <c r="F3539" s="291">
        <v>224941</v>
      </c>
      <c r="G3539" s="291">
        <v>9661</v>
      </c>
      <c r="H3539" s="291">
        <v>8970</v>
      </c>
      <c r="I3539" s="292" t="str">
        <f t="shared" si="53"/>
        <v>GooD</v>
      </c>
    </row>
    <row r="3540" spans="1:9" ht="15.7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75" thickBot="1">
      <c r="A3542" s="288" t="s">
        <v>637</v>
      </c>
      <c r="B3542" s="288">
        <v>139000</v>
      </c>
      <c r="C3542" s="289">
        <v>24</v>
      </c>
      <c r="D3542" s="290">
        <v>0.315</v>
      </c>
      <c r="E3542" s="291">
        <v>87571</v>
      </c>
      <c r="F3542" s="291">
        <v>226571</v>
      </c>
      <c r="G3542" s="291">
        <v>9731</v>
      </c>
      <c r="H3542" s="291">
        <v>9035</v>
      </c>
      <c r="I3542" s="292" t="str">
        <f t="shared" si="53"/>
        <v>GooD</v>
      </c>
    </row>
    <row r="3543" spans="1:9" ht="15.7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75" thickBot="1">
      <c r="A3545" s="288" t="s">
        <v>637</v>
      </c>
      <c r="B3545" s="288">
        <v>140000</v>
      </c>
      <c r="C3545" s="289">
        <v>24</v>
      </c>
      <c r="D3545" s="290">
        <v>0.315</v>
      </c>
      <c r="E3545" s="291">
        <v>88201</v>
      </c>
      <c r="F3545" s="291">
        <v>228201</v>
      </c>
      <c r="G3545" s="291">
        <v>9801</v>
      </c>
      <c r="H3545" s="291">
        <v>9100</v>
      </c>
      <c r="I3545" s="292" t="str">
        <f t="shared" si="53"/>
        <v>GooD</v>
      </c>
    </row>
    <row r="3546" spans="1:9" ht="15.7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75" thickBot="1">
      <c r="A3548" s="288" t="s">
        <v>637</v>
      </c>
      <c r="B3548" s="288">
        <v>141000</v>
      </c>
      <c r="C3548" s="289">
        <v>24</v>
      </c>
      <c r="D3548" s="290">
        <v>0.315</v>
      </c>
      <c r="E3548" s="291">
        <v>88831</v>
      </c>
      <c r="F3548" s="291">
        <v>229831</v>
      </c>
      <c r="G3548" s="291">
        <v>9871</v>
      </c>
      <c r="H3548" s="291">
        <v>9165</v>
      </c>
      <c r="I3548" s="292" t="str">
        <f t="shared" si="53"/>
        <v>GooD</v>
      </c>
    </row>
    <row r="3549" spans="1:9" ht="15.7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75" thickBot="1">
      <c r="A3551" s="288" t="s">
        <v>637</v>
      </c>
      <c r="B3551" s="288">
        <v>142000</v>
      </c>
      <c r="C3551" s="289">
        <v>24</v>
      </c>
      <c r="D3551" s="290">
        <v>0.315</v>
      </c>
      <c r="E3551" s="291">
        <v>89461</v>
      </c>
      <c r="F3551" s="291">
        <v>231461</v>
      </c>
      <c r="G3551" s="291">
        <v>9941</v>
      </c>
      <c r="H3551" s="291">
        <v>9230</v>
      </c>
      <c r="I3551" s="292" t="str">
        <f t="shared" si="53"/>
        <v>GooD</v>
      </c>
    </row>
    <row r="3552" spans="1:9" ht="15.7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75" thickBot="1">
      <c r="A3554" s="288" t="s">
        <v>637</v>
      </c>
      <c r="B3554" s="288">
        <v>143000</v>
      </c>
      <c r="C3554" s="289">
        <v>24</v>
      </c>
      <c r="D3554" s="290">
        <v>0.315</v>
      </c>
      <c r="E3554" s="291">
        <v>90091</v>
      </c>
      <c r="F3554" s="291">
        <v>233091</v>
      </c>
      <c r="G3554" s="291">
        <v>10011</v>
      </c>
      <c r="H3554" s="291">
        <v>9295</v>
      </c>
      <c r="I3554" s="292" t="str">
        <f t="shared" si="53"/>
        <v>GooD</v>
      </c>
    </row>
    <row r="3555" spans="1:9" ht="15.7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75" thickBot="1">
      <c r="A3557" s="288" t="s">
        <v>637</v>
      </c>
      <c r="B3557" s="288">
        <v>144000</v>
      </c>
      <c r="C3557" s="289">
        <v>24</v>
      </c>
      <c r="D3557" s="290">
        <v>0.315</v>
      </c>
      <c r="E3557" s="291">
        <v>90721</v>
      </c>
      <c r="F3557" s="291">
        <v>234721</v>
      </c>
      <c r="G3557" s="291">
        <v>10081</v>
      </c>
      <c r="H3557" s="291">
        <v>9360</v>
      </c>
      <c r="I3557" s="292" t="str">
        <f t="shared" si="53"/>
        <v>GooD</v>
      </c>
    </row>
    <row r="3558" spans="1:9" ht="15.7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75" thickBot="1">
      <c r="A3560" s="288" t="s">
        <v>637</v>
      </c>
      <c r="B3560" s="288">
        <v>145000</v>
      </c>
      <c r="C3560" s="289">
        <v>24</v>
      </c>
      <c r="D3560" s="290">
        <v>0.315</v>
      </c>
      <c r="E3560" s="291">
        <v>91351</v>
      </c>
      <c r="F3560" s="291">
        <v>236351</v>
      </c>
      <c r="G3560" s="291">
        <v>10151</v>
      </c>
      <c r="H3560" s="291">
        <v>9425</v>
      </c>
      <c r="I3560" s="292" t="str">
        <f t="shared" si="53"/>
        <v>GooD</v>
      </c>
    </row>
    <row r="3561" spans="1:9" ht="15.7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75" thickBot="1">
      <c r="A3563" s="288" t="s">
        <v>637</v>
      </c>
      <c r="B3563" s="288">
        <v>146000</v>
      </c>
      <c r="C3563" s="289">
        <v>24</v>
      </c>
      <c r="D3563" s="290">
        <v>0.315</v>
      </c>
      <c r="E3563" s="291">
        <v>91981</v>
      </c>
      <c r="F3563" s="291">
        <v>237981</v>
      </c>
      <c r="G3563" s="291">
        <v>10221</v>
      </c>
      <c r="H3563" s="291">
        <v>9490</v>
      </c>
      <c r="I3563" s="292" t="str">
        <f t="shared" si="53"/>
        <v>GooD</v>
      </c>
    </row>
    <row r="3564" spans="1:9" ht="15.7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75" thickBot="1">
      <c r="A3566" s="288" t="s">
        <v>637</v>
      </c>
      <c r="B3566" s="288">
        <v>147000</v>
      </c>
      <c r="C3566" s="289">
        <v>24</v>
      </c>
      <c r="D3566" s="290">
        <v>0.315</v>
      </c>
      <c r="E3566" s="291">
        <v>92611</v>
      </c>
      <c r="F3566" s="291">
        <v>239611</v>
      </c>
      <c r="G3566" s="291">
        <v>10291</v>
      </c>
      <c r="H3566" s="291">
        <v>9555</v>
      </c>
      <c r="I3566" s="292" t="str">
        <f t="shared" si="53"/>
        <v>GooD</v>
      </c>
    </row>
    <row r="3567" spans="1:9" ht="15.7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75" thickBot="1">
      <c r="A3569" s="288" t="s">
        <v>637</v>
      </c>
      <c r="B3569" s="288">
        <v>148000</v>
      </c>
      <c r="C3569" s="289">
        <v>24</v>
      </c>
      <c r="D3569" s="290">
        <v>0.315</v>
      </c>
      <c r="E3569" s="291">
        <v>93241</v>
      </c>
      <c r="F3569" s="291">
        <v>241241</v>
      </c>
      <c r="G3569" s="291">
        <v>10361</v>
      </c>
      <c r="H3569" s="291">
        <v>9620</v>
      </c>
      <c r="I3569" s="292" t="str">
        <f t="shared" si="53"/>
        <v>GooD</v>
      </c>
    </row>
    <row r="3570" spans="1:9" ht="15.7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75" thickBot="1">
      <c r="A3572" s="288" t="s">
        <v>637</v>
      </c>
      <c r="B3572" s="288">
        <v>149000</v>
      </c>
      <c r="C3572" s="289">
        <v>24</v>
      </c>
      <c r="D3572" s="290">
        <v>0.315</v>
      </c>
      <c r="E3572" s="291">
        <v>93871</v>
      </c>
      <c r="F3572" s="291">
        <v>242871</v>
      </c>
      <c r="G3572" s="291">
        <v>10431</v>
      </c>
      <c r="H3572" s="291">
        <v>9685</v>
      </c>
      <c r="I3572" s="292" t="str">
        <f t="shared" si="53"/>
        <v>GooD</v>
      </c>
    </row>
    <row r="3573" spans="1:9" ht="15.7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75" thickBot="1">
      <c r="A3575" s="288" t="s">
        <v>637</v>
      </c>
      <c r="B3575" s="288">
        <v>150000</v>
      </c>
      <c r="C3575" s="289">
        <v>24</v>
      </c>
      <c r="D3575" s="290">
        <v>0.315</v>
      </c>
      <c r="E3575" s="291">
        <v>94501</v>
      </c>
      <c r="F3575" s="291">
        <v>244501</v>
      </c>
      <c r="G3575" s="291">
        <v>10501</v>
      </c>
      <c r="H3575" s="291">
        <v>9750</v>
      </c>
      <c r="I3575" s="292" t="str">
        <f t="shared" si="53"/>
        <v>GooD</v>
      </c>
    </row>
    <row r="3576" spans="1:9" ht="15.7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75" thickBot="1">
      <c r="A3578" s="288" t="s">
        <v>637</v>
      </c>
      <c r="B3578" s="288">
        <v>151000</v>
      </c>
      <c r="C3578" s="289">
        <v>24</v>
      </c>
      <c r="D3578" s="290">
        <v>0.315</v>
      </c>
      <c r="E3578" s="291">
        <v>95131</v>
      </c>
      <c r="F3578" s="291">
        <v>246131</v>
      </c>
      <c r="G3578" s="291">
        <v>10571</v>
      </c>
      <c r="H3578" s="291">
        <v>9815</v>
      </c>
      <c r="I3578" s="292" t="str">
        <f t="shared" si="53"/>
        <v>GooD</v>
      </c>
    </row>
    <row r="3579" spans="1:9" ht="15.7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75" thickBot="1">
      <c r="A3581" s="288" t="s">
        <v>637</v>
      </c>
      <c r="B3581" s="288">
        <v>152000</v>
      </c>
      <c r="C3581" s="289">
        <v>24</v>
      </c>
      <c r="D3581" s="290">
        <v>0.315</v>
      </c>
      <c r="E3581" s="291">
        <v>95761</v>
      </c>
      <c r="F3581" s="291">
        <v>247761</v>
      </c>
      <c r="G3581" s="291">
        <v>10641</v>
      </c>
      <c r="H3581" s="291">
        <v>9880</v>
      </c>
      <c r="I3581" s="292" t="str">
        <f t="shared" si="53"/>
        <v>GooD</v>
      </c>
    </row>
    <row r="3582" spans="1:9" ht="15.7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75" thickBot="1">
      <c r="A3584" s="288" t="s">
        <v>637</v>
      </c>
      <c r="B3584" s="288">
        <v>153000</v>
      </c>
      <c r="C3584" s="289">
        <v>24</v>
      </c>
      <c r="D3584" s="290">
        <v>0.315</v>
      </c>
      <c r="E3584" s="291">
        <v>96391</v>
      </c>
      <c r="F3584" s="291">
        <v>249391</v>
      </c>
      <c r="G3584" s="291">
        <v>10711</v>
      </c>
      <c r="H3584" s="291">
        <v>9945</v>
      </c>
      <c r="I3584" s="292" t="str">
        <f t="shared" si="53"/>
        <v>GooD</v>
      </c>
    </row>
    <row r="3585" spans="1:9" ht="15.7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75" thickBot="1">
      <c r="A3587" s="288" t="s">
        <v>637</v>
      </c>
      <c r="B3587" s="288">
        <v>154000</v>
      </c>
      <c r="C3587" s="289">
        <v>24</v>
      </c>
      <c r="D3587" s="290">
        <v>0.315</v>
      </c>
      <c r="E3587" s="291">
        <v>97021</v>
      </c>
      <c r="F3587" s="291">
        <v>251021</v>
      </c>
      <c r="G3587" s="291">
        <v>10781</v>
      </c>
      <c r="H3587" s="291">
        <v>10010</v>
      </c>
      <c r="I3587" s="292" t="str">
        <f t="shared" si="53"/>
        <v>GooD</v>
      </c>
    </row>
    <row r="3588" spans="1:9" ht="15.7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75" thickBot="1">
      <c r="A3590" s="288" t="s">
        <v>637</v>
      </c>
      <c r="B3590" s="288">
        <v>155000</v>
      </c>
      <c r="C3590" s="289">
        <v>24</v>
      </c>
      <c r="D3590" s="290">
        <v>0.315</v>
      </c>
      <c r="E3590" s="291">
        <v>97651</v>
      </c>
      <c r="F3590" s="291">
        <v>252651</v>
      </c>
      <c r="G3590" s="291">
        <v>10851</v>
      </c>
      <c r="H3590" s="291">
        <v>10075</v>
      </c>
      <c r="I3590" s="292" t="str">
        <f t="shared" si="53"/>
        <v>GooD</v>
      </c>
    </row>
    <row r="3591" spans="1:9" ht="15.7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75" thickBot="1">
      <c r="A3593" s="288" t="s">
        <v>637</v>
      </c>
      <c r="B3593" s="288">
        <v>156000</v>
      </c>
      <c r="C3593" s="289">
        <v>24</v>
      </c>
      <c r="D3593" s="290">
        <v>0.315</v>
      </c>
      <c r="E3593" s="291">
        <v>98281</v>
      </c>
      <c r="F3593" s="291">
        <v>254281</v>
      </c>
      <c r="G3593" s="291">
        <v>10921</v>
      </c>
      <c r="H3593" s="291">
        <v>10140</v>
      </c>
      <c r="I3593" s="292" t="str">
        <f t="shared" si="53"/>
        <v>GooD</v>
      </c>
    </row>
    <row r="3594" spans="1:9" ht="15.7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75" thickBot="1">
      <c r="A3596" s="288" t="s">
        <v>637</v>
      </c>
      <c r="B3596" s="288">
        <v>157000</v>
      </c>
      <c r="C3596" s="289">
        <v>24</v>
      </c>
      <c r="D3596" s="290">
        <v>0.315</v>
      </c>
      <c r="E3596" s="291">
        <v>98911</v>
      </c>
      <c r="F3596" s="291">
        <v>255911</v>
      </c>
      <c r="G3596" s="291">
        <v>10991</v>
      </c>
      <c r="H3596" s="291">
        <v>10205</v>
      </c>
      <c r="I3596" s="292" t="str">
        <f t="shared" si="53"/>
        <v>GooD</v>
      </c>
    </row>
    <row r="3597" spans="1:9" ht="15.7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75" thickBot="1">
      <c r="A3599" s="288" t="s">
        <v>637</v>
      </c>
      <c r="B3599" s="288">
        <v>158000</v>
      </c>
      <c r="C3599" s="289">
        <v>24</v>
      </c>
      <c r="D3599" s="290">
        <v>0.315</v>
      </c>
      <c r="E3599" s="291">
        <v>99541</v>
      </c>
      <c r="F3599" s="291">
        <v>257541</v>
      </c>
      <c r="G3599" s="291">
        <v>11061</v>
      </c>
      <c r="H3599" s="291">
        <v>10270</v>
      </c>
      <c r="I3599" s="292" t="str">
        <f t="shared" si="53"/>
        <v>GooD</v>
      </c>
    </row>
    <row r="3600" spans="1:9" ht="15.7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75" thickBot="1">
      <c r="A3602" s="288" t="s">
        <v>637</v>
      </c>
      <c r="B3602" s="288">
        <v>159000</v>
      </c>
      <c r="C3602" s="289">
        <v>24</v>
      </c>
      <c r="D3602" s="290">
        <v>0.315</v>
      </c>
      <c r="E3602" s="291">
        <v>100171</v>
      </c>
      <c r="F3602" s="291">
        <v>259171</v>
      </c>
      <c r="G3602" s="291">
        <v>11131</v>
      </c>
      <c r="H3602" s="291">
        <v>10335</v>
      </c>
      <c r="I3602" s="292" t="str">
        <f t="shared" si="54"/>
        <v>GooD</v>
      </c>
    </row>
    <row r="3603" spans="1:9" ht="15.7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75" thickBot="1">
      <c r="A3605" s="288" t="s">
        <v>637</v>
      </c>
      <c r="B3605" s="288">
        <v>160000</v>
      </c>
      <c r="C3605" s="289">
        <v>24</v>
      </c>
      <c r="D3605" s="290">
        <v>0.315</v>
      </c>
      <c r="E3605" s="291">
        <v>100801</v>
      </c>
      <c r="F3605" s="291">
        <v>260801</v>
      </c>
      <c r="G3605" s="291">
        <v>11201</v>
      </c>
      <c r="H3605" s="291">
        <v>10400</v>
      </c>
      <c r="I3605" s="292" t="str">
        <f t="shared" si="54"/>
        <v>GooD</v>
      </c>
    </row>
    <row r="3606" spans="1:9" ht="15.7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75" thickBot="1">
      <c r="A3608" s="288" t="s">
        <v>637</v>
      </c>
      <c r="B3608" s="288">
        <v>161000</v>
      </c>
      <c r="C3608" s="289">
        <v>24</v>
      </c>
      <c r="D3608" s="290">
        <v>0.315</v>
      </c>
      <c r="E3608" s="291">
        <v>101431</v>
      </c>
      <c r="F3608" s="291">
        <v>262431</v>
      </c>
      <c r="G3608" s="291">
        <v>11271</v>
      </c>
      <c r="H3608" s="291">
        <v>10465</v>
      </c>
      <c r="I3608" s="292" t="str">
        <f t="shared" si="54"/>
        <v>GooD</v>
      </c>
    </row>
    <row r="3609" spans="1:9" ht="15.7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75" thickBot="1">
      <c r="A3611" s="288" t="s">
        <v>637</v>
      </c>
      <c r="B3611" s="288">
        <v>162000</v>
      </c>
      <c r="C3611" s="289">
        <v>24</v>
      </c>
      <c r="D3611" s="290">
        <v>0.315</v>
      </c>
      <c r="E3611" s="291">
        <v>102061</v>
      </c>
      <c r="F3611" s="291">
        <v>264061</v>
      </c>
      <c r="G3611" s="291">
        <v>11341</v>
      </c>
      <c r="H3611" s="291">
        <v>10530</v>
      </c>
      <c r="I3611" s="292" t="str">
        <f t="shared" si="54"/>
        <v>GooD</v>
      </c>
    </row>
    <row r="3612" spans="1:9" ht="15.7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75" thickBot="1">
      <c r="A3614" s="288" t="s">
        <v>637</v>
      </c>
      <c r="B3614" s="288">
        <v>163000</v>
      </c>
      <c r="C3614" s="289">
        <v>24</v>
      </c>
      <c r="D3614" s="290">
        <v>0.315</v>
      </c>
      <c r="E3614" s="291">
        <v>102691</v>
      </c>
      <c r="F3614" s="291">
        <v>265691</v>
      </c>
      <c r="G3614" s="291">
        <v>11411</v>
      </c>
      <c r="H3614" s="291">
        <v>10595</v>
      </c>
      <c r="I3614" s="292" t="str">
        <f t="shared" si="54"/>
        <v>GooD</v>
      </c>
    </row>
    <row r="3615" spans="1:9" ht="15.7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75" thickBot="1">
      <c r="A3617" s="288" t="s">
        <v>637</v>
      </c>
      <c r="B3617" s="288">
        <v>164000</v>
      </c>
      <c r="C3617" s="289">
        <v>24</v>
      </c>
      <c r="D3617" s="290">
        <v>0.315</v>
      </c>
      <c r="E3617" s="291">
        <v>103321</v>
      </c>
      <c r="F3617" s="291">
        <v>267321</v>
      </c>
      <c r="G3617" s="291">
        <v>11481</v>
      </c>
      <c r="H3617" s="291">
        <v>10660</v>
      </c>
      <c r="I3617" s="292" t="str">
        <f t="shared" si="54"/>
        <v>GooD</v>
      </c>
    </row>
    <row r="3618" spans="1:9" ht="15.7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75" thickBot="1">
      <c r="A3620" s="288" t="s">
        <v>637</v>
      </c>
      <c r="B3620" s="288">
        <v>165000</v>
      </c>
      <c r="C3620" s="289">
        <v>24</v>
      </c>
      <c r="D3620" s="290">
        <v>0.315</v>
      </c>
      <c r="E3620" s="291">
        <v>103951</v>
      </c>
      <c r="F3620" s="291">
        <v>268951</v>
      </c>
      <c r="G3620" s="291">
        <v>11551</v>
      </c>
      <c r="H3620" s="291">
        <v>10725</v>
      </c>
      <c r="I3620" s="292" t="str">
        <f t="shared" si="54"/>
        <v>GooD</v>
      </c>
    </row>
    <row r="3621" spans="1:9" ht="15.7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75" thickBot="1">
      <c r="A3623" s="288" t="s">
        <v>637</v>
      </c>
      <c r="B3623" s="288">
        <v>166000</v>
      </c>
      <c r="C3623" s="289">
        <v>24</v>
      </c>
      <c r="D3623" s="290">
        <v>0.315</v>
      </c>
      <c r="E3623" s="291">
        <v>104581</v>
      </c>
      <c r="F3623" s="291">
        <v>270581</v>
      </c>
      <c r="G3623" s="291">
        <v>11621</v>
      </c>
      <c r="H3623" s="291">
        <v>10790</v>
      </c>
      <c r="I3623" s="292" t="str">
        <f t="shared" si="54"/>
        <v>GooD</v>
      </c>
    </row>
    <row r="3624" spans="1:9" ht="15.7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75" thickBot="1">
      <c r="A3626" s="288" t="s">
        <v>637</v>
      </c>
      <c r="B3626" s="288">
        <v>167000</v>
      </c>
      <c r="C3626" s="289">
        <v>24</v>
      </c>
      <c r="D3626" s="290">
        <v>0.315</v>
      </c>
      <c r="E3626" s="291">
        <v>105211</v>
      </c>
      <c r="F3626" s="291">
        <v>272211</v>
      </c>
      <c r="G3626" s="291">
        <v>11691</v>
      </c>
      <c r="H3626" s="291">
        <v>10855</v>
      </c>
      <c r="I3626" s="292" t="str">
        <f t="shared" si="54"/>
        <v>GooD</v>
      </c>
    </row>
    <row r="3627" spans="1:9" ht="15.7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75" thickBot="1">
      <c r="A3629" s="288" t="s">
        <v>637</v>
      </c>
      <c r="B3629" s="288">
        <v>168000</v>
      </c>
      <c r="C3629" s="289">
        <v>24</v>
      </c>
      <c r="D3629" s="290">
        <v>0.315</v>
      </c>
      <c r="E3629" s="291">
        <v>105841</v>
      </c>
      <c r="F3629" s="291">
        <v>273841</v>
      </c>
      <c r="G3629" s="291">
        <v>11761</v>
      </c>
      <c r="H3629" s="291">
        <v>10920</v>
      </c>
      <c r="I3629" s="292" t="str">
        <f t="shared" si="54"/>
        <v>GooD</v>
      </c>
    </row>
    <row r="3630" spans="1:9" ht="15.7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75" thickBot="1">
      <c r="A3632" s="288" t="s">
        <v>637</v>
      </c>
      <c r="B3632" s="288">
        <v>169000</v>
      </c>
      <c r="C3632" s="289">
        <v>24</v>
      </c>
      <c r="D3632" s="290">
        <v>0.315</v>
      </c>
      <c r="E3632" s="291">
        <v>106471</v>
      </c>
      <c r="F3632" s="291">
        <v>275471</v>
      </c>
      <c r="G3632" s="291">
        <v>11831</v>
      </c>
      <c r="H3632" s="291">
        <v>10985</v>
      </c>
      <c r="I3632" s="292" t="str">
        <f t="shared" si="54"/>
        <v>GooD</v>
      </c>
    </row>
    <row r="3633" spans="1:9" ht="15.7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75" thickBot="1">
      <c r="A3635" s="288" t="s">
        <v>637</v>
      </c>
      <c r="B3635" s="288">
        <v>170000</v>
      </c>
      <c r="C3635" s="289">
        <v>24</v>
      </c>
      <c r="D3635" s="290">
        <v>0.315</v>
      </c>
      <c r="E3635" s="291">
        <v>107101</v>
      </c>
      <c r="F3635" s="291">
        <v>277101</v>
      </c>
      <c r="G3635" s="291">
        <v>11901</v>
      </c>
      <c r="H3635" s="291">
        <v>11050</v>
      </c>
      <c r="I3635" s="292" t="str">
        <f t="shared" si="54"/>
        <v>GooD</v>
      </c>
    </row>
    <row r="3636" spans="1:9" ht="15.7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75" thickBot="1">
      <c r="A3638" s="288" t="s">
        <v>637</v>
      </c>
      <c r="B3638" s="288">
        <v>171000</v>
      </c>
      <c r="C3638" s="289">
        <v>24</v>
      </c>
      <c r="D3638" s="290">
        <v>0.315</v>
      </c>
      <c r="E3638" s="291">
        <v>107731</v>
      </c>
      <c r="F3638" s="291">
        <v>278731</v>
      </c>
      <c r="G3638" s="291">
        <v>11971</v>
      </c>
      <c r="H3638" s="291">
        <v>11115</v>
      </c>
      <c r="I3638" s="292" t="str">
        <f t="shared" si="54"/>
        <v>GooD</v>
      </c>
    </row>
    <row r="3639" spans="1:9" ht="15.7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75" thickBot="1">
      <c r="A3641" s="288" t="s">
        <v>637</v>
      </c>
      <c r="B3641" s="288">
        <v>172000</v>
      </c>
      <c r="C3641" s="289">
        <v>24</v>
      </c>
      <c r="D3641" s="290">
        <v>0.315</v>
      </c>
      <c r="E3641" s="291">
        <v>108361</v>
      </c>
      <c r="F3641" s="291">
        <v>280361</v>
      </c>
      <c r="G3641" s="291">
        <v>12041</v>
      </c>
      <c r="H3641" s="291">
        <v>11180</v>
      </c>
      <c r="I3641" s="292" t="str">
        <f t="shared" si="54"/>
        <v>GooD</v>
      </c>
    </row>
    <row r="3642" spans="1:9" ht="15.7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75" thickBot="1">
      <c r="A3644" s="288" t="s">
        <v>637</v>
      </c>
      <c r="B3644" s="288">
        <v>173000</v>
      </c>
      <c r="C3644" s="289">
        <v>24</v>
      </c>
      <c r="D3644" s="290">
        <v>0.315</v>
      </c>
      <c r="E3644" s="291">
        <v>108991</v>
      </c>
      <c r="F3644" s="291">
        <v>281991</v>
      </c>
      <c r="G3644" s="291">
        <v>12111</v>
      </c>
      <c r="H3644" s="291">
        <v>11245</v>
      </c>
      <c r="I3644" s="292" t="str">
        <f t="shared" si="54"/>
        <v>GooD</v>
      </c>
    </row>
    <row r="3645" spans="1:9" ht="15.7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75" thickBot="1">
      <c r="A3647" s="288" t="s">
        <v>637</v>
      </c>
      <c r="B3647" s="288">
        <v>174000</v>
      </c>
      <c r="C3647" s="289">
        <v>24</v>
      </c>
      <c r="D3647" s="290">
        <v>0.315</v>
      </c>
      <c r="E3647" s="291">
        <v>109621</v>
      </c>
      <c r="F3647" s="291">
        <v>283621</v>
      </c>
      <c r="G3647" s="291">
        <v>12181</v>
      </c>
      <c r="H3647" s="291">
        <v>11310</v>
      </c>
      <c r="I3647" s="292" t="str">
        <f t="shared" si="54"/>
        <v>GooD</v>
      </c>
    </row>
    <row r="3648" spans="1:9" ht="15.7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75" thickBot="1">
      <c r="A3650" s="288" t="s">
        <v>637</v>
      </c>
      <c r="B3650" s="288">
        <v>175000</v>
      </c>
      <c r="C3650" s="289">
        <v>24</v>
      </c>
      <c r="D3650" s="290">
        <v>0.315</v>
      </c>
      <c r="E3650" s="291">
        <v>110251</v>
      </c>
      <c r="F3650" s="291">
        <v>285251</v>
      </c>
      <c r="G3650" s="291">
        <v>12251</v>
      </c>
      <c r="H3650" s="291">
        <v>11375</v>
      </c>
      <c r="I3650" s="292" t="str">
        <f t="shared" si="54"/>
        <v>GooD</v>
      </c>
    </row>
    <row r="3651" spans="1:9" ht="15.7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75" thickBot="1">
      <c r="A3653" s="288" t="s">
        <v>637</v>
      </c>
      <c r="B3653" s="288">
        <v>176000</v>
      </c>
      <c r="C3653" s="289">
        <v>24</v>
      </c>
      <c r="D3653" s="290">
        <v>0.315</v>
      </c>
      <c r="E3653" s="291">
        <v>110881</v>
      </c>
      <c r="F3653" s="291">
        <v>286881</v>
      </c>
      <c r="G3653" s="291">
        <v>12321</v>
      </c>
      <c r="H3653" s="291">
        <v>11440</v>
      </c>
      <c r="I3653" s="292" t="str">
        <f t="shared" si="54"/>
        <v>GooD</v>
      </c>
    </row>
    <row r="3654" spans="1:9" ht="15.7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75" thickBot="1">
      <c r="A3656" s="288" t="s">
        <v>637</v>
      </c>
      <c r="B3656" s="288">
        <v>177000</v>
      </c>
      <c r="C3656" s="289">
        <v>24</v>
      </c>
      <c r="D3656" s="290">
        <v>0.315</v>
      </c>
      <c r="E3656" s="291">
        <v>111511</v>
      </c>
      <c r="F3656" s="291">
        <v>288511</v>
      </c>
      <c r="G3656" s="291">
        <v>12391</v>
      </c>
      <c r="H3656" s="291">
        <v>11505</v>
      </c>
      <c r="I3656" s="292" t="str">
        <f t="shared" si="54"/>
        <v>GooD</v>
      </c>
    </row>
    <row r="3657" spans="1:9" ht="15.7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75" thickBot="1">
      <c r="A3659" s="293" t="s">
        <v>637</v>
      </c>
      <c r="B3659" s="293">
        <v>178000</v>
      </c>
      <c r="C3659" s="294">
        <v>24</v>
      </c>
      <c r="D3659" s="295">
        <v>0.315</v>
      </c>
      <c r="E3659" s="296">
        <v>112141</v>
      </c>
      <c r="F3659" s="296">
        <v>290141</v>
      </c>
      <c r="G3659" s="296">
        <v>12461</v>
      </c>
      <c r="H3659" s="296">
        <v>11570</v>
      </c>
      <c r="I3659" s="292" t="str">
        <f t="shared" si="54"/>
        <v>GooD</v>
      </c>
    </row>
    <row r="3660" spans="1:9" ht="15.7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64" sqref="G64:H64"/>
    </sheetView>
  </sheetViews>
  <sheetFormatPr defaultColWidth="8.85546875" defaultRowHeight="15"/>
  <cols>
    <col min="1" max="1" width="1.85546875" style="310" customWidth="1"/>
    <col min="2" max="2" width="4" style="310" customWidth="1"/>
    <col min="3" max="3" width="5.28515625" style="310" customWidth="1"/>
    <col min="4" max="4" width="1" style="310" customWidth="1"/>
    <col min="5" max="5" width="2.5703125" style="310" customWidth="1"/>
    <col min="6" max="6" width="22.28515625" style="310" customWidth="1"/>
    <col min="7" max="7" width="9.7109375" style="310" customWidth="1"/>
    <col min="8" max="8" width="7.85546875" style="310" customWidth="1"/>
    <col min="9" max="9" width="13" style="310" customWidth="1"/>
    <col min="10" max="10" width="15.5703125" style="310" customWidth="1"/>
    <col min="11" max="11" width="16.5703125" style="310" customWidth="1"/>
    <col min="12" max="12" width="33.85546875" style="310" customWidth="1"/>
    <col min="13" max="13" width="3.7109375" style="310" customWidth="1"/>
    <col min="14" max="16384" width="8.85546875" style="310"/>
  </cols>
  <sheetData>
    <row r="1" spans="2:12" ht="15.7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45"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0.25">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75">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75">
      <c r="B13" s="317" t="s">
        <v>659</v>
      </c>
      <c r="C13" s="318"/>
      <c r="D13" s="318"/>
      <c r="E13" s="309"/>
      <c r="F13" s="722" t="e">
        <f>عقد!C10</f>
        <v>#N/A</v>
      </c>
      <c r="G13" s="723"/>
      <c r="H13" s="320"/>
      <c r="I13" s="321" t="s">
        <v>660</v>
      </c>
      <c r="J13" s="724">
        <f>عقد!M1</f>
        <v>0</v>
      </c>
      <c r="K13" s="725"/>
      <c r="L13" s="315"/>
    </row>
    <row r="14" spans="2:12" ht="15" hidden="1" customHeight="1">
      <c r="B14" s="317"/>
      <c r="C14" s="318"/>
      <c r="D14" s="318"/>
      <c r="E14" s="309"/>
      <c r="F14" s="320"/>
      <c r="G14" s="320"/>
      <c r="H14" s="320"/>
      <c r="I14" s="320"/>
      <c r="J14" s="320"/>
      <c r="K14" s="320"/>
      <c r="L14" s="315"/>
    </row>
    <row r="15" spans="2:12" ht="27.75">
      <c r="B15" s="322" t="s">
        <v>661</v>
      </c>
      <c r="C15" s="323"/>
      <c r="D15" s="323"/>
      <c r="E15" s="309"/>
      <c r="F15" s="720" t="e">
        <f>عقد!C11</f>
        <v>#N/A</v>
      </c>
      <c r="G15" s="720"/>
      <c r="H15" s="720"/>
      <c r="I15" s="720"/>
      <c r="J15" s="720"/>
      <c r="K15" s="720"/>
      <c r="L15" s="315"/>
    </row>
    <row r="16" spans="2:12" ht="15" hidden="1" customHeight="1">
      <c r="B16" s="317"/>
      <c r="C16" s="318"/>
      <c r="D16" s="318"/>
      <c r="E16" s="309"/>
      <c r="F16" s="320"/>
      <c r="G16" s="320"/>
      <c r="H16" s="320"/>
      <c r="I16" s="320"/>
      <c r="J16" s="320"/>
      <c r="K16" s="320"/>
      <c r="L16" s="315"/>
    </row>
    <row r="17" spans="2:12" ht="27.75">
      <c r="B17" s="322" t="s">
        <v>662</v>
      </c>
      <c r="C17" s="323"/>
      <c r="D17" s="323"/>
      <c r="E17" s="309"/>
      <c r="F17" s="721" t="str">
        <f>عقد!L14</f>
        <v/>
      </c>
      <c r="G17" s="721"/>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75">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75">
      <c r="B26" s="314"/>
      <c r="C26" s="334"/>
      <c r="D26" s="335"/>
      <c r="E26" s="335" t="s">
        <v>668</v>
      </c>
      <c r="F26" s="309"/>
      <c r="G26" s="335"/>
      <c r="H26" s="335"/>
      <c r="I26" s="335"/>
      <c r="J26" s="335"/>
      <c r="K26" s="335"/>
      <c r="L26" s="336"/>
    </row>
    <row r="27" spans="2:12" ht="27.75">
      <c r="B27" s="337"/>
      <c r="C27" s="323"/>
      <c r="D27" s="323"/>
      <c r="E27" s="323" t="s">
        <v>669</v>
      </c>
      <c r="F27" s="309"/>
      <c r="G27" s="323"/>
      <c r="H27" s="323"/>
      <c r="I27" s="323"/>
      <c r="J27" s="323"/>
      <c r="K27" s="323"/>
      <c r="L27" s="329"/>
    </row>
    <row r="28" spans="2:12" ht="27.75" hidden="1">
      <c r="B28" s="337"/>
      <c r="C28" s="323"/>
      <c r="D28" s="323"/>
      <c r="E28" s="323"/>
      <c r="F28" s="309"/>
      <c r="G28" s="323"/>
      <c r="H28" s="323"/>
      <c r="I28" s="323"/>
      <c r="J28" s="323"/>
      <c r="K28" s="323"/>
      <c r="L28" s="329"/>
    </row>
    <row r="29" spans="2:12" ht="27.75">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75">
      <c r="B31" s="317" t="s">
        <v>659</v>
      </c>
      <c r="C31" s="318"/>
      <c r="D31" s="318"/>
      <c r="E31" s="309"/>
      <c r="F31" s="722" t="e">
        <f>الكفالة!L4</f>
        <v>#N/A</v>
      </c>
      <c r="G31" s="723"/>
      <c r="H31" s="320"/>
      <c r="I31" s="321"/>
      <c r="J31" s="722"/>
      <c r="K31" s="723"/>
      <c r="L31" s="315"/>
    </row>
    <row r="32" spans="2:12" ht="15" hidden="1" customHeight="1">
      <c r="B32" s="319"/>
      <c r="C32" s="318"/>
      <c r="D32" s="318"/>
      <c r="E32" s="309"/>
      <c r="F32" s="320"/>
      <c r="G32" s="320"/>
      <c r="H32" s="320"/>
      <c r="I32" s="320"/>
      <c r="J32" s="320"/>
      <c r="K32" s="320"/>
      <c r="L32" s="315"/>
    </row>
    <row r="33" spans="2:12" ht="27.75">
      <c r="B33" s="322" t="s">
        <v>661</v>
      </c>
      <c r="C33" s="323"/>
      <c r="D33" s="323"/>
      <c r="E33" s="309"/>
      <c r="F33" s="720" t="e">
        <f>الكفالة!E6</f>
        <v>#N/A</v>
      </c>
      <c r="G33" s="720"/>
      <c r="H33" s="720"/>
      <c r="I33" s="720"/>
      <c r="J33" s="720"/>
      <c r="K33" s="720"/>
      <c r="L33" s="315"/>
    </row>
    <row r="34" spans="2:12" ht="15" hidden="1" customHeight="1">
      <c r="B34" s="319"/>
      <c r="C34" s="318"/>
      <c r="D34" s="318"/>
      <c r="E34" s="309"/>
      <c r="F34" s="320"/>
      <c r="G34" s="320"/>
      <c r="H34" s="320"/>
      <c r="I34" s="320"/>
      <c r="J34" s="320"/>
      <c r="K34" s="320"/>
      <c r="L34" s="315"/>
    </row>
    <row r="35" spans="2:12" ht="27.75">
      <c r="B35" s="322" t="s">
        <v>662</v>
      </c>
      <c r="C35" s="323"/>
      <c r="D35" s="323"/>
      <c r="E35" s="309"/>
      <c r="F35" s="721">
        <f>الكفالة!L5</f>
        <v>0</v>
      </c>
      <c r="G35" s="721"/>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75">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75">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75">
      <c r="B44" s="314"/>
      <c r="C44" s="334"/>
      <c r="D44" s="335"/>
      <c r="E44" s="335" t="s">
        <v>676</v>
      </c>
      <c r="F44" s="309"/>
      <c r="G44" s="335"/>
      <c r="H44" s="335"/>
      <c r="I44" s="335"/>
      <c r="J44" s="335"/>
      <c r="K44" s="335"/>
      <c r="L44" s="336"/>
    </row>
    <row r="45" spans="2:12" ht="27.75">
      <c r="B45" s="337"/>
      <c r="C45" s="323"/>
      <c r="D45" s="323"/>
      <c r="E45" s="323" t="s">
        <v>677</v>
      </c>
      <c r="F45" s="309"/>
      <c r="G45" s="323"/>
      <c r="H45" s="323"/>
      <c r="I45" s="323"/>
      <c r="J45" s="323"/>
      <c r="K45" s="323"/>
      <c r="L45" s="329"/>
    </row>
    <row r="46" spans="2:12" ht="27.75" hidden="1">
      <c r="B46" s="337"/>
      <c r="C46" s="323"/>
      <c r="D46" s="323"/>
      <c r="E46" s="323"/>
      <c r="F46" s="309"/>
      <c r="G46" s="323"/>
      <c r="H46" s="323"/>
      <c r="I46" s="323"/>
      <c r="J46" s="323"/>
      <c r="K46" s="323"/>
      <c r="L46" s="329"/>
    </row>
    <row r="47" spans="2:12" ht="27.75">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75">
      <c r="B49" s="317" t="s">
        <v>659</v>
      </c>
      <c r="C49" s="318"/>
      <c r="D49" s="318"/>
      <c r="E49" s="309"/>
      <c r="F49" s="722" t="str">
        <f>الكفالة!L18</f>
        <v/>
      </c>
      <c r="G49" s="723"/>
      <c r="H49" s="320"/>
      <c r="I49" s="321"/>
      <c r="J49" s="722"/>
      <c r="K49" s="723"/>
      <c r="L49" s="315"/>
    </row>
    <row r="50" spans="2:12" ht="15" hidden="1" customHeight="1">
      <c r="B50" s="319"/>
      <c r="C50" s="318"/>
      <c r="D50" s="318"/>
      <c r="E50" s="309"/>
      <c r="F50" s="320"/>
      <c r="G50" s="320"/>
      <c r="H50" s="320"/>
      <c r="I50" s="320"/>
      <c r="J50" s="320"/>
      <c r="K50" s="320"/>
      <c r="L50" s="315"/>
    </row>
    <row r="51" spans="2:12" ht="27.75">
      <c r="B51" s="322" t="s">
        <v>661</v>
      </c>
      <c r="C51" s="323"/>
      <c r="D51" s="323"/>
      <c r="E51" s="309"/>
      <c r="F51" s="720" t="str">
        <f>الكفالة!E20</f>
        <v/>
      </c>
      <c r="G51" s="720"/>
      <c r="H51" s="720"/>
      <c r="I51" s="720"/>
      <c r="J51" s="720"/>
      <c r="K51" s="720"/>
      <c r="L51" s="315"/>
    </row>
    <row r="52" spans="2:12" ht="15" hidden="1" customHeight="1">
      <c r="B52" s="319"/>
      <c r="C52" s="318"/>
      <c r="D52" s="318"/>
      <c r="E52" s="309"/>
      <c r="F52" s="320"/>
      <c r="G52" s="320"/>
      <c r="H52" s="320"/>
      <c r="I52" s="320"/>
      <c r="J52" s="320"/>
      <c r="K52" s="320"/>
      <c r="L52" s="315"/>
    </row>
    <row r="53" spans="2:12" ht="27.75">
      <c r="B53" s="322" t="s">
        <v>662</v>
      </c>
      <c r="C53" s="323"/>
      <c r="D53" s="323"/>
      <c r="E53" s="309"/>
      <c r="F53" s="721">
        <f>الكفالة!L19</f>
        <v>0</v>
      </c>
      <c r="G53" s="721"/>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15" customHeight="1">
      <c r="B56" s="327" t="s">
        <v>664</v>
      </c>
      <c r="C56" s="328"/>
      <c r="D56" s="328"/>
      <c r="E56" s="323"/>
      <c r="F56" s="323"/>
      <c r="G56" s="323"/>
      <c r="H56" s="323"/>
      <c r="I56" s="323"/>
      <c r="J56" s="323"/>
      <c r="K56" s="323"/>
      <c r="L56" s="329"/>
    </row>
    <row r="57" spans="2:12" ht="27.75">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75">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75">
      <c r="B61" s="314"/>
      <c r="C61" s="334"/>
      <c r="D61" s="335"/>
      <c r="E61" s="335" t="s">
        <v>679</v>
      </c>
      <c r="F61" s="309"/>
      <c r="G61" s="335"/>
      <c r="H61" s="335"/>
      <c r="I61" s="335"/>
      <c r="J61" s="335"/>
      <c r="K61" s="335"/>
      <c r="L61" s="336"/>
    </row>
    <row r="62" spans="2:12" ht="27.75">
      <c r="B62" s="337"/>
      <c r="C62" s="323"/>
      <c r="D62" s="323"/>
      <c r="E62" s="323" t="s">
        <v>669</v>
      </c>
      <c r="F62" s="309"/>
      <c r="G62" s="323"/>
      <c r="H62" s="323"/>
      <c r="I62" s="323"/>
      <c r="J62" s="323"/>
      <c r="K62" s="323"/>
      <c r="L62" s="329"/>
    </row>
    <row r="63" spans="2:12" ht="27.75" hidden="1">
      <c r="B63" s="337"/>
      <c r="C63" s="323"/>
      <c r="D63" s="323"/>
      <c r="E63" s="323"/>
      <c r="F63" s="309"/>
      <c r="G63" s="323"/>
      <c r="H63" s="323"/>
      <c r="I63" s="323"/>
      <c r="J63" s="323"/>
      <c r="K63" s="323"/>
      <c r="L63" s="329"/>
    </row>
    <row r="64" spans="2:12" ht="32.25" customHeight="1">
      <c r="B64" s="338"/>
      <c r="C64" s="339"/>
      <c r="D64" s="339"/>
      <c r="E64" s="309"/>
      <c r="F64" s="339" t="s">
        <v>680</v>
      </c>
      <c r="G64" s="719"/>
      <c r="H64" s="719"/>
      <c r="I64" s="309"/>
      <c r="J64" s="339" t="s">
        <v>681</v>
      </c>
      <c r="K64" s="309"/>
      <c r="L64" s="315"/>
    </row>
    <row r="65" spans="2:12" ht="31.5" hidden="1" customHeight="1">
      <c r="B65" s="319"/>
      <c r="C65" s="318"/>
      <c r="D65" s="318"/>
      <c r="E65" s="323"/>
      <c r="I65" s="309"/>
      <c r="J65" s="309"/>
      <c r="K65" s="309"/>
      <c r="L65" s="315"/>
    </row>
    <row r="66" spans="2:12" ht="27.75">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75">
      <c r="B68" s="314"/>
      <c r="C68" s="309"/>
      <c r="D68" s="309"/>
      <c r="E68" s="309"/>
      <c r="F68" s="309"/>
      <c r="G68" s="309"/>
      <c r="H68" s="309"/>
      <c r="I68" s="309"/>
      <c r="K68" s="323" t="s">
        <v>682</v>
      </c>
      <c r="L68" s="342"/>
    </row>
    <row r="69" spans="2:12" ht="27.75"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75" thickBot="1">
      <c r="B72" s="344"/>
      <c r="C72" s="345"/>
      <c r="D72" s="345"/>
      <c r="E72" s="345"/>
      <c r="F72" s="345"/>
      <c r="G72" s="345"/>
      <c r="H72" s="345"/>
      <c r="I72" s="345"/>
      <c r="J72" s="345"/>
      <c r="K72" s="345"/>
      <c r="L72" s="346"/>
    </row>
    <row r="73" spans="2:12" ht="15.7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5546875" defaultRowHeight="17.45" customHeight="1"/>
  <cols>
    <col min="1" max="1" width="11.140625" style="162" customWidth="1"/>
    <col min="2" max="4" width="11.7109375" style="162" customWidth="1"/>
    <col min="5" max="5" width="8.85546875" style="162"/>
    <col min="6" max="6" width="14" style="162" customWidth="1"/>
    <col min="7" max="7" width="11.5703125" style="162" customWidth="1"/>
    <col min="8" max="8" width="13.28515625" style="162" customWidth="1"/>
    <col min="9" max="11" width="8.85546875" style="162"/>
    <col min="12" max="12" width="11.42578125" style="162" bestFit="1" customWidth="1"/>
    <col min="13" max="13" width="10.42578125" style="162" bestFit="1" customWidth="1"/>
    <col min="14" max="15" width="8.85546875" style="162"/>
    <col min="16" max="16" width="12.5703125" style="162" customWidth="1"/>
    <col min="17" max="16384" width="8.85546875" style="162"/>
  </cols>
  <sheetData>
    <row r="1" spans="1:16" s="151" customFormat="1" ht="5.45" customHeight="1"/>
    <row r="2" spans="1:16" s="151" customFormat="1" ht="5.45" customHeight="1">
      <c r="B2" s="732"/>
      <c r="C2" s="732"/>
      <c r="E2" s="152"/>
    </row>
    <row r="3" spans="1:16" s="151" customFormat="1" ht="5.45" customHeight="1">
      <c r="B3" s="733"/>
      <c r="C3" s="733"/>
    </row>
    <row r="4" spans="1:16" s="151" customFormat="1" ht="17.45" customHeight="1">
      <c r="A4" s="734" t="s">
        <v>207</v>
      </c>
      <c r="B4" s="735"/>
      <c r="C4" s="735"/>
      <c r="D4" s="735"/>
      <c r="E4" s="735"/>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45" customHeight="1">
      <c r="A5" s="736" t="s">
        <v>78</v>
      </c>
      <c r="B5" s="737"/>
      <c r="C5" s="737"/>
      <c r="D5" s="737"/>
      <c r="E5" s="737"/>
      <c r="F5" s="737"/>
      <c r="G5" s="737"/>
      <c r="H5" s="738"/>
    </row>
    <row r="6" spans="1:16" s="151" customFormat="1" ht="17.45" customHeight="1">
      <c r="A6" s="728" t="s">
        <v>79</v>
      </c>
      <c r="B6" s="728"/>
      <c r="C6" s="728"/>
      <c r="D6" s="728"/>
      <c r="E6" s="728"/>
      <c r="F6" s="392" t="s">
        <v>210</v>
      </c>
      <c r="G6" s="739"/>
      <c r="H6" s="739"/>
    </row>
    <row r="7" spans="1:16" s="151" customFormat="1" ht="17.45" customHeight="1">
      <c r="A7" s="726" t="s">
        <v>80</v>
      </c>
      <c r="B7" s="726"/>
      <c r="C7" s="726"/>
      <c r="D7" s="726"/>
      <c r="E7" s="726"/>
      <c r="F7" s="727" t="s">
        <v>81</v>
      </c>
      <c r="G7" s="727"/>
      <c r="H7" s="727"/>
    </row>
    <row r="8" spans="1:16" s="151" customFormat="1" ht="17.45" customHeight="1">
      <c r="A8" s="728" t="s">
        <v>215</v>
      </c>
      <c r="B8" s="728"/>
      <c r="C8" s="728"/>
      <c r="D8" s="728"/>
      <c r="E8" s="728"/>
      <c r="F8" s="414" t="e">
        <f>INDEX(تفصيلي!V6:V205,MATCH('افصاح-مواعيد'!J4,تفصيلي!B6:B205,0))</f>
        <v>#N/A</v>
      </c>
      <c r="G8" s="167" t="s">
        <v>83</v>
      </c>
      <c r="H8" s="392" t="s">
        <v>84</v>
      </c>
    </row>
    <row r="9" spans="1:16" s="151" customFormat="1" ht="17.45" customHeight="1">
      <c r="A9" s="729" t="s">
        <v>225</v>
      </c>
      <c r="B9" s="730"/>
      <c r="C9" s="730"/>
      <c r="D9" s="730"/>
      <c r="E9" s="731"/>
      <c r="F9" s="415" t="e">
        <f>F8-F10</f>
        <v>#N/A</v>
      </c>
      <c r="G9" s="169" t="s">
        <v>83</v>
      </c>
      <c r="H9" s="393"/>
      <c r="L9" s="740" t="s">
        <v>697</v>
      </c>
      <c r="M9" s="740"/>
      <c r="N9" s="740"/>
      <c r="O9" s="416"/>
    </row>
    <row r="10" spans="1:16" s="151" customFormat="1" ht="17.45" customHeight="1">
      <c r="A10" s="729" t="s">
        <v>224</v>
      </c>
      <c r="B10" s="730"/>
      <c r="C10" s="730"/>
      <c r="D10" s="730"/>
      <c r="E10" s="731"/>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45" customHeight="1">
      <c r="A11" s="742" t="s">
        <v>89</v>
      </c>
      <c r="B11" s="743"/>
      <c r="C11" s="743"/>
      <c r="D11" s="743"/>
      <c r="E11" s="743"/>
      <c r="F11" s="743"/>
      <c r="G11" s="743"/>
      <c r="H11" s="744"/>
      <c r="L11" s="440">
        <v>6000</v>
      </c>
      <c r="M11" s="440">
        <v>14000</v>
      </c>
      <c r="N11" s="441" t="s">
        <v>702</v>
      </c>
      <c r="O11" s="440" t="s">
        <v>703</v>
      </c>
      <c r="P11" s="447">
        <v>0.03</v>
      </c>
    </row>
    <row r="12" spans="1:16" s="151" customFormat="1" ht="17.45" customHeight="1">
      <c r="A12" s="726" t="s">
        <v>90</v>
      </c>
      <c r="B12" s="726"/>
      <c r="C12" s="726"/>
      <c r="D12" s="726"/>
      <c r="E12" s="726"/>
      <c r="F12" s="726"/>
      <c r="G12" s="153"/>
      <c r="H12" s="745"/>
      <c r="L12" s="440">
        <v>14001</v>
      </c>
      <c r="M12" s="440">
        <v>50000</v>
      </c>
      <c r="N12" s="441" t="s">
        <v>704</v>
      </c>
      <c r="O12" s="440" t="s">
        <v>705</v>
      </c>
      <c r="P12" s="447">
        <v>3.5000000000000003E-2</v>
      </c>
    </row>
    <row r="13" spans="1:16" s="151" customFormat="1" ht="17.45" customHeight="1">
      <c r="A13" s="726" t="s">
        <v>91</v>
      </c>
      <c r="B13" s="726"/>
      <c r="C13" s="726"/>
      <c r="D13" s="726"/>
      <c r="E13" s="726"/>
      <c r="F13" s="726"/>
      <c r="G13" s="153"/>
      <c r="H13" s="746"/>
      <c r="L13" s="440">
        <v>50001</v>
      </c>
      <c r="M13" s="440">
        <v>150000</v>
      </c>
      <c r="N13" s="441" t="s">
        <v>706</v>
      </c>
      <c r="O13" s="440" t="s">
        <v>707</v>
      </c>
      <c r="P13" s="447">
        <v>3.5000000000000003E-2</v>
      </c>
    </row>
    <row r="14" spans="1:16" s="151" customFormat="1" ht="17.45" customHeight="1">
      <c r="A14" s="748" t="s">
        <v>226</v>
      </c>
      <c r="B14" s="749"/>
      <c r="C14" s="749"/>
      <c r="D14" s="749"/>
      <c r="E14" s="749"/>
      <c r="F14" s="750"/>
      <c r="G14" s="154"/>
      <c r="H14" s="746"/>
      <c r="L14" s="440"/>
      <c r="M14" s="440"/>
      <c r="N14" s="442"/>
      <c r="O14" s="440"/>
      <c r="P14" s="447"/>
    </row>
    <row r="15" spans="1:16" s="151" customFormat="1" ht="17.45" customHeight="1">
      <c r="A15" s="751" t="s">
        <v>218</v>
      </c>
      <c r="B15" s="752"/>
      <c r="C15" s="752"/>
      <c r="D15" s="752"/>
      <c r="E15" s="752"/>
      <c r="F15" s="753"/>
      <c r="G15" s="155"/>
      <c r="H15" s="746"/>
      <c r="L15" s="440"/>
      <c r="M15" s="440"/>
      <c r="N15" s="442"/>
      <c r="O15" s="440"/>
      <c r="P15" s="447"/>
    </row>
    <row r="16" spans="1:16" s="151" customFormat="1" ht="17.45" customHeight="1">
      <c r="A16" s="754" t="s">
        <v>219</v>
      </c>
      <c r="B16" s="749"/>
      <c r="C16" s="749"/>
      <c r="D16" s="749"/>
      <c r="E16" s="749"/>
      <c r="F16" s="750"/>
      <c r="G16" s="156"/>
      <c r="H16" s="747"/>
      <c r="L16" s="440"/>
      <c r="M16" s="440"/>
      <c r="N16" s="442"/>
      <c r="O16" s="440"/>
      <c r="P16" s="447"/>
    </row>
    <row r="17" spans="1:16" s="151" customFormat="1" ht="17.45" customHeight="1">
      <c r="A17" s="755" t="s">
        <v>98</v>
      </c>
      <c r="B17" s="755"/>
      <c r="C17" s="755"/>
      <c r="D17" s="755"/>
      <c r="E17" s="755"/>
      <c r="F17" s="755"/>
      <c r="G17" s="755"/>
      <c r="H17" s="419"/>
      <c r="L17" s="439"/>
      <c r="M17" s="439"/>
      <c r="N17" s="439"/>
      <c r="O17" s="439"/>
      <c r="P17" s="439"/>
    </row>
    <row r="18" spans="1:16" s="151" customFormat="1" ht="17.45" customHeight="1">
      <c r="A18" s="756" t="s">
        <v>227</v>
      </c>
      <c r="B18" s="757"/>
      <c r="C18" s="757"/>
      <c r="D18" s="757"/>
      <c r="E18" s="757"/>
      <c r="F18" s="758"/>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59" t="s">
        <v>708</v>
      </c>
      <c r="M18" s="759"/>
      <c r="N18" s="443" t="s">
        <v>709</v>
      </c>
      <c r="O18" s="443" t="s">
        <v>719</v>
      </c>
      <c r="P18" s="439"/>
    </row>
    <row r="19" spans="1:16" s="151" customFormat="1" ht="17.45" customHeight="1">
      <c r="A19" s="760" t="s">
        <v>216</v>
      </c>
      <c r="B19" s="760"/>
      <c r="C19" s="760"/>
      <c r="D19" s="760"/>
      <c r="E19" s="760"/>
      <c r="F19" s="760"/>
      <c r="G19" s="146"/>
      <c r="H19" s="150"/>
      <c r="I19" s="157"/>
      <c r="J19" s="157"/>
      <c r="L19" s="444" t="s">
        <v>710</v>
      </c>
      <c r="M19" s="448">
        <v>2.3300000000000001E-2</v>
      </c>
      <c r="N19" s="445" t="e">
        <f>INDEX(تفصيلي!U6:U205,MATCH('افصاح-مواعيد'!J4,تفصيلي!B6:B205))</f>
        <v>#N/A</v>
      </c>
      <c r="O19" s="465"/>
      <c r="P19" s="439"/>
    </row>
    <row r="20" spans="1:16" s="151" customFormat="1" ht="17.45" customHeight="1">
      <c r="A20" s="761" t="s">
        <v>223</v>
      </c>
      <c r="B20" s="761"/>
      <c r="C20" s="761"/>
      <c r="D20" s="761"/>
      <c r="E20" s="761"/>
      <c r="F20" s="761"/>
      <c r="G20" s="146"/>
      <c r="H20" s="150"/>
      <c r="I20" s="158"/>
      <c r="J20" s="158"/>
      <c r="L20" s="444" t="s">
        <v>711</v>
      </c>
      <c r="M20" s="448">
        <v>2.3E-2</v>
      </c>
      <c r="N20" s="449"/>
      <c r="O20" s="439"/>
      <c r="P20" s="439"/>
    </row>
    <row r="21" spans="1:16" s="151" customFormat="1" ht="17.45" customHeight="1">
      <c r="A21" s="741" t="s">
        <v>217</v>
      </c>
      <c r="B21" s="741"/>
      <c r="C21" s="741"/>
      <c r="D21" s="741"/>
      <c r="E21" s="741"/>
      <c r="F21" s="741"/>
      <c r="G21" s="146"/>
      <c r="H21" s="148"/>
      <c r="L21" s="444" t="s">
        <v>712</v>
      </c>
      <c r="M21" s="448">
        <v>2.1999999999999999E-2</v>
      </c>
      <c r="N21" s="449"/>
      <c r="O21" s="439" t="e">
        <f>N19*G39</f>
        <v>#N/A</v>
      </c>
      <c r="P21" s="439"/>
    </row>
    <row r="22" spans="1:16" s="151" customFormat="1" ht="17.45" customHeight="1">
      <c r="A22" s="755" t="s">
        <v>104</v>
      </c>
      <c r="B22" s="755"/>
      <c r="C22" s="755"/>
      <c r="D22" s="755"/>
      <c r="E22" s="755"/>
      <c r="F22" s="755"/>
      <c r="G22" s="755"/>
      <c r="H22" s="423"/>
      <c r="I22" s="158"/>
      <c r="J22" s="158"/>
      <c r="L22" s="446"/>
      <c r="M22" s="449"/>
      <c r="N22" s="449"/>
      <c r="O22" s="439"/>
      <c r="P22" s="439"/>
    </row>
    <row r="23" spans="1:16" s="151" customFormat="1" ht="17.45" customHeight="1">
      <c r="A23" s="762" t="s">
        <v>105</v>
      </c>
      <c r="B23" s="763"/>
      <c r="C23" s="763"/>
      <c r="D23" s="763"/>
      <c r="E23" s="763"/>
      <c r="F23" s="763"/>
      <c r="G23" s="764"/>
      <c r="H23" s="424" t="e">
        <f>CEILING(IF(F4=L19,N19*M19,IF(F4=L20,N19*M20,IF(F4=L21,N19*M21))),1)</f>
        <v>#N/A</v>
      </c>
      <c r="I23" s="159"/>
      <c r="J23" s="157"/>
      <c r="L23" s="445" t="s">
        <v>713</v>
      </c>
      <c r="M23" s="445"/>
      <c r="N23" s="449"/>
      <c r="O23" s="439"/>
      <c r="P23" s="439"/>
    </row>
    <row r="24" spans="1:16" s="151" customFormat="1" ht="17.45" customHeight="1">
      <c r="A24" s="765" t="s">
        <v>106</v>
      </c>
      <c r="B24" s="766"/>
      <c r="C24" s="766"/>
      <c r="D24" s="766"/>
      <c r="E24" s="766"/>
      <c r="F24" s="766"/>
      <c r="G24" s="767"/>
      <c r="H24" s="391" t="e">
        <f>INDEX(تفصيلي!O6:O205,MATCH('افصاح-مواعيد'!J4,تفصيلي!B6:B205,0))</f>
        <v>#N/A</v>
      </c>
      <c r="L24" s="444" t="s">
        <v>712</v>
      </c>
      <c r="M24" s="448" t="s">
        <v>714</v>
      </c>
      <c r="N24" s="449"/>
      <c r="O24" s="439"/>
      <c r="P24" s="439"/>
    </row>
    <row r="25" spans="1:16" s="151" customFormat="1" ht="17.45" customHeight="1">
      <c r="A25" s="768" t="s">
        <v>107</v>
      </c>
      <c r="B25" s="769"/>
      <c r="C25" s="769"/>
      <c r="D25" s="770"/>
      <c r="E25" s="771" t="s">
        <v>108</v>
      </c>
      <c r="F25" s="394" t="s">
        <v>109</v>
      </c>
      <c r="G25" s="771" t="s">
        <v>110</v>
      </c>
      <c r="H25" s="773"/>
      <c r="L25" s="444" t="s">
        <v>711</v>
      </c>
      <c r="M25" s="448" t="s">
        <v>715</v>
      </c>
      <c r="N25" s="449"/>
      <c r="O25" s="439"/>
      <c r="P25" s="439"/>
    </row>
    <row r="26" spans="1:16" s="151" customFormat="1" ht="17.45" customHeight="1">
      <c r="A26" s="775" t="s">
        <v>111</v>
      </c>
      <c r="B26" s="776"/>
      <c r="C26" s="776"/>
      <c r="D26" s="777"/>
      <c r="E26" s="772"/>
      <c r="F26" s="395" t="s">
        <v>112</v>
      </c>
      <c r="G26" s="772"/>
      <c r="H26" s="774"/>
      <c r="L26" s="421" t="s">
        <v>710</v>
      </c>
      <c r="M26" s="450">
        <v>20</v>
      </c>
      <c r="N26" s="449"/>
    </row>
    <row r="27" spans="1:16" s="151" customFormat="1" ht="17.45" customHeight="1">
      <c r="A27" s="760"/>
      <c r="B27" s="760"/>
      <c r="C27" s="760"/>
      <c r="D27" s="760"/>
      <c r="E27" s="425"/>
      <c r="F27" s="426"/>
      <c r="G27" s="427" t="e">
        <f>INDEX(تفصيلي!W6:W205,MATCH('افصاح-مواعيد'!J4,تفصيلي!B6:B205,0))</f>
        <v>#N/A</v>
      </c>
      <c r="H27" s="424" t="e">
        <f>SUM(E27:G27)</f>
        <v>#N/A</v>
      </c>
      <c r="I27" s="151" t="s">
        <v>656</v>
      </c>
      <c r="J27" s="151" t="s">
        <v>656</v>
      </c>
      <c r="N27" s="422"/>
    </row>
    <row r="28" spans="1:16" s="151" customFormat="1" ht="17.45" customHeight="1">
      <c r="A28" s="760" t="s">
        <v>116</v>
      </c>
      <c r="B28" s="760"/>
      <c r="C28" s="760"/>
      <c r="D28" s="760"/>
      <c r="E28" s="760"/>
      <c r="F28" s="760"/>
      <c r="G28" s="760"/>
      <c r="H28" s="428" t="e">
        <f>H24-H27</f>
        <v>#N/A</v>
      </c>
    </row>
    <row r="29" spans="1:16" s="151" customFormat="1" ht="17.45" customHeight="1"/>
    <row r="30" spans="1:16" s="151" customFormat="1" ht="17.45" customHeight="1">
      <c r="B30" s="160" t="s">
        <v>220</v>
      </c>
      <c r="D30" s="160" t="s">
        <v>221</v>
      </c>
      <c r="E30" s="160"/>
      <c r="F30" s="161" t="s">
        <v>118</v>
      </c>
      <c r="H30" s="160" t="s">
        <v>119</v>
      </c>
    </row>
    <row r="31" spans="1:16" s="151" customFormat="1" ht="17.45" customHeight="1">
      <c r="A31" s="778" t="s">
        <v>716</v>
      </c>
      <c r="B31" s="778"/>
      <c r="C31" s="778"/>
      <c r="D31" s="779">
        <f>عقد!E7</f>
        <v>0</v>
      </c>
      <c r="E31" s="779"/>
      <c r="F31" s="778" t="s">
        <v>222</v>
      </c>
      <c r="G31" s="778"/>
      <c r="H31" s="437">
        <f>D31</f>
        <v>0</v>
      </c>
    </row>
    <row r="32" spans="1:16" s="151" customFormat="1" ht="17.45" customHeight="1">
      <c r="A32" s="397"/>
      <c r="B32" s="397"/>
      <c r="C32" s="397"/>
      <c r="D32" s="396"/>
      <c r="E32" s="396"/>
      <c r="F32" s="397"/>
      <c r="G32" s="397"/>
      <c r="H32" s="168"/>
    </row>
    <row r="33" spans="1:8" s="151" customFormat="1" ht="28.9" customHeight="1">
      <c r="A33" s="397"/>
      <c r="B33" s="397"/>
      <c r="C33" s="397"/>
      <c r="D33" s="396"/>
      <c r="E33" s="396"/>
      <c r="F33" s="397"/>
      <c r="G33" s="397"/>
      <c r="H33" s="168"/>
    </row>
    <row r="34" spans="1:8" s="151" customFormat="1" ht="4.9000000000000004" customHeight="1">
      <c r="A34" s="780"/>
      <c r="B34" s="780"/>
      <c r="C34" s="780"/>
      <c r="D34" s="780"/>
      <c r="E34" s="780"/>
      <c r="F34" s="780"/>
      <c r="G34" s="780"/>
      <c r="H34" s="780"/>
    </row>
    <row r="35" spans="1:8" s="151" customFormat="1" ht="4.9000000000000004" customHeight="1">
      <c r="A35" s="781"/>
      <c r="B35" s="781"/>
      <c r="C35" s="781"/>
      <c r="D35" s="781"/>
      <c r="E35" s="781"/>
      <c r="F35" s="781"/>
      <c r="G35" s="781"/>
      <c r="H35" s="781"/>
    </row>
    <row r="36" spans="1:8" ht="26.45" customHeight="1">
      <c r="A36" s="782" t="s">
        <v>720</v>
      </c>
      <c r="B36" s="783"/>
      <c r="C36" s="783"/>
      <c r="D36" s="783"/>
      <c r="E36" s="783"/>
      <c r="F36" s="783"/>
      <c r="G36" s="783"/>
      <c r="H36" s="784"/>
    </row>
    <row r="37" spans="1:8" ht="17.45" customHeight="1">
      <c r="A37" s="163" t="s">
        <v>176</v>
      </c>
      <c r="B37" s="785" t="e">
        <f>عقد!C9</f>
        <v>#N/A</v>
      </c>
      <c r="C37" s="785"/>
      <c r="D37" s="785"/>
      <c r="E37" s="785"/>
      <c r="F37" s="162" t="s">
        <v>177</v>
      </c>
      <c r="G37" s="466">
        <f>عقد!M1</f>
        <v>0</v>
      </c>
      <c r="H37" s="164"/>
    </row>
    <row r="38" spans="1:8" ht="17.45" customHeight="1">
      <c r="A38" s="163" t="s">
        <v>178</v>
      </c>
      <c r="B38" s="786" t="str">
        <f>عقد!K19</f>
        <v/>
      </c>
      <c r="C38" s="786"/>
      <c r="D38" s="786"/>
      <c r="E38" s="786"/>
      <c r="F38" s="162" t="s">
        <v>179</v>
      </c>
      <c r="G38" s="787" t="str">
        <f>IFERROR(VLOOKUP(G37,تفصيلي!B6:R205,11,FALSE),"")</f>
        <v/>
      </c>
      <c r="H38" s="788"/>
    </row>
    <row r="39" spans="1:8" ht="17.45" customHeight="1">
      <c r="A39" s="163" t="s">
        <v>180</v>
      </c>
      <c r="B39" s="786" t="str">
        <f>IFERROR(VLOOKUP($G$37,تفصيلي!B6:AW205,20,FALSE),"")</f>
        <v/>
      </c>
      <c r="C39" s="786"/>
      <c r="D39" s="786"/>
      <c r="E39" s="786"/>
      <c r="F39" s="162" t="s">
        <v>181</v>
      </c>
      <c r="G39" s="438" t="str">
        <f>عقد!B23</f>
        <v/>
      </c>
      <c r="H39" s="164"/>
    </row>
    <row r="40" spans="1:8" ht="17.45" customHeight="1">
      <c r="A40" s="789" t="s">
        <v>182</v>
      </c>
      <c r="B40" s="790"/>
      <c r="C40" s="790"/>
      <c r="D40" s="790"/>
      <c r="E40" s="790"/>
      <c r="F40" s="790"/>
      <c r="G40" s="790"/>
      <c r="H40" s="791"/>
    </row>
    <row r="41" spans="1:8" ht="17.45" customHeight="1">
      <c r="A41" s="429" t="s">
        <v>7</v>
      </c>
      <c r="B41" s="792" t="s">
        <v>183</v>
      </c>
      <c r="C41" s="792"/>
      <c r="D41" s="792"/>
      <c r="E41" s="429" t="s">
        <v>7</v>
      </c>
      <c r="F41" s="792" t="s">
        <v>183</v>
      </c>
      <c r="G41" s="792"/>
      <c r="H41" s="792"/>
    </row>
    <row r="42" spans="1:8" ht="17.45" customHeight="1">
      <c r="A42" s="436">
        <v>1</v>
      </c>
      <c r="B42" s="793" t="str">
        <f>عقد!K24</f>
        <v/>
      </c>
      <c r="C42" s="793"/>
      <c r="D42" s="793"/>
      <c r="E42" s="436">
        <v>13</v>
      </c>
      <c r="F42" s="794">
        <f>IF(E42&lt;=$G$39,VLOOKUP(E42,'Data Validation'!$O$2:$P$25,2,FALSE),"ــــــــــــــــــــــــــــــــــــــــــ")</f>
        <v>0</v>
      </c>
      <c r="G42" s="795"/>
      <c r="H42" s="796"/>
    </row>
    <row r="43" spans="1:8" ht="17.45" customHeight="1">
      <c r="A43" s="436">
        <v>2</v>
      </c>
      <c r="B43" s="793">
        <f>IF(A43&lt;=$G$39,VLOOKUP(A43,'Data Validation'!$O$2:$P$25,2,FALSE),"ــــــــــــــــــــــــــــــــــــــــــ")</f>
        <v>0</v>
      </c>
      <c r="C43" s="793"/>
      <c r="D43" s="793"/>
      <c r="E43" s="436">
        <v>14</v>
      </c>
      <c r="F43" s="794">
        <f>IF(E43&lt;=$G$39,VLOOKUP(E43,'Data Validation'!$O$2:$P$25,2,FALSE),"ــــــــــــــــــــــــــــــــــــــــــ")</f>
        <v>0</v>
      </c>
      <c r="G43" s="795"/>
      <c r="H43" s="796"/>
    </row>
    <row r="44" spans="1:8" ht="17.45" customHeight="1">
      <c r="A44" s="436">
        <v>3</v>
      </c>
      <c r="B44" s="793">
        <f>IF(A44&lt;=$G$39,VLOOKUP(A44,'Data Validation'!$O$2:$P$25,2,FALSE),"ــــــــــــــــــــــــــــــــــــــــــ")</f>
        <v>0</v>
      </c>
      <c r="C44" s="793"/>
      <c r="D44" s="793"/>
      <c r="E44" s="436">
        <v>15</v>
      </c>
      <c r="F44" s="794">
        <f>IF(E44&lt;=$G$39,VLOOKUP(E44,'Data Validation'!$O$2:$P$25,2,FALSE),"ــــــــــــــــــــــــــــــــــــــــــ")</f>
        <v>0</v>
      </c>
      <c r="G44" s="795"/>
      <c r="H44" s="796"/>
    </row>
    <row r="45" spans="1:8" ht="17.45" customHeight="1">
      <c r="A45" s="436">
        <v>4</v>
      </c>
      <c r="B45" s="793">
        <f>IF(A45&lt;=$G$39,VLOOKUP(A45,'Data Validation'!$O$2:$P$25,2,FALSE),"ــــــــــــــــــــــــــــــــــــــــــ")</f>
        <v>0</v>
      </c>
      <c r="C45" s="793"/>
      <c r="D45" s="793"/>
      <c r="E45" s="436">
        <v>16</v>
      </c>
      <c r="F45" s="794">
        <f>IF(E45&lt;=$G$39,VLOOKUP(E45,'Data Validation'!$O$2:$P$25,2,FALSE),"ــــــــــــــــــــــــــــــــــــــــــ")</f>
        <v>0</v>
      </c>
      <c r="G45" s="795"/>
      <c r="H45" s="796"/>
    </row>
    <row r="46" spans="1:8" ht="17.45" customHeight="1">
      <c r="A46" s="436">
        <v>5</v>
      </c>
      <c r="B46" s="793">
        <f>IF(A46&lt;=$G$39,VLOOKUP(A46,'Data Validation'!$O$2:$P$25,2,FALSE),"ــــــــــــــــــــــــــــــــــــــــــ")</f>
        <v>0</v>
      </c>
      <c r="C46" s="793"/>
      <c r="D46" s="793"/>
      <c r="E46" s="436">
        <v>17</v>
      </c>
      <c r="F46" s="794">
        <f>IF(E46&lt;=$G$39,VLOOKUP(E46,'Data Validation'!$O$2:$P$25,2,FALSE),"ــــــــــــــــــــــــــــــــــــــــــ")</f>
        <v>0</v>
      </c>
      <c r="G46" s="795"/>
      <c r="H46" s="796"/>
    </row>
    <row r="47" spans="1:8" ht="17.45" customHeight="1">
      <c r="A47" s="436">
        <v>6</v>
      </c>
      <c r="B47" s="793">
        <f>IF(A47&lt;=$G$39,VLOOKUP(A47,'Data Validation'!$O$2:$P$25,2,FALSE),"ــــــــــــــــــــــــــــــــــــــــــ")</f>
        <v>0</v>
      </c>
      <c r="C47" s="793"/>
      <c r="D47" s="793"/>
      <c r="E47" s="436">
        <v>18</v>
      </c>
      <c r="F47" s="794">
        <f>IF(E47&lt;=$G$39,VLOOKUP(E47,'Data Validation'!$O$2:$P$25,2,FALSE),"ــــــــــــــــــــــــــــــــــــــــــ")</f>
        <v>0</v>
      </c>
      <c r="G47" s="795"/>
      <c r="H47" s="796"/>
    </row>
    <row r="48" spans="1:8" ht="17.45" customHeight="1">
      <c r="A48" s="436">
        <v>7</v>
      </c>
      <c r="B48" s="793">
        <f>IF(A48&lt;=$G$39,VLOOKUP(A48,'Data Validation'!$O$2:$P$25,2,FALSE),"ــــــــــــــــــــــــــــــــــــــــــ")</f>
        <v>0</v>
      </c>
      <c r="C48" s="793"/>
      <c r="D48" s="793"/>
      <c r="E48" s="436">
        <v>19</v>
      </c>
      <c r="F48" s="794">
        <f>IF(E48&lt;=$G$39,VLOOKUP(E48,'Data Validation'!$O$2:$P$25,2,FALSE),"ــــــــــــــــــــــــــــــــــــــــــ")</f>
        <v>0</v>
      </c>
      <c r="G48" s="795"/>
      <c r="H48" s="796"/>
    </row>
    <row r="49" spans="1:8" ht="17.45" customHeight="1">
      <c r="A49" s="436">
        <v>8</v>
      </c>
      <c r="B49" s="793">
        <f>IF(A49&lt;=$G$39,VLOOKUP(A49,'Data Validation'!$O$2:$P$25,2,FALSE),"ــــــــــــــــــــــــــــــــــــــــــ")</f>
        <v>0</v>
      </c>
      <c r="C49" s="793"/>
      <c r="D49" s="793"/>
      <c r="E49" s="436">
        <v>20</v>
      </c>
      <c r="F49" s="794">
        <f>IF(E49&lt;=$G$39,VLOOKUP(E49,'Data Validation'!$O$2:$P$25,2,FALSE),"ــــــــــــــــــــــــــــــــــــــــــ")</f>
        <v>0</v>
      </c>
      <c r="G49" s="795"/>
      <c r="H49" s="796"/>
    </row>
    <row r="50" spans="1:8" ht="17.45" customHeight="1">
      <c r="A50" s="436">
        <v>9</v>
      </c>
      <c r="B50" s="793">
        <f>IF(A50&lt;=$G$39,VLOOKUP(A50,'Data Validation'!$O$2:$P$25,2,FALSE),"ــــــــــــــــــــــــــــــــــــــــــ")</f>
        <v>0</v>
      </c>
      <c r="C50" s="793"/>
      <c r="D50" s="793"/>
      <c r="E50" s="436">
        <v>21</v>
      </c>
      <c r="F50" s="794">
        <f>IF(E50&lt;=$G$39,VLOOKUP(E50,'Data Validation'!$O$2:$P$25,2,FALSE),"ــــــــــــــــــــــــــــــــــــــــــ")</f>
        <v>0</v>
      </c>
      <c r="G50" s="795"/>
      <c r="H50" s="796"/>
    </row>
    <row r="51" spans="1:8" ht="17.45" customHeight="1">
      <c r="A51" s="436">
        <v>10</v>
      </c>
      <c r="B51" s="793">
        <f>IF(A51&lt;=$G$39,VLOOKUP(A51,'Data Validation'!$O$2:$P$25,2,FALSE),"ــــــــــــــــــــــــــــــــــــــــــ")</f>
        <v>0</v>
      </c>
      <c r="C51" s="793"/>
      <c r="D51" s="793"/>
      <c r="E51" s="436">
        <v>22</v>
      </c>
      <c r="F51" s="794">
        <f>IF(E51&lt;=$G$39,VLOOKUP(E51,'Data Validation'!$O$2:$P$25,2,FALSE),"ــــــــــــــــــــــــــــــــــــــــــ")</f>
        <v>0</v>
      </c>
      <c r="G51" s="795"/>
      <c r="H51" s="796"/>
    </row>
    <row r="52" spans="1:8" ht="17.45" customHeight="1">
      <c r="A52" s="436">
        <v>11</v>
      </c>
      <c r="B52" s="793">
        <f>IF(A52&lt;=$G$39,VLOOKUP(A52,'Data Validation'!$O$2:$P$25,2,FALSE),"ــــــــــــــــــــــــــــــــــــــــــ")</f>
        <v>0</v>
      </c>
      <c r="C52" s="793"/>
      <c r="D52" s="793"/>
      <c r="E52" s="436">
        <v>23</v>
      </c>
      <c r="F52" s="794">
        <f>IF(E52&lt;=$G$39,VLOOKUP(E52,'Data Validation'!$O$2:$P$25,2,FALSE),"ــــــــــــــــــــــــــــــــــــــــــ")</f>
        <v>0</v>
      </c>
      <c r="G52" s="795"/>
      <c r="H52" s="796"/>
    </row>
    <row r="53" spans="1:8" ht="17.45" customHeight="1">
      <c r="A53" s="436">
        <v>12</v>
      </c>
      <c r="B53" s="793">
        <f>IF(A53&lt;=$G$39,VLOOKUP(A53,'Data Validation'!$O$2:$P$25,2,FALSE),"ــــــــــــــــــــــــــــــــــــــــــ")</f>
        <v>0</v>
      </c>
      <c r="C53" s="793"/>
      <c r="D53" s="793"/>
      <c r="E53" s="436">
        <v>24</v>
      </c>
      <c r="F53" s="794">
        <f>IF(E53&lt;=$G$39,VLOOKUP(E53,'Data Validation'!$O$2:$P$25,2,FALSE),"ــــــــــــــــــــــــــــــــــــــــــ")</f>
        <v>0</v>
      </c>
      <c r="G53" s="795"/>
      <c r="H53" s="796"/>
    </row>
    <row r="54" spans="1:8" ht="17.45" customHeight="1">
      <c r="A54" s="165" t="s">
        <v>184</v>
      </c>
    </row>
    <row r="55" spans="1:8" ht="17.45" customHeight="1">
      <c r="A55" s="798" t="s">
        <v>211</v>
      </c>
      <c r="B55" s="798"/>
      <c r="C55" s="798"/>
      <c r="D55" s="798"/>
      <c r="E55" s="798"/>
      <c r="F55" s="798"/>
      <c r="G55" s="798"/>
      <c r="H55" s="798"/>
    </row>
    <row r="56" spans="1:8" ht="34.15" customHeight="1">
      <c r="A56" s="797" t="s">
        <v>212</v>
      </c>
      <c r="B56" s="797"/>
      <c r="C56" s="797"/>
      <c r="D56" s="797"/>
      <c r="E56" s="797"/>
      <c r="F56" s="797"/>
      <c r="G56" s="797"/>
      <c r="H56" s="797"/>
    </row>
    <row r="57" spans="1:8" ht="33.6" customHeight="1">
      <c r="A57" s="797" t="s">
        <v>213</v>
      </c>
      <c r="B57" s="797"/>
      <c r="C57" s="797"/>
      <c r="D57" s="797"/>
      <c r="E57" s="797"/>
      <c r="F57" s="797"/>
      <c r="G57" s="797"/>
      <c r="H57" s="797"/>
    </row>
    <row r="58" spans="1:8" ht="17.45" customHeight="1">
      <c r="A58" s="798" t="s">
        <v>214</v>
      </c>
      <c r="B58" s="798"/>
      <c r="C58" s="798"/>
      <c r="D58" s="798"/>
      <c r="E58" s="798"/>
      <c r="F58" s="798"/>
      <c r="G58" s="798"/>
      <c r="H58" s="798"/>
    </row>
    <row r="59" spans="1:8" ht="17.45" customHeight="1">
      <c r="A59" s="799" t="s">
        <v>185</v>
      </c>
      <c r="B59" s="799"/>
      <c r="C59" s="799"/>
      <c r="D59" s="800" t="s">
        <v>186</v>
      </c>
      <c r="E59" s="800"/>
      <c r="F59" s="801" t="s">
        <v>187</v>
      </c>
      <c r="G59" s="801"/>
      <c r="H59" s="801"/>
    </row>
    <row r="60" spans="1:8" ht="17.45" customHeight="1">
      <c r="A60" s="166"/>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P2" sqref="P2"/>
    </sheetView>
  </sheetViews>
  <sheetFormatPr defaultColWidth="8.85546875" defaultRowHeight="20.45" customHeight="1"/>
  <cols>
    <col min="1" max="1" width="8.85546875" style="173" hidden="1" customWidth="1"/>
    <col min="2" max="2" width="23.42578125" style="173" hidden="1" customWidth="1"/>
    <col min="3" max="3" width="8.85546875" style="173" hidden="1" customWidth="1"/>
    <col min="4" max="4" width="41.140625" style="173" hidden="1" customWidth="1"/>
    <col min="5" max="5" width="8.85546875" style="173" hidden="1" customWidth="1"/>
    <col min="6" max="6" width="39.7109375" style="173" hidden="1" customWidth="1"/>
    <col min="7" max="7" width="4.7109375" style="173" hidden="1" customWidth="1"/>
    <col min="8" max="8" width="28.28515625" style="173" hidden="1" customWidth="1"/>
    <col min="9" max="9" width="8.85546875" style="173" hidden="1" customWidth="1"/>
    <col min="10" max="10" width="43.7109375" style="173" hidden="1" customWidth="1"/>
    <col min="11" max="11" width="38.85546875" style="173" hidden="1" customWidth="1"/>
    <col min="12" max="12" width="18.5703125" style="173" hidden="1" customWidth="1"/>
    <col min="13" max="13" width="8.85546875" style="173" hidden="1" customWidth="1"/>
    <col min="14" max="14" width="56.140625" style="173" hidden="1" customWidth="1"/>
    <col min="15" max="15" width="8.85546875" style="173"/>
    <col min="16" max="16" width="35.5703125" style="308" customWidth="1"/>
    <col min="17" max="16384" width="8.85546875" style="173"/>
  </cols>
  <sheetData>
    <row r="1" spans="1:16" s="184" customFormat="1" ht="30" customHeight="1">
      <c r="A1" s="802" t="s">
        <v>614</v>
      </c>
      <c r="B1" s="802"/>
      <c r="C1" s="802"/>
      <c r="D1" s="802"/>
      <c r="E1" s="802"/>
      <c r="F1" s="802"/>
      <c r="H1" s="184" t="s">
        <v>43</v>
      </c>
      <c r="J1" s="184" t="s">
        <v>636</v>
      </c>
      <c r="K1" s="184" t="s">
        <v>650</v>
      </c>
      <c r="L1" s="184" t="s">
        <v>615</v>
      </c>
      <c r="N1" s="184" t="s">
        <v>616</v>
      </c>
      <c r="P1" s="306" t="s">
        <v>654</v>
      </c>
    </row>
    <row r="2" spans="1:16" ht="22.9" customHeight="1">
      <c r="A2" s="172"/>
      <c r="B2" s="179" t="s">
        <v>233</v>
      </c>
      <c r="C2" s="172"/>
      <c r="D2" s="179" t="s">
        <v>234</v>
      </c>
      <c r="E2" s="172"/>
      <c r="F2" s="179" t="s">
        <v>235</v>
      </c>
      <c r="H2" s="174"/>
      <c r="J2" s="173" t="s">
        <v>637</v>
      </c>
      <c r="L2" s="173" t="s">
        <v>620</v>
      </c>
      <c r="N2" s="173" t="s">
        <v>72</v>
      </c>
      <c r="O2" s="305">
        <v>1</v>
      </c>
      <c r="P2" s="307"/>
    </row>
    <row r="3" spans="1:16" ht="22.9" customHeight="1">
      <c r="A3" s="175"/>
      <c r="B3" s="180" t="s">
        <v>236</v>
      </c>
      <c r="C3" s="175"/>
      <c r="D3" s="180" t="s">
        <v>237</v>
      </c>
      <c r="E3" s="175"/>
      <c r="F3" s="176" t="s">
        <v>237</v>
      </c>
      <c r="H3" s="173" t="s">
        <v>624</v>
      </c>
      <c r="J3" s="173" t="s">
        <v>638</v>
      </c>
      <c r="L3" s="173" t="s">
        <v>621</v>
      </c>
      <c r="N3" s="173" t="s">
        <v>617</v>
      </c>
      <c r="O3" s="305">
        <v>2</v>
      </c>
      <c r="P3" s="307"/>
    </row>
    <row r="4" spans="1:16" ht="22.9" customHeight="1">
      <c r="A4" s="175"/>
      <c r="B4" s="181" t="s">
        <v>254</v>
      </c>
      <c r="C4" s="175"/>
      <c r="D4" s="180" t="s">
        <v>242</v>
      </c>
      <c r="E4" s="175"/>
      <c r="F4" s="176" t="s">
        <v>238</v>
      </c>
      <c r="H4" s="173" t="s">
        <v>58</v>
      </c>
      <c r="J4" s="173" t="s">
        <v>639</v>
      </c>
      <c r="L4" s="173" t="s">
        <v>622</v>
      </c>
      <c r="N4" s="173" t="s">
        <v>618</v>
      </c>
      <c r="O4" s="305">
        <v>3</v>
      </c>
      <c r="P4" s="307"/>
    </row>
    <row r="5" spans="1:16" ht="22.9" customHeight="1">
      <c r="A5" s="175"/>
      <c r="B5" s="181" t="s">
        <v>420</v>
      </c>
      <c r="C5" s="175"/>
      <c r="D5" s="180" t="s">
        <v>243</v>
      </c>
      <c r="E5" s="175"/>
      <c r="F5" s="176" t="s">
        <v>239</v>
      </c>
      <c r="H5" s="173" t="s">
        <v>625</v>
      </c>
      <c r="J5" s="173" t="s">
        <v>640</v>
      </c>
      <c r="L5" s="173" t="s">
        <v>134</v>
      </c>
      <c r="N5" s="173" t="s">
        <v>619</v>
      </c>
      <c r="O5" s="305">
        <v>4</v>
      </c>
      <c r="P5" s="307"/>
    </row>
    <row r="6" spans="1:16" ht="22.9" customHeight="1">
      <c r="A6" s="175"/>
      <c r="B6" s="180" t="s">
        <v>486</v>
      </c>
      <c r="C6" s="175"/>
      <c r="D6" s="180" t="s">
        <v>246</v>
      </c>
      <c r="E6" s="175"/>
      <c r="F6" s="176" t="s">
        <v>240</v>
      </c>
      <c r="H6" s="173" t="s">
        <v>626</v>
      </c>
      <c r="J6" s="173" t="s">
        <v>641</v>
      </c>
      <c r="O6" s="305">
        <v>5</v>
      </c>
      <c r="P6" s="307"/>
    </row>
    <row r="7" spans="1:16" ht="22.9" customHeight="1">
      <c r="A7" s="175"/>
      <c r="B7" s="180"/>
      <c r="C7" s="175"/>
      <c r="D7" s="180" t="s">
        <v>247</v>
      </c>
      <c r="E7" s="175"/>
      <c r="F7" s="176" t="s">
        <v>241</v>
      </c>
      <c r="H7" s="173" t="s">
        <v>627</v>
      </c>
      <c r="J7" s="173" t="s">
        <v>653</v>
      </c>
      <c r="O7" s="305">
        <v>6</v>
      </c>
      <c r="P7" s="307"/>
    </row>
    <row r="8" spans="1:16" ht="22.9" customHeight="1">
      <c r="A8" s="175"/>
      <c r="B8" s="180"/>
      <c r="C8" s="175"/>
      <c r="D8" s="180" t="s">
        <v>249</v>
      </c>
      <c r="E8" s="175"/>
      <c r="F8" s="176" t="s">
        <v>242</v>
      </c>
      <c r="H8" s="173" t="s">
        <v>628</v>
      </c>
      <c r="J8" s="173" t="s">
        <v>642</v>
      </c>
      <c r="O8" s="305">
        <v>7</v>
      </c>
      <c r="P8" s="307"/>
    </row>
    <row r="9" spans="1:16" ht="22.9" customHeight="1">
      <c r="A9" s="175"/>
      <c r="B9" s="180"/>
      <c r="C9" s="175"/>
      <c r="D9" s="180" t="s">
        <v>250</v>
      </c>
      <c r="E9" s="175"/>
      <c r="F9" s="176" t="s">
        <v>243</v>
      </c>
      <c r="H9" s="173" t="s">
        <v>629</v>
      </c>
      <c r="J9" s="173" t="s">
        <v>643</v>
      </c>
      <c r="O9" s="305">
        <v>8</v>
      </c>
      <c r="P9" s="307"/>
    </row>
    <row r="10" spans="1:16" ht="22.9" customHeight="1">
      <c r="A10" s="175"/>
      <c r="B10" s="180"/>
      <c r="C10" s="175"/>
      <c r="D10" s="180" t="s">
        <v>252</v>
      </c>
      <c r="E10" s="175"/>
      <c r="F10" s="176" t="s">
        <v>244</v>
      </c>
      <c r="H10" s="173" t="s">
        <v>630</v>
      </c>
      <c r="J10" s="173" t="s">
        <v>644</v>
      </c>
      <c r="O10" s="305">
        <v>9</v>
      </c>
      <c r="P10" s="307"/>
    </row>
    <row r="11" spans="1:16" ht="22.9" customHeight="1">
      <c r="A11" s="175"/>
      <c r="B11" s="180"/>
      <c r="C11" s="175"/>
      <c r="D11" s="180" t="s">
        <v>255</v>
      </c>
      <c r="E11" s="175"/>
      <c r="F11" s="176" t="s">
        <v>245</v>
      </c>
      <c r="H11" s="173" t="s">
        <v>631</v>
      </c>
      <c r="O11" s="305">
        <v>10</v>
      </c>
      <c r="P11" s="307"/>
    </row>
    <row r="12" spans="1:16" ht="22.9" customHeight="1">
      <c r="A12" s="175"/>
      <c r="B12" s="180"/>
      <c r="C12" s="175"/>
      <c r="D12" s="180" t="s">
        <v>271</v>
      </c>
      <c r="E12" s="175"/>
      <c r="F12" s="176" t="s">
        <v>246</v>
      </c>
      <c r="H12" s="173" t="s">
        <v>632</v>
      </c>
      <c r="O12" s="305">
        <v>11</v>
      </c>
      <c r="P12" s="307"/>
    </row>
    <row r="13" spans="1:16" ht="22.9" customHeight="1">
      <c r="A13" s="175"/>
      <c r="B13" s="180"/>
      <c r="C13" s="175"/>
      <c r="D13" s="180" t="s">
        <v>293</v>
      </c>
      <c r="E13" s="175"/>
      <c r="F13" s="176" t="s">
        <v>248</v>
      </c>
      <c r="H13" s="173" t="s">
        <v>633</v>
      </c>
      <c r="O13" s="305">
        <v>12</v>
      </c>
      <c r="P13" s="307"/>
    </row>
    <row r="14" spans="1:16" ht="22.9" customHeight="1">
      <c r="A14" s="175"/>
      <c r="B14" s="180"/>
      <c r="C14" s="175"/>
      <c r="D14" s="180" t="s">
        <v>306</v>
      </c>
      <c r="E14" s="175"/>
      <c r="F14" s="176" t="s">
        <v>249</v>
      </c>
      <c r="H14" s="173" t="s">
        <v>634</v>
      </c>
      <c r="O14" s="305">
        <v>13</v>
      </c>
      <c r="P14" s="307"/>
    </row>
    <row r="15" spans="1:16" ht="22.9" customHeight="1">
      <c r="A15" s="175"/>
      <c r="B15" s="180"/>
      <c r="C15" s="175"/>
      <c r="D15" s="180" t="s">
        <v>313</v>
      </c>
      <c r="E15" s="175"/>
      <c r="F15" s="176" t="s">
        <v>251</v>
      </c>
      <c r="H15" s="173" t="s">
        <v>635</v>
      </c>
      <c r="O15" s="305">
        <v>14</v>
      </c>
      <c r="P15" s="307"/>
    </row>
    <row r="16" spans="1:16" ht="22.9" customHeight="1">
      <c r="A16" s="175"/>
      <c r="B16" s="180"/>
      <c r="C16" s="175"/>
      <c r="D16" s="180" t="s">
        <v>317</v>
      </c>
      <c r="E16" s="175"/>
      <c r="F16" s="176" t="s">
        <v>253</v>
      </c>
      <c r="O16" s="305">
        <v>15</v>
      </c>
      <c r="P16" s="307"/>
    </row>
    <row r="17" spans="1:16" ht="22.9" customHeight="1">
      <c r="A17" s="175"/>
      <c r="C17" s="175"/>
      <c r="D17" s="180" t="s">
        <v>335</v>
      </c>
      <c r="E17" s="175"/>
      <c r="F17" s="176" t="s">
        <v>256</v>
      </c>
      <c r="O17" s="305">
        <v>16</v>
      </c>
      <c r="P17" s="307"/>
    </row>
    <row r="18" spans="1:16" ht="22.9" customHeight="1">
      <c r="A18" s="175"/>
      <c r="B18" s="181"/>
      <c r="C18" s="175"/>
      <c r="D18" s="180" t="s">
        <v>337</v>
      </c>
      <c r="E18" s="175"/>
      <c r="F18" s="176" t="s">
        <v>257</v>
      </c>
      <c r="O18" s="305">
        <v>17</v>
      </c>
      <c r="P18" s="307"/>
    </row>
    <row r="19" spans="1:16" ht="22.9" customHeight="1">
      <c r="A19" s="175"/>
      <c r="B19" s="181"/>
      <c r="C19" s="175"/>
      <c r="D19" s="180" t="s">
        <v>346</v>
      </c>
      <c r="E19" s="175"/>
      <c r="F19" s="176" t="s">
        <v>258</v>
      </c>
      <c r="O19" s="305">
        <v>18</v>
      </c>
      <c r="P19" s="307"/>
    </row>
    <row r="20" spans="1:16" ht="22.9" customHeight="1">
      <c r="A20" s="175"/>
      <c r="B20" s="181"/>
      <c r="C20" s="175"/>
      <c r="D20" s="180" t="s">
        <v>348</v>
      </c>
      <c r="E20" s="175"/>
      <c r="F20" s="176" t="s">
        <v>259</v>
      </c>
      <c r="O20" s="305">
        <v>19</v>
      </c>
      <c r="P20" s="307"/>
    </row>
    <row r="21" spans="1:16" ht="22.9" customHeight="1">
      <c r="A21" s="175"/>
      <c r="B21" s="181"/>
      <c r="C21" s="175"/>
      <c r="D21" s="180" t="s">
        <v>351</v>
      </c>
      <c r="E21" s="175"/>
      <c r="F21" s="176" t="s">
        <v>260</v>
      </c>
      <c r="O21" s="305">
        <v>20</v>
      </c>
      <c r="P21" s="307"/>
    </row>
    <row r="22" spans="1:16" ht="22.9" customHeight="1">
      <c r="A22" s="175"/>
      <c r="B22" s="181"/>
      <c r="C22" s="175"/>
      <c r="D22" s="180" t="s">
        <v>362</v>
      </c>
      <c r="E22" s="175"/>
      <c r="F22" s="176" t="s">
        <v>261</v>
      </c>
      <c r="O22" s="305">
        <v>21</v>
      </c>
      <c r="P22" s="307"/>
    </row>
    <row r="23" spans="1:16" ht="22.9" customHeight="1">
      <c r="A23" s="175"/>
      <c r="B23" s="181"/>
      <c r="C23" s="175"/>
      <c r="D23" s="180" t="s">
        <v>369</v>
      </c>
      <c r="E23" s="175"/>
      <c r="F23" s="176" t="s">
        <v>262</v>
      </c>
      <c r="O23" s="305">
        <v>22</v>
      </c>
      <c r="P23" s="307"/>
    </row>
    <row r="24" spans="1:16" ht="22.9" customHeight="1">
      <c r="A24" s="175"/>
      <c r="B24" s="181"/>
      <c r="C24" s="175"/>
      <c r="D24" s="180" t="s">
        <v>380</v>
      </c>
      <c r="E24" s="175"/>
      <c r="F24" s="176" t="s">
        <v>263</v>
      </c>
      <c r="O24" s="305">
        <v>23</v>
      </c>
      <c r="P24" s="307"/>
    </row>
    <row r="25" spans="1:16" ht="22.9" customHeight="1">
      <c r="A25" s="175"/>
      <c r="B25" s="181"/>
      <c r="C25" s="175"/>
      <c r="D25" s="180" t="s">
        <v>385</v>
      </c>
      <c r="E25" s="175"/>
      <c r="F25" s="176" t="s">
        <v>264</v>
      </c>
      <c r="O25" s="305">
        <v>24</v>
      </c>
      <c r="P25" s="307"/>
    </row>
    <row r="26" spans="1:16" ht="20.45" customHeight="1">
      <c r="A26" s="175"/>
      <c r="B26" s="181"/>
      <c r="C26" s="175"/>
      <c r="D26" s="180" t="s">
        <v>391</v>
      </c>
      <c r="E26" s="175"/>
      <c r="F26" s="176" t="s">
        <v>265</v>
      </c>
    </row>
    <row r="27" spans="1:16" ht="20.45" customHeight="1">
      <c r="A27" s="175"/>
      <c r="B27" s="181"/>
      <c r="C27" s="175"/>
      <c r="D27" s="180" t="s">
        <v>395</v>
      </c>
      <c r="E27" s="175"/>
      <c r="F27" s="176" t="s">
        <v>266</v>
      </c>
    </row>
    <row r="28" spans="1:16" ht="20.45" customHeight="1">
      <c r="A28" s="175"/>
      <c r="B28" s="181"/>
      <c r="C28" s="175"/>
      <c r="D28" s="180" t="s">
        <v>400</v>
      </c>
      <c r="E28" s="175"/>
      <c r="F28" s="176" t="s">
        <v>267</v>
      </c>
    </row>
    <row r="29" spans="1:16" ht="20.45" customHeight="1">
      <c r="A29" s="175"/>
      <c r="B29" s="181"/>
      <c r="C29" s="175"/>
      <c r="D29" s="180" t="s">
        <v>407</v>
      </c>
      <c r="E29" s="175"/>
      <c r="F29" s="176" t="s">
        <v>268</v>
      </c>
    </row>
    <row r="30" spans="1:16" ht="20.45" customHeight="1">
      <c r="A30" s="175"/>
      <c r="B30" s="181"/>
      <c r="C30" s="175"/>
      <c r="D30" s="180" t="s">
        <v>409</v>
      </c>
      <c r="E30" s="175"/>
      <c r="F30" s="176" t="s">
        <v>269</v>
      </c>
    </row>
    <row r="31" spans="1:16" ht="20.45" customHeight="1">
      <c r="A31" s="175"/>
      <c r="B31" s="181"/>
      <c r="C31" s="175"/>
      <c r="D31" s="180" t="s">
        <v>413</v>
      </c>
      <c r="E31" s="175"/>
      <c r="F31" s="176" t="s">
        <v>270</v>
      </c>
    </row>
    <row r="32" spans="1:16" ht="20.45" customHeight="1">
      <c r="A32" s="175"/>
      <c r="B32" s="181"/>
      <c r="C32" s="175"/>
      <c r="D32" s="180" t="s">
        <v>415</v>
      </c>
      <c r="E32" s="175"/>
      <c r="F32" s="176" t="s">
        <v>272</v>
      </c>
    </row>
    <row r="33" spans="1:6" ht="20.45" customHeight="1">
      <c r="A33" s="175"/>
      <c r="B33" s="181"/>
      <c r="C33" s="175"/>
      <c r="D33" s="180" t="s">
        <v>623</v>
      </c>
      <c r="E33" s="175"/>
      <c r="F33" s="176" t="s">
        <v>273</v>
      </c>
    </row>
    <row r="34" spans="1:6" ht="20.45" customHeight="1">
      <c r="A34" s="175"/>
      <c r="B34" s="181"/>
      <c r="C34" s="175"/>
      <c r="D34" s="180" t="s">
        <v>417</v>
      </c>
      <c r="E34" s="175"/>
      <c r="F34" s="176" t="s">
        <v>274</v>
      </c>
    </row>
    <row r="35" spans="1:6" ht="20.45" customHeight="1">
      <c r="A35" s="175"/>
      <c r="B35" s="181"/>
      <c r="C35" s="175"/>
      <c r="D35" s="180" t="s">
        <v>418</v>
      </c>
      <c r="E35" s="175"/>
      <c r="F35" s="176" t="s">
        <v>275</v>
      </c>
    </row>
    <row r="36" spans="1:6" ht="20.45" customHeight="1">
      <c r="A36" s="175"/>
      <c r="B36" s="181"/>
      <c r="C36" s="175"/>
      <c r="D36" s="180" t="s">
        <v>419</v>
      </c>
      <c r="E36" s="175"/>
      <c r="F36" s="176" t="s">
        <v>276</v>
      </c>
    </row>
    <row r="37" spans="1:6" ht="20.45" customHeight="1">
      <c r="A37" s="175"/>
      <c r="B37" s="181"/>
      <c r="C37" s="175"/>
      <c r="D37" s="180" t="s">
        <v>421</v>
      </c>
      <c r="E37" s="175"/>
      <c r="F37" s="176" t="s">
        <v>277</v>
      </c>
    </row>
    <row r="38" spans="1:6" ht="20.45" customHeight="1">
      <c r="A38" s="175"/>
      <c r="B38" s="181"/>
      <c r="C38" s="175"/>
      <c r="D38" s="180" t="s">
        <v>428</v>
      </c>
      <c r="E38" s="175"/>
      <c r="F38" s="176" t="s">
        <v>278</v>
      </c>
    </row>
    <row r="39" spans="1:6" ht="20.45" customHeight="1">
      <c r="A39" s="175"/>
      <c r="B39" s="181"/>
      <c r="C39" s="175"/>
      <c r="D39" s="180" t="s">
        <v>437</v>
      </c>
      <c r="E39" s="175"/>
      <c r="F39" s="176" t="s">
        <v>279</v>
      </c>
    </row>
    <row r="40" spans="1:6" ht="20.45" customHeight="1">
      <c r="A40" s="175"/>
      <c r="B40" s="181"/>
      <c r="C40" s="175"/>
      <c r="D40" s="180" t="s">
        <v>443</v>
      </c>
      <c r="E40" s="175"/>
      <c r="F40" s="176" t="s">
        <v>280</v>
      </c>
    </row>
    <row r="41" spans="1:6" ht="20.45" customHeight="1">
      <c r="A41" s="175"/>
      <c r="B41" s="181"/>
      <c r="C41" s="175"/>
      <c r="D41" s="180" t="s">
        <v>456</v>
      </c>
      <c r="E41" s="175"/>
      <c r="F41" s="176" t="s">
        <v>281</v>
      </c>
    </row>
    <row r="42" spans="1:6" ht="20.45" customHeight="1">
      <c r="A42" s="175"/>
      <c r="B42" s="181"/>
      <c r="C42" s="175"/>
      <c r="D42" s="180" t="s">
        <v>458</v>
      </c>
      <c r="E42" s="175"/>
      <c r="F42" s="176" t="s">
        <v>282</v>
      </c>
    </row>
    <row r="43" spans="1:6" ht="20.45" customHeight="1">
      <c r="A43" s="175"/>
      <c r="B43" s="181"/>
      <c r="C43" s="175"/>
      <c r="D43" s="180" t="s">
        <v>463</v>
      </c>
      <c r="E43" s="175"/>
      <c r="F43" s="176" t="s">
        <v>283</v>
      </c>
    </row>
    <row r="44" spans="1:6" ht="20.45" customHeight="1">
      <c r="A44" s="175"/>
      <c r="B44" s="181"/>
      <c r="C44" s="175"/>
      <c r="D44" s="180" t="s">
        <v>466</v>
      </c>
      <c r="E44" s="175"/>
      <c r="F44" s="176" t="s">
        <v>284</v>
      </c>
    </row>
    <row r="45" spans="1:6" ht="20.45" customHeight="1">
      <c r="A45" s="175"/>
      <c r="B45" s="181"/>
      <c r="C45" s="175"/>
      <c r="D45" s="180" t="s">
        <v>470</v>
      </c>
      <c r="E45" s="175"/>
      <c r="F45" s="176" t="s">
        <v>285</v>
      </c>
    </row>
    <row r="46" spans="1:6" ht="20.45" customHeight="1">
      <c r="A46" s="175"/>
      <c r="B46" s="181"/>
      <c r="C46" s="175"/>
      <c r="D46" s="180" t="s">
        <v>472</v>
      </c>
      <c r="E46" s="175"/>
      <c r="F46" s="176" t="s">
        <v>286</v>
      </c>
    </row>
    <row r="47" spans="1:6" ht="20.45" customHeight="1">
      <c r="A47" s="175"/>
      <c r="B47" s="181"/>
      <c r="C47" s="175"/>
      <c r="D47" s="180" t="s">
        <v>477</v>
      </c>
      <c r="E47" s="175"/>
      <c r="F47" s="176" t="s">
        <v>287</v>
      </c>
    </row>
    <row r="48" spans="1:6" ht="20.45" customHeight="1">
      <c r="A48" s="175"/>
      <c r="B48" s="181"/>
      <c r="C48" s="175"/>
      <c r="D48" s="180" t="s">
        <v>480</v>
      </c>
      <c r="E48" s="175"/>
      <c r="F48" s="176" t="s">
        <v>288</v>
      </c>
    </row>
    <row r="49" spans="1:6" ht="20.45" customHeight="1">
      <c r="A49" s="175"/>
      <c r="B49" s="181"/>
      <c r="C49" s="175"/>
      <c r="D49" s="180" t="s">
        <v>482</v>
      </c>
      <c r="E49" s="175"/>
      <c r="F49" s="176" t="s">
        <v>289</v>
      </c>
    </row>
    <row r="50" spans="1:6" ht="20.45" customHeight="1">
      <c r="A50" s="175"/>
      <c r="B50" s="181"/>
      <c r="C50" s="175"/>
      <c r="D50" s="180" t="s">
        <v>487</v>
      </c>
      <c r="E50" s="175"/>
      <c r="F50" s="176" t="s">
        <v>290</v>
      </c>
    </row>
    <row r="51" spans="1:6" ht="20.45" customHeight="1">
      <c r="A51" s="175"/>
      <c r="B51" s="181"/>
      <c r="C51" s="175"/>
      <c r="D51" s="180" t="s">
        <v>497</v>
      </c>
      <c r="E51" s="175"/>
      <c r="F51" s="176" t="s">
        <v>291</v>
      </c>
    </row>
    <row r="52" spans="1:6" ht="20.45" customHeight="1">
      <c r="A52" s="175"/>
      <c r="B52" s="181"/>
      <c r="C52" s="175"/>
      <c r="D52" s="180" t="s">
        <v>502</v>
      </c>
      <c r="E52" s="175"/>
      <c r="F52" s="176" t="s">
        <v>292</v>
      </c>
    </row>
    <row r="53" spans="1:6" ht="20.45" customHeight="1">
      <c r="A53" s="175"/>
      <c r="B53" s="181"/>
      <c r="C53" s="175"/>
      <c r="D53" s="180" t="s">
        <v>510</v>
      </c>
      <c r="E53" s="175"/>
      <c r="F53" s="176" t="s">
        <v>294</v>
      </c>
    </row>
    <row r="54" spans="1:6" ht="20.45" customHeight="1">
      <c r="A54" s="175"/>
      <c r="B54" s="181"/>
      <c r="C54" s="175"/>
      <c r="D54" s="180" t="s">
        <v>512</v>
      </c>
      <c r="E54" s="175"/>
      <c r="F54" s="176" t="s">
        <v>295</v>
      </c>
    </row>
    <row r="55" spans="1:6" ht="20.45" customHeight="1">
      <c r="A55" s="175"/>
      <c r="B55" s="181"/>
      <c r="C55" s="175"/>
      <c r="D55" s="180" t="s">
        <v>523</v>
      </c>
      <c r="E55" s="175"/>
      <c r="F55" s="176" t="s">
        <v>296</v>
      </c>
    </row>
    <row r="56" spans="1:6" ht="20.45" customHeight="1">
      <c r="A56" s="175"/>
      <c r="B56" s="181"/>
      <c r="C56" s="175"/>
      <c r="D56" s="180" t="s">
        <v>526</v>
      </c>
      <c r="E56" s="175"/>
      <c r="F56" s="176" t="s">
        <v>297</v>
      </c>
    </row>
    <row r="57" spans="1:6" ht="20.45" customHeight="1">
      <c r="A57" s="175"/>
      <c r="B57" s="181"/>
      <c r="C57" s="175"/>
      <c r="D57" s="180" t="s">
        <v>531</v>
      </c>
      <c r="E57" s="175"/>
      <c r="F57" s="176" t="s">
        <v>298</v>
      </c>
    </row>
    <row r="58" spans="1:6" ht="20.45" customHeight="1">
      <c r="A58" s="175"/>
      <c r="B58" s="181"/>
      <c r="C58" s="175"/>
      <c r="D58" s="180" t="s">
        <v>549</v>
      </c>
      <c r="E58" s="175"/>
      <c r="F58" s="176" t="s">
        <v>299</v>
      </c>
    </row>
    <row r="59" spans="1:6" ht="20.45" customHeight="1">
      <c r="A59" s="175"/>
      <c r="B59" s="181"/>
      <c r="C59" s="175"/>
      <c r="D59" s="180" t="s">
        <v>589</v>
      </c>
      <c r="E59" s="175"/>
      <c r="F59" s="176" t="s">
        <v>300</v>
      </c>
    </row>
    <row r="60" spans="1:6" ht="20.45" customHeight="1">
      <c r="A60" s="175"/>
      <c r="B60" s="181"/>
      <c r="C60" s="175"/>
      <c r="D60" s="180" t="s">
        <v>599</v>
      </c>
      <c r="E60" s="175"/>
      <c r="F60" s="176" t="s">
        <v>301</v>
      </c>
    </row>
    <row r="61" spans="1:6" ht="20.45" customHeight="1">
      <c r="A61" s="175"/>
      <c r="B61" s="181"/>
      <c r="C61" s="175"/>
      <c r="D61" s="180" t="s">
        <v>601</v>
      </c>
      <c r="E61" s="175"/>
      <c r="F61" s="176" t="s">
        <v>302</v>
      </c>
    </row>
    <row r="62" spans="1:6" ht="20.45" customHeight="1">
      <c r="A62" s="175"/>
      <c r="B62" s="181"/>
      <c r="C62" s="175"/>
      <c r="D62" s="180" t="s">
        <v>603</v>
      </c>
      <c r="E62" s="175"/>
      <c r="F62" s="176" t="s">
        <v>303</v>
      </c>
    </row>
    <row r="63" spans="1:6" ht="20.45" customHeight="1">
      <c r="A63" s="175"/>
      <c r="B63" s="181"/>
      <c r="C63" s="175"/>
      <c r="D63" s="180" t="s">
        <v>605</v>
      </c>
      <c r="E63" s="175"/>
      <c r="F63" s="176" t="s">
        <v>304</v>
      </c>
    </row>
    <row r="64" spans="1:6" ht="20.45" customHeight="1">
      <c r="A64" s="175"/>
      <c r="B64" s="181"/>
      <c r="C64" s="175"/>
      <c r="D64" s="180" t="s">
        <v>607</v>
      </c>
      <c r="E64" s="175"/>
      <c r="F64" s="176" t="s">
        <v>305</v>
      </c>
    </row>
    <row r="65" spans="1:6" ht="20.45" customHeight="1">
      <c r="A65" s="175"/>
      <c r="B65" s="181"/>
      <c r="C65" s="175"/>
      <c r="D65" s="180" t="s">
        <v>608</v>
      </c>
      <c r="E65" s="175"/>
      <c r="F65" s="176" t="s">
        <v>307</v>
      </c>
    </row>
    <row r="66" spans="1:6" ht="20.45" customHeight="1">
      <c r="A66" s="175"/>
      <c r="B66" s="181"/>
      <c r="C66" s="175"/>
      <c r="D66" s="180" t="s">
        <v>609</v>
      </c>
      <c r="E66" s="175"/>
      <c r="F66" s="176" t="s">
        <v>308</v>
      </c>
    </row>
    <row r="67" spans="1:6" ht="20.45" customHeight="1">
      <c r="A67" s="175"/>
      <c r="B67" s="181"/>
      <c r="C67" s="175"/>
      <c r="D67" s="180" t="s">
        <v>610</v>
      </c>
      <c r="E67" s="175"/>
      <c r="F67" s="176" t="s">
        <v>309</v>
      </c>
    </row>
    <row r="68" spans="1:6" ht="20.45" customHeight="1">
      <c r="A68" s="175"/>
      <c r="B68" s="181"/>
      <c r="C68" s="175"/>
      <c r="D68" s="180" t="s">
        <v>611</v>
      </c>
      <c r="E68" s="175"/>
      <c r="F68" s="176" t="s">
        <v>310</v>
      </c>
    </row>
    <row r="69" spans="1:6" ht="20.45" customHeight="1">
      <c r="A69" s="175"/>
      <c r="B69" s="181"/>
      <c r="C69" s="175"/>
      <c r="D69" s="180" t="s">
        <v>612</v>
      </c>
      <c r="E69" s="175"/>
      <c r="F69" s="176" t="s">
        <v>311</v>
      </c>
    </row>
    <row r="70" spans="1:6" ht="20.45" customHeight="1">
      <c r="A70" s="175"/>
      <c r="B70" s="181"/>
      <c r="C70" s="175"/>
      <c r="D70" s="180" t="s">
        <v>613</v>
      </c>
      <c r="E70" s="175"/>
      <c r="F70" s="176" t="s">
        <v>312</v>
      </c>
    </row>
    <row r="71" spans="1:6" ht="20.45" customHeight="1">
      <c r="A71" s="175"/>
      <c r="B71" s="181"/>
      <c r="C71" s="175"/>
      <c r="D71" s="180"/>
      <c r="E71" s="175"/>
      <c r="F71" s="176" t="s">
        <v>314</v>
      </c>
    </row>
    <row r="72" spans="1:6" ht="20.45" customHeight="1">
      <c r="A72" s="175"/>
      <c r="B72" s="181"/>
      <c r="C72" s="175"/>
      <c r="D72" s="180"/>
      <c r="E72" s="175"/>
      <c r="F72" s="176" t="s">
        <v>315</v>
      </c>
    </row>
    <row r="73" spans="1:6" ht="20.45" customHeight="1">
      <c r="A73" s="175"/>
      <c r="B73" s="181"/>
      <c r="C73" s="175"/>
      <c r="D73" s="180"/>
      <c r="E73" s="175"/>
      <c r="F73" s="176" t="s">
        <v>316</v>
      </c>
    </row>
    <row r="74" spans="1:6" ht="20.45" customHeight="1">
      <c r="A74" s="175"/>
      <c r="B74" s="181"/>
      <c r="C74" s="175"/>
      <c r="D74" s="180"/>
      <c r="E74" s="175"/>
      <c r="F74" s="176" t="s">
        <v>318</v>
      </c>
    </row>
    <row r="75" spans="1:6" ht="20.45" customHeight="1">
      <c r="A75" s="175"/>
      <c r="B75" s="181"/>
      <c r="C75" s="175"/>
      <c r="D75" s="180"/>
      <c r="E75" s="175"/>
      <c r="F75" s="176" t="s">
        <v>319</v>
      </c>
    </row>
    <row r="76" spans="1:6" ht="20.45" customHeight="1">
      <c r="A76" s="175"/>
      <c r="B76" s="181"/>
      <c r="C76" s="175"/>
      <c r="D76" s="180"/>
      <c r="E76" s="175"/>
      <c r="F76" s="176" t="s">
        <v>320</v>
      </c>
    </row>
    <row r="77" spans="1:6" ht="20.45" customHeight="1">
      <c r="A77" s="175"/>
      <c r="B77" s="181"/>
      <c r="C77" s="175"/>
      <c r="D77" s="180"/>
      <c r="E77" s="175"/>
      <c r="F77" s="176" t="s">
        <v>321</v>
      </c>
    </row>
    <row r="78" spans="1:6" ht="20.45" customHeight="1">
      <c r="A78" s="175"/>
      <c r="B78" s="181"/>
      <c r="C78" s="175"/>
      <c r="D78" s="180"/>
      <c r="E78" s="175"/>
      <c r="F78" s="176" t="s">
        <v>322</v>
      </c>
    </row>
    <row r="79" spans="1:6" ht="20.45" customHeight="1">
      <c r="A79" s="175"/>
      <c r="B79" s="181"/>
      <c r="C79" s="175"/>
      <c r="D79" s="180"/>
      <c r="E79" s="175"/>
      <c r="F79" s="176" t="s">
        <v>323</v>
      </c>
    </row>
    <row r="80" spans="1:6" ht="20.45" customHeight="1">
      <c r="A80" s="175"/>
      <c r="B80" s="181"/>
      <c r="C80" s="175"/>
      <c r="D80" s="180"/>
      <c r="E80" s="175"/>
      <c r="F80" s="176" t="s">
        <v>324</v>
      </c>
    </row>
    <row r="81" spans="1:6" ht="20.45" customHeight="1">
      <c r="A81" s="175"/>
      <c r="B81" s="181"/>
      <c r="C81" s="175"/>
      <c r="D81" s="180"/>
      <c r="E81" s="175"/>
      <c r="F81" s="176" t="s">
        <v>325</v>
      </c>
    </row>
    <row r="82" spans="1:6" ht="20.45" customHeight="1">
      <c r="A82" s="175"/>
      <c r="B82" s="181"/>
      <c r="C82" s="175"/>
      <c r="D82" s="180"/>
      <c r="E82" s="175"/>
      <c r="F82" s="176" t="s">
        <v>326</v>
      </c>
    </row>
    <row r="83" spans="1:6" ht="20.45" customHeight="1">
      <c r="A83" s="175"/>
      <c r="B83" s="181"/>
      <c r="C83" s="175"/>
      <c r="D83" s="180"/>
      <c r="E83" s="175"/>
      <c r="F83" s="176" t="s">
        <v>327</v>
      </c>
    </row>
    <row r="84" spans="1:6" ht="20.45" customHeight="1">
      <c r="A84" s="175"/>
      <c r="B84" s="181"/>
      <c r="C84" s="175"/>
      <c r="D84" s="180"/>
      <c r="E84" s="175"/>
      <c r="F84" s="176" t="s">
        <v>328</v>
      </c>
    </row>
    <row r="85" spans="1:6" ht="20.45" customHeight="1">
      <c r="A85" s="175"/>
      <c r="B85" s="181"/>
      <c r="C85" s="175"/>
      <c r="D85" s="180"/>
      <c r="E85" s="175"/>
      <c r="F85" s="176" t="s">
        <v>329</v>
      </c>
    </row>
    <row r="86" spans="1:6" ht="20.45" customHeight="1">
      <c r="A86" s="175"/>
      <c r="B86" s="181"/>
      <c r="C86" s="175"/>
      <c r="D86" s="180"/>
      <c r="E86" s="175"/>
      <c r="F86" s="176" t="s">
        <v>330</v>
      </c>
    </row>
    <row r="87" spans="1:6" ht="20.45" customHeight="1">
      <c r="A87" s="175"/>
      <c r="B87" s="181"/>
      <c r="C87" s="175"/>
      <c r="D87" s="180"/>
      <c r="E87" s="175"/>
      <c r="F87" s="176" t="s">
        <v>331</v>
      </c>
    </row>
    <row r="88" spans="1:6" ht="20.45" customHeight="1">
      <c r="A88" s="175"/>
      <c r="B88" s="181"/>
      <c r="C88" s="175"/>
      <c r="D88" s="180"/>
      <c r="E88" s="175"/>
      <c r="F88" s="176" t="s">
        <v>332</v>
      </c>
    </row>
    <row r="89" spans="1:6" ht="20.45" customHeight="1">
      <c r="A89" s="175"/>
      <c r="B89" s="181"/>
      <c r="C89" s="175"/>
      <c r="D89" s="180"/>
      <c r="E89" s="175"/>
      <c r="F89" s="176" t="s">
        <v>333</v>
      </c>
    </row>
    <row r="90" spans="1:6" ht="20.45" customHeight="1">
      <c r="A90" s="175"/>
      <c r="B90" s="181"/>
      <c r="C90" s="175"/>
      <c r="D90" s="180"/>
      <c r="E90" s="175"/>
      <c r="F90" s="176" t="s">
        <v>334</v>
      </c>
    </row>
    <row r="91" spans="1:6" ht="20.45" customHeight="1">
      <c r="A91" s="175"/>
      <c r="B91" s="181"/>
      <c r="C91" s="175"/>
      <c r="D91" s="180"/>
      <c r="E91" s="175"/>
      <c r="F91" s="176" t="s">
        <v>336</v>
      </c>
    </row>
    <row r="92" spans="1:6" ht="20.45" customHeight="1">
      <c r="A92" s="175"/>
      <c r="B92" s="181"/>
      <c r="C92" s="175"/>
      <c r="D92" s="180"/>
      <c r="E92" s="175"/>
      <c r="F92" s="176" t="s">
        <v>338</v>
      </c>
    </row>
    <row r="93" spans="1:6" ht="20.45" customHeight="1">
      <c r="A93" s="175"/>
      <c r="B93" s="181"/>
      <c r="C93" s="175"/>
      <c r="D93" s="180"/>
      <c r="E93" s="175"/>
      <c r="F93" s="176" t="s">
        <v>339</v>
      </c>
    </row>
    <row r="94" spans="1:6" ht="20.45" customHeight="1">
      <c r="A94" s="175"/>
      <c r="B94" s="181"/>
      <c r="C94" s="175"/>
      <c r="D94" s="180"/>
      <c r="E94" s="175"/>
      <c r="F94" s="176" t="s">
        <v>340</v>
      </c>
    </row>
    <row r="95" spans="1:6" ht="20.45" customHeight="1">
      <c r="A95" s="175"/>
      <c r="B95" s="181"/>
      <c r="C95" s="175"/>
      <c r="D95" s="180"/>
      <c r="E95" s="175"/>
      <c r="F95" s="176" t="s">
        <v>341</v>
      </c>
    </row>
    <row r="96" spans="1:6" ht="20.45" customHeight="1">
      <c r="A96" s="175"/>
      <c r="B96" s="181"/>
      <c r="C96" s="175"/>
      <c r="D96" s="180"/>
      <c r="E96" s="175"/>
      <c r="F96" s="176" t="s">
        <v>342</v>
      </c>
    </row>
    <row r="97" spans="1:6" ht="20.45" customHeight="1">
      <c r="A97" s="175"/>
      <c r="B97" s="181"/>
      <c r="C97" s="175"/>
      <c r="D97" s="180"/>
      <c r="E97" s="175"/>
      <c r="F97" s="176" t="s">
        <v>343</v>
      </c>
    </row>
    <row r="98" spans="1:6" ht="20.45" customHeight="1">
      <c r="A98" s="175"/>
      <c r="B98" s="181"/>
      <c r="C98" s="175"/>
      <c r="D98" s="180"/>
      <c r="E98" s="175"/>
      <c r="F98" s="176" t="s">
        <v>344</v>
      </c>
    </row>
    <row r="99" spans="1:6" ht="20.45" customHeight="1">
      <c r="A99" s="175"/>
      <c r="B99" s="181"/>
      <c r="C99" s="175"/>
      <c r="D99" s="180"/>
      <c r="E99" s="175"/>
      <c r="F99" s="176" t="s">
        <v>345</v>
      </c>
    </row>
    <row r="100" spans="1:6" ht="20.45" customHeight="1">
      <c r="A100" s="175"/>
      <c r="B100" s="181"/>
      <c r="C100" s="175"/>
      <c r="D100" s="180"/>
      <c r="E100" s="175"/>
      <c r="F100" s="176" t="s">
        <v>347</v>
      </c>
    </row>
    <row r="101" spans="1:6" ht="20.45" customHeight="1">
      <c r="A101" s="175"/>
      <c r="B101" s="181"/>
      <c r="C101" s="175"/>
      <c r="D101" s="180"/>
      <c r="E101" s="175"/>
      <c r="F101" s="176" t="s">
        <v>349</v>
      </c>
    </row>
    <row r="102" spans="1:6" ht="20.45" customHeight="1">
      <c r="A102" s="175"/>
      <c r="B102" s="181"/>
      <c r="C102" s="175"/>
      <c r="D102" s="180"/>
      <c r="E102" s="175"/>
      <c r="F102" s="176" t="s">
        <v>350</v>
      </c>
    </row>
    <row r="103" spans="1:6" ht="20.45" customHeight="1">
      <c r="A103" s="175"/>
      <c r="B103" s="181"/>
      <c r="C103" s="175"/>
      <c r="D103" s="180"/>
      <c r="E103" s="175"/>
      <c r="F103" s="176" t="s">
        <v>348</v>
      </c>
    </row>
    <row r="104" spans="1:6" ht="20.45" customHeight="1">
      <c r="A104" s="175"/>
      <c r="B104" s="181"/>
      <c r="C104" s="175"/>
      <c r="D104" s="180"/>
      <c r="E104" s="175"/>
      <c r="F104" s="176" t="s">
        <v>352</v>
      </c>
    </row>
    <row r="105" spans="1:6" ht="20.45" customHeight="1">
      <c r="A105" s="175"/>
      <c r="B105" s="181"/>
      <c r="C105" s="175"/>
      <c r="D105" s="180"/>
      <c r="E105" s="175"/>
      <c r="F105" s="176" t="s">
        <v>353</v>
      </c>
    </row>
    <row r="106" spans="1:6" ht="20.45" customHeight="1">
      <c r="A106" s="175"/>
      <c r="B106" s="181"/>
      <c r="C106" s="175"/>
      <c r="D106" s="180"/>
      <c r="E106" s="175"/>
      <c r="F106" s="176" t="s">
        <v>354</v>
      </c>
    </row>
    <row r="107" spans="1:6" ht="20.45" customHeight="1">
      <c r="A107" s="175"/>
      <c r="B107" s="181"/>
      <c r="C107" s="175"/>
      <c r="D107" s="180"/>
      <c r="E107" s="175"/>
      <c r="F107" s="176" t="s">
        <v>355</v>
      </c>
    </row>
    <row r="108" spans="1:6" ht="20.45" customHeight="1">
      <c r="A108" s="175"/>
      <c r="B108" s="181"/>
      <c r="C108" s="175"/>
      <c r="D108" s="180"/>
      <c r="E108" s="175"/>
      <c r="F108" s="176" t="s">
        <v>356</v>
      </c>
    </row>
    <row r="109" spans="1:6" ht="20.45" customHeight="1">
      <c r="A109" s="175"/>
      <c r="B109" s="181"/>
      <c r="C109" s="175"/>
      <c r="D109" s="180"/>
      <c r="E109" s="175"/>
      <c r="F109" s="176" t="s">
        <v>357</v>
      </c>
    </row>
    <row r="110" spans="1:6" ht="20.45" customHeight="1">
      <c r="A110" s="175"/>
      <c r="B110" s="181"/>
      <c r="C110" s="175"/>
      <c r="D110" s="180"/>
      <c r="E110" s="175"/>
      <c r="F110" s="176" t="s">
        <v>358</v>
      </c>
    </row>
    <row r="111" spans="1:6" ht="20.45" customHeight="1">
      <c r="A111" s="175"/>
      <c r="B111" s="181"/>
      <c r="C111" s="175"/>
      <c r="D111" s="180"/>
      <c r="E111" s="175"/>
      <c r="F111" s="176" t="s">
        <v>359</v>
      </c>
    </row>
    <row r="112" spans="1:6" ht="20.45" customHeight="1">
      <c r="A112" s="175"/>
      <c r="B112" s="181"/>
      <c r="C112" s="175"/>
      <c r="D112" s="180"/>
      <c r="E112" s="175"/>
      <c r="F112" s="176" t="s">
        <v>360</v>
      </c>
    </row>
    <row r="113" spans="1:6" ht="20.45" customHeight="1">
      <c r="A113" s="175"/>
      <c r="B113" s="181"/>
      <c r="C113" s="175"/>
      <c r="D113" s="180"/>
      <c r="E113" s="175"/>
      <c r="F113" s="176" t="s">
        <v>361</v>
      </c>
    </row>
    <row r="114" spans="1:6" ht="20.45" customHeight="1">
      <c r="A114" s="175"/>
      <c r="B114" s="181"/>
      <c r="C114" s="175"/>
      <c r="D114" s="180"/>
      <c r="E114" s="175"/>
      <c r="F114" s="176" t="s">
        <v>363</v>
      </c>
    </row>
    <row r="115" spans="1:6" ht="20.45" customHeight="1">
      <c r="A115" s="175"/>
      <c r="B115" s="181"/>
      <c r="C115" s="175"/>
      <c r="D115" s="180"/>
      <c r="E115" s="175"/>
      <c r="F115" s="176" t="s">
        <v>364</v>
      </c>
    </row>
    <row r="116" spans="1:6" ht="20.45" customHeight="1">
      <c r="A116" s="175"/>
      <c r="B116" s="181"/>
      <c r="C116" s="175"/>
      <c r="D116" s="180"/>
      <c r="E116" s="175"/>
      <c r="F116" s="176" t="s">
        <v>365</v>
      </c>
    </row>
    <row r="117" spans="1:6" ht="20.45" customHeight="1">
      <c r="A117" s="175"/>
      <c r="B117" s="181"/>
      <c r="C117" s="175"/>
      <c r="D117" s="180"/>
      <c r="E117" s="175"/>
      <c r="F117" s="176" t="s">
        <v>366</v>
      </c>
    </row>
    <row r="118" spans="1:6" ht="20.45" customHeight="1">
      <c r="A118" s="175"/>
      <c r="B118" s="181"/>
      <c r="C118" s="175"/>
      <c r="D118" s="180"/>
      <c r="E118" s="175"/>
      <c r="F118" s="176" t="s">
        <v>367</v>
      </c>
    </row>
    <row r="119" spans="1:6" ht="20.45" customHeight="1">
      <c r="A119" s="175"/>
      <c r="B119" s="181"/>
      <c r="C119" s="175"/>
      <c r="D119" s="180"/>
      <c r="E119" s="175"/>
      <c r="F119" s="176" t="s">
        <v>368</v>
      </c>
    </row>
    <row r="120" spans="1:6" ht="20.45" customHeight="1">
      <c r="A120" s="175"/>
      <c r="B120" s="181"/>
      <c r="C120" s="175"/>
      <c r="D120" s="180"/>
      <c r="E120" s="175"/>
      <c r="F120" s="176" t="s">
        <v>370</v>
      </c>
    </row>
    <row r="121" spans="1:6" ht="20.45" customHeight="1">
      <c r="A121" s="175"/>
      <c r="B121" s="181"/>
      <c r="C121" s="175"/>
      <c r="D121" s="180"/>
      <c r="E121" s="175"/>
      <c r="F121" s="176" t="s">
        <v>371</v>
      </c>
    </row>
    <row r="122" spans="1:6" ht="20.45" customHeight="1">
      <c r="A122" s="175"/>
      <c r="B122" s="181"/>
      <c r="C122" s="175"/>
      <c r="D122" s="180"/>
      <c r="E122" s="175"/>
      <c r="F122" s="176" t="s">
        <v>372</v>
      </c>
    </row>
    <row r="123" spans="1:6" ht="20.45" customHeight="1">
      <c r="A123" s="175"/>
      <c r="B123" s="181"/>
      <c r="C123" s="175"/>
      <c r="D123" s="180"/>
      <c r="E123" s="175"/>
      <c r="F123" s="176" t="s">
        <v>373</v>
      </c>
    </row>
    <row r="124" spans="1:6" ht="20.45" customHeight="1">
      <c r="A124" s="175"/>
      <c r="B124" s="181"/>
      <c r="C124" s="175"/>
      <c r="D124" s="180"/>
      <c r="E124" s="175"/>
      <c r="F124" s="176" t="s">
        <v>374</v>
      </c>
    </row>
    <row r="125" spans="1:6" ht="20.45" customHeight="1">
      <c r="A125" s="175"/>
      <c r="B125" s="181"/>
      <c r="C125" s="175"/>
      <c r="D125" s="180"/>
      <c r="E125" s="175"/>
      <c r="F125" s="176" t="s">
        <v>375</v>
      </c>
    </row>
    <row r="126" spans="1:6" ht="20.45" customHeight="1">
      <c r="A126" s="175"/>
      <c r="B126" s="181"/>
      <c r="C126" s="175"/>
      <c r="D126" s="180"/>
      <c r="E126" s="175"/>
      <c r="F126" s="176" t="s">
        <v>376</v>
      </c>
    </row>
    <row r="127" spans="1:6" ht="20.45" customHeight="1">
      <c r="A127" s="175"/>
      <c r="B127" s="181"/>
      <c r="C127" s="175"/>
      <c r="D127" s="180"/>
      <c r="E127" s="175"/>
      <c r="F127" s="176" t="s">
        <v>377</v>
      </c>
    </row>
    <row r="128" spans="1:6" ht="20.45" customHeight="1">
      <c r="A128" s="175"/>
      <c r="B128" s="181"/>
      <c r="C128" s="175"/>
      <c r="D128" s="180"/>
      <c r="E128" s="175"/>
      <c r="F128" s="176" t="s">
        <v>378</v>
      </c>
    </row>
    <row r="129" spans="1:6" ht="20.45" customHeight="1">
      <c r="A129" s="175"/>
      <c r="B129" s="181"/>
      <c r="C129" s="175"/>
      <c r="D129" s="180"/>
      <c r="E129" s="175"/>
      <c r="F129" s="176" t="s">
        <v>379</v>
      </c>
    </row>
    <row r="130" spans="1:6" ht="20.45" customHeight="1">
      <c r="A130" s="175"/>
      <c r="B130" s="181"/>
      <c r="C130" s="175"/>
      <c r="D130" s="180"/>
      <c r="E130" s="175"/>
      <c r="F130" s="176" t="s">
        <v>381</v>
      </c>
    </row>
    <row r="131" spans="1:6" ht="20.45" customHeight="1">
      <c r="A131" s="175"/>
      <c r="B131" s="181"/>
      <c r="C131" s="175"/>
      <c r="D131" s="180"/>
      <c r="E131" s="175"/>
      <c r="F131" s="176" t="s">
        <v>382</v>
      </c>
    </row>
    <row r="132" spans="1:6" ht="20.45" customHeight="1">
      <c r="A132" s="175"/>
      <c r="B132" s="181"/>
      <c r="C132" s="175"/>
      <c r="D132" s="180"/>
      <c r="E132" s="175"/>
      <c r="F132" s="176" t="s">
        <v>383</v>
      </c>
    </row>
    <row r="133" spans="1:6" ht="20.45" customHeight="1">
      <c r="A133" s="175"/>
      <c r="B133" s="181"/>
      <c r="C133" s="175"/>
      <c r="D133" s="180"/>
      <c r="E133" s="175"/>
      <c r="F133" s="176" t="s">
        <v>384</v>
      </c>
    </row>
    <row r="134" spans="1:6" ht="20.45" customHeight="1">
      <c r="A134" s="175"/>
      <c r="B134" s="181"/>
      <c r="C134" s="175"/>
      <c r="D134" s="180"/>
      <c r="E134" s="175"/>
      <c r="F134" s="176" t="s">
        <v>386</v>
      </c>
    </row>
    <row r="135" spans="1:6" ht="20.45" customHeight="1">
      <c r="A135" s="175"/>
      <c r="B135" s="181"/>
      <c r="C135" s="175"/>
      <c r="D135" s="180"/>
      <c r="E135" s="175"/>
      <c r="F135" s="176" t="s">
        <v>387</v>
      </c>
    </row>
    <row r="136" spans="1:6" ht="20.45" customHeight="1">
      <c r="A136" s="175"/>
      <c r="B136" s="181"/>
      <c r="C136" s="175"/>
      <c r="D136" s="180"/>
      <c r="E136" s="175"/>
      <c r="F136" s="176" t="s">
        <v>388</v>
      </c>
    </row>
    <row r="137" spans="1:6" ht="20.45" customHeight="1">
      <c r="A137" s="175"/>
      <c r="B137" s="181"/>
      <c r="C137" s="175"/>
      <c r="D137" s="180"/>
      <c r="E137" s="175"/>
      <c r="F137" s="176" t="s">
        <v>389</v>
      </c>
    </row>
    <row r="138" spans="1:6" ht="20.45" customHeight="1">
      <c r="A138" s="175"/>
      <c r="B138" s="181"/>
      <c r="C138" s="175"/>
      <c r="D138" s="180"/>
      <c r="E138" s="175"/>
      <c r="F138" s="176" t="s">
        <v>390</v>
      </c>
    </row>
    <row r="139" spans="1:6" ht="20.45" customHeight="1">
      <c r="A139" s="175"/>
      <c r="B139" s="181"/>
      <c r="C139" s="175"/>
      <c r="D139" s="180"/>
      <c r="E139" s="175"/>
      <c r="F139" s="176" t="s">
        <v>392</v>
      </c>
    </row>
    <row r="140" spans="1:6" ht="20.45" customHeight="1">
      <c r="A140" s="175"/>
      <c r="B140" s="181"/>
      <c r="C140" s="175"/>
      <c r="D140" s="180"/>
      <c r="E140" s="175"/>
      <c r="F140" s="176" t="s">
        <v>393</v>
      </c>
    </row>
    <row r="141" spans="1:6" ht="20.45" customHeight="1">
      <c r="A141" s="175"/>
      <c r="B141" s="181"/>
      <c r="C141" s="175"/>
      <c r="D141" s="180"/>
      <c r="E141" s="175"/>
      <c r="F141" s="176" t="s">
        <v>394</v>
      </c>
    </row>
    <row r="142" spans="1:6" ht="20.45" customHeight="1">
      <c r="A142" s="175"/>
      <c r="B142" s="181"/>
      <c r="C142" s="175"/>
      <c r="D142" s="180"/>
      <c r="E142" s="175"/>
      <c r="F142" s="176" t="s">
        <v>396</v>
      </c>
    </row>
    <row r="143" spans="1:6" ht="20.45" customHeight="1">
      <c r="A143" s="175"/>
      <c r="B143" s="181"/>
      <c r="C143" s="175"/>
      <c r="D143" s="180"/>
      <c r="E143" s="175"/>
      <c r="F143" s="176" t="s">
        <v>397</v>
      </c>
    </row>
    <row r="144" spans="1:6" ht="20.45" customHeight="1">
      <c r="A144" s="175"/>
      <c r="B144" s="181"/>
      <c r="C144" s="175"/>
      <c r="D144" s="180"/>
      <c r="E144" s="175"/>
      <c r="F144" s="176" t="s">
        <v>398</v>
      </c>
    </row>
    <row r="145" spans="1:6" ht="20.45" customHeight="1">
      <c r="A145" s="175"/>
      <c r="B145" s="181"/>
      <c r="C145" s="175"/>
      <c r="D145" s="180"/>
      <c r="E145" s="175"/>
      <c r="F145" s="176" t="s">
        <v>399</v>
      </c>
    </row>
    <row r="146" spans="1:6" ht="20.45" customHeight="1">
      <c r="A146" s="175"/>
      <c r="B146" s="181"/>
      <c r="C146" s="175"/>
      <c r="D146" s="180"/>
      <c r="E146" s="175"/>
      <c r="F146" s="176" t="s">
        <v>401</v>
      </c>
    </row>
    <row r="147" spans="1:6" ht="20.45" customHeight="1">
      <c r="A147" s="175"/>
      <c r="B147" s="181"/>
      <c r="C147" s="175"/>
      <c r="D147" s="180"/>
      <c r="E147" s="175"/>
      <c r="F147" s="176" t="s">
        <v>402</v>
      </c>
    </row>
    <row r="148" spans="1:6" ht="20.45" customHeight="1">
      <c r="A148" s="175"/>
      <c r="B148" s="181"/>
      <c r="C148" s="175"/>
      <c r="D148" s="180"/>
      <c r="E148" s="175"/>
      <c r="F148" s="176" t="s">
        <v>403</v>
      </c>
    </row>
    <row r="149" spans="1:6" ht="20.45" customHeight="1">
      <c r="A149" s="175"/>
      <c r="B149" s="181"/>
      <c r="C149" s="175"/>
      <c r="D149" s="180"/>
      <c r="E149" s="175"/>
      <c r="F149" s="176" t="s">
        <v>404</v>
      </c>
    </row>
    <row r="150" spans="1:6" ht="20.45" customHeight="1">
      <c r="A150" s="175"/>
      <c r="B150" s="181"/>
      <c r="C150" s="175"/>
      <c r="D150" s="180"/>
      <c r="E150" s="175"/>
      <c r="F150" s="176" t="s">
        <v>405</v>
      </c>
    </row>
    <row r="151" spans="1:6" ht="20.45" customHeight="1">
      <c r="A151" s="175"/>
      <c r="B151" s="181"/>
      <c r="C151" s="175"/>
      <c r="D151" s="180"/>
      <c r="E151" s="175"/>
      <c r="F151" s="176" t="s">
        <v>406</v>
      </c>
    </row>
    <row r="152" spans="1:6" ht="20.45" customHeight="1">
      <c r="A152" s="175"/>
      <c r="B152" s="181"/>
      <c r="C152" s="175"/>
      <c r="D152" s="180"/>
      <c r="E152" s="175"/>
      <c r="F152" s="176" t="s">
        <v>408</v>
      </c>
    </row>
    <row r="153" spans="1:6" ht="20.45" customHeight="1">
      <c r="A153" s="175"/>
      <c r="B153" s="181"/>
      <c r="C153" s="175"/>
      <c r="D153" s="180"/>
      <c r="E153" s="175"/>
      <c r="F153" s="176" t="s">
        <v>407</v>
      </c>
    </row>
    <row r="154" spans="1:6" ht="20.45" customHeight="1">
      <c r="A154" s="175"/>
      <c r="B154" s="181"/>
      <c r="C154" s="175"/>
      <c r="D154" s="180"/>
      <c r="E154" s="175"/>
      <c r="F154" s="176" t="s">
        <v>410</v>
      </c>
    </row>
    <row r="155" spans="1:6" ht="20.45" customHeight="1">
      <c r="A155" s="175"/>
      <c r="B155" s="181"/>
      <c r="C155" s="175"/>
      <c r="D155" s="180"/>
      <c r="E155" s="175"/>
      <c r="F155" s="176" t="s">
        <v>411</v>
      </c>
    </row>
    <row r="156" spans="1:6" ht="20.45" customHeight="1">
      <c r="A156" s="175"/>
      <c r="B156" s="181"/>
      <c r="C156" s="175"/>
      <c r="D156" s="180"/>
      <c r="E156" s="175"/>
      <c r="F156" s="176" t="s">
        <v>412</v>
      </c>
    </row>
    <row r="157" spans="1:6" ht="20.45" customHeight="1">
      <c r="A157" s="175"/>
      <c r="B157" s="181"/>
      <c r="C157" s="175"/>
      <c r="D157" s="180"/>
      <c r="E157" s="175"/>
      <c r="F157" s="176" t="s">
        <v>414</v>
      </c>
    </row>
    <row r="158" spans="1:6" ht="20.45" customHeight="1">
      <c r="A158" s="175"/>
      <c r="B158" s="181"/>
      <c r="C158" s="175"/>
      <c r="D158" s="180"/>
      <c r="E158" s="175"/>
      <c r="F158" s="176" t="s">
        <v>416</v>
      </c>
    </row>
    <row r="159" spans="1:6" ht="20.45" customHeight="1">
      <c r="A159" s="175"/>
      <c r="B159" s="181"/>
      <c r="C159" s="175"/>
      <c r="D159" s="180"/>
      <c r="E159" s="175"/>
      <c r="F159" s="180" t="s">
        <v>649</v>
      </c>
    </row>
    <row r="160" spans="1:6" ht="20.45" customHeight="1">
      <c r="A160" s="175"/>
      <c r="B160" s="181"/>
      <c r="C160" s="175"/>
      <c r="D160" s="180"/>
      <c r="E160" s="175"/>
      <c r="F160" s="180" t="s">
        <v>417</v>
      </c>
    </row>
    <row r="161" spans="1:6" ht="20.45" customHeight="1">
      <c r="A161" s="175"/>
      <c r="B161" s="181"/>
      <c r="C161" s="175"/>
      <c r="D161" s="180"/>
      <c r="E161" s="175"/>
      <c r="F161" s="180" t="s">
        <v>418</v>
      </c>
    </row>
    <row r="162" spans="1:6" ht="20.45" customHeight="1">
      <c r="A162" s="175"/>
      <c r="B162" s="181"/>
      <c r="C162" s="175"/>
      <c r="D162" s="180"/>
      <c r="E162" s="175"/>
      <c r="F162" s="180" t="s">
        <v>419</v>
      </c>
    </row>
    <row r="163" spans="1:6" ht="20.45" customHeight="1">
      <c r="A163" s="175"/>
      <c r="C163" s="175"/>
      <c r="D163" s="180"/>
      <c r="E163" s="175"/>
      <c r="F163" s="176" t="s">
        <v>422</v>
      </c>
    </row>
    <row r="164" spans="1:6" ht="20.45" customHeight="1">
      <c r="A164" s="175"/>
      <c r="B164" s="181"/>
      <c r="C164" s="175"/>
      <c r="D164" s="180"/>
      <c r="E164" s="175"/>
      <c r="F164" s="176" t="s">
        <v>423</v>
      </c>
    </row>
    <row r="165" spans="1:6" ht="20.45" customHeight="1">
      <c r="A165" s="175"/>
      <c r="B165" s="181"/>
      <c r="C165" s="175"/>
      <c r="D165" s="180"/>
      <c r="E165" s="175"/>
      <c r="F165" s="176" t="s">
        <v>424</v>
      </c>
    </row>
    <row r="166" spans="1:6" ht="20.45" customHeight="1">
      <c r="A166" s="175"/>
      <c r="B166" s="181"/>
      <c r="C166" s="175"/>
      <c r="D166" s="180"/>
      <c r="E166" s="175"/>
      <c r="F166" s="176" t="s">
        <v>425</v>
      </c>
    </row>
    <row r="167" spans="1:6" ht="20.45" customHeight="1">
      <c r="A167" s="175"/>
      <c r="B167" s="181"/>
      <c r="C167" s="175"/>
      <c r="D167" s="180"/>
      <c r="E167" s="175"/>
      <c r="F167" s="176" t="s">
        <v>426</v>
      </c>
    </row>
    <row r="168" spans="1:6" ht="20.45" customHeight="1">
      <c r="A168" s="175"/>
      <c r="B168" s="181"/>
      <c r="C168" s="175"/>
      <c r="D168" s="180"/>
      <c r="E168" s="175"/>
      <c r="F168" s="176" t="s">
        <v>427</v>
      </c>
    </row>
    <row r="169" spans="1:6" ht="20.45" customHeight="1">
      <c r="A169" s="175"/>
      <c r="B169" s="181"/>
      <c r="C169" s="175"/>
      <c r="D169" s="180"/>
      <c r="E169" s="175"/>
      <c r="F169" s="176" t="s">
        <v>429</v>
      </c>
    </row>
    <row r="170" spans="1:6" ht="20.45" customHeight="1">
      <c r="A170" s="175"/>
      <c r="B170" s="181"/>
      <c r="C170" s="175"/>
      <c r="D170" s="180"/>
      <c r="E170" s="175"/>
      <c r="F170" s="176" t="s">
        <v>430</v>
      </c>
    </row>
    <row r="171" spans="1:6" ht="20.45" customHeight="1">
      <c r="A171" s="175"/>
      <c r="B171" s="181"/>
      <c r="C171" s="175"/>
      <c r="D171" s="180"/>
      <c r="E171" s="175"/>
      <c r="F171" s="176" t="s">
        <v>431</v>
      </c>
    </row>
    <row r="172" spans="1:6" ht="20.45" customHeight="1">
      <c r="A172" s="175"/>
      <c r="B172" s="181"/>
      <c r="C172" s="175"/>
      <c r="D172" s="180"/>
      <c r="E172" s="175"/>
      <c r="F172" s="176" t="s">
        <v>432</v>
      </c>
    </row>
    <row r="173" spans="1:6" ht="20.45" customHeight="1">
      <c r="A173" s="175"/>
      <c r="B173" s="181"/>
      <c r="C173" s="175"/>
      <c r="D173" s="180"/>
      <c r="E173" s="175"/>
      <c r="F173" s="176" t="s">
        <v>433</v>
      </c>
    </row>
    <row r="174" spans="1:6" ht="20.45" customHeight="1">
      <c r="A174" s="175"/>
      <c r="B174" s="181"/>
      <c r="C174" s="175"/>
      <c r="D174" s="180"/>
      <c r="E174" s="175"/>
      <c r="F174" s="176" t="s">
        <v>434</v>
      </c>
    </row>
    <row r="175" spans="1:6" ht="20.45" customHeight="1">
      <c r="A175" s="175"/>
      <c r="B175" s="181"/>
      <c r="C175" s="175"/>
      <c r="D175" s="180"/>
      <c r="E175" s="175"/>
      <c r="F175" s="176" t="s">
        <v>435</v>
      </c>
    </row>
    <row r="176" spans="1:6" ht="20.45" customHeight="1">
      <c r="A176" s="175"/>
      <c r="B176" s="181"/>
      <c r="C176" s="175"/>
      <c r="D176" s="180"/>
      <c r="E176" s="175"/>
      <c r="F176" s="176" t="s">
        <v>436</v>
      </c>
    </row>
    <row r="177" spans="1:6" ht="20.45" customHeight="1">
      <c r="A177" s="175"/>
      <c r="B177" s="181"/>
      <c r="C177" s="175"/>
      <c r="D177" s="180"/>
      <c r="E177" s="175"/>
      <c r="F177" s="176" t="s">
        <v>438</v>
      </c>
    </row>
    <row r="178" spans="1:6" ht="20.45" customHeight="1">
      <c r="A178" s="175"/>
      <c r="B178" s="181"/>
      <c r="C178" s="175"/>
      <c r="D178" s="180"/>
      <c r="E178" s="175"/>
      <c r="F178" s="176" t="s">
        <v>439</v>
      </c>
    </row>
    <row r="179" spans="1:6" ht="20.45" customHeight="1">
      <c r="A179" s="175"/>
      <c r="B179" s="181"/>
      <c r="C179" s="175"/>
      <c r="D179" s="180"/>
      <c r="E179" s="175"/>
      <c r="F179" s="176" t="s">
        <v>440</v>
      </c>
    </row>
    <row r="180" spans="1:6" ht="20.45" customHeight="1">
      <c r="A180" s="175"/>
      <c r="B180" s="181"/>
      <c r="C180" s="175"/>
      <c r="D180" s="180"/>
      <c r="E180" s="175"/>
      <c r="F180" s="176" t="s">
        <v>441</v>
      </c>
    </row>
    <row r="181" spans="1:6" ht="20.45" customHeight="1">
      <c r="A181" s="175"/>
      <c r="B181" s="181"/>
      <c r="C181" s="175"/>
      <c r="D181" s="180"/>
      <c r="E181" s="175"/>
      <c r="F181" s="176" t="s">
        <v>442</v>
      </c>
    </row>
    <row r="182" spans="1:6" ht="20.45" customHeight="1">
      <c r="A182" s="175"/>
      <c r="B182" s="181"/>
      <c r="C182" s="175"/>
      <c r="D182" s="180"/>
      <c r="E182" s="175"/>
      <c r="F182" s="176" t="s">
        <v>444</v>
      </c>
    </row>
    <row r="183" spans="1:6" ht="20.45" customHeight="1">
      <c r="A183" s="175"/>
      <c r="B183" s="181"/>
      <c r="C183" s="175"/>
      <c r="D183" s="180"/>
      <c r="E183" s="175"/>
      <c r="F183" s="176" t="s">
        <v>445</v>
      </c>
    </row>
    <row r="184" spans="1:6" ht="20.45" customHeight="1">
      <c r="A184" s="175"/>
      <c r="B184" s="181"/>
      <c r="C184" s="175"/>
      <c r="D184" s="180"/>
      <c r="E184" s="175"/>
      <c r="F184" s="176" t="s">
        <v>446</v>
      </c>
    </row>
    <row r="185" spans="1:6" ht="20.45" customHeight="1">
      <c r="A185" s="175"/>
      <c r="B185" s="181"/>
      <c r="C185" s="175"/>
      <c r="D185" s="180"/>
      <c r="E185" s="175"/>
      <c r="F185" s="176" t="s">
        <v>447</v>
      </c>
    </row>
    <row r="186" spans="1:6" ht="20.45" customHeight="1">
      <c r="A186" s="175"/>
      <c r="B186" s="181"/>
      <c r="C186" s="175"/>
      <c r="D186" s="180"/>
      <c r="E186" s="175"/>
      <c r="F186" s="176" t="s">
        <v>448</v>
      </c>
    </row>
    <row r="187" spans="1:6" ht="20.45" customHeight="1">
      <c r="A187" s="175"/>
      <c r="B187" s="181"/>
      <c r="C187" s="175"/>
      <c r="D187" s="180"/>
      <c r="E187" s="175"/>
      <c r="F187" s="176" t="s">
        <v>449</v>
      </c>
    </row>
    <row r="188" spans="1:6" ht="20.45" customHeight="1">
      <c r="A188" s="175"/>
      <c r="B188" s="181"/>
      <c r="C188" s="175"/>
      <c r="D188" s="180"/>
      <c r="E188" s="175"/>
      <c r="F188" s="176" t="s">
        <v>450</v>
      </c>
    </row>
    <row r="189" spans="1:6" ht="20.45" customHeight="1">
      <c r="A189" s="175"/>
      <c r="B189" s="181"/>
      <c r="C189" s="175"/>
      <c r="D189" s="180"/>
      <c r="E189" s="175"/>
      <c r="F189" s="176" t="s">
        <v>451</v>
      </c>
    </row>
    <row r="190" spans="1:6" ht="20.45" customHeight="1">
      <c r="A190" s="175"/>
      <c r="B190" s="181"/>
      <c r="C190" s="175"/>
      <c r="D190" s="180"/>
      <c r="E190" s="175"/>
      <c r="F190" s="176" t="s">
        <v>452</v>
      </c>
    </row>
    <row r="191" spans="1:6" ht="20.45" customHeight="1">
      <c r="A191" s="175"/>
      <c r="B191" s="181"/>
      <c r="C191" s="175"/>
      <c r="D191" s="180"/>
      <c r="E191" s="175"/>
      <c r="F191" s="176" t="s">
        <v>453</v>
      </c>
    </row>
    <row r="192" spans="1:6" ht="20.45" customHeight="1">
      <c r="A192" s="175"/>
      <c r="B192" s="181"/>
      <c r="C192" s="175"/>
      <c r="D192" s="180"/>
      <c r="E192" s="175"/>
      <c r="F192" s="176" t="s">
        <v>454</v>
      </c>
    </row>
    <row r="193" spans="1:6" ht="20.45" customHeight="1">
      <c r="A193" s="175"/>
      <c r="B193" s="181"/>
      <c r="C193" s="175"/>
      <c r="D193" s="180"/>
      <c r="E193" s="175"/>
      <c r="F193" s="176" t="s">
        <v>455</v>
      </c>
    </row>
    <row r="194" spans="1:6" ht="20.45" customHeight="1">
      <c r="A194" s="175"/>
      <c r="B194" s="181"/>
      <c r="C194" s="175"/>
      <c r="D194" s="180"/>
      <c r="E194" s="175"/>
      <c r="F194" s="176" t="s">
        <v>457</v>
      </c>
    </row>
    <row r="195" spans="1:6" ht="20.45" customHeight="1">
      <c r="A195" s="175"/>
      <c r="B195" s="181"/>
      <c r="C195" s="175"/>
      <c r="D195" s="180"/>
      <c r="E195" s="175"/>
      <c r="F195" s="176" t="s">
        <v>459</v>
      </c>
    </row>
    <row r="196" spans="1:6" ht="20.45" customHeight="1">
      <c r="A196" s="175"/>
      <c r="B196" s="181"/>
      <c r="C196" s="175"/>
      <c r="D196" s="180"/>
      <c r="E196" s="175"/>
      <c r="F196" s="176" t="s">
        <v>460</v>
      </c>
    </row>
    <row r="197" spans="1:6" ht="20.45" customHeight="1">
      <c r="A197" s="175"/>
      <c r="B197" s="181"/>
      <c r="C197" s="175"/>
      <c r="D197" s="180"/>
      <c r="E197" s="175"/>
      <c r="F197" s="176" t="s">
        <v>461</v>
      </c>
    </row>
    <row r="198" spans="1:6" ht="20.45" customHeight="1">
      <c r="A198" s="175"/>
      <c r="B198" s="181"/>
      <c r="C198" s="175"/>
      <c r="D198" s="180"/>
      <c r="E198" s="175"/>
      <c r="F198" s="176" t="s">
        <v>462</v>
      </c>
    </row>
    <row r="199" spans="1:6" ht="20.45" customHeight="1">
      <c r="A199" s="175"/>
      <c r="B199" s="181"/>
      <c r="C199" s="175"/>
      <c r="D199" s="180"/>
      <c r="E199" s="175"/>
      <c r="F199" s="176" t="s">
        <v>464</v>
      </c>
    </row>
    <row r="200" spans="1:6" ht="20.45" customHeight="1">
      <c r="A200" s="175"/>
      <c r="B200" s="181"/>
      <c r="C200" s="175"/>
      <c r="D200" s="180"/>
      <c r="E200" s="175"/>
      <c r="F200" s="176" t="s">
        <v>465</v>
      </c>
    </row>
    <row r="201" spans="1:6" ht="20.45" customHeight="1">
      <c r="A201" s="175"/>
      <c r="B201" s="181"/>
      <c r="C201" s="175"/>
      <c r="D201" s="180"/>
      <c r="E201" s="175"/>
      <c r="F201" s="176" t="s">
        <v>467</v>
      </c>
    </row>
    <row r="202" spans="1:6" ht="20.45" customHeight="1">
      <c r="A202" s="175"/>
      <c r="B202" s="181"/>
      <c r="C202" s="175"/>
      <c r="D202" s="180"/>
      <c r="E202" s="175"/>
      <c r="F202" s="176" t="s">
        <v>468</v>
      </c>
    </row>
    <row r="203" spans="1:6" ht="20.45" customHeight="1">
      <c r="A203" s="175"/>
      <c r="B203" s="181"/>
      <c r="C203" s="175"/>
      <c r="D203" s="180"/>
      <c r="E203" s="175"/>
      <c r="F203" s="176" t="s">
        <v>469</v>
      </c>
    </row>
    <row r="204" spans="1:6" ht="20.45" customHeight="1">
      <c r="A204" s="175"/>
      <c r="B204" s="181"/>
      <c r="C204" s="175"/>
      <c r="D204" s="180"/>
      <c r="E204" s="175"/>
      <c r="F204" s="176" t="s">
        <v>471</v>
      </c>
    </row>
    <row r="205" spans="1:6" ht="20.45" customHeight="1">
      <c r="A205" s="175"/>
      <c r="B205" s="181"/>
      <c r="C205" s="175"/>
      <c r="D205" s="180"/>
      <c r="E205" s="175"/>
      <c r="F205" s="176" t="s">
        <v>473</v>
      </c>
    </row>
    <row r="206" spans="1:6" ht="20.45" customHeight="1">
      <c r="A206" s="175"/>
      <c r="B206" s="181"/>
      <c r="C206" s="175"/>
      <c r="D206" s="180"/>
      <c r="E206" s="175"/>
      <c r="F206" s="176" t="s">
        <v>474</v>
      </c>
    </row>
    <row r="207" spans="1:6" ht="20.45" customHeight="1">
      <c r="A207" s="175"/>
      <c r="B207" s="181"/>
      <c r="C207" s="175"/>
      <c r="D207" s="180"/>
      <c r="E207" s="175"/>
      <c r="F207" s="176" t="s">
        <v>475</v>
      </c>
    </row>
    <row r="208" spans="1:6" ht="20.45" customHeight="1">
      <c r="A208" s="175"/>
      <c r="B208" s="181"/>
      <c r="C208" s="175"/>
      <c r="D208" s="180"/>
      <c r="E208" s="175"/>
      <c r="F208" s="176" t="s">
        <v>476</v>
      </c>
    </row>
    <row r="209" spans="1:6" ht="20.45" customHeight="1">
      <c r="A209" s="175"/>
      <c r="B209" s="181"/>
      <c r="C209" s="175"/>
      <c r="D209" s="180"/>
      <c r="E209" s="175"/>
      <c r="F209" s="176" t="s">
        <v>478</v>
      </c>
    </row>
    <row r="210" spans="1:6" ht="20.45" customHeight="1">
      <c r="A210" s="175"/>
      <c r="B210" s="181"/>
      <c r="C210" s="175"/>
      <c r="D210" s="180"/>
      <c r="E210" s="175"/>
      <c r="F210" s="176" t="s">
        <v>479</v>
      </c>
    </row>
    <row r="211" spans="1:6" ht="20.45" customHeight="1">
      <c r="A211" s="175"/>
      <c r="B211" s="181"/>
      <c r="C211" s="175"/>
      <c r="D211" s="180"/>
      <c r="E211" s="175"/>
      <c r="F211" s="176" t="s">
        <v>481</v>
      </c>
    </row>
    <row r="212" spans="1:6" ht="20.45" customHeight="1">
      <c r="A212" s="175"/>
      <c r="B212" s="181"/>
      <c r="C212" s="175"/>
      <c r="D212" s="180"/>
      <c r="E212" s="175"/>
      <c r="F212" s="176" t="s">
        <v>483</v>
      </c>
    </row>
    <row r="213" spans="1:6" ht="20.45" customHeight="1">
      <c r="A213" s="175"/>
      <c r="B213" s="181"/>
      <c r="C213" s="175"/>
      <c r="D213" s="180"/>
      <c r="E213" s="175"/>
      <c r="F213" s="176" t="s">
        <v>484</v>
      </c>
    </row>
    <row r="214" spans="1:6" ht="20.45" customHeight="1">
      <c r="A214" s="175"/>
      <c r="B214" s="181"/>
      <c r="C214" s="175"/>
      <c r="D214" s="180"/>
      <c r="E214" s="175"/>
      <c r="F214" s="176" t="s">
        <v>485</v>
      </c>
    </row>
    <row r="215" spans="1:6" ht="20.45" customHeight="1">
      <c r="A215" s="175"/>
      <c r="B215" s="181"/>
      <c r="C215" s="175"/>
      <c r="D215" s="180"/>
      <c r="E215" s="175"/>
      <c r="F215" s="176" t="s">
        <v>488</v>
      </c>
    </row>
    <row r="216" spans="1:6" ht="20.45" customHeight="1">
      <c r="A216" s="175"/>
      <c r="B216" s="181"/>
      <c r="C216" s="175"/>
      <c r="D216" s="180"/>
      <c r="E216" s="175"/>
      <c r="F216" s="176" t="s">
        <v>489</v>
      </c>
    </row>
    <row r="217" spans="1:6" ht="20.45" customHeight="1">
      <c r="A217" s="175"/>
      <c r="B217" s="181"/>
      <c r="C217" s="175"/>
      <c r="D217" s="180"/>
      <c r="E217" s="175"/>
      <c r="F217" s="176" t="s">
        <v>490</v>
      </c>
    </row>
    <row r="218" spans="1:6" ht="20.45" customHeight="1">
      <c r="A218" s="175"/>
      <c r="B218" s="181"/>
      <c r="C218" s="175"/>
      <c r="D218" s="180"/>
      <c r="E218" s="175"/>
      <c r="F218" s="176" t="s">
        <v>491</v>
      </c>
    </row>
    <row r="219" spans="1:6" ht="20.45" customHeight="1">
      <c r="A219" s="175"/>
      <c r="B219" s="181"/>
      <c r="C219" s="175"/>
      <c r="D219" s="180"/>
      <c r="E219" s="175"/>
      <c r="F219" s="176" t="s">
        <v>492</v>
      </c>
    </row>
    <row r="220" spans="1:6" ht="20.45" customHeight="1">
      <c r="A220" s="175"/>
      <c r="B220" s="181"/>
      <c r="C220" s="175"/>
      <c r="D220" s="180"/>
      <c r="E220" s="175"/>
      <c r="F220" s="176" t="s">
        <v>493</v>
      </c>
    </row>
    <row r="221" spans="1:6" ht="20.45" customHeight="1">
      <c r="A221" s="175"/>
      <c r="B221" s="181"/>
      <c r="C221" s="175"/>
      <c r="D221" s="180"/>
      <c r="E221" s="175"/>
      <c r="F221" s="176" t="s">
        <v>494</v>
      </c>
    </row>
    <row r="222" spans="1:6" ht="20.45" customHeight="1">
      <c r="A222" s="175"/>
      <c r="B222" s="181"/>
      <c r="C222" s="175"/>
      <c r="D222" s="180"/>
      <c r="E222" s="175"/>
      <c r="F222" s="176" t="s">
        <v>495</v>
      </c>
    </row>
    <row r="223" spans="1:6" ht="20.45" customHeight="1">
      <c r="A223" s="175"/>
      <c r="B223" s="181"/>
      <c r="C223" s="175"/>
      <c r="D223" s="180"/>
      <c r="E223" s="175"/>
      <c r="F223" s="176" t="s">
        <v>496</v>
      </c>
    </row>
    <row r="224" spans="1:6" ht="20.45" customHeight="1">
      <c r="A224" s="175"/>
      <c r="B224" s="181"/>
      <c r="C224" s="175"/>
      <c r="D224" s="180"/>
      <c r="E224" s="175"/>
      <c r="F224" s="176" t="s">
        <v>498</v>
      </c>
    </row>
    <row r="225" spans="1:6" ht="20.45" customHeight="1">
      <c r="A225" s="175"/>
      <c r="B225" s="181"/>
      <c r="C225" s="175"/>
      <c r="D225" s="180"/>
      <c r="E225" s="175"/>
      <c r="F225" s="176" t="s">
        <v>499</v>
      </c>
    </row>
    <row r="226" spans="1:6" ht="20.45" customHeight="1">
      <c r="A226" s="175"/>
      <c r="B226" s="181"/>
      <c r="C226" s="175"/>
      <c r="D226" s="180"/>
      <c r="E226" s="175"/>
      <c r="F226" s="176" t="s">
        <v>500</v>
      </c>
    </row>
    <row r="227" spans="1:6" ht="20.45" customHeight="1">
      <c r="A227" s="175"/>
      <c r="B227" s="181"/>
      <c r="C227" s="175"/>
      <c r="D227" s="180"/>
      <c r="E227" s="175"/>
      <c r="F227" s="176" t="s">
        <v>501</v>
      </c>
    </row>
    <row r="228" spans="1:6" ht="20.45" customHeight="1">
      <c r="A228" s="175"/>
      <c r="B228" s="181"/>
      <c r="C228" s="175"/>
      <c r="D228" s="180"/>
      <c r="E228" s="175"/>
      <c r="F228" s="176" t="s">
        <v>503</v>
      </c>
    </row>
    <row r="229" spans="1:6" ht="20.45" customHeight="1">
      <c r="A229" s="175"/>
      <c r="B229" s="181"/>
      <c r="C229" s="175"/>
      <c r="D229" s="180"/>
      <c r="E229" s="175"/>
      <c r="F229" s="176" t="s">
        <v>504</v>
      </c>
    </row>
    <row r="230" spans="1:6" ht="20.45" customHeight="1">
      <c r="A230" s="175"/>
      <c r="B230" s="181"/>
      <c r="C230" s="175"/>
      <c r="D230" s="180"/>
      <c r="E230" s="175"/>
      <c r="F230" s="176" t="s">
        <v>505</v>
      </c>
    </row>
    <row r="231" spans="1:6" ht="20.45" customHeight="1">
      <c r="A231" s="175"/>
      <c r="B231" s="181"/>
      <c r="C231" s="175"/>
      <c r="D231" s="180"/>
      <c r="E231" s="175"/>
      <c r="F231" s="176" t="s">
        <v>506</v>
      </c>
    </row>
    <row r="232" spans="1:6" ht="20.45" customHeight="1">
      <c r="A232" s="175"/>
      <c r="B232" s="181"/>
      <c r="C232" s="175"/>
      <c r="D232" s="180"/>
      <c r="E232" s="175"/>
      <c r="F232" s="176" t="s">
        <v>507</v>
      </c>
    </row>
    <row r="233" spans="1:6" ht="20.45" customHeight="1">
      <c r="A233" s="175"/>
      <c r="B233" s="181"/>
      <c r="C233" s="175"/>
      <c r="D233" s="180"/>
      <c r="E233" s="175"/>
      <c r="F233" s="176" t="s">
        <v>508</v>
      </c>
    </row>
    <row r="234" spans="1:6" ht="20.45" customHeight="1">
      <c r="A234" s="175"/>
      <c r="B234" s="181"/>
      <c r="C234" s="175"/>
      <c r="D234" s="180"/>
      <c r="E234" s="175"/>
      <c r="F234" s="176" t="s">
        <v>509</v>
      </c>
    </row>
    <row r="235" spans="1:6" ht="20.45" customHeight="1">
      <c r="A235" s="175"/>
      <c r="B235" s="181"/>
      <c r="C235" s="175"/>
      <c r="D235" s="180"/>
      <c r="E235" s="175"/>
      <c r="F235" s="176" t="s">
        <v>511</v>
      </c>
    </row>
    <row r="236" spans="1:6" ht="20.45" customHeight="1">
      <c r="A236" s="175"/>
      <c r="B236" s="181"/>
      <c r="C236" s="175"/>
      <c r="D236" s="180"/>
      <c r="E236" s="175"/>
      <c r="F236" s="176" t="s">
        <v>513</v>
      </c>
    </row>
    <row r="237" spans="1:6" ht="20.45" customHeight="1">
      <c r="A237" s="175"/>
      <c r="B237" s="181"/>
      <c r="C237" s="175"/>
      <c r="D237" s="180"/>
      <c r="E237" s="175"/>
      <c r="F237" s="176" t="s">
        <v>514</v>
      </c>
    </row>
    <row r="238" spans="1:6" ht="20.45" customHeight="1">
      <c r="A238" s="175"/>
      <c r="B238" s="181"/>
      <c r="C238" s="175"/>
      <c r="D238" s="180"/>
      <c r="E238" s="175"/>
      <c r="F238" s="176" t="s">
        <v>515</v>
      </c>
    </row>
    <row r="239" spans="1:6" ht="20.45" customHeight="1">
      <c r="A239" s="175"/>
      <c r="B239" s="181"/>
      <c r="C239" s="175"/>
      <c r="D239" s="180"/>
      <c r="E239" s="175"/>
      <c r="F239" s="176" t="s">
        <v>516</v>
      </c>
    </row>
    <row r="240" spans="1:6" ht="20.45" customHeight="1">
      <c r="A240" s="175"/>
      <c r="B240" s="181"/>
      <c r="C240" s="175"/>
      <c r="D240" s="180"/>
      <c r="E240" s="175"/>
      <c r="F240" s="176" t="s">
        <v>517</v>
      </c>
    </row>
    <row r="241" spans="1:6" ht="20.45" customHeight="1">
      <c r="A241" s="175"/>
      <c r="B241" s="181"/>
      <c r="C241" s="175"/>
      <c r="D241" s="180"/>
      <c r="E241" s="175"/>
      <c r="F241" s="176" t="s">
        <v>518</v>
      </c>
    </row>
    <row r="242" spans="1:6" ht="20.45" customHeight="1">
      <c r="A242" s="175"/>
      <c r="B242" s="181"/>
      <c r="C242" s="175"/>
      <c r="D242" s="180"/>
      <c r="E242" s="175"/>
      <c r="F242" s="176" t="s">
        <v>519</v>
      </c>
    </row>
    <row r="243" spans="1:6" ht="20.45" customHeight="1">
      <c r="A243" s="175"/>
      <c r="B243" s="181"/>
      <c r="C243" s="175"/>
      <c r="D243" s="180"/>
      <c r="E243" s="175"/>
      <c r="F243" s="176" t="s">
        <v>520</v>
      </c>
    </row>
    <row r="244" spans="1:6" ht="20.45" customHeight="1">
      <c r="A244" s="175"/>
      <c r="B244" s="181"/>
      <c r="C244" s="175"/>
      <c r="D244" s="180"/>
      <c r="E244" s="175"/>
      <c r="F244" s="176" t="s">
        <v>521</v>
      </c>
    </row>
    <row r="245" spans="1:6" ht="20.45" customHeight="1">
      <c r="A245" s="175"/>
      <c r="B245" s="181"/>
      <c r="C245" s="175"/>
      <c r="D245" s="180"/>
      <c r="E245" s="175"/>
      <c r="F245" s="176" t="s">
        <v>522</v>
      </c>
    </row>
    <row r="246" spans="1:6" ht="20.45" customHeight="1">
      <c r="A246" s="175"/>
      <c r="B246" s="181"/>
      <c r="C246" s="175"/>
      <c r="D246" s="180"/>
      <c r="E246" s="175"/>
      <c r="F246" s="176" t="s">
        <v>524</v>
      </c>
    </row>
    <row r="247" spans="1:6" ht="20.45" customHeight="1">
      <c r="A247" s="175"/>
      <c r="B247" s="181"/>
      <c r="C247" s="175"/>
      <c r="D247" s="180"/>
      <c r="E247" s="175"/>
      <c r="F247" s="176" t="s">
        <v>525</v>
      </c>
    </row>
    <row r="248" spans="1:6" ht="20.45" customHeight="1">
      <c r="A248" s="175"/>
      <c r="B248" s="181"/>
      <c r="C248" s="175"/>
      <c r="D248" s="180"/>
      <c r="E248" s="175"/>
      <c r="F248" s="176" t="s">
        <v>527</v>
      </c>
    </row>
    <row r="249" spans="1:6" ht="20.45" customHeight="1">
      <c r="A249" s="175"/>
      <c r="B249" s="181"/>
      <c r="C249" s="175"/>
      <c r="D249" s="180"/>
      <c r="E249" s="175"/>
      <c r="F249" s="176" t="s">
        <v>528</v>
      </c>
    </row>
    <row r="250" spans="1:6" ht="20.45" customHeight="1">
      <c r="A250" s="175"/>
      <c r="B250" s="181"/>
      <c r="C250" s="175"/>
      <c r="D250" s="180"/>
      <c r="E250" s="175"/>
      <c r="F250" s="176" t="s">
        <v>529</v>
      </c>
    </row>
    <row r="251" spans="1:6" ht="20.45" customHeight="1">
      <c r="A251" s="175"/>
      <c r="B251" s="181"/>
      <c r="C251" s="175"/>
      <c r="D251" s="180"/>
      <c r="E251" s="175"/>
      <c r="F251" s="176" t="s">
        <v>530</v>
      </c>
    </row>
    <row r="252" spans="1:6" ht="20.45" customHeight="1">
      <c r="A252" s="175"/>
      <c r="B252" s="181"/>
      <c r="C252" s="175"/>
      <c r="D252" s="180"/>
      <c r="E252" s="175"/>
      <c r="F252" s="176" t="s">
        <v>532</v>
      </c>
    </row>
    <row r="253" spans="1:6" ht="20.45" customHeight="1">
      <c r="A253" s="175"/>
      <c r="B253" s="181"/>
      <c r="C253" s="175"/>
      <c r="D253" s="180"/>
      <c r="E253" s="175"/>
      <c r="F253" s="176" t="s">
        <v>533</v>
      </c>
    </row>
    <row r="254" spans="1:6" ht="20.45" customHeight="1">
      <c r="A254" s="175"/>
      <c r="B254" s="181"/>
      <c r="C254" s="175"/>
      <c r="D254" s="180"/>
      <c r="E254" s="175"/>
      <c r="F254" s="176" t="s">
        <v>534</v>
      </c>
    </row>
    <row r="255" spans="1:6" ht="20.45" customHeight="1">
      <c r="A255" s="175"/>
      <c r="B255" s="181"/>
      <c r="C255" s="175"/>
      <c r="D255" s="180"/>
      <c r="E255" s="175"/>
      <c r="F255" s="176" t="s">
        <v>535</v>
      </c>
    </row>
    <row r="256" spans="1:6" ht="20.45" customHeight="1">
      <c r="A256" s="175"/>
      <c r="B256" s="181"/>
      <c r="C256" s="175"/>
      <c r="D256" s="180"/>
      <c r="E256" s="175"/>
      <c r="F256" s="176" t="s">
        <v>536</v>
      </c>
    </row>
    <row r="257" spans="1:6" ht="20.45" customHeight="1">
      <c r="A257" s="175"/>
      <c r="B257" s="181"/>
      <c r="C257" s="175"/>
      <c r="D257" s="180"/>
      <c r="E257" s="175"/>
      <c r="F257" s="176" t="s">
        <v>537</v>
      </c>
    </row>
    <row r="258" spans="1:6" ht="20.45" customHeight="1">
      <c r="A258" s="175"/>
      <c r="B258" s="181"/>
      <c r="C258" s="175"/>
      <c r="D258" s="180"/>
      <c r="E258" s="175"/>
      <c r="F258" s="176" t="s">
        <v>538</v>
      </c>
    </row>
    <row r="259" spans="1:6" ht="20.45" customHeight="1">
      <c r="A259" s="175"/>
      <c r="B259" s="181"/>
      <c r="C259" s="175"/>
      <c r="D259" s="180"/>
      <c r="E259" s="175"/>
      <c r="F259" s="176" t="s">
        <v>539</v>
      </c>
    </row>
    <row r="260" spans="1:6" ht="20.45" customHeight="1">
      <c r="A260" s="175"/>
      <c r="B260" s="181"/>
      <c r="C260" s="175"/>
      <c r="D260" s="180"/>
      <c r="E260" s="175"/>
      <c r="F260" s="176" t="s">
        <v>540</v>
      </c>
    </row>
    <row r="261" spans="1:6" ht="20.45" customHeight="1">
      <c r="A261" s="175"/>
      <c r="B261" s="181"/>
      <c r="C261" s="175"/>
      <c r="D261" s="180"/>
      <c r="E261" s="175"/>
      <c r="F261" s="176" t="s">
        <v>541</v>
      </c>
    </row>
    <row r="262" spans="1:6" ht="20.45" customHeight="1">
      <c r="A262" s="175"/>
      <c r="B262" s="181"/>
      <c r="C262" s="175"/>
      <c r="D262" s="180"/>
      <c r="E262" s="175"/>
      <c r="F262" s="176" t="s">
        <v>542</v>
      </c>
    </row>
    <row r="263" spans="1:6" ht="20.45" customHeight="1">
      <c r="A263" s="175"/>
      <c r="B263" s="181"/>
      <c r="C263" s="175"/>
      <c r="D263" s="180"/>
      <c r="E263" s="175"/>
      <c r="F263" s="176" t="s">
        <v>543</v>
      </c>
    </row>
    <row r="264" spans="1:6" ht="20.45" customHeight="1">
      <c r="A264" s="175"/>
      <c r="B264" s="181"/>
      <c r="C264" s="175"/>
      <c r="D264" s="180"/>
      <c r="E264" s="175"/>
      <c r="F264" s="176" t="s">
        <v>544</v>
      </c>
    </row>
    <row r="265" spans="1:6" ht="20.45" customHeight="1">
      <c r="A265" s="175"/>
      <c r="B265" s="181"/>
      <c r="C265" s="175"/>
      <c r="D265" s="180"/>
      <c r="E265" s="175"/>
      <c r="F265" s="176" t="s">
        <v>545</v>
      </c>
    </row>
    <row r="266" spans="1:6" ht="20.45" customHeight="1">
      <c r="A266" s="175"/>
      <c r="B266" s="181"/>
      <c r="C266" s="175"/>
      <c r="D266" s="180"/>
      <c r="E266" s="175"/>
      <c r="F266" s="176" t="s">
        <v>546</v>
      </c>
    </row>
    <row r="267" spans="1:6" ht="20.45" customHeight="1">
      <c r="A267" s="175"/>
      <c r="B267" s="181"/>
      <c r="C267" s="175"/>
      <c r="D267" s="180"/>
      <c r="E267" s="175"/>
      <c r="F267" s="176" t="s">
        <v>547</v>
      </c>
    </row>
    <row r="268" spans="1:6" ht="20.45" customHeight="1">
      <c r="A268" s="175"/>
      <c r="B268" s="181"/>
      <c r="C268" s="175"/>
      <c r="D268" s="180"/>
      <c r="E268" s="175"/>
      <c r="F268" s="176" t="s">
        <v>548</v>
      </c>
    </row>
    <row r="269" spans="1:6" ht="20.45" customHeight="1">
      <c r="A269" s="175"/>
      <c r="B269" s="181"/>
      <c r="C269" s="175"/>
      <c r="D269" s="180"/>
      <c r="E269" s="175"/>
      <c r="F269" s="176" t="s">
        <v>550</v>
      </c>
    </row>
    <row r="270" spans="1:6" ht="20.45" customHeight="1">
      <c r="A270" s="175"/>
      <c r="B270" s="181"/>
      <c r="C270" s="175"/>
      <c r="D270" s="180"/>
      <c r="E270" s="175"/>
      <c r="F270" s="176" t="s">
        <v>551</v>
      </c>
    </row>
    <row r="271" spans="1:6" ht="20.45" customHeight="1">
      <c r="A271" s="175"/>
      <c r="B271" s="181"/>
      <c r="C271" s="175"/>
      <c r="D271" s="180"/>
      <c r="E271" s="175"/>
      <c r="F271" s="176" t="s">
        <v>552</v>
      </c>
    </row>
    <row r="272" spans="1:6" ht="20.45" customHeight="1">
      <c r="A272" s="175"/>
      <c r="B272" s="181"/>
      <c r="C272" s="175"/>
      <c r="D272" s="180"/>
      <c r="E272" s="175"/>
      <c r="F272" s="176" t="s">
        <v>553</v>
      </c>
    </row>
    <row r="273" spans="1:6" ht="20.45" customHeight="1">
      <c r="A273" s="175"/>
      <c r="B273" s="181"/>
      <c r="C273" s="175"/>
      <c r="D273" s="180"/>
      <c r="E273" s="175"/>
      <c r="F273" s="176" t="s">
        <v>554</v>
      </c>
    </row>
    <row r="274" spans="1:6" ht="20.45" customHeight="1">
      <c r="A274" s="175"/>
      <c r="B274" s="181"/>
      <c r="C274" s="175"/>
      <c r="D274" s="180"/>
      <c r="E274" s="175"/>
      <c r="F274" s="176" t="s">
        <v>555</v>
      </c>
    </row>
    <row r="275" spans="1:6" ht="20.45" customHeight="1">
      <c r="A275" s="175"/>
      <c r="B275" s="181"/>
      <c r="C275" s="175"/>
      <c r="D275" s="180"/>
      <c r="E275" s="175"/>
      <c r="F275" s="176" t="s">
        <v>556</v>
      </c>
    </row>
    <row r="276" spans="1:6" ht="20.45" customHeight="1">
      <c r="A276" s="175"/>
      <c r="B276" s="181"/>
      <c r="C276" s="175"/>
      <c r="D276" s="180"/>
      <c r="E276" s="175"/>
      <c r="F276" s="176" t="s">
        <v>557</v>
      </c>
    </row>
    <row r="277" spans="1:6" ht="20.45" customHeight="1">
      <c r="A277" s="175"/>
      <c r="B277" s="181"/>
      <c r="C277" s="175"/>
      <c r="D277" s="180"/>
      <c r="E277" s="175"/>
      <c r="F277" s="176" t="s">
        <v>558</v>
      </c>
    </row>
    <row r="278" spans="1:6" ht="20.45" customHeight="1">
      <c r="A278" s="175"/>
      <c r="B278" s="181"/>
      <c r="C278" s="175"/>
      <c r="D278" s="180"/>
      <c r="E278" s="175"/>
      <c r="F278" s="176" t="s">
        <v>559</v>
      </c>
    </row>
    <row r="279" spans="1:6" ht="20.45" customHeight="1">
      <c r="A279" s="175"/>
      <c r="B279" s="181"/>
      <c r="C279" s="175"/>
      <c r="D279" s="180"/>
      <c r="E279" s="175"/>
      <c r="F279" s="176" t="s">
        <v>560</v>
      </c>
    </row>
    <row r="280" spans="1:6" ht="20.45" customHeight="1">
      <c r="A280" s="175"/>
      <c r="B280" s="181"/>
      <c r="C280" s="175"/>
      <c r="D280" s="180"/>
      <c r="E280" s="175"/>
      <c r="F280" s="176" t="s">
        <v>561</v>
      </c>
    </row>
    <row r="281" spans="1:6" ht="20.45" customHeight="1">
      <c r="A281" s="175"/>
      <c r="B281" s="181"/>
      <c r="C281" s="175"/>
      <c r="D281" s="180"/>
      <c r="E281" s="175"/>
      <c r="F281" s="176" t="s">
        <v>562</v>
      </c>
    </row>
    <row r="282" spans="1:6" ht="20.45" customHeight="1">
      <c r="A282" s="175"/>
      <c r="B282" s="181"/>
      <c r="C282" s="175"/>
      <c r="D282" s="180"/>
      <c r="E282" s="175"/>
      <c r="F282" s="176" t="s">
        <v>563</v>
      </c>
    </row>
    <row r="283" spans="1:6" ht="20.45" customHeight="1">
      <c r="A283" s="175"/>
      <c r="B283" s="181"/>
      <c r="C283" s="175"/>
      <c r="D283" s="180"/>
      <c r="E283" s="175"/>
      <c r="F283" s="176" t="s">
        <v>564</v>
      </c>
    </row>
    <row r="284" spans="1:6" ht="20.45" customHeight="1">
      <c r="A284" s="175"/>
      <c r="B284" s="181"/>
      <c r="C284" s="175"/>
      <c r="D284" s="180"/>
      <c r="E284" s="175"/>
      <c r="F284" s="176" t="s">
        <v>565</v>
      </c>
    </row>
    <row r="285" spans="1:6" ht="20.45" customHeight="1">
      <c r="A285" s="175"/>
      <c r="B285" s="181"/>
      <c r="C285" s="175"/>
      <c r="D285" s="180"/>
      <c r="E285" s="175"/>
      <c r="F285" s="176" t="s">
        <v>566</v>
      </c>
    </row>
    <row r="286" spans="1:6" ht="20.45" customHeight="1">
      <c r="A286" s="175"/>
      <c r="B286" s="181"/>
      <c r="C286" s="175"/>
      <c r="D286" s="180"/>
      <c r="E286" s="175"/>
      <c r="F286" s="176" t="s">
        <v>567</v>
      </c>
    </row>
    <row r="287" spans="1:6" ht="20.45" customHeight="1">
      <c r="A287" s="175"/>
      <c r="B287" s="181"/>
      <c r="C287" s="175"/>
      <c r="D287" s="180"/>
      <c r="E287" s="175"/>
      <c r="F287" s="176" t="s">
        <v>568</v>
      </c>
    </row>
    <row r="288" spans="1:6" ht="20.45" customHeight="1">
      <c r="A288" s="175"/>
      <c r="B288" s="181"/>
      <c r="C288" s="175"/>
      <c r="D288" s="180"/>
      <c r="E288" s="175"/>
      <c r="F288" s="176" t="s">
        <v>569</v>
      </c>
    </row>
    <row r="289" spans="1:6" ht="20.45" customHeight="1">
      <c r="A289" s="175"/>
      <c r="B289" s="181"/>
      <c r="C289" s="175"/>
      <c r="D289" s="180"/>
      <c r="E289" s="175"/>
      <c r="F289" s="176" t="s">
        <v>570</v>
      </c>
    </row>
    <row r="290" spans="1:6" ht="20.45" customHeight="1">
      <c r="A290" s="175"/>
      <c r="B290" s="181"/>
      <c r="C290" s="175"/>
      <c r="D290" s="180"/>
      <c r="E290" s="175"/>
      <c r="F290" s="176" t="s">
        <v>571</v>
      </c>
    </row>
    <row r="291" spans="1:6" ht="20.45" customHeight="1">
      <c r="A291" s="175"/>
      <c r="B291" s="181"/>
      <c r="C291" s="175"/>
      <c r="D291" s="180"/>
      <c r="E291" s="175"/>
      <c r="F291" s="176" t="s">
        <v>572</v>
      </c>
    </row>
    <row r="292" spans="1:6" ht="20.45" customHeight="1">
      <c r="A292" s="175"/>
      <c r="B292" s="181"/>
      <c r="C292" s="175"/>
      <c r="D292" s="180"/>
      <c r="E292" s="175"/>
      <c r="F292" s="176" t="s">
        <v>573</v>
      </c>
    </row>
    <row r="293" spans="1:6" ht="20.45" customHeight="1">
      <c r="A293" s="175"/>
      <c r="B293" s="181"/>
      <c r="C293" s="175"/>
      <c r="D293" s="180"/>
      <c r="E293" s="175"/>
      <c r="F293" s="176" t="s">
        <v>574</v>
      </c>
    </row>
    <row r="294" spans="1:6" ht="20.45" customHeight="1">
      <c r="A294" s="175"/>
      <c r="B294" s="181"/>
      <c r="C294" s="175"/>
      <c r="D294" s="180"/>
      <c r="E294" s="175"/>
      <c r="F294" s="176" t="s">
        <v>575</v>
      </c>
    </row>
    <row r="295" spans="1:6" ht="20.45" customHeight="1">
      <c r="A295" s="175"/>
      <c r="B295" s="181"/>
      <c r="C295" s="175"/>
      <c r="D295" s="180"/>
      <c r="E295" s="175"/>
      <c r="F295" s="176" t="s">
        <v>576</v>
      </c>
    </row>
    <row r="296" spans="1:6" ht="20.45" customHeight="1">
      <c r="A296" s="175"/>
      <c r="B296" s="181"/>
      <c r="C296" s="175"/>
      <c r="D296" s="180"/>
      <c r="E296" s="175"/>
      <c r="F296" s="176" t="s">
        <v>577</v>
      </c>
    </row>
    <row r="297" spans="1:6" ht="20.45" customHeight="1">
      <c r="A297" s="175"/>
      <c r="B297" s="181"/>
      <c r="C297" s="175"/>
      <c r="D297" s="180"/>
      <c r="E297" s="175"/>
      <c r="F297" s="176" t="s">
        <v>578</v>
      </c>
    </row>
    <row r="298" spans="1:6" ht="20.45" customHeight="1">
      <c r="A298" s="175"/>
      <c r="B298" s="181"/>
      <c r="C298" s="175"/>
      <c r="D298" s="180"/>
      <c r="E298" s="175"/>
      <c r="F298" s="176" t="s">
        <v>579</v>
      </c>
    </row>
    <row r="299" spans="1:6" ht="20.45" customHeight="1">
      <c r="A299" s="175"/>
      <c r="B299" s="181"/>
      <c r="C299" s="175"/>
      <c r="D299" s="180"/>
      <c r="E299" s="175"/>
      <c r="F299" s="176" t="s">
        <v>580</v>
      </c>
    </row>
    <row r="300" spans="1:6" ht="20.45" customHeight="1">
      <c r="A300" s="175"/>
      <c r="B300" s="181"/>
      <c r="C300" s="175"/>
      <c r="D300" s="180"/>
      <c r="E300" s="175"/>
      <c r="F300" s="176" t="s">
        <v>581</v>
      </c>
    </row>
    <row r="301" spans="1:6" ht="20.45" customHeight="1">
      <c r="A301" s="175"/>
      <c r="B301" s="181"/>
      <c r="C301" s="175"/>
      <c r="D301" s="180"/>
      <c r="E301" s="175"/>
      <c r="F301" s="176" t="s">
        <v>582</v>
      </c>
    </row>
    <row r="302" spans="1:6" ht="20.45" customHeight="1">
      <c r="A302" s="175"/>
      <c r="B302" s="181"/>
      <c r="C302" s="175"/>
      <c r="D302" s="180"/>
      <c r="E302" s="175"/>
      <c r="F302" s="176" t="s">
        <v>583</v>
      </c>
    </row>
    <row r="303" spans="1:6" ht="20.45" customHeight="1">
      <c r="A303" s="175"/>
      <c r="B303" s="181"/>
      <c r="C303" s="175"/>
      <c r="D303" s="180"/>
      <c r="E303" s="175"/>
      <c r="F303" s="176" t="s">
        <v>584</v>
      </c>
    </row>
    <row r="304" spans="1:6" ht="20.45" customHeight="1">
      <c r="A304" s="175"/>
      <c r="B304" s="181"/>
      <c r="C304" s="175"/>
      <c r="D304" s="180"/>
      <c r="E304" s="175"/>
      <c r="F304" s="176" t="s">
        <v>585</v>
      </c>
    </row>
    <row r="305" spans="1:6" ht="20.45" customHeight="1">
      <c r="A305" s="175"/>
      <c r="B305" s="181"/>
      <c r="C305" s="175"/>
      <c r="D305" s="180"/>
      <c r="E305" s="175"/>
      <c r="F305" s="176" t="s">
        <v>586</v>
      </c>
    </row>
    <row r="306" spans="1:6" ht="20.45" customHeight="1">
      <c r="A306" s="175"/>
      <c r="B306" s="181"/>
      <c r="C306" s="175"/>
      <c r="D306" s="180"/>
      <c r="E306" s="175"/>
      <c r="F306" s="176" t="s">
        <v>587</v>
      </c>
    </row>
    <row r="307" spans="1:6" ht="20.45" customHeight="1">
      <c r="A307" s="175"/>
      <c r="B307" s="181"/>
      <c r="C307" s="175"/>
      <c r="D307" s="180"/>
      <c r="E307" s="175"/>
      <c r="F307" s="176" t="s">
        <v>588</v>
      </c>
    </row>
    <row r="308" spans="1:6" ht="20.45" customHeight="1">
      <c r="A308" s="175"/>
      <c r="B308" s="181"/>
      <c r="C308" s="175"/>
      <c r="D308" s="180"/>
      <c r="E308" s="175"/>
      <c r="F308" s="176" t="s">
        <v>590</v>
      </c>
    </row>
    <row r="309" spans="1:6" ht="20.45" customHeight="1">
      <c r="A309" s="175"/>
      <c r="B309" s="181"/>
      <c r="C309" s="175"/>
      <c r="D309" s="180"/>
      <c r="E309" s="175"/>
      <c r="F309" s="176" t="s">
        <v>591</v>
      </c>
    </row>
    <row r="310" spans="1:6" ht="20.45" customHeight="1">
      <c r="A310" s="175"/>
      <c r="B310" s="181"/>
      <c r="C310" s="175"/>
      <c r="D310" s="180"/>
      <c r="E310" s="175"/>
      <c r="F310" s="176" t="s">
        <v>592</v>
      </c>
    </row>
    <row r="311" spans="1:6" ht="20.45" customHeight="1">
      <c r="A311" s="175"/>
      <c r="B311" s="181"/>
      <c r="C311" s="175"/>
      <c r="D311" s="180"/>
      <c r="E311" s="175"/>
      <c r="F311" s="176" t="s">
        <v>593</v>
      </c>
    </row>
    <row r="312" spans="1:6" ht="20.45" customHeight="1">
      <c r="A312" s="175"/>
      <c r="B312" s="181"/>
      <c r="C312" s="175"/>
      <c r="D312" s="180"/>
      <c r="E312" s="175"/>
      <c r="F312" s="176" t="s">
        <v>594</v>
      </c>
    </row>
    <row r="313" spans="1:6" ht="20.45" customHeight="1">
      <c r="A313" s="175"/>
      <c r="B313" s="181"/>
      <c r="C313" s="175"/>
      <c r="D313" s="180"/>
      <c r="E313" s="175"/>
      <c r="F313" s="176" t="s">
        <v>595</v>
      </c>
    </row>
    <row r="314" spans="1:6" ht="20.45" customHeight="1">
      <c r="A314" s="175"/>
      <c r="B314" s="181"/>
      <c r="C314" s="175"/>
      <c r="D314" s="180"/>
      <c r="E314" s="175"/>
      <c r="F314" s="176" t="s">
        <v>596</v>
      </c>
    </row>
    <row r="315" spans="1:6" ht="20.45" customHeight="1">
      <c r="A315" s="175"/>
      <c r="B315" s="181"/>
      <c r="C315" s="175"/>
      <c r="D315" s="180"/>
      <c r="E315" s="175"/>
      <c r="F315" s="176" t="s">
        <v>597</v>
      </c>
    </row>
    <row r="316" spans="1:6" ht="20.45" customHeight="1">
      <c r="A316" s="175"/>
      <c r="B316" s="181"/>
      <c r="C316" s="175"/>
      <c r="D316" s="180"/>
      <c r="E316" s="175"/>
      <c r="F316" s="176" t="s">
        <v>598</v>
      </c>
    </row>
    <row r="317" spans="1:6" ht="20.45" customHeight="1">
      <c r="A317" s="175"/>
      <c r="B317" s="181"/>
      <c r="C317" s="175"/>
      <c r="D317" s="180"/>
      <c r="E317" s="175"/>
      <c r="F317" s="176" t="s">
        <v>600</v>
      </c>
    </row>
    <row r="318" spans="1:6" ht="20.45" customHeight="1">
      <c r="A318" s="175"/>
      <c r="B318" s="181"/>
      <c r="C318" s="175"/>
      <c r="D318" s="180"/>
      <c r="E318" s="175"/>
      <c r="F318" s="176" t="s">
        <v>602</v>
      </c>
    </row>
    <row r="319" spans="1:6" ht="20.45" customHeight="1">
      <c r="A319" s="175"/>
      <c r="B319" s="181"/>
      <c r="C319" s="175"/>
      <c r="D319" s="180"/>
      <c r="E319" s="175"/>
      <c r="F319" s="176" t="s">
        <v>604</v>
      </c>
    </row>
    <row r="320" spans="1:6" ht="20.45" customHeight="1">
      <c r="A320" s="175"/>
      <c r="B320" s="181"/>
      <c r="C320" s="175"/>
      <c r="D320" s="180"/>
      <c r="E320" s="175"/>
      <c r="F320" s="176" t="s">
        <v>606</v>
      </c>
    </row>
    <row r="321" spans="1:6" ht="20.45" customHeight="1">
      <c r="A321" s="175"/>
      <c r="B321" s="181"/>
      <c r="C321" s="175"/>
      <c r="D321" s="180"/>
      <c r="E321" s="175"/>
      <c r="F321" s="176" t="s">
        <v>607</v>
      </c>
    </row>
    <row r="322" spans="1:6" ht="20.45" customHeight="1">
      <c r="A322" s="175"/>
      <c r="B322" s="181"/>
      <c r="C322" s="175"/>
      <c r="D322" s="180"/>
      <c r="E322" s="175"/>
      <c r="F322" s="176" t="s">
        <v>608</v>
      </c>
    </row>
    <row r="323" spans="1:6" ht="20.45" customHeight="1">
      <c r="A323" s="175"/>
      <c r="B323" s="181"/>
      <c r="C323" s="175"/>
      <c r="D323" s="180"/>
      <c r="E323" s="175"/>
      <c r="F323" s="176" t="s">
        <v>609</v>
      </c>
    </row>
    <row r="324" spans="1:6" ht="20.45" customHeight="1">
      <c r="A324" s="175"/>
      <c r="B324" s="181"/>
      <c r="C324" s="175"/>
      <c r="D324" s="180"/>
      <c r="E324" s="175"/>
      <c r="F324" s="176" t="s">
        <v>610</v>
      </c>
    </row>
    <row r="325" spans="1:6" ht="20.45" customHeight="1">
      <c r="A325" s="175"/>
      <c r="B325" s="181"/>
      <c r="C325" s="175"/>
      <c r="D325" s="180"/>
      <c r="E325" s="175"/>
      <c r="F325" s="176" t="s">
        <v>611</v>
      </c>
    </row>
    <row r="326" spans="1:6" ht="20.45" customHeight="1">
      <c r="A326" s="175"/>
      <c r="B326" s="181"/>
      <c r="C326" s="175"/>
      <c r="D326" s="180"/>
      <c r="E326" s="175"/>
      <c r="F326" s="176" t="s">
        <v>612</v>
      </c>
    </row>
    <row r="327" spans="1:6" ht="20.45"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517" customWidth="1"/>
    <col min="2" max="2" width="8.85546875" style="517"/>
    <col min="3" max="3" width="14.140625" style="517" bestFit="1" customWidth="1"/>
    <col min="4" max="5" width="8.85546875" style="517"/>
    <col min="6" max="6" width="18.5703125" style="517" customWidth="1"/>
    <col min="7" max="7" width="8.85546875" style="517"/>
    <col min="8" max="8" width="15.28515625" style="517" customWidth="1"/>
    <col min="9" max="16384" width="8.85546875" style="517"/>
  </cols>
  <sheetData>
    <row r="2" spans="1:11" ht="36.6" customHeight="1">
      <c r="A2" s="803" t="s">
        <v>731</v>
      </c>
      <c r="B2" s="803"/>
      <c r="C2" s="803"/>
      <c r="D2" s="803"/>
      <c r="E2" s="803"/>
      <c r="F2" s="803"/>
      <c r="G2" s="803"/>
      <c r="H2" s="803"/>
      <c r="I2" s="803"/>
      <c r="J2" s="516"/>
      <c r="K2" s="516"/>
    </row>
    <row r="4" spans="1:11" s="518" customFormat="1" ht="20.45" customHeight="1">
      <c r="B4" s="518" t="s">
        <v>732</v>
      </c>
      <c r="C4" s="518" t="e">
        <f>عقد!C9</f>
        <v>#N/A</v>
      </c>
    </row>
    <row r="5" spans="1:11" s="518" customFormat="1" ht="10.15" customHeight="1"/>
    <row r="6" spans="1:11" s="518" customFormat="1" ht="20.25">
      <c r="B6" s="518" t="s">
        <v>733</v>
      </c>
      <c r="G6" s="804" t="s">
        <v>639</v>
      </c>
      <c r="H6" s="804"/>
    </row>
    <row r="7" spans="1:11" s="518" customFormat="1" ht="10.15" customHeight="1"/>
    <row r="8" spans="1:11" s="518" customFormat="1" ht="20.25">
      <c r="B8" s="518" t="s">
        <v>734</v>
      </c>
      <c r="C8" s="805"/>
      <c r="D8" s="805"/>
      <c r="E8" s="805"/>
      <c r="F8" s="805"/>
      <c r="G8" s="805"/>
      <c r="H8" s="805"/>
    </row>
    <row r="9" spans="1:11" s="518" customFormat="1" ht="20.25"/>
    <row r="10" spans="1:11" s="518" customFormat="1" ht="20.25"/>
    <row r="11" spans="1:11" s="518" customFormat="1" ht="20.25">
      <c r="F11" s="518" t="s">
        <v>735</v>
      </c>
    </row>
    <row r="12" spans="1:11" s="518" customFormat="1" ht="20.25">
      <c r="F12" s="519" t="s">
        <v>736</v>
      </c>
    </row>
    <row r="13" spans="1:11" s="518" customFormat="1" ht="20.25"/>
    <row r="14" spans="1:11" s="518" customFormat="1" ht="20.25">
      <c r="E14" s="520" t="s">
        <v>737</v>
      </c>
      <c r="F14" s="806" t="e">
        <f>عقد!C10</f>
        <v>#N/A</v>
      </c>
      <c r="G14" s="806"/>
    </row>
    <row r="15" spans="1:11" s="518" customFormat="1" ht="20.25">
      <c r="E15" s="520" t="s">
        <v>738</v>
      </c>
      <c r="F15" s="807" t="str">
        <f>عقد!L14</f>
        <v/>
      </c>
      <c r="G15" s="807"/>
    </row>
    <row r="16" spans="1:11" s="518" customFormat="1" ht="20.25"/>
    <row r="17" s="518" customFormat="1" ht="20.25"/>
    <row r="18" s="518" customFormat="1" ht="20.25"/>
    <row r="19" s="518" customFormat="1" ht="20.25"/>
    <row r="20" s="518" customFormat="1" ht="20.25"/>
    <row r="21" s="518" customFormat="1" ht="20.25"/>
    <row r="22" s="518" customFormat="1" ht="20.25"/>
    <row r="23" s="518" customFormat="1" ht="20.25"/>
    <row r="24" s="518" customFormat="1" ht="20.25"/>
    <row r="25" s="518" customFormat="1" ht="20.25"/>
    <row r="26" s="518" customFormat="1" ht="20.25"/>
    <row r="27" s="518" customFormat="1" ht="20.25"/>
    <row r="28" s="518" customFormat="1" ht="20.25"/>
    <row r="29" s="518" customFormat="1" ht="20.25"/>
    <row r="30" s="518"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11" t="s">
        <v>45</v>
      </c>
      <c r="C1" s="811"/>
      <c r="D1" s="811"/>
      <c r="E1" s="811"/>
      <c r="F1" s="811"/>
      <c r="G1" s="811"/>
      <c r="H1" s="811"/>
      <c r="I1" s="811"/>
      <c r="J1" s="12"/>
      <c r="K1" s="12"/>
    </row>
    <row r="2" spans="1:15" ht="18.75" thickTop="1">
      <c r="A2" s="809" t="s">
        <v>59</v>
      </c>
      <c r="B2" s="813" t="s">
        <v>29</v>
      </c>
      <c r="C2" s="815" t="s">
        <v>30</v>
      </c>
      <c r="D2" s="817" t="s">
        <v>39</v>
      </c>
      <c r="E2" s="817" t="s">
        <v>40</v>
      </c>
      <c r="F2" s="817" t="s">
        <v>41</v>
      </c>
      <c r="G2" s="819" t="s">
        <v>42</v>
      </c>
      <c r="H2" s="820"/>
      <c r="I2" s="821"/>
      <c r="J2" s="824"/>
      <c r="K2" s="822" t="s">
        <v>44</v>
      </c>
      <c r="L2" s="812" t="s">
        <v>61</v>
      </c>
      <c r="M2" s="808" t="s">
        <v>62</v>
      </c>
    </row>
    <row r="3" spans="1:15" ht="18.75" thickBot="1">
      <c r="A3" s="810"/>
      <c r="B3" s="814"/>
      <c r="C3" s="816"/>
      <c r="D3" s="818"/>
      <c r="E3" s="818"/>
      <c r="F3" s="818"/>
      <c r="G3" s="28" t="s">
        <v>33</v>
      </c>
      <c r="H3" s="29" t="s">
        <v>32</v>
      </c>
      <c r="I3" s="30" t="s">
        <v>31</v>
      </c>
      <c r="J3" s="824"/>
      <c r="K3" s="823"/>
      <c r="L3" s="812"/>
      <c r="M3" s="808"/>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2025-08-12T20:57:45Z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