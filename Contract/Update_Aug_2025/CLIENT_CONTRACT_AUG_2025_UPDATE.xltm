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<sst xmlns="http://schemas.openxmlformats.org/spreadsheetml/2006/main" count="8086" uniqueCount="741">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</sst>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49" fontId="60" fillId="27" borderId="60" xfId="46" applyNumberFormat="1" applyFont="1" applyFill="1" applyBorder="1" applyAlignment="1">
      <alignment horizontal="center" vertical="center"/>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98" t="s">
        <v>165</v>
      </c>
      <c r="C2" s="599"/>
      <c r="D2" s="599"/>
      <c r="E2" s="599"/>
      <c r="F2" s="71"/>
      <c r="G2" s="71"/>
      <c r="H2" s="71"/>
      <c r="I2" s="71"/>
      <c r="J2" s="71"/>
      <c r="K2" s="71"/>
      <c r="L2" s="71"/>
      <c r="M2" s="71"/>
      <c r="N2" s="72"/>
    </row>
    <row r="3" spans="1:17" ht="19.95" customHeight="1">
      <c r="A3" s="73"/>
      <c r="B3" s="600" t="s">
        <v>164</v>
      </c>
      <c r="C3" s="601"/>
      <c r="D3" s="601"/>
      <c r="E3" s="601"/>
      <c r="N3" s="74"/>
      <c r="P3" s="563"/>
    </row>
    <row r="4" spans="1:17" ht="23.4" customHeight="1">
      <c r="A4" s="73"/>
      <c r="B4" s="137"/>
      <c r="C4" s="578" t="str">
        <f>"مشروع"&amp;" "&amp;IFERROR(INDEX(تفصيلي!Q6:Q205,MATCH(عقد!M1,تفصيلي!B6:B205,0)),"")</f>
        <v xml:space="preserve">مشروع </v>
      </c>
      <c r="D4" s="578"/>
      <c r="E4" s="578"/>
      <c r="N4" s="74"/>
      <c r="P4" s="564"/>
    </row>
    <row r="5" spans="1:17" ht="31.95" customHeight="1" thickBot="1">
      <c r="A5" s="73"/>
      <c r="E5" s="566" t="s">
        <v>137</v>
      </c>
      <c r="F5" s="566"/>
      <c r="G5" s="566"/>
      <c r="H5" s="566"/>
      <c r="I5" s="566"/>
      <c r="J5" s="566"/>
      <c r="N5" s="74"/>
      <c r="P5" s="565"/>
      <c r="Q5" s="135"/>
    </row>
    <row r="6" spans="1:17" ht="6.6" customHeight="1">
      <c r="A6" s="73"/>
      <c r="N6" s="74"/>
    </row>
    <row r="7" spans="1:17" ht="24.6" customHeight="1">
      <c r="A7" s="73"/>
      <c r="B7" s="127" t="s">
        <v>190</v>
      </c>
      <c r="C7" s="136">
        <f>E7</f>
        <v>0</v>
      </c>
      <c r="D7" s="75" t="s">
        <v>188</v>
      </c>
      <c r="E7" s="577"/>
      <c r="F7" s="577"/>
      <c r="G7" s="567" t="s">
        <v>189</v>
      </c>
      <c r="H7" s="567"/>
      <c r="I7" s="567"/>
      <c r="J7" s="567"/>
      <c r="K7" s="567"/>
      <c r="L7" s="567"/>
      <c r="M7" s="567"/>
      <c r="N7" s="74"/>
    </row>
    <row r="8" spans="1:17" ht="65.400000000000006" customHeight="1">
      <c r="A8" s="73"/>
      <c r="B8" s="567" t="s">
        <v>166</v>
      </c>
      <c r="C8" s="567"/>
      <c r="D8" s="567"/>
      <c r="E8" s="567"/>
      <c r="F8" s="567"/>
      <c r="G8" s="567"/>
      <c r="H8" s="567"/>
      <c r="I8" s="567"/>
      <c r="J8" s="567"/>
      <c r="K8" s="567"/>
      <c r="L8" s="567"/>
      <c r="M8" s="567"/>
      <c r="N8" s="74"/>
    </row>
    <row r="9" spans="1:17" ht="25.95" customHeight="1">
      <c r="A9" s="73"/>
      <c r="B9" s="69" t="s">
        <v>138</v>
      </c>
      <c r="C9" s="567" t="e">
        <f>INDEX(تفصيلي!C6:C205,MATCH(عقد!M1,تفصيلي!B6:B205,0))</f>
        <v>#N/A</v>
      </c>
      <c r="D9" s="567"/>
      <c r="E9" s="567"/>
      <c r="F9" s="567"/>
      <c r="G9" s="567"/>
      <c r="H9" s="567"/>
      <c r="I9" s="567"/>
      <c r="J9" s="567"/>
      <c r="K9" s="567"/>
      <c r="L9" s="569" t="str" cm="1">
        <f t="array" ref="L9">IFERROR(GenerateQR(D12),"")</f>
        <v/>
      </c>
      <c r="M9" s="570"/>
      <c r="N9" s="74"/>
    </row>
    <row r="10" spans="1:17" ht="25.95" customHeight="1">
      <c r="A10" s="73"/>
      <c r="B10" s="69" t="s">
        <v>139</v>
      </c>
      <c r="C10" s="568" t="e">
        <f>INDEX(تفصيلي!E6:E205,MATCH(عقد!M1,تفصيلي!B6:B205,0))</f>
        <v>#N/A</v>
      </c>
      <c r="D10" s="568"/>
      <c r="E10" s="568"/>
      <c r="F10" s="568"/>
      <c r="G10" s="568"/>
      <c r="H10" s="69" t="s">
        <v>140</v>
      </c>
      <c r="I10" s="567" t="str">
        <f>IFERROR(VLOOKUP($M$1,تفصيلي!B6:T205,5,FALSE),"")</f>
        <v/>
      </c>
      <c r="J10" s="567"/>
      <c r="K10" s="567"/>
      <c r="L10" s="571"/>
      <c r="M10" s="572"/>
      <c r="N10" s="74"/>
    </row>
    <row r="11" spans="1:17" ht="25.2" customHeight="1">
      <c r="A11" s="73"/>
      <c r="B11" s="76" t="s">
        <v>141</v>
      </c>
      <c r="C11" s="575" t="e">
        <f>INDEX(تفصيلي!G6:G205,MATCH(عقد!M1,تفصيلي!B6:B205,0))</f>
        <v>#N/A</v>
      </c>
      <c r="D11" s="575"/>
      <c r="E11" s="575"/>
      <c r="F11" s="575"/>
      <c r="G11" s="575"/>
      <c r="H11" s="575"/>
      <c r="I11" s="575"/>
      <c r="J11" s="575"/>
      <c r="K11" s="575"/>
      <c r="L11" s="571"/>
      <c r="M11" s="572"/>
      <c r="N11" s="74"/>
    </row>
    <row r="12" spans="1:17" ht="25.95" customHeight="1">
      <c r="A12" s="73"/>
      <c r="B12" s="567" t="s">
        <v>142</v>
      </c>
      <c r="C12" s="567"/>
      <c r="D12" s="576" t="e">
        <f>INDEX(تفصيلي!AX6:AX205,MATCH(عقد!M1,تفصيلي!B6:B205,0))</f>
        <v>#N/A</v>
      </c>
      <c r="E12" s="576"/>
      <c r="F12" s="576"/>
      <c r="G12" s="576"/>
      <c r="H12" s="576"/>
      <c r="I12" s="576"/>
      <c r="L12" s="573"/>
      <c r="M12" s="574"/>
      <c r="N12" s="74"/>
    </row>
    <row r="13" spans="1:17" ht="25.95" customHeight="1">
      <c r="A13" s="73"/>
      <c r="B13" s="567" t="s">
        <v>191</v>
      </c>
      <c r="C13" s="567"/>
      <c r="D13" s="567" t="e">
        <f>INDEX(تفصيلي!D6:D205,MATCH(عقد!M1,تفصيلي!B6:B205,0))</f>
        <v>#N/A</v>
      </c>
      <c r="E13" s="567"/>
      <c r="F13" s="567"/>
      <c r="G13" s="579" t="s">
        <v>144</v>
      </c>
      <c r="H13" s="579"/>
      <c r="I13" s="580" t="str">
        <f t="shared" ref="I13" si="0">IFERROR(DATE(IF(LEFT($C$10,1)*1=3,20,19)&amp;MID($C$10,2,2),MID($C$10,4,2),MID($C$10,6,2)),"")</f>
        <v/>
      </c>
      <c r="J13" s="580"/>
      <c r="K13" s="580"/>
      <c r="L13" s="127" t="s">
        <v>143</v>
      </c>
      <c r="M13" s="77" t="str">
        <f ca="1">IFERROR(DATEDIF(I13,TODAY(),"Y")&amp;"  سنة ","")</f>
        <v/>
      </c>
      <c r="N13" s="74"/>
    </row>
    <row r="14" spans="1:17" ht="25.95" customHeight="1">
      <c r="A14" s="73"/>
      <c r="B14" s="581" t="s">
        <v>145</v>
      </c>
      <c r="C14" s="581"/>
      <c r="D14" s="581"/>
      <c r="E14" s="582" t="e">
        <f>INDEX(تفصيلي!AY6:AY205,MATCH(عقد!M1,تفصيلي!B6:B205,0))</f>
        <v>#N/A</v>
      </c>
      <c r="F14" s="582"/>
      <c r="G14" s="582"/>
      <c r="H14" s="582"/>
      <c r="I14" s="582"/>
      <c r="J14" s="579" t="s">
        <v>146</v>
      </c>
      <c r="K14" s="579"/>
      <c r="L14" s="583" t="str">
        <f>IFERROR(INDEX(تفصيلي!H6:H205,MATCH(عقد!M1,تفصيلي!B6:B205,0)),"")</f>
        <v/>
      </c>
      <c r="M14" s="583"/>
      <c r="N14" s="74"/>
    </row>
    <row r="15" spans="1:17" ht="28.95" customHeight="1">
      <c r="A15" s="73"/>
      <c r="B15" s="69" t="s">
        <v>147</v>
      </c>
      <c r="C15" s="567" t="e">
        <f>INDEX(تفصيلي!N6:N205,MATCH(عقد!M1,تفصيلي!B6:B205,0))</f>
        <v>#N/A</v>
      </c>
      <c r="D15" s="567"/>
      <c r="E15" s="567"/>
      <c r="F15" s="567"/>
      <c r="G15" s="567"/>
      <c r="H15" s="567"/>
      <c r="I15" s="567"/>
      <c r="J15" s="567"/>
      <c r="K15" s="567"/>
      <c r="L15" s="567"/>
      <c r="M15" s="567" t="s">
        <v>148</v>
      </c>
      <c r="N15" s="585"/>
    </row>
    <row r="16" spans="1:17" ht="273.60000000000002" customHeight="1">
      <c r="A16" s="73"/>
      <c r="B16" s="567" t="s">
        <v>170</v>
      </c>
      <c r="C16" s="567"/>
      <c r="D16" s="567"/>
      <c r="E16" s="567"/>
      <c r="F16" s="567"/>
      <c r="G16" s="567"/>
      <c r="H16" s="567"/>
      <c r="I16" s="567"/>
      <c r="J16" s="567"/>
      <c r="K16" s="567"/>
      <c r="L16" s="567"/>
      <c r="M16" s="567"/>
      <c r="N16" s="74"/>
    </row>
    <row r="17" spans="1:14" ht="25.95" customHeight="1">
      <c r="A17" s="73"/>
      <c r="B17" s="567" t="s">
        <v>149</v>
      </c>
      <c r="C17" s="567"/>
      <c r="D17" s="567"/>
      <c r="E17" s="582" t="str">
        <f>IFERROR(VLOOKUP($M$1,تفصيلي!B6:R205,9,FALSE) &amp; " / "&amp;VLOOKUP($M$1,تفصيلي!B6:R205,10,FALSE),"")</f>
        <v/>
      </c>
      <c r="F17" s="582"/>
      <c r="G17" s="582"/>
      <c r="H17" s="579" t="s">
        <v>150</v>
      </c>
      <c r="I17" s="579"/>
      <c r="J17" s="579"/>
      <c r="K17" s="584" t="e">
        <f>INDEX(تفصيلي!M6:M205,MATCH(M1,تفصيلي!B6:B205,0))</f>
        <v>#N/A</v>
      </c>
      <c r="L17" s="584"/>
      <c r="M17" s="584"/>
      <c r="N17" s="74"/>
    </row>
    <row r="18" spans="1:14" ht="37.200000000000003" customHeight="1">
      <c r="A18" s="73"/>
      <c r="B18" s="567" t="s">
        <v>151</v>
      </c>
      <c r="C18" s="567"/>
      <c r="D18" s="567"/>
      <c r="E18" s="567"/>
      <c r="F18" s="567"/>
      <c r="G18" s="567"/>
      <c r="H18" s="567"/>
      <c r="I18" s="567"/>
      <c r="J18" s="567"/>
      <c r="K18" s="567"/>
      <c r="L18" s="567"/>
      <c r="M18" s="567"/>
      <c r="N18" s="74"/>
    </row>
    <row r="19" spans="1:14" ht="25.95" customHeight="1">
      <c r="A19" s="73"/>
      <c r="B19" s="567" t="s">
        <v>192</v>
      </c>
      <c r="C19" s="567"/>
      <c r="D19" s="567"/>
      <c r="E19" s="567"/>
      <c r="F19" s="567"/>
      <c r="G19" s="567"/>
      <c r="H19" s="567"/>
      <c r="I19" s="567"/>
      <c r="J19" s="567"/>
      <c r="K19" s="586" t="str">
        <f>IFERROR(VLOOKUP($M$1,تفصيلي!B6:O205,14,FALSE),"")</f>
        <v/>
      </c>
      <c r="L19" s="586"/>
      <c r="M19" s="69" t="s">
        <v>152</v>
      </c>
      <c r="N19" s="74"/>
    </row>
    <row r="20" spans="1:14" ht="25.95" customHeight="1">
      <c r="A20" s="73"/>
      <c r="B20" s="587" t="e">
        <f>" ( " &amp;NumberToText(K19,"جنيها","")&amp;" ) "</f>
        <v>#VALUE!</v>
      </c>
      <c r="C20" s="587"/>
      <c r="D20" s="587"/>
      <c r="E20" s="587"/>
      <c r="F20" s="587"/>
      <c r="G20" s="588" t="s">
        <v>153</v>
      </c>
      <c r="H20" s="588"/>
      <c r="I20" s="588"/>
      <c r="J20" s="588"/>
      <c r="K20" s="586" t="e">
        <f>C22-K19</f>
        <v>#VALUE!</v>
      </c>
      <c r="L20" s="586"/>
      <c r="M20" s="69" t="s">
        <v>152</v>
      </c>
      <c r="N20" s="74"/>
    </row>
    <row r="21" spans="1:14" ht="25.95" customHeight="1">
      <c r="A21" s="73"/>
      <c r="B21" s="587" t="e">
        <f>" ( " &amp;NumberToText(K20,"جنيها","")&amp;" ) "</f>
        <v>#VALUE!</v>
      </c>
      <c r="C21" s="587"/>
      <c r="D21" s="587"/>
      <c r="E21" s="587"/>
      <c r="F21" s="587"/>
      <c r="G21" s="581" t="s">
        <v>154</v>
      </c>
      <c r="H21" s="581"/>
      <c r="I21" s="451" t="str">
        <f>IFERROR(VLOOKUP($M$1,تفصيلي!$B$6:$V$205,21,FALSE),"")</f>
        <v/>
      </c>
      <c r="J21" s="593" t="s">
        <v>193</v>
      </c>
      <c r="K21" s="593"/>
      <c r="L21" s="593"/>
      <c r="M21" s="593"/>
      <c r="N21" s="74"/>
    </row>
    <row r="22" spans="1:14" ht="25.95" customHeight="1">
      <c r="A22" s="73"/>
      <c r="B22" s="69" t="s">
        <v>155</v>
      </c>
      <c r="C22" s="586" t="str">
        <f>IFERROR(VLOOKUP($M$1,تفصيلي!B6:T205,19,FALSE),"")</f>
        <v/>
      </c>
      <c r="D22" s="586"/>
      <c r="E22" s="69" t="s">
        <v>35</v>
      </c>
      <c r="F22" s="587" t="e">
        <f>" ( " &amp;NumberToText(C22,"جنيها","")&amp;" ) "</f>
        <v>#VALUE!</v>
      </c>
      <c r="G22" s="587"/>
      <c r="H22" s="587"/>
      <c r="I22" s="587"/>
      <c r="J22" s="587"/>
      <c r="K22" s="593" t="s">
        <v>194</v>
      </c>
      <c r="L22" s="593"/>
      <c r="M22" s="593"/>
      <c r="N22" s="74"/>
    </row>
    <row r="23" spans="1:14" ht="25.95" customHeight="1">
      <c r="A23" s="73"/>
      <c r="B23" s="452" t="str">
        <f>IFERROR(VLOOKUP($M$1,تفصيلي!B6:T205,15,FALSE),"")</f>
        <v/>
      </c>
      <c r="C23" s="567" t="s">
        <v>156</v>
      </c>
      <c r="D23" s="567"/>
      <c r="E23" s="567"/>
      <c r="F23" s="567"/>
      <c r="G23" s="567"/>
      <c r="H23" s="567"/>
      <c r="I23" s="567"/>
      <c r="J23" s="567"/>
      <c r="K23" s="567"/>
      <c r="L23" s="567"/>
      <c r="M23" s="567"/>
      <c r="N23" s="74"/>
    </row>
    <row r="24" spans="1:14" ht="25.95" customHeight="1">
      <c r="A24" s="73"/>
      <c r="B24" s="581" t="s">
        <v>157</v>
      </c>
      <c r="C24" s="581"/>
      <c r="D24" s="581"/>
      <c r="E24" s="581"/>
      <c r="F24" s="581"/>
      <c r="G24" s="581"/>
      <c r="H24" s="581"/>
      <c r="I24" s="581"/>
      <c r="J24" s="581"/>
      <c r="K24" s="589" t="str">
        <f>IFERROR(VLOOKUP($M$1,تفصيلي!B6:T205,17,FALSE),"")</f>
        <v/>
      </c>
      <c r="L24" s="589"/>
      <c r="M24" s="589"/>
      <c r="N24" s="74"/>
    </row>
    <row r="25" spans="1:14" ht="46.2" customHeight="1">
      <c r="A25" s="73"/>
      <c r="B25" s="567" t="s">
        <v>171</v>
      </c>
      <c r="C25" s="567"/>
      <c r="D25" s="567"/>
      <c r="E25" s="567"/>
      <c r="F25" s="567"/>
      <c r="G25" s="567"/>
      <c r="H25" s="567"/>
      <c r="I25" s="567"/>
      <c r="J25" s="567"/>
      <c r="K25" s="567"/>
      <c r="L25" s="567"/>
      <c r="M25" s="567"/>
      <c r="N25" s="74"/>
    </row>
    <row r="26" spans="1:14" ht="25.95" customHeight="1">
      <c r="A26" s="73"/>
      <c r="F26" s="590" t="s">
        <v>196</v>
      </c>
      <c r="G26" s="590"/>
      <c r="H26" s="590"/>
      <c r="I26" s="591" t="s">
        <v>195</v>
      </c>
      <c r="J26" s="592"/>
      <c r="K26" s="592"/>
      <c r="L26" s="592"/>
      <c r="M26" s="592"/>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7" t="s">
        <v>197</v>
      </c>
      <c r="C31" s="567"/>
      <c r="D31" s="567"/>
      <c r="E31" s="567"/>
      <c r="F31" s="567"/>
      <c r="G31" s="567"/>
      <c r="H31" s="567"/>
      <c r="I31" s="567"/>
      <c r="J31" s="567"/>
      <c r="K31" s="567"/>
      <c r="L31" s="567"/>
      <c r="M31" s="567"/>
      <c r="N31" s="74"/>
    </row>
    <row r="32" spans="1:14" ht="122.4" customHeight="1">
      <c r="A32" s="73"/>
      <c r="B32" s="567" t="s">
        <v>198</v>
      </c>
      <c r="C32" s="567"/>
      <c r="D32" s="567"/>
      <c r="E32" s="567"/>
      <c r="F32" s="567"/>
      <c r="G32" s="567"/>
      <c r="H32" s="567"/>
      <c r="I32" s="567"/>
      <c r="J32" s="567"/>
      <c r="K32" s="567"/>
      <c r="L32" s="567"/>
      <c r="M32" s="567"/>
      <c r="N32" s="74"/>
    </row>
    <row r="33" spans="1:14" ht="105.6" customHeight="1">
      <c r="A33" s="73"/>
      <c r="B33" s="567" t="s">
        <v>163</v>
      </c>
      <c r="C33" s="567"/>
      <c r="D33" s="567"/>
      <c r="E33" s="567"/>
      <c r="F33" s="567"/>
      <c r="G33" s="567"/>
      <c r="H33" s="567"/>
      <c r="I33" s="567"/>
      <c r="J33" s="567"/>
      <c r="K33" s="567"/>
      <c r="L33" s="567"/>
      <c r="M33" s="567"/>
      <c r="N33" s="74"/>
    </row>
    <row r="34" spans="1:14" ht="138" customHeight="1">
      <c r="A34" s="73"/>
      <c r="B34" s="604" t="s">
        <v>696</v>
      </c>
      <c r="C34" s="604"/>
      <c r="D34" s="604"/>
      <c r="E34" s="604"/>
      <c r="F34" s="604"/>
      <c r="G34" s="604"/>
      <c r="H34" s="604"/>
      <c r="I34" s="604"/>
      <c r="J34" s="604"/>
      <c r="K34" s="604"/>
      <c r="L34" s="604"/>
      <c r="M34" s="604"/>
      <c r="N34" s="74"/>
    </row>
    <row r="35" spans="1:14" ht="124.2" customHeight="1">
      <c r="A35" s="73"/>
      <c r="B35" s="567" t="s">
        <v>199</v>
      </c>
      <c r="C35" s="567"/>
      <c r="D35" s="567"/>
      <c r="E35" s="567"/>
      <c r="F35" s="567"/>
      <c r="G35" s="567"/>
      <c r="H35" s="567"/>
      <c r="I35" s="567"/>
      <c r="J35" s="567"/>
      <c r="K35" s="567"/>
      <c r="L35" s="567"/>
      <c r="M35" s="567"/>
      <c r="N35" s="74"/>
    </row>
    <row r="36" spans="1:14" ht="43.95" customHeight="1">
      <c r="A36" s="73"/>
      <c r="B36" s="567" t="s">
        <v>158</v>
      </c>
      <c r="C36" s="567"/>
      <c r="D36" s="567"/>
      <c r="E36" s="567"/>
      <c r="F36" s="567"/>
      <c r="G36" s="567"/>
      <c r="H36" s="567"/>
      <c r="I36" s="567"/>
      <c r="J36" s="567"/>
      <c r="K36" s="567"/>
      <c r="L36" s="567"/>
      <c r="M36" s="567"/>
      <c r="N36" s="74"/>
    </row>
    <row r="37" spans="1:14" ht="25.95" customHeight="1">
      <c r="A37" s="73"/>
      <c r="B37" s="590" t="s">
        <v>159</v>
      </c>
      <c r="C37" s="590"/>
      <c r="D37" s="590"/>
      <c r="E37" s="590"/>
      <c r="F37" s="590"/>
      <c r="G37" s="590"/>
      <c r="H37" s="590"/>
      <c r="I37" s="590"/>
      <c r="J37" s="590"/>
      <c r="K37" s="590"/>
      <c r="L37" s="590"/>
      <c r="M37" s="590"/>
      <c r="N37" s="74"/>
    </row>
    <row r="38" spans="1:14" ht="43.95" customHeight="1">
      <c r="A38" s="73"/>
      <c r="B38" s="78" t="s">
        <v>160</v>
      </c>
      <c r="C38" s="602" t="s">
        <v>161</v>
      </c>
      <c r="D38" s="602"/>
      <c r="E38" s="602"/>
      <c r="F38" s="602"/>
      <c r="G38" s="79"/>
      <c r="H38" s="79"/>
      <c r="I38" s="78" t="s">
        <v>160</v>
      </c>
      <c r="J38" s="591" t="s">
        <v>200</v>
      </c>
      <c r="K38" s="591"/>
      <c r="L38" s="591"/>
      <c r="M38" s="591"/>
      <c r="N38" s="74"/>
    </row>
    <row r="39" spans="1:14" ht="37.950000000000003" customHeight="1">
      <c r="A39" s="73"/>
      <c r="I39" s="594" t="s">
        <v>139</v>
      </c>
      <c r="J39" s="594"/>
      <c r="K39" s="603" t="e">
        <f>C10</f>
        <v>#N/A</v>
      </c>
      <c r="L39" s="603"/>
      <c r="M39" s="603"/>
      <c r="N39" s="74"/>
    </row>
    <row r="40" spans="1:14" ht="46.2" customHeight="1">
      <c r="A40" s="73"/>
      <c r="B40" s="596" t="s">
        <v>162</v>
      </c>
      <c r="C40" s="596"/>
      <c r="D40" s="591" t="s">
        <v>161</v>
      </c>
      <c r="E40" s="591"/>
      <c r="F40" s="591"/>
      <c r="G40" s="591"/>
      <c r="H40" s="591"/>
      <c r="I40" s="597" t="s">
        <v>201</v>
      </c>
      <c r="J40" s="597"/>
      <c r="K40" s="597"/>
      <c r="L40" s="597"/>
      <c r="M40" s="597"/>
      <c r="N40" s="74"/>
    </row>
    <row r="41" spans="1:14" ht="40.200000000000003" customHeight="1">
      <c r="A41" s="73"/>
      <c r="B41" s="594" t="s">
        <v>139</v>
      </c>
      <c r="C41" s="594"/>
      <c r="D41" s="595" t="str">
        <f>IFERROR(VLOOKUP($M$1,تفصيلي!B6:AW205,25,FALSE),"")</f>
        <v/>
      </c>
      <c r="E41" s="595"/>
      <c r="F41" s="595"/>
      <c r="G41" s="595"/>
      <c r="I41" s="594" t="s">
        <v>139</v>
      </c>
      <c r="J41" s="594"/>
      <c r="K41" s="595" t="str">
        <f>IFERROR(VLOOKUP($M$1,تفصيلي!B6:AW205,31,FALSE),"")</f>
        <v/>
      </c>
      <c r="L41" s="595"/>
      <c r="M41" s="595"/>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185"/>
  </cols>
  <sheetData>
    <row r="1" spans="1:57" s="263" customFormat="1" ht="21" customHeight="1">
      <c r="A1" s="608" t="s">
        <v>47</v>
      </c>
      <c r="B1" s="608"/>
      <c r="C1" s="608"/>
      <c r="D1" s="608"/>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0"/>
      <c r="BA1" s="550"/>
      <c r="BB1" s="550"/>
      <c r="BC1" s="550"/>
      <c r="BD1" s="550"/>
      <c r="BE1" s="550"/>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1"/>
      <c r="BA2" s="551"/>
      <c r="BB2" s="551"/>
      <c r="BC2" s="551"/>
      <c r="BD2" s="551"/>
      <c r="BE2" s="551"/>
    </row>
    <row r="3" spans="1:57" s="270" customFormat="1" ht="40.200000000000003" customHeight="1">
      <c r="A3" s="269"/>
      <c r="B3" s="609" t="s">
        <v>687</v>
      </c>
      <c r="C3" s="609"/>
      <c r="D3" s="609"/>
      <c r="E3" s="609"/>
      <c r="F3" s="609"/>
      <c r="G3" s="609"/>
      <c r="H3" s="609"/>
      <c r="I3" s="609"/>
      <c r="J3" s="610" t="s">
        <v>228</v>
      </c>
      <c r="K3" s="610"/>
      <c r="L3" s="610"/>
      <c r="M3" s="610"/>
      <c r="N3" s="610"/>
      <c r="O3" s="611" t="s">
        <v>229</v>
      </c>
      <c r="P3" s="611"/>
      <c r="Q3" s="611"/>
      <c r="R3" s="611"/>
      <c r="S3" s="611"/>
      <c r="T3" s="611"/>
      <c r="U3" s="611"/>
      <c r="V3" s="611"/>
      <c r="W3" s="611"/>
      <c r="X3" s="612" t="s">
        <v>230</v>
      </c>
      <c r="Y3" s="612"/>
      <c r="Z3" s="612"/>
      <c r="AA3" s="612"/>
      <c r="AB3" s="612"/>
      <c r="AC3" s="612"/>
      <c r="AD3" s="606" t="s">
        <v>231</v>
      </c>
      <c r="AE3" s="606"/>
      <c r="AF3" s="606"/>
      <c r="AG3" s="606"/>
      <c r="AH3" s="606"/>
      <c r="AI3" s="606"/>
      <c r="AJ3" s="605" t="s">
        <v>232</v>
      </c>
      <c r="AK3" s="605"/>
      <c r="AL3" s="605"/>
      <c r="AM3" s="605"/>
      <c r="AN3" s="605"/>
      <c r="AO3" s="605"/>
      <c r="AP3" s="607" t="s">
        <v>686</v>
      </c>
      <c r="AQ3" s="607"/>
      <c r="AR3" s="607"/>
      <c r="AS3" s="607"/>
      <c r="AT3" s="607"/>
      <c r="AU3" s="607"/>
      <c r="AV3" s="607"/>
      <c r="AW3" s="607"/>
      <c r="AX3" s="432"/>
      <c r="AY3" s="432"/>
      <c r="AZ3" s="552"/>
      <c r="BA3" s="552"/>
      <c r="BB3" s="552"/>
      <c r="BC3" s="552"/>
      <c r="BD3" s="552"/>
      <c r="BE3" s="552"/>
    </row>
    <row r="4" spans="1:57" s="464" customFormat="1" ht="19.5" customHeight="1">
      <c r="A4" s="453"/>
      <c r="B4" s="549">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3"/>
      <c r="BA4" s="553"/>
      <c r="BB4" s="553"/>
      <c r="BC4" s="553"/>
      <c r="BD4" s="553"/>
      <c r="BE4" s="553"/>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4" t="s">
        <v>725</v>
      </c>
      <c r="BA5" s="554" t="s">
        <v>726</v>
      </c>
      <c r="BB5" s="554" t="s">
        <v>727</v>
      </c>
      <c r="BC5" s="554" t="s">
        <v>728</v>
      </c>
      <c r="BD5" s="554" t="s">
        <v>729</v>
      </c>
      <c r="BE5" s="554" t="s">
        <v>730</v>
      </c>
    </row>
    <row r="6" spans="1:57" s="191" customFormat="1" ht="21.6" customHeight="1">
      <c r="A6" s="518">
        <v>1</v>
      </c>
      <c r="B6" s="365"/>
      <c r="C6" s="517"/>
      <c r="D6" s="562"/>
      <c r="E6" s="375"/>
      <c r="F6" s="192" t="s">
        <v>622</v>
      </c>
      <c r="G6" s="525"/>
      <c r="H6" s="193"/>
      <c r="I6" s="193"/>
      <c r="J6" s="533"/>
      <c r="K6" s="533"/>
      <c r="L6" s="533"/>
      <c r="M6" s="534"/>
      <c r="N6" s="533"/>
      <c r="O6" s="367"/>
      <c r="P6" s="368"/>
      <c r="Q6" s="540"/>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1"/>
      <c r="AW6" s="545"/>
      <c r="AX6" s="434" t="str">
        <f>CONCATENATE(AW6,",",AV6)</f>
        <v>,</v>
      </c>
      <c r="AY6" s="434" t="str">
        <f>CONCATENATE(J6," ","/"," ",K6)</f>
        <v xml:space="preserve"> / </v>
      </c>
      <c r="AZ6" s="555"/>
      <c r="BA6" s="556"/>
      <c r="BB6" s="555"/>
      <c r="BC6" s="555"/>
      <c r="BD6" s="556"/>
      <c r="BE6" s="555"/>
    </row>
    <row r="7" spans="1:57" s="191" customFormat="1" ht="21.6" customHeight="1">
      <c r="A7" s="518">
        <f>A6+1</f>
        <v>2</v>
      </c>
      <c r="B7" s="365"/>
      <c r="C7" s="517"/>
      <c r="D7" s="524"/>
      <c r="E7" s="375"/>
      <c r="F7" s="192" t="s">
        <v>622</v>
      </c>
      <c r="G7" s="525"/>
      <c r="H7" s="193"/>
      <c r="I7" s="193"/>
      <c r="J7" s="533"/>
      <c r="K7" s="533"/>
      <c r="L7" s="533"/>
      <c r="M7" s="534"/>
      <c r="N7" s="533"/>
      <c r="O7" s="367"/>
      <c r="P7" s="368"/>
      <c r="Q7" s="540"/>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1"/>
      <c r="AW7" s="545"/>
      <c r="AX7" s="434" t="str">
        <f t="shared" ref="AX7:AX70" si="6">CONCATENATE(AW7,",",AV7)</f>
        <v>,</v>
      </c>
      <c r="AY7" s="434" t="str">
        <f t="shared" ref="AY7:AY70" si="7">CONCATENATE(J7," ","/"," ",K7)</f>
        <v xml:space="preserve"> / </v>
      </c>
      <c r="AZ7" s="555"/>
      <c r="BA7" s="556"/>
      <c r="BB7" s="555"/>
      <c r="BC7" s="555"/>
      <c r="BD7" s="556"/>
      <c r="BE7" s="555"/>
    </row>
    <row r="8" spans="1:57" s="214" customFormat="1" ht="21.6" customHeight="1">
      <c r="A8" s="518">
        <f t="shared" ref="A8:A71" si="8">A7+1</f>
        <v>3</v>
      </c>
      <c r="B8" s="365"/>
      <c r="C8" s="517"/>
      <c r="D8" s="524"/>
      <c r="E8" s="375"/>
      <c r="F8" s="192" t="s">
        <v>622</v>
      </c>
      <c r="G8" s="525"/>
      <c r="H8" s="193"/>
      <c r="I8" s="193"/>
      <c r="J8" s="533"/>
      <c r="K8" s="533"/>
      <c r="L8" s="533"/>
      <c r="M8" s="534"/>
      <c r="N8" s="533"/>
      <c r="O8" s="367"/>
      <c r="P8" s="368"/>
      <c r="Q8" s="540"/>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1"/>
      <c r="AW8" s="545"/>
      <c r="AX8" s="434" t="str">
        <f t="shared" si="6"/>
        <v>,</v>
      </c>
      <c r="AY8" s="434" t="str">
        <f t="shared" si="7"/>
        <v xml:space="preserve"> / </v>
      </c>
      <c r="AZ8" s="555"/>
      <c r="BA8" s="556"/>
      <c r="BB8" s="555"/>
      <c r="BC8" s="555"/>
      <c r="BD8" s="556"/>
      <c r="BE8" s="555"/>
    </row>
    <row r="9" spans="1:57" s="191" customFormat="1" ht="21.6" customHeight="1">
      <c r="A9" s="518">
        <f t="shared" si="8"/>
        <v>4</v>
      </c>
      <c r="B9" s="365"/>
      <c r="C9" s="517"/>
      <c r="D9" s="524"/>
      <c r="E9" s="375"/>
      <c r="F9" s="192" t="s">
        <v>622</v>
      </c>
      <c r="G9" s="525"/>
      <c r="H9" s="193"/>
      <c r="I9" s="193"/>
      <c r="J9" s="533"/>
      <c r="K9" s="533"/>
      <c r="L9" s="533"/>
      <c r="M9" s="534"/>
      <c r="N9" s="533"/>
      <c r="O9" s="367"/>
      <c r="P9" s="368"/>
      <c r="Q9" s="540"/>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1"/>
      <c r="AW9" s="545"/>
      <c r="AX9" s="434" t="str">
        <f t="shared" si="6"/>
        <v>,</v>
      </c>
      <c r="AY9" s="434" t="str">
        <f t="shared" si="7"/>
        <v xml:space="preserve"> / </v>
      </c>
      <c r="AZ9" s="555"/>
      <c r="BA9" s="556"/>
      <c r="BB9" s="555"/>
      <c r="BC9" s="555"/>
      <c r="BD9" s="556"/>
      <c r="BE9" s="555"/>
    </row>
    <row r="10" spans="1:57" s="191" customFormat="1" ht="21.6" customHeight="1">
      <c r="A10" s="518">
        <f t="shared" si="8"/>
        <v>5</v>
      </c>
      <c r="B10" s="365"/>
      <c r="C10" s="517"/>
      <c r="D10" s="524"/>
      <c r="E10" s="375"/>
      <c r="F10" s="192" t="s">
        <v>622</v>
      </c>
      <c r="G10" s="525"/>
      <c r="H10" s="193"/>
      <c r="I10" s="193"/>
      <c r="J10" s="533"/>
      <c r="K10" s="533"/>
      <c r="L10" s="533"/>
      <c r="M10" s="534"/>
      <c r="N10" s="533"/>
      <c r="O10" s="367"/>
      <c r="P10" s="368"/>
      <c r="Q10" s="540"/>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1"/>
      <c r="AW10" s="545"/>
      <c r="AX10" s="434" t="str">
        <f t="shared" si="6"/>
        <v>,</v>
      </c>
      <c r="AY10" s="434" t="str">
        <f t="shared" si="7"/>
        <v xml:space="preserve"> / </v>
      </c>
      <c r="AZ10" s="555"/>
      <c r="BA10" s="556"/>
      <c r="BB10" s="555"/>
      <c r="BC10" s="555"/>
      <c r="BD10" s="556"/>
      <c r="BE10" s="555"/>
    </row>
    <row r="11" spans="1:57" s="191" customFormat="1" ht="21.6" customHeight="1">
      <c r="A11" s="518">
        <f t="shared" si="8"/>
        <v>6</v>
      </c>
      <c r="B11" s="365"/>
      <c r="C11" s="517"/>
      <c r="D11" s="524"/>
      <c r="E11" s="375"/>
      <c r="F11" s="192" t="s">
        <v>622</v>
      </c>
      <c r="G11" s="525"/>
      <c r="H11" s="193"/>
      <c r="I11" s="193"/>
      <c r="J11" s="533"/>
      <c r="K11" s="533"/>
      <c r="L11" s="533"/>
      <c r="M11" s="534"/>
      <c r="N11" s="533"/>
      <c r="O11" s="367"/>
      <c r="P11" s="368"/>
      <c r="Q11" s="540"/>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1"/>
      <c r="AW11" s="545"/>
      <c r="AX11" s="434" t="str">
        <f t="shared" si="6"/>
        <v>,</v>
      </c>
      <c r="AY11" s="434" t="str">
        <f t="shared" si="7"/>
        <v xml:space="preserve"> / </v>
      </c>
      <c r="AZ11" s="555"/>
      <c r="BA11" s="556"/>
      <c r="BB11" s="555"/>
      <c r="BC11" s="555"/>
      <c r="BD11" s="556"/>
      <c r="BE11" s="555"/>
    </row>
    <row r="12" spans="1:57" s="191" customFormat="1" ht="21.6" customHeight="1">
      <c r="A12" s="518">
        <f t="shared" si="8"/>
        <v>7</v>
      </c>
      <c r="B12" s="365"/>
      <c r="C12" s="517"/>
      <c r="D12" s="524"/>
      <c r="E12" s="375"/>
      <c r="F12" s="192" t="s">
        <v>622</v>
      </c>
      <c r="G12" s="525"/>
      <c r="H12" s="193"/>
      <c r="I12" s="193"/>
      <c r="J12" s="533"/>
      <c r="K12" s="533"/>
      <c r="L12" s="533"/>
      <c r="M12" s="534"/>
      <c r="N12" s="533"/>
      <c r="O12" s="367"/>
      <c r="P12" s="368"/>
      <c r="Q12" s="540"/>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1"/>
      <c r="AW12" s="545"/>
      <c r="AX12" s="434" t="str">
        <f t="shared" si="6"/>
        <v>,</v>
      </c>
      <c r="AY12" s="434" t="str">
        <f t="shared" si="7"/>
        <v xml:space="preserve"> / </v>
      </c>
      <c r="AZ12" s="555"/>
      <c r="BA12" s="556"/>
      <c r="BB12" s="555"/>
      <c r="BC12" s="555"/>
      <c r="BD12" s="556"/>
      <c r="BE12" s="555"/>
    </row>
    <row r="13" spans="1:57" s="214" customFormat="1" ht="21.6" customHeight="1">
      <c r="A13" s="518">
        <f t="shared" si="8"/>
        <v>8</v>
      </c>
      <c r="B13" s="365"/>
      <c r="C13" s="517"/>
      <c r="D13" s="524"/>
      <c r="E13" s="375"/>
      <c r="F13" s="192" t="s">
        <v>622</v>
      </c>
      <c r="G13" s="525"/>
      <c r="H13" s="193"/>
      <c r="I13" s="193"/>
      <c r="J13" s="533"/>
      <c r="K13" s="533"/>
      <c r="L13" s="533"/>
      <c r="M13" s="534"/>
      <c r="N13" s="533"/>
      <c r="O13" s="367"/>
      <c r="P13" s="368"/>
      <c r="Q13" s="540"/>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1"/>
      <c r="AW13" s="545"/>
      <c r="AX13" s="434" t="str">
        <f t="shared" si="6"/>
        <v>,</v>
      </c>
      <c r="AY13" s="434" t="str">
        <f t="shared" si="7"/>
        <v xml:space="preserve"> / </v>
      </c>
      <c r="AZ13" s="555"/>
      <c r="BA13" s="556"/>
      <c r="BB13" s="555"/>
      <c r="BC13" s="555"/>
      <c r="BD13" s="556"/>
      <c r="BE13" s="555"/>
    </row>
    <row r="14" spans="1:57" s="191" customFormat="1" ht="21.6" customHeight="1">
      <c r="A14" s="518">
        <f t="shared" si="8"/>
        <v>9</v>
      </c>
      <c r="B14" s="365"/>
      <c r="C14" s="517"/>
      <c r="D14" s="524"/>
      <c r="E14" s="375"/>
      <c r="F14" s="192" t="s">
        <v>622</v>
      </c>
      <c r="G14" s="525"/>
      <c r="H14" s="193"/>
      <c r="I14" s="193"/>
      <c r="J14" s="533"/>
      <c r="K14" s="533"/>
      <c r="L14" s="533"/>
      <c r="M14" s="534"/>
      <c r="N14" s="533"/>
      <c r="O14" s="367"/>
      <c r="P14" s="368"/>
      <c r="Q14" s="540"/>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1"/>
      <c r="AW14" s="545"/>
      <c r="AX14" s="434" t="str">
        <f t="shared" si="6"/>
        <v>,</v>
      </c>
      <c r="AY14" s="434" t="str">
        <f t="shared" si="7"/>
        <v xml:space="preserve"> / </v>
      </c>
      <c r="AZ14" s="555"/>
      <c r="BA14" s="556"/>
      <c r="BB14" s="555"/>
      <c r="BC14" s="555"/>
      <c r="BD14" s="556"/>
      <c r="BE14" s="555"/>
    </row>
    <row r="15" spans="1:57" s="191" customFormat="1" ht="21.6" customHeight="1">
      <c r="A15" s="518">
        <f t="shared" si="8"/>
        <v>10</v>
      </c>
      <c r="B15" s="362"/>
      <c r="C15" s="519"/>
      <c r="D15" s="524"/>
      <c r="E15" s="375"/>
      <c r="F15" s="192" t="s">
        <v>622</v>
      </c>
      <c r="G15" s="525"/>
      <c r="H15" s="193"/>
      <c r="I15" s="193"/>
      <c r="J15" s="533"/>
      <c r="K15" s="533"/>
      <c r="L15" s="374"/>
      <c r="M15" s="534"/>
      <c r="N15" s="535"/>
      <c r="O15" s="367"/>
      <c r="P15" s="368"/>
      <c r="Q15" s="540"/>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1"/>
      <c r="AW15" s="545"/>
      <c r="AX15" s="434" t="str">
        <f t="shared" si="6"/>
        <v>,</v>
      </c>
      <c r="AY15" s="434" t="str">
        <f t="shared" si="7"/>
        <v xml:space="preserve"> / </v>
      </c>
      <c r="AZ15" s="555"/>
      <c r="BA15" s="556"/>
      <c r="BB15" s="555"/>
      <c r="BC15" s="555"/>
      <c r="BD15" s="556"/>
      <c r="BE15" s="555"/>
    </row>
    <row r="16" spans="1:57" s="191" customFormat="1" ht="21.6" customHeight="1">
      <c r="A16" s="518">
        <f t="shared" si="8"/>
        <v>11</v>
      </c>
      <c r="B16" s="362"/>
      <c r="C16" s="519"/>
      <c r="D16" s="524"/>
      <c r="E16" s="375"/>
      <c r="F16" s="192" t="s">
        <v>622</v>
      </c>
      <c r="G16" s="525"/>
      <c r="H16" s="193"/>
      <c r="I16" s="193"/>
      <c r="J16" s="374"/>
      <c r="K16" s="533"/>
      <c r="L16" s="374"/>
      <c r="M16" s="534"/>
      <c r="N16" s="535"/>
      <c r="O16" s="367"/>
      <c r="P16" s="368"/>
      <c r="Q16" s="540"/>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1"/>
      <c r="AW16" s="545"/>
      <c r="AX16" s="434" t="str">
        <f t="shared" si="6"/>
        <v>,</v>
      </c>
      <c r="AY16" s="434" t="str">
        <f t="shared" si="7"/>
        <v xml:space="preserve"> / </v>
      </c>
      <c r="AZ16" s="555"/>
      <c r="BA16" s="556"/>
      <c r="BB16" s="555"/>
      <c r="BC16" s="555"/>
      <c r="BD16" s="556"/>
      <c r="BE16" s="555"/>
    </row>
    <row r="17" spans="1:57" s="191" customFormat="1" ht="21.6" customHeight="1">
      <c r="A17" s="518">
        <f t="shared" si="8"/>
        <v>12</v>
      </c>
      <c r="B17" s="362"/>
      <c r="C17" s="519"/>
      <c r="D17" s="524"/>
      <c r="E17" s="375"/>
      <c r="F17" s="192" t="s">
        <v>622</v>
      </c>
      <c r="G17" s="525"/>
      <c r="H17" s="193"/>
      <c r="I17" s="193"/>
      <c r="J17" s="374"/>
      <c r="K17" s="533"/>
      <c r="L17" s="374"/>
      <c r="M17" s="534"/>
      <c r="N17" s="535"/>
      <c r="O17" s="367"/>
      <c r="P17" s="368"/>
      <c r="Q17" s="540"/>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1"/>
      <c r="AW17" s="545"/>
      <c r="AX17" s="434" t="str">
        <f t="shared" si="6"/>
        <v>,</v>
      </c>
      <c r="AY17" s="434" t="str">
        <f t="shared" si="7"/>
        <v xml:space="preserve"> / </v>
      </c>
      <c r="AZ17" s="555"/>
      <c r="BA17" s="556"/>
      <c r="BB17" s="555"/>
      <c r="BC17" s="555"/>
      <c r="BD17" s="556"/>
      <c r="BE17" s="555"/>
    </row>
    <row r="18" spans="1:57" s="191" customFormat="1" ht="21.6" customHeight="1">
      <c r="A18" s="518">
        <f t="shared" si="8"/>
        <v>13</v>
      </c>
      <c r="B18" s="362"/>
      <c r="C18" s="519"/>
      <c r="D18" s="524"/>
      <c r="E18" s="375"/>
      <c r="F18" s="192" t="s">
        <v>622</v>
      </c>
      <c r="G18" s="525"/>
      <c r="H18" s="193"/>
      <c r="I18" s="193"/>
      <c r="J18" s="374"/>
      <c r="K18" s="533"/>
      <c r="L18" s="374"/>
      <c r="M18" s="534"/>
      <c r="N18" s="535"/>
      <c r="O18" s="367"/>
      <c r="P18" s="368"/>
      <c r="Q18" s="540"/>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2"/>
      <c r="AW18" s="546"/>
      <c r="AX18" s="434" t="str">
        <f t="shared" si="6"/>
        <v>,</v>
      </c>
      <c r="AY18" s="434" t="str">
        <f t="shared" si="7"/>
        <v xml:space="preserve"> / </v>
      </c>
      <c r="AZ18" s="555"/>
      <c r="BA18" s="556"/>
      <c r="BB18" s="555"/>
      <c r="BC18" s="555"/>
      <c r="BD18" s="556"/>
      <c r="BE18" s="555"/>
    </row>
    <row r="19" spans="1:57" s="191" customFormat="1" ht="21.6" customHeight="1">
      <c r="A19" s="518">
        <f t="shared" si="8"/>
        <v>14</v>
      </c>
      <c r="B19" s="362"/>
      <c r="C19" s="519"/>
      <c r="D19" s="524"/>
      <c r="E19" s="375"/>
      <c r="F19" s="192" t="s">
        <v>622</v>
      </c>
      <c r="G19" s="525"/>
      <c r="H19" s="193"/>
      <c r="I19" s="193"/>
      <c r="J19" s="374"/>
      <c r="K19" s="533"/>
      <c r="L19" s="374"/>
      <c r="M19" s="534"/>
      <c r="N19" s="535"/>
      <c r="O19" s="367"/>
      <c r="P19" s="368"/>
      <c r="Q19" s="540"/>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1"/>
      <c r="AW19" s="545"/>
      <c r="AX19" s="434" t="str">
        <f t="shared" si="6"/>
        <v>,</v>
      </c>
      <c r="AY19" s="434" t="str">
        <f t="shared" si="7"/>
        <v xml:space="preserve"> / </v>
      </c>
      <c r="AZ19" s="555"/>
      <c r="BA19" s="556"/>
      <c r="BB19" s="555"/>
      <c r="BC19" s="555"/>
      <c r="BD19" s="556"/>
      <c r="BE19" s="555"/>
    </row>
    <row r="20" spans="1:57" s="191" customFormat="1" ht="21.6" customHeight="1">
      <c r="A20" s="518">
        <f t="shared" si="8"/>
        <v>15</v>
      </c>
      <c r="B20" s="362"/>
      <c r="C20" s="519"/>
      <c r="D20" s="524"/>
      <c r="E20" s="375"/>
      <c r="F20" s="192" t="s">
        <v>622</v>
      </c>
      <c r="G20" s="525"/>
      <c r="H20" s="193"/>
      <c r="I20" s="193"/>
      <c r="J20" s="374"/>
      <c r="K20" s="533"/>
      <c r="L20" s="374"/>
      <c r="M20" s="534"/>
      <c r="N20" s="535"/>
      <c r="O20" s="367"/>
      <c r="P20" s="368"/>
      <c r="Q20" s="540"/>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1"/>
      <c r="AW20" s="545"/>
      <c r="AX20" s="434" t="str">
        <f t="shared" si="6"/>
        <v>,</v>
      </c>
      <c r="AY20" s="434" t="str">
        <f t="shared" si="7"/>
        <v xml:space="preserve"> / </v>
      </c>
      <c r="AZ20" s="555"/>
      <c r="BA20" s="556"/>
      <c r="BB20" s="555"/>
      <c r="BC20" s="555"/>
      <c r="BD20" s="556"/>
      <c r="BE20" s="555"/>
    </row>
    <row r="21" spans="1:57" s="191" customFormat="1" ht="21.6" customHeight="1">
      <c r="A21" s="518">
        <f t="shared" si="8"/>
        <v>16</v>
      </c>
      <c r="B21" s="362"/>
      <c r="C21" s="519"/>
      <c r="D21" s="524"/>
      <c r="E21" s="375"/>
      <c r="F21" s="192" t="s">
        <v>622</v>
      </c>
      <c r="G21" s="525"/>
      <c r="H21" s="193"/>
      <c r="I21" s="193"/>
      <c r="J21" s="374"/>
      <c r="K21" s="533"/>
      <c r="L21" s="374"/>
      <c r="M21" s="534"/>
      <c r="N21" s="535"/>
      <c r="O21" s="367"/>
      <c r="P21" s="368"/>
      <c r="Q21" s="540"/>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1"/>
      <c r="AW21" s="545"/>
      <c r="AX21" s="434" t="str">
        <f t="shared" si="6"/>
        <v>,</v>
      </c>
      <c r="AY21" s="434" t="str">
        <f t="shared" si="7"/>
        <v xml:space="preserve"> / </v>
      </c>
      <c r="AZ21" s="555"/>
      <c r="BA21" s="556"/>
      <c r="BB21" s="555"/>
      <c r="BC21" s="555"/>
      <c r="BD21" s="556"/>
      <c r="BE21" s="555"/>
    </row>
    <row r="22" spans="1:57" s="191" customFormat="1" ht="21.6" customHeight="1">
      <c r="A22" s="518">
        <f t="shared" si="8"/>
        <v>17</v>
      </c>
      <c r="B22" s="362"/>
      <c r="C22" s="519"/>
      <c r="D22" s="524"/>
      <c r="E22" s="375"/>
      <c r="F22" s="192" t="s">
        <v>622</v>
      </c>
      <c r="G22" s="525"/>
      <c r="H22" s="193"/>
      <c r="I22" s="193"/>
      <c r="J22" s="374"/>
      <c r="K22" s="533"/>
      <c r="L22" s="374"/>
      <c r="M22" s="534"/>
      <c r="N22" s="535"/>
      <c r="O22" s="367"/>
      <c r="P22" s="368"/>
      <c r="Q22" s="540"/>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1"/>
      <c r="AW22" s="545"/>
      <c r="AX22" s="434" t="str">
        <f t="shared" si="6"/>
        <v>,</v>
      </c>
      <c r="AY22" s="434" t="str">
        <f t="shared" si="7"/>
        <v xml:space="preserve"> / </v>
      </c>
      <c r="AZ22" s="555"/>
      <c r="BA22" s="556"/>
      <c r="BB22" s="555"/>
      <c r="BC22" s="555"/>
      <c r="BD22" s="556"/>
      <c r="BE22" s="555"/>
    </row>
    <row r="23" spans="1:57" s="191" customFormat="1" ht="21.6" customHeight="1">
      <c r="A23" s="518">
        <f t="shared" si="8"/>
        <v>18</v>
      </c>
      <c r="B23" s="362"/>
      <c r="C23" s="519"/>
      <c r="D23" s="524"/>
      <c r="E23" s="375"/>
      <c r="F23" s="192" t="s">
        <v>622</v>
      </c>
      <c r="G23" s="525"/>
      <c r="H23" s="193"/>
      <c r="I23" s="193"/>
      <c r="J23" s="374"/>
      <c r="K23" s="533"/>
      <c r="L23" s="374"/>
      <c r="M23" s="534"/>
      <c r="N23" s="535"/>
      <c r="O23" s="367"/>
      <c r="P23" s="368"/>
      <c r="Q23" s="540"/>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1"/>
      <c r="AW23" s="545"/>
      <c r="AX23" s="434" t="str">
        <f t="shared" si="6"/>
        <v>,</v>
      </c>
      <c r="AY23" s="434" t="str">
        <f t="shared" si="7"/>
        <v xml:space="preserve"> / </v>
      </c>
      <c r="AZ23" s="555"/>
      <c r="BA23" s="556"/>
      <c r="BB23" s="555"/>
      <c r="BC23" s="555"/>
      <c r="BD23" s="556"/>
      <c r="BE23" s="555"/>
    </row>
    <row r="24" spans="1:57" s="191" customFormat="1" ht="21.6" customHeight="1">
      <c r="A24" s="518">
        <f t="shared" si="8"/>
        <v>19</v>
      </c>
      <c r="B24" s="362"/>
      <c r="C24" s="519"/>
      <c r="D24" s="524"/>
      <c r="E24" s="375"/>
      <c r="F24" s="192" t="s">
        <v>622</v>
      </c>
      <c r="G24" s="524"/>
      <c r="H24" s="193"/>
      <c r="I24" s="193"/>
      <c r="J24" s="374"/>
      <c r="K24" s="533"/>
      <c r="L24" s="374"/>
      <c r="M24" s="534"/>
      <c r="N24" s="535"/>
      <c r="O24" s="367"/>
      <c r="P24" s="368"/>
      <c r="Q24" s="540"/>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1"/>
      <c r="AW24" s="545"/>
      <c r="AX24" s="434" t="str">
        <f t="shared" si="6"/>
        <v>,</v>
      </c>
      <c r="AY24" s="434" t="str">
        <f t="shared" si="7"/>
        <v xml:space="preserve"> / </v>
      </c>
      <c r="AZ24" s="555"/>
      <c r="BA24" s="556"/>
      <c r="BB24" s="555"/>
      <c r="BC24" s="555"/>
      <c r="BD24" s="556"/>
      <c r="BE24" s="555"/>
    </row>
    <row r="25" spans="1:57" s="191" customFormat="1" ht="21.6" customHeight="1">
      <c r="A25" s="518">
        <f t="shared" si="8"/>
        <v>20</v>
      </c>
      <c r="B25" s="362"/>
      <c r="C25" s="519"/>
      <c r="D25" s="524"/>
      <c r="E25" s="375"/>
      <c r="F25" s="192" t="s">
        <v>622</v>
      </c>
      <c r="G25" s="525"/>
      <c r="H25" s="193"/>
      <c r="I25" s="193"/>
      <c r="J25" s="374"/>
      <c r="K25" s="533"/>
      <c r="L25" s="374"/>
      <c r="M25" s="534"/>
      <c r="N25" s="535"/>
      <c r="O25" s="367"/>
      <c r="P25" s="368"/>
      <c r="Q25" s="540"/>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1"/>
      <c r="AW25" s="545"/>
      <c r="AX25" s="434" t="str">
        <f t="shared" si="6"/>
        <v>,</v>
      </c>
      <c r="AY25" s="434" t="str">
        <f t="shared" si="7"/>
        <v xml:space="preserve"> / </v>
      </c>
      <c r="AZ25" s="555"/>
      <c r="BA25" s="556"/>
      <c r="BB25" s="555"/>
      <c r="BC25" s="555"/>
      <c r="BD25" s="556"/>
      <c r="BE25" s="555"/>
    </row>
    <row r="26" spans="1:57" s="214" customFormat="1" ht="21.6" customHeight="1">
      <c r="A26" s="518">
        <f t="shared" si="8"/>
        <v>21</v>
      </c>
      <c r="B26" s="362"/>
      <c r="C26" s="519"/>
      <c r="D26" s="524"/>
      <c r="E26" s="375"/>
      <c r="F26" s="192" t="s">
        <v>622</v>
      </c>
      <c r="G26" s="525"/>
      <c r="H26" s="193"/>
      <c r="I26" s="193"/>
      <c r="J26" s="374"/>
      <c r="K26" s="533"/>
      <c r="L26" s="374"/>
      <c r="M26" s="534"/>
      <c r="N26" s="535"/>
      <c r="O26" s="367"/>
      <c r="P26" s="368"/>
      <c r="Q26" s="540"/>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1"/>
      <c r="AW26" s="545"/>
      <c r="AX26" s="434" t="str">
        <f t="shared" si="6"/>
        <v>,</v>
      </c>
      <c r="AY26" s="434" t="str">
        <f t="shared" si="7"/>
        <v xml:space="preserve"> / </v>
      </c>
      <c r="AZ26" s="555"/>
      <c r="BA26" s="556"/>
      <c r="BB26" s="555"/>
      <c r="BC26" s="555"/>
      <c r="BD26" s="556"/>
      <c r="BE26" s="555"/>
    </row>
    <row r="27" spans="1:57" s="191" customFormat="1" ht="21.6" customHeight="1">
      <c r="A27" s="518">
        <f t="shared" si="8"/>
        <v>22</v>
      </c>
      <c r="B27" s="362"/>
      <c r="C27" s="519"/>
      <c r="D27" s="524"/>
      <c r="E27" s="375"/>
      <c r="F27" s="192" t="s">
        <v>622</v>
      </c>
      <c r="G27" s="525"/>
      <c r="H27" s="193"/>
      <c r="I27" s="193"/>
      <c r="J27" s="374"/>
      <c r="K27" s="533"/>
      <c r="L27" s="374"/>
      <c r="M27" s="534"/>
      <c r="N27" s="535"/>
      <c r="O27" s="367"/>
      <c r="P27" s="368"/>
      <c r="Q27" s="540"/>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1"/>
      <c r="AW27" s="545"/>
      <c r="AX27" s="434" t="str">
        <f t="shared" si="6"/>
        <v>,</v>
      </c>
      <c r="AY27" s="434" t="str">
        <f t="shared" si="7"/>
        <v xml:space="preserve"> / </v>
      </c>
      <c r="AZ27" s="555"/>
      <c r="BA27" s="556"/>
      <c r="BB27" s="555"/>
      <c r="BC27" s="555"/>
      <c r="BD27" s="556"/>
      <c r="BE27" s="555"/>
    </row>
    <row r="28" spans="1:57" s="191" customFormat="1" ht="21.6" customHeight="1">
      <c r="A28" s="518">
        <f t="shared" si="8"/>
        <v>23</v>
      </c>
      <c r="B28" s="362"/>
      <c r="C28" s="519"/>
      <c r="D28" s="524"/>
      <c r="E28" s="375"/>
      <c r="F28" s="192" t="s">
        <v>622</v>
      </c>
      <c r="G28" s="525"/>
      <c r="H28" s="193"/>
      <c r="I28" s="193"/>
      <c r="J28" s="374"/>
      <c r="K28" s="533"/>
      <c r="L28" s="374"/>
      <c r="M28" s="534"/>
      <c r="N28" s="535"/>
      <c r="O28" s="367"/>
      <c r="P28" s="368"/>
      <c r="Q28" s="540"/>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1"/>
      <c r="AW28" s="545"/>
      <c r="AX28" s="434" t="str">
        <f t="shared" si="6"/>
        <v>,</v>
      </c>
      <c r="AY28" s="434" t="str">
        <f t="shared" si="7"/>
        <v xml:space="preserve"> / </v>
      </c>
      <c r="AZ28" s="555"/>
      <c r="BA28" s="556"/>
      <c r="BB28" s="555"/>
      <c r="BC28" s="555"/>
      <c r="BD28" s="556"/>
      <c r="BE28" s="555"/>
    </row>
    <row r="29" spans="1:57" s="191" customFormat="1" ht="21.6" customHeight="1">
      <c r="A29" s="518">
        <f t="shared" si="8"/>
        <v>24</v>
      </c>
      <c r="B29" s="362"/>
      <c r="C29" s="519"/>
      <c r="D29" s="524"/>
      <c r="E29" s="375"/>
      <c r="F29" s="192" t="s">
        <v>622</v>
      </c>
      <c r="G29" s="525"/>
      <c r="H29" s="193"/>
      <c r="I29" s="193"/>
      <c r="J29" s="374"/>
      <c r="K29" s="533"/>
      <c r="L29" s="374"/>
      <c r="M29" s="534"/>
      <c r="N29" s="535"/>
      <c r="O29" s="367"/>
      <c r="P29" s="368"/>
      <c r="Q29" s="540"/>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1"/>
      <c r="AW29" s="545"/>
      <c r="AX29" s="434" t="str">
        <f t="shared" si="6"/>
        <v>,</v>
      </c>
      <c r="AY29" s="434" t="str">
        <f t="shared" si="7"/>
        <v xml:space="preserve"> / </v>
      </c>
      <c r="AZ29" s="555"/>
      <c r="BA29" s="556"/>
      <c r="BB29" s="555"/>
      <c r="BC29" s="555"/>
      <c r="BD29" s="556"/>
      <c r="BE29" s="555"/>
    </row>
    <row r="30" spans="1:57" s="191" customFormat="1" ht="21.6" customHeight="1">
      <c r="A30" s="518">
        <f t="shared" si="8"/>
        <v>25</v>
      </c>
      <c r="B30" s="362"/>
      <c r="C30" s="519"/>
      <c r="D30" s="524"/>
      <c r="E30" s="375"/>
      <c r="F30" s="192" t="s">
        <v>622</v>
      </c>
      <c r="G30" s="525"/>
      <c r="H30" s="193"/>
      <c r="I30" s="193"/>
      <c r="J30" s="374"/>
      <c r="K30" s="533"/>
      <c r="L30" s="374"/>
      <c r="M30" s="534"/>
      <c r="N30" s="535"/>
      <c r="O30" s="367"/>
      <c r="P30" s="368"/>
      <c r="Q30" s="540"/>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1"/>
      <c r="AW30" s="545"/>
      <c r="AX30" s="434" t="str">
        <f t="shared" si="6"/>
        <v>,</v>
      </c>
      <c r="AY30" s="434" t="str">
        <f t="shared" si="7"/>
        <v xml:space="preserve"> / </v>
      </c>
      <c r="AZ30" s="555"/>
      <c r="BA30" s="556"/>
      <c r="BB30" s="555"/>
      <c r="BC30" s="555"/>
      <c r="BD30" s="556"/>
      <c r="BE30" s="555"/>
    </row>
    <row r="31" spans="1:57" s="191" customFormat="1" ht="21.6" customHeight="1">
      <c r="A31" s="518">
        <f t="shared" si="8"/>
        <v>26</v>
      </c>
      <c r="B31" s="362"/>
      <c r="C31" s="519"/>
      <c r="D31" s="524"/>
      <c r="E31" s="375"/>
      <c r="F31" s="192" t="s">
        <v>622</v>
      </c>
      <c r="G31" s="525"/>
      <c r="H31" s="193"/>
      <c r="I31" s="193"/>
      <c r="J31" s="374"/>
      <c r="K31" s="533"/>
      <c r="L31" s="374"/>
      <c r="M31" s="534"/>
      <c r="N31" s="535"/>
      <c r="O31" s="367"/>
      <c r="P31" s="368"/>
      <c r="Q31" s="540"/>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1"/>
      <c r="AW31" s="545"/>
      <c r="AX31" s="434" t="str">
        <f t="shared" si="6"/>
        <v>,</v>
      </c>
      <c r="AY31" s="434" t="str">
        <f t="shared" si="7"/>
        <v xml:space="preserve"> / </v>
      </c>
      <c r="AZ31" s="555"/>
      <c r="BA31" s="556"/>
      <c r="BB31" s="555"/>
      <c r="BC31" s="555"/>
      <c r="BD31" s="556"/>
      <c r="BE31" s="555"/>
    </row>
    <row r="32" spans="1:57" s="191" customFormat="1" ht="21.6" customHeight="1">
      <c r="A32" s="518">
        <f t="shared" si="8"/>
        <v>27</v>
      </c>
      <c r="B32" s="362"/>
      <c r="C32" s="519"/>
      <c r="D32" s="524"/>
      <c r="E32" s="375"/>
      <c r="F32" s="192" t="s">
        <v>622</v>
      </c>
      <c r="G32" s="525"/>
      <c r="H32" s="193"/>
      <c r="I32" s="193"/>
      <c r="J32" s="374"/>
      <c r="K32" s="533"/>
      <c r="L32" s="374"/>
      <c r="M32" s="534"/>
      <c r="N32" s="535"/>
      <c r="O32" s="367"/>
      <c r="P32" s="368"/>
      <c r="Q32" s="540"/>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1"/>
      <c r="AW32" s="545"/>
      <c r="AX32" s="434" t="str">
        <f t="shared" si="6"/>
        <v>,</v>
      </c>
      <c r="AY32" s="434" t="str">
        <f t="shared" si="7"/>
        <v xml:space="preserve"> / </v>
      </c>
      <c r="AZ32" s="555"/>
      <c r="BA32" s="556"/>
      <c r="BB32" s="555"/>
      <c r="BC32" s="555"/>
      <c r="BD32" s="556"/>
      <c r="BE32" s="555"/>
    </row>
    <row r="33" spans="1:57" s="191" customFormat="1" ht="21.6" customHeight="1">
      <c r="A33" s="518">
        <f t="shared" si="8"/>
        <v>28</v>
      </c>
      <c r="B33" s="362"/>
      <c r="C33" s="519"/>
      <c r="D33" s="524"/>
      <c r="E33" s="375"/>
      <c r="F33" s="192" t="s">
        <v>622</v>
      </c>
      <c r="G33" s="525"/>
      <c r="H33" s="193"/>
      <c r="I33" s="193"/>
      <c r="J33" s="374"/>
      <c r="K33" s="533"/>
      <c r="L33" s="374"/>
      <c r="M33" s="534"/>
      <c r="N33" s="535"/>
      <c r="O33" s="367"/>
      <c r="P33" s="368"/>
      <c r="Q33" s="540"/>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1"/>
      <c r="AW33" s="545"/>
      <c r="AX33" s="434" t="str">
        <f t="shared" si="6"/>
        <v>,</v>
      </c>
      <c r="AY33" s="434" t="str">
        <f t="shared" si="7"/>
        <v xml:space="preserve"> / </v>
      </c>
      <c r="AZ33" s="555"/>
      <c r="BA33" s="556"/>
      <c r="BB33" s="555"/>
      <c r="BC33" s="555"/>
      <c r="BD33" s="556"/>
      <c r="BE33" s="555"/>
    </row>
    <row r="34" spans="1:57" s="191" customFormat="1" ht="21.6" customHeight="1">
      <c r="A34" s="518">
        <f t="shared" si="8"/>
        <v>29</v>
      </c>
      <c r="B34" s="362"/>
      <c r="C34" s="519"/>
      <c r="D34" s="524"/>
      <c r="E34" s="375"/>
      <c r="F34" s="192" t="s">
        <v>622</v>
      </c>
      <c r="G34" s="525"/>
      <c r="H34" s="193"/>
      <c r="I34" s="193"/>
      <c r="J34" s="374"/>
      <c r="K34" s="533"/>
      <c r="L34" s="374"/>
      <c r="M34" s="534"/>
      <c r="N34" s="535"/>
      <c r="O34" s="367"/>
      <c r="P34" s="368"/>
      <c r="Q34" s="540"/>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1"/>
      <c r="AW34" s="545"/>
      <c r="AX34" s="434" t="str">
        <f t="shared" si="6"/>
        <v>,</v>
      </c>
      <c r="AY34" s="434" t="str">
        <f t="shared" si="7"/>
        <v xml:space="preserve"> / </v>
      </c>
      <c r="AZ34" s="555"/>
      <c r="BA34" s="556"/>
      <c r="BB34" s="555"/>
      <c r="BC34" s="555"/>
      <c r="BD34" s="556"/>
      <c r="BE34" s="555"/>
    </row>
    <row r="35" spans="1:57" s="214" customFormat="1" ht="21.6" customHeight="1">
      <c r="A35" s="518">
        <f t="shared" si="8"/>
        <v>30</v>
      </c>
      <c r="B35" s="362"/>
      <c r="C35" s="519"/>
      <c r="D35" s="524"/>
      <c r="E35" s="375"/>
      <c r="F35" s="192" t="s">
        <v>622</v>
      </c>
      <c r="G35" s="525"/>
      <c r="H35" s="193"/>
      <c r="I35" s="193"/>
      <c r="J35" s="374"/>
      <c r="K35" s="533"/>
      <c r="L35" s="374"/>
      <c r="M35" s="534"/>
      <c r="N35" s="535"/>
      <c r="O35" s="367"/>
      <c r="P35" s="368"/>
      <c r="Q35" s="540"/>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1"/>
      <c r="AW35" s="545"/>
      <c r="AX35" s="434" t="str">
        <f t="shared" si="6"/>
        <v>,</v>
      </c>
      <c r="AY35" s="434" t="str">
        <f t="shared" si="7"/>
        <v xml:space="preserve"> / </v>
      </c>
      <c r="AZ35" s="555"/>
      <c r="BA35" s="556"/>
      <c r="BB35" s="555"/>
      <c r="BC35" s="555"/>
      <c r="BD35" s="556"/>
      <c r="BE35" s="555"/>
    </row>
    <row r="36" spans="1:57" s="191" customFormat="1" ht="21.6" customHeight="1">
      <c r="A36" s="518">
        <f t="shared" si="8"/>
        <v>31</v>
      </c>
      <c r="B36" s="362"/>
      <c r="C36" s="519"/>
      <c r="D36" s="524"/>
      <c r="E36" s="375"/>
      <c r="F36" s="192" t="s">
        <v>622</v>
      </c>
      <c r="G36" s="525"/>
      <c r="H36" s="193"/>
      <c r="I36" s="193"/>
      <c r="J36" s="374"/>
      <c r="K36" s="533"/>
      <c r="L36" s="374"/>
      <c r="M36" s="534"/>
      <c r="N36" s="535"/>
      <c r="O36" s="367"/>
      <c r="P36" s="368"/>
      <c r="Q36" s="540"/>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1"/>
      <c r="AW36" s="545"/>
      <c r="AX36" s="434" t="str">
        <f t="shared" si="6"/>
        <v>,</v>
      </c>
      <c r="AY36" s="434" t="str">
        <f t="shared" si="7"/>
        <v xml:space="preserve"> / </v>
      </c>
      <c r="AZ36" s="555"/>
      <c r="BA36" s="556"/>
      <c r="BB36" s="555"/>
      <c r="BC36" s="555"/>
      <c r="BD36" s="556"/>
      <c r="BE36" s="555"/>
    </row>
    <row r="37" spans="1:57" s="191" customFormat="1" ht="21.6" customHeight="1">
      <c r="A37" s="518">
        <f t="shared" si="8"/>
        <v>32</v>
      </c>
      <c r="B37" s="362"/>
      <c r="C37" s="519"/>
      <c r="D37" s="524"/>
      <c r="E37" s="375"/>
      <c r="F37" s="192" t="s">
        <v>622</v>
      </c>
      <c r="G37" s="525"/>
      <c r="H37" s="193"/>
      <c r="I37" s="193"/>
      <c r="J37" s="374"/>
      <c r="K37" s="533"/>
      <c r="L37" s="374"/>
      <c r="M37" s="534"/>
      <c r="N37" s="535"/>
      <c r="O37" s="367"/>
      <c r="P37" s="368"/>
      <c r="Q37" s="540"/>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1"/>
      <c r="AW37" s="545"/>
      <c r="AX37" s="434" t="str">
        <f t="shared" si="6"/>
        <v>,</v>
      </c>
      <c r="AY37" s="434" t="str">
        <f t="shared" si="7"/>
        <v xml:space="preserve"> / </v>
      </c>
      <c r="AZ37" s="555"/>
      <c r="BA37" s="556"/>
      <c r="BB37" s="555"/>
      <c r="BC37" s="555"/>
      <c r="BD37" s="556"/>
      <c r="BE37" s="555"/>
    </row>
    <row r="38" spans="1:57" s="191" customFormat="1" ht="21.6" customHeight="1">
      <c r="A38" s="518">
        <f t="shared" si="8"/>
        <v>33</v>
      </c>
      <c r="B38" s="362"/>
      <c r="C38" s="519"/>
      <c r="D38" s="524"/>
      <c r="E38" s="375"/>
      <c r="F38" s="192" t="s">
        <v>622</v>
      </c>
      <c r="G38" s="525"/>
      <c r="H38" s="193"/>
      <c r="I38" s="193"/>
      <c r="J38" s="374"/>
      <c r="K38" s="533"/>
      <c r="L38" s="374"/>
      <c r="M38" s="534"/>
      <c r="N38" s="535"/>
      <c r="O38" s="367"/>
      <c r="P38" s="368"/>
      <c r="Q38" s="540"/>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1"/>
      <c r="AW38" s="545"/>
      <c r="AX38" s="434" t="str">
        <f t="shared" si="6"/>
        <v>,</v>
      </c>
      <c r="AY38" s="434" t="str">
        <f t="shared" si="7"/>
        <v xml:space="preserve"> / </v>
      </c>
      <c r="AZ38" s="555"/>
      <c r="BA38" s="556"/>
      <c r="BB38" s="555"/>
      <c r="BC38" s="555"/>
      <c r="BD38" s="556"/>
      <c r="BE38" s="555"/>
    </row>
    <row r="39" spans="1:57" s="191" customFormat="1" ht="21.6" customHeight="1">
      <c r="A39" s="518">
        <f t="shared" si="8"/>
        <v>34</v>
      </c>
      <c r="B39" s="362"/>
      <c r="C39" s="519"/>
      <c r="D39" s="524"/>
      <c r="E39" s="375"/>
      <c r="F39" s="192" t="s">
        <v>622</v>
      </c>
      <c r="G39" s="525"/>
      <c r="H39" s="193"/>
      <c r="I39" s="193"/>
      <c r="J39" s="374"/>
      <c r="K39" s="533"/>
      <c r="L39" s="374"/>
      <c r="M39" s="534"/>
      <c r="N39" s="535"/>
      <c r="O39" s="367"/>
      <c r="P39" s="368"/>
      <c r="Q39" s="540"/>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1"/>
      <c r="AW39" s="545"/>
      <c r="AX39" s="434" t="str">
        <f t="shared" si="6"/>
        <v>,</v>
      </c>
      <c r="AY39" s="434" t="str">
        <f t="shared" si="7"/>
        <v xml:space="preserve"> / </v>
      </c>
      <c r="AZ39" s="555"/>
      <c r="BA39" s="556"/>
      <c r="BB39" s="555"/>
      <c r="BC39" s="555"/>
      <c r="BD39" s="556"/>
      <c r="BE39" s="555"/>
    </row>
    <row r="40" spans="1:57" s="191" customFormat="1" ht="21.6" customHeight="1">
      <c r="A40" s="518">
        <f t="shared" si="8"/>
        <v>35</v>
      </c>
      <c r="B40" s="362"/>
      <c r="C40" s="519"/>
      <c r="D40" s="524"/>
      <c r="E40" s="375"/>
      <c r="F40" s="192" t="s">
        <v>622</v>
      </c>
      <c r="G40" s="525"/>
      <c r="H40" s="193"/>
      <c r="I40" s="193"/>
      <c r="J40" s="374"/>
      <c r="K40" s="533"/>
      <c r="L40" s="374"/>
      <c r="M40" s="534"/>
      <c r="N40" s="535"/>
      <c r="O40" s="367"/>
      <c r="P40" s="368"/>
      <c r="Q40" s="540"/>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1"/>
      <c r="AW40" s="545"/>
      <c r="AX40" s="434" t="str">
        <f t="shared" si="6"/>
        <v>,</v>
      </c>
      <c r="AY40" s="434" t="str">
        <f t="shared" si="7"/>
        <v xml:space="preserve"> / </v>
      </c>
      <c r="AZ40" s="555"/>
      <c r="BA40" s="556"/>
      <c r="BB40" s="555"/>
      <c r="BC40" s="555"/>
      <c r="BD40" s="556"/>
      <c r="BE40" s="555"/>
    </row>
    <row r="41" spans="1:57" s="191" customFormat="1" ht="21.6" customHeight="1">
      <c r="A41" s="518">
        <f t="shared" si="8"/>
        <v>36</v>
      </c>
      <c r="B41" s="362"/>
      <c r="C41" s="519"/>
      <c r="D41" s="524"/>
      <c r="E41" s="375"/>
      <c r="F41" s="192" t="s">
        <v>622</v>
      </c>
      <c r="G41" s="525"/>
      <c r="H41" s="193"/>
      <c r="I41" s="193"/>
      <c r="J41" s="374"/>
      <c r="K41" s="533"/>
      <c r="L41" s="374"/>
      <c r="M41" s="534"/>
      <c r="N41" s="535"/>
      <c r="O41" s="367"/>
      <c r="P41" s="368"/>
      <c r="Q41" s="540"/>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1"/>
      <c r="AW41" s="545"/>
      <c r="AX41" s="434" t="str">
        <f t="shared" si="6"/>
        <v>,</v>
      </c>
      <c r="AY41" s="434" t="str">
        <f t="shared" si="7"/>
        <v xml:space="preserve"> / </v>
      </c>
      <c r="AZ41" s="555"/>
      <c r="BA41" s="556"/>
      <c r="BB41" s="555"/>
      <c r="BC41" s="555"/>
      <c r="BD41" s="556"/>
      <c r="BE41" s="555"/>
    </row>
    <row r="42" spans="1:57" s="191" customFormat="1" ht="21.6" customHeight="1">
      <c r="A42" s="518">
        <f t="shared" si="8"/>
        <v>37</v>
      </c>
      <c r="B42" s="362"/>
      <c r="C42" s="519"/>
      <c r="D42" s="524"/>
      <c r="E42" s="375"/>
      <c r="F42" s="192" t="s">
        <v>622</v>
      </c>
      <c r="G42" s="525"/>
      <c r="H42" s="193"/>
      <c r="I42" s="193"/>
      <c r="J42" s="374"/>
      <c r="K42" s="533"/>
      <c r="L42" s="374"/>
      <c r="M42" s="534"/>
      <c r="N42" s="535"/>
      <c r="O42" s="367"/>
      <c r="P42" s="368"/>
      <c r="Q42" s="540"/>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1"/>
      <c r="AW42" s="545"/>
      <c r="AX42" s="434" t="str">
        <f t="shared" si="6"/>
        <v>,</v>
      </c>
      <c r="AY42" s="434" t="str">
        <f t="shared" si="7"/>
        <v xml:space="preserve"> / </v>
      </c>
      <c r="AZ42" s="555"/>
      <c r="BA42" s="556"/>
      <c r="BB42" s="555"/>
      <c r="BC42" s="555"/>
      <c r="BD42" s="556"/>
      <c r="BE42" s="555"/>
    </row>
    <row r="43" spans="1:57" s="191" customFormat="1" ht="21.6" customHeight="1">
      <c r="A43" s="518">
        <f t="shared" si="8"/>
        <v>38</v>
      </c>
      <c r="B43" s="362"/>
      <c r="C43" s="519"/>
      <c r="D43" s="524"/>
      <c r="E43" s="375"/>
      <c r="F43" s="192" t="s">
        <v>622</v>
      </c>
      <c r="G43" s="525"/>
      <c r="H43" s="193"/>
      <c r="I43" s="193"/>
      <c r="J43" s="374"/>
      <c r="K43" s="533"/>
      <c r="L43" s="374"/>
      <c r="M43" s="534"/>
      <c r="N43" s="535"/>
      <c r="O43" s="367"/>
      <c r="P43" s="368"/>
      <c r="Q43" s="540"/>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1"/>
      <c r="AW43" s="545"/>
      <c r="AX43" s="434" t="str">
        <f t="shared" si="6"/>
        <v>,</v>
      </c>
      <c r="AY43" s="434" t="str">
        <f t="shared" si="7"/>
        <v xml:space="preserve"> / </v>
      </c>
      <c r="AZ43" s="555"/>
      <c r="BA43" s="556"/>
      <c r="BB43" s="555"/>
      <c r="BC43" s="555"/>
      <c r="BD43" s="556"/>
      <c r="BE43" s="555"/>
    </row>
    <row r="44" spans="1:57" s="191" customFormat="1" ht="21.6" customHeight="1">
      <c r="A44" s="518">
        <f t="shared" si="8"/>
        <v>39</v>
      </c>
      <c r="B44" s="362"/>
      <c r="C44" s="519"/>
      <c r="D44" s="524"/>
      <c r="E44" s="375"/>
      <c r="F44" s="192" t="s">
        <v>622</v>
      </c>
      <c r="G44" s="525"/>
      <c r="H44" s="193"/>
      <c r="I44" s="193"/>
      <c r="J44" s="374"/>
      <c r="K44" s="533"/>
      <c r="L44" s="374"/>
      <c r="M44" s="534"/>
      <c r="N44" s="535"/>
      <c r="O44" s="367"/>
      <c r="P44" s="368"/>
      <c r="Q44" s="540"/>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1"/>
      <c r="AW44" s="545"/>
      <c r="AX44" s="434" t="str">
        <f t="shared" si="6"/>
        <v>,</v>
      </c>
      <c r="AY44" s="434" t="str">
        <f t="shared" si="7"/>
        <v xml:space="preserve"> / </v>
      </c>
      <c r="AZ44" s="555"/>
      <c r="BA44" s="556"/>
      <c r="BB44" s="555"/>
      <c r="BC44" s="555"/>
      <c r="BD44" s="556"/>
      <c r="BE44" s="555"/>
    </row>
    <row r="45" spans="1:57" s="191" customFormat="1" ht="21.6" customHeight="1">
      <c r="A45" s="518">
        <f t="shared" si="8"/>
        <v>40</v>
      </c>
      <c r="B45" s="362"/>
      <c r="C45" s="519"/>
      <c r="D45" s="524"/>
      <c r="E45" s="375"/>
      <c r="F45" s="192" t="s">
        <v>622</v>
      </c>
      <c r="G45" s="525"/>
      <c r="H45" s="193"/>
      <c r="I45" s="193"/>
      <c r="J45" s="374"/>
      <c r="K45" s="533"/>
      <c r="L45" s="374"/>
      <c r="M45" s="534"/>
      <c r="N45" s="535"/>
      <c r="O45" s="367"/>
      <c r="P45" s="368"/>
      <c r="Q45" s="540"/>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1"/>
      <c r="AW45" s="545"/>
      <c r="AX45" s="434" t="str">
        <f t="shared" si="6"/>
        <v>,</v>
      </c>
      <c r="AY45" s="434" t="str">
        <f t="shared" si="7"/>
        <v xml:space="preserve"> / </v>
      </c>
      <c r="AZ45" s="555"/>
      <c r="BA45" s="556"/>
      <c r="BB45" s="555"/>
      <c r="BC45" s="555"/>
      <c r="BD45" s="556"/>
      <c r="BE45" s="555"/>
    </row>
    <row r="46" spans="1:57" s="191" customFormat="1" ht="21.6" customHeight="1">
      <c r="A46" s="518">
        <f t="shared" si="8"/>
        <v>41</v>
      </c>
      <c r="B46" s="362"/>
      <c r="C46" s="519"/>
      <c r="D46" s="524"/>
      <c r="E46" s="375"/>
      <c r="F46" s="192" t="s">
        <v>622</v>
      </c>
      <c r="G46" s="525"/>
      <c r="H46" s="193"/>
      <c r="I46" s="193"/>
      <c r="J46" s="374"/>
      <c r="K46" s="533"/>
      <c r="L46" s="374"/>
      <c r="M46" s="534"/>
      <c r="N46" s="535"/>
      <c r="O46" s="367"/>
      <c r="P46" s="368"/>
      <c r="Q46" s="540"/>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1"/>
      <c r="AW46" s="545"/>
      <c r="AX46" s="434" t="str">
        <f t="shared" si="6"/>
        <v>,</v>
      </c>
      <c r="AY46" s="434" t="str">
        <f t="shared" si="7"/>
        <v xml:space="preserve"> / </v>
      </c>
      <c r="AZ46" s="555"/>
      <c r="BA46" s="556"/>
      <c r="BB46" s="555"/>
      <c r="BC46" s="555"/>
      <c r="BD46" s="556"/>
      <c r="BE46" s="555"/>
    </row>
    <row r="47" spans="1:57" s="191" customFormat="1" ht="21.6" customHeight="1">
      <c r="A47" s="518">
        <f t="shared" si="8"/>
        <v>42</v>
      </c>
      <c r="B47" s="362"/>
      <c r="C47" s="519"/>
      <c r="D47" s="524"/>
      <c r="E47" s="375"/>
      <c r="F47" s="192" t="s">
        <v>622</v>
      </c>
      <c r="G47" s="525"/>
      <c r="H47" s="193"/>
      <c r="I47" s="193"/>
      <c r="J47" s="374"/>
      <c r="K47" s="533"/>
      <c r="L47" s="374"/>
      <c r="M47" s="534"/>
      <c r="N47" s="535"/>
      <c r="O47" s="367"/>
      <c r="P47" s="368"/>
      <c r="Q47" s="540"/>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1"/>
      <c r="AW47" s="545"/>
      <c r="AX47" s="434" t="str">
        <f t="shared" si="6"/>
        <v>,</v>
      </c>
      <c r="AY47" s="434" t="str">
        <f t="shared" si="7"/>
        <v xml:space="preserve"> / </v>
      </c>
      <c r="AZ47" s="555"/>
      <c r="BA47" s="556"/>
      <c r="BB47" s="555"/>
      <c r="BC47" s="555"/>
      <c r="BD47" s="556"/>
      <c r="BE47" s="555"/>
    </row>
    <row r="48" spans="1:57" s="191" customFormat="1" ht="21.6" customHeight="1">
      <c r="A48" s="518">
        <f t="shared" si="8"/>
        <v>43</v>
      </c>
      <c r="B48" s="362"/>
      <c r="C48" s="519"/>
      <c r="D48" s="524"/>
      <c r="E48" s="375"/>
      <c r="F48" s="192" t="s">
        <v>622</v>
      </c>
      <c r="G48" s="525"/>
      <c r="H48" s="193"/>
      <c r="I48" s="193"/>
      <c r="J48" s="374"/>
      <c r="K48" s="533"/>
      <c r="L48" s="374"/>
      <c r="M48" s="534"/>
      <c r="N48" s="535"/>
      <c r="O48" s="367"/>
      <c r="P48" s="368"/>
      <c r="Q48" s="540"/>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1"/>
      <c r="AW48" s="545"/>
      <c r="AX48" s="434" t="str">
        <f t="shared" si="6"/>
        <v>,</v>
      </c>
      <c r="AY48" s="434" t="str">
        <f t="shared" si="7"/>
        <v xml:space="preserve"> / </v>
      </c>
      <c r="AZ48" s="555"/>
      <c r="BA48" s="556"/>
      <c r="BB48" s="555"/>
      <c r="BC48" s="555"/>
      <c r="BD48" s="556"/>
      <c r="BE48" s="555"/>
    </row>
    <row r="49" spans="1:57" s="191" customFormat="1" ht="21.6" customHeight="1">
      <c r="A49" s="518">
        <f t="shared" si="8"/>
        <v>44</v>
      </c>
      <c r="B49" s="362"/>
      <c r="C49" s="519"/>
      <c r="D49" s="524"/>
      <c r="E49" s="375"/>
      <c r="F49" s="192" t="s">
        <v>622</v>
      </c>
      <c r="G49" s="525"/>
      <c r="H49" s="193"/>
      <c r="I49" s="193"/>
      <c r="J49" s="374"/>
      <c r="K49" s="533"/>
      <c r="L49" s="374"/>
      <c r="M49" s="534"/>
      <c r="N49" s="535"/>
      <c r="O49" s="367"/>
      <c r="P49" s="368"/>
      <c r="Q49" s="540"/>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1"/>
      <c r="AW49" s="545"/>
      <c r="AX49" s="434" t="str">
        <f t="shared" si="6"/>
        <v>,</v>
      </c>
      <c r="AY49" s="434" t="str">
        <f t="shared" si="7"/>
        <v xml:space="preserve"> / </v>
      </c>
      <c r="AZ49" s="555"/>
      <c r="BA49" s="556"/>
      <c r="BB49" s="555"/>
      <c r="BC49" s="555"/>
      <c r="BD49" s="556"/>
      <c r="BE49" s="555"/>
    </row>
    <row r="50" spans="1:57" s="191" customFormat="1" ht="21.6" customHeight="1">
      <c r="A50" s="518">
        <f t="shared" si="8"/>
        <v>45</v>
      </c>
      <c r="B50" s="362"/>
      <c r="C50" s="519"/>
      <c r="D50" s="524"/>
      <c r="E50" s="375"/>
      <c r="F50" s="192" t="s">
        <v>622</v>
      </c>
      <c r="G50" s="525"/>
      <c r="H50" s="193"/>
      <c r="I50" s="193"/>
      <c r="J50" s="374"/>
      <c r="K50" s="533"/>
      <c r="L50" s="374"/>
      <c r="M50" s="534"/>
      <c r="N50" s="535"/>
      <c r="O50" s="367"/>
      <c r="P50" s="368"/>
      <c r="Q50" s="540"/>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1"/>
      <c r="AW50" s="545"/>
      <c r="AX50" s="434" t="str">
        <f t="shared" si="6"/>
        <v>,</v>
      </c>
      <c r="AY50" s="434" t="str">
        <f t="shared" si="7"/>
        <v xml:space="preserve"> / </v>
      </c>
      <c r="AZ50" s="555"/>
      <c r="BA50" s="556"/>
      <c r="BB50" s="555"/>
      <c r="BC50" s="555"/>
      <c r="BD50" s="556"/>
      <c r="BE50" s="555"/>
    </row>
    <row r="51" spans="1:57" s="191" customFormat="1" ht="21.6" customHeight="1">
      <c r="A51" s="518">
        <f t="shared" si="8"/>
        <v>46</v>
      </c>
      <c r="B51" s="362"/>
      <c r="C51" s="519"/>
      <c r="D51" s="524"/>
      <c r="E51" s="376"/>
      <c r="F51" s="192" t="s">
        <v>622</v>
      </c>
      <c r="G51" s="525"/>
      <c r="H51" s="193"/>
      <c r="I51" s="193"/>
      <c r="J51" s="374"/>
      <c r="K51" s="533"/>
      <c r="L51" s="374"/>
      <c r="M51" s="534"/>
      <c r="N51" s="535"/>
      <c r="O51" s="367"/>
      <c r="P51" s="368"/>
      <c r="Q51" s="540"/>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1"/>
      <c r="AW51" s="545"/>
      <c r="AX51" s="434" t="str">
        <f t="shared" si="6"/>
        <v>,</v>
      </c>
      <c r="AY51" s="434" t="str">
        <f t="shared" si="7"/>
        <v xml:space="preserve"> / </v>
      </c>
      <c r="AZ51" s="555"/>
      <c r="BA51" s="556"/>
      <c r="BB51" s="555"/>
      <c r="BC51" s="555"/>
      <c r="BD51" s="556"/>
      <c r="BE51" s="555"/>
    </row>
    <row r="52" spans="1:57" s="191" customFormat="1" ht="21.6" customHeight="1">
      <c r="A52" s="518">
        <f t="shared" si="8"/>
        <v>47</v>
      </c>
      <c r="B52" s="362"/>
      <c r="C52" s="519"/>
      <c r="D52" s="524"/>
      <c r="E52" s="376"/>
      <c r="F52" s="192" t="s">
        <v>622</v>
      </c>
      <c r="G52" s="525"/>
      <c r="H52" s="193"/>
      <c r="I52" s="193"/>
      <c r="J52" s="374"/>
      <c r="K52" s="533"/>
      <c r="L52" s="374"/>
      <c r="M52" s="534"/>
      <c r="N52" s="535"/>
      <c r="O52" s="367"/>
      <c r="P52" s="368"/>
      <c r="Q52" s="540"/>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1"/>
      <c r="AW52" s="545"/>
      <c r="AX52" s="434" t="str">
        <f t="shared" si="6"/>
        <v>,</v>
      </c>
      <c r="AY52" s="434" t="str">
        <f t="shared" si="7"/>
        <v xml:space="preserve"> / </v>
      </c>
      <c r="AZ52" s="555"/>
      <c r="BA52" s="556"/>
      <c r="BB52" s="555"/>
      <c r="BC52" s="555"/>
      <c r="BD52" s="556"/>
      <c r="BE52" s="555"/>
    </row>
    <row r="53" spans="1:57" s="191" customFormat="1" ht="21.6" customHeight="1">
      <c r="A53" s="518">
        <f t="shared" si="8"/>
        <v>48</v>
      </c>
      <c r="B53" s="362"/>
      <c r="C53" s="519"/>
      <c r="D53" s="524"/>
      <c r="E53" s="376"/>
      <c r="F53" s="192" t="s">
        <v>622</v>
      </c>
      <c r="G53" s="525"/>
      <c r="H53" s="193"/>
      <c r="I53" s="193"/>
      <c r="J53" s="374"/>
      <c r="K53" s="533"/>
      <c r="L53" s="374"/>
      <c r="M53" s="534"/>
      <c r="N53" s="535"/>
      <c r="O53" s="367"/>
      <c r="P53" s="368"/>
      <c r="Q53" s="540"/>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1"/>
      <c r="AW53" s="545"/>
      <c r="AX53" s="434" t="str">
        <f t="shared" si="6"/>
        <v>,</v>
      </c>
      <c r="AY53" s="434" t="str">
        <f t="shared" si="7"/>
        <v xml:space="preserve"> / </v>
      </c>
      <c r="AZ53" s="555"/>
      <c r="BA53" s="556"/>
      <c r="BB53" s="555"/>
      <c r="BC53" s="555"/>
      <c r="BD53" s="556"/>
      <c r="BE53" s="555"/>
    </row>
    <row r="54" spans="1:57" s="191" customFormat="1" ht="21.6" customHeight="1">
      <c r="A54" s="518">
        <f t="shared" si="8"/>
        <v>49</v>
      </c>
      <c r="B54" s="362"/>
      <c r="C54" s="519"/>
      <c r="D54" s="524"/>
      <c r="E54" s="376"/>
      <c r="F54" s="192" t="s">
        <v>622</v>
      </c>
      <c r="G54" s="525"/>
      <c r="H54" s="193"/>
      <c r="I54" s="193"/>
      <c r="J54" s="374"/>
      <c r="K54" s="533"/>
      <c r="L54" s="374"/>
      <c r="M54" s="534"/>
      <c r="N54" s="535"/>
      <c r="O54" s="367"/>
      <c r="P54" s="368"/>
      <c r="Q54" s="540"/>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1"/>
      <c r="AW54" s="545"/>
      <c r="AX54" s="434" t="str">
        <f t="shared" si="6"/>
        <v>,</v>
      </c>
      <c r="AY54" s="434" t="str">
        <f t="shared" si="7"/>
        <v xml:space="preserve"> / </v>
      </c>
      <c r="AZ54" s="555"/>
      <c r="BA54" s="556"/>
      <c r="BB54" s="555"/>
      <c r="BC54" s="555"/>
      <c r="BD54" s="556"/>
      <c r="BE54" s="555"/>
    </row>
    <row r="55" spans="1:57" s="191" customFormat="1" ht="21.6" customHeight="1">
      <c r="A55" s="518">
        <f t="shared" si="8"/>
        <v>50</v>
      </c>
      <c r="B55" s="362"/>
      <c r="C55" s="519"/>
      <c r="D55" s="524"/>
      <c r="E55" s="376"/>
      <c r="F55" s="192" t="s">
        <v>622</v>
      </c>
      <c r="G55" s="525"/>
      <c r="H55" s="193"/>
      <c r="I55" s="193"/>
      <c r="J55" s="374"/>
      <c r="K55" s="533"/>
      <c r="L55" s="374"/>
      <c r="M55" s="534"/>
      <c r="N55" s="535"/>
      <c r="O55" s="367"/>
      <c r="P55" s="368"/>
      <c r="Q55" s="540"/>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1"/>
      <c r="AW55" s="545"/>
      <c r="AX55" s="434" t="str">
        <f t="shared" si="6"/>
        <v>,</v>
      </c>
      <c r="AY55" s="434" t="str">
        <f t="shared" si="7"/>
        <v xml:space="preserve"> / </v>
      </c>
      <c r="AZ55" s="555"/>
      <c r="BA55" s="556"/>
      <c r="BB55" s="555"/>
      <c r="BC55" s="555"/>
      <c r="BD55" s="556"/>
      <c r="BE55" s="555"/>
    </row>
    <row r="56" spans="1:57" s="191" customFormat="1" ht="21.6" customHeight="1">
      <c r="A56" s="518">
        <f t="shared" si="8"/>
        <v>51</v>
      </c>
      <c r="B56" s="362"/>
      <c r="C56" s="519"/>
      <c r="D56" s="524"/>
      <c r="E56" s="376"/>
      <c r="F56" s="192" t="s">
        <v>622</v>
      </c>
      <c r="G56" s="525"/>
      <c r="H56" s="193"/>
      <c r="I56" s="193"/>
      <c r="J56" s="374"/>
      <c r="K56" s="533"/>
      <c r="L56" s="374"/>
      <c r="M56" s="534"/>
      <c r="N56" s="535"/>
      <c r="O56" s="367"/>
      <c r="P56" s="368"/>
      <c r="Q56" s="540"/>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1"/>
      <c r="AW56" s="545"/>
      <c r="AX56" s="434" t="str">
        <f t="shared" si="6"/>
        <v>,</v>
      </c>
      <c r="AY56" s="434" t="str">
        <f t="shared" si="7"/>
        <v xml:space="preserve"> / </v>
      </c>
      <c r="AZ56" s="555"/>
      <c r="BA56" s="556"/>
      <c r="BB56" s="555"/>
      <c r="BC56" s="555"/>
      <c r="BD56" s="556"/>
      <c r="BE56" s="555"/>
    </row>
    <row r="57" spans="1:57" s="191" customFormat="1" ht="21.6" customHeight="1">
      <c r="A57" s="518">
        <f t="shared" si="8"/>
        <v>52</v>
      </c>
      <c r="B57" s="362"/>
      <c r="C57" s="519"/>
      <c r="D57" s="524"/>
      <c r="E57" s="376"/>
      <c r="F57" s="192" t="s">
        <v>622</v>
      </c>
      <c r="G57" s="525"/>
      <c r="H57" s="193"/>
      <c r="I57" s="193"/>
      <c r="J57" s="374"/>
      <c r="K57" s="533"/>
      <c r="L57" s="374"/>
      <c r="M57" s="534"/>
      <c r="N57" s="535"/>
      <c r="O57" s="367"/>
      <c r="P57" s="368"/>
      <c r="Q57" s="540"/>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1"/>
      <c r="AW57" s="545"/>
      <c r="AX57" s="434" t="str">
        <f t="shared" si="6"/>
        <v>,</v>
      </c>
      <c r="AY57" s="434" t="str">
        <f t="shared" si="7"/>
        <v xml:space="preserve"> / </v>
      </c>
      <c r="AZ57" s="555"/>
      <c r="BA57" s="556"/>
      <c r="BB57" s="555"/>
      <c r="BC57" s="555"/>
      <c r="BD57" s="556"/>
      <c r="BE57" s="555"/>
    </row>
    <row r="58" spans="1:57" s="191" customFormat="1" ht="21.6" customHeight="1">
      <c r="A58" s="518">
        <f t="shared" si="8"/>
        <v>53</v>
      </c>
      <c r="B58" s="362"/>
      <c r="C58" s="519"/>
      <c r="D58" s="524"/>
      <c r="E58" s="376"/>
      <c r="F58" s="192" t="s">
        <v>622</v>
      </c>
      <c r="G58" s="525"/>
      <c r="H58" s="193"/>
      <c r="I58" s="193"/>
      <c r="J58" s="374"/>
      <c r="K58" s="533"/>
      <c r="L58" s="374"/>
      <c r="M58" s="534"/>
      <c r="N58" s="535"/>
      <c r="O58" s="367"/>
      <c r="P58" s="368"/>
      <c r="Q58" s="540"/>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1"/>
      <c r="AW58" s="545"/>
      <c r="AX58" s="434" t="str">
        <f t="shared" si="6"/>
        <v>,</v>
      </c>
      <c r="AY58" s="434" t="str">
        <f t="shared" si="7"/>
        <v xml:space="preserve"> / </v>
      </c>
      <c r="AZ58" s="555"/>
      <c r="BA58" s="556"/>
      <c r="BB58" s="555"/>
      <c r="BC58" s="555"/>
      <c r="BD58" s="556"/>
      <c r="BE58" s="555"/>
    </row>
    <row r="59" spans="1:57" s="191" customFormat="1" ht="21.6" customHeight="1">
      <c r="A59" s="518">
        <f t="shared" si="8"/>
        <v>54</v>
      </c>
      <c r="B59" s="362"/>
      <c r="C59" s="519"/>
      <c r="D59" s="524"/>
      <c r="E59" s="376"/>
      <c r="F59" s="192" t="s">
        <v>622</v>
      </c>
      <c r="G59" s="525"/>
      <c r="H59" s="193"/>
      <c r="I59" s="193"/>
      <c r="J59" s="374"/>
      <c r="K59" s="533"/>
      <c r="L59" s="374"/>
      <c r="M59" s="534"/>
      <c r="N59" s="535"/>
      <c r="O59" s="367"/>
      <c r="P59" s="368"/>
      <c r="Q59" s="540"/>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1"/>
      <c r="AW59" s="545"/>
      <c r="AX59" s="434" t="str">
        <f t="shared" si="6"/>
        <v>,</v>
      </c>
      <c r="AY59" s="434" t="str">
        <f t="shared" si="7"/>
        <v xml:space="preserve"> / </v>
      </c>
      <c r="AZ59" s="555"/>
      <c r="BA59" s="556"/>
      <c r="BB59" s="555"/>
      <c r="BC59" s="555"/>
      <c r="BD59" s="556"/>
      <c r="BE59" s="555"/>
    </row>
    <row r="60" spans="1:57" s="191" customFormat="1" ht="21.6" customHeight="1">
      <c r="A60" s="518">
        <f t="shared" si="8"/>
        <v>55</v>
      </c>
      <c r="B60" s="362"/>
      <c r="C60" s="519"/>
      <c r="D60" s="524"/>
      <c r="E60" s="376"/>
      <c r="F60" s="192" t="s">
        <v>622</v>
      </c>
      <c r="G60" s="525"/>
      <c r="H60" s="193"/>
      <c r="I60" s="193"/>
      <c r="J60" s="374"/>
      <c r="K60" s="533"/>
      <c r="L60" s="374"/>
      <c r="M60" s="534"/>
      <c r="N60" s="535"/>
      <c r="O60" s="367"/>
      <c r="P60" s="368"/>
      <c r="Q60" s="540"/>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1"/>
      <c r="AW60" s="545"/>
      <c r="AX60" s="434" t="str">
        <f t="shared" si="6"/>
        <v>,</v>
      </c>
      <c r="AY60" s="434" t="str">
        <f t="shared" si="7"/>
        <v xml:space="preserve"> / </v>
      </c>
      <c r="AZ60" s="555"/>
      <c r="BA60" s="556"/>
      <c r="BB60" s="555"/>
      <c r="BC60" s="555"/>
      <c r="BD60" s="556"/>
      <c r="BE60" s="555"/>
    </row>
    <row r="61" spans="1:57" s="191" customFormat="1" ht="21.6" customHeight="1">
      <c r="A61" s="518">
        <f t="shared" si="8"/>
        <v>56</v>
      </c>
      <c r="B61" s="362"/>
      <c r="C61" s="519"/>
      <c r="D61" s="524"/>
      <c r="E61" s="376"/>
      <c r="F61" s="192" t="s">
        <v>622</v>
      </c>
      <c r="G61" s="525"/>
      <c r="H61" s="193"/>
      <c r="I61" s="193"/>
      <c r="J61" s="374"/>
      <c r="K61" s="533"/>
      <c r="L61" s="374"/>
      <c r="M61" s="534"/>
      <c r="N61" s="535"/>
      <c r="O61" s="367"/>
      <c r="P61" s="368"/>
      <c r="Q61" s="540"/>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1"/>
      <c r="AW61" s="545"/>
      <c r="AX61" s="434" t="str">
        <f t="shared" si="6"/>
        <v>,</v>
      </c>
      <c r="AY61" s="434" t="str">
        <f t="shared" si="7"/>
        <v xml:space="preserve"> / </v>
      </c>
      <c r="AZ61" s="555"/>
      <c r="BA61" s="556"/>
      <c r="BB61" s="555"/>
      <c r="BC61" s="555"/>
      <c r="BD61" s="556"/>
      <c r="BE61" s="555"/>
    </row>
    <row r="62" spans="1:57" s="191" customFormat="1" ht="21.6" customHeight="1">
      <c r="A62" s="518">
        <f t="shared" si="8"/>
        <v>57</v>
      </c>
      <c r="B62" s="218"/>
      <c r="C62" s="519"/>
      <c r="D62" s="524"/>
      <c r="E62" s="376"/>
      <c r="F62" s="192" t="s">
        <v>622</v>
      </c>
      <c r="G62" s="525"/>
      <c r="H62" s="193"/>
      <c r="I62" s="193"/>
      <c r="J62" s="374"/>
      <c r="K62" s="533"/>
      <c r="L62" s="374"/>
      <c r="M62" s="534"/>
      <c r="N62" s="535"/>
      <c r="O62" s="367"/>
      <c r="P62" s="368"/>
      <c r="Q62" s="540"/>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1"/>
      <c r="AW62" s="545"/>
      <c r="AX62" s="434" t="str">
        <f t="shared" si="6"/>
        <v>,</v>
      </c>
      <c r="AY62" s="434" t="str">
        <f t="shared" si="7"/>
        <v xml:space="preserve"> / </v>
      </c>
      <c r="AZ62" s="555"/>
      <c r="BA62" s="556"/>
      <c r="BB62" s="555"/>
      <c r="BC62" s="555"/>
      <c r="BD62" s="556"/>
      <c r="BE62" s="555"/>
    </row>
    <row r="63" spans="1:57" s="191" customFormat="1" ht="21.6" customHeight="1">
      <c r="A63" s="518">
        <f t="shared" si="8"/>
        <v>58</v>
      </c>
      <c r="B63" s="218"/>
      <c r="C63" s="519"/>
      <c r="D63" s="524"/>
      <c r="E63" s="376"/>
      <c r="F63" s="192" t="s">
        <v>622</v>
      </c>
      <c r="G63" s="525"/>
      <c r="H63" s="193"/>
      <c r="I63" s="193"/>
      <c r="J63" s="374"/>
      <c r="K63" s="533"/>
      <c r="L63" s="374"/>
      <c r="M63" s="534"/>
      <c r="N63" s="535"/>
      <c r="O63" s="367"/>
      <c r="P63" s="368"/>
      <c r="Q63" s="540"/>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1"/>
      <c r="AW63" s="545"/>
      <c r="AX63" s="434" t="str">
        <f t="shared" si="6"/>
        <v>,</v>
      </c>
      <c r="AY63" s="434" t="str">
        <f t="shared" si="7"/>
        <v xml:space="preserve"> / </v>
      </c>
      <c r="AZ63" s="555"/>
      <c r="BA63" s="556"/>
      <c r="BB63" s="555"/>
      <c r="BC63" s="555"/>
      <c r="BD63" s="556"/>
      <c r="BE63" s="555"/>
    </row>
    <row r="64" spans="1:57" s="191" customFormat="1" ht="21.6" customHeight="1">
      <c r="A64" s="518">
        <f t="shared" si="8"/>
        <v>59</v>
      </c>
      <c r="B64" s="218"/>
      <c r="C64" s="519"/>
      <c r="D64" s="524"/>
      <c r="E64" s="376"/>
      <c r="F64" s="192" t="s">
        <v>622</v>
      </c>
      <c r="G64" s="525"/>
      <c r="H64" s="193"/>
      <c r="I64" s="193"/>
      <c r="J64" s="374"/>
      <c r="K64" s="533"/>
      <c r="L64" s="374"/>
      <c r="M64" s="534"/>
      <c r="N64" s="535"/>
      <c r="O64" s="367"/>
      <c r="P64" s="368"/>
      <c r="Q64" s="540"/>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1"/>
      <c r="AW64" s="545"/>
      <c r="AX64" s="434" t="str">
        <f t="shared" si="6"/>
        <v>,</v>
      </c>
      <c r="AY64" s="434" t="str">
        <f t="shared" si="7"/>
        <v xml:space="preserve"> / </v>
      </c>
      <c r="AZ64" s="555"/>
      <c r="BA64" s="556"/>
      <c r="BB64" s="555"/>
      <c r="BC64" s="555"/>
      <c r="BD64" s="556"/>
      <c r="BE64" s="555"/>
    </row>
    <row r="65" spans="1:57" s="191" customFormat="1" ht="21.6" customHeight="1">
      <c r="A65" s="518">
        <f t="shared" si="8"/>
        <v>60</v>
      </c>
      <c r="B65" s="218"/>
      <c r="C65" s="519"/>
      <c r="D65" s="524"/>
      <c r="E65" s="376"/>
      <c r="F65" s="192" t="s">
        <v>622</v>
      </c>
      <c r="G65" s="525"/>
      <c r="H65" s="193"/>
      <c r="I65" s="193"/>
      <c r="J65" s="374"/>
      <c r="K65" s="533"/>
      <c r="L65" s="374"/>
      <c r="M65" s="534"/>
      <c r="N65" s="535"/>
      <c r="O65" s="367"/>
      <c r="P65" s="368"/>
      <c r="Q65" s="540"/>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1"/>
      <c r="AW65" s="545"/>
      <c r="AX65" s="434" t="str">
        <f t="shared" si="6"/>
        <v>,</v>
      </c>
      <c r="AY65" s="434" t="str">
        <f t="shared" si="7"/>
        <v xml:space="preserve"> / </v>
      </c>
      <c r="AZ65" s="555"/>
      <c r="BA65" s="556"/>
      <c r="BB65" s="555"/>
      <c r="BC65" s="555"/>
      <c r="BD65" s="556"/>
      <c r="BE65" s="555"/>
    </row>
    <row r="66" spans="1:57" s="191" customFormat="1" ht="21.6" customHeight="1">
      <c r="A66" s="518">
        <f t="shared" si="8"/>
        <v>61</v>
      </c>
      <c r="B66" s="218"/>
      <c r="C66" s="519"/>
      <c r="D66" s="524"/>
      <c r="E66" s="376"/>
      <c r="F66" s="192" t="s">
        <v>622</v>
      </c>
      <c r="G66" s="524"/>
      <c r="H66" s="193"/>
      <c r="I66" s="193"/>
      <c r="J66" s="374"/>
      <c r="K66" s="533"/>
      <c r="L66" s="374"/>
      <c r="M66" s="534"/>
      <c r="N66" s="535"/>
      <c r="O66" s="367"/>
      <c r="P66" s="368"/>
      <c r="Q66" s="540"/>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1"/>
      <c r="AW66" s="545"/>
      <c r="AX66" s="434" t="str">
        <f t="shared" si="6"/>
        <v>,</v>
      </c>
      <c r="AY66" s="434" t="str">
        <f t="shared" si="7"/>
        <v xml:space="preserve"> / </v>
      </c>
      <c r="AZ66" s="555"/>
      <c r="BA66" s="556"/>
      <c r="BB66" s="555"/>
      <c r="BC66" s="555"/>
      <c r="BD66" s="556"/>
      <c r="BE66" s="555"/>
    </row>
    <row r="67" spans="1:57" s="191" customFormat="1" ht="21.6" customHeight="1">
      <c r="A67" s="518">
        <f t="shared" si="8"/>
        <v>62</v>
      </c>
      <c r="B67" s="218"/>
      <c r="C67" s="519"/>
      <c r="D67" s="524"/>
      <c r="E67" s="376"/>
      <c r="F67" s="192" t="s">
        <v>622</v>
      </c>
      <c r="G67" s="525"/>
      <c r="H67" s="193"/>
      <c r="I67" s="193"/>
      <c r="J67" s="374"/>
      <c r="K67" s="533"/>
      <c r="L67" s="374"/>
      <c r="M67" s="534"/>
      <c r="N67" s="535"/>
      <c r="O67" s="367"/>
      <c r="P67" s="368"/>
      <c r="Q67" s="540"/>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1"/>
      <c r="AW67" s="545"/>
      <c r="AX67" s="434" t="str">
        <f t="shared" si="6"/>
        <v>,</v>
      </c>
      <c r="AY67" s="434" t="str">
        <f t="shared" si="7"/>
        <v xml:space="preserve"> / </v>
      </c>
      <c r="AZ67" s="555"/>
      <c r="BA67" s="556"/>
      <c r="BB67" s="555"/>
      <c r="BC67" s="555"/>
      <c r="BD67" s="556"/>
      <c r="BE67" s="555"/>
    </row>
    <row r="68" spans="1:57" s="191" customFormat="1" ht="21.6" customHeight="1">
      <c r="A68" s="518">
        <f t="shared" si="8"/>
        <v>63</v>
      </c>
      <c r="B68" s="218"/>
      <c r="C68" s="519"/>
      <c r="D68" s="524"/>
      <c r="E68" s="376"/>
      <c r="F68" s="192" t="s">
        <v>622</v>
      </c>
      <c r="G68" s="525"/>
      <c r="H68" s="193"/>
      <c r="I68" s="193"/>
      <c r="J68" s="374"/>
      <c r="K68" s="533"/>
      <c r="L68" s="374"/>
      <c r="M68" s="534"/>
      <c r="N68" s="535"/>
      <c r="O68" s="367"/>
      <c r="P68" s="368"/>
      <c r="Q68" s="540"/>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1"/>
      <c r="AW68" s="545"/>
      <c r="AX68" s="434" t="str">
        <f t="shared" si="6"/>
        <v>,</v>
      </c>
      <c r="AY68" s="434" t="str">
        <f t="shared" si="7"/>
        <v xml:space="preserve"> / </v>
      </c>
      <c r="AZ68" s="555"/>
      <c r="BA68" s="556"/>
      <c r="BB68" s="555"/>
      <c r="BC68" s="555"/>
      <c r="BD68" s="556"/>
      <c r="BE68" s="555"/>
    </row>
    <row r="69" spans="1:57" s="191" customFormat="1" ht="21.6" customHeight="1">
      <c r="A69" s="518">
        <f t="shared" si="8"/>
        <v>64</v>
      </c>
      <c r="B69" s="218"/>
      <c r="C69" s="519"/>
      <c r="D69" s="524"/>
      <c r="E69" s="376"/>
      <c r="F69" s="192" t="s">
        <v>622</v>
      </c>
      <c r="G69" s="525"/>
      <c r="H69" s="193"/>
      <c r="I69" s="193"/>
      <c r="J69" s="374"/>
      <c r="K69" s="533"/>
      <c r="L69" s="374"/>
      <c r="M69" s="534"/>
      <c r="N69" s="535"/>
      <c r="O69" s="367"/>
      <c r="P69" s="368"/>
      <c r="Q69" s="540"/>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1"/>
      <c r="AW69" s="545"/>
      <c r="AX69" s="434" t="str">
        <f t="shared" si="6"/>
        <v>,</v>
      </c>
      <c r="AY69" s="434" t="str">
        <f t="shared" si="7"/>
        <v xml:space="preserve"> / </v>
      </c>
      <c r="AZ69" s="555"/>
      <c r="BA69" s="556"/>
      <c r="BB69" s="555"/>
      <c r="BC69" s="555"/>
      <c r="BD69" s="556"/>
      <c r="BE69" s="555"/>
    </row>
    <row r="70" spans="1:57" s="191" customFormat="1" ht="21.6" customHeight="1">
      <c r="A70" s="518">
        <f t="shared" si="8"/>
        <v>65</v>
      </c>
      <c r="B70" s="218"/>
      <c r="C70" s="519"/>
      <c r="D70" s="524"/>
      <c r="E70" s="376"/>
      <c r="F70" s="192" t="s">
        <v>622</v>
      </c>
      <c r="G70" s="525"/>
      <c r="H70" s="193"/>
      <c r="I70" s="193"/>
      <c r="J70" s="374"/>
      <c r="K70" s="533"/>
      <c r="L70" s="374"/>
      <c r="M70" s="534"/>
      <c r="N70" s="535"/>
      <c r="O70" s="367"/>
      <c r="P70" s="368"/>
      <c r="Q70" s="540"/>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1"/>
      <c r="AW70" s="545"/>
      <c r="AX70" s="434" t="str">
        <f t="shared" si="6"/>
        <v>,</v>
      </c>
      <c r="AY70" s="434" t="str">
        <f t="shared" si="7"/>
        <v xml:space="preserve"> / </v>
      </c>
      <c r="AZ70" s="555"/>
      <c r="BA70" s="556"/>
      <c r="BB70" s="555"/>
      <c r="BC70" s="555"/>
      <c r="BD70" s="556"/>
      <c r="BE70" s="555"/>
    </row>
    <row r="71" spans="1:57" s="191" customFormat="1" ht="21.6" customHeight="1">
      <c r="A71" s="518">
        <f t="shared" si="8"/>
        <v>66</v>
      </c>
      <c r="B71" s="218"/>
      <c r="C71" s="519"/>
      <c r="D71" s="524"/>
      <c r="E71" s="376"/>
      <c r="F71" s="192" t="s">
        <v>622</v>
      </c>
      <c r="G71" s="525"/>
      <c r="H71" s="193"/>
      <c r="I71" s="193"/>
      <c r="J71" s="374"/>
      <c r="K71" s="533"/>
      <c r="L71" s="374"/>
      <c r="M71" s="534"/>
      <c r="N71" s="535"/>
      <c r="O71" s="367"/>
      <c r="P71" s="368"/>
      <c r="Q71" s="540"/>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1"/>
      <c r="AW71" s="545"/>
      <c r="AX71" s="434" t="str">
        <f t="shared" ref="AX71:AX134" si="15">CONCATENATE(AW71,",",AV71)</f>
        <v>,</v>
      </c>
      <c r="AY71" s="434" t="str">
        <f t="shared" ref="AY71:AY134" si="16">CONCATENATE(J71," ","/"," ",K71)</f>
        <v xml:space="preserve"> / </v>
      </c>
      <c r="AZ71" s="555"/>
      <c r="BA71" s="556"/>
      <c r="BB71" s="555"/>
      <c r="BC71" s="555"/>
      <c r="BD71" s="556"/>
      <c r="BE71" s="555"/>
    </row>
    <row r="72" spans="1:57" s="191" customFormat="1" ht="21.6" customHeight="1">
      <c r="A72" s="518">
        <f t="shared" ref="A72:A135" si="17">A71+1</f>
        <v>67</v>
      </c>
      <c r="B72" s="218"/>
      <c r="C72" s="519"/>
      <c r="D72" s="524"/>
      <c r="E72" s="376"/>
      <c r="F72" s="192" t="s">
        <v>622</v>
      </c>
      <c r="G72" s="525"/>
      <c r="H72" s="193"/>
      <c r="I72" s="193"/>
      <c r="J72" s="374"/>
      <c r="K72" s="533"/>
      <c r="L72" s="374"/>
      <c r="M72" s="534"/>
      <c r="N72" s="535"/>
      <c r="O72" s="367"/>
      <c r="P72" s="368"/>
      <c r="Q72" s="540"/>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1"/>
      <c r="AW72" s="545"/>
      <c r="AX72" s="434" t="str">
        <f t="shared" si="15"/>
        <v>,</v>
      </c>
      <c r="AY72" s="434" t="str">
        <f t="shared" si="16"/>
        <v xml:space="preserve"> / </v>
      </c>
      <c r="AZ72" s="555"/>
      <c r="BA72" s="556"/>
      <c r="BB72" s="555"/>
      <c r="BC72" s="555"/>
      <c r="BD72" s="556"/>
      <c r="BE72" s="555"/>
    </row>
    <row r="73" spans="1:57" s="191" customFormat="1" ht="21.6" customHeight="1">
      <c r="A73" s="518">
        <f t="shared" si="17"/>
        <v>68</v>
      </c>
      <c r="B73" s="218"/>
      <c r="C73" s="519"/>
      <c r="D73" s="524"/>
      <c r="E73" s="376"/>
      <c r="F73" s="192" t="s">
        <v>622</v>
      </c>
      <c r="G73" s="525"/>
      <c r="H73" s="193"/>
      <c r="I73" s="193"/>
      <c r="J73" s="374"/>
      <c r="K73" s="533"/>
      <c r="L73" s="374"/>
      <c r="M73" s="534"/>
      <c r="N73" s="535"/>
      <c r="O73" s="367"/>
      <c r="P73" s="368"/>
      <c r="Q73" s="540"/>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1"/>
      <c r="AW73" s="545"/>
      <c r="AX73" s="434" t="str">
        <f t="shared" si="15"/>
        <v>,</v>
      </c>
      <c r="AY73" s="434" t="str">
        <f t="shared" si="16"/>
        <v xml:space="preserve"> / </v>
      </c>
      <c r="AZ73" s="555"/>
      <c r="BA73" s="556"/>
      <c r="BB73" s="555"/>
      <c r="BC73" s="555"/>
      <c r="BD73" s="556"/>
      <c r="BE73" s="555"/>
    </row>
    <row r="74" spans="1:57" s="191" customFormat="1" ht="21.6" customHeight="1">
      <c r="A74" s="518">
        <f t="shared" si="17"/>
        <v>69</v>
      </c>
      <c r="B74" s="218"/>
      <c r="C74" s="519"/>
      <c r="D74" s="524"/>
      <c r="E74" s="376"/>
      <c r="F74" s="192" t="s">
        <v>622</v>
      </c>
      <c r="G74" s="525"/>
      <c r="H74" s="193"/>
      <c r="I74" s="193"/>
      <c r="J74" s="374"/>
      <c r="K74" s="533"/>
      <c r="L74" s="374"/>
      <c r="M74" s="534"/>
      <c r="N74" s="535"/>
      <c r="O74" s="367"/>
      <c r="P74" s="368"/>
      <c r="Q74" s="540"/>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1"/>
      <c r="AW74" s="545"/>
      <c r="AX74" s="434" t="str">
        <f t="shared" si="15"/>
        <v>,</v>
      </c>
      <c r="AY74" s="434" t="str">
        <f t="shared" si="16"/>
        <v xml:space="preserve"> / </v>
      </c>
      <c r="AZ74" s="555"/>
      <c r="BA74" s="556"/>
      <c r="BB74" s="555"/>
      <c r="BC74" s="555"/>
      <c r="BD74" s="556"/>
      <c r="BE74" s="555"/>
    </row>
    <row r="75" spans="1:57" s="191" customFormat="1" ht="21.6" customHeight="1">
      <c r="A75" s="518">
        <f t="shared" si="17"/>
        <v>70</v>
      </c>
      <c r="B75" s="218"/>
      <c r="C75" s="519"/>
      <c r="D75" s="524"/>
      <c r="E75" s="376"/>
      <c r="F75" s="192" t="s">
        <v>622</v>
      </c>
      <c r="G75" s="525"/>
      <c r="H75" s="193"/>
      <c r="I75" s="193"/>
      <c r="J75" s="374"/>
      <c r="K75" s="533"/>
      <c r="L75" s="374"/>
      <c r="M75" s="534"/>
      <c r="N75" s="535"/>
      <c r="O75" s="367"/>
      <c r="P75" s="368"/>
      <c r="Q75" s="540"/>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1"/>
      <c r="AW75" s="545"/>
      <c r="AX75" s="434" t="str">
        <f t="shared" si="15"/>
        <v>,</v>
      </c>
      <c r="AY75" s="434" t="str">
        <f t="shared" si="16"/>
        <v xml:space="preserve"> / </v>
      </c>
      <c r="AZ75" s="555"/>
      <c r="BA75" s="556"/>
      <c r="BB75" s="555"/>
      <c r="BC75" s="555"/>
      <c r="BD75" s="556"/>
      <c r="BE75" s="555"/>
    </row>
    <row r="76" spans="1:57" s="191" customFormat="1" ht="21.6" customHeight="1">
      <c r="A76" s="518">
        <f t="shared" si="17"/>
        <v>71</v>
      </c>
      <c r="B76" s="218"/>
      <c r="C76" s="519"/>
      <c r="D76" s="524"/>
      <c r="E76" s="376"/>
      <c r="F76" s="192" t="s">
        <v>622</v>
      </c>
      <c r="G76" s="525"/>
      <c r="H76" s="193"/>
      <c r="I76" s="193"/>
      <c r="J76" s="374"/>
      <c r="K76" s="533"/>
      <c r="L76" s="374"/>
      <c r="M76" s="534"/>
      <c r="N76" s="535"/>
      <c r="O76" s="367"/>
      <c r="P76" s="368"/>
      <c r="Q76" s="540"/>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1"/>
      <c r="AW76" s="545"/>
      <c r="AX76" s="434" t="str">
        <f t="shared" si="15"/>
        <v>,</v>
      </c>
      <c r="AY76" s="434" t="str">
        <f t="shared" si="16"/>
        <v xml:space="preserve"> / </v>
      </c>
      <c r="AZ76" s="555"/>
      <c r="BA76" s="556"/>
      <c r="BB76" s="555"/>
      <c r="BC76" s="555"/>
      <c r="BD76" s="556"/>
      <c r="BE76" s="555"/>
    </row>
    <row r="77" spans="1:57" s="191" customFormat="1" ht="21.6" customHeight="1">
      <c r="A77" s="518">
        <f t="shared" si="17"/>
        <v>72</v>
      </c>
      <c r="B77" s="218"/>
      <c r="C77" s="519"/>
      <c r="D77" s="524"/>
      <c r="E77" s="376"/>
      <c r="F77" s="192" t="s">
        <v>622</v>
      </c>
      <c r="G77" s="525"/>
      <c r="H77" s="193"/>
      <c r="I77" s="193"/>
      <c r="J77" s="374"/>
      <c r="K77" s="533"/>
      <c r="L77" s="374"/>
      <c r="M77" s="534"/>
      <c r="N77" s="535"/>
      <c r="O77" s="367"/>
      <c r="P77" s="368"/>
      <c r="Q77" s="540"/>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1"/>
      <c r="AW77" s="545"/>
      <c r="AX77" s="434" t="str">
        <f t="shared" si="15"/>
        <v>,</v>
      </c>
      <c r="AY77" s="434" t="str">
        <f t="shared" si="16"/>
        <v xml:space="preserve"> / </v>
      </c>
      <c r="AZ77" s="555"/>
      <c r="BA77" s="556"/>
      <c r="BB77" s="555"/>
      <c r="BC77" s="555"/>
      <c r="BD77" s="556"/>
      <c r="BE77" s="555"/>
    </row>
    <row r="78" spans="1:57" s="191" customFormat="1" ht="21.6" customHeight="1">
      <c r="A78" s="518">
        <f t="shared" si="17"/>
        <v>73</v>
      </c>
      <c r="B78" s="218"/>
      <c r="C78" s="519"/>
      <c r="D78" s="524"/>
      <c r="E78" s="376"/>
      <c r="F78" s="192" t="s">
        <v>622</v>
      </c>
      <c r="G78" s="525"/>
      <c r="H78" s="193"/>
      <c r="I78" s="193"/>
      <c r="J78" s="374"/>
      <c r="K78" s="533"/>
      <c r="L78" s="374"/>
      <c r="M78" s="534"/>
      <c r="N78" s="535"/>
      <c r="O78" s="367"/>
      <c r="P78" s="368"/>
      <c r="Q78" s="540"/>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1"/>
      <c r="AW78" s="545"/>
      <c r="AX78" s="434" t="str">
        <f t="shared" si="15"/>
        <v>,</v>
      </c>
      <c r="AY78" s="434" t="str">
        <f t="shared" si="16"/>
        <v xml:space="preserve"> / </v>
      </c>
      <c r="AZ78" s="555"/>
      <c r="BA78" s="556"/>
      <c r="BB78" s="555"/>
      <c r="BC78" s="555"/>
      <c r="BD78" s="556"/>
      <c r="BE78" s="555"/>
    </row>
    <row r="79" spans="1:57" s="191" customFormat="1" ht="21.6" customHeight="1">
      <c r="A79" s="518">
        <f t="shared" si="17"/>
        <v>74</v>
      </c>
      <c r="B79" s="218"/>
      <c r="C79" s="519"/>
      <c r="D79" s="524"/>
      <c r="E79" s="376"/>
      <c r="F79" s="192" t="s">
        <v>622</v>
      </c>
      <c r="G79" s="525"/>
      <c r="H79" s="193"/>
      <c r="I79" s="193"/>
      <c r="J79" s="374"/>
      <c r="K79" s="533"/>
      <c r="L79" s="374"/>
      <c r="M79" s="534"/>
      <c r="N79" s="535"/>
      <c r="O79" s="367"/>
      <c r="P79" s="368"/>
      <c r="Q79" s="540"/>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1"/>
      <c r="AW79" s="545"/>
      <c r="AX79" s="434" t="str">
        <f t="shared" si="15"/>
        <v>,</v>
      </c>
      <c r="AY79" s="434" t="str">
        <f t="shared" si="16"/>
        <v xml:space="preserve"> / </v>
      </c>
      <c r="AZ79" s="555"/>
      <c r="BA79" s="556"/>
      <c r="BB79" s="555"/>
      <c r="BC79" s="555"/>
      <c r="BD79" s="556"/>
      <c r="BE79" s="555"/>
    </row>
    <row r="80" spans="1:57" s="191" customFormat="1" ht="21.6" customHeight="1">
      <c r="A80" s="518">
        <f t="shared" si="17"/>
        <v>75</v>
      </c>
      <c r="B80" s="218"/>
      <c r="C80" s="519"/>
      <c r="D80" s="524"/>
      <c r="E80" s="376"/>
      <c r="F80" s="192" t="s">
        <v>622</v>
      </c>
      <c r="G80" s="525"/>
      <c r="H80" s="193"/>
      <c r="I80" s="193"/>
      <c r="J80" s="374"/>
      <c r="K80" s="533"/>
      <c r="L80" s="374"/>
      <c r="M80" s="534"/>
      <c r="N80" s="535"/>
      <c r="O80" s="367"/>
      <c r="P80" s="368"/>
      <c r="Q80" s="540"/>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1"/>
      <c r="AW80" s="545"/>
      <c r="AX80" s="434" t="str">
        <f t="shared" si="15"/>
        <v>,</v>
      </c>
      <c r="AY80" s="434" t="str">
        <f t="shared" si="16"/>
        <v xml:space="preserve"> / </v>
      </c>
      <c r="AZ80" s="555"/>
      <c r="BA80" s="556"/>
      <c r="BB80" s="555"/>
      <c r="BC80" s="555"/>
      <c r="BD80" s="556"/>
      <c r="BE80" s="555"/>
    </row>
    <row r="81" spans="1:57" s="191" customFormat="1" ht="21.6" customHeight="1">
      <c r="A81" s="518">
        <f t="shared" si="17"/>
        <v>76</v>
      </c>
      <c r="B81" s="218"/>
      <c r="C81" s="519"/>
      <c r="D81" s="524"/>
      <c r="E81" s="376"/>
      <c r="F81" s="192" t="s">
        <v>622</v>
      </c>
      <c r="G81" s="525"/>
      <c r="H81" s="193"/>
      <c r="I81" s="193"/>
      <c r="J81" s="374"/>
      <c r="K81" s="533"/>
      <c r="L81" s="374"/>
      <c r="M81" s="534"/>
      <c r="N81" s="535"/>
      <c r="O81" s="367"/>
      <c r="P81" s="368"/>
      <c r="Q81" s="540"/>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1"/>
      <c r="AW81" s="545"/>
      <c r="AX81" s="434" t="str">
        <f t="shared" si="15"/>
        <v>,</v>
      </c>
      <c r="AY81" s="434" t="str">
        <f t="shared" si="16"/>
        <v xml:space="preserve"> / </v>
      </c>
      <c r="AZ81" s="555"/>
      <c r="BA81" s="556"/>
      <c r="BB81" s="555"/>
      <c r="BC81" s="555"/>
      <c r="BD81" s="556"/>
      <c r="BE81" s="555"/>
    </row>
    <row r="82" spans="1:57" s="191" customFormat="1" ht="21.6" customHeight="1">
      <c r="A82" s="518">
        <f t="shared" si="17"/>
        <v>77</v>
      </c>
      <c r="B82" s="218"/>
      <c r="C82" s="519"/>
      <c r="D82" s="524"/>
      <c r="E82" s="376"/>
      <c r="F82" s="192" t="s">
        <v>622</v>
      </c>
      <c r="G82" s="525"/>
      <c r="H82" s="193"/>
      <c r="I82" s="193"/>
      <c r="J82" s="374"/>
      <c r="K82" s="533"/>
      <c r="L82" s="374"/>
      <c r="M82" s="534"/>
      <c r="N82" s="535"/>
      <c r="O82" s="367"/>
      <c r="P82" s="368"/>
      <c r="Q82" s="540"/>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1"/>
      <c r="AW82" s="545"/>
      <c r="AX82" s="434" t="str">
        <f t="shared" si="15"/>
        <v>,</v>
      </c>
      <c r="AY82" s="434" t="str">
        <f t="shared" si="16"/>
        <v xml:space="preserve"> / </v>
      </c>
      <c r="AZ82" s="555"/>
      <c r="BA82" s="556"/>
      <c r="BB82" s="555"/>
      <c r="BC82" s="555"/>
      <c r="BD82" s="556"/>
      <c r="BE82" s="555"/>
    </row>
    <row r="83" spans="1:57" s="191" customFormat="1" ht="21.6" customHeight="1">
      <c r="A83" s="518">
        <f t="shared" si="17"/>
        <v>78</v>
      </c>
      <c r="B83" s="218"/>
      <c r="C83" s="519"/>
      <c r="D83" s="524"/>
      <c r="E83" s="376"/>
      <c r="F83" s="192" t="s">
        <v>622</v>
      </c>
      <c r="G83" s="525"/>
      <c r="H83" s="193"/>
      <c r="I83" s="193"/>
      <c r="J83" s="374"/>
      <c r="K83" s="533"/>
      <c r="L83" s="374"/>
      <c r="M83" s="534"/>
      <c r="N83" s="535"/>
      <c r="O83" s="367"/>
      <c r="P83" s="368"/>
      <c r="Q83" s="540"/>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1"/>
      <c r="AW83" s="545"/>
      <c r="AX83" s="434" t="str">
        <f t="shared" si="15"/>
        <v>,</v>
      </c>
      <c r="AY83" s="434" t="str">
        <f t="shared" si="16"/>
        <v xml:space="preserve"> / </v>
      </c>
      <c r="AZ83" s="555"/>
      <c r="BA83" s="556"/>
      <c r="BB83" s="555"/>
      <c r="BC83" s="555"/>
      <c r="BD83" s="556"/>
      <c r="BE83" s="555"/>
    </row>
    <row r="84" spans="1:57" s="191" customFormat="1" ht="21.6" customHeight="1">
      <c r="A84" s="518">
        <f t="shared" si="17"/>
        <v>79</v>
      </c>
      <c r="B84" s="218"/>
      <c r="C84" s="519"/>
      <c r="D84" s="524"/>
      <c r="E84" s="377"/>
      <c r="F84" s="192" t="s">
        <v>622</v>
      </c>
      <c r="G84" s="525"/>
      <c r="H84" s="193"/>
      <c r="I84" s="193"/>
      <c r="J84" s="374"/>
      <c r="K84" s="533"/>
      <c r="L84" s="536"/>
      <c r="M84" s="534"/>
      <c r="N84" s="537"/>
      <c r="O84" s="367"/>
      <c r="P84" s="368"/>
      <c r="Q84" s="540"/>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1"/>
      <c r="AW84" s="545"/>
      <c r="AX84" s="434" t="str">
        <f t="shared" si="15"/>
        <v>,</v>
      </c>
      <c r="AY84" s="434" t="str">
        <f t="shared" si="16"/>
        <v xml:space="preserve"> / </v>
      </c>
      <c r="AZ84" s="555"/>
      <c r="BA84" s="556"/>
      <c r="BB84" s="555"/>
      <c r="BC84" s="555"/>
      <c r="BD84" s="556"/>
      <c r="BE84" s="555"/>
    </row>
    <row r="85" spans="1:57" s="191" customFormat="1" ht="21.6" customHeight="1">
      <c r="A85" s="518">
        <f t="shared" si="17"/>
        <v>80</v>
      </c>
      <c r="B85" s="218"/>
      <c r="C85" s="519"/>
      <c r="D85" s="524"/>
      <c r="E85" s="377"/>
      <c r="F85" s="192" t="s">
        <v>622</v>
      </c>
      <c r="G85" s="525"/>
      <c r="H85" s="193"/>
      <c r="I85" s="193"/>
      <c r="J85" s="374"/>
      <c r="K85" s="533"/>
      <c r="L85" s="536"/>
      <c r="M85" s="534"/>
      <c r="N85" s="537"/>
      <c r="O85" s="367"/>
      <c r="P85" s="368"/>
      <c r="Q85" s="540"/>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1"/>
      <c r="AW85" s="545"/>
      <c r="AX85" s="434" t="str">
        <f t="shared" si="15"/>
        <v>,</v>
      </c>
      <c r="AY85" s="434" t="str">
        <f t="shared" si="16"/>
        <v xml:space="preserve"> / </v>
      </c>
      <c r="AZ85" s="555"/>
      <c r="BA85" s="556"/>
      <c r="BB85" s="555"/>
      <c r="BC85" s="555"/>
      <c r="BD85" s="556"/>
      <c r="BE85" s="555"/>
    </row>
    <row r="86" spans="1:57" s="191" customFormat="1" ht="21.6" customHeight="1">
      <c r="A86" s="518">
        <f t="shared" si="17"/>
        <v>81</v>
      </c>
      <c r="B86" s="218"/>
      <c r="C86" s="519"/>
      <c r="D86" s="524"/>
      <c r="E86" s="377"/>
      <c r="F86" s="192" t="s">
        <v>622</v>
      </c>
      <c r="G86" s="525"/>
      <c r="H86" s="193"/>
      <c r="I86" s="193"/>
      <c r="J86" s="374"/>
      <c r="K86" s="533"/>
      <c r="L86" s="536"/>
      <c r="M86" s="534"/>
      <c r="N86" s="537"/>
      <c r="O86" s="367"/>
      <c r="P86" s="368"/>
      <c r="Q86" s="540"/>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1"/>
      <c r="AW86" s="545"/>
      <c r="AX86" s="434" t="str">
        <f t="shared" si="15"/>
        <v>,</v>
      </c>
      <c r="AY86" s="434" t="str">
        <f t="shared" si="16"/>
        <v xml:space="preserve"> / </v>
      </c>
      <c r="AZ86" s="555"/>
      <c r="BA86" s="556"/>
      <c r="BB86" s="555"/>
      <c r="BC86" s="555"/>
      <c r="BD86" s="556"/>
      <c r="BE86" s="555"/>
    </row>
    <row r="87" spans="1:57" s="191" customFormat="1" ht="21.6" customHeight="1">
      <c r="A87" s="518">
        <f t="shared" si="17"/>
        <v>82</v>
      </c>
      <c r="B87" s="218"/>
      <c r="C87" s="519"/>
      <c r="D87" s="524"/>
      <c r="E87" s="377"/>
      <c r="F87" s="192" t="s">
        <v>622</v>
      </c>
      <c r="G87" s="525"/>
      <c r="H87" s="223"/>
      <c r="I87" s="223"/>
      <c r="J87" s="374"/>
      <c r="K87" s="533"/>
      <c r="L87" s="536"/>
      <c r="M87" s="534"/>
      <c r="N87" s="537"/>
      <c r="O87" s="367"/>
      <c r="P87" s="368"/>
      <c r="Q87" s="540"/>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1"/>
      <c r="AW87" s="545"/>
      <c r="AX87" s="434" t="str">
        <f t="shared" si="15"/>
        <v>,</v>
      </c>
      <c r="AY87" s="434" t="str">
        <f t="shared" si="16"/>
        <v xml:space="preserve"> / </v>
      </c>
      <c r="AZ87" s="555"/>
      <c r="BA87" s="556"/>
      <c r="BB87" s="555"/>
      <c r="BC87" s="555"/>
      <c r="BD87" s="556"/>
      <c r="BE87" s="555"/>
    </row>
    <row r="88" spans="1:57" s="191" customFormat="1" ht="21.6" customHeight="1">
      <c r="A88" s="518">
        <f t="shared" si="17"/>
        <v>83</v>
      </c>
      <c r="B88" s="218"/>
      <c r="C88" s="519"/>
      <c r="D88" s="524"/>
      <c r="E88" s="377"/>
      <c r="F88" s="192" t="s">
        <v>622</v>
      </c>
      <c r="G88" s="525"/>
      <c r="H88" s="193"/>
      <c r="I88" s="193"/>
      <c r="J88" s="374"/>
      <c r="K88" s="533"/>
      <c r="L88" s="536"/>
      <c r="M88" s="534"/>
      <c r="N88" s="537"/>
      <c r="O88" s="367"/>
      <c r="P88" s="368"/>
      <c r="Q88" s="540"/>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1"/>
      <c r="AW88" s="545"/>
      <c r="AX88" s="434" t="str">
        <f t="shared" si="15"/>
        <v>,</v>
      </c>
      <c r="AY88" s="434" t="str">
        <f t="shared" si="16"/>
        <v xml:space="preserve"> / </v>
      </c>
      <c r="AZ88" s="555"/>
      <c r="BA88" s="556"/>
      <c r="BB88" s="555"/>
      <c r="BC88" s="555"/>
      <c r="BD88" s="556"/>
      <c r="BE88" s="555"/>
    </row>
    <row r="89" spans="1:57" s="191" customFormat="1" ht="21.6" customHeight="1">
      <c r="A89" s="518">
        <f t="shared" si="17"/>
        <v>84</v>
      </c>
      <c r="B89" s="218"/>
      <c r="C89" s="519"/>
      <c r="D89" s="525"/>
      <c r="E89" s="377"/>
      <c r="F89" s="192" t="s">
        <v>622</v>
      </c>
      <c r="G89" s="525"/>
      <c r="H89" s="193"/>
      <c r="I89" s="193"/>
      <c r="J89" s="374"/>
      <c r="K89" s="533"/>
      <c r="L89" s="536"/>
      <c r="M89" s="534"/>
      <c r="N89" s="537"/>
      <c r="O89" s="367"/>
      <c r="P89" s="368"/>
      <c r="Q89" s="540"/>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1"/>
      <c r="AW89" s="545"/>
      <c r="AX89" s="434" t="str">
        <f t="shared" si="15"/>
        <v>,</v>
      </c>
      <c r="AY89" s="434" t="str">
        <f t="shared" si="16"/>
        <v xml:space="preserve"> / </v>
      </c>
      <c r="AZ89" s="555"/>
      <c r="BA89" s="556"/>
      <c r="BB89" s="555"/>
      <c r="BC89" s="555"/>
      <c r="BD89" s="556"/>
      <c r="BE89" s="555"/>
    </row>
    <row r="90" spans="1:57" s="191" customFormat="1" ht="21.6" customHeight="1">
      <c r="A90" s="518">
        <f t="shared" si="17"/>
        <v>85</v>
      </c>
      <c r="B90" s="218"/>
      <c r="C90" s="519"/>
      <c r="D90" s="525"/>
      <c r="E90" s="377"/>
      <c r="F90" s="192" t="s">
        <v>622</v>
      </c>
      <c r="G90" s="525"/>
      <c r="H90" s="193"/>
      <c r="I90" s="193"/>
      <c r="J90" s="374"/>
      <c r="K90" s="533"/>
      <c r="L90" s="536"/>
      <c r="M90" s="534"/>
      <c r="N90" s="537"/>
      <c r="O90" s="367"/>
      <c r="P90" s="368"/>
      <c r="Q90" s="540"/>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1"/>
      <c r="AW90" s="545"/>
      <c r="AX90" s="434" t="str">
        <f t="shared" si="15"/>
        <v>,</v>
      </c>
      <c r="AY90" s="434" t="str">
        <f t="shared" si="16"/>
        <v xml:space="preserve"> / </v>
      </c>
      <c r="AZ90" s="555"/>
      <c r="BA90" s="556"/>
      <c r="BB90" s="555"/>
      <c r="BC90" s="555"/>
      <c r="BD90" s="556"/>
      <c r="BE90" s="555"/>
    </row>
    <row r="91" spans="1:57" s="191" customFormat="1" ht="21.6" customHeight="1">
      <c r="A91" s="518">
        <f t="shared" si="17"/>
        <v>86</v>
      </c>
      <c r="B91" s="218"/>
      <c r="C91" s="519"/>
      <c r="D91" s="524"/>
      <c r="E91" s="377"/>
      <c r="F91" s="192" t="s">
        <v>622</v>
      </c>
      <c r="G91" s="525"/>
      <c r="H91" s="193"/>
      <c r="I91" s="193"/>
      <c r="J91" s="374"/>
      <c r="K91" s="533"/>
      <c r="L91" s="536"/>
      <c r="M91" s="534"/>
      <c r="N91" s="537"/>
      <c r="O91" s="367"/>
      <c r="P91" s="368"/>
      <c r="Q91" s="540"/>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1"/>
      <c r="AW91" s="545"/>
      <c r="AX91" s="434" t="str">
        <f t="shared" si="15"/>
        <v>,</v>
      </c>
      <c r="AY91" s="434" t="str">
        <f t="shared" si="16"/>
        <v xml:space="preserve"> / </v>
      </c>
      <c r="AZ91" s="555"/>
      <c r="BA91" s="556"/>
      <c r="BB91" s="555"/>
      <c r="BC91" s="555"/>
      <c r="BD91" s="556"/>
      <c r="BE91" s="555"/>
    </row>
    <row r="92" spans="1:57" s="191" customFormat="1" ht="21.6" customHeight="1">
      <c r="A92" s="518">
        <f t="shared" si="17"/>
        <v>87</v>
      </c>
      <c r="B92" s="218"/>
      <c r="C92" s="519"/>
      <c r="D92" s="524"/>
      <c r="E92" s="377"/>
      <c r="F92" s="192" t="s">
        <v>622</v>
      </c>
      <c r="G92" s="525"/>
      <c r="H92" s="193"/>
      <c r="I92" s="193"/>
      <c r="J92" s="374"/>
      <c r="K92" s="533"/>
      <c r="L92" s="536"/>
      <c r="M92" s="534"/>
      <c r="N92" s="537"/>
      <c r="O92" s="367"/>
      <c r="P92" s="368"/>
      <c r="Q92" s="540"/>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1"/>
      <c r="AW92" s="545"/>
      <c r="AX92" s="434" t="str">
        <f t="shared" si="15"/>
        <v>,</v>
      </c>
      <c r="AY92" s="434" t="str">
        <f t="shared" si="16"/>
        <v xml:space="preserve"> / </v>
      </c>
      <c r="AZ92" s="555"/>
      <c r="BA92" s="556"/>
      <c r="BB92" s="555"/>
      <c r="BC92" s="555"/>
      <c r="BD92" s="556"/>
      <c r="BE92" s="555"/>
    </row>
    <row r="93" spans="1:57" s="191" customFormat="1" ht="21.6" customHeight="1">
      <c r="A93" s="518">
        <f t="shared" si="17"/>
        <v>88</v>
      </c>
      <c r="B93" s="218"/>
      <c r="C93" s="519"/>
      <c r="D93" s="524"/>
      <c r="E93" s="377"/>
      <c r="F93" s="192" t="s">
        <v>622</v>
      </c>
      <c r="G93" s="525"/>
      <c r="H93" s="193"/>
      <c r="I93" s="193"/>
      <c r="J93" s="374"/>
      <c r="K93" s="533"/>
      <c r="L93" s="536"/>
      <c r="M93" s="534"/>
      <c r="N93" s="537"/>
      <c r="O93" s="367"/>
      <c r="P93" s="368"/>
      <c r="Q93" s="540"/>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1"/>
      <c r="AW93" s="545"/>
      <c r="AX93" s="434" t="str">
        <f t="shared" si="15"/>
        <v>,</v>
      </c>
      <c r="AY93" s="434" t="str">
        <f t="shared" si="16"/>
        <v xml:space="preserve"> / </v>
      </c>
      <c r="AZ93" s="555"/>
      <c r="BA93" s="556"/>
      <c r="BB93" s="555"/>
      <c r="BC93" s="555"/>
      <c r="BD93" s="556"/>
      <c r="BE93" s="555"/>
    </row>
    <row r="94" spans="1:57" s="191" customFormat="1" ht="21.6" customHeight="1">
      <c r="A94" s="518">
        <f t="shared" si="17"/>
        <v>89</v>
      </c>
      <c r="B94" s="218"/>
      <c r="C94" s="519"/>
      <c r="D94" s="525"/>
      <c r="E94" s="377"/>
      <c r="F94" s="192" t="s">
        <v>622</v>
      </c>
      <c r="G94" s="525"/>
      <c r="H94" s="193"/>
      <c r="I94" s="193"/>
      <c r="J94" s="374"/>
      <c r="K94" s="533"/>
      <c r="L94" s="536"/>
      <c r="M94" s="534"/>
      <c r="N94" s="537"/>
      <c r="O94" s="367"/>
      <c r="P94" s="368"/>
      <c r="Q94" s="540"/>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1"/>
      <c r="AW94" s="545"/>
      <c r="AX94" s="434" t="str">
        <f t="shared" si="15"/>
        <v>,</v>
      </c>
      <c r="AY94" s="434" t="str">
        <f t="shared" si="16"/>
        <v xml:space="preserve"> / </v>
      </c>
      <c r="AZ94" s="555"/>
      <c r="BA94" s="556"/>
      <c r="BB94" s="555"/>
      <c r="BC94" s="555"/>
      <c r="BD94" s="556"/>
      <c r="BE94" s="555"/>
    </row>
    <row r="95" spans="1:57" s="191" customFormat="1" ht="21.6" customHeight="1">
      <c r="A95" s="518">
        <f t="shared" si="17"/>
        <v>90</v>
      </c>
      <c r="B95" s="218"/>
      <c r="C95" s="519"/>
      <c r="D95" s="525"/>
      <c r="E95" s="377"/>
      <c r="F95" s="192" t="s">
        <v>622</v>
      </c>
      <c r="G95" s="525"/>
      <c r="H95" s="193"/>
      <c r="I95" s="193"/>
      <c r="J95" s="374"/>
      <c r="K95" s="533"/>
      <c r="L95" s="536"/>
      <c r="M95" s="534"/>
      <c r="N95" s="537"/>
      <c r="O95" s="367"/>
      <c r="P95" s="368"/>
      <c r="Q95" s="540"/>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1"/>
      <c r="AW95" s="545"/>
      <c r="AX95" s="434" t="str">
        <f t="shared" si="15"/>
        <v>,</v>
      </c>
      <c r="AY95" s="434" t="str">
        <f t="shared" si="16"/>
        <v xml:space="preserve"> / </v>
      </c>
      <c r="AZ95" s="555"/>
      <c r="BA95" s="556"/>
      <c r="BB95" s="555"/>
      <c r="BC95" s="555"/>
      <c r="BD95" s="556"/>
      <c r="BE95" s="555"/>
    </row>
    <row r="96" spans="1:57" s="191" customFormat="1" ht="21.6" customHeight="1">
      <c r="A96" s="518">
        <f t="shared" si="17"/>
        <v>91</v>
      </c>
      <c r="B96" s="218"/>
      <c r="C96" s="519"/>
      <c r="D96" s="525"/>
      <c r="E96" s="377"/>
      <c r="F96" s="192" t="s">
        <v>622</v>
      </c>
      <c r="G96" s="525"/>
      <c r="H96" s="193"/>
      <c r="I96" s="193"/>
      <c r="J96" s="374"/>
      <c r="K96" s="533"/>
      <c r="L96" s="536"/>
      <c r="M96" s="534"/>
      <c r="N96" s="537"/>
      <c r="O96" s="367"/>
      <c r="P96" s="368"/>
      <c r="Q96" s="540"/>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1"/>
      <c r="AW96" s="545"/>
      <c r="AX96" s="434" t="str">
        <f t="shared" si="15"/>
        <v>,</v>
      </c>
      <c r="AY96" s="434" t="str">
        <f t="shared" si="16"/>
        <v xml:space="preserve"> / </v>
      </c>
      <c r="AZ96" s="555"/>
      <c r="BA96" s="556"/>
      <c r="BB96" s="555"/>
      <c r="BC96" s="555"/>
      <c r="BD96" s="556"/>
      <c r="BE96" s="555"/>
    </row>
    <row r="97" spans="1:57" s="191" customFormat="1" ht="21.6" customHeight="1">
      <c r="A97" s="518">
        <f t="shared" si="17"/>
        <v>92</v>
      </c>
      <c r="B97" s="218"/>
      <c r="C97" s="519"/>
      <c r="D97" s="524"/>
      <c r="E97" s="377"/>
      <c r="F97" s="192" t="s">
        <v>622</v>
      </c>
      <c r="G97" s="525"/>
      <c r="H97" s="193"/>
      <c r="I97" s="193"/>
      <c r="J97" s="374"/>
      <c r="K97" s="533"/>
      <c r="L97" s="536"/>
      <c r="M97" s="534"/>
      <c r="N97" s="537"/>
      <c r="O97" s="367"/>
      <c r="P97" s="368"/>
      <c r="Q97" s="540"/>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1"/>
      <c r="AW97" s="545"/>
      <c r="AX97" s="434" t="str">
        <f t="shared" si="15"/>
        <v>,</v>
      </c>
      <c r="AY97" s="434" t="str">
        <f t="shared" si="16"/>
        <v xml:space="preserve"> / </v>
      </c>
      <c r="AZ97" s="555"/>
      <c r="BA97" s="556"/>
      <c r="BB97" s="555"/>
      <c r="BC97" s="555"/>
      <c r="BD97" s="556"/>
      <c r="BE97" s="555"/>
    </row>
    <row r="98" spans="1:57" s="191" customFormat="1" ht="21.6" customHeight="1">
      <c r="A98" s="518">
        <f t="shared" si="17"/>
        <v>93</v>
      </c>
      <c r="B98" s="218"/>
      <c r="C98" s="519"/>
      <c r="D98" s="524"/>
      <c r="E98" s="377"/>
      <c r="F98" s="192" t="s">
        <v>622</v>
      </c>
      <c r="G98" s="525"/>
      <c r="H98" s="193"/>
      <c r="I98" s="193"/>
      <c r="J98" s="374"/>
      <c r="K98" s="533"/>
      <c r="L98" s="536"/>
      <c r="M98" s="534"/>
      <c r="N98" s="537"/>
      <c r="O98" s="367"/>
      <c r="P98" s="368"/>
      <c r="Q98" s="540"/>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1"/>
      <c r="AW98" s="545"/>
      <c r="AX98" s="434" t="str">
        <f t="shared" si="15"/>
        <v>,</v>
      </c>
      <c r="AY98" s="434" t="str">
        <f t="shared" si="16"/>
        <v xml:space="preserve"> / </v>
      </c>
      <c r="AZ98" s="555"/>
      <c r="BA98" s="556"/>
      <c r="BB98" s="555"/>
      <c r="BC98" s="555"/>
      <c r="BD98" s="556"/>
      <c r="BE98" s="555"/>
    </row>
    <row r="99" spans="1:57" s="191" customFormat="1" ht="21.6" customHeight="1">
      <c r="A99" s="518">
        <f t="shared" si="17"/>
        <v>94</v>
      </c>
      <c r="B99" s="218"/>
      <c r="C99" s="519"/>
      <c r="D99" s="524"/>
      <c r="E99" s="377"/>
      <c r="F99" s="192" t="s">
        <v>622</v>
      </c>
      <c r="G99" s="525"/>
      <c r="H99" s="193"/>
      <c r="I99" s="193"/>
      <c r="J99" s="374"/>
      <c r="K99" s="533"/>
      <c r="L99" s="536"/>
      <c r="M99" s="534"/>
      <c r="N99" s="537"/>
      <c r="O99" s="367"/>
      <c r="P99" s="368"/>
      <c r="Q99" s="540"/>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1"/>
      <c r="AW99" s="545"/>
      <c r="AX99" s="434" t="str">
        <f t="shared" si="15"/>
        <v>,</v>
      </c>
      <c r="AY99" s="434" t="str">
        <f t="shared" si="16"/>
        <v xml:space="preserve"> / </v>
      </c>
      <c r="AZ99" s="555"/>
      <c r="BA99" s="556"/>
      <c r="BB99" s="555"/>
      <c r="BC99" s="555"/>
      <c r="BD99" s="556"/>
      <c r="BE99" s="555"/>
    </row>
    <row r="100" spans="1:57" s="191" customFormat="1" ht="21.6" customHeight="1">
      <c r="A100" s="518">
        <f t="shared" si="17"/>
        <v>95</v>
      </c>
      <c r="B100" s="218"/>
      <c r="C100" s="519"/>
      <c r="D100" s="524"/>
      <c r="E100" s="377"/>
      <c r="F100" s="192" t="s">
        <v>622</v>
      </c>
      <c r="G100" s="525"/>
      <c r="H100" s="193"/>
      <c r="I100" s="193"/>
      <c r="J100" s="374"/>
      <c r="K100" s="533"/>
      <c r="L100" s="536"/>
      <c r="M100" s="534"/>
      <c r="N100" s="537"/>
      <c r="O100" s="367"/>
      <c r="P100" s="368"/>
      <c r="Q100" s="540"/>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1"/>
      <c r="AW100" s="545"/>
      <c r="AX100" s="434" t="str">
        <f t="shared" si="15"/>
        <v>,</v>
      </c>
      <c r="AY100" s="434" t="str">
        <f t="shared" si="16"/>
        <v xml:space="preserve"> / </v>
      </c>
      <c r="AZ100" s="555"/>
      <c r="BA100" s="556"/>
      <c r="BB100" s="555"/>
      <c r="BC100" s="555"/>
      <c r="BD100" s="556"/>
      <c r="BE100" s="555"/>
    </row>
    <row r="101" spans="1:57" s="191" customFormat="1" ht="21.6" customHeight="1">
      <c r="A101" s="518">
        <f t="shared" si="17"/>
        <v>96</v>
      </c>
      <c r="B101" s="218"/>
      <c r="C101" s="519"/>
      <c r="D101" s="524"/>
      <c r="E101" s="377"/>
      <c r="F101" s="192" t="s">
        <v>622</v>
      </c>
      <c r="G101" s="525"/>
      <c r="H101" s="193"/>
      <c r="I101" s="193"/>
      <c r="J101" s="374"/>
      <c r="K101" s="533"/>
      <c r="L101" s="536"/>
      <c r="M101" s="534"/>
      <c r="N101" s="537"/>
      <c r="O101" s="367"/>
      <c r="P101" s="368"/>
      <c r="Q101" s="540"/>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1"/>
      <c r="AW101" s="545"/>
      <c r="AX101" s="434" t="str">
        <f t="shared" si="15"/>
        <v>,</v>
      </c>
      <c r="AY101" s="434" t="str">
        <f t="shared" si="16"/>
        <v xml:space="preserve"> / </v>
      </c>
      <c r="AZ101" s="555"/>
      <c r="BA101" s="556"/>
      <c r="BB101" s="555"/>
      <c r="BC101" s="555"/>
      <c r="BD101" s="556"/>
      <c r="BE101" s="555"/>
    </row>
    <row r="102" spans="1:57" s="191" customFormat="1" ht="21.6" customHeight="1">
      <c r="A102" s="518">
        <f t="shared" si="17"/>
        <v>97</v>
      </c>
      <c r="B102" s="218"/>
      <c r="C102" s="519"/>
      <c r="D102" s="524"/>
      <c r="E102" s="377"/>
      <c r="F102" s="192" t="s">
        <v>622</v>
      </c>
      <c r="G102" s="525"/>
      <c r="H102" s="193"/>
      <c r="I102" s="193"/>
      <c r="J102" s="374"/>
      <c r="K102" s="533"/>
      <c r="L102" s="536"/>
      <c r="M102" s="534"/>
      <c r="N102" s="537"/>
      <c r="O102" s="367"/>
      <c r="P102" s="368"/>
      <c r="Q102" s="540"/>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1"/>
      <c r="AW102" s="545"/>
      <c r="AX102" s="434" t="str">
        <f t="shared" si="15"/>
        <v>,</v>
      </c>
      <c r="AY102" s="434" t="str">
        <f t="shared" si="16"/>
        <v xml:space="preserve"> / </v>
      </c>
      <c r="AZ102" s="555"/>
      <c r="BA102" s="556"/>
      <c r="BB102" s="555"/>
      <c r="BC102" s="555"/>
      <c r="BD102" s="556"/>
      <c r="BE102" s="555"/>
    </row>
    <row r="103" spans="1:57" s="191" customFormat="1" ht="21.6" customHeight="1">
      <c r="A103" s="518">
        <f t="shared" si="17"/>
        <v>98</v>
      </c>
      <c r="B103" s="218"/>
      <c r="C103" s="519"/>
      <c r="D103" s="525"/>
      <c r="E103" s="377"/>
      <c r="F103" s="192" t="s">
        <v>622</v>
      </c>
      <c r="G103" s="525"/>
      <c r="H103" s="193"/>
      <c r="I103" s="193"/>
      <c r="J103" s="374"/>
      <c r="K103" s="533"/>
      <c r="L103" s="536"/>
      <c r="M103" s="534"/>
      <c r="N103" s="537"/>
      <c r="O103" s="367"/>
      <c r="P103" s="368"/>
      <c r="Q103" s="540"/>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1"/>
      <c r="AW103" s="545"/>
      <c r="AX103" s="434" t="str">
        <f t="shared" si="15"/>
        <v>,</v>
      </c>
      <c r="AY103" s="434" t="str">
        <f t="shared" si="16"/>
        <v xml:space="preserve"> / </v>
      </c>
      <c r="AZ103" s="555"/>
      <c r="BA103" s="556"/>
      <c r="BB103" s="555"/>
      <c r="BC103" s="555"/>
      <c r="BD103" s="556"/>
      <c r="BE103" s="555"/>
    </row>
    <row r="104" spans="1:57" s="191" customFormat="1" ht="21.6" customHeight="1">
      <c r="A104" s="518">
        <f t="shared" si="17"/>
        <v>99</v>
      </c>
      <c r="B104" s="218"/>
      <c r="C104" s="519"/>
      <c r="D104" s="524"/>
      <c r="E104" s="377"/>
      <c r="F104" s="192" t="s">
        <v>622</v>
      </c>
      <c r="G104" s="525"/>
      <c r="H104" s="193"/>
      <c r="I104" s="193"/>
      <c r="J104" s="374"/>
      <c r="K104" s="533"/>
      <c r="L104" s="536"/>
      <c r="M104" s="534"/>
      <c r="N104" s="537"/>
      <c r="O104" s="367"/>
      <c r="P104" s="368"/>
      <c r="Q104" s="540"/>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1"/>
      <c r="AW104" s="545"/>
      <c r="AX104" s="434" t="str">
        <f t="shared" si="15"/>
        <v>,</v>
      </c>
      <c r="AY104" s="434" t="str">
        <f t="shared" si="16"/>
        <v xml:space="preserve"> / </v>
      </c>
      <c r="AZ104" s="555"/>
      <c r="BA104" s="556"/>
      <c r="BB104" s="555"/>
      <c r="BC104" s="555"/>
      <c r="BD104" s="556"/>
      <c r="BE104" s="555"/>
    </row>
    <row r="105" spans="1:57" s="191" customFormat="1" ht="21.6" customHeight="1">
      <c r="A105" s="518">
        <f t="shared" si="17"/>
        <v>100</v>
      </c>
      <c r="B105" s="218"/>
      <c r="C105" s="519"/>
      <c r="D105" s="524"/>
      <c r="E105" s="377"/>
      <c r="F105" s="192" t="s">
        <v>622</v>
      </c>
      <c r="G105" s="525"/>
      <c r="H105" s="193"/>
      <c r="I105" s="193"/>
      <c r="J105" s="374"/>
      <c r="K105" s="533"/>
      <c r="L105" s="536"/>
      <c r="M105" s="534"/>
      <c r="N105" s="537"/>
      <c r="O105" s="367"/>
      <c r="P105" s="368"/>
      <c r="Q105" s="540"/>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1"/>
      <c r="AW105" s="545"/>
      <c r="AX105" s="434" t="str">
        <f t="shared" si="15"/>
        <v>,</v>
      </c>
      <c r="AY105" s="434" t="str">
        <f t="shared" si="16"/>
        <v xml:space="preserve"> / </v>
      </c>
      <c r="AZ105" s="555"/>
      <c r="BA105" s="556"/>
      <c r="BB105" s="555"/>
      <c r="BC105" s="555"/>
      <c r="BD105" s="556"/>
      <c r="BE105" s="555"/>
    </row>
    <row r="106" spans="1:57" s="191" customFormat="1" ht="21.6" customHeight="1">
      <c r="A106" s="518">
        <f t="shared" si="17"/>
        <v>101</v>
      </c>
      <c r="B106" s="218"/>
      <c r="C106" s="519"/>
      <c r="D106" s="524"/>
      <c r="E106" s="377"/>
      <c r="F106" s="192" t="s">
        <v>622</v>
      </c>
      <c r="G106" s="525"/>
      <c r="H106" s="193"/>
      <c r="I106" s="193"/>
      <c r="J106" s="374"/>
      <c r="K106" s="533"/>
      <c r="L106" s="536"/>
      <c r="M106" s="534"/>
      <c r="N106" s="537"/>
      <c r="O106" s="367"/>
      <c r="P106" s="368"/>
      <c r="Q106" s="540"/>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1"/>
      <c r="AW106" s="545"/>
      <c r="AX106" s="434" t="str">
        <f t="shared" si="15"/>
        <v>,</v>
      </c>
      <c r="AY106" s="434" t="str">
        <f t="shared" si="16"/>
        <v xml:space="preserve"> / </v>
      </c>
      <c r="AZ106" s="555"/>
      <c r="BA106" s="556"/>
      <c r="BB106" s="555"/>
      <c r="BC106" s="555"/>
      <c r="BD106" s="556"/>
      <c r="BE106" s="555"/>
    </row>
    <row r="107" spans="1:57" s="191" customFormat="1" ht="21.6" customHeight="1">
      <c r="A107" s="518">
        <f t="shared" si="17"/>
        <v>102</v>
      </c>
      <c r="B107" s="218"/>
      <c r="C107" s="520"/>
      <c r="D107" s="526"/>
      <c r="E107" s="378"/>
      <c r="F107" s="192" t="s">
        <v>622</v>
      </c>
      <c r="G107" s="525"/>
      <c r="H107" s="224"/>
      <c r="I107" s="224"/>
      <c r="J107" s="373"/>
      <c r="K107" s="533"/>
      <c r="L107" s="536"/>
      <c r="M107" s="534"/>
      <c r="N107" s="537"/>
      <c r="O107" s="367"/>
      <c r="P107" s="368"/>
      <c r="Q107" s="540"/>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1"/>
      <c r="AW107" s="545"/>
      <c r="AX107" s="434" t="str">
        <f t="shared" si="15"/>
        <v>,</v>
      </c>
      <c r="AY107" s="434" t="str">
        <f t="shared" si="16"/>
        <v xml:space="preserve"> / </v>
      </c>
      <c r="AZ107" s="555"/>
      <c r="BA107" s="556"/>
      <c r="BB107" s="555"/>
      <c r="BC107" s="555"/>
      <c r="BD107" s="556"/>
      <c r="BE107" s="555"/>
    </row>
    <row r="108" spans="1:57" s="191" customFormat="1" ht="21.6" customHeight="1">
      <c r="A108" s="518">
        <f t="shared" si="17"/>
        <v>103</v>
      </c>
      <c r="B108" s="218"/>
      <c r="C108" s="520"/>
      <c r="D108" s="526"/>
      <c r="E108" s="378"/>
      <c r="F108" s="192" t="s">
        <v>622</v>
      </c>
      <c r="G108" s="525"/>
      <c r="H108" s="229"/>
      <c r="I108" s="229"/>
      <c r="J108" s="373"/>
      <c r="K108" s="533"/>
      <c r="L108" s="536"/>
      <c r="M108" s="534"/>
      <c r="N108" s="537"/>
      <c r="O108" s="367"/>
      <c r="P108" s="368"/>
      <c r="Q108" s="540"/>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1"/>
      <c r="AW108" s="545"/>
      <c r="AX108" s="434" t="str">
        <f t="shared" si="15"/>
        <v>,</v>
      </c>
      <c r="AY108" s="434" t="str">
        <f t="shared" si="16"/>
        <v xml:space="preserve"> / </v>
      </c>
      <c r="AZ108" s="555"/>
      <c r="BA108" s="556"/>
      <c r="BB108" s="555"/>
      <c r="BC108" s="555"/>
      <c r="BD108" s="556"/>
      <c r="BE108" s="555"/>
    </row>
    <row r="109" spans="1:57" ht="21.6" customHeight="1">
      <c r="A109" s="518">
        <f t="shared" si="17"/>
        <v>104</v>
      </c>
      <c r="B109" s="218"/>
      <c r="C109" s="520"/>
      <c r="D109" s="526"/>
      <c r="E109" s="378"/>
      <c r="F109" s="192" t="s">
        <v>622</v>
      </c>
      <c r="G109" s="525"/>
      <c r="H109" s="229"/>
      <c r="I109" s="229"/>
      <c r="J109" s="373"/>
      <c r="K109" s="533"/>
      <c r="L109" s="536"/>
      <c r="M109" s="534"/>
      <c r="N109" s="537"/>
      <c r="O109" s="367"/>
      <c r="P109" s="368"/>
      <c r="Q109" s="540"/>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3"/>
      <c r="AW109" s="547"/>
      <c r="AX109" s="434" t="str">
        <f t="shared" si="15"/>
        <v>,</v>
      </c>
      <c r="AY109" s="434" t="str">
        <f t="shared" si="16"/>
        <v xml:space="preserve"> / </v>
      </c>
      <c r="AZ109" s="555"/>
      <c r="BA109" s="556"/>
      <c r="BB109" s="555"/>
      <c r="BC109" s="557"/>
      <c r="BD109" s="556"/>
      <c r="BE109" s="557"/>
    </row>
    <row r="110" spans="1:57" ht="21.6" customHeight="1">
      <c r="A110" s="518">
        <f t="shared" si="17"/>
        <v>105</v>
      </c>
      <c r="B110" s="218"/>
      <c r="C110" s="520"/>
      <c r="D110" s="526"/>
      <c r="E110" s="378"/>
      <c r="F110" s="192" t="s">
        <v>622</v>
      </c>
      <c r="G110" s="525"/>
      <c r="H110" s="229"/>
      <c r="I110" s="229"/>
      <c r="J110" s="373"/>
      <c r="K110" s="533"/>
      <c r="L110" s="536"/>
      <c r="M110" s="534"/>
      <c r="N110" s="537"/>
      <c r="O110" s="367"/>
      <c r="P110" s="368"/>
      <c r="Q110" s="540"/>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3"/>
      <c r="AW110" s="547"/>
      <c r="AX110" s="434" t="str">
        <f t="shared" si="15"/>
        <v>,</v>
      </c>
      <c r="AY110" s="434" t="str">
        <f t="shared" si="16"/>
        <v xml:space="preserve"> / </v>
      </c>
      <c r="AZ110" s="555"/>
      <c r="BA110" s="556"/>
      <c r="BB110" s="555"/>
      <c r="BC110" s="557"/>
      <c r="BD110" s="556"/>
      <c r="BE110" s="557"/>
    </row>
    <row r="111" spans="1:57" ht="21.6" customHeight="1">
      <c r="A111" s="518">
        <f t="shared" si="17"/>
        <v>106</v>
      </c>
      <c r="B111" s="218"/>
      <c r="C111" s="520"/>
      <c r="D111" s="526"/>
      <c r="E111" s="378"/>
      <c r="F111" s="192" t="s">
        <v>622</v>
      </c>
      <c r="G111" s="525"/>
      <c r="H111" s="229"/>
      <c r="I111" s="229"/>
      <c r="J111" s="373"/>
      <c r="K111" s="533"/>
      <c r="L111" s="536"/>
      <c r="M111" s="534"/>
      <c r="N111" s="537"/>
      <c r="O111" s="367"/>
      <c r="P111" s="368"/>
      <c r="Q111" s="540"/>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3"/>
      <c r="AW111" s="547"/>
      <c r="AX111" s="434" t="str">
        <f t="shared" si="15"/>
        <v>,</v>
      </c>
      <c r="AY111" s="434" t="str">
        <f t="shared" si="16"/>
        <v xml:space="preserve"> / </v>
      </c>
      <c r="AZ111" s="555"/>
      <c r="BA111" s="556"/>
      <c r="BB111" s="555"/>
      <c r="BC111" s="557"/>
      <c r="BD111" s="556"/>
      <c r="BE111" s="557"/>
    </row>
    <row r="112" spans="1:57" ht="21.6" customHeight="1">
      <c r="A112" s="518">
        <f t="shared" si="17"/>
        <v>107</v>
      </c>
      <c r="B112" s="218"/>
      <c r="C112" s="520"/>
      <c r="D112" s="526"/>
      <c r="E112" s="378"/>
      <c r="F112" s="192" t="s">
        <v>622</v>
      </c>
      <c r="G112" s="524"/>
      <c r="H112" s="229"/>
      <c r="I112" s="229"/>
      <c r="J112" s="373"/>
      <c r="K112" s="533"/>
      <c r="L112" s="536"/>
      <c r="M112" s="534"/>
      <c r="N112" s="537"/>
      <c r="O112" s="367"/>
      <c r="P112" s="368"/>
      <c r="Q112" s="540"/>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3"/>
      <c r="AW112" s="547"/>
      <c r="AX112" s="434" t="str">
        <f t="shared" si="15"/>
        <v>,</v>
      </c>
      <c r="AY112" s="434" t="str">
        <f t="shared" si="16"/>
        <v xml:space="preserve"> / </v>
      </c>
      <c r="AZ112" s="555"/>
      <c r="BA112" s="556"/>
      <c r="BB112" s="555"/>
      <c r="BC112" s="557"/>
      <c r="BD112" s="556"/>
      <c r="BE112" s="557"/>
    </row>
    <row r="113" spans="1:57" ht="21.6" customHeight="1">
      <c r="A113" s="518">
        <f t="shared" si="17"/>
        <v>108</v>
      </c>
      <c r="B113" s="218"/>
      <c r="C113" s="520"/>
      <c r="D113" s="526"/>
      <c r="E113" s="378"/>
      <c r="F113" s="192" t="s">
        <v>622</v>
      </c>
      <c r="G113" s="524"/>
      <c r="H113" s="229"/>
      <c r="I113" s="229"/>
      <c r="J113" s="373"/>
      <c r="K113" s="533"/>
      <c r="L113" s="536"/>
      <c r="M113" s="534"/>
      <c r="N113" s="537"/>
      <c r="O113" s="367"/>
      <c r="P113" s="368"/>
      <c r="Q113" s="540"/>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3"/>
      <c r="AW113" s="547"/>
      <c r="AX113" s="434" t="str">
        <f t="shared" si="15"/>
        <v>,</v>
      </c>
      <c r="AY113" s="434" t="str">
        <f t="shared" si="16"/>
        <v xml:space="preserve"> / </v>
      </c>
      <c r="AZ113" s="555"/>
      <c r="BA113" s="556"/>
      <c r="BB113" s="555"/>
      <c r="BC113" s="557"/>
      <c r="BD113" s="556"/>
      <c r="BE113" s="557"/>
    </row>
    <row r="114" spans="1:57" ht="21.6" customHeight="1">
      <c r="A114" s="518">
        <f t="shared" si="17"/>
        <v>109</v>
      </c>
      <c r="B114" s="218"/>
      <c r="C114" s="520"/>
      <c r="D114" s="526"/>
      <c r="E114" s="378"/>
      <c r="F114" s="192" t="s">
        <v>622</v>
      </c>
      <c r="G114" s="525"/>
      <c r="H114" s="229"/>
      <c r="I114" s="229"/>
      <c r="J114" s="373"/>
      <c r="K114" s="533"/>
      <c r="L114" s="536"/>
      <c r="M114" s="534"/>
      <c r="N114" s="537"/>
      <c r="O114" s="367"/>
      <c r="P114" s="368"/>
      <c r="Q114" s="540"/>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3"/>
      <c r="AW114" s="547"/>
      <c r="AX114" s="434" t="str">
        <f t="shared" si="15"/>
        <v>,</v>
      </c>
      <c r="AY114" s="434" t="str">
        <f t="shared" si="16"/>
        <v xml:space="preserve"> / </v>
      </c>
      <c r="AZ114" s="555"/>
      <c r="BA114" s="556"/>
      <c r="BB114" s="555"/>
      <c r="BC114" s="557"/>
      <c r="BD114" s="556"/>
      <c r="BE114" s="557"/>
    </row>
    <row r="115" spans="1:57" ht="21.6" customHeight="1">
      <c r="A115" s="518">
        <f t="shared" si="17"/>
        <v>110</v>
      </c>
      <c r="B115" s="218"/>
      <c r="C115" s="520"/>
      <c r="D115" s="526"/>
      <c r="E115" s="378"/>
      <c r="F115" s="192" t="s">
        <v>622</v>
      </c>
      <c r="G115" s="524"/>
      <c r="H115" s="229"/>
      <c r="I115" s="229"/>
      <c r="J115" s="373"/>
      <c r="K115" s="533"/>
      <c r="L115" s="536"/>
      <c r="M115" s="534"/>
      <c r="N115" s="537"/>
      <c r="O115" s="367"/>
      <c r="P115" s="368"/>
      <c r="Q115" s="540"/>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3"/>
      <c r="AW115" s="547"/>
      <c r="AX115" s="434" t="str">
        <f t="shared" si="15"/>
        <v>,</v>
      </c>
      <c r="AY115" s="434" t="str">
        <f t="shared" si="16"/>
        <v xml:space="preserve"> / </v>
      </c>
      <c r="AZ115" s="555"/>
      <c r="BA115" s="556"/>
      <c r="BB115" s="555"/>
      <c r="BC115" s="557"/>
      <c r="BD115" s="556"/>
      <c r="BE115" s="557"/>
    </row>
    <row r="116" spans="1:57" ht="21.6" customHeight="1">
      <c r="A116" s="518">
        <f t="shared" si="17"/>
        <v>111</v>
      </c>
      <c r="B116" s="218"/>
      <c r="C116" s="520"/>
      <c r="D116" s="526"/>
      <c r="E116" s="378"/>
      <c r="F116" s="192" t="s">
        <v>622</v>
      </c>
      <c r="G116" s="524"/>
      <c r="H116" s="229"/>
      <c r="I116" s="229"/>
      <c r="J116" s="373"/>
      <c r="K116" s="533"/>
      <c r="L116" s="536"/>
      <c r="M116" s="534"/>
      <c r="N116" s="537"/>
      <c r="O116" s="367"/>
      <c r="P116" s="368"/>
      <c r="Q116" s="540"/>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3"/>
      <c r="AW116" s="547"/>
      <c r="AX116" s="434" t="str">
        <f t="shared" si="15"/>
        <v>,</v>
      </c>
      <c r="AY116" s="434" t="str">
        <f t="shared" si="16"/>
        <v xml:space="preserve"> / </v>
      </c>
      <c r="AZ116" s="555"/>
      <c r="BA116" s="556"/>
      <c r="BB116" s="555"/>
      <c r="BC116" s="557"/>
      <c r="BD116" s="556"/>
      <c r="BE116" s="557"/>
    </row>
    <row r="117" spans="1:57" ht="21.6" customHeight="1">
      <c r="A117" s="518">
        <f t="shared" si="17"/>
        <v>112</v>
      </c>
      <c r="B117" s="218"/>
      <c r="C117" s="520"/>
      <c r="D117" s="526"/>
      <c r="E117" s="378"/>
      <c r="F117" s="192" t="s">
        <v>622</v>
      </c>
      <c r="G117" s="528"/>
      <c r="H117" s="229"/>
      <c r="I117" s="229"/>
      <c r="J117" s="373"/>
      <c r="K117" s="533"/>
      <c r="L117" s="536"/>
      <c r="M117" s="534"/>
      <c r="N117" s="537"/>
      <c r="O117" s="367"/>
      <c r="P117" s="368"/>
      <c r="Q117" s="540"/>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3"/>
      <c r="AW117" s="547"/>
      <c r="AX117" s="434" t="str">
        <f t="shared" si="15"/>
        <v>,</v>
      </c>
      <c r="AY117" s="434" t="str">
        <f t="shared" si="16"/>
        <v xml:space="preserve"> / </v>
      </c>
      <c r="AZ117" s="555"/>
      <c r="BA117" s="556"/>
      <c r="BB117" s="555"/>
      <c r="BC117" s="557"/>
      <c r="BD117" s="556"/>
      <c r="BE117" s="557"/>
    </row>
    <row r="118" spans="1:57" ht="21.6" customHeight="1">
      <c r="A118" s="518">
        <f t="shared" si="17"/>
        <v>113</v>
      </c>
      <c r="B118" s="218"/>
      <c r="C118" s="520"/>
      <c r="D118" s="526"/>
      <c r="E118" s="378"/>
      <c r="F118" s="192" t="s">
        <v>622</v>
      </c>
      <c r="G118" s="528"/>
      <c r="H118" s="229"/>
      <c r="I118" s="229"/>
      <c r="J118" s="373"/>
      <c r="K118" s="533"/>
      <c r="L118" s="536"/>
      <c r="M118" s="534"/>
      <c r="N118" s="537"/>
      <c r="O118" s="367"/>
      <c r="P118" s="368"/>
      <c r="Q118" s="540"/>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3"/>
      <c r="AW118" s="547"/>
      <c r="AX118" s="434" t="str">
        <f t="shared" si="15"/>
        <v>,</v>
      </c>
      <c r="AY118" s="434" t="str">
        <f t="shared" si="16"/>
        <v xml:space="preserve"> / </v>
      </c>
      <c r="AZ118" s="555"/>
      <c r="BA118" s="556"/>
      <c r="BB118" s="555"/>
      <c r="BC118" s="557"/>
      <c r="BD118" s="556"/>
      <c r="BE118" s="557"/>
    </row>
    <row r="119" spans="1:57" ht="21.6" customHeight="1">
      <c r="A119" s="518">
        <f t="shared" si="17"/>
        <v>114</v>
      </c>
      <c r="B119" s="218"/>
      <c r="C119" s="520"/>
      <c r="D119" s="526"/>
      <c r="E119" s="378"/>
      <c r="F119" s="192" t="s">
        <v>622</v>
      </c>
      <c r="G119" s="528"/>
      <c r="H119" s="229"/>
      <c r="I119" s="229"/>
      <c r="J119" s="373"/>
      <c r="K119" s="533"/>
      <c r="L119" s="536"/>
      <c r="M119" s="534"/>
      <c r="N119" s="537"/>
      <c r="O119" s="367"/>
      <c r="P119" s="368"/>
      <c r="Q119" s="540"/>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3"/>
      <c r="AW119" s="547"/>
      <c r="AX119" s="434" t="str">
        <f t="shared" si="15"/>
        <v>,</v>
      </c>
      <c r="AY119" s="434" t="str">
        <f t="shared" si="16"/>
        <v xml:space="preserve"> / </v>
      </c>
      <c r="AZ119" s="555"/>
      <c r="BA119" s="556"/>
      <c r="BB119" s="555"/>
      <c r="BC119" s="557"/>
      <c r="BD119" s="556"/>
      <c r="BE119" s="557"/>
    </row>
    <row r="120" spans="1:57" ht="21.6" customHeight="1">
      <c r="A120" s="518">
        <f t="shared" si="17"/>
        <v>115</v>
      </c>
      <c r="B120" s="218"/>
      <c r="C120" s="520"/>
      <c r="D120" s="526"/>
      <c r="E120" s="378"/>
      <c r="F120" s="192" t="s">
        <v>622</v>
      </c>
      <c r="G120" s="528"/>
      <c r="H120" s="229"/>
      <c r="I120" s="229"/>
      <c r="J120" s="373"/>
      <c r="K120" s="533"/>
      <c r="L120" s="536"/>
      <c r="M120" s="534"/>
      <c r="N120" s="537"/>
      <c r="O120" s="367"/>
      <c r="P120" s="368"/>
      <c r="Q120" s="540"/>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3"/>
      <c r="AW120" s="547"/>
      <c r="AX120" s="434" t="str">
        <f t="shared" si="15"/>
        <v>,</v>
      </c>
      <c r="AY120" s="434" t="str">
        <f t="shared" si="16"/>
        <v xml:space="preserve"> / </v>
      </c>
      <c r="AZ120" s="555"/>
      <c r="BA120" s="556"/>
      <c r="BB120" s="555"/>
      <c r="BC120" s="557"/>
      <c r="BD120" s="556"/>
      <c r="BE120" s="557"/>
    </row>
    <row r="121" spans="1:57" ht="21.6" customHeight="1">
      <c r="A121" s="518">
        <f t="shared" si="17"/>
        <v>116</v>
      </c>
      <c r="B121" s="218"/>
      <c r="C121" s="520"/>
      <c r="D121" s="526"/>
      <c r="E121" s="378"/>
      <c r="F121" s="192" t="s">
        <v>622</v>
      </c>
      <c r="G121" s="528"/>
      <c r="H121" s="229"/>
      <c r="I121" s="229"/>
      <c r="J121" s="373"/>
      <c r="K121" s="533"/>
      <c r="L121" s="536"/>
      <c r="M121" s="534"/>
      <c r="N121" s="537"/>
      <c r="O121" s="367"/>
      <c r="P121" s="368"/>
      <c r="Q121" s="540"/>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3"/>
      <c r="AW121" s="547"/>
      <c r="AX121" s="434" t="str">
        <f t="shared" si="15"/>
        <v>,</v>
      </c>
      <c r="AY121" s="434" t="str">
        <f t="shared" si="16"/>
        <v xml:space="preserve"> / </v>
      </c>
      <c r="AZ121" s="555"/>
      <c r="BA121" s="556"/>
      <c r="BB121" s="555"/>
      <c r="BC121" s="557"/>
      <c r="BD121" s="556"/>
      <c r="BE121" s="557"/>
    </row>
    <row r="122" spans="1:57" ht="21.6" customHeight="1">
      <c r="A122" s="518">
        <f t="shared" si="17"/>
        <v>117</v>
      </c>
      <c r="B122" s="218"/>
      <c r="C122" s="520"/>
      <c r="D122" s="526"/>
      <c r="E122" s="378"/>
      <c r="F122" s="192" t="s">
        <v>622</v>
      </c>
      <c r="G122" s="528"/>
      <c r="H122" s="229"/>
      <c r="I122" s="229"/>
      <c r="J122" s="373"/>
      <c r="K122" s="533"/>
      <c r="L122" s="536"/>
      <c r="M122" s="534"/>
      <c r="N122" s="537"/>
      <c r="O122" s="367"/>
      <c r="P122" s="368"/>
      <c r="Q122" s="540"/>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3"/>
      <c r="AW122" s="547"/>
      <c r="AX122" s="434" t="str">
        <f t="shared" si="15"/>
        <v>,</v>
      </c>
      <c r="AY122" s="434" t="str">
        <f t="shared" si="16"/>
        <v xml:space="preserve"> / </v>
      </c>
      <c r="AZ122" s="555"/>
      <c r="BA122" s="556"/>
      <c r="BB122" s="555"/>
      <c r="BC122" s="557"/>
      <c r="BD122" s="556"/>
      <c r="BE122" s="557"/>
    </row>
    <row r="123" spans="1:57" ht="21.6" customHeight="1">
      <c r="A123" s="518">
        <f t="shared" si="17"/>
        <v>118</v>
      </c>
      <c r="B123" s="218"/>
      <c r="C123" s="520"/>
      <c r="D123" s="526"/>
      <c r="E123" s="378"/>
      <c r="F123" s="192" t="s">
        <v>622</v>
      </c>
      <c r="G123" s="528"/>
      <c r="H123" s="229"/>
      <c r="I123" s="229"/>
      <c r="J123" s="373"/>
      <c r="K123" s="533"/>
      <c r="L123" s="536"/>
      <c r="M123" s="534"/>
      <c r="N123" s="537"/>
      <c r="O123" s="367"/>
      <c r="P123" s="368"/>
      <c r="Q123" s="540"/>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3"/>
      <c r="AW123" s="547"/>
      <c r="AX123" s="434" t="str">
        <f t="shared" si="15"/>
        <v>,</v>
      </c>
      <c r="AY123" s="434" t="str">
        <f t="shared" si="16"/>
        <v xml:space="preserve"> / </v>
      </c>
      <c r="AZ123" s="555"/>
      <c r="BA123" s="556"/>
      <c r="BB123" s="555"/>
      <c r="BC123" s="557"/>
      <c r="BD123" s="556"/>
      <c r="BE123" s="557"/>
    </row>
    <row r="124" spans="1:57" ht="21.6" customHeight="1">
      <c r="A124" s="518">
        <f t="shared" si="17"/>
        <v>119</v>
      </c>
      <c r="B124" s="218"/>
      <c r="C124" s="520"/>
      <c r="D124" s="526"/>
      <c r="E124" s="378"/>
      <c r="F124" s="192" t="s">
        <v>622</v>
      </c>
      <c r="G124" s="528"/>
      <c r="H124" s="229"/>
      <c r="I124" s="229"/>
      <c r="J124" s="373"/>
      <c r="K124" s="533"/>
      <c r="L124" s="536"/>
      <c r="M124" s="534"/>
      <c r="N124" s="537"/>
      <c r="O124" s="367"/>
      <c r="P124" s="368"/>
      <c r="Q124" s="540"/>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3"/>
      <c r="AW124" s="547"/>
      <c r="AX124" s="434" t="str">
        <f t="shared" si="15"/>
        <v>,</v>
      </c>
      <c r="AY124" s="434" t="str">
        <f t="shared" si="16"/>
        <v xml:space="preserve"> / </v>
      </c>
      <c r="AZ124" s="555"/>
      <c r="BA124" s="556"/>
      <c r="BB124" s="555"/>
      <c r="BC124" s="557"/>
      <c r="BD124" s="556"/>
      <c r="BE124" s="557"/>
    </row>
    <row r="125" spans="1:57" ht="21.6" customHeight="1">
      <c r="A125" s="518">
        <f t="shared" si="17"/>
        <v>120</v>
      </c>
      <c r="B125" s="218"/>
      <c r="C125" s="520"/>
      <c r="D125" s="526"/>
      <c r="E125" s="378"/>
      <c r="F125" s="192" t="s">
        <v>622</v>
      </c>
      <c r="G125" s="528"/>
      <c r="H125" s="229"/>
      <c r="I125" s="229"/>
      <c r="J125" s="373"/>
      <c r="K125" s="533"/>
      <c r="L125" s="536"/>
      <c r="M125" s="534"/>
      <c r="N125" s="537"/>
      <c r="O125" s="367"/>
      <c r="P125" s="368"/>
      <c r="Q125" s="540"/>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3"/>
      <c r="AW125" s="547"/>
      <c r="AX125" s="434" t="str">
        <f t="shared" si="15"/>
        <v>,</v>
      </c>
      <c r="AY125" s="434" t="str">
        <f t="shared" si="16"/>
        <v xml:space="preserve"> / </v>
      </c>
      <c r="AZ125" s="555"/>
      <c r="BA125" s="556"/>
      <c r="BB125" s="555"/>
      <c r="BC125" s="557"/>
      <c r="BD125" s="556"/>
      <c r="BE125" s="557"/>
    </row>
    <row r="126" spans="1:57" ht="21.6" customHeight="1">
      <c r="A126" s="518">
        <f t="shared" si="17"/>
        <v>121</v>
      </c>
      <c r="B126" s="218"/>
      <c r="C126" s="520"/>
      <c r="D126" s="526"/>
      <c r="E126" s="378"/>
      <c r="F126" s="192" t="s">
        <v>622</v>
      </c>
      <c r="G126" s="528"/>
      <c r="H126" s="229"/>
      <c r="I126" s="229"/>
      <c r="J126" s="373"/>
      <c r="K126" s="533"/>
      <c r="L126" s="536"/>
      <c r="M126" s="534"/>
      <c r="N126" s="537"/>
      <c r="O126" s="367"/>
      <c r="P126" s="368"/>
      <c r="Q126" s="540"/>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3"/>
      <c r="AW126" s="547"/>
      <c r="AX126" s="434" t="str">
        <f t="shared" si="15"/>
        <v>,</v>
      </c>
      <c r="AY126" s="434" t="str">
        <f t="shared" si="16"/>
        <v xml:space="preserve"> / </v>
      </c>
      <c r="AZ126" s="555"/>
      <c r="BA126" s="556"/>
      <c r="BB126" s="555"/>
      <c r="BC126" s="557"/>
      <c r="BD126" s="556"/>
      <c r="BE126" s="557"/>
    </row>
    <row r="127" spans="1:57" ht="21.6" customHeight="1">
      <c r="A127" s="518">
        <f t="shared" si="17"/>
        <v>122</v>
      </c>
      <c r="B127" s="218"/>
      <c r="C127" s="520"/>
      <c r="D127" s="526"/>
      <c r="E127" s="378"/>
      <c r="F127" s="192" t="s">
        <v>622</v>
      </c>
      <c r="G127" s="528"/>
      <c r="H127" s="229"/>
      <c r="I127" s="229"/>
      <c r="J127" s="373"/>
      <c r="K127" s="533"/>
      <c r="L127" s="536"/>
      <c r="M127" s="534"/>
      <c r="N127" s="537"/>
      <c r="O127" s="367"/>
      <c r="P127" s="368"/>
      <c r="Q127" s="540"/>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3"/>
      <c r="AW127" s="547"/>
      <c r="AX127" s="434" t="str">
        <f t="shared" si="15"/>
        <v>,</v>
      </c>
      <c r="AY127" s="434" t="str">
        <f t="shared" si="16"/>
        <v xml:space="preserve"> / </v>
      </c>
      <c r="AZ127" s="555"/>
      <c r="BA127" s="556"/>
      <c r="BB127" s="555"/>
      <c r="BC127" s="557"/>
      <c r="BD127" s="556"/>
      <c r="BE127" s="557"/>
    </row>
    <row r="128" spans="1:57" ht="21.6" customHeight="1">
      <c r="A128" s="518">
        <f t="shared" si="17"/>
        <v>123</v>
      </c>
      <c r="B128" s="218"/>
      <c r="C128" s="520"/>
      <c r="D128" s="526"/>
      <c r="E128" s="378"/>
      <c r="F128" s="192" t="s">
        <v>622</v>
      </c>
      <c r="G128" s="528"/>
      <c r="H128" s="229"/>
      <c r="I128" s="229"/>
      <c r="J128" s="373"/>
      <c r="K128" s="533"/>
      <c r="L128" s="536"/>
      <c r="M128" s="534"/>
      <c r="N128" s="537"/>
      <c r="O128" s="367"/>
      <c r="P128" s="368"/>
      <c r="Q128" s="540"/>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3"/>
      <c r="AW128" s="547"/>
      <c r="AX128" s="434" t="str">
        <f t="shared" si="15"/>
        <v>,</v>
      </c>
      <c r="AY128" s="434" t="str">
        <f t="shared" si="16"/>
        <v xml:space="preserve"> / </v>
      </c>
      <c r="AZ128" s="555"/>
      <c r="BA128" s="556"/>
      <c r="BB128" s="555"/>
      <c r="BC128" s="557"/>
      <c r="BD128" s="556"/>
      <c r="BE128" s="557"/>
    </row>
    <row r="129" spans="1:57" ht="21.6" customHeight="1">
      <c r="A129" s="518">
        <f t="shared" si="17"/>
        <v>124</v>
      </c>
      <c r="B129" s="218"/>
      <c r="C129" s="520"/>
      <c r="D129" s="526"/>
      <c r="E129" s="378"/>
      <c r="F129" s="192" t="s">
        <v>622</v>
      </c>
      <c r="G129" s="528"/>
      <c r="H129" s="229"/>
      <c r="I129" s="229"/>
      <c r="J129" s="373"/>
      <c r="K129" s="533"/>
      <c r="L129" s="536"/>
      <c r="M129" s="534"/>
      <c r="N129" s="537"/>
      <c r="O129" s="367"/>
      <c r="P129" s="368"/>
      <c r="Q129" s="540"/>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3"/>
      <c r="AW129" s="547"/>
      <c r="AX129" s="434" t="str">
        <f t="shared" si="15"/>
        <v>,</v>
      </c>
      <c r="AY129" s="434" t="str">
        <f t="shared" si="16"/>
        <v xml:space="preserve"> / </v>
      </c>
      <c r="AZ129" s="555"/>
      <c r="BA129" s="556"/>
      <c r="BB129" s="555"/>
      <c r="BC129" s="557"/>
      <c r="BD129" s="556"/>
      <c r="BE129" s="557"/>
    </row>
    <row r="130" spans="1:57" ht="21.6" customHeight="1">
      <c r="A130" s="518">
        <f t="shared" si="17"/>
        <v>125</v>
      </c>
      <c r="B130" s="218"/>
      <c r="C130" s="520"/>
      <c r="D130" s="526"/>
      <c r="E130" s="378"/>
      <c r="F130" s="192" t="s">
        <v>622</v>
      </c>
      <c r="G130" s="528"/>
      <c r="H130" s="229"/>
      <c r="I130" s="229"/>
      <c r="J130" s="373"/>
      <c r="K130" s="533"/>
      <c r="L130" s="536"/>
      <c r="M130" s="534"/>
      <c r="N130" s="537"/>
      <c r="O130" s="367"/>
      <c r="P130" s="368"/>
      <c r="Q130" s="540"/>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3"/>
      <c r="AW130" s="547"/>
      <c r="AX130" s="434" t="str">
        <f t="shared" si="15"/>
        <v>,</v>
      </c>
      <c r="AY130" s="434" t="str">
        <f t="shared" si="16"/>
        <v xml:space="preserve"> / </v>
      </c>
      <c r="AZ130" s="555"/>
      <c r="BA130" s="556"/>
      <c r="BB130" s="555"/>
      <c r="BC130" s="557"/>
      <c r="BD130" s="556"/>
      <c r="BE130" s="557"/>
    </row>
    <row r="131" spans="1:57" ht="21.6" customHeight="1">
      <c r="A131" s="518">
        <f t="shared" si="17"/>
        <v>126</v>
      </c>
      <c r="B131" s="218"/>
      <c r="C131" s="520"/>
      <c r="D131" s="526"/>
      <c r="E131" s="378"/>
      <c r="F131" s="192" t="s">
        <v>622</v>
      </c>
      <c r="G131" s="528"/>
      <c r="H131" s="229"/>
      <c r="I131" s="229"/>
      <c r="J131" s="373"/>
      <c r="K131" s="533"/>
      <c r="L131" s="536"/>
      <c r="M131" s="534"/>
      <c r="N131" s="537"/>
      <c r="O131" s="367"/>
      <c r="P131" s="368"/>
      <c r="Q131" s="540"/>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3"/>
      <c r="AW131" s="547"/>
      <c r="AX131" s="434" t="str">
        <f t="shared" si="15"/>
        <v>,</v>
      </c>
      <c r="AY131" s="434" t="str">
        <f t="shared" si="16"/>
        <v xml:space="preserve"> / </v>
      </c>
      <c r="AZ131" s="555"/>
      <c r="BA131" s="556"/>
      <c r="BB131" s="555"/>
      <c r="BC131" s="557"/>
      <c r="BD131" s="556"/>
      <c r="BE131" s="557"/>
    </row>
    <row r="132" spans="1:57" ht="21.6" customHeight="1">
      <c r="A132" s="518">
        <f t="shared" si="17"/>
        <v>127</v>
      </c>
      <c r="B132" s="218"/>
      <c r="C132" s="520"/>
      <c r="D132" s="526"/>
      <c r="E132" s="378"/>
      <c r="F132" s="192" t="s">
        <v>622</v>
      </c>
      <c r="G132" s="528"/>
      <c r="H132" s="229"/>
      <c r="I132" s="229"/>
      <c r="J132" s="373"/>
      <c r="K132" s="533"/>
      <c r="L132" s="536"/>
      <c r="M132" s="534"/>
      <c r="N132" s="537"/>
      <c r="O132" s="367"/>
      <c r="P132" s="368"/>
      <c r="Q132" s="540"/>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3"/>
      <c r="AW132" s="547"/>
      <c r="AX132" s="434" t="str">
        <f t="shared" si="15"/>
        <v>,</v>
      </c>
      <c r="AY132" s="434" t="str">
        <f t="shared" si="16"/>
        <v xml:space="preserve"> / </v>
      </c>
      <c r="AZ132" s="555"/>
      <c r="BA132" s="556"/>
      <c r="BB132" s="555"/>
      <c r="BC132" s="557"/>
      <c r="BD132" s="556"/>
      <c r="BE132" s="557"/>
    </row>
    <row r="133" spans="1:57" ht="21.6" customHeight="1">
      <c r="A133" s="518">
        <f t="shared" si="17"/>
        <v>128</v>
      </c>
      <c r="B133" s="218"/>
      <c r="C133" s="520"/>
      <c r="D133" s="526"/>
      <c r="E133" s="378"/>
      <c r="F133" s="192" t="s">
        <v>622</v>
      </c>
      <c r="G133" s="528"/>
      <c r="H133" s="229"/>
      <c r="I133" s="229"/>
      <c r="J133" s="373"/>
      <c r="K133" s="533"/>
      <c r="L133" s="536"/>
      <c r="M133" s="534"/>
      <c r="N133" s="537"/>
      <c r="O133" s="367"/>
      <c r="P133" s="368"/>
      <c r="Q133" s="540"/>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3"/>
      <c r="AW133" s="547"/>
      <c r="AX133" s="434" t="str">
        <f t="shared" si="15"/>
        <v>,</v>
      </c>
      <c r="AY133" s="434" t="str">
        <f t="shared" si="16"/>
        <v xml:space="preserve"> / </v>
      </c>
      <c r="AZ133" s="555"/>
      <c r="BA133" s="556"/>
      <c r="BB133" s="555"/>
      <c r="BC133" s="557"/>
      <c r="BD133" s="556"/>
      <c r="BE133" s="557"/>
    </row>
    <row r="134" spans="1:57" ht="21.6" customHeight="1">
      <c r="A134" s="518">
        <f t="shared" si="17"/>
        <v>129</v>
      </c>
      <c r="B134" s="218"/>
      <c r="C134" s="520"/>
      <c r="D134" s="526"/>
      <c r="E134" s="378"/>
      <c r="F134" s="192" t="s">
        <v>622</v>
      </c>
      <c r="G134" s="528"/>
      <c r="H134" s="229"/>
      <c r="I134" s="229"/>
      <c r="J134" s="373"/>
      <c r="K134" s="533"/>
      <c r="L134" s="536"/>
      <c r="M134" s="534"/>
      <c r="N134" s="537"/>
      <c r="O134" s="367"/>
      <c r="P134" s="368"/>
      <c r="Q134" s="540"/>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3"/>
      <c r="AW134" s="547"/>
      <c r="AX134" s="434" t="str">
        <f t="shared" si="15"/>
        <v>,</v>
      </c>
      <c r="AY134" s="434" t="str">
        <f t="shared" si="16"/>
        <v xml:space="preserve"> / </v>
      </c>
      <c r="AZ134" s="555"/>
      <c r="BA134" s="556"/>
      <c r="BB134" s="555"/>
      <c r="BC134" s="557"/>
      <c r="BD134" s="556"/>
      <c r="BE134" s="557"/>
    </row>
    <row r="135" spans="1:57" ht="21.6" customHeight="1">
      <c r="A135" s="518">
        <f t="shared" si="17"/>
        <v>130</v>
      </c>
      <c r="B135" s="218"/>
      <c r="C135" s="520"/>
      <c r="D135" s="526"/>
      <c r="E135" s="378"/>
      <c r="F135" s="192" t="s">
        <v>622</v>
      </c>
      <c r="G135" s="528"/>
      <c r="H135" s="229"/>
      <c r="I135" s="229"/>
      <c r="J135" s="373"/>
      <c r="K135" s="533"/>
      <c r="L135" s="536"/>
      <c r="M135" s="534"/>
      <c r="N135" s="537"/>
      <c r="O135" s="367"/>
      <c r="P135" s="368"/>
      <c r="Q135" s="540"/>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3"/>
      <c r="AW135" s="547"/>
      <c r="AX135" s="434" t="str">
        <f t="shared" ref="AX135:AX198" si="24">CONCATENATE(AW135,",",AV135)</f>
        <v>,</v>
      </c>
      <c r="AY135" s="434" t="str">
        <f t="shared" ref="AY135:AY198" si="25">CONCATENATE(J135," ","/"," ",K135)</f>
        <v xml:space="preserve"> / </v>
      </c>
      <c r="AZ135" s="555"/>
      <c r="BA135" s="556"/>
      <c r="BB135" s="555"/>
      <c r="BC135" s="557"/>
      <c r="BD135" s="556"/>
      <c r="BE135" s="557"/>
    </row>
    <row r="136" spans="1:57" ht="21.6" customHeight="1">
      <c r="A136" s="518">
        <f t="shared" ref="A136:A199" si="26">A135+1</f>
        <v>131</v>
      </c>
      <c r="B136" s="218"/>
      <c r="C136" s="520"/>
      <c r="D136" s="526"/>
      <c r="E136" s="378"/>
      <c r="F136" s="192" t="s">
        <v>622</v>
      </c>
      <c r="G136" s="528"/>
      <c r="H136" s="229"/>
      <c r="I136" s="229"/>
      <c r="J136" s="373"/>
      <c r="K136" s="533"/>
      <c r="L136" s="536"/>
      <c r="M136" s="534"/>
      <c r="N136" s="537"/>
      <c r="O136" s="367"/>
      <c r="P136" s="368"/>
      <c r="Q136" s="540"/>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3"/>
      <c r="AW136" s="547"/>
      <c r="AX136" s="434" t="str">
        <f t="shared" si="24"/>
        <v>,</v>
      </c>
      <c r="AY136" s="434" t="str">
        <f t="shared" si="25"/>
        <v xml:space="preserve"> / </v>
      </c>
      <c r="AZ136" s="555"/>
      <c r="BA136" s="556"/>
      <c r="BB136" s="555"/>
      <c r="BC136" s="557"/>
      <c r="BD136" s="556"/>
      <c r="BE136" s="557"/>
    </row>
    <row r="137" spans="1:57" ht="21.6" customHeight="1">
      <c r="A137" s="518">
        <f t="shared" si="26"/>
        <v>132</v>
      </c>
      <c r="B137" s="218"/>
      <c r="C137" s="520"/>
      <c r="D137" s="526"/>
      <c r="E137" s="378"/>
      <c r="F137" s="192" t="s">
        <v>622</v>
      </c>
      <c r="G137" s="528"/>
      <c r="H137" s="229"/>
      <c r="I137" s="229"/>
      <c r="J137" s="373"/>
      <c r="K137" s="533"/>
      <c r="L137" s="536"/>
      <c r="M137" s="534"/>
      <c r="N137" s="537"/>
      <c r="O137" s="367"/>
      <c r="P137" s="368"/>
      <c r="Q137" s="540"/>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3"/>
      <c r="AW137" s="547"/>
      <c r="AX137" s="434" t="str">
        <f t="shared" si="24"/>
        <v>,</v>
      </c>
      <c r="AY137" s="434" t="str">
        <f t="shared" si="25"/>
        <v xml:space="preserve"> / </v>
      </c>
      <c r="AZ137" s="555"/>
      <c r="BA137" s="556"/>
      <c r="BB137" s="555"/>
      <c r="BC137" s="557"/>
      <c r="BD137" s="556"/>
      <c r="BE137" s="557"/>
    </row>
    <row r="138" spans="1:57" ht="21.6" customHeight="1">
      <c r="A138" s="518">
        <f t="shared" si="26"/>
        <v>133</v>
      </c>
      <c r="B138" s="218"/>
      <c r="C138" s="520"/>
      <c r="D138" s="526"/>
      <c r="E138" s="378"/>
      <c r="F138" s="192" t="s">
        <v>622</v>
      </c>
      <c r="G138" s="528"/>
      <c r="H138" s="229"/>
      <c r="I138" s="229"/>
      <c r="J138" s="373"/>
      <c r="K138" s="533"/>
      <c r="L138" s="536"/>
      <c r="M138" s="534"/>
      <c r="N138" s="537"/>
      <c r="O138" s="367"/>
      <c r="P138" s="368"/>
      <c r="Q138" s="540"/>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3"/>
      <c r="AW138" s="547"/>
      <c r="AX138" s="434" t="str">
        <f t="shared" si="24"/>
        <v>,</v>
      </c>
      <c r="AY138" s="434" t="str">
        <f t="shared" si="25"/>
        <v xml:space="preserve"> / </v>
      </c>
      <c r="AZ138" s="555"/>
      <c r="BA138" s="556"/>
      <c r="BB138" s="555"/>
      <c r="BC138" s="557"/>
      <c r="BD138" s="556"/>
      <c r="BE138" s="557"/>
    </row>
    <row r="139" spans="1:57" ht="21.6" customHeight="1">
      <c r="A139" s="518">
        <f t="shared" si="26"/>
        <v>134</v>
      </c>
      <c r="B139" s="218"/>
      <c r="C139" s="520"/>
      <c r="D139" s="526"/>
      <c r="E139" s="378"/>
      <c r="F139" s="192" t="s">
        <v>622</v>
      </c>
      <c r="G139" s="528"/>
      <c r="H139" s="229"/>
      <c r="I139" s="229"/>
      <c r="J139" s="373"/>
      <c r="K139" s="533"/>
      <c r="L139" s="536"/>
      <c r="M139" s="534"/>
      <c r="N139" s="537"/>
      <c r="O139" s="367"/>
      <c r="P139" s="368"/>
      <c r="Q139" s="540"/>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3"/>
      <c r="AW139" s="547"/>
      <c r="AX139" s="434" t="str">
        <f t="shared" si="24"/>
        <v>,</v>
      </c>
      <c r="AY139" s="434" t="str">
        <f t="shared" si="25"/>
        <v xml:space="preserve"> / </v>
      </c>
      <c r="AZ139" s="555"/>
      <c r="BA139" s="556"/>
      <c r="BB139" s="555"/>
      <c r="BC139" s="557"/>
      <c r="BD139" s="556"/>
      <c r="BE139" s="557"/>
    </row>
    <row r="140" spans="1:57" ht="21.6" customHeight="1">
      <c r="A140" s="518">
        <f t="shared" si="26"/>
        <v>135</v>
      </c>
      <c r="B140" s="218"/>
      <c r="C140" s="520"/>
      <c r="D140" s="526"/>
      <c r="E140" s="378"/>
      <c r="F140" s="192" t="s">
        <v>622</v>
      </c>
      <c r="G140" s="528"/>
      <c r="H140" s="229"/>
      <c r="I140" s="229"/>
      <c r="J140" s="373"/>
      <c r="K140" s="533"/>
      <c r="L140" s="536"/>
      <c r="M140" s="534"/>
      <c r="N140" s="537"/>
      <c r="O140" s="367"/>
      <c r="P140" s="368"/>
      <c r="Q140" s="540"/>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3"/>
      <c r="AW140" s="547"/>
      <c r="AX140" s="434" t="str">
        <f t="shared" si="24"/>
        <v>,</v>
      </c>
      <c r="AY140" s="434" t="str">
        <f t="shared" si="25"/>
        <v xml:space="preserve"> / </v>
      </c>
      <c r="AZ140" s="555"/>
      <c r="BA140" s="556"/>
      <c r="BB140" s="555"/>
      <c r="BC140" s="557"/>
      <c r="BD140" s="556"/>
      <c r="BE140" s="557"/>
    </row>
    <row r="141" spans="1:57" ht="21.6" customHeight="1">
      <c r="A141" s="518">
        <f t="shared" si="26"/>
        <v>136</v>
      </c>
      <c r="B141" s="218"/>
      <c r="C141" s="520"/>
      <c r="D141" s="526"/>
      <c r="E141" s="378"/>
      <c r="F141" s="192" t="s">
        <v>622</v>
      </c>
      <c r="G141" s="528"/>
      <c r="H141" s="229"/>
      <c r="I141" s="229"/>
      <c r="J141" s="373"/>
      <c r="K141" s="533"/>
      <c r="L141" s="536"/>
      <c r="M141" s="534"/>
      <c r="N141" s="537"/>
      <c r="O141" s="367"/>
      <c r="P141" s="368"/>
      <c r="Q141" s="540"/>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3"/>
      <c r="AW141" s="547"/>
      <c r="AX141" s="434" t="str">
        <f t="shared" si="24"/>
        <v>,</v>
      </c>
      <c r="AY141" s="434" t="str">
        <f t="shared" si="25"/>
        <v xml:space="preserve"> / </v>
      </c>
      <c r="AZ141" s="555"/>
      <c r="BA141" s="556"/>
      <c r="BB141" s="555"/>
      <c r="BC141" s="557"/>
      <c r="BD141" s="556"/>
      <c r="BE141" s="557"/>
    </row>
    <row r="142" spans="1:57" ht="21.6" customHeight="1">
      <c r="A142" s="518">
        <f t="shared" si="26"/>
        <v>137</v>
      </c>
      <c r="B142" s="218"/>
      <c r="C142" s="520"/>
      <c r="D142" s="526"/>
      <c r="E142" s="378"/>
      <c r="F142" s="192" t="s">
        <v>622</v>
      </c>
      <c r="G142" s="528"/>
      <c r="H142" s="229"/>
      <c r="I142" s="229"/>
      <c r="J142" s="373"/>
      <c r="K142" s="533"/>
      <c r="L142" s="536"/>
      <c r="M142" s="534"/>
      <c r="N142" s="537"/>
      <c r="O142" s="367"/>
      <c r="P142" s="368"/>
      <c r="Q142" s="540"/>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3"/>
      <c r="AW142" s="547"/>
      <c r="AX142" s="434" t="str">
        <f t="shared" si="24"/>
        <v>,</v>
      </c>
      <c r="AY142" s="434" t="str">
        <f t="shared" si="25"/>
        <v xml:space="preserve"> / </v>
      </c>
      <c r="AZ142" s="555"/>
      <c r="BA142" s="556"/>
      <c r="BB142" s="555"/>
      <c r="BC142" s="557"/>
      <c r="BD142" s="556"/>
      <c r="BE142" s="557"/>
    </row>
    <row r="143" spans="1:57" ht="21.6" customHeight="1">
      <c r="A143" s="518">
        <f t="shared" si="26"/>
        <v>138</v>
      </c>
      <c r="B143" s="218"/>
      <c r="C143" s="521"/>
      <c r="D143" s="526"/>
      <c r="E143" s="378"/>
      <c r="F143" s="192" t="s">
        <v>622</v>
      </c>
      <c r="G143" s="529"/>
      <c r="H143" s="236"/>
      <c r="I143" s="236"/>
      <c r="J143" s="538"/>
      <c r="K143" s="533"/>
      <c r="L143" s="536"/>
      <c r="M143" s="534"/>
      <c r="N143" s="537"/>
      <c r="O143" s="367"/>
      <c r="P143" s="368"/>
      <c r="Q143" s="540"/>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3"/>
      <c r="AW143" s="547"/>
      <c r="AX143" s="434" t="str">
        <f t="shared" si="24"/>
        <v>,</v>
      </c>
      <c r="AY143" s="434" t="str">
        <f t="shared" si="25"/>
        <v xml:space="preserve"> / </v>
      </c>
      <c r="AZ143" s="555"/>
      <c r="BA143" s="556"/>
      <c r="BB143" s="555"/>
      <c r="BC143" s="557"/>
      <c r="BD143" s="556"/>
      <c r="BE143" s="557"/>
    </row>
    <row r="144" spans="1:57" ht="21.6" customHeight="1">
      <c r="A144" s="518">
        <f t="shared" si="26"/>
        <v>139</v>
      </c>
      <c r="B144" s="218"/>
      <c r="C144" s="521"/>
      <c r="D144" s="526"/>
      <c r="E144" s="378"/>
      <c r="F144" s="192" t="s">
        <v>622</v>
      </c>
      <c r="G144" s="529"/>
      <c r="H144" s="236"/>
      <c r="I144" s="236"/>
      <c r="J144" s="538"/>
      <c r="K144" s="533"/>
      <c r="L144" s="536"/>
      <c r="M144" s="534"/>
      <c r="N144" s="537"/>
      <c r="O144" s="367"/>
      <c r="P144" s="368"/>
      <c r="Q144" s="540"/>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3"/>
      <c r="AW144" s="547"/>
      <c r="AX144" s="434" t="str">
        <f t="shared" si="24"/>
        <v>,</v>
      </c>
      <c r="AY144" s="434" t="str">
        <f t="shared" si="25"/>
        <v xml:space="preserve"> / </v>
      </c>
      <c r="AZ144" s="555"/>
      <c r="BA144" s="556"/>
      <c r="BB144" s="555"/>
      <c r="BC144" s="557"/>
      <c r="BD144" s="556"/>
      <c r="BE144" s="557"/>
    </row>
    <row r="145" spans="1:57" ht="21.6" customHeight="1">
      <c r="A145" s="518">
        <f t="shared" si="26"/>
        <v>140</v>
      </c>
      <c r="B145" s="218"/>
      <c r="C145" s="521"/>
      <c r="D145" s="526"/>
      <c r="E145" s="378"/>
      <c r="F145" s="192" t="s">
        <v>622</v>
      </c>
      <c r="G145" s="529"/>
      <c r="H145" s="236"/>
      <c r="I145" s="236"/>
      <c r="J145" s="538"/>
      <c r="K145" s="533"/>
      <c r="L145" s="536"/>
      <c r="M145" s="534"/>
      <c r="N145" s="537"/>
      <c r="O145" s="367"/>
      <c r="P145" s="368"/>
      <c r="Q145" s="540"/>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3"/>
      <c r="AW145" s="547"/>
      <c r="AX145" s="434" t="str">
        <f t="shared" si="24"/>
        <v>,</v>
      </c>
      <c r="AY145" s="434" t="str">
        <f t="shared" si="25"/>
        <v xml:space="preserve"> / </v>
      </c>
      <c r="AZ145" s="555"/>
      <c r="BA145" s="556"/>
      <c r="BB145" s="555"/>
      <c r="BC145" s="557"/>
      <c r="BD145" s="556"/>
      <c r="BE145" s="557"/>
    </row>
    <row r="146" spans="1:57" ht="21.6" customHeight="1">
      <c r="A146" s="518">
        <f t="shared" si="26"/>
        <v>141</v>
      </c>
      <c r="B146" s="218"/>
      <c r="C146" s="521"/>
      <c r="D146" s="526"/>
      <c r="E146" s="378"/>
      <c r="F146" s="192" t="s">
        <v>622</v>
      </c>
      <c r="G146" s="529"/>
      <c r="H146" s="236"/>
      <c r="I146" s="236"/>
      <c r="J146" s="538"/>
      <c r="K146" s="533"/>
      <c r="L146" s="536"/>
      <c r="M146" s="534"/>
      <c r="N146" s="537"/>
      <c r="O146" s="367"/>
      <c r="P146" s="368"/>
      <c r="Q146" s="540"/>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3"/>
      <c r="AW146" s="547"/>
      <c r="AX146" s="434" t="str">
        <f t="shared" si="24"/>
        <v>,</v>
      </c>
      <c r="AY146" s="434" t="str">
        <f t="shared" si="25"/>
        <v xml:space="preserve"> / </v>
      </c>
      <c r="AZ146" s="555"/>
      <c r="BA146" s="556"/>
      <c r="BB146" s="555"/>
      <c r="BC146" s="557"/>
      <c r="BD146" s="556"/>
      <c r="BE146" s="557"/>
    </row>
    <row r="147" spans="1:57" ht="21.6" customHeight="1">
      <c r="A147" s="518">
        <f t="shared" si="26"/>
        <v>142</v>
      </c>
      <c r="B147" s="218"/>
      <c r="C147" s="521"/>
      <c r="D147" s="526"/>
      <c r="E147" s="378"/>
      <c r="F147" s="192" t="s">
        <v>622</v>
      </c>
      <c r="G147" s="529"/>
      <c r="H147" s="236"/>
      <c r="I147" s="236"/>
      <c r="J147" s="538"/>
      <c r="K147" s="533"/>
      <c r="L147" s="536"/>
      <c r="M147" s="534"/>
      <c r="N147" s="537"/>
      <c r="O147" s="367"/>
      <c r="P147" s="368"/>
      <c r="Q147" s="540"/>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3"/>
      <c r="AW147" s="547"/>
      <c r="AX147" s="434" t="str">
        <f t="shared" si="24"/>
        <v>,</v>
      </c>
      <c r="AY147" s="434" t="str">
        <f t="shared" si="25"/>
        <v xml:space="preserve"> / </v>
      </c>
      <c r="AZ147" s="555"/>
      <c r="BA147" s="556"/>
      <c r="BB147" s="555"/>
      <c r="BC147" s="557"/>
      <c r="BD147" s="556"/>
      <c r="BE147" s="557"/>
    </row>
    <row r="148" spans="1:57" ht="21.6" customHeight="1">
      <c r="A148" s="518">
        <f t="shared" si="26"/>
        <v>143</v>
      </c>
      <c r="B148" s="218"/>
      <c r="C148" s="521"/>
      <c r="D148" s="526"/>
      <c r="E148" s="378"/>
      <c r="F148" s="192" t="s">
        <v>622</v>
      </c>
      <c r="G148" s="529"/>
      <c r="H148" s="236"/>
      <c r="I148" s="236"/>
      <c r="J148" s="538"/>
      <c r="K148" s="533"/>
      <c r="L148" s="536"/>
      <c r="M148" s="534"/>
      <c r="N148" s="537"/>
      <c r="O148" s="367"/>
      <c r="P148" s="368"/>
      <c r="Q148" s="540"/>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3"/>
      <c r="AW148" s="547"/>
      <c r="AX148" s="434" t="str">
        <f t="shared" si="24"/>
        <v>,</v>
      </c>
      <c r="AY148" s="434" t="str">
        <f t="shared" si="25"/>
        <v xml:space="preserve"> / </v>
      </c>
      <c r="AZ148" s="555"/>
      <c r="BA148" s="556"/>
      <c r="BB148" s="555"/>
      <c r="BC148" s="557"/>
      <c r="BD148" s="556"/>
      <c r="BE148" s="557"/>
    </row>
    <row r="149" spans="1:57" ht="21.6" customHeight="1">
      <c r="A149" s="518">
        <f t="shared" si="26"/>
        <v>144</v>
      </c>
      <c r="B149" s="218"/>
      <c r="C149" s="521"/>
      <c r="D149" s="526"/>
      <c r="E149" s="378"/>
      <c r="F149" s="192" t="s">
        <v>622</v>
      </c>
      <c r="G149" s="529"/>
      <c r="H149" s="236"/>
      <c r="I149" s="236"/>
      <c r="J149" s="538"/>
      <c r="K149" s="533"/>
      <c r="L149" s="536"/>
      <c r="M149" s="534"/>
      <c r="N149" s="537"/>
      <c r="O149" s="367"/>
      <c r="P149" s="368"/>
      <c r="Q149" s="540"/>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3"/>
      <c r="AW149" s="547"/>
      <c r="AX149" s="434" t="str">
        <f t="shared" si="24"/>
        <v>,</v>
      </c>
      <c r="AY149" s="434" t="str">
        <f t="shared" si="25"/>
        <v xml:space="preserve"> / </v>
      </c>
      <c r="AZ149" s="555"/>
      <c r="BA149" s="556"/>
      <c r="BB149" s="555"/>
      <c r="BC149" s="557"/>
      <c r="BD149" s="556"/>
      <c r="BE149" s="557"/>
    </row>
    <row r="150" spans="1:57" ht="21.6" customHeight="1">
      <c r="A150" s="518">
        <f t="shared" si="26"/>
        <v>145</v>
      </c>
      <c r="B150" s="218"/>
      <c r="C150" s="521"/>
      <c r="D150" s="526"/>
      <c r="E150" s="378"/>
      <c r="F150" s="192" t="s">
        <v>622</v>
      </c>
      <c r="G150" s="529"/>
      <c r="H150" s="236"/>
      <c r="I150" s="236"/>
      <c r="J150" s="538"/>
      <c r="K150" s="533"/>
      <c r="L150" s="536"/>
      <c r="M150" s="534"/>
      <c r="N150" s="537"/>
      <c r="O150" s="367"/>
      <c r="P150" s="368"/>
      <c r="Q150" s="540"/>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3"/>
      <c r="AW150" s="547"/>
      <c r="AX150" s="434" t="str">
        <f t="shared" si="24"/>
        <v>,</v>
      </c>
      <c r="AY150" s="434" t="str">
        <f t="shared" si="25"/>
        <v xml:space="preserve"> / </v>
      </c>
      <c r="AZ150" s="555"/>
      <c r="BA150" s="556"/>
      <c r="BB150" s="555"/>
      <c r="BC150" s="557"/>
      <c r="BD150" s="556"/>
      <c r="BE150" s="557"/>
    </row>
    <row r="151" spans="1:57" ht="21.6" customHeight="1">
      <c r="A151" s="518">
        <f t="shared" si="26"/>
        <v>146</v>
      </c>
      <c r="B151" s="218"/>
      <c r="C151" s="521"/>
      <c r="D151" s="526"/>
      <c r="E151" s="378"/>
      <c r="F151" s="192" t="s">
        <v>622</v>
      </c>
      <c r="G151" s="529"/>
      <c r="H151" s="236"/>
      <c r="I151" s="236"/>
      <c r="J151" s="538"/>
      <c r="K151" s="533"/>
      <c r="L151" s="536"/>
      <c r="M151" s="534"/>
      <c r="N151" s="537"/>
      <c r="O151" s="367"/>
      <c r="P151" s="368"/>
      <c r="Q151" s="540"/>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3"/>
      <c r="AW151" s="547"/>
      <c r="AX151" s="434" t="str">
        <f t="shared" si="24"/>
        <v>,</v>
      </c>
      <c r="AY151" s="434" t="str">
        <f t="shared" si="25"/>
        <v xml:space="preserve"> / </v>
      </c>
      <c r="AZ151" s="555"/>
      <c r="BA151" s="556"/>
      <c r="BB151" s="555"/>
      <c r="BC151" s="557"/>
      <c r="BD151" s="556"/>
      <c r="BE151" s="557"/>
    </row>
    <row r="152" spans="1:57" ht="21.6" customHeight="1">
      <c r="A152" s="518">
        <f t="shared" si="26"/>
        <v>147</v>
      </c>
      <c r="B152" s="218"/>
      <c r="C152" s="521"/>
      <c r="D152" s="526"/>
      <c r="E152" s="378"/>
      <c r="F152" s="192" t="s">
        <v>622</v>
      </c>
      <c r="G152" s="529"/>
      <c r="H152" s="236"/>
      <c r="I152" s="236"/>
      <c r="J152" s="538"/>
      <c r="K152" s="533"/>
      <c r="L152" s="536"/>
      <c r="M152" s="534"/>
      <c r="N152" s="537"/>
      <c r="O152" s="367"/>
      <c r="P152" s="368"/>
      <c r="Q152" s="540"/>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3"/>
      <c r="AW152" s="547"/>
      <c r="AX152" s="434" t="str">
        <f t="shared" si="24"/>
        <v>,</v>
      </c>
      <c r="AY152" s="434" t="str">
        <f t="shared" si="25"/>
        <v xml:space="preserve"> / </v>
      </c>
      <c r="AZ152" s="555"/>
      <c r="BA152" s="556"/>
      <c r="BB152" s="555"/>
      <c r="BC152" s="557"/>
      <c r="BD152" s="556"/>
      <c r="BE152" s="557"/>
    </row>
    <row r="153" spans="1:57" ht="21.6" customHeight="1">
      <c r="A153" s="518">
        <f t="shared" si="26"/>
        <v>148</v>
      </c>
      <c r="B153" s="218"/>
      <c r="C153" s="521"/>
      <c r="D153" s="526"/>
      <c r="E153" s="378"/>
      <c r="F153" s="192" t="s">
        <v>622</v>
      </c>
      <c r="G153" s="529"/>
      <c r="H153" s="236"/>
      <c r="I153" s="236"/>
      <c r="J153" s="538"/>
      <c r="K153" s="533"/>
      <c r="L153" s="536"/>
      <c r="M153" s="534"/>
      <c r="N153" s="537"/>
      <c r="O153" s="367"/>
      <c r="P153" s="368"/>
      <c r="Q153" s="540"/>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3"/>
      <c r="AW153" s="547"/>
      <c r="AX153" s="434" t="str">
        <f t="shared" si="24"/>
        <v>,</v>
      </c>
      <c r="AY153" s="434" t="str">
        <f t="shared" si="25"/>
        <v xml:space="preserve"> / </v>
      </c>
      <c r="AZ153" s="555"/>
      <c r="BA153" s="556"/>
      <c r="BB153" s="555"/>
      <c r="BC153" s="557"/>
      <c r="BD153" s="556"/>
      <c r="BE153" s="557"/>
    </row>
    <row r="154" spans="1:57" ht="21.6" customHeight="1">
      <c r="A154" s="518">
        <f t="shared" si="26"/>
        <v>149</v>
      </c>
      <c r="B154" s="218"/>
      <c r="C154" s="521"/>
      <c r="D154" s="526"/>
      <c r="E154" s="378"/>
      <c r="F154" s="192" t="s">
        <v>622</v>
      </c>
      <c r="G154" s="529"/>
      <c r="H154" s="236"/>
      <c r="I154" s="236"/>
      <c r="J154" s="538"/>
      <c r="K154" s="533"/>
      <c r="L154" s="536"/>
      <c r="M154" s="534"/>
      <c r="N154" s="537"/>
      <c r="O154" s="367"/>
      <c r="P154" s="368"/>
      <c r="Q154" s="540"/>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3"/>
      <c r="AW154" s="547"/>
      <c r="AX154" s="434" t="str">
        <f t="shared" si="24"/>
        <v>,</v>
      </c>
      <c r="AY154" s="434" t="str">
        <f t="shared" si="25"/>
        <v xml:space="preserve"> / </v>
      </c>
      <c r="AZ154" s="555"/>
      <c r="BA154" s="556"/>
      <c r="BB154" s="555"/>
      <c r="BC154" s="557"/>
      <c r="BD154" s="556"/>
      <c r="BE154" s="557"/>
    </row>
    <row r="155" spans="1:57" ht="21.6" customHeight="1">
      <c r="A155" s="518">
        <f t="shared" si="26"/>
        <v>150</v>
      </c>
      <c r="B155" s="218"/>
      <c r="C155" s="521"/>
      <c r="D155" s="526"/>
      <c r="E155" s="378"/>
      <c r="F155" s="192" t="s">
        <v>622</v>
      </c>
      <c r="G155" s="529"/>
      <c r="H155" s="236"/>
      <c r="I155" s="236"/>
      <c r="J155" s="538"/>
      <c r="K155" s="533"/>
      <c r="L155" s="536"/>
      <c r="M155" s="534"/>
      <c r="N155" s="537"/>
      <c r="O155" s="367"/>
      <c r="P155" s="368"/>
      <c r="Q155" s="540"/>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3"/>
      <c r="AW155" s="547"/>
      <c r="AX155" s="434" t="str">
        <f t="shared" si="24"/>
        <v>,</v>
      </c>
      <c r="AY155" s="434" t="str">
        <f t="shared" si="25"/>
        <v xml:space="preserve"> / </v>
      </c>
      <c r="AZ155" s="555"/>
      <c r="BA155" s="556"/>
      <c r="BB155" s="555"/>
      <c r="BC155" s="557"/>
      <c r="BD155" s="556"/>
      <c r="BE155" s="557"/>
    </row>
    <row r="156" spans="1:57" s="244" customFormat="1" ht="21.6" customHeight="1">
      <c r="A156" s="518">
        <f t="shared" si="26"/>
        <v>151</v>
      </c>
      <c r="B156" s="218"/>
      <c r="C156" s="522"/>
      <c r="D156" s="524"/>
      <c r="E156" s="378"/>
      <c r="F156" s="192" t="s">
        <v>622</v>
      </c>
      <c r="G156" s="530"/>
      <c r="H156" s="238"/>
      <c r="I156" s="238"/>
      <c r="J156" s="539"/>
      <c r="K156" s="533"/>
      <c r="L156" s="536"/>
      <c r="M156" s="534"/>
      <c r="N156" s="537"/>
      <c r="O156" s="367"/>
      <c r="P156" s="368"/>
      <c r="Q156" s="540"/>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4"/>
      <c r="AW156" s="548"/>
      <c r="AX156" s="434" t="str">
        <f t="shared" si="24"/>
        <v>,</v>
      </c>
      <c r="AY156" s="434" t="str">
        <f t="shared" si="25"/>
        <v xml:space="preserve"> / </v>
      </c>
      <c r="AZ156" s="555"/>
      <c r="BA156" s="556"/>
      <c r="BB156" s="555"/>
      <c r="BC156" s="558"/>
      <c r="BD156" s="556"/>
      <c r="BE156" s="558"/>
    </row>
    <row r="157" spans="1:57" s="244" customFormat="1" ht="21.6" customHeight="1">
      <c r="A157" s="518">
        <f t="shared" si="26"/>
        <v>152</v>
      </c>
      <c r="B157" s="360"/>
      <c r="C157" s="522"/>
      <c r="D157" s="524"/>
      <c r="E157" s="378"/>
      <c r="F157" s="192" t="s">
        <v>622</v>
      </c>
      <c r="G157" s="530"/>
      <c r="H157" s="238"/>
      <c r="I157" s="238"/>
      <c r="J157" s="539"/>
      <c r="K157" s="533"/>
      <c r="L157" s="536"/>
      <c r="M157" s="534"/>
      <c r="N157" s="537"/>
      <c r="O157" s="367"/>
      <c r="P157" s="368"/>
      <c r="Q157" s="540"/>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4"/>
      <c r="AW157" s="548"/>
      <c r="AX157" s="434" t="str">
        <f t="shared" si="24"/>
        <v>,</v>
      </c>
      <c r="AY157" s="434" t="str">
        <f t="shared" si="25"/>
        <v xml:space="preserve"> / </v>
      </c>
      <c r="AZ157" s="555"/>
      <c r="BA157" s="556"/>
      <c r="BB157" s="555"/>
      <c r="BC157" s="558"/>
      <c r="BD157" s="556"/>
      <c r="BE157" s="558"/>
    </row>
    <row r="158" spans="1:57" s="244" customFormat="1" ht="21.6" customHeight="1">
      <c r="A158" s="518">
        <f t="shared" si="26"/>
        <v>153</v>
      </c>
      <c r="B158" s="360"/>
      <c r="C158" s="522"/>
      <c r="D158" s="524"/>
      <c r="E158" s="379"/>
      <c r="F158" s="192" t="s">
        <v>622</v>
      </c>
      <c r="G158" s="530"/>
      <c r="H158" s="238"/>
      <c r="I158" s="238"/>
      <c r="J158" s="539"/>
      <c r="K158" s="533"/>
      <c r="L158" s="539"/>
      <c r="M158" s="534"/>
      <c r="N158" s="537"/>
      <c r="O158" s="367"/>
      <c r="P158" s="368"/>
      <c r="Q158" s="540"/>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4"/>
      <c r="AW158" s="548"/>
      <c r="AX158" s="434" t="str">
        <f t="shared" si="24"/>
        <v>,</v>
      </c>
      <c r="AY158" s="434" t="str">
        <f t="shared" si="25"/>
        <v xml:space="preserve"> / </v>
      </c>
      <c r="AZ158" s="555"/>
      <c r="BA158" s="556"/>
      <c r="BB158" s="555"/>
      <c r="BC158" s="558"/>
      <c r="BD158" s="556"/>
      <c r="BE158" s="558"/>
    </row>
    <row r="159" spans="1:57" s="244" customFormat="1" ht="21.6" customHeight="1">
      <c r="A159" s="518">
        <f t="shared" si="26"/>
        <v>154</v>
      </c>
      <c r="B159" s="360"/>
      <c r="C159" s="522"/>
      <c r="D159" s="524"/>
      <c r="E159" s="379"/>
      <c r="F159" s="192" t="s">
        <v>622</v>
      </c>
      <c r="G159" s="530"/>
      <c r="H159" s="238"/>
      <c r="I159" s="238"/>
      <c r="J159" s="539"/>
      <c r="K159" s="533"/>
      <c r="L159" s="539"/>
      <c r="M159" s="534"/>
      <c r="N159" s="537"/>
      <c r="O159" s="367"/>
      <c r="P159" s="368"/>
      <c r="Q159" s="540"/>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4"/>
      <c r="AW159" s="548"/>
      <c r="AX159" s="434" t="str">
        <f t="shared" si="24"/>
        <v>,</v>
      </c>
      <c r="AY159" s="434" t="str">
        <f t="shared" si="25"/>
        <v xml:space="preserve"> / </v>
      </c>
      <c r="AZ159" s="555"/>
      <c r="BA159" s="556"/>
      <c r="BB159" s="555"/>
      <c r="BC159" s="558"/>
      <c r="BD159" s="556"/>
      <c r="BE159" s="558"/>
    </row>
    <row r="160" spans="1:57" s="244" customFormat="1" ht="21.6" customHeight="1">
      <c r="A160" s="518">
        <f t="shared" si="26"/>
        <v>155</v>
      </c>
      <c r="B160" s="360"/>
      <c r="C160" s="522"/>
      <c r="D160" s="524"/>
      <c r="E160" s="379"/>
      <c r="F160" s="192" t="s">
        <v>622</v>
      </c>
      <c r="G160" s="530"/>
      <c r="H160" s="238"/>
      <c r="I160" s="238"/>
      <c r="J160" s="539"/>
      <c r="K160" s="533"/>
      <c r="L160" s="539"/>
      <c r="M160" s="534"/>
      <c r="N160" s="537"/>
      <c r="O160" s="367"/>
      <c r="P160" s="368"/>
      <c r="Q160" s="540"/>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4"/>
      <c r="AW160" s="548"/>
      <c r="AX160" s="434" t="str">
        <f t="shared" si="24"/>
        <v>,</v>
      </c>
      <c r="AY160" s="434" t="str">
        <f t="shared" si="25"/>
        <v xml:space="preserve"> / </v>
      </c>
      <c r="AZ160" s="555"/>
      <c r="BA160" s="556"/>
      <c r="BB160" s="555"/>
      <c r="BC160" s="558"/>
      <c r="BD160" s="556"/>
      <c r="BE160" s="558"/>
    </row>
    <row r="161" spans="1:57" s="244" customFormat="1" ht="21.6" customHeight="1">
      <c r="A161" s="518">
        <f t="shared" si="26"/>
        <v>156</v>
      </c>
      <c r="B161" s="360"/>
      <c r="C161" s="522"/>
      <c r="D161" s="524"/>
      <c r="E161" s="379"/>
      <c r="F161" s="192" t="s">
        <v>622</v>
      </c>
      <c r="G161" s="530"/>
      <c r="H161" s="238"/>
      <c r="I161" s="238"/>
      <c r="J161" s="539"/>
      <c r="K161" s="533"/>
      <c r="L161" s="539"/>
      <c r="M161" s="534"/>
      <c r="N161" s="537"/>
      <c r="O161" s="367"/>
      <c r="P161" s="368"/>
      <c r="Q161" s="540"/>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4"/>
      <c r="AW161" s="548"/>
      <c r="AX161" s="434" t="str">
        <f t="shared" si="24"/>
        <v>,</v>
      </c>
      <c r="AY161" s="434" t="str">
        <f t="shared" si="25"/>
        <v xml:space="preserve"> / </v>
      </c>
      <c r="AZ161" s="555"/>
      <c r="BA161" s="556"/>
      <c r="BB161" s="555"/>
      <c r="BC161" s="558"/>
      <c r="BD161" s="556"/>
      <c r="BE161" s="558"/>
    </row>
    <row r="162" spans="1:57" s="244" customFormat="1" ht="21.6" customHeight="1">
      <c r="A162" s="518">
        <f t="shared" si="26"/>
        <v>157</v>
      </c>
      <c r="B162" s="360"/>
      <c r="C162" s="522"/>
      <c r="D162" s="524"/>
      <c r="E162" s="379"/>
      <c r="F162" s="192" t="s">
        <v>622</v>
      </c>
      <c r="G162" s="530"/>
      <c r="H162" s="238"/>
      <c r="I162" s="238"/>
      <c r="J162" s="539"/>
      <c r="K162" s="533"/>
      <c r="L162" s="539"/>
      <c r="M162" s="534"/>
      <c r="N162" s="537"/>
      <c r="O162" s="367"/>
      <c r="P162" s="368"/>
      <c r="Q162" s="540"/>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4"/>
      <c r="AW162" s="548"/>
      <c r="AX162" s="434" t="str">
        <f t="shared" si="24"/>
        <v>,</v>
      </c>
      <c r="AY162" s="434" t="str">
        <f t="shared" si="25"/>
        <v xml:space="preserve"> / </v>
      </c>
      <c r="AZ162" s="555"/>
      <c r="BA162" s="556"/>
      <c r="BB162" s="555"/>
      <c r="BC162" s="558"/>
      <c r="BD162" s="556"/>
      <c r="BE162" s="558"/>
    </row>
    <row r="163" spans="1:57" s="244" customFormat="1" ht="21.6" customHeight="1">
      <c r="A163" s="518">
        <f t="shared" si="26"/>
        <v>158</v>
      </c>
      <c r="B163" s="360"/>
      <c r="C163" s="522"/>
      <c r="D163" s="524"/>
      <c r="E163" s="379"/>
      <c r="F163" s="192" t="s">
        <v>622</v>
      </c>
      <c r="G163" s="530"/>
      <c r="H163" s="238"/>
      <c r="I163" s="238"/>
      <c r="J163" s="539"/>
      <c r="K163" s="533"/>
      <c r="L163" s="539"/>
      <c r="M163" s="534"/>
      <c r="N163" s="537"/>
      <c r="O163" s="367"/>
      <c r="P163" s="368"/>
      <c r="Q163" s="540"/>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4"/>
      <c r="AW163" s="548"/>
      <c r="AX163" s="434" t="str">
        <f t="shared" si="24"/>
        <v>,</v>
      </c>
      <c r="AY163" s="434" t="str">
        <f t="shared" si="25"/>
        <v xml:space="preserve"> / </v>
      </c>
      <c r="AZ163" s="555"/>
      <c r="BA163" s="556"/>
      <c r="BB163" s="555"/>
      <c r="BC163" s="558"/>
      <c r="BD163" s="556"/>
      <c r="BE163" s="558"/>
    </row>
    <row r="164" spans="1:57" s="244" customFormat="1" ht="21.6" customHeight="1">
      <c r="A164" s="518">
        <f t="shared" si="26"/>
        <v>159</v>
      </c>
      <c r="B164" s="360"/>
      <c r="C164" s="522"/>
      <c r="D164" s="524"/>
      <c r="E164" s="379"/>
      <c r="F164" s="192" t="s">
        <v>622</v>
      </c>
      <c r="G164" s="530"/>
      <c r="H164" s="238"/>
      <c r="I164" s="238"/>
      <c r="J164" s="539"/>
      <c r="K164" s="533"/>
      <c r="L164" s="539"/>
      <c r="M164" s="534"/>
      <c r="N164" s="537"/>
      <c r="O164" s="367"/>
      <c r="P164" s="368"/>
      <c r="Q164" s="540"/>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4"/>
      <c r="AW164" s="548"/>
      <c r="AX164" s="434" t="str">
        <f t="shared" si="24"/>
        <v>,</v>
      </c>
      <c r="AY164" s="434" t="str">
        <f t="shared" si="25"/>
        <v xml:space="preserve"> / </v>
      </c>
      <c r="AZ164" s="555"/>
      <c r="BA164" s="556"/>
      <c r="BB164" s="555"/>
      <c r="BC164" s="558"/>
      <c r="BD164" s="556"/>
      <c r="BE164" s="558"/>
    </row>
    <row r="165" spans="1:57" s="244" customFormat="1" ht="21.6" customHeight="1">
      <c r="A165" s="518">
        <f t="shared" si="26"/>
        <v>160</v>
      </c>
      <c r="B165" s="360"/>
      <c r="C165" s="522"/>
      <c r="D165" s="524"/>
      <c r="E165" s="379"/>
      <c r="F165" s="192" t="s">
        <v>622</v>
      </c>
      <c r="G165" s="530"/>
      <c r="H165" s="238"/>
      <c r="I165" s="238"/>
      <c r="J165" s="539"/>
      <c r="K165" s="533"/>
      <c r="L165" s="539"/>
      <c r="M165" s="534"/>
      <c r="N165" s="537"/>
      <c r="O165" s="367"/>
      <c r="P165" s="368"/>
      <c r="Q165" s="540"/>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4"/>
      <c r="AW165" s="548"/>
      <c r="AX165" s="434" t="str">
        <f t="shared" si="24"/>
        <v>,</v>
      </c>
      <c r="AY165" s="434" t="str">
        <f t="shared" si="25"/>
        <v xml:space="preserve"> / </v>
      </c>
      <c r="AZ165" s="555"/>
      <c r="BA165" s="556"/>
      <c r="BB165" s="555"/>
      <c r="BC165" s="558"/>
      <c r="BD165" s="556"/>
      <c r="BE165" s="558"/>
    </row>
    <row r="166" spans="1:57" s="191" customFormat="1" ht="21.6" customHeight="1">
      <c r="A166" s="518">
        <f t="shared" si="26"/>
        <v>161</v>
      </c>
      <c r="B166" s="361"/>
      <c r="C166" s="523"/>
      <c r="D166" s="527"/>
      <c r="E166" s="380"/>
      <c r="F166" s="192" t="s">
        <v>622</v>
      </c>
      <c r="G166" s="531"/>
      <c r="H166" s="245"/>
      <c r="I166" s="224"/>
      <c r="J166" s="373"/>
      <c r="K166" s="533"/>
      <c r="L166" s="373"/>
      <c r="M166" s="534"/>
      <c r="N166" s="373"/>
      <c r="O166" s="367"/>
      <c r="P166" s="368"/>
      <c r="Q166" s="540"/>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1"/>
      <c r="AW166" s="545"/>
      <c r="AX166" s="434" t="str">
        <f t="shared" si="24"/>
        <v>,</v>
      </c>
      <c r="AY166" s="434" t="str">
        <f t="shared" si="25"/>
        <v xml:space="preserve"> / </v>
      </c>
      <c r="AZ166" s="555"/>
      <c r="BA166" s="556"/>
      <c r="BB166" s="555"/>
      <c r="BC166" s="555"/>
      <c r="BD166" s="556"/>
      <c r="BE166" s="555"/>
    </row>
    <row r="167" spans="1:57" s="251" customFormat="1" ht="21.6" customHeight="1">
      <c r="A167" s="518">
        <f t="shared" si="26"/>
        <v>162</v>
      </c>
      <c r="B167" s="362"/>
      <c r="C167" s="519"/>
      <c r="D167" s="524"/>
      <c r="E167" s="377"/>
      <c r="F167" s="192" t="s">
        <v>622</v>
      </c>
      <c r="G167" s="532"/>
      <c r="H167" s="250"/>
      <c r="I167" s="193"/>
      <c r="J167" s="374"/>
      <c r="K167" s="533"/>
      <c r="L167" s="374"/>
      <c r="M167" s="534"/>
      <c r="N167" s="374"/>
      <c r="O167" s="367"/>
      <c r="P167" s="368"/>
      <c r="Q167" s="540"/>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2"/>
      <c r="AW167" s="546"/>
      <c r="AX167" s="434" t="str">
        <f t="shared" si="24"/>
        <v>,</v>
      </c>
      <c r="AY167" s="434" t="str">
        <f t="shared" si="25"/>
        <v xml:space="preserve"> / </v>
      </c>
      <c r="AZ167" s="555"/>
      <c r="BA167" s="556"/>
      <c r="BB167" s="555"/>
      <c r="BC167" s="559"/>
      <c r="BD167" s="556"/>
      <c r="BE167" s="559"/>
    </row>
    <row r="168" spans="1:57" s="251" customFormat="1" ht="21.6" customHeight="1">
      <c r="A168" s="518">
        <f t="shared" si="26"/>
        <v>163</v>
      </c>
      <c r="B168" s="362"/>
      <c r="C168" s="519"/>
      <c r="D168" s="524"/>
      <c r="E168" s="377"/>
      <c r="F168" s="192" t="s">
        <v>622</v>
      </c>
      <c r="G168" s="532"/>
      <c r="H168" s="250"/>
      <c r="I168" s="193"/>
      <c r="J168" s="374"/>
      <c r="K168" s="533"/>
      <c r="L168" s="374"/>
      <c r="M168" s="534"/>
      <c r="N168" s="374"/>
      <c r="O168" s="367"/>
      <c r="P168" s="368"/>
      <c r="Q168" s="540"/>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2"/>
      <c r="AW168" s="546"/>
      <c r="AX168" s="434" t="str">
        <f t="shared" si="24"/>
        <v>,</v>
      </c>
      <c r="AY168" s="434" t="str">
        <f t="shared" si="25"/>
        <v xml:space="preserve"> / </v>
      </c>
      <c r="AZ168" s="555"/>
      <c r="BA168" s="556"/>
      <c r="BB168" s="555"/>
      <c r="BC168" s="559"/>
      <c r="BD168" s="556"/>
      <c r="BE168" s="559"/>
    </row>
    <row r="169" spans="1:57" s="251" customFormat="1" ht="21.6" customHeight="1">
      <c r="A169" s="518">
        <f t="shared" si="26"/>
        <v>164</v>
      </c>
      <c r="B169" s="362"/>
      <c r="C169" s="519"/>
      <c r="D169" s="524"/>
      <c r="E169" s="377"/>
      <c r="F169" s="192" t="s">
        <v>622</v>
      </c>
      <c r="G169" s="532"/>
      <c r="H169" s="250"/>
      <c r="I169" s="193"/>
      <c r="J169" s="374"/>
      <c r="K169" s="533"/>
      <c r="L169" s="374"/>
      <c r="M169" s="534"/>
      <c r="N169" s="374"/>
      <c r="O169" s="367"/>
      <c r="P169" s="368"/>
      <c r="Q169" s="540"/>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2"/>
      <c r="AW169" s="546"/>
      <c r="AX169" s="434" t="str">
        <f t="shared" si="24"/>
        <v>,</v>
      </c>
      <c r="AY169" s="434" t="str">
        <f t="shared" si="25"/>
        <v xml:space="preserve"> / </v>
      </c>
      <c r="AZ169" s="555"/>
      <c r="BA169" s="556"/>
      <c r="BB169" s="555"/>
      <c r="BC169" s="559"/>
      <c r="BD169" s="556"/>
      <c r="BE169" s="559"/>
    </row>
    <row r="170" spans="1:57" s="251" customFormat="1" ht="21.6" customHeight="1">
      <c r="A170" s="518">
        <f t="shared" si="26"/>
        <v>165</v>
      </c>
      <c r="B170" s="362"/>
      <c r="C170" s="519"/>
      <c r="D170" s="524"/>
      <c r="E170" s="377"/>
      <c r="F170" s="192" t="s">
        <v>622</v>
      </c>
      <c r="G170" s="532"/>
      <c r="H170" s="250"/>
      <c r="I170" s="193"/>
      <c r="J170" s="374"/>
      <c r="K170" s="533"/>
      <c r="L170" s="374"/>
      <c r="M170" s="534"/>
      <c r="N170" s="374"/>
      <c r="O170" s="367"/>
      <c r="P170" s="368"/>
      <c r="Q170" s="540"/>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2"/>
      <c r="AW170" s="546"/>
      <c r="AX170" s="434" t="str">
        <f t="shared" si="24"/>
        <v>,</v>
      </c>
      <c r="AY170" s="434" t="str">
        <f t="shared" si="25"/>
        <v xml:space="preserve"> / </v>
      </c>
      <c r="AZ170" s="555"/>
      <c r="BA170" s="556"/>
      <c r="BB170" s="555"/>
      <c r="BC170" s="559"/>
      <c r="BD170" s="556"/>
      <c r="BE170" s="559"/>
    </row>
    <row r="171" spans="1:57" s="251" customFormat="1" ht="21.6" customHeight="1">
      <c r="A171" s="518">
        <f t="shared" si="26"/>
        <v>166</v>
      </c>
      <c r="B171" s="362"/>
      <c r="C171" s="519"/>
      <c r="D171" s="524"/>
      <c r="E171" s="377"/>
      <c r="F171" s="192" t="s">
        <v>622</v>
      </c>
      <c r="G171" s="532"/>
      <c r="H171" s="250"/>
      <c r="I171" s="193"/>
      <c r="J171" s="374"/>
      <c r="K171" s="533"/>
      <c r="L171" s="374"/>
      <c r="M171" s="534"/>
      <c r="N171" s="374"/>
      <c r="O171" s="367"/>
      <c r="P171" s="368"/>
      <c r="Q171" s="540"/>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2"/>
      <c r="AW171" s="546"/>
      <c r="AX171" s="434" t="str">
        <f t="shared" si="24"/>
        <v>,</v>
      </c>
      <c r="AY171" s="434" t="str">
        <f t="shared" si="25"/>
        <v xml:space="preserve"> / </v>
      </c>
      <c r="AZ171" s="555"/>
      <c r="BA171" s="556"/>
      <c r="BB171" s="555"/>
      <c r="BC171" s="559"/>
      <c r="BD171" s="556"/>
      <c r="BE171" s="559"/>
    </row>
    <row r="172" spans="1:57" s="244" customFormat="1" ht="21.6" customHeight="1">
      <c r="A172" s="518">
        <f t="shared" si="26"/>
        <v>167</v>
      </c>
      <c r="B172" s="362"/>
      <c r="C172" s="519"/>
      <c r="D172" s="524"/>
      <c r="E172" s="377"/>
      <c r="F172" s="192" t="s">
        <v>622</v>
      </c>
      <c r="G172" s="532"/>
      <c r="H172" s="250"/>
      <c r="I172" s="238"/>
      <c r="J172" s="539"/>
      <c r="K172" s="533"/>
      <c r="L172" s="539"/>
      <c r="M172" s="534"/>
      <c r="N172" s="537"/>
      <c r="O172" s="367"/>
      <c r="P172" s="368"/>
      <c r="Q172" s="540"/>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4"/>
      <c r="AW172" s="548"/>
      <c r="AX172" s="434" t="str">
        <f t="shared" si="24"/>
        <v>,</v>
      </c>
      <c r="AY172" s="434" t="str">
        <f t="shared" si="25"/>
        <v xml:space="preserve"> / </v>
      </c>
      <c r="AZ172" s="555"/>
      <c r="BA172" s="556"/>
      <c r="BB172" s="555"/>
      <c r="BC172" s="558"/>
      <c r="BD172" s="556"/>
      <c r="BE172" s="558"/>
    </row>
    <row r="173" spans="1:57" s="244" customFormat="1" ht="21.6" customHeight="1">
      <c r="A173" s="518">
        <f t="shared" si="26"/>
        <v>168</v>
      </c>
      <c r="B173" s="362"/>
      <c r="C173" s="519"/>
      <c r="D173" s="524"/>
      <c r="E173" s="377"/>
      <c r="F173" s="192" t="s">
        <v>622</v>
      </c>
      <c r="G173" s="532"/>
      <c r="H173" s="250"/>
      <c r="I173" s="238"/>
      <c r="J173" s="539"/>
      <c r="K173" s="533"/>
      <c r="L173" s="539"/>
      <c r="M173" s="534"/>
      <c r="N173" s="537"/>
      <c r="O173" s="367"/>
      <c r="P173" s="368"/>
      <c r="Q173" s="540"/>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4"/>
      <c r="AW173" s="548"/>
      <c r="AX173" s="434" t="str">
        <f t="shared" si="24"/>
        <v>,</v>
      </c>
      <c r="AY173" s="434" t="str">
        <f t="shared" si="25"/>
        <v xml:space="preserve"> / </v>
      </c>
      <c r="AZ173" s="555"/>
      <c r="BA173" s="556"/>
      <c r="BB173" s="555"/>
      <c r="BC173" s="558"/>
      <c r="BD173" s="556"/>
      <c r="BE173" s="558"/>
    </row>
    <row r="174" spans="1:57" s="244" customFormat="1" ht="21.6" customHeight="1">
      <c r="A174" s="518">
        <f t="shared" si="26"/>
        <v>169</v>
      </c>
      <c r="B174" s="362"/>
      <c r="C174" s="519"/>
      <c r="D174" s="524"/>
      <c r="E174" s="377"/>
      <c r="F174" s="192" t="s">
        <v>622</v>
      </c>
      <c r="G174" s="532"/>
      <c r="H174" s="250"/>
      <c r="I174" s="238"/>
      <c r="J174" s="539"/>
      <c r="K174" s="533"/>
      <c r="L174" s="539"/>
      <c r="M174" s="534"/>
      <c r="N174" s="537"/>
      <c r="O174" s="367"/>
      <c r="P174" s="368"/>
      <c r="Q174" s="540"/>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4"/>
      <c r="AW174" s="548"/>
      <c r="AX174" s="434" t="str">
        <f t="shared" si="24"/>
        <v>,</v>
      </c>
      <c r="AY174" s="434" t="str">
        <f t="shared" si="25"/>
        <v xml:space="preserve"> / </v>
      </c>
      <c r="AZ174" s="555"/>
      <c r="BA174" s="556"/>
      <c r="BB174" s="555"/>
      <c r="BC174" s="558"/>
      <c r="BD174" s="556"/>
      <c r="BE174" s="558"/>
    </row>
    <row r="175" spans="1:57" s="244" customFormat="1" ht="21.6" customHeight="1">
      <c r="A175" s="518">
        <f t="shared" si="26"/>
        <v>170</v>
      </c>
      <c r="B175" s="360"/>
      <c r="C175" s="522"/>
      <c r="D175" s="524"/>
      <c r="E175" s="379"/>
      <c r="F175" s="192" t="s">
        <v>622</v>
      </c>
      <c r="G175" s="530"/>
      <c r="H175" s="238"/>
      <c r="I175" s="238"/>
      <c r="J175" s="539"/>
      <c r="K175" s="533"/>
      <c r="L175" s="539"/>
      <c r="M175" s="534"/>
      <c r="N175" s="537"/>
      <c r="O175" s="367"/>
      <c r="P175" s="368"/>
      <c r="Q175" s="540"/>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4"/>
      <c r="AW175" s="548"/>
      <c r="AX175" s="434" t="str">
        <f t="shared" si="24"/>
        <v>,</v>
      </c>
      <c r="AY175" s="434" t="str">
        <f t="shared" si="25"/>
        <v xml:space="preserve"> / </v>
      </c>
      <c r="AZ175" s="555"/>
      <c r="BA175" s="556"/>
      <c r="BB175" s="555"/>
      <c r="BC175" s="558"/>
      <c r="BD175" s="556"/>
      <c r="BE175" s="558"/>
    </row>
    <row r="176" spans="1:57" s="244" customFormat="1" ht="21.6" customHeight="1">
      <c r="A176" s="518">
        <f t="shared" si="26"/>
        <v>171</v>
      </c>
      <c r="B176" s="360"/>
      <c r="C176" s="522"/>
      <c r="D176" s="524"/>
      <c r="E176" s="379"/>
      <c r="F176" s="192" t="s">
        <v>622</v>
      </c>
      <c r="G176" s="530"/>
      <c r="H176" s="238"/>
      <c r="I176" s="238"/>
      <c r="J176" s="539"/>
      <c r="K176" s="533"/>
      <c r="L176" s="539"/>
      <c r="M176" s="534"/>
      <c r="N176" s="537"/>
      <c r="O176" s="367"/>
      <c r="P176" s="368"/>
      <c r="Q176" s="540"/>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4"/>
      <c r="AW176" s="548"/>
      <c r="AX176" s="434" t="str">
        <f t="shared" si="24"/>
        <v>,</v>
      </c>
      <c r="AY176" s="434" t="str">
        <f t="shared" si="25"/>
        <v xml:space="preserve"> / </v>
      </c>
      <c r="AZ176" s="555"/>
      <c r="BA176" s="556"/>
      <c r="BB176" s="555"/>
      <c r="BC176" s="558"/>
      <c r="BD176" s="556"/>
      <c r="BE176" s="558"/>
    </row>
    <row r="177" spans="1:57" s="244" customFormat="1" ht="21.6" customHeight="1">
      <c r="A177" s="518">
        <f t="shared" si="26"/>
        <v>172</v>
      </c>
      <c r="B177" s="360"/>
      <c r="C177" s="522"/>
      <c r="D177" s="524"/>
      <c r="E177" s="379"/>
      <c r="F177" s="192" t="s">
        <v>622</v>
      </c>
      <c r="G177" s="530"/>
      <c r="H177" s="238"/>
      <c r="I177" s="238"/>
      <c r="J177" s="539"/>
      <c r="K177" s="533"/>
      <c r="L177" s="539"/>
      <c r="M177" s="534"/>
      <c r="N177" s="537"/>
      <c r="O177" s="367"/>
      <c r="P177" s="368"/>
      <c r="Q177" s="540"/>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4"/>
      <c r="AW177" s="548"/>
      <c r="AX177" s="434" t="str">
        <f t="shared" si="24"/>
        <v>,</v>
      </c>
      <c r="AY177" s="434" t="str">
        <f t="shared" si="25"/>
        <v xml:space="preserve"> / </v>
      </c>
      <c r="AZ177" s="555"/>
      <c r="BA177" s="556"/>
      <c r="BB177" s="555"/>
      <c r="BC177" s="558"/>
      <c r="BD177" s="556"/>
      <c r="BE177" s="558"/>
    </row>
    <row r="178" spans="1:57" s="244" customFormat="1" ht="21.6" customHeight="1">
      <c r="A178" s="518">
        <f t="shared" si="26"/>
        <v>173</v>
      </c>
      <c r="B178" s="360"/>
      <c r="C178" s="522"/>
      <c r="D178" s="524"/>
      <c r="E178" s="379"/>
      <c r="F178" s="192" t="s">
        <v>622</v>
      </c>
      <c r="G178" s="530"/>
      <c r="H178" s="238"/>
      <c r="I178" s="238"/>
      <c r="J178" s="539"/>
      <c r="K178" s="533"/>
      <c r="L178" s="539"/>
      <c r="M178" s="534"/>
      <c r="N178" s="537"/>
      <c r="O178" s="367"/>
      <c r="P178" s="368"/>
      <c r="Q178" s="540"/>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4"/>
      <c r="AW178" s="548"/>
      <c r="AX178" s="434" t="str">
        <f t="shared" si="24"/>
        <v>,</v>
      </c>
      <c r="AY178" s="434" t="str">
        <f t="shared" si="25"/>
        <v xml:space="preserve"> / </v>
      </c>
      <c r="AZ178" s="555"/>
      <c r="BA178" s="556"/>
      <c r="BB178" s="555"/>
      <c r="BC178" s="558"/>
      <c r="BD178" s="556"/>
      <c r="BE178" s="558"/>
    </row>
    <row r="179" spans="1:57" s="244" customFormat="1" ht="21.6" customHeight="1">
      <c r="A179" s="518">
        <f t="shared" si="26"/>
        <v>174</v>
      </c>
      <c r="B179" s="360"/>
      <c r="C179" s="522"/>
      <c r="D179" s="524"/>
      <c r="E179" s="379"/>
      <c r="F179" s="192" t="s">
        <v>622</v>
      </c>
      <c r="G179" s="530"/>
      <c r="H179" s="238"/>
      <c r="I179" s="238"/>
      <c r="J179" s="539"/>
      <c r="K179" s="533"/>
      <c r="L179" s="539"/>
      <c r="M179" s="534"/>
      <c r="N179" s="537"/>
      <c r="O179" s="367"/>
      <c r="P179" s="368"/>
      <c r="Q179" s="540"/>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4"/>
      <c r="AW179" s="548"/>
      <c r="AX179" s="434" t="str">
        <f t="shared" si="24"/>
        <v>,</v>
      </c>
      <c r="AY179" s="434" t="str">
        <f t="shared" si="25"/>
        <v xml:space="preserve"> / </v>
      </c>
      <c r="AZ179" s="555"/>
      <c r="BA179" s="556"/>
      <c r="BB179" s="555"/>
      <c r="BC179" s="558"/>
      <c r="BD179" s="556"/>
      <c r="BE179" s="558"/>
    </row>
    <row r="180" spans="1:57" s="244" customFormat="1" ht="21.6" customHeight="1">
      <c r="A180" s="518">
        <f t="shared" si="26"/>
        <v>175</v>
      </c>
      <c r="B180" s="360"/>
      <c r="C180" s="522"/>
      <c r="D180" s="524"/>
      <c r="E180" s="379"/>
      <c r="F180" s="192" t="s">
        <v>622</v>
      </c>
      <c r="G180" s="530"/>
      <c r="H180" s="238"/>
      <c r="I180" s="238"/>
      <c r="J180" s="539"/>
      <c r="K180" s="533"/>
      <c r="L180" s="539"/>
      <c r="M180" s="534"/>
      <c r="N180" s="537"/>
      <c r="O180" s="367"/>
      <c r="P180" s="368"/>
      <c r="Q180" s="540"/>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4"/>
      <c r="AW180" s="548"/>
      <c r="AX180" s="434" t="str">
        <f t="shared" si="24"/>
        <v>,</v>
      </c>
      <c r="AY180" s="434" t="str">
        <f t="shared" si="25"/>
        <v xml:space="preserve"> / </v>
      </c>
      <c r="AZ180" s="555"/>
      <c r="BA180" s="556"/>
      <c r="BB180" s="555"/>
      <c r="BC180" s="558"/>
      <c r="BD180" s="556"/>
      <c r="BE180" s="558"/>
    </row>
    <row r="181" spans="1:57" s="244" customFormat="1" ht="21.6" customHeight="1">
      <c r="A181" s="518">
        <f t="shared" si="26"/>
        <v>176</v>
      </c>
      <c r="B181" s="360"/>
      <c r="C181" s="522"/>
      <c r="D181" s="524"/>
      <c r="E181" s="379"/>
      <c r="F181" s="192" t="s">
        <v>622</v>
      </c>
      <c r="G181" s="530"/>
      <c r="H181" s="238"/>
      <c r="I181" s="238"/>
      <c r="J181" s="539"/>
      <c r="K181" s="533"/>
      <c r="L181" s="539"/>
      <c r="M181" s="534"/>
      <c r="N181" s="537"/>
      <c r="O181" s="367"/>
      <c r="P181" s="368"/>
      <c r="Q181" s="540"/>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4"/>
      <c r="AW181" s="548"/>
      <c r="AX181" s="434" t="str">
        <f t="shared" si="24"/>
        <v>,</v>
      </c>
      <c r="AY181" s="434" t="str">
        <f t="shared" si="25"/>
        <v xml:space="preserve"> / </v>
      </c>
      <c r="AZ181" s="555"/>
      <c r="BA181" s="556"/>
      <c r="BB181" s="555"/>
      <c r="BC181" s="558"/>
      <c r="BD181" s="556"/>
      <c r="BE181" s="558"/>
    </row>
    <row r="182" spans="1:57" s="244" customFormat="1" ht="21.6" customHeight="1">
      <c r="A182" s="518">
        <f t="shared" si="26"/>
        <v>177</v>
      </c>
      <c r="B182" s="360"/>
      <c r="C182" s="522"/>
      <c r="D182" s="524"/>
      <c r="E182" s="379"/>
      <c r="F182" s="192" t="s">
        <v>622</v>
      </c>
      <c r="G182" s="530"/>
      <c r="H182" s="238"/>
      <c r="I182" s="238"/>
      <c r="J182" s="539"/>
      <c r="K182" s="533"/>
      <c r="L182" s="539"/>
      <c r="M182" s="534"/>
      <c r="N182" s="537"/>
      <c r="O182" s="367"/>
      <c r="P182" s="368"/>
      <c r="Q182" s="540"/>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4"/>
      <c r="AW182" s="548"/>
      <c r="AX182" s="434" t="str">
        <f t="shared" si="24"/>
        <v>,</v>
      </c>
      <c r="AY182" s="434" t="str">
        <f t="shared" si="25"/>
        <v xml:space="preserve"> / </v>
      </c>
      <c r="AZ182" s="555"/>
      <c r="BA182" s="556"/>
      <c r="BB182" s="555"/>
      <c r="BC182" s="558"/>
      <c r="BD182" s="556"/>
      <c r="BE182" s="558"/>
    </row>
    <row r="183" spans="1:57" s="244" customFormat="1" ht="21.6" customHeight="1">
      <c r="A183" s="518">
        <f t="shared" si="26"/>
        <v>178</v>
      </c>
      <c r="B183" s="360"/>
      <c r="C183" s="522"/>
      <c r="D183" s="524"/>
      <c r="E183" s="379"/>
      <c r="F183" s="192" t="s">
        <v>622</v>
      </c>
      <c r="G183" s="530"/>
      <c r="H183" s="238"/>
      <c r="I183" s="238"/>
      <c r="J183" s="539"/>
      <c r="K183" s="533"/>
      <c r="L183" s="539"/>
      <c r="M183" s="534"/>
      <c r="N183" s="537"/>
      <c r="O183" s="367"/>
      <c r="P183" s="368"/>
      <c r="Q183" s="540"/>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4"/>
      <c r="AW183" s="548"/>
      <c r="AX183" s="434" t="str">
        <f t="shared" si="24"/>
        <v>,</v>
      </c>
      <c r="AY183" s="434" t="str">
        <f t="shared" si="25"/>
        <v xml:space="preserve"> / </v>
      </c>
      <c r="AZ183" s="555"/>
      <c r="BA183" s="556"/>
      <c r="BB183" s="555"/>
      <c r="BC183" s="558"/>
      <c r="BD183" s="556"/>
      <c r="BE183" s="558"/>
    </row>
    <row r="184" spans="1:57" s="244" customFormat="1" ht="21.6" customHeight="1">
      <c r="A184" s="518">
        <f t="shared" si="26"/>
        <v>179</v>
      </c>
      <c r="B184" s="360"/>
      <c r="C184" s="522"/>
      <c r="D184" s="524"/>
      <c r="E184" s="379"/>
      <c r="F184" s="192" t="s">
        <v>622</v>
      </c>
      <c r="G184" s="530"/>
      <c r="H184" s="238"/>
      <c r="I184" s="238"/>
      <c r="J184" s="539"/>
      <c r="K184" s="533"/>
      <c r="L184" s="539"/>
      <c r="M184" s="534"/>
      <c r="N184" s="537"/>
      <c r="O184" s="367"/>
      <c r="P184" s="368"/>
      <c r="Q184" s="540"/>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4"/>
      <c r="AW184" s="548"/>
      <c r="AX184" s="434" t="str">
        <f t="shared" si="24"/>
        <v>,</v>
      </c>
      <c r="AY184" s="434" t="str">
        <f t="shared" si="25"/>
        <v xml:space="preserve"> / </v>
      </c>
      <c r="AZ184" s="555"/>
      <c r="BA184" s="556"/>
      <c r="BB184" s="555"/>
      <c r="BC184" s="558"/>
      <c r="BD184" s="556"/>
      <c r="BE184" s="558"/>
    </row>
    <row r="185" spans="1:57" s="244" customFormat="1" ht="21.6" customHeight="1">
      <c r="A185" s="518">
        <f t="shared" si="26"/>
        <v>180</v>
      </c>
      <c r="B185" s="360"/>
      <c r="C185" s="522"/>
      <c r="D185" s="524"/>
      <c r="E185" s="379"/>
      <c r="F185" s="192" t="s">
        <v>622</v>
      </c>
      <c r="G185" s="530"/>
      <c r="H185" s="238"/>
      <c r="I185" s="238"/>
      <c r="J185" s="539"/>
      <c r="K185" s="533"/>
      <c r="L185" s="539"/>
      <c r="M185" s="534"/>
      <c r="N185" s="537"/>
      <c r="O185" s="367"/>
      <c r="P185" s="368"/>
      <c r="Q185" s="540"/>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4"/>
      <c r="AW185" s="548"/>
      <c r="AX185" s="434" t="str">
        <f t="shared" si="24"/>
        <v>,</v>
      </c>
      <c r="AY185" s="434" t="str">
        <f t="shared" si="25"/>
        <v xml:space="preserve"> / </v>
      </c>
      <c r="AZ185" s="555"/>
      <c r="BA185" s="556"/>
      <c r="BB185" s="555"/>
      <c r="BC185" s="558"/>
      <c r="BD185" s="556"/>
      <c r="BE185" s="558"/>
    </row>
    <row r="186" spans="1:57" s="244" customFormat="1" ht="21.6" customHeight="1">
      <c r="A186" s="518">
        <f t="shared" si="26"/>
        <v>181</v>
      </c>
      <c r="B186" s="360"/>
      <c r="C186" s="522"/>
      <c r="D186" s="524"/>
      <c r="E186" s="379"/>
      <c r="F186" s="192" t="s">
        <v>622</v>
      </c>
      <c r="G186" s="530"/>
      <c r="H186" s="238"/>
      <c r="I186" s="238"/>
      <c r="J186" s="539"/>
      <c r="K186" s="533"/>
      <c r="L186" s="539"/>
      <c r="M186" s="534"/>
      <c r="N186" s="537"/>
      <c r="O186" s="367"/>
      <c r="P186" s="368"/>
      <c r="Q186" s="540"/>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4"/>
      <c r="AW186" s="548"/>
      <c r="AX186" s="434" t="str">
        <f t="shared" si="24"/>
        <v>,</v>
      </c>
      <c r="AY186" s="434" t="str">
        <f t="shared" si="25"/>
        <v xml:space="preserve"> / </v>
      </c>
      <c r="AZ186" s="555"/>
      <c r="BA186" s="556"/>
      <c r="BB186" s="555"/>
      <c r="BC186" s="558"/>
      <c r="BD186" s="556"/>
      <c r="BE186" s="558"/>
    </row>
    <row r="187" spans="1:57" s="244" customFormat="1" ht="21.6" customHeight="1">
      <c r="A187" s="518">
        <f t="shared" si="26"/>
        <v>182</v>
      </c>
      <c r="B187" s="360"/>
      <c r="C187" s="522"/>
      <c r="D187" s="524"/>
      <c r="E187" s="379"/>
      <c r="F187" s="192" t="s">
        <v>622</v>
      </c>
      <c r="G187" s="530"/>
      <c r="H187" s="238"/>
      <c r="I187" s="238"/>
      <c r="J187" s="539"/>
      <c r="K187" s="533"/>
      <c r="L187" s="539"/>
      <c r="M187" s="534"/>
      <c r="N187" s="537"/>
      <c r="O187" s="367"/>
      <c r="P187" s="368"/>
      <c r="Q187" s="540"/>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4"/>
      <c r="AW187" s="548"/>
      <c r="AX187" s="434" t="str">
        <f t="shared" si="24"/>
        <v>,</v>
      </c>
      <c r="AY187" s="434" t="str">
        <f t="shared" si="25"/>
        <v xml:space="preserve"> / </v>
      </c>
      <c r="AZ187" s="555"/>
      <c r="BA187" s="556"/>
      <c r="BB187" s="555"/>
      <c r="BC187" s="558"/>
      <c r="BD187" s="556"/>
      <c r="BE187" s="558"/>
    </row>
    <row r="188" spans="1:57" s="244" customFormat="1" ht="21.6" customHeight="1">
      <c r="A188" s="518">
        <f t="shared" si="26"/>
        <v>183</v>
      </c>
      <c r="B188" s="360"/>
      <c r="C188" s="522"/>
      <c r="D188" s="524"/>
      <c r="E188" s="379"/>
      <c r="F188" s="192" t="s">
        <v>622</v>
      </c>
      <c r="G188" s="530"/>
      <c r="H188" s="238"/>
      <c r="I188" s="238"/>
      <c r="J188" s="539"/>
      <c r="K188" s="533"/>
      <c r="L188" s="539"/>
      <c r="M188" s="534"/>
      <c r="N188" s="537"/>
      <c r="O188" s="367"/>
      <c r="P188" s="368"/>
      <c r="Q188" s="540"/>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4"/>
      <c r="AW188" s="548"/>
      <c r="AX188" s="434" t="str">
        <f t="shared" si="24"/>
        <v>,</v>
      </c>
      <c r="AY188" s="434" t="str">
        <f t="shared" si="25"/>
        <v xml:space="preserve"> / </v>
      </c>
      <c r="AZ188" s="555"/>
      <c r="BA188" s="556"/>
      <c r="BB188" s="555"/>
      <c r="BC188" s="558"/>
      <c r="BD188" s="556"/>
      <c r="BE188" s="558"/>
    </row>
    <row r="189" spans="1:57" s="244" customFormat="1" ht="21.6" customHeight="1">
      <c r="A189" s="518">
        <f t="shared" si="26"/>
        <v>184</v>
      </c>
      <c r="B189" s="360"/>
      <c r="C189" s="522"/>
      <c r="D189" s="524"/>
      <c r="E189" s="379"/>
      <c r="F189" s="192" t="s">
        <v>622</v>
      </c>
      <c r="G189" s="530"/>
      <c r="H189" s="238"/>
      <c r="I189" s="238"/>
      <c r="J189" s="539"/>
      <c r="K189" s="533"/>
      <c r="L189" s="539"/>
      <c r="M189" s="534"/>
      <c r="N189" s="537"/>
      <c r="O189" s="367"/>
      <c r="P189" s="368"/>
      <c r="Q189" s="540"/>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4"/>
      <c r="AW189" s="548"/>
      <c r="AX189" s="434" t="str">
        <f t="shared" si="24"/>
        <v>,</v>
      </c>
      <c r="AY189" s="434" t="str">
        <f t="shared" si="25"/>
        <v xml:space="preserve"> / </v>
      </c>
      <c r="AZ189" s="555"/>
      <c r="BA189" s="556"/>
      <c r="BB189" s="555"/>
      <c r="BC189" s="558"/>
      <c r="BD189" s="556"/>
      <c r="BE189" s="558"/>
    </row>
    <row r="190" spans="1:57" s="244" customFormat="1" ht="21.6" customHeight="1">
      <c r="A190" s="518">
        <f t="shared" si="26"/>
        <v>185</v>
      </c>
      <c r="B190" s="360"/>
      <c r="C190" s="522"/>
      <c r="D190" s="524"/>
      <c r="E190" s="379"/>
      <c r="F190" s="192" t="s">
        <v>622</v>
      </c>
      <c r="G190" s="530"/>
      <c r="H190" s="238"/>
      <c r="I190" s="238"/>
      <c r="J190" s="539"/>
      <c r="K190" s="533"/>
      <c r="L190" s="539"/>
      <c r="M190" s="534"/>
      <c r="N190" s="537"/>
      <c r="O190" s="367"/>
      <c r="P190" s="368"/>
      <c r="Q190" s="540"/>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4"/>
      <c r="AW190" s="548"/>
      <c r="AX190" s="434" t="str">
        <f t="shared" si="24"/>
        <v>,</v>
      </c>
      <c r="AY190" s="434" t="str">
        <f t="shared" si="25"/>
        <v xml:space="preserve"> / </v>
      </c>
      <c r="AZ190" s="555"/>
      <c r="BA190" s="556"/>
      <c r="BB190" s="555"/>
      <c r="BC190" s="558"/>
      <c r="BD190" s="556"/>
      <c r="BE190" s="558"/>
    </row>
    <row r="191" spans="1:57" s="244" customFormat="1" ht="21.6" customHeight="1">
      <c r="A191" s="518">
        <f t="shared" si="26"/>
        <v>186</v>
      </c>
      <c r="B191" s="360"/>
      <c r="C191" s="522"/>
      <c r="D191" s="524"/>
      <c r="E191" s="379"/>
      <c r="F191" s="192" t="s">
        <v>622</v>
      </c>
      <c r="G191" s="530"/>
      <c r="H191" s="238"/>
      <c r="I191" s="238"/>
      <c r="J191" s="539"/>
      <c r="K191" s="533"/>
      <c r="L191" s="539"/>
      <c r="M191" s="534"/>
      <c r="N191" s="537"/>
      <c r="O191" s="367"/>
      <c r="P191" s="368"/>
      <c r="Q191" s="540"/>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4"/>
      <c r="AW191" s="548"/>
      <c r="AX191" s="434" t="str">
        <f t="shared" si="24"/>
        <v>,</v>
      </c>
      <c r="AY191" s="434" t="str">
        <f t="shared" si="25"/>
        <v xml:space="preserve"> / </v>
      </c>
      <c r="AZ191" s="555"/>
      <c r="BA191" s="556"/>
      <c r="BB191" s="555"/>
      <c r="BC191" s="558"/>
      <c r="BD191" s="556"/>
      <c r="BE191" s="558"/>
    </row>
    <row r="192" spans="1:57" s="244" customFormat="1" ht="21.6" customHeight="1">
      <c r="A192" s="518">
        <f t="shared" si="26"/>
        <v>187</v>
      </c>
      <c r="B192" s="360"/>
      <c r="C192" s="522"/>
      <c r="D192" s="524"/>
      <c r="E192" s="379"/>
      <c r="F192" s="192" t="s">
        <v>622</v>
      </c>
      <c r="G192" s="530"/>
      <c r="H192" s="238"/>
      <c r="I192" s="238"/>
      <c r="J192" s="539"/>
      <c r="K192" s="533"/>
      <c r="L192" s="539"/>
      <c r="M192" s="534"/>
      <c r="N192" s="537"/>
      <c r="O192" s="367"/>
      <c r="P192" s="368"/>
      <c r="Q192" s="540"/>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4"/>
      <c r="AW192" s="548"/>
      <c r="AX192" s="434" t="str">
        <f t="shared" si="24"/>
        <v>,</v>
      </c>
      <c r="AY192" s="434" t="str">
        <f t="shared" si="25"/>
        <v xml:space="preserve"> / </v>
      </c>
      <c r="AZ192" s="555"/>
      <c r="BA192" s="556"/>
      <c r="BB192" s="555"/>
      <c r="BC192" s="558"/>
      <c r="BD192" s="556"/>
      <c r="BE192" s="558"/>
    </row>
    <row r="193" spans="1:57" s="244" customFormat="1" ht="21.6" customHeight="1">
      <c r="A193" s="518">
        <f t="shared" si="26"/>
        <v>188</v>
      </c>
      <c r="B193" s="360"/>
      <c r="C193" s="522"/>
      <c r="D193" s="524"/>
      <c r="E193" s="379"/>
      <c r="F193" s="192" t="s">
        <v>622</v>
      </c>
      <c r="G193" s="530"/>
      <c r="H193" s="238"/>
      <c r="I193" s="238"/>
      <c r="J193" s="539"/>
      <c r="K193" s="533"/>
      <c r="L193" s="539"/>
      <c r="M193" s="534"/>
      <c r="N193" s="537"/>
      <c r="O193" s="367"/>
      <c r="P193" s="368"/>
      <c r="Q193" s="540"/>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4"/>
      <c r="AW193" s="548"/>
      <c r="AX193" s="434" t="str">
        <f t="shared" si="24"/>
        <v>,</v>
      </c>
      <c r="AY193" s="434" t="str">
        <f t="shared" si="25"/>
        <v xml:space="preserve"> / </v>
      </c>
      <c r="AZ193" s="555"/>
      <c r="BA193" s="556"/>
      <c r="BB193" s="555"/>
      <c r="BC193" s="558"/>
      <c r="BD193" s="556"/>
      <c r="BE193" s="558"/>
    </row>
    <row r="194" spans="1:57" s="244" customFormat="1" ht="21.6" customHeight="1">
      <c r="A194" s="518">
        <f t="shared" si="26"/>
        <v>189</v>
      </c>
      <c r="B194" s="360"/>
      <c r="C194" s="522"/>
      <c r="D194" s="524"/>
      <c r="E194" s="379"/>
      <c r="F194" s="192" t="s">
        <v>622</v>
      </c>
      <c r="G194" s="530"/>
      <c r="H194" s="238"/>
      <c r="I194" s="238"/>
      <c r="J194" s="539"/>
      <c r="K194" s="533"/>
      <c r="L194" s="539"/>
      <c r="M194" s="534"/>
      <c r="N194" s="537"/>
      <c r="O194" s="367"/>
      <c r="P194" s="368"/>
      <c r="Q194" s="540"/>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4"/>
      <c r="AW194" s="548"/>
      <c r="AX194" s="434" t="str">
        <f t="shared" si="24"/>
        <v>,</v>
      </c>
      <c r="AY194" s="434" t="str">
        <f t="shared" si="25"/>
        <v xml:space="preserve"> / </v>
      </c>
      <c r="AZ194" s="555"/>
      <c r="BA194" s="556"/>
      <c r="BB194" s="555"/>
      <c r="BC194" s="558"/>
      <c r="BD194" s="556"/>
      <c r="BE194" s="558"/>
    </row>
    <row r="195" spans="1:57" s="244" customFormat="1" ht="21.6" customHeight="1">
      <c r="A195" s="518">
        <f t="shared" si="26"/>
        <v>190</v>
      </c>
      <c r="B195" s="360"/>
      <c r="C195" s="522"/>
      <c r="D195" s="524"/>
      <c r="E195" s="379"/>
      <c r="F195" s="192" t="s">
        <v>622</v>
      </c>
      <c r="G195" s="530"/>
      <c r="H195" s="238"/>
      <c r="I195" s="238"/>
      <c r="J195" s="539"/>
      <c r="K195" s="533"/>
      <c r="L195" s="539"/>
      <c r="M195" s="534"/>
      <c r="N195" s="537"/>
      <c r="O195" s="367"/>
      <c r="P195" s="368"/>
      <c r="Q195" s="540"/>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4"/>
      <c r="AW195" s="548"/>
      <c r="AX195" s="434" t="str">
        <f t="shared" si="24"/>
        <v>,</v>
      </c>
      <c r="AY195" s="434" t="str">
        <f t="shared" si="25"/>
        <v xml:space="preserve"> / </v>
      </c>
      <c r="AZ195" s="555"/>
      <c r="BA195" s="556"/>
      <c r="BB195" s="555"/>
      <c r="BC195" s="558"/>
      <c r="BD195" s="556"/>
      <c r="BE195" s="558"/>
    </row>
    <row r="196" spans="1:57" s="244" customFormat="1" ht="21.6" customHeight="1">
      <c r="A196" s="518">
        <f t="shared" si="26"/>
        <v>191</v>
      </c>
      <c r="B196" s="360"/>
      <c r="C196" s="522"/>
      <c r="D196" s="524"/>
      <c r="E196" s="379"/>
      <c r="F196" s="192" t="s">
        <v>622</v>
      </c>
      <c r="G196" s="530"/>
      <c r="H196" s="238"/>
      <c r="I196" s="238"/>
      <c r="J196" s="539"/>
      <c r="K196" s="533"/>
      <c r="L196" s="539"/>
      <c r="M196" s="534"/>
      <c r="N196" s="537"/>
      <c r="O196" s="367"/>
      <c r="P196" s="368"/>
      <c r="Q196" s="540"/>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4"/>
      <c r="AW196" s="548"/>
      <c r="AX196" s="434" t="str">
        <f t="shared" si="24"/>
        <v>,</v>
      </c>
      <c r="AY196" s="434" t="str">
        <f t="shared" si="25"/>
        <v xml:space="preserve"> / </v>
      </c>
      <c r="AZ196" s="555"/>
      <c r="BA196" s="556"/>
      <c r="BB196" s="555"/>
      <c r="BC196" s="558"/>
      <c r="BD196" s="556"/>
      <c r="BE196" s="558"/>
    </row>
    <row r="197" spans="1:57" s="244" customFormat="1" ht="21.6" customHeight="1">
      <c r="A197" s="518">
        <f t="shared" si="26"/>
        <v>192</v>
      </c>
      <c r="B197" s="360"/>
      <c r="C197" s="522"/>
      <c r="D197" s="524"/>
      <c r="E197" s="379"/>
      <c r="F197" s="192" t="s">
        <v>622</v>
      </c>
      <c r="G197" s="530"/>
      <c r="H197" s="238"/>
      <c r="I197" s="238"/>
      <c r="J197" s="539"/>
      <c r="K197" s="533"/>
      <c r="L197" s="539"/>
      <c r="M197" s="534"/>
      <c r="N197" s="537"/>
      <c r="O197" s="367"/>
      <c r="P197" s="368"/>
      <c r="Q197" s="540"/>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4"/>
      <c r="AW197" s="548"/>
      <c r="AX197" s="434" t="str">
        <f t="shared" si="24"/>
        <v>,</v>
      </c>
      <c r="AY197" s="434" t="str">
        <f t="shared" si="25"/>
        <v xml:space="preserve"> / </v>
      </c>
      <c r="AZ197" s="555"/>
      <c r="BA197" s="556"/>
      <c r="BB197" s="555"/>
      <c r="BC197" s="558"/>
      <c r="BD197" s="556"/>
      <c r="BE197" s="558"/>
    </row>
    <row r="198" spans="1:57" s="244" customFormat="1" ht="21.6" customHeight="1">
      <c r="A198" s="518">
        <f t="shared" si="26"/>
        <v>193</v>
      </c>
      <c r="B198" s="360"/>
      <c r="C198" s="522"/>
      <c r="D198" s="524"/>
      <c r="E198" s="379"/>
      <c r="F198" s="192" t="s">
        <v>622</v>
      </c>
      <c r="G198" s="530"/>
      <c r="H198" s="238"/>
      <c r="I198" s="238"/>
      <c r="J198" s="539"/>
      <c r="K198" s="533"/>
      <c r="L198" s="539"/>
      <c r="M198" s="534"/>
      <c r="N198" s="537"/>
      <c r="O198" s="367"/>
      <c r="P198" s="368"/>
      <c r="Q198" s="540"/>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4"/>
      <c r="AW198" s="548"/>
      <c r="AX198" s="434" t="str">
        <f t="shared" si="24"/>
        <v>,</v>
      </c>
      <c r="AY198" s="434" t="str">
        <f t="shared" si="25"/>
        <v xml:space="preserve"> / </v>
      </c>
      <c r="AZ198" s="555"/>
      <c r="BA198" s="556"/>
      <c r="BB198" s="555"/>
      <c r="BC198" s="558"/>
      <c r="BD198" s="556"/>
      <c r="BE198" s="558"/>
    </row>
    <row r="199" spans="1:57" s="244" customFormat="1" ht="21.6" customHeight="1">
      <c r="A199" s="518">
        <f t="shared" si="26"/>
        <v>194</v>
      </c>
      <c r="B199" s="360"/>
      <c r="C199" s="522"/>
      <c r="D199" s="524"/>
      <c r="E199" s="379"/>
      <c r="F199" s="192" t="s">
        <v>622</v>
      </c>
      <c r="G199" s="530"/>
      <c r="H199" s="238"/>
      <c r="I199" s="238"/>
      <c r="J199" s="539"/>
      <c r="K199" s="533"/>
      <c r="L199" s="539"/>
      <c r="M199" s="534"/>
      <c r="N199" s="537"/>
      <c r="O199" s="367"/>
      <c r="P199" s="368"/>
      <c r="Q199" s="540"/>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4"/>
      <c r="AW199" s="548"/>
      <c r="AX199" s="434" t="str">
        <f t="shared" ref="AX199:AX205" si="33">CONCATENATE(AW199,",",AV199)</f>
        <v>,</v>
      </c>
      <c r="AY199" s="434" t="str">
        <f t="shared" ref="AY199:AY205" si="34">CONCATENATE(J199," ","/"," ",K199)</f>
        <v xml:space="preserve"> / </v>
      </c>
      <c r="AZ199" s="555"/>
      <c r="BA199" s="556"/>
      <c r="BB199" s="555"/>
      <c r="BC199" s="558"/>
      <c r="BD199" s="556"/>
      <c r="BE199" s="558"/>
    </row>
    <row r="200" spans="1:57" s="244" customFormat="1" ht="21.6" customHeight="1">
      <c r="A200" s="518">
        <f t="shared" ref="A200:A205" si="35">A199+1</f>
        <v>195</v>
      </c>
      <c r="B200" s="360"/>
      <c r="C200" s="522"/>
      <c r="D200" s="524"/>
      <c r="E200" s="379"/>
      <c r="F200" s="192" t="s">
        <v>622</v>
      </c>
      <c r="G200" s="530"/>
      <c r="H200" s="238"/>
      <c r="I200" s="238"/>
      <c r="J200" s="539"/>
      <c r="K200" s="533"/>
      <c r="L200" s="539"/>
      <c r="M200" s="534"/>
      <c r="N200" s="537"/>
      <c r="O200" s="367"/>
      <c r="P200" s="368"/>
      <c r="Q200" s="540"/>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4"/>
      <c r="AW200" s="548"/>
      <c r="AX200" s="434" t="str">
        <f t="shared" si="33"/>
        <v>,</v>
      </c>
      <c r="AY200" s="434" t="str">
        <f t="shared" si="34"/>
        <v xml:space="preserve"> / </v>
      </c>
      <c r="AZ200" s="555"/>
      <c r="BA200" s="556"/>
      <c r="BB200" s="555"/>
      <c r="BC200" s="558"/>
      <c r="BD200" s="556"/>
      <c r="BE200" s="558"/>
    </row>
    <row r="201" spans="1:57" s="244" customFormat="1" ht="21.6" customHeight="1">
      <c r="A201" s="518">
        <f t="shared" si="35"/>
        <v>196</v>
      </c>
      <c r="B201" s="360"/>
      <c r="C201" s="522"/>
      <c r="D201" s="524"/>
      <c r="E201" s="379"/>
      <c r="F201" s="192" t="s">
        <v>622</v>
      </c>
      <c r="G201" s="530"/>
      <c r="H201" s="238"/>
      <c r="I201" s="238"/>
      <c r="J201" s="539"/>
      <c r="K201" s="533"/>
      <c r="L201" s="539"/>
      <c r="M201" s="534"/>
      <c r="N201" s="537"/>
      <c r="O201" s="367"/>
      <c r="P201" s="368"/>
      <c r="Q201" s="540"/>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4"/>
      <c r="AW201" s="548"/>
      <c r="AX201" s="434" t="str">
        <f t="shared" si="33"/>
        <v>,</v>
      </c>
      <c r="AY201" s="434" t="str">
        <f t="shared" si="34"/>
        <v xml:space="preserve"> / </v>
      </c>
      <c r="AZ201" s="555"/>
      <c r="BA201" s="556"/>
      <c r="BB201" s="555"/>
      <c r="BC201" s="558"/>
      <c r="BD201" s="556"/>
      <c r="BE201" s="558"/>
    </row>
    <row r="202" spans="1:57" s="244" customFormat="1" ht="21.6" customHeight="1">
      <c r="A202" s="518">
        <f t="shared" si="35"/>
        <v>197</v>
      </c>
      <c r="B202" s="360"/>
      <c r="C202" s="522"/>
      <c r="D202" s="524"/>
      <c r="E202" s="379"/>
      <c r="F202" s="192" t="s">
        <v>622</v>
      </c>
      <c r="G202" s="530"/>
      <c r="H202" s="238"/>
      <c r="I202" s="238"/>
      <c r="J202" s="539"/>
      <c r="K202" s="533"/>
      <c r="L202" s="539"/>
      <c r="M202" s="534"/>
      <c r="N202" s="537"/>
      <c r="O202" s="367"/>
      <c r="P202" s="368"/>
      <c r="Q202" s="540"/>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4"/>
      <c r="AW202" s="548"/>
      <c r="AX202" s="434" t="str">
        <f t="shared" si="33"/>
        <v>,</v>
      </c>
      <c r="AY202" s="434" t="str">
        <f t="shared" si="34"/>
        <v xml:space="preserve"> / </v>
      </c>
      <c r="AZ202" s="555"/>
      <c r="BA202" s="556"/>
      <c r="BB202" s="555"/>
      <c r="BC202" s="558"/>
      <c r="BD202" s="556"/>
      <c r="BE202" s="558"/>
    </row>
    <row r="203" spans="1:57" s="244" customFormat="1" ht="21.6" customHeight="1">
      <c r="A203" s="518">
        <f t="shared" si="35"/>
        <v>198</v>
      </c>
      <c r="B203" s="360"/>
      <c r="C203" s="522"/>
      <c r="D203" s="524"/>
      <c r="E203" s="379"/>
      <c r="F203" s="192" t="s">
        <v>622</v>
      </c>
      <c r="G203" s="530"/>
      <c r="H203" s="238"/>
      <c r="I203" s="238"/>
      <c r="J203" s="539"/>
      <c r="K203" s="533"/>
      <c r="L203" s="539"/>
      <c r="M203" s="534"/>
      <c r="N203" s="537"/>
      <c r="O203" s="367"/>
      <c r="P203" s="368"/>
      <c r="Q203" s="540"/>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4"/>
      <c r="AW203" s="548"/>
      <c r="AX203" s="434" t="str">
        <f t="shared" si="33"/>
        <v>,</v>
      </c>
      <c r="AY203" s="434" t="str">
        <f t="shared" si="34"/>
        <v xml:space="preserve"> / </v>
      </c>
      <c r="AZ203" s="555"/>
      <c r="BA203" s="556"/>
      <c r="BB203" s="555"/>
      <c r="BC203" s="558"/>
      <c r="BD203" s="556"/>
      <c r="BE203" s="558"/>
    </row>
    <row r="204" spans="1:57" s="244" customFormat="1" ht="21.6" customHeight="1">
      <c r="A204" s="518">
        <f t="shared" si="35"/>
        <v>199</v>
      </c>
      <c r="B204" s="360"/>
      <c r="C204" s="522"/>
      <c r="D204" s="524"/>
      <c r="E204" s="379"/>
      <c r="F204" s="192" t="s">
        <v>622</v>
      </c>
      <c r="G204" s="530"/>
      <c r="H204" s="238"/>
      <c r="I204" s="238"/>
      <c r="J204" s="539"/>
      <c r="K204" s="533"/>
      <c r="L204" s="539"/>
      <c r="M204" s="534"/>
      <c r="N204" s="537"/>
      <c r="O204" s="367"/>
      <c r="P204" s="368"/>
      <c r="Q204" s="540"/>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4"/>
      <c r="AW204" s="548"/>
      <c r="AX204" s="434" t="str">
        <f t="shared" si="33"/>
        <v>,</v>
      </c>
      <c r="AY204" s="434" t="str">
        <f t="shared" si="34"/>
        <v xml:space="preserve"> / </v>
      </c>
      <c r="AZ204" s="555"/>
      <c r="BA204" s="556"/>
      <c r="BB204" s="555"/>
      <c r="BC204" s="558"/>
      <c r="BD204" s="556"/>
      <c r="BE204" s="558"/>
    </row>
    <row r="205" spans="1:57" s="244" customFormat="1" ht="21.6" customHeight="1">
      <c r="A205" s="518">
        <f t="shared" si="35"/>
        <v>200</v>
      </c>
      <c r="B205" s="360"/>
      <c r="C205" s="522"/>
      <c r="D205" s="524"/>
      <c r="E205" s="379"/>
      <c r="F205" s="192" t="s">
        <v>622</v>
      </c>
      <c r="G205" s="530"/>
      <c r="H205" s="238"/>
      <c r="I205" s="238"/>
      <c r="J205" s="539"/>
      <c r="K205" s="533"/>
      <c r="L205" s="539"/>
      <c r="M205" s="534"/>
      <c r="N205" s="537"/>
      <c r="O205" s="367"/>
      <c r="P205" s="368"/>
      <c r="Q205" s="540"/>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4"/>
      <c r="AW205" s="548"/>
      <c r="AX205" s="434" t="str">
        <f t="shared" si="33"/>
        <v>,</v>
      </c>
      <c r="AY205" s="434" t="str">
        <f t="shared" si="34"/>
        <v xml:space="preserve"> / </v>
      </c>
      <c r="AZ205" s="555"/>
      <c r="BA205" s="556"/>
      <c r="BB205" s="555"/>
      <c r="BC205" s="558"/>
      <c r="BD205" s="556"/>
      <c r="BE205" s="55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29" t="s">
        <v>135</v>
      </c>
      <c r="D2" s="629"/>
      <c r="E2" s="629"/>
      <c r="F2" s="629"/>
      <c r="G2" s="629"/>
      <c r="H2" s="629"/>
      <c r="I2" s="629"/>
      <c r="J2" s="629"/>
      <c r="K2" s="629"/>
      <c r="L2" s="629"/>
      <c r="M2" s="629"/>
      <c r="N2" s="629"/>
      <c r="O2" s="629"/>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3" t="s">
        <v>8</v>
      </c>
      <c r="D4" s="623"/>
      <c r="E4" s="625" t="str">
        <f>IFERROR(VLOOKUP(عقد!$M$1,تفصيلي!B6:AW205,23,FALSE),"")</f>
        <v/>
      </c>
      <c r="F4" s="625"/>
      <c r="G4" s="625"/>
      <c r="H4" s="625"/>
      <c r="I4" s="625"/>
      <c r="J4" s="625"/>
      <c r="K4" s="486" t="s">
        <v>38</v>
      </c>
      <c r="L4" s="627" t="e">
        <f>INDEX(تفصيلي!Z6:Z205,MATCH(الكفالة!E4,تفصيلي!X6:X205,0))</f>
        <v>#N/A</v>
      </c>
      <c r="M4" s="627"/>
      <c r="N4" s="627"/>
      <c r="O4" s="627"/>
      <c r="P4" s="389"/>
      <c r="Q4" s="481"/>
    </row>
    <row r="5" spans="1:18" ht="24" customHeight="1">
      <c r="A5" s="119"/>
      <c r="B5" s="388"/>
      <c r="C5" s="623" t="s">
        <v>51</v>
      </c>
      <c r="D5" s="623"/>
      <c r="E5" s="625" t="str">
        <f>IFERROR(VLOOKUP(عقد!$M$1,تفصيلي!B6:AW205,24,FALSE),"")</f>
        <v/>
      </c>
      <c r="F5" s="625"/>
      <c r="G5" s="625"/>
      <c r="H5" s="625"/>
      <c r="I5" s="625"/>
      <c r="J5" s="625"/>
      <c r="K5" s="487" t="s">
        <v>136</v>
      </c>
      <c r="L5" s="626"/>
      <c r="M5" s="626"/>
      <c r="N5" s="626"/>
      <c r="O5" s="626"/>
      <c r="P5" s="389"/>
      <c r="Q5" s="481"/>
      <c r="R5" s="118">
        <f>LEN(L5)</f>
        <v>0</v>
      </c>
    </row>
    <row r="6" spans="1:18" ht="24" customHeight="1">
      <c r="A6" s="119"/>
      <c r="B6" s="388"/>
      <c r="C6" s="623" t="s">
        <v>9</v>
      </c>
      <c r="D6" s="623"/>
      <c r="E6" s="625" t="e">
        <f>INDEX(تفصيلي!AC6:AC205,MATCH(الكفالة!E4,تفصيلي!X6:X205,0))</f>
        <v>#N/A</v>
      </c>
      <c r="F6" s="625"/>
      <c r="G6" s="625"/>
      <c r="H6" s="625"/>
      <c r="I6" s="625"/>
      <c r="J6" s="625"/>
      <c r="K6" s="486" t="s">
        <v>6</v>
      </c>
      <c r="L6" s="625" t="str">
        <f>IFERROR(VLOOKUP(عقد!$M$1,تفصيلي!B6:AW205,27,FALSE),"")</f>
        <v/>
      </c>
      <c r="M6" s="625"/>
      <c r="N6" s="625"/>
      <c r="O6" s="625"/>
      <c r="P6" s="389"/>
      <c r="Q6" s="481"/>
    </row>
    <row r="7" spans="1:18" ht="24" customHeight="1">
      <c r="A7" s="121"/>
      <c r="B7" s="388"/>
      <c r="C7" s="623" t="s">
        <v>203</v>
      </c>
      <c r="D7" s="623"/>
      <c r="E7" s="623"/>
      <c r="F7" s="623"/>
      <c r="G7" s="623"/>
      <c r="H7" s="623"/>
      <c r="I7" s="623"/>
      <c r="J7" s="623"/>
      <c r="K7" s="623"/>
      <c r="L7" s="488">
        <f>عقد!E7</f>
        <v>0</v>
      </c>
      <c r="M7" s="625" t="s">
        <v>202</v>
      </c>
      <c r="N7" s="625"/>
      <c r="O7" s="625"/>
      <c r="P7" s="389"/>
      <c r="Q7" s="481"/>
    </row>
    <row r="8" spans="1:18" ht="24" customHeight="1">
      <c r="A8" s="121"/>
      <c r="B8" s="388"/>
      <c r="C8" s="623" t="s">
        <v>49</v>
      </c>
      <c r="D8" s="623"/>
      <c r="E8" s="623"/>
      <c r="F8" s="625" t="e">
        <f>عقد!C9</f>
        <v>#N/A</v>
      </c>
      <c r="G8" s="625"/>
      <c r="H8" s="625"/>
      <c r="I8" s="625"/>
      <c r="J8" s="623" t="s">
        <v>50</v>
      </c>
      <c r="K8" s="623"/>
      <c r="L8" s="623"/>
      <c r="M8" s="623"/>
      <c r="N8" s="623"/>
      <c r="O8" s="623"/>
      <c r="P8" s="389"/>
      <c r="Q8" s="481"/>
    </row>
    <row r="9" spans="1:18" ht="111.6" customHeight="1">
      <c r="A9" s="117"/>
      <c r="B9" s="484"/>
      <c r="C9" s="630" t="s">
        <v>169</v>
      </c>
      <c r="D9" s="630"/>
      <c r="E9" s="630"/>
      <c r="F9" s="630"/>
      <c r="G9" s="630"/>
      <c r="H9" s="630"/>
      <c r="I9" s="630"/>
      <c r="J9" s="630"/>
      <c r="K9" s="630"/>
      <c r="L9" s="630"/>
      <c r="M9" s="630"/>
      <c r="N9" s="630"/>
      <c r="O9" s="630"/>
      <c r="P9" s="485"/>
      <c r="Q9" s="481"/>
    </row>
    <row r="10" spans="1:18" ht="51.6" customHeight="1">
      <c r="A10" s="117"/>
      <c r="B10" s="484"/>
      <c r="C10" s="636" t="s">
        <v>204</v>
      </c>
      <c r="D10" s="636"/>
      <c r="E10" s="638">
        <f>عقد!$E$7</f>
        <v>0</v>
      </c>
      <c r="F10" s="638"/>
      <c r="G10" s="638"/>
      <c r="H10" s="637" t="s">
        <v>57</v>
      </c>
      <c r="I10" s="637"/>
      <c r="J10" s="637"/>
      <c r="K10" s="637"/>
      <c r="L10" s="631" t="s">
        <v>10</v>
      </c>
      <c r="M10" s="631"/>
      <c r="N10" s="631"/>
      <c r="O10" s="631"/>
      <c r="P10" s="485"/>
      <c r="Q10" s="481"/>
    </row>
    <row r="11" spans="1:18" ht="24" customHeight="1">
      <c r="A11" s="117"/>
      <c r="B11" s="484"/>
      <c r="C11" s="480"/>
      <c r="D11" s="480"/>
      <c r="E11" s="480"/>
      <c r="F11" s="480"/>
      <c r="G11" s="480"/>
      <c r="H11" s="480"/>
      <c r="I11" s="480"/>
      <c r="J11" s="628"/>
      <c r="K11" s="628"/>
      <c r="L11" s="632"/>
      <c r="M11" s="633"/>
      <c r="N11" s="633"/>
      <c r="O11" s="633"/>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4" t="s">
        <v>205</v>
      </c>
      <c r="O13" s="634"/>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29" t="s">
        <v>135</v>
      </c>
      <c r="D16" s="629"/>
      <c r="E16" s="629"/>
      <c r="F16" s="629"/>
      <c r="G16" s="629"/>
      <c r="H16" s="629"/>
      <c r="I16" s="629"/>
      <c r="J16" s="629"/>
      <c r="K16" s="629"/>
      <c r="L16" s="629"/>
      <c r="M16" s="629"/>
      <c r="N16" s="629"/>
      <c r="O16" s="629"/>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3" t="s">
        <v>8</v>
      </c>
      <c r="D18" s="623"/>
      <c r="E18" s="625" t="str">
        <f>IFERROR(VLOOKUP(O15,تفصيلي!$B$6:$AW$205,29,FALSE),"")</f>
        <v/>
      </c>
      <c r="F18" s="625"/>
      <c r="G18" s="625"/>
      <c r="H18" s="625"/>
      <c r="I18" s="625"/>
      <c r="J18" s="625"/>
      <c r="K18" s="486" t="s">
        <v>38</v>
      </c>
      <c r="L18" s="627" t="str">
        <f>IFERROR(VLOOKUP(O15,تفصيلي!$B$6:$AW$205,31,FALSE),"")</f>
        <v/>
      </c>
      <c r="M18" s="627"/>
      <c r="N18" s="627"/>
      <c r="O18" s="627"/>
      <c r="P18" s="389"/>
      <c r="Q18" s="481"/>
    </row>
    <row r="19" spans="1:18" ht="24" customHeight="1">
      <c r="A19" s="119"/>
      <c r="B19" s="388"/>
      <c r="C19" s="623" t="s">
        <v>51</v>
      </c>
      <c r="D19" s="623"/>
      <c r="E19" s="625" t="str">
        <f>IFERROR(VLOOKUP(O15,تفصيلي!$B$6:$AW$205,30,FALSE),"")</f>
        <v/>
      </c>
      <c r="F19" s="625"/>
      <c r="G19" s="625"/>
      <c r="H19" s="625"/>
      <c r="I19" s="625"/>
      <c r="J19" s="625"/>
      <c r="K19" s="487" t="s">
        <v>136</v>
      </c>
      <c r="L19" s="626"/>
      <c r="M19" s="626"/>
      <c r="N19" s="626"/>
      <c r="O19" s="626"/>
      <c r="P19" s="389"/>
      <c r="Q19" s="481"/>
      <c r="R19" s="118">
        <f>LEN(L19)</f>
        <v>0</v>
      </c>
    </row>
    <row r="20" spans="1:18" ht="24" customHeight="1">
      <c r="A20" s="119"/>
      <c r="B20" s="388"/>
      <c r="C20" s="623" t="s">
        <v>9</v>
      </c>
      <c r="D20" s="623"/>
      <c r="E20" s="625" t="str">
        <f>IFERROR(VLOOKUP(O15,تفصيلي!$B$6:$AW$205,34,FALSE),"")</f>
        <v/>
      </c>
      <c r="F20" s="625"/>
      <c r="G20" s="625"/>
      <c r="H20" s="625"/>
      <c r="I20" s="625"/>
      <c r="J20" s="625"/>
      <c r="K20" s="486" t="s">
        <v>6</v>
      </c>
      <c r="L20" s="625" t="str">
        <f>IFERROR(VLOOKUP(O15,تفصيلي!$B$6:$AW$205,33,FALSE),"")</f>
        <v/>
      </c>
      <c r="M20" s="625"/>
      <c r="N20" s="625"/>
      <c r="O20" s="625"/>
      <c r="P20" s="389"/>
      <c r="Q20" s="481"/>
    </row>
    <row r="21" spans="1:18" ht="24" customHeight="1">
      <c r="A21" s="121"/>
      <c r="B21" s="388"/>
      <c r="C21" s="623" t="s">
        <v>203</v>
      </c>
      <c r="D21" s="623"/>
      <c r="E21" s="623"/>
      <c r="F21" s="623"/>
      <c r="G21" s="623"/>
      <c r="H21" s="623"/>
      <c r="I21" s="623"/>
      <c r="J21" s="623"/>
      <c r="K21" s="623"/>
      <c r="L21" s="488">
        <f>L7</f>
        <v>0</v>
      </c>
      <c r="M21" s="625" t="s">
        <v>202</v>
      </c>
      <c r="N21" s="625"/>
      <c r="O21" s="625"/>
      <c r="P21" s="389"/>
      <c r="Q21" s="481"/>
    </row>
    <row r="22" spans="1:18" ht="24" customHeight="1">
      <c r="A22" s="121"/>
      <c r="B22" s="388"/>
      <c r="C22" s="623" t="s">
        <v>49</v>
      </c>
      <c r="D22" s="623"/>
      <c r="E22" s="623"/>
      <c r="F22" s="625" t="e">
        <f>F8</f>
        <v>#N/A</v>
      </c>
      <c r="G22" s="625"/>
      <c r="H22" s="625"/>
      <c r="I22" s="625"/>
      <c r="J22" s="623" t="s">
        <v>50</v>
      </c>
      <c r="K22" s="623"/>
      <c r="L22" s="623"/>
      <c r="M22" s="623"/>
      <c r="N22" s="623"/>
      <c r="O22" s="623"/>
      <c r="P22" s="389"/>
      <c r="Q22" s="481"/>
    </row>
    <row r="23" spans="1:18" ht="111.6" customHeight="1">
      <c r="A23" s="117"/>
      <c r="B23" s="484"/>
      <c r="C23" s="630" t="s">
        <v>169</v>
      </c>
      <c r="D23" s="630"/>
      <c r="E23" s="630"/>
      <c r="F23" s="630"/>
      <c r="G23" s="630"/>
      <c r="H23" s="630"/>
      <c r="I23" s="630"/>
      <c r="J23" s="630"/>
      <c r="K23" s="630"/>
      <c r="L23" s="630"/>
      <c r="M23" s="630"/>
      <c r="N23" s="630"/>
      <c r="O23" s="630"/>
      <c r="P23" s="485"/>
      <c r="Q23" s="481"/>
    </row>
    <row r="24" spans="1:18" ht="51.6" customHeight="1">
      <c r="A24" s="117"/>
      <c r="B24" s="484"/>
      <c r="C24" s="636" t="s">
        <v>204</v>
      </c>
      <c r="D24" s="636"/>
      <c r="E24" s="638">
        <f>عقد!$E$7</f>
        <v>0</v>
      </c>
      <c r="F24" s="638"/>
      <c r="G24" s="638"/>
      <c r="H24" s="637" t="s">
        <v>57</v>
      </c>
      <c r="I24" s="637"/>
      <c r="J24" s="637"/>
      <c r="K24" s="637"/>
      <c r="L24" s="631" t="s">
        <v>10</v>
      </c>
      <c r="M24" s="631"/>
      <c r="N24" s="631"/>
      <c r="O24" s="631"/>
      <c r="P24" s="485"/>
      <c r="Q24" s="481"/>
    </row>
    <row r="25" spans="1:18" ht="24" customHeight="1">
      <c r="A25" s="117"/>
      <c r="B25" s="484"/>
      <c r="C25" s="480"/>
      <c r="D25" s="480"/>
      <c r="E25" s="480"/>
      <c r="F25" s="480"/>
      <c r="G25" s="480"/>
      <c r="H25" s="480"/>
      <c r="I25" s="480"/>
      <c r="J25" s="628"/>
      <c r="K25" s="628"/>
      <c r="L25" s="632"/>
      <c r="M25" s="633"/>
      <c r="N25" s="633"/>
      <c r="O25" s="633"/>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4" t="s">
        <v>646</v>
      </c>
      <c r="O27" s="634"/>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40" t="s">
        <v>135</v>
      </c>
      <c r="D29" s="640"/>
      <c r="E29" s="640"/>
      <c r="F29" s="640"/>
      <c r="G29" s="640"/>
      <c r="H29" s="640"/>
      <c r="I29" s="640"/>
      <c r="J29" s="640"/>
      <c r="K29" s="640"/>
      <c r="L29" s="640"/>
      <c r="M29" s="640"/>
      <c r="N29" s="640"/>
      <c r="O29" s="640"/>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1" t="s">
        <v>8</v>
      </c>
      <c r="D31" s="621"/>
      <c r="E31" s="622" t="str">
        <f>IFERROR(VLOOKUP(O28,تفصيلي!$B$6:$AW$205,35,FALSE),"")</f>
        <v/>
      </c>
      <c r="F31" s="622"/>
      <c r="G31" s="622"/>
      <c r="H31" s="622"/>
      <c r="I31" s="622"/>
      <c r="J31" s="622"/>
      <c r="K31" s="498" t="s">
        <v>38</v>
      </c>
      <c r="L31" s="639" t="str">
        <f>IFERROR(VLOOKUP(O28,تفصيلي!$B$6:$AW$205,37,FALSE),"")</f>
        <v/>
      </c>
      <c r="M31" s="639"/>
      <c r="N31" s="639"/>
      <c r="O31" s="639"/>
      <c r="P31" s="122"/>
      <c r="Q31" s="493"/>
    </row>
    <row r="32" spans="1:18" ht="24" customHeight="1">
      <c r="A32" s="119"/>
      <c r="B32" s="120"/>
      <c r="C32" s="621" t="s">
        <v>51</v>
      </c>
      <c r="D32" s="621"/>
      <c r="E32" s="622" t="str">
        <f>IFERROR(VLOOKUP(O28,تفصيلي!$B$6:$AW$205,36,FALSE),"")</f>
        <v/>
      </c>
      <c r="F32" s="622"/>
      <c r="G32" s="622"/>
      <c r="H32" s="622"/>
      <c r="I32" s="622"/>
      <c r="J32" s="622"/>
      <c r="K32" s="499" t="s">
        <v>136</v>
      </c>
      <c r="L32" s="624" t="str">
        <f>IFERROR(VLOOKUP(O28,تفصيلي!$B$6:$AW$205,38,FALSE),"")</f>
        <v/>
      </c>
      <c r="M32" s="624"/>
      <c r="N32" s="624"/>
      <c r="O32" s="624"/>
      <c r="P32" s="122"/>
      <c r="Q32" s="493"/>
    </row>
    <row r="33" spans="1:17" ht="24" customHeight="1">
      <c r="A33" s="119"/>
      <c r="B33" s="120"/>
      <c r="C33" s="621" t="s">
        <v>9</v>
      </c>
      <c r="D33" s="621"/>
      <c r="E33" s="622" t="str">
        <f>IFERROR(VLOOKUP(O28,تفصيلي!$B$6:$AW$205,40,FALSE),"")</f>
        <v/>
      </c>
      <c r="F33" s="622"/>
      <c r="G33" s="622"/>
      <c r="H33" s="622"/>
      <c r="I33" s="622"/>
      <c r="J33" s="622"/>
      <c r="K33" s="498" t="s">
        <v>6</v>
      </c>
      <c r="L33" s="622" t="str">
        <f>IFERROR(VLOOKUP(O28,تفصيلي!$B$6:$AW$205,39,FALSE),"")</f>
        <v/>
      </c>
      <c r="M33" s="622"/>
      <c r="N33" s="622"/>
      <c r="O33" s="622"/>
      <c r="P33" s="122"/>
      <c r="Q33" s="493"/>
    </row>
    <row r="34" spans="1:17" ht="24" customHeight="1">
      <c r="A34" s="121"/>
      <c r="B34" s="120"/>
      <c r="C34" s="621" t="s">
        <v>203</v>
      </c>
      <c r="D34" s="621"/>
      <c r="E34" s="621"/>
      <c r="F34" s="621"/>
      <c r="G34" s="621"/>
      <c r="H34" s="621"/>
      <c r="I34" s="621"/>
      <c r="J34" s="621"/>
      <c r="K34" s="621"/>
      <c r="L34" s="500">
        <f>L7</f>
        <v>0</v>
      </c>
      <c r="M34" s="622" t="s">
        <v>202</v>
      </c>
      <c r="N34" s="622"/>
      <c r="O34" s="622"/>
      <c r="P34" s="122"/>
      <c r="Q34" s="493"/>
    </row>
    <row r="35" spans="1:17" ht="24" customHeight="1">
      <c r="A35" s="121"/>
      <c r="B35" s="120"/>
      <c r="C35" s="621" t="s">
        <v>49</v>
      </c>
      <c r="D35" s="621"/>
      <c r="E35" s="621"/>
      <c r="F35" s="622" t="e">
        <f>F8</f>
        <v>#N/A</v>
      </c>
      <c r="G35" s="622"/>
      <c r="H35" s="622"/>
      <c r="I35" s="622"/>
      <c r="J35" s="621" t="s">
        <v>50</v>
      </c>
      <c r="K35" s="621"/>
      <c r="L35" s="621"/>
      <c r="M35" s="621"/>
      <c r="N35" s="621"/>
      <c r="O35" s="621"/>
      <c r="P35" s="122"/>
      <c r="Q35" s="493"/>
    </row>
    <row r="36" spans="1:17" ht="111.6" customHeight="1">
      <c r="A36" s="117"/>
      <c r="B36" s="496"/>
      <c r="C36" s="613" t="s">
        <v>169</v>
      </c>
      <c r="D36" s="613"/>
      <c r="E36" s="613"/>
      <c r="F36" s="613"/>
      <c r="G36" s="613"/>
      <c r="H36" s="613"/>
      <c r="I36" s="613"/>
      <c r="J36" s="613"/>
      <c r="K36" s="613"/>
      <c r="L36" s="613"/>
      <c r="M36" s="613"/>
      <c r="N36" s="613"/>
      <c r="O36" s="613"/>
      <c r="P36" s="497"/>
      <c r="Q36" s="493"/>
    </row>
    <row r="37" spans="1:17" ht="51.6" customHeight="1">
      <c r="A37" s="117"/>
      <c r="B37" s="496"/>
      <c r="C37" s="618" t="s">
        <v>204</v>
      </c>
      <c r="D37" s="618"/>
      <c r="E37" s="619">
        <f>عقد!$E$7</f>
        <v>0</v>
      </c>
      <c r="F37" s="619"/>
      <c r="G37" s="619"/>
      <c r="H37" s="620" t="s">
        <v>57</v>
      </c>
      <c r="I37" s="620"/>
      <c r="J37" s="620"/>
      <c r="K37" s="620"/>
      <c r="L37" s="614" t="s">
        <v>10</v>
      </c>
      <c r="M37" s="614"/>
      <c r="N37" s="614"/>
      <c r="O37" s="614"/>
      <c r="P37" s="497"/>
      <c r="Q37" s="493"/>
    </row>
    <row r="38" spans="1:17" ht="24" customHeight="1">
      <c r="A38" s="117"/>
      <c r="B38" s="496"/>
      <c r="C38" s="492"/>
      <c r="D38" s="492"/>
      <c r="E38" s="492"/>
      <c r="F38" s="492"/>
      <c r="G38" s="492"/>
      <c r="H38" s="492"/>
      <c r="I38" s="492"/>
      <c r="J38" s="615"/>
      <c r="K38" s="615"/>
      <c r="L38" s="616"/>
      <c r="M38" s="617"/>
      <c r="N38" s="617"/>
      <c r="O38" s="617"/>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5" t="s">
        <v>647</v>
      </c>
      <c r="O40" s="635"/>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8" t="s">
        <v>64</v>
      </c>
      <c r="D4" s="648"/>
      <c r="E4" s="648"/>
      <c r="F4" s="648"/>
      <c r="G4" s="648"/>
      <c r="H4" s="648"/>
      <c r="I4" s="648"/>
      <c r="J4" s="648"/>
      <c r="K4" s="648"/>
      <c r="L4" s="124"/>
    </row>
    <row r="5" spans="1:12" ht="21">
      <c r="A5" s="3"/>
      <c r="B5" s="1"/>
      <c r="C5" s="42"/>
      <c r="D5" s="42"/>
      <c r="E5" s="42"/>
      <c r="F5" s="42"/>
      <c r="G5" s="42"/>
      <c r="H5" s="42"/>
      <c r="I5" s="42"/>
      <c r="J5" s="42"/>
      <c r="K5" s="42"/>
      <c r="L5" s="124"/>
    </row>
    <row r="6" spans="1:12" s="130" customFormat="1" ht="20.399999999999999" customHeight="1">
      <c r="A6" s="3"/>
      <c r="B6" s="1"/>
      <c r="C6" s="649" t="s">
        <v>67</v>
      </c>
      <c r="D6" s="649"/>
      <c r="E6" s="170">
        <f>عقد!E7</f>
        <v>0</v>
      </c>
      <c r="F6" s="649" t="s">
        <v>66</v>
      </c>
      <c r="G6" s="649"/>
      <c r="H6" s="649"/>
      <c r="I6" s="649"/>
      <c r="J6" s="649"/>
      <c r="K6" s="649"/>
      <c r="L6" s="124"/>
    </row>
    <row r="7" spans="1:12" s="130" customFormat="1" ht="20.399999999999999" customHeight="1">
      <c r="A7" s="3"/>
      <c r="B7" s="1"/>
      <c r="C7" s="650" t="s">
        <v>655</v>
      </c>
      <c r="D7" s="650"/>
      <c r="E7" s="650"/>
      <c r="F7" s="650"/>
      <c r="G7" s="650"/>
      <c r="H7" s="650"/>
      <c r="I7" s="650"/>
      <c r="J7" s="650"/>
      <c r="K7" s="650"/>
      <c r="L7" s="124"/>
    </row>
    <row r="8" spans="1:12" s="130" customFormat="1" ht="20.399999999999999" customHeight="1">
      <c r="A8" s="43"/>
      <c r="B8" s="44"/>
      <c r="C8" s="128" t="s">
        <v>65</v>
      </c>
      <c r="D8" s="651" t="e">
        <f>عقد!C9</f>
        <v>#N/A</v>
      </c>
      <c r="E8" s="651"/>
      <c r="F8" s="651"/>
      <c r="G8" s="642" t="s">
        <v>56</v>
      </c>
      <c r="H8" s="642"/>
      <c r="I8" s="652" t="e">
        <f>عقد!C10</f>
        <v>#N/A</v>
      </c>
      <c r="J8" s="652"/>
      <c r="K8" s="652"/>
      <c r="L8" s="125"/>
    </row>
    <row r="9" spans="1:12" s="130" customFormat="1" ht="20.399999999999999" customHeight="1">
      <c r="A9" s="43"/>
      <c r="B9" s="44"/>
      <c r="C9" s="128" t="s">
        <v>1</v>
      </c>
      <c r="D9" s="643" t="e">
        <f>عقد!D13</f>
        <v>#N/A</v>
      </c>
      <c r="E9" s="643"/>
      <c r="F9" s="643"/>
      <c r="G9" s="643"/>
      <c r="H9" s="643"/>
      <c r="I9" s="643"/>
      <c r="J9" s="643"/>
      <c r="K9" s="643"/>
      <c r="L9" s="125"/>
    </row>
    <row r="10" spans="1:12" s="130" customFormat="1" ht="20.399999999999999" customHeight="1">
      <c r="A10" s="43"/>
      <c r="B10" s="44"/>
      <c r="C10" s="128" t="s">
        <v>645</v>
      </c>
      <c r="D10" s="643" t="e">
        <f>عقد!C11</f>
        <v>#N/A</v>
      </c>
      <c r="E10" s="643"/>
      <c r="F10" s="643"/>
      <c r="G10" s="643"/>
      <c r="H10" s="643"/>
      <c r="I10" s="129" t="s">
        <v>2</v>
      </c>
      <c r="J10" s="643" t="str">
        <f>عقد!I10</f>
        <v/>
      </c>
      <c r="K10" s="643"/>
      <c r="L10" s="125"/>
    </row>
    <row r="11" spans="1:12" s="130" customFormat="1" ht="20.399999999999999" customHeight="1">
      <c r="A11" s="43"/>
      <c r="B11" s="44"/>
      <c r="C11" s="644" t="str">
        <f>"اقر وأتعـــهد بموجب هذا السند بأن   "</f>
        <v xml:space="preserve">اقر وأتعـــهد بموجب هذا السند بأن   </v>
      </c>
      <c r="D11" s="644"/>
      <c r="E11"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5"/>
      <c r="G11" s="645"/>
      <c r="H11" s="645"/>
      <c r="I11" s="645"/>
      <c r="J11" s="645"/>
      <c r="K11" s="645"/>
      <c r="L11" s="125"/>
    </row>
    <row r="12" spans="1:12" s="130" customFormat="1" ht="20.399999999999999" customHeight="1">
      <c r="A12" s="43"/>
      <c r="B12" s="44"/>
      <c r="C12" s="131" t="str">
        <f>"  الصعيد للتربية والتنمية  "&amp;" مبلغ "</f>
        <v xml:space="preserve">  الصعيد للتربية والتنمية   مبلغ </v>
      </c>
      <c r="D12" s="646" t="e">
        <f>عقد!C22&amp;عقد!E22&amp;عقد!F22</f>
        <v>#VALUE!</v>
      </c>
      <c r="E12" s="647"/>
      <c r="F12" s="647"/>
      <c r="G12" s="647"/>
      <c r="H12" s="647"/>
      <c r="I12" s="647"/>
      <c r="J12" s="647"/>
      <c r="K12" s="129" t="s">
        <v>68</v>
      </c>
      <c r="L12" s="125"/>
    </row>
    <row r="13" spans="1:12" s="130" customFormat="1" ht="20.399999999999999" customHeight="1">
      <c r="A13" s="43"/>
      <c r="B13" s="44"/>
      <c r="C13" s="171" t="str">
        <f>IFERROR(VLOOKUP(عقد!M1,تفصيلي!B6:T205,18,FALSE),"")</f>
        <v/>
      </c>
      <c r="D13" s="641" t="s">
        <v>172</v>
      </c>
      <c r="E13" s="641"/>
      <c r="F13" s="641"/>
      <c r="G13" s="641"/>
      <c r="H13" s="641"/>
      <c r="I13" s="641"/>
      <c r="J13" s="641"/>
      <c r="K13" s="641"/>
      <c r="L13" s="125"/>
    </row>
    <row r="14" spans="1:12" s="130" customFormat="1" ht="20.399999999999999" customHeight="1">
      <c r="A14" s="43"/>
      <c r="B14" s="44"/>
      <c r="C14" s="642" t="s">
        <v>69</v>
      </c>
      <c r="D14" s="642"/>
      <c r="E14" s="642"/>
      <c r="F14" s="642"/>
      <c r="G14" s="642"/>
      <c r="H14" s="642"/>
      <c r="I14" s="642"/>
      <c r="J14" s="642"/>
      <c r="K14" s="642"/>
      <c r="L14" s="125"/>
    </row>
    <row r="15" spans="1:12" s="130" customFormat="1" ht="20.399999999999999" customHeight="1">
      <c r="A15" s="43"/>
      <c r="B15" s="44"/>
      <c r="C15" s="642" t="s">
        <v>70</v>
      </c>
      <c r="D15" s="642"/>
      <c r="E15" s="642"/>
      <c r="F15" s="642"/>
      <c r="G15" s="642"/>
      <c r="H15" s="642"/>
      <c r="I15" s="642"/>
      <c r="J15" s="642"/>
      <c r="K15" s="642"/>
      <c r="L15" s="125"/>
    </row>
    <row r="16" spans="1:12" s="130" customFormat="1" ht="20.399999999999999" customHeight="1">
      <c r="A16" s="43"/>
      <c r="B16" s="44"/>
      <c r="C16" s="642" t="s">
        <v>71</v>
      </c>
      <c r="D16" s="642"/>
      <c r="E16" s="642"/>
      <c r="F16" s="642"/>
      <c r="G16" s="642"/>
      <c r="H16" s="642"/>
      <c r="I16" s="642"/>
      <c r="J16" s="642"/>
      <c r="K16" s="642"/>
      <c r="L16" s="125"/>
    </row>
    <row r="17" spans="1:12" ht="26.4" customHeight="1">
      <c r="A17" s="43"/>
      <c r="B17" s="44"/>
      <c r="C17" s="45"/>
      <c r="D17" s="45"/>
      <c r="E17" s="45"/>
      <c r="F17" s="45"/>
      <c r="G17" s="653" t="s">
        <v>3</v>
      </c>
      <c r="H17" s="653"/>
      <c r="I17" s="653"/>
      <c r="J17" s="653"/>
      <c r="K17" s="653"/>
      <c r="L17" s="125"/>
    </row>
    <row r="18" spans="1:12" ht="27" customHeight="1">
      <c r="A18" s="43"/>
      <c r="B18" s="44"/>
      <c r="C18" s="45"/>
      <c r="D18" s="45"/>
      <c r="E18" s="45"/>
      <c r="F18" s="654" t="s">
        <v>4</v>
      </c>
      <c r="G18" s="654"/>
      <c r="H18" s="654"/>
      <c r="I18" s="654"/>
      <c r="J18" s="654"/>
      <c r="K18" s="654"/>
      <c r="L18" s="125"/>
    </row>
    <row r="19" spans="1:12" ht="27" customHeight="1">
      <c r="A19" s="43"/>
      <c r="B19" s="44"/>
      <c r="C19" s="45"/>
      <c r="D19" s="45"/>
      <c r="E19" s="45"/>
      <c r="F19" s="654" t="s">
        <v>5</v>
      </c>
      <c r="G19" s="654"/>
      <c r="H19" s="654"/>
      <c r="I19" s="654"/>
      <c r="J19" s="654"/>
      <c r="K19" s="654"/>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8" t="s">
        <v>64</v>
      </c>
      <c r="D28" s="648"/>
      <c r="E28" s="648"/>
      <c r="F28" s="648"/>
      <c r="G28" s="648"/>
      <c r="H28" s="648"/>
      <c r="I28" s="648"/>
      <c r="J28" s="648"/>
      <c r="K28" s="648"/>
      <c r="L28" s="124"/>
    </row>
    <row r="29" spans="1:12" ht="21">
      <c r="A29" s="3"/>
      <c r="B29" s="1"/>
      <c r="C29" s="42"/>
      <c r="D29" s="42"/>
      <c r="E29" s="42"/>
      <c r="F29" s="42"/>
      <c r="G29" s="42"/>
      <c r="H29" s="42"/>
      <c r="I29" s="42"/>
      <c r="J29" s="42"/>
      <c r="K29" s="42"/>
      <c r="L29" s="124"/>
    </row>
    <row r="30" spans="1:12" s="130" customFormat="1" ht="20.399999999999999" customHeight="1">
      <c r="A30" s="3"/>
      <c r="B30" s="1"/>
      <c r="C30" s="649" t="s">
        <v>67</v>
      </c>
      <c r="D30" s="649"/>
      <c r="E30" s="170">
        <f>E6</f>
        <v>0</v>
      </c>
      <c r="F30" s="649" t="s">
        <v>66</v>
      </c>
      <c r="G30" s="649"/>
      <c r="H30" s="649"/>
      <c r="I30" s="649"/>
      <c r="J30" s="649"/>
      <c r="K30" s="649"/>
      <c r="L30" s="124"/>
    </row>
    <row r="31" spans="1:12" s="130" customFormat="1" ht="20.399999999999999" customHeight="1">
      <c r="A31" s="3"/>
      <c r="B31" s="1"/>
      <c r="C31" s="650" t="s">
        <v>655</v>
      </c>
      <c r="D31" s="650"/>
      <c r="E31" s="650"/>
      <c r="F31" s="650"/>
      <c r="G31" s="650"/>
      <c r="H31" s="650"/>
      <c r="I31" s="650"/>
      <c r="J31" s="650"/>
      <c r="K31" s="650"/>
      <c r="L31" s="124"/>
    </row>
    <row r="32" spans="1:12" s="130" customFormat="1" ht="20.399999999999999" customHeight="1">
      <c r="A32" s="43"/>
      <c r="B32" s="44"/>
      <c r="C32" s="128" t="s">
        <v>65</v>
      </c>
      <c r="D32" s="651" t="str">
        <f>IFERROR(VLOOKUP(K1,تفصيلي!$B$6:$AW$205,23,FALSE),"")</f>
        <v/>
      </c>
      <c r="E32" s="651"/>
      <c r="F32" s="651"/>
      <c r="G32" s="642" t="s">
        <v>56</v>
      </c>
      <c r="H32" s="642"/>
      <c r="I32" s="652" t="str">
        <f>IFERROR(VLOOKUP(K25,تفصيلي!$B$6:$AW$205,25,FALSE),"")</f>
        <v/>
      </c>
      <c r="J32" s="652"/>
      <c r="K32" s="652"/>
      <c r="L32" s="125"/>
    </row>
    <row r="33" spans="1:12" s="130" customFormat="1" ht="20.399999999999999" customHeight="1">
      <c r="A33" s="43"/>
      <c r="B33" s="44"/>
      <c r="C33" s="128" t="s">
        <v>1</v>
      </c>
      <c r="D33" s="643" t="str">
        <f>IFERROR(VLOOKUP(K25,تفصيلي!$B$6:$AW$205,24,FALSE),"")</f>
        <v/>
      </c>
      <c r="E33" s="643"/>
      <c r="F33" s="643"/>
      <c r="G33" s="643"/>
      <c r="H33" s="643"/>
      <c r="I33" s="643"/>
      <c r="J33" s="643"/>
      <c r="K33" s="643"/>
      <c r="L33" s="125"/>
    </row>
    <row r="34" spans="1:12" s="130" customFormat="1" ht="20.399999999999999" customHeight="1">
      <c r="A34" s="43"/>
      <c r="B34" s="44"/>
      <c r="C34" s="128" t="s">
        <v>645</v>
      </c>
      <c r="D34" s="643" t="str">
        <f>IFERROR(VLOOKUP(K25,تفصيلي!$B$6:$AW$205,28,FALSE),"")</f>
        <v/>
      </c>
      <c r="E34" s="643"/>
      <c r="F34" s="643"/>
      <c r="G34" s="643"/>
      <c r="H34" s="643"/>
      <c r="I34" s="129" t="s">
        <v>2</v>
      </c>
      <c r="J34" s="643" t="str">
        <f>IFERROR(VLOOKUP(K25,تفصيلي!$B$6:$AW$205,27,FALSE),"")</f>
        <v/>
      </c>
      <c r="K34" s="643"/>
      <c r="L34" s="125"/>
    </row>
    <row r="35" spans="1:12" s="130" customFormat="1" ht="20.399999999999999" customHeight="1">
      <c r="A35" s="43"/>
      <c r="B35" s="44"/>
      <c r="C35" s="644" t="str">
        <f>"اقر وأتعـــهد بموجب هذا السند بأن   "</f>
        <v xml:space="preserve">اقر وأتعـــهد بموجب هذا السند بأن   </v>
      </c>
      <c r="D35" s="644"/>
      <c r="E35"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5"/>
      <c r="G35" s="645"/>
      <c r="H35" s="645"/>
      <c r="I35" s="645"/>
      <c r="J35" s="645"/>
      <c r="K35" s="645"/>
      <c r="L35" s="125"/>
    </row>
    <row r="36" spans="1:12" s="130" customFormat="1" ht="20.399999999999999" customHeight="1">
      <c r="A36" s="43"/>
      <c r="B36" s="44"/>
      <c r="C36" s="131" t="str">
        <f>"  الصعيد للتربية والتنمية  "&amp;" مبلغ "</f>
        <v xml:space="preserve">  الصعيد للتربية والتنمية   مبلغ </v>
      </c>
      <c r="D36" s="646" t="e">
        <f>D12</f>
        <v>#VALUE!</v>
      </c>
      <c r="E36" s="647"/>
      <c r="F36" s="647"/>
      <c r="G36" s="647"/>
      <c r="H36" s="647"/>
      <c r="I36" s="647"/>
      <c r="J36" s="647"/>
      <c r="K36" s="129" t="s">
        <v>68</v>
      </c>
      <c r="L36" s="125"/>
    </row>
    <row r="37" spans="1:12" s="130" customFormat="1" ht="20.399999999999999" customHeight="1">
      <c r="A37" s="43"/>
      <c r="B37" s="44"/>
      <c r="C37" s="171" t="str">
        <f>C13</f>
        <v/>
      </c>
      <c r="D37" s="641" t="s">
        <v>172</v>
      </c>
      <c r="E37" s="641"/>
      <c r="F37" s="641"/>
      <c r="G37" s="641"/>
      <c r="H37" s="641"/>
      <c r="I37" s="641"/>
      <c r="J37" s="641"/>
      <c r="K37" s="641"/>
      <c r="L37" s="125"/>
    </row>
    <row r="38" spans="1:12" s="130" customFormat="1" ht="20.399999999999999" customHeight="1">
      <c r="A38" s="43"/>
      <c r="B38" s="44"/>
      <c r="C38" s="642" t="s">
        <v>69</v>
      </c>
      <c r="D38" s="642"/>
      <c r="E38" s="642"/>
      <c r="F38" s="642"/>
      <c r="G38" s="642"/>
      <c r="H38" s="642"/>
      <c r="I38" s="642"/>
      <c r="J38" s="642"/>
      <c r="K38" s="642"/>
      <c r="L38" s="125"/>
    </row>
    <row r="39" spans="1:12" s="130" customFormat="1" ht="20.399999999999999" customHeight="1">
      <c r="A39" s="43"/>
      <c r="B39" s="44"/>
      <c r="C39" s="642" t="s">
        <v>70</v>
      </c>
      <c r="D39" s="642"/>
      <c r="E39" s="642"/>
      <c r="F39" s="642"/>
      <c r="G39" s="642"/>
      <c r="H39" s="642"/>
      <c r="I39" s="642"/>
      <c r="J39" s="642"/>
      <c r="K39" s="642"/>
      <c r="L39" s="125"/>
    </row>
    <row r="40" spans="1:12" s="130" customFormat="1" ht="20.399999999999999" customHeight="1">
      <c r="A40" s="43"/>
      <c r="B40" s="44"/>
      <c r="C40" s="642" t="s">
        <v>71</v>
      </c>
      <c r="D40" s="642"/>
      <c r="E40" s="642"/>
      <c r="F40" s="642"/>
      <c r="G40" s="642"/>
      <c r="H40" s="642"/>
      <c r="I40" s="642"/>
      <c r="J40" s="642"/>
      <c r="K40" s="642"/>
      <c r="L40" s="125"/>
    </row>
    <row r="41" spans="1:12" ht="26.4" customHeight="1">
      <c r="A41" s="43"/>
      <c r="B41" s="44"/>
      <c r="C41" s="45"/>
      <c r="D41" s="45"/>
      <c r="E41" s="45"/>
      <c r="F41" s="45"/>
      <c r="G41" s="653" t="s">
        <v>3</v>
      </c>
      <c r="H41" s="653"/>
      <c r="I41" s="653"/>
      <c r="J41" s="653"/>
      <c r="K41" s="653"/>
      <c r="L41" s="125"/>
    </row>
    <row r="42" spans="1:12" ht="27" customHeight="1">
      <c r="A42" s="43"/>
      <c r="B42" s="44"/>
      <c r="C42" s="45"/>
      <c r="D42" s="45"/>
      <c r="E42" s="45"/>
      <c r="F42" s="654" t="s">
        <v>4</v>
      </c>
      <c r="G42" s="654"/>
      <c r="H42" s="654"/>
      <c r="I42" s="654"/>
      <c r="J42" s="654"/>
      <c r="K42" s="654"/>
      <c r="L42" s="125"/>
    </row>
    <row r="43" spans="1:12" ht="27" customHeight="1">
      <c r="A43" s="43"/>
      <c r="B43" s="44"/>
      <c r="C43" s="45"/>
      <c r="D43" s="45"/>
      <c r="E43" s="45"/>
      <c r="F43" s="654" t="s">
        <v>5</v>
      </c>
      <c r="G43" s="654"/>
      <c r="H43" s="654"/>
      <c r="I43" s="654"/>
      <c r="J43" s="654"/>
      <c r="K43" s="654"/>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8" t="s">
        <v>64</v>
      </c>
      <c r="D52" s="648"/>
      <c r="E52" s="648"/>
      <c r="F52" s="648"/>
      <c r="G52" s="648"/>
      <c r="H52" s="648"/>
      <c r="I52" s="648"/>
      <c r="J52" s="648"/>
      <c r="K52" s="648"/>
      <c r="L52" s="124"/>
    </row>
    <row r="53" spans="1:12" ht="21">
      <c r="A53" s="3"/>
      <c r="B53" s="1"/>
      <c r="C53" s="42"/>
      <c r="D53" s="42"/>
      <c r="E53" s="42"/>
      <c r="F53" s="42"/>
      <c r="G53" s="42"/>
      <c r="H53" s="42"/>
      <c r="I53" s="42"/>
      <c r="J53" s="42"/>
      <c r="K53" s="42"/>
      <c r="L53" s="124"/>
    </row>
    <row r="54" spans="1:12" s="130" customFormat="1" ht="20.399999999999999" customHeight="1">
      <c r="A54" s="3"/>
      <c r="B54" s="1"/>
      <c r="C54" s="649" t="s">
        <v>67</v>
      </c>
      <c r="D54" s="649"/>
      <c r="E54" s="170">
        <f>E30</f>
        <v>0</v>
      </c>
      <c r="F54" s="649" t="s">
        <v>66</v>
      </c>
      <c r="G54" s="649"/>
      <c r="H54" s="649"/>
      <c r="I54" s="649"/>
      <c r="J54" s="649"/>
      <c r="K54" s="649"/>
      <c r="L54" s="124"/>
    </row>
    <row r="55" spans="1:12" s="130" customFormat="1" ht="20.399999999999999" customHeight="1">
      <c r="A55" s="3"/>
      <c r="B55" s="1"/>
      <c r="C55" s="650" t="s">
        <v>655</v>
      </c>
      <c r="D55" s="650"/>
      <c r="E55" s="650"/>
      <c r="F55" s="650"/>
      <c r="G55" s="650"/>
      <c r="H55" s="650"/>
      <c r="I55" s="650"/>
      <c r="J55" s="650"/>
      <c r="K55" s="650"/>
      <c r="L55" s="124"/>
    </row>
    <row r="56" spans="1:12" s="130" customFormat="1" ht="20.399999999999999" customHeight="1">
      <c r="A56" s="43"/>
      <c r="B56" s="44"/>
      <c r="C56" s="128" t="s">
        <v>65</v>
      </c>
      <c r="D56" s="651" t="str">
        <f>IFERROR(VLOOKUP(K25,تفصيلي!$B$6:$AW$205,29,FALSE),"")</f>
        <v/>
      </c>
      <c r="E56" s="651"/>
      <c r="F56" s="651"/>
      <c r="G56" s="642" t="s">
        <v>56</v>
      </c>
      <c r="H56" s="642"/>
      <c r="I56" s="652" t="str">
        <f>IFERROR(VLOOKUP(K49,تفصيلي!$B$6:$AW$205,31,FALSE),"")</f>
        <v/>
      </c>
      <c r="J56" s="652"/>
      <c r="K56" s="652"/>
      <c r="L56" s="125"/>
    </row>
    <row r="57" spans="1:12" s="130" customFormat="1" ht="20.399999999999999" customHeight="1">
      <c r="A57" s="43"/>
      <c r="B57" s="44"/>
      <c r="C57" s="128" t="s">
        <v>1</v>
      </c>
      <c r="D57" s="643" t="str">
        <f>IFERROR(VLOOKUP(K49,تفصيلي!$B$6:$AW$205,30,FALSE),"")</f>
        <v/>
      </c>
      <c r="E57" s="643"/>
      <c r="F57" s="643"/>
      <c r="G57" s="643"/>
      <c r="H57" s="643"/>
      <c r="I57" s="643"/>
      <c r="J57" s="643"/>
      <c r="K57" s="643"/>
      <c r="L57" s="125"/>
    </row>
    <row r="58" spans="1:12" s="130" customFormat="1" ht="20.399999999999999" customHeight="1">
      <c r="A58" s="43"/>
      <c r="B58" s="44"/>
      <c r="C58" s="128" t="s">
        <v>645</v>
      </c>
      <c r="D58" s="643" t="str">
        <f>IFERROR(VLOOKUP(K49,تفصيلي!$B$6:$AW$205,34,FALSE),"")</f>
        <v/>
      </c>
      <c r="E58" s="643"/>
      <c r="F58" s="643"/>
      <c r="G58" s="643"/>
      <c r="H58" s="643"/>
      <c r="I58" s="129" t="s">
        <v>2</v>
      </c>
      <c r="J58" s="643" t="str">
        <f>IFERROR(VLOOKUP(K49,تفصيلي!$B$6:$AW$205,33,FALSE),"")</f>
        <v/>
      </c>
      <c r="K58" s="643"/>
      <c r="L58" s="125"/>
    </row>
    <row r="59" spans="1:12" s="130" customFormat="1" ht="20.399999999999999" customHeight="1">
      <c r="A59" s="43"/>
      <c r="B59" s="44"/>
      <c r="C59" s="644" t="str">
        <f>"اقر وأتعـــهد بموجب هذا السند بأن   "</f>
        <v xml:space="preserve">اقر وأتعـــهد بموجب هذا السند بأن   </v>
      </c>
      <c r="D59" s="644"/>
      <c r="E59"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5"/>
      <c r="G59" s="645"/>
      <c r="H59" s="645"/>
      <c r="I59" s="645"/>
      <c r="J59" s="645"/>
      <c r="K59" s="645"/>
      <c r="L59" s="125"/>
    </row>
    <row r="60" spans="1:12" s="130" customFormat="1" ht="20.399999999999999" customHeight="1">
      <c r="A60" s="43"/>
      <c r="B60" s="44"/>
      <c r="C60" s="131" t="str">
        <f>"  الصعيد للتربية والتنمية  "&amp;" مبلغ "</f>
        <v xml:space="preserve">  الصعيد للتربية والتنمية   مبلغ </v>
      </c>
      <c r="D60" s="646" t="e">
        <f>D36</f>
        <v>#VALUE!</v>
      </c>
      <c r="E60" s="647"/>
      <c r="F60" s="647"/>
      <c r="G60" s="647"/>
      <c r="H60" s="647"/>
      <c r="I60" s="647"/>
      <c r="J60" s="647"/>
      <c r="K60" s="129" t="s">
        <v>68</v>
      </c>
      <c r="L60" s="125"/>
    </row>
    <row r="61" spans="1:12" s="130" customFormat="1" ht="20.399999999999999" customHeight="1">
      <c r="A61" s="43"/>
      <c r="B61" s="44"/>
      <c r="C61" s="171" t="str">
        <f>C37</f>
        <v/>
      </c>
      <c r="D61" s="641" t="s">
        <v>172</v>
      </c>
      <c r="E61" s="641"/>
      <c r="F61" s="641"/>
      <c r="G61" s="641"/>
      <c r="H61" s="641"/>
      <c r="I61" s="641"/>
      <c r="J61" s="641"/>
      <c r="K61" s="641"/>
      <c r="L61" s="125"/>
    </row>
    <row r="62" spans="1:12" s="130" customFormat="1" ht="20.399999999999999" customHeight="1">
      <c r="A62" s="43"/>
      <c r="B62" s="44"/>
      <c r="C62" s="642" t="s">
        <v>69</v>
      </c>
      <c r="D62" s="642"/>
      <c r="E62" s="642"/>
      <c r="F62" s="642"/>
      <c r="G62" s="642"/>
      <c r="H62" s="642"/>
      <c r="I62" s="642"/>
      <c r="J62" s="642"/>
      <c r="K62" s="642"/>
      <c r="L62" s="125"/>
    </row>
    <row r="63" spans="1:12" s="130" customFormat="1" ht="20.399999999999999" customHeight="1">
      <c r="A63" s="43"/>
      <c r="B63" s="44"/>
      <c r="C63" s="642" t="s">
        <v>70</v>
      </c>
      <c r="D63" s="642"/>
      <c r="E63" s="642"/>
      <c r="F63" s="642"/>
      <c r="G63" s="642"/>
      <c r="H63" s="642"/>
      <c r="I63" s="642"/>
      <c r="J63" s="642"/>
      <c r="K63" s="642"/>
      <c r="L63" s="125"/>
    </row>
    <row r="64" spans="1:12" s="130" customFormat="1" ht="20.399999999999999" customHeight="1">
      <c r="A64" s="43"/>
      <c r="B64" s="44"/>
      <c r="C64" s="642" t="s">
        <v>71</v>
      </c>
      <c r="D64" s="642"/>
      <c r="E64" s="642"/>
      <c r="F64" s="642"/>
      <c r="G64" s="642"/>
      <c r="H64" s="642"/>
      <c r="I64" s="642"/>
      <c r="J64" s="642"/>
      <c r="K64" s="642"/>
      <c r="L64" s="125"/>
    </row>
    <row r="65" spans="1:12" ht="26.4" customHeight="1">
      <c r="A65" s="43"/>
      <c r="B65" s="44"/>
      <c r="C65" s="45"/>
      <c r="D65" s="45"/>
      <c r="E65" s="45"/>
      <c r="F65" s="45"/>
      <c r="G65" s="653" t="s">
        <v>3</v>
      </c>
      <c r="H65" s="653"/>
      <c r="I65" s="653"/>
      <c r="J65" s="653"/>
      <c r="K65" s="653"/>
      <c r="L65" s="125"/>
    </row>
    <row r="66" spans="1:12" ht="27" customHeight="1">
      <c r="A66" s="43"/>
      <c r="B66" s="44"/>
      <c r="C66" s="45"/>
      <c r="D66" s="45"/>
      <c r="E66" s="45"/>
      <c r="F66" s="654" t="s">
        <v>4</v>
      </c>
      <c r="G66" s="654"/>
      <c r="H66" s="654"/>
      <c r="I66" s="654"/>
      <c r="J66" s="654"/>
      <c r="K66" s="654"/>
      <c r="L66" s="125"/>
    </row>
    <row r="67" spans="1:12" ht="27" customHeight="1">
      <c r="A67" s="43"/>
      <c r="B67" s="44"/>
      <c r="C67" s="45"/>
      <c r="D67" s="45"/>
      <c r="E67" s="45"/>
      <c r="F67" s="654" t="s">
        <v>5</v>
      </c>
      <c r="G67" s="654"/>
      <c r="H67" s="654"/>
      <c r="I67" s="654"/>
      <c r="J67" s="654"/>
      <c r="K67" s="654"/>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8" t="s">
        <v>64</v>
      </c>
      <c r="D77" s="648"/>
      <c r="E77" s="648"/>
      <c r="F77" s="648"/>
      <c r="G77" s="648"/>
      <c r="H77" s="648"/>
      <c r="I77" s="648"/>
      <c r="J77" s="648"/>
      <c r="K77" s="648"/>
      <c r="L77" s="124"/>
    </row>
    <row r="78" spans="1:12" ht="21">
      <c r="A78" s="3"/>
      <c r="B78" s="1"/>
      <c r="C78" s="42"/>
      <c r="D78" s="42"/>
      <c r="E78" s="42"/>
      <c r="F78" s="42"/>
      <c r="G78" s="42"/>
      <c r="H78" s="42"/>
      <c r="I78" s="42"/>
      <c r="J78" s="42"/>
      <c r="K78" s="42"/>
      <c r="L78" s="124"/>
    </row>
    <row r="79" spans="1:12" s="130" customFormat="1" ht="20.399999999999999" customHeight="1">
      <c r="A79" s="3"/>
      <c r="B79" s="1"/>
      <c r="C79" s="649" t="s">
        <v>67</v>
      </c>
      <c r="D79" s="649"/>
      <c r="E79" s="170">
        <f>E6</f>
        <v>0</v>
      </c>
      <c r="F79" s="649" t="s">
        <v>66</v>
      </c>
      <c r="G79" s="649"/>
      <c r="H79" s="649"/>
      <c r="I79" s="649"/>
      <c r="J79" s="649"/>
      <c r="K79" s="649"/>
      <c r="L79" s="124"/>
    </row>
    <row r="80" spans="1:12" s="130" customFormat="1" ht="20.399999999999999" customHeight="1">
      <c r="A80" s="3"/>
      <c r="B80" s="1"/>
      <c r="C80" s="650" t="s">
        <v>655</v>
      </c>
      <c r="D80" s="650"/>
      <c r="E80" s="650"/>
      <c r="F80" s="650"/>
      <c r="G80" s="650"/>
      <c r="H80" s="650"/>
      <c r="I80" s="650"/>
      <c r="J80" s="650"/>
      <c r="K80" s="650"/>
      <c r="L80" s="124"/>
    </row>
    <row r="81" spans="1:12" s="130" customFormat="1" ht="20.399999999999999" customHeight="1">
      <c r="A81" s="43"/>
      <c r="B81" s="44"/>
      <c r="C81" s="128" t="s">
        <v>65</v>
      </c>
      <c r="D81" s="651" t="str">
        <f>IFERROR(VLOOKUP(K74,تفصيلي!$B$6:$AW$205,35,FALSE),"")</f>
        <v/>
      </c>
      <c r="E81" s="651"/>
      <c r="F81" s="651"/>
      <c r="G81" s="642" t="s">
        <v>56</v>
      </c>
      <c r="H81" s="642"/>
      <c r="I81" s="652" t="str">
        <f>IFERROR(VLOOKUP(K74,تفصيلي!$B$6:$AW$205,37,FALSE),"")</f>
        <v/>
      </c>
      <c r="J81" s="652"/>
      <c r="K81" s="652"/>
      <c r="L81" s="125"/>
    </row>
    <row r="82" spans="1:12" s="130" customFormat="1" ht="20.399999999999999" customHeight="1">
      <c r="A82" s="43"/>
      <c r="B82" s="44"/>
      <c r="C82" s="128" t="s">
        <v>1</v>
      </c>
      <c r="D82" s="643" t="str">
        <f>IFERROR(VLOOKUP(K74,تفصيلي!$B$6:$AW$205,36,FALSE),"")</f>
        <v/>
      </c>
      <c r="E82" s="643"/>
      <c r="F82" s="643"/>
      <c r="G82" s="643"/>
      <c r="H82" s="643"/>
      <c r="I82" s="643"/>
      <c r="J82" s="643"/>
      <c r="K82" s="643"/>
      <c r="L82" s="125"/>
    </row>
    <row r="83" spans="1:12" s="130" customFormat="1" ht="20.399999999999999" customHeight="1">
      <c r="A83" s="43"/>
      <c r="B83" s="44"/>
      <c r="C83" s="128" t="s">
        <v>645</v>
      </c>
      <c r="D83" s="643" t="str">
        <f>IFERROR(VLOOKUP(K74,تفصيلي!$B$6:$AW$205,40,FALSE),"")</f>
        <v/>
      </c>
      <c r="E83" s="643"/>
      <c r="F83" s="643"/>
      <c r="G83" s="643"/>
      <c r="H83" s="643"/>
      <c r="I83" s="129" t="s">
        <v>2</v>
      </c>
      <c r="J83" s="643" t="str">
        <f>IFERROR(VLOOKUP(K74,تفصيلي!$B$6:$AW$205,39,FALSE),"")</f>
        <v/>
      </c>
      <c r="K83" s="643"/>
      <c r="L83" s="125"/>
    </row>
    <row r="84" spans="1:12" s="130" customFormat="1" ht="20.399999999999999" customHeight="1">
      <c r="A84" s="43"/>
      <c r="B84" s="44"/>
      <c r="C84" s="644" t="str">
        <f>"اقر وأتعـــهد بموجب هذا السند بأن   "</f>
        <v xml:space="preserve">اقر وأتعـــهد بموجب هذا السند بأن   </v>
      </c>
      <c r="D84" s="644"/>
      <c r="E84"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5"/>
      <c r="G84" s="645"/>
      <c r="H84" s="645"/>
      <c r="I84" s="645"/>
      <c r="J84" s="645"/>
      <c r="K84" s="645"/>
      <c r="L84" s="125"/>
    </row>
    <row r="85" spans="1:12" s="130" customFormat="1" ht="20.399999999999999" customHeight="1">
      <c r="A85" s="43"/>
      <c r="B85" s="44"/>
      <c r="C85" s="131" t="str">
        <f>"  الصعيد للتربية والتنمية  "&amp;" مبلغ "</f>
        <v xml:space="preserve">  الصعيد للتربية والتنمية   مبلغ </v>
      </c>
      <c r="D85" s="646" t="e">
        <f>D12</f>
        <v>#VALUE!</v>
      </c>
      <c r="E85" s="647"/>
      <c r="F85" s="647"/>
      <c r="G85" s="647"/>
      <c r="H85" s="647"/>
      <c r="I85" s="647"/>
      <c r="J85" s="647"/>
      <c r="K85" s="129" t="s">
        <v>68</v>
      </c>
      <c r="L85" s="125"/>
    </row>
    <row r="86" spans="1:12" s="130" customFormat="1" ht="20.399999999999999" customHeight="1">
      <c r="A86" s="43"/>
      <c r="B86" s="44"/>
      <c r="C86" s="171" t="str">
        <f>C13</f>
        <v/>
      </c>
      <c r="D86" s="641" t="s">
        <v>172</v>
      </c>
      <c r="E86" s="641"/>
      <c r="F86" s="641"/>
      <c r="G86" s="641"/>
      <c r="H86" s="641"/>
      <c r="I86" s="641"/>
      <c r="J86" s="641"/>
      <c r="K86" s="641"/>
      <c r="L86" s="125"/>
    </row>
    <row r="87" spans="1:12" s="130" customFormat="1" ht="20.399999999999999" customHeight="1">
      <c r="A87" s="43"/>
      <c r="B87" s="44"/>
      <c r="C87" s="642" t="s">
        <v>69</v>
      </c>
      <c r="D87" s="642"/>
      <c r="E87" s="642"/>
      <c r="F87" s="642"/>
      <c r="G87" s="642"/>
      <c r="H87" s="642"/>
      <c r="I87" s="642"/>
      <c r="J87" s="642"/>
      <c r="K87" s="642"/>
      <c r="L87" s="125"/>
    </row>
    <row r="88" spans="1:12" s="130" customFormat="1" ht="20.399999999999999" customHeight="1">
      <c r="A88" s="43"/>
      <c r="B88" s="44"/>
      <c r="C88" s="642" t="s">
        <v>70</v>
      </c>
      <c r="D88" s="642"/>
      <c r="E88" s="642"/>
      <c r="F88" s="642"/>
      <c r="G88" s="642"/>
      <c r="H88" s="642"/>
      <c r="I88" s="642"/>
      <c r="J88" s="642"/>
      <c r="K88" s="642"/>
      <c r="L88" s="125"/>
    </row>
    <row r="89" spans="1:12" s="130" customFormat="1" ht="20.399999999999999" customHeight="1">
      <c r="A89" s="43"/>
      <c r="B89" s="44"/>
      <c r="C89" s="642" t="s">
        <v>71</v>
      </c>
      <c r="D89" s="642"/>
      <c r="E89" s="642"/>
      <c r="F89" s="642"/>
      <c r="G89" s="642"/>
      <c r="H89" s="642"/>
      <c r="I89" s="642"/>
      <c r="J89" s="642"/>
      <c r="K89" s="642"/>
      <c r="L89" s="125"/>
    </row>
    <row r="90" spans="1:12" ht="26.4" customHeight="1">
      <c r="A90" s="43"/>
      <c r="B90" s="44"/>
      <c r="C90" s="45"/>
      <c r="D90" s="45"/>
      <c r="E90" s="45"/>
      <c r="F90" s="45"/>
      <c r="G90" s="653" t="s">
        <v>3</v>
      </c>
      <c r="H90" s="653"/>
      <c r="I90" s="653"/>
      <c r="J90" s="653"/>
      <c r="K90" s="653"/>
      <c r="L90" s="125"/>
    </row>
    <row r="91" spans="1:12" ht="27" customHeight="1">
      <c r="A91" s="43"/>
      <c r="B91" s="44"/>
      <c r="C91" s="45"/>
      <c r="D91" s="45"/>
      <c r="E91" s="45"/>
      <c r="F91" s="654" t="s">
        <v>4</v>
      </c>
      <c r="G91" s="654"/>
      <c r="H91" s="654"/>
      <c r="I91" s="654"/>
      <c r="J91" s="654"/>
      <c r="K91" s="654"/>
      <c r="L91" s="125"/>
    </row>
    <row r="92" spans="1:12" ht="27" customHeight="1">
      <c r="A92" s="43"/>
      <c r="B92" s="44"/>
      <c r="C92" s="45"/>
      <c r="D92" s="45"/>
      <c r="E92" s="45"/>
      <c r="F92" s="654" t="s">
        <v>5</v>
      </c>
      <c r="G92" s="654"/>
      <c r="H92" s="654"/>
      <c r="I92" s="654"/>
      <c r="J92" s="654"/>
      <c r="K92" s="654"/>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topLeftCell="A22"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59" t="s">
        <v>173</v>
      </c>
      <c r="D4" s="659"/>
      <c r="E4" s="659"/>
      <c r="F4" s="659"/>
      <c r="G4" s="659"/>
      <c r="H4" s="659"/>
      <c r="I4" s="659"/>
      <c r="J4" s="659"/>
      <c r="K4" s="659"/>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0" t="e">
        <f>+" أقر أنا الموقع أدناه / "&amp;عقد!$C$9</f>
        <v>#N/A</v>
      </c>
      <c r="D6" s="650"/>
      <c r="E6" s="650"/>
      <c r="F6" s="650"/>
      <c r="G6" s="650"/>
      <c r="H6" s="132" t="s">
        <v>721</v>
      </c>
      <c r="I6" s="132"/>
      <c r="J6" s="132"/>
      <c r="K6" s="132"/>
      <c r="L6" s="124"/>
      <c r="M6" s="469"/>
    </row>
    <row r="7" spans="1:13" s="130" customFormat="1" ht="170.4" customHeight="1">
      <c r="A7" s="3"/>
      <c r="B7" s="1"/>
      <c r="C7" s="660" t="s">
        <v>722</v>
      </c>
      <c r="D7" s="650"/>
      <c r="E7" s="650"/>
      <c r="F7" s="650"/>
      <c r="G7" s="650"/>
      <c r="H7" s="650"/>
      <c r="I7" s="650"/>
      <c r="J7" s="650"/>
      <c r="K7" s="650"/>
      <c r="L7" s="124"/>
      <c r="M7" s="469"/>
    </row>
    <row r="8" spans="1:13" ht="26.4" customHeight="1">
      <c r="A8" s="43"/>
      <c r="B8" s="44"/>
      <c r="C8" s="138" t="s">
        <v>204</v>
      </c>
      <c r="D8" s="655">
        <f>عقد!$E$7</f>
        <v>0</v>
      </c>
      <c r="E8" s="655"/>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8" t="s">
        <v>174</v>
      </c>
      <c r="D15" s="659"/>
      <c r="E15" s="659"/>
      <c r="F15" s="659"/>
      <c r="G15" s="659"/>
      <c r="H15" s="659"/>
      <c r="I15" s="659"/>
      <c r="J15" s="659"/>
      <c r="K15" s="659"/>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0" t="e">
        <f>+" أقر أنا الموقع أدناه / "&amp;عقد!$C$9</f>
        <v>#N/A</v>
      </c>
      <c r="D17" s="650"/>
      <c r="E17" s="650"/>
      <c r="F17" s="650"/>
      <c r="G17" s="662" t="s">
        <v>56</v>
      </c>
      <c r="H17" s="662"/>
      <c r="I17" s="661" t="e">
        <f>عقد!$C$10</f>
        <v>#N/A</v>
      </c>
      <c r="J17" s="661"/>
      <c r="K17" s="661"/>
      <c r="L17" s="124"/>
      <c r="M17" s="469"/>
    </row>
    <row r="18" spans="1:13" s="130" customFormat="1" ht="20.399999999999999" customHeight="1">
      <c r="A18" s="3"/>
      <c r="B18" s="1"/>
      <c r="C18" s="649" t="s">
        <v>206</v>
      </c>
      <c r="D18" s="649"/>
      <c r="E18" s="649"/>
      <c r="F18" s="663" t="str">
        <f>عقد!$L$14</f>
        <v/>
      </c>
      <c r="G18" s="663"/>
      <c r="H18" s="663"/>
      <c r="I18" s="132"/>
      <c r="J18" s="132"/>
      <c r="K18" s="132"/>
      <c r="L18" s="124"/>
      <c r="M18" s="469"/>
    </row>
    <row r="19" spans="1:13" s="130" customFormat="1" ht="186" customHeight="1">
      <c r="A19" s="3"/>
      <c r="B19" s="1"/>
      <c r="C19" s="656" t="s">
        <v>175</v>
      </c>
      <c r="D19" s="657"/>
      <c r="E19" s="657"/>
      <c r="F19" s="657"/>
      <c r="G19" s="657"/>
      <c r="H19" s="657"/>
      <c r="I19" s="657"/>
      <c r="J19" s="657"/>
      <c r="K19" s="657"/>
      <c r="L19" s="124"/>
      <c r="M19" s="469"/>
    </row>
    <row r="20" spans="1:13" ht="26.4" customHeight="1">
      <c r="A20" s="43"/>
      <c r="B20" s="44"/>
      <c r="C20" s="138" t="s">
        <v>204</v>
      </c>
      <c r="D20" s="655">
        <f>عقد!E7</f>
        <v>0</v>
      </c>
      <c r="E20" s="655"/>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8" t="s">
        <v>120</v>
      </c>
      <c r="K11" s="668"/>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69" t="e">
        <f>عقد!C9</f>
        <v>#N/A</v>
      </c>
      <c r="E13" s="669"/>
      <c r="F13" s="669"/>
      <c r="G13" s="669"/>
      <c r="H13" s="669"/>
      <c r="I13" s="669"/>
      <c r="J13" s="669"/>
      <c r="K13" s="669"/>
      <c r="L13" s="504"/>
      <c r="M13" s="504"/>
      <c r="N13" s="505" t="s">
        <v>121</v>
      </c>
      <c r="O13" s="505"/>
      <c r="P13" s="505" t="s">
        <v>122</v>
      </c>
      <c r="Q13" s="506"/>
    </row>
    <row r="14" spans="2:17" ht="49.8">
      <c r="B14" s="471"/>
      <c r="C14" s="504" t="s">
        <v>123</v>
      </c>
      <c r="D14" s="504"/>
      <c r="E14" s="504"/>
      <c r="F14" s="504"/>
      <c r="G14" s="504"/>
      <c r="H14" s="670" t="e">
        <f>عقد!C10</f>
        <v>#N/A</v>
      </c>
      <c r="I14" s="670"/>
      <c r="J14" s="670"/>
      <c r="K14" s="670"/>
      <c r="L14" s="670"/>
      <c r="M14" s="670"/>
      <c r="N14" s="670"/>
      <c r="O14" s="670"/>
      <c r="P14" s="671"/>
      <c r="Q14" s="506"/>
    </row>
    <row r="15" spans="2:17" ht="70.95" customHeight="1">
      <c r="B15" s="471"/>
      <c r="C15" s="508" t="s">
        <v>648</v>
      </c>
      <c r="D15" s="672" t="e">
        <f>عقد!C11</f>
        <v>#N/A</v>
      </c>
      <c r="E15" s="672"/>
      <c r="F15" s="672"/>
      <c r="G15" s="672"/>
      <c r="H15" s="672"/>
      <c r="I15" s="672"/>
      <c r="J15" s="672"/>
      <c r="K15" s="672"/>
      <c r="L15" s="672"/>
      <c r="M15" s="672"/>
      <c r="N15" s="672"/>
      <c r="O15" s="672"/>
      <c r="P15" s="672"/>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4">
        <f>عقد!E7</f>
        <v>0</v>
      </c>
      <c r="E18" s="664"/>
      <c r="F18" s="664"/>
      <c r="G18" s="509"/>
      <c r="H18" s="509"/>
      <c r="I18" s="509"/>
      <c r="J18" s="509"/>
      <c r="K18" s="509"/>
      <c r="L18" s="507"/>
      <c r="M18" s="507"/>
      <c r="N18" s="507"/>
      <c r="O18" s="507"/>
      <c r="P18" s="507"/>
      <c r="Q18" s="507"/>
    </row>
    <row r="19" spans="2:23" ht="34.5" customHeight="1">
      <c r="B19" s="471"/>
      <c r="C19" s="665" t="s">
        <v>126</v>
      </c>
      <c r="D19" s="665"/>
      <c r="E19" s="665"/>
      <c r="F19" s="665"/>
      <c r="G19" s="665"/>
      <c r="H19" s="665"/>
      <c r="I19" s="665"/>
      <c r="J19" s="665"/>
      <c r="K19" s="665"/>
      <c r="L19" s="665"/>
      <c r="M19" s="665"/>
      <c r="N19" s="665"/>
      <c r="O19" s="665"/>
      <c r="P19" s="665"/>
      <c r="Q19" s="665"/>
    </row>
    <row r="20" spans="2:23" ht="34.5" customHeight="1">
      <c r="B20" s="471"/>
      <c r="C20" s="665"/>
      <c r="D20" s="665"/>
      <c r="E20" s="665"/>
      <c r="F20" s="665"/>
      <c r="G20" s="665"/>
      <c r="H20" s="665"/>
      <c r="I20" s="665"/>
      <c r="J20" s="665"/>
      <c r="K20" s="665"/>
      <c r="L20" s="665"/>
      <c r="M20" s="665"/>
      <c r="N20" s="665"/>
      <c r="O20" s="665"/>
      <c r="P20" s="665"/>
      <c r="Q20" s="665"/>
    </row>
    <row r="21" spans="2:23" ht="111" customHeight="1">
      <c r="B21" s="471"/>
      <c r="C21" s="665"/>
      <c r="D21" s="665"/>
      <c r="E21" s="665"/>
      <c r="F21" s="665"/>
      <c r="G21" s="665"/>
      <c r="H21" s="665"/>
      <c r="I21" s="665"/>
      <c r="J21" s="665"/>
      <c r="K21" s="665"/>
      <c r="L21" s="665"/>
      <c r="M21" s="665"/>
      <c r="N21" s="665"/>
      <c r="O21" s="665"/>
      <c r="P21" s="665"/>
      <c r="Q21" s="665"/>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6" t="s">
        <v>132</v>
      </c>
      <c r="C31" s="666"/>
      <c r="D31" s="666"/>
      <c r="E31" s="666"/>
      <c r="F31" s="666"/>
      <c r="G31" s="666"/>
      <c r="H31" s="666"/>
      <c r="I31" s="666"/>
      <c r="J31" s="666"/>
      <c r="K31" s="666"/>
      <c r="L31" s="666"/>
      <c r="M31" s="666"/>
      <c r="N31" s="666"/>
      <c r="O31" s="666"/>
      <c r="P31" s="666"/>
      <c r="Q31" s="666"/>
    </row>
    <row r="32" spans="2:23" ht="20.25" customHeight="1">
      <c r="B32" s="666"/>
      <c r="C32" s="666"/>
      <c r="D32" s="666"/>
      <c r="E32" s="666"/>
      <c r="F32" s="666"/>
      <c r="G32" s="666"/>
      <c r="H32" s="666"/>
      <c r="I32" s="666"/>
      <c r="J32" s="666"/>
      <c r="K32" s="666"/>
      <c r="L32" s="666"/>
      <c r="M32" s="666"/>
      <c r="N32" s="666"/>
      <c r="O32" s="666"/>
      <c r="P32" s="666"/>
      <c r="Q32" s="666"/>
    </row>
    <row r="33" spans="2:17" ht="20.25" customHeight="1">
      <c r="B33" s="666"/>
      <c r="C33" s="666"/>
      <c r="D33" s="666"/>
      <c r="E33" s="666"/>
      <c r="F33" s="666"/>
      <c r="G33" s="666"/>
      <c r="H33" s="666"/>
      <c r="I33" s="666"/>
      <c r="J33" s="666"/>
      <c r="K33" s="666"/>
      <c r="L33" s="666"/>
      <c r="M33" s="666"/>
      <c r="N33" s="666"/>
      <c r="O33" s="666"/>
      <c r="P33" s="666"/>
      <c r="Q33" s="666"/>
    </row>
    <row r="34" spans="2:17" ht="20.25" customHeight="1">
      <c r="B34" s="666"/>
      <c r="C34" s="666"/>
      <c r="D34" s="666"/>
      <c r="E34" s="666"/>
      <c r="F34" s="666"/>
      <c r="G34" s="666"/>
      <c r="H34" s="666"/>
      <c r="I34" s="666"/>
      <c r="J34" s="666"/>
      <c r="K34" s="666"/>
      <c r="L34" s="666"/>
      <c r="M34" s="666"/>
      <c r="N34" s="666"/>
      <c r="O34" s="666"/>
      <c r="P34" s="666"/>
      <c r="Q34" s="666"/>
    </row>
    <row r="35" spans="2:17" ht="20.25" customHeight="1">
      <c r="B35" s="666"/>
      <c r="C35" s="666"/>
      <c r="D35" s="666"/>
      <c r="E35" s="666"/>
      <c r="F35" s="666"/>
      <c r="G35" s="666"/>
      <c r="H35" s="666"/>
      <c r="I35" s="666"/>
      <c r="J35" s="666"/>
      <c r="K35" s="666"/>
      <c r="L35" s="666"/>
      <c r="M35" s="666"/>
      <c r="N35" s="666"/>
      <c r="O35" s="666"/>
      <c r="P35" s="666"/>
      <c r="Q35" s="666"/>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7">
        <f>D18</f>
        <v>0</v>
      </c>
      <c r="E46" s="667"/>
      <c r="F46" s="667"/>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1" t="s">
        <v>207</v>
      </c>
      <c r="C4" s="682"/>
      <c r="D4" s="682"/>
      <c r="E4" s="682"/>
      <c r="F4" s="683"/>
    </row>
    <row r="5" spans="2:6" ht="18.600000000000001" thickBot="1">
      <c r="B5" s="684" t="s">
        <v>78</v>
      </c>
      <c r="C5" s="685"/>
      <c r="D5" s="685"/>
      <c r="E5" s="685"/>
      <c r="F5" s="686"/>
    </row>
    <row r="6" spans="2:6" ht="15" customHeight="1" thickBot="1">
      <c r="B6" s="92" t="s">
        <v>79</v>
      </c>
      <c r="C6" s="687" t="s">
        <v>210</v>
      </c>
      <c r="D6" s="688"/>
      <c r="E6" s="688"/>
      <c r="F6" s="689"/>
    </row>
    <row r="7" spans="2:6" ht="15" customHeight="1" thickBot="1">
      <c r="B7" s="92" t="s">
        <v>80</v>
      </c>
      <c r="C7" s="690" t="s">
        <v>81</v>
      </c>
      <c r="D7" s="691"/>
      <c r="E7" s="691"/>
      <c r="F7" s="692"/>
    </row>
    <row r="8" spans="2:6" ht="15" customHeight="1" thickBot="1">
      <c r="B8" s="93" t="s">
        <v>82</v>
      </c>
      <c r="C8" s="693" t="str">
        <f>عقد!I21</f>
        <v/>
      </c>
      <c r="D8" s="694"/>
      <c r="E8" s="94" t="s">
        <v>83</v>
      </c>
      <c r="F8" s="95" t="s">
        <v>84</v>
      </c>
    </row>
    <row r="9" spans="2:6" ht="15" customHeight="1">
      <c r="B9" s="96" t="s">
        <v>85</v>
      </c>
      <c r="C9" s="673" t="e">
        <f>C8-C11</f>
        <v>#VALUE!</v>
      </c>
      <c r="D9" s="674"/>
      <c r="E9" s="677" t="s">
        <v>83</v>
      </c>
      <c r="F9" s="679"/>
    </row>
    <row r="10" spans="2:6" ht="15" customHeight="1" thickBot="1">
      <c r="B10" s="97" t="s">
        <v>86</v>
      </c>
      <c r="C10" s="675"/>
      <c r="D10" s="676"/>
      <c r="E10" s="678"/>
      <c r="F10" s="680"/>
    </row>
    <row r="11" spans="2:6" ht="15" customHeight="1">
      <c r="B11" s="96" t="s">
        <v>87</v>
      </c>
      <c r="C11" s="673" t="str">
        <f>IFERROR(VLOOKUP(عقد!M1,تفصيلي!$B$6:$AW$205,22,FALSE),"")</f>
        <v/>
      </c>
      <c r="D11" s="674"/>
      <c r="E11" s="677" t="s">
        <v>83</v>
      </c>
      <c r="F11" s="695" t="s">
        <v>84</v>
      </c>
    </row>
    <row r="12" spans="2:6" ht="15" customHeight="1" thickBot="1">
      <c r="B12" s="97" t="s">
        <v>88</v>
      </c>
      <c r="C12" s="675"/>
      <c r="D12" s="676"/>
      <c r="E12" s="678"/>
      <c r="F12" s="696"/>
    </row>
    <row r="13" spans="2:6" ht="15" customHeight="1" thickBot="1">
      <c r="B13" s="697" t="s">
        <v>89</v>
      </c>
      <c r="C13" s="698"/>
      <c r="D13" s="698"/>
      <c r="E13" s="699"/>
      <c r="F13" s="98"/>
    </row>
    <row r="14" spans="2:6" ht="15" customHeight="1" thickBot="1">
      <c r="B14" s="92" t="s">
        <v>90</v>
      </c>
      <c r="C14" s="690"/>
      <c r="D14" s="691"/>
      <c r="E14" s="692"/>
      <c r="F14" s="679"/>
    </row>
    <row r="15" spans="2:6" ht="15" customHeight="1" thickBot="1">
      <c r="B15" s="92" t="s">
        <v>91</v>
      </c>
      <c r="C15" s="690"/>
      <c r="D15" s="691"/>
      <c r="E15" s="692"/>
      <c r="F15" s="700"/>
    </row>
    <row r="16" spans="2:6" ht="15" customHeight="1">
      <c r="B16" s="100" t="s">
        <v>92</v>
      </c>
      <c r="C16" s="701"/>
      <c r="D16" s="702"/>
      <c r="E16" s="703"/>
      <c r="F16" s="700"/>
    </row>
    <row r="17" spans="2:12" ht="15" customHeight="1" thickBot="1">
      <c r="B17" s="97" t="s">
        <v>93</v>
      </c>
      <c r="C17" s="704"/>
      <c r="D17" s="705"/>
      <c r="E17" s="706"/>
      <c r="F17" s="700"/>
    </row>
    <row r="18" spans="2:12" ht="15" customHeight="1">
      <c r="B18" s="100" t="s">
        <v>94</v>
      </c>
      <c r="C18" s="701"/>
      <c r="D18" s="702"/>
      <c r="E18" s="703"/>
      <c r="F18" s="700"/>
    </row>
    <row r="19" spans="2:12" ht="15" customHeight="1" thickBot="1">
      <c r="B19" s="97" t="s">
        <v>95</v>
      </c>
      <c r="C19" s="704"/>
      <c r="D19" s="705"/>
      <c r="E19" s="706"/>
      <c r="F19" s="700"/>
    </row>
    <row r="20" spans="2:12" ht="15" customHeight="1">
      <c r="B20" s="101" t="s">
        <v>96</v>
      </c>
      <c r="C20" s="701"/>
      <c r="D20" s="702"/>
      <c r="E20" s="703"/>
      <c r="F20" s="700"/>
    </row>
    <row r="21" spans="2:12" ht="15" customHeight="1" thickBot="1">
      <c r="B21" s="102" t="s">
        <v>97</v>
      </c>
      <c r="C21" s="704"/>
      <c r="D21" s="705"/>
      <c r="E21" s="706"/>
      <c r="F21" s="680"/>
    </row>
    <row r="22" spans="2:12" ht="15.6" customHeight="1" thickBot="1">
      <c r="B22" s="697" t="s">
        <v>98</v>
      </c>
      <c r="C22" s="698"/>
      <c r="D22" s="698"/>
      <c r="E22" s="699"/>
      <c r="F22" s="98"/>
    </row>
    <row r="23" spans="2:12" ht="15.6" customHeight="1">
      <c r="B23" s="101" t="s">
        <v>99</v>
      </c>
      <c r="C23" s="708" t="s">
        <v>209</v>
      </c>
      <c r="D23" s="709"/>
      <c r="E23" s="710"/>
      <c r="F23" s="679"/>
      <c r="H23" s="103"/>
    </row>
    <row r="24" spans="2:12" ht="15.6" customHeight="1" thickBot="1">
      <c r="B24" s="97" t="s">
        <v>100</v>
      </c>
      <c r="C24" s="711"/>
      <c r="D24" s="712"/>
      <c r="E24" s="713"/>
      <c r="F24" s="700"/>
      <c r="H24" s="103"/>
    </row>
    <row r="25" spans="2:12" ht="15.6" customHeight="1" thickBot="1">
      <c r="B25" s="93" t="s">
        <v>101</v>
      </c>
      <c r="C25" s="690"/>
      <c r="D25" s="691"/>
      <c r="E25" s="692"/>
      <c r="F25" s="700"/>
      <c r="H25" s="104"/>
      <c r="I25" s="104"/>
      <c r="J25" s="104"/>
    </row>
    <row r="26" spans="2:12" ht="15.6" customHeight="1" thickBot="1">
      <c r="B26" s="105" t="s">
        <v>102</v>
      </c>
      <c r="C26" s="690"/>
      <c r="D26" s="691"/>
      <c r="E26" s="692"/>
      <c r="F26" s="700"/>
      <c r="H26" s="106"/>
      <c r="I26" s="106"/>
      <c r="J26" s="106"/>
    </row>
    <row r="27" spans="2:12" ht="15.6" customHeight="1" thickBot="1">
      <c r="B27" s="93" t="s">
        <v>103</v>
      </c>
      <c r="C27" s="690"/>
      <c r="D27" s="691"/>
      <c r="E27" s="692"/>
      <c r="F27" s="680"/>
    </row>
    <row r="28" spans="2:12" ht="15.6" customHeight="1" thickBot="1">
      <c r="B28" s="697" t="s">
        <v>104</v>
      </c>
      <c r="C28" s="698"/>
      <c r="D28" s="698"/>
      <c r="E28" s="699"/>
      <c r="F28" s="107">
        <f>SUM(C23:E27)</f>
        <v>0</v>
      </c>
      <c r="H28" s="106"/>
      <c r="I28" s="106"/>
      <c r="J28" s="106"/>
    </row>
    <row r="29" spans="2:12" ht="15.6" customHeight="1" thickBot="1">
      <c r="B29" s="717" t="s">
        <v>105</v>
      </c>
      <c r="C29" s="718"/>
      <c r="D29" s="718"/>
      <c r="E29" s="719"/>
      <c r="F29" s="143">
        <v>2.1999999999999999E-2</v>
      </c>
      <c r="I29" s="108"/>
      <c r="J29" s="104"/>
      <c r="L29" s="104"/>
    </row>
    <row r="30" spans="2:12" ht="15.6" customHeight="1" thickBot="1">
      <c r="B30" s="714" t="s">
        <v>106</v>
      </c>
      <c r="C30" s="715"/>
      <c r="D30" s="715"/>
      <c r="E30" s="716"/>
      <c r="F30" s="98" t="s">
        <v>656</v>
      </c>
    </row>
    <row r="31" spans="2:12" ht="15.6" customHeight="1">
      <c r="B31" s="109" t="s">
        <v>107</v>
      </c>
      <c r="C31" s="683" t="s">
        <v>108</v>
      </c>
      <c r="D31" s="110" t="s">
        <v>109</v>
      </c>
      <c r="E31" s="695" t="s">
        <v>110</v>
      </c>
      <c r="F31" s="707"/>
    </row>
    <row r="32" spans="2:12" ht="15.6" customHeight="1" thickBot="1">
      <c r="B32" s="109" t="s">
        <v>111</v>
      </c>
      <c r="C32" s="686"/>
      <c r="D32" s="91" t="s">
        <v>112</v>
      </c>
      <c r="E32" s="696"/>
      <c r="F32" s="680"/>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4" t="s">
        <v>116</v>
      </c>
      <c r="C34" s="715"/>
      <c r="D34" s="715"/>
      <c r="E34" s="716"/>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26"/>
      <c r="C2" s="726"/>
      <c r="E2" s="152"/>
    </row>
    <row r="3" spans="1:16" s="151" customFormat="1" ht="5.4" customHeight="1">
      <c r="B3" s="727"/>
      <c r="C3" s="727"/>
    </row>
    <row r="4" spans="1:16" s="151" customFormat="1" ht="17.399999999999999" customHeight="1">
      <c r="A4" s="728" t="s">
        <v>207</v>
      </c>
      <c r="B4" s="729"/>
      <c r="C4" s="729"/>
      <c r="D4" s="729"/>
      <c r="E4" s="729"/>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30" t="s">
        <v>78</v>
      </c>
      <c r="B5" s="731"/>
      <c r="C5" s="731"/>
      <c r="D5" s="731"/>
      <c r="E5" s="731"/>
      <c r="F5" s="731"/>
      <c r="G5" s="731"/>
      <c r="H5" s="732"/>
    </row>
    <row r="6" spans="1:16" s="151" customFormat="1" ht="17.399999999999999" customHeight="1">
      <c r="A6" s="722" t="s">
        <v>79</v>
      </c>
      <c r="B6" s="722"/>
      <c r="C6" s="722"/>
      <c r="D6" s="722"/>
      <c r="E6" s="722"/>
      <c r="F6" s="392" t="s">
        <v>210</v>
      </c>
      <c r="G6" s="733"/>
      <c r="H6" s="733"/>
    </row>
    <row r="7" spans="1:16" s="151" customFormat="1" ht="17.399999999999999" customHeight="1">
      <c r="A7" s="720" t="s">
        <v>80</v>
      </c>
      <c r="B7" s="720"/>
      <c r="C7" s="720"/>
      <c r="D7" s="720"/>
      <c r="E7" s="720"/>
      <c r="F7" s="721" t="s">
        <v>81</v>
      </c>
      <c r="G7" s="721"/>
      <c r="H7" s="721"/>
    </row>
    <row r="8" spans="1:16" s="151" customFormat="1" ht="17.399999999999999" customHeight="1">
      <c r="A8" s="722" t="s">
        <v>215</v>
      </c>
      <c r="B8" s="722"/>
      <c r="C8" s="722"/>
      <c r="D8" s="722"/>
      <c r="E8" s="722"/>
      <c r="F8" s="414" t="e">
        <f>INDEX(تفصيلي!V6:V205,MATCH('افصاح-مواعيد'!J4,تفصيلي!B6:B205,0))</f>
        <v>#N/A</v>
      </c>
      <c r="G8" s="167" t="s">
        <v>83</v>
      </c>
      <c r="H8" s="392" t="s">
        <v>84</v>
      </c>
    </row>
    <row r="9" spans="1:16" s="151" customFormat="1" ht="17.399999999999999" customHeight="1">
      <c r="A9" s="723" t="s">
        <v>225</v>
      </c>
      <c r="B9" s="724"/>
      <c r="C9" s="724"/>
      <c r="D9" s="724"/>
      <c r="E9" s="725"/>
      <c r="F9" s="415" t="e">
        <f>F8-F10</f>
        <v>#N/A</v>
      </c>
      <c r="G9" s="169" t="s">
        <v>83</v>
      </c>
      <c r="H9" s="393"/>
      <c r="L9" s="734" t="s">
        <v>697</v>
      </c>
      <c r="M9" s="734"/>
      <c r="N9" s="734"/>
      <c r="O9" s="416"/>
    </row>
    <row r="10" spans="1:16" s="151" customFormat="1" ht="17.399999999999999" customHeight="1">
      <c r="A10" s="723" t="s">
        <v>224</v>
      </c>
      <c r="B10" s="724"/>
      <c r="C10" s="724"/>
      <c r="D10" s="724"/>
      <c r="E10" s="725"/>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36" t="s">
        <v>89</v>
      </c>
      <c r="B11" s="737"/>
      <c r="C11" s="737"/>
      <c r="D11" s="737"/>
      <c r="E11" s="737"/>
      <c r="F11" s="737"/>
      <c r="G11" s="737"/>
      <c r="H11" s="738"/>
      <c r="L11" s="440">
        <v>6000</v>
      </c>
      <c r="M11" s="440">
        <v>14000</v>
      </c>
      <c r="N11" s="441" t="s">
        <v>702</v>
      </c>
      <c r="O11" s="440" t="s">
        <v>703</v>
      </c>
      <c r="P11" s="447">
        <v>0.03</v>
      </c>
    </row>
    <row r="12" spans="1:16" s="151" customFormat="1" ht="17.399999999999999" customHeight="1">
      <c r="A12" s="720" t="s">
        <v>90</v>
      </c>
      <c r="B12" s="720"/>
      <c r="C12" s="720"/>
      <c r="D12" s="720"/>
      <c r="E12" s="720"/>
      <c r="F12" s="720"/>
      <c r="G12" s="153"/>
      <c r="H12" s="739"/>
      <c r="L12" s="440">
        <v>14001</v>
      </c>
      <c r="M12" s="440">
        <v>50000</v>
      </c>
      <c r="N12" s="441" t="s">
        <v>704</v>
      </c>
      <c r="O12" s="440" t="s">
        <v>705</v>
      </c>
      <c r="P12" s="447">
        <v>3.5000000000000003E-2</v>
      </c>
    </row>
    <row r="13" spans="1:16" s="151" customFormat="1" ht="17.399999999999999" customHeight="1">
      <c r="A13" s="720" t="s">
        <v>91</v>
      </c>
      <c r="B13" s="720"/>
      <c r="C13" s="720"/>
      <c r="D13" s="720"/>
      <c r="E13" s="720"/>
      <c r="F13" s="720"/>
      <c r="G13" s="153"/>
      <c r="H13" s="740"/>
      <c r="L13" s="440">
        <v>50001</v>
      </c>
      <c r="M13" s="440">
        <v>150000</v>
      </c>
      <c r="N13" s="441" t="s">
        <v>706</v>
      </c>
      <c r="O13" s="440" t="s">
        <v>707</v>
      </c>
      <c r="P13" s="447">
        <v>3.5000000000000003E-2</v>
      </c>
    </row>
    <row r="14" spans="1:16" s="151" customFormat="1" ht="17.399999999999999" customHeight="1">
      <c r="A14" s="742" t="s">
        <v>226</v>
      </c>
      <c r="B14" s="743"/>
      <c r="C14" s="743"/>
      <c r="D14" s="743"/>
      <c r="E14" s="743"/>
      <c r="F14" s="744"/>
      <c r="G14" s="154"/>
      <c r="H14" s="740"/>
      <c r="L14" s="440"/>
      <c r="M14" s="440"/>
      <c r="N14" s="442"/>
      <c r="O14" s="440"/>
      <c r="P14" s="447"/>
    </row>
    <row r="15" spans="1:16" s="151" customFormat="1" ht="17.399999999999999" customHeight="1">
      <c r="A15" s="745" t="s">
        <v>218</v>
      </c>
      <c r="B15" s="746"/>
      <c r="C15" s="746"/>
      <c r="D15" s="746"/>
      <c r="E15" s="746"/>
      <c r="F15" s="747"/>
      <c r="G15" s="155"/>
      <c r="H15" s="740"/>
      <c r="L15" s="440"/>
      <c r="M15" s="440"/>
      <c r="N15" s="442"/>
      <c r="O15" s="440"/>
      <c r="P15" s="447"/>
    </row>
    <row r="16" spans="1:16" s="151" customFormat="1" ht="17.399999999999999" customHeight="1">
      <c r="A16" s="748" t="s">
        <v>219</v>
      </c>
      <c r="B16" s="743"/>
      <c r="C16" s="743"/>
      <c r="D16" s="743"/>
      <c r="E16" s="743"/>
      <c r="F16" s="744"/>
      <c r="G16" s="156"/>
      <c r="H16" s="741"/>
      <c r="L16" s="440"/>
      <c r="M16" s="440"/>
      <c r="N16" s="442"/>
      <c r="O16" s="440"/>
      <c r="P16" s="447"/>
    </row>
    <row r="17" spans="1:16" s="151" customFormat="1" ht="17.399999999999999" customHeight="1">
      <c r="A17" s="749" t="s">
        <v>98</v>
      </c>
      <c r="B17" s="749"/>
      <c r="C17" s="749"/>
      <c r="D17" s="749"/>
      <c r="E17" s="749"/>
      <c r="F17" s="749"/>
      <c r="G17" s="749"/>
      <c r="H17" s="419"/>
      <c r="L17" s="439"/>
      <c r="M17" s="439"/>
      <c r="N17" s="439"/>
      <c r="O17" s="439"/>
      <c r="P17" s="439"/>
    </row>
    <row r="18" spans="1:16" s="151" customFormat="1" ht="17.399999999999999" customHeight="1">
      <c r="A18" s="750" t="s">
        <v>227</v>
      </c>
      <c r="B18" s="751"/>
      <c r="C18" s="751"/>
      <c r="D18" s="751"/>
      <c r="E18" s="751"/>
      <c r="F18" s="752"/>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53" t="s">
        <v>708</v>
      </c>
      <c r="M18" s="753"/>
      <c r="N18" s="443" t="s">
        <v>709</v>
      </c>
      <c r="O18" s="443" t="s">
        <v>719</v>
      </c>
      <c r="P18" s="439"/>
    </row>
    <row r="19" spans="1:16" s="151" customFormat="1" ht="17.399999999999999" customHeight="1">
      <c r="A19" s="754" t="s">
        <v>216</v>
      </c>
      <c r="B19" s="754"/>
      <c r="C19" s="754"/>
      <c r="D19" s="754"/>
      <c r="E19" s="754"/>
      <c r="F19" s="754"/>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55" t="s">
        <v>223</v>
      </c>
      <c r="B20" s="755"/>
      <c r="C20" s="755"/>
      <c r="D20" s="755"/>
      <c r="E20" s="755"/>
      <c r="F20" s="755"/>
      <c r="G20" s="146"/>
      <c r="H20" s="150"/>
      <c r="I20" s="158"/>
      <c r="J20" s="158"/>
      <c r="L20" s="444" t="s">
        <v>711</v>
      </c>
      <c r="M20" s="448">
        <v>2.3E-2</v>
      </c>
      <c r="N20" s="449"/>
      <c r="O20" s="439"/>
      <c r="P20" s="439"/>
    </row>
    <row r="21" spans="1:16" s="151" customFormat="1" ht="17.399999999999999" customHeight="1">
      <c r="A21" s="735" t="s">
        <v>217</v>
      </c>
      <c r="B21" s="735"/>
      <c r="C21" s="735"/>
      <c r="D21" s="735"/>
      <c r="E21" s="735"/>
      <c r="F21" s="735"/>
      <c r="G21" s="146"/>
      <c r="H21" s="148"/>
      <c r="L21" s="444" t="s">
        <v>712</v>
      </c>
      <c r="M21" s="448">
        <v>2.1999999999999999E-2</v>
      </c>
      <c r="N21" s="449"/>
      <c r="O21" s="439" t="e">
        <f>N19*G39</f>
        <v>#N/A</v>
      </c>
      <c r="P21" s="439"/>
    </row>
    <row r="22" spans="1:16" s="151" customFormat="1" ht="17.399999999999999" customHeight="1">
      <c r="A22" s="749" t="s">
        <v>104</v>
      </c>
      <c r="B22" s="749"/>
      <c r="C22" s="749"/>
      <c r="D22" s="749"/>
      <c r="E22" s="749"/>
      <c r="F22" s="749"/>
      <c r="G22" s="749"/>
      <c r="H22" s="423"/>
      <c r="I22" s="158"/>
      <c r="J22" s="158"/>
      <c r="L22" s="446"/>
      <c r="M22" s="449"/>
      <c r="N22" s="449"/>
      <c r="O22" s="439"/>
      <c r="P22" s="439"/>
    </row>
    <row r="23" spans="1:16" s="151" customFormat="1" ht="17.399999999999999" customHeight="1">
      <c r="A23" s="756" t="s">
        <v>105</v>
      </c>
      <c r="B23" s="757"/>
      <c r="C23" s="757"/>
      <c r="D23" s="757"/>
      <c r="E23" s="757"/>
      <c r="F23" s="757"/>
      <c r="G23" s="758"/>
      <c r="H23" s="424" t="e">
        <f>CEILING(IF(F4=L19,N19*M19,IF(F4=L20,N19*M20,IF(F4=L21,N19*M21))),1)</f>
        <v>#N/A</v>
      </c>
      <c r="I23" s="159"/>
      <c r="J23" s="157"/>
      <c r="L23" s="445" t="s">
        <v>713</v>
      </c>
      <c r="M23" s="445"/>
      <c r="N23" s="449"/>
      <c r="O23" s="439"/>
      <c r="P23" s="439"/>
    </row>
    <row r="24" spans="1:16" s="151" customFormat="1" ht="17.399999999999999" customHeight="1">
      <c r="A24" s="759" t="s">
        <v>106</v>
      </c>
      <c r="B24" s="760"/>
      <c r="C24" s="760"/>
      <c r="D24" s="760"/>
      <c r="E24" s="760"/>
      <c r="F24" s="760"/>
      <c r="G24" s="761"/>
      <c r="H24" s="391" t="e">
        <f>INDEX(تفصيلي!O6:O205,MATCH('افصاح-مواعيد'!J4,تفصيلي!B6:B205,0))</f>
        <v>#N/A</v>
      </c>
      <c r="L24" s="444" t="s">
        <v>712</v>
      </c>
      <c r="M24" s="448" t="s">
        <v>714</v>
      </c>
      <c r="N24" s="449"/>
      <c r="O24" s="439"/>
      <c r="P24" s="439"/>
    </row>
    <row r="25" spans="1:16" s="151" customFormat="1" ht="17.399999999999999" customHeight="1">
      <c r="A25" s="762" t="s">
        <v>107</v>
      </c>
      <c r="B25" s="763"/>
      <c r="C25" s="763"/>
      <c r="D25" s="764"/>
      <c r="E25" s="765" t="s">
        <v>108</v>
      </c>
      <c r="F25" s="394" t="s">
        <v>109</v>
      </c>
      <c r="G25" s="765" t="s">
        <v>110</v>
      </c>
      <c r="H25" s="767"/>
      <c r="L25" s="444" t="s">
        <v>711</v>
      </c>
      <c r="M25" s="448" t="s">
        <v>715</v>
      </c>
      <c r="N25" s="449"/>
      <c r="O25" s="439"/>
      <c r="P25" s="439"/>
    </row>
    <row r="26" spans="1:16" s="151" customFormat="1" ht="17.399999999999999" customHeight="1">
      <c r="A26" s="769" t="s">
        <v>111</v>
      </c>
      <c r="B26" s="770"/>
      <c r="C26" s="770"/>
      <c r="D26" s="771"/>
      <c r="E26" s="766"/>
      <c r="F26" s="395" t="s">
        <v>112</v>
      </c>
      <c r="G26" s="766"/>
      <c r="H26" s="768"/>
      <c r="L26" s="421" t="s">
        <v>710</v>
      </c>
      <c r="M26" s="450">
        <v>20</v>
      </c>
      <c r="N26" s="449"/>
    </row>
    <row r="27" spans="1:16" s="151" customFormat="1" ht="17.399999999999999" customHeight="1">
      <c r="A27" s="754"/>
      <c r="B27" s="754"/>
      <c r="C27" s="754"/>
      <c r="D27" s="754"/>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54" t="s">
        <v>116</v>
      </c>
      <c r="B28" s="754"/>
      <c r="C28" s="754"/>
      <c r="D28" s="754"/>
      <c r="E28" s="754"/>
      <c r="F28" s="754"/>
      <c r="G28" s="754"/>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72" t="s">
        <v>716</v>
      </c>
      <c r="B31" s="772"/>
      <c r="C31" s="772"/>
      <c r="D31" s="773">
        <f>عقد!E7</f>
        <v>0</v>
      </c>
      <c r="E31" s="773"/>
      <c r="F31" s="772" t="s">
        <v>222</v>
      </c>
      <c r="G31" s="772"/>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74"/>
      <c r="B34" s="774"/>
      <c r="C34" s="774"/>
      <c r="D34" s="774"/>
      <c r="E34" s="774"/>
      <c r="F34" s="774"/>
      <c r="G34" s="774"/>
      <c r="H34" s="774"/>
    </row>
    <row r="35" spans="1:8" s="151" customFormat="1" ht="4.95" customHeight="1">
      <c r="A35" s="775"/>
      <c r="B35" s="775"/>
      <c r="C35" s="775"/>
      <c r="D35" s="775"/>
      <c r="E35" s="775"/>
      <c r="F35" s="775"/>
      <c r="G35" s="775"/>
      <c r="H35" s="775"/>
    </row>
    <row r="36" spans="1:8" ht="26.4" customHeight="1">
      <c r="A36" s="776" t="s">
        <v>720</v>
      </c>
      <c r="B36" s="777"/>
      <c r="C36" s="777"/>
      <c r="D36" s="777"/>
      <c r="E36" s="777"/>
      <c r="F36" s="777"/>
      <c r="G36" s="777"/>
      <c r="H36" s="778"/>
    </row>
    <row r="37" spans="1:8" ht="17.399999999999999" customHeight="1">
      <c r="A37" s="163" t="s">
        <v>176</v>
      </c>
      <c r="B37" s="779" t="e">
        <f>عقد!C9</f>
        <v>#N/A</v>
      </c>
      <c r="C37" s="779"/>
      <c r="D37" s="779"/>
      <c r="E37" s="779"/>
      <c r="F37" s="162" t="s">
        <v>177</v>
      </c>
      <c r="G37" s="466">
        <f>عقد!M1</f>
        <v>0</v>
      </c>
      <c r="H37" s="164"/>
    </row>
    <row r="38" spans="1:8" ht="17.399999999999999" customHeight="1">
      <c r="A38" s="163" t="s">
        <v>178</v>
      </c>
      <c r="B38" s="780" t="str">
        <f>عقد!K19</f>
        <v/>
      </c>
      <c r="C38" s="780"/>
      <c r="D38" s="780"/>
      <c r="E38" s="780"/>
      <c r="F38" s="162" t="s">
        <v>179</v>
      </c>
      <c r="G38" s="781" t="str">
        <f>IFERROR(VLOOKUP(G37,تفصيلي!B6:R205,11,FALSE),"")</f>
        <v/>
      </c>
      <c r="H38" s="782"/>
    </row>
    <row r="39" spans="1:8" ht="17.399999999999999" customHeight="1">
      <c r="A39" s="163" t="s">
        <v>180</v>
      </c>
      <c r="B39" s="780" t="str">
        <f>IFERROR(VLOOKUP($G$37,تفصيلي!B6:AW205,20,FALSE),"")</f>
        <v/>
      </c>
      <c r="C39" s="780"/>
      <c r="D39" s="780"/>
      <c r="E39" s="780"/>
      <c r="F39" s="162" t="s">
        <v>181</v>
      </c>
      <c r="G39" s="438" t="str">
        <f>عقد!B23</f>
        <v/>
      </c>
      <c r="H39" s="164"/>
    </row>
    <row r="40" spans="1:8" ht="17.399999999999999" customHeight="1">
      <c r="A40" s="783" t="s">
        <v>182</v>
      </c>
      <c r="B40" s="784"/>
      <c r="C40" s="784"/>
      <c r="D40" s="784"/>
      <c r="E40" s="784"/>
      <c r="F40" s="784"/>
      <c r="G40" s="784"/>
      <c r="H40" s="785"/>
    </row>
    <row r="41" spans="1:8" ht="17.399999999999999" customHeight="1">
      <c r="A41" s="429" t="s">
        <v>7</v>
      </c>
      <c r="B41" s="786" t="s">
        <v>183</v>
      </c>
      <c r="C41" s="786"/>
      <c r="D41" s="786"/>
      <c r="E41" s="429" t="s">
        <v>7</v>
      </c>
      <c r="F41" s="786" t="s">
        <v>183</v>
      </c>
      <c r="G41" s="786"/>
      <c r="H41" s="786"/>
    </row>
    <row r="42" spans="1:8" ht="17.399999999999999" customHeight="1">
      <c r="A42" s="436">
        <v>1</v>
      </c>
      <c r="B42" s="787" t="str">
        <f>عقد!K24</f>
        <v/>
      </c>
      <c r="C42" s="787"/>
      <c r="D42" s="787"/>
      <c r="E42" s="436">
        <v>13</v>
      </c>
      <c r="F42" s="788">
        <f>IF(E42&lt;=$G$39,VLOOKUP(E42,'Data Validation'!$O$2:$P$25,2,FALSE),"ــــــــــــــــــــــــــــــــــــــــــ")</f>
        <v>0</v>
      </c>
      <c r="G42" s="789"/>
      <c r="H42" s="790"/>
    </row>
    <row r="43" spans="1:8" ht="17.399999999999999" customHeight="1">
      <c r="A43" s="436">
        <v>2</v>
      </c>
      <c r="B43" s="787">
        <f>IF(A43&lt;=$G$39,VLOOKUP(A43,'Data Validation'!$O$2:$P$25,2,FALSE),"ــــــــــــــــــــــــــــــــــــــــــ")</f>
        <v>0</v>
      </c>
      <c r="C43" s="787"/>
      <c r="D43" s="787"/>
      <c r="E43" s="436">
        <v>14</v>
      </c>
      <c r="F43" s="788">
        <f>IF(E43&lt;=$G$39,VLOOKUP(E43,'Data Validation'!$O$2:$P$25,2,FALSE),"ــــــــــــــــــــــــــــــــــــــــــ")</f>
        <v>0</v>
      </c>
      <c r="G43" s="789"/>
      <c r="H43" s="790"/>
    </row>
    <row r="44" spans="1:8" ht="17.399999999999999" customHeight="1">
      <c r="A44" s="436">
        <v>3</v>
      </c>
      <c r="B44" s="787">
        <f>IF(A44&lt;=$G$39,VLOOKUP(A44,'Data Validation'!$O$2:$P$25,2,FALSE),"ــــــــــــــــــــــــــــــــــــــــــ")</f>
        <v>0</v>
      </c>
      <c r="C44" s="787"/>
      <c r="D44" s="787"/>
      <c r="E44" s="436">
        <v>15</v>
      </c>
      <c r="F44" s="788">
        <f>IF(E44&lt;=$G$39,VLOOKUP(E44,'Data Validation'!$O$2:$P$25,2,FALSE),"ــــــــــــــــــــــــــــــــــــــــــ")</f>
        <v>0</v>
      </c>
      <c r="G44" s="789"/>
      <c r="H44" s="790"/>
    </row>
    <row r="45" spans="1:8" ht="17.399999999999999" customHeight="1">
      <c r="A45" s="436">
        <v>4</v>
      </c>
      <c r="B45" s="787">
        <f>IF(A45&lt;=$G$39,VLOOKUP(A45,'Data Validation'!$O$2:$P$25,2,FALSE),"ــــــــــــــــــــــــــــــــــــــــــ")</f>
        <v>0</v>
      </c>
      <c r="C45" s="787"/>
      <c r="D45" s="787"/>
      <c r="E45" s="436">
        <v>16</v>
      </c>
      <c r="F45" s="788">
        <f>IF(E45&lt;=$G$39,VLOOKUP(E45,'Data Validation'!$O$2:$P$25,2,FALSE),"ــــــــــــــــــــــــــــــــــــــــــ")</f>
        <v>0</v>
      </c>
      <c r="G45" s="789"/>
      <c r="H45" s="790"/>
    </row>
    <row r="46" spans="1:8" ht="17.399999999999999" customHeight="1">
      <c r="A46" s="436">
        <v>5</v>
      </c>
      <c r="B46" s="787">
        <f>IF(A46&lt;=$G$39,VLOOKUP(A46,'Data Validation'!$O$2:$P$25,2,FALSE),"ــــــــــــــــــــــــــــــــــــــــــ")</f>
        <v>0</v>
      </c>
      <c r="C46" s="787"/>
      <c r="D46" s="787"/>
      <c r="E46" s="436">
        <v>17</v>
      </c>
      <c r="F46" s="788">
        <f>IF(E46&lt;=$G$39,VLOOKUP(E46,'Data Validation'!$O$2:$P$25,2,FALSE),"ــــــــــــــــــــــــــــــــــــــــــ")</f>
        <v>0</v>
      </c>
      <c r="G46" s="789"/>
      <c r="H46" s="790"/>
    </row>
    <row r="47" spans="1:8" ht="17.399999999999999" customHeight="1">
      <c r="A47" s="436">
        <v>6</v>
      </c>
      <c r="B47" s="787">
        <f>IF(A47&lt;=$G$39,VLOOKUP(A47,'Data Validation'!$O$2:$P$25,2,FALSE),"ــــــــــــــــــــــــــــــــــــــــــ")</f>
        <v>0</v>
      </c>
      <c r="C47" s="787"/>
      <c r="D47" s="787"/>
      <c r="E47" s="436">
        <v>18</v>
      </c>
      <c r="F47" s="788">
        <f>IF(E47&lt;=$G$39,VLOOKUP(E47,'Data Validation'!$O$2:$P$25,2,FALSE),"ــــــــــــــــــــــــــــــــــــــــــ")</f>
        <v>0</v>
      </c>
      <c r="G47" s="789"/>
      <c r="H47" s="790"/>
    </row>
    <row r="48" spans="1:8" ht="17.399999999999999" customHeight="1">
      <c r="A48" s="436">
        <v>7</v>
      </c>
      <c r="B48" s="787">
        <f>IF(A48&lt;=$G$39,VLOOKUP(A48,'Data Validation'!$O$2:$P$25,2,FALSE),"ــــــــــــــــــــــــــــــــــــــــــ")</f>
        <v>0</v>
      </c>
      <c r="C48" s="787"/>
      <c r="D48" s="787"/>
      <c r="E48" s="436">
        <v>19</v>
      </c>
      <c r="F48" s="788">
        <f>IF(E48&lt;=$G$39,VLOOKUP(E48,'Data Validation'!$O$2:$P$25,2,FALSE),"ــــــــــــــــــــــــــــــــــــــــــ")</f>
        <v>0</v>
      </c>
      <c r="G48" s="789"/>
      <c r="H48" s="790"/>
    </row>
    <row r="49" spans="1:8" ht="17.399999999999999" customHeight="1">
      <c r="A49" s="436">
        <v>8</v>
      </c>
      <c r="B49" s="787">
        <f>IF(A49&lt;=$G$39,VLOOKUP(A49,'Data Validation'!$O$2:$P$25,2,FALSE),"ــــــــــــــــــــــــــــــــــــــــــ")</f>
        <v>0</v>
      </c>
      <c r="C49" s="787"/>
      <c r="D49" s="787"/>
      <c r="E49" s="436">
        <v>20</v>
      </c>
      <c r="F49" s="788">
        <f>IF(E49&lt;=$G$39,VLOOKUP(E49,'Data Validation'!$O$2:$P$25,2,FALSE),"ــــــــــــــــــــــــــــــــــــــــــ")</f>
        <v>0</v>
      </c>
      <c r="G49" s="789"/>
      <c r="H49" s="790"/>
    </row>
    <row r="50" spans="1:8" ht="17.399999999999999" customHeight="1">
      <c r="A50" s="436">
        <v>9</v>
      </c>
      <c r="B50" s="787">
        <f>IF(A50&lt;=$G$39,VLOOKUP(A50,'Data Validation'!$O$2:$P$25,2,FALSE),"ــــــــــــــــــــــــــــــــــــــــــ")</f>
        <v>0</v>
      </c>
      <c r="C50" s="787"/>
      <c r="D50" s="787"/>
      <c r="E50" s="436">
        <v>21</v>
      </c>
      <c r="F50" s="788">
        <f>IF(E50&lt;=$G$39,VLOOKUP(E50,'Data Validation'!$O$2:$P$25,2,FALSE),"ــــــــــــــــــــــــــــــــــــــــــ")</f>
        <v>0</v>
      </c>
      <c r="G50" s="789"/>
      <c r="H50" s="790"/>
    </row>
    <row r="51" spans="1:8" ht="17.399999999999999" customHeight="1">
      <c r="A51" s="436">
        <v>10</v>
      </c>
      <c r="B51" s="787">
        <f>IF(A51&lt;=$G$39,VLOOKUP(A51,'Data Validation'!$O$2:$P$25,2,FALSE),"ــــــــــــــــــــــــــــــــــــــــــ")</f>
        <v>0</v>
      </c>
      <c r="C51" s="787"/>
      <c r="D51" s="787"/>
      <c r="E51" s="436">
        <v>22</v>
      </c>
      <c r="F51" s="788">
        <f>IF(E51&lt;=$G$39,VLOOKUP(E51,'Data Validation'!$O$2:$P$25,2,FALSE),"ــــــــــــــــــــــــــــــــــــــــــ")</f>
        <v>0</v>
      </c>
      <c r="G51" s="789"/>
      <c r="H51" s="790"/>
    </row>
    <row r="52" spans="1:8" ht="17.399999999999999" customHeight="1">
      <c r="A52" s="436">
        <v>11</v>
      </c>
      <c r="B52" s="787">
        <f>IF(A52&lt;=$G$39,VLOOKUP(A52,'Data Validation'!$O$2:$P$25,2,FALSE),"ــــــــــــــــــــــــــــــــــــــــــ")</f>
        <v>0</v>
      </c>
      <c r="C52" s="787"/>
      <c r="D52" s="787"/>
      <c r="E52" s="436">
        <v>23</v>
      </c>
      <c r="F52" s="788">
        <f>IF(E52&lt;=$G$39,VLOOKUP(E52,'Data Validation'!$O$2:$P$25,2,FALSE),"ــــــــــــــــــــــــــــــــــــــــــ")</f>
        <v>0</v>
      </c>
      <c r="G52" s="789"/>
      <c r="H52" s="790"/>
    </row>
    <row r="53" spans="1:8" ht="17.399999999999999" customHeight="1">
      <c r="A53" s="436">
        <v>12</v>
      </c>
      <c r="B53" s="787">
        <f>IF(A53&lt;=$G$39,VLOOKUP(A53,'Data Validation'!$O$2:$P$25,2,FALSE),"ــــــــــــــــــــــــــــــــــــــــــ")</f>
        <v>0</v>
      </c>
      <c r="C53" s="787"/>
      <c r="D53" s="787"/>
      <c r="E53" s="436">
        <v>24</v>
      </c>
      <c r="F53" s="788">
        <f>IF(E53&lt;=$G$39,VLOOKUP(E53,'Data Validation'!$O$2:$P$25,2,FALSE),"ــــــــــــــــــــــــــــــــــــــــــ")</f>
        <v>0</v>
      </c>
      <c r="G53" s="789"/>
      <c r="H53" s="790"/>
    </row>
    <row r="54" spans="1:8" ht="17.399999999999999" customHeight="1">
      <c r="A54" s="165" t="s">
        <v>184</v>
      </c>
    </row>
    <row r="55" spans="1:8" ht="17.399999999999999" customHeight="1">
      <c r="A55" s="792" t="s">
        <v>211</v>
      </c>
      <c r="B55" s="792"/>
      <c r="C55" s="792"/>
      <c r="D55" s="792"/>
      <c r="E55" s="792"/>
      <c r="F55" s="792"/>
      <c r="G55" s="792"/>
      <c r="H55" s="792"/>
    </row>
    <row r="56" spans="1:8" ht="34.200000000000003" customHeight="1">
      <c r="A56" s="791" t="s">
        <v>212</v>
      </c>
      <c r="B56" s="791"/>
      <c r="C56" s="791"/>
      <c r="D56" s="791"/>
      <c r="E56" s="791"/>
      <c r="F56" s="791"/>
      <c r="G56" s="791"/>
      <c r="H56" s="791"/>
    </row>
    <row r="57" spans="1:8" ht="33.6" customHeight="1">
      <c r="A57" s="791" t="s">
        <v>213</v>
      </c>
      <c r="B57" s="791"/>
      <c r="C57" s="791"/>
      <c r="D57" s="791"/>
      <c r="E57" s="791"/>
      <c r="F57" s="791"/>
      <c r="G57" s="791"/>
      <c r="H57" s="791"/>
    </row>
    <row r="58" spans="1:8" ht="17.399999999999999" customHeight="1">
      <c r="A58" s="792" t="s">
        <v>214</v>
      </c>
      <c r="B58" s="792"/>
      <c r="C58" s="792"/>
      <c r="D58" s="792"/>
      <c r="E58" s="792"/>
      <c r="F58" s="792"/>
      <c r="G58" s="792"/>
      <c r="H58" s="792"/>
    </row>
    <row r="59" spans="1:8" ht="17.399999999999999" customHeight="1">
      <c r="A59" s="793" t="s">
        <v>185</v>
      </c>
      <c r="B59" s="793"/>
      <c r="C59" s="793"/>
      <c r="D59" s="794" t="s">
        <v>186</v>
      </c>
      <c r="E59" s="794"/>
      <c r="F59" s="795" t="s">
        <v>187</v>
      </c>
      <c r="G59" s="795"/>
      <c r="H59" s="795"/>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6" t="s">
        <v>731</v>
      </c>
      <c r="B2" s="796"/>
      <c r="C2" s="796"/>
      <c r="D2" s="796"/>
      <c r="E2" s="796"/>
      <c r="F2" s="796"/>
      <c r="G2" s="796"/>
      <c r="H2" s="796"/>
      <c r="I2" s="796"/>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7" t="s">
        <v>639</v>
      </c>
      <c r="H6" s="797"/>
    </row>
    <row r="7" spans="1:11" s="514" customFormat="1" ht="10.199999999999999" customHeight="1"/>
    <row r="8" spans="1:11" s="514" customFormat="1" ht="21">
      <c r="B8" s="514" t="s">
        <v>734</v>
      </c>
      <c r="C8" s="798"/>
      <c r="D8" s="798"/>
      <c r="E8" s="798"/>
      <c r="F8" s="798"/>
      <c r="G8" s="798"/>
      <c r="H8" s="798"/>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799" t="e">
        <f>عقد!C10</f>
        <v>#N/A</v>
      </c>
      <c r="G14" s="799"/>
    </row>
    <row r="15" spans="1:11" s="514" customFormat="1" ht="21">
      <c r="E15" s="516" t="s">
        <v>738</v>
      </c>
      <c r="F15" s="800" t="str">
        <f>عقد!L14</f>
        <v/>
      </c>
      <c r="G15" s="800"/>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4" t="e">
        <f>عقد!C10</f>
        <v>#N/A</v>
      </c>
      <c r="G13" s="805"/>
      <c r="H13" s="320"/>
      <c r="I13" s="321" t="s">
        <v>660</v>
      </c>
      <c r="J13" s="806">
        <f>عقد!M1</f>
        <v>0</v>
      </c>
      <c r="K13" s="807"/>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2" t="e">
        <f>عقد!C11</f>
        <v>#N/A</v>
      </c>
      <c r="G15" s="802"/>
      <c r="H15" s="802"/>
      <c r="I15" s="802"/>
      <c r="J15" s="802"/>
      <c r="K15" s="802"/>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3" t="str">
        <f>عقد!L14</f>
        <v/>
      </c>
      <c r="G17" s="803"/>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4" t="e">
        <f>الكفالة!L4</f>
        <v>#N/A</v>
      </c>
      <c r="G31" s="805"/>
      <c r="H31" s="320"/>
      <c r="I31" s="321"/>
      <c r="J31" s="804"/>
      <c r="K31" s="805"/>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2" t="e">
        <f>الكفالة!E6</f>
        <v>#N/A</v>
      </c>
      <c r="G33" s="802"/>
      <c r="H33" s="802"/>
      <c r="I33" s="802"/>
      <c r="J33" s="802"/>
      <c r="K33" s="802"/>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3">
        <f>الكفالة!L5</f>
        <v>0</v>
      </c>
      <c r="G35" s="803"/>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4" t="str">
        <f>الكفالة!L18</f>
        <v/>
      </c>
      <c r="G49" s="805"/>
      <c r="H49" s="320"/>
      <c r="I49" s="321"/>
      <c r="J49" s="804"/>
      <c r="K49" s="805"/>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2" t="str">
        <f>الكفالة!E20</f>
        <v/>
      </c>
      <c r="G51" s="802"/>
      <c r="H51" s="802"/>
      <c r="I51" s="802"/>
      <c r="J51" s="802"/>
      <c r="K51" s="802"/>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3">
        <f>الكفالة!L19</f>
        <v>0</v>
      </c>
      <c r="G53" s="803"/>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1"/>
      <c r="H64" s="801"/>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8" t="s">
        <v>614</v>
      </c>
      <c r="B1" s="808"/>
      <c r="C1" s="808"/>
      <c r="D1" s="808"/>
      <c r="E1" s="808"/>
      <c r="F1" s="808"/>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2" t="s">
        <v>45</v>
      </c>
      <c r="C1" s="812"/>
      <c r="D1" s="812"/>
      <c r="E1" s="812"/>
      <c r="F1" s="812"/>
      <c r="G1" s="812"/>
      <c r="H1" s="812"/>
      <c r="I1" s="812"/>
      <c r="J1" s="12"/>
      <c r="K1" s="12"/>
    </row>
    <row r="2" spans="1:15" ht="18" thickTop="1">
      <c r="A2" s="810" t="s">
        <v>59</v>
      </c>
      <c r="B2" s="814" t="s">
        <v>29</v>
      </c>
      <c r="C2" s="816" t="s">
        <v>30</v>
      </c>
      <c r="D2" s="818" t="s">
        <v>39</v>
      </c>
      <c r="E2" s="818" t="s">
        <v>40</v>
      </c>
      <c r="F2" s="818" t="s">
        <v>41</v>
      </c>
      <c r="G2" s="820" t="s">
        <v>42</v>
      </c>
      <c r="H2" s="821"/>
      <c r="I2" s="822"/>
      <c r="J2" s="825"/>
      <c r="K2" s="823" t="s">
        <v>44</v>
      </c>
      <c r="L2" s="813" t="s">
        <v>61</v>
      </c>
      <c r="M2" s="809" t="s">
        <v>62</v>
      </c>
    </row>
    <row r="3" spans="1:15" ht="18" thickBot="1">
      <c r="A3" s="811"/>
      <c r="B3" s="815"/>
      <c r="C3" s="817"/>
      <c r="D3" s="819"/>
      <c r="E3" s="819"/>
      <c r="F3" s="819"/>
      <c r="G3" s="28" t="s">
        <v>33</v>
      </c>
      <c r="H3" s="29" t="s">
        <v>32</v>
      </c>
      <c r="I3" s="30" t="s">
        <v>31</v>
      </c>
      <c r="J3" s="825"/>
      <c r="K3" s="824"/>
      <c r="L3" s="813"/>
      <c r="M3" s="809"/>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2025-08-21T12:39:54Z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