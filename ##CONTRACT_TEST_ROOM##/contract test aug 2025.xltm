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2.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it tracked\committeFormes\##CONTRACT_TEST_ROOM##\"/>
    </mc:Choice>
  </mc:AlternateContent>
  <bookViews>
    <workbookView xWindow="0" yWindow="6750" windowWidth="21600" windowHeight="9810" tabRatio="926" activeTab="8"/>
  </bookViews>
  <sheets>
    <sheet name="عقد" sheetId="12" r:id="rId1"/>
    <sheet name="تفصيلي" sheetId="17" r:id="rId2"/>
    <sheet name="Control" sheetId="31" r:id="rId3"/>
    <sheet name="الكفالة" sheetId="13" r:id="rId4"/>
    <sheet name="السند" sheetId="14" r:id="rId5"/>
    <sheet name="الاقرارات" sheetId="21" r:id="rId6"/>
    <sheet name="تامين" sheetId="16" r:id="rId7"/>
    <sheet name="افصاح" sheetId="15" state="hidden" r:id="rId8"/>
    <sheet name="الاقساط" sheetId="25" r:id="rId9"/>
    <sheet name="قوائم" sheetId="28" r:id="rId10"/>
    <sheet name="افصاح-مواعيد" sheetId="29" r:id="rId11"/>
    <sheet name="Data Validation" sheetId="24" r:id="rId12"/>
    <sheet name="الفيزا" sheetId="30" r:id="rId13"/>
    <sheet name="21%" sheetId="32" r:id="rId14"/>
    <sheet name="31%" sheetId="33" r:id="rId15"/>
    <sheet name="جدول الاقساط" sheetId="8" state="veryHidden" r:id="rId16"/>
  </sheets>
  <functionGroups builtInGroupCount="18"/>
  <externalReferences>
    <externalReference r:id="rId17"/>
    <externalReference r:id="rId18"/>
    <externalReference r:id="rId19"/>
  </externalReferences>
  <definedNames>
    <definedName name="_xlnm._FilterDatabase" localSheetId="11" hidden="1">'Data Validation'!$A$2:$N$327</definedName>
    <definedName name="_xlnm._FilterDatabase" localSheetId="1" hidden="1">تفصيلي!$A$5:$BE$5</definedName>
    <definedName name="clear">'[1]تفصيلي بيانات العميل و الضامنين'!$B$10:$D$161,'[1]تفصيلي بيانات العميل و الضامنين'!$G$10:$G$161,'[1]تفصيلي بيانات العميل و الضامنين'!$Y$10:$Y$161,'[1]تفصيلي بيانات العميل و الضامنين'!$AC$10:$AG$161,'[1]تفصيلي بيانات العميل و الضامنين'!$AH$10:$AI$161,'[1]تفصيلي بيانات العميل و الضامنين'!$AK$10:$AM$161</definedName>
    <definedName name="code" localSheetId="13">'[2]تفصيلي بيانات العميل و الضامنين'!$B$10:$B$87</definedName>
    <definedName name="code" localSheetId="14">'[2]تفصيلي بيانات العميل و الضامنين'!$B$10:$B$87</definedName>
    <definedName name="code" localSheetId="7">تفصيلي!$B$10:$B$87</definedName>
    <definedName name="code" localSheetId="10">#REF!</definedName>
    <definedName name="code" localSheetId="12">'[2]تفصيلي بيانات العميل و الضامنين'!$B$10:$B$87</definedName>
    <definedName name="code" localSheetId="6">تفصيلي!$B$10:$B$87</definedName>
    <definedName name="code" localSheetId="1">تفصيلي!$B$6:$B$83</definedName>
    <definedName name="code" localSheetId="9">'[2]تفصيلي بيانات العميل و الضامنين'!$B$10:$B$87</definedName>
    <definedName name="code">#REF!</definedName>
    <definedName name="_xlnm.Print_Area" localSheetId="13">'21%'!$A$1:$M$944</definedName>
    <definedName name="_xlnm.Print_Area" localSheetId="14">'31%'!$A$1:$M$944</definedName>
    <definedName name="_xlnm.Print_Area" localSheetId="7">افصاح!$A$1:$F$37</definedName>
    <definedName name="_xlnm.Print_Area" localSheetId="10">'افصاح-مواعيد'!$A$4:$H$62</definedName>
    <definedName name="_xlnm.Print_Area" localSheetId="5">الاقرارات!$A$1:$M$24</definedName>
    <definedName name="_xlnm.Print_Area" localSheetId="4">السند!$A$1:$M$71</definedName>
    <definedName name="_xlnm.Print_Area" localSheetId="12">الفيزا!$A$1:$I$26</definedName>
    <definedName name="_xlnm.Print_Area" localSheetId="3">الكفالة!$A$1:$Q$27</definedName>
    <definedName name="_xlnm.Print_Area" localSheetId="15">'جدول الاقساط'!$A$1:$M$937</definedName>
    <definedName name="_xlnm.Print_Area" localSheetId="0">عقد!$A$1:$N$48</definedName>
    <definedName name="_xlnm.Print_Area" localSheetId="9">قوائم!$B$2:$L$72</definedName>
    <definedName name="_xlnm.Print_Titles" localSheetId="13">'21%'!$1:$3</definedName>
    <definedName name="_xlnm.Print_Titles" localSheetId="14">'31%'!$1:$3</definedName>
    <definedName name="_xlnm.Print_Titles" localSheetId="15">'جدول الاقساط'!$1:$3</definedName>
    <definedName name="Z_2823ADBE_3720_4539_8938_ECF3398E8FC2_.wvu.FilterData" localSheetId="1" hidden="1">تفصيلي!$A$5:$AT$157</definedName>
    <definedName name="Z_2C5FA454_FE55_4494_8B5D_EAB5787FFC52_.wvu.Cols" localSheetId="1" hidden="1">تفصيلي!$A:$A,تفصيلي!$AP:$AQ,تفصيلي!$AR:$AR</definedName>
    <definedName name="Z_2C5FA454_FE55_4494_8B5D_EAB5787FFC52_.wvu.Cols" localSheetId="15" hidden="1">'جدول الاقساط'!$J:$J</definedName>
    <definedName name="Z_2C5FA454_FE55_4494_8B5D_EAB5787FFC52_.wvu.FilterData" localSheetId="1" hidden="1">تفصيلي!$A$5:$AT$157</definedName>
    <definedName name="Z_2C5FA454_FE55_4494_8B5D_EAB5787FFC52_.wvu.PrintArea" localSheetId="15" hidden="1">'جدول الاقساط'!$A$1:$M$944</definedName>
    <definedName name="Z_2C5FA454_FE55_4494_8B5D_EAB5787FFC52_.wvu.PrintTitles" localSheetId="15" hidden="1">'جدول الاقساط'!$1:$3</definedName>
    <definedName name="Z_2CC1CD3D_5B1F_4689_811F_484CF336F0BE_.wvu.FilterData" localSheetId="1" hidden="1">تفصيلي!$A$5:$AT$157</definedName>
    <definedName name="Z_2EBD62CF_82E5_4F2F_AF64_3FFCF5767737_.wvu.FilterData" localSheetId="1" hidden="1">تفصيلي!$A$5:$AT$157</definedName>
    <definedName name="Z_3736DE1D_9D17_46D4_8E96_3207FB3A357F_.wvu.FilterData" localSheetId="1" hidden="1">تفصيلي!$A$5:$AT$157</definedName>
    <definedName name="Z_3B300304_784E_4B6F_9CD9_14B65F4AC668_.wvu.FilterData" localSheetId="1" hidden="1">تفصيلي!$A$5:$AT$157</definedName>
    <definedName name="Z_3D9000E2_9634_443A_9A9F_CB59377235E0_.wvu.FilterData" localSheetId="1" hidden="1">تفصيلي!$A$5:$AT$157</definedName>
    <definedName name="Z_497018FE_B47D_470A_9C05_B83422D09AB2_.wvu.FilterData" localSheetId="1" hidden="1">تفصيلي!$A$5:$AT$157</definedName>
    <definedName name="Z_5084EBA4_8B99_4C8E_9397_E4014B6B866D_.wvu.FilterData" localSheetId="1" hidden="1">تفصيلي!$A$5:$AT$157</definedName>
    <definedName name="Z_55085C42_FBCB_4C65_982A_78BC788538CF_.wvu.FilterData" localSheetId="1" hidden="1">تفصيلي!$A$5:$AT$157</definedName>
    <definedName name="Z_56606B66_E02A_47B6_8756_61F024461B62_.wvu.FilterData" localSheetId="1" hidden="1">تفصيلي!$A$5:$AT$157</definedName>
    <definedName name="Z_595732A9_1BBA_4CA9_8052_EA78BC19D2C0_.wvu.FilterData" localSheetId="1" hidden="1">تفصيلي!$A$5:$AT$157</definedName>
    <definedName name="Z_619B0B26_BD24_4F6D_9C88_32A1B0B65519_.wvu.FilterData" localSheetId="1" hidden="1">تفصيلي!$A$5:$AT$157</definedName>
    <definedName name="Z_78921A3A_A45C_4A5A_9996_C633853663A5_.wvu.FilterData" localSheetId="1" hidden="1">تفصيلي!$A$5:$AT$157</definedName>
    <definedName name="Z_8330BD38_BF8D_4E6A_8C42_1AFDDB304F32_.wvu.FilterData" localSheetId="1" hidden="1">تفصيلي!$A$5:$AT$157</definedName>
    <definedName name="Z_835DA067_01E2_4078_A244_B9F0F434F58D_.wvu.FilterData" localSheetId="1" hidden="1">تفصيلي!$A$5:$AT$157</definedName>
    <definedName name="Z_9333406A_2E24_4BB2_B0B5_348B0B1B6D51_.wvu.FilterData" localSheetId="1" hidden="1">تفصيلي!$A$5:$AT$157</definedName>
    <definedName name="Z_94C8B67D_731B_4E07_B8A8_07865C1D7B51_.wvu.FilterData" localSheetId="1" hidden="1">تفصيلي!$A$5:$AT$157</definedName>
    <definedName name="Z_A065F1C7_CEA8_4D1D_9CBF_00A66649D765_.wvu.FilterData" localSheetId="1" hidden="1">تفصيلي!$A$5:$AT$157</definedName>
    <definedName name="Z_A451BAE6_AD7E_4024_9506_B8543B8B94B6_.wvu.FilterData" localSheetId="1" hidden="1">تفصيلي!$A$5:$AT$157</definedName>
    <definedName name="Z_A5B89971_1E76_4954_B31D_04BDACCF6368_.wvu.FilterData" localSheetId="1" hidden="1">تفصيلي!$A$5:$AT$157</definedName>
    <definedName name="Z_A824723F_C28A_4BE4_9F9F_20B31E55EAB2_.wvu.FilterData" localSheetId="1" hidden="1">تفصيلي!$A$5:$AT$157</definedName>
    <definedName name="Z_AC1A7D15_59B2_4160_9A55_22DAAE5DD7A7_.wvu.FilterData" localSheetId="1" hidden="1">تفصيلي!$A$5:$AT$157</definedName>
    <definedName name="Z_AD3DE99A_1112_4ED0_A821_38AB8606A83F_.wvu.FilterData" localSheetId="1" hidden="1">تفصيلي!$A$5:$AT$157</definedName>
    <definedName name="Z_B7CEC446_4A03_4941_BFDC_37FC1D15574D_.wvu.FilterData" localSheetId="1" hidden="1">تفصيلي!$A$5:$AT$157</definedName>
    <definedName name="Z_C21A23A0_5E4B_49EF_9668_7A34EED7C046_.wvu.Cols" localSheetId="15" hidden="1">'جدول الاقساط'!$J:$J</definedName>
    <definedName name="Z_C21A23A0_5E4B_49EF_9668_7A34EED7C046_.wvu.FilterData" localSheetId="1" hidden="1">تفصيلي!$A$5:$AT$157</definedName>
    <definedName name="Z_C21A23A0_5E4B_49EF_9668_7A34EED7C046_.wvu.PrintArea" localSheetId="13" hidden="1">'21%'!$B$1:$I$944</definedName>
    <definedName name="Z_C21A23A0_5E4B_49EF_9668_7A34EED7C046_.wvu.PrintArea" localSheetId="14" hidden="1">'31%'!$B$1:$I$944</definedName>
    <definedName name="Z_C21A23A0_5E4B_49EF_9668_7A34EED7C046_.wvu.PrintArea" localSheetId="15" hidden="1">'جدول الاقساط'!$A$1:$M$944</definedName>
    <definedName name="Z_C21A23A0_5E4B_49EF_9668_7A34EED7C046_.wvu.PrintTitles" localSheetId="13" hidden="1">'21%'!$1:$3</definedName>
    <definedName name="Z_C21A23A0_5E4B_49EF_9668_7A34EED7C046_.wvu.PrintTitles" localSheetId="14" hidden="1">'31%'!$1:$3</definedName>
    <definedName name="Z_C21A23A0_5E4B_49EF_9668_7A34EED7C046_.wvu.PrintTitles" localSheetId="15" hidden="1">'جدول الاقساط'!$1:$3</definedName>
    <definedName name="Z_C9BA3534_7861_4AE2_A66F_FF53488B3494_.wvu.FilterData" localSheetId="1" hidden="1">تفصيلي!$A$5:$AT$157</definedName>
    <definedName name="Z_D017619D_390F_423A_A4B2_5D56800FFCA9_.wvu.FilterData" localSheetId="1" hidden="1">تفصيلي!$A$5:$AT$157</definedName>
    <definedName name="Z_D3CB5327_FB22_4744_9C24_5101B630760F_.wvu.FilterData" localSheetId="1" hidden="1">تفصيلي!$A$5:$AT$157</definedName>
    <definedName name="Z_D847B2A9_2122_41BB_8395_DD22D6239E66_.wvu.FilterData" localSheetId="1" hidden="1">تفصيلي!$A$5:$AT$157</definedName>
    <definedName name="Z_DAF3CCCD_A564_42DD_A717_4A7B8A551FE9_.wvu.FilterData" localSheetId="1" hidden="1">تفصيلي!$A$5:$AT$157</definedName>
    <definedName name="Z_E471B11D_CCFD_4EB1_B053_1E7C4DD7311F_.wvu.FilterData" localSheetId="1" hidden="1">تفصيلي!$A$5:$AT$157</definedName>
    <definedName name="Z_E9102911_0BEB_48F4_A626_DF514FBAF9A8_.wvu.FilterData" localSheetId="1" hidden="1">تفصيلي!$A$5:$AT$157</definedName>
    <definedName name="Z_F06466E0_110C_489B_A907_F1E3FEC69512_.wvu.FilterData" localSheetId="1" hidden="1">تفصيلي!$A$5:$AT$157</definedName>
    <definedName name="Z_F35BE6CC_4783_457A_98B9_D4722C2FEBA0_.wvu.FilterData" localSheetId="1" hidden="1">تفصيلي!$A$5:$AT$157</definedName>
    <definedName name="اخصائى" localSheetId="9">[3]!الاخصائى[الاخصائى]</definedName>
    <definedName name="اخصائى">[3]!الاخصائى[الاخصائى]</definedName>
    <definedName name="التمويل" localSheetId="9">[3]!Table2[اسم المشروع]</definedName>
    <definedName name="التمويل">[3]!Table2[اسم المشروع]</definedName>
    <definedName name="المحافظة" localSheetId="9">[3]!Table3[المحافظة]</definedName>
    <definedName name="المحافظة">[3]!Table3[المحافظة]</definedName>
  </definedNames>
  <calcPr calcId="162913"/>
  <customWorkbookViews>
    <customWorkbookView name="userPC - Personal View" guid="{C21A23A0-5E4B-49EF-9668-7A34EED7C046}" mergeInterval="0" personalView="1" maximized="1" windowWidth="1362" windowHeight="542" tabRatio="828" activeSheetId="4"/>
    <customWorkbookView name="Esak - Personal View" guid="{2C5FA454-FE55-4494-8B5D-EAB5787FFC52}" mergeInterval="0" personalView="1" maximized="1" xWindow="1" yWindow="1" windowWidth="1024" windowHeight="538" tabRatio="828" activeSheetId="3"/>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14" i="17" l="1"/>
  <c r="W7" i="17"/>
  <c r="W11" i="17"/>
  <c r="W15" i="17"/>
  <c r="W12" i="17"/>
  <c r="W16" i="17"/>
  <c r="W18" i="17"/>
  <c r="W8" i="17"/>
  <c r="W14" i="17"/>
  <c r="W9" i="17"/>
  <c r="W13" i="17"/>
  <c r="W17" i="17"/>
  <c r="W10" i="17"/>
  <c r="W6" i="17"/>
  <c r="U19" i="17"/>
  <c r="U23" i="17"/>
  <c r="U27" i="17"/>
  <c r="U31" i="17"/>
  <c r="U35" i="17"/>
  <c r="U39" i="17"/>
  <c r="U43" i="17"/>
  <c r="U47" i="17"/>
  <c r="U51" i="17"/>
  <c r="U55" i="17"/>
  <c r="U59" i="17"/>
  <c r="U63" i="17"/>
  <c r="U67" i="17"/>
  <c r="U71" i="17"/>
  <c r="U75" i="17"/>
  <c r="U79" i="17"/>
  <c r="U83" i="17"/>
  <c r="U87" i="17"/>
  <c r="U91" i="17"/>
  <c r="U95" i="17"/>
  <c r="U99" i="17"/>
  <c r="U103" i="17"/>
  <c r="U107" i="17"/>
  <c r="U111" i="17"/>
  <c r="U115" i="17"/>
  <c r="U119" i="17"/>
  <c r="U123" i="17"/>
  <c r="U127" i="17"/>
  <c r="U131" i="17"/>
  <c r="U135" i="17"/>
  <c r="U139" i="17"/>
  <c r="U143" i="17"/>
  <c r="U147" i="17"/>
  <c r="U151" i="17"/>
  <c r="U155" i="17"/>
  <c r="U159" i="17"/>
  <c r="U163" i="17"/>
  <c r="U167" i="17"/>
  <c r="U171" i="17"/>
  <c r="U175" i="17"/>
  <c r="U179" i="17"/>
  <c r="U183" i="17"/>
  <c r="U187" i="17"/>
  <c r="U191" i="17"/>
  <c r="U195" i="17"/>
  <c r="U199" i="17"/>
  <c r="U203" i="17"/>
  <c r="U70" i="17"/>
  <c r="U82" i="17"/>
  <c r="U90" i="17"/>
  <c r="U98" i="17"/>
  <c r="U106" i="17"/>
  <c r="U114" i="17"/>
  <c r="U122" i="17"/>
  <c r="U130" i="17"/>
  <c r="U138" i="17"/>
  <c r="U146" i="17"/>
  <c r="U154" i="17"/>
  <c r="U162" i="17"/>
  <c r="U170" i="17"/>
  <c r="U178" i="17"/>
  <c r="U186" i="17"/>
  <c r="U194" i="17"/>
  <c r="U202" i="17"/>
  <c r="U20" i="17"/>
  <c r="U24" i="17"/>
  <c r="U28" i="17"/>
  <c r="U32" i="17"/>
  <c r="U36" i="17"/>
  <c r="U40" i="17"/>
  <c r="U44" i="17"/>
  <c r="U48" i="17"/>
  <c r="U52" i="17"/>
  <c r="U56" i="17"/>
  <c r="U60" i="17"/>
  <c r="U64" i="17"/>
  <c r="U68" i="17"/>
  <c r="U72" i="17"/>
  <c r="U76" i="17"/>
  <c r="U80" i="17"/>
  <c r="U84" i="17"/>
  <c r="U88" i="17"/>
  <c r="U92" i="17"/>
  <c r="U96" i="17"/>
  <c r="U100" i="17"/>
  <c r="U104" i="17"/>
  <c r="U108" i="17"/>
  <c r="U112" i="17"/>
  <c r="U116" i="17"/>
  <c r="U120" i="17"/>
  <c r="U124" i="17"/>
  <c r="U128" i="17"/>
  <c r="U132" i="17"/>
  <c r="U136" i="17"/>
  <c r="U140" i="17"/>
  <c r="U144" i="17"/>
  <c r="U148" i="17"/>
  <c r="U152" i="17"/>
  <c r="U156" i="17"/>
  <c r="U160" i="17"/>
  <c r="U164" i="17"/>
  <c r="U168" i="17"/>
  <c r="U172" i="17"/>
  <c r="U176" i="17"/>
  <c r="U180" i="17"/>
  <c r="U184" i="17"/>
  <c r="U188" i="17"/>
  <c r="U192" i="17"/>
  <c r="U196" i="17"/>
  <c r="U200" i="17"/>
  <c r="U204" i="17"/>
  <c r="U21" i="17"/>
  <c r="U25" i="17"/>
  <c r="U29" i="17"/>
  <c r="U33" i="17"/>
  <c r="U37" i="17"/>
  <c r="U41" i="17"/>
  <c r="U45" i="17"/>
  <c r="U49" i="17"/>
  <c r="U53" i="17"/>
  <c r="U57" i="17"/>
  <c r="U61" i="17"/>
  <c r="U65" i="17"/>
  <c r="U69" i="17"/>
  <c r="U73" i="17"/>
  <c r="U77" i="17"/>
  <c r="U81" i="17"/>
  <c r="U85" i="17"/>
  <c r="U89" i="17"/>
  <c r="U93" i="17"/>
  <c r="U97" i="17"/>
  <c r="U101" i="17"/>
  <c r="U105" i="17"/>
  <c r="U109" i="17"/>
  <c r="U113" i="17"/>
  <c r="U117" i="17"/>
  <c r="U121" i="17"/>
  <c r="U125" i="17"/>
  <c r="U129" i="17"/>
  <c r="U133" i="17"/>
  <c r="U137" i="17"/>
  <c r="U141" i="17"/>
  <c r="U145" i="17"/>
  <c r="U149" i="17"/>
  <c r="U153" i="17"/>
  <c r="U157" i="17"/>
  <c r="U161" i="17"/>
  <c r="U165" i="17"/>
  <c r="U169" i="17"/>
  <c r="U173" i="17"/>
  <c r="U177" i="17"/>
  <c r="U181" i="17"/>
  <c r="U185" i="17"/>
  <c r="U189" i="17"/>
  <c r="U193" i="17"/>
  <c r="U197" i="17"/>
  <c r="U201" i="17"/>
  <c r="U205" i="17"/>
  <c r="U22" i="17"/>
  <c r="U26" i="17"/>
  <c r="U30" i="17"/>
  <c r="U34" i="17"/>
  <c r="U38" i="17"/>
  <c r="U42" i="17"/>
  <c r="U46" i="17"/>
  <c r="U50" i="17"/>
  <c r="U54" i="17"/>
  <c r="U58" i="17"/>
  <c r="U62" i="17"/>
  <c r="U66" i="17"/>
  <c r="U74" i="17"/>
  <c r="U78" i="17"/>
  <c r="U86" i="17"/>
  <c r="U94" i="17"/>
  <c r="U102" i="17"/>
  <c r="U110" i="17"/>
  <c r="U118" i="17"/>
  <c r="U126" i="17"/>
  <c r="U134" i="17"/>
  <c r="U142" i="17"/>
  <c r="U150" i="17"/>
  <c r="U158" i="17"/>
  <c r="U166" i="17"/>
  <c r="U174" i="17"/>
  <c r="U182" i="17"/>
  <c r="U190" i="17"/>
  <c r="U198" i="17"/>
  <c r="U7" i="17"/>
  <c r="U11" i="17"/>
  <c r="U15" i="17"/>
  <c r="U18" i="17"/>
  <c r="U8" i="17"/>
  <c r="U12" i="17"/>
  <c r="U16" i="17"/>
  <c r="U9" i="17"/>
  <c r="U13" i="17"/>
  <c r="U17" i="17"/>
  <c r="U10" i="17"/>
  <c r="U14" i="17"/>
  <c r="U6" i="17"/>
  <c r="T36" i="17"/>
  <c r="T52" i="17"/>
  <c r="T68" i="17"/>
  <c r="T84" i="17"/>
  <c r="T100" i="17"/>
  <c r="T116" i="17"/>
  <c r="T132" i="17"/>
  <c r="T148" i="17"/>
  <c r="T164" i="17"/>
  <c r="T180" i="17"/>
  <c r="T196" i="17"/>
  <c r="T34" i="17"/>
  <c r="T66" i="17"/>
  <c r="T98" i="17"/>
  <c r="T130" i="17"/>
  <c r="T166" i="17"/>
  <c r="T194" i="17"/>
  <c r="T33" i="17"/>
  <c r="T49" i="17"/>
  <c r="T65" i="17"/>
  <c r="T81" i="17"/>
  <c r="T97" i="17"/>
  <c r="T113" i="17"/>
  <c r="T129" i="17"/>
  <c r="T145" i="17"/>
  <c r="T161" i="17"/>
  <c r="T177" i="17"/>
  <c r="T193" i="17"/>
  <c r="T30" i="17"/>
  <c r="T62" i="17"/>
  <c r="T94" i="17"/>
  <c r="T126" i="17"/>
  <c r="T158" i="17"/>
  <c r="T190" i="17"/>
  <c r="T31" i="17"/>
  <c r="T47" i="17"/>
  <c r="T63" i="17"/>
  <c r="T79" i="17"/>
  <c r="T95" i="17"/>
  <c r="T111" i="17"/>
  <c r="T127" i="17"/>
  <c r="T143" i="17"/>
  <c r="T159" i="17"/>
  <c r="T175" i="17"/>
  <c r="T195" i="17"/>
  <c r="T11" i="17"/>
  <c r="T8" i="17"/>
  <c r="T9" i="17"/>
  <c r="T10" i="17"/>
  <c r="T6" i="17"/>
  <c r="T61" i="17"/>
  <c r="T157" i="17"/>
  <c r="T54" i="17"/>
  <c r="T150" i="17"/>
  <c r="T43" i="17"/>
  <c r="T91" i="17"/>
  <c r="T139" i="17"/>
  <c r="T187" i="17"/>
  <c r="T20" i="17"/>
  <c r="T22" i="17"/>
  <c r="T24" i="17"/>
  <c r="T40" i="17"/>
  <c r="T56" i="17"/>
  <c r="T72" i="17"/>
  <c r="T88" i="17"/>
  <c r="T104" i="17"/>
  <c r="T120" i="17"/>
  <c r="T136" i="17"/>
  <c r="T152" i="17"/>
  <c r="T168" i="17"/>
  <c r="T184" i="17"/>
  <c r="T200" i="17"/>
  <c r="T42" i="17"/>
  <c r="T74" i="17"/>
  <c r="T106" i="17"/>
  <c r="T138" i="17"/>
  <c r="T170" i="17"/>
  <c r="T191" i="17"/>
  <c r="T37" i="17"/>
  <c r="T53" i="17"/>
  <c r="T69" i="17"/>
  <c r="T85" i="17"/>
  <c r="T101" i="17"/>
  <c r="T117" i="17"/>
  <c r="T133" i="17"/>
  <c r="T149" i="17"/>
  <c r="T165" i="17"/>
  <c r="T181" i="17"/>
  <c r="T197" i="17"/>
  <c r="T38" i="17"/>
  <c r="T70" i="17"/>
  <c r="T102" i="17"/>
  <c r="T134" i="17"/>
  <c r="T162" i="17"/>
  <c r="T198" i="17"/>
  <c r="T35" i="17"/>
  <c r="T51" i="17"/>
  <c r="T67" i="17"/>
  <c r="T83" i="17"/>
  <c r="T99" i="17"/>
  <c r="T115" i="17"/>
  <c r="T131" i="17"/>
  <c r="T147" i="17"/>
  <c r="T163" i="17"/>
  <c r="T179" i="17"/>
  <c r="T199" i="17"/>
  <c r="T15" i="17"/>
  <c r="T12" i="17"/>
  <c r="T13" i="17"/>
  <c r="T14" i="17"/>
  <c r="T144" i="17"/>
  <c r="T26" i="17"/>
  <c r="T90" i="17"/>
  <c r="T154" i="17"/>
  <c r="T29" i="17"/>
  <c r="T77" i="17"/>
  <c r="T109" i="17"/>
  <c r="T141" i="17"/>
  <c r="T189" i="17"/>
  <c r="T86" i="17"/>
  <c r="T182" i="17"/>
  <c r="T59" i="17"/>
  <c r="T107" i="17"/>
  <c r="T155" i="17"/>
  <c r="T7" i="17"/>
  <c r="T28" i="17"/>
  <c r="T44" i="17"/>
  <c r="T60" i="17"/>
  <c r="T76" i="17"/>
  <c r="T92" i="17"/>
  <c r="T108" i="17"/>
  <c r="T124" i="17"/>
  <c r="T140" i="17"/>
  <c r="T156" i="17"/>
  <c r="T172" i="17"/>
  <c r="T188" i="17"/>
  <c r="T204" i="17"/>
  <c r="T50" i="17"/>
  <c r="T82" i="17"/>
  <c r="T114" i="17"/>
  <c r="T146" i="17"/>
  <c r="T178" i="17"/>
  <c r="T25" i="17"/>
  <c r="T41" i="17"/>
  <c r="T57" i="17"/>
  <c r="T73" i="17"/>
  <c r="T89" i="17"/>
  <c r="T105" i="17"/>
  <c r="T121" i="17"/>
  <c r="T137" i="17"/>
  <c r="T153" i="17"/>
  <c r="T169" i="17"/>
  <c r="T185" i="17"/>
  <c r="T201" i="17"/>
  <c r="T46" i="17"/>
  <c r="T78" i="17"/>
  <c r="T110" i="17"/>
  <c r="T142" i="17"/>
  <c r="T174" i="17"/>
  <c r="T202" i="17"/>
  <c r="T39" i="17"/>
  <c r="T55" i="17"/>
  <c r="T71" i="17"/>
  <c r="T87" i="17"/>
  <c r="T103" i="17"/>
  <c r="T119" i="17"/>
  <c r="T135" i="17"/>
  <c r="T151" i="17"/>
  <c r="T167" i="17"/>
  <c r="T183" i="17"/>
  <c r="T203" i="17"/>
  <c r="T19" i="17"/>
  <c r="T16" i="17"/>
  <c r="T17" i="17"/>
  <c r="T18" i="17"/>
  <c r="T32" i="17"/>
  <c r="T48" i="17"/>
  <c r="T64" i="17"/>
  <c r="T80" i="17"/>
  <c r="T96" i="17"/>
  <c r="T112" i="17"/>
  <c r="T128" i="17"/>
  <c r="T160" i="17"/>
  <c r="T176" i="17"/>
  <c r="T192" i="17"/>
  <c r="T58" i="17"/>
  <c r="T122" i="17"/>
  <c r="T186" i="17"/>
  <c r="T45" i="17"/>
  <c r="T93" i="17"/>
  <c r="T125" i="17"/>
  <c r="T173" i="17"/>
  <c r="T205" i="17"/>
  <c r="T118" i="17"/>
  <c r="T27" i="17"/>
  <c r="T75" i="17"/>
  <c r="T123" i="17"/>
  <c r="T171" i="17"/>
  <c r="T23" i="17"/>
  <c r="T21" i="17"/>
  <c r="V20" i="17" l="1"/>
  <c r="V21" i="17"/>
  <c r="V22" i="17"/>
  <c r="V23" i="17"/>
  <c r="V24" i="17"/>
  <c r="V25" i="17"/>
  <c r="V26" i="17"/>
  <c r="V27" i="17"/>
  <c r="V28" i="17"/>
  <c r="V29" i="17"/>
  <c r="V30" i="17"/>
  <c r="V31" i="17"/>
  <c r="V32" i="17"/>
  <c r="V33" i="17"/>
  <c r="V34" i="17"/>
  <c r="V35" i="17"/>
  <c r="V36" i="17"/>
  <c r="V37" i="17"/>
  <c r="V38" i="17"/>
  <c r="V39" i="17"/>
  <c r="V40" i="17"/>
  <c r="V41" i="17"/>
  <c r="V42" i="17"/>
  <c r="V43" i="17"/>
  <c r="V44" i="17"/>
  <c r="V45" i="17"/>
  <c r="V46" i="17"/>
  <c r="V47" i="17"/>
  <c r="V48" i="17"/>
  <c r="V49" i="17"/>
  <c r="V50" i="17"/>
  <c r="V51" i="17"/>
  <c r="V52" i="17"/>
  <c r="V53" i="17"/>
  <c r="V54" i="17"/>
  <c r="V55" i="17"/>
  <c r="V56" i="17"/>
  <c r="V57" i="17"/>
  <c r="V58" i="17"/>
  <c r="V59" i="17"/>
  <c r="V60" i="17"/>
  <c r="V61" i="17"/>
  <c r="V62" i="17"/>
  <c r="V63" i="17"/>
  <c r="V64" i="17"/>
  <c r="V65" i="17"/>
  <c r="V66" i="17"/>
  <c r="V67" i="17"/>
  <c r="V68" i="17"/>
  <c r="V69" i="17"/>
  <c r="V70" i="17"/>
  <c r="V71" i="17"/>
  <c r="V72" i="17"/>
  <c r="V73" i="17"/>
  <c r="V74" i="17"/>
  <c r="V75" i="17"/>
  <c r="V76" i="17"/>
  <c r="V77" i="17"/>
  <c r="V78" i="17"/>
  <c r="V79" i="17"/>
  <c r="V80" i="17"/>
  <c r="V81" i="17"/>
  <c r="V82" i="17"/>
  <c r="V83" i="17"/>
  <c r="V84" i="17"/>
  <c r="V85" i="17"/>
  <c r="V86" i="17"/>
  <c r="V87" i="17"/>
  <c r="V88" i="17"/>
  <c r="V89" i="17"/>
  <c r="V90" i="17"/>
  <c r="V91" i="17"/>
  <c r="V92" i="17"/>
  <c r="V93" i="17"/>
  <c r="V94" i="17"/>
  <c r="V95" i="17"/>
  <c r="V96" i="17"/>
  <c r="V97" i="17"/>
  <c r="V98" i="17"/>
  <c r="V99" i="17"/>
  <c r="V100" i="17"/>
  <c r="V101" i="17"/>
  <c r="V102" i="17"/>
  <c r="V103" i="17"/>
  <c r="V104" i="17"/>
  <c r="V105" i="17"/>
  <c r="V106" i="17"/>
  <c r="V107" i="17"/>
  <c r="V108" i="17"/>
  <c r="V109" i="17"/>
  <c r="V110" i="17"/>
  <c r="V111" i="17"/>
  <c r="V112" i="17"/>
  <c r="V113" i="17"/>
  <c r="V114" i="17"/>
  <c r="V115" i="17"/>
  <c r="V116" i="17"/>
  <c r="V117" i="17"/>
  <c r="V118" i="17"/>
  <c r="V119" i="17"/>
  <c r="V120" i="17"/>
  <c r="V121" i="17"/>
  <c r="V122" i="17"/>
  <c r="V123" i="17"/>
  <c r="V124" i="17"/>
  <c r="V125" i="17"/>
  <c r="V126" i="17"/>
  <c r="V127" i="17"/>
  <c r="V128" i="17"/>
  <c r="V129" i="17"/>
  <c r="V130" i="17"/>
  <c r="V131" i="17"/>
  <c r="V132" i="17"/>
  <c r="V133" i="17"/>
  <c r="V134" i="17"/>
  <c r="V135" i="17"/>
  <c r="V136" i="17"/>
  <c r="V137" i="17"/>
  <c r="V138" i="17"/>
  <c r="V139" i="17"/>
  <c r="V140" i="17"/>
  <c r="V141" i="17"/>
  <c r="V142" i="17"/>
  <c r="V143" i="17"/>
  <c r="V144" i="17"/>
  <c r="V145" i="17"/>
  <c r="V146" i="17"/>
  <c r="V147" i="17"/>
  <c r="V148" i="17"/>
  <c r="V149" i="17"/>
  <c r="V150" i="17"/>
  <c r="V151" i="17"/>
  <c r="V152" i="17"/>
  <c r="V153" i="17"/>
  <c r="V154" i="17"/>
  <c r="V155" i="17"/>
  <c r="V156" i="17"/>
  <c r="V157" i="17"/>
  <c r="V158" i="17"/>
  <c r="V159" i="17"/>
  <c r="V160" i="17"/>
  <c r="V161" i="17"/>
  <c r="V162" i="17"/>
  <c r="V163" i="17"/>
  <c r="V164" i="17"/>
  <c r="V165" i="17"/>
  <c r="V166" i="17"/>
  <c r="V167" i="17"/>
  <c r="V168" i="17"/>
  <c r="V169" i="17"/>
  <c r="V170" i="17"/>
  <c r="V171" i="17"/>
  <c r="V172" i="17"/>
  <c r="V173" i="17"/>
  <c r="V174" i="17"/>
  <c r="V175" i="17"/>
  <c r="V176" i="17"/>
  <c r="V177" i="17"/>
  <c r="V178" i="17"/>
  <c r="V179" i="17"/>
  <c r="V180" i="17"/>
  <c r="V181" i="17"/>
  <c r="V182" i="17"/>
  <c r="V183" i="17"/>
  <c r="V184" i="17"/>
  <c r="V185" i="17"/>
  <c r="V186" i="17"/>
  <c r="V187" i="17"/>
  <c r="V188" i="17"/>
  <c r="V189" i="17"/>
  <c r="V190" i="17"/>
  <c r="V191" i="17"/>
  <c r="V192" i="17"/>
  <c r="V193" i="17"/>
  <c r="V194" i="17"/>
  <c r="V195" i="17"/>
  <c r="V196" i="17"/>
  <c r="V197" i="17"/>
  <c r="V198" i="17"/>
  <c r="V199" i="17"/>
  <c r="V200" i="17"/>
  <c r="V201" i="17"/>
  <c r="V202" i="17"/>
  <c r="V203" i="17"/>
  <c r="V204" i="17"/>
  <c r="V205" i="17"/>
  <c r="V8" i="17"/>
  <c r="V9" i="17"/>
  <c r="V10" i="17"/>
  <c r="V11" i="17"/>
  <c r="V12" i="17"/>
  <c r="V13" i="17"/>
  <c r="V15" i="17"/>
  <c r="V16" i="17"/>
  <c r="V17" i="17"/>
  <c r="V18" i="17"/>
  <c r="V19" i="17"/>
  <c r="V7" i="17"/>
  <c r="V6" i="17"/>
  <c r="P1487" i="33" l="1"/>
  <c r="P1090" i="33"/>
  <c r="P1091" i="33"/>
  <c r="P1092" i="33"/>
  <c r="P1093" i="33"/>
  <c r="P1094" i="33"/>
  <c r="P1095" i="33"/>
  <c r="P1096" i="33"/>
  <c r="P1097" i="33"/>
  <c r="P1098" i="33"/>
  <c r="P1099" i="33"/>
  <c r="P1100" i="33"/>
  <c r="P1101" i="33"/>
  <c r="P1102" i="33"/>
  <c r="P1103" i="33"/>
  <c r="P1104" i="33"/>
  <c r="P1105" i="33"/>
  <c r="P1106" i="33"/>
  <c r="P1107" i="33"/>
  <c r="P1108" i="33"/>
  <c r="P1109" i="33"/>
  <c r="P1110" i="33"/>
  <c r="P1111" i="33"/>
  <c r="P1112" i="33"/>
  <c r="P1113" i="33"/>
  <c r="P1114" i="33"/>
  <c r="P1115" i="33"/>
  <c r="P1116" i="33"/>
  <c r="P1117" i="33"/>
  <c r="P1118" i="33"/>
  <c r="P1119" i="33"/>
  <c r="P1120" i="33"/>
  <c r="P1121" i="33"/>
  <c r="P1122" i="33"/>
  <c r="P1123" i="33"/>
  <c r="P1124" i="33"/>
  <c r="P1125" i="33"/>
  <c r="P1126" i="33"/>
  <c r="P1127" i="33"/>
  <c r="P1128" i="33"/>
  <c r="P1129" i="33"/>
  <c r="P1130" i="33"/>
  <c r="P1131" i="33"/>
  <c r="P1132" i="33"/>
  <c r="P1133" i="33"/>
  <c r="P1134" i="33"/>
  <c r="P1135" i="33"/>
  <c r="P1136" i="33"/>
  <c r="P1137" i="33"/>
  <c r="P1138" i="33"/>
  <c r="P1139" i="33"/>
  <c r="P1140" i="33"/>
  <c r="P1141" i="33"/>
  <c r="P1142" i="33"/>
  <c r="P1143" i="33"/>
  <c r="P1144" i="33"/>
  <c r="P1145" i="33"/>
  <c r="P1146" i="33"/>
  <c r="P1147" i="33"/>
  <c r="P1148" i="33"/>
  <c r="P1149" i="33"/>
  <c r="P1150" i="33"/>
  <c r="P1151" i="33"/>
  <c r="P1152" i="33"/>
  <c r="P1153" i="33"/>
  <c r="P1154" i="33"/>
  <c r="P1155" i="33"/>
  <c r="P1156" i="33"/>
  <c r="P1157" i="33"/>
  <c r="P1158" i="33"/>
  <c r="P1159" i="33"/>
  <c r="P1160" i="33"/>
  <c r="P1161" i="33"/>
  <c r="P1162" i="33"/>
  <c r="P1163" i="33"/>
  <c r="P1164" i="33"/>
  <c r="P1165" i="33"/>
  <c r="P1166" i="33"/>
  <c r="P1167" i="33"/>
  <c r="P1168" i="33"/>
  <c r="P1169" i="33"/>
  <c r="P1170" i="33"/>
  <c r="P1171" i="33"/>
  <c r="P1172" i="33"/>
  <c r="P1173" i="33"/>
  <c r="P1174" i="33"/>
  <c r="P1175" i="33"/>
  <c r="P1176" i="33"/>
  <c r="P1177" i="33"/>
  <c r="P1178" i="33"/>
  <c r="P1179" i="33"/>
  <c r="P1180" i="33"/>
  <c r="P1181" i="33"/>
  <c r="P1182" i="33"/>
  <c r="P1183" i="33"/>
  <c r="P1184" i="33"/>
  <c r="P1185" i="33"/>
  <c r="P1186" i="33"/>
  <c r="P1187" i="33"/>
  <c r="P1188" i="33"/>
  <c r="P1189" i="33"/>
  <c r="P1190" i="33"/>
  <c r="P1191" i="33"/>
  <c r="P1192" i="33"/>
  <c r="P1193" i="33"/>
  <c r="P1194" i="33"/>
  <c r="P1195" i="33"/>
  <c r="P1196" i="33"/>
  <c r="P1197" i="33"/>
  <c r="P1198" i="33"/>
  <c r="P1199" i="33"/>
  <c r="P1200" i="33"/>
  <c r="P1201" i="33"/>
  <c r="P1202" i="33"/>
  <c r="P1203" i="33"/>
  <c r="P1204" i="33"/>
  <c r="P1205" i="33"/>
  <c r="P1206" i="33"/>
  <c r="P1207" i="33"/>
  <c r="P1208" i="33"/>
  <c r="P1209" i="33"/>
  <c r="P1210" i="33"/>
  <c r="P1211" i="33"/>
  <c r="P1212" i="33"/>
  <c r="P1213" i="33"/>
  <c r="P1214" i="33"/>
  <c r="P1215" i="33"/>
  <c r="P1216" i="33"/>
  <c r="P1217" i="33"/>
  <c r="P1218" i="33"/>
  <c r="P1219" i="33"/>
  <c r="P1220" i="33"/>
  <c r="P1221" i="33"/>
  <c r="P1222" i="33"/>
  <c r="P1223" i="33"/>
  <c r="P1224" i="33"/>
  <c r="P1225" i="33"/>
  <c r="P1226" i="33"/>
  <c r="P1227" i="33"/>
  <c r="P1228" i="33"/>
  <c r="P1229" i="33"/>
  <c r="P1230" i="33"/>
  <c r="P1231" i="33"/>
  <c r="P1232" i="33"/>
  <c r="P1233" i="33"/>
  <c r="P1234" i="33"/>
  <c r="P1235" i="33"/>
  <c r="P1236" i="33"/>
  <c r="P1237" i="33"/>
  <c r="P1238" i="33"/>
  <c r="P1239" i="33"/>
  <c r="P1240" i="33"/>
  <c r="P1241" i="33"/>
  <c r="P1242" i="33"/>
  <c r="P1243" i="33"/>
  <c r="P1244" i="33"/>
  <c r="P1245" i="33"/>
  <c r="P1246" i="33"/>
  <c r="P1247" i="33"/>
  <c r="P1248" i="33"/>
  <c r="P1249" i="33"/>
  <c r="P1250" i="33"/>
  <c r="P1251" i="33"/>
  <c r="P1252" i="33"/>
  <c r="P1253" i="33"/>
  <c r="P1254" i="33"/>
  <c r="P1255" i="33"/>
  <c r="P1256" i="33"/>
  <c r="P1257" i="33"/>
  <c r="P1258" i="33"/>
  <c r="P1259" i="33"/>
  <c r="P1260" i="33"/>
  <c r="P1261" i="33"/>
  <c r="P1262" i="33"/>
  <c r="P1263" i="33"/>
  <c r="P1264" i="33"/>
  <c r="P1265" i="33"/>
  <c r="P1266" i="33"/>
  <c r="P1267" i="33"/>
  <c r="P1268" i="33"/>
  <c r="P1269" i="33"/>
  <c r="P1270" i="33"/>
  <c r="P1271" i="33"/>
  <c r="P1272" i="33"/>
  <c r="P1273" i="33"/>
  <c r="P1274" i="33"/>
  <c r="P1275" i="33"/>
  <c r="P1276" i="33"/>
  <c r="P1277" i="33"/>
  <c r="P1278" i="33"/>
  <c r="P1279" i="33"/>
  <c r="P1280" i="33"/>
  <c r="P1281" i="33"/>
  <c r="P1282" i="33"/>
  <c r="P1283" i="33"/>
  <c r="P1284" i="33"/>
  <c r="P1285" i="33"/>
  <c r="P1286" i="33"/>
  <c r="P1287" i="33"/>
  <c r="P1288" i="33"/>
  <c r="P1289" i="33"/>
  <c r="P1290" i="33"/>
  <c r="P1291" i="33"/>
  <c r="P1292" i="33"/>
  <c r="P1293" i="33"/>
  <c r="P1294" i="33"/>
  <c r="P1295" i="33"/>
  <c r="P1296" i="33"/>
  <c r="P1297" i="33"/>
  <c r="P1298" i="33"/>
  <c r="P1299" i="33"/>
  <c r="P1300" i="33"/>
  <c r="P1301" i="33"/>
  <c r="P1302" i="33"/>
  <c r="P1303" i="33"/>
  <c r="P1304" i="33"/>
  <c r="P1305" i="33"/>
  <c r="P1306" i="33"/>
  <c r="P1307" i="33"/>
  <c r="P1308" i="33"/>
  <c r="P1309" i="33"/>
  <c r="P1310" i="33"/>
  <c r="P1311" i="33"/>
  <c r="P1312" i="33"/>
  <c r="P1313" i="33"/>
  <c r="P1314" i="33"/>
  <c r="P1315" i="33"/>
  <c r="P1316" i="33"/>
  <c r="P1317" i="33"/>
  <c r="P1318" i="33"/>
  <c r="P1319" i="33"/>
  <c r="P1320" i="33"/>
  <c r="P1321" i="33"/>
  <c r="P1322" i="33"/>
  <c r="P1323" i="33"/>
  <c r="P1324" i="33"/>
  <c r="P1325" i="33"/>
  <c r="P1326" i="33"/>
  <c r="P1327" i="33"/>
  <c r="P1328" i="33"/>
  <c r="P1329" i="33"/>
  <c r="P1330" i="33"/>
  <c r="P1331" i="33"/>
  <c r="P1332" i="33"/>
  <c r="P1333" i="33"/>
  <c r="P1334" i="33"/>
  <c r="P1335" i="33"/>
  <c r="P1336" i="33"/>
  <c r="P1337" i="33"/>
  <c r="P1338" i="33"/>
  <c r="P1339" i="33"/>
  <c r="P1340" i="33"/>
  <c r="P1341" i="33"/>
  <c r="P1342" i="33"/>
  <c r="P1343" i="33"/>
  <c r="P1344" i="33"/>
  <c r="P1345" i="33"/>
  <c r="P1346" i="33"/>
  <c r="P1347" i="33"/>
  <c r="P1348" i="33"/>
  <c r="P1349" i="33"/>
  <c r="P1350" i="33"/>
  <c r="P1351" i="33"/>
  <c r="P1352" i="33"/>
  <c r="P1353" i="33"/>
  <c r="P1354" i="33"/>
  <c r="P1355" i="33"/>
  <c r="P1356" i="33"/>
  <c r="P1357" i="33"/>
  <c r="P1358" i="33"/>
  <c r="P1359" i="33"/>
  <c r="P1360" i="33"/>
  <c r="P1361" i="33"/>
  <c r="P1362" i="33"/>
  <c r="P1363" i="33"/>
  <c r="P1364" i="33"/>
  <c r="P1365" i="33"/>
  <c r="P1366" i="33"/>
  <c r="P1367" i="33"/>
  <c r="P1368" i="33"/>
  <c r="P1369" i="33"/>
  <c r="P1370" i="33"/>
  <c r="P1371" i="33"/>
  <c r="P1372" i="33"/>
  <c r="P1373" i="33"/>
  <c r="P1374" i="33"/>
  <c r="P1375" i="33"/>
  <c r="P1376" i="33"/>
  <c r="P1377" i="33"/>
  <c r="P1378" i="33"/>
  <c r="P1379" i="33"/>
  <c r="P1380" i="33"/>
  <c r="P1381" i="33"/>
  <c r="P1382" i="33"/>
  <c r="P1383" i="33"/>
  <c r="P1384" i="33"/>
  <c r="P1385" i="33"/>
  <c r="P1386" i="33"/>
  <c r="P1387" i="33"/>
  <c r="P1388" i="33"/>
  <c r="P1389" i="33"/>
  <c r="P1390" i="33"/>
  <c r="P1391" i="33"/>
  <c r="P1392" i="33"/>
  <c r="P1393" i="33"/>
  <c r="P1394" i="33"/>
  <c r="P1395" i="33"/>
  <c r="P1396" i="33"/>
  <c r="P1397" i="33"/>
  <c r="P1398" i="33"/>
  <c r="P1399" i="33"/>
  <c r="P1400" i="33"/>
  <c r="P1401" i="33"/>
  <c r="P1402" i="33"/>
  <c r="P1403" i="33"/>
  <c r="P1404" i="33"/>
  <c r="P1405" i="33"/>
  <c r="P1406" i="33"/>
  <c r="P1407" i="33"/>
  <c r="P1408" i="33"/>
  <c r="P1409" i="33"/>
  <c r="P1410" i="33"/>
  <c r="P1411" i="33"/>
  <c r="P1412" i="33"/>
  <c r="P1413" i="33"/>
  <c r="P1414" i="33"/>
  <c r="P1415" i="33"/>
  <c r="P1416" i="33"/>
  <c r="P1417" i="33"/>
  <c r="P1418" i="33"/>
  <c r="P1419" i="33"/>
  <c r="P1420" i="33"/>
  <c r="P1421" i="33"/>
  <c r="P1422" i="33"/>
  <c r="P1423" i="33"/>
  <c r="P1424" i="33"/>
  <c r="P1425" i="33"/>
  <c r="P1426" i="33"/>
  <c r="P1427" i="33"/>
  <c r="P1428" i="33"/>
  <c r="P1429" i="33"/>
  <c r="P1430" i="33"/>
  <c r="P1431" i="33"/>
  <c r="P1432" i="33"/>
  <c r="P1433" i="33"/>
  <c r="P1434" i="33"/>
  <c r="P1435" i="33"/>
  <c r="P1436" i="33"/>
  <c r="P1437" i="33"/>
  <c r="P1438" i="33"/>
  <c r="P1439" i="33"/>
  <c r="P1440" i="33"/>
  <c r="P1441" i="33"/>
  <c r="P1442" i="33"/>
  <c r="P1443" i="33"/>
  <c r="P1444" i="33"/>
  <c r="P1445" i="33"/>
  <c r="P1446" i="33"/>
  <c r="P1447" i="33"/>
  <c r="P1448" i="33"/>
  <c r="P1449" i="33"/>
  <c r="P1450" i="33"/>
  <c r="P1451" i="33"/>
  <c r="P1452" i="33"/>
  <c r="P1453" i="33"/>
  <c r="P1454" i="33"/>
  <c r="P1455" i="33"/>
  <c r="P1456" i="33"/>
  <c r="P1457" i="33"/>
  <c r="P1458" i="33"/>
  <c r="P1459" i="33"/>
  <c r="P1460" i="33"/>
  <c r="P1461" i="33"/>
  <c r="P1462" i="33"/>
  <c r="P1463" i="33"/>
  <c r="P1464" i="33"/>
  <c r="P1465" i="33"/>
  <c r="P1466" i="33"/>
  <c r="P1467" i="33"/>
  <c r="P1468" i="33"/>
  <c r="P1469" i="33"/>
  <c r="P1470" i="33"/>
  <c r="P1471" i="33"/>
  <c r="P1472" i="33"/>
  <c r="P1473" i="33"/>
  <c r="P1474" i="33"/>
  <c r="P1475" i="33"/>
  <c r="P1476" i="33"/>
  <c r="P1477" i="33"/>
  <c r="P1478" i="33"/>
  <c r="P1479" i="33"/>
  <c r="P1480" i="33"/>
  <c r="P1481" i="33"/>
  <c r="P1482" i="33"/>
  <c r="P1483" i="33"/>
  <c r="P1484" i="33"/>
  <c r="P1485" i="33"/>
  <c r="P1486" i="33"/>
  <c r="P556" i="33"/>
  <c r="P557" i="33"/>
  <c r="P558" i="33"/>
  <c r="P559" i="33"/>
  <c r="P560" i="33"/>
  <c r="P561" i="33"/>
  <c r="P562" i="33"/>
  <c r="P563" i="33"/>
  <c r="P564" i="33"/>
  <c r="P565" i="33"/>
  <c r="P566" i="33"/>
  <c r="P567" i="33"/>
  <c r="P568" i="33"/>
  <c r="P569" i="33"/>
  <c r="P570" i="33"/>
  <c r="P571" i="33"/>
  <c r="P572" i="33"/>
  <c r="P573" i="33"/>
  <c r="P574" i="33"/>
  <c r="P575" i="33"/>
  <c r="P576" i="33"/>
  <c r="P577" i="33"/>
  <c r="P578" i="33"/>
  <c r="P579" i="33"/>
  <c r="P580" i="33"/>
  <c r="P581" i="33"/>
  <c r="P582" i="33"/>
  <c r="P583" i="33"/>
  <c r="P584" i="33"/>
  <c r="P585" i="33"/>
  <c r="P586" i="33"/>
  <c r="P587" i="33"/>
  <c r="P588" i="33"/>
  <c r="P589" i="33"/>
  <c r="P590" i="33"/>
  <c r="P591" i="33"/>
  <c r="P592" i="33"/>
  <c r="P593" i="33"/>
  <c r="P594" i="33"/>
  <c r="P595" i="33"/>
  <c r="P596" i="33"/>
  <c r="P597" i="33"/>
  <c r="P598" i="33"/>
  <c r="P599" i="33"/>
  <c r="P600" i="33"/>
  <c r="P601" i="33"/>
  <c r="P602" i="33"/>
  <c r="P603" i="33"/>
  <c r="P604" i="33"/>
  <c r="P605" i="33"/>
  <c r="P606" i="33"/>
  <c r="P607" i="33"/>
  <c r="P608" i="33"/>
  <c r="P609" i="33"/>
  <c r="P610" i="33"/>
  <c r="P611" i="33"/>
  <c r="P612" i="33"/>
  <c r="P613" i="33"/>
  <c r="P614" i="33"/>
  <c r="P615" i="33"/>
  <c r="P616" i="33"/>
  <c r="P617" i="33"/>
  <c r="P618" i="33"/>
  <c r="P619" i="33"/>
  <c r="P620" i="33"/>
  <c r="P621" i="33"/>
  <c r="P622" i="33"/>
  <c r="P623" i="33"/>
  <c r="P624" i="33"/>
  <c r="P625" i="33"/>
  <c r="P626" i="33"/>
  <c r="P627" i="33"/>
  <c r="P628" i="33"/>
  <c r="P629" i="33"/>
  <c r="P630" i="33"/>
  <c r="P631" i="33"/>
  <c r="P632" i="33"/>
  <c r="P633" i="33"/>
  <c r="P634" i="33"/>
  <c r="P635" i="33"/>
  <c r="P636" i="33"/>
  <c r="P637" i="33"/>
  <c r="P638" i="33"/>
  <c r="P639" i="33"/>
  <c r="P640" i="33"/>
  <c r="P641" i="33"/>
  <c r="P642" i="33"/>
  <c r="P643" i="33"/>
  <c r="P644" i="33"/>
  <c r="P645" i="33"/>
  <c r="P646" i="33"/>
  <c r="P647" i="33"/>
  <c r="P648" i="33"/>
  <c r="P649" i="33"/>
  <c r="P650" i="33"/>
  <c r="P651" i="33"/>
  <c r="P652" i="33"/>
  <c r="P653" i="33"/>
  <c r="P654" i="33"/>
  <c r="P655" i="33"/>
  <c r="P656" i="33"/>
  <c r="P657" i="33"/>
  <c r="P658" i="33"/>
  <c r="P659" i="33"/>
  <c r="P660" i="33"/>
  <c r="P661" i="33"/>
  <c r="P662" i="33"/>
  <c r="P663" i="33"/>
  <c r="P664" i="33"/>
  <c r="P665" i="33"/>
  <c r="P666" i="33"/>
  <c r="P667" i="33"/>
  <c r="P668" i="33"/>
  <c r="P669" i="33"/>
  <c r="P670" i="33"/>
  <c r="P671" i="33"/>
  <c r="P672" i="33"/>
  <c r="P673" i="33"/>
  <c r="P674" i="33"/>
  <c r="P675" i="33"/>
  <c r="P676" i="33"/>
  <c r="P677" i="33"/>
  <c r="P678" i="33"/>
  <c r="P679" i="33"/>
  <c r="P680" i="33"/>
  <c r="P681" i="33"/>
  <c r="P682" i="33"/>
  <c r="P683" i="33"/>
  <c r="P684" i="33"/>
  <c r="P685" i="33"/>
  <c r="P686" i="33"/>
  <c r="P687" i="33"/>
  <c r="P688" i="33"/>
  <c r="P689" i="33"/>
  <c r="P690" i="33"/>
  <c r="P691" i="33"/>
  <c r="P692" i="33"/>
  <c r="P693" i="33"/>
  <c r="P694" i="33"/>
  <c r="P695" i="33"/>
  <c r="P696" i="33"/>
  <c r="P697" i="33"/>
  <c r="P698" i="33"/>
  <c r="P699" i="33"/>
  <c r="P700" i="33"/>
  <c r="P701" i="33"/>
  <c r="P702" i="33"/>
  <c r="P703" i="33"/>
  <c r="P704" i="33"/>
  <c r="P705" i="33"/>
  <c r="P706" i="33"/>
  <c r="P707" i="33"/>
  <c r="P708" i="33"/>
  <c r="P709" i="33"/>
  <c r="P710" i="33"/>
  <c r="P711" i="33"/>
  <c r="P712" i="33"/>
  <c r="P713" i="33"/>
  <c r="P714" i="33"/>
  <c r="P715" i="33"/>
  <c r="P716" i="33"/>
  <c r="P717" i="33"/>
  <c r="P718" i="33"/>
  <c r="P719" i="33"/>
  <c r="P720" i="33"/>
  <c r="P721" i="33"/>
  <c r="P722" i="33"/>
  <c r="P723" i="33"/>
  <c r="P724" i="33"/>
  <c r="P725" i="33"/>
  <c r="P726" i="33"/>
  <c r="P727" i="33"/>
  <c r="P728" i="33"/>
  <c r="P729" i="33"/>
  <c r="P730" i="33"/>
  <c r="P731" i="33"/>
  <c r="P732" i="33"/>
  <c r="P733" i="33"/>
  <c r="P734" i="33"/>
  <c r="P735" i="33"/>
  <c r="P736" i="33"/>
  <c r="P737" i="33"/>
  <c r="P738" i="33"/>
  <c r="P739" i="33"/>
  <c r="P740" i="33"/>
  <c r="P741" i="33"/>
  <c r="P742" i="33"/>
  <c r="P743" i="33"/>
  <c r="P744" i="33"/>
  <c r="P745" i="33"/>
  <c r="P746" i="33"/>
  <c r="P747" i="33"/>
  <c r="P748" i="33"/>
  <c r="P749" i="33"/>
  <c r="P750" i="33"/>
  <c r="P751" i="33"/>
  <c r="P752" i="33"/>
  <c r="P753" i="33"/>
  <c r="P754" i="33"/>
  <c r="P755" i="33"/>
  <c r="P756" i="33"/>
  <c r="P757" i="33"/>
  <c r="P758" i="33"/>
  <c r="P759" i="33"/>
  <c r="P760" i="33"/>
  <c r="P761" i="33"/>
  <c r="P762" i="33"/>
  <c r="P763" i="33"/>
  <c r="P764" i="33"/>
  <c r="P765" i="33"/>
  <c r="P766" i="33"/>
  <c r="P767" i="33"/>
  <c r="P768" i="33"/>
  <c r="P769" i="33"/>
  <c r="P770" i="33"/>
  <c r="P771" i="33"/>
  <c r="P772" i="33"/>
  <c r="P773" i="33"/>
  <c r="P774" i="33"/>
  <c r="P775" i="33"/>
  <c r="P776" i="33"/>
  <c r="P777" i="33"/>
  <c r="P778" i="33"/>
  <c r="P779" i="33"/>
  <c r="P780" i="33"/>
  <c r="P781" i="33"/>
  <c r="P782" i="33"/>
  <c r="P783" i="33"/>
  <c r="P784" i="33"/>
  <c r="P785" i="33"/>
  <c r="P786" i="33"/>
  <c r="P787" i="33"/>
  <c r="P788" i="33"/>
  <c r="P789" i="33"/>
  <c r="P790" i="33"/>
  <c r="P791" i="33"/>
  <c r="P792" i="33"/>
  <c r="P793" i="33"/>
  <c r="P794" i="33"/>
  <c r="P795" i="33"/>
  <c r="P796" i="33"/>
  <c r="P797" i="33"/>
  <c r="P798" i="33"/>
  <c r="P799" i="33"/>
  <c r="P800" i="33"/>
  <c r="P801" i="33"/>
  <c r="P802" i="33"/>
  <c r="P803" i="33"/>
  <c r="P804" i="33"/>
  <c r="P805" i="33"/>
  <c r="P806" i="33"/>
  <c r="P807" i="33"/>
  <c r="P808" i="33"/>
  <c r="P809" i="33"/>
  <c r="P810" i="33"/>
  <c r="P811" i="33"/>
  <c r="P812" i="33"/>
  <c r="P813" i="33"/>
  <c r="P814" i="33"/>
  <c r="P815" i="33"/>
  <c r="P816" i="33"/>
  <c r="P817" i="33"/>
  <c r="P818" i="33"/>
  <c r="P819" i="33"/>
  <c r="P820" i="33"/>
  <c r="P821" i="33"/>
  <c r="P822" i="33"/>
  <c r="P823" i="33"/>
  <c r="P824" i="33"/>
  <c r="P825" i="33"/>
  <c r="P826" i="33"/>
  <c r="P827" i="33"/>
  <c r="P828" i="33"/>
  <c r="P829" i="33"/>
  <c r="P830" i="33"/>
  <c r="P831" i="33"/>
  <c r="P832" i="33"/>
  <c r="P833" i="33"/>
  <c r="P834" i="33"/>
  <c r="P835" i="33"/>
  <c r="P836" i="33"/>
  <c r="P837" i="33"/>
  <c r="P838" i="33"/>
  <c r="P839" i="33"/>
  <c r="P840" i="33"/>
  <c r="P841" i="33"/>
  <c r="P842" i="33"/>
  <c r="P843" i="33"/>
  <c r="P844" i="33"/>
  <c r="P845" i="33"/>
  <c r="P846" i="33"/>
  <c r="P847" i="33"/>
  <c r="P848" i="33"/>
  <c r="P849" i="33"/>
  <c r="P850" i="33"/>
  <c r="P851" i="33"/>
  <c r="P852" i="33"/>
  <c r="P853" i="33"/>
  <c r="P854" i="33"/>
  <c r="P855" i="33"/>
  <c r="P856" i="33"/>
  <c r="P857" i="33"/>
  <c r="P858" i="33"/>
  <c r="P859" i="33"/>
  <c r="P860" i="33"/>
  <c r="P861" i="33"/>
  <c r="P862" i="33"/>
  <c r="P863" i="33"/>
  <c r="P864" i="33"/>
  <c r="P865" i="33"/>
  <c r="P866" i="33"/>
  <c r="P867" i="33"/>
  <c r="P868" i="33"/>
  <c r="P869" i="33"/>
  <c r="P870" i="33"/>
  <c r="P871" i="33"/>
  <c r="P872" i="33"/>
  <c r="P873" i="33"/>
  <c r="P874" i="33"/>
  <c r="P875" i="33"/>
  <c r="P876" i="33"/>
  <c r="P877" i="33"/>
  <c r="P878" i="33"/>
  <c r="P879" i="33"/>
  <c r="P880" i="33"/>
  <c r="P881" i="33"/>
  <c r="P882" i="33"/>
  <c r="P883" i="33"/>
  <c r="P884" i="33"/>
  <c r="P885" i="33"/>
  <c r="P886" i="33"/>
  <c r="P887" i="33"/>
  <c r="P888" i="33"/>
  <c r="P889" i="33"/>
  <c r="P890" i="33"/>
  <c r="P891" i="33"/>
  <c r="P892" i="33"/>
  <c r="P893" i="33"/>
  <c r="P894" i="33"/>
  <c r="P895" i="33"/>
  <c r="P896" i="33"/>
  <c r="P897" i="33"/>
  <c r="P898" i="33"/>
  <c r="P899" i="33"/>
  <c r="P900" i="33"/>
  <c r="P901" i="33"/>
  <c r="P902" i="33"/>
  <c r="P903" i="33"/>
  <c r="P904" i="33"/>
  <c r="P905" i="33"/>
  <c r="P906" i="33"/>
  <c r="P907" i="33"/>
  <c r="P908" i="33"/>
  <c r="P909" i="33"/>
  <c r="P910" i="33"/>
  <c r="P911" i="33"/>
  <c r="P912" i="33"/>
  <c r="P913" i="33"/>
  <c r="P914" i="33"/>
  <c r="P915" i="33"/>
  <c r="P916" i="33"/>
  <c r="P917" i="33"/>
  <c r="P918" i="33"/>
  <c r="P919" i="33"/>
  <c r="P920" i="33"/>
  <c r="P921" i="33"/>
  <c r="P922" i="33"/>
  <c r="P923" i="33"/>
  <c r="P924" i="33"/>
  <c r="P925" i="33"/>
  <c r="P926" i="33"/>
  <c r="P927" i="33"/>
  <c r="P928" i="33"/>
  <c r="P929" i="33"/>
  <c r="P930" i="33"/>
  <c r="P931" i="33"/>
  <c r="P932" i="33"/>
  <c r="P933" i="33"/>
  <c r="P934" i="33"/>
  <c r="P935" i="33"/>
  <c r="P936" i="33"/>
  <c r="P937" i="33"/>
  <c r="P938" i="33"/>
  <c r="P939" i="33"/>
  <c r="P940" i="33"/>
  <c r="P941" i="33"/>
  <c r="P942" i="33"/>
  <c r="P943" i="33"/>
  <c r="P944" i="33"/>
  <c r="P945" i="33"/>
  <c r="P946" i="33"/>
  <c r="P947" i="33"/>
  <c r="P948" i="33"/>
  <c r="P949" i="33"/>
  <c r="P950" i="33"/>
  <c r="P951" i="33"/>
  <c r="P952" i="33"/>
  <c r="P953" i="33"/>
  <c r="P954" i="33"/>
  <c r="P955" i="33"/>
  <c r="P956" i="33"/>
  <c r="P957" i="33"/>
  <c r="P958" i="33"/>
  <c r="P959" i="33"/>
  <c r="P960" i="33"/>
  <c r="P961" i="33"/>
  <c r="P962" i="33"/>
  <c r="P963" i="33"/>
  <c r="P964" i="33"/>
  <c r="P965" i="33"/>
  <c r="P966" i="33"/>
  <c r="P967" i="33"/>
  <c r="P968" i="33"/>
  <c r="P969" i="33"/>
  <c r="P970" i="33"/>
  <c r="P971" i="33"/>
  <c r="P972" i="33"/>
  <c r="P973" i="33"/>
  <c r="P974" i="33"/>
  <c r="P975" i="33"/>
  <c r="P976" i="33"/>
  <c r="P977" i="33"/>
  <c r="P978" i="33"/>
  <c r="P979" i="33"/>
  <c r="P980" i="33"/>
  <c r="P981" i="33"/>
  <c r="P982" i="33"/>
  <c r="P983" i="33"/>
  <c r="P984" i="33"/>
  <c r="P985" i="33"/>
  <c r="P986" i="33"/>
  <c r="P987" i="33"/>
  <c r="P988" i="33"/>
  <c r="P989" i="33"/>
  <c r="P990" i="33"/>
  <c r="P991" i="33"/>
  <c r="P992" i="33"/>
  <c r="P993" i="33"/>
  <c r="P994" i="33"/>
  <c r="P995" i="33"/>
  <c r="P996" i="33"/>
  <c r="P997" i="33"/>
  <c r="P998" i="33"/>
  <c r="P999" i="33"/>
  <c r="P1000" i="33"/>
  <c r="P1001" i="33"/>
  <c r="P1002" i="33"/>
  <c r="P1003" i="33"/>
  <c r="P1004" i="33"/>
  <c r="P1005" i="33"/>
  <c r="P1006" i="33"/>
  <c r="P1007" i="33"/>
  <c r="P1008" i="33"/>
  <c r="P1009" i="33"/>
  <c r="P1010" i="33"/>
  <c r="P1011" i="33"/>
  <c r="P1012" i="33"/>
  <c r="P1013" i="33"/>
  <c r="P1014" i="33"/>
  <c r="P1015" i="33"/>
  <c r="P1016" i="33"/>
  <c r="P1017" i="33"/>
  <c r="P1018" i="33"/>
  <c r="P1019" i="33"/>
  <c r="P1020" i="33"/>
  <c r="P1021" i="33"/>
  <c r="P1022" i="33"/>
  <c r="P1023" i="33"/>
  <c r="P1024" i="33"/>
  <c r="P1025" i="33"/>
  <c r="P1026" i="33"/>
  <c r="P1027" i="33"/>
  <c r="P1028" i="33"/>
  <c r="P1029" i="33"/>
  <c r="P1030" i="33"/>
  <c r="P1031" i="33"/>
  <c r="P1032" i="33"/>
  <c r="P1033" i="33"/>
  <c r="P1034" i="33"/>
  <c r="P1035" i="33"/>
  <c r="P1036" i="33"/>
  <c r="P1037" i="33"/>
  <c r="P1038" i="33"/>
  <c r="P1039" i="33"/>
  <c r="P1040" i="33"/>
  <c r="P1041" i="33"/>
  <c r="P1042" i="33"/>
  <c r="P1043" i="33"/>
  <c r="P1044" i="33"/>
  <c r="P1045" i="33"/>
  <c r="P1046" i="33"/>
  <c r="P1047" i="33"/>
  <c r="P1048" i="33"/>
  <c r="P1049" i="33"/>
  <c r="P1050" i="33"/>
  <c r="P1051" i="33"/>
  <c r="P1052" i="33"/>
  <c r="P1053" i="33"/>
  <c r="P1054" i="33"/>
  <c r="P1055" i="33"/>
  <c r="P1056" i="33"/>
  <c r="P1057" i="33"/>
  <c r="P1058" i="33"/>
  <c r="P1059" i="33"/>
  <c r="P1060" i="33"/>
  <c r="P1061" i="33"/>
  <c r="P1062" i="33"/>
  <c r="P1063" i="33"/>
  <c r="P1064" i="33"/>
  <c r="P1065" i="33"/>
  <c r="P1066" i="33"/>
  <c r="P1067" i="33"/>
  <c r="P1068" i="33"/>
  <c r="P1069" i="33"/>
  <c r="P1070" i="33"/>
  <c r="P1071" i="33"/>
  <c r="P1072" i="33"/>
  <c r="P1073" i="33"/>
  <c r="P1074" i="33"/>
  <c r="P1075" i="33"/>
  <c r="P1076" i="33"/>
  <c r="P1077" i="33"/>
  <c r="P1078" i="33"/>
  <c r="P1079" i="33"/>
  <c r="P1080" i="33"/>
  <c r="P1081" i="33"/>
  <c r="P1082" i="33"/>
  <c r="P1083" i="33"/>
  <c r="P1084" i="33"/>
  <c r="P1085" i="33"/>
  <c r="P1086" i="33"/>
  <c r="P1087" i="33"/>
  <c r="P1088" i="33"/>
  <c r="P1089" i="33"/>
  <c r="P81" i="33"/>
  <c r="P82" i="33"/>
  <c r="P83" i="33"/>
  <c r="P84" i="33"/>
  <c r="P85" i="33"/>
  <c r="P86" i="33"/>
  <c r="P87" i="33"/>
  <c r="P88" i="33"/>
  <c r="P89" i="33"/>
  <c r="P90" i="33"/>
  <c r="P91" i="33"/>
  <c r="P92" i="33"/>
  <c r="P93" i="33"/>
  <c r="P94" i="33"/>
  <c r="P95" i="33"/>
  <c r="P96" i="33"/>
  <c r="P97" i="33"/>
  <c r="P98" i="33"/>
  <c r="P99" i="33"/>
  <c r="P100" i="33"/>
  <c r="P101" i="33"/>
  <c r="P102" i="33"/>
  <c r="P103" i="33"/>
  <c r="P104" i="33"/>
  <c r="P105" i="33"/>
  <c r="P106" i="33"/>
  <c r="P107" i="33"/>
  <c r="P108" i="33"/>
  <c r="P109" i="33"/>
  <c r="P110" i="33"/>
  <c r="P111" i="33"/>
  <c r="P112" i="33"/>
  <c r="P113" i="33"/>
  <c r="P114" i="33"/>
  <c r="P115" i="33"/>
  <c r="P116" i="33"/>
  <c r="P117" i="33"/>
  <c r="P118" i="33"/>
  <c r="P119" i="33"/>
  <c r="P120" i="33"/>
  <c r="P121" i="33"/>
  <c r="P122" i="33"/>
  <c r="P123" i="33"/>
  <c r="P124" i="33"/>
  <c r="P125" i="33"/>
  <c r="P126" i="33"/>
  <c r="P127" i="33"/>
  <c r="P128" i="33"/>
  <c r="P129" i="33"/>
  <c r="P130" i="33"/>
  <c r="P131" i="33"/>
  <c r="P132" i="33"/>
  <c r="P133" i="33"/>
  <c r="P134" i="33"/>
  <c r="P135" i="33"/>
  <c r="P136" i="33"/>
  <c r="P137" i="33"/>
  <c r="P138" i="33"/>
  <c r="P139" i="33"/>
  <c r="P140" i="33"/>
  <c r="P141" i="33"/>
  <c r="P142" i="33"/>
  <c r="P143" i="33"/>
  <c r="P144" i="33"/>
  <c r="P145" i="33"/>
  <c r="P146" i="33"/>
  <c r="P147" i="33"/>
  <c r="P148" i="33"/>
  <c r="P149" i="33"/>
  <c r="P150" i="33"/>
  <c r="P151" i="33"/>
  <c r="P152" i="33"/>
  <c r="P153" i="33"/>
  <c r="P154" i="33"/>
  <c r="P155" i="33"/>
  <c r="P156" i="33"/>
  <c r="P157" i="33"/>
  <c r="P158" i="33"/>
  <c r="P159" i="33"/>
  <c r="P160" i="33"/>
  <c r="P161" i="33"/>
  <c r="P162" i="33"/>
  <c r="P163" i="33"/>
  <c r="P164" i="33"/>
  <c r="P165" i="33"/>
  <c r="P166" i="33"/>
  <c r="P167" i="33"/>
  <c r="P168" i="33"/>
  <c r="P169" i="33"/>
  <c r="P170" i="33"/>
  <c r="P171" i="33"/>
  <c r="P172" i="33"/>
  <c r="P173" i="33"/>
  <c r="P174" i="33"/>
  <c r="P175" i="33"/>
  <c r="P176" i="33"/>
  <c r="P177" i="33"/>
  <c r="P178" i="33"/>
  <c r="P179" i="33"/>
  <c r="P180" i="33"/>
  <c r="P181" i="33"/>
  <c r="P182" i="33"/>
  <c r="P183" i="33"/>
  <c r="P184" i="33"/>
  <c r="P185" i="33"/>
  <c r="P186" i="33"/>
  <c r="P187" i="33"/>
  <c r="P188" i="33"/>
  <c r="P189" i="33"/>
  <c r="P190" i="33"/>
  <c r="P191" i="33"/>
  <c r="P192" i="33"/>
  <c r="P193" i="33"/>
  <c r="P194" i="33"/>
  <c r="P195" i="33"/>
  <c r="P196" i="33"/>
  <c r="P197" i="33"/>
  <c r="P198" i="33"/>
  <c r="P199" i="33"/>
  <c r="P200" i="33"/>
  <c r="P201" i="33"/>
  <c r="P202" i="33"/>
  <c r="P203" i="33"/>
  <c r="P204" i="33"/>
  <c r="P205" i="33"/>
  <c r="P206" i="33"/>
  <c r="P207" i="33"/>
  <c r="P208" i="33"/>
  <c r="P209" i="33"/>
  <c r="P210" i="33"/>
  <c r="P211" i="33"/>
  <c r="P212" i="33"/>
  <c r="P213" i="33"/>
  <c r="P214" i="33"/>
  <c r="P215" i="33"/>
  <c r="P216" i="33"/>
  <c r="P217" i="33"/>
  <c r="P218" i="33"/>
  <c r="P219" i="33"/>
  <c r="P220" i="33"/>
  <c r="P221" i="33"/>
  <c r="P222" i="33"/>
  <c r="P223" i="33"/>
  <c r="P224" i="33"/>
  <c r="P225" i="33"/>
  <c r="P226" i="33"/>
  <c r="P227" i="33"/>
  <c r="P228" i="33"/>
  <c r="P229" i="33"/>
  <c r="P230" i="33"/>
  <c r="P231" i="33"/>
  <c r="P232" i="33"/>
  <c r="P233" i="33"/>
  <c r="P234" i="33"/>
  <c r="P235" i="33"/>
  <c r="P236" i="33"/>
  <c r="P237" i="33"/>
  <c r="P238" i="33"/>
  <c r="P239" i="33"/>
  <c r="P240" i="33"/>
  <c r="P241" i="33"/>
  <c r="P242" i="33"/>
  <c r="P243" i="33"/>
  <c r="P244" i="33"/>
  <c r="P245" i="33"/>
  <c r="P246" i="33"/>
  <c r="P247" i="33"/>
  <c r="P248" i="33"/>
  <c r="P249" i="33"/>
  <c r="P250" i="33"/>
  <c r="P251" i="33"/>
  <c r="P252" i="33"/>
  <c r="P253" i="33"/>
  <c r="P254" i="33"/>
  <c r="P255" i="33"/>
  <c r="P256" i="33"/>
  <c r="P257" i="33"/>
  <c r="P258" i="33"/>
  <c r="P259" i="33"/>
  <c r="P260" i="33"/>
  <c r="P261" i="33"/>
  <c r="P262" i="33"/>
  <c r="P263" i="33"/>
  <c r="P264" i="33"/>
  <c r="P265" i="33"/>
  <c r="P266" i="33"/>
  <c r="P267" i="33"/>
  <c r="P268" i="33"/>
  <c r="P269" i="33"/>
  <c r="P270" i="33"/>
  <c r="P271" i="33"/>
  <c r="P272" i="33"/>
  <c r="P273" i="33"/>
  <c r="P274" i="33"/>
  <c r="P275" i="33"/>
  <c r="P276" i="33"/>
  <c r="P277" i="33"/>
  <c r="P278" i="33"/>
  <c r="P279" i="33"/>
  <c r="P280" i="33"/>
  <c r="P281" i="33"/>
  <c r="P282" i="33"/>
  <c r="P283" i="33"/>
  <c r="P284" i="33"/>
  <c r="P285" i="33"/>
  <c r="P286" i="33"/>
  <c r="P287" i="33"/>
  <c r="P288" i="33"/>
  <c r="P289" i="33"/>
  <c r="P290" i="33"/>
  <c r="P291" i="33"/>
  <c r="P292" i="33"/>
  <c r="P293" i="33"/>
  <c r="P294" i="33"/>
  <c r="P295" i="33"/>
  <c r="P296" i="33"/>
  <c r="P297" i="33"/>
  <c r="P298" i="33"/>
  <c r="P299" i="33"/>
  <c r="P300" i="33"/>
  <c r="P301" i="33"/>
  <c r="P302" i="33"/>
  <c r="P303" i="33"/>
  <c r="P304" i="33"/>
  <c r="P305" i="33"/>
  <c r="P306" i="33"/>
  <c r="P307" i="33"/>
  <c r="P308" i="33"/>
  <c r="P309" i="33"/>
  <c r="P310" i="33"/>
  <c r="P311" i="33"/>
  <c r="P312" i="33"/>
  <c r="P313" i="33"/>
  <c r="P314" i="33"/>
  <c r="P315" i="33"/>
  <c r="P316" i="33"/>
  <c r="P317" i="33"/>
  <c r="P318" i="33"/>
  <c r="P319" i="33"/>
  <c r="P320" i="33"/>
  <c r="P321" i="33"/>
  <c r="P322" i="33"/>
  <c r="P323" i="33"/>
  <c r="P324" i="33"/>
  <c r="P325" i="33"/>
  <c r="P326" i="33"/>
  <c r="P327" i="33"/>
  <c r="P328" i="33"/>
  <c r="P329" i="33"/>
  <c r="P330" i="33"/>
  <c r="P331" i="33"/>
  <c r="P332" i="33"/>
  <c r="P333" i="33"/>
  <c r="P334" i="33"/>
  <c r="P335" i="33"/>
  <c r="P336" i="33"/>
  <c r="P337" i="33"/>
  <c r="P338" i="33"/>
  <c r="P339" i="33"/>
  <c r="P340" i="33"/>
  <c r="P341" i="33"/>
  <c r="P342" i="33"/>
  <c r="P343" i="33"/>
  <c r="P344" i="33"/>
  <c r="P345" i="33"/>
  <c r="P346" i="33"/>
  <c r="P347" i="33"/>
  <c r="P348" i="33"/>
  <c r="P349" i="33"/>
  <c r="P350" i="33"/>
  <c r="P351" i="33"/>
  <c r="P352" i="33"/>
  <c r="P353" i="33"/>
  <c r="P354" i="33"/>
  <c r="P355" i="33"/>
  <c r="P356" i="33"/>
  <c r="P357" i="33"/>
  <c r="P358" i="33"/>
  <c r="P359" i="33"/>
  <c r="P360" i="33"/>
  <c r="P361" i="33"/>
  <c r="P362" i="33"/>
  <c r="P363" i="33"/>
  <c r="P364" i="33"/>
  <c r="P365" i="33"/>
  <c r="P366" i="33"/>
  <c r="P367" i="33"/>
  <c r="P368" i="33"/>
  <c r="P369" i="33"/>
  <c r="P370" i="33"/>
  <c r="P371" i="33"/>
  <c r="P372" i="33"/>
  <c r="P373" i="33"/>
  <c r="P374" i="33"/>
  <c r="P375" i="33"/>
  <c r="P376" i="33"/>
  <c r="P377" i="33"/>
  <c r="P378" i="33"/>
  <c r="P379" i="33"/>
  <c r="P380" i="33"/>
  <c r="P381" i="33"/>
  <c r="P382" i="33"/>
  <c r="P383" i="33"/>
  <c r="P384" i="33"/>
  <c r="P385" i="33"/>
  <c r="P386" i="33"/>
  <c r="P387" i="33"/>
  <c r="P388" i="33"/>
  <c r="P389" i="33"/>
  <c r="P390" i="33"/>
  <c r="P391" i="33"/>
  <c r="P392" i="33"/>
  <c r="P393" i="33"/>
  <c r="P394" i="33"/>
  <c r="P395" i="33"/>
  <c r="P396" i="33"/>
  <c r="P397" i="33"/>
  <c r="P398" i="33"/>
  <c r="P399" i="33"/>
  <c r="P400" i="33"/>
  <c r="P401" i="33"/>
  <c r="P402" i="33"/>
  <c r="P403" i="33"/>
  <c r="P404" i="33"/>
  <c r="P405" i="33"/>
  <c r="P406" i="33"/>
  <c r="P407" i="33"/>
  <c r="P408" i="33"/>
  <c r="P409" i="33"/>
  <c r="P410" i="33"/>
  <c r="P411" i="33"/>
  <c r="P412" i="33"/>
  <c r="P413" i="33"/>
  <c r="P414" i="33"/>
  <c r="P415" i="33"/>
  <c r="P416" i="33"/>
  <c r="P417" i="33"/>
  <c r="P418" i="33"/>
  <c r="P419" i="33"/>
  <c r="P420" i="33"/>
  <c r="P421" i="33"/>
  <c r="P422" i="33"/>
  <c r="P423" i="33"/>
  <c r="P424" i="33"/>
  <c r="P425" i="33"/>
  <c r="P426" i="33"/>
  <c r="P427" i="33"/>
  <c r="P428" i="33"/>
  <c r="P429" i="33"/>
  <c r="P430" i="33"/>
  <c r="P431" i="33"/>
  <c r="P432" i="33"/>
  <c r="P433" i="33"/>
  <c r="P434" i="33"/>
  <c r="P435" i="33"/>
  <c r="P436" i="33"/>
  <c r="P437" i="33"/>
  <c r="P438" i="33"/>
  <c r="P439" i="33"/>
  <c r="P440" i="33"/>
  <c r="P441" i="33"/>
  <c r="P442" i="33"/>
  <c r="P443" i="33"/>
  <c r="P444" i="33"/>
  <c r="P445" i="33"/>
  <c r="P446" i="33"/>
  <c r="P447" i="33"/>
  <c r="P448" i="33"/>
  <c r="P449" i="33"/>
  <c r="P450" i="33"/>
  <c r="P451" i="33"/>
  <c r="P452" i="33"/>
  <c r="P453" i="33"/>
  <c r="P454" i="33"/>
  <c r="P455" i="33"/>
  <c r="P456" i="33"/>
  <c r="P457" i="33"/>
  <c r="P458" i="33"/>
  <c r="P459" i="33"/>
  <c r="P460" i="33"/>
  <c r="P461" i="33"/>
  <c r="P462" i="33"/>
  <c r="P463" i="33"/>
  <c r="P464" i="33"/>
  <c r="P465" i="33"/>
  <c r="P466" i="33"/>
  <c r="P467" i="33"/>
  <c r="P468" i="33"/>
  <c r="P469" i="33"/>
  <c r="P470" i="33"/>
  <c r="P471" i="33"/>
  <c r="P472" i="33"/>
  <c r="P473" i="33"/>
  <c r="P474" i="33"/>
  <c r="P475" i="33"/>
  <c r="P476" i="33"/>
  <c r="P477" i="33"/>
  <c r="P478" i="33"/>
  <c r="P479" i="33"/>
  <c r="P480" i="33"/>
  <c r="P481" i="33"/>
  <c r="P482" i="33"/>
  <c r="P483" i="33"/>
  <c r="P484" i="33"/>
  <c r="P485" i="33"/>
  <c r="P486" i="33"/>
  <c r="P487" i="33"/>
  <c r="P488" i="33"/>
  <c r="P489" i="33"/>
  <c r="P490" i="33"/>
  <c r="P491" i="33"/>
  <c r="P492" i="33"/>
  <c r="P493" i="33"/>
  <c r="P494" i="33"/>
  <c r="P495" i="33"/>
  <c r="P496" i="33"/>
  <c r="P497" i="33"/>
  <c r="P498" i="33"/>
  <c r="P499" i="33"/>
  <c r="P500" i="33"/>
  <c r="P501" i="33"/>
  <c r="P502" i="33"/>
  <c r="P503" i="33"/>
  <c r="P504" i="33"/>
  <c r="P505" i="33"/>
  <c r="P506" i="33"/>
  <c r="P507" i="33"/>
  <c r="P508" i="33"/>
  <c r="P509" i="33"/>
  <c r="P510" i="33"/>
  <c r="P511" i="33"/>
  <c r="P512" i="33"/>
  <c r="P513" i="33"/>
  <c r="P514" i="33"/>
  <c r="P515" i="33"/>
  <c r="P516" i="33"/>
  <c r="P517" i="33"/>
  <c r="P518" i="33"/>
  <c r="P519" i="33"/>
  <c r="P520" i="33"/>
  <c r="P521" i="33"/>
  <c r="P522" i="33"/>
  <c r="P523" i="33"/>
  <c r="P524" i="33"/>
  <c r="P525" i="33"/>
  <c r="P526" i="33"/>
  <c r="P527" i="33"/>
  <c r="P528" i="33"/>
  <c r="P529" i="33"/>
  <c r="P530" i="33"/>
  <c r="P531" i="33"/>
  <c r="P532" i="33"/>
  <c r="P533" i="33"/>
  <c r="P534" i="33"/>
  <c r="P535" i="33"/>
  <c r="P536" i="33"/>
  <c r="P537" i="33"/>
  <c r="P538" i="33"/>
  <c r="P539" i="33"/>
  <c r="P540" i="33"/>
  <c r="P541" i="33"/>
  <c r="P542" i="33"/>
  <c r="P543" i="33"/>
  <c r="P544" i="33"/>
  <c r="P545" i="33"/>
  <c r="P546" i="33"/>
  <c r="P547" i="33"/>
  <c r="P548" i="33"/>
  <c r="P549" i="33"/>
  <c r="P550" i="33"/>
  <c r="P551" i="33"/>
  <c r="P552" i="33"/>
  <c r="P553" i="33"/>
  <c r="P554" i="33"/>
  <c r="P555" i="33"/>
  <c r="P4" i="33"/>
  <c r="P5" i="33"/>
  <c r="P6" i="33"/>
  <c r="P7" i="33"/>
  <c r="P8" i="33"/>
  <c r="P9" i="33"/>
  <c r="P10" i="33"/>
  <c r="P11" i="33"/>
  <c r="P12" i="33"/>
  <c r="P13" i="33"/>
  <c r="P14" i="33"/>
  <c r="P15" i="33"/>
  <c r="P16" i="33"/>
  <c r="P17" i="33"/>
  <c r="P18" i="33"/>
  <c r="P19" i="33"/>
  <c r="P20" i="33"/>
  <c r="P21" i="33"/>
  <c r="P22" i="33"/>
  <c r="P23" i="33"/>
  <c r="P24" i="33"/>
  <c r="P25" i="33"/>
  <c r="P26" i="33"/>
  <c r="P27" i="33"/>
  <c r="P28" i="33"/>
  <c r="P29" i="33"/>
  <c r="P30" i="33"/>
  <c r="P31" i="33"/>
  <c r="P32" i="33"/>
  <c r="P33" i="33"/>
  <c r="P34" i="33"/>
  <c r="P35" i="33"/>
  <c r="P36" i="33"/>
  <c r="P37" i="33"/>
  <c r="P38" i="33"/>
  <c r="P39" i="33"/>
  <c r="P40" i="33"/>
  <c r="P41" i="33"/>
  <c r="P42" i="33"/>
  <c r="P43" i="33"/>
  <c r="P44" i="33"/>
  <c r="P45" i="33"/>
  <c r="P46" i="33"/>
  <c r="P47" i="33"/>
  <c r="P48" i="33"/>
  <c r="P49" i="33"/>
  <c r="P50" i="33"/>
  <c r="P51" i="33"/>
  <c r="P52" i="33"/>
  <c r="P53" i="33"/>
  <c r="P54" i="33"/>
  <c r="P55" i="33"/>
  <c r="P56" i="33"/>
  <c r="P57" i="33"/>
  <c r="P58" i="33"/>
  <c r="P59" i="33"/>
  <c r="P60" i="33"/>
  <c r="P61" i="33"/>
  <c r="P62" i="33"/>
  <c r="P63" i="33"/>
  <c r="P64" i="33"/>
  <c r="P65" i="33"/>
  <c r="P66" i="33"/>
  <c r="P67" i="33"/>
  <c r="P68" i="33"/>
  <c r="P69" i="33"/>
  <c r="P70" i="33"/>
  <c r="P71" i="33"/>
  <c r="P72" i="33"/>
  <c r="P73" i="33"/>
  <c r="P74" i="33"/>
  <c r="P75" i="33"/>
  <c r="P76" i="33"/>
  <c r="P77" i="33"/>
  <c r="P78" i="33"/>
  <c r="P79" i="33"/>
  <c r="P80" i="33"/>
  <c r="N5" i="33"/>
  <c r="N6" i="33"/>
  <c r="N7" i="33"/>
  <c r="N8" i="33"/>
  <c r="N9" i="33"/>
  <c r="N10" i="33"/>
  <c r="N11" i="33"/>
  <c r="N12" i="33"/>
  <c r="N13" i="33"/>
  <c r="N14" i="33"/>
  <c r="N15" i="33"/>
  <c r="N16" i="33"/>
  <c r="N17" i="33"/>
  <c r="N18" i="33"/>
  <c r="N19" i="33"/>
  <c r="N20" i="33"/>
  <c r="N21" i="33"/>
  <c r="N22" i="33"/>
  <c r="N23" i="33"/>
  <c r="N24" i="33"/>
  <c r="N25" i="33"/>
  <c r="N26" i="33"/>
  <c r="N27" i="33"/>
  <c r="N28" i="33"/>
  <c r="N29" i="33"/>
  <c r="N30" i="33"/>
  <c r="N31" i="33"/>
  <c r="N32" i="33"/>
  <c r="N33" i="33"/>
  <c r="N34" i="33"/>
  <c r="N35" i="33"/>
  <c r="N36" i="33"/>
  <c r="N37" i="33"/>
  <c r="N38" i="33"/>
  <c r="N39" i="33"/>
  <c r="N40" i="33"/>
  <c r="N41" i="33"/>
  <c r="N42" i="33"/>
  <c r="N43" i="33"/>
  <c r="N44" i="33"/>
  <c r="N45" i="33"/>
  <c r="N46" i="33"/>
  <c r="N47" i="33"/>
  <c r="N48" i="33"/>
  <c r="N49" i="33"/>
  <c r="N50" i="33"/>
  <c r="N51" i="33"/>
  <c r="N52" i="33"/>
  <c r="N53" i="33"/>
  <c r="N54" i="33"/>
  <c r="N55" i="33"/>
  <c r="N56" i="33"/>
  <c r="N57" i="33"/>
  <c r="N58" i="33"/>
  <c r="N59" i="33"/>
  <c r="N60" i="33"/>
  <c r="N61" i="33"/>
  <c r="N62" i="33"/>
  <c r="N63" i="33"/>
  <c r="N64" i="33"/>
  <c r="N65" i="33"/>
  <c r="N66" i="33"/>
  <c r="N67" i="33"/>
  <c r="N68" i="33"/>
  <c r="N69" i="33"/>
  <c r="N70" i="33"/>
  <c r="N71" i="33"/>
  <c r="N72" i="33"/>
  <c r="N73" i="33"/>
  <c r="N74" i="33"/>
  <c r="N75" i="33"/>
  <c r="N76" i="33"/>
  <c r="N77" i="33"/>
  <c r="N78" i="33"/>
  <c r="N79" i="33"/>
  <c r="N80" i="33"/>
  <c r="N81" i="33"/>
  <c r="N82" i="33"/>
  <c r="N83" i="33"/>
  <c r="N84" i="33"/>
  <c r="N85" i="33"/>
  <c r="N86" i="33"/>
  <c r="N87" i="33"/>
  <c r="N88" i="33"/>
  <c r="N89" i="33"/>
  <c r="N90" i="33"/>
  <c r="N91" i="33"/>
  <c r="N92" i="33"/>
  <c r="N93" i="33"/>
  <c r="N94" i="33"/>
  <c r="N95" i="33"/>
  <c r="N96" i="33"/>
  <c r="N97" i="33"/>
  <c r="N98" i="33"/>
  <c r="N99" i="33"/>
  <c r="N100" i="33"/>
  <c r="N101" i="33"/>
  <c r="N102" i="33"/>
  <c r="N103" i="33"/>
  <c r="N104" i="33"/>
  <c r="N105" i="33"/>
  <c r="N106" i="33"/>
  <c r="N107" i="33"/>
  <c r="N108" i="33"/>
  <c r="N109" i="33"/>
  <c r="N110" i="33"/>
  <c r="N111" i="33"/>
  <c r="N112" i="33"/>
  <c r="N113" i="33"/>
  <c r="N114" i="33"/>
  <c r="N115" i="33"/>
  <c r="N116" i="33"/>
  <c r="N117" i="33"/>
  <c r="N118" i="33"/>
  <c r="N119" i="33"/>
  <c r="N120" i="33"/>
  <c r="N121" i="33"/>
  <c r="N122" i="33"/>
  <c r="N123" i="33"/>
  <c r="N124" i="33"/>
  <c r="N125" i="33"/>
  <c r="N126" i="33"/>
  <c r="N127" i="33"/>
  <c r="N128" i="33"/>
  <c r="N129" i="33"/>
  <c r="N130" i="33"/>
  <c r="N131" i="33"/>
  <c r="N132" i="33"/>
  <c r="N133" i="33"/>
  <c r="N134" i="33"/>
  <c r="N135" i="33"/>
  <c r="N136" i="33"/>
  <c r="N137" i="33"/>
  <c r="N138" i="33"/>
  <c r="N139" i="33"/>
  <c r="N140" i="33"/>
  <c r="N141" i="33"/>
  <c r="N142" i="33"/>
  <c r="N143" i="33"/>
  <c r="N144" i="33"/>
  <c r="N145" i="33"/>
  <c r="N146" i="33"/>
  <c r="N147" i="33"/>
  <c r="N148" i="33"/>
  <c r="N149" i="33"/>
  <c r="N150" i="33"/>
  <c r="N151" i="33"/>
  <c r="N152" i="33"/>
  <c r="N153" i="33"/>
  <c r="N154" i="33"/>
  <c r="N155" i="33"/>
  <c r="N156" i="33"/>
  <c r="N157" i="33"/>
  <c r="N158" i="33"/>
  <c r="N159" i="33"/>
  <c r="N160" i="33"/>
  <c r="N161" i="33"/>
  <c r="N162" i="33"/>
  <c r="N163" i="33"/>
  <c r="N164" i="33"/>
  <c r="N165" i="33"/>
  <c r="N166" i="33"/>
  <c r="N167" i="33"/>
  <c r="N168" i="33"/>
  <c r="N169" i="33"/>
  <c r="N170" i="33"/>
  <c r="N171" i="33"/>
  <c r="N172" i="33"/>
  <c r="N173" i="33"/>
  <c r="N174" i="33"/>
  <c r="N175" i="33"/>
  <c r="N176" i="33"/>
  <c r="N177" i="33"/>
  <c r="N178" i="33"/>
  <c r="N179" i="33"/>
  <c r="N180" i="33"/>
  <c r="N181" i="33"/>
  <c r="N182" i="33"/>
  <c r="N183" i="33"/>
  <c r="N184" i="33"/>
  <c r="N185" i="33"/>
  <c r="N186" i="33"/>
  <c r="N187" i="33"/>
  <c r="N188" i="33"/>
  <c r="N189" i="33"/>
  <c r="N190" i="33"/>
  <c r="N191" i="33"/>
  <c r="N192" i="33"/>
  <c r="N193" i="33"/>
  <c r="N194" i="33"/>
  <c r="N195" i="33"/>
  <c r="N196" i="33"/>
  <c r="N197" i="33"/>
  <c r="N198" i="33"/>
  <c r="N199" i="33"/>
  <c r="N200" i="33"/>
  <c r="N201" i="33"/>
  <c r="N202" i="33"/>
  <c r="N203" i="33"/>
  <c r="N204" i="33"/>
  <c r="N205" i="33"/>
  <c r="N206" i="33"/>
  <c r="N207" i="33"/>
  <c r="N208" i="33"/>
  <c r="N209" i="33"/>
  <c r="N210" i="33"/>
  <c r="N211" i="33"/>
  <c r="N212" i="33"/>
  <c r="N213" i="33"/>
  <c r="N214" i="33"/>
  <c r="N215" i="33"/>
  <c r="N216" i="33"/>
  <c r="N217" i="33"/>
  <c r="N218" i="33"/>
  <c r="N219" i="33"/>
  <c r="N220" i="33"/>
  <c r="N221" i="33"/>
  <c r="N222" i="33"/>
  <c r="N223" i="33"/>
  <c r="N224" i="33"/>
  <c r="N225" i="33"/>
  <c r="N226" i="33"/>
  <c r="N227" i="33"/>
  <c r="N228" i="33"/>
  <c r="N229" i="33"/>
  <c r="N230" i="33"/>
  <c r="N231" i="33"/>
  <c r="N232" i="33"/>
  <c r="N233" i="33"/>
  <c r="N234" i="33"/>
  <c r="N235" i="33"/>
  <c r="N236" i="33"/>
  <c r="N237" i="33"/>
  <c r="N238" i="33"/>
  <c r="N239" i="33"/>
  <c r="N240" i="33"/>
  <c r="N241" i="33"/>
  <c r="N242" i="33"/>
  <c r="N243" i="33"/>
  <c r="N244" i="33"/>
  <c r="N245" i="33"/>
  <c r="N246" i="33"/>
  <c r="N247" i="33"/>
  <c r="N248" i="33"/>
  <c r="N249" i="33"/>
  <c r="N250" i="33"/>
  <c r="N251" i="33"/>
  <c r="N252" i="33"/>
  <c r="N253" i="33"/>
  <c r="N254" i="33"/>
  <c r="N255" i="33"/>
  <c r="N256" i="33"/>
  <c r="N257" i="33"/>
  <c r="N258" i="33"/>
  <c r="N259" i="33"/>
  <c r="N260" i="33"/>
  <c r="N261" i="33"/>
  <c r="N262" i="33"/>
  <c r="N263" i="33"/>
  <c r="N264" i="33"/>
  <c r="N265" i="33"/>
  <c r="N266" i="33"/>
  <c r="N267" i="33"/>
  <c r="N268" i="33"/>
  <c r="N269" i="33"/>
  <c r="N270" i="33"/>
  <c r="N271" i="33"/>
  <c r="N272" i="33"/>
  <c r="N273" i="33"/>
  <c r="N274" i="33"/>
  <c r="N275" i="33"/>
  <c r="N276" i="33"/>
  <c r="N277" i="33"/>
  <c r="N278" i="33"/>
  <c r="N279" i="33"/>
  <c r="N280" i="33"/>
  <c r="N281" i="33"/>
  <c r="N282" i="33"/>
  <c r="N283" i="33"/>
  <c r="N284" i="33"/>
  <c r="N285" i="33"/>
  <c r="N286" i="33"/>
  <c r="N287" i="33"/>
  <c r="N288" i="33"/>
  <c r="N289" i="33"/>
  <c r="N290" i="33"/>
  <c r="N291" i="33"/>
  <c r="N292" i="33"/>
  <c r="N293" i="33"/>
  <c r="N294" i="33"/>
  <c r="N295" i="33"/>
  <c r="N296" i="33"/>
  <c r="N297" i="33"/>
  <c r="N298" i="33"/>
  <c r="N299" i="33"/>
  <c r="N300" i="33"/>
  <c r="N301" i="33"/>
  <c r="N302" i="33"/>
  <c r="N303" i="33"/>
  <c r="N304" i="33"/>
  <c r="N305" i="33"/>
  <c r="N306" i="33"/>
  <c r="N307" i="33"/>
  <c r="N308" i="33"/>
  <c r="N309" i="33"/>
  <c r="N310" i="33"/>
  <c r="N311" i="33"/>
  <c r="N312" i="33"/>
  <c r="N313" i="33"/>
  <c r="N314" i="33"/>
  <c r="N315" i="33"/>
  <c r="N316" i="33"/>
  <c r="N317" i="33"/>
  <c r="N318" i="33"/>
  <c r="N319" i="33"/>
  <c r="N320" i="33"/>
  <c r="N321" i="33"/>
  <c r="N322" i="33"/>
  <c r="N323" i="33"/>
  <c r="N324" i="33"/>
  <c r="N325" i="33"/>
  <c r="N326" i="33"/>
  <c r="N327" i="33"/>
  <c r="N328" i="33"/>
  <c r="N329" i="33"/>
  <c r="N330" i="33"/>
  <c r="N331" i="33"/>
  <c r="N332" i="33"/>
  <c r="N333" i="33"/>
  <c r="N334" i="33"/>
  <c r="N335" i="33"/>
  <c r="N336" i="33"/>
  <c r="N337" i="33"/>
  <c r="N338" i="33"/>
  <c r="N339" i="33"/>
  <c r="N340" i="33"/>
  <c r="N341" i="33"/>
  <c r="N342" i="33"/>
  <c r="N343" i="33"/>
  <c r="N344" i="33"/>
  <c r="N345" i="33"/>
  <c r="N346" i="33"/>
  <c r="N347" i="33"/>
  <c r="N348" i="33"/>
  <c r="N349" i="33"/>
  <c r="N350" i="33"/>
  <c r="N351" i="33"/>
  <c r="N352" i="33"/>
  <c r="N353" i="33"/>
  <c r="N354" i="33"/>
  <c r="N355" i="33"/>
  <c r="N356" i="33"/>
  <c r="N357" i="33"/>
  <c r="N358" i="33"/>
  <c r="N359" i="33"/>
  <c r="N360" i="33"/>
  <c r="N361" i="33"/>
  <c r="N362" i="33"/>
  <c r="N363" i="33"/>
  <c r="N364" i="33"/>
  <c r="N365" i="33"/>
  <c r="N366" i="33"/>
  <c r="N367" i="33"/>
  <c r="N368" i="33"/>
  <c r="N369" i="33"/>
  <c r="N370" i="33"/>
  <c r="N371" i="33"/>
  <c r="N372" i="33"/>
  <c r="N373" i="33"/>
  <c r="N374" i="33"/>
  <c r="N375" i="33"/>
  <c r="N376" i="33"/>
  <c r="N377" i="33"/>
  <c r="N378" i="33"/>
  <c r="N379" i="33"/>
  <c r="N380" i="33"/>
  <c r="N381" i="33"/>
  <c r="N382" i="33"/>
  <c r="N383" i="33"/>
  <c r="N384" i="33"/>
  <c r="N385" i="33"/>
  <c r="N386" i="33"/>
  <c r="N387" i="33"/>
  <c r="N388" i="33"/>
  <c r="N389" i="33"/>
  <c r="N390" i="33"/>
  <c r="N391" i="33"/>
  <c r="N392" i="33"/>
  <c r="N393" i="33"/>
  <c r="N394" i="33"/>
  <c r="N395" i="33"/>
  <c r="N396" i="33"/>
  <c r="N397" i="33"/>
  <c r="N398" i="33"/>
  <c r="N399" i="33"/>
  <c r="N400" i="33"/>
  <c r="N401" i="33"/>
  <c r="N402" i="33"/>
  <c r="N403" i="33"/>
  <c r="N404" i="33"/>
  <c r="N405" i="33"/>
  <c r="N406" i="33"/>
  <c r="N407" i="33"/>
  <c r="N408" i="33"/>
  <c r="N409" i="33"/>
  <c r="N410" i="33"/>
  <c r="N411" i="33"/>
  <c r="N412" i="33"/>
  <c r="N413" i="33"/>
  <c r="N414" i="33"/>
  <c r="N415" i="33"/>
  <c r="N416" i="33"/>
  <c r="N417" i="33"/>
  <c r="N418" i="33"/>
  <c r="N419" i="33"/>
  <c r="N420" i="33"/>
  <c r="N421" i="33"/>
  <c r="N422" i="33"/>
  <c r="N423" i="33"/>
  <c r="N424" i="33"/>
  <c r="N425" i="33"/>
  <c r="N426" i="33"/>
  <c r="N427" i="33"/>
  <c r="N428" i="33"/>
  <c r="N429" i="33"/>
  <c r="N430" i="33"/>
  <c r="N431" i="33"/>
  <c r="N432" i="33"/>
  <c r="N433" i="33"/>
  <c r="N434" i="33"/>
  <c r="N435" i="33"/>
  <c r="N436" i="33"/>
  <c r="N437" i="33"/>
  <c r="N438" i="33"/>
  <c r="N439" i="33"/>
  <c r="N440" i="33"/>
  <c r="N441" i="33"/>
  <c r="N442" i="33"/>
  <c r="N443" i="33"/>
  <c r="N444" i="33"/>
  <c r="N445" i="33"/>
  <c r="N446" i="33"/>
  <c r="N447" i="33"/>
  <c r="N448" i="33"/>
  <c r="N449" i="33"/>
  <c r="N450" i="33"/>
  <c r="N451" i="33"/>
  <c r="N452" i="33"/>
  <c r="N453" i="33"/>
  <c r="N454" i="33"/>
  <c r="N455" i="33"/>
  <c r="N456" i="33"/>
  <c r="N457" i="33"/>
  <c r="N458" i="33"/>
  <c r="N459" i="33"/>
  <c r="N460" i="33"/>
  <c r="N461" i="33"/>
  <c r="N462" i="33"/>
  <c r="N463" i="33"/>
  <c r="N464" i="33"/>
  <c r="N465" i="33"/>
  <c r="N466" i="33"/>
  <c r="N467" i="33"/>
  <c r="N468" i="33"/>
  <c r="N469" i="33"/>
  <c r="N470" i="33"/>
  <c r="N471" i="33"/>
  <c r="N472" i="33"/>
  <c r="N473" i="33"/>
  <c r="N474" i="33"/>
  <c r="N475" i="33"/>
  <c r="N476" i="33"/>
  <c r="N477" i="33"/>
  <c r="N478" i="33"/>
  <c r="N479" i="33"/>
  <c r="N480" i="33"/>
  <c r="N481" i="33"/>
  <c r="N482" i="33"/>
  <c r="N483" i="33"/>
  <c r="N484" i="33"/>
  <c r="N485" i="33"/>
  <c r="N486" i="33"/>
  <c r="N487" i="33"/>
  <c r="N488" i="33"/>
  <c r="N489" i="33"/>
  <c r="N490" i="33"/>
  <c r="N491" i="33"/>
  <c r="N492" i="33"/>
  <c r="N493" i="33"/>
  <c r="N494" i="33"/>
  <c r="N495" i="33"/>
  <c r="N496" i="33"/>
  <c r="N497" i="33"/>
  <c r="N498" i="33"/>
  <c r="N499" i="33"/>
  <c r="N500" i="33"/>
  <c r="N501" i="33"/>
  <c r="N502" i="33"/>
  <c r="N503" i="33"/>
  <c r="N504" i="33"/>
  <c r="N505" i="33"/>
  <c r="N506" i="33"/>
  <c r="N507" i="33"/>
  <c r="N508" i="33"/>
  <c r="N509" i="33"/>
  <c r="N510" i="33"/>
  <c r="N511" i="33"/>
  <c r="N512" i="33"/>
  <c r="N513" i="33"/>
  <c r="N514" i="33"/>
  <c r="N515" i="33"/>
  <c r="N516" i="33"/>
  <c r="N517" i="33"/>
  <c r="N518" i="33"/>
  <c r="N519" i="33"/>
  <c r="N520" i="33"/>
  <c r="N521" i="33"/>
  <c r="N522" i="33"/>
  <c r="N523" i="33"/>
  <c r="N524" i="33"/>
  <c r="N525" i="33"/>
  <c r="N526" i="33"/>
  <c r="N527" i="33"/>
  <c r="N528" i="33"/>
  <c r="N529" i="33"/>
  <c r="N530" i="33"/>
  <c r="N531" i="33"/>
  <c r="N532" i="33"/>
  <c r="N533" i="33"/>
  <c r="N534" i="33"/>
  <c r="N535" i="33"/>
  <c r="N536" i="33"/>
  <c r="N537" i="33"/>
  <c r="N538" i="33"/>
  <c r="N539" i="33"/>
  <c r="N540" i="33"/>
  <c r="N541" i="33"/>
  <c r="N542" i="33"/>
  <c r="N543" i="33"/>
  <c r="N544" i="33"/>
  <c r="N545" i="33"/>
  <c r="N546" i="33"/>
  <c r="N547" i="33"/>
  <c r="N548" i="33"/>
  <c r="N549" i="33"/>
  <c r="N550" i="33"/>
  <c r="N551" i="33"/>
  <c r="N552" i="33"/>
  <c r="N553" i="33"/>
  <c r="N554" i="33"/>
  <c r="N555" i="33"/>
  <c r="N556" i="33"/>
  <c r="N557" i="33"/>
  <c r="N558" i="33"/>
  <c r="N559" i="33"/>
  <c r="N560" i="33"/>
  <c r="N561" i="33"/>
  <c r="N562" i="33"/>
  <c r="N563" i="33"/>
  <c r="N564" i="33"/>
  <c r="N565" i="33"/>
  <c r="N566" i="33"/>
  <c r="N567" i="33"/>
  <c r="N568" i="33"/>
  <c r="N569" i="33"/>
  <c r="N570" i="33"/>
  <c r="N571" i="33"/>
  <c r="N572" i="33"/>
  <c r="N573" i="33"/>
  <c r="N574" i="33"/>
  <c r="N575" i="33"/>
  <c r="N576" i="33"/>
  <c r="N577" i="33"/>
  <c r="N578" i="33"/>
  <c r="N579" i="33"/>
  <c r="N580" i="33"/>
  <c r="N581" i="33"/>
  <c r="N582" i="33"/>
  <c r="N583" i="33"/>
  <c r="N584" i="33"/>
  <c r="N585" i="33"/>
  <c r="N586" i="33"/>
  <c r="N587" i="33"/>
  <c r="N588" i="33"/>
  <c r="N589" i="33"/>
  <c r="N590" i="33"/>
  <c r="N591" i="33"/>
  <c r="N592" i="33"/>
  <c r="N593" i="33"/>
  <c r="N594" i="33"/>
  <c r="N595" i="33"/>
  <c r="N596" i="33"/>
  <c r="N597" i="33"/>
  <c r="N598" i="33"/>
  <c r="N599" i="33"/>
  <c r="N600" i="33"/>
  <c r="N601" i="33"/>
  <c r="N602" i="33"/>
  <c r="N603" i="33"/>
  <c r="N604" i="33"/>
  <c r="N605" i="33"/>
  <c r="N606" i="33"/>
  <c r="N607" i="33"/>
  <c r="N608" i="33"/>
  <c r="N609" i="33"/>
  <c r="N610" i="33"/>
  <c r="N611" i="33"/>
  <c r="N612" i="33"/>
  <c r="N613" i="33"/>
  <c r="N614" i="33"/>
  <c r="N615" i="33"/>
  <c r="N616" i="33"/>
  <c r="N617" i="33"/>
  <c r="N618" i="33"/>
  <c r="N619" i="33"/>
  <c r="N620" i="33"/>
  <c r="N621" i="33"/>
  <c r="N622" i="33"/>
  <c r="N623" i="33"/>
  <c r="N624" i="33"/>
  <c r="N625" i="33"/>
  <c r="N626" i="33"/>
  <c r="N627" i="33"/>
  <c r="N628" i="33"/>
  <c r="N629" i="33"/>
  <c r="N630" i="33"/>
  <c r="N631" i="33"/>
  <c r="N632" i="33"/>
  <c r="N633" i="33"/>
  <c r="N634" i="33"/>
  <c r="N635" i="33"/>
  <c r="N636" i="33"/>
  <c r="N637" i="33"/>
  <c r="N638" i="33"/>
  <c r="N639" i="33"/>
  <c r="N640" i="33"/>
  <c r="N641" i="33"/>
  <c r="N642" i="33"/>
  <c r="N643" i="33"/>
  <c r="N644" i="33"/>
  <c r="N645" i="33"/>
  <c r="N646" i="33"/>
  <c r="N647" i="33"/>
  <c r="N648" i="33"/>
  <c r="N649" i="33"/>
  <c r="N650" i="33"/>
  <c r="N651" i="33"/>
  <c r="N652" i="33"/>
  <c r="N653" i="33"/>
  <c r="N654" i="33"/>
  <c r="N655" i="33"/>
  <c r="N656" i="33"/>
  <c r="N657" i="33"/>
  <c r="N658" i="33"/>
  <c r="N659" i="33"/>
  <c r="N660" i="33"/>
  <c r="N661" i="33"/>
  <c r="N662" i="33"/>
  <c r="N663" i="33"/>
  <c r="N664" i="33"/>
  <c r="N665" i="33"/>
  <c r="N666" i="33"/>
  <c r="N667" i="33"/>
  <c r="N668" i="33"/>
  <c r="N669" i="33"/>
  <c r="N670" i="33"/>
  <c r="N671" i="33"/>
  <c r="N672" i="33"/>
  <c r="N673" i="33"/>
  <c r="N674" i="33"/>
  <c r="N675" i="33"/>
  <c r="N676" i="33"/>
  <c r="N677" i="33"/>
  <c r="N678" i="33"/>
  <c r="N679" i="33"/>
  <c r="N680" i="33"/>
  <c r="N681" i="33"/>
  <c r="N682" i="33"/>
  <c r="N683" i="33"/>
  <c r="N684" i="33"/>
  <c r="N685" i="33"/>
  <c r="N686" i="33"/>
  <c r="N687" i="33"/>
  <c r="N688" i="33"/>
  <c r="N689" i="33"/>
  <c r="N690" i="33"/>
  <c r="N691" i="33"/>
  <c r="N692" i="33"/>
  <c r="N693" i="33"/>
  <c r="N694" i="33"/>
  <c r="N695" i="33"/>
  <c r="N696" i="33"/>
  <c r="N697" i="33"/>
  <c r="N698" i="33"/>
  <c r="N699" i="33"/>
  <c r="N700" i="33"/>
  <c r="N701" i="33"/>
  <c r="N702" i="33"/>
  <c r="N703" i="33"/>
  <c r="N704" i="33"/>
  <c r="N705" i="33"/>
  <c r="N706" i="33"/>
  <c r="N707" i="33"/>
  <c r="N708" i="33"/>
  <c r="N709" i="33"/>
  <c r="N710" i="33"/>
  <c r="N711" i="33"/>
  <c r="N712" i="33"/>
  <c r="N713" i="33"/>
  <c r="N714" i="33"/>
  <c r="N715" i="33"/>
  <c r="N716" i="33"/>
  <c r="N717" i="33"/>
  <c r="N718" i="33"/>
  <c r="N719" i="33"/>
  <c r="N720" i="33"/>
  <c r="N721" i="33"/>
  <c r="N722" i="33"/>
  <c r="N723" i="33"/>
  <c r="N724" i="33"/>
  <c r="N725" i="33"/>
  <c r="N726" i="33"/>
  <c r="N727" i="33"/>
  <c r="N728" i="33"/>
  <c r="N729" i="33"/>
  <c r="N730" i="33"/>
  <c r="N731" i="33"/>
  <c r="N732" i="33"/>
  <c r="N733" i="33"/>
  <c r="N734" i="33"/>
  <c r="N735" i="33"/>
  <c r="N736" i="33"/>
  <c r="N737" i="33"/>
  <c r="N738" i="33"/>
  <c r="N739" i="33"/>
  <c r="N740" i="33"/>
  <c r="N741" i="33"/>
  <c r="N742" i="33"/>
  <c r="N743" i="33"/>
  <c r="N744" i="33"/>
  <c r="N745" i="33"/>
  <c r="N746" i="33"/>
  <c r="N747" i="33"/>
  <c r="N748" i="33"/>
  <c r="N749" i="33"/>
  <c r="N750" i="33"/>
  <c r="N751" i="33"/>
  <c r="N752" i="33"/>
  <c r="N753" i="33"/>
  <c r="N754" i="33"/>
  <c r="N755" i="33"/>
  <c r="N756" i="33"/>
  <c r="N757" i="33"/>
  <c r="N758" i="33"/>
  <c r="N759" i="33"/>
  <c r="N760" i="33"/>
  <c r="N761" i="33"/>
  <c r="N762" i="33"/>
  <c r="N763" i="33"/>
  <c r="N764" i="33"/>
  <c r="N765" i="33"/>
  <c r="N766" i="33"/>
  <c r="N767" i="33"/>
  <c r="N768" i="33"/>
  <c r="N769" i="33"/>
  <c r="N770" i="33"/>
  <c r="N771" i="33"/>
  <c r="N772" i="33"/>
  <c r="N773" i="33"/>
  <c r="N774" i="33"/>
  <c r="N775" i="33"/>
  <c r="N776" i="33"/>
  <c r="N777" i="33"/>
  <c r="N778" i="33"/>
  <c r="N779" i="33"/>
  <c r="N780" i="33"/>
  <c r="N781" i="33"/>
  <c r="N782" i="33"/>
  <c r="N783" i="33"/>
  <c r="N784" i="33"/>
  <c r="N785" i="33"/>
  <c r="N786" i="33"/>
  <c r="N787" i="33"/>
  <c r="N788" i="33"/>
  <c r="N789" i="33"/>
  <c r="N790" i="33"/>
  <c r="N791" i="33"/>
  <c r="N792" i="33"/>
  <c r="N793" i="33"/>
  <c r="N794" i="33"/>
  <c r="N795" i="33"/>
  <c r="N796" i="33"/>
  <c r="N797" i="33"/>
  <c r="N798" i="33"/>
  <c r="N799" i="33"/>
  <c r="N800" i="33"/>
  <c r="N801" i="33"/>
  <c r="N802" i="33"/>
  <c r="N803" i="33"/>
  <c r="N804" i="33"/>
  <c r="N805" i="33"/>
  <c r="N806" i="33"/>
  <c r="N807" i="33"/>
  <c r="N808" i="33"/>
  <c r="N809" i="33"/>
  <c r="N810" i="33"/>
  <c r="N811" i="33"/>
  <c r="N812" i="33"/>
  <c r="N813" i="33"/>
  <c r="N814" i="33"/>
  <c r="N815" i="33"/>
  <c r="N816" i="33"/>
  <c r="N817" i="33"/>
  <c r="N818" i="33"/>
  <c r="N819" i="33"/>
  <c r="N820" i="33"/>
  <c r="N821" i="33"/>
  <c r="N822" i="33"/>
  <c r="N823" i="33"/>
  <c r="N824" i="33"/>
  <c r="N825" i="33"/>
  <c r="N826" i="33"/>
  <c r="N827" i="33"/>
  <c r="N828" i="33"/>
  <c r="N829" i="33"/>
  <c r="N830" i="33"/>
  <c r="N831" i="33"/>
  <c r="N832" i="33"/>
  <c r="N833" i="33"/>
  <c r="N834" i="33"/>
  <c r="N835" i="33"/>
  <c r="N836" i="33"/>
  <c r="N837" i="33"/>
  <c r="N838" i="33"/>
  <c r="N839" i="33"/>
  <c r="N840" i="33"/>
  <c r="N841" i="33"/>
  <c r="N842" i="33"/>
  <c r="N843" i="33"/>
  <c r="N844" i="33"/>
  <c r="N845" i="33"/>
  <c r="N846" i="33"/>
  <c r="N847" i="33"/>
  <c r="N848" i="33"/>
  <c r="N849" i="33"/>
  <c r="N850" i="33"/>
  <c r="N851" i="33"/>
  <c r="N852" i="33"/>
  <c r="N853" i="33"/>
  <c r="N854" i="33"/>
  <c r="N855" i="33"/>
  <c r="N856" i="33"/>
  <c r="N857" i="33"/>
  <c r="N858" i="33"/>
  <c r="N859" i="33"/>
  <c r="N860" i="33"/>
  <c r="N861" i="33"/>
  <c r="N862" i="33"/>
  <c r="N863" i="33"/>
  <c r="N864" i="33"/>
  <c r="N865" i="33"/>
  <c r="N866" i="33"/>
  <c r="N867" i="33"/>
  <c r="N868" i="33"/>
  <c r="N869" i="33"/>
  <c r="N870" i="33"/>
  <c r="N871" i="33"/>
  <c r="N872" i="33"/>
  <c r="N873" i="33"/>
  <c r="N874" i="33"/>
  <c r="N875" i="33"/>
  <c r="N876" i="33"/>
  <c r="N877" i="33"/>
  <c r="N878" i="33"/>
  <c r="N879" i="33"/>
  <c r="N880" i="33"/>
  <c r="N881" i="33"/>
  <c r="N882" i="33"/>
  <c r="N883" i="33"/>
  <c r="N884" i="33"/>
  <c r="N885" i="33"/>
  <c r="N886" i="33"/>
  <c r="N887" i="33"/>
  <c r="N888" i="33"/>
  <c r="N889" i="33"/>
  <c r="N890" i="33"/>
  <c r="N891" i="33"/>
  <c r="N892" i="33"/>
  <c r="N893" i="33"/>
  <c r="N894" i="33"/>
  <c r="N895" i="33"/>
  <c r="N896" i="33"/>
  <c r="N897" i="33"/>
  <c r="N898" i="33"/>
  <c r="N899" i="33"/>
  <c r="N900" i="33"/>
  <c r="N901" i="33"/>
  <c r="N902" i="33"/>
  <c r="N903" i="33"/>
  <c r="N904" i="33"/>
  <c r="N905" i="33"/>
  <c r="N906" i="33"/>
  <c r="N907" i="33"/>
  <c r="N908" i="33"/>
  <c r="N909" i="33"/>
  <c r="N910" i="33"/>
  <c r="N911" i="33"/>
  <c r="N912" i="33"/>
  <c r="N913" i="33"/>
  <c r="N914" i="33"/>
  <c r="N915" i="33"/>
  <c r="N916" i="33"/>
  <c r="N917" i="33"/>
  <c r="N918" i="33"/>
  <c r="N919" i="33"/>
  <c r="N920" i="33"/>
  <c r="N921" i="33"/>
  <c r="N922" i="33"/>
  <c r="N923" i="33"/>
  <c r="N924" i="33"/>
  <c r="N925" i="33"/>
  <c r="N926" i="33"/>
  <c r="N927" i="33"/>
  <c r="N928" i="33"/>
  <c r="N929" i="33"/>
  <c r="N930" i="33"/>
  <c r="N931" i="33"/>
  <c r="N932" i="33"/>
  <c r="N933" i="33"/>
  <c r="N934" i="33"/>
  <c r="N935" i="33"/>
  <c r="N936" i="33"/>
  <c r="N937" i="33"/>
  <c r="N938" i="33"/>
  <c r="N939" i="33"/>
  <c r="N940" i="33"/>
  <c r="N941" i="33"/>
  <c r="N942" i="33"/>
  <c r="N943" i="33"/>
  <c r="N944" i="33"/>
  <c r="N945" i="33"/>
  <c r="N946" i="33"/>
  <c r="N947" i="33"/>
  <c r="N948" i="33"/>
  <c r="N949" i="33"/>
  <c r="N950" i="33"/>
  <c r="N951" i="33"/>
  <c r="N952" i="33"/>
  <c r="N953" i="33"/>
  <c r="N954" i="33"/>
  <c r="N955" i="33"/>
  <c r="N956" i="33"/>
  <c r="N957" i="33"/>
  <c r="N958" i="33"/>
  <c r="N959" i="33"/>
  <c r="N960" i="33"/>
  <c r="N961" i="33"/>
  <c r="N962" i="33"/>
  <c r="N963" i="33"/>
  <c r="N964" i="33"/>
  <c r="N965" i="33"/>
  <c r="N966" i="33"/>
  <c r="N967" i="33"/>
  <c r="N968" i="33"/>
  <c r="N969" i="33"/>
  <c r="N970" i="33"/>
  <c r="N971" i="33"/>
  <c r="N972" i="33"/>
  <c r="N973" i="33"/>
  <c r="N974" i="33"/>
  <c r="N975" i="33"/>
  <c r="N976" i="33"/>
  <c r="N977" i="33"/>
  <c r="N978" i="33"/>
  <c r="N979" i="33"/>
  <c r="N980" i="33"/>
  <c r="N981" i="33"/>
  <c r="N982" i="33"/>
  <c r="N983" i="33"/>
  <c r="N984" i="33"/>
  <c r="N985" i="33"/>
  <c r="N986" i="33"/>
  <c r="N987" i="33"/>
  <c r="N988" i="33"/>
  <c r="N989" i="33"/>
  <c r="N990" i="33"/>
  <c r="N991" i="33"/>
  <c r="N992" i="33"/>
  <c r="N993" i="33"/>
  <c r="N994" i="33"/>
  <c r="N995" i="33"/>
  <c r="N996" i="33"/>
  <c r="N997" i="33"/>
  <c r="N998" i="33"/>
  <c r="N999" i="33"/>
  <c r="N1000" i="33"/>
  <c r="N1001" i="33"/>
  <c r="N1002" i="33"/>
  <c r="N1003" i="33"/>
  <c r="N1004" i="33"/>
  <c r="N1005" i="33"/>
  <c r="N1006" i="33"/>
  <c r="N1007" i="33"/>
  <c r="N1008" i="33"/>
  <c r="N1009" i="33"/>
  <c r="N1010" i="33"/>
  <c r="N1011" i="33"/>
  <c r="N1012" i="33"/>
  <c r="N1013" i="33"/>
  <c r="N1014" i="33"/>
  <c r="N1015" i="33"/>
  <c r="N1016" i="33"/>
  <c r="N1017" i="33"/>
  <c r="N1018" i="33"/>
  <c r="N1019" i="33"/>
  <c r="N1020" i="33"/>
  <c r="N1021" i="33"/>
  <c r="N1022" i="33"/>
  <c r="N1023" i="33"/>
  <c r="N1024" i="33"/>
  <c r="N1025" i="33"/>
  <c r="N1026" i="33"/>
  <c r="N1027" i="33"/>
  <c r="N1028" i="33"/>
  <c r="N1029" i="33"/>
  <c r="N1030" i="33"/>
  <c r="N1031" i="33"/>
  <c r="N1032" i="33"/>
  <c r="N1033" i="33"/>
  <c r="N1034" i="33"/>
  <c r="N1035" i="33"/>
  <c r="N1036" i="33"/>
  <c r="N1037" i="33"/>
  <c r="N1038" i="33"/>
  <c r="N1039" i="33"/>
  <c r="N1040" i="33"/>
  <c r="N1041" i="33"/>
  <c r="N1042" i="33"/>
  <c r="N1043" i="33"/>
  <c r="N1044" i="33"/>
  <c r="N1045" i="33"/>
  <c r="N1046" i="33"/>
  <c r="N1047" i="33"/>
  <c r="N1048" i="33"/>
  <c r="N1049" i="33"/>
  <c r="N1050" i="33"/>
  <c r="N1051" i="33"/>
  <c r="N1052" i="33"/>
  <c r="N1053" i="33"/>
  <c r="N1054" i="33"/>
  <c r="N1055" i="33"/>
  <c r="N1056" i="33"/>
  <c r="N1057" i="33"/>
  <c r="N1058" i="33"/>
  <c r="N1059" i="33"/>
  <c r="N1060" i="33"/>
  <c r="N1061" i="33"/>
  <c r="N1062" i="33"/>
  <c r="N1063" i="33"/>
  <c r="N1064" i="33"/>
  <c r="N1065" i="33"/>
  <c r="N1066" i="33"/>
  <c r="N1067" i="33"/>
  <c r="N1068" i="33"/>
  <c r="N1069" i="33"/>
  <c r="N1070" i="33"/>
  <c r="N1071" i="33"/>
  <c r="N1072" i="33"/>
  <c r="N1073" i="33"/>
  <c r="N1074" i="33"/>
  <c r="N1075" i="33"/>
  <c r="N1076" i="33"/>
  <c r="N1077" i="33"/>
  <c r="N1078" i="33"/>
  <c r="N1079" i="33"/>
  <c r="N1080" i="33"/>
  <c r="N1081" i="33"/>
  <c r="N1082" i="33"/>
  <c r="N1083" i="33"/>
  <c r="N1084" i="33"/>
  <c r="N1085" i="33"/>
  <c r="N1086" i="33"/>
  <c r="N1087" i="33"/>
  <c r="N1088" i="33"/>
  <c r="N1089" i="33"/>
  <c r="N1090" i="33"/>
  <c r="N1091" i="33"/>
  <c r="N1092" i="33"/>
  <c r="N1093" i="33"/>
  <c r="N1094" i="33"/>
  <c r="N1095" i="33"/>
  <c r="N1096" i="33"/>
  <c r="N1097" i="33"/>
  <c r="N1098" i="33"/>
  <c r="N1099" i="33"/>
  <c r="N1100" i="33"/>
  <c r="N1101" i="33"/>
  <c r="N1102" i="33"/>
  <c r="N1103" i="33"/>
  <c r="N1104" i="33"/>
  <c r="N1105" i="33"/>
  <c r="N1106" i="33"/>
  <c r="N1107" i="33"/>
  <c r="N1108" i="33"/>
  <c r="N1109" i="33"/>
  <c r="N1110" i="33"/>
  <c r="N1111" i="33"/>
  <c r="N1112" i="33"/>
  <c r="N1113" i="33"/>
  <c r="N1114" i="33"/>
  <c r="N1115" i="33"/>
  <c r="N1116" i="33"/>
  <c r="N1117" i="33"/>
  <c r="N1118" i="33"/>
  <c r="N1119" i="33"/>
  <c r="N1120" i="33"/>
  <c r="N1121" i="33"/>
  <c r="N1122" i="33"/>
  <c r="N1123" i="33"/>
  <c r="N1124" i="33"/>
  <c r="N1125" i="33"/>
  <c r="N1126" i="33"/>
  <c r="N1127" i="33"/>
  <c r="N1128" i="33"/>
  <c r="N1129" i="33"/>
  <c r="N1130" i="33"/>
  <c r="N1131" i="33"/>
  <c r="N1132" i="33"/>
  <c r="N1133" i="33"/>
  <c r="N1134" i="33"/>
  <c r="N1135" i="33"/>
  <c r="N1136" i="33"/>
  <c r="N1137" i="33"/>
  <c r="N1138" i="33"/>
  <c r="N1139" i="33"/>
  <c r="N1140" i="33"/>
  <c r="N1141" i="33"/>
  <c r="N1142" i="33"/>
  <c r="N1143" i="33"/>
  <c r="N1144" i="33"/>
  <c r="N1145" i="33"/>
  <c r="N1146" i="33"/>
  <c r="N1147" i="33"/>
  <c r="N1148" i="33"/>
  <c r="N1149" i="33"/>
  <c r="N1150" i="33"/>
  <c r="N1151" i="33"/>
  <c r="N1152" i="33"/>
  <c r="N1153" i="33"/>
  <c r="N1154" i="33"/>
  <c r="N1155" i="33"/>
  <c r="N1156" i="33"/>
  <c r="N1157" i="33"/>
  <c r="N1158" i="33"/>
  <c r="N1159" i="33"/>
  <c r="N1160" i="33"/>
  <c r="N1161" i="33"/>
  <c r="N1162" i="33"/>
  <c r="N1163" i="33"/>
  <c r="N1164" i="33"/>
  <c r="N1165" i="33"/>
  <c r="N1166" i="33"/>
  <c r="N1167" i="33"/>
  <c r="N1168" i="33"/>
  <c r="N1169" i="33"/>
  <c r="N1170" i="33"/>
  <c r="N1171" i="33"/>
  <c r="N1172" i="33"/>
  <c r="N1173" i="33"/>
  <c r="N1174" i="33"/>
  <c r="N1175" i="33"/>
  <c r="N1176" i="33"/>
  <c r="N1177" i="33"/>
  <c r="N1178" i="33"/>
  <c r="N1179" i="33"/>
  <c r="N1180" i="33"/>
  <c r="N1181" i="33"/>
  <c r="N1182" i="33"/>
  <c r="N1183" i="33"/>
  <c r="N1184" i="33"/>
  <c r="N1185" i="33"/>
  <c r="N1186" i="33"/>
  <c r="N1187" i="33"/>
  <c r="N1188" i="33"/>
  <c r="N1189" i="33"/>
  <c r="N1190" i="33"/>
  <c r="N1191" i="33"/>
  <c r="N1192" i="33"/>
  <c r="N1193" i="33"/>
  <c r="N1194" i="33"/>
  <c r="N1195" i="33"/>
  <c r="N1196" i="33"/>
  <c r="N1197" i="33"/>
  <c r="N1198" i="33"/>
  <c r="N1199" i="33"/>
  <c r="N1200" i="33"/>
  <c r="N1201" i="33"/>
  <c r="N1202" i="33"/>
  <c r="N1203" i="33"/>
  <c r="N1204" i="33"/>
  <c r="N1205" i="33"/>
  <c r="N1206" i="33"/>
  <c r="N1207" i="33"/>
  <c r="N1208" i="33"/>
  <c r="N1209" i="33"/>
  <c r="N1210" i="33"/>
  <c r="N1211" i="33"/>
  <c r="N1212" i="33"/>
  <c r="N1213" i="33"/>
  <c r="N1214" i="33"/>
  <c r="N1215" i="33"/>
  <c r="N1216" i="33"/>
  <c r="N1217" i="33"/>
  <c r="N1218" i="33"/>
  <c r="N1219" i="33"/>
  <c r="N1220" i="33"/>
  <c r="N1221" i="33"/>
  <c r="N1222" i="33"/>
  <c r="N1223" i="33"/>
  <c r="N1224" i="33"/>
  <c r="N1225" i="33"/>
  <c r="N1226" i="33"/>
  <c r="N1227" i="33"/>
  <c r="N1228" i="33"/>
  <c r="N1229" i="33"/>
  <c r="N1230" i="33"/>
  <c r="N1231" i="33"/>
  <c r="N1232" i="33"/>
  <c r="N1233" i="33"/>
  <c r="N1234" i="33"/>
  <c r="N1235" i="33"/>
  <c r="N1236" i="33"/>
  <c r="N1237" i="33"/>
  <c r="N1238" i="33"/>
  <c r="N1239" i="33"/>
  <c r="N1240" i="33"/>
  <c r="N1241" i="33"/>
  <c r="N1242" i="33"/>
  <c r="N1243" i="33"/>
  <c r="N1244" i="33"/>
  <c r="N1245" i="33"/>
  <c r="N1246" i="33"/>
  <c r="N1247" i="33"/>
  <c r="N1248" i="33"/>
  <c r="N1249" i="33"/>
  <c r="N1250" i="33"/>
  <c r="N1251" i="33"/>
  <c r="N1252" i="33"/>
  <c r="N1253" i="33"/>
  <c r="N1254" i="33"/>
  <c r="N1255" i="33"/>
  <c r="N1256" i="33"/>
  <c r="N1257" i="33"/>
  <c r="N1258" i="33"/>
  <c r="N1259" i="33"/>
  <c r="N1260" i="33"/>
  <c r="N1261" i="33"/>
  <c r="N1262" i="33"/>
  <c r="N1263" i="33"/>
  <c r="N1264" i="33"/>
  <c r="N1265" i="33"/>
  <c r="N1266" i="33"/>
  <c r="N1267" i="33"/>
  <c r="N1268" i="33"/>
  <c r="N1269" i="33"/>
  <c r="N1270" i="33"/>
  <c r="N1271" i="33"/>
  <c r="N1272" i="33"/>
  <c r="N1273" i="33"/>
  <c r="N1274" i="33"/>
  <c r="N1275" i="33"/>
  <c r="N1276" i="33"/>
  <c r="N1277" i="33"/>
  <c r="N1278" i="33"/>
  <c r="N1279" i="33"/>
  <c r="N1280" i="33"/>
  <c r="N1281" i="33"/>
  <c r="N1282" i="33"/>
  <c r="N1283" i="33"/>
  <c r="N1284" i="33"/>
  <c r="N1285" i="33"/>
  <c r="N1286" i="33"/>
  <c r="N1287" i="33"/>
  <c r="N1288" i="33"/>
  <c r="N1289" i="33"/>
  <c r="N1290" i="33"/>
  <c r="N1291" i="33"/>
  <c r="N1292" i="33"/>
  <c r="N1293" i="33"/>
  <c r="N1294" i="33"/>
  <c r="N1295" i="33"/>
  <c r="N1296" i="33"/>
  <c r="N1297" i="33"/>
  <c r="N1298" i="33"/>
  <c r="N1299" i="33"/>
  <c r="N1300" i="33"/>
  <c r="N1301" i="33"/>
  <c r="N1302" i="33"/>
  <c r="N1303" i="33"/>
  <c r="N1304" i="33"/>
  <c r="N1305" i="33"/>
  <c r="N1306" i="33"/>
  <c r="N1307" i="33"/>
  <c r="N1308" i="33"/>
  <c r="N1309" i="33"/>
  <c r="N1310" i="33"/>
  <c r="N1311" i="33"/>
  <c r="N1312" i="33"/>
  <c r="N1313" i="33"/>
  <c r="N1314" i="33"/>
  <c r="N1315" i="33"/>
  <c r="N1316" i="33"/>
  <c r="N1317" i="33"/>
  <c r="N1318" i="33"/>
  <c r="N1319" i="33"/>
  <c r="N1320" i="33"/>
  <c r="N1321" i="33"/>
  <c r="N1322" i="33"/>
  <c r="N1323" i="33"/>
  <c r="N1324" i="33"/>
  <c r="N1325" i="33"/>
  <c r="N1326" i="33"/>
  <c r="N1327" i="33"/>
  <c r="N1328" i="33"/>
  <c r="N1329" i="33"/>
  <c r="N1330" i="33"/>
  <c r="N1331" i="33"/>
  <c r="N1332" i="33"/>
  <c r="N1333" i="33"/>
  <c r="N1334" i="33"/>
  <c r="N1335" i="33"/>
  <c r="N1336" i="33"/>
  <c r="N1337" i="33"/>
  <c r="N1338" i="33"/>
  <c r="N1339" i="33"/>
  <c r="N1340" i="33"/>
  <c r="N1341" i="33"/>
  <c r="N1342" i="33"/>
  <c r="N1343" i="33"/>
  <c r="N1344" i="33"/>
  <c r="N1345" i="33"/>
  <c r="N1346" i="33"/>
  <c r="N1347" i="33"/>
  <c r="N1348" i="33"/>
  <c r="N1349" i="33"/>
  <c r="N1350" i="33"/>
  <c r="N1351" i="33"/>
  <c r="N1352" i="33"/>
  <c r="N1353" i="33"/>
  <c r="N1354" i="33"/>
  <c r="N1355" i="33"/>
  <c r="N1356" i="33"/>
  <c r="N1357" i="33"/>
  <c r="N1358" i="33"/>
  <c r="N1359" i="33"/>
  <c r="N1360" i="33"/>
  <c r="N1361" i="33"/>
  <c r="N1362" i="33"/>
  <c r="N1363" i="33"/>
  <c r="N1364" i="33"/>
  <c r="N1365" i="33"/>
  <c r="N1366" i="33"/>
  <c r="N1367" i="33"/>
  <c r="N1368" i="33"/>
  <c r="N1369" i="33"/>
  <c r="N1370" i="33"/>
  <c r="N1371" i="33"/>
  <c r="N1372" i="33"/>
  <c r="N1373" i="33"/>
  <c r="N1374" i="33"/>
  <c r="N1375" i="33"/>
  <c r="N1376" i="33"/>
  <c r="N1377" i="33"/>
  <c r="N1378" i="33"/>
  <c r="N1379" i="33"/>
  <c r="N1380" i="33"/>
  <c r="N1381" i="33"/>
  <c r="N1382" i="33"/>
  <c r="N1383" i="33"/>
  <c r="N1384" i="33"/>
  <c r="N1385" i="33"/>
  <c r="N1386" i="33"/>
  <c r="N1387" i="33"/>
  <c r="N1388" i="33"/>
  <c r="N1389" i="33"/>
  <c r="N1390" i="33"/>
  <c r="N1391" i="33"/>
  <c r="N1392" i="33"/>
  <c r="N1393" i="33"/>
  <c r="N1394" i="33"/>
  <c r="N1395" i="33"/>
  <c r="N1396" i="33"/>
  <c r="N1397" i="33"/>
  <c r="N1398" i="33"/>
  <c r="N1399" i="33"/>
  <c r="N1400" i="33"/>
  <c r="N1401" i="33"/>
  <c r="N1402" i="33"/>
  <c r="N1403" i="33"/>
  <c r="N1404" i="33"/>
  <c r="N1405" i="33"/>
  <c r="N1406" i="33"/>
  <c r="N1407" i="33"/>
  <c r="N1408" i="33"/>
  <c r="N1409" i="33"/>
  <c r="N1410" i="33"/>
  <c r="N1411" i="33"/>
  <c r="N1412" i="33"/>
  <c r="N1413" i="33"/>
  <c r="N1414" i="33"/>
  <c r="N1415" i="33"/>
  <c r="N1416" i="33"/>
  <c r="N1417" i="33"/>
  <c r="N1418" i="33"/>
  <c r="N1419" i="33"/>
  <c r="N1420" i="33"/>
  <c r="N1421" i="33"/>
  <c r="N1422" i="33"/>
  <c r="N1423" i="33"/>
  <c r="N1424" i="33"/>
  <c r="N1425" i="33"/>
  <c r="N1426" i="33"/>
  <c r="N1427" i="33"/>
  <c r="N1428" i="33"/>
  <c r="N1429" i="33"/>
  <c r="N1430" i="33"/>
  <c r="N1431" i="33"/>
  <c r="N1432" i="33"/>
  <c r="N1433" i="33"/>
  <c r="N1434" i="33"/>
  <c r="N1435" i="33"/>
  <c r="N1436" i="33"/>
  <c r="N1437" i="33"/>
  <c r="N1438" i="33"/>
  <c r="N1439" i="33"/>
  <c r="N1440" i="33"/>
  <c r="N1441" i="33"/>
  <c r="N1442" i="33"/>
  <c r="N1443" i="33"/>
  <c r="N1444" i="33"/>
  <c r="N1445" i="33"/>
  <c r="N1446" i="33"/>
  <c r="N1447" i="33"/>
  <c r="N1448" i="33"/>
  <c r="N1449" i="33"/>
  <c r="N1450" i="33"/>
  <c r="N1451" i="33"/>
  <c r="N1452" i="33"/>
  <c r="N1453" i="33"/>
  <c r="N1454" i="33"/>
  <c r="N1455" i="33"/>
  <c r="N1456" i="33"/>
  <c r="N1457" i="33"/>
  <c r="N1458" i="33"/>
  <c r="N1459" i="33"/>
  <c r="N1460" i="33"/>
  <c r="N1461" i="33"/>
  <c r="N1462" i="33"/>
  <c r="N1463" i="33"/>
  <c r="N1464" i="33"/>
  <c r="N1465" i="33"/>
  <c r="N1466" i="33"/>
  <c r="N1467" i="33"/>
  <c r="N1468" i="33"/>
  <c r="N1469" i="33"/>
  <c r="N1470" i="33"/>
  <c r="N1471" i="33"/>
  <c r="N1472" i="33"/>
  <c r="N1473" i="33"/>
  <c r="N1474" i="33"/>
  <c r="N1475" i="33"/>
  <c r="N1476" i="33"/>
  <c r="N1477" i="33"/>
  <c r="N1478" i="33"/>
  <c r="N1479" i="33"/>
  <c r="N1480" i="33"/>
  <c r="N1481" i="33"/>
  <c r="N1482" i="33"/>
  <c r="N1483" i="33"/>
  <c r="N1484" i="33"/>
  <c r="N1485" i="33"/>
  <c r="N1486" i="33"/>
  <c r="N1487" i="33"/>
  <c r="N4" i="33"/>
  <c r="N943" i="32" l="1"/>
  <c r="I943" i="32"/>
  <c r="N942" i="32"/>
  <c r="I942" i="32"/>
  <c r="N941" i="32"/>
  <c r="I941" i="32"/>
  <c r="N940" i="32"/>
  <c r="I940" i="32"/>
  <c r="N939" i="32"/>
  <c r="I939" i="32"/>
  <c r="N938" i="32"/>
  <c r="I938" i="32"/>
  <c r="N387" i="32"/>
  <c r="N386" i="32"/>
  <c r="N385" i="32"/>
  <c r="N384" i="32"/>
  <c r="N383" i="32"/>
  <c r="N382" i="32"/>
  <c r="N381" i="32"/>
  <c r="N380" i="32"/>
  <c r="N379" i="32"/>
  <c r="N378" i="32"/>
  <c r="N377" i="32"/>
  <c r="N376" i="32"/>
  <c r="N375" i="32"/>
  <c r="N374" i="32"/>
  <c r="N373" i="32"/>
  <c r="N372" i="32"/>
  <c r="N371" i="32"/>
  <c r="N370" i="32"/>
  <c r="N369" i="32"/>
  <c r="N368" i="32"/>
  <c r="N367" i="32"/>
  <c r="N366" i="32"/>
  <c r="N365" i="32"/>
  <c r="N364" i="32"/>
  <c r="N363" i="32"/>
  <c r="N362" i="32"/>
  <c r="N361" i="32"/>
  <c r="N360" i="32"/>
  <c r="N359" i="32"/>
  <c r="N358" i="32"/>
  <c r="N357" i="32"/>
  <c r="N356" i="32"/>
  <c r="N355" i="32"/>
  <c r="N354" i="32"/>
  <c r="N353" i="32"/>
  <c r="N352" i="32"/>
  <c r="N351" i="32"/>
  <c r="N350" i="32"/>
  <c r="N349" i="32"/>
  <c r="N348" i="32"/>
  <c r="N347" i="32"/>
  <c r="N346" i="32"/>
  <c r="N345" i="32"/>
  <c r="N344" i="32"/>
  <c r="N343" i="32"/>
  <c r="N342" i="32"/>
  <c r="N341" i="32"/>
  <c r="N340" i="32"/>
  <c r="N339" i="32"/>
  <c r="N338" i="32"/>
  <c r="N337" i="32"/>
  <c r="N336" i="32"/>
  <c r="N335" i="32"/>
  <c r="N334" i="32"/>
  <c r="N333" i="32"/>
  <c r="N332" i="32"/>
  <c r="N331" i="32"/>
  <c r="N330" i="32"/>
  <c r="N329" i="32"/>
  <c r="N328" i="32"/>
  <c r="N327" i="32"/>
  <c r="N326" i="32"/>
  <c r="N325" i="32"/>
  <c r="N324" i="32"/>
  <c r="N323" i="32"/>
  <c r="N322" i="32"/>
  <c r="N321" i="32"/>
  <c r="N320" i="32"/>
  <c r="N319" i="32"/>
  <c r="N318" i="32"/>
  <c r="N317" i="32"/>
  <c r="N316" i="32"/>
  <c r="N315" i="32"/>
  <c r="N314" i="32"/>
  <c r="N313" i="32"/>
  <c r="N312" i="32"/>
  <c r="N311" i="32"/>
  <c r="N310" i="32"/>
  <c r="N309" i="32"/>
  <c r="N308" i="32"/>
  <c r="N307" i="32"/>
  <c r="N306" i="32"/>
  <c r="N305" i="32"/>
  <c r="N304" i="32"/>
  <c r="N303" i="32"/>
  <c r="N302" i="32"/>
  <c r="N301" i="32"/>
  <c r="N300" i="32"/>
  <c r="N299" i="32"/>
  <c r="N298" i="32"/>
  <c r="N297" i="32"/>
  <c r="N296" i="32"/>
  <c r="N295" i="32"/>
  <c r="N294" i="32"/>
  <c r="N293" i="32"/>
  <c r="N292" i="32"/>
  <c r="N291" i="32"/>
  <c r="N290" i="32"/>
  <c r="N289" i="32"/>
  <c r="N288" i="32"/>
  <c r="N287" i="32"/>
  <c r="N286" i="32"/>
  <c r="N285" i="32"/>
  <c r="N284" i="32"/>
  <c r="N283" i="32"/>
  <c r="N282" i="32"/>
  <c r="N281" i="32"/>
  <c r="N280" i="32"/>
  <c r="N279" i="32"/>
  <c r="N278" i="32"/>
  <c r="N277" i="32"/>
  <c r="N276" i="32"/>
  <c r="N275" i="32"/>
  <c r="N274" i="32"/>
  <c r="N273" i="32"/>
  <c r="N272" i="32"/>
  <c r="N271" i="32"/>
  <c r="N270" i="32"/>
  <c r="N269" i="32"/>
  <c r="N268" i="32"/>
  <c r="N267" i="32"/>
  <c r="N266" i="32"/>
  <c r="N265" i="32"/>
  <c r="N264" i="32"/>
  <c r="N263" i="32"/>
  <c r="N262" i="32"/>
  <c r="N261" i="32"/>
  <c r="N260" i="32"/>
  <c r="N259" i="32"/>
  <c r="N258" i="32"/>
  <c r="N257" i="32"/>
  <c r="N256" i="32"/>
  <c r="N255" i="32"/>
  <c r="N254" i="32"/>
  <c r="N253" i="32"/>
  <c r="N252" i="32"/>
  <c r="N251" i="32"/>
  <c r="N250" i="32"/>
  <c r="N249" i="32"/>
  <c r="N248" i="32"/>
  <c r="N247" i="32"/>
  <c r="N246" i="32"/>
  <c r="N245" i="32"/>
  <c r="N244" i="32"/>
  <c r="N243" i="32"/>
  <c r="N242" i="32"/>
  <c r="N241" i="32"/>
  <c r="N240" i="32"/>
  <c r="N239" i="32"/>
  <c r="N238" i="32"/>
  <c r="N237" i="32"/>
  <c r="N236" i="32"/>
  <c r="N235" i="32"/>
  <c r="N234" i="32"/>
  <c r="N233" i="32"/>
  <c r="N232" i="32"/>
  <c r="N231" i="32"/>
  <c r="N230" i="32"/>
  <c r="N229" i="32"/>
  <c r="N228" i="32"/>
  <c r="N227" i="32"/>
  <c r="N226" i="32"/>
  <c r="N225" i="32"/>
  <c r="N224" i="32"/>
  <c r="N223" i="32"/>
  <c r="N222" i="32"/>
  <c r="N221" i="32"/>
  <c r="N220" i="32"/>
  <c r="N219" i="32"/>
  <c r="N218" i="32"/>
  <c r="N217" i="32"/>
  <c r="N216" i="32"/>
  <c r="N215" i="32"/>
  <c r="N214" i="32"/>
  <c r="N213" i="32"/>
  <c r="N212" i="32"/>
  <c r="N211" i="32"/>
  <c r="N210" i="32"/>
  <c r="N209" i="32"/>
  <c r="N208" i="32"/>
  <c r="N207" i="32"/>
  <c r="N206" i="32"/>
  <c r="N205" i="32"/>
  <c r="N204" i="32"/>
  <c r="N203" i="32"/>
  <c r="N202" i="32"/>
  <c r="N201" i="32"/>
  <c r="N200" i="32"/>
  <c r="N199" i="32"/>
  <c r="N198" i="32"/>
  <c r="N197" i="32"/>
  <c r="N196" i="32"/>
  <c r="N195" i="32"/>
  <c r="N194" i="32"/>
  <c r="N193" i="32"/>
  <c r="N192" i="32"/>
  <c r="N191" i="32"/>
  <c r="N190" i="32"/>
  <c r="N189" i="32"/>
  <c r="N188" i="32"/>
  <c r="N187" i="32"/>
  <c r="N186" i="32"/>
  <c r="N185" i="32"/>
  <c r="N184" i="32"/>
  <c r="N183" i="32"/>
  <c r="N182" i="32"/>
  <c r="N181" i="32"/>
  <c r="N180" i="32"/>
  <c r="N179" i="32"/>
  <c r="N178" i="32"/>
  <c r="N177" i="32"/>
  <c r="N176" i="32"/>
  <c r="N175" i="32"/>
  <c r="N174" i="32"/>
  <c r="N173" i="32"/>
  <c r="N172" i="32"/>
  <c r="N171" i="32"/>
  <c r="N170" i="32"/>
  <c r="N169" i="32"/>
  <c r="N168" i="32"/>
  <c r="N167" i="32"/>
  <c r="N166" i="32"/>
  <c r="N165" i="32"/>
  <c r="N164" i="32"/>
  <c r="N163" i="32"/>
  <c r="N162" i="32"/>
  <c r="N161" i="32"/>
  <c r="N160" i="32"/>
  <c r="N159" i="32"/>
  <c r="N158" i="32"/>
  <c r="N157" i="32"/>
  <c r="N156" i="32"/>
  <c r="N155" i="32"/>
  <c r="N154" i="32"/>
  <c r="N153" i="32"/>
  <c r="N152" i="32"/>
  <c r="N151" i="32"/>
  <c r="N150" i="32"/>
  <c r="N149" i="32"/>
  <c r="N148" i="32"/>
  <c r="N147" i="32"/>
  <c r="N146" i="32"/>
  <c r="N145" i="32"/>
  <c r="N144" i="32"/>
  <c r="N143" i="32"/>
  <c r="N142" i="32"/>
  <c r="N141" i="32"/>
  <c r="N140" i="32"/>
  <c r="N139" i="32"/>
  <c r="N138" i="32"/>
  <c r="N137" i="32"/>
  <c r="N136" i="32"/>
  <c r="N135" i="32"/>
  <c r="N134" i="32"/>
  <c r="N133" i="32"/>
  <c r="N132" i="32"/>
  <c r="N131" i="32"/>
  <c r="N130" i="32"/>
  <c r="N129" i="32"/>
  <c r="N128" i="32"/>
  <c r="N127" i="32"/>
  <c r="N126" i="32"/>
  <c r="N125" i="32"/>
  <c r="N124" i="32"/>
  <c r="N123" i="32"/>
  <c r="N122" i="32"/>
  <c r="N121" i="32"/>
  <c r="N120" i="32"/>
  <c r="N119" i="32"/>
  <c r="N118" i="32"/>
  <c r="N117" i="32"/>
  <c r="N116" i="32"/>
  <c r="N115" i="32"/>
  <c r="N114" i="32"/>
  <c r="N113" i="32"/>
  <c r="N112" i="32"/>
  <c r="N111" i="32"/>
  <c r="N110" i="32"/>
  <c r="N109" i="32"/>
  <c r="N108" i="32"/>
  <c r="N107" i="32"/>
  <c r="N106" i="32"/>
  <c r="N105" i="32"/>
  <c r="N104" i="32"/>
  <c r="N103" i="32"/>
  <c r="N102" i="32"/>
  <c r="N101" i="32"/>
  <c r="N100" i="32"/>
  <c r="N99" i="32"/>
  <c r="N98" i="32"/>
  <c r="N97" i="32"/>
  <c r="N96" i="32"/>
  <c r="N95" i="32"/>
  <c r="N94" i="32"/>
  <c r="N93" i="32"/>
  <c r="N92" i="32"/>
  <c r="N91" i="32"/>
  <c r="N90" i="32"/>
  <c r="N89" i="32"/>
  <c r="N88" i="32"/>
  <c r="N87" i="32"/>
  <c r="N86" i="32"/>
  <c r="N85" i="32"/>
  <c r="N84" i="32"/>
  <c r="N83" i="32"/>
  <c r="N82" i="32"/>
  <c r="N81" i="32"/>
  <c r="N80" i="32"/>
  <c r="N79" i="32"/>
  <c r="N78" i="32"/>
  <c r="N77" i="32"/>
  <c r="N76" i="32"/>
  <c r="N75" i="32"/>
  <c r="N74" i="32"/>
  <c r="N73" i="32"/>
  <c r="N72" i="32"/>
  <c r="N71" i="32"/>
  <c r="N70" i="32"/>
  <c r="N69" i="32"/>
  <c r="N68" i="32"/>
  <c r="N67" i="32"/>
  <c r="N66" i="32"/>
  <c r="N65" i="32"/>
  <c r="N64" i="32"/>
  <c r="N63" i="32"/>
  <c r="N62" i="32"/>
  <c r="N61" i="32"/>
  <c r="N60" i="32"/>
  <c r="N59" i="32"/>
  <c r="N58" i="32"/>
  <c r="N57" i="32"/>
  <c r="N56" i="32"/>
  <c r="N55" i="32"/>
  <c r="N54" i="32"/>
  <c r="N53" i="32"/>
  <c r="N52" i="32"/>
  <c r="N51" i="32"/>
  <c r="N50" i="32"/>
  <c r="N49" i="32"/>
  <c r="N48" i="32"/>
  <c r="N47" i="32"/>
  <c r="N46" i="32"/>
  <c r="N45" i="32"/>
  <c r="N44" i="32"/>
  <c r="N43" i="32"/>
  <c r="N42" i="32"/>
  <c r="N41" i="32"/>
  <c r="N40" i="32"/>
  <c r="N39" i="32"/>
  <c r="N38" i="32"/>
  <c r="N37" i="32"/>
  <c r="N36" i="32"/>
  <c r="N35" i="32"/>
  <c r="N34" i="32"/>
  <c r="N33" i="32"/>
  <c r="N32" i="32"/>
  <c r="N31" i="32"/>
  <c r="N30" i="32"/>
  <c r="N29" i="32"/>
  <c r="N28" i="32"/>
  <c r="N27" i="32"/>
  <c r="N26" i="32"/>
  <c r="N25" i="32"/>
  <c r="N24" i="32"/>
  <c r="N23" i="32"/>
  <c r="N22" i="32"/>
  <c r="N21" i="32"/>
  <c r="N20" i="32"/>
  <c r="N19" i="32"/>
  <c r="N18" i="32"/>
  <c r="N17" i="32"/>
  <c r="N16" i="32"/>
  <c r="N15" i="32"/>
  <c r="N14" i="32"/>
  <c r="N13" i="32"/>
  <c r="N12" i="32"/>
  <c r="N11" i="32"/>
  <c r="N10" i="32"/>
  <c r="N9" i="32"/>
  <c r="N8" i="32"/>
  <c r="N7" i="32"/>
  <c r="N6" i="32"/>
  <c r="N5" i="32"/>
  <c r="N4" i="32"/>
  <c r="R19" i="13" l="1"/>
  <c r="R5" i="13"/>
  <c r="AC7" i="17" l="1"/>
  <c r="AC8" i="17"/>
  <c r="AC9" i="17"/>
  <c r="AC10" i="17"/>
  <c r="AC11" i="17"/>
  <c r="AC12" i="17"/>
  <c r="AC13" i="17"/>
  <c r="AC14" i="17"/>
  <c r="AC15" i="17"/>
  <c r="AC16" i="17"/>
  <c r="AC17" i="17"/>
  <c r="AC18" i="17"/>
  <c r="AC19" i="17"/>
  <c r="AC20" i="17"/>
  <c r="AC21" i="17"/>
  <c r="AC22" i="17"/>
  <c r="AC23" i="17"/>
  <c r="AC24" i="17"/>
  <c r="AC25" i="17"/>
  <c r="AC26" i="17"/>
  <c r="AC27" i="17"/>
  <c r="AC28" i="17"/>
  <c r="AC29" i="17"/>
  <c r="AC30" i="17"/>
  <c r="AC31" i="17"/>
  <c r="AC32" i="17"/>
  <c r="AC33" i="17"/>
  <c r="AC34" i="17"/>
  <c r="AC35" i="17"/>
  <c r="AC36" i="17"/>
  <c r="AC37" i="17"/>
  <c r="AC38" i="17"/>
  <c r="AC39" i="17"/>
  <c r="AC40" i="17"/>
  <c r="AC41" i="17"/>
  <c r="AC42" i="17"/>
  <c r="AC43" i="17"/>
  <c r="AC44" i="17"/>
  <c r="AC45" i="17"/>
  <c r="AC46" i="17"/>
  <c r="AC47" i="17"/>
  <c r="AC48" i="17"/>
  <c r="AC49" i="17"/>
  <c r="AC50" i="17"/>
  <c r="AC51" i="17"/>
  <c r="AC52" i="17"/>
  <c r="AC53" i="17"/>
  <c r="AC54" i="17"/>
  <c r="AC55" i="17"/>
  <c r="AC56" i="17"/>
  <c r="AC57" i="17"/>
  <c r="AC58" i="17"/>
  <c r="AC59" i="17"/>
  <c r="AC60" i="17"/>
  <c r="AC61" i="17"/>
  <c r="AC62" i="17"/>
  <c r="AC63" i="17"/>
  <c r="AC64" i="17"/>
  <c r="AC65" i="17"/>
  <c r="AC66" i="17"/>
  <c r="AC67" i="17"/>
  <c r="AC68" i="17"/>
  <c r="AC69" i="17"/>
  <c r="AC70" i="17"/>
  <c r="AC71" i="17"/>
  <c r="AC72" i="17"/>
  <c r="AC73" i="17"/>
  <c r="AC74" i="17"/>
  <c r="AC75" i="17"/>
  <c r="AC76" i="17"/>
  <c r="AC77" i="17"/>
  <c r="AC78" i="17"/>
  <c r="AC79" i="17"/>
  <c r="AC80" i="17"/>
  <c r="AC81" i="17"/>
  <c r="AC82" i="17"/>
  <c r="AC83" i="17"/>
  <c r="AC84" i="17"/>
  <c r="AC85" i="17"/>
  <c r="AC86" i="17"/>
  <c r="AC87" i="17"/>
  <c r="AC88" i="17"/>
  <c r="AC89" i="17"/>
  <c r="AC90" i="17"/>
  <c r="AC91" i="17"/>
  <c r="AC92" i="17"/>
  <c r="AC93" i="17"/>
  <c r="AC94" i="17"/>
  <c r="AC95" i="17"/>
  <c r="AC96" i="17"/>
  <c r="AC97" i="17"/>
  <c r="AC98" i="17"/>
  <c r="AC99" i="17"/>
  <c r="AC100" i="17"/>
  <c r="AC101" i="17"/>
  <c r="AC102" i="17"/>
  <c r="AC103" i="17"/>
  <c r="AC104" i="17"/>
  <c r="AC105" i="17"/>
  <c r="AC106" i="17"/>
  <c r="AC107" i="17"/>
  <c r="AC108" i="17"/>
  <c r="AC109" i="17"/>
  <c r="AC110" i="17"/>
  <c r="AC111" i="17"/>
  <c r="AC112" i="17"/>
  <c r="AC113" i="17"/>
  <c r="AC114" i="17"/>
  <c r="AC115" i="17"/>
  <c r="AC116" i="17"/>
  <c r="AC117" i="17"/>
  <c r="AC118" i="17"/>
  <c r="AC119" i="17"/>
  <c r="AC120" i="17"/>
  <c r="AC121" i="17"/>
  <c r="AC122" i="17"/>
  <c r="AC123" i="17"/>
  <c r="AC124" i="17"/>
  <c r="AC125" i="17"/>
  <c r="AC126" i="17"/>
  <c r="AC127" i="17"/>
  <c r="AC128" i="17"/>
  <c r="AC129" i="17"/>
  <c r="AC130" i="17"/>
  <c r="AC131" i="17"/>
  <c r="AC132" i="17"/>
  <c r="AC133" i="17"/>
  <c r="AC134" i="17"/>
  <c r="AC135" i="17"/>
  <c r="AC136" i="17"/>
  <c r="AC137" i="17"/>
  <c r="AC138" i="17"/>
  <c r="AC139" i="17"/>
  <c r="AC140" i="17"/>
  <c r="AC141" i="17"/>
  <c r="AC142" i="17"/>
  <c r="AC143" i="17"/>
  <c r="AC144" i="17"/>
  <c r="AC145" i="17"/>
  <c r="AC146" i="17"/>
  <c r="AC147" i="17"/>
  <c r="AC148" i="17"/>
  <c r="AC149" i="17"/>
  <c r="AC150" i="17"/>
  <c r="AC151" i="17"/>
  <c r="AC152" i="17"/>
  <c r="AC153" i="17"/>
  <c r="AC154" i="17"/>
  <c r="AC155" i="17"/>
  <c r="AC156" i="17"/>
  <c r="AC157" i="17"/>
  <c r="AC158" i="17"/>
  <c r="AC159" i="17"/>
  <c r="AC160" i="17"/>
  <c r="AC161" i="17"/>
  <c r="AC162" i="17"/>
  <c r="AC163" i="17"/>
  <c r="AC164" i="17"/>
  <c r="AC165" i="17"/>
  <c r="AC166" i="17"/>
  <c r="AC167" i="17"/>
  <c r="AC168" i="17"/>
  <c r="AC169" i="17"/>
  <c r="AC170" i="17"/>
  <c r="AC171" i="17"/>
  <c r="AC172" i="17"/>
  <c r="AC173" i="17"/>
  <c r="AC174" i="17"/>
  <c r="AC175" i="17"/>
  <c r="AC176" i="17"/>
  <c r="AC177" i="17"/>
  <c r="AC178" i="17"/>
  <c r="AC179" i="17"/>
  <c r="AC180" i="17"/>
  <c r="AC181" i="17"/>
  <c r="AC182" i="17"/>
  <c r="AC183" i="17"/>
  <c r="AC184" i="17"/>
  <c r="AC185" i="17"/>
  <c r="AC186" i="17"/>
  <c r="AC187" i="17"/>
  <c r="AC188" i="17"/>
  <c r="AC189" i="17"/>
  <c r="AC190" i="17"/>
  <c r="AC191" i="17"/>
  <c r="AC192" i="17"/>
  <c r="AC193" i="17"/>
  <c r="AC194" i="17"/>
  <c r="AC195" i="17"/>
  <c r="AC196" i="17"/>
  <c r="AC197" i="17"/>
  <c r="AC198" i="17"/>
  <c r="AC199" i="17"/>
  <c r="AC200" i="17"/>
  <c r="AC201" i="17"/>
  <c r="AC202" i="17"/>
  <c r="AC203" i="17"/>
  <c r="AC204" i="17"/>
  <c r="AC205" i="17"/>
  <c r="AC6" i="17"/>
  <c r="AI7" i="17" l="1"/>
  <c r="AI8" i="17"/>
  <c r="AI9" i="17"/>
  <c r="AI10" i="17"/>
  <c r="AI11" i="17"/>
  <c r="AI12" i="17"/>
  <c r="AI13" i="17"/>
  <c r="AI14" i="17"/>
  <c r="AI15" i="17"/>
  <c r="AI16" i="17"/>
  <c r="AI17" i="17"/>
  <c r="AI18" i="17"/>
  <c r="AI19" i="17"/>
  <c r="AI20" i="17"/>
  <c r="AI21" i="17"/>
  <c r="AI22" i="17"/>
  <c r="AI23" i="17"/>
  <c r="AI24" i="17"/>
  <c r="AI25" i="17"/>
  <c r="AI26" i="17"/>
  <c r="AI27" i="17"/>
  <c r="AI28" i="17"/>
  <c r="AI29" i="17"/>
  <c r="AI30" i="17"/>
  <c r="AI31" i="17"/>
  <c r="AI32" i="17"/>
  <c r="AI33" i="17"/>
  <c r="AI34" i="17"/>
  <c r="AI35" i="17"/>
  <c r="AI36" i="17"/>
  <c r="AI37" i="17"/>
  <c r="AI38" i="17"/>
  <c r="AI39" i="17"/>
  <c r="AI40" i="17"/>
  <c r="AI41" i="17"/>
  <c r="AI42" i="17"/>
  <c r="AI43" i="17"/>
  <c r="AI44" i="17"/>
  <c r="AI45" i="17"/>
  <c r="AI46" i="17"/>
  <c r="AI47" i="17"/>
  <c r="AI48" i="17"/>
  <c r="AI49" i="17"/>
  <c r="AI50" i="17"/>
  <c r="AI51" i="17"/>
  <c r="AI52" i="17"/>
  <c r="AI53" i="17"/>
  <c r="AI54" i="17"/>
  <c r="AI55" i="17"/>
  <c r="AI56" i="17"/>
  <c r="AI57" i="17"/>
  <c r="AI58" i="17"/>
  <c r="AI59" i="17"/>
  <c r="AI60" i="17"/>
  <c r="AI61" i="17"/>
  <c r="AI62" i="17"/>
  <c r="AI63" i="17"/>
  <c r="AI64" i="17"/>
  <c r="AI65" i="17"/>
  <c r="AI66" i="17"/>
  <c r="AI67" i="17"/>
  <c r="AI68" i="17"/>
  <c r="AI69" i="17"/>
  <c r="AI70" i="17"/>
  <c r="AI71" i="17"/>
  <c r="AI72" i="17"/>
  <c r="AI73" i="17"/>
  <c r="AI74" i="17"/>
  <c r="AI75" i="17"/>
  <c r="AI76" i="17"/>
  <c r="AI77" i="17"/>
  <c r="AI78" i="17"/>
  <c r="AI79" i="17"/>
  <c r="AI80" i="17"/>
  <c r="AI81" i="17"/>
  <c r="AI82" i="17"/>
  <c r="AI83" i="17"/>
  <c r="AI84" i="17"/>
  <c r="AI85" i="17"/>
  <c r="AI86" i="17"/>
  <c r="AI87" i="17"/>
  <c r="AI88" i="17"/>
  <c r="AI89" i="17"/>
  <c r="AI90" i="17"/>
  <c r="AI91" i="17"/>
  <c r="AI92" i="17"/>
  <c r="AI93" i="17"/>
  <c r="AI94" i="17"/>
  <c r="AI95" i="17"/>
  <c r="AI96" i="17"/>
  <c r="AI97" i="17"/>
  <c r="AI98" i="17"/>
  <c r="AI99" i="17"/>
  <c r="AI100" i="17"/>
  <c r="AI101" i="17"/>
  <c r="AI102" i="17"/>
  <c r="AI103" i="17"/>
  <c r="AI104" i="17"/>
  <c r="AI105" i="17"/>
  <c r="AI106" i="17"/>
  <c r="AI107" i="17"/>
  <c r="AI108" i="17"/>
  <c r="AI109" i="17"/>
  <c r="AI110" i="17"/>
  <c r="AI111" i="17"/>
  <c r="AI112" i="17"/>
  <c r="AI113" i="17"/>
  <c r="AI114" i="17"/>
  <c r="AI115" i="17"/>
  <c r="AI116" i="17"/>
  <c r="AI117" i="17"/>
  <c r="AI118" i="17"/>
  <c r="AI119" i="17"/>
  <c r="AI120" i="17"/>
  <c r="AI121" i="17"/>
  <c r="AI122" i="17"/>
  <c r="AI123" i="17"/>
  <c r="AI124" i="17"/>
  <c r="AI125" i="17"/>
  <c r="AI126" i="17"/>
  <c r="AI127" i="17"/>
  <c r="AI128" i="17"/>
  <c r="AI129" i="17"/>
  <c r="AI130" i="17"/>
  <c r="AI131" i="17"/>
  <c r="AI132" i="17"/>
  <c r="AI133" i="17"/>
  <c r="AI134" i="17"/>
  <c r="AI135" i="17"/>
  <c r="AI136" i="17"/>
  <c r="AI137" i="17"/>
  <c r="AI138" i="17"/>
  <c r="AI139" i="17"/>
  <c r="AI140" i="17"/>
  <c r="AI141" i="17"/>
  <c r="AI142" i="17"/>
  <c r="AI143" i="17"/>
  <c r="AI144" i="17"/>
  <c r="AI145" i="17"/>
  <c r="AI146" i="17"/>
  <c r="AI147" i="17"/>
  <c r="AI148" i="17"/>
  <c r="AI149" i="17"/>
  <c r="AI150" i="17"/>
  <c r="AI151" i="17"/>
  <c r="AI152" i="17"/>
  <c r="AI153" i="17"/>
  <c r="AI154" i="17"/>
  <c r="AI155" i="17"/>
  <c r="AI156" i="17"/>
  <c r="AI157" i="17"/>
  <c r="AI158" i="17"/>
  <c r="AI159" i="17"/>
  <c r="AI160" i="17"/>
  <c r="AI161" i="17"/>
  <c r="AI162" i="17"/>
  <c r="AI163" i="17"/>
  <c r="AI164" i="17"/>
  <c r="AI165" i="17"/>
  <c r="AI166" i="17"/>
  <c r="AI167" i="17"/>
  <c r="AI168" i="17"/>
  <c r="AI169" i="17"/>
  <c r="AI170" i="17"/>
  <c r="AI171" i="17"/>
  <c r="AI172" i="17"/>
  <c r="AI173" i="17"/>
  <c r="AI174" i="17"/>
  <c r="AI175" i="17"/>
  <c r="AI176" i="17"/>
  <c r="AI177" i="17"/>
  <c r="AI178" i="17"/>
  <c r="AI179" i="17"/>
  <c r="AI180" i="17"/>
  <c r="AI181" i="17"/>
  <c r="AI182" i="17"/>
  <c r="AI183" i="17"/>
  <c r="AI184" i="17"/>
  <c r="AI185" i="17"/>
  <c r="AI186" i="17"/>
  <c r="AI187" i="17"/>
  <c r="AI188" i="17"/>
  <c r="AI189" i="17"/>
  <c r="AI190" i="17"/>
  <c r="AI191" i="17"/>
  <c r="AI192" i="17"/>
  <c r="AI193" i="17"/>
  <c r="AI194" i="17"/>
  <c r="AI195" i="17"/>
  <c r="AI196" i="17"/>
  <c r="AI197" i="17"/>
  <c r="AI198" i="17"/>
  <c r="AI199" i="17"/>
  <c r="AI200" i="17"/>
  <c r="AI201" i="17"/>
  <c r="AI202" i="17"/>
  <c r="AI203" i="17"/>
  <c r="AI204" i="17"/>
  <c r="AI205" i="17"/>
  <c r="AF7" i="17"/>
  <c r="AF8" i="17"/>
  <c r="AF9" i="17"/>
  <c r="AF10" i="17"/>
  <c r="AF11" i="17"/>
  <c r="AF12" i="17"/>
  <c r="AF13" i="17"/>
  <c r="AF14" i="17"/>
  <c r="AF15" i="17"/>
  <c r="AF16" i="17"/>
  <c r="AF17" i="17"/>
  <c r="AF18" i="17"/>
  <c r="AF19" i="17"/>
  <c r="AF20" i="17"/>
  <c r="AF21" i="17"/>
  <c r="AF22" i="17"/>
  <c r="AF23" i="17"/>
  <c r="AF24" i="17"/>
  <c r="AF25" i="17"/>
  <c r="AF26" i="17"/>
  <c r="AF27" i="17"/>
  <c r="AF28" i="17"/>
  <c r="AF29" i="17"/>
  <c r="AF30" i="17"/>
  <c r="AF31" i="17"/>
  <c r="AF32" i="17"/>
  <c r="AF33" i="17"/>
  <c r="AF34" i="17"/>
  <c r="AF35" i="17"/>
  <c r="AF36" i="17"/>
  <c r="AF37" i="17"/>
  <c r="AF38" i="17"/>
  <c r="AF39" i="17"/>
  <c r="AF40" i="17"/>
  <c r="AF41" i="17"/>
  <c r="AF42" i="17"/>
  <c r="AF43" i="17"/>
  <c r="AF44" i="17"/>
  <c r="AF45" i="17"/>
  <c r="AF46" i="17"/>
  <c r="AF47" i="17"/>
  <c r="AF48" i="17"/>
  <c r="AF49" i="17"/>
  <c r="AF50" i="17"/>
  <c r="AF51" i="17"/>
  <c r="AF52" i="17"/>
  <c r="AF53" i="17"/>
  <c r="AF54" i="17"/>
  <c r="AF55" i="17"/>
  <c r="AF56" i="17"/>
  <c r="AF57" i="17"/>
  <c r="AF58" i="17"/>
  <c r="AF59" i="17"/>
  <c r="AF60" i="17"/>
  <c r="AF61" i="17"/>
  <c r="AF62" i="17"/>
  <c r="AF63" i="17"/>
  <c r="AF64" i="17"/>
  <c r="AF65" i="17"/>
  <c r="AF66" i="17"/>
  <c r="AF67" i="17"/>
  <c r="AF68" i="17"/>
  <c r="AF69" i="17"/>
  <c r="AF70" i="17"/>
  <c r="AF71" i="17"/>
  <c r="AF72" i="17"/>
  <c r="AF73" i="17"/>
  <c r="AF74" i="17"/>
  <c r="AF75" i="17"/>
  <c r="AF76" i="17"/>
  <c r="AF77" i="17"/>
  <c r="AF78" i="17"/>
  <c r="AF79" i="17"/>
  <c r="AF80" i="17"/>
  <c r="AF81" i="17"/>
  <c r="AF82" i="17"/>
  <c r="AF83" i="17"/>
  <c r="AF84" i="17"/>
  <c r="AF85" i="17"/>
  <c r="AF86" i="17"/>
  <c r="AF87" i="17"/>
  <c r="AF88" i="17"/>
  <c r="AF89" i="17"/>
  <c r="AF90" i="17"/>
  <c r="AF91" i="17"/>
  <c r="AF92" i="17"/>
  <c r="AF93" i="17"/>
  <c r="AF94" i="17"/>
  <c r="AF95" i="17"/>
  <c r="AF96" i="17"/>
  <c r="AF97" i="17"/>
  <c r="AF98" i="17"/>
  <c r="AF99" i="17"/>
  <c r="AF100" i="17"/>
  <c r="AF101" i="17"/>
  <c r="AF102" i="17"/>
  <c r="AF103" i="17"/>
  <c r="AF104" i="17"/>
  <c r="AF105" i="17"/>
  <c r="AF106" i="17"/>
  <c r="AF107" i="17"/>
  <c r="AF108" i="17"/>
  <c r="AF109" i="17"/>
  <c r="AF110" i="17"/>
  <c r="AF111" i="17"/>
  <c r="AF112" i="17"/>
  <c r="AF113" i="17"/>
  <c r="AF114" i="17"/>
  <c r="AF115" i="17"/>
  <c r="AF116" i="17"/>
  <c r="AF117" i="17"/>
  <c r="AF118" i="17"/>
  <c r="AF119" i="17"/>
  <c r="AF120" i="17"/>
  <c r="AF121" i="17"/>
  <c r="AF122" i="17"/>
  <c r="AF123" i="17"/>
  <c r="AF124" i="17"/>
  <c r="AF125" i="17"/>
  <c r="AF126" i="17"/>
  <c r="AF127" i="17"/>
  <c r="AF128" i="17"/>
  <c r="AF129" i="17"/>
  <c r="AF130" i="17"/>
  <c r="AF131" i="17"/>
  <c r="AF132" i="17"/>
  <c r="AF133" i="17"/>
  <c r="AF134" i="17"/>
  <c r="AF135" i="17"/>
  <c r="AF136" i="17"/>
  <c r="AF137" i="17"/>
  <c r="AF138" i="17"/>
  <c r="AF139" i="17"/>
  <c r="AF140" i="17"/>
  <c r="AF141" i="17"/>
  <c r="AF142" i="17"/>
  <c r="AF143" i="17"/>
  <c r="AF144" i="17"/>
  <c r="AF145" i="17"/>
  <c r="AF146" i="17"/>
  <c r="AF147" i="17"/>
  <c r="AF148" i="17"/>
  <c r="AF149" i="17"/>
  <c r="AF150" i="17"/>
  <c r="AF151" i="17"/>
  <c r="AF152" i="17"/>
  <c r="AF153" i="17"/>
  <c r="AF154" i="17"/>
  <c r="AF155" i="17"/>
  <c r="AF156" i="17"/>
  <c r="AF157" i="17"/>
  <c r="AF158" i="17"/>
  <c r="AF159" i="17"/>
  <c r="AF160" i="17"/>
  <c r="AF161" i="17"/>
  <c r="AF162" i="17"/>
  <c r="AF163" i="17"/>
  <c r="AF164" i="17"/>
  <c r="AF165" i="17"/>
  <c r="AF166" i="17"/>
  <c r="AF167" i="17"/>
  <c r="AF168" i="17"/>
  <c r="AF169" i="17"/>
  <c r="AF170" i="17"/>
  <c r="AF171" i="17"/>
  <c r="AF172" i="17"/>
  <c r="AF173" i="17"/>
  <c r="AF174" i="17"/>
  <c r="AF175" i="17"/>
  <c r="AF176" i="17"/>
  <c r="AF177" i="17"/>
  <c r="AF178" i="17"/>
  <c r="AF179" i="17"/>
  <c r="AF180" i="17"/>
  <c r="AF181" i="17"/>
  <c r="AF182" i="17"/>
  <c r="AF183" i="17"/>
  <c r="AF184" i="17"/>
  <c r="AF185" i="17"/>
  <c r="AF186" i="17"/>
  <c r="AF187" i="17"/>
  <c r="AF188" i="17"/>
  <c r="AF189" i="17"/>
  <c r="AF190" i="17"/>
  <c r="AF191" i="17"/>
  <c r="AF192" i="17"/>
  <c r="AF193" i="17"/>
  <c r="AF194" i="17"/>
  <c r="AF195" i="17"/>
  <c r="AF196" i="17"/>
  <c r="AF197" i="17"/>
  <c r="AF198" i="17"/>
  <c r="AF199" i="17"/>
  <c r="AF200" i="17"/>
  <c r="AF201" i="17"/>
  <c r="AF202" i="17"/>
  <c r="AF203" i="17"/>
  <c r="AF204" i="17"/>
  <c r="AF205" i="17"/>
  <c r="AD7" i="17"/>
  <c r="AD8" i="17"/>
  <c r="AD9" i="17"/>
  <c r="AD10" i="17"/>
  <c r="AD11" i="17"/>
  <c r="AD12" i="17"/>
  <c r="AD13" i="17"/>
  <c r="AD14" i="17"/>
  <c r="AD15" i="17"/>
  <c r="AD16" i="17"/>
  <c r="AD17" i="17"/>
  <c r="AD18" i="17"/>
  <c r="AD19" i="17"/>
  <c r="AD20" i="17"/>
  <c r="AD21" i="17"/>
  <c r="AD22" i="17"/>
  <c r="AD23" i="17"/>
  <c r="AD24" i="17"/>
  <c r="AD25" i="17"/>
  <c r="AD26" i="17"/>
  <c r="AD27" i="17"/>
  <c r="AD28" i="17"/>
  <c r="AD29" i="17"/>
  <c r="AD30" i="17"/>
  <c r="AD31" i="17"/>
  <c r="AD32" i="17"/>
  <c r="AD33" i="17"/>
  <c r="AD34" i="17"/>
  <c r="AD35" i="17"/>
  <c r="AD36" i="17"/>
  <c r="AD37" i="17"/>
  <c r="AD38" i="17"/>
  <c r="AD39" i="17"/>
  <c r="AD40" i="17"/>
  <c r="AD41" i="17"/>
  <c r="AD42" i="17"/>
  <c r="AD43" i="17"/>
  <c r="AD44" i="17"/>
  <c r="AD45" i="17"/>
  <c r="AD46" i="17"/>
  <c r="AD47" i="17"/>
  <c r="AD48" i="17"/>
  <c r="AD49" i="17"/>
  <c r="AD50" i="17"/>
  <c r="AD51" i="17"/>
  <c r="AD52" i="17"/>
  <c r="AD53" i="17"/>
  <c r="AD54" i="17"/>
  <c r="AD55" i="17"/>
  <c r="AD56" i="17"/>
  <c r="AD57" i="17"/>
  <c r="AD58" i="17"/>
  <c r="AD59" i="17"/>
  <c r="AD60" i="17"/>
  <c r="AD61" i="17"/>
  <c r="AD62" i="17"/>
  <c r="AD63" i="17"/>
  <c r="AD64" i="17"/>
  <c r="AD65" i="17"/>
  <c r="AD66" i="17"/>
  <c r="AD67" i="17"/>
  <c r="AD68" i="17"/>
  <c r="AD69" i="17"/>
  <c r="AD70" i="17"/>
  <c r="AD71" i="17"/>
  <c r="AD72" i="17"/>
  <c r="AD73" i="17"/>
  <c r="AD74" i="17"/>
  <c r="AD75" i="17"/>
  <c r="AD76" i="17"/>
  <c r="AD77" i="17"/>
  <c r="AD78" i="17"/>
  <c r="AD79" i="17"/>
  <c r="AD80" i="17"/>
  <c r="AD81" i="17"/>
  <c r="AD82" i="17"/>
  <c r="AD83" i="17"/>
  <c r="AD84" i="17"/>
  <c r="AD85" i="17"/>
  <c r="AD86" i="17"/>
  <c r="AD87" i="17"/>
  <c r="AD88" i="17"/>
  <c r="AD89" i="17"/>
  <c r="AD90" i="17"/>
  <c r="AD91" i="17"/>
  <c r="AD92" i="17"/>
  <c r="AD93" i="17"/>
  <c r="AD94" i="17"/>
  <c r="AD95" i="17"/>
  <c r="AD96" i="17"/>
  <c r="AD97" i="17"/>
  <c r="AD98" i="17"/>
  <c r="AD99" i="17"/>
  <c r="AD100" i="17"/>
  <c r="AD101" i="17"/>
  <c r="AD102" i="17"/>
  <c r="AD103" i="17"/>
  <c r="AD104" i="17"/>
  <c r="AD105" i="17"/>
  <c r="AD106" i="17"/>
  <c r="AD107" i="17"/>
  <c r="AD108" i="17"/>
  <c r="AD109" i="17"/>
  <c r="AD110" i="17"/>
  <c r="AD111" i="17"/>
  <c r="AD112" i="17"/>
  <c r="AD113" i="17"/>
  <c r="AD114" i="17"/>
  <c r="AD115" i="17"/>
  <c r="AD116" i="17"/>
  <c r="AD117" i="17"/>
  <c r="AD118" i="17"/>
  <c r="AD119" i="17"/>
  <c r="AD120" i="17"/>
  <c r="AD121" i="17"/>
  <c r="AD122" i="17"/>
  <c r="AD123" i="17"/>
  <c r="AD124" i="17"/>
  <c r="AD125" i="17"/>
  <c r="AD126" i="17"/>
  <c r="AD127" i="17"/>
  <c r="AD128" i="17"/>
  <c r="AD129" i="17"/>
  <c r="AD130" i="17"/>
  <c r="AD131" i="17"/>
  <c r="AD132" i="17"/>
  <c r="AD133" i="17"/>
  <c r="AD134" i="17"/>
  <c r="AD135" i="17"/>
  <c r="AD136" i="17"/>
  <c r="AD137" i="17"/>
  <c r="AD138" i="17"/>
  <c r="AD139" i="17"/>
  <c r="AD140" i="17"/>
  <c r="AD141" i="17"/>
  <c r="AD142" i="17"/>
  <c r="AD143" i="17"/>
  <c r="AD144" i="17"/>
  <c r="AD145" i="17"/>
  <c r="AD146" i="17"/>
  <c r="AD147" i="17"/>
  <c r="AD148" i="17"/>
  <c r="AD149" i="17"/>
  <c r="AD150" i="17"/>
  <c r="AD151" i="17"/>
  <c r="AD152" i="17"/>
  <c r="AD153" i="17"/>
  <c r="AD154" i="17"/>
  <c r="AD155" i="17"/>
  <c r="AD156" i="17"/>
  <c r="AD157" i="17"/>
  <c r="AD158" i="17"/>
  <c r="AD159" i="17"/>
  <c r="AD160" i="17"/>
  <c r="AD161" i="17"/>
  <c r="AD162" i="17"/>
  <c r="AD163" i="17"/>
  <c r="AD164" i="17"/>
  <c r="AD165" i="17"/>
  <c r="AD166" i="17"/>
  <c r="AD167" i="17"/>
  <c r="AD168" i="17"/>
  <c r="AD169" i="17"/>
  <c r="AD170" i="17"/>
  <c r="AD171" i="17"/>
  <c r="AD172" i="17"/>
  <c r="AD173" i="17"/>
  <c r="AD174" i="17"/>
  <c r="AD175" i="17"/>
  <c r="AD176" i="17"/>
  <c r="AD177" i="17"/>
  <c r="AD178" i="17"/>
  <c r="AD179" i="17"/>
  <c r="AD180" i="17"/>
  <c r="AD181" i="17"/>
  <c r="AD182" i="17"/>
  <c r="AD183" i="17"/>
  <c r="AD184" i="17"/>
  <c r="AD185" i="17"/>
  <c r="AD186" i="17"/>
  <c r="AD187" i="17"/>
  <c r="AD188" i="17"/>
  <c r="AD189" i="17"/>
  <c r="AD190" i="17"/>
  <c r="AD191" i="17"/>
  <c r="AD192" i="17"/>
  <c r="AD193" i="17"/>
  <c r="AD194" i="17"/>
  <c r="AD195" i="17"/>
  <c r="AD196" i="17"/>
  <c r="AD197" i="17"/>
  <c r="AD198" i="17"/>
  <c r="AD199" i="17"/>
  <c r="AD200" i="17"/>
  <c r="AD201" i="17"/>
  <c r="AD202" i="17"/>
  <c r="AD203" i="17"/>
  <c r="AD204" i="17"/>
  <c r="AD205" i="17"/>
  <c r="Z7" i="17"/>
  <c r="Z8" i="17"/>
  <c r="Z9" i="17"/>
  <c r="Z10" i="17"/>
  <c r="Z11" i="17"/>
  <c r="Z12" i="17"/>
  <c r="Z13" i="17"/>
  <c r="Z14" i="17"/>
  <c r="Z15" i="17"/>
  <c r="Z16" i="17"/>
  <c r="Z17" i="17"/>
  <c r="Z18" i="17"/>
  <c r="Z19" i="17"/>
  <c r="Z20" i="17"/>
  <c r="Z21" i="17"/>
  <c r="Z22" i="17"/>
  <c r="Z23" i="17"/>
  <c r="Z24" i="17"/>
  <c r="Z25" i="17"/>
  <c r="Z26" i="17"/>
  <c r="Z27" i="17"/>
  <c r="Z28" i="17"/>
  <c r="Z29" i="17"/>
  <c r="Z30" i="17"/>
  <c r="Z31" i="17"/>
  <c r="Z32" i="17"/>
  <c r="Z33" i="17"/>
  <c r="Z34" i="17"/>
  <c r="Z35" i="17"/>
  <c r="Z36" i="17"/>
  <c r="Z37" i="17"/>
  <c r="Z38" i="17"/>
  <c r="Z39" i="17"/>
  <c r="Z40" i="17"/>
  <c r="Z41" i="17"/>
  <c r="Z42" i="17"/>
  <c r="Z43" i="17"/>
  <c r="Z44" i="17"/>
  <c r="Z45" i="17"/>
  <c r="Z46" i="17"/>
  <c r="Z47" i="17"/>
  <c r="Z48" i="17"/>
  <c r="Z49" i="17"/>
  <c r="Z50" i="17"/>
  <c r="Z51" i="17"/>
  <c r="Z52" i="17"/>
  <c r="Z53" i="17"/>
  <c r="Z54" i="17"/>
  <c r="Z55" i="17"/>
  <c r="Z56" i="17"/>
  <c r="Z57" i="17"/>
  <c r="Z58" i="17"/>
  <c r="Z59" i="17"/>
  <c r="Z60" i="17"/>
  <c r="Z61" i="17"/>
  <c r="Z62" i="17"/>
  <c r="Z63" i="17"/>
  <c r="Z64" i="17"/>
  <c r="Z65" i="17"/>
  <c r="Z66" i="17"/>
  <c r="Z67" i="17"/>
  <c r="Z68" i="17"/>
  <c r="Z69" i="17"/>
  <c r="Z70" i="17"/>
  <c r="Z71" i="17"/>
  <c r="Z72" i="17"/>
  <c r="Z73" i="17"/>
  <c r="Z74" i="17"/>
  <c r="Z75" i="17"/>
  <c r="Z76" i="17"/>
  <c r="Z77" i="17"/>
  <c r="Z78" i="17"/>
  <c r="Z79" i="17"/>
  <c r="Z80" i="17"/>
  <c r="Z81" i="17"/>
  <c r="Z82" i="17"/>
  <c r="Z83" i="17"/>
  <c r="Z84" i="17"/>
  <c r="Z85" i="17"/>
  <c r="Z86" i="17"/>
  <c r="Z87" i="17"/>
  <c r="Z88" i="17"/>
  <c r="Z89" i="17"/>
  <c r="Z90" i="17"/>
  <c r="Z91" i="17"/>
  <c r="Z92" i="17"/>
  <c r="Z93" i="17"/>
  <c r="Z94" i="17"/>
  <c r="Z95" i="17"/>
  <c r="Z96" i="17"/>
  <c r="Z97" i="17"/>
  <c r="Z98" i="17"/>
  <c r="Z99" i="17"/>
  <c r="Z100" i="17"/>
  <c r="Z101" i="17"/>
  <c r="Z102" i="17"/>
  <c r="Z103" i="17"/>
  <c r="Z104" i="17"/>
  <c r="Z105" i="17"/>
  <c r="Z106" i="17"/>
  <c r="Z107" i="17"/>
  <c r="Z108" i="17"/>
  <c r="Z109" i="17"/>
  <c r="Z110" i="17"/>
  <c r="Z111" i="17"/>
  <c r="Z112" i="17"/>
  <c r="Z113" i="17"/>
  <c r="Z114" i="17"/>
  <c r="Z115" i="17"/>
  <c r="Z116" i="17"/>
  <c r="Z117" i="17"/>
  <c r="Z118" i="17"/>
  <c r="Z119" i="17"/>
  <c r="Z120" i="17"/>
  <c r="Z121" i="17"/>
  <c r="Z122" i="17"/>
  <c r="Z123" i="17"/>
  <c r="Z124" i="17"/>
  <c r="Z125" i="17"/>
  <c r="Z126" i="17"/>
  <c r="Z127" i="17"/>
  <c r="Z128" i="17"/>
  <c r="Z129" i="17"/>
  <c r="Z130" i="17"/>
  <c r="Z131" i="17"/>
  <c r="Z132" i="17"/>
  <c r="Z133" i="17"/>
  <c r="Z134" i="17"/>
  <c r="Z135" i="17"/>
  <c r="Z136" i="17"/>
  <c r="Z137" i="17"/>
  <c r="Z138" i="17"/>
  <c r="Z139" i="17"/>
  <c r="Z140" i="17"/>
  <c r="Z141" i="17"/>
  <c r="Z142" i="17"/>
  <c r="Z143" i="17"/>
  <c r="Z144" i="17"/>
  <c r="Z145" i="17"/>
  <c r="Z146" i="17"/>
  <c r="Z147" i="17"/>
  <c r="Z148" i="17"/>
  <c r="Z149" i="17"/>
  <c r="Z150" i="17"/>
  <c r="Z151" i="17"/>
  <c r="Z152" i="17"/>
  <c r="Z153" i="17"/>
  <c r="Z154" i="17"/>
  <c r="Z155" i="17"/>
  <c r="Z156" i="17"/>
  <c r="Z157" i="17"/>
  <c r="Z158" i="17"/>
  <c r="Z159" i="17"/>
  <c r="Z160" i="17"/>
  <c r="Z161" i="17"/>
  <c r="Z162" i="17"/>
  <c r="Z163" i="17"/>
  <c r="Z164" i="17"/>
  <c r="Z165" i="17"/>
  <c r="Z166" i="17"/>
  <c r="Z167" i="17"/>
  <c r="Z168" i="17"/>
  <c r="Z169" i="17"/>
  <c r="Z170" i="17"/>
  <c r="Z171" i="17"/>
  <c r="Z172" i="17"/>
  <c r="Z173" i="17"/>
  <c r="Z174" i="17"/>
  <c r="Z175" i="17"/>
  <c r="Z176" i="17"/>
  <c r="Z177" i="17"/>
  <c r="Z178" i="17"/>
  <c r="Z179" i="17"/>
  <c r="Z180" i="17"/>
  <c r="Z181" i="17"/>
  <c r="Z182" i="17"/>
  <c r="Z183" i="17"/>
  <c r="Z184" i="17"/>
  <c r="Z185" i="17"/>
  <c r="Z186" i="17"/>
  <c r="Z187" i="17"/>
  <c r="Z188" i="17"/>
  <c r="Z189" i="17"/>
  <c r="Z190" i="17"/>
  <c r="Z191" i="17"/>
  <c r="Z192" i="17"/>
  <c r="Z193" i="17"/>
  <c r="Z194" i="17"/>
  <c r="Z195" i="17"/>
  <c r="Z196" i="17"/>
  <c r="Z197" i="17"/>
  <c r="Z198" i="17"/>
  <c r="Z199" i="17"/>
  <c r="Z200" i="17"/>
  <c r="Z201" i="17"/>
  <c r="Z202" i="17"/>
  <c r="Z203" i="17"/>
  <c r="Z204" i="17"/>
  <c r="Z205" i="17"/>
  <c r="X7" i="17"/>
  <c r="X8" i="17"/>
  <c r="X9" i="17"/>
  <c r="X10" i="17"/>
  <c r="X11" i="17"/>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X43" i="17"/>
  <c r="X44" i="17"/>
  <c r="X45" i="17"/>
  <c r="X46" i="17"/>
  <c r="X47" i="17"/>
  <c r="X48" i="17"/>
  <c r="X49" i="17"/>
  <c r="X50" i="17"/>
  <c r="X51" i="17"/>
  <c r="X52" i="17"/>
  <c r="X53" i="17"/>
  <c r="X54" i="17"/>
  <c r="X55" i="17"/>
  <c r="X56" i="17"/>
  <c r="X57" i="17"/>
  <c r="X58" i="17"/>
  <c r="X59" i="17"/>
  <c r="X60" i="17"/>
  <c r="X61" i="17"/>
  <c r="X62" i="17"/>
  <c r="X63" i="17"/>
  <c r="X64" i="17"/>
  <c r="X65" i="17"/>
  <c r="X66" i="17"/>
  <c r="X67" i="17"/>
  <c r="X68" i="17"/>
  <c r="X69" i="17"/>
  <c r="X70" i="17"/>
  <c r="X71" i="17"/>
  <c r="X72" i="17"/>
  <c r="X73" i="17"/>
  <c r="X74" i="17"/>
  <c r="X75" i="17"/>
  <c r="X76" i="17"/>
  <c r="X77" i="17"/>
  <c r="X78" i="17"/>
  <c r="X79" i="17"/>
  <c r="X80" i="17"/>
  <c r="X81" i="17"/>
  <c r="X82" i="17"/>
  <c r="X83" i="17"/>
  <c r="X84" i="17"/>
  <c r="X85" i="17"/>
  <c r="X86" i="17"/>
  <c r="X87" i="17"/>
  <c r="X88" i="17"/>
  <c r="X89" i="17"/>
  <c r="X90" i="17"/>
  <c r="X91" i="17"/>
  <c r="X92" i="17"/>
  <c r="X93" i="17"/>
  <c r="X94" i="17"/>
  <c r="X95" i="17"/>
  <c r="X96" i="17"/>
  <c r="X97" i="17"/>
  <c r="X98" i="17"/>
  <c r="X99" i="17"/>
  <c r="X100" i="17"/>
  <c r="X101" i="17"/>
  <c r="X102" i="17"/>
  <c r="X103" i="17"/>
  <c r="X104" i="17"/>
  <c r="X105" i="17"/>
  <c r="X106" i="17"/>
  <c r="X107" i="17"/>
  <c r="X108" i="17"/>
  <c r="X109" i="17"/>
  <c r="X110" i="17"/>
  <c r="X111" i="17"/>
  <c r="X112" i="17"/>
  <c r="X113" i="17"/>
  <c r="X114" i="17"/>
  <c r="X115" i="17"/>
  <c r="X116" i="17"/>
  <c r="X117" i="17"/>
  <c r="X118" i="17"/>
  <c r="X119" i="17"/>
  <c r="X120" i="17"/>
  <c r="X121" i="17"/>
  <c r="X122" i="17"/>
  <c r="X123" i="17"/>
  <c r="X124" i="17"/>
  <c r="X125" i="17"/>
  <c r="X126" i="17"/>
  <c r="X127" i="17"/>
  <c r="X128" i="17"/>
  <c r="X129" i="17"/>
  <c r="X130" i="17"/>
  <c r="X131" i="17"/>
  <c r="X132" i="17"/>
  <c r="X133" i="17"/>
  <c r="X134" i="17"/>
  <c r="X135" i="17"/>
  <c r="X136" i="17"/>
  <c r="X137" i="17"/>
  <c r="X138" i="17"/>
  <c r="X139" i="17"/>
  <c r="X140" i="17"/>
  <c r="X141" i="17"/>
  <c r="X142" i="17"/>
  <c r="X143" i="17"/>
  <c r="X144" i="17"/>
  <c r="X145" i="17"/>
  <c r="X146" i="17"/>
  <c r="X147" i="17"/>
  <c r="X148" i="17"/>
  <c r="X149" i="17"/>
  <c r="X150" i="17"/>
  <c r="X151" i="17"/>
  <c r="X152" i="17"/>
  <c r="X153" i="17"/>
  <c r="X154" i="17"/>
  <c r="X155" i="17"/>
  <c r="X156" i="17"/>
  <c r="X157" i="17"/>
  <c r="X158" i="17"/>
  <c r="X159" i="17"/>
  <c r="X160" i="17"/>
  <c r="X161" i="17"/>
  <c r="X162" i="17"/>
  <c r="X163" i="17"/>
  <c r="X164" i="17"/>
  <c r="X165" i="17"/>
  <c r="X166" i="17"/>
  <c r="X167" i="17"/>
  <c r="X168" i="17"/>
  <c r="X169" i="17"/>
  <c r="X170" i="17"/>
  <c r="X171" i="17"/>
  <c r="X172" i="17"/>
  <c r="X173" i="17"/>
  <c r="X174" i="17"/>
  <c r="X175" i="17"/>
  <c r="X176" i="17"/>
  <c r="X177" i="17"/>
  <c r="X178" i="17"/>
  <c r="X179" i="17"/>
  <c r="X180" i="17"/>
  <c r="X181" i="17"/>
  <c r="X182" i="17"/>
  <c r="X183" i="17"/>
  <c r="X184" i="17"/>
  <c r="X185" i="17"/>
  <c r="X186" i="17"/>
  <c r="X187" i="17"/>
  <c r="X188" i="17"/>
  <c r="X189" i="17"/>
  <c r="X190" i="17"/>
  <c r="X191" i="17"/>
  <c r="X192" i="17"/>
  <c r="X193" i="17"/>
  <c r="X194" i="17"/>
  <c r="X195" i="17"/>
  <c r="X196" i="17"/>
  <c r="X197" i="17"/>
  <c r="X198" i="17"/>
  <c r="X199" i="17"/>
  <c r="X200" i="17"/>
  <c r="X201" i="17"/>
  <c r="X202" i="17"/>
  <c r="X203" i="17"/>
  <c r="X204" i="17"/>
  <c r="X205" i="17"/>
  <c r="AI6" i="17"/>
  <c r="AF6" i="17"/>
  <c r="AD6" i="17"/>
  <c r="Z6" i="17"/>
  <c r="X6" i="17"/>
  <c r="G64" i="28" l="1"/>
  <c r="AY7" i="17"/>
  <c r="AY8" i="17"/>
  <c r="AY9" i="17"/>
  <c r="AY10" i="17"/>
  <c r="AY11" i="17"/>
  <c r="AY12" i="17"/>
  <c r="AY13" i="17"/>
  <c r="AY14" i="17"/>
  <c r="AY15" i="17"/>
  <c r="AY16" i="17"/>
  <c r="AY17" i="17"/>
  <c r="AY18" i="17"/>
  <c r="AY19" i="17"/>
  <c r="AY20" i="17"/>
  <c r="AY21" i="17"/>
  <c r="AY22" i="17"/>
  <c r="AY23" i="17"/>
  <c r="AY24" i="17"/>
  <c r="AY25" i="17"/>
  <c r="AY26" i="17"/>
  <c r="AY27" i="17"/>
  <c r="AY28" i="17"/>
  <c r="AY29" i="17"/>
  <c r="AY30" i="17"/>
  <c r="AY31" i="17"/>
  <c r="AY32" i="17"/>
  <c r="AY33" i="17"/>
  <c r="AY34" i="17"/>
  <c r="AY35" i="17"/>
  <c r="AY36" i="17"/>
  <c r="AY37" i="17"/>
  <c r="AY38" i="17"/>
  <c r="AY39" i="17"/>
  <c r="AY40" i="17"/>
  <c r="AY41" i="17"/>
  <c r="AY42" i="17"/>
  <c r="AY43" i="17"/>
  <c r="AY44" i="17"/>
  <c r="AY45" i="17"/>
  <c r="AY46" i="17"/>
  <c r="AY47" i="17"/>
  <c r="AY48" i="17"/>
  <c r="AY49" i="17"/>
  <c r="AY50" i="17"/>
  <c r="AY51" i="17"/>
  <c r="AY52" i="17"/>
  <c r="AY53" i="17"/>
  <c r="AY54" i="17"/>
  <c r="AY55" i="17"/>
  <c r="AY56" i="17"/>
  <c r="AY57" i="17"/>
  <c r="AY58" i="17"/>
  <c r="AY59" i="17"/>
  <c r="AY60" i="17"/>
  <c r="AY61" i="17"/>
  <c r="AY62" i="17"/>
  <c r="AY63" i="17"/>
  <c r="AY64" i="17"/>
  <c r="AY65" i="17"/>
  <c r="AY66" i="17"/>
  <c r="AY67" i="17"/>
  <c r="AY68" i="17"/>
  <c r="AY69" i="17"/>
  <c r="AY70" i="17"/>
  <c r="AY71" i="17"/>
  <c r="AY72" i="17"/>
  <c r="AY73" i="17"/>
  <c r="AY74" i="17"/>
  <c r="AY75" i="17"/>
  <c r="AY76" i="17"/>
  <c r="AY77" i="17"/>
  <c r="AY78" i="17"/>
  <c r="AY79" i="17"/>
  <c r="AY80" i="17"/>
  <c r="AY81" i="17"/>
  <c r="AY82" i="17"/>
  <c r="AY83" i="17"/>
  <c r="AY84" i="17"/>
  <c r="AY85" i="17"/>
  <c r="AY86" i="17"/>
  <c r="AY87" i="17"/>
  <c r="AY88" i="17"/>
  <c r="AY89" i="17"/>
  <c r="AY90" i="17"/>
  <c r="AY91" i="17"/>
  <c r="AY92" i="17"/>
  <c r="AY93" i="17"/>
  <c r="AY94" i="17"/>
  <c r="AY95" i="17"/>
  <c r="AY96" i="17"/>
  <c r="AY97" i="17"/>
  <c r="AY98" i="17"/>
  <c r="AY99" i="17"/>
  <c r="AY100" i="17"/>
  <c r="AY101" i="17"/>
  <c r="AY102" i="17"/>
  <c r="AY103" i="17"/>
  <c r="AY104" i="17"/>
  <c r="AY105" i="17"/>
  <c r="AY106" i="17"/>
  <c r="AY107" i="17"/>
  <c r="AY108" i="17"/>
  <c r="AY109" i="17"/>
  <c r="AY110" i="17"/>
  <c r="AY111" i="17"/>
  <c r="AY112" i="17"/>
  <c r="AY113" i="17"/>
  <c r="AY114" i="17"/>
  <c r="AY115" i="17"/>
  <c r="AY116" i="17"/>
  <c r="AY117" i="17"/>
  <c r="AY118" i="17"/>
  <c r="AY119" i="17"/>
  <c r="AY120" i="17"/>
  <c r="AY121" i="17"/>
  <c r="AY122" i="17"/>
  <c r="AY123" i="17"/>
  <c r="AY124" i="17"/>
  <c r="AY125" i="17"/>
  <c r="AY126" i="17"/>
  <c r="AY127" i="17"/>
  <c r="AY128" i="17"/>
  <c r="AY129" i="17"/>
  <c r="AY130" i="17"/>
  <c r="AY131" i="17"/>
  <c r="AY132" i="17"/>
  <c r="AY133" i="17"/>
  <c r="AY134" i="17"/>
  <c r="AY135" i="17"/>
  <c r="AY136" i="17"/>
  <c r="AY137" i="17"/>
  <c r="AY138" i="17"/>
  <c r="AY139" i="17"/>
  <c r="AY140" i="17"/>
  <c r="AY141" i="17"/>
  <c r="AY142" i="17"/>
  <c r="AY143" i="17"/>
  <c r="AY144" i="17"/>
  <c r="AY145" i="17"/>
  <c r="AY146" i="17"/>
  <c r="AY147" i="17"/>
  <c r="AY148" i="17"/>
  <c r="AY149" i="17"/>
  <c r="AY150" i="17"/>
  <c r="AY151" i="17"/>
  <c r="AY152" i="17"/>
  <c r="AY153" i="17"/>
  <c r="AY154" i="17"/>
  <c r="AY155" i="17"/>
  <c r="AY156" i="17"/>
  <c r="AY157" i="17"/>
  <c r="AY158" i="17"/>
  <c r="AY159" i="17"/>
  <c r="AY160" i="17"/>
  <c r="AY161" i="17"/>
  <c r="AY162" i="17"/>
  <c r="AY163" i="17"/>
  <c r="AY164" i="17"/>
  <c r="AY165" i="17"/>
  <c r="AY166" i="17"/>
  <c r="AY167" i="17"/>
  <c r="AY168" i="17"/>
  <c r="AY169" i="17"/>
  <c r="AY170" i="17"/>
  <c r="AY171" i="17"/>
  <c r="AY172" i="17"/>
  <c r="AY173" i="17"/>
  <c r="AY174" i="17"/>
  <c r="AY175" i="17"/>
  <c r="AY176" i="17"/>
  <c r="AY177" i="17"/>
  <c r="AY178" i="17"/>
  <c r="AY179" i="17"/>
  <c r="AY180" i="17"/>
  <c r="AY181" i="17"/>
  <c r="AY182" i="17"/>
  <c r="AY183" i="17"/>
  <c r="AY184" i="17"/>
  <c r="AY185" i="17"/>
  <c r="AY186" i="17"/>
  <c r="AY187" i="17"/>
  <c r="AY188" i="17"/>
  <c r="AY189" i="17"/>
  <c r="AY190" i="17"/>
  <c r="AY191" i="17"/>
  <c r="AY192" i="17"/>
  <c r="AY193" i="17"/>
  <c r="AY194" i="17"/>
  <c r="AY195" i="17"/>
  <c r="AY196" i="17"/>
  <c r="AY197" i="17"/>
  <c r="AY198" i="17"/>
  <c r="AY199" i="17"/>
  <c r="AY200" i="17"/>
  <c r="AY201" i="17"/>
  <c r="AY202" i="17"/>
  <c r="AY203" i="17"/>
  <c r="AY204" i="17"/>
  <c r="AY205" i="17"/>
  <c r="AY6" i="17"/>
  <c r="M1" i="12"/>
  <c r="K17" i="12" s="1"/>
  <c r="F35" i="28"/>
  <c r="D31" i="29" l="1"/>
  <c r="AX7" i="17" l="1"/>
  <c r="AX8" i="17"/>
  <c r="AX9" i="17"/>
  <c r="AX10" i="17"/>
  <c r="AX11" i="17"/>
  <c r="AX12" i="17"/>
  <c r="AX13" i="17"/>
  <c r="AX14" i="17"/>
  <c r="AX15" i="17"/>
  <c r="AX16" i="17"/>
  <c r="AX17" i="17"/>
  <c r="AX18" i="17"/>
  <c r="AX19" i="17"/>
  <c r="AX20" i="17"/>
  <c r="AX21" i="17"/>
  <c r="AX22" i="17"/>
  <c r="AX23" i="17"/>
  <c r="AX24" i="17"/>
  <c r="AX25" i="17"/>
  <c r="AX26" i="17"/>
  <c r="AX27" i="17"/>
  <c r="AX28" i="17"/>
  <c r="AX29" i="17"/>
  <c r="AX30" i="17"/>
  <c r="AX31" i="17"/>
  <c r="AX32" i="17"/>
  <c r="AX33" i="17"/>
  <c r="AX34" i="17"/>
  <c r="AX35" i="17"/>
  <c r="AX36" i="17"/>
  <c r="AX37" i="17"/>
  <c r="AX38" i="17"/>
  <c r="AX39" i="17"/>
  <c r="AX40" i="17"/>
  <c r="AX41" i="17"/>
  <c r="AX42" i="17"/>
  <c r="AX43" i="17"/>
  <c r="AX44" i="17"/>
  <c r="AX45" i="17"/>
  <c r="AX46" i="17"/>
  <c r="AX47" i="17"/>
  <c r="AX48" i="17"/>
  <c r="AX49" i="17"/>
  <c r="AX50" i="17"/>
  <c r="AX51" i="17"/>
  <c r="AX52" i="17"/>
  <c r="AX53" i="17"/>
  <c r="AX54" i="17"/>
  <c r="AX55" i="17"/>
  <c r="AX56" i="17"/>
  <c r="AX57" i="17"/>
  <c r="AX58" i="17"/>
  <c r="AX59" i="17"/>
  <c r="AX60" i="17"/>
  <c r="AX61" i="17"/>
  <c r="AX62" i="17"/>
  <c r="AX63" i="17"/>
  <c r="AX64" i="17"/>
  <c r="AX65" i="17"/>
  <c r="AX66" i="17"/>
  <c r="AX67" i="17"/>
  <c r="AX68" i="17"/>
  <c r="AX69" i="17"/>
  <c r="AX70" i="17"/>
  <c r="AX71" i="17"/>
  <c r="AX72" i="17"/>
  <c r="AX73" i="17"/>
  <c r="AX74" i="17"/>
  <c r="AX75" i="17"/>
  <c r="AX76" i="17"/>
  <c r="AX77" i="17"/>
  <c r="AX78" i="17"/>
  <c r="AX79" i="17"/>
  <c r="AX80" i="17"/>
  <c r="AX81" i="17"/>
  <c r="AX82" i="17"/>
  <c r="AX83" i="17"/>
  <c r="AX84" i="17"/>
  <c r="AX85" i="17"/>
  <c r="AX86" i="17"/>
  <c r="AX87" i="17"/>
  <c r="AX88" i="17"/>
  <c r="AX89" i="17"/>
  <c r="AX90" i="17"/>
  <c r="AX91" i="17"/>
  <c r="AX92" i="17"/>
  <c r="AX93" i="17"/>
  <c r="AX94" i="17"/>
  <c r="AX95" i="17"/>
  <c r="AX96" i="17"/>
  <c r="AX97" i="17"/>
  <c r="AX98" i="17"/>
  <c r="AX99" i="17"/>
  <c r="AX100" i="17"/>
  <c r="AX101" i="17"/>
  <c r="AX102" i="17"/>
  <c r="AX103" i="17"/>
  <c r="AX104" i="17"/>
  <c r="AX105" i="17"/>
  <c r="AX106" i="17"/>
  <c r="AX107" i="17"/>
  <c r="AX108" i="17"/>
  <c r="AX109" i="17"/>
  <c r="AX110" i="17"/>
  <c r="AX111" i="17"/>
  <c r="AX112" i="17"/>
  <c r="AX113" i="17"/>
  <c r="AX114" i="17"/>
  <c r="AX115" i="17"/>
  <c r="AX116" i="17"/>
  <c r="AX117" i="17"/>
  <c r="AX118" i="17"/>
  <c r="AX119" i="17"/>
  <c r="AX120" i="17"/>
  <c r="AX121" i="17"/>
  <c r="AX122" i="17"/>
  <c r="AX123" i="17"/>
  <c r="AX124" i="17"/>
  <c r="AX125" i="17"/>
  <c r="AX126" i="17"/>
  <c r="AX127" i="17"/>
  <c r="AX128" i="17"/>
  <c r="AX129" i="17"/>
  <c r="AX130" i="17"/>
  <c r="AX131" i="17"/>
  <c r="AX132" i="17"/>
  <c r="AX133" i="17"/>
  <c r="AX134" i="17"/>
  <c r="AX135" i="17"/>
  <c r="AX136" i="17"/>
  <c r="AX137" i="17"/>
  <c r="AX138" i="17"/>
  <c r="AX139" i="17"/>
  <c r="AX140" i="17"/>
  <c r="AX141" i="17"/>
  <c r="AX142" i="17"/>
  <c r="AX143" i="17"/>
  <c r="AX144" i="17"/>
  <c r="AX145" i="17"/>
  <c r="AX146" i="17"/>
  <c r="AX147" i="17"/>
  <c r="AX148" i="17"/>
  <c r="AX149" i="17"/>
  <c r="AX150" i="17"/>
  <c r="AX151" i="17"/>
  <c r="AX152" i="17"/>
  <c r="AX153" i="17"/>
  <c r="AX154" i="17"/>
  <c r="AX155" i="17"/>
  <c r="AX156" i="17"/>
  <c r="AX157" i="17"/>
  <c r="AX158" i="17"/>
  <c r="AX159" i="17"/>
  <c r="AX160" i="17"/>
  <c r="AX161" i="17"/>
  <c r="AX162" i="17"/>
  <c r="AX163" i="17"/>
  <c r="AX164" i="17"/>
  <c r="AX165" i="17"/>
  <c r="AX166" i="17"/>
  <c r="AX167" i="17"/>
  <c r="AX168" i="17"/>
  <c r="AX169" i="17"/>
  <c r="AX170" i="17"/>
  <c r="AX171" i="17"/>
  <c r="AX172" i="17"/>
  <c r="AX173" i="17"/>
  <c r="AX174" i="17"/>
  <c r="AX175" i="17"/>
  <c r="AX176" i="17"/>
  <c r="AX177" i="17"/>
  <c r="AX178" i="17"/>
  <c r="AX179" i="17"/>
  <c r="AX180" i="17"/>
  <c r="AX181" i="17"/>
  <c r="AX182" i="17"/>
  <c r="AX183" i="17"/>
  <c r="AX184" i="17"/>
  <c r="AX185" i="17"/>
  <c r="AX186" i="17"/>
  <c r="AX187" i="17"/>
  <c r="AX188" i="17"/>
  <c r="AX189" i="17"/>
  <c r="AX190" i="17"/>
  <c r="AX191" i="17"/>
  <c r="AX192" i="17"/>
  <c r="AX193" i="17"/>
  <c r="AX194" i="17"/>
  <c r="AX195" i="17"/>
  <c r="AX196" i="17"/>
  <c r="AX197" i="17"/>
  <c r="AX198" i="17"/>
  <c r="AX199" i="17"/>
  <c r="AX200" i="17"/>
  <c r="AX201" i="17"/>
  <c r="AX202" i="17"/>
  <c r="AX203" i="17"/>
  <c r="AX204" i="17"/>
  <c r="AX205" i="17"/>
  <c r="AX6" i="17"/>
  <c r="C15" i="12" l="1"/>
  <c r="B4" i="17" l="1"/>
  <c r="E14" i="12"/>
  <c r="C9" i="12"/>
  <c r="C4" i="30" s="1"/>
  <c r="D13" i="12"/>
  <c r="C11" i="12"/>
  <c r="C10" i="12"/>
  <c r="F14" i="30" s="1"/>
  <c r="J4" i="29"/>
  <c r="G37" i="29"/>
  <c r="L14" i="12"/>
  <c r="F15" i="30" s="1"/>
  <c r="D12" i="12"/>
  <c r="C4" i="12"/>
  <c r="K19" i="12"/>
  <c r="B38" i="29" s="1"/>
  <c r="J13" i="28"/>
  <c r="B20" i="12"/>
  <c r="G38" i="29" l="1"/>
  <c r="G18" i="29"/>
  <c r="F10" i="29"/>
  <c r="H24" i="29"/>
  <c r="F4" i="29"/>
  <c r="B37" i="29"/>
  <c r="G11" i="28"/>
  <c r="R8" i="17"/>
  <c r="R9" i="17"/>
  <c r="R10" i="17"/>
  <c r="R11" i="17"/>
  <c r="R12" i="17"/>
  <c r="R13" i="17"/>
  <c r="R14" i="17"/>
  <c r="R15" i="17"/>
  <c r="R16" i="17"/>
  <c r="R17" i="17"/>
  <c r="R18" i="17"/>
  <c r="R19" i="17"/>
  <c r="R20" i="17"/>
  <c r="R21" i="17"/>
  <c r="R22" i="17"/>
  <c r="R23" i="17"/>
  <c r="R24" i="17"/>
  <c r="R25" i="17"/>
  <c r="R26" i="17"/>
  <c r="R27" i="17"/>
  <c r="R28" i="17"/>
  <c r="R29" i="17"/>
  <c r="R30" i="17"/>
  <c r="R31" i="17"/>
  <c r="R32" i="17"/>
  <c r="R33" i="17"/>
  <c r="R34" i="17"/>
  <c r="R35" i="17"/>
  <c r="R36" i="17"/>
  <c r="R37" i="17"/>
  <c r="R38" i="17"/>
  <c r="R39" i="17"/>
  <c r="R40" i="17"/>
  <c r="R41" i="17"/>
  <c r="R42" i="17"/>
  <c r="R43" i="17"/>
  <c r="R44" i="17"/>
  <c r="R45" i="17"/>
  <c r="R46" i="17"/>
  <c r="R47" i="17"/>
  <c r="R48" i="17"/>
  <c r="R49" i="17"/>
  <c r="R50" i="17"/>
  <c r="R51" i="17"/>
  <c r="R52" i="17"/>
  <c r="R53" i="17"/>
  <c r="R54" i="17"/>
  <c r="R55" i="17"/>
  <c r="R56" i="17"/>
  <c r="R57" i="17"/>
  <c r="R58" i="17"/>
  <c r="R59" i="17"/>
  <c r="R60" i="17"/>
  <c r="R61" i="17"/>
  <c r="R62" i="17"/>
  <c r="R63" i="17"/>
  <c r="R64" i="17"/>
  <c r="R65" i="17"/>
  <c r="R66" i="17"/>
  <c r="R67" i="17"/>
  <c r="R68" i="17"/>
  <c r="R69" i="17"/>
  <c r="R70" i="17"/>
  <c r="R71" i="17"/>
  <c r="R72" i="17"/>
  <c r="R73" i="17"/>
  <c r="R74" i="17"/>
  <c r="R75" i="17"/>
  <c r="R76" i="17"/>
  <c r="R77" i="17"/>
  <c r="R78" i="17"/>
  <c r="R79" i="17"/>
  <c r="R80" i="17"/>
  <c r="R81" i="17"/>
  <c r="R82" i="17"/>
  <c r="R83" i="17"/>
  <c r="R84" i="17"/>
  <c r="R85" i="17"/>
  <c r="R86" i="17"/>
  <c r="R87" i="17"/>
  <c r="R88" i="17"/>
  <c r="R89" i="17"/>
  <c r="R90" i="17"/>
  <c r="R91" i="17"/>
  <c r="R92" i="17"/>
  <c r="R93" i="17"/>
  <c r="R94" i="17"/>
  <c r="R95" i="17"/>
  <c r="R96" i="17"/>
  <c r="R97" i="17"/>
  <c r="R98" i="17"/>
  <c r="R99" i="17"/>
  <c r="R100" i="17"/>
  <c r="R101" i="17"/>
  <c r="R102" i="17"/>
  <c r="R103" i="17"/>
  <c r="R104" i="17"/>
  <c r="R105" i="17"/>
  <c r="R106" i="17"/>
  <c r="R107" i="17"/>
  <c r="R108" i="17"/>
  <c r="R109" i="17"/>
  <c r="R110" i="17"/>
  <c r="R111" i="17"/>
  <c r="R112" i="17"/>
  <c r="R113" i="17"/>
  <c r="R114" i="17"/>
  <c r="R115" i="17"/>
  <c r="R116" i="17"/>
  <c r="R117" i="17"/>
  <c r="R118" i="17"/>
  <c r="R119" i="17"/>
  <c r="R120" i="17"/>
  <c r="R121" i="17"/>
  <c r="R122" i="17"/>
  <c r="R123" i="17"/>
  <c r="R124" i="17"/>
  <c r="R125" i="17"/>
  <c r="R126" i="17"/>
  <c r="R127" i="17"/>
  <c r="R128" i="17"/>
  <c r="R129" i="17"/>
  <c r="R130" i="17"/>
  <c r="R131" i="17"/>
  <c r="R132" i="17"/>
  <c r="R133" i="17"/>
  <c r="R134" i="17"/>
  <c r="R135" i="17"/>
  <c r="R136" i="17"/>
  <c r="R137" i="17"/>
  <c r="R138" i="17"/>
  <c r="R139" i="17"/>
  <c r="R140" i="17"/>
  <c r="R141" i="17"/>
  <c r="R142" i="17"/>
  <c r="R143" i="17"/>
  <c r="R144" i="17"/>
  <c r="R145" i="17"/>
  <c r="R146" i="17"/>
  <c r="R147" i="17"/>
  <c r="R148" i="17"/>
  <c r="R149" i="17"/>
  <c r="R150" i="17"/>
  <c r="R151" i="17"/>
  <c r="R152" i="17"/>
  <c r="R153" i="17"/>
  <c r="R154" i="17"/>
  <c r="R155" i="17"/>
  <c r="R156" i="17"/>
  <c r="R157" i="17"/>
  <c r="R158" i="17"/>
  <c r="R159" i="17"/>
  <c r="R160" i="17"/>
  <c r="R161" i="17"/>
  <c r="R162" i="17"/>
  <c r="R163" i="17"/>
  <c r="R164" i="17"/>
  <c r="R165" i="17"/>
  <c r="R166" i="17"/>
  <c r="R167" i="17"/>
  <c r="R168" i="17"/>
  <c r="R169" i="17"/>
  <c r="R170" i="17"/>
  <c r="R171" i="17"/>
  <c r="R172" i="17"/>
  <c r="R173" i="17"/>
  <c r="R174" i="17"/>
  <c r="R175" i="17"/>
  <c r="R176" i="17"/>
  <c r="R177" i="17"/>
  <c r="R178" i="17"/>
  <c r="R179" i="17"/>
  <c r="R180" i="17"/>
  <c r="R181" i="17"/>
  <c r="R182" i="17"/>
  <c r="R183" i="17"/>
  <c r="R184" i="17"/>
  <c r="R185" i="17"/>
  <c r="R186" i="17"/>
  <c r="R187" i="17"/>
  <c r="R188" i="17"/>
  <c r="R189" i="17"/>
  <c r="R190" i="17"/>
  <c r="R191" i="17"/>
  <c r="R192" i="17"/>
  <c r="R193" i="17"/>
  <c r="R194" i="17"/>
  <c r="R195" i="17"/>
  <c r="R196" i="17"/>
  <c r="R197" i="17"/>
  <c r="R198" i="17"/>
  <c r="R199" i="17"/>
  <c r="R200" i="17"/>
  <c r="R201" i="17"/>
  <c r="R202" i="17"/>
  <c r="R203" i="17"/>
  <c r="R204" i="17"/>
  <c r="R205" i="17"/>
  <c r="R7" i="17"/>
  <c r="R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S75" i="17"/>
  <c r="S76" i="17"/>
  <c r="S77" i="17"/>
  <c r="S78" i="17"/>
  <c r="S79" i="17"/>
  <c r="S80" i="17"/>
  <c r="S81" i="17"/>
  <c r="S82" i="17"/>
  <c r="S83" i="17"/>
  <c r="S84" i="17"/>
  <c r="S85" i="17"/>
  <c r="S86" i="17"/>
  <c r="S87" i="17"/>
  <c r="S88" i="17"/>
  <c r="S89" i="17"/>
  <c r="S90" i="17"/>
  <c r="S91" i="17"/>
  <c r="S92" i="17"/>
  <c r="S93" i="17"/>
  <c r="S94" i="17"/>
  <c r="S95" i="17"/>
  <c r="S96" i="17"/>
  <c r="S97" i="17"/>
  <c r="S98" i="17"/>
  <c r="S99" i="17"/>
  <c r="S100" i="17"/>
  <c r="S101" i="17"/>
  <c r="S102" i="17"/>
  <c r="S103" i="17"/>
  <c r="S104" i="17"/>
  <c r="S105" i="17"/>
  <c r="S106" i="17"/>
  <c r="S107" i="17"/>
  <c r="S108" i="17"/>
  <c r="S109" i="17"/>
  <c r="S110" i="17"/>
  <c r="S111" i="17"/>
  <c r="S112" i="17"/>
  <c r="S113" i="17"/>
  <c r="S114" i="17"/>
  <c r="S115" i="17"/>
  <c r="S116" i="17"/>
  <c r="S117" i="17"/>
  <c r="S118" i="17"/>
  <c r="S119" i="17"/>
  <c r="S120" i="17"/>
  <c r="S121" i="17"/>
  <c r="S122" i="17"/>
  <c r="S123" i="17"/>
  <c r="S124" i="17"/>
  <c r="S125" i="17"/>
  <c r="S126" i="17"/>
  <c r="S127" i="17"/>
  <c r="S128" i="17"/>
  <c r="S129" i="17"/>
  <c r="S130" i="17"/>
  <c r="S131" i="17"/>
  <c r="S132" i="17"/>
  <c r="S133" i="17"/>
  <c r="S134" i="17"/>
  <c r="S135" i="17"/>
  <c r="S136" i="17"/>
  <c r="S137" i="17"/>
  <c r="S138" i="17"/>
  <c r="S139" i="17"/>
  <c r="S140" i="17"/>
  <c r="S141" i="17"/>
  <c r="S142" i="17"/>
  <c r="S143" i="17"/>
  <c r="S144" i="17"/>
  <c r="S145" i="17"/>
  <c r="S146" i="17"/>
  <c r="S147" i="17"/>
  <c r="S148" i="17"/>
  <c r="S149" i="17"/>
  <c r="S150" i="17"/>
  <c r="S151" i="17"/>
  <c r="S152" i="17"/>
  <c r="S153" i="17"/>
  <c r="S154" i="17"/>
  <c r="S155" i="17"/>
  <c r="S156" i="17"/>
  <c r="S157" i="17"/>
  <c r="S158" i="17"/>
  <c r="S159" i="17"/>
  <c r="S160" i="17"/>
  <c r="S161" i="17"/>
  <c r="S162" i="17"/>
  <c r="S163" i="17"/>
  <c r="S164" i="17"/>
  <c r="S165" i="17"/>
  <c r="S166" i="17"/>
  <c r="S167" i="17"/>
  <c r="S168" i="17"/>
  <c r="S169" i="17"/>
  <c r="S170" i="17"/>
  <c r="S171" i="17"/>
  <c r="S172" i="17"/>
  <c r="S173" i="17"/>
  <c r="S174" i="17"/>
  <c r="S175" i="17"/>
  <c r="S176" i="17"/>
  <c r="S177" i="17"/>
  <c r="S178" i="17"/>
  <c r="S179" i="17"/>
  <c r="S180" i="17"/>
  <c r="S181" i="17"/>
  <c r="S182" i="17"/>
  <c r="S183" i="17"/>
  <c r="S184" i="17"/>
  <c r="S185" i="17"/>
  <c r="S186" i="17"/>
  <c r="S187" i="17"/>
  <c r="S188" i="17"/>
  <c r="S189" i="17"/>
  <c r="S190" i="17"/>
  <c r="S191" i="17"/>
  <c r="S192" i="17"/>
  <c r="S193" i="17"/>
  <c r="S194" i="17"/>
  <c r="S195" i="17"/>
  <c r="S196" i="17"/>
  <c r="S197" i="17"/>
  <c r="S198" i="17"/>
  <c r="S199" i="17"/>
  <c r="S200" i="17"/>
  <c r="S201" i="17"/>
  <c r="S202" i="17"/>
  <c r="S203" i="17"/>
  <c r="S204" i="17"/>
  <c r="S205" i="17"/>
  <c r="S6" i="17"/>
  <c r="F8" i="29" l="1"/>
  <c r="F9" i="29" s="1"/>
  <c r="B39" i="29"/>
  <c r="N19" i="29"/>
  <c r="H23" i="29" s="1"/>
  <c r="I3659" i="25"/>
  <c r="I3658" i="25"/>
  <c r="I3657" i="25"/>
  <c r="I3656" i="25"/>
  <c r="I3655" i="25"/>
  <c r="I3654" i="25"/>
  <c r="I3653" i="25"/>
  <c r="I3652" i="25"/>
  <c r="I3651" i="25"/>
  <c r="I3650" i="25"/>
  <c r="I3649" i="25"/>
  <c r="I3648" i="25"/>
  <c r="I3647" i="25"/>
  <c r="I3646" i="25"/>
  <c r="I3645" i="25"/>
  <c r="I3644" i="25"/>
  <c r="I3643" i="25"/>
  <c r="I3642" i="25"/>
  <c r="I3641" i="25"/>
  <c r="I3640" i="25"/>
  <c r="I3639" i="25"/>
  <c r="I3638" i="25"/>
  <c r="I3637" i="25"/>
  <c r="I3636" i="25"/>
  <c r="I3635" i="25"/>
  <c r="I3634" i="25"/>
  <c r="I3633" i="25"/>
  <c r="I3632" i="25"/>
  <c r="I3631" i="25"/>
  <c r="I3630" i="25"/>
  <c r="I3629" i="25"/>
  <c r="I3628" i="25"/>
  <c r="I3627" i="25"/>
  <c r="I3626" i="25"/>
  <c r="I3625" i="25"/>
  <c r="I3624" i="25"/>
  <c r="I3623" i="25"/>
  <c r="I3622" i="25"/>
  <c r="I3621" i="25"/>
  <c r="I3620" i="25"/>
  <c r="I3619" i="25"/>
  <c r="I3618" i="25"/>
  <c r="I3617" i="25"/>
  <c r="I3616" i="25"/>
  <c r="I3615" i="25"/>
  <c r="I3614" i="25"/>
  <c r="I3613" i="25"/>
  <c r="I3612" i="25"/>
  <c r="I3611" i="25"/>
  <c r="I3610" i="25"/>
  <c r="I3609" i="25"/>
  <c r="I3608" i="25"/>
  <c r="I3607" i="25"/>
  <c r="I3606" i="25"/>
  <c r="I3605" i="25"/>
  <c r="I3604" i="25"/>
  <c r="I3603" i="25"/>
  <c r="I3602" i="25"/>
  <c r="I3601" i="25"/>
  <c r="I3600" i="25"/>
  <c r="I3599" i="25"/>
  <c r="I3598" i="25"/>
  <c r="I3597" i="25"/>
  <c r="I3596" i="25"/>
  <c r="I3595" i="25"/>
  <c r="I3594" i="25"/>
  <c r="I3593" i="25"/>
  <c r="I3592" i="25"/>
  <c r="I3591" i="25"/>
  <c r="I3590" i="25"/>
  <c r="I3589" i="25"/>
  <c r="I3588" i="25"/>
  <c r="I3587" i="25"/>
  <c r="I3586" i="25"/>
  <c r="I3585" i="25"/>
  <c r="I3584" i="25"/>
  <c r="I3583" i="25"/>
  <c r="I3582" i="25"/>
  <c r="I3581" i="25"/>
  <c r="I3580" i="25"/>
  <c r="I3579" i="25"/>
  <c r="I3578" i="25"/>
  <c r="I3577" i="25"/>
  <c r="I3576" i="25"/>
  <c r="I3575" i="25"/>
  <c r="I3574" i="25"/>
  <c r="I3573" i="25"/>
  <c r="I3572" i="25"/>
  <c r="I3571" i="25"/>
  <c r="I3570" i="25"/>
  <c r="I3569" i="25"/>
  <c r="I3568" i="25"/>
  <c r="I3567" i="25"/>
  <c r="I3566" i="25"/>
  <c r="I3565" i="25"/>
  <c r="I3564" i="25"/>
  <c r="I3563" i="25"/>
  <c r="I3562" i="25"/>
  <c r="I3561" i="25"/>
  <c r="I3560" i="25"/>
  <c r="I3559" i="25"/>
  <c r="I3558" i="25"/>
  <c r="I3557" i="25"/>
  <c r="I3556" i="25"/>
  <c r="I3555" i="25"/>
  <c r="I3554" i="25"/>
  <c r="I3553" i="25"/>
  <c r="I3552" i="25"/>
  <c r="I3551" i="25"/>
  <c r="I3550" i="25"/>
  <c r="I3549" i="25"/>
  <c r="I3548" i="25"/>
  <c r="I3547" i="25"/>
  <c r="I3546" i="25"/>
  <c r="I3545" i="25"/>
  <c r="I3544" i="25"/>
  <c r="I3543" i="25"/>
  <c r="I3542" i="25"/>
  <c r="I3541" i="25"/>
  <c r="I3540" i="25"/>
  <c r="I3539" i="25"/>
  <c r="I3538" i="25"/>
  <c r="I3537" i="25"/>
  <c r="I3536" i="25"/>
  <c r="I3535" i="25"/>
  <c r="I3534" i="25"/>
  <c r="I3533" i="25"/>
  <c r="I3532" i="25"/>
  <c r="I3531" i="25"/>
  <c r="I3530" i="25"/>
  <c r="I3529" i="25"/>
  <c r="I3528" i="25"/>
  <c r="I3527" i="25"/>
  <c r="I3526" i="25"/>
  <c r="I3525" i="25"/>
  <c r="I3524" i="25"/>
  <c r="I3523" i="25"/>
  <c r="I3522" i="25"/>
  <c r="I3521" i="25"/>
  <c r="I3520" i="25"/>
  <c r="I3519" i="25"/>
  <c r="I3518" i="25"/>
  <c r="I3517" i="25"/>
  <c r="I3516" i="25"/>
  <c r="I3515" i="25"/>
  <c r="I3514" i="25"/>
  <c r="I3513" i="25"/>
  <c r="I3512" i="25"/>
  <c r="I3511" i="25"/>
  <c r="I3510" i="25"/>
  <c r="I3509" i="25"/>
  <c r="I3508" i="25"/>
  <c r="I3507" i="25"/>
  <c r="I3506" i="25"/>
  <c r="I3505" i="25"/>
  <c r="I3504" i="25"/>
  <c r="I3503" i="25"/>
  <c r="I3502" i="25"/>
  <c r="I3501" i="25"/>
  <c r="I3500" i="25"/>
  <c r="I3499" i="25"/>
  <c r="I3498" i="25"/>
  <c r="I3497" i="25"/>
  <c r="I3496" i="25"/>
  <c r="I3495" i="25"/>
  <c r="I3494" i="25"/>
  <c r="I3493" i="25"/>
  <c r="I3492" i="25"/>
  <c r="I3491" i="25"/>
  <c r="I3490" i="25"/>
  <c r="I3489" i="25"/>
  <c r="I3488" i="25"/>
  <c r="I3487" i="25"/>
  <c r="I3486" i="25"/>
  <c r="I3485" i="25"/>
  <c r="I3484" i="25"/>
  <c r="I3483" i="25"/>
  <c r="I3482" i="25"/>
  <c r="I3481" i="25"/>
  <c r="I3480" i="25"/>
  <c r="I3479" i="25"/>
  <c r="I3478" i="25"/>
  <c r="I3477" i="25"/>
  <c r="I3476" i="25"/>
  <c r="I3475" i="25"/>
  <c r="I3474" i="25"/>
  <c r="I3473" i="25"/>
  <c r="I3472" i="25"/>
  <c r="I3471" i="25"/>
  <c r="I3470" i="25"/>
  <c r="I3469" i="25"/>
  <c r="I3468" i="25"/>
  <c r="I3467" i="25"/>
  <c r="I3466" i="25"/>
  <c r="I3465" i="25"/>
  <c r="I3464" i="25"/>
  <c r="I3463" i="25"/>
  <c r="I3462" i="25"/>
  <c r="I3461" i="25"/>
  <c r="I3460" i="25"/>
  <c r="I3459" i="25"/>
  <c r="I3458" i="25"/>
  <c r="I3457" i="25"/>
  <c r="I3456" i="25"/>
  <c r="I3455" i="25"/>
  <c r="I3454" i="25"/>
  <c r="I3453" i="25"/>
  <c r="I3452" i="25"/>
  <c r="I3451" i="25"/>
  <c r="I3450" i="25"/>
  <c r="I3449" i="25"/>
  <c r="I3448" i="25"/>
  <c r="I3447" i="25"/>
  <c r="I3446" i="25"/>
  <c r="I3445" i="25"/>
  <c r="I3444" i="25"/>
  <c r="I3443" i="25"/>
  <c r="I3442" i="25"/>
  <c r="I3441" i="25"/>
  <c r="I3440" i="25"/>
  <c r="I3439" i="25"/>
  <c r="I3438" i="25"/>
  <c r="I3437" i="25"/>
  <c r="I3436" i="25"/>
  <c r="I3435" i="25"/>
  <c r="I3434" i="25"/>
  <c r="I3433" i="25"/>
  <c r="I3432" i="25"/>
  <c r="I3431" i="25"/>
  <c r="I3430" i="25"/>
  <c r="I3429" i="25"/>
  <c r="I3428" i="25"/>
  <c r="I3427" i="25"/>
  <c r="I3426" i="25"/>
  <c r="I3425" i="25"/>
  <c r="I3424" i="25"/>
  <c r="I3423" i="25"/>
  <c r="I3422" i="25"/>
  <c r="I3421" i="25"/>
  <c r="I3420" i="25"/>
  <c r="I3419" i="25"/>
  <c r="I3418" i="25"/>
  <c r="I3417" i="25"/>
  <c r="I3416" i="25"/>
  <c r="I3415" i="25"/>
  <c r="I3414" i="25"/>
  <c r="I3413" i="25"/>
  <c r="I3412" i="25"/>
  <c r="I3411" i="25"/>
  <c r="I3410" i="25"/>
  <c r="I3409" i="25"/>
  <c r="I3408" i="25"/>
  <c r="I3407" i="25"/>
  <c r="I3406" i="25"/>
  <c r="I3405" i="25"/>
  <c r="I3404" i="25"/>
  <c r="I3403" i="25"/>
  <c r="I3402" i="25"/>
  <c r="I3401" i="25"/>
  <c r="I3400" i="25"/>
  <c r="I3399" i="25"/>
  <c r="I3398" i="25"/>
  <c r="I3397" i="25"/>
  <c r="I3396" i="25"/>
  <c r="I3395" i="25"/>
  <c r="I3394" i="25"/>
  <c r="I3393" i="25"/>
  <c r="I3392" i="25"/>
  <c r="I3391" i="25"/>
  <c r="I3390" i="25"/>
  <c r="I3389" i="25"/>
  <c r="I3388" i="25"/>
  <c r="I3387" i="25"/>
  <c r="I3386" i="25"/>
  <c r="I3385" i="25"/>
  <c r="I3384" i="25"/>
  <c r="I3383" i="25"/>
  <c r="I3382" i="25"/>
  <c r="I3381" i="25"/>
  <c r="I3380" i="25"/>
  <c r="I3379" i="25"/>
  <c r="I3378" i="25"/>
  <c r="I3377" i="25"/>
  <c r="I3376" i="25"/>
  <c r="I3375" i="25"/>
  <c r="I3374" i="25"/>
  <c r="I3373" i="25"/>
  <c r="I3372" i="25"/>
  <c r="I3371" i="25"/>
  <c r="I3370" i="25"/>
  <c r="I3369" i="25"/>
  <c r="I3368" i="25"/>
  <c r="I3367" i="25"/>
  <c r="I3366" i="25"/>
  <c r="I3365" i="25"/>
  <c r="I3364" i="25"/>
  <c r="I3363" i="25"/>
  <c r="I3362" i="25"/>
  <c r="I3361" i="25"/>
  <c r="I3360" i="25"/>
  <c r="I3359" i="25"/>
  <c r="I3358" i="25"/>
  <c r="I3357" i="25"/>
  <c r="I3356" i="25"/>
  <c r="I3355" i="25"/>
  <c r="I3354" i="25"/>
  <c r="I3353" i="25"/>
  <c r="I3352" i="25"/>
  <c r="I3351" i="25"/>
  <c r="I3350" i="25"/>
  <c r="I3349" i="25"/>
  <c r="I3348" i="25"/>
  <c r="I3347" i="25"/>
  <c r="I3346" i="25"/>
  <c r="I3345" i="25"/>
  <c r="I3344" i="25"/>
  <c r="I3343" i="25"/>
  <c r="I3342" i="25"/>
  <c r="I3341" i="25"/>
  <c r="I3340" i="25"/>
  <c r="I3339" i="25"/>
  <c r="I3338" i="25"/>
  <c r="I3337" i="25"/>
  <c r="I3336" i="25"/>
  <c r="I3335" i="25"/>
  <c r="I3334" i="25"/>
  <c r="I3333" i="25"/>
  <c r="I3332" i="25"/>
  <c r="I3331" i="25"/>
  <c r="I3330" i="25"/>
  <c r="I3329" i="25"/>
  <c r="I3328" i="25"/>
  <c r="I3327" i="25"/>
  <c r="I3326" i="25"/>
  <c r="I3325" i="25"/>
  <c r="I3324" i="25"/>
  <c r="I3323" i="25"/>
  <c r="I3322" i="25"/>
  <c r="I3321" i="25"/>
  <c r="I3320" i="25"/>
  <c r="I3319" i="25"/>
  <c r="I3318" i="25"/>
  <c r="I3317" i="25"/>
  <c r="I3316" i="25"/>
  <c r="I3315" i="25"/>
  <c r="I3314" i="25"/>
  <c r="I3313" i="25"/>
  <c r="I3312" i="25"/>
  <c r="I3311" i="25"/>
  <c r="I3310" i="25"/>
  <c r="I3309" i="25"/>
  <c r="I3308" i="25"/>
  <c r="I3307" i="25"/>
  <c r="I3306" i="25"/>
  <c r="I3305" i="25"/>
  <c r="I3304" i="25"/>
  <c r="I3303" i="25"/>
  <c r="I3302" i="25"/>
  <c r="I3301" i="25"/>
  <c r="I3300" i="25"/>
  <c r="I3299" i="25"/>
  <c r="I3298" i="25"/>
  <c r="I3297" i="25"/>
  <c r="I3296" i="25"/>
  <c r="I3295" i="25"/>
  <c r="I3294" i="25"/>
  <c r="I3293" i="25"/>
  <c r="I3292" i="25"/>
  <c r="I3291" i="25"/>
  <c r="I3290" i="25"/>
  <c r="I3289" i="25"/>
  <c r="I3288" i="25"/>
  <c r="I3287" i="25"/>
  <c r="I3286" i="25"/>
  <c r="I3285" i="25"/>
  <c r="I3284" i="25"/>
  <c r="I3283" i="25"/>
  <c r="I3282" i="25"/>
  <c r="I3281" i="25"/>
  <c r="I3280" i="25"/>
  <c r="I3279" i="25"/>
  <c r="I3278" i="25"/>
  <c r="I3277" i="25"/>
  <c r="I3276" i="25"/>
  <c r="I3275" i="25"/>
  <c r="I3274" i="25"/>
  <c r="I3273" i="25"/>
  <c r="I3272" i="25"/>
  <c r="I3271" i="25"/>
  <c r="I3270" i="25"/>
  <c r="I3269" i="25"/>
  <c r="I3268" i="25"/>
  <c r="I3267" i="25"/>
  <c r="I3266" i="25"/>
  <c r="I3265" i="25"/>
  <c r="I3264" i="25"/>
  <c r="I3263" i="25"/>
  <c r="I3262" i="25"/>
  <c r="I3261" i="25"/>
  <c r="I3260" i="25"/>
  <c r="I3259" i="25"/>
  <c r="I3258" i="25"/>
  <c r="I3257" i="25"/>
  <c r="I3256" i="25"/>
  <c r="I3255" i="25"/>
  <c r="I3254" i="25"/>
  <c r="I3253" i="25"/>
  <c r="I3252" i="25"/>
  <c r="I3251" i="25"/>
  <c r="I3250" i="25"/>
  <c r="I3249" i="25"/>
  <c r="I3248" i="25"/>
  <c r="I3247" i="25"/>
  <c r="I3246" i="25"/>
  <c r="I3245" i="25"/>
  <c r="I3244" i="25"/>
  <c r="I3243" i="25"/>
  <c r="I3242" i="25"/>
  <c r="I3241" i="25"/>
  <c r="I3240" i="25"/>
  <c r="I3239" i="25"/>
  <c r="I3238" i="25"/>
  <c r="I3237" i="25"/>
  <c r="I3236" i="25"/>
  <c r="I3235" i="25"/>
  <c r="I3234" i="25"/>
  <c r="I3233" i="25"/>
  <c r="I3232" i="25"/>
  <c r="I3231" i="25"/>
  <c r="I3230" i="25"/>
  <c r="I3229" i="25"/>
  <c r="I3228" i="25"/>
  <c r="I3227" i="25"/>
  <c r="I3226" i="25"/>
  <c r="I3225" i="25"/>
  <c r="I3224" i="25"/>
  <c r="I3223" i="25"/>
  <c r="I3222" i="25"/>
  <c r="I3221" i="25"/>
  <c r="I3220" i="25"/>
  <c r="I3219" i="25"/>
  <c r="I3218" i="25"/>
  <c r="I3217" i="25"/>
  <c r="I3216" i="25"/>
  <c r="I3215" i="25"/>
  <c r="I3214" i="25"/>
  <c r="I3213" i="25"/>
  <c r="I3212" i="25"/>
  <c r="I3211" i="25"/>
  <c r="I3210" i="25"/>
  <c r="I3209" i="25"/>
  <c r="I3208" i="25"/>
  <c r="I3207" i="25"/>
  <c r="I3206" i="25"/>
  <c r="I3205" i="25"/>
  <c r="I3204" i="25"/>
  <c r="I3203" i="25"/>
  <c r="I3202" i="25"/>
  <c r="I3201" i="25"/>
  <c r="I3200" i="25"/>
  <c r="I3199" i="25"/>
  <c r="I3198" i="25"/>
  <c r="I3197" i="25"/>
  <c r="I3196" i="25"/>
  <c r="I3195" i="25"/>
  <c r="I3194" i="25"/>
  <c r="I3193" i="25"/>
  <c r="I3192" i="25"/>
  <c r="I3191" i="25"/>
  <c r="I3190" i="25"/>
  <c r="I3189" i="25"/>
  <c r="I3188" i="25"/>
  <c r="I3187" i="25"/>
  <c r="I3186" i="25"/>
  <c r="I3185" i="25"/>
  <c r="I3184" i="25"/>
  <c r="I3183" i="25"/>
  <c r="I3182" i="25"/>
  <c r="I3181" i="25"/>
  <c r="I3180" i="25"/>
  <c r="I3179" i="25"/>
  <c r="I3178" i="25"/>
  <c r="I3177" i="25"/>
  <c r="I3176" i="25"/>
  <c r="I3175" i="25"/>
  <c r="I3174" i="25"/>
  <c r="I3173" i="25"/>
  <c r="I3172" i="25"/>
  <c r="I3171" i="25"/>
  <c r="I3170" i="25"/>
  <c r="I3169" i="25"/>
  <c r="I3168" i="25"/>
  <c r="I3167" i="25"/>
  <c r="I3166" i="25"/>
  <c r="I3165" i="25"/>
  <c r="I3164" i="25"/>
  <c r="I3163" i="25"/>
  <c r="I3162" i="25"/>
  <c r="I3161" i="25"/>
  <c r="I3160" i="25"/>
  <c r="I3159" i="25"/>
  <c r="I3158" i="25"/>
  <c r="I3157" i="25"/>
  <c r="I3156" i="25"/>
  <c r="I3155" i="25"/>
  <c r="I3154" i="25"/>
  <c r="I3153" i="25"/>
  <c r="I3152" i="25"/>
  <c r="I3151" i="25"/>
  <c r="I3150" i="25"/>
  <c r="I3149" i="25"/>
  <c r="I3148" i="25"/>
  <c r="I3147" i="25"/>
  <c r="I3146" i="25"/>
  <c r="I3145" i="25"/>
  <c r="I3144" i="25"/>
  <c r="I3143" i="25"/>
  <c r="I3142" i="25"/>
  <c r="I3141" i="25"/>
  <c r="I3140" i="25"/>
  <c r="I3139" i="25"/>
  <c r="I3138" i="25"/>
  <c r="I3137" i="25"/>
  <c r="I3136" i="25"/>
  <c r="I3135" i="25"/>
  <c r="I3134" i="25"/>
  <c r="I3133" i="25"/>
  <c r="I3132" i="25"/>
  <c r="I3131" i="25"/>
  <c r="I3130" i="25"/>
  <c r="I3129" i="25"/>
  <c r="I3128" i="25"/>
  <c r="I3127" i="25"/>
  <c r="I3126" i="25"/>
  <c r="I3125" i="25"/>
  <c r="I3124" i="25"/>
  <c r="I3123" i="25"/>
  <c r="I3122" i="25"/>
  <c r="I3121" i="25"/>
  <c r="I3120" i="25"/>
  <c r="I3119" i="25"/>
  <c r="I3118" i="25"/>
  <c r="I3117" i="25"/>
  <c r="I3116" i="25"/>
  <c r="I3115" i="25"/>
  <c r="I3114" i="25"/>
  <c r="I3113" i="25"/>
  <c r="I3112" i="25"/>
  <c r="I3111" i="25"/>
  <c r="I3110" i="25"/>
  <c r="I3109" i="25"/>
  <c r="I3108" i="25"/>
  <c r="I3107" i="25"/>
  <c r="I3106" i="25"/>
  <c r="I3105" i="25"/>
  <c r="I3104" i="25"/>
  <c r="I3103" i="25"/>
  <c r="I3102" i="25"/>
  <c r="I3101" i="25"/>
  <c r="I3100" i="25"/>
  <c r="I3099" i="25"/>
  <c r="I3098" i="25"/>
  <c r="I3097" i="25"/>
  <c r="I3096" i="25"/>
  <c r="I3095" i="25"/>
  <c r="I3094" i="25"/>
  <c r="I3093" i="25"/>
  <c r="I3092" i="25"/>
  <c r="I3091" i="25"/>
  <c r="I3090" i="25"/>
  <c r="I3089" i="25"/>
  <c r="I3088" i="25"/>
  <c r="I3086" i="25"/>
  <c r="I3085" i="25"/>
  <c r="I3084" i="25"/>
  <c r="I3083" i="25"/>
  <c r="I3082" i="25"/>
  <c r="I3081" i="25"/>
  <c r="I3080" i="25"/>
  <c r="I3079" i="25"/>
  <c r="I3078" i="25"/>
  <c r="I3077" i="25"/>
  <c r="I3076" i="25"/>
  <c r="I3075" i="25"/>
  <c r="I3074" i="25"/>
  <c r="I3073" i="25"/>
  <c r="I3072" i="25"/>
  <c r="I3071" i="25"/>
  <c r="I3070" i="25"/>
  <c r="I3069" i="25"/>
  <c r="I3068" i="25"/>
  <c r="I3067" i="25"/>
  <c r="I3066" i="25"/>
  <c r="I3065" i="25"/>
  <c r="I3064" i="25"/>
  <c r="I3063" i="25"/>
  <c r="I3062" i="25"/>
  <c r="I3061" i="25"/>
  <c r="I3060" i="25"/>
  <c r="I3059" i="25"/>
  <c r="I3058" i="25"/>
  <c r="I3057" i="25"/>
  <c r="I3056" i="25"/>
  <c r="I3054" i="25"/>
  <c r="I3053" i="25"/>
  <c r="I3052" i="25"/>
  <c r="I3051" i="25"/>
  <c r="I3050" i="25"/>
  <c r="I3049" i="25"/>
  <c r="I3048" i="25"/>
  <c r="I3047" i="25"/>
  <c r="I3046" i="25"/>
  <c r="I3045" i="25"/>
  <c r="I3044" i="25"/>
  <c r="I3043" i="25"/>
  <c r="I3042" i="25"/>
  <c r="I3041" i="25"/>
  <c r="I3040" i="25"/>
  <c r="I3039" i="25"/>
  <c r="I3038" i="25"/>
  <c r="I3037" i="25"/>
  <c r="I3036" i="25"/>
  <c r="I3035" i="25"/>
  <c r="I3034" i="25"/>
  <c r="I3033" i="25"/>
  <c r="I3032" i="25"/>
  <c r="I3031" i="25"/>
  <c r="I3030" i="25"/>
  <c r="I3029" i="25"/>
  <c r="I3028" i="25"/>
  <c r="I3027" i="25"/>
  <c r="I3026" i="25"/>
  <c r="I3025" i="25"/>
  <c r="I3024" i="25"/>
  <c r="I3023" i="25"/>
  <c r="I3022" i="25"/>
  <c r="I3021" i="25"/>
  <c r="I3020" i="25"/>
  <c r="I3019" i="25"/>
  <c r="I3018" i="25"/>
  <c r="I3017" i="25"/>
  <c r="I3016" i="25"/>
  <c r="I3015" i="25"/>
  <c r="I3014" i="25"/>
  <c r="I3013" i="25"/>
  <c r="I3012" i="25"/>
  <c r="I3011" i="25"/>
  <c r="I3010" i="25"/>
  <c r="I3009" i="25"/>
  <c r="I3008" i="25"/>
  <c r="I3007" i="25"/>
  <c r="I3006" i="25"/>
  <c r="I3005" i="25"/>
  <c r="I3004" i="25"/>
  <c r="I3003" i="25"/>
  <c r="I3002" i="25"/>
  <c r="I3001" i="25"/>
  <c r="I3000" i="25"/>
  <c r="I2999" i="25"/>
  <c r="I2996" i="25"/>
  <c r="I2995" i="25"/>
  <c r="I2994" i="25"/>
  <c r="I2993" i="25"/>
  <c r="I2992" i="25"/>
  <c r="I2991" i="25"/>
  <c r="I2990" i="25"/>
  <c r="I2989" i="25"/>
  <c r="I2988" i="25"/>
  <c r="I2987" i="25"/>
  <c r="I2986" i="25"/>
  <c r="I2985" i="25"/>
  <c r="I2984" i="25"/>
  <c r="I2982" i="25"/>
  <c r="I2981" i="25"/>
  <c r="I2980" i="25"/>
  <c r="I2979" i="25"/>
  <c r="I2978" i="25"/>
  <c r="I2977" i="25"/>
  <c r="I2976" i="25"/>
  <c r="I2975" i="25"/>
  <c r="I2974" i="25"/>
  <c r="I2973" i="25"/>
  <c r="I2972" i="25"/>
  <c r="I2970" i="25"/>
  <c r="I2969" i="25"/>
  <c r="I2968" i="25"/>
  <c r="I2967" i="25"/>
  <c r="I2966" i="25"/>
  <c r="I2965" i="25"/>
  <c r="I2964" i="25"/>
  <c r="I2963" i="25"/>
  <c r="I2962" i="25"/>
  <c r="I2961" i="25"/>
  <c r="I2960" i="25"/>
  <c r="I2959" i="25"/>
  <c r="I2958" i="25"/>
  <c r="I2957" i="25"/>
  <c r="I2956" i="25"/>
  <c r="I2955" i="25"/>
  <c r="I2954" i="25"/>
  <c r="I2953" i="25"/>
  <c r="I2952" i="25"/>
  <c r="I2951" i="25"/>
  <c r="I2950" i="25"/>
  <c r="I2949" i="25"/>
  <c r="I2948" i="25"/>
  <c r="I2947" i="25"/>
  <c r="I2946" i="25"/>
  <c r="I2945" i="25"/>
  <c r="I2944" i="25"/>
  <c r="I2943" i="25"/>
  <c r="I2942" i="25"/>
  <c r="I2941" i="25"/>
  <c r="I2940" i="25"/>
  <c r="I2939" i="25"/>
  <c r="I2938" i="25"/>
  <c r="I2937" i="25"/>
  <c r="I2936" i="25"/>
  <c r="I2935" i="25"/>
  <c r="I2934" i="25"/>
  <c r="I2933" i="25"/>
  <c r="I2932" i="25"/>
  <c r="I2931" i="25"/>
  <c r="I2930" i="25"/>
  <c r="I2929" i="25"/>
  <c r="I2928" i="25"/>
  <c r="I2927" i="25"/>
  <c r="I2926" i="25"/>
  <c r="I2925" i="25"/>
  <c r="I2924" i="25"/>
  <c r="I2923" i="25"/>
  <c r="I2922" i="25"/>
  <c r="I2921" i="25"/>
  <c r="I2920" i="25"/>
  <c r="I2919" i="25"/>
  <c r="I2918" i="25"/>
  <c r="I2917" i="25"/>
  <c r="I2916" i="25"/>
  <c r="I2915" i="25"/>
  <c r="I2914" i="25"/>
  <c r="I2913" i="25"/>
  <c r="I2912" i="25"/>
  <c r="I2911" i="25"/>
  <c r="I2910" i="25"/>
  <c r="I2909" i="25"/>
  <c r="I2908" i="25"/>
  <c r="I2907" i="25"/>
  <c r="I2906" i="25"/>
  <c r="I2905" i="25"/>
  <c r="I2904" i="25"/>
  <c r="I2903" i="25"/>
  <c r="I2902" i="25"/>
  <c r="I2901" i="25"/>
  <c r="I2900" i="25"/>
  <c r="I2899" i="25"/>
  <c r="I2898" i="25"/>
  <c r="I2897" i="25"/>
  <c r="I2896" i="25"/>
  <c r="I2895" i="25"/>
  <c r="I2894" i="25"/>
  <c r="I2893" i="25"/>
  <c r="I2892" i="25"/>
  <c r="I2891" i="25"/>
  <c r="I2890" i="25"/>
  <c r="I2889" i="25"/>
  <c r="I2888" i="25"/>
  <c r="I2887" i="25"/>
  <c r="I2886" i="25"/>
  <c r="I2885" i="25"/>
  <c r="I2884" i="25"/>
  <c r="I2883" i="25"/>
  <c r="I2882" i="25"/>
  <c r="I2881" i="25"/>
  <c r="I2880" i="25"/>
  <c r="I2879" i="25"/>
  <c r="I2878" i="25"/>
  <c r="I2877" i="25"/>
  <c r="I2876" i="25"/>
  <c r="I2875" i="25"/>
  <c r="I2874" i="25"/>
  <c r="I2873" i="25"/>
  <c r="I2872" i="25"/>
  <c r="I2871" i="25"/>
  <c r="I2870" i="25"/>
  <c r="I2869" i="25"/>
  <c r="I2868" i="25"/>
  <c r="I2866" i="25"/>
  <c r="I2865" i="25"/>
  <c r="I2864" i="25"/>
  <c r="I2863" i="25"/>
  <c r="I2862" i="25"/>
  <c r="I2861" i="25"/>
  <c r="I2860" i="25"/>
  <c r="I2859" i="25"/>
  <c r="I2858" i="25"/>
  <c r="I2857" i="25"/>
  <c r="I2856" i="25"/>
  <c r="I2855" i="25"/>
  <c r="I2854" i="25"/>
  <c r="I2853" i="25"/>
  <c r="I2852" i="25"/>
  <c r="I2851" i="25"/>
  <c r="I2850" i="25"/>
  <c r="I2849" i="25"/>
  <c r="I2848" i="25"/>
  <c r="I2847" i="25"/>
  <c r="I2846" i="25"/>
  <c r="I2845" i="25"/>
  <c r="I2844" i="25"/>
  <c r="I2843" i="25"/>
  <c r="I2842" i="25"/>
  <c r="I2841" i="25"/>
  <c r="I2840" i="25"/>
  <c r="I2839" i="25"/>
  <c r="I2838" i="25"/>
  <c r="I2837" i="25"/>
  <c r="I2836" i="25"/>
  <c r="I2835" i="25"/>
  <c r="I2834" i="25"/>
  <c r="I2833" i="25"/>
  <c r="I2832" i="25"/>
  <c r="I2831" i="25"/>
  <c r="I2830" i="25"/>
  <c r="I2829" i="25"/>
  <c r="I2828" i="25"/>
  <c r="I2827" i="25"/>
  <c r="I2826" i="25"/>
  <c r="I2825" i="25"/>
  <c r="I2824" i="25"/>
  <c r="I2823" i="25"/>
  <c r="I2822" i="25"/>
  <c r="I2821" i="25"/>
  <c r="I2820" i="25"/>
  <c r="I2819" i="25"/>
  <c r="I2818" i="25"/>
  <c r="I2817" i="25"/>
  <c r="I2816" i="25"/>
  <c r="I2815" i="25"/>
  <c r="I2814" i="25"/>
  <c r="I2813" i="25"/>
  <c r="I2812" i="25"/>
  <c r="I2811" i="25"/>
  <c r="I2810" i="25"/>
  <c r="I2809" i="25"/>
  <c r="I2808" i="25"/>
  <c r="I2807" i="25"/>
  <c r="I2806" i="25"/>
  <c r="I2805" i="25"/>
  <c r="I2804" i="25"/>
  <c r="I2803" i="25"/>
  <c r="I2802" i="25"/>
  <c r="I2801" i="25"/>
  <c r="I2800" i="25"/>
  <c r="I2799" i="25"/>
  <c r="I2798" i="25"/>
  <c r="I2797" i="25"/>
  <c r="I2796" i="25"/>
  <c r="I2795" i="25"/>
  <c r="I2794" i="25"/>
  <c r="I2793" i="25"/>
  <c r="I2792" i="25"/>
  <c r="I2791" i="25"/>
  <c r="I2790" i="25"/>
  <c r="I2789" i="25"/>
  <c r="I2788" i="25"/>
  <c r="I2787" i="25"/>
  <c r="I2786" i="25"/>
  <c r="I2785" i="25"/>
  <c r="I2784" i="25"/>
  <c r="I2783" i="25"/>
  <c r="I2782" i="25"/>
  <c r="I2781" i="25"/>
  <c r="I2780" i="25"/>
  <c r="I2779" i="25"/>
  <c r="I2778" i="25"/>
  <c r="I2777" i="25"/>
  <c r="I2776" i="25"/>
  <c r="I2775" i="25"/>
  <c r="I2774" i="25"/>
  <c r="I2773" i="25"/>
  <c r="I2772" i="25"/>
  <c r="I2771" i="25"/>
  <c r="I2770" i="25"/>
  <c r="I2769" i="25"/>
  <c r="I2768" i="25"/>
  <c r="I2767" i="25"/>
  <c r="I2766" i="25"/>
  <c r="I2765" i="25"/>
  <c r="I2764" i="25"/>
  <c r="I2763" i="25"/>
  <c r="I2762" i="25"/>
  <c r="I2761" i="25"/>
  <c r="I2760" i="25"/>
  <c r="I2759" i="25"/>
  <c r="I2758" i="25"/>
  <c r="I2757" i="25"/>
  <c r="I2756" i="25"/>
  <c r="I2755" i="25"/>
  <c r="I2754" i="25"/>
  <c r="I2753" i="25"/>
  <c r="I2752" i="25"/>
  <c r="I2751" i="25"/>
  <c r="I2750" i="25"/>
  <c r="I2749" i="25"/>
  <c r="I2748" i="25"/>
  <c r="I2747" i="25"/>
  <c r="I2746" i="25"/>
  <c r="I2745" i="25"/>
  <c r="I2744" i="25"/>
  <c r="I2743" i="25"/>
  <c r="I2742" i="25"/>
  <c r="I2741" i="25"/>
  <c r="I2740" i="25"/>
  <c r="I2739" i="25"/>
  <c r="I2738" i="25"/>
  <c r="I2737" i="25"/>
  <c r="I2736" i="25"/>
  <c r="I2735" i="25"/>
  <c r="I2734" i="25"/>
  <c r="I2733" i="25"/>
  <c r="I2732" i="25"/>
  <c r="I2731" i="25"/>
  <c r="I2730" i="25"/>
  <c r="I2729" i="25"/>
  <c r="I2728" i="25"/>
  <c r="I2727" i="25"/>
  <c r="I2726" i="25"/>
  <c r="I2725" i="25"/>
  <c r="I2724" i="25"/>
  <c r="I2723" i="25"/>
  <c r="I2722" i="25"/>
  <c r="I2721" i="25"/>
  <c r="I2720" i="25"/>
  <c r="I2719" i="25"/>
  <c r="I2718" i="25"/>
  <c r="I2717" i="25"/>
  <c r="I2716" i="25"/>
  <c r="I2715" i="25"/>
  <c r="I2714" i="25"/>
  <c r="I2713" i="25"/>
  <c r="I2712" i="25"/>
  <c r="I2711" i="25"/>
  <c r="I2710" i="25"/>
  <c r="I2709" i="25"/>
  <c r="I2708" i="25"/>
  <c r="I2707" i="25"/>
  <c r="I2706" i="25"/>
  <c r="I2705" i="25"/>
  <c r="I2704" i="25"/>
  <c r="I2703" i="25"/>
  <c r="I2702" i="25"/>
  <c r="I2701" i="25"/>
  <c r="I2700" i="25"/>
  <c r="I2699" i="25"/>
  <c r="I2698" i="25"/>
  <c r="I2697" i="25"/>
  <c r="I2696" i="25"/>
  <c r="I2695" i="25"/>
  <c r="I2694" i="25"/>
  <c r="I2693" i="25"/>
  <c r="I2692" i="25"/>
  <c r="I2691" i="25"/>
  <c r="I2690" i="25"/>
  <c r="I2689" i="25"/>
  <c r="I2688" i="25"/>
  <c r="I2687" i="25"/>
  <c r="I2686" i="25"/>
  <c r="I2685" i="25"/>
  <c r="I2684" i="25"/>
  <c r="I2683" i="25"/>
  <c r="I2682" i="25"/>
  <c r="I2681" i="25"/>
  <c r="I2680" i="25"/>
  <c r="I2679" i="25"/>
  <c r="I2678" i="25"/>
  <c r="I2677" i="25"/>
  <c r="I2676" i="25"/>
  <c r="I2675" i="25"/>
  <c r="I2674" i="25"/>
  <c r="I2673" i="25"/>
  <c r="I2672" i="25"/>
  <c r="I2671" i="25"/>
  <c r="I2670" i="25"/>
  <c r="I2669" i="25"/>
  <c r="I2668" i="25"/>
  <c r="I2667" i="25"/>
  <c r="I2666" i="25"/>
  <c r="I2665" i="25"/>
  <c r="I2664" i="25"/>
  <c r="I2663" i="25"/>
  <c r="I2662" i="25"/>
  <c r="I2661" i="25"/>
  <c r="I2660" i="25"/>
  <c r="I2659" i="25"/>
  <c r="I2658" i="25"/>
  <c r="I2657" i="25"/>
  <c r="I2656" i="25"/>
  <c r="I2655" i="25"/>
  <c r="I2654" i="25"/>
  <c r="I2653" i="25"/>
  <c r="I2652" i="25"/>
  <c r="I2651" i="25"/>
  <c r="I2650" i="25"/>
  <c r="I2649" i="25"/>
  <c r="I2648" i="25"/>
  <c r="I2647" i="25"/>
  <c r="I2646" i="25"/>
  <c r="I2645" i="25"/>
  <c r="I2644" i="25"/>
  <c r="I2643" i="25"/>
  <c r="I2642" i="25"/>
  <c r="I2641" i="25"/>
  <c r="I2640" i="25"/>
  <c r="I2639" i="25"/>
  <c r="I2638" i="25"/>
  <c r="I2637" i="25"/>
  <c r="I2636" i="25"/>
  <c r="I2635" i="25"/>
  <c r="I2634" i="25"/>
  <c r="I2633" i="25"/>
  <c r="I2632" i="25"/>
  <c r="I2631" i="25"/>
  <c r="I2630" i="25"/>
  <c r="I2629" i="25"/>
  <c r="I2628" i="25"/>
  <c r="I2627" i="25"/>
  <c r="I2626" i="25"/>
  <c r="I2625" i="25"/>
  <c r="I2624" i="25"/>
  <c r="I2623" i="25"/>
  <c r="I2622" i="25"/>
  <c r="I2621" i="25"/>
  <c r="I2620" i="25"/>
  <c r="I2619" i="25"/>
  <c r="I2618" i="25"/>
  <c r="I2617" i="25"/>
  <c r="I2616" i="25"/>
  <c r="I2615" i="25"/>
  <c r="I2614" i="25"/>
  <c r="I2613" i="25"/>
  <c r="I2612" i="25"/>
  <c r="I2611" i="25"/>
  <c r="I2610" i="25"/>
  <c r="I2609" i="25"/>
  <c r="I2608" i="25"/>
  <c r="I2607" i="25"/>
  <c r="I2606" i="25"/>
  <c r="I2605" i="25"/>
  <c r="I2604" i="25"/>
  <c r="I2603" i="25"/>
  <c r="I2602" i="25"/>
  <c r="I2601" i="25"/>
  <c r="I2600" i="25"/>
  <c r="I2599" i="25"/>
  <c r="I2598" i="25"/>
  <c r="I2597" i="25"/>
  <c r="I2596" i="25"/>
  <c r="I2595" i="25"/>
  <c r="I2594" i="25"/>
  <c r="I2593" i="25"/>
  <c r="I2592" i="25"/>
  <c r="I2591" i="25"/>
  <c r="I2590" i="25"/>
  <c r="I2589" i="25"/>
  <c r="I2588" i="25"/>
  <c r="I2587" i="25"/>
  <c r="I2586" i="25"/>
  <c r="I2585" i="25"/>
  <c r="I2584" i="25"/>
  <c r="I2583" i="25"/>
  <c r="I2582" i="25"/>
  <c r="I2581" i="25"/>
  <c r="I2580" i="25"/>
  <c r="I2579" i="25"/>
  <c r="I2578" i="25"/>
  <c r="I2577" i="25"/>
  <c r="I2576" i="25"/>
  <c r="I2575" i="25"/>
  <c r="I2574" i="25"/>
  <c r="I2573" i="25"/>
  <c r="I2572" i="25"/>
  <c r="I2571" i="25"/>
  <c r="I2570" i="25"/>
  <c r="I2569" i="25"/>
  <c r="I2568" i="25"/>
  <c r="I2567" i="25"/>
  <c r="I2566" i="25"/>
  <c r="I2565" i="25"/>
  <c r="I2564" i="25"/>
  <c r="I2563" i="25"/>
  <c r="I2562" i="25"/>
  <c r="I2561" i="25"/>
  <c r="I2560" i="25"/>
  <c r="I2559" i="25"/>
  <c r="I2558" i="25"/>
  <c r="I2557" i="25"/>
  <c r="I2556" i="25"/>
  <c r="I2555" i="25"/>
  <c r="I2554" i="25"/>
  <c r="I2553" i="25"/>
  <c r="I2552" i="25"/>
  <c r="I2551" i="25"/>
  <c r="I2550" i="25"/>
  <c r="I2549" i="25"/>
  <c r="I2548" i="25"/>
  <c r="I2547" i="25"/>
  <c r="I2546" i="25"/>
  <c r="I2545" i="25"/>
  <c r="I2544" i="25"/>
  <c r="I2543" i="25"/>
  <c r="I2542" i="25"/>
  <c r="I2541" i="25"/>
  <c r="I2540" i="25"/>
  <c r="I2539" i="25"/>
  <c r="I2538" i="25"/>
  <c r="I2537" i="25"/>
  <c r="I2536" i="25"/>
  <c r="I2535" i="25"/>
  <c r="I2534" i="25"/>
  <c r="I2533" i="25"/>
  <c r="I2532" i="25"/>
  <c r="I2531" i="25"/>
  <c r="I2530" i="25"/>
  <c r="I2529" i="25"/>
  <c r="I2528" i="25"/>
  <c r="I2527" i="25"/>
  <c r="I2526" i="25"/>
  <c r="I2525" i="25"/>
  <c r="I2524" i="25"/>
  <c r="I2523" i="25"/>
  <c r="I2522" i="25"/>
  <c r="I2521" i="25"/>
  <c r="I2520" i="25"/>
  <c r="I2519" i="25"/>
  <c r="I2518" i="25"/>
  <c r="I2517" i="25"/>
  <c r="I2516" i="25"/>
  <c r="I2515" i="25"/>
  <c r="I2514" i="25"/>
  <c r="I2513" i="25"/>
  <c r="I2512" i="25"/>
  <c r="I2511" i="25"/>
  <c r="I2510" i="25"/>
  <c r="I2509" i="25"/>
  <c r="I2508" i="25"/>
  <c r="I2507" i="25"/>
  <c r="I2506" i="25"/>
  <c r="I2505" i="25"/>
  <c r="I2504" i="25"/>
  <c r="I2503" i="25"/>
  <c r="I2502" i="25"/>
  <c r="I2501" i="25"/>
  <c r="I2500" i="25"/>
  <c r="I2499" i="25"/>
  <c r="I2498" i="25"/>
  <c r="I2497" i="25"/>
  <c r="I2496" i="25"/>
  <c r="I2495" i="25"/>
  <c r="I2494" i="25"/>
  <c r="I2493" i="25"/>
  <c r="I2492" i="25"/>
  <c r="I2491" i="25"/>
  <c r="I2490" i="25"/>
  <c r="I2489" i="25"/>
  <c r="I2488" i="25"/>
  <c r="I2487" i="25"/>
  <c r="I2486" i="25"/>
  <c r="I2485" i="25"/>
  <c r="I2484" i="25"/>
  <c r="I2483" i="25"/>
  <c r="I2482" i="25"/>
  <c r="I2481" i="25"/>
  <c r="I2480" i="25"/>
  <c r="I2479" i="25"/>
  <c r="I2478" i="25"/>
  <c r="I2477" i="25"/>
  <c r="I2476" i="25"/>
  <c r="I2475" i="25"/>
  <c r="I2474" i="25"/>
  <c r="I2473" i="25"/>
  <c r="I2472" i="25"/>
  <c r="I2471" i="25"/>
  <c r="I2470" i="25"/>
  <c r="I2469" i="25"/>
  <c r="I2468" i="25"/>
  <c r="I2467" i="25"/>
  <c r="I2466" i="25"/>
  <c r="I2465" i="25"/>
  <c r="I2464" i="25"/>
  <c r="I2463" i="25"/>
  <c r="I2462" i="25"/>
  <c r="I2461" i="25"/>
  <c r="I2460" i="25"/>
  <c r="I2459" i="25"/>
  <c r="I2458" i="25"/>
  <c r="I2457" i="25"/>
  <c r="I2456" i="25"/>
  <c r="I2455" i="25"/>
  <c r="I2454" i="25"/>
  <c r="I2453" i="25"/>
  <c r="I2452" i="25"/>
  <c r="I2451" i="25"/>
  <c r="I2450" i="25"/>
  <c r="I2449" i="25"/>
  <c r="I2448" i="25"/>
  <c r="I2447" i="25"/>
  <c r="I2446" i="25"/>
  <c r="I2445" i="25"/>
  <c r="I2444" i="25"/>
  <c r="I2443" i="25"/>
  <c r="I2442" i="25"/>
  <c r="I2441" i="25"/>
  <c r="I2440" i="25"/>
  <c r="I2439" i="25"/>
  <c r="I2438" i="25"/>
  <c r="I2437" i="25"/>
  <c r="I2436" i="25"/>
  <c r="I2435" i="25"/>
  <c r="I2434" i="25"/>
  <c r="I2433" i="25"/>
  <c r="I2432" i="25"/>
  <c r="I2431" i="25"/>
  <c r="I2430" i="25"/>
  <c r="I2429" i="25"/>
  <c r="I2428" i="25"/>
  <c r="I2427" i="25"/>
  <c r="I2426" i="25"/>
  <c r="I2425" i="25"/>
  <c r="I2424" i="25"/>
  <c r="I2423" i="25"/>
  <c r="I2422" i="25"/>
  <c r="I2421" i="25"/>
  <c r="I2420" i="25"/>
  <c r="I2419" i="25"/>
  <c r="I2418" i="25"/>
  <c r="I2417" i="25"/>
  <c r="I2416" i="25"/>
  <c r="I2415" i="25"/>
  <c r="I2414" i="25"/>
  <c r="I2413" i="25"/>
  <c r="I2412" i="25"/>
  <c r="I2411" i="25"/>
  <c r="I2410" i="25"/>
  <c r="I2409" i="25"/>
  <c r="I2408" i="25"/>
  <c r="I2407" i="25"/>
  <c r="I2406" i="25"/>
  <c r="I2405" i="25"/>
  <c r="I2404" i="25"/>
  <c r="I2403" i="25"/>
  <c r="I2402" i="25"/>
  <c r="I2401" i="25"/>
  <c r="I2400" i="25"/>
  <c r="I2399" i="25"/>
  <c r="I2398" i="25"/>
  <c r="I2397" i="25"/>
  <c r="I2396" i="25"/>
  <c r="I2395" i="25"/>
  <c r="I2394" i="25"/>
  <c r="I2393" i="25"/>
  <c r="I2392" i="25"/>
  <c r="I2390" i="25"/>
  <c r="I2389" i="25"/>
  <c r="I2388" i="25"/>
  <c r="I2387" i="25"/>
  <c r="I2386" i="25"/>
  <c r="I2385" i="25"/>
  <c r="I2384" i="25"/>
  <c r="I2383" i="25"/>
  <c r="I2382" i="25"/>
  <c r="I2381" i="25"/>
  <c r="I2380" i="25"/>
  <c r="I2379" i="25"/>
  <c r="I2378" i="25"/>
  <c r="I2377" i="25"/>
  <c r="I2376" i="25"/>
  <c r="I2375" i="25"/>
  <c r="I2374" i="25"/>
  <c r="I2373" i="25"/>
  <c r="I2372" i="25"/>
  <c r="I2371" i="25"/>
  <c r="I2370" i="25"/>
  <c r="I2369" i="25"/>
  <c r="I2368" i="25"/>
  <c r="I2367" i="25"/>
  <c r="I2366" i="25"/>
  <c r="I2365" i="25"/>
  <c r="I2364" i="25"/>
  <c r="I2363" i="25"/>
  <c r="I2362" i="25"/>
  <c r="I2361" i="25"/>
  <c r="I2360" i="25"/>
  <c r="I2359" i="25"/>
  <c r="I2358" i="25"/>
  <c r="I2357" i="25"/>
  <c r="I2356" i="25"/>
  <c r="I2355" i="25"/>
  <c r="I2354" i="25"/>
  <c r="I2353" i="25"/>
  <c r="I2352" i="25"/>
  <c r="I2351" i="25"/>
  <c r="I2350" i="25"/>
  <c r="I2349" i="25"/>
  <c r="I2348" i="25"/>
  <c r="I2347" i="25"/>
  <c r="I2346" i="25"/>
  <c r="I2345" i="25"/>
  <c r="I2344" i="25"/>
  <c r="I2343" i="25"/>
  <c r="I2342" i="25"/>
  <c r="I2341" i="25"/>
  <c r="I2340" i="25"/>
  <c r="I2339" i="25"/>
  <c r="I2338" i="25"/>
  <c r="I2337" i="25"/>
  <c r="I2336" i="25"/>
  <c r="I2335" i="25"/>
  <c r="I2334" i="25"/>
  <c r="I2333" i="25"/>
  <c r="I2332" i="25"/>
  <c r="I2331" i="25"/>
  <c r="I2330" i="25"/>
  <c r="I2329" i="25"/>
  <c r="I2328" i="25"/>
  <c r="I2327" i="25"/>
  <c r="I2326" i="25"/>
  <c r="I2325" i="25"/>
  <c r="I2324" i="25"/>
  <c r="I2323" i="25"/>
  <c r="I2322" i="25"/>
  <c r="I2321" i="25"/>
  <c r="I2320" i="25"/>
  <c r="I2319" i="25"/>
  <c r="I2318" i="25"/>
  <c r="I2317" i="25"/>
  <c r="I2316" i="25"/>
  <c r="I2315" i="25"/>
  <c r="I2314" i="25"/>
  <c r="I2313" i="25"/>
  <c r="I2312" i="25"/>
  <c r="I2311" i="25"/>
  <c r="I2310" i="25"/>
  <c r="I2309" i="25"/>
  <c r="I2308" i="25"/>
  <c r="I2307" i="25"/>
  <c r="I2306" i="25"/>
  <c r="I2305" i="25"/>
  <c r="I2304" i="25"/>
  <c r="I2303" i="25"/>
  <c r="I2302" i="25"/>
  <c r="I2301" i="25"/>
  <c r="I2299" i="25"/>
  <c r="I2298" i="25"/>
  <c r="I2297" i="25"/>
  <c r="I2296" i="25"/>
  <c r="I2295" i="25"/>
  <c r="I2294" i="25"/>
  <c r="I2293" i="25"/>
  <c r="I2292" i="25"/>
  <c r="I2291" i="25"/>
  <c r="I2290" i="25"/>
  <c r="I2289" i="25"/>
  <c r="I2288" i="25"/>
  <c r="I2287" i="25"/>
  <c r="I2286" i="25"/>
  <c r="I2285" i="25"/>
  <c r="I2284" i="25"/>
  <c r="I2283" i="25"/>
  <c r="I2282" i="25"/>
  <c r="I2281" i="25"/>
  <c r="I2280" i="25"/>
  <c r="I2279" i="25"/>
  <c r="I2278" i="25"/>
  <c r="I2277" i="25"/>
  <c r="I2276" i="25"/>
  <c r="I2275" i="25"/>
  <c r="I2274" i="25"/>
  <c r="I2273" i="25"/>
  <c r="I2272" i="25"/>
  <c r="I2271" i="25"/>
  <c r="I2270" i="25"/>
  <c r="I2269" i="25"/>
  <c r="I2268" i="25"/>
  <c r="I2267" i="25"/>
  <c r="I2266" i="25"/>
  <c r="I2265" i="25"/>
  <c r="I2264" i="25"/>
  <c r="I2263" i="25"/>
  <c r="I2262" i="25"/>
  <c r="I2261" i="25"/>
  <c r="I2260" i="25"/>
  <c r="I2259" i="25"/>
  <c r="I2258" i="25"/>
  <c r="I2257" i="25"/>
  <c r="I2256" i="25"/>
  <c r="I2255" i="25"/>
  <c r="I2254" i="25"/>
  <c r="I2253" i="25"/>
  <c r="I2252" i="25"/>
  <c r="I2251" i="25"/>
  <c r="I2250" i="25"/>
  <c r="I2249" i="25"/>
  <c r="I2248" i="25"/>
  <c r="I2247" i="25"/>
  <c r="I2246" i="25"/>
  <c r="I2245" i="25"/>
  <c r="I2244" i="25"/>
  <c r="I2243" i="25"/>
  <c r="I2242" i="25"/>
  <c r="I2241" i="25"/>
  <c r="I2240" i="25"/>
  <c r="I2239" i="25"/>
  <c r="I2237" i="25"/>
  <c r="I2236" i="25"/>
  <c r="I2235" i="25"/>
  <c r="I2234" i="25"/>
  <c r="I2233" i="25"/>
  <c r="I2232" i="25"/>
  <c r="I2231" i="25"/>
  <c r="I2230" i="25"/>
  <c r="I2229" i="25"/>
  <c r="I2228" i="25"/>
  <c r="I2227" i="25"/>
  <c r="I2226" i="25"/>
  <c r="I2225" i="25"/>
  <c r="I2224" i="25"/>
  <c r="I2223" i="25"/>
  <c r="I2222" i="25"/>
  <c r="I2221" i="25"/>
  <c r="I2220" i="25"/>
  <c r="I2219" i="25"/>
  <c r="I2218" i="25"/>
  <c r="I2217" i="25"/>
  <c r="I2216" i="25"/>
  <c r="I2215" i="25"/>
  <c r="I2214" i="25"/>
  <c r="I2213" i="25"/>
  <c r="I2212" i="25"/>
  <c r="I2210" i="25"/>
  <c r="I2209" i="25"/>
  <c r="I2208" i="25"/>
  <c r="I2207" i="25"/>
  <c r="I2206" i="25"/>
  <c r="I2205" i="25"/>
  <c r="I2204" i="25"/>
  <c r="I2203" i="25"/>
  <c r="I2202" i="25"/>
  <c r="I2201" i="25"/>
  <c r="I2200" i="25"/>
  <c r="I2199" i="25"/>
  <c r="I2198" i="25"/>
  <c r="I2197" i="25"/>
  <c r="I2196" i="25"/>
  <c r="I2195" i="25"/>
  <c r="I2194" i="25"/>
  <c r="I2193" i="25"/>
  <c r="I2192" i="25"/>
  <c r="I2191" i="25"/>
  <c r="I2190" i="25"/>
  <c r="I2189" i="25"/>
  <c r="I2188" i="25"/>
  <c r="I2187" i="25"/>
  <c r="I2186" i="25"/>
  <c r="I2185" i="25"/>
  <c r="I2184" i="25"/>
  <c r="I2183" i="25"/>
  <c r="I2182" i="25"/>
  <c r="I2180" i="25"/>
  <c r="I2179" i="25"/>
  <c r="I2178" i="25"/>
  <c r="I2177" i="25"/>
  <c r="I2176" i="25"/>
  <c r="I2175" i="25"/>
  <c r="I2174" i="25"/>
  <c r="I2173" i="25"/>
  <c r="I2172" i="25"/>
  <c r="I2171" i="25"/>
  <c r="I2170" i="25"/>
  <c r="I2169" i="25"/>
  <c r="I2168" i="25"/>
  <c r="I2167" i="25"/>
  <c r="I2165" i="25"/>
  <c r="I2164" i="25"/>
  <c r="I2163" i="25"/>
  <c r="I2162" i="25"/>
  <c r="I2161" i="25"/>
  <c r="I2160" i="25"/>
  <c r="I2159" i="25"/>
  <c r="I2158" i="25"/>
  <c r="I2157" i="25"/>
  <c r="I2156" i="25"/>
  <c r="I2155" i="25"/>
  <c r="I2153" i="25"/>
  <c r="I2152" i="25"/>
  <c r="I2151" i="25"/>
  <c r="I2150" i="25"/>
  <c r="I2149" i="25"/>
  <c r="I2148" i="25"/>
  <c r="I2147" i="25"/>
  <c r="I2146" i="25"/>
  <c r="I2145" i="25"/>
  <c r="I2144" i="25"/>
  <c r="I2143" i="25"/>
  <c r="I2142" i="25"/>
  <c r="I2141" i="25"/>
  <c r="I2140" i="25"/>
  <c r="I2139" i="25"/>
  <c r="I2138" i="25"/>
  <c r="I2137" i="25"/>
  <c r="I2136" i="25"/>
  <c r="I2135" i="25"/>
  <c r="I2134" i="25"/>
  <c r="I2133" i="25"/>
  <c r="I2132" i="25"/>
  <c r="I2131" i="25"/>
  <c r="I2130" i="25"/>
  <c r="I2129" i="25"/>
  <c r="I2128" i="25"/>
  <c r="I2127" i="25"/>
  <c r="I2126" i="25"/>
  <c r="I2125" i="25"/>
  <c r="I2124" i="25"/>
  <c r="I2123" i="25"/>
  <c r="I2122" i="25"/>
  <c r="I2121" i="25"/>
  <c r="I2120" i="25"/>
  <c r="I2119" i="25"/>
  <c r="I2118" i="25"/>
  <c r="I2117" i="25"/>
  <c r="I2116" i="25"/>
  <c r="I2115" i="25"/>
  <c r="I2114" i="25"/>
  <c r="I2113" i="25"/>
  <c r="I2112" i="25"/>
  <c r="I2111" i="25"/>
  <c r="I2110" i="25"/>
  <c r="I2109" i="25"/>
  <c r="I2108" i="25"/>
  <c r="I2107" i="25"/>
  <c r="I2106" i="25"/>
  <c r="I2105" i="25"/>
  <c r="I2104" i="25"/>
  <c r="I2103" i="25"/>
  <c r="I2102" i="25"/>
  <c r="I2101" i="25"/>
  <c r="I2100" i="25"/>
  <c r="I2099" i="25"/>
  <c r="I2098" i="25"/>
  <c r="I2097" i="25"/>
  <c r="I2096" i="25"/>
  <c r="I2095" i="25"/>
  <c r="I2094" i="25"/>
  <c r="I2093" i="25"/>
  <c r="I2092" i="25"/>
  <c r="I2091" i="25"/>
  <c r="I2090" i="25"/>
  <c r="I2089" i="25"/>
  <c r="I2088" i="25"/>
  <c r="I2087" i="25"/>
  <c r="I2086" i="25"/>
  <c r="I2085" i="25"/>
  <c r="I2084" i="25"/>
  <c r="I2083" i="25"/>
  <c r="I2082" i="25"/>
  <c r="I2081" i="25"/>
  <c r="I2080" i="25"/>
  <c r="I2079" i="25"/>
  <c r="I2078" i="25"/>
  <c r="I2077" i="25"/>
  <c r="I2076" i="25"/>
  <c r="I2075" i="25"/>
  <c r="I2074" i="25"/>
  <c r="I2073" i="25"/>
  <c r="I2072" i="25"/>
  <c r="I2071" i="25"/>
  <c r="I2070" i="25"/>
  <c r="I2069" i="25"/>
  <c r="I2068" i="25"/>
  <c r="I2067" i="25"/>
  <c r="I2066" i="25"/>
  <c r="I2065" i="25"/>
  <c r="I2064" i="25"/>
  <c r="I2063" i="25"/>
  <c r="I2062" i="25"/>
  <c r="I2061" i="25"/>
  <c r="I2060" i="25"/>
  <c r="I2059" i="25"/>
  <c r="I2058" i="25"/>
  <c r="I2057" i="25"/>
  <c r="I2056" i="25"/>
  <c r="I2055" i="25"/>
  <c r="I2054" i="25"/>
  <c r="I2053" i="25"/>
  <c r="I2052" i="25"/>
  <c r="I2051" i="25"/>
  <c r="I2049" i="25"/>
  <c r="I2048" i="25"/>
  <c r="I2047" i="25"/>
  <c r="I2046" i="25"/>
  <c r="I2045" i="25"/>
  <c r="I2044" i="25"/>
  <c r="I2043" i="25"/>
  <c r="I2042" i="25"/>
  <c r="I2041" i="25"/>
  <c r="I2040" i="25"/>
  <c r="I2039" i="25"/>
  <c r="I2038" i="25"/>
  <c r="I2037" i="25"/>
  <c r="I2036" i="25"/>
  <c r="I2035" i="25"/>
  <c r="I2034" i="25"/>
  <c r="I2033" i="25"/>
  <c r="I2032" i="25"/>
  <c r="I2031" i="25"/>
  <c r="I2030" i="25"/>
  <c r="I2029" i="25"/>
  <c r="I2028" i="25"/>
  <c r="I2027" i="25"/>
  <c r="I2026" i="25"/>
  <c r="I2025" i="25"/>
  <c r="I2024" i="25"/>
  <c r="I2023" i="25"/>
  <c r="I2022" i="25"/>
  <c r="I2021" i="25"/>
  <c r="I2020" i="25"/>
  <c r="I2019" i="25"/>
  <c r="I2018" i="25"/>
  <c r="I2017" i="25"/>
  <c r="I2016" i="25"/>
  <c r="I2015" i="25"/>
  <c r="I2014" i="25"/>
  <c r="I2013" i="25"/>
  <c r="I2012" i="25"/>
  <c r="I2011" i="25"/>
  <c r="I2010" i="25"/>
  <c r="I2009" i="25"/>
  <c r="I2008" i="25"/>
  <c r="I2007" i="25"/>
  <c r="I2006" i="25"/>
  <c r="I2005" i="25"/>
  <c r="I2004" i="25"/>
  <c r="I2003" i="25"/>
  <c r="I2002" i="25"/>
  <c r="I2001" i="25"/>
  <c r="I2000" i="25"/>
  <c r="I1999" i="25"/>
  <c r="I1998" i="25"/>
  <c r="I1997" i="25"/>
  <c r="I1996" i="25"/>
  <c r="I1995" i="25"/>
  <c r="I1994" i="25"/>
  <c r="I1993" i="25"/>
  <c r="I1992" i="25"/>
  <c r="I1991" i="25"/>
  <c r="I1990" i="25"/>
  <c r="I1989" i="25"/>
  <c r="I1988" i="25"/>
  <c r="I1987" i="25"/>
  <c r="I1986" i="25"/>
  <c r="I1985" i="25"/>
  <c r="I1984" i="25"/>
  <c r="I1983" i="25"/>
  <c r="I1982" i="25"/>
  <c r="I1981" i="25"/>
  <c r="I1980" i="25"/>
  <c r="I1979" i="25"/>
  <c r="I1978" i="25"/>
  <c r="I1977" i="25"/>
  <c r="I1976" i="25"/>
  <c r="I1975" i="25"/>
  <c r="I1974" i="25"/>
  <c r="I1973" i="25"/>
  <c r="I1972" i="25"/>
  <c r="I1971" i="25"/>
  <c r="I1970" i="25"/>
  <c r="I1969" i="25"/>
  <c r="I1968" i="25"/>
  <c r="I1967" i="25"/>
  <c r="I1966" i="25"/>
  <c r="I1965" i="25"/>
  <c r="I1964" i="25"/>
  <c r="I1963" i="25"/>
  <c r="I1962" i="25"/>
  <c r="I1961" i="25"/>
  <c r="I1960" i="25"/>
  <c r="I1959" i="25"/>
  <c r="I1958" i="25"/>
  <c r="I1957" i="25"/>
  <c r="I1956" i="25"/>
  <c r="I1955" i="25"/>
  <c r="I1954" i="25"/>
  <c r="I1953" i="25"/>
  <c r="I1952" i="25"/>
  <c r="I1951" i="25"/>
  <c r="I1950" i="25"/>
  <c r="I1949" i="25"/>
  <c r="I1948" i="25"/>
  <c r="I1947" i="25"/>
  <c r="I1946" i="25"/>
  <c r="I1945" i="25"/>
  <c r="I1944" i="25"/>
  <c r="I1943" i="25"/>
  <c r="I1942" i="25"/>
  <c r="I1941" i="25"/>
  <c r="I1940" i="25"/>
  <c r="I1939" i="25"/>
  <c r="I1938" i="25"/>
  <c r="I1937" i="25"/>
  <c r="I1936" i="25"/>
  <c r="I1935" i="25"/>
  <c r="I1934" i="25"/>
  <c r="I1933" i="25"/>
  <c r="I1932" i="25"/>
  <c r="I1931" i="25"/>
  <c r="I1930" i="25"/>
  <c r="I1929" i="25"/>
  <c r="I1928" i="25"/>
  <c r="I1927" i="25"/>
  <c r="I1926" i="25"/>
  <c r="I1925" i="25"/>
  <c r="I1924" i="25"/>
  <c r="I1923" i="25"/>
  <c r="I1922" i="25"/>
  <c r="I1921" i="25"/>
  <c r="I1920" i="25"/>
  <c r="I1919" i="25"/>
  <c r="I1918" i="25"/>
  <c r="I1917" i="25"/>
  <c r="I1916" i="25"/>
  <c r="I1915" i="25"/>
  <c r="I1914" i="25"/>
  <c r="I1913" i="25"/>
  <c r="I1912" i="25"/>
  <c r="I1911" i="25"/>
  <c r="I1910" i="25"/>
  <c r="I1909" i="25"/>
  <c r="I1908" i="25"/>
  <c r="I1907" i="25"/>
  <c r="I1906" i="25"/>
  <c r="I1905" i="25"/>
  <c r="I1904" i="25"/>
  <c r="I1903" i="25"/>
  <c r="I1902" i="25"/>
  <c r="I1901" i="25"/>
  <c r="I1900" i="25"/>
  <c r="I1899" i="25"/>
  <c r="I1898" i="25"/>
  <c r="I1897" i="25"/>
  <c r="I1896" i="25"/>
  <c r="I1895" i="25"/>
  <c r="I1894" i="25"/>
  <c r="I1893" i="25"/>
  <c r="I1892" i="25"/>
  <c r="I1891" i="25"/>
  <c r="I1890" i="25"/>
  <c r="I1889" i="25"/>
  <c r="I1888" i="25"/>
  <c r="I1887" i="25"/>
  <c r="I1886" i="25"/>
  <c r="I1885" i="25"/>
  <c r="I1884" i="25"/>
  <c r="I1883" i="25"/>
  <c r="I1882" i="25"/>
  <c r="I1881" i="25"/>
  <c r="I1880" i="25"/>
  <c r="I1879" i="25"/>
  <c r="I1878" i="25"/>
  <c r="I1877" i="25"/>
  <c r="I1876" i="25"/>
  <c r="I1875" i="25"/>
  <c r="I1874" i="25"/>
  <c r="I1873" i="25"/>
  <c r="I1872" i="25"/>
  <c r="I1871" i="25"/>
  <c r="I1870" i="25"/>
  <c r="I1869" i="25"/>
  <c r="I1868" i="25"/>
  <c r="I1867" i="25"/>
  <c r="I1866" i="25"/>
  <c r="I1865" i="25"/>
  <c r="I1864" i="25"/>
  <c r="I1863" i="25"/>
  <c r="I1862" i="25"/>
  <c r="I1861" i="25"/>
  <c r="I1860" i="25"/>
  <c r="I1859" i="25"/>
  <c r="I1858" i="25"/>
  <c r="I1857" i="25"/>
  <c r="I1856" i="25"/>
  <c r="I1855" i="25"/>
  <c r="I1854" i="25"/>
  <c r="I1853" i="25"/>
  <c r="I1852" i="25"/>
  <c r="I1851" i="25"/>
  <c r="I1850" i="25"/>
  <c r="I1849" i="25"/>
  <c r="I1848" i="25"/>
  <c r="I1847" i="25"/>
  <c r="I1846" i="25"/>
  <c r="I1845" i="25"/>
  <c r="I1844" i="25"/>
  <c r="I1843" i="25"/>
  <c r="I1842" i="25"/>
  <c r="I1841" i="25"/>
  <c r="I1840" i="25"/>
  <c r="I1839" i="25"/>
  <c r="I1838" i="25"/>
  <c r="I1837" i="25"/>
  <c r="I1836" i="25"/>
  <c r="I1835" i="25"/>
  <c r="I1834" i="25"/>
  <c r="I1833" i="25"/>
  <c r="I1832" i="25"/>
  <c r="I1831" i="25"/>
  <c r="I1830" i="25"/>
  <c r="I1829" i="25"/>
  <c r="I1828" i="25"/>
  <c r="I1827" i="25"/>
  <c r="I1826" i="25"/>
  <c r="I1825" i="25"/>
  <c r="I1824" i="25"/>
  <c r="I1823" i="25"/>
  <c r="I1822" i="25"/>
  <c r="I1821" i="25"/>
  <c r="I1820" i="25"/>
  <c r="I1819" i="25"/>
  <c r="I1818" i="25"/>
  <c r="I1817" i="25"/>
  <c r="I1816" i="25"/>
  <c r="I1815" i="25"/>
  <c r="I1814" i="25"/>
  <c r="I1813" i="25"/>
  <c r="I1812" i="25"/>
  <c r="I1811" i="25"/>
  <c r="I1810" i="25"/>
  <c r="I1809" i="25"/>
  <c r="I1808" i="25"/>
  <c r="I1807" i="25"/>
  <c r="I1806" i="25"/>
  <c r="I1805" i="25"/>
  <c r="I1804" i="25"/>
  <c r="I1803" i="25"/>
  <c r="I1802" i="25"/>
  <c r="I1801" i="25"/>
  <c r="I1800" i="25"/>
  <c r="I1799" i="25"/>
  <c r="I1798" i="25"/>
  <c r="I1797" i="25"/>
  <c r="I1796" i="25"/>
  <c r="I1795" i="25"/>
  <c r="I1794" i="25"/>
  <c r="I1793" i="25"/>
  <c r="I1792" i="25"/>
  <c r="I1791" i="25"/>
  <c r="I1790" i="25"/>
  <c r="I1789" i="25"/>
  <c r="I1788" i="25"/>
  <c r="I1787" i="25"/>
  <c r="I1786" i="25"/>
  <c r="I1785" i="25"/>
  <c r="I1784" i="25"/>
  <c r="I1783" i="25"/>
  <c r="I1782" i="25"/>
  <c r="I1781" i="25"/>
  <c r="I1780" i="25"/>
  <c r="I1779" i="25"/>
  <c r="I1778" i="25"/>
  <c r="I1777" i="25"/>
  <c r="I1776" i="25"/>
  <c r="I1775" i="25"/>
  <c r="I1774" i="25"/>
  <c r="I1773" i="25"/>
  <c r="I1772" i="25"/>
  <c r="I1771" i="25"/>
  <c r="I1770" i="25"/>
  <c r="I1769" i="25"/>
  <c r="I1768" i="25"/>
  <c r="I1767" i="25"/>
  <c r="I1766" i="25"/>
  <c r="I1765" i="25"/>
  <c r="I1764" i="25"/>
  <c r="I1763" i="25"/>
  <c r="I1762" i="25"/>
  <c r="I1761" i="25"/>
  <c r="I1760" i="25"/>
  <c r="I1759" i="25"/>
  <c r="I1758" i="25"/>
  <c r="I1757" i="25"/>
  <c r="I1756" i="25"/>
  <c r="I1755" i="25"/>
  <c r="I1754" i="25"/>
  <c r="I1753" i="25"/>
  <c r="I1752" i="25"/>
  <c r="I1751" i="25"/>
  <c r="I1750" i="25"/>
  <c r="I1749" i="25"/>
  <c r="I1748" i="25"/>
  <c r="I1747" i="25"/>
  <c r="I1746" i="25"/>
  <c r="I1745" i="25"/>
  <c r="I1744" i="25"/>
  <c r="I1743" i="25"/>
  <c r="I1742" i="25"/>
  <c r="I1741" i="25"/>
  <c r="I1740" i="25"/>
  <c r="I1739" i="25"/>
  <c r="I1738" i="25"/>
  <c r="I1737" i="25"/>
  <c r="I1736" i="25"/>
  <c r="I1735" i="25"/>
  <c r="I1734" i="25"/>
  <c r="I1733" i="25"/>
  <c r="I1732" i="25"/>
  <c r="I1731" i="25"/>
  <c r="I1730" i="25"/>
  <c r="I1729" i="25"/>
  <c r="I1728" i="25"/>
  <c r="I1727" i="25"/>
  <c r="I1726" i="25"/>
  <c r="I1725" i="25"/>
  <c r="I1724" i="25"/>
  <c r="I1723" i="25"/>
  <c r="I1722" i="25"/>
  <c r="I1721" i="25"/>
  <c r="I1720" i="25"/>
  <c r="I1719" i="25"/>
  <c r="I1718" i="25"/>
  <c r="I1717" i="25"/>
  <c r="I1716" i="25"/>
  <c r="I1715" i="25"/>
  <c r="I1714" i="25"/>
  <c r="I1713" i="25"/>
  <c r="I1712" i="25"/>
  <c r="I1711" i="25"/>
  <c r="I1710" i="25"/>
  <c r="I1709" i="25"/>
  <c r="I1708" i="25"/>
  <c r="I1707" i="25"/>
  <c r="I1706" i="25"/>
  <c r="I1705" i="25"/>
  <c r="I1704" i="25"/>
  <c r="I1703" i="25"/>
  <c r="I1702" i="25"/>
  <c r="I1701" i="25"/>
  <c r="I1700" i="25"/>
  <c r="I1699" i="25"/>
  <c r="I1698" i="25"/>
  <c r="I1697" i="25"/>
  <c r="I1696" i="25"/>
  <c r="I1695" i="25"/>
  <c r="I1694" i="25"/>
  <c r="I1693" i="25"/>
  <c r="I1692" i="25"/>
  <c r="I1691" i="25"/>
  <c r="I1690" i="25"/>
  <c r="I1689" i="25"/>
  <c r="I1688" i="25"/>
  <c r="I1687" i="25"/>
  <c r="I1686" i="25"/>
  <c r="I1685" i="25"/>
  <c r="I1684" i="25"/>
  <c r="I1683" i="25"/>
  <c r="I1682" i="25"/>
  <c r="I1681" i="25"/>
  <c r="I1680" i="25"/>
  <c r="I1679" i="25"/>
  <c r="I1678" i="25"/>
  <c r="I1677" i="25"/>
  <c r="I1676" i="25"/>
  <c r="I1675" i="25"/>
  <c r="I1674" i="25"/>
  <c r="I1673" i="25"/>
  <c r="I1672" i="25"/>
  <c r="I1671" i="25"/>
  <c r="I1670" i="25"/>
  <c r="I1669" i="25"/>
  <c r="I1668" i="25"/>
  <c r="I1667" i="25"/>
  <c r="I1666" i="25"/>
  <c r="I1665" i="25"/>
  <c r="I1664" i="25"/>
  <c r="I1663" i="25"/>
  <c r="I1662" i="25"/>
  <c r="I1661" i="25"/>
  <c r="I1660" i="25"/>
  <c r="I1659" i="25"/>
  <c r="I1658" i="25"/>
  <c r="I1657" i="25"/>
  <c r="I1656" i="25"/>
  <c r="I1655" i="25"/>
  <c r="I1654" i="25"/>
  <c r="I1653" i="25"/>
  <c r="I1652" i="25"/>
  <c r="I1651" i="25"/>
  <c r="I1650" i="25"/>
  <c r="I1649" i="25"/>
  <c r="I1648" i="25"/>
  <c r="I1647" i="25"/>
  <c r="I1646" i="25"/>
  <c r="I1645" i="25"/>
  <c r="I1644" i="25"/>
  <c r="I1643" i="25"/>
  <c r="I1642" i="25"/>
  <c r="I1641" i="25"/>
  <c r="I1640" i="25"/>
  <c r="I1639" i="25"/>
  <c r="I1638" i="25"/>
  <c r="I1637" i="25"/>
  <c r="I1636" i="25"/>
  <c r="I1635" i="25"/>
  <c r="I1634" i="25"/>
  <c r="I1633" i="25"/>
  <c r="I1632" i="25"/>
  <c r="I1631" i="25"/>
  <c r="I1630" i="25"/>
  <c r="I1629" i="25"/>
  <c r="I1628" i="25"/>
  <c r="I1627" i="25"/>
  <c r="I1626" i="25"/>
  <c r="I1625" i="25"/>
  <c r="I1624" i="25"/>
  <c r="I1623" i="25"/>
  <c r="I1622" i="25"/>
  <c r="I1621" i="25"/>
  <c r="I1620" i="25"/>
  <c r="I1619" i="25"/>
  <c r="I1618" i="25"/>
  <c r="I1617" i="25"/>
  <c r="I1616" i="25"/>
  <c r="I1615" i="25"/>
  <c r="I1614" i="25"/>
  <c r="I1613" i="25"/>
  <c r="I1612" i="25"/>
  <c r="I1611" i="25"/>
  <c r="I1610" i="25"/>
  <c r="I1609" i="25"/>
  <c r="I1608" i="25"/>
  <c r="I1607" i="25"/>
  <c r="I1606" i="25"/>
  <c r="I1605" i="25"/>
  <c r="I1604" i="25"/>
  <c r="I1603" i="25"/>
  <c r="I1602" i="25"/>
  <c r="I1601" i="25"/>
  <c r="I1600" i="25"/>
  <c r="I1599" i="25"/>
  <c r="I1598" i="25"/>
  <c r="I1597" i="25"/>
  <c r="I1596" i="25"/>
  <c r="I1595" i="25"/>
  <c r="I1594" i="25"/>
  <c r="I1593" i="25"/>
  <c r="I1592" i="25"/>
  <c r="I1591" i="25"/>
  <c r="I1590" i="25"/>
  <c r="I1589" i="25"/>
  <c r="I1588" i="25"/>
  <c r="I1587" i="25"/>
  <c r="I1586" i="25"/>
  <c r="I1585" i="25"/>
  <c r="I1584" i="25"/>
  <c r="I1583" i="25"/>
  <c r="I1582" i="25"/>
  <c r="I1581" i="25"/>
  <c r="I1580" i="25"/>
  <c r="I1579" i="25"/>
  <c r="I1578" i="25"/>
  <c r="I1577" i="25"/>
  <c r="I1576" i="25"/>
  <c r="I1575" i="25"/>
  <c r="I1574" i="25"/>
  <c r="I1573" i="25"/>
  <c r="I1572" i="25"/>
  <c r="I1571" i="25"/>
  <c r="I1570" i="25"/>
  <c r="I1569" i="25"/>
  <c r="I1568" i="25"/>
  <c r="I1567" i="25"/>
  <c r="I1566" i="25"/>
  <c r="I1565" i="25"/>
  <c r="I1564" i="25"/>
  <c r="I1563" i="25"/>
  <c r="I1562" i="25"/>
  <c r="I1561" i="25"/>
  <c r="I1560" i="25"/>
  <c r="I1559" i="25"/>
  <c r="I1558" i="25"/>
  <c r="I1557" i="25"/>
  <c r="I1556" i="25"/>
  <c r="I1555" i="25"/>
  <c r="I1554" i="25"/>
  <c r="I1553" i="25"/>
  <c r="I1552" i="25"/>
  <c r="I1551" i="25"/>
  <c r="I1550" i="25"/>
  <c r="I1549" i="25"/>
  <c r="I1548" i="25"/>
  <c r="I1547" i="25"/>
  <c r="I1546" i="25"/>
  <c r="I1545" i="25"/>
  <c r="I1544" i="25"/>
  <c r="I1543" i="25"/>
  <c r="I1542" i="25"/>
  <c r="I1541" i="25"/>
  <c r="I1540" i="25"/>
  <c r="I1539" i="25"/>
  <c r="I1538" i="25"/>
  <c r="I1537" i="25"/>
  <c r="I1536" i="25"/>
  <c r="I1535" i="25"/>
  <c r="I1534" i="25"/>
  <c r="I1533" i="25"/>
  <c r="I1532" i="25"/>
  <c r="I1531" i="25"/>
  <c r="I1530" i="25"/>
  <c r="I1529" i="25"/>
  <c r="I1528" i="25"/>
  <c r="I1527" i="25"/>
  <c r="I1526" i="25"/>
  <c r="I1525" i="25"/>
  <c r="I1524" i="25"/>
  <c r="I1523" i="25"/>
  <c r="I1522" i="25"/>
  <c r="I1521" i="25"/>
  <c r="I1520" i="25"/>
  <c r="I1519" i="25"/>
  <c r="I1518" i="25"/>
  <c r="I1517" i="25"/>
  <c r="I1516" i="25"/>
  <c r="I1515" i="25"/>
  <c r="I1514" i="25"/>
  <c r="I1513" i="25"/>
  <c r="I1512" i="25"/>
  <c r="I1511" i="25"/>
  <c r="I1510" i="25"/>
  <c r="I1509" i="25"/>
  <c r="I1508" i="25"/>
  <c r="I1507" i="25"/>
  <c r="I1506" i="25"/>
  <c r="I1505" i="25"/>
  <c r="I1504" i="25"/>
  <c r="I1503" i="25"/>
  <c r="I1502" i="25"/>
  <c r="I1501" i="25"/>
  <c r="I1500" i="25"/>
  <c r="I1499" i="25"/>
  <c r="I1498" i="25"/>
  <c r="I1497" i="25"/>
  <c r="I1496" i="25"/>
  <c r="I1495" i="25"/>
  <c r="I1494" i="25"/>
  <c r="I1493" i="25"/>
  <c r="I1492" i="25"/>
  <c r="I1491" i="25"/>
  <c r="I1490" i="25"/>
  <c r="I1489" i="25"/>
  <c r="I1488" i="25"/>
  <c r="I1487" i="25"/>
  <c r="I1486" i="25"/>
  <c r="I1485" i="25"/>
  <c r="I1484" i="25"/>
  <c r="I1483" i="25"/>
  <c r="I1482" i="25"/>
  <c r="I1481" i="25"/>
  <c r="I1480" i="25"/>
  <c r="I1479" i="25"/>
  <c r="I1478" i="25"/>
  <c r="I1477" i="25"/>
  <c r="I1476" i="25"/>
  <c r="I1475" i="25"/>
  <c r="I1474" i="25"/>
  <c r="I1473" i="25"/>
  <c r="I1472" i="25"/>
  <c r="I1471" i="25"/>
  <c r="I1470" i="25"/>
  <c r="I1469" i="25"/>
  <c r="I1468" i="25"/>
  <c r="I1467" i="25"/>
  <c r="I1466" i="25"/>
  <c r="I1465" i="25"/>
  <c r="I1464" i="25"/>
  <c r="I1463" i="25"/>
  <c r="I1462" i="25"/>
  <c r="I1461" i="25"/>
  <c r="I1460" i="25"/>
  <c r="I1459" i="25"/>
  <c r="I1458" i="25"/>
  <c r="I1457" i="25"/>
  <c r="I1456" i="25"/>
  <c r="I1455" i="25"/>
  <c r="I1454" i="25"/>
  <c r="I1453" i="25"/>
  <c r="I1452" i="25"/>
  <c r="I1451" i="25"/>
  <c r="I1450" i="25"/>
  <c r="I1449" i="25"/>
  <c r="I1448" i="25"/>
  <c r="I1447" i="25"/>
  <c r="I1446" i="25"/>
  <c r="I1445" i="25"/>
  <c r="I1444" i="25"/>
  <c r="I1443" i="25"/>
  <c r="I1442" i="25"/>
  <c r="I1441" i="25"/>
  <c r="I1440" i="25"/>
  <c r="I1439" i="25"/>
  <c r="I1438" i="25"/>
  <c r="I1437" i="25"/>
  <c r="I1436" i="25"/>
  <c r="I1435" i="25"/>
  <c r="I1434" i="25"/>
  <c r="I1433" i="25"/>
  <c r="I1432" i="25"/>
  <c r="I1431" i="25"/>
  <c r="I1430" i="25"/>
  <c r="I1429" i="25"/>
  <c r="I1428" i="25"/>
  <c r="I1427" i="25"/>
  <c r="I1426" i="25"/>
  <c r="I1425" i="25"/>
  <c r="I1424" i="25"/>
  <c r="I1423" i="25"/>
  <c r="I1422" i="25"/>
  <c r="I1420" i="25"/>
  <c r="I1419" i="25"/>
  <c r="I1418" i="25"/>
  <c r="I1417" i="25"/>
  <c r="I1416" i="25"/>
  <c r="I1415" i="25"/>
  <c r="I1414" i="25"/>
  <c r="I1413" i="25"/>
  <c r="I1412" i="25"/>
  <c r="I1411" i="25"/>
  <c r="I1410" i="25"/>
  <c r="I1409" i="25"/>
  <c r="I1408" i="25"/>
  <c r="I1407" i="25"/>
  <c r="I1406" i="25"/>
  <c r="I1405" i="25"/>
  <c r="I1404" i="25"/>
  <c r="I1403" i="25"/>
  <c r="I1402" i="25"/>
  <c r="I1401" i="25"/>
  <c r="I1400" i="25"/>
  <c r="I1399" i="25"/>
  <c r="I1398" i="25"/>
  <c r="I1397" i="25"/>
  <c r="I1396" i="25"/>
  <c r="I1395" i="25"/>
  <c r="I1393" i="25"/>
  <c r="I1392" i="25"/>
  <c r="I1391" i="25"/>
  <c r="I1390" i="25"/>
  <c r="I1389" i="25"/>
  <c r="I1388" i="25"/>
  <c r="I1387" i="25"/>
  <c r="I1386" i="25"/>
  <c r="I1385" i="25"/>
  <c r="I1384" i="25"/>
  <c r="I1383" i="25"/>
  <c r="I1382" i="25"/>
  <c r="I1381" i="25"/>
  <c r="I1380" i="25"/>
  <c r="I1379" i="25"/>
  <c r="I1378" i="25"/>
  <c r="I1377" i="25"/>
  <c r="I1376" i="25"/>
  <c r="I1375" i="25"/>
  <c r="I1374" i="25"/>
  <c r="I1373" i="25"/>
  <c r="I1372" i="25"/>
  <c r="I1371" i="25"/>
  <c r="I1370" i="25"/>
  <c r="I1369" i="25"/>
  <c r="I1368" i="25"/>
  <c r="I1367" i="25"/>
  <c r="I1366" i="25"/>
  <c r="I1365" i="25"/>
  <c r="I1363" i="25"/>
  <c r="I1362" i="25"/>
  <c r="I1361" i="25"/>
  <c r="I1360" i="25"/>
  <c r="I1359" i="25"/>
  <c r="I1358" i="25"/>
  <c r="I1357" i="25"/>
  <c r="I1356" i="25"/>
  <c r="I1355" i="25"/>
  <c r="I1354" i="25"/>
  <c r="I1353" i="25"/>
  <c r="I1352" i="25"/>
  <c r="I1351" i="25"/>
  <c r="I1350" i="25"/>
  <c r="I1348" i="25"/>
  <c r="I1347" i="25"/>
  <c r="I1346" i="25"/>
  <c r="I1345" i="25"/>
  <c r="I1344" i="25"/>
  <c r="I1343" i="25"/>
  <c r="I1342" i="25"/>
  <c r="I1341" i="25"/>
  <c r="I1339" i="25"/>
  <c r="I1338" i="25"/>
  <c r="I1336" i="25"/>
  <c r="I1335" i="25"/>
  <c r="I1334" i="25"/>
  <c r="I1333" i="25"/>
  <c r="I1332" i="25"/>
  <c r="I1331" i="25"/>
  <c r="I1330" i="25"/>
  <c r="I1329" i="25"/>
  <c r="I1328" i="25"/>
  <c r="I1327" i="25"/>
  <c r="I1326" i="25"/>
  <c r="I1325" i="25"/>
  <c r="I1324" i="25"/>
  <c r="I1323" i="25"/>
  <c r="I1322" i="25"/>
  <c r="I1321" i="25"/>
  <c r="I1320" i="25"/>
  <c r="I1319" i="25"/>
  <c r="I1318" i="25"/>
  <c r="I1317" i="25"/>
  <c r="I1316" i="25"/>
  <c r="I1315" i="25"/>
  <c r="I1314" i="25"/>
  <c r="I1313" i="25"/>
  <c r="I1312" i="25"/>
  <c r="I1311" i="25"/>
  <c r="I1310" i="25"/>
  <c r="I1309" i="25"/>
  <c r="I1308" i="25"/>
  <c r="I1307" i="25"/>
  <c r="I1306" i="25"/>
  <c r="I1305" i="25"/>
  <c r="I1304" i="25"/>
  <c r="I1303" i="25"/>
  <c r="I1302" i="25"/>
  <c r="I1301" i="25"/>
  <c r="I1300" i="25"/>
  <c r="I1299" i="25"/>
  <c r="I1298" i="25"/>
  <c r="I1297" i="25"/>
  <c r="I1296" i="25"/>
  <c r="I1295" i="25"/>
  <c r="I1294" i="25"/>
  <c r="I1293" i="25"/>
  <c r="I1292" i="25"/>
  <c r="I1291" i="25"/>
  <c r="I1290" i="25"/>
  <c r="I1289" i="25"/>
  <c r="I1288" i="25"/>
  <c r="I1287" i="25"/>
  <c r="I1286" i="25"/>
  <c r="I1285" i="25"/>
  <c r="I1284" i="25"/>
  <c r="I1283" i="25"/>
  <c r="I1282" i="25"/>
  <c r="I1281" i="25"/>
  <c r="I1280" i="25"/>
  <c r="I1279" i="25"/>
  <c r="I1278" i="25"/>
  <c r="I1277" i="25"/>
  <c r="I1276" i="25"/>
  <c r="I1275" i="25"/>
  <c r="I1274" i="25"/>
  <c r="I1273" i="25"/>
  <c r="I1272" i="25"/>
  <c r="I1271" i="25"/>
  <c r="I1270" i="25"/>
  <c r="I1269" i="25"/>
  <c r="I1268" i="25"/>
  <c r="I1267" i="25"/>
  <c r="I1266" i="25"/>
  <c r="I1265" i="25"/>
  <c r="I1264" i="25"/>
  <c r="I1263" i="25"/>
  <c r="I1262" i="25"/>
  <c r="I1261" i="25"/>
  <c r="I1260" i="25"/>
  <c r="I1259" i="25"/>
  <c r="I1258" i="25"/>
  <c r="I1257" i="25"/>
  <c r="I1256" i="25"/>
  <c r="I1255" i="25"/>
  <c r="I1254" i="25"/>
  <c r="I1253" i="25"/>
  <c r="I1252" i="25"/>
  <c r="I1251" i="25"/>
  <c r="I1250" i="25"/>
  <c r="I1249" i="25"/>
  <c r="I1248" i="25"/>
  <c r="I1247" i="25"/>
  <c r="I1246" i="25"/>
  <c r="I1245" i="25"/>
  <c r="I1244" i="25"/>
  <c r="I1243" i="25"/>
  <c r="I1242" i="25"/>
  <c r="I1241" i="25"/>
  <c r="I1240" i="25"/>
  <c r="I1239" i="25"/>
  <c r="I1238" i="25"/>
  <c r="I1237" i="25"/>
  <c r="I1236" i="25"/>
  <c r="I1235" i="25"/>
  <c r="I1234" i="25"/>
  <c r="I1232" i="25"/>
  <c r="I1231" i="25"/>
  <c r="I1230" i="25"/>
  <c r="I1229" i="25"/>
  <c r="I1228" i="25"/>
  <c r="I1227" i="25"/>
  <c r="I1226" i="25"/>
  <c r="I1225" i="25"/>
  <c r="I1224" i="25"/>
  <c r="I1223" i="25"/>
  <c r="I1222" i="25"/>
  <c r="I1221" i="25"/>
  <c r="I1220" i="25"/>
  <c r="I1219" i="25"/>
  <c r="I1218" i="25"/>
  <c r="I1217" i="25"/>
  <c r="I1216" i="25"/>
  <c r="I1215" i="25"/>
  <c r="I1214" i="25"/>
  <c r="I1213" i="25"/>
  <c r="I1212" i="25"/>
  <c r="I1211" i="25"/>
  <c r="I1210" i="25"/>
  <c r="I1209" i="25"/>
  <c r="I1208" i="25"/>
  <c r="I1207" i="25"/>
  <c r="I1206" i="25"/>
  <c r="I1205" i="25"/>
  <c r="I1204" i="25"/>
  <c r="I1203" i="25"/>
  <c r="I1202" i="25"/>
  <c r="I1201" i="25"/>
  <c r="I1200" i="25"/>
  <c r="I1199" i="25"/>
  <c r="I1198" i="25"/>
  <c r="I1197" i="25"/>
  <c r="I1196" i="25"/>
  <c r="I1195" i="25"/>
  <c r="I1194" i="25"/>
  <c r="I1193" i="25"/>
  <c r="I1192" i="25"/>
  <c r="I1191" i="25"/>
  <c r="I1190" i="25"/>
  <c r="I1189" i="25"/>
  <c r="I1188" i="25"/>
  <c r="I1187" i="25"/>
  <c r="I1186" i="25"/>
  <c r="I1185" i="25"/>
  <c r="I1184" i="25"/>
  <c r="I1183" i="25"/>
  <c r="I1182" i="25"/>
  <c r="I1181" i="25"/>
  <c r="I1180" i="25"/>
  <c r="I1179" i="25"/>
  <c r="I1178" i="25"/>
  <c r="I1177" i="25"/>
  <c r="I1176" i="25"/>
  <c r="I1175" i="25"/>
  <c r="I1174" i="25"/>
  <c r="I1173" i="25"/>
  <c r="I1172" i="25"/>
  <c r="I1171" i="25"/>
  <c r="I1170" i="25"/>
  <c r="I1169" i="25"/>
  <c r="I1168" i="25"/>
  <c r="I1167" i="25"/>
  <c r="I1166" i="25"/>
  <c r="I1165" i="25"/>
  <c r="I1164" i="25"/>
  <c r="I1163" i="25"/>
  <c r="I1162" i="25"/>
  <c r="I1161" i="25"/>
  <c r="I1160" i="25"/>
  <c r="I1159" i="25"/>
  <c r="I1158" i="25"/>
  <c r="I1157" i="25"/>
  <c r="I1156" i="25"/>
  <c r="I1155" i="25"/>
  <c r="I1154" i="25"/>
  <c r="I1153" i="25"/>
  <c r="I1152" i="25"/>
  <c r="I1151" i="25"/>
  <c r="I1150" i="25"/>
  <c r="I1149" i="25"/>
  <c r="I1148" i="25"/>
  <c r="I1147" i="25"/>
  <c r="I1146" i="25"/>
  <c r="I1145" i="25"/>
  <c r="I1144" i="25"/>
  <c r="I1143" i="25"/>
  <c r="I1142" i="25"/>
  <c r="I1141" i="25"/>
  <c r="I1140" i="25"/>
  <c r="I1139" i="25"/>
  <c r="I1138" i="25"/>
  <c r="I1137" i="25"/>
  <c r="I1136" i="25"/>
  <c r="I1135" i="25"/>
  <c r="I1134" i="25"/>
  <c r="I1133" i="25"/>
  <c r="I1132" i="25"/>
  <c r="I1131" i="25"/>
  <c r="I1130" i="25"/>
  <c r="I1129" i="25"/>
  <c r="I1128" i="25"/>
  <c r="I1127" i="25"/>
  <c r="I1126" i="25"/>
  <c r="I1125" i="25"/>
  <c r="I1124" i="25"/>
  <c r="I1123" i="25"/>
  <c r="I1122" i="25"/>
  <c r="I1121" i="25"/>
  <c r="I1120" i="25"/>
  <c r="I1119" i="25"/>
  <c r="I1118" i="25"/>
  <c r="I1117" i="25"/>
  <c r="I1116" i="25"/>
  <c r="I1115" i="25"/>
  <c r="I1114" i="25"/>
  <c r="I1113" i="25"/>
  <c r="I1112" i="25"/>
  <c r="I1111" i="25"/>
  <c r="I1110" i="25"/>
  <c r="I1109" i="25"/>
  <c r="I1108" i="25"/>
  <c r="I1107" i="25"/>
  <c r="I1106" i="25"/>
  <c r="I1105" i="25"/>
  <c r="I1104" i="25"/>
  <c r="I1103" i="25"/>
  <c r="I1102" i="25"/>
  <c r="I1101" i="25"/>
  <c r="I1100" i="25"/>
  <c r="I1099" i="25"/>
  <c r="I1098" i="25"/>
  <c r="I1097" i="25"/>
  <c r="I1096" i="25"/>
  <c r="I1095" i="25"/>
  <c r="I1094" i="25"/>
  <c r="I1093" i="25"/>
  <c r="I1092" i="25"/>
  <c r="I1091" i="25"/>
  <c r="I1090" i="25"/>
  <c r="I1089" i="25"/>
  <c r="I1088" i="25"/>
  <c r="I1087" i="25"/>
  <c r="I1086" i="25"/>
  <c r="I1085" i="25"/>
  <c r="I1084" i="25"/>
  <c r="I1083" i="25"/>
  <c r="I1082" i="25"/>
  <c r="I1081" i="25"/>
  <c r="I1080" i="25"/>
  <c r="I1079" i="25"/>
  <c r="I1078" i="25"/>
  <c r="I1077" i="25"/>
  <c r="I1076" i="25"/>
  <c r="I1075" i="25"/>
  <c r="I1074" i="25"/>
  <c r="I1073" i="25"/>
  <c r="I1072" i="25"/>
  <c r="I1071" i="25"/>
  <c r="I1070" i="25"/>
  <c r="I1069" i="25"/>
  <c r="I1068" i="25"/>
  <c r="I1067" i="25"/>
  <c r="I1066" i="25"/>
  <c r="I1065" i="25"/>
  <c r="I1064" i="25"/>
  <c r="I1063" i="25"/>
  <c r="I1062" i="25"/>
  <c r="I1061" i="25"/>
  <c r="I1060" i="25"/>
  <c r="I1059" i="25"/>
  <c r="I1058" i="25"/>
  <c r="I1057" i="25"/>
  <c r="I1056" i="25"/>
  <c r="I1055" i="25"/>
  <c r="I1054" i="25"/>
  <c r="I1053" i="25"/>
  <c r="I1052" i="25"/>
  <c r="I1051" i="25"/>
  <c r="I1050" i="25"/>
  <c r="I1049" i="25"/>
  <c r="I1048" i="25"/>
  <c r="I1047" i="25"/>
  <c r="I1046" i="25"/>
  <c r="I1045" i="25"/>
  <c r="I1044" i="25"/>
  <c r="I1043" i="25"/>
  <c r="I1042" i="25"/>
  <c r="I1041" i="25"/>
  <c r="I1040" i="25"/>
  <c r="I1039" i="25"/>
  <c r="I1038" i="25"/>
  <c r="I1037" i="25"/>
  <c r="I1036" i="25"/>
  <c r="I1035" i="25"/>
  <c r="I1034" i="25"/>
  <c r="I1033" i="25"/>
  <c r="I1032" i="25"/>
  <c r="I1031" i="25"/>
  <c r="I1030" i="25"/>
  <c r="I1029" i="25"/>
  <c r="I1028" i="25"/>
  <c r="I1027" i="25"/>
  <c r="I1026" i="25"/>
  <c r="I1025" i="25"/>
  <c r="I1024" i="25"/>
  <c r="I1023" i="25"/>
  <c r="I1022" i="25"/>
  <c r="I1021" i="25"/>
  <c r="I1020" i="25"/>
  <c r="I1019" i="25"/>
  <c r="I1018" i="25"/>
  <c r="I1017" i="25"/>
  <c r="I1016" i="25"/>
  <c r="I1015" i="25"/>
  <c r="I1014" i="25"/>
  <c r="I1013" i="25"/>
  <c r="I1012" i="25"/>
  <c r="I1011" i="25"/>
  <c r="I1010" i="25"/>
  <c r="I1009" i="25"/>
  <c r="I1008" i="25"/>
  <c r="I1007" i="25"/>
  <c r="I1006" i="25"/>
  <c r="I1005" i="25"/>
  <c r="I1004" i="25"/>
  <c r="I1003" i="25"/>
  <c r="I1002" i="25"/>
  <c r="I1001" i="25"/>
  <c r="I1000" i="25"/>
  <c r="I999" i="25"/>
  <c r="I998" i="25"/>
  <c r="I997" i="25"/>
  <c r="I996" i="25"/>
  <c r="I995" i="25"/>
  <c r="I994" i="25"/>
  <c r="I993" i="25"/>
  <c r="I992" i="25"/>
  <c r="I991" i="25"/>
  <c r="I990" i="25"/>
  <c r="I989" i="25"/>
  <c r="I988" i="25"/>
  <c r="I987" i="25"/>
  <c r="I986" i="25"/>
  <c r="I985" i="25"/>
  <c r="I984" i="25"/>
  <c r="I983" i="25"/>
  <c r="I982" i="25"/>
  <c r="I981" i="25"/>
  <c r="I980" i="25"/>
  <c r="I979" i="25"/>
  <c r="I978" i="25"/>
  <c r="I977" i="25"/>
  <c r="I976" i="25"/>
  <c r="I975" i="25"/>
  <c r="I974" i="25"/>
  <c r="I973" i="25"/>
  <c r="I972" i="25"/>
  <c r="I971" i="25"/>
  <c r="I970" i="25"/>
  <c r="I969" i="25"/>
  <c r="I968" i="25"/>
  <c r="I967" i="25"/>
  <c r="I966" i="25"/>
  <c r="I965" i="25"/>
  <c r="I964" i="25"/>
  <c r="I963" i="25"/>
  <c r="I962" i="25"/>
  <c r="I961" i="25"/>
  <c r="I960" i="25"/>
  <c r="I959" i="25"/>
  <c r="I958" i="25"/>
  <c r="I957" i="25"/>
  <c r="I956" i="25"/>
  <c r="I955" i="25"/>
  <c r="I954" i="25"/>
  <c r="I953" i="25"/>
  <c r="I952" i="25"/>
  <c r="I951" i="25"/>
  <c r="I950" i="25"/>
  <c r="I949" i="25"/>
  <c r="I948" i="25"/>
  <c r="I947" i="25"/>
  <c r="I946" i="25"/>
  <c r="I945" i="25"/>
  <c r="I944" i="25"/>
  <c r="I943" i="25"/>
  <c r="I942" i="25"/>
  <c r="I941" i="25"/>
  <c r="I940" i="25"/>
  <c r="I939" i="25"/>
  <c r="I938" i="25"/>
  <c r="I937" i="25"/>
  <c r="I936" i="25"/>
  <c r="I935" i="25"/>
  <c r="I934" i="25"/>
  <c r="I933" i="25"/>
  <c r="I932" i="25"/>
  <c r="I931" i="25"/>
  <c r="I930" i="25"/>
  <c r="I929" i="25"/>
  <c r="I928" i="25"/>
  <c r="I927" i="25"/>
  <c r="I926" i="25"/>
  <c r="I925" i="25"/>
  <c r="I924" i="25"/>
  <c r="I923" i="25"/>
  <c r="I922" i="25"/>
  <c r="I921" i="25"/>
  <c r="I920" i="25"/>
  <c r="I919" i="25"/>
  <c r="I918" i="25"/>
  <c r="I917" i="25"/>
  <c r="I916" i="25"/>
  <c r="I915" i="25"/>
  <c r="I914" i="25"/>
  <c r="I913" i="25"/>
  <c r="I912" i="25"/>
  <c r="I911" i="25"/>
  <c r="I910" i="25"/>
  <c r="I909" i="25"/>
  <c r="I908" i="25"/>
  <c r="I907" i="25"/>
  <c r="I906" i="25"/>
  <c r="I905" i="25"/>
  <c r="I904" i="25"/>
  <c r="I903" i="25"/>
  <c r="I902" i="25"/>
  <c r="I901" i="25"/>
  <c r="I900" i="25"/>
  <c r="I899" i="25"/>
  <c r="I898" i="25"/>
  <c r="I897" i="25"/>
  <c r="I896" i="25"/>
  <c r="I895" i="25"/>
  <c r="I894" i="25"/>
  <c r="I893" i="25"/>
  <c r="I892" i="25"/>
  <c r="I891" i="25"/>
  <c r="I890" i="25"/>
  <c r="I889" i="25"/>
  <c r="I888" i="25"/>
  <c r="I887" i="25"/>
  <c r="I886" i="25"/>
  <c r="I885" i="25"/>
  <c r="I884" i="25"/>
  <c r="I883" i="25"/>
  <c r="I882" i="25"/>
  <c r="I881" i="25"/>
  <c r="I880" i="25"/>
  <c r="I879" i="25"/>
  <c r="I878" i="25"/>
  <c r="I877" i="25"/>
  <c r="I876" i="25"/>
  <c r="I875" i="25"/>
  <c r="I874" i="25"/>
  <c r="I873" i="25"/>
  <c r="I872" i="25"/>
  <c r="I871" i="25"/>
  <c r="I870" i="25"/>
  <c r="I869" i="25"/>
  <c r="I868" i="25"/>
  <c r="I867" i="25"/>
  <c r="I866" i="25"/>
  <c r="I865" i="25"/>
  <c r="I864" i="25"/>
  <c r="I863" i="25"/>
  <c r="I862" i="25"/>
  <c r="I861" i="25"/>
  <c r="I860" i="25"/>
  <c r="I859" i="25"/>
  <c r="I858" i="25"/>
  <c r="I857" i="25"/>
  <c r="I856" i="25"/>
  <c r="I855" i="25"/>
  <c r="I854" i="25"/>
  <c r="I853" i="25"/>
  <c r="I852" i="25"/>
  <c r="I851" i="25"/>
  <c r="I850" i="25"/>
  <c r="I849" i="25"/>
  <c r="I848" i="25"/>
  <c r="I847" i="25"/>
  <c r="I846" i="25"/>
  <c r="I845" i="25"/>
  <c r="I844" i="25"/>
  <c r="I843" i="25"/>
  <c r="I842" i="25"/>
  <c r="I841" i="25"/>
  <c r="I840" i="25"/>
  <c r="I839" i="25"/>
  <c r="I838" i="25"/>
  <c r="I837" i="25"/>
  <c r="I836" i="25"/>
  <c r="I835" i="25"/>
  <c r="I834" i="25"/>
  <c r="I833" i="25"/>
  <c r="I832" i="25"/>
  <c r="I831" i="25"/>
  <c r="I830" i="25"/>
  <c r="I829" i="25"/>
  <c r="I828" i="25"/>
  <c r="I827" i="25"/>
  <c r="I826" i="25"/>
  <c r="I825" i="25"/>
  <c r="I824" i="25"/>
  <c r="I823" i="25"/>
  <c r="I822" i="25"/>
  <c r="I821" i="25"/>
  <c r="I820" i="25"/>
  <c r="I819" i="25"/>
  <c r="I818" i="25"/>
  <c r="I817" i="25"/>
  <c r="I816" i="25"/>
  <c r="I815" i="25"/>
  <c r="I814" i="25"/>
  <c r="I813" i="25"/>
  <c r="I812" i="25"/>
  <c r="I811" i="25"/>
  <c r="I810" i="25"/>
  <c r="I809" i="25"/>
  <c r="I808" i="25"/>
  <c r="I807" i="25"/>
  <c r="I806" i="25"/>
  <c r="I805" i="25"/>
  <c r="I804" i="25"/>
  <c r="I803" i="25"/>
  <c r="I802" i="25"/>
  <c r="I801" i="25"/>
  <c r="I800" i="25"/>
  <c r="I799" i="25"/>
  <c r="I798" i="25"/>
  <c r="I797" i="25"/>
  <c r="I796" i="25"/>
  <c r="I795" i="25"/>
  <c r="I794" i="25"/>
  <c r="I793" i="25"/>
  <c r="I792" i="25"/>
  <c r="I791" i="25"/>
  <c r="I790" i="25"/>
  <c r="I789" i="25"/>
  <c r="I788" i="25"/>
  <c r="I787" i="25"/>
  <c r="I786" i="25"/>
  <c r="I785" i="25"/>
  <c r="I784" i="25"/>
  <c r="I783" i="25"/>
  <c r="I782" i="25"/>
  <c r="I781" i="25"/>
  <c r="I780" i="25"/>
  <c r="I779" i="25"/>
  <c r="I778" i="25"/>
  <c r="I777" i="25"/>
  <c r="I776" i="25"/>
  <c r="I775" i="25"/>
  <c r="I774" i="25"/>
  <c r="I773" i="25"/>
  <c r="I772" i="25"/>
  <c r="I771" i="25"/>
  <c r="I770" i="25"/>
  <c r="I769" i="25"/>
  <c r="I768" i="25"/>
  <c r="I767" i="25"/>
  <c r="I766" i="25"/>
  <c r="I765" i="25"/>
  <c r="I764" i="25"/>
  <c r="I763" i="25"/>
  <c r="I762" i="25"/>
  <c r="I761" i="25"/>
  <c r="I760" i="25"/>
  <c r="I759" i="25"/>
  <c r="I758" i="25"/>
  <c r="I757" i="25"/>
  <c r="I756" i="25"/>
  <c r="I755" i="25"/>
  <c r="I754" i="25"/>
  <c r="I753" i="25"/>
  <c r="I752" i="25"/>
  <c r="I751" i="25"/>
  <c r="I750" i="25"/>
  <c r="I749" i="25"/>
  <c r="I748" i="25"/>
  <c r="I747" i="25"/>
  <c r="I746" i="25"/>
  <c r="I745" i="25"/>
  <c r="I744" i="25"/>
  <c r="I743" i="25"/>
  <c r="I742" i="25"/>
  <c r="I741" i="25"/>
  <c r="I740" i="25"/>
  <c r="I739" i="25"/>
  <c r="I738" i="25"/>
  <c r="I737" i="25"/>
  <c r="I736" i="25"/>
  <c r="I735" i="25"/>
  <c r="I734" i="25"/>
  <c r="I733" i="25"/>
  <c r="I732" i="25"/>
  <c r="I731" i="25"/>
  <c r="I730" i="25"/>
  <c r="I729" i="25"/>
  <c r="I728" i="25"/>
  <c r="I727" i="25"/>
  <c r="I726" i="25"/>
  <c r="I725" i="25"/>
  <c r="I724" i="25"/>
  <c r="I723" i="25"/>
  <c r="I722" i="25"/>
  <c r="I721" i="25"/>
  <c r="I720" i="25"/>
  <c r="I719" i="25"/>
  <c r="I718" i="25"/>
  <c r="I717" i="25"/>
  <c r="I716" i="25"/>
  <c r="I715" i="25"/>
  <c r="I714" i="25"/>
  <c r="I713" i="25"/>
  <c r="I712" i="25"/>
  <c r="I711" i="25"/>
  <c r="I709" i="25"/>
  <c r="I708" i="25"/>
  <c r="I707" i="25"/>
  <c r="I706" i="25"/>
  <c r="I705" i="25"/>
  <c r="I704" i="25"/>
  <c r="I703" i="25"/>
  <c r="I702" i="25"/>
  <c r="I701" i="25"/>
  <c r="I700" i="25"/>
  <c r="I699" i="25"/>
  <c r="I698" i="25"/>
  <c r="I697" i="25"/>
  <c r="I696" i="25"/>
  <c r="I695" i="25"/>
  <c r="I694" i="25"/>
  <c r="I693" i="25"/>
  <c r="I692" i="25"/>
  <c r="I691" i="25"/>
  <c r="I690" i="25"/>
  <c r="I689" i="25"/>
  <c r="I688" i="25"/>
  <c r="I687" i="25"/>
  <c r="I686" i="25"/>
  <c r="I685" i="25"/>
  <c r="I684" i="25"/>
  <c r="I683" i="25"/>
  <c r="I682" i="25"/>
  <c r="I681" i="25"/>
  <c r="I680" i="25"/>
  <c r="I679" i="25"/>
  <c r="I678" i="25"/>
  <c r="I677" i="25"/>
  <c r="I676" i="25"/>
  <c r="I675" i="25"/>
  <c r="I674" i="25"/>
  <c r="I673" i="25"/>
  <c r="I672" i="25"/>
  <c r="I671" i="25"/>
  <c r="I670" i="25"/>
  <c r="I669" i="25"/>
  <c r="I668" i="25"/>
  <c r="I667" i="25"/>
  <c r="I666" i="25"/>
  <c r="I665" i="25"/>
  <c r="I664" i="25"/>
  <c r="I663" i="25"/>
  <c r="I662" i="25"/>
  <c r="I661" i="25"/>
  <c r="I660" i="25"/>
  <c r="I659" i="25"/>
  <c r="I658" i="25"/>
  <c r="I657" i="25"/>
  <c r="I656" i="25"/>
  <c r="I655" i="25"/>
  <c r="I654" i="25"/>
  <c r="I652" i="25"/>
  <c r="I651" i="25"/>
  <c r="I650" i="25"/>
  <c r="I649" i="25"/>
  <c r="I648" i="25"/>
  <c r="I647" i="25"/>
  <c r="I646" i="25"/>
  <c r="I645" i="25"/>
  <c r="I644" i="25"/>
  <c r="I643" i="25"/>
  <c r="I642" i="25"/>
  <c r="I641" i="25"/>
  <c r="I640" i="25"/>
  <c r="I639" i="25"/>
  <c r="I638" i="25"/>
  <c r="I637" i="25"/>
  <c r="I636" i="25"/>
  <c r="I635" i="25"/>
  <c r="I634" i="25"/>
  <c r="I633" i="25"/>
  <c r="I632" i="25"/>
  <c r="I631" i="25"/>
  <c r="I630" i="25"/>
  <c r="I629" i="25"/>
  <c r="I628" i="25"/>
  <c r="I627" i="25"/>
  <c r="I625" i="25"/>
  <c r="I624" i="25"/>
  <c r="I623" i="25"/>
  <c r="I622" i="25"/>
  <c r="I621" i="25"/>
  <c r="I620" i="25"/>
  <c r="I619" i="25"/>
  <c r="I618" i="25"/>
  <c r="I617" i="25"/>
  <c r="I616" i="25"/>
  <c r="I615" i="25"/>
  <c r="I614" i="25"/>
  <c r="I613" i="25"/>
  <c r="I612" i="25"/>
  <c r="I611" i="25"/>
  <c r="I610" i="25"/>
  <c r="I609" i="25"/>
  <c r="I608" i="25"/>
  <c r="I607" i="25"/>
  <c r="I606" i="25"/>
  <c r="I605" i="25"/>
  <c r="I604" i="25"/>
  <c r="I603" i="25"/>
  <c r="I602" i="25"/>
  <c r="I601" i="25"/>
  <c r="I600" i="25"/>
  <c r="I599" i="25"/>
  <c r="I598" i="25"/>
  <c r="I597" i="25"/>
  <c r="I596" i="25"/>
  <c r="I595" i="25"/>
  <c r="I594" i="25"/>
  <c r="I593" i="25"/>
  <c r="I592" i="25"/>
  <c r="I591" i="25"/>
  <c r="I590" i="25"/>
  <c r="I589" i="25"/>
  <c r="I588" i="25"/>
  <c r="I587" i="25"/>
  <c r="I586" i="25"/>
  <c r="I585" i="25"/>
  <c r="I584" i="25"/>
  <c r="I583" i="25"/>
  <c r="I582" i="25"/>
  <c r="I581" i="25"/>
  <c r="I580" i="25"/>
  <c r="I579" i="25"/>
  <c r="I578" i="25"/>
  <c r="I577" i="25"/>
  <c r="I576" i="25"/>
  <c r="I575" i="25"/>
  <c r="I574" i="25"/>
  <c r="I573" i="25"/>
  <c r="I572" i="25"/>
  <c r="I571" i="25"/>
  <c r="I570" i="25"/>
  <c r="I569" i="25"/>
  <c r="I568" i="25"/>
  <c r="I567" i="25"/>
  <c r="I566" i="25"/>
  <c r="I565" i="25"/>
  <c r="I564" i="25"/>
  <c r="I563" i="25"/>
  <c r="I562" i="25"/>
  <c r="I561" i="25"/>
  <c r="I560" i="25"/>
  <c r="I559" i="25"/>
  <c r="I558" i="25"/>
  <c r="I557" i="25"/>
  <c r="I556" i="25"/>
  <c r="I555" i="25"/>
  <c r="I554" i="25"/>
  <c r="I553" i="25"/>
  <c r="I552" i="25"/>
  <c r="I551" i="25"/>
  <c r="I550" i="25"/>
  <c r="I549" i="25"/>
  <c r="I548" i="25"/>
  <c r="I547" i="25"/>
  <c r="I546" i="25"/>
  <c r="I545" i="25"/>
  <c r="I544" i="25"/>
  <c r="I543" i="25"/>
  <c r="I542" i="25"/>
  <c r="I541" i="25"/>
  <c r="I540" i="25"/>
  <c r="I539" i="25"/>
  <c r="I538" i="25"/>
  <c r="I537" i="25"/>
  <c r="I536" i="25"/>
  <c r="I535" i="25"/>
  <c r="I534" i="25"/>
  <c r="I533" i="25"/>
  <c r="I532" i="25"/>
  <c r="I531" i="25"/>
  <c r="I530" i="25"/>
  <c r="I529" i="25"/>
  <c r="I528" i="25"/>
  <c r="I527" i="25"/>
  <c r="I526" i="25"/>
  <c r="I525" i="25"/>
  <c r="I524" i="25"/>
  <c r="I523" i="25"/>
  <c r="I522" i="25"/>
  <c r="I521" i="25"/>
  <c r="I520" i="25"/>
  <c r="I519" i="25"/>
  <c r="I518" i="25"/>
  <c r="I517" i="25"/>
  <c r="I516" i="25"/>
  <c r="I515" i="25"/>
  <c r="I514" i="25"/>
  <c r="I513" i="25"/>
  <c r="I512" i="25"/>
  <c r="I511" i="25"/>
  <c r="I510" i="25"/>
  <c r="I509" i="25"/>
  <c r="I508" i="25"/>
  <c r="I507" i="25"/>
  <c r="I506" i="25"/>
  <c r="I505" i="25"/>
  <c r="I504" i="25"/>
  <c r="I503" i="25"/>
  <c r="I502" i="25"/>
  <c r="I501" i="25"/>
  <c r="I500" i="25"/>
  <c r="I499" i="25"/>
  <c r="I498" i="25"/>
  <c r="I497" i="25"/>
  <c r="I496" i="25"/>
  <c r="I495" i="25"/>
  <c r="I494" i="25"/>
  <c r="I493" i="25"/>
  <c r="I492" i="25"/>
  <c r="I491" i="25"/>
  <c r="I490" i="25"/>
  <c r="I489" i="25"/>
  <c r="I488" i="25"/>
  <c r="I487" i="25"/>
  <c r="I486" i="25"/>
  <c r="I485" i="25"/>
  <c r="I484" i="25"/>
  <c r="I483" i="25"/>
  <c r="I482" i="25"/>
  <c r="I481" i="25"/>
  <c r="I480" i="25"/>
  <c r="I479" i="25"/>
  <c r="I478" i="25"/>
  <c r="I477" i="25"/>
  <c r="I476" i="25"/>
  <c r="I475" i="25"/>
  <c r="I474" i="25"/>
  <c r="I473" i="25"/>
  <c r="I472" i="25"/>
  <c r="I471" i="25"/>
  <c r="I470" i="25"/>
  <c r="I469" i="25"/>
  <c r="I468" i="25"/>
  <c r="I467" i="25"/>
  <c r="I466" i="25"/>
  <c r="I465" i="25"/>
  <c r="I464" i="25"/>
  <c r="I463" i="25"/>
  <c r="I462" i="25"/>
  <c r="I461" i="25"/>
  <c r="I460" i="25"/>
  <c r="I459" i="25"/>
  <c r="I458" i="25"/>
  <c r="I457" i="25"/>
  <c r="I456" i="25"/>
  <c r="I455" i="25"/>
  <c r="I454" i="25"/>
  <c r="I453" i="25"/>
  <c r="I452" i="25"/>
  <c r="I451" i="25"/>
  <c r="I450" i="25"/>
  <c r="I449" i="25"/>
  <c r="I448" i="25"/>
  <c r="I447" i="25"/>
  <c r="I446" i="25"/>
  <c r="I445" i="25"/>
  <c r="I444" i="25"/>
  <c r="I443" i="25"/>
  <c r="I442" i="25"/>
  <c r="I441" i="25"/>
  <c r="I440" i="25"/>
  <c r="I439" i="25"/>
  <c r="I438" i="25"/>
  <c r="I437" i="25"/>
  <c r="I436" i="25"/>
  <c r="I435" i="25"/>
  <c r="I434" i="25"/>
  <c r="I433" i="25"/>
  <c r="I432" i="25"/>
  <c r="I431" i="25"/>
  <c r="I430" i="25"/>
  <c r="I429" i="25"/>
  <c r="I428" i="25"/>
  <c r="I427" i="25"/>
  <c r="I426" i="25"/>
  <c r="I425" i="25"/>
  <c r="I424" i="25"/>
  <c r="I423" i="25"/>
  <c r="I422" i="25"/>
  <c r="I421" i="25"/>
  <c r="I420" i="25"/>
  <c r="I419" i="25"/>
  <c r="I418" i="25"/>
  <c r="I417" i="25"/>
  <c r="I416" i="25"/>
  <c r="I415" i="25"/>
  <c r="I414" i="25"/>
  <c r="I413" i="25"/>
  <c r="I412" i="25"/>
  <c r="I411" i="25"/>
  <c r="I410" i="25"/>
  <c r="I409" i="25"/>
  <c r="I408" i="25"/>
  <c r="I407" i="25"/>
  <c r="I406" i="25"/>
  <c r="I405" i="25"/>
  <c r="I404" i="25"/>
  <c r="I403" i="25"/>
  <c r="I402" i="25"/>
  <c r="I401" i="25"/>
  <c r="I400" i="25"/>
  <c r="I399" i="25"/>
  <c r="I398" i="25"/>
  <c r="I397" i="25"/>
  <c r="I396" i="25"/>
  <c r="I395" i="25"/>
  <c r="I394" i="25"/>
  <c r="I393" i="25"/>
  <c r="I392" i="25"/>
  <c r="I391" i="25"/>
  <c r="I390" i="25"/>
  <c r="I389" i="25"/>
  <c r="I388" i="25"/>
  <c r="I387" i="25"/>
  <c r="I386" i="25"/>
  <c r="I385" i="25"/>
  <c r="I384" i="25"/>
  <c r="I383" i="25"/>
  <c r="I382" i="25"/>
  <c r="I381" i="25"/>
  <c r="I380" i="25"/>
  <c r="I379" i="25"/>
  <c r="I378" i="25"/>
  <c r="I377" i="25"/>
  <c r="I376" i="25"/>
  <c r="I375" i="25"/>
  <c r="I374" i="25"/>
  <c r="I373" i="25"/>
  <c r="I372" i="25"/>
  <c r="I371" i="25"/>
  <c r="I370" i="25"/>
  <c r="I369" i="25"/>
  <c r="I368" i="25"/>
  <c r="I367" i="25"/>
  <c r="I366" i="25"/>
  <c r="I365" i="25"/>
  <c r="I364" i="25"/>
  <c r="I363" i="25"/>
  <c r="I362" i="25"/>
  <c r="I361" i="25"/>
  <c r="I360" i="25"/>
  <c r="I359" i="25"/>
  <c r="I358" i="25"/>
  <c r="I357" i="25"/>
  <c r="I356" i="25"/>
  <c r="I355" i="25"/>
  <c r="I354" i="25"/>
  <c r="I353" i="25"/>
  <c r="I352" i="25"/>
  <c r="I351" i="25"/>
  <c r="I350" i="25"/>
  <c r="I349" i="25"/>
  <c r="I348" i="25"/>
  <c r="I347" i="25"/>
  <c r="I346" i="25"/>
  <c r="I345" i="25"/>
  <c r="I344" i="25"/>
  <c r="I343" i="25"/>
  <c r="I342" i="25"/>
  <c r="I341" i="25"/>
  <c r="I340" i="25"/>
  <c r="I339" i="25"/>
  <c r="I338" i="25"/>
  <c r="I337" i="25"/>
  <c r="I336" i="25"/>
  <c r="I335" i="25"/>
  <c r="I334" i="25"/>
  <c r="I333" i="25"/>
  <c r="I332" i="25"/>
  <c r="I331" i="25"/>
  <c r="I330" i="25"/>
  <c r="I329" i="25"/>
  <c r="I328" i="25"/>
  <c r="I327" i="25"/>
  <c r="I326" i="25"/>
  <c r="I325" i="25"/>
  <c r="I324" i="25"/>
  <c r="I323" i="25"/>
  <c r="I322" i="25"/>
  <c r="I321" i="25"/>
  <c r="I320" i="25"/>
  <c r="I319" i="25"/>
  <c r="I318" i="25"/>
  <c r="I317" i="25"/>
  <c r="I316" i="25"/>
  <c r="I315" i="25"/>
  <c r="I314" i="25"/>
  <c r="I313" i="25"/>
  <c r="I312" i="25"/>
  <c r="I311" i="25"/>
  <c r="I310" i="25"/>
  <c r="I309" i="25"/>
  <c r="I308" i="25"/>
  <c r="I307" i="25"/>
  <c r="I306" i="25"/>
  <c r="I305" i="25"/>
  <c r="I304" i="25"/>
  <c r="I303" i="25"/>
  <c r="I302" i="25"/>
  <c r="I301" i="25"/>
  <c r="I300" i="25"/>
  <c r="I299" i="25"/>
  <c r="I298" i="25"/>
  <c r="I297" i="25"/>
  <c r="I296" i="25"/>
  <c r="I295" i="25"/>
  <c r="I294" i="25"/>
  <c r="I293" i="25"/>
  <c r="I292" i="25"/>
  <c r="I291" i="25"/>
  <c r="I290" i="25"/>
  <c r="I289" i="25"/>
  <c r="I288" i="25"/>
  <c r="I287" i="25"/>
  <c r="I286" i="25"/>
  <c r="I285" i="25"/>
  <c r="I284" i="25"/>
  <c r="I283" i="25"/>
  <c r="I282" i="25"/>
  <c r="I281" i="25"/>
  <c r="I280" i="25"/>
  <c r="I279" i="25"/>
  <c r="I278" i="25"/>
  <c r="I277" i="25"/>
  <c r="I276" i="25"/>
  <c r="I275" i="25"/>
  <c r="I274" i="25"/>
  <c r="I273" i="25"/>
  <c r="I272" i="25"/>
  <c r="I271" i="25"/>
  <c r="I270" i="25"/>
  <c r="I269" i="25"/>
  <c r="I268" i="25"/>
  <c r="I267" i="25"/>
  <c r="I266" i="25"/>
  <c r="I265" i="25"/>
  <c r="I264" i="25"/>
  <c r="I263" i="25"/>
  <c r="I262" i="25"/>
  <c r="I261" i="25"/>
  <c r="I260" i="25"/>
  <c r="I259" i="25"/>
  <c r="I258" i="25"/>
  <c r="I257" i="25"/>
  <c r="I256" i="25"/>
  <c r="I255" i="25"/>
  <c r="I254" i="25"/>
  <c r="I253" i="25"/>
  <c r="I252" i="25"/>
  <c r="I251" i="25"/>
  <c r="I250" i="25"/>
  <c r="I249" i="25"/>
  <c r="I248" i="25"/>
  <c r="I247" i="25"/>
  <c r="I246" i="25"/>
  <c r="I245" i="25"/>
  <c r="I244" i="25"/>
  <c r="I243" i="25"/>
  <c r="I242" i="25"/>
  <c r="I241" i="25"/>
  <c r="I240" i="25"/>
  <c r="I239" i="25"/>
  <c r="I238" i="25"/>
  <c r="I237" i="25"/>
  <c r="I236" i="25"/>
  <c r="I235" i="25"/>
  <c r="I234" i="25"/>
  <c r="I233" i="25"/>
  <c r="I232" i="25"/>
  <c r="I231" i="25"/>
  <c r="I230" i="25"/>
  <c r="I229" i="25"/>
  <c r="I228" i="25"/>
  <c r="I227" i="25"/>
  <c r="I226" i="25"/>
  <c r="I225" i="25"/>
  <c r="I224" i="25"/>
  <c r="I223" i="25"/>
  <c r="I222" i="25"/>
  <c r="I221" i="25"/>
  <c r="I220" i="25"/>
  <c r="I219" i="25"/>
  <c r="I218" i="25"/>
  <c r="I217" i="25"/>
  <c r="I216" i="25"/>
  <c r="I215" i="25"/>
  <c r="I214" i="25"/>
  <c r="I213" i="25"/>
  <c r="I212" i="25"/>
  <c r="I211" i="25"/>
  <c r="I210" i="25"/>
  <c r="I209" i="25"/>
  <c r="I208" i="25"/>
  <c r="I207" i="25"/>
  <c r="I206" i="25"/>
  <c r="I205" i="25"/>
  <c r="I204" i="25"/>
  <c r="I203" i="25"/>
  <c r="I202" i="25"/>
  <c r="I201" i="25"/>
  <c r="I200" i="25"/>
  <c r="I199" i="25"/>
  <c r="I198" i="25"/>
  <c r="I197" i="25"/>
  <c r="I196" i="25"/>
  <c r="I195" i="25"/>
  <c r="I194" i="25"/>
  <c r="I193" i="25"/>
  <c r="I192" i="25"/>
  <c r="I191" i="25"/>
  <c r="I190" i="25"/>
  <c r="I189" i="25"/>
  <c r="I188" i="25"/>
  <c r="I187" i="25"/>
  <c r="I186" i="25"/>
  <c r="I185" i="25"/>
  <c r="I184" i="25"/>
  <c r="I183" i="25"/>
  <c r="I182" i="25"/>
  <c r="I181" i="25"/>
  <c r="I180" i="25"/>
  <c r="I179" i="25"/>
  <c r="I178" i="25"/>
  <c r="I177" i="25"/>
  <c r="I176" i="25"/>
  <c r="I175" i="25"/>
  <c r="I174" i="25"/>
  <c r="I173" i="25"/>
  <c r="I172" i="25"/>
  <c r="I171" i="25"/>
  <c r="I170" i="25"/>
  <c r="I169" i="25"/>
  <c r="I168" i="25"/>
  <c r="I167" i="25"/>
  <c r="I166" i="25"/>
  <c r="I165" i="25"/>
  <c r="I164" i="25"/>
  <c r="I163" i="25"/>
  <c r="I162" i="25"/>
  <c r="I161" i="25"/>
  <c r="I160" i="25"/>
  <c r="I159" i="25"/>
  <c r="I158" i="25"/>
  <c r="I157" i="25"/>
  <c r="I156" i="25"/>
  <c r="I155" i="25"/>
  <c r="I154" i="25"/>
  <c r="I153" i="25"/>
  <c r="I152" i="25"/>
  <c r="I151" i="25"/>
  <c r="I150" i="25"/>
  <c r="I149" i="25"/>
  <c r="I148" i="25"/>
  <c r="I147" i="25"/>
  <c r="I146" i="25"/>
  <c r="I145" i="25"/>
  <c r="I144" i="25"/>
  <c r="I143" i="25"/>
  <c r="I142" i="25"/>
  <c r="I141" i="25"/>
  <c r="I140" i="25"/>
  <c r="I139" i="25"/>
  <c r="I138" i="25"/>
  <c r="I137" i="25"/>
  <c r="I136" i="25"/>
  <c r="I135" i="25"/>
  <c r="I134" i="25"/>
  <c r="I133" i="25"/>
  <c r="I132" i="25"/>
  <c r="I131" i="25"/>
  <c r="I130" i="25"/>
  <c r="I129" i="25"/>
  <c r="I128" i="25"/>
  <c r="I127" i="25"/>
  <c r="I126" i="25"/>
  <c r="I125" i="25"/>
  <c r="I124" i="25"/>
  <c r="I123" i="25"/>
  <c r="I122" i="25"/>
  <c r="I121" i="25"/>
  <c r="I120" i="25"/>
  <c r="I119" i="25"/>
  <c r="I118" i="25"/>
  <c r="I117" i="25"/>
  <c r="I116" i="25"/>
  <c r="I115" i="25"/>
  <c r="I114" i="25"/>
  <c r="I113" i="25"/>
  <c r="I112" i="25"/>
  <c r="I111" i="25"/>
  <c r="I110" i="25"/>
  <c r="I109" i="25"/>
  <c r="I108" i="25"/>
  <c r="I107" i="25"/>
  <c r="I106" i="25"/>
  <c r="I105" i="25"/>
  <c r="I104" i="25"/>
  <c r="I103" i="25"/>
  <c r="I102" i="25"/>
  <c r="I101" i="25"/>
  <c r="I100" i="25"/>
  <c r="I99" i="25"/>
  <c r="I98" i="25"/>
  <c r="I97" i="25"/>
  <c r="I96" i="25"/>
  <c r="I95" i="25"/>
  <c r="I94" i="25"/>
  <c r="I93" i="25"/>
  <c r="I92" i="25"/>
  <c r="I91" i="25"/>
  <c r="I90" i="25"/>
  <c r="I89" i="25"/>
  <c r="I88" i="25"/>
  <c r="I87" i="25"/>
  <c r="I86" i="25"/>
  <c r="I85" i="25"/>
  <c r="I84" i="25"/>
  <c r="I83" i="25"/>
  <c r="I82" i="25"/>
  <c r="I81" i="25"/>
  <c r="I80" i="25"/>
  <c r="I79" i="25"/>
  <c r="I78" i="25"/>
  <c r="I77" i="25"/>
  <c r="I76" i="25"/>
  <c r="I75" i="25"/>
  <c r="I74" i="25"/>
  <c r="I73" i="25"/>
  <c r="I72" i="25"/>
  <c r="I71" i="25"/>
  <c r="I70" i="25"/>
  <c r="I69" i="25"/>
  <c r="I68" i="25"/>
  <c r="I67" i="25"/>
  <c r="I66" i="25"/>
  <c r="I65" i="25"/>
  <c r="I64" i="25"/>
  <c r="I63" i="25"/>
  <c r="I62" i="25"/>
  <c r="I61" i="25"/>
  <c r="I60" i="25"/>
  <c r="I59" i="25"/>
  <c r="I58" i="25"/>
  <c r="I57" i="25"/>
  <c r="I56" i="25"/>
  <c r="I55" i="25"/>
  <c r="I54" i="25"/>
  <c r="I53" i="25"/>
  <c r="I52" i="25"/>
  <c r="I51" i="25"/>
  <c r="I50" i="25"/>
  <c r="I49" i="25"/>
  <c r="I48" i="25"/>
  <c r="I47" i="25"/>
  <c r="I46" i="25"/>
  <c r="I45" i="25"/>
  <c r="I44" i="25"/>
  <c r="I43" i="25"/>
  <c r="I42" i="25"/>
  <c r="I41" i="25"/>
  <c r="I40" i="25"/>
  <c r="I39" i="25"/>
  <c r="I38" i="25"/>
  <c r="I37" i="25"/>
  <c r="I36" i="25"/>
  <c r="I35" i="25"/>
  <c r="I34" i="25"/>
  <c r="I33" i="25"/>
  <c r="I32" i="25"/>
  <c r="I31" i="25"/>
  <c r="I30" i="25"/>
  <c r="I29" i="25"/>
  <c r="I28" i="25"/>
  <c r="I27" i="25"/>
  <c r="I26" i="25"/>
  <c r="I25" i="25"/>
  <c r="I24" i="25"/>
  <c r="I23" i="25"/>
  <c r="I22" i="25"/>
  <c r="I21" i="25"/>
  <c r="I20" i="25"/>
  <c r="I19" i="25"/>
  <c r="I18" i="25"/>
  <c r="I17" i="25"/>
  <c r="I16" i="25"/>
  <c r="I15" i="25"/>
  <c r="I14" i="25"/>
  <c r="I13" i="25"/>
  <c r="I12" i="25"/>
  <c r="I11" i="25"/>
  <c r="I10" i="25"/>
  <c r="I9" i="25"/>
  <c r="I8" i="25"/>
  <c r="I7" i="25"/>
  <c r="I6" i="25"/>
  <c r="I5" i="25"/>
  <c r="I2181" i="25" l="1"/>
  <c r="I710" i="25"/>
  <c r="E17" i="12"/>
  <c r="L6" i="13"/>
  <c r="C85" i="14"/>
  <c r="E84" i="14"/>
  <c r="C84" i="14"/>
  <c r="C60" i="14"/>
  <c r="E59" i="14"/>
  <c r="C59" i="14"/>
  <c r="C36" i="14"/>
  <c r="E35" i="14"/>
  <c r="C35" i="14"/>
  <c r="K41" i="12"/>
  <c r="C13" i="14"/>
  <c r="C86" i="14" s="1"/>
  <c r="A7" i="17"/>
  <c r="A8" i="17" s="1"/>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101" i="17" s="1"/>
  <c r="A102" i="17" s="1"/>
  <c r="A103" i="17" s="1"/>
  <c r="A104" i="17" s="1"/>
  <c r="A105" i="17" s="1"/>
  <c r="A106" i="17" s="1"/>
  <c r="A107" i="17" s="1"/>
  <c r="A108" i="17" s="1"/>
  <c r="A109" i="17" s="1"/>
  <c r="A110" i="17" s="1"/>
  <c r="A111" i="17" s="1"/>
  <c r="A112" i="17" s="1"/>
  <c r="A113" i="17" s="1"/>
  <c r="A114" i="17" s="1"/>
  <c r="A115" i="17" s="1"/>
  <c r="A116" i="17" s="1"/>
  <c r="A117" i="17" s="1"/>
  <c r="A118" i="17" s="1"/>
  <c r="A119" i="17" s="1"/>
  <c r="A120" i="17" s="1"/>
  <c r="A121" i="17" s="1"/>
  <c r="A122" i="17" s="1"/>
  <c r="A123" i="17" s="1"/>
  <c r="A124" i="17" s="1"/>
  <c r="A125" i="17" s="1"/>
  <c r="A126" i="17" s="1"/>
  <c r="A127" i="17" s="1"/>
  <c r="A128" i="17" s="1"/>
  <c r="A129" i="17" s="1"/>
  <c r="A130" i="17" s="1"/>
  <c r="A131" i="17" s="1"/>
  <c r="A132" i="17" s="1"/>
  <c r="A133" i="17" s="1"/>
  <c r="A134" i="17" s="1"/>
  <c r="A135" i="17" s="1"/>
  <c r="A136" i="17" s="1"/>
  <c r="A137" i="17" s="1"/>
  <c r="A138" i="17" s="1"/>
  <c r="A139" i="17" s="1"/>
  <c r="A140" i="17" s="1"/>
  <c r="A141" i="17" s="1"/>
  <c r="A142" i="17" s="1"/>
  <c r="A143" i="17" s="1"/>
  <c r="A144" i="17" s="1"/>
  <c r="A145" i="17" s="1"/>
  <c r="A146" i="17" s="1"/>
  <c r="A147" i="17" s="1"/>
  <c r="A148" i="17" s="1"/>
  <c r="A149" i="17" s="1"/>
  <c r="A150" i="17" s="1"/>
  <c r="A151" i="17" s="1"/>
  <c r="A152" i="17" s="1"/>
  <c r="A153" i="17" s="1"/>
  <c r="A154" i="17" s="1"/>
  <c r="A155" i="17" s="1"/>
  <c r="A156" i="17" s="1"/>
  <c r="A157" i="17" s="1"/>
  <c r="A158" i="17" s="1"/>
  <c r="A159" i="17" s="1"/>
  <c r="A160" i="17" s="1"/>
  <c r="A161" i="17" s="1"/>
  <c r="A162" i="17" s="1"/>
  <c r="A163" i="17" s="1"/>
  <c r="A164" i="17" s="1"/>
  <c r="A165" i="17" s="1"/>
  <c r="A166" i="17" s="1"/>
  <c r="A167" i="17" s="1"/>
  <c r="A168" i="17" s="1"/>
  <c r="A169" i="17" s="1"/>
  <c r="A170" i="17" s="1"/>
  <c r="A171" i="17" s="1"/>
  <c r="A172" i="17" s="1"/>
  <c r="A173" i="17" s="1"/>
  <c r="A174" i="17" s="1"/>
  <c r="A175" i="17" s="1"/>
  <c r="A176" i="17" s="1"/>
  <c r="A177" i="17" s="1"/>
  <c r="A178" i="17" s="1"/>
  <c r="A179" i="17" s="1"/>
  <c r="A180" i="17" s="1"/>
  <c r="A181" i="17" s="1"/>
  <c r="A182" i="17" s="1"/>
  <c r="A183" i="17" s="1"/>
  <c r="A184" i="17" s="1"/>
  <c r="A185" i="17" s="1"/>
  <c r="A186" i="17" s="1"/>
  <c r="A187" i="17" s="1"/>
  <c r="A188" i="17" s="1"/>
  <c r="A189" i="17" s="1"/>
  <c r="A190" i="17" s="1"/>
  <c r="A191" i="17" s="1"/>
  <c r="A192" i="17" s="1"/>
  <c r="A193" i="17" s="1"/>
  <c r="A194" i="17" s="1"/>
  <c r="A195" i="17" s="1"/>
  <c r="A196" i="17" s="1"/>
  <c r="A197" i="17" s="1"/>
  <c r="A198" i="17" s="1"/>
  <c r="A199" i="17" s="1"/>
  <c r="A200" i="17" s="1"/>
  <c r="A201" i="17" s="1"/>
  <c r="A202" i="17" s="1"/>
  <c r="A203" i="17" s="1"/>
  <c r="A204" i="17" s="1"/>
  <c r="A205" i="17" s="1"/>
  <c r="Q10" i="16"/>
  <c r="E5" i="13"/>
  <c r="E4" i="13"/>
  <c r="D41" i="12"/>
  <c r="K24" i="12"/>
  <c r="B42" i="29" s="1"/>
  <c r="B23" i="12"/>
  <c r="G39" i="29" s="1"/>
  <c r="O21" i="29" s="1"/>
  <c r="D9" i="14"/>
  <c r="I10" i="12"/>
  <c r="J10" i="14" s="1"/>
  <c r="L9" i="12" a="1"/>
  <c r="B52" i="29" l="1"/>
  <c r="F42" i="29"/>
  <c r="B47" i="29"/>
  <c r="F52" i="29"/>
  <c r="F45" i="29"/>
  <c r="B50" i="29"/>
  <c r="B44" i="29"/>
  <c r="F43" i="29"/>
  <c r="F50" i="29"/>
  <c r="B49" i="29"/>
  <c r="F47" i="29"/>
  <c r="B43" i="29"/>
  <c r="F48" i="29"/>
  <c r="B46" i="29"/>
  <c r="F46" i="29"/>
  <c r="B51" i="29"/>
  <c r="B45" i="29"/>
  <c r="F49" i="29"/>
  <c r="B48" i="29"/>
  <c r="F44" i="29"/>
  <c r="F53" i="29"/>
  <c r="B53" i="29"/>
  <c r="F51" i="29"/>
  <c r="I13" i="12"/>
  <c r="M13" i="12" s="1"/>
  <c r="F13" i="28"/>
  <c r="F29" i="28"/>
  <c r="L4" i="13"/>
  <c r="F31" i="28" s="1"/>
  <c r="E6" i="13"/>
  <c r="F33" i="28" s="1"/>
  <c r="I3087" i="25"/>
  <c r="I2998" i="25"/>
  <c r="I2997" i="25"/>
  <c r="I1349" i="25"/>
  <c r="I2154" i="25"/>
  <c r="I2867" i="25"/>
  <c r="I3055" i="25"/>
  <c r="I2983" i="25"/>
  <c r="I1233" i="25"/>
  <c r="I653" i="25"/>
  <c r="I1394" i="25"/>
  <c r="I626" i="25"/>
  <c r="I2238" i="25"/>
  <c r="I2166" i="25"/>
  <c r="I1364" i="25"/>
  <c r="I2971" i="25"/>
  <c r="I2391" i="25"/>
  <c r="I2050" i="25"/>
  <c r="I1337" i="25"/>
  <c r="I2300" i="25"/>
  <c r="I2211" i="25"/>
  <c r="I1340" i="25"/>
  <c r="I1421" i="25"/>
  <c r="G27" i="29"/>
  <c r="H27" i="29" s="1"/>
  <c r="H28" i="29" s="1"/>
  <c r="D15" i="16"/>
  <c r="F15" i="28"/>
  <c r="F18" i="21"/>
  <c r="F17" i="28"/>
  <c r="L9" i="12"/>
  <c r="F8" i="13"/>
  <c r="F35" i="13" s="1"/>
  <c r="D8" i="14"/>
  <c r="I8" i="14"/>
  <c r="C37" i="14"/>
  <c r="C61" i="14" s="1"/>
  <c r="D10" i="14"/>
  <c r="D13" i="16"/>
  <c r="C6" i="21"/>
  <c r="C17" i="21"/>
  <c r="H14" i="16"/>
  <c r="I17" i="21"/>
  <c r="F22" i="13" l="1"/>
  <c r="K1" i="21"/>
  <c r="K1" i="14"/>
  <c r="O1" i="13"/>
  <c r="E37" i="13" l="1"/>
  <c r="C7" i="12"/>
  <c r="O15" i="13"/>
  <c r="O28" i="13"/>
  <c r="D32" i="14"/>
  <c r="K25" i="14"/>
  <c r="E6" i="14"/>
  <c r="E79" i="14" s="1"/>
  <c r="E24" i="13"/>
  <c r="D18" i="16"/>
  <c r="D46" i="16" s="1"/>
  <c r="D20" i="21"/>
  <c r="D8" i="21"/>
  <c r="E10" i="13"/>
  <c r="L7" i="13"/>
  <c r="E33" i="13" l="1"/>
  <c r="E31" i="13"/>
  <c r="L32" i="13"/>
  <c r="L33" i="13"/>
  <c r="E32" i="13"/>
  <c r="L31" i="13"/>
  <c r="K49" i="14"/>
  <c r="D34" i="14"/>
  <c r="J34" i="14"/>
  <c r="D56" i="14"/>
  <c r="I32" i="14"/>
  <c r="D33" i="14"/>
  <c r="L20" i="13"/>
  <c r="E18" i="13"/>
  <c r="F47" i="28" s="1"/>
  <c r="F53" i="28"/>
  <c r="E20" i="13"/>
  <c r="F51" i="28" s="1"/>
  <c r="L18" i="13"/>
  <c r="F49" i="28" s="1"/>
  <c r="E19" i="13"/>
  <c r="L21" i="13"/>
  <c r="L34" i="13"/>
  <c r="E30" i="14"/>
  <c r="E54" i="14" s="1"/>
  <c r="D58" i="14" l="1"/>
  <c r="D57" i="14"/>
  <c r="K74" i="14"/>
  <c r="I56" i="14"/>
  <c r="J58" i="14"/>
  <c r="D83" i="14" l="1"/>
  <c r="I81" i="14"/>
  <c r="D82" i="14"/>
  <c r="J83" i="14"/>
  <c r="D81" i="14"/>
  <c r="C12" i="14" l="1"/>
  <c r="E11" i="14"/>
  <c r="I21" i="12"/>
  <c r="C22" i="12"/>
  <c r="F28" i="15"/>
  <c r="C11" i="14"/>
  <c r="F22" i="12"/>
  <c r="K20" i="12" l="1"/>
  <c r="C11" i="15"/>
  <c r="E33" i="15" s="1"/>
  <c r="F33" i="15" s="1"/>
  <c r="C8" i="15"/>
  <c r="B21" i="12"/>
  <c r="C9" i="15" l="1"/>
  <c r="K39" i="12"/>
  <c r="D12" i="14"/>
  <c r="D36" i="14" l="1"/>
  <c r="D60" i="14" s="1"/>
  <c r="D85" i="14"/>
  <c r="H31" i="29"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<sst xmlns="http://schemas.openxmlformats.org/spreadsheetml/2006/main" count="10141" uniqueCount="804">
  <si>
    <t>كود</t>
  </si>
  <si>
    <t>ووظيفتـــــــــى :</t>
  </si>
  <si>
    <t>محافظة :</t>
  </si>
  <si>
    <t xml:space="preserve">المقر بما فيه </t>
  </si>
  <si>
    <r>
      <t xml:space="preserve">الأسم / </t>
    </r>
    <r>
      <rPr>
        <sz val="5"/>
        <rFont val="Arial (Arabic)"/>
        <charset val="178"/>
      </rPr>
      <t>……………………………..................………………….........……………………</t>
    </r>
  </si>
  <si>
    <r>
      <t xml:space="preserve">التوقيع / </t>
    </r>
    <r>
      <rPr>
        <sz val="5"/>
        <rFont val="Arial (Arabic)"/>
        <charset val="178"/>
      </rPr>
      <t>……………………………..............………………….........……………………</t>
    </r>
  </si>
  <si>
    <t>محافظة:</t>
  </si>
  <si>
    <t>م</t>
  </si>
  <si>
    <t>أقر أنا /</t>
  </si>
  <si>
    <t>المقيـــــم فى :</t>
  </si>
  <si>
    <t xml:space="preserve">  ...................................................................................................................................................................................................................................</t>
  </si>
  <si>
    <t>كود العميل</t>
  </si>
  <si>
    <t>وظيفـــة العميـــــــــــــــــــــــــــــل</t>
  </si>
  <si>
    <t>محافظــــة</t>
  </si>
  <si>
    <t>عنـوان إقامـــة العميـــل</t>
  </si>
  <si>
    <t>عنـــوان المشــروع</t>
  </si>
  <si>
    <t>قيمة القرض</t>
  </si>
  <si>
    <t>عدد الأقساط</t>
  </si>
  <si>
    <t>تاريخ أول قسط</t>
  </si>
  <si>
    <t>اجمالى الألتزام</t>
  </si>
  <si>
    <t>الاخصــــــــــائى</t>
  </si>
  <si>
    <t>تاريخ الصرف</t>
  </si>
  <si>
    <t>اســم الضامــــن الأول</t>
  </si>
  <si>
    <t>وظيفــة الضامــن الأول</t>
  </si>
  <si>
    <t>محافظة</t>
  </si>
  <si>
    <t>عنـوان إقامــة الضامــن الأول</t>
  </si>
  <si>
    <t>اســم الضامــن الثانــي</t>
  </si>
  <si>
    <t>وظيفة الضامــن الثانــي</t>
  </si>
  <si>
    <t>عنــوان إقامـــة الضامــن الثانــي</t>
  </si>
  <si>
    <t>القرض</t>
  </si>
  <si>
    <t>المدة</t>
  </si>
  <si>
    <t>إجمالـي</t>
  </si>
  <si>
    <t>فائدة</t>
  </si>
  <si>
    <t xml:space="preserve">أصل </t>
  </si>
  <si>
    <t>موبايل</t>
  </si>
  <si>
    <t xml:space="preserve">جنيهاً </t>
  </si>
  <si>
    <t>تليفون</t>
  </si>
  <si>
    <t>تاريخ آخر قسط</t>
  </si>
  <si>
    <t xml:space="preserve"> رقم قومي :</t>
  </si>
  <si>
    <t>إجمالى م الإداريه</t>
  </si>
  <si>
    <t>إجمالى الإلتزام</t>
  </si>
  <si>
    <t>م إداريه مقدمه</t>
  </si>
  <si>
    <t xml:space="preserve">القسط </t>
  </si>
  <si>
    <t>غرض الاستخدام</t>
  </si>
  <si>
    <t>م. ثابتة</t>
  </si>
  <si>
    <t>جدول الأقساط والمصاريف الإدارية</t>
  </si>
  <si>
    <t>القسط الشهري</t>
  </si>
  <si>
    <t>الجدول التفصيلي لبيانات العميل و الضامنين و التمويل المتناهي الصغر</t>
  </si>
  <si>
    <t>مصدر التمويل / اسم المشورع الممول</t>
  </si>
  <si>
    <t>و أقر بأنني أضمن السيد /</t>
  </si>
  <si>
    <t>في رصيد هذا التمويل من أصل و تكلفة التمويل و ملحقاتها الناشئة حتي تمام السداد</t>
  </si>
  <si>
    <t>المؤهل/المهنة :</t>
  </si>
  <si>
    <t>رقم قومي</t>
  </si>
  <si>
    <t>نوع النشاط الرئيسي</t>
  </si>
  <si>
    <t>فرعي 1</t>
  </si>
  <si>
    <t>فرعي 2</t>
  </si>
  <si>
    <t xml:space="preserve">  رقم قومي :</t>
  </si>
  <si>
    <t>توقيع المقر بما فيه ضامن متضامن:</t>
  </si>
  <si>
    <t>شراء مواد خام</t>
  </si>
  <si>
    <t>الشريحة</t>
  </si>
  <si>
    <t>شريحة ( أ )</t>
  </si>
  <si>
    <t>معدل الفائدة</t>
  </si>
  <si>
    <t>فائدة مقدمة</t>
  </si>
  <si>
    <t>المصاريف الثابتة</t>
  </si>
  <si>
    <t>سند لأمر</t>
  </si>
  <si>
    <t>وأتعـــــــــهد انا /</t>
  </si>
  <si>
    <t xml:space="preserve">في مقر جمعية الصعيد للتربية والتنمية - مكتب التمويل المتناهي الصغر </t>
  </si>
  <si>
    <t xml:space="preserve">تحرر هذا الســـــــــــند في تاريخ </t>
  </si>
  <si>
    <t>في تاريخ غايته</t>
  </si>
  <si>
    <t xml:space="preserve"> من قيمة المبلغ بدء من تاريخ الاستحقاق حتي نهاية السداد دون الحاجة إلي إنذار أو تنبيه أو احتجاج عدم دفع أو أي إجراء </t>
  </si>
  <si>
    <t>قضائي آخر -ويظل مفعول هذا السند سارياً إلي أن يسلم إلي مصدره مؤشراً عليه من المستفيد الاخير بما يفيد التخالص</t>
  </si>
  <si>
    <t xml:space="preserve"> وبراءة الذمة وتسليم السند إلي مصدر السند . وأي نزاع ينشأ عن هذا السند تختص به المحاكم الواقع في دائرتها مقر الجمعية</t>
  </si>
  <si>
    <t>كارت ميزة بنك مصر</t>
  </si>
  <si>
    <t>شريحة ( ب )</t>
  </si>
  <si>
    <t>شريحة ( ج )</t>
  </si>
  <si>
    <t>مقدمات</t>
  </si>
  <si>
    <t>فائدة القسط</t>
  </si>
  <si>
    <t xml:space="preserve">                   جمعية الصعيد للتربية والتنمية </t>
  </si>
  <si>
    <t>عن نشاط تمويل المشروعات المتوسطة والصغيرة أو تمويل المشروعات متناهية الصغر</t>
  </si>
  <si>
    <t xml:space="preserve">اسم جهة التمويل:جمعية الصعيد للتربية والتنمية </t>
  </si>
  <si>
    <t>رقم ترخيص الهيئة العامة للرقابة المالية وتاريخه</t>
  </si>
  <si>
    <t>رقم 1420 بتاريخ 15-11- 2015</t>
  </si>
  <si>
    <t>إجمالى نسبة معدل تكلفة التمويل والمصاريف الادارية</t>
  </si>
  <si>
    <t>سنوياً</t>
  </si>
  <si>
    <t>شاملة ما يلى:</t>
  </si>
  <si>
    <r>
      <t>أولا:</t>
    </r>
    <r>
      <rPr>
        <b/>
        <sz val="12"/>
        <rFont val="Sakkal Majalla"/>
      </rPr>
      <t xml:space="preserve"> معدل تكلفة التمويل السنوى المطبق</t>
    </r>
  </si>
  <si>
    <t>(وفق معدل السعر الثابت)</t>
  </si>
  <si>
    <r>
      <t>ثانياً:</t>
    </r>
    <r>
      <rPr>
        <b/>
        <sz val="12"/>
        <rFont val="Sakkal Majalla"/>
      </rPr>
      <t xml:space="preserve"> نسبة المصاريف الإدارية</t>
    </r>
  </si>
  <si>
    <t>(مرة واحدة عند تقديم التمويل)</t>
  </si>
  <si>
    <t>مصاريف الخدمات الأخرى</t>
  </si>
  <si>
    <r>
      <t xml:space="preserve">- </t>
    </r>
    <r>
      <rPr>
        <b/>
        <sz val="12"/>
        <rFont val="Sakkal Majalla"/>
      </rPr>
      <t>مصاريف تقديم طلب (إصدار) التمويل</t>
    </r>
  </si>
  <si>
    <r>
      <t xml:space="preserve">- </t>
    </r>
    <r>
      <rPr>
        <b/>
        <sz val="12"/>
        <rFont val="Sakkal Majalla"/>
      </rPr>
      <t xml:space="preserve">مصاريف تجديد التمويل </t>
    </r>
    <r>
      <rPr>
        <sz val="12"/>
        <rFont val="Sakkal Majalla"/>
      </rPr>
      <t>(حال التجديد فقط)</t>
    </r>
  </si>
  <si>
    <t xml:space="preserve">- مصاريف الإستعلام الائتماني والسجل المدني (إن وجد) </t>
  </si>
  <si>
    <t>(وفق مقدم خدمة الإستعلام الائتماني للعميل وضامنيه)</t>
  </si>
  <si>
    <t>-مصاريف إصدار مخالصة سداد التمويل / ابراء الذمة</t>
  </si>
  <si>
    <t>(وفق طلب العميل)</t>
  </si>
  <si>
    <r>
      <t>·</t>
    </r>
    <r>
      <rPr>
        <b/>
        <sz val="7"/>
        <rFont val="Times New Roman"/>
        <family val="1"/>
      </rPr>
      <t xml:space="preserve">         </t>
    </r>
    <r>
      <rPr>
        <b/>
        <sz val="12"/>
        <rFont val="Sakkal Majalla"/>
      </rPr>
      <t>مصاريف صرف التمويل بطريقة غير نقدية</t>
    </r>
  </si>
  <si>
    <r>
      <t>·</t>
    </r>
    <r>
      <rPr>
        <sz val="7"/>
        <rFont val="Times New Roman"/>
        <family val="1"/>
      </rPr>
      <t xml:space="preserve">         </t>
    </r>
    <r>
      <rPr>
        <sz val="12"/>
        <rFont val="Sakkal Majalla"/>
      </rPr>
      <t>(تدفع وفق التعاقد مع مقدم خدمة الدفع غير النقدي في حينه)</t>
    </r>
  </si>
  <si>
    <t>إجمالي مصاريف خدمات أخرى تدفع مرة واحدة عند الحصول على التمويل</t>
  </si>
  <si>
    <r>
      <t>·</t>
    </r>
    <r>
      <rPr>
        <b/>
        <sz val="7"/>
        <rFont val="Times New Roman"/>
        <family val="1"/>
      </rPr>
      <t xml:space="preserve">         </t>
    </r>
    <r>
      <rPr>
        <b/>
        <sz val="12"/>
        <rFont val="Sakkal Majalla"/>
      </rPr>
      <t>مصاريف تحصيل للقسط الواحد بطريقة غير نقدية</t>
    </r>
  </si>
  <si>
    <t>(تحصل وفق التعاقد مع مقدم خدمة الدفع غير النقدي في حينه)</t>
  </si>
  <si>
    <r>
      <t>- مصاريف قسط التأمين الإلزامي شهرياً ضد مخاطر الوفاة والعجز الكلى المستدام</t>
    </r>
    <r>
      <rPr>
        <sz val="12"/>
        <rFont val="Sakkal Majalla"/>
      </rPr>
      <t xml:space="preserve"> (حال دفعها من العميل)</t>
    </r>
  </si>
  <si>
    <r>
      <t>·</t>
    </r>
    <r>
      <rPr>
        <sz val="7"/>
        <rFont val="Times New Roman"/>
        <family val="1"/>
      </rPr>
      <t xml:space="preserve">         </t>
    </r>
    <r>
      <rPr>
        <b/>
        <sz val="12"/>
        <rFont val="Sakkal Majalla"/>
      </rPr>
      <t>مصاريف التأمين الإختيارى</t>
    </r>
    <r>
      <rPr>
        <sz val="12"/>
        <rFont val="Sakkal Majalla"/>
      </rPr>
      <t xml:space="preserve"> (إن وجد مع ذكر نوعه)</t>
    </r>
  </si>
  <si>
    <r>
      <t>-مصروفات أخرى</t>
    </r>
    <r>
      <rPr>
        <sz val="12"/>
        <rFont val="Sakkal Majalla"/>
      </rPr>
      <t xml:space="preserve"> (تذكر تحديداً ومدى تكراريتها)</t>
    </r>
  </si>
  <si>
    <t>إجمالي مصاريف خدمات أخرى تدفع كل شهر خلال فترة التمويل</t>
  </si>
  <si>
    <t xml:space="preserve">-قيمة غرامة التأخير للقسط (إن حدث) شهريا                                                                                          </t>
  </si>
  <si>
    <t>• مبلغ التمويل المطلوب من العميل</t>
  </si>
  <si>
    <t>- إجمالي المبالغ المستقطعة من مبلغ التمويل عند الإستلام</t>
  </si>
  <si>
    <t>قسط
 أول</t>
  </si>
  <si>
    <t>قيمة تكلفة</t>
  </si>
  <si>
    <t>مصاريف إدارية</t>
  </si>
  <si>
    <t>(إن وجدت) وفق السياسة المعتمدة لجهة التمويل</t>
  </si>
  <si>
    <t>التمويل</t>
  </si>
  <si>
    <t>مقدم</t>
  </si>
  <si>
    <t>مبلغ</t>
  </si>
  <si>
    <t>مدة</t>
  </si>
  <si>
    <t>- صافي المبلغ المستلم من العميل</t>
  </si>
  <si>
    <t>العميل                                                                         تاريخ</t>
  </si>
  <si>
    <t>اخصائى تمويل</t>
  </si>
  <si>
    <t>تاريخ</t>
  </si>
  <si>
    <t>إقرار</t>
  </si>
  <si>
    <t>الجنسية /</t>
  </si>
  <si>
    <t>مصرى</t>
  </si>
  <si>
    <t xml:space="preserve">و احمل تحقيق شخصية رقم قومى </t>
  </si>
  <si>
    <t xml:space="preserve">بالتزامى بسداد قيمة القرض الممنوح لى من جمعية الصعيد للتربية و التنمية نظير القرض بموجب العقد المحرر </t>
  </si>
  <si>
    <t xml:space="preserve"> بتاريخ</t>
  </si>
  <si>
    <t xml:space="preserve">  كما أقر أنه فى حالة توقفى عن سداد أى ثلاث أقساط متتالية من أقساط القرض الممنوح لى يحق للجمعية أو من يحيل إليه الحق فى أتخاذ كافة الإجراءات القانونية قبلى للمطالبة بكامل الأقساط المستحقة على و تحميليى كافة المصاريف الإدارية و القضائية من جراء ذلك</t>
  </si>
  <si>
    <t xml:space="preserve"> هذا الإقرار منى للالتزام به واعتباره جزء لا يجزأ من العقد المنوه عنه عاليه</t>
  </si>
  <si>
    <t xml:space="preserve"> المقر بما فيه</t>
  </si>
  <si>
    <t>الاسم /</t>
  </si>
  <si>
    <t>التوقيع /</t>
  </si>
  <si>
    <t>تحقيق الشخصية /</t>
  </si>
  <si>
    <t>يقر الجمعية بأن هذا الإقرار تم توقيعه أمام أحد موظفى الجمعية المختصين و فى حالة ثبوت مخالفة ذلك يكون الجمعية هو المسئول عن أى مديونية تستحق على العضو .</t>
  </si>
  <si>
    <t>مرفق رقم (1)</t>
  </si>
  <si>
    <t>الأقصر</t>
  </si>
  <si>
    <t>إقرار الكفالة التضامنية</t>
  </si>
  <si>
    <t>موبايل :</t>
  </si>
  <si>
    <t>عقد تمويل مشروع متناهي الصغر (فردي)</t>
  </si>
  <si>
    <t xml:space="preserve">ثانياً: السيد /	</t>
  </si>
  <si>
    <t>رقم قومي /</t>
  </si>
  <si>
    <t>محافظة /</t>
  </si>
  <si>
    <t>المقيم في /</t>
  </si>
  <si>
    <t>إحداثيات الموقع /</t>
  </si>
  <si>
    <t>السن /</t>
  </si>
  <si>
    <t>تاريخ الميلاد /</t>
  </si>
  <si>
    <t>صاحب ومدير مشــــــــــــروع /</t>
  </si>
  <si>
    <t>موبايل /</t>
  </si>
  <si>
    <t>في العنوان /</t>
  </si>
  <si>
    <t>(طرف ثاني)</t>
  </si>
  <si>
    <r>
      <rPr>
        <b/>
        <u/>
        <sz val="13"/>
        <rFont val="Arial"/>
        <family val="2"/>
      </rPr>
      <t>بند 4:</t>
    </r>
    <r>
      <rPr>
        <sz val="13"/>
        <rFont val="Arial"/>
        <family val="2"/>
      </rPr>
      <t xml:space="preserve"> يقر الطرف الثاني بأن نشاطه /</t>
    </r>
  </si>
  <si>
    <t>وغرض استخدام التمويل في /</t>
  </si>
  <si>
    <t>لنمو مستوي نشاطه وتلبية متطلبات السوق وذلك بناء على الطلب ودراسة الجدارة الائتمانية والمستندات المقدمة من الطرف الثاني مما ينشئ التزام عليه أمام الطرف الاول ببذل عناية الرجل الحريص بما يحقق للمشروع الاستمرارية والنجاح اعتباراً من تاريخه.</t>
  </si>
  <si>
    <t>جنيهاً</t>
  </si>
  <si>
    <t xml:space="preserve">بتكلفـــــــة تمويـــــــل تقدر بمبلغ وقدره </t>
  </si>
  <si>
    <t xml:space="preserve">بما يقــــــابل معدل </t>
  </si>
  <si>
    <t>مبــــلغ وقدرة</t>
  </si>
  <si>
    <t xml:space="preserve">قسط عن طريق شركات الدفع الالكتروني المحددة سلفاً من الطرف الاول أو بالحساب الجاري الخاص بالجمعية مع تقديم اشعار الدفع  </t>
  </si>
  <si>
    <t xml:space="preserve">للجمعيــة على أن يلتزم الطـرف الثاني بالســداد في التواريخ المتفق عليها مع الطرف الاول بدء من تاريخ     </t>
  </si>
  <si>
    <r>
      <rPr>
        <b/>
        <u/>
        <sz val="13"/>
        <rFont val="Arial"/>
        <family val="2"/>
      </rPr>
      <t xml:space="preserve">المرفقات:
</t>
    </r>
    <r>
      <rPr>
        <sz val="5"/>
        <rFont val="Arial"/>
        <family val="2"/>
      </rPr>
      <t xml:space="preserve">
</t>
    </r>
    <r>
      <rPr>
        <sz val="13"/>
        <rFont val="Arial"/>
        <family val="2"/>
      </rPr>
      <t xml:space="preserve">1- الكفالة التضامنية                                                                            2- جدول تواريخ وقيمة الاقساط المستحقة	</t>
    </r>
  </si>
  <si>
    <t>طرف اول 	                                                                          طرف ثاني</t>
  </si>
  <si>
    <t xml:space="preserve">التوقيع: </t>
  </si>
  <si>
    <t>.........................................................................................................</t>
  </si>
  <si>
    <t xml:space="preserve">توقيع ضامن اول متضامن: </t>
  </si>
  <si>
    <r>
      <rPr>
        <b/>
        <u/>
        <sz val="13"/>
        <rFont val="Arial"/>
        <family val="2"/>
      </rPr>
      <t>بند 13:</t>
    </r>
    <r>
      <rPr>
        <sz val="13"/>
        <rFont val="Arial"/>
        <family val="2"/>
      </rPr>
      <t xml:space="preserve"> يحق للطرف الاول في أي وقت يشاء إدماج أو تحويل رصيد التمويل إلى الجهة التي يحددها مع التنبيه كتابةً على الطرف الثاني بتباعات ذلك دون تحمل الطرف الثاني أي مصاريف او اعباء اضافية.
</t>
    </r>
    <r>
      <rPr>
        <b/>
        <u/>
        <sz val="13"/>
        <rFont val="Arial"/>
        <family val="2"/>
      </rPr>
      <t>بند 14:</t>
    </r>
    <r>
      <rPr>
        <sz val="13"/>
        <rFont val="Arial"/>
        <family val="2"/>
      </rPr>
      <t xml:space="preserve"> يلتزم الطرف الثاني بإخطار الطرف الاول كتابة بأي تغيير قد ينشأ في بياناته أو بيانات المشروع أو بيانات الضامنين كما يقر بأن أي طلب 
أو إخطار أو انذار أو اشعار أو مراسلات موجهة من الجمعية على العنوان الموضح بالعقد الماثل يعتبر أرسل قانوناً ونافذاً لمفعوله.
</t>
    </r>
    <r>
      <rPr>
        <b/>
        <u/>
        <sz val="13"/>
        <rFont val="Arial"/>
        <family val="2"/>
      </rPr>
      <t>بند 15:</t>
    </r>
    <r>
      <rPr>
        <sz val="13"/>
        <rFont val="Arial"/>
        <family val="2"/>
      </rPr>
      <t xml:space="preserve"> يتعهد الطرف الثاني أن اجمالي رصيد التمويل من أصل وتكلفة التمويل وأي ملحقات ناشئة يعتبر مستحق الاداء بأكمله دون الحاجة إلى تنبيه 
او انذار ودون اللجوء إلى حكم قضائي أو اي إجراء آخر في الحالات التالية:</t>
    </r>
  </si>
  <si>
    <r>
      <t xml:space="preserve">  </t>
    </r>
    <r>
      <rPr>
        <b/>
        <sz val="13"/>
        <rFont val="Arial (Arabic)"/>
        <family val="2"/>
        <charset val="178"/>
      </rPr>
      <t>برنامج التمويل المتناهي الصغر</t>
    </r>
  </si>
  <si>
    <t xml:space="preserve">    جمعيــة الصعيــد للتربيــة والتنميــة</t>
  </si>
  <si>
    <t>أولاً: جمعية الصعيد للتربية والتنمية ويمثلها قانوناً السيد المهندس / وحيد نجيب جندي 	بصفته رئيس مجلس الادارة وينوب عنه في التوقيع على هذا العقد 
السيد / عماد جميل امين    بصفته مدير برنامج التمويل المتناهي الصغر بالجمعية والكائن مقره في العنوان: 43 ش حنظلة بن الربيع امام مدرسة النور للمكفوفين – سوهاج                                                                                                                       (طرف أول)</t>
  </si>
  <si>
    <t>1 / 2</t>
  </si>
  <si>
    <t>2 / 2</t>
  </si>
  <si>
    <t xml:space="preserve"> و أتعهد بأن اسدد بالتضامن لأمر جمعية الصعيد للتربية و التنمية رصيد هذا التمويل من أصل و تكلفة و ملحقات ناشئة عند إستحقاقة أو حلول أجل السداد لأي سبب كان في الميعاد أو بعد الميعاد حتي تمام السداد و لا ينتهي مفعول هذه الكفالة التضامنية إلا بموجب كتاب يصدر من جمعية الصعيد للتربية و التنمية يفيد إلغائها بعد سداد كافة المستحقات و يحق للجمعية الرجوع علينا بقيمة رصيد هذا التمويل أو ملحقاته الناشئة منفردة أو متجمعة مع الدين الأصلي علي وجه التضامن حسب رغبة الجمعية و أقر بأن هذه الكفالة التضامنية تتجدد تلقائياً لصالح جمعية الصعيد للتربية و التنمية في حالة إستحقاق التمويل أو إستعماله لأي مدد أخري و تظل هذه الكفالة التضامنية سارية و نافذة المفعول حتي سداد جميع المستحقات للجمعية من أصل و تكلفة التمويل و ملحقات ناشئة. وهذا إقرار مني بذلك .</t>
  </si>
  <si>
    <r>
      <rPr>
        <b/>
        <u/>
        <sz val="13"/>
        <rFont val="Arial"/>
        <family val="2"/>
      </rPr>
      <t>تمهيد:</t>
    </r>
    <r>
      <rPr>
        <sz val="13"/>
        <rFont val="Arial"/>
        <family val="2"/>
      </rPr>
      <t xml:space="preserve">
جمعية الصعيد للتربية والتنمية هي جمعية ذات صفة عامة ومسجلة بالإدارة المركزية للجمعيات بوزارة التضامن الاجتماعي برقم 576 لسنة 2009 والحاصلة على ترخيص من الهيئة العامة للرقابة المالية برقم 1420 لممارسة التمويل المتناهي الصغر إعمالاً لأحكام القانون رقم 141لسنة 2014 والقانون رقم 201 لسنة 2020 وكذلك القانون رقم 155 لسنة 2022 بشأن تعديل بعض أحكام القانون رقم 141 لسنة 2014 بتنظيم مزاولة نشاط تمويل المشروعات المتوسطة والصغيرة والمتناهية الصغر- توفر جمعية الصعيد للتربية والتنمية تمويل للمشروعات المتناهية الصغر في مصر طبقاً للسياسات المعتمدة بالجمعية وبناء علي رغبة الطرف الثاني بالحصول على تمويل لمشروعه, وافقت الجمعية على منحه تمويل بناء على دراسة المستندات المقدمة والجدارة الائتمانية للمشروع ,وتم إطلاع الطرف الثاني على القواعد والاجراءات الخاصة بمنح هذا التمويل وموافقته عليها , وبعد أن أقر الطرفان بأهليتهما للتعاقد والتصرف تحرر هذا العقد لتوثيق هذا الاتفاق حيث اتفق الطرفان على ما يلي:
</t>
    </r>
    <r>
      <rPr>
        <b/>
        <u/>
        <sz val="13"/>
        <rFont val="Arial"/>
        <family val="2"/>
      </rPr>
      <t>بند 1:</t>
    </r>
    <r>
      <rPr>
        <sz val="13"/>
        <rFont val="Arial"/>
        <family val="2"/>
      </rPr>
      <t xml:space="preserve"> يعتبر التمهيد السابق والطلب والمستندات المقدمة من الطرف الثاني والمرفقات (7 مرفقات) والنظام واللوائح والتعليمات المنظمة المعتمدة مسبقاً من الطرف الاول جزء لا يتجزأ من هذا العقد ومكملاً له وبنداً من بنوده.
</t>
    </r>
    <r>
      <rPr>
        <b/>
        <u/>
        <sz val="13"/>
        <rFont val="Arial"/>
        <family val="2"/>
      </rPr>
      <t>بند 2:</t>
    </r>
    <r>
      <rPr>
        <sz val="13"/>
        <rFont val="Arial"/>
        <family val="2"/>
      </rPr>
      <t xml:space="preserve"> يقر الطرف الثاني أنه قد تقدم بطلب لتمويل مشروعه مرفق به مستندات عن المنشأة الخاصة به للطرف الاول راغباً في الحصول على تمويل متناهي الصغر لاستخدامه في النشاط والمكان الموضح اعلاه وقد تسلم نسخة من كافة البيانات المتعلقة بالتمويل الممنوح موضح به شروط التمويل وتواريخ استحقاق السداد وايام الاجازات الاسبوعية وآليات الدفع الالكتروني ونظام التأمين المتناهي الصغر وهيكل التسعير ويتعهد بالالتزام بها بخلاف فترات الترحيل والسداد المعجل والجدولة المعتمدة من الجمعية.
</t>
    </r>
    <r>
      <rPr>
        <b/>
        <u/>
        <sz val="13"/>
        <rFont val="Arial"/>
        <family val="2"/>
      </rPr>
      <t>بند 3:</t>
    </r>
    <r>
      <rPr>
        <sz val="13"/>
        <rFont val="Arial"/>
        <family val="2"/>
      </rPr>
      <t xml:space="preserve"> يقر الطرف الثاني باطلاعه وموافقته على نموذج الافصاح وأنظمة السداد الالكتروني والتزامه باتباع كافة الاجراءات والشروط والجدول الزمني للسداد المسلم له.</t>
    </r>
  </si>
  <si>
    <r>
      <rPr>
        <b/>
        <u/>
        <sz val="13"/>
        <rFont val="Arial"/>
        <family val="2"/>
      </rPr>
      <t>بند 6:</t>
    </r>
    <r>
      <rPr>
        <sz val="13"/>
        <rFont val="Arial"/>
        <family val="2"/>
      </rPr>
      <t xml:space="preserve"> يقر الطرف الثاني أنه تسلم قيمة التمويل المعتمد كاملاً وقت تحرير العقد الماثل ويعتبر توقيعه بمثابة إقرار وتخالص رسمياً ونهائياً باستلامه كامل القيمة المذكورة بالعقد.</t>
    </r>
  </si>
  <si>
    <t xml:space="preserve">وفي حالة التأخير عن السداد في الميعاد المحدد تحتسب غرامة تأخير إضافية مستحقة بواقع 1% </t>
  </si>
  <si>
    <t>إقرار موافقة وتفويض بالاستعلام الائتماني</t>
  </si>
  <si>
    <t>إقرار موافقة على استخدام خدمات الدفع الإلكتروني
في مجال نشاط التمويل متناهي الصغر</t>
  </si>
  <si>
    <t>على استخدام خدمات الدفع الالكتروني  طبقاً لتعاقد جمعية الصعيد للتربية والتنمية مع شركات تقديم خدمات الدفع الالكتروني لأغراض :
-  صرف التمويل                   - سداد أقساط التمويل
- سداد أي مستحقات لجمعية الصعيد للتربية و التنمية وصرف أي مستحقات للعميل على أن يكون كلاهما مرتبط بالتمويل متناهي الصغر، والناشئة عن حصولي على تمويل متناهي الصغر من جمعية الصعيد للتربية والتنمية ، والتي قامت بإرشادي على كيفية استخدام هذه الخدمات .
ويعد الإيصال المطبوع الذي يتم استلامه عند إجراء عمليات السداد أو الصرف لدى منافذ الدفع الالكتروني تأكيد لإتمام المعاملة المالية المطلوبة، طبقاً لأحكام التعاقد بين جمعية جمعية الصعيد للتربية والتنمية ، وشركة تقديم خدمات الدفع الالكتروني، ويعد توقيعي على هذه الموافقة تأكيداً على قبولي استخدام الخدمة وبالحقوق والالتزامات الناشئة عنها وطريقة تقديم الشكوى بشأنها (ان وجدت) .
كما ألتزم بإخطار جمعية الصعيد للتربية والتنمية في حالة فقدان الهاتف المحمول الخاص بي أو تغيير الرقم الخاص بي في حينه .وهذا إقرار موافقة وتفويض مني بذلك (غير قابل للإلغاء) ,,</t>
  </si>
  <si>
    <t>اسم العميل /</t>
  </si>
  <si>
    <t>كود العميل/</t>
  </si>
  <si>
    <t>فيمة التمويل/</t>
  </si>
  <si>
    <t>النشاط /</t>
  </si>
  <si>
    <t>قيمة القسط /</t>
  </si>
  <si>
    <t>عدد الأقساط /</t>
  </si>
  <si>
    <t>اقر بالعلم بجدول الأقساط المعتمدة من الجمعية واتعهد بالالتزام بسداد قيمة الأقساط طبقاً للجدول:</t>
  </si>
  <si>
    <t>تاريخ استحقاق القسط</t>
  </si>
  <si>
    <t>تعليمات هامة :</t>
  </si>
  <si>
    <t>وهذا إقرار بالعلم والاحاطة.</t>
  </si>
  <si>
    <t>المقر بما فيه</t>
  </si>
  <si>
    <t>.................................................................................................</t>
  </si>
  <si>
    <t>الموافق</t>
  </si>
  <si>
    <t xml:space="preserve"> تم الاتفاق بمقر مكتب الجمعية للتمويل المتناهي الصغر بين كلاً من:</t>
  </si>
  <si>
    <t>انه في يوم</t>
  </si>
  <si>
    <t xml:space="preserve">المؤهــــــــــل- المهـــــــنة / </t>
  </si>
  <si>
    <r>
      <rPr>
        <b/>
        <u/>
        <sz val="13"/>
        <rFont val="Arial"/>
        <family val="2"/>
      </rPr>
      <t>بند 5:</t>
    </r>
    <r>
      <rPr>
        <sz val="13"/>
        <rFont val="Arial"/>
        <family val="2"/>
      </rPr>
      <t xml:space="preserve"> بموجب هذا العقــــــــــد وافق الطـرف الاول على منح الطــــرف الثـاني تمويلاً متناهي الصــــــــغر مبلغ وقدره</t>
    </r>
  </si>
  <si>
    <t xml:space="preserve">فيكون الاجمالي المستحق على الطرف الثاني </t>
  </si>
  <si>
    <t>تسدد على أقسـاط متساوية عددها</t>
  </si>
  <si>
    <t>..............................................................................................................................................</t>
  </si>
  <si>
    <t xml:space="preserve">طرف ثاني         التوقيع: </t>
  </si>
  <si>
    <r>
      <rPr>
        <b/>
        <u/>
        <sz val="13"/>
        <rFont val="Arial"/>
        <family val="2"/>
      </rPr>
      <t>بند 7:</t>
    </r>
    <r>
      <rPr>
        <sz val="13"/>
        <rFont val="Arial"/>
        <family val="2"/>
      </rPr>
      <t xml:space="preserve"> يتحمل الطرف الثاني الرسوم المعتمدة من مجلس ادارة الجمعية بدليل سياسات ولائحة التمويل المتناهي الصغر في الحالات التالية:
          1) عدم التزام الطرف الثاني بسداد قيمة التمويل أو قسط من اقساطه في مواعيد الاستحقاق المتفق عليها ويحتسب غرامة تأخير قدرها 1% من قيمة 
             القسط الدوري مقربة لأقرب جنية عن كل يوم تأخير مضافة إلى قيمة القسط المستحق والقيمة بالكامل واجبة السداد السريع من الطرف  الثاني 
            فضلاً عن حق الطرف الاول باتخاذ الاجراءات القانونية.
           2) تعرض العميل ظروف الاستثنائية للعميل (الترحيل أو الجدولة أو التصفية) أو الاجراءات القانونية بمراحلها المختلفة.
</t>
    </r>
    <r>
      <rPr>
        <b/>
        <u/>
        <sz val="13"/>
        <rFont val="Arial"/>
        <family val="2"/>
      </rPr>
      <t>بند 8:</t>
    </r>
    <r>
      <rPr>
        <sz val="13"/>
        <rFont val="Arial"/>
        <family val="2"/>
      </rPr>
      <t xml:space="preserve"> يتولى الطرف الاول توفير تأمين على الحياة والعجز الكلي المستديم للطرف الثاني ضمن وثيقة تأمين جماعي على حياة عملاء التمويل المتناهي الصغر وفي حالة حدوث الخطر المؤمن ضده – لا قدر الله – يتولى الطرف الاول تسوية الرصيد المستحق على الطرف الثاني بالتنسيق مع شركة التأمين.
</t>
    </r>
    <r>
      <rPr>
        <b/>
        <u/>
        <sz val="13"/>
        <rFont val="Arial"/>
        <family val="2"/>
      </rPr>
      <t>بند 9:</t>
    </r>
    <r>
      <rPr>
        <sz val="13"/>
        <rFont val="Arial"/>
        <family val="2"/>
      </rPr>
      <t xml:space="preserve"> يلتزم الطرف الاول بقبول السداد الجزئي أو السداد المعجل مع خصم قيمة تكلفة التمويل للأقساط المعجلة التي تقدر بنسبة 5% بحسب اللائحة المعتمدة 
 من مجلس الادارة.
</t>
    </r>
    <r>
      <rPr>
        <b/>
        <u/>
        <sz val="13"/>
        <rFont val="Arial"/>
        <family val="2"/>
      </rPr>
      <t>بند 10:</t>
    </r>
    <r>
      <rPr>
        <sz val="13"/>
        <rFont val="Arial"/>
        <family val="2"/>
      </rPr>
      <t xml:space="preserve"> يقر الطرف الثاني إقراراً نهائياً غير قابل للإلغاء بأن محتويات مشروعه تعتبر على سبيل الامانة وضماناً لسداد قيمة التمويل الممنوح شاملاً تكلفة التمويل وجميع الرسوم او الملحقات الناشئة عنه وبالتالي لا تؤول ملكية المشروع ومحتوياته إلى الطرف الثاني إلا بعد سداد قيمة التمويل وتكلفته بالكامل والحصول على مخالصة نهائية من الطرف الاول بإنهاء التعاقد.</t>
    </r>
  </si>
  <si>
    <r>
      <rPr>
        <b/>
        <u/>
        <sz val="13"/>
        <rFont val="Arial"/>
        <family val="2"/>
      </rPr>
      <t>بند 11:</t>
    </r>
    <r>
      <rPr>
        <sz val="13"/>
        <rFont val="Arial"/>
        <family val="2"/>
      </rPr>
      <t xml:space="preserve"> يقر كلاً من السادة الضامنين الموقعين على العقد الماثل والكفالة التضامنية بالتضامن مع الطرف الثاني في سداد كافة المستحقات للطرف الاول 
 حتى سداد كامل قيمة التمويل الممنوح وتكلفة التمويل وجميع الرسوم أو الملحقات الناشئة عنه.
</t>
    </r>
    <r>
      <rPr>
        <b/>
        <u/>
        <sz val="13"/>
        <rFont val="Arial"/>
        <family val="2"/>
      </rPr>
      <t xml:space="preserve"> بند 12:</t>
    </r>
    <r>
      <rPr>
        <sz val="13"/>
        <rFont val="Arial"/>
        <family val="2"/>
      </rPr>
      <t xml:space="preserve"> يقر الطرف الثاني أنه يحق للطرف الاول زيارة ومتابعة وتوثيق مراحل تنفيذ المشروع / النشاط الممول بالصور الفوتوغرافية  أو بالأفلام بمعرفة 
 فريق العمل بجمعية الصعيد للتربية والتنمية كما يصرح الطرف الثاني بالكشف والافصاح عن الصور أو الافلام الخاصة بمشروعه دون الإساءة إلى أي طرف من الاطراف.
كما يصرح الطرف الثاني باستخدام بيانات المشروع المالية للاستعلام الالكتروني من الجهات المرخص لها من البنك المركزي المصري والتوقيع على هذا العقد من الطرف الثاني يعتبر بمثابة موافقة كتابية للطرف الاول بالتنفيذ دون الرجوع إلى الطرف الثاني. </t>
    </r>
  </si>
  <si>
    <r>
      <rPr>
        <b/>
        <u/>
        <sz val="13"/>
        <rFont val="Arial"/>
        <family val="2"/>
      </rPr>
      <t>بند 16:</t>
    </r>
    <r>
      <rPr>
        <sz val="13"/>
        <rFont val="Arial"/>
        <family val="2"/>
      </rPr>
      <t xml:space="preserve"> يحق للطرف الاول ومن يمثله قانوناً في حالة مخالفة الطرف الثاني لتنفيذ اي بند من بنود العقد الرجوع عليه وعلى ضامنيه بالإجراءات القانونية مدنياً وجنائياً فضلاً عن التعويض اللازم في هذا الشأن على ان تكون محاكم سوهاج بأنواعها هي المختصة دون سواها بالفصل في جميع المنازعات التي تنشأ 
 عن تفسير او تنفيذ اي بند من بنود هذا العقد.
</t>
    </r>
    <r>
      <rPr>
        <b/>
        <u/>
        <sz val="13"/>
        <rFont val="Arial"/>
        <family val="2"/>
      </rPr>
      <t>بند 17:</t>
    </r>
    <r>
      <rPr>
        <sz val="13"/>
        <rFont val="Arial"/>
        <family val="2"/>
      </rPr>
      <t xml:space="preserve"> هذا العقد محرر من أربع صفحات شاملاً المرفقات وقد وقع عليه كلاً من الطرف الاول والطرف الثاني والضامنين وقد اطلع الطرف الثاني والضامنين على جميع بنود العقد الماثل والشروط المدرجة بالكامل.
</t>
    </r>
    <r>
      <rPr>
        <b/>
        <u/>
        <sz val="13"/>
        <rFont val="Arial"/>
        <family val="2"/>
      </rPr>
      <t>بند 18:</t>
    </r>
    <r>
      <rPr>
        <sz val="13"/>
        <rFont val="Arial"/>
        <family val="2"/>
      </rPr>
      <t xml:space="preserve"> تحرر هذا العقد من نسختين اصليتين بيد كلاً من الطرفين نسخة للعمل بموجبها عند الاقتضاء وقد وقع جميع الاطراف بعد الموافقة على جميع البنود الواردة بالعقد الماثل.</t>
    </r>
  </si>
  <si>
    <t>......................................................................................................................</t>
  </si>
  <si>
    <r>
      <t xml:space="preserve">توقيع ضامن ثاني متضامن:  </t>
    </r>
    <r>
      <rPr>
        <sz val="5"/>
        <rFont val="Arial"/>
        <family val="2"/>
      </rPr>
      <t>.......................................................................................</t>
    </r>
  </si>
  <si>
    <t xml:space="preserve"> و قبلت سريانه في حقي شخصياً </t>
  </si>
  <si>
    <t>أقر بأنني اطلعت علي شروط  التمويل من جمعية الصعيد للتربية و التنمية طبقاً للعقد المحرر في</t>
  </si>
  <si>
    <t xml:space="preserve">تحريراً في </t>
  </si>
  <si>
    <t>مرفق (1)</t>
  </si>
  <si>
    <t xml:space="preserve">رقم الموبايل الخاص بالعميل لتلقي رسائل الخدمة : </t>
  </si>
  <si>
    <t>نموذج الإفصاح الرسمي عن هيكل التسعير المسؤول – منتج فردي</t>
  </si>
  <si>
    <t xml:space="preserve">                    برنامج التمويل المتناهي الصغر</t>
  </si>
  <si>
    <t>من 3 ج إلي 15 ج</t>
  </si>
  <si>
    <t xml:space="preserve">اسم الفرع : </t>
  </si>
  <si>
    <t>1- يحذر سداد أي مبالع بدون الحصول علي إيصال سداد او تسليم مبالغ يدوياً لأي شخص.</t>
  </si>
  <si>
    <t>2- في حالة عدم سداد قيمة الأقساط في التواريخ المحددة من خلال وسائل الدفع الالكتروني يتم تطبيق غرامة بمعدل 1% من قيمة القسط مقربة لأقرب جنية عن كل يوم تأخير وتحصل مع قيمة القسط.</t>
  </si>
  <si>
    <t>3- إمكانية السداد المعجل مع سداد الرسوم والعمولات المعتمدة وتقدر بـ 5% من قيمة أصل التمويل المعجل بعد خصم الأقساط المستحقة والاقساط التي حل أجل سدادها حتي 30 يوم من تاريخ السداد المعجل</t>
  </si>
  <si>
    <t>4- لا تفصح عن البيانات الشخصية والمالية لأي شخص او جهه منعاً للتعرض للنصب والاحتيال</t>
  </si>
  <si>
    <t>إجمالى نسبة معدل تكلفة التمويل والمصاريف الإدارية</t>
  </si>
  <si>
    <t xml:space="preserve"> - مصاريف قسط التأمين الإلزامي شهرياً ضد مخاطر الوفاة والعجز الكلى المستدام (حال دفعها من العميل)</t>
  </si>
  <si>
    <r>
      <t xml:space="preserve"> -مصروفات أخرى</t>
    </r>
    <r>
      <rPr>
        <sz val="12"/>
        <rFont val="Sakkal Majalla"/>
      </rPr>
      <t xml:space="preserve"> (تذكر تحديداً ومدى تكراريتها)</t>
    </r>
  </si>
  <si>
    <t xml:space="preserve"> -مصاريف إصدار مخالصة سداد التمويل / ابراء الذمة  (وفق طلب العميل)</t>
  </si>
  <si>
    <r>
      <t xml:space="preserve"> -مصاريف صرف التمويل بطريقة غير نقدية </t>
    </r>
    <r>
      <rPr>
        <sz val="12"/>
        <rFont val="Arial"/>
        <family val="2"/>
      </rPr>
      <t>(تدفع وفق التعاقد مع مقدم خدمة الدفع غير النقدي في حينه)</t>
    </r>
  </si>
  <si>
    <t xml:space="preserve">توقيع العميل                                                                       </t>
  </si>
  <si>
    <t xml:space="preserve">  تاريخ</t>
  </si>
  <si>
    <t>...........................................................................</t>
  </si>
  <si>
    <r>
      <t xml:space="preserve"> -</t>
    </r>
    <r>
      <rPr>
        <sz val="12"/>
        <rFont val="Times New Roman"/>
        <family val="1"/>
      </rPr>
      <t xml:space="preserve">  </t>
    </r>
    <r>
      <rPr>
        <b/>
        <sz val="12"/>
        <rFont val="Sakkal Majalla"/>
      </rPr>
      <t>مصاريف التأمين الإختيارى</t>
    </r>
    <r>
      <rPr>
        <sz val="12"/>
        <rFont val="Sakkal Majalla"/>
      </rPr>
      <t xml:space="preserve"> (إن وجد مع ذكر نوعه)</t>
    </r>
  </si>
  <si>
    <r>
      <t>ثانياً:</t>
    </r>
    <r>
      <rPr>
        <b/>
        <sz val="12"/>
        <rFont val="Sakkal Majalla"/>
      </rPr>
      <t xml:space="preserve"> نسبة المصاريف الإدارية</t>
    </r>
    <r>
      <rPr>
        <sz val="12"/>
        <rFont val="Sakkal Majalla"/>
      </rPr>
      <t xml:space="preserve"> (مرة واحدة عند تقديم التمويل)</t>
    </r>
  </si>
  <si>
    <r>
      <t>أولا:</t>
    </r>
    <r>
      <rPr>
        <b/>
        <sz val="12"/>
        <rFont val="Sakkal Majalla"/>
      </rPr>
      <t xml:space="preserve"> معدل تكلفة التمويل السنوى المطبق </t>
    </r>
    <r>
      <rPr>
        <sz val="12"/>
        <rFont val="Sakkal Majalla"/>
      </rPr>
      <t>(وفق معدل السعر الثابت)</t>
    </r>
  </si>
  <si>
    <r>
      <t xml:space="preserve"> - مصاريف الإستعلام الائتماني والسجل المدني (إن وجد)</t>
    </r>
    <r>
      <rPr>
        <sz val="12"/>
        <rFont val="Sakkal Majalla"/>
      </rPr>
      <t xml:space="preserve"> (وفق مقدم خدمة الإستعلام الائتماني للعميل وضامنيه)</t>
    </r>
  </si>
  <si>
    <r>
      <rPr>
        <b/>
        <sz val="12"/>
        <rFont val="Times New Roman"/>
        <family val="1"/>
      </rPr>
      <t xml:space="preserve"> -  </t>
    </r>
    <r>
      <rPr>
        <b/>
        <sz val="12"/>
        <rFont val="Sakkal Majalla"/>
      </rPr>
      <t>مصاريف تحصيل للقسط الواحد بطريقة غير نقدية(تحصل وفق التعاقد مع مقدم خدمة الدفع غير النقدي في حينه)</t>
    </r>
  </si>
  <si>
    <t>بيــــــــــــــــــــــــــــــــــــــــانات المشـــــــــــــــــــــــــــــــــروع</t>
  </si>
  <si>
    <t>بيـــــــــــــــــــــــــانات التمويـــــــــــــــــــــــــــل</t>
  </si>
  <si>
    <t>بيـــــــــــــــــــــــــــــــــــــــــانات الضامن الأول</t>
  </si>
  <si>
    <t>بيـــــــــــــــــــــــــــــــــانات الضامن الثاني</t>
  </si>
  <si>
    <t>خط الطول</t>
  </si>
  <si>
    <t>خط العرض</t>
  </si>
  <si>
    <t>بيـــــــــــــــــــــــــــــــــانات الضامن الثالث</t>
  </si>
  <si>
    <t>النشاط الرئيسي</t>
  </si>
  <si>
    <t>النشاط الفرعي الثاني</t>
  </si>
  <si>
    <t>النشاط الفرعي الثالث</t>
  </si>
  <si>
    <t xml:space="preserve"> ﺍﻧﺘﺎﺝ ﺣﻴﻮﺍﻧﻰ ﻭ ﺯﺭﺍﻋﻲ</t>
  </si>
  <si>
    <t xml:space="preserve"> ﺗﺮﺑﻴﺔ ﻭ ﺗﺴﻤﻴﻦ ﻣﺎﺷﻴﺔ</t>
  </si>
  <si>
    <t xml:space="preserve"> ﺗﺮﺑﻴﺔ ﺍﻟﺠﻤﺎﻝ</t>
  </si>
  <si>
    <t>ﻣﺰﺭﻋﺔ ﻣﻮﺍﺷﻰ ﻭﻣﻨﺘﺠﺎﺕ ﺍﻟﺒﺎﻥ</t>
  </si>
  <si>
    <t>ﺗﺠﺎﺭﺓ ﺣﻤﻴﺮ</t>
  </si>
  <si>
    <t>ﺗﺮﺑﻴﺔ ﻭ ﺗﺠﺎﺭﺓ ﺧﻴﻮﻝ</t>
  </si>
  <si>
    <t>ﺗﺮﺑﻴﺔ ﻭ ﺗﺴﻤﻴﻦ ﺍﻏﻨﺎﻡ</t>
  </si>
  <si>
    <t xml:space="preserve"> ﺗﺮﺑﻴﺔ ﺩﻭﺍﺟﻦ</t>
  </si>
  <si>
    <t xml:space="preserve"> ﺑﻂ ﻣﺴﻜﻮﻓﻲ</t>
  </si>
  <si>
    <t xml:space="preserve"> ﻣﻌﻤﻞ ﺗﻔﺮﻳﺦ</t>
  </si>
  <si>
    <t xml:space="preserve"> ﺗﺮﺑﻴﺔ ﺍﺭﺍﻧﺐ</t>
  </si>
  <si>
    <t xml:space="preserve"> ﻣﻨﺤﻞ</t>
  </si>
  <si>
    <t xml:space="preserve"> ﺍﻧﺘﺎﺝ ﻭ ﺑﻴﻊ ﻋﺴﻞ ﻧﺤﻞ</t>
  </si>
  <si>
    <t xml:space="preserve"> ﻣﺸﺘﻞ</t>
  </si>
  <si>
    <t xml:space="preserve"> ﺩﻭﺩﺓ ﺍﻟﻘﺰ</t>
  </si>
  <si>
    <t xml:space="preserve"> ﺗﺮﺑﻴﺔ ﺩﻭﺩﺓ ﺍﻟﻘﺰ</t>
  </si>
  <si>
    <t xml:space="preserve"> ﻋﻴﺶ ﺍﻟﻐﺮﺍﺏ</t>
  </si>
  <si>
    <t xml:space="preserve"> ﺗﺮﺑﻴﺔ ﻋﻴﺶ ﻏﺮﺍﺏ</t>
  </si>
  <si>
    <t>تجاري</t>
  </si>
  <si>
    <t xml:space="preserve"> ﺗﺠﺎﺭﺓ ﺧﺮﺩﻭﺍﺕ</t>
  </si>
  <si>
    <t xml:space="preserve"> ﺗﺠﺎﺭﺓ ﺧﺮﺩﻭﺍﺕ ﻭ ﺑﻘﺎﻟﺔ</t>
  </si>
  <si>
    <t xml:space="preserve"> ﺗﺠﺎﺭﺓ ﺧﺮﺩﻭﺍﺕ ﻭ ﺍﺣﺬﻳﺔ</t>
  </si>
  <si>
    <t xml:space="preserve"> ﺗﺠﺎﺭﺓ ﺧﺮﺩﻭﺍﺕ ﻭ ﻣﻼﺑﺲ</t>
  </si>
  <si>
    <t xml:space="preserve"> ﺗﺠﺎﺭﺓ ﺧﺮﺩﻭﺍﺕ ﻭ ﻋﻄﻮﺭ</t>
  </si>
  <si>
    <t xml:space="preserve"> ﺗﺠﺎﺭﺓ ﺧﺮﺩﻭﺍﺕ ﻭ ﺍﻛﺴﺴﻮﺍﺭﺍﺕ</t>
  </si>
  <si>
    <t>ﺗﺠﺎﺭﺓ ﺍﺩﻭﺍﺕ ﻣﻨﺰﻟﻴﺔ</t>
  </si>
  <si>
    <t>ﺗﺠﺎﺭﺓ ﺷﺮﺍﺋﻂ ﻛﺎﺳﻴﺖ</t>
  </si>
  <si>
    <t>ﺗﺠﺎﺭﺓ ﺧﺮﺩﻭﺍﺕ ﻭ ﻋﻄﺎﺭﺓ</t>
  </si>
  <si>
    <t>ﺗﺠﺎﺭﺓ ﺳﺎﻋﺎﺕ ﻭ ﻫﺪﺍﻳﺎ</t>
  </si>
  <si>
    <t>ﺗﺠﺎﺭﺓ ﻓﻀﻴﺎﺕ</t>
  </si>
  <si>
    <t>ﺗﺠﺎﺭﺓ ﺍﻛﻴﺎﺱ ﺑﻼﺳﺘﻴﻚ</t>
  </si>
  <si>
    <t>ﺗﺠﺎﺭﺓ ﺍﻓﻼﻡ ﺗﺼﻮﻳﺮ</t>
  </si>
  <si>
    <t>ﺧﺮﺩﻭﺍﺕ</t>
  </si>
  <si>
    <t>ﺧﺮﺩﻭﺍﺕ ﻭﻋﺎﺩﻳﺎﺕ ﺳﻴﺎﺣﻴﺔ</t>
  </si>
  <si>
    <t>ﻣﺤﻞ ﺑﻴﻊ ﺳﺠﺎﺋﺮ</t>
  </si>
  <si>
    <t>ﺗﺠﺎﺭﺓ ﻣﻮﺍﺩ ﻏﺬﺍﺋﻴﺔ</t>
  </si>
  <si>
    <t>ﺗﺠﺎﺭﺓ ﺑﻘﺎﻟﺔ</t>
  </si>
  <si>
    <t>ﺗﺠﺎﺭﺓ ﻣﻨﺘﺠﺎﺕ ﺍﻟﺒﺎﻥ</t>
  </si>
  <si>
    <t>ﺗﺠﺎﺭﺓ ﻓﺮﺍﺥ ﻭ ﻟﺤﻮﻡ ﻣﺠﻤﺪﺓ</t>
  </si>
  <si>
    <t>ﺗﺠﺎﺭﺓ ﻃﻴﻮﺭ</t>
  </si>
  <si>
    <t>ﺗﺠﺎﺭﺓ ﻟﺤﻮﻡ ﻣﺠﻤﺪﺓ</t>
  </si>
  <si>
    <t>ﺗﺠﺎﺭﺓ ﺍﻳﺲ ﻛﺮﻳﻢ</t>
  </si>
  <si>
    <t>ﺗﺠﺎﺭﺓ ﺑﻴﺾ</t>
  </si>
  <si>
    <t>ﺗﺠﺎﺭﺓ ﺣﺒﻮﺏ ﻭ ﻏﻼﻝ</t>
  </si>
  <si>
    <t>ﺗﺠﺎﺭﺓ ﻋﻄﺎﺭﺓ</t>
  </si>
  <si>
    <t>ﺗﺠﺎﺭﺓ ﺧﻀﺎﺭ ﻭ ﻓﺎﻛﻬﺔ</t>
  </si>
  <si>
    <t>ﺗﺠﺎﺭﺓ ﻣﻴﺎﺓ ﻏﺎﺯﻳﺔ</t>
  </si>
  <si>
    <t>ﺗﺠﺎﺭﺓ ﺑﻘﺎﻟﺔ ﺟﻤﻠﺔ</t>
  </si>
  <si>
    <t>ﺗﺠﺎﺭﺓ ﺩﻗﻴﻖ</t>
  </si>
  <si>
    <t>ﺗﺠﺎﺭﺓ ﺗﻤﻮﻳﻦ</t>
  </si>
  <si>
    <t>ﺗﺠﺎﺭﺓ ﺍﺳﻤﺎﻙ</t>
  </si>
  <si>
    <t>ﺗﺠﺎﺭﺓ ﺍﺳﻤﺎﻙ ﻣﻤﻠﺤﺔ</t>
  </si>
  <si>
    <t>ﺗﺠﺎﺭﺓ ﻃﻴﻮﺭ ﺣﻴﺔ</t>
  </si>
  <si>
    <t>ﺗﺴﺎﻟﻲ ﻭﻣﺴﺘﻠﺰﻣﺎﺕ ﺳﺒﻮﻉ</t>
  </si>
  <si>
    <t>ﺗﺠﺎﺭﺓ ﺑﻦ</t>
  </si>
  <si>
    <t>ﺗﺠﺎﺭﺓ ﻣﻠﺢ ﻃﻌﺎﻡ</t>
  </si>
  <si>
    <t>ﺗﺠﺎﺭﺓ ﻋﺴﻞ ﺍﺳﻮﺩ</t>
  </si>
  <si>
    <t>ﺗﺠﺎﺭﺓ ﻗﻄﻊ ﻏﻴﺎﺭ</t>
  </si>
  <si>
    <t>ﺗﺠﺎﺭﺓ ﺍﻛﺴﺴﻮﺍﺭﺍﺕ ﺳﻴﺎﺭﺍﺕ</t>
  </si>
  <si>
    <t>ﺗﺠﺎﺭﺓ ﻛﺎﻭﺗﺶ ﻭﺑﻄﺎﺭﻳﺎﺕ</t>
  </si>
  <si>
    <t>ﺗﺠﺎﺭﺓ ﻗﻄﻊ ﻏﻴﺎﺭ ﺳﻴﺎﺭﺍﺕ</t>
  </si>
  <si>
    <t>ﺗﺠﺎﺭﺓ ﻗﻄﻊ ﻏﻴﺎﺭ ﺩﺭﺍﺟﺎﺕ</t>
  </si>
  <si>
    <t>ﺗﺠﺎﺭﺓ ﻗﻄﻊ ﻏﻴﺎﺭ ﻣﺘﻮﺳﻴﻜﻼﺕ</t>
  </si>
  <si>
    <t>ﺗﺠﺎﺭﺓ ﻗﻄﻊ ﻏﻴﺎﺭ ﺗﻮﻙ ﺗﻮﻙ</t>
  </si>
  <si>
    <t>ﺗﺠﺎﺭﺓ ﺍﻛﺴﺴﻮﺍﺭ ﻣﺤﻤﻮﻝ</t>
  </si>
  <si>
    <t>ﺗﺠﺎﺭﺓ ﻗﻄﻊ ﻏﻴﺎﺭ ﺍﻟﻜﺘﺮﻭﻧﻴﺎﺕ</t>
  </si>
  <si>
    <t>ﺗﺠﺎﺭﺓ ﻗﻄﻊ ﻏﻴﺎﺭ ﺍﻻﺕ ﺯﺭﺍﻋﻴﺔ</t>
  </si>
  <si>
    <t>ﺗﺠﺎﺭﺓ ﻗﻄﻊ ﻏﻴﺎﺭ ﺗﺒﺮﻳﺪ ﻭ ﺗﻜﻴﻴﻒ</t>
  </si>
  <si>
    <t>ﺗﺠﺎﺭﺓ ﻗﻄﻊ ﻏﻴﺎﺭ ﻭﺭﺵ</t>
  </si>
  <si>
    <t>ﻗﻄﻊ ﻏﻴﺎﺭ ﺍﺟﻬﺰﺓ ﻛﻬﺮﺑﺎﺋﻴﺔ ﻭﻣﻨﺰﻟﻴﺔ</t>
  </si>
  <si>
    <t>ﺗﺠﺎﺭﺓ ﺃﻗﻤﺸﺔ ﻭﻣﻔﺮﻭﺷﺎﺕ ﻭﻣﻼﺑﺲ ﺟﺎﻫﺰﺓ</t>
  </si>
  <si>
    <t>ﺗﺠﺎﺭﺓ ﻣﻼﺑﺲ ﺟﺎﻫﺰﺓ ﺣﺮﻳﻤﻲ</t>
  </si>
  <si>
    <t>ﺗﺠﺎﺭﺓ ﻣﻼﺑﺲ ﺟﺎﻫﺰﺓ ﺭﺟﺎﻟﻲ</t>
  </si>
  <si>
    <t>ﺗﺠﺎﺭﺓ ﻣﻼﺑﺲ ﺟﺎﻫﺰﺓ ﺍﻃﻔﺎﻝ</t>
  </si>
  <si>
    <t>ﺗﺠﺎﺭﺓ ﺍﻗﻤﺸﺔ</t>
  </si>
  <si>
    <t>ﺗﺠﺎﺭﺓ ﻣﻔﺮﻭﺷﺎﺕ</t>
  </si>
  <si>
    <t>ﺗﺠﺎﺭﺓ ﻣﻼﺑﺲ ﺟﺎﻫﺰﺓ</t>
  </si>
  <si>
    <t>ﺗﺠﺎﺭﺓ ﺍﺩﻭﻳﺔ ﻭﻣﺴﺘﻠﺰﻣﺎﺕ ﻃﺒﻴﺔ</t>
  </si>
  <si>
    <t>ﺗﺠﺎﺭﺓ ﺍﺩﻭﻳﺔ</t>
  </si>
  <si>
    <t>ﺗﺠﺎﺭﺓ ﻣﺴﺘﻠﺰﻣﺎﺕ ﻃﺒﻴﺔ</t>
  </si>
  <si>
    <t>ﺗﺠﺎﺭﺓ ﺍﺩﻭﻳﺔ ﺑﻴﻄﺮﻳﺔ</t>
  </si>
  <si>
    <t>ﺑﺎﺋﻊ ﻣﺘﺠﻮﻝ</t>
  </si>
  <si>
    <t>ﻣﻼﺑﺲ ﺟﺎﻫﺰﺓ</t>
  </si>
  <si>
    <t>ﺍﺩﻭﺍﺕ ﻣﻨﺰﻟﻴﺔ</t>
  </si>
  <si>
    <t>ساندوتشات</t>
  </si>
  <si>
    <t>حبال</t>
  </si>
  <si>
    <t>ﺍﻗﻤﺸﺔ ﻭ ﻣﻔﺮﻭﺷﺎﺕ</t>
  </si>
  <si>
    <t>ﺍﻧﺎﺑﻴﺐ ﺑﻮﺗﺠﺎﺯ</t>
  </si>
  <si>
    <t>ﺗﺠﺎﺭﺓ ﺟﺎﺯ</t>
  </si>
  <si>
    <t>ﻣﺎﻛﻴﻨﺔ ﻓﺸﺎﺭ</t>
  </si>
  <si>
    <t>ﻣﺎﻛﻴﻨﺔ ﻏﺰﻝ ﺍﻟﺒﻨﺎﺕ</t>
  </si>
  <si>
    <t>ﻋﺮﺑﻴﺔ ﻓﻮﻝ</t>
  </si>
  <si>
    <t>ﺗﻮﺯﻳﻊ ﺑﻘﺎﻟﺔ</t>
  </si>
  <si>
    <t>ﺗﻮﺯﻳﻊ ﻋﻴﺶ</t>
  </si>
  <si>
    <t>ﻗﻄﻊ ﻏﻴﺎﺭ</t>
  </si>
  <si>
    <t>أغذية</t>
  </si>
  <si>
    <t>ﺑﻴﻊ ﺧﻀﺎﺭ ﻭﻓﺎﻛﻬﺔ</t>
  </si>
  <si>
    <t>ﺍﻛﺴﺴﻮﺍﺭ ﻣﺤﻤﻮﻝ ﻭﻛﺮﻭﺕ ﺷﺤﻦ ﻭﻣﻮﺑﺎﻳﻞ</t>
  </si>
  <si>
    <t>ﻣﻨﺘﺠﺎﺕ ﺍﻟﺒﺎﻥ</t>
  </si>
  <si>
    <t>ﺗﺠﺎﺭﺓ ﻣﺴﺘﺤﻀﺮﺍﺕ ﺗﺠﻤﻴﻞ</t>
  </si>
  <si>
    <t>ﺗﺠﺎﺭﺓ ﺍﻛﺴﺴﻮﺍﺭﺍﺕ ﺣﺮﻳﻤﻲ</t>
  </si>
  <si>
    <t>ﺗﺠﺎﺭﺓ ﻣﺴﺘﻠﺰﻣﺎﺕ ﺍﻧﺘﺎﺝ</t>
  </si>
  <si>
    <t>ﺗﺠﺎﺭﺓ ﺑﺬﻭﺭ ﻭ ﺗﻘﺎﻭﻱ</t>
  </si>
  <si>
    <t>ﺗﺠﺎﺭﺓ ﺍﻋﻼﻑ</t>
  </si>
  <si>
    <t>ﺗﺠﺎﺭﺓ ﺗﺒﻦ</t>
  </si>
  <si>
    <t>ﺗﺠﺎﺭﺓ ﺧﻴﻮﻁ</t>
  </si>
  <si>
    <t>ﺗﺠﺎﺭﺓ ﺍﻗﻄﺎﻥ</t>
  </si>
  <si>
    <t>ﺗﺠﺎﺭﺓ ﺧﻴﺶ</t>
  </si>
  <si>
    <t>ﺗﺠﺎﺭﺓ ﺟﺮﻳﺪ</t>
  </si>
  <si>
    <t>ﺗﺠﺎﺭﺓ ﺍﺳﻤﺪﺓ ﻭ ﻣﺒﻴﺪﺍﺕ</t>
  </si>
  <si>
    <t>ﺗﺠﺎﺭﺓ ﻣﺴﺘﻠﺰﻣﺎﺕ ﺍﻻﻣﻦ ﺍﻟﺼﻨﺎﻋﻲ</t>
  </si>
  <si>
    <t>ﺗﺠﺎﺭﺓ ﺍﺟﻬﺰﺓ ﺍﻃﻔﺎﺀ ﺣﺮﻳﻖ</t>
  </si>
  <si>
    <t>ﺗﺠﺎﺭﺓ ﺟﻠﻮﺩ</t>
  </si>
  <si>
    <t>ﺗﺠﺎﺭﺓ ﺍﺣﺬﻳﺔ</t>
  </si>
  <si>
    <t>ﺗﺠﺎﺭﺓ ﺍﺣﺬﻳﺔ ﻭ ﺷﻨﻂ</t>
  </si>
  <si>
    <t>ﺗﺠﺎﺭﺓ ﻟﻮﺍﺯﻡ ﺑﻨﺎﺀ ﻭﺩﻳﻜﻮﺭ</t>
  </si>
  <si>
    <t>ﺗﺠﺎﺭﺓ ﺍﺳﻤﻨﺖ</t>
  </si>
  <si>
    <t>ﺗﺠﺎﺭﺓ ﺍﺳﻤﻨﺖ ﻭ ﺣﺪﻳﺪ</t>
  </si>
  <si>
    <t>ﺗﺠﺎﺭﺓ ﺣﺪﺍﻳﺪ ﻭ ﺑﻮﻳﺎﺕ</t>
  </si>
  <si>
    <t>ﺗﺠﺎﺭﺓ ﻣﺴﺘﻠﺰﻣﺎﺕ ﺩﻳﻜﻮﺭ</t>
  </si>
  <si>
    <t>ﺗﺠﺎﺭﺓ ﺍﺩﻭﺍﺕ ﺻﺤﻴﺔ</t>
  </si>
  <si>
    <t>ﺗﺠﺎﺭﺓ ﺳﻴﺮﺍﻣﻴﻚ</t>
  </si>
  <si>
    <t>ﺗﺠﺎﺭﺓ ﺍﻟﻮﻣﻴﺘﺎﻝ</t>
  </si>
  <si>
    <t>ﻣﻘﺎﻭﻻﺕ</t>
  </si>
  <si>
    <t>ﺗﺠﺎﺭﺓ ﻓﻼﺗﺮ ﻣﻴﺎﻩ</t>
  </si>
  <si>
    <t>ﺗﺠﺎﺭﺓ ﻃﻮﺏ</t>
  </si>
  <si>
    <t>ﺗﺠﺎﺭﺓ ﺍﺧﺸﺎﺏ ﻭﺍﺛﺎﺙ</t>
  </si>
  <si>
    <t>ﺗﺠﺎﺭﺓ ﺍﺧﺸﺎﺏ</t>
  </si>
  <si>
    <t>ﺗﺠﺎﺭﺓ ﺍﺛﺎﺙ ﻣﻨﺰﻟﻲ</t>
  </si>
  <si>
    <t>ﺗﺠﺎﺭﺓ ﻣﻨﺘﺠﺎﺕ ﺧﺸﺒﻴﺔ</t>
  </si>
  <si>
    <t>ﺗﺠﺎﺭﺓ ﺍﺛﺎﺙ ﻣﻜﺘﺒﻲ</t>
  </si>
  <si>
    <t>ﺗﺠﺎﺭﺓ ﺍﻛﺴﺴﻮﺍﺭﺍﺕ ﻣﻮﺑﻠﻴﺎ</t>
  </si>
  <si>
    <t>ﺗﺠﺎﺭﺓ ﺍﻟﺨﻴﺰﺭﺍﻥ</t>
  </si>
  <si>
    <t>ﺗﺠﺎﺭﺓ ﺍﺟﻬﺰﺓ ﻭﺍﺩﻭﺍﺕ ﻛﻬﺮﺑﺎﺋﻴﺔ ﻭﻣﺴﺘﻠﺰﻣﺎﺗﻬﺎ</t>
  </si>
  <si>
    <t>ﺗﺠﺎﺭﺓ ﺍﺟﻬﺰﺓ ﻛﻬﺮﺑﺎﺋﻴﺔ</t>
  </si>
  <si>
    <t>ﺗﺠﺎﺭﺓ ﺍﺩﻭﺍﺕ ﻛﻬﺮﺑﺎﺋﻴﺔ</t>
  </si>
  <si>
    <t>ﺗﺠﺎﺭﺓ ﺍﺟﻬﺰﺓ ﻭ ﻣﺴﺘﻠﺰﻣﺎﺕ ﻛﻤﺒﻴﻮﺗﺮ</t>
  </si>
  <si>
    <t>ﺗﺠﺎﺭﺓ ﺍﺟﻬﺰﺓ ﻣﻮﺑﻴﻞ ﻭ ﻛﺮﻭﺕ ﺷﺤﻦ</t>
  </si>
  <si>
    <t>ﺗﺠﺎﺭﺓ ﻛﺮﻭﺕ ﺗﻠﻴﻔﻮﻥ</t>
  </si>
  <si>
    <t>ﺗﺠﺎﺭﺓ ﺍﺟﻬﺰﺓ ﺗﻜﻴﻴﻒ</t>
  </si>
  <si>
    <t>ﺗﺠﺎﺭﺓ ﻣﺎﻛﻴﻨﺎﺕ ﺗﺼﻮﻳﺮ</t>
  </si>
  <si>
    <t>ﺗﺠﺎﺭﺓ ﺍﻻﺕ ﻣﻮﺳﻴﻘﻴﺔ</t>
  </si>
  <si>
    <t>ﺗﺠﺎﺭﺓ ﺍﺟﻬﺰﺓ ﺩﺵ</t>
  </si>
  <si>
    <t>ﺗﺠﺎﺭﺓ ﺍﺩﻭﺍﺕ ﻭﻣﺴﺘﻠﺰﻣﺎﺕ ﻣﺮﻭﺭ</t>
  </si>
  <si>
    <t>ﺗﺠﺎﺭﺓ ﻋﺪﺩ ﻭﺍﺩﻭﺍﺕ</t>
  </si>
  <si>
    <t>ﺗﺠﺎﺭﺓ ﻋﺪﺩ ﺍﻟﺒﺎﺳﺘﺮ</t>
  </si>
  <si>
    <t>ﺗﺠﺎﺭﺓ ﺍﺩﻭﺍﺕ ﺻﻴﺪ</t>
  </si>
  <si>
    <t>ﺗﺠﺎﺭﺓ ﺍﺩﻭﺍﺕ ﻭﻣﻌﺪﺍﺕ ﺗﻨﺠﻴﺪ</t>
  </si>
  <si>
    <t>ﺗﺠﺎﺭﺓ ﻣﺴﺘﻠﺰﻣﺎﺕ ﻭﺭﺵ</t>
  </si>
  <si>
    <t>ﺗﺠﺎﺭﺓ ﺧﺮﺩﺓ</t>
  </si>
  <si>
    <t>ﺗﺠﺎﺭﺓ ﺧﺮﺩﺓ ﺳﻴﺎﺭﺍﺕ</t>
  </si>
  <si>
    <t>ﺗﺠﺎﺭﺓ ﺧﺮﺩﺓ ﻣﺎﻛﻴﻨﺎﺕ</t>
  </si>
  <si>
    <t>ﺗﺠﺎﺭﺓ ﺧﺮﺩﺓ ﺍﺧﺸﺎﺏ ﻭ ﻣﻮﺑﻠﻴﺎ</t>
  </si>
  <si>
    <t>ﺗﺠﺎﺭﺓ ﺧﺮﺩﺓ ﺑﻼﺳﺘﻴﻚ</t>
  </si>
  <si>
    <t>ﺧﺮﺩﺓ ﺣﺪﻳﺪ ﻭ ﺍﻟﻮﻣﻨﻴﻮﻡ</t>
  </si>
  <si>
    <t>ﺗﺠﺎﺭﺓ ﺍﺩﻭﺍﺕ ﻣﻜﺘﺒﻴﺔ ﻭ ﻣﻄﺒﻮﻋﺎﺕ</t>
  </si>
  <si>
    <t>مكتبة</t>
  </si>
  <si>
    <t>ﺗﺠﺎﺭﺓ ﻣﺴﺘﻠﺰﻣﺎﺕ ﻃﺒﺎﻋﺔ</t>
  </si>
  <si>
    <t>ﺗﺠﺎﺭﺓ ﻣﻬﻤﺎﺕ ﻣﻜﺎﺗﺐ</t>
  </si>
  <si>
    <t>ﺗﺠﺎﺭﺓ ﻣﻮﺍﺩ ﺑﺘﺮﻭﻟﻴﺔ</t>
  </si>
  <si>
    <t>ﻣﺴﺘﻮﺩﻉ ﺑﻮﺗﺠﺎﺯ</t>
  </si>
  <si>
    <t>ﺗﺠﺎﺭﺓ ﺑﻨﺰﻳﻦ</t>
  </si>
  <si>
    <t>ﺗﺠﺎﺭﺓ ﺯﻳﻮﺕ ﺳﻴﺎﺭﺍﺕ</t>
  </si>
  <si>
    <t>ﺗﺠﺎﺭﺓ ﻓﺤﻢ</t>
  </si>
  <si>
    <t>ﺗﺠﺎﺭﺓ ﻣﻨﺘﺠﺎﺕ ﺳﻴﺎﺣﻴﺔ</t>
  </si>
  <si>
    <t>ﺑﺎﺯﺍﺭ ﺑﺮﺩﻱ</t>
  </si>
  <si>
    <t>ﺑﺎﺯﺍﺭ ﺍﺣﺠﺎﺭ</t>
  </si>
  <si>
    <t>ﺑﺎﺯﺍﺭ ﻓﻀﻴﺎﺕ</t>
  </si>
  <si>
    <t>ﻣﻜﺘﺒﺔ ﺳﻴﺎﺣﻴﺔ</t>
  </si>
  <si>
    <t>ﺑﺎﺯﺍﺭ ﺑﺮﻓﺎﻧﺎﺕ</t>
  </si>
  <si>
    <t>ﺑﺎﺯﺍﺭ ﻣﻼﺑﺲ ﻭﺳﺠﺎﺩ</t>
  </si>
  <si>
    <t>ﺗﺠﺎﺭﺓ ﺍﺩﻭﺍﺕ ﻧﻈﺎﻓﺔ</t>
  </si>
  <si>
    <t>ﺗﺠﺎﺭﺓ ﻣﻨﻈﻔﺎﺕ ﺻﻨﺎﻋﻴﺔ</t>
  </si>
  <si>
    <t>ﺗﺠﺎﺭﺓ ﺩﺭﺍﺟﺎﺕ ﻭﻣﺘﻮﺳﻴﻜﻞ</t>
  </si>
  <si>
    <t>ﺗﺠﺎﺭﺓ ﺩﺭﺍﺟﺎﺕ</t>
  </si>
  <si>
    <t>ﺗﺠﺎﺭﺓ ﻣﺘﻮﺳﻴﻜﻞ</t>
  </si>
  <si>
    <t>ﺗﺠﺎﺭﺓ ﺗﻮﻛﺘﻮﻙ ﻭﺗﺮﻭﺳﻴﻜﻞ</t>
  </si>
  <si>
    <t>ﺗﺠﺎﺭﺓ ﺣﻴﻮﺍﻧﺎﺕ</t>
  </si>
  <si>
    <t>ﺗﺠﺎﺭﺓ ﺣﻴﻮﺍﻧﺎﺕ ﺍﻟﻴﻔﻪ</t>
  </si>
  <si>
    <t>ﺗﺠﺎﺭﺓ ﺗﺒﻎ ﻭﺍﺩﺧﻨﻪ</t>
  </si>
  <si>
    <t>ﺗﺠﺎﺭﺓ ﺍﺩﺧﻨﻪ</t>
  </si>
  <si>
    <t>ﺍﻛﺴﺴﻮﺍﺭ ﻣﻮﺑﻴﻠﻴﺎ ﻭﺩﻳﻜﻮﺭ</t>
  </si>
  <si>
    <t>ﺍﻋﻤﺎﻝ ﻟﺤﺎﻡ ﻭﺩﻳﻜﻮﺭ</t>
  </si>
  <si>
    <t>ﻗﻄﻊ ﻏﻴﺎﺭ ﺗﺒﺮﻳﺪ ﻭﺗﻜﻴﻴﻒ</t>
  </si>
  <si>
    <t>ﺣﺮﻓﻰ ﻭﺻﻨﺎﻋﻰ</t>
  </si>
  <si>
    <t xml:space="preserve"> ﺍﺷﻐﺎﻝ ﻧﺴﻴﺠﻴﺔ</t>
  </si>
  <si>
    <t xml:space="preserve"> ﻧﻮﻝ ﺻﻮﻑ </t>
  </si>
  <si>
    <t xml:space="preserve">ﻧﻮﻝ ﻗﻄﻦ  </t>
  </si>
  <si>
    <t xml:space="preserve"> ﻧﻮﻝ ﺣﺮﻳﺮ </t>
  </si>
  <si>
    <t xml:space="preserve"> ﺗﺼﻨﻴﻊ ﻣﻼﺑﺲ ﺟﺎﻫﺰﺓ   </t>
  </si>
  <si>
    <t xml:space="preserve"> ﺗﺼﻨﻴﻊ ﻛﻠﻴﻢ ﻳﺪﻭﻱ</t>
  </si>
  <si>
    <t xml:space="preserve">ﻣﻨﺴﻮﺟﺎﺕ ﻳﺪﻭﻳﻪ </t>
  </si>
  <si>
    <t xml:space="preserve"> ﺍﺷﻐﺎﻝ ﺧﺸﺒﻴﺔ </t>
  </si>
  <si>
    <t xml:space="preserve">ﻧﺠﺎﺭﺓ ﺑﺎﺏ ﻭ ﺷﺒﺎﻙ  </t>
  </si>
  <si>
    <t xml:space="preserve"> ﻧﺠﺎﺭﺓ ﻣﻮﺑﻠﻴﺎ  </t>
  </si>
  <si>
    <t xml:space="preserve"> ﻧﺠﺎﺭﺓ ﺣﻠﻴﺎﺕ ﺧﺸﺒﻴﺔ </t>
  </si>
  <si>
    <t xml:space="preserve"> ﺗﺼﻨﻴﻊ ﻣﺮﺍﻛﺐ </t>
  </si>
  <si>
    <t xml:space="preserve"> ﺗﺼﻨﻴﻊ ﻛﻨﺐ ﻭ ﺩﻛﻚ </t>
  </si>
  <si>
    <t xml:space="preserve"> ﺗﺼﻨﻴﻊ ﺗﻤﺎﺛﻴﻞ ﺧﺸﺒﻴﺔ </t>
  </si>
  <si>
    <t xml:space="preserve">ﺗﺼﻨﻴﻊ ﻣﻨﺘﺠﺎﺕ ﺟﺮﻳﺪ </t>
  </si>
  <si>
    <t>ﺗﺼﻨﻴﻊ ﻣﻨﺘﺠﺎﺕ ﺧﻴﺰﺭﺍﻥ</t>
  </si>
  <si>
    <t>ﺍﺷﻐﺎﻝ ﻣﻌﺪﻧﻴﺔ</t>
  </si>
  <si>
    <t xml:space="preserve"> ﺗﺼﻨﻴﻊ ﺍﺛﺎﺙ ﻣﻌﺪﻧﻲ </t>
  </si>
  <si>
    <t xml:space="preserve">  ﺗﺼﻨﻴﻊ ﺷﻜﻤﺎﻥ</t>
  </si>
  <si>
    <t xml:space="preserve">ﺗﺼﻨﻴﻊ ﺍﺑﻮﺍﺏ ﺻﺎﺝ  </t>
  </si>
  <si>
    <t xml:space="preserve"> ﺗﺼﻨﻴﻊ ﻓﻼﺗﺮ ﻭﺟﻮﺍﻧﺎﺕ ﺳﻴﺎﺭﺍﺕ</t>
  </si>
  <si>
    <t>ﺗﺼﻨﻴﻊ ﺍﻓﺮﺍﻥ ﻣﻨﺰﻟﻴﺔ</t>
  </si>
  <si>
    <t xml:space="preserve"> ﺍﻧﺘﺎﺝ ﻣﻮﺍﺩ ﻏﺬﺍﺋﻴﺔ </t>
  </si>
  <si>
    <t xml:space="preserve">ﻣﺤﻤﺼﺔ ﻟﺐ </t>
  </si>
  <si>
    <t xml:space="preserve"> ﻣﻄﺤﻦ ﺑﻦ  </t>
  </si>
  <si>
    <t xml:space="preserve">ﻣﻀﺮﺏ ﺍﺭﺯ   </t>
  </si>
  <si>
    <t xml:space="preserve"> ﺗﻌﺒﺌﺔ ﻣﻮﺍﺩ ﻏﺬﺍﺋﻴﺔ  </t>
  </si>
  <si>
    <t xml:space="preserve">ﻣﺨﺒﺰ ﻓﻴﻨﻮ  </t>
  </si>
  <si>
    <t xml:space="preserve"> ﻣﺨﺒﺰ ﺑﻠﺪﻱ</t>
  </si>
  <si>
    <t xml:space="preserve">ﺣﻠﻮﺍﻧﻲ ﻭﻓﻄﺎﺋﺮ    </t>
  </si>
  <si>
    <t xml:space="preserve"> ﻣﻌﻤﻞ ﺍﻟﺒﺎﻥ </t>
  </si>
  <si>
    <t xml:space="preserve">ﺗﺼﻨﻴﻎ ﺟﻴﻼﺗﻲ </t>
  </si>
  <si>
    <t xml:space="preserve">ﻣﻌﻤﻞ ﻃﺮﺷﻲ  </t>
  </si>
  <si>
    <t>ﻣﺼﻨﻊ ﺷﻴﻜﻮﻻﺗﺔ</t>
  </si>
  <si>
    <t>ﻓﺮﻥ ﻛﻨﺎﻓﺔ</t>
  </si>
  <si>
    <t xml:space="preserve">ﺗﺸﻐﻴﻞ ﺟﻠﻮﺩ </t>
  </si>
  <si>
    <t xml:space="preserve"> ﺗﺼﻨﻴﻊ ﻣﻨﺘﺠﺎﺕ ﺟﻠﺪﻳﺔ   </t>
  </si>
  <si>
    <t xml:space="preserve">ﺗﺸﻐﻴﻞ ﺑﻼﺳﺘﻴﻚ  </t>
  </si>
  <si>
    <t xml:space="preserve">ﺗﺼﻨﻴﻊ ﺷﺒﺎﺷﺐ </t>
  </si>
  <si>
    <t xml:space="preserve">ﺗﺼﻨﻴﻊ ﺍﻛﻴﺎﺱ ﺑﻼﺳﺘﻴﻚ </t>
  </si>
  <si>
    <t>ﺗﺼﻨﻴﻊ ﺣﺼﻴﺮ ﺑﻼﺳﺘﻴﻚ</t>
  </si>
  <si>
    <t xml:space="preserve">ﺗﺼﻴﻨﻊ ﺍﺩﻭﺍﺕ ﻣﻨﺰﻟﻴﺔ </t>
  </si>
  <si>
    <t xml:space="preserve"> ﺍﻧﺘﺎﺝ ﻛﻴﻤﺎﻭﻳﺎﺕ ﻭ ﻣﻨﻈﻔﺎﺕ ﻭ ﻋﻄﻮﺭ</t>
  </si>
  <si>
    <t>ﺗﺼﻨﻴﻊ ﻭ ﺗﻌﺒﺌﺔ ﻣﻨﻈﻔﺎﺕ</t>
  </si>
  <si>
    <t xml:space="preserve">ﺗﺮﻛﻴﺐ ﻋﻄﻮﺭ </t>
  </si>
  <si>
    <t xml:space="preserve"> ﺍﺷﻐﺎﻝ ﺣﺠﺮﻳﺔ ﻭ ﺧﺰﻓﻴﺔ</t>
  </si>
  <si>
    <t>ﻣﻨﺘﺠﺎﺕ ﺍﻟﺒﺴﺘﺮ</t>
  </si>
  <si>
    <t>ﻣﻨﺘﺠﺎﺕ ﺧﺰﻓﻴﺔ</t>
  </si>
  <si>
    <t xml:space="preserve"> ﻣﻨﺘﺠﺎﺕ ﺣﺠﺮﻳﺔ </t>
  </si>
  <si>
    <t xml:space="preserve"> ﺍﺷﻐﺎﻝ ﺯﺟﺎﺟﻴﺔ</t>
  </si>
  <si>
    <t xml:space="preserve"> ﺗﺼﻨﻴﻊ ﻋﺪﺳﺎﺕ ﻧﻈﺎﺭﺍﺕ </t>
  </si>
  <si>
    <t>ﺗﺸﻐﻴﻞ ﻣﻮﺍﺩ ﺑﻨﺎﺀ</t>
  </si>
  <si>
    <t xml:space="preserve"> ﺗﺼﻨﻴﻊ ﺑﻼﻁ </t>
  </si>
  <si>
    <t xml:space="preserve"> ﺗﺼﻨﻴﻊ ﻃﻮﺏ</t>
  </si>
  <si>
    <t xml:space="preserve"> ﺍﻋﻤﺎﻝ ﺭﺧﺎﻡ ﻭﺟﺮﺍﻧﻴﺖ</t>
  </si>
  <si>
    <t xml:space="preserve"> ﺍﻋﻤﺎﻝ ﺟﺒﺲ</t>
  </si>
  <si>
    <t xml:space="preserve"> ﺍﺷﻐﺎﻝ ﻭﺭﻗﻴﺔ ﻭﻛﺘﺎﺑﻴﺔ</t>
  </si>
  <si>
    <t>ﺗﺼﻨﻴﻊ ﻋﻠﺐ ﻛﺮﺗﻮﻥ</t>
  </si>
  <si>
    <t>ﺍﻋﺎﺩﺓ ﺗﺪﻭﻳﺮ ﻭﺗﺸﻐﻴﻞ ﺍﻟﻮﺭﻕ</t>
  </si>
  <si>
    <t xml:space="preserve"> ﺗﺼﻨﻴﻊ ﺷﻤﻊ</t>
  </si>
  <si>
    <t xml:space="preserve">ﺗﺼﻨﻴﻊ ﺷﻤﻊ </t>
  </si>
  <si>
    <t xml:space="preserve"> ﺍﻋﻤﺎﻝ ﻳﺪﻭﻳﺔ</t>
  </si>
  <si>
    <t>ﺻﻨﺎﻋﺔ ﺣﺒﺎﻝ</t>
  </si>
  <si>
    <t>ﺭﺳﻢ ﻟﻮﺣﺎﺕ ﻓﻨﻴﻪ</t>
  </si>
  <si>
    <t xml:space="preserve">ﺻﻨﺎﻋﺔ ﺍﻛﺴﺴﻮﺭﺍﺕ ﻭﺧﺮﺯ  </t>
  </si>
  <si>
    <t>خدمي</t>
  </si>
  <si>
    <t>ﺍﻋﻤﺎﻝ ﻃﺒﺎﻋﺔ ﻭ ﺗﺼﻮﻳﺮ ﻭ ﺗﺼﻤﻴﻢ</t>
  </si>
  <si>
    <t xml:space="preserve"> ﻣﻄﺒﻌﺔ</t>
  </si>
  <si>
    <t xml:space="preserve"> ﺍﺳﺘﻮﺩﻳﻮ ﺗﺼﻮﻳﺮ</t>
  </si>
  <si>
    <t>ﻣﺎﻛﻴﻨﺔ ﺗﺼﻮﻳﺮ ﻣﺴﺘﻨﺪﺍﺕ</t>
  </si>
  <si>
    <t xml:space="preserve"> ﺧﻄﺎﻁ</t>
  </si>
  <si>
    <t xml:space="preserve"> ﺗﺼﻤﻴﻢ ﻭﺳﺎﺋﻞ ﺍﻳﻀﺎﺡ</t>
  </si>
  <si>
    <t>ﺧﺪﻣﺔ ﺭﺟﺎﻝ ﺍﻋﻤﺎﻝ</t>
  </si>
  <si>
    <t>ﺧﺪﻣﺎﺕ ﺍﻟﺪﻋﺎﻳﺔ ﻭﺍﻻﻋﻼﻥ</t>
  </si>
  <si>
    <t>ﻛﺘﺎﺑﺔ ﻭ ﻃﺒﺎﻋﺔ ﺭﺳﺎﺋﻞ ﻋﻠﻤﻴﺔ</t>
  </si>
  <si>
    <t>ﺗﺼﻮﻳﺮ ﺣﻔﻼﺕ</t>
  </si>
  <si>
    <t>ﺧﺪﻣﺎﺕ ﻃﺒﻴﺔ</t>
  </si>
  <si>
    <t>صيدلية</t>
  </si>
  <si>
    <t>ﻋﻴﺎﺩﺓ ﺍﺳﻨﺎﻥ</t>
  </si>
  <si>
    <t>ﻧﻈﺎﺭﺍﺕ ﻃﺒﻴﺔ</t>
  </si>
  <si>
    <t>ﻣﻌﻤﻞ ﺗﺤﺎﻟﻴﻞ ﻃﺒﻴﺔ</t>
  </si>
  <si>
    <t>ﻋﻤﺮﺓ ﻭ ﻟﻒ ﻣﻮﺗﻮﺭ</t>
  </si>
  <si>
    <t xml:space="preserve">ﻋﻤﺮﺓ ﺗﺎﻛﺴﻲ </t>
  </si>
  <si>
    <t xml:space="preserve"> ﻋﻤﺮﺓ ﺟﺮﺍﺭ ﺯﺭﺍﻋﻲ </t>
  </si>
  <si>
    <t>ﻋﻤﺮﺓ ﺧﻼﻁ ﺍﺳﻤﻨﺖ</t>
  </si>
  <si>
    <t xml:space="preserve"> ﻟﻒ ﻣﻮﺍﺗﻴﺮ </t>
  </si>
  <si>
    <t xml:space="preserve">ﻋﻤﺮﺓ ﺳﻴﺎﺭﺓ ﻧﻘﻞ   </t>
  </si>
  <si>
    <t>ﻋﻤﺮﺓ ﺗﻮﻛﺘﻮﻙ / ﺗﺮﻭﺳﻴﻜﻞ</t>
  </si>
  <si>
    <t>ﻋﻤﺮﺓ ﻻﻧﺶ</t>
  </si>
  <si>
    <t xml:space="preserve"> ﺍﺗﺼﺎﻻﺕ </t>
  </si>
  <si>
    <t>ﻣﺮﻛﺰ ﺍﺗﺼﺎﻻﺕ</t>
  </si>
  <si>
    <t>ﺍﻏﺬﻳﺔ ﻭﻣﺄﻛﻮﻻﺕ ﻭ ﻣﺸﺮﻭﺑﺎﺕ</t>
  </si>
  <si>
    <t>مطعم</t>
  </si>
  <si>
    <t>ﻣﺤﻞ ﺑﻴﻊ ﻭﺟﺒﺎﺕ ﺳﺮﻳﻌﺔ</t>
  </si>
  <si>
    <t>ﻣﺤﻞ ﻋﺼﺎﺋﺮ ﻭ ﻣﺮﻃﺒﺎﺕ</t>
  </si>
  <si>
    <t>حلواني</t>
  </si>
  <si>
    <t>كافتيريا</t>
  </si>
  <si>
    <t>جزار</t>
  </si>
  <si>
    <t xml:space="preserve"> ﺭﻳﺎﺷﺔ </t>
  </si>
  <si>
    <t xml:space="preserve"> ﻣﻄﺤﻦ ﻏﻼﻝ </t>
  </si>
  <si>
    <t xml:space="preserve">  ﺛﻼﺟﺔ ﺣﻔﻆ ﻣﻮﺍﺩ ﻏﺬﺍﺋﻴﺔ</t>
  </si>
  <si>
    <t>طباخ</t>
  </si>
  <si>
    <t xml:space="preserve"> ﻛﻮﺍﻓﻴﺮ</t>
  </si>
  <si>
    <t>ﻛﻮﺍﻓﻴﺮ ﺭﺟﺎﻟﻲ</t>
  </si>
  <si>
    <t xml:space="preserve"> ﻛﻮﺍﻓﻴﺮ ﺣﺮﻳﻤﻲ</t>
  </si>
  <si>
    <t xml:space="preserve"> ﺍﻋﻤﺎﻝ ﻏﺴﻴﻞ ﻭ ﺗﻨﻈﻴﻒ</t>
  </si>
  <si>
    <t>ﻏﺴﻴﻞ ﻭ ﺗﻨﻈﻴﻒ ﺑﺨﺎﺭ</t>
  </si>
  <si>
    <t xml:space="preserve"> ﻣﻜﻮﺟﻲ </t>
  </si>
  <si>
    <t xml:space="preserve">ﻣﻜﻮﻩ ﺑﺨﺎﺭ </t>
  </si>
  <si>
    <t>ﻏﺴﻴﻞ ﺳﺠﺎﺩ ﻭ ﻣﻮﻛﻴﺖ</t>
  </si>
  <si>
    <t>ﺧﺪﻣﺎﺕ ﺍﻟﺘﺄﺟﻴﺮ</t>
  </si>
  <si>
    <t xml:space="preserve"> ﺗﺄﺟﻴﺮ ﻓﺴﺎﺗﻴﻦ </t>
  </si>
  <si>
    <t xml:space="preserve"> ﺗﺄﺟﻴﺮ ﺑﺪﻝ  </t>
  </si>
  <si>
    <t xml:space="preserve"> ﺗﺄﺟﻴﺮ ﺍﻛﺴﺴﻮﺍﺭﺍﺕ </t>
  </si>
  <si>
    <t xml:space="preserve"> ﺗﺄﺟﻴﺮ ﺷﺮﺍﺋﻂ ﻓﻴﺪﻳﻮ</t>
  </si>
  <si>
    <t>ﺧﺪﻣﺔ ﺍﻧﺘﺮﻧﺖ</t>
  </si>
  <si>
    <t xml:space="preserve"> ﺑﻼﻱ ﺍﺳﺘﻴﺸﻦ </t>
  </si>
  <si>
    <t>ﺗﺄﺟﻴﺮ ﻭﻧﺶ ﻣﺒﺎﻧﻲ</t>
  </si>
  <si>
    <t xml:space="preserve"> ﺗﺄﺟﻴﺮ ﻓﺮﺍﺷﺔ </t>
  </si>
  <si>
    <t xml:space="preserve"> ﺗﺄﺟﻴﺮ ﻣﻌﺪﺍﺕ ﺯﺭﺍﻋﻴﺔ</t>
  </si>
  <si>
    <t xml:space="preserve"> ﺗﺄﺟﻴﺮ ﺍﺟﻬﺰﺓ ﺻﻮﺗﻴﺔ ﻭ ﻣﺮﺋﻴﺔ </t>
  </si>
  <si>
    <t xml:space="preserve"> ﺗﺄﺟﻴﺮ ﻣﺎﻛﻴﻨﺎﺕ ﺗﻘﻄﻴﻊ ﺧﺸﺐ</t>
  </si>
  <si>
    <t xml:space="preserve">ﺻﺎﻟﺔ ﺍﻟﻌﺎﺏ ﺭﻳﺎﺿﻴﺔ </t>
  </si>
  <si>
    <t xml:space="preserve">ﺻﺎﻟﺔ ﺍﻟﻌﺎﺏ </t>
  </si>
  <si>
    <t>ﻣﻜﺘﺐ ﺣﺠﺰ ﺳﻔﺮﻳﺎﺕ ﻭﺭﺣﻼﺕ</t>
  </si>
  <si>
    <t>ﻗﺎﻋﻪ ﺍﻓﺮﺍﺡ</t>
  </si>
  <si>
    <t xml:space="preserve"> ﺗﺎﺟﻴﺮ ﻋﺪﺩ ﻭﺍﺩﻭﺍﺕ</t>
  </si>
  <si>
    <t>ﺟﺮﺍﺝ ﻣﺮﻛﺒﺎﺕ</t>
  </si>
  <si>
    <t>ﺍﻋﻤﺎﻝ ﺍﻟﺼﻴﺎﻧﺔ ﻭ ﺍﻟﺘﺼﻠﻴﺢ</t>
  </si>
  <si>
    <t>ﺻﻴﺎﻧﺔ ﻭ ﺗﺮﻛﻴﺐ ﺩﺵ</t>
  </si>
  <si>
    <t>ﺻﻴﺎﻧﺔ ﺍﺟﻬﺰﺓ ﺍﻟﻜﺘﺮﻭﻧﻴﺔ</t>
  </si>
  <si>
    <t>ﺻﻴﺎﻧﺔ ﺍﺟﻬﺰﺓ ﻣﺤﻤﻮﻝ</t>
  </si>
  <si>
    <t>ﺻﻴﺎﻧﺔ ﺍﺟﻬﺰﺓ ﻛﻬﺮﺑﺎﺋﻴﺔ</t>
  </si>
  <si>
    <t xml:space="preserve"> ﺧﺮﺍﻃﺔ ﻭ ﻟﺤﺎﻡ</t>
  </si>
  <si>
    <t xml:space="preserve"> ﺍﺷﻐﺎﻝ ﺍﻟﻮﻣﻴﺘﺎﻝ</t>
  </si>
  <si>
    <t>ﺗﺸﻜﻴﻞ ﻣﻌﺎﺩﻥ</t>
  </si>
  <si>
    <t>صباغة</t>
  </si>
  <si>
    <t xml:space="preserve"> ﻋﺠﻼﺗﻲ</t>
  </si>
  <si>
    <t xml:space="preserve"> ﻭﺭﺷﺔ ﺩﻫﺎﻧﺎﺕ </t>
  </si>
  <si>
    <t xml:space="preserve"> ﻭﺭﺷﺔ ﺗﺒﺮﻳﺪ ﻭﺗﻜﻴﻴﻒ</t>
  </si>
  <si>
    <t>استورجي</t>
  </si>
  <si>
    <t xml:space="preserve"> ﺗﺼﻠﻴﺢ ﺳﺎﻋﺎﺕ  </t>
  </si>
  <si>
    <t xml:space="preserve">ﺗﺼﻠﻴﺢ ﻣﻮﺗﺴﻴﻜﻼﺕ </t>
  </si>
  <si>
    <t xml:space="preserve"> ﻭﺭﺷﺔ ﻏﺴﻴﻞ ﻭ ﺗﺸﺤﻴﻢ </t>
  </si>
  <si>
    <t xml:space="preserve"> ﺍﻋﻤﺎﻝ ﻧﻘﺎﺷﺔ </t>
  </si>
  <si>
    <t xml:space="preserve"> ﺍﻋﻤﺎﻝ ﻛﻬﺮﺑﺎﺀ ﻣﻨﺎﺯﻝ </t>
  </si>
  <si>
    <t xml:space="preserve"> ﺍﻋﻤﺎﻝ ﺳﺒﺎﻛﺔ</t>
  </si>
  <si>
    <t xml:space="preserve"> ﺍﻋﻤﺎﻝ ﺍﻟﻨﺠﺎﺭﺓ </t>
  </si>
  <si>
    <t xml:space="preserve">ﻭﺭﺷﺔ ﺳﻦ ﺍﺳﻠﺤﺔ </t>
  </si>
  <si>
    <t xml:space="preserve"> ﻭﺭﺷﺔ ﻛﻬﺮﺑﺎﺋﻲ ﺳﻴﺎﺭﺍﺕ</t>
  </si>
  <si>
    <t xml:space="preserve">ﻭﺭﺷﺔ ﺳﻤﻜﺮﺓ ﺳﻴﺎﺭﺍﺕ </t>
  </si>
  <si>
    <t>ﻭﺭﺷﺔ ﻣﻴﻜﺎﻧﻴﻜﻲ ﺳﻴﺎﺭﺍﺕ</t>
  </si>
  <si>
    <t xml:space="preserve">ﻭﺭﺷﺔ ﺻﻴﺎﻧﺔ ﻛﺎﺭﺑﺮﺍﺗﻴﺮ   </t>
  </si>
  <si>
    <t xml:space="preserve">ﻭﺭﺷﺔ ﻣﻴﻜﺎﻧﻴﻜﻲ ﺗﻮﻛﺘﻮﻙ </t>
  </si>
  <si>
    <t xml:space="preserve"> ﻭﺭﺷﺔ ﻟﺤﺎﻡ ﻛﻬﺮﺑﺎﺀ </t>
  </si>
  <si>
    <t xml:space="preserve">ﻭﺭﺷﺔ ﻟﺤﺎﻡ ﺫﻫﺐ  </t>
  </si>
  <si>
    <t>ﻭﺭﺷﺔ ﺗﺼﻠﻴﺢ ﻛﺎﻭﺗﺶ</t>
  </si>
  <si>
    <t xml:space="preserve">ﻭﺭﺷﺔ ﺯﺟﺎﺝ ﻭ ﺑﺮﺍﻭﻳﺰ </t>
  </si>
  <si>
    <t xml:space="preserve">ﻭﺭﺷﺔ ﺗﺼﻠﻴﺢ ﺍﺣﺬﻳﺔ </t>
  </si>
  <si>
    <t xml:space="preserve"> ﻭﺭﺷﺔ ﺩﻭﻛﻮ ﺳﻴﺎﺭﺍﺕ</t>
  </si>
  <si>
    <t xml:space="preserve"> ﻭﺭﺷﺔ ﺻﻴﺎﻧﺔ ﺭﺍﺩﺍﺗﻴﺮ </t>
  </si>
  <si>
    <t>ﺻﻴﺎﻧﺔ ﺳﻴﺎﺭﺓ ﺑﻐﺮﺽ ﺍﻟﺒﻴﻊ ﺍﻭﺍﻟﺘﺄﺟﻴﺮ</t>
  </si>
  <si>
    <t xml:space="preserve"> ﻭﺭﺷﺔ ﻧﺴﺦ ﻭﺍﺻﻼﺡ ﻣﻔﺎﺗﻴﺢ ﻭﻛﻮﺍﻟﻴﻦ </t>
  </si>
  <si>
    <t>ﺳﺤﺐ ﻣﺨﻠﻔﺎﺕ ﺍﻟﺰﻳﻮﺕ</t>
  </si>
  <si>
    <t xml:space="preserve">ﺻﻴﺎﻧﺔ ﻣﺎﻛﻴﻨﺎﺕ ﺭﻯ </t>
  </si>
  <si>
    <t>ﺻﻴﺎﻧﺔ ﻭﻻﻋﺎﺕ</t>
  </si>
  <si>
    <t xml:space="preserve">ﻭﺭﺷﺔ ﻟﺤﺎﻡ ﻓﻀﺔ  </t>
  </si>
  <si>
    <t>ﺗﺮﻛﻴﺐ ﺑﻼﻁ ﻭﺳﻴﺮﺍﻣﻴﻚ</t>
  </si>
  <si>
    <t xml:space="preserve"> ﺍﻋﻤﺎﻝ ﺍﻟﺘﻔﺼﻴﻞ</t>
  </si>
  <si>
    <t>ترزي</t>
  </si>
  <si>
    <t xml:space="preserve"> ﺗﺮﺯﻯ ﺣﺮﻳﻤﻲ</t>
  </si>
  <si>
    <t xml:space="preserve"> ﺗﺮﺯﻯ ﺭﺟﺎﻟﻲ</t>
  </si>
  <si>
    <t xml:space="preserve"> ﺳﺮﻭﺟﻲ ﺳﻴﺎﺭﺍﺕ</t>
  </si>
  <si>
    <t>ﺳﺮﻭﺟﻲ ﺗﻮﻛﺘﻮﻙ</t>
  </si>
  <si>
    <t>منجد</t>
  </si>
  <si>
    <t>ﻣﻨﺠﺪ ﺍﻓﺮﻧﺠﻲ (ﺍﻧﺘﺮﻳﻬﺎﺕ ﻭ ﻛﺮﺍﺳﻲ)</t>
  </si>
  <si>
    <t xml:space="preserve"> ﺳﺮﻓﻠﺔ ﻭ ﺗﻄﺮﻳﺰ</t>
  </si>
  <si>
    <t xml:space="preserve"> ﺗﺮﺯﻱ ﺳﺘﺎﺋﺮ</t>
  </si>
  <si>
    <t xml:space="preserve">ﺧﺪﻣﺎﺕ ﻣﻬﻦ ﺣﺮﻩ </t>
  </si>
  <si>
    <t xml:space="preserve"> ﺗﺎﺳﻴﺲ ﻣﻜﺘﺐ</t>
  </si>
  <si>
    <t xml:space="preserve">ﺧﺪﻣﺎﺕ ﺗﻌﻠﻴﻤﻴﺔ </t>
  </si>
  <si>
    <t>ﺣﻀﺎﻧﺔ - ﺗﻤﻬﻴﺪﻯ ﻗﺒﻞ ﺍﻻﺑﺘﺪﺍﺋﻰ</t>
  </si>
  <si>
    <t xml:space="preserve"> ﺧﺪﻣﺎﺕ ﺑﻴﻄﺭﻳﻪ </t>
  </si>
  <si>
    <t>ﺣﻼﻕ ﻣﺎﺷﻴﺔ</t>
  </si>
  <si>
    <t>ﺧﺪﻣﺎﺕ ﺷﺤﻦ ﻭﺗﻮﺻﻴﻞ ﺍﻟﺴﻠﻊ ﻭﺍﻟﺒﻀﺎﺋﻊ</t>
  </si>
  <si>
    <t>ﻣﻜﺘﺐ ﺷﺤﻦ ﻭﺗﻮﺻﻴﻞ ﺳﻠﻊ ﻭﺑﻀﺎﺋﻊ</t>
  </si>
  <si>
    <t>دي جي</t>
  </si>
  <si>
    <t>مغسلة منتجات نسيجية</t>
  </si>
  <si>
    <t>ورشة خراطة</t>
  </si>
  <si>
    <t>دهانان دوكو سيارات</t>
  </si>
  <si>
    <t xml:space="preserve"> ﺻﻴﺎﻧﻪ ﺍﺟﻬﺰﻩ ﺗﻜﻴﻴﻒ </t>
  </si>
  <si>
    <t xml:space="preserve"> ﺑﻴﻊ ﻭﺍﺻﻼﺡ ﺩﺭﺍﺟﺎﺕ</t>
  </si>
  <si>
    <t xml:space="preserve">ﻛﻰ ﻣﻼﺑﺲ </t>
  </si>
  <si>
    <t>الأنشطة</t>
  </si>
  <si>
    <t>المحافظة</t>
  </si>
  <si>
    <t>وسيلة الصرف بخدمات الدفع الالكتروني</t>
  </si>
  <si>
    <t>كارت ميزة بنك الإسكندرية</t>
  </si>
  <si>
    <t>كارت ميزة البنك الأهلي</t>
  </si>
  <si>
    <t>فوري</t>
  </si>
  <si>
    <t>أسيوط</t>
  </si>
  <si>
    <t>سوهاج</t>
  </si>
  <si>
    <t>قنا</t>
  </si>
  <si>
    <t xml:space="preserve">ﺷﺮﺍﺀ ﺍﻻﺕ ﻣﻮﺳﻴﻘﻴﻪ </t>
  </si>
  <si>
    <t>استخدام عام</t>
  </si>
  <si>
    <t>شراء معدات</t>
  </si>
  <si>
    <t>شراء مواد خام ومعدات</t>
  </si>
  <si>
    <t>تعيين عمالة</t>
  </si>
  <si>
    <t>التسويق</t>
  </si>
  <si>
    <t>شراء بضاعة متنوعة</t>
  </si>
  <si>
    <t>شراء رؤوس ماشية / اغنام</t>
  </si>
  <si>
    <t>عمرة موتور سيارة</t>
  </si>
  <si>
    <t>سمكرة  ودوكو وعفشة سيارة</t>
  </si>
  <si>
    <t>شراء اعلاف</t>
  </si>
  <si>
    <t>اعمال صيانة كهرباء</t>
  </si>
  <si>
    <t>اعمال صيانة ودوكو وعفشة</t>
  </si>
  <si>
    <t>مصدر التمويل /برنامج التمويل</t>
  </si>
  <si>
    <t>إيدي في إيدك</t>
  </si>
  <si>
    <t>البنك الأهلي المصري</t>
  </si>
  <si>
    <t>بنك مصر</t>
  </si>
  <si>
    <t>سياحي ناجح</t>
  </si>
  <si>
    <t>بشرة خير</t>
  </si>
  <si>
    <t>تعزيز القدرات المؤسسية</t>
  </si>
  <si>
    <t>بنك الإسكندرية</t>
  </si>
  <si>
    <t>الترويج للبدائل الاقتصادية</t>
  </si>
  <si>
    <t>وأقــــــــــيم في :</t>
  </si>
  <si>
    <t>مرفق (1-1)</t>
  </si>
  <si>
    <t>مرفق (1-2)</t>
  </si>
  <si>
    <t>المقيم في :</t>
  </si>
  <si>
    <r>
      <t>ﺷﺮﺍﺀ ﺍﻻﺕ ﻣﻮﺳﻴﻘﻴﻪ</t>
    </r>
    <r>
      <rPr>
        <sz val="15"/>
        <color rgb="FF000000"/>
        <rFont val="Microsoft Sans Serif"/>
        <family val="2"/>
      </rPr>
      <t xml:space="preserve"> </t>
    </r>
  </si>
  <si>
    <t>معدل المصاريف الإدارية</t>
  </si>
  <si>
    <t>إجمالي الفوائد</t>
  </si>
  <si>
    <t>Test</t>
  </si>
  <si>
    <t>تمكين السيدات اجتماعيا واقتصاديا</t>
  </si>
  <si>
    <t>تواريخ السداد</t>
  </si>
  <si>
    <t>بالعنوان الكائن في :43 ش. حنظلة بن الربيع بسوهاج</t>
  </si>
  <si>
    <t/>
  </si>
  <si>
    <t>إقرار بنتيجة الاستعلام بالقوائم المالية المستهدفة</t>
  </si>
  <si>
    <t xml:space="preserve">أقر أنا الموقع أدناه بان السيد : </t>
  </si>
  <si>
    <t xml:space="preserve">رقم قومي : </t>
  </si>
  <si>
    <t>كود العميل :</t>
  </si>
  <si>
    <t xml:space="preserve">المقيم في: </t>
  </si>
  <si>
    <t>ت / موبـايـل :</t>
  </si>
  <si>
    <t xml:space="preserve">تم الاستعلام عن العميل المدرج بقاعدة بيانات جمعية الصعيد للتربية والتنمية ومقارنته بالقوائم السلبية (القوائم المالية المستهدفة)  </t>
  </si>
  <si>
    <t>وكانت نتيجة الاستعلام كالتالى :</t>
  </si>
  <si>
    <t>P</t>
  </si>
  <si>
    <t>لا يوجد اى تشابة بين بيانات العميل والبيانات المتوفرة بالقوائم السلبية</t>
  </si>
  <si>
    <t>يوجد تشابة فى احد /بعض بيانات العميل مع القوائم السلبية (وجاري الابلاغ الفورى للمدير المسؤل عن مكافحة غسل الاموال وتمويل الارهاب)</t>
  </si>
  <si>
    <t xml:space="preserve">يوجد تطابق فى بيانات العميل مع البيانات المتوفرة بالفوائم السلبية(جاري اتخاد اجراءات وقف طلب العميل مع الابلاغ بنموذج الاشتباة للمدير </t>
  </si>
  <si>
    <t>المسؤل عن مكافحة غسل الاموال وتمويل الارهاب)</t>
  </si>
  <si>
    <t xml:space="preserve">و السيد : </t>
  </si>
  <si>
    <t xml:space="preserve">تم الاستعلام عن الضامن المدرج بقاعدة بيانات جمعية الصعيد للتربية والتنمية ومقارنته بالقوائم السلبية (القوائم المالية المستهدفة)  </t>
  </si>
  <si>
    <t xml:space="preserve">وكانت نتيجة الاستعلام كالتالى :                                            </t>
  </si>
  <si>
    <t>لا يوجد اى تشابة بين بيانات الضامن والبيانات المتوفرة بالقوائم السلبية</t>
  </si>
  <si>
    <t>يوجد تشابة فى احد /بعض بيانات الضامن مع القوائم السلبية (وجاري الابلاغ الفورى للمدير المسؤل عن مكافحة غسل الاموال وتمويل الارهاب)</t>
  </si>
  <si>
    <t xml:space="preserve"> </t>
  </si>
  <si>
    <t xml:space="preserve">يوجد تطابق فى بيانات الضامن مع البيانات المتوفرة بالفوائم السلبية(جاري اتخاد اجراءات وقف طلب العميل مع </t>
  </si>
  <si>
    <t>الابلاغ بنموذج الاشتباة للمدير المسؤل عن مكافحة غسل الاموال وتمويل الارهاب)</t>
  </si>
  <si>
    <t>تم الاستعلام عن العميل المدرج بقاعدة بيانات جمعية الصعيد للتربية والتنمية ومقارنته بالقوائم السلبية (القوائم المالية المستهدفة)</t>
  </si>
  <si>
    <t xml:space="preserve">يوجد تطابق فى بيانات الضامن مع البيانات المتوفرة بالفوائم السلبية(جاري اتخاد اجراءات وقف طلب العميل مع الابلاغ بنموذج الاشتباة للمدير </t>
  </si>
  <si>
    <t xml:space="preserve">تحريراً فى </t>
  </si>
  <si>
    <t>وهذا إقرار مني بذلك ,,</t>
  </si>
  <si>
    <r>
      <t xml:space="preserve"> التوقيع : </t>
    </r>
    <r>
      <rPr>
        <sz val="10"/>
        <color theme="1"/>
        <rFont val="Simplified Arabic"/>
        <family val="1"/>
      </rPr>
      <t>………………………………………….</t>
    </r>
  </si>
  <si>
    <t>اســم الضامــن الثالث</t>
  </si>
  <si>
    <t>وظيفة الضامــن الثالث</t>
  </si>
  <si>
    <t>عنــوان إقامـــة الضامــن الثالث</t>
  </si>
  <si>
    <t>بيانات الصرف</t>
  </si>
  <si>
    <t>بيانات العميل</t>
  </si>
  <si>
    <t>اسم العميل</t>
  </si>
  <si>
    <t>الاقساط</t>
  </si>
  <si>
    <t>رقم قومي_ض1</t>
  </si>
  <si>
    <t>موبايل_ض1</t>
  </si>
  <si>
    <t>رقم قومي_ض2</t>
  </si>
  <si>
    <t>موبايل_ض2</t>
  </si>
  <si>
    <t>رقم قومي_ض3</t>
  </si>
  <si>
    <t>موبايل_ض3</t>
  </si>
  <si>
    <t>1)	 حلول ميعاد استحقاق التمويل أو الاقساط وعدم التزام الطرف الثاني بسداد قسطين متتاليين وبناء عليه يحق للطرف الاول سحب 
    محتويات النشاط / المشروع ومكوناته القائم عليها والواردة بطلب التمويل دون انذار سابق او تنبيه في اي وقت خلال فترة سريان العقد 
    وحتى تمام سداد كافة المديونيات المستحقة للطرف الاول.
2) 	إذا تبين عدم صحة أي من البيانات المقدمة من الطرف الثاني بشأن التمويل الممنوح موضوع هذا العقد وتنفيذه طول مدة سريانه.
3)	 عدم جدية الطرف الثاني في تنفيذ النشاط / المشروع المذكور بعالية.
4) 	تغيير الطرف الثاني شكل او موضوع او طبيعة المشروع او التصرف فيه بالبيع او التنازل او الرهن للغير دون أخذ موافقة كتابية من الطرف 
    الاول على ذلك.
5) 	الإخلال بأي بند من بنود هذا العقد الماثل او شرط من شروطه.</t>
  </si>
  <si>
    <t>الشرائح</t>
  </si>
  <si>
    <t>من</t>
  </si>
  <si>
    <t>الي</t>
  </si>
  <si>
    <t>المخاطر</t>
  </si>
  <si>
    <t>الفائدة المقدمة</t>
  </si>
  <si>
    <t>أ</t>
  </si>
  <si>
    <t>منخفض</t>
  </si>
  <si>
    <t>ب</t>
  </si>
  <si>
    <t>متوسط</t>
  </si>
  <si>
    <t>ج</t>
  </si>
  <si>
    <t>مرتفع</t>
  </si>
  <si>
    <t>مصاريف الغرامة للقسط</t>
  </si>
  <si>
    <t>مبلغ القسط</t>
  </si>
  <si>
    <t>مرتفع المخاطر</t>
  </si>
  <si>
    <t>متوسط المخاطر</t>
  </si>
  <si>
    <t>منخفض المخاطر</t>
  </si>
  <si>
    <t>مصاريف فوري</t>
  </si>
  <si>
    <t>من 3 الي 15</t>
  </si>
  <si>
    <t>من 15 الي 20</t>
  </si>
  <si>
    <t>......................................................................................................</t>
  </si>
  <si>
    <t>LOCATION</t>
  </si>
  <si>
    <t>PROJECT</t>
  </si>
  <si>
    <t>فايدة القسط</t>
  </si>
  <si>
    <r>
      <rPr>
        <b/>
        <u val="double"/>
        <sz val="16"/>
        <rFont val="Arial"/>
        <family val="2"/>
      </rPr>
      <t>بيان تواريخ وقيمة الأقساط المستحقة</t>
    </r>
    <r>
      <rPr>
        <b/>
        <sz val="16"/>
        <rFont val="Arial"/>
        <family val="2"/>
      </rPr>
      <t xml:space="preserve">                               </t>
    </r>
    <r>
      <rPr>
        <b/>
        <sz val="10"/>
        <rFont val="Arial"/>
        <family val="2"/>
      </rPr>
      <t xml:space="preserve"> </t>
    </r>
    <r>
      <rPr>
        <sz val="10"/>
        <rFont val="Arial"/>
        <family val="2"/>
      </rPr>
      <t xml:space="preserve"> (مرفق 2)</t>
    </r>
  </si>
  <si>
    <r>
      <t>بأنني فوضت</t>
    </r>
    <r>
      <rPr>
        <u/>
        <sz val="14"/>
        <rFont val="Arial (Arabic)"/>
        <charset val="178"/>
      </rPr>
      <t xml:space="preserve"> جمعية الصعيد للتربية والتنمية</t>
    </r>
    <r>
      <rPr>
        <sz val="14"/>
        <rFont val="Arial (Arabic)"/>
        <charset val="178"/>
      </rPr>
      <t xml:space="preserve"> </t>
    </r>
  </si>
  <si>
    <r>
      <t xml:space="preserve">في الاستعلام الائتماني عني ولها في سبيل تحقيق ذلك كافة الصلاحيات التي تخول لها في الحصول على التقارير الائتمانية والمعلومات والبيانات الخاصة بي لدى جميع البنوك والمؤسسات وكافة جهات الاستعلام وجميع الجهات التي تعمل في نشاط التمويل متناهي الصغر وتمويل المشروعات المتوسطة والصغيرة ومتناهية الصغر  والشركات التجارية.
كما أقر بموافقتي على قيام </t>
    </r>
    <r>
      <rPr>
        <u/>
        <sz val="14"/>
        <rFont val="Arial (Arabic)"/>
        <charset val="178"/>
      </rPr>
      <t>جمعية الصعيد للتربية والتنمية</t>
    </r>
    <r>
      <rPr>
        <sz val="14"/>
        <rFont val="Arial (Arabic)"/>
        <charset val="178"/>
      </rPr>
      <t xml:space="preserve"> بتصوير المشروع والعاملين فيه وتبادل كافة المعلومات عن معاملاتي المالية والبيانات الائتمانية الخاصة بي مع كافة الجهات سالفة الذكر وتحديثها حالياً ومستقبلاً طبقاً لمنظومة 
تبادل المعلومات .
وذلك بغرض الحصول على تمويل مشروع أو تجديد تمويل مشروع من جمعية الصعيد للتربية والتنمية تحت مسئوليتي الشخصية دون أدنى مسئولية على الجمعية مع تحملي تكلفة الاستعلام المعتمدة من الجمعية ، وهذا غير ملزم للجمعية بصرف
 أي مبالغ بإسمي في مقابل هذا التفويض ، وهذا إقرار موافقة وتفويض مني بذلك (غير قابل للإلغاء) .</t>
    </r>
  </si>
  <si>
    <r>
      <t>الاسم /</t>
    </r>
    <r>
      <rPr>
        <sz val="20"/>
        <rFont val="Arial (Arabic)"/>
        <charset val="178"/>
      </rPr>
      <t>......................................................................</t>
    </r>
  </si>
  <si>
    <r>
      <t>التوقيع /</t>
    </r>
    <r>
      <rPr>
        <sz val="20"/>
        <rFont val="Arial (Arabic)"/>
        <charset val="178"/>
      </rPr>
      <t>..................................................................</t>
    </r>
  </si>
  <si>
    <t>اسم الضامن الاول</t>
  </si>
  <si>
    <t>الرقم القومي الضامن الاول</t>
  </si>
  <si>
    <t>عنوان الضامن الاول</t>
  </si>
  <si>
    <t>اسم الضامن الثاني</t>
  </si>
  <si>
    <t>الرقم القومي الضامن الثاني</t>
  </si>
  <si>
    <t>عنوان الضامن الثاني</t>
  </si>
  <si>
    <t>اقرار استلام</t>
  </si>
  <si>
    <t xml:space="preserve">اقر انا /  </t>
  </si>
  <si>
    <t xml:space="preserve">بأنني استملت من جمعية الصعيد للتربية والتنمية كارت ميزة </t>
  </si>
  <si>
    <t xml:space="preserve">برقــــم </t>
  </si>
  <si>
    <t>وهذا اقرار مني بذلك ،،،</t>
  </si>
  <si>
    <t>-------------------------------------------------------------------</t>
  </si>
  <si>
    <t>رقم قومي :</t>
  </si>
  <si>
    <t>رقم محمول :</t>
  </si>
  <si>
    <t>0</t>
  </si>
  <si>
    <t>منتصر نخله روس شنوده</t>
  </si>
  <si>
    <t>تجارى</t>
  </si>
  <si>
    <t>تجارة مواد غذائية</t>
  </si>
  <si>
    <t>تجارة بقالة</t>
  </si>
  <si>
    <t>منزل نخله روس بجوار صيدليه الترعه - حاره الكموني - ش الترعه الضمرانيه -الساحل - نجع حمادي - قنا</t>
  </si>
  <si>
    <t>نعمه فاروق الورداني هريدي</t>
  </si>
  <si>
    <t>خدمى</t>
  </si>
  <si>
    <t>اعمال التفصيل</t>
  </si>
  <si>
    <t>ترزى حريمي</t>
  </si>
  <si>
    <t>ايدي في ايدك</t>
  </si>
  <si>
    <t>منزل فاروق الورداني - حاره ابوكبير - بجوار مقهي اولاد همام - ش الجمهوريه - نجع حمادي - قنا</t>
  </si>
  <si>
    <t>الامين قطاوي رضوان عيسي</t>
  </si>
  <si>
    <t>انتاج حيوانى و زراعي</t>
  </si>
  <si>
    <t>تربية و تسمين ماشية</t>
  </si>
  <si>
    <t>منزل رضوان قطاوي - بجوار المعهد الابتدائي - القمانه - نجع حمادي - قنا</t>
  </si>
  <si>
    <t>بيتر رضا فهيم محارب</t>
  </si>
  <si>
    <t>اعمال الصيانة و التصليح</t>
  </si>
  <si>
    <t>صيانة سيارة بغرض البيع اوالتأجير</t>
  </si>
  <si>
    <t>منزل بيتر رضا فهيم - شارع عمر مكرم - بجوار كافيه ميني ستوب - مركز نجع حمادي - قنا</t>
  </si>
  <si>
    <t>سعدات محمد حسين علي</t>
  </si>
  <si>
    <t>منزل محمد حسن علي - بجوار المجمع الخيري - البطحه - نجع حمادي - قنا</t>
  </si>
  <si>
    <t>جمال فوزي ابراهيم محمد</t>
  </si>
  <si>
    <t>اعمال النجارة</t>
  </si>
  <si>
    <t>منزل فوزي ابراهيم - بجوار بنزينه طوبيا - الدرب - مركز نجع حمادي - قنا</t>
  </si>
  <si>
    <t>عبدالرحيم قاسم محمد قناوي</t>
  </si>
  <si>
    <t>منزل عبدالرحيم قاسم - بجوار جامع الفتح - الكلح الغربي - نجع حمادي - قنا</t>
  </si>
  <si>
    <t>قناوي محمد قناوي حسين</t>
  </si>
  <si>
    <t>تصليح موتسيكلات</t>
  </si>
  <si>
    <t>منزل قناوي محمد - بجوار مسجد ابوبكر الصديق - ابوعموري - نجع حمادي - قنا</t>
  </si>
  <si>
    <t>علي محمد علي محمد</t>
  </si>
  <si>
    <t>اعمال نقاشة</t>
  </si>
  <si>
    <t>منزل محمد علي - بجوار جامع التوحيد - حاجر الجبل - هو - نجع حمادي - قنا</t>
  </si>
  <si>
    <t>بدريه تغيان علي وزيري</t>
  </si>
  <si>
    <t>منزل شعبان زكي - ش الحيوبي - مسجد علي بدوي - سلاجه - نجع حمادي - قنا</t>
  </si>
  <si>
    <t>حنا سامي عبدالسيد طوني</t>
  </si>
  <si>
    <t>تسالي ومستلزمات سبوع</t>
  </si>
  <si>
    <t>منزل سامي عبدالسيد - بجوار كنيسه السيده العذراء مريم بالرحمانيه - نجع حمادي - قنا</t>
  </si>
  <si>
    <t>سعودات عمر علي سليم</t>
  </si>
  <si>
    <t>منزل وائل مبارك - بجوار مدرسه القصر الاعداديه - ش البوسته - القصر - نجع حمادي - قنا</t>
  </si>
  <si>
    <t>ايمان محمد خلف الله حسين</t>
  </si>
  <si>
    <t>منزل عماره عبدالراضي - بجوار مرشح المياه - ابوعموري - البطحه - نجع حمادي - قنا</t>
  </si>
  <si>
    <t>شريحة (ب )</t>
  </si>
  <si>
    <t>اجمالي الالتزام</t>
  </si>
  <si>
    <t>'31%'!I4:I1487</t>
  </si>
  <si>
    <t>'21%'!I4:I387</t>
  </si>
  <si>
    <t>'31%'!E4:E1487</t>
  </si>
  <si>
    <t>'21%'!E4:E387</t>
  </si>
  <si>
    <t>فائدة أ</t>
  </si>
  <si>
    <t>فائدة ب</t>
  </si>
  <si>
    <t>فائدة ج</t>
  </si>
  <si>
    <t>فائدة مقدمة أ</t>
  </si>
  <si>
    <t>فائدة مقدمة ب</t>
  </si>
  <si>
    <t>فائدة مقدمة ج</t>
  </si>
  <si>
    <t>فائدة الشريحة</t>
  </si>
  <si>
    <t>فائدة مقدمة للشريحة</t>
  </si>
  <si>
    <t>NULL</t>
  </si>
  <si>
    <t>المبلغ</t>
  </si>
  <si>
    <t>'31%'!N4:N1487</t>
  </si>
  <si>
    <t>'21%'!N4:N387</t>
  </si>
  <si>
    <t>المقدم</t>
  </si>
  <si>
    <t>'31%'!F4:F1487</t>
  </si>
  <si>
    <t>'21%'!F4:F387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</si>
</sst>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164" formatCode="[$-1010000]yyyy/mm/dd;@"/>
    <numFmt numFmtId="165" formatCode="[$-10B0000]d\ mmmm\ yyyy;@"/>
    <numFmt numFmtId="166" formatCode="00000"/>
    <numFmt numFmtId="167" formatCode="[$-2010000]yyyy/mm/dd;@"/>
    <numFmt numFmtId="168" formatCode="0.0%"/>
    <numFmt numFmtId="169" formatCode="00000000000"/>
    <numFmt numFmtId="170" formatCode="00.0000000000000"/>
    <numFmt numFmtId="171" formatCode="ddd"/>
    <numFmt numFmtId="172" formatCode="00000000000000"/>
    <numFmt numFmtId="173" formatCode="#,##0\ &quot;ج.م.‏&quot;"/>
    <numFmt numFmtId="174" formatCode="yyyy/mm/dd"/>
  </numFmts>
  <fonts count="130">
    <font>
      <sz val="10"/>
      <name val="Arial"/>
      <charset val="178"/>
    </font>
    <font>
      <sz val="10"/>
      <name val="Arial"/>
      <family val="2"/>
    </font>
    <font>
      <sz val="11"/>
      <color indexed="8"/>
      <name val="Calibri"/>
      <family val="2"/>
      <charset val="178"/>
    </font>
    <font>
      <sz val="11"/>
      <color indexed="9"/>
      <name val="Calibri"/>
      <family val="2"/>
      <charset val="178"/>
    </font>
    <font>
      <sz val="11"/>
      <color indexed="20"/>
      <name val="Calibri"/>
      <family val="2"/>
      <charset val="178"/>
    </font>
    <font>
      <b/>
      <sz val="11"/>
      <color indexed="52"/>
      <name val="Calibri"/>
      <family val="2"/>
      <charset val="178"/>
    </font>
    <font>
      <b/>
      <sz val="11"/>
      <color indexed="9"/>
      <name val="Calibri"/>
      <family val="2"/>
      <charset val="178"/>
    </font>
    <font>
      <i/>
      <sz val="11"/>
      <color indexed="23"/>
      <name val="Calibri"/>
      <family val="2"/>
      <charset val="178"/>
    </font>
    <font>
      <sz val="11"/>
      <color indexed="17"/>
      <name val="Calibri"/>
      <family val="2"/>
      <charset val="178"/>
    </font>
    <font>
      <b/>
      <sz val="15"/>
      <color indexed="56"/>
      <name val="Calibri"/>
      <family val="2"/>
      <charset val="178"/>
    </font>
    <font>
      <b/>
      <sz val="13"/>
      <color indexed="56"/>
      <name val="Calibri"/>
      <family val="2"/>
      <charset val="178"/>
    </font>
    <font>
      <b/>
      <sz val="11"/>
      <color indexed="56"/>
      <name val="Calibri"/>
      <family val="2"/>
      <charset val="178"/>
    </font>
    <font>
      <sz val="11"/>
      <color indexed="62"/>
      <name val="Calibri"/>
      <family val="2"/>
      <charset val="178"/>
    </font>
    <font>
      <sz val="11"/>
      <color indexed="52"/>
      <name val="Calibri"/>
      <family val="2"/>
      <charset val="178"/>
    </font>
    <font>
      <sz val="11"/>
      <color indexed="60"/>
      <name val="Calibri"/>
      <family val="2"/>
      <charset val="178"/>
    </font>
    <font>
      <b/>
      <sz val="11"/>
      <color indexed="63"/>
      <name val="Calibri"/>
      <family val="2"/>
      <charset val="178"/>
    </font>
    <font>
      <b/>
      <sz val="18"/>
      <color indexed="56"/>
      <name val="Cambria"/>
      <family val="2"/>
      <charset val="178"/>
    </font>
    <font>
      <b/>
      <sz val="11"/>
      <color indexed="8"/>
      <name val="Calibri"/>
      <family val="2"/>
      <charset val="178"/>
    </font>
    <font>
      <sz val="11"/>
      <color indexed="10"/>
      <name val="Calibri"/>
      <family val="2"/>
      <charset val="178"/>
    </font>
    <font>
      <sz val="16"/>
      <name val="Arial (Arabic)"/>
      <family val="2"/>
      <charset val="178"/>
    </font>
    <font>
      <b/>
      <u/>
      <sz val="16"/>
      <name val="Arial (Arabic)"/>
      <family val="2"/>
      <charset val="178"/>
    </font>
    <font>
      <sz val="14"/>
      <name val="Arial (Arabic)"/>
      <family val="2"/>
      <charset val="178"/>
    </font>
    <font>
      <sz val="5"/>
      <name val="Arial (Arabic)"/>
      <charset val="178"/>
    </font>
    <font>
      <b/>
      <sz val="12"/>
      <name val="Arial (Arabic)"/>
      <family val="2"/>
      <charset val="178"/>
    </font>
    <font>
      <sz val="13"/>
      <name val="Arial (Arabic)"/>
      <charset val="178"/>
    </font>
    <font>
      <sz val="12"/>
      <name val="Arial (Arabic)"/>
      <family val="2"/>
      <charset val="178"/>
    </font>
    <font>
      <b/>
      <u/>
      <sz val="20"/>
      <color indexed="10"/>
      <name val="Arial (Arabic)"/>
      <family val="2"/>
      <charset val="178"/>
    </font>
    <font>
      <sz val="14"/>
      <name val="Arial"/>
      <family val="2"/>
    </font>
    <font>
      <b/>
      <sz val="18"/>
      <color indexed="62"/>
      <name val="Arial (Arabic)"/>
      <family val="2"/>
      <charset val="178"/>
    </font>
    <font>
      <b/>
      <sz val="14"/>
      <name val="Arial"/>
      <family val="2"/>
    </font>
    <font>
      <sz val="10"/>
      <name val="Arial"/>
      <family val="2"/>
    </font>
    <font>
      <b/>
      <sz val="12"/>
      <color indexed="10"/>
      <name val="Arial (Arabic)"/>
      <family val="2"/>
      <charset val="178"/>
    </font>
    <font>
      <sz val="10"/>
      <name val="Arial"/>
      <family val="2"/>
    </font>
    <font>
      <sz val="12"/>
      <name val="Arial"/>
      <family val="2"/>
    </font>
    <font>
      <b/>
      <sz val="13"/>
      <name val="Arial (Arabic)"/>
      <charset val="178"/>
    </font>
    <font>
      <sz val="28"/>
      <name val="Arial (Arabic)"/>
      <charset val="178"/>
    </font>
    <font>
      <b/>
      <sz val="12"/>
      <name val="Arial (Arabic)"/>
      <charset val="178"/>
    </font>
    <font>
      <b/>
      <sz val="14"/>
      <color indexed="62"/>
      <name val="Arial (Arabic)"/>
      <family val="2"/>
      <charset val="178"/>
    </font>
    <font>
      <sz val="10"/>
      <name val="Arial"/>
      <family val="2"/>
    </font>
    <font>
      <sz val="14"/>
      <name val="Arial (Arabic)"/>
      <charset val="178"/>
    </font>
    <font>
      <sz val="13"/>
      <name val="Arial"/>
      <family val="2"/>
    </font>
    <font>
      <b/>
      <sz val="10"/>
      <name val="Arial"/>
      <family val="2"/>
    </font>
    <font>
      <sz val="11"/>
      <color theme="1"/>
      <name val="Calibri"/>
      <family val="2"/>
      <scheme val="minor"/>
    </font>
    <font>
      <sz val="10"/>
      <color rgb="FFFFFFFF"/>
      <name val="Arial"/>
      <family val="2"/>
    </font>
    <font>
      <b/>
      <sz val="12"/>
      <name val="Sakkal Majalla"/>
    </font>
    <font>
      <sz val="12"/>
      <name val="Sakkal Majalla"/>
    </font>
    <font>
      <b/>
      <u/>
      <sz val="12"/>
      <name val="Sakkal Majalla"/>
    </font>
    <font>
      <b/>
      <sz val="12"/>
      <name val="Symbol"/>
      <family val="1"/>
      <charset val="2"/>
    </font>
    <font>
      <b/>
      <sz val="7"/>
      <name val="Times New Roman"/>
      <family val="1"/>
    </font>
    <font>
      <sz val="12"/>
      <name val="Symbol"/>
      <family val="1"/>
      <charset val="2"/>
    </font>
    <font>
      <sz val="7"/>
      <name val="Times New Roman"/>
      <family val="1"/>
    </font>
    <font>
      <sz val="40"/>
      <name val="Arial (Arabic)"/>
      <family val="2"/>
      <charset val="178"/>
    </font>
    <font>
      <b/>
      <u/>
      <sz val="40"/>
      <name val="Arial (Arabic)"/>
      <family val="2"/>
      <charset val="178"/>
    </font>
    <font>
      <sz val="36"/>
      <name val="Arial (Arabic)"/>
      <family val="2"/>
      <charset val="178"/>
    </font>
    <font>
      <b/>
      <sz val="13"/>
      <name val="Arial"/>
      <family val="2"/>
    </font>
    <font>
      <b/>
      <u/>
      <sz val="13"/>
      <name val="Arial"/>
      <family val="2"/>
    </font>
    <font>
      <b/>
      <sz val="16"/>
      <name val="Arial"/>
      <family val="2"/>
    </font>
    <font>
      <sz val="5"/>
      <name val="Arial"/>
      <family val="2"/>
    </font>
    <font>
      <b/>
      <sz val="13"/>
      <name val="Arial (Arabic)"/>
      <family val="2"/>
      <charset val="178"/>
    </font>
    <font>
      <sz val="13"/>
      <name val="Arial"/>
      <family val="2"/>
      <charset val="178"/>
    </font>
    <font>
      <sz val="15"/>
      <name val="Arial"/>
      <family val="2"/>
    </font>
    <font>
      <b/>
      <u val="double"/>
      <sz val="16"/>
      <name val="Arial"/>
      <family val="2"/>
    </font>
    <font>
      <b/>
      <sz val="22"/>
      <name val="Arial (Arabic)"/>
      <charset val="178"/>
    </font>
    <font>
      <b/>
      <sz val="11"/>
      <name val="Sakkal Majalla"/>
    </font>
    <font>
      <b/>
      <sz val="12"/>
      <name val="Arial"/>
      <family val="2"/>
    </font>
    <font>
      <sz val="12"/>
      <name val="Arial"/>
      <family val="2"/>
      <charset val="178"/>
    </font>
    <font>
      <sz val="12"/>
      <color rgb="FFFFFFFF"/>
      <name val="Arial"/>
      <family val="2"/>
      <charset val="178"/>
    </font>
    <font>
      <b/>
      <sz val="12"/>
      <name val="Arial"/>
      <family val="2"/>
      <charset val="178"/>
    </font>
    <font>
      <b/>
      <sz val="12"/>
      <name val="Symbol"/>
      <family val="1"/>
      <charset val="178"/>
    </font>
    <font>
      <b/>
      <sz val="12"/>
      <name val="Times New Roman"/>
      <family val="1"/>
    </font>
    <font>
      <sz val="12"/>
      <name val="Symbol"/>
      <family val="1"/>
      <charset val="178"/>
    </font>
    <font>
      <sz val="12"/>
      <name val="Times New Roman"/>
      <family val="1"/>
    </font>
    <font>
      <b/>
      <u/>
      <sz val="12"/>
      <name val="Arial"/>
      <family val="2"/>
      <charset val="178"/>
    </font>
    <font>
      <b/>
      <sz val="10"/>
      <name val="Sakkal Majalla"/>
    </font>
    <font>
      <sz val="5"/>
      <name val="Arial"/>
      <family val="2"/>
      <charset val="178"/>
    </font>
    <font>
      <sz val="15"/>
      <name val="Arial"/>
      <family val="2"/>
      <charset val="178"/>
    </font>
    <font>
      <sz val="15"/>
      <color rgb="FF000000"/>
      <name val="Microsoft Sans Serif"/>
      <family val="2"/>
      <charset val="178"/>
    </font>
    <font>
      <sz val="15"/>
      <color rgb="FF000000"/>
      <name val="Microsoft Sans Serif"/>
      <family val="2"/>
    </font>
    <font>
      <sz val="15"/>
      <color rgb="FF000000"/>
      <name val="Arial"/>
      <family val="2"/>
      <charset val="178"/>
    </font>
    <font>
      <sz val="15"/>
      <color rgb="FF000000"/>
      <name val="Times New Roman"/>
      <family val="1"/>
      <charset val="178"/>
    </font>
    <font>
      <b/>
      <sz val="22"/>
      <name val="Arial"/>
      <family val="2"/>
    </font>
    <font>
      <u/>
      <sz val="15"/>
      <name val="Arial (Arabic)"/>
      <family val="2"/>
      <charset val="178"/>
    </font>
    <font>
      <sz val="15"/>
      <name val="Arial (Arabic)"/>
      <family val="2"/>
      <charset val="178"/>
    </font>
    <font>
      <b/>
      <sz val="15"/>
      <name val="Arial (Arabic)"/>
      <family val="2"/>
      <charset val="178"/>
    </font>
    <font>
      <b/>
      <sz val="15"/>
      <name val="Arial (Arabic)"/>
      <charset val="178"/>
    </font>
    <font>
      <sz val="15"/>
      <name val="Arial (Arabic)"/>
      <charset val="178"/>
    </font>
    <font>
      <sz val="15"/>
      <name val="Arial (Arabic)"/>
    </font>
    <font>
      <sz val="15"/>
      <color theme="1"/>
      <name val="Calibri"/>
      <family val="2"/>
      <scheme val="minor"/>
    </font>
    <font>
      <b/>
      <sz val="15"/>
      <name val="Simplified Arabic"/>
      <family val="1"/>
    </font>
    <font>
      <sz val="18"/>
      <name val="Arial (Arabic)"/>
      <charset val="178"/>
    </font>
    <font>
      <b/>
      <u/>
      <sz val="20"/>
      <name val="Arial (Arabic)"/>
      <charset val="178"/>
    </font>
    <font>
      <u/>
      <sz val="20"/>
      <name val="Arial (Arabic)"/>
      <charset val="178"/>
    </font>
    <font>
      <sz val="20"/>
      <name val="Arial (Arabic)"/>
      <charset val="178"/>
    </font>
    <font>
      <b/>
      <sz val="26"/>
      <name val="Arial (Arabic)"/>
      <charset val="178"/>
    </font>
    <font>
      <b/>
      <u/>
      <sz val="26"/>
      <name val="Arial (Arabic)"/>
      <charset val="178"/>
    </font>
    <font>
      <sz val="26"/>
      <name val="Arial (Arabic)"/>
      <charset val="178"/>
    </font>
    <font>
      <b/>
      <sz val="18"/>
      <name val="Arial"/>
      <family val="2"/>
    </font>
    <font>
      <b/>
      <sz val="16"/>
      <color theme="1"/>
      <name val="Monotype Koufi"/>
    </font>
    <font>
      <sz val="14"/>
      <color theme="1"/>
      <name val="Simplified Arabic"/>
      <family val="1"/>
    </font>
    <font>
      <b/>
      <sz val="16"/>
      <color theme="1"/>
      <name val="Calibri"/>
      <family val="2"/>
      <scheme val="minor"/>
    </font>
    <font>
      <sz val="14"/>
      <color theme="1"/>
      <name val="Calibri"/>
      <family val="2"/>
      <scheme val="minor"/>
    </font>
    <font>
      <sz val="16"/>
      <color theme="1"/>
      <name val="Calibri"/>
      <family val="2"/>
      <scheme val="minor"/>
    </font>
    <font>
      <sz val="20"/>
      <color theme="1"/>
      <name val="Wingdings 2"/>
      <family val="1"/>
      <charset val="2"/>
    </font>
    <font>
      <sz val="20"/>
      <color theme="1"/>
      <name val="Calibri"/>
      <family val="2"/>
    </font>
    <font>
      <b/>
      <sz val="14"/>
      <color theme="1"/>
      <name val="Simplified Arabic"/>
      <family val="1"/>
    </font>
    <font>
      <sz val="10"/>
      <color theme="1"/>
      <name val="Simplified Arabic"/>
      <family val="1"/>
    </font>
    <font>
      <b/>
      <sz val="18"/>
      <name val="Arial (Arabic)"/>
      <charset val="178"/>
    </font>
    <font>
      <b/>
      <sz val="14"/>
      <color theme="0"/>
      <name val="Arial (Arabic)"/>
      <charset val="178"/>
    </font>
    <font>
      <b/>
      <sz val="24"/>
      <name val="Arial (Arabic)"/>
      <charset val="178"/>
    </font>
    <font>
      <sz val="36"/>
      <name val="Arial Rounded MT Bold"/>
      <family val="2"/>
    </font>
    <font>
      <sz val="11"/>
      <color rgb="FFFF0000"/>
      <name val="Calibri"/>
      <family val="2"/>
      <scheme val="minor"/>
    </font>
    <font>
      <b/>
      <u/>
      <sz val="10"/>
      <color rgb="FFC00000"/>
      <name val="Arial"/>
      <family val="2"/>
    </font>
    <font>
      <b/>
      <sz val="12"/>
      <color rgb="FFC00000"/>
      <name val="Arial"/>
      <family val="2"/>
    </font>
    <font>
      <b/>
      <sz val="14"/>
      <name val="Sakkal Majalla"/>
    </font>
    <font>
      <b/>
      <sz val="18"/>
      <color rgb="FFFFFFA7"/>
      <name val="Arial (Arabic)"/>
      <charset val="178"/>
    </font>
    <font>
      <u/>
      <sz val="16"/>
      <name val="Arial (Arabic)"/>
      <family val="2"/>
      <charset val="178"/>
    </font>
    <font>
      <u/>
      <sz val="14"/>
      <name val="Arial (Arabic)"/>
      <charset val="178"/>
    </font>
    <font>
      <b/>
      <sz val="11"/>
      <name val="Arial (Arabic)"/>
      <charset val="178"/>
    </font>
    <font>
      <sz val="16"/>
      <name val="Arial (Arabic)"/>
      <charset val="178"/>
    </font>
    <font>
      <sz val="40"/>
      <name val="Arial (Arabic)"/>
      <charset val="178"/>
    </font>
    <font>
      <u/>
      <sz val="40"/>
      <name val="Arial (Arabic)"/>
      <charset val="178"/>
    </font>
    <font>
      <sz val="36"/>
      <name val="Arial (Arabic)"/>
      <charset val="178"/>
    </font>
    <font>
      <sz val="22"/>
      <name val="Arial (Arabic)"/>
      <charset val="178"/>
    </font>
    <font>
      <b/>
      <u/>
      <sz val="13"/>
      <name val="Arial (Arabic)"/>
      <charset val="178"/>
    </font>
    <font>
      <b/>
      <sz val="14"/>
      <name val="Arial (Arabic)"/>
      <charset val="178"/>
    </font>
    <font>
      <b/>
      <sz val="5"/>
      <name val="Arial (Arabic)"/>
      <charset val="178"/>
    </font>
    <font>
      <u/>
      <sz val="26"/>
      <name val="Arial"/>
      <family val="2"/>
    </font>
    <font>
      <sz val="8"/>
      <name val="Arial"/>
      <family val="2"/>
    </font>
    <font>
      <b/>
      <sz val="10"/>
      <color rgb="FFFF0000"/>
      <name val="Arial"/>
      <family val="2"/>
    </font>
    <font>
      <sz val="10"/>
      <color rgb="FF000099"/>
      <name val="Arial"/>
      <family val="2"/>
    </font>
  </fonts>
  <fills count="3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3"/>
        <bgColor indexed="64"/>
      </patternFill>
    </fill>
    <fill>
      <patternFill patternType="solid">
        <fgColor rgb="FFFFFFCC"/>
        <bgColor indexed="64"/>
      </patternFill>
    </fill>
    <fill>
      <patternFill patternType="solid">
        <fgColor rgb="FFFFFF99"/>
        <bgColor indexed="64"/>
      </patternFill>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CCFFCC"/>
        <bgColor indexed="64"/>
      </patternFill>
    </fill>
    <fill>
      <patternFill patternType="solid">
        <fgColor rgb="FFCCFFFF"/>
        <bgColor indexed="64"/>
      </patternFill>
    </fill>
    <fill>
      <patternFill patternType="solid">
        <fgColor rgb="FFFFCCFF"/>
        <bgColor indexed="64"/>
      </patternFill>
    </fill>
    <fill>
      <patternFill patternType="solid">
        <fgColor rgb="FFFFCC99"/>
        <bgColor indexed="64"/>
      </patternFill>
    </fill>
    <fill>
      <patternFill patternType="solid">
        <fgColor rgb="FFCCFF66"/>
        <bgColor indexed="64"/>
      </patternFill>
    </fill>
    <fill>
      <patternFill patternType="solid">
        <fgColor rgb="FF000099"/>
        <bgColor indexed="64"/>
      </patternFill>
    </fill>
    <fill>
      <patternFill patternType="solid">
        <fgColor rgb="FFFFFFA7"/>
        <bgColor indexed="64"/>
      </patternFill>
    </fill>
    <fill>
      <patternFill patternType="solid">
        <fgColor theme="7" tint="0.79998168889431442"/>
        <bgColor indexed="64"/>
      </patternFill>
    </fill>
  </fills>
  <borders count="8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53"/>
      </left>
      <right style="double">
        <color indexed="53"/>
      </right>
      <top style="double">
        <color indexed="53"/>
      </top>
      <bottom/>
      <diagonal/>
    </border>
    <border>
      <left style="double">
        <color indexed="53"/>
      </left>
      <right style="double">
        <color indexed="53"/>
      </right>
      <top style="double">
        <color indexed="53"/>
      </top>
      <bottom style="hair">
        <color indexed="53"/>
      </bottom>
      <diagonal/>
    </border>
    <border>
      <left style="double">
        <color indexed="53"/>
      </left>
      <right style="double">
        <color indexed="53"/>
      </right>
      <top/>
      <bottom style="hair">
        <color indexed="53"/>
      </bottom>
      <diagonal/>
    </border>
    <border>
      <left style="double">
        <color indexed="53"/>
      </left>
      <right style="double">
        <color indexed="53"/>
      </right>
      <top style="hair">
        <color indexed="53"/>
      </top>
      <bottom style="double">
        <color indexed="53"/>
      </bottom>
      <diagonal/>
    </border>
    <border>
      <left style="double">
        <color indexed="53"/>
      </left>
      <right style="double">
        <color indexed="53"/>
      </right>
      <top/>
      <bottom/>
      <diagonal/>
    </border>
    <border>
      <left style="double">
        <color indexed="53"/>
      </left>
      <right/>
      <top style="double">
        <color indexed="53"/>
      </top>
      <bottom style="hair">
        <color indexed="53"/>
      </bottom>
      <diagonal/>
    </border>
    <border>
      <left/>
      <right/>
      <top style="double">
        <color indexed="53"/>
      </top>
      <bottom style="hair">
        <color indexed="53"/>
      </bottom>
      <diagonal/>
    </border>
    <border>
      <left/>
      <right style="double">
        <color indexed="53"/>
      </right>
      <top style="double">
        <color indexed="53"/>
      </top>
      <bottom style="hair">
        <color indexed="53"/>
      </bottom>
      <diagonal/>
    </border>
    <border>
      <left/>
      <right style="thin">
        <color indexed="53"/>
      </right>
      <top style="hair">
        <color indexed="53"/>
      </top>
      <bottom/>
      <diagonal/>
    </border>
    <border>
      <left style="thin">
        <color indexed="53"/>
      </left>
      <right style="thin">
        <color indexed="53"/>
      </right>
      <top style="hair">
        <color indexed="53"/>
      </top>
      <bottom/>
      <diagonal/>
    </border>
    <border>
      <left style="thin">
        <color indexed="53"/>
      </left>
      <right style="double">
        <color indexed="53"/>
      </right>
      <top style="hair">
        <color indexed="53"/>
      </top>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thin">
        <color auto="1"/>
      </left>
      <right style="thin">
        <color auto="1"/>
      </right>
      <top style="thin">
        <color auto="1"/>
      </top>
      <bottom style="thin">
        <color auto="1"/>
      </bottom>
      <diagonal/>
    </border>
    <border>
      <left style="thin">
        <color auto="1"/>
      </left>
      <right style="thin">
        <color auto="1"/>
      </right>
      <top style="hair">
        <color auto="1"/>
      </top>
      <bottom style="hair">
        <color auto="1"/>
      </bottom>
      <diagonal/>
    </border>
    <border>
      <left style="double">
        <color indexed="53"/>
      </left>
      <right/>
      <top/>
      <bottom/>
      <diagonal/>
    </border>
    <border>
      <left/>
      <right/>
      <top/>
      <bottom style="double">
        <color indexed="53"/>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double">
        <color indexed="53"/>
      </left>
      <right style="double">
        <color indexed="53"/>
      </right>
      <top style="hair">
        <color indexed="53"/>
      </top>
      <bottom style="double">
        <color indexed="53"/>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right/>
      <top/>
      <bottom style="thin">
        <color auto="1"/>
      </bottom>
      <diagonal/>
    </border>
    <border>
      <left/>
      <right style="medium">
        <color auto="1"/>
      </right>
      <top/>
      <bottom/>
      <diagonal/>
    </border>
    <border>
      <left/>
      <right/>
      <top style="double">
        <color auto="1"/>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hair">
        <color auto="1"/>
      </bottom>
      <diagonal/>
    </border>
    <border>
      <left/>
      <right/>
      <top style="hair">
        <color auto="1"/>
      </top>
      <bottom style="thin">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double">
        <color auto="1"/>
      </left>
      <right style="thin">
        <color auto="1"/>
      </right>
      <top style="double">
        <color auto="1"/>
      </top>
      <bottom style="hair">
        <color auto="1"/>
      </bottom>
      <diagonal/>
    </border>
    <border>
      <left style="thin">
        <color auto="1"/>
      </left>
      <right style="thin">
        <color auto="1"/>
      </right>
      <top style="double">
        <color auto="1"/>
      </top>
      <bottom style="hair">
        <color auto="1"/>
      </bottom>
      <diagonal/>
    </border>
    <border>
      <left style="thin">
        <color auto="1"/>
      </left>
      <right style="double">
        <color auto="1"/>
      </right>
      <top style="double">
        <color auto="1"/>
      </top>
      <bottom style="hair">
        <color auto="1"/>
      </bottom>
      <diagonal/>
    </border>
    <border>
      <left style="double">
        <color auto="1"/>
      </left>
      <right style="thin">
        <color auto="1"/>
      </right>
      <top style="hair">
        <color auto="1"/>
      </top>
      <bottom style="hair">
        <color auto="1"/>
      </bottom>
      <diagonal/>
    </border>
    <border>
      <left style="thin">
        <color auto="1"/>
      </left>
      <right style="double">
        <color auto="1"/>
      </right>
      <top style="hair">
        <color auto="1"/>
      </top>
      <bottom style="hair">
        <color auto="1"/>
      </bottom>
      <diagonal/>
    </border>
    <border>
      <left style="double">
        <color auto="1"/>
      </left>
      <right style="thin">
        <color auto="1"/>
      </right>
      <top style="hair">
        <color auto="1"/>
      </top>
      <bottom style="double">
        <color auto="1"/>
      </bottom>
      <diagonal/>
    </border>
    <border>
      <left style="thin">
        <color auto="1"/>
      </left>
      <right style="thin">
        <color auto="1"/>
      </right>
      <top style="hair">
        <color auto="1"/>
      </top>
      <bottom style="double">
        <color auto="1"/>
      </bottom>
      <diagonal/>
    </border>
    <border>
      <left style="thin">
        <color auto="1"/>
      </left>
      <right style="double">
        <color auto="1"/>
      </right>
      <top style="hair">
        <color auto="1"/>
      </top>
      <bottom style="double">
        <color auto="1"/>
      </bottom>
      <diagonal/>
    </border>
    <border>
      <left style="double">
        <color auto="1"/>
      </left>
      <right style="thin">
        <color auto="1"/>
      </right>
      <top style="hair">
        <color auto="1"/>
      </top>
      <bottom/>
      <diagonal/>
    </border>
    <border>
      <left style="thin">
        <color auto="1"/>
      </left>
      <right style="thin">
        <color auto="1"/>
      </right>
      <top style="hair">
        <color auto="1"/>
      </top>
      <bottom/>
      <diagonal/>
    </border>
    <border>
      <left style="double">
        <color indexed="64"/>
      </left>
      <right/>
      <top style="double">
        <color indexed="64"/>
      </top>
      <bottom/>
      <diagonal/>
    </border>
    <border>
      <left/>
      <right style="double">
        <color indexed="64"/>
      </right>
      <top style="double">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52">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1" applyNumberFormat="0" applyAlignment="0" applyProtection="0"/>
    <xf numFmtId="0" fontId="13" fillId="0" borderId="6" applyNumberFormat="0" applyFill="0" applyAlignment="0" applyProtection="0"/>
    <xf numFmtId="0" fontId="14" fillId="22" borderId="0" applyNumberFormat="0" applyBorder="0" applyAlignment="0" applyProtection="0"/>
    <xf numFmtId="0" fontId="1" fillId="23" borderId="7" applyNumberFormat="0" applyFont="0" applyAlignment="0" applyProtection="0"/>
    <xf numFmtId="0" fontId="15" fillId="20" borderId="8" applyNumberForma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0" borderId="0" applyNumberFormat="0" applyFill="0" applyBorder="0" applyAlignment="0" applyProtection="0"/>
    <xf numFmtId="0" fontId="30" fillId="0" borderId="0"/>
    <xf numFmtId="0" fontId="32" fillId="0" borderId="0"/>
    <xf numFmtId="0" fontId="1" fillId="0" borderId="0"/>
    <xf numFmtId="9" fontId="38" fillId="0" borderId="0" applyFont="0" applyFill="0" applyBorder="0" applyAlignment="0" applyProtection="0"/>
    <xf numFmtId="0" fontId="1" fillId="0" borderId="0"/>
    <xf numFmtId="0" fontId="42" fillId="0" borderId="0"/>
    <xf numFmtId="9" fontId="1" fillId="0" borderId="0" applyFont="0" applyFill="0" applyBorder="0" applyAlignment="0" applyProtection="0"/>
    <xf numFmtId="0" fontId="1" fillId="0" borderId="0"/>
    <xf numFmtId="0" fontId="1" fillId="0" borderId="0"/>
    <xf numFmtId="0" fontId="1" fillId="0" borderId="0"/>
  </cellStyleXfs>
  <cellXfs count="895">
    <xf numFmtId="0" fontId="0" fillId="0" borderId="0" xfId="0"/>
    <xf numFmtId="0" fontId="19" fillId="0" borderId="13" xfId="0" applyFont="1" applyBorder="1" applyAlignment="1">
      <alignment horizontal="center" vertical="center" readingOrder="2"/>
    </xf>
    <xf numFmtId="0" fontId="27" fillId="0" borderId="0" xfId="0" applyFont="1" applyAlignment="1">
      <alignment horizontal="center" vertical="center" readingOrder="2"/>
    </xf>
    <xf numFmtId="0" fontId="19" fillId="0" borderId="0" xfId="0" applyFont="1" applyAlignment="1">
      <alignment horizontal="center" vertical="center" readingOrder="2"/>
    </xf>
    <xf numFmtId="0" fontId="28" fillId="0" borderId="18" xfId="43" applyFont="1" applyBorder="1" applyAlignment="1">
      <alignment horizontal="center" vertical="center" readingOrder="2"/>
    </xf>
    <xf numFmtId="0" fontId="28" fillId="25" borderId="18" xfId="43" applyFont="1" applyFill="1" applyBorder="1" applyAlignment="1">
      <alignment horizontal="center" vertical="center" readingOrder="2"/>
    </xf>
    <xf numFmtId="0" fontId="28" fillId="25" borderId="16" xfId="43" applyFont="1" applyFill="1" applyBorder="1" applyAlignment="1">
      <alignment horizontal="center" vertical="center" readingOrder="2"/>
    </xf>
    <xf numFmtId="0" fontId="30" fillId="0" borderId="0" xfId="42" applyAlignment="1">
      <alignment horizontal="center" vertical="center" readingOrder="1"/>
    </xf>
    <xf numFmtId="0" fontId="28" fillId="0" borderId="26" xfId="43" applyFont="1" applyBorder="1" applyAlignment="1">
      <alignment horizontal="center" vertical="center" readingOrder="2"/>
    </xf>
    <xf numFmtId="0" fontId="28" fillId="25" borderId="26" xfId="43" applyFont="1" applyFill="1" applyBorder="1" applyAlignment="1">
      <alignment horizontal="center" vertical="center" readingOrder="2"/>
    </xf>
    <xf numFmtId="0" fontId="28" fillId="27" borderId="26" xfId="43" applyFont="1" applyFill="1" applyBorder="1" applyAlignment="1">
      <alignment horizontal="center" vertical="center" readingOrder="2"/>
    </xf>
    <xf numFmtId="0" fontId="28" fillId="0" borderId="16" xfId="43" applyFont="1" applyBorder="1" applyAlignment="1">
      <alignment horizontal="center" vertical="center" readingOrder="2"/>
    </xf>
    <xf numFmtId="0" fontId="26" fillId="0" borderId="0" xfId="0" applyFont="1" applyAlignment="1">
      <alignment vertical="center" readingOrder="2"/>
    </xf>
    <xf numFmtId="0" fontId="27" fillId="0" borderId="0" xfId="0" applyFont="1" applyAlignment="1">
      <alignment horizontal="center" vertical="center" shrinkToFit="1" readingOrder="2"/>
    </xf>
    <xf numFmtId="0" fontId="30" fillId="0" borderId="0" xfId="42" applyAlignment="1">
      <alignment horizontal="center" vertical="center" shrinkToFit="1" readingOrder="1"/>
    </xf>
    <xf numFmtId="0" fontId="37" fillId="25" borderId="16" xfId="43" applyFont="1" applyFill="1" applyBorder="1" applyAlignment="1">
      <alignment horizontal="center" vertical="center" shrinkToFit="1" readingOrder="2"/>
    </xf>
    <xf numFmtId="0" fontId="37" fillId="25" borderId="26" xfId="43" applyFont="1" applyFill="1" applyBorder="1" applyAlignment="1">
      <alignment horizontal="center" vertical="center" shrinkToFit="1" readingOrder="2"/>
    </xf>
    <xf numFmtId="0" fontId="37" fillId="0" borderId="16" xfId="43" applyFont="1" applyBorder="1" applyAlignment="1">
      <alignment horizontal="center" vertical="center" shrinkToFit="1" readingOrder="2"/>
    </xf>
    <xf numFmtId="0" fontId="37" fillId="0" borderId="26" xfId="43" applyFont="1" applyBorder="1" applyAlignment="1">
      <alignment horizontal="center" vertical="center" shrinkToFit="1" readingOrder="2"/>
    </xf>
    <xf numFmtId="0" fontId="37" fillId="0" borderId="18" xfId="43" applyFont="1" applyBorder="1" applyAlignment="1">
      <alignment horizontal="center" vertical="center" shrinkToFit="1" readingOrder="2"/>
    </xf>
    <xf numFmtId="0" fontId="37" fillId="25" borderId="18" xfId="43" applyFont="1" applyFill="1" applyBorder="1" applyAlignment="1">
      <alignment horizontal="center" vertical="center" shrinkToFit="1" readingOrder="2"/>
    </xf>
    <xf numFmtId="3" fontId="28" fillId="25" borderId="16" xfId="43" applyNumberFormat="1" applyFont="1" applyFill="1" applyBorder="1" applyAlignment="1">
      <alignment vertical="center" readingOrder="2"/>
    </xf>
    <xf numFmtId="3" fontId="28" fillId="25" borderId="26" xfId="43" applyNumberFormat="1" applyFont="1" applyFill="1" applyBorder="1" applyAlignment="1">
      <alignment vertical="center" readingOrder="2"/>
    </xf>
    <xf numFmtId="3" fontId="28" fillId="0" borderId="16" xfId="43" applyNumberFormat="1" applyFont="1" applyBorder="1" applyAlignment="1">
      <alignment vertical="center" readingOrder="2"/>
    </xf>
    <xf numFmtId="3" fontId="28" fillId="0" borderId="26" xfId="43" applyNumberFormat="1" applyFont="1" applyBorder="1" applyAlignment="1">
      <alignment vertical="center" readingOrder="2"/>
    </xf>
    <xf numFmtId="3" fontId="28" fillId="0" borderId="18" xfId="43" applyNumberFormat="1" applyFont="1" applyBorder="1" applyAlignment="1">
      <alignment vertical="center" readingOrder="2"/>
    </xf>
    <xf numFmtId="3" fontId="28" fillId="25" borderId="18" xfId="43" applyNumberFormat="1" applyFont="1" applyFill="1" applyBorder="1" applyAlignment="1">
      <alignment vertical="center" readingOrder="2"/>
    </xf>
    <xf numFmtId="3" fontId="30" fillId="0" borderId="0" xfId="42" applyNumberFormat="1" applyAlignment="1">
      <alignment horizontal="center" vertical="center" readingOrder="1"/>
    </xf>
    <xf numFmtId="3" fontId="31" fillId="25" borderId="23" xfId="42" applyNumberFormat="1" applyFont="1" applyFill="1" applyBorder="1" applyAlignment="1">
      <alignment horizontal="center" vertical="center" readingOrder="1"/>
    </xf>
    <xf numFmtId="3" fontId="31" fillId="25" borderId="24" xfId="42" applyNumberFormat="1" applyFont="1" applyFill="1" applyBorder="1" applyAlignment="1">
      <alignment horizontal="center" vertical="center" readingOrder="1"/>
    </xf>
    <xf numFmtId="3" fontId="31" fillId="25" borderId="25" xfId="42" applyNumberFormat="1" applyFont="1" applyFill="1" applyBorder="1" applyAlignment="1">
      <alignment horizontal="center" vertical="center" readingOrder="1"/>
    </xf>
    <xf numFmtId="3" fontId="28" fillId="0" borderId="16" xfId="43" applyNumberFormat="1" applyFont="1" applyBorder="1" applyAlignment="1">
      <alignment horizontal="center" vertical="center" readingOrder="2"/>
    </xf>
    <xf numFmtId="3" fontId="28" fillId="25" borderId="17" xfId="43" applyNumberFormat="1" applyFont="1" applyFill="1" applyBorder="1" applyAlignment="1">
      <alignment horizontal="center" vertical="center" readingOrder="2"/>
    </xf>
    <xf numFmtId="3" fontId="28" fillId="25" borderId="26" xfId="43" applyNumberFormat="1" applyFont="1" applyFill="1" applyBorder="1" applyAlignment="1">
      <alignment horizontal="center" vertical="center" readingOrder="2"/>
    </xf>
    <xf numFmtId="3" fontId="28" fillId="0" borderId="26" xfId="43" applyNumberFormat="1" applyFont="1" applyBorder="1" applyAlignment="1">
      <alignment horizontal="center" vertical="center" readingOrder="2"/>
    </xf>
    <xf numFmtId="3" fontId="28" fillId="27" borderId="26" xfId="43" applyNumberFormat="1" applyFont="1" applyFill="1" applyBorder="1" applyAlignment="1">
      <alignment horizontal="center" vertical="center" readingOrder="2"/>
    </xf>
    <xf numFmtId="3" fontId="28" fillId="27" borderId="27" xfId="43" applyNumberFormat="1" applyFont="1" applyFill="1" applyBorder="1" applyAlignment="1">
      <alignment horizontal="center" vertical="center" readingOrder="2"/>
    </xf>
    <xf numFmtId="3" fontId="28" fillId="25" borderId="16" xfId="43" applyNumberFormat="1" applyFont="1" applyFill="1" applyBorder="1" applyAlignment="1">
      <alignment horizontal="center" vertical="center" readingOrder="2"/>
    </xf>
    <xf numFmtId="3" fontId="28" fillId="25" borderId="18" xfId="43" applyNumberFormat="1" applyFont="1" applyFill="1" applyBorder="1" applyAlignment="1">
      <alignment horizontal="center" vertical="center" readingOrder="2"/>
    </xf>
    <xf numFmtId="15" fontId="19" fillId="0" borderId="0" xfId="0" applyNumberFormat="1" applyFont="1" applyAlignment="1">
      <alignment horizontal="center" vertical="center" readingOrder="2"/>
    </xf>
    <xf numFmtId="0" fontId="19" fillId="0" borderId="10" xfId="0" applyFont="1" applyBorder="1" applyAlignment="1">
      <alignment horizontal="center" vertical="center" readingOrder="2"/>
    </xf>
    <xf numFmtId="0" fontId="19" fillId="24" borderId="11" xfId="0" applyFont="1" applyFill="1" applyBorder="1" applyAlignment="1">
      <alignment readingOrder="2"/>
    </xf>
    <xf numFmtId="0" fontId="20" fillId="24" borderId="0" xfId="0" applyFont="1" applyFill="1" applyAlignment="1">
      <alignment horizontal="center" readingOrder="2"/>
    </xf>
    <xf numFmtId="0" fontId="21" fillId="0" borderId="0" xfId="0" applyFont="1" applyAlignment="1">
      <alignment horizontal="center" vertical="center" readingOrder="2"/>
    </xf>
    <xf numFmtId="0" fontId="21" fillId="0" borderId="13" xfId="0" applyFont="1" applyBorder="1" applyAlignment="1">
      <alignment horizontal="center" vertical="center" readingOrder="2"/>
    </xf>
    <xf numFmtId="0" fontId="21" fillId="24" borderId="0" xfId="0" applyFont="1" applyFill="1" applyAlignment="1">
      <alignment readingOrder="2"/>
    </xf>
    <xf numFmtId="0" fontId="1" fillId="0" borderId="0" xfId="46"/>
    <xf numFmtId="0" fontId="1" fillId="0" borderId="0" xfId="46" applyAlignment="1">
      <alignment horizontal="right"/>
    </xf>
    <xf numFmtId="3" fontId="28" fillId="25" borderId="32" xfId="43" applyNumberFormat="1" applyFont="1" applyFill="1" applyBorder="1" applyAlignment="1">
      <alignment vertical="center" readingOrder="2"/>
    </xf>
    <xf numFmtId="3" fontId="28" fillId="25" borderId="32" xfId="43" applyNumberFormat="1" applyFont="1" applyFill="1" applyBorder="1" applyAlignment="1">
      <alignment horizontal="center" vertical="center" readingOrder="2"/>
    </xf>
    <xf numFmtId="3" fontId="28" fillId="27" borderId="32" xfId="43" applyNumberFormat="1" applyFont="1" applyFill="1" applyBorder="1" applyAlignment="1">
      <alignment horizontal="center" vertical="center" readingOrder="2"/>
    </xf>
    <xf numFmtId="3" fontId="28" fillId="25" borderId="33" xfId="43" applyNumberFormat="1" applyFont="1" applyFill="1" applyBorder="1" applyAlignment="1">
      <alignment vertical="center" readingOrder="2"/>
    </xf>
    <xf numFmtId="3" fontId="28" fillId="27" borderId="33" xfId="43" applyNumberFormat="1" applyFont="1" applyFill="1" applyBorder="1" applyAlignment="1">
      <alignment horizontal="center" vertical="center" readingOrder="2"/>
    </xf>
    <xf numFmtId="3" fontId="28" fillId="27" borderId="34" xfId="43" applyNumberFormat="1" applyFont="1" applyFill="1" applyBorder="1" applyAlignment="1">
      <alignment horizontal="center" vertical="center" readingOrder="2"/>
    </xf>
    <xf numFmtId="0" fontId="28" fillId="0" borderId="17" xfId="43" applyFont="1" applyBorder="1" applyAlignment="1">
      <alignment horizontal="center" vertical="center" readingOrder="2"/>
    </xf>
    <xf numFmtId="0" fontId="37" fillId="25" borderId="32" xfId="43" applyFont="1" applyFill="1" applyBorder="1" applyAlignment="1">
      <alignment horizontal="center" vertical="center" shrinkToFit="1" readingOrder="2"/>
    </xf>
    <xf numFmtId="0" fontId="28" fillId="25" borderId="17" xfId="43" applyFont="1" applyFill="1" applyBorder="1" applyAlignment="1">
      <alignment horizontal="center" vertical="center" readingOrder="2"/>
    </xf>
    <xf numFmtId="0" fontId="28" fillId="0" borderId="32" xfId="43" applyFont="1" applyBorder="1" applyAlignment="1">
      <alignment horizontal="center" vertical="center" readingOrder="2"/>
    </xf>
    <xf numFmtId="3" fontId="28" fillId="0" borderId="32" xfId="43" applyNumberFormat="1" applyFont="1" applyBorder="1" applyAlignment="1">
      <alignment horizontal="center" vertical="center" readingOrder="2"/>
    </xf>
    <xf numFmtId="0" fontId="28" fillId="27" borderId="32" xfId="43" applyFont="1" applyFill="1" applyBorder="1" applyAlignment="1">
      <alignment horizontal="center" vertical="center" readingOrder="2"/>
    </xf>
    <xf numFmtId="0" fontId="37" fillId="25" borderId="33" xfId="43" applyFont="1" applyFill="1" applyBorder="1" applyAlignment="1">
      <alignment horizontal="center" vertical="center" shrinkToFit="1" readingOrder="2"/>
    </xf>
    <xf numFmtId="0" fontId="28" fillId="27" borderId="33" xfId="43" applyFont="1" applyFill="1" applyBorder="1" applyAlignment="1">
      <alignment horizontal="center" vertical="center" readingOrder="2"/>
    </xf>
    <xf numFmtId="168" fontId="27" fillId="0" borderId="0" xfId="0" applyNumberFormat="1" applyFont="1" applyAlignment="1">
      <alignment horizontal="center" vertical="center" readingOrder="2"/>
    </xf>
    <xf numFmtId="0" fontId="28" fillId="25" borderId="32" xfId="43" applyFont="1" applyFill="1" applyBorder="1" applyAlignment="1">
      <alignment horizontal="center" vertical="center" readingOrder="2"/>
    </xf>
    <xf numFmtId="3" fontId="28" fillId="25" borderId="34" xfId="43" applyNumberFormat="1" applyFont="1" applyFill="1" applyBorder="1" applyAlignment="1">
      <alignment horizontal="center" vertical="center" readingOrder="2"/>
    </xf>
    <xf numFmtId="0" fontId="28" fillId="25" borderId="34" xfId="43" applyFont="1" applyFill="1" applyBorder="1" applyAlignment="1">
      <alignment horizontal="center" vertical="center" readingOrder="2"/>
    </xf>
    <xf numFmtId="3" fontId="28" fillId="0" borderId="34" xfId="43" applyNumberFormat="1" applyFont="1" applyBorder="1" applyAlignment="1">
      <alignment horizontal="center" vertical="center" readingOrder="2"/>
    </xf>
    <xf numFmtId="0" fontId="28" fillId="0" borderId="34" xfId="43" applyFont="1" applyBorder="1" applyAlignment="1">
      <alignment horizontal="center" vertical="center" readingOrder="2"/>
    </xf>
    <xf numFmtId="168" fontId="27" fillId="0" borderId="0" xfId="45" applyNumberFormat="1" applyFont="1" applyAlignment="1">
      <alignment horizontal="center" vertical="center" readingOrder="2"/>
    </xf>
    <xf numFmtId="0" fontId="40" fillId="0" borderId="0" xfId="0" applyFont="1" applyAlignment="1">
      <alignment horizontal="center" vertical="center" wrapText="1" readingOrder="2"/>
    </xf>
    <xf numFmtId="49" fontId="40" fillId="0" borderId="55" xfId="0" applyNumberFormat="1" applyFont="1" applyBorder="1" applyAlignment="1">
      <alignment horizontal="center" wrapText="1" readingOrder="2"/>
    </xf>
    <xf numFmtId="0" fontId="21" fillId="0" borderId="54" xfId="0" applyFont="1" applyBorder="1" applyAlignment="1">
      <alignment horizontal="center" vertical="center" readingOrder="2"/>
    </xf>
    <xf numFmtId="0" fontId="21" fillId="24" borderId="55" xfId="0" applyFont="1" applyFill="1" applyBorder="1" applyAlignment="1">
      <alignment readingOrder="2"/>
    </xf>
    <xf numFmtId="0" fontId="43" fillId="0" borderId="0" xfId="46" applyFont="1"/>
    <xf numFmtId="0" fontId="44" fillId="0" borderId="38"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4" fillId="0" borderId="41" xfId="46" applyFont="1" applyBorder="1" applyAlignment="1">
      <alignment horizontal="right" vertical="center" wrapText="1" readingOrder="2"/>
    </xf>
    <xf numFmtId="168" fontId="45" fillId="0" borderId="43" xfId="46" applyNumberFormat="1"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6" fillId="0" borderId="35" xfId="46" applyFont="1" applyBorder="1" applyAlignment="1">
      <alignment horizontal="right" vertical="center" wrapText="1" readingOrder="2"/>
    </xf>
    <xf numFmtId="0" fontId="45" fillId="0" borderId="38" xfId="46" applyFont="1" applyBorder="1" applyAlignment="1">
      <alignment horizontal="right" vertical="center" wrapText="1" readingOrder="2"/>
    </xf>
    <xf numFmtId="0" fontId="45" fillId="0" borderId="44"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4" fillId="0" borderId="35" xfId="46" applyFont="1" applyBorder="1" applyAlignment="1">
      <alignment horizontal="right" vertical="center" wrapText="1" readingOrder="2"/>
    </xf>
    <xf numFmtId="0" fontId="47" fillId="0" borderId="35" xfId="46" applyFont="1" applyBorder="1" applyAlignment="1">
      <alignment horizontal="right" vertical="center" wrapText="1" readingOrder="2"/>
    </xf>
    <xf numFmtId="0" fontId="49" fillId="0" borderId="38" xfId="46" applyFont="1" applyBorder="1" applyAlignment="1">
      <alignment horizontal="right" vertical="center" wrapText="1" readingOrder="2"/>
    </xf>
    <xf numFmtId="0" fontId="1" fillId="0" borderId="28" xfId="46" applyBorder="1"/>
    <xf numFmtId="4" fontId="1" fillId="0" borderId="0" xfId="46" applyNumberFormat="1"/>
    <xf numFmtId="0" fontId="49" fillId="0" borderId="41" xfId="46" applyFont="1" applyBorder="1" applyAlignment="1">
      <alignment horizontal="right" vertical="center" wrapText="1" readingOrder="2"/>
    </xf>
    <xf numFmtId="10" fontId="0" fillId="0" borderId="0" xfId="48" applyNumberFormat="1" applyFont="1" applyFill="1" applyBorder="1"/>
    <xf numFmtId="4" fontId="45" fillId="0" borderId="44" xfId="46" applyNumberFormat="1" applyFont="1" applyBorder="1" applyAlignment="1">
      <alignment horizontal="center" vertical="center" wrapText="1" readingOrder="2"/>
    </xf>
    <xf numFmtId="9" fontId="1" fillId="0" borderId="0" xfId="46" applyNumberFormat="1"/>
    <xf numFmtId="0" fontId="44" fillId="0" borderId="46" xfId="46" applyFont="1" applyBorder="1" applyAlignment="1">
      <alignment horizontal="right" vertical="center" wrapText="1" readingOrder="2"/>
    </xf>
    <xf numFmtId="0" fontId="44" fillId="0" borderId="47" xfId="46" applyFont="1" applyBorder="1" applyAlignment="1">
      <alignment horizontal="center" vertical="center" wrapText="1" readingOrder="2"/>
    </xf>
    <xf numFmtId="0" fontId="1" fillId="0" borderId="44" xfId="46" applyBorder="1" applyAlignment="1">
      <alignment vertical="top" wrapText="1"/>
    </xf>
    <xf numFmtId="0" fontId="41" fillId="0" borderId="0" xfId="46" applyFont="1"/>
    <xf numFmtId="0" fontId="51" fillId="0" borderId="0" xfId="46" applyFont="1" applyAlignment="1">
      <alignment horizontal="center" vertical="center" readingOrder="2"/>
    </xf>
    <xf numFmtId="0" fontId="19" fillId="0" borderId="0" xfId="46" applyFont="1" applyAlignment="1">
      <alignment horizontal="center" vertical="center" readingOrder="2"/>
    </xf>
    <xf numFmtId="0" fontId="53" fillId="0" borderId="0" xfId="46" applyFont="1" applyAlignment="1">
      <alignment vertical="center" readingOrder="2"/>
    </xf>
    <xf numFmtId="0" fontId="24" fillId="0" borderId="0" xfId="0" applyFont="1" applyAlignment="1">
      <alignment horizontal="center" vertical="center" readingOrder="2"/>
    </xf>
    <xf numFmtId="0" fontId="40" fillId="0" borderId="0" xfId="0" applyFont="1"/>
    <xf numFmtId="0" fontId="34" fillId="0" borderId="0" xfId="0" applyFont="1" applyAlignment="1">
      <alignment horizontal="center" vertical="center" shrinkToFit="1" readingOrder="2"/>
    </xf>
    <xf numFmtId="0" fontId="34" fillId="0" borderId="13" xfId="0" applyFont="1" applyBorder="1" applyAlignment="1">
      <alignment horizontal="center" vertical="center" shrinkToFit="1" readingOrder="2"/>
    </xf>
    <xf numFmtId="0" fontId="24" fillId="0" borderId="0" xfId="0" applyFont="1" applyAlignment="1">
      <alignment horizontal="center" vertical="center" shrinkToFit="1" readingOrder="2"/>
    </xf>
    <xf numFmtId="0" fontId="34" fillId="0" borderId="14" xfId="0" applyFont="1" applyBorder="1" applyAlignment="1">
      <alignment horizontal="center" vertical="center" shrinkToFit="1" readingOrder="2"/>
    </xf>
    <xf numFmtId="0" fontId="19" fillId="0" borderId="12" xfId="0" applyFont="1" applyBorder="1" applyAlignment="1">
      <alignment horizontal="center" vertical="center" readingOrder="2"/>
    </xf>
    <xf numFmtId="0" fontId="19" fillId="0" borderId="14" xfId="0" applyFont="1" applyBorder="1" applyAlignment="1">
      <alignment horizontal="center" vertical="center" readingOrder="2"/>
    </xf>
    <xf numFmtId="0" fontId="21" fillId="0" borderId="14" xfId="0" applyFont="1" applyBorder="1" applyAlignment="1">
      <alignment horizontal="center" vertical="center" readingOrder="2"/>
    </xf>
    <xf numFmtId="0" fontId="21" fillId="0" borderId="56" xfId="0" applyFont="1" applyBorder="1" applyAlignment="1">
      <alignment horizontal="center" vertical="center" readingOrder="2"/>
    </xf>
    <xf numFmtId="0" fontId="21" fillId="24" borderId="0" xfId="0" applyFont="1" applyFill="1" applyAlignment="1">
      <alignment horizontal="center" vertical="center" readingOrder="2"/>
    </xf>
    <xf numFmtId="0" fontId="21" fillId="0" borderId="0" xfId="0" applyFont="1" applyAlignment="1">
      <alignment vertical="center" readingOrder="2"/>
    </xf>
    <xf numFmtId="0" fontId="0" fillId="0" borderId="0" xfId="0" applyAlignment="1">
      <alignment horizontal="center" vertical="center"/>
    </xf>
    <xf numFmtId="0" fontId="21" fillId="24" borderId="0" xfId="0" applyFont="1" applyFill="1" applyAlignment="1">
      <alignment horizontal="left" vertical="center" shrinkToFit="1" readingOrder="2"/>
    </xf>
    <xf numFmtId="0" fontId="39" fillId="24" borderId="0" xfId="0" applyFont="1" applyFill="1" applyAlignment="1">
      <alignment vertical="center" readingOrder="2"/>
    </xf>
    <xf numFmtId="0" fontId="19" fillId="0" borderId="0" xfId="0" applyFont="1" applyAlignment="1">
      <alignment vertical="center" readingOrder="2"/>
    </xf>
    <xf numFmtId="0" fontId="25" fillId="0" borderId="0" xfId="0" applyFont="1" applyAlignment="1">
      <alignment vertical="center" readingOrder="2"/>
    </xf>
    <xf numFmtId="0" fontId="34" fillId="0" borderId="0" xfId="0" applyFont="1" applyAlignment="1">
      <alignment vertical="center" readingOrder="2"/>
    </xf>
    <xf numFmtId="0" fontId="21" fillId="24" borderId="0" xfId="0" applyFont="1" applyFill="1" applyAlignment="1">
      <alignment horizontal="left" readingOrder="2"/>
    </xf>
    <xf numFmtId="0" fontId="62" fillId="0" borderId="0" xfId="46" applyFont="1" applyAlignment="1">
      <alignment horizontal="left" vertical="top" readingOrder="2"/>
    </xf>
    <xf numFmtId="0" fontId="62" fillId="0" borderId="0" xfId="46" applyFont="1" applyAlignment="1">
      <alignment horizontal="left" vertical="top" indent="4" readingOrder="2"/>
    </xf>
    <xf numFmtId="0" fontId="63" fillId="0" borderId="0" xfId="46" applyFont="1" applyAlignment="1">
      <alignment horizontal="right" vertical="center" readingOrder="2"/>
    </xf>
    <xf numFmtId="0" fontId="63" fillId="0" borderId="0" xfId="46" applyFont="1" applyAlignment="1">
      <alignment horizontal="right" vertical="top" readingOrder="2"/>
    </xf>
    <xf numFmtId="10" fontId="45" fillId="0" borderId="44" xfId="46" applyNumberFormat="1" applyFont="1" applyBorder="1" applyAlignment="1">
      <alignment horizontal="center" vertical="center" wrapText="1" readingOrder="2"/>
    </xf>
    <xf numFmtId="10" fontId="44" fillId="0" borderId="38" xfId="46" applyNumberFormat="1" applyFont="1" applyBorder="1" applyAlignment="1">
      <alignment horizontal="center" vertical="center" wrapText="1" readingOrder="2"/>
    </xf>
    <xf numFmtId="0" fontId="45" fillId="30" borderId="44" xfId="46" applyFont="1" applyFill="1" applyBorder="1" applyAlignment="1">
      <alignment horizontal="center" vertical="center" wrapText="1" readingOrder="2"/>
    </xf>
    <xf numFmtId="0" fontId="45" fillId="0" borderId="60" xfId="46" applyFont="1" applyBorder="1" applyAlignment="1">
      <alignment vertical="center" wrapText="1" readingOrder="2"/>
    </xf>
    <xf numFmtId="168" fontId="45" fillId="0" borderId="60" xfId="46" applyNumberFormat="1" applyFont="1" applyBorder="1" applyAlignment="1">
      <alignment horizontal="center" vertical="center" wrapText="1" readingOrder="2"/>
    </xf>
    <xf numFmtId="0" fontId="45" fillId="0" borderId="65" xfId="46" applyFont="1" applyBorder="1" applyAlignment="1">
      <alignment vertical="center" wrapText="1" readingOrder="2"/>
    </xf>
    <xf numFmtId="0" fontId="45" fillId="0" borderId="64" xfId="46" applyFont="1" applyBorder="1" applyAlignment="1">
      <alignment vertical="center" wrapText="1" readingOrder="2"/>
    </xf>
    <xf numFmtId="0" fontId="45" fillId="0" borderId="66" xfId="46" applyFont="1" applyBorder="1" applyAlignment="1">
      <alignment vertical="center" wrapText="1" readingOrder="2"/>
    </xf>
    <xf numFmtId="0" fontId="65" fillId="0" borderId="0" xfId="46" applyFont="1"/>
    <xf numFmtId="0" fontId="66" fillId="0" borderId="0" xfId="46" applyFont="1"/>
    <xf numFmtId="0" fontId="65" fillId="0" borderId="60" xfId="46" applyFont="1" applyBorder="1"/>
    <xf numFmtId="0" fontId="65" fillId="0" borderId="64" xfId="46" applyFont="1" applyBorder="1"/>
    <xf numFmtId="0" fontId="65" fillId="0" borderId="60" xfId="46" applyFont="1" applyBorder="1" applyAlignment="1">
      <alignment horizontal="right"/>
    </xf>
    <xf numFmtId="0" fontId="65" fillId="0" borderId="51" xfId="46" applyFont="1" applyBorder="1" applyAlignment="1">
      <alignment horizontal="right"/>
    </xf>
    <xf numFmtId="4" fontId="65" fillId="0" borderId="0" xfId="46" applyNumberFormat="1" applyFont="1"/>
    <xf numFmtId="10" fontId="33" fillId="0" borderId="0" xfId="48" applyNumberFormat="1" applyFont="1" applyFill="1" applyBorder="1"/>
    <xf numFmtId="9" fontId="65" fillId="0" borderId="0" xfId="46" applyNumberFormat="1" applyFont="1"/>
    <xf numFmtId="0" fontId="67" fillId="0" borderId="0" xfId="46" applyFont="1"/>
    <xf numFmtId="0" fontId="67" fillId="0" borderId="0" xfId="46" applyFont="1" applyAlignment="1">
      <alignment horizontal="center"/>
    </xf>
    <xf numFmtId="0" fontId="65" fillId="0" borderId="0" xfId="0" applyFont="1" applyAlignment="1">
      <alignment vertical="center"/>
    </xf>
    <xf numFmtId="0" fontId="65" fillId="0" borderId="50" xfId="0" applyFont="1" applyBorder="1" applyAlignment="1">
      <alignment vertical="center"/>
    </xf>
    <xf numFmtId="0" fontId="65" fillId="0" borderId="51" xfId="0" applyFont="1" applyBorder="1" applyAlignment="1">
      <alignment vertical="center"/>
    </xf>
    <xf numFmtId="0" fontId="72" fillId="0" borderId="0" xfId="0" applyFont="1" applyAlignment="1">
      <alignment vertical="center"/>
    </xf>
    <xf numFmtId="0" fontId="65" fillId="0" borderId="0" xfId="0" applyFont="1" applyAlignment="1">
      <alignment horizontal="left" vertical="center"/>
    </xf>
    <xf numFmtId="168" fontId="44" fillId="29" borderId="60" xfId="46" applyNumberFormat="1" applyFont="1" applyFill="1" applyBorder="1" applyAlignment="1">
      <alignment horizontal="center" vertical="center" wrapText="1" readingOrder="2"/>
    </xf>
    <xf numFmtId="164" fontId="65" fillId="0" borderId="0" xfId="46" applyNumberFormat="1" applyFont="1" applyAlignment="1">
      <alignment shrinkToFit="1"/>
    </xf>
    <xf numFmtId="168" fontId="45" fillId="0" borderId="65" xfId="46" applyNumberFormat="1" applyFont="1" applyBorder="1" applyAlignment="1">
      <alignment horizontal="center" vertical="center" wrapText="1" readingOrder="2"/>
    </xf>
    <xf numFmtId="164" fontId="39" fillId="24" borderId="0" xfId="0" applyNumberFormat="1" applyFont="1" applyFill="1" applyAlignment="1">
      <alignment horizontal="right" vertical="center" shrinkToFit="1" readingOrder="2"/>
    </xf>
    <xf numFmtId="164" fontId="21" fillId="0" borderId="0" xfId="0" applyNumberFormat="1" applyFont="1" applyAlignment="1">
      <alignment horizontal="center" vertical="center" readingOrder="2"/>
    </xf>
    <xf numFmtId="49" fontId="76" fillId="29" borderId="72" xfId="0" applyNumberFormat="1" applyFont="1" applyFill="1" applyBorder="1" applyAlignment="1">
      <alignment horizontal="right" vertical="center" wrapText="1"/>
    </xf>
    <xf numFmtId="0" fontId="75" fillId="0" borderId="0" xfId="0" applyFont="1"/>
    <xf numFmtId="0" fontId="75" fillId="29" borderId="0" xfId="0" applyFont="1" applyFill="1"/>
    <xf numFmtId="49" fontId="76" fillId="0" borderId="29" xfId="0" applyNumberFormat="1" applyFont="1" applyBorder="1" applyAlignment="1">
      <alignment horizontal="right" vertical="center" wrapText="1"/>
    </xf>
    <xf numFmtId="0" fontId="76" fillId="0" borderId="29" xfId="0" applyFont="1" applyBorder="1" applyAlignment="1">
      <alignment horizontal="right" vertical="center" wrapText="1" readingOrder="2"/>
    </xf>
    <xf numFmtId="49" fontId="76" fillId="0" borderId="73" xfId="0" applyNumberFormat="1" applyFont="1" applyBorder="1" applyAlignment="1">
      <alignment horizontal="right" vertical="center" wrapText="1"/>
    </xf>
    <xf numFmtId="0" fontId="76" fillId="0" borderId="73" xfId="0" applyFont="1" applyBorder="1" applyAlignment="1">
      <alignment horizontal="right" vertical="center" wrapText="1" readingOrder="2"/>
    </xf>
    <xf numFmtId="0" fontId="78" fillId="29" borderId="72" xfId="0" applyFont="1" applyFill="1" applyBorder="1" applyAlignment="1">
      <alignment horizontal="right" vertical="center" wrapText="1" readingOrder="2"/>
    </xf>
    <xf numFmtId="0" fontId="78" fillId="0" borderId="29" xfId="0" applyFont="1" applyBorder="1" applyAlignment="1">
      <alignment horizontal="right" vertical="center" wrapText="1" readingOrder="2"/>
    </xf>
    <xf numFmtId="0" fontId="79" fillId="0" borderId="29" xfId="0" applyFont="1" applyBorder="1" applyAlignment="1">
      <alignment horizontal="right" vertical="center" wrapText="1"/>
    </xf>
    <xf numFmtId="0" fontId="79" fillId="0" borderId="73" xfId="0" applyFont="1" applyBorder="1" applyAlignment="1">
      <alignment horizontal="right" vertical="center" wrapText="1"/>
    </xf>
    <xf numFmtId="0" fontId="78" fillId="0" borderId="73" xfId="0" applyFont="1" applyBorder="1" applyAlignment="1">
      <alignment horizontal="right" vertical="center" wrapText="1" readingOrder="2"/>
    </xf>
    <xf numFmtId="0" fontId="80" fillId="0" borderId="0" xfId="0" applyFont="1" applyAlignment="1">
      <alignment horizontal="center"/>
    </xf>
    <xf numFmtId="172" fontId="82" fillId="0" borderId="0" xfId="46" applyNumberFormat="1" applyFont="1" applyAlignment="1" applyProtection="1">
      <alignment readingOrder="2"/>
      <protection locked="0"/>
    </xf>
    <xf numFmtId="49" fontId="82" fillId="0" borderId="0" xfId="46" applyNumberFormat="1" applyFont="1" applyAlignment="1" applyProtection="1">
      <alignment shrinkToFit="1" readingOrder="2"/>
      <protection locked="0"/>
    </xf>
    <xf numFmtId="49" fontId="85" fillId="33" borderId="60" xfId="46" applyNumberFormat="1" applyFont="1" applyFill="1" applyBorder="1" applyAlignment="1" applyProtection="1">
      <alignment horizontal="center" vertical="center" shrinkToFit="1" readingOrder="2"/>
      <protection locked="0"/>
    </xf>
    <xf numFmtId="0" fontId="85" fillId="33" borderId="60" xfId="46" applyFont="1" applyFill="1" applyBorder="1" applyAlignment="1" applyProtection="1">
      <alignment horizontal="center" vertical="center" readingOrder="2"/>
      <protection locked="0"/>
    </xf>
    <xf numFmtId="49" fontId="60" fillId="34" borderId="60" xfId="46" applyNumberFormat="1" applyFont="1" applyFill="1" applyBorder="1" applyAlignment="1" applyProtection="1">
      <alignment horizontal="center" vertical="center" shrinkToFit="1" readingOrder="2"/>
      <protection locked="0"/>
    </xf>
    <xf numFmtId="0" fontId="86" fillId="34" borderId="60" xfId="46" applyFont="1" applyFill="1" applyBorder="1" applyAlignment="1" applyProtection="1">
      <alignment horizontal="center" vertical="center" readingOrder="2"/>
      <protection locked="0"/>
    </xf>
    <xf numFmtId="172" fontId="60" fillId="35" borderId="60" xfId="46" applyNumberFormat="1" applyFont="1" applyFill="1" applyBorder="1" applyAlignment="1" applyProtection="1">
      <alignment horizontal="center" vertical="center" readingOrder="2"/>
      <protection locked="0"/>
    </xf>
    <xf numFmtId="49" fontId="60" fillId="35" borderId="60" xfId="46" applyNumberFormat="1" applyFont="1" applyFill="1" applyBorder="1" applyAlignment="1" applyProtection="1">
      <alignment horizontal="center" vertical="center" shrinkToFit="1" readingOrder="2"/>
      <protection locked="0"/>
    </xf>
    <xf numFmtId="0" fontId="86" fillId="35" borderId="60" xfId="46" applyFont="1" applyFill="1" applyBorder="1" applyAlignment="1" applyProtection="1">
      <alignment horizontal="center" vertical="center" readingOrder="2"/>
      <protection locked="0"/>
    </xf>
    <xf numFmtId="49" fontId="60" fillId="26" borderId="60" xfId="46" applyNumberFormat="1" applyFont="1" applyFill="1" applyBorder="1" applyAlignment="1" applyProtection="1">
      <alignment horizontal="center" vertical="center" readingOrder="2"/>
      <protection locked="0"/>
    </xf>
    <xf numFmtId="0" fontId="85" fillId="34" borderId="60" xfId="46" applyFont="1" applyFill="1" applyBorder="1" applyAlignment="1" applyProtection="1">
      <alignment horizontal="center" vertical="center" readingOrder="2"/>
      <protection locked="0"/>
    </xf>
    <xf numFmtId="0" fontId="85" fillId="35" borderId="60" xfId="46" applyFont="1" applyFill="1" applyBorder="1" applyAlignment="1" applyProtection="1">
      <alignment horizontal="center" vertical="center" readingOrder="2"/>
      <protection locked="0"/>
    </xf>
    <xf numFmtId="49" fontId="85" fillId="27" borderId="60" xfId="46" applyNumberFormat="1" applyFont="1" applyFill="1" applyBorder="1" applyAlignment="1" applyProtection="1">
      <alignment horizontal="center" vertical="center" shrinkToFit="1" readingOrder="2"/>
      <protection locked="0"/>
    </xf>
    <xf numFmtId="15" fontId="84" fillId="26" borderId="60" xfId="46" applyNumberFormat="1" applyFont="1" applyFill="1" applyBorder="1" applyAlignment="1" applyProtection="1">
      <alignment horizontal="center" vertical="center" wrapText="1" readingOrder="2"/>
      <protection locked="0"/>
    </xf>
    <xf numFmtId="49" fontId="82" fillId="27" borderId="60" xfId="46" applyNumberFormat="1" applyFont="1" applyFill="1" applyBorder="1" applyAlignment="1" applyProtection="1">
      <alignment horizontal="center" vertical="center" shrinkToFit="1" readingOrder="2"/>
      <protection locked="0"/>
    </xf>
    <xf numFmtId="49" fontId="82" fillId="35" borderId="60" xfId="46" applyNumberFormat="1" applyFont="1" applyFill="1" applyBorder="1" applyAlignment="1" applyProtection="1">
      <alignment horizontal="center" vertical="center" wrapText="1" readingOrder="2"/>
      <protection locked="0"/>
    </xf>
    <xf numFmtId="0" fontId="82" fillId="35" borderId="60" xfId="46" applyFont="1" applyFill="1" applyBorder="1" applyAlignment="1" applyProtection="1">
      <alignment horizontal="center" vertical="center" readingOrder="2"/>
      <protection locked="0"/>
    </xf>
    <xf numFmtId="0" fontId="82" fillId="35" borderId="60" xfId="46" applyFont="1" applyFill="1" applyBorder="1" applyAlignment="1" applyProtection="1">
      <alignment readingOrder="2"/>
      <protection locked="0"/>
    </xf>
    <xf numFmtId="0" fontId="85" fillId="35" borderId="60" xfId="46" applyFont="1" applyFill="1" applyBorder="1" applyAlignment="1" applyProtection="1">
      <alignment readingOrder="2"/>
      <protection locked="0"/>
    </xf>
    <xf numFmtId="49" fontId="83" fillId="33" borderId="60" xfId="46" applyNumberFormat="1" applyFont="1" applyFill="1" applyBorder="1" applyAlignment="1" applyProtection="1">
      <alignment horizontal="center" vertical="center" shrinkToFit="1" readingOrder="2"/>
      <protection locked="0"/>
    </xf>
    <xf numFmtId="49" fontId="85" fillId="27" borderId="60" xfId="46" applyNumberFormat="1" applyFont="1" applyFill="1" applyBorder="1" applyAlignment="1" applyProtection="1">
      <alignment vertical="center" shrinkToFit="1" readingOrder="2"/>
      <protection locked="0"/>
    </xf>
    <xf numFmtId="49" fontId="85" fillId="34" borderId="60" xfId="46" applyNumberFormat="1" applyFont="1" applyFill="1" applyBorder="1" applyAlignment="1" applyProtection="1">
      <alignment shrinkToFit="1" readingOrder="2"/>
      <protection locked="0"/>
    </xf>
    <xf numFmtId="172" fontId="85" fillId="35" borderId="60" xfId="46" applyNumberFormat="1" applyFont="1" applyFill="1" applyBorder="1" applyAlignment="1" applyProtection="1">
      <alignment readingOrder="2"/>
      <protection locked="0"/>
    </xf>
    <xf numFmtId="49" fontId="85" fillId="35" borderId="60" xfId="46" applyNumberFormat="1" applyFont="1" applyFill="1" applyBorder="1" applyAlignment="1" applyProtection="1">
      <alignment shrinkToFit="1" readingOrder="2"/>
      <protection locked="0"/>
    </xf>
    <xf numFmtId="0" fontId="82" fillId="0" borderId="0" xfId="46" applyFont="1" applyAlignment="1" applyProtection="1">
      <alignment readingOrder="2"/>
      <protection locked="0"/>
    </xf>
    <xf numFmtId="172" fontId="92" fillId="0" borderId="0" xfId="46" applyNumberFormat="1" applyFont="1" applyAlignment="1" applyProtection="1">
      <alignment readingOrder="2"/>
      <protection locked="0"/>
    </xf>
    <xf numFmtId="49" fontId="92" fillId="0" borderId="0" xfId="46" applyNumberFormat="1" applyFont="1" applyAlignment="1" applyProtection="1">
      <alignment shrinkToFit="1" readingOrder="2"/>
      <protection locked="0"/>
    </xf>
    <xf numFmtId="0" fontId="96" fillId="0" borderId="0" xfId="0" applyFont="1"/>
    <xf numFmtId="164" fontId="80" fillId="0" borderId="0" xfId="0" applyNumberFormat="1" applyFont="1" applyAlignment="1">
      <alignment horizontal="center" vertical="center"/>
    </xf>
    <xf numFmtId="164" fontId="96" fillId="0" borderId="0" xfId="0" applyNumberFormat="1" applyFont="1" applyAlignment="1">
      <alignment horizontal="center" vertical="center"/>
    </xf>
    <xf numFmtId="164" fontId="75" fillId="0" borderId="0" xfId="0" applyNumberFormat="1" applyFont="1" applyAlignment="1">
      <alignment horizontal="center" vertical="center"/>
    </xf>
    <xf numFmtId="0" fontId="42" fillId="0" borderId="0" xfId="47" applyFill="1" applyBorder="1"/>
    <xf numFmtId="0" fontId="42" fillId="0" borderId="0" xfId="47" applyFill="1"/>
    <xf numFmtId="0" fontId="42" fillId="0" borderId="84" xfId="47" applyFill="1" applyBorder="1"/>
    <xf numFmtId="0" fontId="42" fillId="0" borderId="59" xfId="47" applyFill="1" applyBorder="1"/>
    <xf numFmtId="0" fontId="42" fillId="0" borderId="85" xfId="47" applyFill="1" applyBorder="1"/>
    <xf numFmtId="0" fontId="42" fillId="0" borderId="13" xfId="47" applyFill="1" applyBorder="1"/>
    <xf numFmtId="0" fontId="42" fillId="0" borderId="14" xfId="47" applyFill="1" applyBorder="1"/>
    <xf numFmtId="0" fontId="97" fillId="0" borderId="0" xfId="47" applyFont="1" applyFill="1" applyBorder="1" applyAlignment="1">
      <alignment horizontal="center" vertical="center" readingOrder="2"/>
    </xf>
    <xf numFmtId="0" fontId="98" fillId="0" borderId="13" xfId="47" applyFont="1" applyFill="1" applyBorder="1" applyAlignment="1">
      <alignment horizontal="right" indent="1"/>
    </xf>
    <xf numFmtId="0" fontId="98" fillId="0" borderId="0" xfId="47" applyFont="1" applyFill="1" applyBorder="1"/>
    <xf numFmtId="0" fontId="98" fillId="0" borderId="13" xfId="47" applyFont="1" applyFill="1" applyBorder="1"/>
    <xf numFmtId="0" fontId="42" fillId="0" borderId="0" xfId="47" applyNumberFormat="1" applyFill="1" applyBorder="1"/>
    <xf numFmtId="0" fontId="98" fillId="0" borderId="0" xfId="47" applyNumberFormat="1" applyFont="1" applyFill="1" applyBorder="1"/>
    <xf numFmtId="0" fontId="98" fillId="0" borderId="13" xfId="47" applyFont="1" applyFill="1" applyBorder="1" applyAlignment="1">
      <alignment horizontal="right" vertical="center" indent="1" readingOrder="2"/>
    </xf>
    <xf numFmtId="0" fontId="98" fillId="0" borderId="0" xfId="47" applyFont="1" applyFill="1" applyBorder="1" applyAlignment="1">
      <alignment horizontal="right" vertical="center" readingOrder="2"/>
    </xf>
    <xf numFmtId="0" fontId="98" fillId="0" borderId="13" xfId="47" applyFont="1" applyFill="1" applyBorder="1" applyAlignment="1">
      <alignment horizontal="right" indent="1" readingOrder="2"/>
    </xf>
    <xf numFmtId="0" fontId="98" fillId="0" borderId="0" xfId="47" applyFont="1" applyFill="1" applyBorder="1" applyAlignment="1">
      <alignment readingOrder="2"/>
    </xf>
    <xf numFmtId="0" fontId="98" fillId="0" borderId="14" xfId="47" applyFont="1" applyFill="1" applyBorder="1" applyAlignment="1">
      <alignment readingOrder="2"/>
    </xf>
    <xf numFmtId="0" fontId="98" fillId="0" borderId="13" xfId="47" applyFont="1" applyFill="1" applyBorder="1" applyAlignment="1">
      <alignment horizontal="right" vertical="top" indent="1" readingOrder="2"/>
    </xf>
    <xf numFmtId="0" fontId="98" fillId="0" borderId="0" xfId="47" applyFont="1" applyFill="1" applyBorder="1" applyAlignment="1">
      <alignment horizontal="right" vertical="top" readingOrder="2"/>
    </xf>
    <xf numFmtId="0" fontId="98" fillId="0" borderId="14" xfId="47" applyFont="1" applyFill="1" applyBorder="1" applyAlignment="1">
      <alignment horizontal="right" vertical="center" readingOrder="2"/>
    </xf>
    <xf numFmtId="0" fontId="102" fillId="0" borderId="60" xfId="47" applyFont="1" applyFill="1" applyBorder="1"/>
    <xf numFmtId="0" fontId="103" fillId="0" borderId="60" xfId="47" applyFont="1" applyFill="1" applyBorder="1"/>
    <xf numFmtId="0" fontId="98" fillId="0" borderId="0" xfId="47" applyFont="1" applyFill="1" applyBorder="1" applyAlignment="1">
      <alignment horizontal="right" vertical="center" wrapText="1" readingOrder="2"/>
    </xf>
    <xf numFmtId="0" fontId="98" fillId="0" borderId="14" xfId="47" applyFont="1" applyFill="1" applyBorder="1" applyAlignment="1">
      <alignment horizontal="right" vertical="center" wrapText="1" readingOrder="2"/>
    </xf>
    <xf numFmtId="0" fontId="42" fillId="0" borderId="60" xfId="47" applyFill="1" applyBorder="1"/>
    <xf numFmtId="0" fontId="98" fillId="0" borderId="0" xfId="47" applyFont="1" applyFill="1" applyBorder="1" applyAlignment="1">
      <alignment vertical="center" readingOrder="2"/>
    </xf>
    <xf numFmtId="0" fontId="98" fillId="0" borderId="14" xfId="47" applyFont="1" applyFill="1" applyBorder="1" applyAlignment="1">
      <alignment vertical="center" readingOrder="2"/>
    </xf>
    <xf numFmtId="0" fontId="98" fillId="0" borderId="13" xfId="47" applyFont="1" applyFill="1" applyBorder="1" applyAlignment="1">
      <alignment horizontal="right" vertical="center" readingOrder="2"/>
    </xf>
    <xf numFmtId="0" fontId="98" fillId="0" borderId="13" xfId="47" applyFont="1" applyFill="1" applyBorder="1" applyAlignment="1">
      <alignment horizontal="center" vertical="center" readingOrder="2"/>
    </xf>
    <xf numFmtId="0" fontId="98" fillId="0" borderId="0" xfId="47" applyFont="1" applyFill="1" applyBorder="1" applyAlignment="1">
      <alignment horizontal="center" vertical="center" readingOrder="2"/>
    </xf>
    <xf numFmtId="0" fontId="104" fillId="0" borderId="0" xfId="47" applyFont="1" applyFill="1" applyBorder="1" applyAlignment="1">
      <alignment horizontal="left" vertical="center"/>
    </xf>
    <xf numFmtId="0" fontId="104" fillId="0" borderId="0" xfId="47" applyFont="1" applyFill="1" applyBorder="1"/>
    <xf numFmtId="0" fontId="42" fillId="0" borderId="14" xfId="47" quotePrefix="1" applyFill="1" applyBorder="1" applyAlignment="1">
      <alignment horizontal="center" vertical="center"/>
    </xf>
    <xf numFmtId="0" fontId="98" fillId="0" borderId="0" xfId="47" applyFont="1" applyFill="1" applyBorder="1" applyAlignment="1">
      <alignment horizontal="left" vertical="center" readingOrder="2"/>
    </xf>
    <xf numFmtId="0" fontId="42" fillId="0" borderId="54" xfId="47" applyFill="1" applyBorder="1"/>
    <xf numFmtId="0" fontId="42" fillId="0" borderId="55" xfId="47" applyFill="1" applyBorder="1"/>
    <xf numFmtId="0" fontId="42" fillId="0" borderId="56" xfId="47" applyFill="1" applyBorder="1"/>
    <xf numFmtId="172" fontId="107" fillId="36" borderId="60" xfId="46" applyNumberFormat="1" applyFont="1" applyFill="1" applyBorder="1" applyAlignment="1" applyProtection="1">
      <alignment horizontal="right" vertical="center" shrinkToFit="1" readingOrder="2"/>
      <protection locked="0"/>
    </xf>
    <xf numFmtId="0" fontId="107" fillId="36" borderId="60" xfId="46" applyFont="1" applyFill="1" applyBorder="1" applyAlignment="1" applyProtection="1">
      <alignment horizontal="right" vertical="center" shrinkToFit="1" readingOrder="2"/>
      <protection locked="0"/>
    </xf>
    <xf numFmtId="49" fontId="107" fillId="36" borderId="60" xfId="46" applyNumberFormat="1" applyFont="1" applyFill="1" applyBorder="1" applyAlignment="1" applyProtection="1">
      <alignment horizontal="right" vertical="center" shrinkToFit="1" readingOrder="2"/>
      <protection locked="0"/>
    </xf>
    <xf numFmtId="1" fontId="60" fillId="27" borderId="60" xfId="46" applyNumberFormat="1" applyFont="1" applyFill="1" applyBorder="1" applyAlignment="1" applyProtection="1">
      <alignment horizontal="center" vertical="center" readingOrder="2"/>
      <protection locked="0"/>
    </xf>
    <xf numFmtId="1" fontId="85" fillId="27" borderId="60" xfId="46" applyNumberFormat="1" applyFont="1" applyFill="1" applyBorder="1" applyAlignment="1" applyProtection="1">
      <alignment horizontal="center" vertical="center" wrapText="1" readingOrder="2"/>
      <protection locked="0"/>
    </xf>
    <xf numFmtId="1" fontId="85" fillId="27" borderId="60" xfId="46" applyNumberFormat="1" applyFont="1" applyFill="1" applyBorder="1" applyAlignment="1" applyProtection="1">
      <alignment readingOrder="2"/>
      <protection locked="0"/>
    </xf>
    <xf numFmtId="1" fontId="82" fillId="0" borderId="0" xfId="46" applyNumberFormat="1" applyFont="1" applyAlignment="1" applyProtection="1">
      <alignment readingOrder="2"/>
      <protection locked="0"/>
    </xf>
    <xf numFmtId="1" fontId="107" fillId="36" borderId="60" xfId="46" applyNumberFormat="1" applyFont="1" applyFill="1" applyBorder="1" applyAlignment="1" applyProtection="1">
      <alignment horizontal="right" vertical="center" shrinkToFit="1" readingOrder="2"/>
      <protection locked="0"/>
    </xf>
    <xf numFmtId="0" fontId="99" fillId="26" borderId="0" xfId="47" applyNumberFormat="1" applyFont="1" applyFill="1" applyBorder="1" applyAlignment="1">
      <alignment horizontal="right"/>
    </xf>
    <xf numFmtId="0" fontId="42" fillId="26" borderId="0" xfId="47" applyFill="1" applyBorder="1"/>
    <xf numFmtId="0" fontId="42" fillId="26" borderId="0" xfId="47" applyFill="1"/>
    <xf numFmtId="0" fontId="34" fillId="0" borderId="13" xfId="0" applyFont="1" applyBorder="1" applyAlignment="1" applyProtection="1">
      <alignment horizontal="center" vertical="center" shrinkToFit="1" readingOrder="2"/>
    </xf>
    <xf numFmtId="0" fontId="34" fillId="0" borderId="14" xfId="0" applyFont="1" applyBorder="1" applyAlignment="1" applyProtection="1">
      <alignment horizontal="center" vertical="center" shrinkToFit="1" readingOrder="2"/>
    </xf>
    <xf numFmtId="0" fontId="44" fillId="0" borderId="62" xfId="46" applyFont="1" applyBorder="1" applyAlignment="1">
      <alignment horizontal="center" vertical="center" wrapText="1" readingOrder="2"/>
    </xf>
    <xf numFmtId="0" fontId="44" fillId="0" borderId="60" xfId="46" applyFont="1" applyBorder="1" applyAlignment="1">
      <alignment horizontal="center" vertical="center" wrapText="1" readingOrder="2"/>
    </xf>
    <xf numFmtId="0" fontId="44" fillId="29" borderId="60" xfId="46" applyFont="1" applyFill="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64" fontId="65" fillId="0" borderId="0" xfId="46" applyNumberFormat="1" applyFont="1" applyAlignment="1">
      <alignment horizontal="right" shrinkToFit="1"/>
    </xf>
    <xf numFmtId="0" fontId="74" fillId="0" borderId="0" xfId="46" applyFont="1" applyAlignment="1">
      <alignment horizontal="center" shrinkToFit="1"/>
    </xf>
    <xf numFmtId="0" fontId="44" fillId="0" borderId="62" xfId="46" applyFont="1" applyBorder="1" applyAlignment="1">
      <alignment vertical="center" wrapText="1" readingOrder="2"/>
    </xf>
    <xf numFmtId="0" fontId="44" fillId="0" borderId="63" xfId="46" applyFont="1" applyBorder="1" applyAlignment="1">
      <alignment vertical="center" wrapText="1" readingOrder="2"/>
    </xf>
    <xf numFmtId="10" fontId="44" fillId="29" borderId="60" xfId="46" applyNumberFormat="1" applyFont="1" applyFill="1" applyBorder="1" applyAlignment="1">
      <alignment horizontal="center" vertical="center" wrapText="1" readingOrder="2"/>
    </xf>
    <xf numFmtId="10" fontId="44" fillId="27" borderId="66" xfId="46" applyNumberFormat="1" applyFont="1" applyFill="1" applyBorder="1" applyAlignment="1">
      <alignment horizontal="center" vertical="center" wrapText="1" readingOrder="2"/>
    </xf>
    <xf numFmtId="0" fontId="1" fillId="0" borderId="0" xfId="49"/>
    <xf numFmtId="10" fontId="44" fillId="27" borderId="64" xfId="46" applyNumberFormat="1" applyFont="1" applyFill="1" applyBorder="1" applyAlignment="1">
      <alignment horizontal="center" vertical="center" wrapText="1" readingOrder="2"/>
    </xf>
    <xf numFmtId="0" fontId="64" fillId="0" borderId="60" xfId="49" applyFont="1" applyBorder="1" applyAlignment="1">
      <alignment vertical="center"/>
    </xf>
    <xf numFmtId="0" fontId="44" fillId="27" borderId="60" xfId="46" applyFont="1" applyFill="1" applyBorder="1" applyAlignment="1">
      <alignment vertical="center" wrapText="1" readingOrder="2"/>
    </xf>
    <xf numFmtId="4" fontId="44" fillId="0" borderId="64" xfId="46" applyNumberFormat="1" applyFont="1" applyBorder="1" applyAlignment="1">
      <alignment horizontal="center" vertical="center" shrinkToFit="1" readingOrder="2"/>
    </xf>
    <xf numFmtId="0" fontId="1" fillId="0" borderId="60" xfId="49" applyBorder="1" applyAlignment="1">
      <alignment vertical="center"/>
    </xf>
    <xf numFmtId="0" fontId="1" fillId="0" borderId="0" xfId="49" applyAlignment="1">
      <alignment vertical="center"/>
    </xf>
    <xf numFmtId="4" fontId="45" fillId="27" borderId="60" xfId="46" applyNumberFormat="1" applyFont="1" applyFill="1" applyBorder="1" applyAlignment="1">
      <alignment horizontal="center" vertical="center" wrapText="1" readingOrder="2"/>
    </xf>
    <xf numFmtId="1" fontId="44" fillId="27" borderId="60" xfId="46" applyNumberFormat="1" applyFont="1" applyFill="1" applyBorder="1" applyAlignment="1">
      <alignment horizontal="center" vertical="center" wrapText="1" readingOrder="2"/>
    </xf>
    <xf numFmtId="0" fontId="44" fillId="0" borderId="60" xfId="46" applyFont="1" applyFill="1" applyBorder="1" applyAlignment="1">
      <alignment vertical="center" wrapText="1" readingOrder="2"/>
    </xf>
    <xf numFmtId="0" fontId="65" fillId="27" borderId="60" xfId="46" applyFont="1" applyFill="1" applyBorder="1"/>
    <xf numFmtId="1" fontId="44" fillId="0" borderId="60" xfId="46" applyNumberFormat="1" applyFont="1" applyFill="1" applyBorder="1" applyAlignment="1">
      <alignment horizontal="center" vertical="center" wrapText="1" readingOrder="2"/>
    </xf>
    <xf numFmtId="3" fontId="113" fillId="0" borderId="60" xfId="46" applyNumberFormat="1" applyFont="1" applyBorder="1" applyAlignment="1">
      <alignment horizontal="center" vertical="center" wrapText="1" readingOrder="2"/>
    </xf>
    <xf numFmtId="0" fontId="65" fillId="0" borderId="60" xfId="0" applyFont="1" applyBorder="1" applyAlignment="1">
      <alignment horizontal="center" vertical="center"/>
    </xf>
    <xf numFmtId="0" fontId="65" fillId="0" borderId="60" xfId="0" applyFont="1" applyBorder="1" applyAlignment="1">
      <alignment horizontal="center" vertical="center" readingOrder="2"/>
    </xf>
    <xf numFmtId="164" fontId="65" fillId="0" borderId="0" xfId="46" applyNumberFormat="1" applyFont="1" applyAlignment="1">
      <alignment shrinkToFit="1" readingOrder="2"/>
    </xf>
    <xf numFmtId="1" fontId="65" fillId="0" borderId="0" xfId="0" applyNumberFormat="1" applyFont="1" applyAlignment="1">
      <alignment vertical="center" readingOrder="2"/>
    </xf>
    <xf numFmtId="0" fontId="65" fillId="0" borderId="0" xfId="46" applyFont="1" applyAlignment="1">
      <alignment readingOrder="2"/>
    </xf>
    <xf numFmtId="0" fontId="64" fillId="0" borderId="60" xfId="49" applyFont="1" applyBorder="1" applyAlignment="1">
      <alignment horizontal="center" vertical="center" readingOrder="2"/>
    </xf>
    <xf numFmtId="0" fontId="64" fillId="0" borderId="60" xfId="49" applyFont="1" applyFill="1" applyBorder="1" applyAlignment="1">
      <alignment horizontal="center" vertical="center" readingOrder="2"/>
    </xf>
    <xf numFmtId="0" fontId="112" fillId="0" borderId="60" xfId="49" applyFont="1" applyFill="1" applyBorder="1" applyAlignment="1">
      <alignment horizontal="center" vertical="center" readingOrder="2"/>
    </xf>
    <xf numFmtId="0" fontId="41" fillId="0" borderId="60" xfId="49" applyFont="1" applyBorder="1" applyAlignment="1">
      <alignment vertical="center" readingOrder="2"/>
    </xf>
    <xf numFmtId="0" fontId="1" fillId="0" borderId="60" xfId="49" applyBorder="1" applyAlignment="1">
      <alignment vertical="center" readingOrder="2"/>
    </xf>
    <xf numFmtId="0" fontId="41" fillId="0" borderId="60" xfId="49" applyFont="1" applyBorder="1" applyAlignment="1">
      <alignment horizontal="center" vertical="center" readingOrder="2"/>
    </xf>
    <xf numFmtId="0" fontId="1" fillId="0" borderId="0" xfId="49" applyAlignment="1">
      <alignment vertical="center" readingOrder="2"/>
    </xf>
    <xf numFmtId="10" fontId="65" fillId="0" borderId="60" xfId="46" applyNumberFormat="1" applyFont="1" applyBorder="1" applyAlignment="1">
      <alignment horizontal="center" vertical="center" readingOrder="2"/>
    </xf>
    <xf numFmtId="10" fontId="1" fillId="0" borderId="60" xfId="49" applyNumberFormat="1" applyBorder="1" applyAlignment="1">
      <alignment horizontal="center" vertical="center" readingOrder="2"/>
    </xf>
    <xf numFmtId="0" fontId="1" fillId="0" borderId="0" xfId="49" applyAlignment="1">
      <alignment horizontal="center" vertical="center" readingOrder="2"/>
    </xf>
    <xf numFmtId="49" fontId="1" fillId="0" borderId="60" xfId="49" applyNumberFormat="1" applyBorder="1" applyAlignment="1">
      <alignment horizontal="center" vertical="center" readingOrder="2"/>
    </xf>
    <xf numFmtId="10" fontId="54" fillId="0" borderId="0" xfId="0" applyNumberFormat="1" applyFont="1" applyAlignment="1">
      <alignment vertical="center" shrinkToFit="1" readingOrder="2"/>
    </xf>
    <xf numFmtId="1" fontId="106" fillId="0" borderId="60" xfId="46" applyNumberFormat="1" applyFont="1" applyFill="1" applyBorder="1" applyAlignment="1" applyProtection="1">
      <alignment vertical="center" shrinkToFit="1" readingOrder="2"/>
      <protection locked="0"/>
    </xf>
    <xf numFmtId="0" fontId="106" fillId="0" borderId="60" xfId="46" applyFont="1" applyFill="1" applyBorder="1" applyAlignment="1" applyProtection="1">
      <alignment vertical="center" shrinkToFit="1" readingOrder="2"/>
      <protection locked="0"/>
    </xf>
    <xf numFmtId="1" fontId="41" fillId="0" borderId="60" xfId="49" applyNumberFormat="1" applyFont="1" applyBorder="1" applyAlignment="1">
      <alignment horizontal="center" vertical="center" readingOrder="2"/>
    </xf>
    <xf numFmtId="0" fontId="29" fillId="0" borderId="0" xfId="0" applyFont="1" applyAlignment="1">
      <alignment vertical="center" readingOrder="2"/>
    </xf>
    <xf numFmtId="0" fontId="1" fillId="0" borderId="0" xfId="0" applyFont="1"/>
    <xf numFmtId="0" fontId="115" fillId="24" borderId="0" xfId="0" applyFont="1" applyFill="1" applyAlignment="1">
      <alignment horizontal="center" readingOrder="2"/>
    </xf>
    <xf numFmtId="0" fontId="1" fillId="0" borderId="0" xfId="0" applyFont="1" applyAlignment="1">
      <alignment horizontal="center" vertical="center"/>
    </xf>
    <xf numFmtId="0" fontId="117" fillId="0" borderId="0" xfId="0" applyFont="1" applyAlignment="1">
      <alignment horizontal="center" readingOrder="2"/>
    </xf>
    <xf numFmtId="0" fontId="118" fillId="0" borderId="0" xfId="46" applyFont="1" applyAlignment="1">
      <alignment horizontal="center" vertical="center" readingOrder="2"/>
    </xf>
    <xf numFmtId="0" fontId="119" fillId="0" borderId="0" xfId="46" applyFont="1" applyAlignment="1">
      <alignment horizontal="center" vertical="center" readingOrder="2"/>
    </xf>
    <xf numFmtId="0" fontId="119" fillId="0" borderId="0" xfId="46" applyFont="1" applyAlignment="1">
      <alignment vertical="center" readingOrder="2"/>
    </xf>
    <xf numFmtId="0" fontId="118" fillId="0" borderId="39" xfId="46" applyFont="1" applyBorder="1" applyAlignment="1">
      <alignment horizontal="center" vertical="center" readingOrder="2"/>
    </xf>
    <xf numFmtId="0" fontId="119" fillId="0" borderId="0" xfId="46" applyFont="1" applyAlignment="1">
      <alignment vertical="top" readingOrder="2"/>
    </xf>
    <xf numFmtId="0" fontId="119" fillId="0" borderId="0" xfId="46" applyFont="1" applyAlignment="1">
      <alignment readingOrder="2"/>
    </xf>
    <xf numFmtId="1" fontId="85" fillId="33" borderId="60" xfId="46" applyNumberFormat="1" applyFont="1" applyFill="1" applyBorder="1" applyAlignment="1" applyProtection="1">
      <alignment horizontal="center" vertical="center" readingOrder="2"/>
      <protection locked="0"/>
    </xf>
    <xf numFmtId="1" fontId="60" fillId="34" borderId="60" xfId="46" applyNumberFormat="1" applyFont="1" applyFill="1" applyBorder="1" applyAlignment="1" applyProtection="1">
      <alignment horizontal="center" vertical="center" readingOrder="2"/>
      <protection locked="0"/>
    </xf>
    <xf numFmtId="0" fontId="34" fillId="0" borderId="55" xfId="0" applyFont="1" applyBorder="1" applyAlignment="1" applyProtection="1">
      <alignment horizontal="center" vertical="center" readingOrder="2"/>
    </xf>
    <xf numFmtId="0" fontId="34" fillId="0" borderId="0" xfId="0" applyFont="1" applyAlignment="1" applyProtection="1">
      <alignment horizontal="center" vertical="center" readingOrder="2"/>
    </xf>
    <xf numFmtId="0" fontId="54" fillId="0" borderId="0" xfId="0" applyFont="1" applyProtection="1"/>
    <xf numFmtId="0" fontId="34" fillId="0" borderId="10" xfId="0" applyFont="1" applyBorder="1" applyAlignment="1" applyProtection="1">
      <alignment horizontal="center" vertical="center" readingOrder="2"/>
    </xf>
    <xf numFmtId="0" fontId="34" fillId="0" borderId="12" xfId="0" applyFont="1" applyBorder="1" applyAlignment="1" applyProtection="1">
      <alignment horizontal="center" vertical="center" readingOrder="2"/>
    </xf>
    <xf numFmtId="0" fontId="34" fillId="0" borderId="13" xfId="0" applyFont="1" applyBorder="1" applyAlignment="1" applyProtection="1">
      <alignment horizontal="center" vertical="center" readingOrder="2"/>
    </xf>
    <xf numFmtId="0" fontId="34" fillId="0" borderId="14" xfId="0" applyFont="1" applyBorder="1" applyAlignment="1" applyProtection="1">
      <alignment horizontal="center" vertical="center" readingOrder="2"/>
    </xf>
    <xf numFmtId="0" fontId="34" fillId="0" borderId="0" xfId="0" applyFont="1" applyAlignment="1" applyProtection="1">
      <alignment vertical="center" shrinkToFit="1" readingOrder="2"/>
    </xf>
    <xf numFmtId="17" fontId="34" fillId="0" borderId="0" xfId="0" applyNumberFormat="1" applyFont="1" applyAlignment="1" applyProtection="1">
      <alignment vertical="center" shrinkToFit="1" readingOrder="2"/>
    </xf>
    <xf numFmtId="164" fontId="124" fillId="0" borderId="0" xfId="0" applyNumberFormat="1" applyFont="1" applyAlignment="1" applyProtection="1">
      <alignment vertical="center" shrinkToFit="1" readingOrder="2"/>
    </xf>
    <xf numFmtId="0" fontId="34" fillId="0" borderId="54" xfId="0" applyFont="1" applyBorder="1" applyAlignment="1" applyProtection="1">
      <alignment horizontal="center" vertical="center" readingOrder="2"/>
    </xf>
    <xf numFmtId="0" fontId="34" fillId="0" borderId="56" xfId="0" applyFont="1" applyBorder="1" applyAlignment="1" applyProtection="1">
      <alignment horizontal="center" vertical="center" readingOrder="2"/>
    </xf>
    <xf numFmtId="0" fontId="34" fillId="0" borderId="55" xfId="0" applyFont="1" applyBorder="1" applyAlignment="1">
      <alignment horizontal="center" vertical="center" readingOrder="2"/>
    </xf>
    <xf numFmtId="0" fontId="34" fillId="0" borderId="0" xfId="0" applyFont="1" applyAlignment="1">
      <alignment horizontal="center" vertical="center" readingOrder="2"/>
    </xf>
    <xf numFmtId="0" fontId="54" fillId="0" borderId="0" xfId="0" applyFont="1"/>
    <xf numFmtId="0" fontId="34" fillId="0" borderId="10" xfId="0" applyFont="1" applyBorder="1" applyAlignment="1">
      <alignment horizontal="center" vertical="center" readingOrder="2"/>
    </xf>
    <xf numFmtId="0" fontId="34" fillId="0" borderId="12" xfId="0" applyFont="1" applyBorder="1" applyAlignment="1">
      <alignment horizontal="center" vertical="center" readingOrder="2"/>
    </xf>
    <xf numFmtId="0" fontId="34" fillId="0" borderId="13" xfId="0" applyFont="1" applyBorder="1" applyAlignment="1">
      <alignment horizontal="center" vertical="center" readingOrder="2"/>
    </xf>
    <xf numFmtId="0" fontId="34" fillId="0" borderId="14" xfId="0" applyFont="1" applyBorder="1" applyAlignment="1">
      <alignment horizontal="center" vertical="center" readingOrder="2"/>
    </xf>
    <xf numFmtId="0" fontId="34" fillId="0" borderId="0" xfId="0" applyFont="1" applyAlignment="1">
      <alignment vertical="center" shrinkToFit="1" readingOrder="2"/>
    </xf>
    <xf numFmtId="17" fontId="34" fillId="0" borderId="0" xfId="0" applyNumberFormat="1" applyFont="1" applyAlignment="1">
      <alignment vertical="center" shrinkToFit="1" readingOrder="2"/>
    </xf>
    <xf numFmtId="164" fontId="124" fillId="0" borderId="0" xfId="0" applyNumberFormat="1" applyFont="1" applyAlignment="1">
      <alignment vertical="center" shrinkToFit="1" readingOrder="2"/>
    </xf>
    <xf numFmtId="0" fontId="34" fillId="0" borderId="54" xfId="0" applyFont="1" applyBorder="1" applyAlignment="1">
      <alignment horizontal="center" vertical="center" readingOrder="2"/>
    </xf>
    <xf numFmtId="0" fontId="34" fillId="0" borderId="56" xfId="0" applyFont="1" applyBorder="1" applyAlignment="1">
      <alignment horizontal="center" vertical="center" readingOrder="2"/>
    </xf>
    <xf numFmtId="0" fontId="119" fillId="0" borderId="0" xfId="46" applyFont="1" applyAlignment="1">
      <alignment horizontal="right" vertical="center" indent="1" shrinkToFit="1" readingOrder="2"/>
    </xf>
    <xf numFmtId="0" fontId="120" fillId="0" borderId="0" xfId="46" applyFont="1" applyAlignment="1">
      <alignment horizontal="right" vertical="center" indent="1" readingOrder="2"/>
    </xf>
    <xf numFmtId="0" fontId="119" fillId="0" borderId="0" xfId="46" applyFont="1" applyAlignment="1">
      <alignment horizontal="right" vertical="center" indent="1" readingOrder="2"/>
    </xf>
    <xf numFmtId="0" fontId="35" fillId="0" borderId="0" xfId="46" applyFont="1" applyAlignment="1">
      <alignment horizontal="right" vertical="center" indent="1" readingOrder="2"/>
    </xf>
    <xf numFmtId="0" fontId="118" fillId="0" borderId="0" xfId="46" applyFont="1" applyAlignment="1">
      <alignment horizontal="right" vertical="center" indent="1" readingOrder="2"/>
    </xf>
    <xf numFmtId="0" fontId="121" fillId="0" borderId="0" xfId="46" applyFont="1" applyAlignment="1">
      <alignment horizontal="right" vertical="center" indent="1" readingOrder="2"/>
    </xf>
    <xf numFmtId="0" fontId="122" fillId="0" borderId="0" xfId="46" applyFont="1" applyAlignment="1">
      <alignment horizontal="right" vertical="center" indent="1" readingOrder="2"/>
    </xf>
    <xf numFmtId="0" fontId="40" fillId="26" borderId="0" xfId="0" applyFont="1" applyFill="1" applyAlignment="1" applyProtection="1">
      <alignment horizontal="center" vertical="center" wrapText="1" readingOrder="2"/>
    </xf>
    <xf numFmtId="0" fontId="126" fillId="0" borderId="0" xfId="0" applyFont="1" applyAlignment="1" applyProtection="1">
      <alignment vertical="center"/>
    </xf>
    <xf numFmtId="0" fontId="1" fillId="0" borderId="0" xfId="0" applyFont="1" applyAlignment="1" applyProtection="1">
      <alignment horizontal="right" vertical="center"/>
    </xf>
    <xf numFmtId="0" fontId="56" fillId="0" borderId="0" xfId="0" applyFont="1" applyAlignment="1" applyProtection="1">
      <alignment horizontal="right" vertical="center"/>
    </xf>
    <xf numFmtId="0" fontId="127" fillId="0" borderId="0" xfId="0" quotePrefix="1" applyFont="1" applyAlignment="1" applyProtection="1">
      <alignment horizontal="right"/>
    </xf>
    <xf numFmtId="0" fontId="56" fillId="0" borderId="0" xfId="0" applyFont="1" applyAlignment="1" applyProtection="1">
      <alignment horizontal="left" vertical="center"/>
    </xf>
    <xf numFmtId="1" fontId="84" fillId="27" borderId="60" xfId="46" applyNumberFormat="1" applyFont="1" applyFill="1" applyBorder="1" applyAlignment="1" applyProtection="1">
      <alignment horizontal="center" vertical="center" wrapText="1" readingOrder="2"/>
      <protection locked="0"/>
    </xf>
    <xf numFmtId="49" fontId="85"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horizontal="center" vertical="center" readingOrder="2"/>
      <protection locked="0"/>
    </xf>
    <xf numFmtId="49" fontId="85" fillId="27" borderId="60" xfId="46" applyNumberFormat="1" applyFont="1" applyFill="1" applyBorder="1" applyAlignment="1" applyProtection="1">
      <alignment vertical="center" readingOrder="2"/>
      <protection locked="0"/>
    </xf>
    <xf numFmtId="49" fontId="85" fillId="31" borderId="60" xfId="46" applyNumberFormat="1" applyFont="1" applyFill="1" applyBorder="1" applyAlignment="1" applyProtection="1">
      <alignment horizontal="right" vertical="center" shrinkToFit="1" readingOrder="2"/>
      <protection locked="0"/>
    </xf>
    <xf numFmtId="49" fontId="85" fillId="31" borderId="60" xfId="46" applyNumberFormat="1" applyFont="1" applyFill="1" applyBorder="1" applyAlignment="1" applyProtection="1">
      <alignment horizontal="right" vertical="center" readingOrder="2"/>
      <protection locked="0"/>
    </xf>
    <xf numFmtId="49" fontId="82" fillId="31" borderId="60" xfId="46" applyNumberFormat="1" applyFont="1" applyFill="1" applyBorder="1" applyAlignment="1" applyProtection="1">
      <alignment horizontal="center" vertical="center" readingOrder="2"/>
      <protection locked="0"/>
    </xf>
    <xf numFmtId="0" fontId="27" fillId="0" borderId="0" xfId="0" applyNumberFormat="1" applyFont="1" applyAlignment="1">
      <alignment horizontal="center" vertical="center" shrinkToFit="1" readingOrder="2"/>
    </xf>
    <xf numFmtId="0" fontId="26" fillId="0" borderId="0" xfId="0" applyNumberFormat="1" applyFont="1" applyBorder="1" applyAlignment="1">
      <alignment vertical="center" readingOrder="2"/>
    </xf>
    <xf numFmtId="10" fontId="27" fillId="0" borderId="0" xfId="0" applyNumberFormat="1" applyFont="1" applyAlignment="1">
      <alignment horizontal="center" vertical="center" readingOrder="2"/>
    </xf>
    <xf numFmtId="0" fontId="27" fillId="0" borderId="0" xfId="0" applyNumberFormat="1" applyFont="1" applyAlignment="1">
      <alignment horizontal="center" vertical="center" readingOrder="2"/>
    </xf>
    <xf numFmtId="3" fontId="31" fillId="25" borderId="23" xfId="50" applyNumberFormat="1" applyFont="1" applyFill="1" applyBorder="1" applyAlignment="1">
      <alignment horizontal="center" vertical="center" readingOrder="1"/>
    </xf>
    <xf numFmtId="3" fontId="31" fillId="25" borderId="24" xfId="50" applyNumberFormat="1" applyFont="1" applyFill="1" applyBorder="1" applyAlignment="1">
      <alignment horizontal="center" vertical="center" readingOrder="1"/>
    </xf>
    <xf numFmtId="3" fontId="31" fillId="25" borderId="25" xfId="50" applyNumberFormat="1" applyFont="1" applyFill="1" applyBorder="1" applyAlignment="1">
      <alignment horizontal="center" vertical="center" readingOrder="1"/>
    </xf>
    <xf numFmtId="0" fontId="37" fillId="25" borderId="16" xfId="51" applyNumberFormat="1" applyFont="1" applyFill="1" applyBorder="1" applyAlignment="1">
      <alignment horizontal="center" vertical="center" shrinkToFit="1" readingOrder="2"/>
    </xf>
    <xf numFmtId="3" fontId="28" fillId="25" borderId="16" xfId="51" applyNumberFormat="1" applyFont="1" applyFill="1" applyBorder="1" applyAlignment="1">
      <alignment vertical="center" readingOrder="2"/>
    </xf>
    <xf numFmtId="0" fontId="28" fillId="0" borderId="16" xfId="51" applyNumberFormat="1" applyFont="1" applyFill="1" applyBorder="1" applyAlignment="1">
      <alignment horizontal="center" vertical="center" readingOrder="2"/>
    </xf>
    <xf numFmtId="3" fontId="28" fillId="0" borderId="16" xfId="51" applyNumberFormat="1" applyFont="1" applyFill="1" applyBorder="1" applyAlignment="1">
      <alignment horizontal="center" vertical="center" readingOrder="2"/>
    </xf>
    <xf numFmtId="0" fontId="28" fillId="0" borderId="17" xfId="51" applyNumberFormat="1" applyFont="1" applyFill="1" applyBorder="1" applyAlignment="1">
      <alignment horizontal="center" vertical="center" readingOrder="2"/>
    </xf>
    <xf numFmtId="0" fontId="37" fillId="25" borderId="32" xfId="51" applyNumberFormat="1" applyFont="1" applyFill="1" applyBorder="1" applyAlignment="1">
      <alignment horizontal="center" vertical="center" shrinkToFit="1" readingOrder="2"/>
    </xf>
    <xf numFmtId="3" fontId="28" fillId="25" borderId="32" xfId="51" applyNumberFormat="1" applyFont="1" applyFill="1" applyBorder="1" applyAlignment="1">
      <alignment vertical="center" readingOrder="2"/>
    </xf>
    <xf numFmtId="0" fontId="28" fillId="25" borderId="17" xfId="51" applyNumberFormat="1" applyFont="1" applyFill="1" applyBorder="1" applyAlignment="1">
      <alignment horizontal="center" vertical="center" readingOrder="2"/>
    </xf>
    <xf numFmtId="3" fontId="28" fillId="25" borderId="17" xfId="51" applyNumberFormat="1" applyFont="1" applyFill="1" applyBorder="1" applyAlignment="1">
      <alignment horizontal="center" vertical="center" readingOrder="2"/>
    </xf>
    <xf numFmtId="3" fontId="28" fillId="25" borderId="32" xfId="51" applyNumberFormat="1" applyFont="1" applyFill="1" applyBorder="1" applyAlignment="1">
      <alignment horizontal="center" vertical="center" readingOrder="2"/>
    </xf>
    <xf numFmtId="0" fontId="28" fillId="0" borderId="32" xfId="51" applyNumberFormat="1" applyFont="1" applyFill="1" applyBorder="1" applyAlignment="1">
      <alignment horizontal="center" vertical="center" readingOrder="2"/>
    </xf>
    <xf numFmtId="3" fontId="28" fillId="0" borderId="32" xfId="51" applyNumberFormat="1" applyFont="1" applyFill="1" applyBorder="1" applyAlignment="1">
      <alignment horizontal="center" vertical="center" readingOrder="2"/>
    </xf>
    <xf numFmtId="0" fontId="28" fillId="27" borderId="32" xfId="51" applyNumberFormat="1" applyFont="1" applyFill="1" applyBorder="1" applyAlignment="1">
      <alignment horizontal="center" vertical="center" readingOrder="2"/>
    </xf>
    <xf numFmtId="3" fontId="28" fillId="27" borderId="32" xfId="51" applyNumberFormat="1" applyFont="1" applyFill="1" applyBorder="1" applyAlignment="1">
      <alignment horizontal="center" vertical="center" readingOrder="2"/>
    </xf>
    <xf numFmtId="0" fontId="37" fillId="25" borderId="33" xfId="51" applyNumberFormat="1" applyFont="1" applyFill="1" applyBorder="1" applyAlignment="1">
      <alignment horizontal="center" vertical="center" shrinkToFit="1" readingOrder="2"/>
    </xf>
    <xf numFmtId="3" fontId="28" fillId="25" borderId="33" xfId="51" applyNumberFormat="1" applyFont="1" applyFill="1" applyBorder="1" applyAlignment="1">
      <alignment vertical="center" readingOrder="2"/>
    </xf>
    <xf numFmtId="0" fontId="28" fillId="27" borderId="33" xfId="51" applyNumberFormat="1" applyFont="1" applyFill="1" applyBorder="1" applyAlignment="1">
      <alignment horizontal="center" vertical="center" readingOrder="2"/>
    </xf>
    <xf numFmtId="3" fontId="28" fillId="27" borderId="33" xfId="51" applyNumberFormat="1" applyFont="1" applyFill="1" applyBorder="1" applyAlignment="1">
      <alignment horizontal="center" vertical="center" readingOrder="2"/>
    </xf>
    <xf numFmtId="3" fontId="28" fillId="27" borderId="34" xfId="51" applyNumberFormat="1" applyFont="1" applyFill="1" applyBorder="1" applyAlignment="1">
      <alignment horizontal="center" vertical="center" readingOrder="2"/>
    </xf>
    <xf numFmtId="0" fontId="37" fillId="0" borderId="15" xfId="51" applyNumberFormat="1" applyFont="1" applyFill="1" applyBorder="1" applyAlignment="1">
      <alignment horizontal="center" vertical="center" shrinkToFit="1" readingOrder="2"/>
    </xf>
    <xf numFmtId="3" fontId="28" fillId="0" borderId="15" xfId="51" applyNumberFormat="1" applyFont="1" applyFill="1" applyBorder="1" applyAlignment="1">
      <alignment vertical="center" readingOrder="2"/>
    </xf>
    <xf numFmtId="3" fontId="28" fillId="0" borderId="17" xfId="51" applyNumberFormat="1" applyFont="1" applyFill="1" applyBorder="1" applyAlignment="1">
      <alignment horizontal="center" vertical="center" readingOrder="2"/>
    </xf>
    <xf numFmtId="0" fontId="37" fillId="0" borderId="19" xfId="51" applyNumberFormat="1" applyFont="1" applyFill="1" applyBorder="1" applyAlignment="1">
      <alignment horizontal="center" vertical="center" shrinkToFit="1" readingOrder="2"/>
    </xf>
    <xf numFmtId="3" fontId="28" fillId="0" borderId="19" xfId="51" applyNumberFormat="1" applyFont="1" applyFill="1" applyBorder="1" applyAlignment="1">
      <alignment vertical="center" readingOrder="2"/>
    </xf>
    <xf numFmtId="0" fontId="37" fillId="0" borderId="33" xfId="51" applyNumberFormat="1" applyFont="1" applyFill="1" applyBorder="1" applyAlignment="1">
      <alignment horizontal="center" vertical="center" shrinkToFit="1" readingOrder="2"/>
    </xf>
    <xf numFmtId="3" fontId="28" fillId="0" borderId="33" xfId="51" applyNumberFormat="1" applyFont="1" applyFill="1" applyBorder="1" applyAlignment="1">
      <alignment vertical="center" readingOrder="2"/>
    </xf>
    <xf numFmtId="0" fontId="28" fillId="0" borderId="34" xfId="51" applyNumberFormat="1" applyFont="1" applyFill="1" applyBorder="1" applyAlignment="1">
      <alignment horizontal="center" vertical="center" readingOrder="2"/>
    </xf>
    <xf numFmtId="0" fontId="37" fillId="25" borderId="17" xfId="51" applyNumberFormat="1" applyFont="1" applyFill="1" applyBorder="1" applyAlignment="1">
      <alignment horizontal="center" vertical="center" shrinkToFit="1" readingOrder="2"/>
    </xf>
    <xf numFmtId="3" fontId="28" fillId="25" borderId="17" xfId="51" applyNumberFormat="1" applyFont="1" applyFill="1" applyBorder="1" applyAlignment="1">
      <alignment vertical="center" readingOrder="2"/>
    </xf>
    <xf numFmtId="0" fontId="37" fillId="0" borderId="16" xfId="51" applyNumberFormat="1" applyFont="1" applyFill="1" applyBorder="1" applyAlignment="1">
      <alignment horizontal="center" vertical="center" shrinkToFit="1" readingOrder="2"/>
    </xf>
    <xf numFmtId="3" fontId="28" fillId="0" borderId="16" xfId="51" applyNumberFormat="1" applyFont="1" applyFill="1" applyBorder="1" applyAlignment="1">
      <alignment vertical="center" readingOrder="2"/>
    </xf>
    <xf numFmtId="0" fontId="37" fillId="0" borderId="32" xfId="51" applyNumberFormat="1" applyFont="1" applyFill="1" applyBorder="1" applyAlignment="1">
      <alignment horizontal="center" vertical="center" shrinkToFit="1" readingOrder="2"/>
    </xf>
    <xf numFmtId="3" fontId="28" fillId="0" borderId="32" xfId="51" applyNumberFormat="1" applyFont="1" applyFill="1" applyBorder="1" applyAlignment="1">
      <alignment vertical="center" readingOrder="2"/>
    </xf>
    <xf numFmtId="0" fontId="28" fillId="25" borderId="32" xfId="51" applyNumberFormat="1" applyFont="1" applyFill="1" applyBorder="1" applyAlignment="1">
      <alignment horizontal="center" vertical="center" readingOrder="2"/>
    </xf>
    <xf numFmtId="0" fontId="37" fillId="0" borderId="34" xfId="51" applyNumberFormat="1" applyFont="1" applyFill="1" applyBorder="1" applyAlignment="1">
      <alignment horizontal="center" vertical="center" shrinkToFit="1" readingOrder="2"/>
    </xf>
    <xf numFmtId="3" fontId="28" fillId="0" borderId="34" xfId="51" applyNumberFormat="1" applyFont="1" applyFill="1" applyBorder="1" applyAlignment="1">
      <alignment vertical="center" readingOrder="2"/>
    </xf>
    <xf numFmtId="0" fontId="28" fillId="27" borderId="34" xfId="51" applyNumberFormat="1" applyFont="1" applyFill="1" applyBorder="1" applyAlignment="1">
      <alignment horizontal="center" vertical="center" readingOrder="2"/>
    </xf>
    <xf numFmtId="0" fontId="37" fillId="25" borderId="34" xfId="51" applyNumberFormat="1" applyFont="1" applyFill="1" applyBorder="1" applyAlignment="1">
      <alignment horizontal="center" vertical="center" shrinkToFit="1" readingOrder="2"/>
    </xf>
    <xf numFmtId="3" fontId="28" fillId="25" borderId="34" xfId="51" applyNumberFormat="1" applyFont="1" applyFill="1" applyBorder="1" applyAlignment="1">
      <alignment vertical="center" readingOrder="2"/>
    </xf>
    <xf numFmtId="0" fontId="28" fillId="0" borderId="19" xfId="51" applyNumberFormat="1" applyFont="1" applyFill="1" applyBorder="1" applyAlignment="1">
      <alignment horizontal="center" vertical="center" readingOrder="2"/>
    </xf>
    <xf numFmtId="3" fontId="28" fillId="0" borderId="19" xfId="51" applyNumberFormat="1" applyFont="1" applyFill="1" applyBorder="1" applyAlignment="1">
      <alignment horizontal="center" vertical="center" readingOrder="2"/>
    </xf>
    <xf numFmtId="0" fontId="28" fillId="25" borderId="16" xfId="51" applyNumberFormat="1" applyFont="1" applyFill="1" applyBorder="1" applyAlignment="1">
      <alignment horizontal="center" vertical="center" readingOrder="2"/>
    </xf>
    <xf numFmtId="3" fontId="28" fillId="25" borderId="16" xfId="51" applyNumberFormat="1" applyFont="1" applyFill="1" applyBorder="1" applyAlignment="1">
      <alignment horizontal="center" vertical="center" readingOrder="2"/>
    </xf>
    <xf numFmtId="3" fontId="28" fillId="0" borderId="34" xfId="51" applyNumberFormat="1" applyFont="1" applyFill="1" applyBorder="1" applyAlignment="1">
      <alignment horizontal="center" vertical="center" readingOrder="2"/>
    </xf>
    <xf numFmtId="0" fontId="28" fillId="25" borderId="34" xfId="51" applyNumberFormat="1" applyFont="1" applyFill="1" applyBorder="1" applyAlignment="1">
      <alignment horizontal="center" vertical="center" readingOrder="2"/>
    </xf>
    <xf numFmtId="3" fontId="28" fillId="25" borderId="34" xfId="51" applyNumberFormat="1" applyFont="1" applyFill="1" applyBorder="1" applyAlignment="1">
      <alignment horizontal="center" vertical="center" readingOrder="2"/>
    </xf>
    <xf numFmtId="0" fontId="1" fillId="0" borderId="0" xfId="50" applyAlignment="1">
      <alignment horizontal="center" vertical="center" shrinkToFit="1" readingOrder="1"/>
    </xf>
    <xf numFmtId="3" fontId="1" fillId="0" borderId="0" xfId="50" applyNumberFormat="1" applyAlignment="1">
      <alignment horizontal="center" vertical="center" readingOrder="1"/>
    </xf>
    <xf numFmtId="0" fontId="1" fillId="0" borderId="0" xfId="50" applyAlignment="1">
      <alignment horizontal="center" vertical="center" readingOrder="1"/>
    </xf>
    <xf numFmtId="3" fontId="1" fillId="0" borderId="0" xfId="50" applyNumberFormat="1" applyAlignment="1">
      <alignment horizontal="center" vertical="center" readingOrder="2"/>
    </xf>
    <xf numFmtId="0" fontId="1" fillId="0" borderId="0" xfId="50" applyAlignment="1">
      <alignment horizontal="center" vertical="center" readingOrder="2"/>
    </xf>
    <xf numFmtId="3" fontId="91" fillId="0" borderId="0" xfId="46" applyNumberFormat="1" applyFont="1" applyAlignment="1" applyProtection="1">
      <alignment vertical="center" shrinkToFit="1" readingOrder="2"/>
      <protection locked="0"/>
    </xf>
    <xf numFmtId="0" fontId="91" fillId="0" borderId="0" xfId="46" applyFont="1" applyAlignment="1" applyProtection="1">
      <alignment vertical="center" readingOrder="2"/>
      <protection locked="0"/>
    </xf>
    <xf numFmtId="3" fontId="23" fillId="0" borderId="0" xfId="46" applyNumberFormat="1" applyFont="1" applyAlignment="1" applyProtection="1">
      <alignment horizontal="center" vertical="center" shrinkToFit="1" readingOrder="2"/>
      <protection locked="0"/>
    </xf>
    <xf numFmtId="0" fontId="23" fillId="0" borderId="0" xfId="46" applyFont="1" applyAlignment="1" applyProtection="1">
      <alignment horizontal="center" vertical="center" readingOrder="2"/>
      <protection locked="0"/>
    </xf>
    <xf numFmtId="3" fontId="106" fillId="0" borderId="60" xfId="46" applyNumberFormat="1" applyFont="1" applyFill="1" applyBorder="1" applyAlignment="1" applyProtection="1">
      <alignment vertical="center" shrinkToFit="1" readingOrder="2"/>
      <protection locked="0"/>
    </xf>
    <xf numFmtId="3" fontId="107" fillId="36" borderId="60" xfId="46" applyNumberFormat="1" applyFont="1" applyFill="1" applyBorder="1" applyAlignment="1" applyProtection="1">
      <alignment horizontal="right" vertical="center" shrinkToFit="1" readingOrder="2"/>
      <protection locked="0"/>
    </xf>
    <xf numFmtId="1" fontId="60" fillId="32" borderId="60" xfId="46" applyNumberFormat="1" applyFont="1" applyFill="1" applyBorder="1" applyAlignment="1">
      <alignment shrinkToFit="1" readingOrder="2"/>
    </xf>
    <xf numFmtId="1" fontId="60" fillId="32" borderId="60" xfId="46" applyNumberFormat="1" applyFont="1" applyFill="1" applyBorder="1" applyAlignment="1">
      <alignment readingOrder="2"/>
    </xf>
    <xf numFmtId="1" fontId="82" fillId="0" borderId="0" xfId="46" applyNumberFormat="1" applyFont="1" applyAlignment="1" applyProtection="1">
      <alignment shrinkToFit="1" readingOrder="2"/>
      <protection locked="0"/>
    </xf>
    <xf numFmtId="3" fontId="91" fillId="0" borderId="0" xfId="46" applyNumberFormat="1" applyFont="1" applyAlignment="1" applyProtection="1">
      <alignment horizontal="center" vertical="center" shrinkToFit="1" readingOrder="2"/>
      <protection locked="0"/>
    </xf>
    <xf numFmtId="10" fontId="91" fillId="0" borderId="0" xfId="48" applyNumberFormat="1" applyFont="1" applyAlignment="1" applyProtection="1">
      <alignment horizontal="center" vertical="center" shrinkToFit="1" readingOrder="2"/>
      <protection locked="0"/>
    </xf>
    <xf numFmtId="10" fontId="106" fillId="0" borderId="60" xfId="48" applyNumberFormat="1" applyFont="1" applyFill="1" applyBorder="1" applyAlignment="1" applyProtection="1">
      <alignment vertical="center" shrinkToFit="1" readingOrder="2"/>
      <protection locked="0"/>
    </xf>
    <xf numFmtId="10" fontId="107" fillId="36" borderId="60" xfId="48" applyNumberFormat="1" applyFont="1" applyFill="1" applyBorder="1" applyAlignment="1" applyProtection="1">
      <alignment horizontal="right" vertical="center" shrinkToFit="1" readingOrder="2"/>
      <protection locked="0"/>
    </xf>
    <xf numFmtId="3" fontId="85" fillId="32" borderId="60" xfId="46" applyNumberFormat="1" applyFont="1" applyFill="1" applyBorder="1" applyAlignment="1">
      <alignment horizontal="center" vertical="center" shrinkToFit="1" readingOrder="2"/>
    </xf>
    <xf numFmtId="10" fontId="85" fillId="32" borderId="60" xfId="46" applyNumberFormat="1" applyFont="1" applyFill="1" applyBorder="1" applyAlignment="1">
      <alignment horizontal="center" vertical="center" shrinkToFit="1" readingOrder="2"/>
    </xf>
    <xf numFmtId="3" fontId="82" fillId="0" borderId="0" xfId="46" applyNumberFormat="1" applyFont="1" applyAlignment="1" applyProtection="1">
      <alignment shrinkToFit="1" readingOrder="2"/>
      <protection locked="0"/>
    </xf>
    <xf numFmtId="10" fontId="82" fillId="0" borderId="0" xfId="48" applyNumberFormat="1" applyFont="1" applyAlignment="1" applyProtection="1">
      <alignment shrinkToFit="1" readingOrder="2"/>
      <protection locked="0"/>
    </xf>
    <xf numFmtId="1" fontId="90" fillId="0" borderId="0" xfId="46" applyNumberFormat="1" applyFont="1" applyAlignment="1" applyProtection="1">
      <alignment vertical="center" readingOrder="2"/>
      <protection locked="0"/>
    </xf>
    <xf numFmtId="0" fontId="90" fillId="0" borderId="0" xfId="46" applyFont="1" applyAlignment="1" applyProtection="1">
      <alignment vertical="center" readingOrder="2"/>
      <protection locked="0"/>
    </xf>
    <xf numFmtId="49" fontId="90" fillId="0" borderId="0" xfId="46" applyNumberFormat="1" applyFont="1" applyAlignment="1" applyProtection="1">
      <alignment vertical="center" shrinkToFit="1" readingOrder="2"/>
      <protection locked="0"/>
    </xf>
    <xf numFmtId="49" fontId="91" fillId="0" borderId="0" xfId="46" applyNumberFormat="1" applyFont="1" applyAlignment="1" applyProtection="1">
      <alignment vertical="center" shrinkToFit="1" readingOrder="2"/>
      <protection locked="0"/>
    </xf>
    <xf numFmtId="0" fontId="91" fillId="0" borderId="0" xfId="46" applyFont="1" applyAlignment="1" applyProtection="1">
      <alignment horizontal="right" vertical="center" readingOrder="2"/>
      <protection locked="0"/>
    </xf>
    <xf numFmtId="0" fontId="91" fillId="0" borderId="28" xfId="46" applyFont="1" applyBorder="1" applyAlignment="1" applyProtection="1">
      <alignment horizontal="right" vertical="center" readingOrder="2"/>
      <protection locked="0"/>
    </xf>
    <xf numFmtId="3" fontId="91" fillId="0" borderId="0" xfId="48" applyNumberFormat="1" applyFont="1" applyAlignment="1" applyProtection="1">
      <alignment horizontal="center" vertical="center" shrinkToFit="1" readingOrder="2"/>
      <protection locked="0"/>
    </xf>
    <xf numFmtId="0" fontId="92" fillId="0" borderId="0" xfId="46" applyFont="1" applyAlignment="1" applyProtection="1">
      <alignment readingOrder="2"/>
      <protection locked="0"/>
    </xf>
    <xf numFmtId="170" fontId="92" fillId="0" borderId="0" xfId="46" applyNumberFormat="1" applyFont="1" applyAlignment="1" applyProtection="1">
      <alignment readingOrder="2"/>
      <protection locked="0"/>
    </xf>
    <xf numFmtId="0" fontId="92" fillId="0" borderId="0" xfId="46" applyFont="1" applyAlignment="1" applyProtection="1">
      <alignment shrinkToFit="1" readingOrder="2"/>
      <protection locked="0"/>
    </xf>
    <xf numFmtId="0" fontId="92" fillId="0" borderId="0" xfId="46" applyFont="1" applyAlignment="1" applyProtection="1">
      <alignment horizontal="right" readingOrder="2"/>
      <protection locked="0"/>
    </xf>
    <xf numFmtId="1" fontId="23" fillId="0" borderId="0" xfId="46" applyNumberFormat="1" applyFont="1" applyAlignment="1" applyProtection="1">
      <alignment horizontal="right" vertical="center" readingOrder="2"/>
      <protection locked="0"/>
    </xf>
    <xf numFmtId="0" fontId="23" fillId="0" borderId="0" xfId="46" applyFont="1" applyAlignment="1" applyProtection="1">
      <alignment horizontal="right" vertical="center" readingOrder="2"/>
      <protection locked="0"/>
    </xf>
    <xf numFmtId="1" fontId="23" fillId="0" borderId="0" xfId="46" applyNumberFormat="1" applyFont="1" applyAlignment="1" applyProtection="1">
      <alignment horizontal="center" vertical="center" readingOrder="2"/>
      <protection locked="0"/>
    </xf>
    <xf numFmtId="49" fontId="23" fillId="0" borderId="0" xfId="46" applyNumberFormat="1" applyFont="1" applyAlignment="1" applyProtection="1">
      <alignment horizontal="center" vertical="center" readingOrder="2"/>
      <protection locked="0"/>
    </xf>
    <xf numFmtId="0" fontId="25" fillId="0" borderId="0" xfId="46" applyFont="1" applyAlignment="1" applyProtection="1">
      <alignment horizontal="center" shrinkToFit="1" readingOrder="2"/>
      <protection locked="0"/>
    </xf>
    <xf numFmtId="0" fontId="25" fillId="0" borderId="0" xfId="46" applyFont="1" applyAlignment="1" applyProtection="1">
      <alignment horizontal="right" readingOrder="2"/>
      <protection locked="0"/>
    </xf>
    <xf numFmtId="0" fontId="25" fillId="0" borderId="0" xfId="46" applyFont="1" applyAlignment="1" applyProtection="1">
      <alignment horizontal="center" readingOrder="2"/>
      <protection locked="0"/>
    </xf>
    <xf numFmtId="0" fontId="93" fillId="27" borderId="0" xfId="46" applyFont="1" applyFill="1" applyAlignment="1" applyProtection="1">
      <alignment vertical="center" readingOrder="2"/>
      <protection locked="0"/>
    </xf>
    <xf numFmtId="0" fontId="95" fillId="0" borderId="0" xfId="46" applyFont="1" applyAlignment="1" applyProtection="1">
      <alignment shrinkToFit="1" readingOrder="2"/>
      <protection locked="0"/>
    </xf>
    <xf numFmtId="0" fontId="95" fillId="0" borderId="0" xfId="46" applyFont="1" applyAlignment="1" applyProtection="1">
      <alignment horizontal="right" readingOrder="2"/>
      <protection locked="0"/>
    </xf>
    <xf numFmtId="0" fontId="95" fillId="0" borderId="0" xfId="46" applyFont="1" applyAlignment="1" applyProtection="1">
      <alignment readingOrder="2"/>
      <protection locked="0"/>
    </xf>
    <xf numFmtId="1" fontId="114" fillId="0" borderId="60" xfId="46" applyNumberFormat="1" applyFont="1" applyFill="1" applyBorder="1" applyAlignment="1" applyProtection="1">
      <alignment horizontal="right" vertical="center" shrinkToFit="1" readingOrder="2"/>
      <protection locked="0"/>
    </xf>
    <xf numFmtId="0" fontId="106" fillId="0" borderId="60" xfId="46" applyFont="1" applyFill="1" applyBorder="1" applyAlignment="1" applyProtection="1">
      <alignment horizontal="right" vertical="center" shrinkToFit="1" readingOrder="2"/>
      <protection locked="0"/>
    </xf>
    <xf numFmtId="49" fontId="106" fillId="0" borderId="60" xfId="46" applyNumberFormat="1" applyFont="1" applyFill="1" applyBorder="1" applyAlignment="1" applyProtection="1">
      <alignment vertical="center" shrinkToFit="1" readingOrder="2"/>
      <protection locked="0"/>
    </xf>
    <xf numFmtId="165" fontId="106" fillId="0" borderId="60" xfId="46" applyNumberFormat="1" applyFont="1" applyFill="1" applyBorder="1" applyAlignment="1" applyProtection="1">
      <alignment vertical="center" shrinkToFit="1" readingOrder="2"/>
      <protection locked="0"/>
    </xf>
    <xf numFmtId="3" fontId="106" fillId="0" borderId="60" xfId="48" applyNumberFormat="1" applyFont="1" applyFill="1" applyBorder="1" applyAlignment="1" applyProtection="1">
      <alignment vertical="center" shrinkToFit="1" readingOrder="2"/>
      <protection locked="0"/>
    </xf>
    <xf numFmtId="0" fontId="106" fillId="0" borderId="60" xfId="48" applyNumberFormat="1" applyFont="1" applyFill="1" applyBorder="1" applyAlignment="1" applyProtection="1">
      <alignment vertical="center" shrinkToFit="1" readingOrder="2"/>
      <protection locked="0"/>
    </xf>
    <xf numFmtId="0" fontId="89" fillId="0" borderId="0" xfId="46" applyFont="1" applyFill="1" applyAlignment="1" applyProtection="1">
      <alignment horizontal="center" vertical="center" shrinkToFit="1" readingOrder="2"/>
      <protection locked="0"/>
    </xf>
    <xf numFmtId="0" fontId="89" fillId="0" borderId="0" xfId="46" applyFont="1" applyFill="1" applyAlignment="1" applyProtection="1">
      <alignment horizontal="right" vertical="center" shrinkToFit="1" readingOrder="2"/>
      <protection locked="0"/>
    </xf>
    <xf numFmtId="165" fontId="107" fillId="36" borderId="60" xfId="46" applyNumberFormat="1" applyFont="1" applyFill="1" applyBorder="1" applyAlignment="1" applyProtection="1">
      <alignment horizontal="right" vertical="center" shrinkToFit="1" readingOrder="2"/>
      <protection locked="0"/>
    </xf>
    <xf numFmtId="3" fontId="107" fillId="36" borderId="60" xfId="48" applyNumberFormat="1" applyFont="1" applyFill="1" applyBorder="1" applyAlignment="1" applyProtection="1">
      <alignment horizontal="right" vertical="center" shrinkToFit="1" readingOrder="2"/>
      <protection locked="0"/>
    </xf>
    <xf numFmtId="0" fontId="107" fillId="36" borderId="60" xfId="48" applyNumberFormat="1" applyFont="1" applyFill="1" applyBorder="1" applyAlignment="1" applyProtection="1">
      <alignment horizontal="right" vertical="center" shrinkToFit="1" readingOrder="2"/>
      <protection locked="0"/>
    </xf>
    <xf numFmtId="0" fontId="107" fillId="36" borderId="0" xfId="46" applyFont="1" applyFill="1" applyAlignment="1" applyProtection="1">
      <alignment horizontal="right" vertical="center" shrinkToFit="1" readingOrder="2"/>
      <protection locked="0"/>
    </xf>
    <xf numFmtId="0" fontId="39" fillId="0" borderId="0" xfId="46" applyFont="1" applyAlignment="1" applyProtection="1">
      <alignment horizontal="right" vertical="center" shrinkToFit="1" readingOrder="2"/>
      <protection locked="0"/>
    </xf>
    <xf numFmtId="1" fontId="60" fillId="27" borderId="60" xfId="46" applyNumberFormat="1" applyFont="1" applyFill="1" applyBorder="1" applyAlignment="1">
      <alignment horizontal="right" readingOrder="2"/>
    </xf>
    <xf numFmtId="49" fontId="60" fillId="27" borderId="60" xfId="46" applyNumberFormat="1" applyFont="1" applyFill="1" applyBorder="1" applyAlignment="1">
      <alignment horizontal="right" readingOrder="2"/>
    </xf>
    <xf numFmtId="1" fontId="60" fillId="27" borderId="60" xfId="46" applyNumberFormat="1" applyFont="1" applyFill="1" applyBorder="1" applyAlignment="1">
      <alignment readingOrder="2"/>
    </xf>
    <xf numFmtId="0" fontId="85" fillId="27" borderId="60" xfId="46" applyFont="1" applyFill="1" applyBorder="1" applyAlignment="1" applyProtection="1">
      <alignment horizontal="center" vertical="center" readingOrder="2"/>
      <protection locked="0"/>
    </xf>
    <xf numFmtId="49" fontId="60" fillId="31" borderId="60" xfId="46" applyNumberFormat="1" applyFont="1" applyFill="1" applyBorder="1" applyAlignment="1">
      <alignment horizontal="right" readingOrder="2"/>
    </xf>
    <xf numFmtId="49" fontId="85" fillId="31" borderId="60" xfId="46" applyNumberFormat="1" applyFont="1" applyFill="1" applyBorder="1" applyAlignment="1" applyProtection="1">
      <alignment horizontal="center" vertical="center" readingOrder="2"/>
      <protection locked="0"/>
    </xf>
    <xf numFmtId="49" fontId="85" fillId="32" borderId="60" xfId="46" applyNumberFormat="1" applyFont="1" applyFill="1" applyBorder="1" applyAlignment="1" applyProtection="1">
      <alignment horizontal="center" vertical="center" readingOrder="2"/>
      <protection locked="0"/>
    </xf>
    <xf numFmtId="165" fontId="85" fillId="32" borderId="60" xfId="46" applyNumberFormat="1" applyFont="1" applyFill="1" applyBorder="1" applyAlignment="1" applyProtection="1">
      <alignment horizontal="center" vertical="center" readingOrder="2"/>
      <protection locked="0"/>
    </xf>
    <xf numFmtId="0" fontId="85" fillId="33" borderId="60" xfId="46" applyFont="1" applyFill="1" applyBorder="1" applyAlignment="1" applyProtection="1">
      <alignment horizontal="right" vertical="center" readingOrder="2"/>
      <protection locked="0"/>
    </xf>
    <xf numFmtId="0" fontId="60" fillId="26" borderId="60" xfId="46" applyFont="1" applyFill="1" applyBorder="1" applyAlignment="1">
      <alignment readingOrder="2"/>
    </xf>
    <xf numFmtId="14" fontId="85" fillId="26" borderId="60" xfId="46" applyNumberFormat="1" applyFont="1" applyFill="1" applyBorder="1" applyAlignment="1" applyProtection="1">
      <alignment horizontal="center" vertical="center" readingOrder="2"/>
      <protection locked="0"/>
    </xf>
    <xf numFmtId="0" fontId="82" fillId="26" borderId="60" xfId="46" applyFont="1" applyFill="1" applyBorder="1" applyAlignment="1" applyProtection="1">
      <alignment horizontal="center" vertical="center" readingOrder="2"/>
      <protection locked="0"/>
    </xf>
    <xf numFmtId="49" fontId="87" fillId="26" borderId="60" xfId="47" applyNumberFormat="1" applyFont="1" applyFill="1" applyBorder="1" applyAlignment="1">
      <alignment horizontal="right" readingOrder="2"/>
    </xf>
    <xf numFmtId="0" fontId="85" fillId="26" borderId="60" xfId="48" applyNumberFormat="1" applyFont="1" applyFill="1" applyBorder="1" applyAlignment="1" applyProtection="1">
      <alignment horizontal="center" vertical="center" readingOrder="2"/>
    </xf>
    <xf numFmtId="170" fontId="82" fillId="26" borderId="60" xfId="46" applyNumberFormat="1" applyFont="1" applyFill="1" applyBorder="1" applyAlignment="1" applyProtection="1">
      <alignment horizontal="center" vertical="center" readingOrder="2"/>
      <protection locked="0"/>
    </xf>
    <xf numFmtId="0" fontId="82" fillId="37" borderId="0" xfId="46" applyFont="1" applyFill="1" applyAlignment="1" applyProtection="1">
      <alignment horizontal="center" vertical="center" shrinkToFit="1" readingOrder="2"/>
      <protection locked="0"/>
    </xf>
    <xf numFmtId="0" fontId="82" fillId="37" borderId="0" xfId="46" applyFont="1" applyFill="1" applyAlignment="1" applyProtection="1">
      <alignment horizontal="right" vertical="center" readingOrder="2"/>
      <protection locked="0"/>
    </xf>
    <xf numFmtId="1" fontId="82" fillId="37" borderId="0" xfId="46" applyNumberFormat="1" applyFont="1" applyFill="1" applyAlignment="1" applyProtection="1">
      <alignment horizontal="right" vertical="center" readingOrder="2"/>
      <protection locked="0"/>
    </xf>
    <xf numFmtId="0" fontId="82" fillId="0" borderId="0" xfId="46" applyFont="1" applyAlignment="1" applyProtection="1">
      <alignment horizontal="center" vertical="center" readingOrder="2"/>
      <protection locked="0"/>
    </xf>
    <xf numFmtId="49" fontId="85" fillId="27" borderId="60" xfId="46" applyNumberFormat="1" applyFont="1" applyFill="1" applyBorder="1" applyAlignment="1" applyProtection="1">
      <alignment horizontal="right" vertical="center" readingOrder="2"/>
      <protection locked="0"/>
    </xf>
    <xf numFmtId="0" fontId="82" fillId="28" borderId="0" xfId="46" applyFont="1" applyFill="1" applyAlignment="1" applyProtection="1">
      <alignment horizontal="center" vertical="center" readingOrder="2"/>
      <protection locked="0"/>
    </xf>
    <xf numFmtId="1" fontId="85" fillId="27" borderId="60" xfId="46" applyNumberFormat="1" applyFont="1" applyFill="1" applyBorder="1" applyAlignment="1" applyProtection="1">
      <alignment horizontal="right" vertical="center" readingOrder="2"/>
      <protection locked="0"/>
    </xf>
    <xf numFmtId="170" fontId="85" fillId="26" borderId="60" xfId="46" applyNumberFormat="1" applyFont="1" applyFill="1" applyBorder="1" applyAlignment="1" applyProtection="1">
      <alignment horizontal="center" vertical="center" readingOrder="2"/>
      <protection locked="0"/>
    </xf>
    <xf numFmtId="1" fontId="88" fillId="27" borderId="60" xfId="44" applyNumberFormat="1" applyFont="1" applyFill="1" applyBorder="1" applyAlignment="1">
      <alignment horizontal="right" vertical="center" readingOrder="2"/>
    </xf>
    <xf numFmtId="1" fontId="85" fillId="27" borderId="60" xfId="46" applyNumberFormat="1" applyFont="1" applyFill="1" applyBorder="1" applyAlignment="1" applyProtection="1">
      <alignment horizontal="center" vertical="center" readingOrder="2"/>
      <protection locked="0"/>
    </xf>
    <xf numFmtId="49" fontId="81" fillId="31" borderId="60" xfId="46" applyNumberFormat="1" applyFont="1" applyFill="1" applyBorder="1" applyAlignment="1" applyProtection="1">
      <alignment horizontal="right" vertical="center" readingOrder="2"/>
      <protection locked="0"/>
    </xf>
    <xf numFmtId="49" fontId="85" fillId="34" borderId="60" xfId="46" applyNumberFormat="1" applyFont="1" applyFill="1" applyBorder="1" applyAlignment="1" applyProtection="1">
      <alignment horizontal="center" vertical="center" shrinkToFit="1" readingOrder="2"/>
      <protection locked="0"/>
    </xf>
    <xf numFmtId="172" fontId="85" fillId="35" borderId="60" xfId="46" applyNumberFormat="1" applyFont="1" applyFill="1" applyBorder="1" applyAlignment="1" applyProtection="1">
      <alignment horizontal="center" vertical="center" readingOrder="2"/>
      <protection locked="0"/>
    </xf>
    <xf numFmtId="49" fontId="85" fillId="35" borderId="60" xfId="46" applyNumberFormat="1" applyFont="1" applyFill="1" applyBorder="1" applyAlignment="1" applyProtection="1">
      <alignment horizontal="center" vertical="center" shrinkToFit="1" readingOrder="2"/>
      <protection locked="0"/>
    </xf>
    <xf numFmtId="0" fontId="84" fillId="35" borderId="60" xfId="46" applyFont="1" applyFill="1" applyBorder="1" applyAlignment="1" applyProtection="1">
      <alignment horizontal="center" vertical="center" readingOrder="2"/>
      <protection locked="0"/>
    </xf>
    <xf numFmtId="0" fontId="85" fillId="26" borderId="60" xfId="46"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horizontal="right" vertical="center" readingOrder="2"/>
      <protection locked="0"/>
    </xf>
    <xf numFmtId="49" fontId="82" fillId="31" borderId="60" xfId="46" applyNumberFormat="1" applyFont="1" applyFill="1" applyBorder="1" applyAlignment="1" applyProtection="1">
      <alignment horizontal="right" vertical="center" readingOrder="2"/>
      <protection locked="0"/>
    </xf>
    <xf numFmtId="0" fontId="82" fillId="33" borderId="60" xfId="46" applyFont="1" applyFill="1" applyBorder="1" applyAlignment="1" applyProtection="1">
      <alignment horizontal="center" vertical="center" readingOrder="2"/>
      <protection locked="0"/>
    </xf>
    <xf numFmtId="0" fontId="82" fillId="34" borderId="60" xfId="46" applyFont="1" applyFill="1" applyBorder="1" applyAlignment="1" applyProtection="1">
      <alignment horizontal="center" vertical="center" readingOrder="2"/>
      <protection locked="0"/>
    </xf>
    <xf numFmtId="170" fontId="82" fillId="26" borderId="60" xfId="46" applyNumberFormat="1" applyFont="1" applyFill="1" applyBorder="1" applyAlignment="1" applyProtection="1">
      <alignment readingOrder="2"/>
      <protection locked="0"/>
    </xf>
    <xf numFmtId="0" fontId="82" fillId="37" borderId="0" xfId="46" applyFont="1" applyFill="1" applyAlignment="1" applyProtection="1">
      <alignment horizontal="right" readingOrder="2"/>
      <protection locked="0"/>
    </xf>
    <xf numFmtId="0" fontId="82" fillId="26" borderId="60" xfId="46" applyFont="1" applyFill="1" applyBorder="1" applyAlignment="1" applyProtection="1">
      <alignment readingOrder="2"/>
      <protection locked="0"/>
    </xf>
    <xf numFmtId="49" fontId="82" fillId="27" borderId="60" xfId="46" applyNumberFormat="1" applyFont="1" applyFill="1" applyBorder="1" applyAlignment="1" applyProtection="1">
      <alignment horizontal="right" readingOrder="2"/>
      <protection locked="0"/>
    </xf>
    <xf numFmtId="49" fontId="82" fillId="27" borderId="60" xfId="46" applyNumberFormat="1" applyFont="1" applyFill="1" applyBorder="1" applyAlignment="1" applyProtection="1">
      <alignment horizontal="center" readingOrder="2"/>
      <protection locked="0"/>
    </xf>
    <xf numFmtId="49" fontId="82" fillId="27" borderId="60" xfId="46" applyNumberFormat="1" applyFont="1" applyFill="1" applyBorder="1" applyAlignment="1" applyProtection="1">
      <alignment readingOrder="2"/>
      <protection locked="0"/>
    </xf>
    <xf numFmtId="49" fontId="82" fillId="27" borderId="60" xfId="46" applyNumberFormat="1" applyFont="1" applyFill="1" applyBorder="1" applyAlignment="1" applyProtection="1">
      <alignment shrinkToFit="1" readingOrder="2"/>
      <protection locked="0"/>
    </xf>
    <xf numFmtId="49" fontId="82" fillId="31" borderId="60" xfId="46" applyNumberFormat="1" applyFont="1" applyFill="1" applyBorder="1" applyAlignment="1" applyProtection="1">
      <alignment horizontal="right" readingOrder="2"/>
      <protection locked="0"/>
    </xf>
    <xf numFmtId="49" fontId="82" fillId="31" borderId="60" xfId="46" applyNumberFormat="1" applyFont="1" applyFill="1" applyBorder="1" applyAlignment="1" applyProtection="1">
      <alignment readingOrder="2"/>
      <protection locked="0"/>
    </xf>
    <xf numFmtId="0" fontId="82" fillId="33" borderId="60" xfId="46" applyFont="1" applyFill="1" applyBorder="1" applyAlignment="1" applyProtection="1">
      <alignment readingOrder="2"/>
      <protection locked="0"/>
    </xf>
    <xf numFmtId="0" fontId="82" fillId="34" borderId="60" xfId="46" applyFont="1" applyFill="1" applyBorder="1" applyAlignment="1" applyProtection="1">
      <alignment readingOrder="2"/>
      <protection locked="0"/>
    </xf>
    <xf numFmtId="49" fontId="85" fillId="27" borderId="60" xfId="46" applyNumberFormat="1" applyFont="1" applyFill="1" applyBorder="1" applyAlignment="1" applyProtection="1">
      <alignment horizontal="right" readingOrder="2"/>
      <protection locked="0"/>
    </xf>
    <xf numFmtId="49" fontId="85" fillId="27" borderId="60" xfId="46" applyNumberFormat="1" applyFont="1" applyFill="1" applyBorder="1" applyAlignment="1" applyProtection="1">
      <alignment horizontal="center" readingOrder="2"/>
      <protection locked="0"/>
    </xf>
    <xf numFmtId="49" fontId="85" fillId="27" borderId="60" xfId="46" applyNumberFormat="1" applyFont="1" applyFill="1" applyBorder="1" applyAlignment="1" applyProtection="1">
      <alignment readingOrder="2"/>
      <protection locked="0"/>
    </xf>
    <xf numFmtId="49" fontId="85" fillId="27" borderId="60" xfId="46" applyNumberFormat="1" applyFont="1" applyFill="1" applyBorder="1" applyAlignment="1" applyProtection="1">
      <alignment shrinkToFit="1" readingOrder="2"/>
      <protection locked="0"/>
    </xf>
    <xf numFmtId="49" fontId="85" fillId="31" borderId="60" xfId="46" applyNumberFormat="1" applyFont="1" applyFill="1" applyBorder="1" applyAlignment="1" applyProtection="1">
      <alignment horizontal="right" readingOrder="2"/>
      <protection locked="0"/>
    </xf>
    <xf numFmtId="49" fontId="85" fillId="31" borderId="60" xfId="46" applyNumberFormat="1" applyFont="1" applyFill="1" applyBorder="1" applyAlignment="1" applyProtection="1">
      <alignment readingOrder="2"/>
      <protection locked="0"/>
    </xf>
    <xf numFmtId="0" fontId="85" fillId="33" borderId="60" xfId="46" applyFont="1" applyFill="1" applyBorder="1" applyAlignment="1" applyProtection="1">
      <alignment readingOrder="2"/>
      <protection locked="0"/>
    </xf>
    <xf numFmtId="0" fontId="85" fillId="34" borderId="60" xfId="46" applyFont="1" applyFill="1" applyBorder="1" applyAlignment="1" applyProtection="1">
      <alignment readingOrder="2"/>
      <protection locked="0"/>
    </xf>
    <xf numFmtId="0" fontId="85" fillId="26" borderId="60" xfId="46" applyFont="1" applyFill="1" applyBorder="1" applyAlignment="1" applyProtection="1">
      <alignment readingOrder="2"/>
      <protection locked="0"/>
    </xf>
    <xf numFmtId="170" fontId="85" fillId="26" borderId="60" xfId="46" applyNumberFormat="1" applyFont="1" applyFill="1" applyBorder="1" applyAlignment="1" applyProtection="1">
      <alignment readingOrder="2"/>
      <protection locked="0"/>
    </xf>
    <xf numFmtId="0" fontId="85" fillId="37" borderId="0" xfId="46" applyFont="1" applyFill="1" applyAlignment="1" applyProtection="1">
      <alignment horizontal="right" readingOrder="2"/>
      <protection locked="0"/>
    </xf>
    <xf numFmtId="0" fontId="85" fillId="0" borderId="0" xfId="46" applyFont="1" applyAlignment="1" applyProtection="1">
      <alignment readingOrder="2"/>
      <protection locked="0"/>
    </xf>
    <xf numFmtId="1" fontId="85" fillId="27" borderId="60" xfId="46" applyNumberFormat="1" applyFont="1" applyFill="1" applyBorder="1" applyAlignment="1" applyProtection="1">
      <alignment horizontal="right" readingOrder="2"/>
      <protection locked="0"/>
    </xf>
    <xf numFmtId="1" fontId="83" fillId="27" borderId="60" xfId="46" applyNumberFormat="1" applyFont="1" applyFill="1" applyBorder="1" applyAlignment="1" applyProtection="1">
      <alignment horizontal="right" vertical="center" readingOrder="2"/>
      <protection locked="0"/>
    </xf>
    <xf numFmtId="49" fontId="83" fillId="27" borderId="60" xfId="46" applyNumberFormat="1" applyFont="1" applyFill="1" applyBorder="1" applyAlignment="1" applyProtection="1">
      <alignment horizontal="right" vertical="center" readingOrder="2"/>
      <protection locked="0"/>
    </xf>
    <xf numFmtId="49" fontId="83" fillId="27" borderId="60" xfId="46" applyNumberFormat="1" applyFont="1" applyFill="1" applyBorder="1" applyAlignment="1" applyProtection="1">
      <alignment horizontal="center" vertical="center" readingOrder="2"/>
      <protection locked="0"/>
    </xf>
    <xf numFmtId="1" fontId="82" fillId="27" borderId="60" xfId="46" applyNumberFormat="1" applyFont="1" applyFill="1" applyBorder="1" applyAlignment="1" applyProtection="1">
      <alignment horizontal="center" vertical="center" readingOrder="2"/>
      <protection locked="0"/>
    </xf>
    <xf numFmtId="49" fontId="83" fillId="27" borderId="60" xfId="46" applyNumberFormat="1" applyFont="1" applyFill="1" applyBorder="1" applyAlignment="1" applyProtection="1">
      <alignment vertical="center" readingOrder="2"/>
      <protection locked="0"/>
    </xf>
    <xf numFmtId="49" fontId="83" fillId="27" borderId="60" xfId="46" applyNumberFormat="1" applyFont="1" applyFill="1" applyBorder="1" applyAlignment="1" applyProtection="1">
      <alignment vertical="center" shrinkToFit="1" readingOrder="2"/>
      <protection locked="0"/>
    </xf>
    <xf numFmtId="49" fontId="83" fillId="34" borderId="60" xfId="46" applyNumberFormat="1" applyFont="1" applyFill="1" applyBorder="1" applyAlignment="1" applyProtection="1">
      <alignment horizontal="center" vertical="center" shrinkToFit="1" readingOrder="2"/>
      <protection locked="0"/>
    </xf>
    <xf numFmtId="172" fontId="83" fillId="35" borderId="60" xfId="46" applyNumberFormat="1" applyFont="1" applyFill="1" applyBorder="1" applyAlignment="1" applyProtection="1">
      <alignment horizontal="center" vertical="center" readingOrder="2"/>
      <protection locked="0"/>
    </xf>
    <xf numFmtId="49" fontId="83" fillId="35" borderId="60" xfId="46" applyNumberFormat="1" applyFont="1" applyFill="1" applyBorder="1" applyAlignment="1" applyProtection="1">
      <alignment horizontal="center" vertical="center" shrinkToFit="1" readingOrder="2"/>
      <protection locked="0"/>
    </xf>
    <xf numFmtId="0" fontId="85" fillId="37" borderId="0" xfId="46" applyFont="1" applyFill="1" applyAlignment="1" applyProtection="1">
      <alignment horizontal="right" vertical="center" readingOrder="2"/>
      <protection locked="0"/>
    </xf>
    <xf numFmtId="0" fontId="85" fillId="0" borderId="0" xfId="46" applyFont="1" applyAlignment="1" applyProtection="1">
      <alignment horizontal="center" vertical="center" readingOrder="2"/>
      <protection locked="0"/>
    </xf>
    <xf numFmtId="1" fontId="82" fillId="0" borderId="0" xfId="46" applyNumberFormat="1" applyFont="1" applyAlignment="1" applyProtection="1">
      <alignment horizontal="right" readingOrder="2"/>
      <protection locked="0"/>
    </xf>
    <xf numFmtId="0" fontId="82" fillId="0" borderId="0" xfId="46" applyFont="1" applyAlignment="1" applyProtection="1">
      <alignment horizontal="right" readingOrder="2"/>
      <protection locked="0"/>
    </xf>
    <xf numFmtId="0" fontId="82" fillId="0" borderId="0" xfId="46" applyFont="1" applyAlignment="1" applyProtection="1">
      <alignment horizontal="center" readingOrder="2"/>
      <protection locked="0"/>
    </xf>
    <xf numFmtId="165" fontId="82" fillId="0" borderId="0" xfId="46" applyNumberFormat="1" applyFont="1" applyAlignment="1" applyProtection="1">
      <alignment readingOrder="2"/>
      <protection locked="0"/>
    </xf>
    <xf numFmtId="3" fontId="82" fillId="0" borderId="0" xfId="48" applyNumberFormat="1" applyFont="1" applyAlignment="1" applyProtection="1">
      <alignment shrinkToFit="1" readingOrder="2"/>
      <protection locked="0"/>
    </xf>
    <xf numFmtId="170" fontId="82" fillId="0" borderId="0" xfId="46" applyNumberFormat="1" applyFont="1" applyAlignment="1" applyProtection="1">
      <alignment readingOrder="2"/>
      <protection locked="0"/>
    </xf>
    <xf numFmtId="0" fontId="82" fillId="0" borderId="0" xfId="46" applyFont="1" applyAlignment="1" applyProtection="1">
      <alignment shrinkToFit="1" readingOrder="2"/>
      <protection locked="0"/>
    </xf>
    <xf numFmtId="0" fontId="40" fillId="0" borderId="0" xfId="0" applyFont="1" applyAlignment="1">
      <alignment vertical="center" wrapText="1" readingOrder="2"/>
    </xf>
    <xf numFmtId="0" fontId="40" fillId="0" borderId="10" xfId="0" applyFont="1" applyBorder="1" applyAlignment="1">
      <alignment vertical="center" wrapText="1" readingOrder="2"/>
    </xf>
    <xf numFmtId="0" fontId="40" fillId="0" borderId="11" xfId="0" applyFont="1" applyBorder="1" applyAlignment="1">
      <alignment vertical="center" wrapText="1" readingOrder="2"/>
    </xf>
    <xf numFmtId="0" fontId="40" fillId="0" borderId="12" xfId="0" applyFont="1" applyBorder="1" applyAlignment="1">
      <alignment vertical="center" wrapText="1" readingOrder="2"/>
    </xf>
    <xf numFmtId="0" fontId="40" fillId="0" borderId="13" xfId="0" applyFont="1" applyBorder="1" applyAlignment="1">
      <alignment vertical="center" wrapText="1" readingOrder="2"/>
    </xf>
    <xf numFmtId="0" fontId="40" fillId="0" borderId="14" xfId="0" applyFont="1" applyBorder="1" applyAlignment="1">
      <alignment vertical="center" wrapText="1" readingOrder="2"/>
    </xf>
    <xf numFmtId="171" fontId="40" fillId="0" borderId="0" xfId="0" applyNumberFormat="1" applyFont="1" applyAlignment="1">
      <alignment vertical="center" wrapText="1" readingOrder="2"/>
    </xf>
    <xf numFmtId="0" fontId="40" fillId="0" borderId="0" xfId="0" applyFont="1" applyAlignment="1">
      <alignment horizontal="left" vertical="center" wrapText="1" readingOrder="2"/>
    </xf>
    <xf numFmtId="171" fontId="60" fillId="0" borderId="0" xfId="0" applyNumberFormat="1" applyFont="1" applyAlignment="1">
      <alignment horizontal="center" vertical="center" wrapText="1" readingOrder="2"/>
    </xf>
    <xf numFmtId="0" fontId="40" fillId="0" borderId="0" xfId="0" applyFont="1" applyAlignment="1">
      <alignment horizontal="right" vertical="top" wrapText="1" readingOrder="2"/>
    </xf>
    <xf numFmtId="1" fontId="54" fillId="0" borderId="0" xfId="0" applyNumberFormat="1" applyFont="1" applyAlignment="1">
      <alignment horizontal="left" vertical="center" shrinkToFit="1" readingOrder="2"/>
    </xf>
    <xf numFmtId="0" fontId="40" fillId="0" borderId="54" xfId="0" applyFont="1" applyBorder="1" applyAlignment="1">
      <alignment vertical="center" wrapText="1" readingOrder="2"/>
    </xf>
    <xf numFmtId="0" fontId="40" fillId="0" borderId="55" xfId="0" applyFont="1" applyBorder="1" applyAlignment="1">
      <alignment vertical="center" wrapText="1" readingOrder="2"/>
    </xf>
    <xf numFmtId="0" fontId="54" fillId="0" borderId="55" xfId="0" applyFont="1" applyBorder="1" applyAlignment="1">
      <alignment horizontal="center" vertical="center" wrapText="1" readingOrder="2"/>
    </xf>
    <xf numFmtId="0" fontId="40" fillId="0" borderId="55" xfId="0" applyFont="1" applyBorder="1" applyAlignment="1">
      <alignment horizontal="center" vertical="center" wrapText="1" readingOrder="2"/>
    </xf>
    <xf numFmtId="0" fontId="40" fillId="0" borderId="56" xfId="0" applyFont="1" applyBorder="1" applyAlignment="1">
      <alignment vertical="center" wrapText="1" readingOrder="2"/>
    </xf>
    <xf numFmtId="0" fontId="54" fillId="0" borderId="11" xfId="0" applyFont="1" applyBorder="1" applyAlignment="1">
      <alignment horizontal="center" vertical="center" wrapText="1" readingOrder="2"/>
    </xf>
    <xf numFmtId="0" fontId="40" fillId="0" borderId="11" xfId="0" applyFont="1" applyBorder="1" applyAlignment="1">
      <alignment horizontal="center" vertical="center" wrapText="1" readingOrder="2"/>
    </xf>
    <xf numFmtId="0" fontId="40" fillId="0" borderId="0" xfId="0" applyFont="1" applyAlignment="1">
      <alignment horizontal="left" wrapText="1" readingOrder="2"/>
    </xf>
    <xf numFmtId="0" fontId="40" fillId="0" borderId="0" xfId="0" applyFont="1" applyAlignment="1">
      <alignment wrapText="1" readingOrder="2"/>
    </xf>
    <xf numFmtId="0" fontId="42" fillId="0" borderId="0" xfId="47" applyAlignment="1">
      <alignment readingOrder="2"/>
    </xf>
    <xf numFmtId="0" fontId="42" fillId="0" borderId="0" xfId="47" applyNumberFormat="1" applyAlignment="1">
      <alignment readingOrder="2"/>
    </xf>
    <xf numFmtId="0" fontId="42" fillId="0" borderId="78" xfId="47" applyNumberFormat="1" applyBorder="1" applyAlignment="1">
      <alignment readingOrder="2"/>
    </xf>
    <xf numFmtId="0" fontId="42" fillId="0" borderId="81" xfId="47" applyNumberFormat="1" applyBorder="1" applyAlignment="1">
      <alignment readingOrder="2"/>
    </xf>
    <xf numFmtId="0" fontId="42" fillId="0" borderId="76" xfId="47" applyNumberFormat="1" applyBorder="1" applyAlignment="1">
      <alignment readingOrder="2"/>
    </xf>
    <xf numFmtId="0" fontId="110" fillId="0" borderId="76" xfId="47" applyNumberFormat="1" applyFont="1" applyBorder="1" applyAlignment="1">
      <alignment readingOrder="2"/>
    </xf>
    <xf numFmtId="0" fontId="42" fillId="33" borderId="81" xfId="47" applyNumberFormat="1" applyFill="1" applyBorder="1" applyAlignment="1">
      <alignment readingOrder="2"/>
    </xf>
    <xf numFmtId="0" fontId="42" fillId="0" borderId="0" xfId="47" applyNumberFormat="1" applyAlignment="1">
      <alignment horizontal="right" indent="1" readingOrder="2"/>
    </xf>
    <xf numFmtId="0" fontId="42" fillId="0" borderId="77" xfId="47" applyNumberFormat="1" applyBorder="1" applyAlignment="1">
      <alignment horizontal="right" indent="1" readingOrder="2"/>
    </xf>
    <xf numFmtId="0" fontId="42" fillId="0" borderId="29" xfId="47" applyNumberFormat="1" applyBorder="1" applyAlignment="1">
      <alignment horizontal="right" indent="1" readingOrder="2"/>
    </xf>
    <xf numFmtId="0" fontId="42" fillId="0" borderId="79" xfId="47" applyNumberFormat="1" applyBorder="1" applyAlignment="1">
      <alignment horizontal="right" indent="1" readingOrder="2"/>
    </xf>
    <xf numFmtId="0" fontId="42" fillId="0" borderId="80" xfId="47" applyNumberFormat="1" applyBorder="1" applyAlignment="1">
      <alignment horizontal="right" indent="1" readingOrder="2"/>
    </xf>
    <xf numFmtId="0" fontId="42" fillId="0" borderId="74" xfId="47" applyNumberFormat="1" applyBorder="1" applyAlignment="1">
      <alignment horizontal="right" indent="1" readingOrder="2"/>
    </xf>
    <xf numFmtId="0" fontId="42" fillId="0" borderId="75" xfId="47" applyNumberFormat="1" applyBorder="1" applyAlignment="1">
      <alignment horizontal="right" indent="1" readingOrder="2"/>
    </xf>
    <xf numFmtId="0" fontId="110" fillId="0" borderId="74" xfId="47" applyNumberFormat="1" applyFont="1" applyBorder="1" applyAlignment="1">
      <alignment horizontal="right" indent="1" readingOrder="2"/>
    </xf>
    <xf numFmtId="0" fontId="110" fillId="0" borderId="75" xfId="47" applyNumberFormat="1" applyFont="1" applyBorder="1" applyAlignment="1">
      <alignment horizontal="right" indent="1" readingOrder="2"/>
    </xf>
    <xf numFmtId="0" fontId="42" fillId="33" borderId="79" xfId="47" applyNumberFormat="1" applyFill="1" applyBorder="1" applyAlignment="1">
      <alignment horizontal="right" indent="1" readingOrder="2"/>
    </xf>
    <xf numFmtId="0" fontId="42" fillId="33" borderId="80" xfId="47" applyNumberFormat="1" applyFill="1" applyBorder="1" applyAlignment="1">
      <alignment horizontal="right" indent="1" readingOrder="2"/>
    </xf>
    <xf numFmtId="0" fontId="42" fillId="0" borderId="82" xfId="47" applyNumberFormat="1" applyBorder="1" applyAlignment="1">
      <alignment horizontal="right" indent="1" readingOrder="2"/>
    </xf>
    <xf numFmtId="0" fontId="42" fillId="0" borderId="83" xfId="47" applyNumberFormat="1" applyBorder="1" applyAlignment="1">
      <alignment horizontal="right" indent="1" readingOrder="2"/>
    </xf>
    <xf numFmtId="0" fontId="42" fillId="0" borderId="77" xfId="47" applyNumberFormat="1" applyFill="1" applyBorder="1" applyAlignment="1">
      <alignment horizontal="right" indent="1" readingOrder="2"/>
    </xf>
    <xf numFmtId="0" fontId="42" fillId="0" borderId="29" xfId="47" applyNumberFormat="1" applyFill="1" applyBorder="1" applyAlignment="1">
      <alignment horizontal="right" indent="1" readingOrder="2"/>
    </xf>
    <xf numFmtId="10" fontId="27" fillId="0" borderId="0" xfId="0" applyNumberFormat="1" applyFont="1" applyAlignment="1">
      <alignment horizontal="center" vertical="center" readingOrder="2"/>
    </xf>
    <xf numFmtId="0" fontId="128" fillId="0" borderId="0" xfId="0" applyFont="1" applyAlignment="1">
      <alignment horizontal="center" vertical="center"/>
    </xf>
    <xf numFmtId="0" fontId="1" fillId="31" borderId="60" xfId="0" quotePrefix="1" applyNumberFormat="1" applyFont="1" applyFill="1" applyBorder="1" applyAlignment="1">
      <alignment horizontal="center" vertical="center"/>
    </xf>
    <xf numFmtId="9" fontId="0" fillId="31" borderId="60" xfId="0" applyNumberFormat="1" applyFill="1" applyBorder="1" applyAlignment="1">
      <alignment horizontal="center" vertical="center"/>
    </xf>
    <xf numFmtId="10" fontId="0" fillId="31" borderId="60" xfId="0" applyNumberFormat="1" applyFill="1" applyBorder="1" applyAlignment="1">
      <alignment horizontal="center" vertical="center"/>
    </xf>
    <xf numFmtId="0" fontId="41" fillId="38" borderId="69" xfId="0" applyFont="1" applyFill="1" applyBorder="1" applyAlignment="1">
      <alignment horizontal="center" vertical="center"/>
    </xf>
    <xf numFmtId="0" fontId="0" fillId="38" borderId="60" xfId="0" applyFill="1" applyBorder="1" applyAlignment="1">
      <alignment horizontal="center" vertical="center"/>
    </xf>
    <xf numFmtId="0" fontId="1" fillId="38" borderId="60" xfId="0" applyFont="1" applyFill="1" applyBorder="1" applyAlignment="1">
      <alignment horizontal="center" vertical="center"/>
    </xf>
    <xf numFmtId="0" fontId="41" fillId="38" borderId="60" xfId="0" applyFont="1" applyFill="1" applyBorder="1" applyAlignment="1">
      <alignment horizontal="center" vertical="center"/>
    </xf>
    <xf numFmtId="10" fontId="1" fillId="31" borderId="60" xfId="0" applyNumberFormat="1" applyFont="1" applyFill="1" applyBorder="1" applyAlignment="1">
      <alignment horizontal="center" vertical="center"/>
    </xf>
    <xf numFmtId="0" fontId="1" fillId="0" borderId="0" xfId="0" quotePrefix="1" applyNumberFormat="1" applyFont="1" applyAlignment="1">
      <alignment horizontal="center" vertical="center"/>
    </xf>
    <xf numFmtId="49" fontId="0" fillId="0" borderId="0" xfId="0" applyNumberFormat="1" applyAlignment="1">
      <alignment horizontal="center" vertical="center"/>
    </xf>
    <xf numFmtId="0" fontId="129" fillId="31" borderId="60" xfId="0" quotePrefix="1" applyNumberFormat="1" applyFont="1" applyFill="1" applyBorder="1" applyAlignment="1">
      <alignment horizontal="center" vertical="center"/>
    </xf>
    <xf numFmtId="9" fontId="129" fillId="31" borderId="60" xfId="0" applyNumberFormat="1" applyFont="1" applyFill="1" applyBorder="1" applyAlignment="1">
      <alignment horizontal="center" vertical="center"/>
    </xf>
    <xf numFmtId="10" fontId="129" fillId="31" borderId="60" xfId="0" applyNumberFormat="1" applyFont="1" applyFill="1" applyBorder="1" applyAlignment="1">
      <alignment horizontal="center" vertical="center"/>
    </xf>
    <xf numFmtId="0" fontId="129" fillId="31" borderId="67" xfId="0" applyFont="1" applyFill="1" applyBorder="1" applyAlignment="1">
      <alignment horizontal="center" vertical="center"/>
    </xf>
    <xf numFmtId="0" fontId="0" fillId="31" borderId="67" xfId="0" applyFill="1" applyBorder="1" applyAlignment="1">
      <alignment horizontal="center" vertical="center"/>
    </xf>
    <xf numFmtId="0" fontId="1" fillId="38" borderId="69" xfId="0" applyFont="1" applyFill="1" applyBorder="1" applyAlignment="1">
      <alignment horizontal="center" vertical="center"/>
    </xf>
    <xf numFmtId="0" fontId="0" fillId="38" borderId="69" xfId="0" applyFill="1" applyBorder="1" applyAlignment="1">
      <alignment horizontal="center" vertical="center"/>
    </xf>
    <xf numFmtId="0" fontId="128" fillId="31" borderId="52" xfId="0" applyFont="1" applyFill="1" applyBorder="1" applyAlignment="1">
      <alignment horizontal="center" vertical="center"/>
    </xf>
    <xf numFmtId="0" fontId="128" fillId="31" borderId="65" xfId="0" applyFont="1" applyFill="1" applyBorder="1" applyAlignment="1">
      <alignment horizontal="center" vertical="center"/>
    </xf>
    <xf numFmtId="0" fontId="128" fillId="38" borderId="53" xfId="0" applyFont="1" applyFill="1" applyBorder="1" applyAlignment="1">
      <alignment horizontal="center" vertical="center"/>
    </xf>
    <xf numFmtId="0" fontId="128" fillId="38" borderId="65" xfId="0" applyFont="1" applyFill="1" applyBorder="1" applyAlignment="1">
      <alignment horizontal="center" vertical="center"/>
    </xf>
    <xf numFmtId="0" fontId="0" fillId="31" borderId="61" xfId="0" applyFill="1" applyBorder="1" applyAlignment="1">
      <alignment horizontal="center" vertical="center"/>
    </xf>
    <xf numFmtId="0" fontId="0" fillId="31" borderId="64" xfId="0" applyFill="1" applyBorder="1" applyAlignment="1">
      <alignment horizontal="center" vertical="center"/>
    </xf>
    <xf numFmtId="9" fontId="0" fillId="31" borderId="64" xfId="0" applyNumberFormat="1" applyFill="1" applyBorder="1" applyAlignment="1">
      <alignment horizontal="center" vertical="center"/>
    </xf>
    <xf numFmtId="10" fontId="1" fillId="31" borderId="64" xfId="0" applyNumberFormat="1" applyFont="1" applyFill="1" applyBorder="1" applyAlignment="1">
      <alignment horizontal="center" vertical="center"/>
    </xf>
    <xf numFmtId="10" fontId="0" fillId="31" borderId="64" xfId="0" applyNumberFormat="1" applyFill="1" applyBorder="1" applyAlignment="1">
      <alignment horizontal="center" vertical="center"/>
    </xf>
    <xf numFmtId="0" fontId="0" fillId="38" borderId="64" xfId="0" applyFill="1" applyBorder="1" applyAlignment="1">
      <alignment horizontal="center" vertical="center"/>
    </xf>
    <xf numFmtId="0" fontId="0" fillId="38" borderId="63" xfId="0" applyFill="1" applyBorder="1" applyAlignment="1">
      <alignment horizontal="center" vertical="center"/>
    </xf>
    <xf numFmtId="0" fontId="0" fillId="31" borderId="69" xfId="0" applyFill="1" applyBorder="1" applyAlignment="1">
      <alignment horizontal="center" vertical="center"/>
    </xf>
    <xf numFmtId="0" fontId="1" fillId="31" borderId="86" xfId="0" applyNumberFormat="1" applyFont="1" applyFill="1" applyBorder="1" applyAlignment="1">
      <alignment horizontal="center" vertical="center"/>
    </xf>
    <xf numFmtId="9" fontId="0" fillId="31" borderId="86" xfId="0" applyNumberFormat="1" applyFill="1" applyBorder="1" applyAlignment="1">
      <alignment horizontal="center" vertical="center"/>
    </xf>
    <xf numFmtId="10" fontId="1" fillId="31" borderId="86" xfId="0" applyNumberFormat="1" applyFont="1" applyFill="1" applyBorder="1" applyAlignment="1">
      <alignment horizontal="center" vertical="center"/>
    </xf>
    <xf numFmtId="10" fontId="0" fillId="31" borderId="86" xfId="0" applyNumberFormat="1" applyFill="1" applyBorder="1" applyAlignment="1">
      <alignment horizontal="center" vertical="center"/>
    </xf>
    <xf numFmtId="0" fontId="0" fillId="38" borderId="86" xfId="0" applyFill="1" applyBorder="1" applyAlignment="1">
      <alignment horizontal="center" vertical="center"/>
    </xf>
    <xf numFmtId="0" fontId="0" fillId="38" borderId="87" xfId="0" applyFill="1" applyBorder="1" applyAlignment="1">
      <alignment horizontal="center" vertical="center"/>
    </xf>
    <xf numFmtId="3" fontId="106" fillId="0" borderId="60" xfId="46" applyNumberFormat="1" applyFont="1" applyFill="1" applyBorder="1" applyAlignment="1" applyProtection="1">
      <alignment vertical="center" shrinkToFit="1" readingOrder="1"/>
      <protection locked="0"/>
    </xf>
    <xf numFmtId="165" fontId="106" fillId="0" borderId="60" xfId="46" applyNumberFormat="1" applyFont="1" applyFill="1" applyBorder="1" applyAlignment="1" applyProtection="1">
      <alignment vertical="center" shrinkToFit="1" readingOrder="1"/>
      <protection locked="0"/>
    </xf>
    <xf numFmtId="0" fontId="27" fillId="0" borderId="0" xfId="0" applyNumberFormat="1" applyFont="1" applyAlignment="1">
      <alignment horizontal="center" vertical="center" readingOrder="1"/>
    </xf>
    <xf numFmtId="0" fontId="58" fillId="0" borderId="11" xfId="0" applyFont="1" applyBorder="1" applyAlignment="1">
      <alignment horizontal="center" vertical="center" wrapText="1" readingOrder="2"/>
    </xf>
    <xf numFmtId="0" fontId="59" fillId="0" borderId="11" xfId="0" applyFont="1" applyBorder="1" applyAlignment="1">
      <alignment vertical="center" readingOrder="2"/>
    </xf>
    <xf numFmtId="0" fontId="34" fillId="0" borderId="0" xfId="0" applyFont="1" applyAlignment="1">
      <alignment horizontal="center" vertical="center" wrapText="1" readingOrder="2"/>
    </xf>
    <xf numFmtId="0" fontId="58" fillId="0" borderId="0" xfId="0" applyFont="1" applyAlignment="1">
      <alignment horizontal="center" vertical="center" wrapText="1" readingOrder="2"/>
    </xf>
    <xf numFmtId="0" fontId="57" fillId="0" borderId="0" xfId="0" applyFont="1" applyAlignment="1">
      <alignment horizontal="right" wrapText="1" readingOrder="2"/>
    </xf>
    <xf numFmtId="0" fontId="54" fillId="0" borderId="0" xfId="0" applyFont="1" applyAlignment="1">
      <alignment horizontal="center" vertical="center" wrapText="1" readingOrder="2"/>
    </xf>
    <xf numFmtId="0" fontId="57" fillId="0" borderId="0" xfId="0" applyFont="1" applyAlignment="1">
      <alignment horizontal="center" wrapText="1" readingOrder="2"/>
    </xf>
    <xf numFmtId="0" fontId="40" fillId="0" borderId="0" xfId="0" applyFont="1" applyAlignment="1">
      <alignment horizontal="center" wrapText="1" readingOrder="2"/>
    </xf>
    <xf numFmtId="172" fontId="40" fillId="0" borderId="0" xfId="0" applyNumberFormat="1" applyFont="1" applyAlignment="1">
      <alignment horizontal="center" wrapText="1" readingOrder="2"/>
    </xf>
    <xf numFmtId="0" fontId="40" fillId="0" borderId="0" xfId="0" applyFont="1" applyAlignment="1">
      <alignment horizontal="right" vertical="center" wrapText="1" readingOrder="2"/>
    </xf>
    <xf numFmtId="0" fontId="40" fillId="0" borderId="0" xfId="0" applyFont="1" applyAlignment="1">
      <alignment horizontal="center" vertical="center" wrapText="1" readingOrder="2"/>
    </xf>
    <xf numFmtId="172" fontId="40" fillId="0" borderId="0" xfId="0" applyNumberFormat="1" applyFont="1" applyAlignment="1">
      <alignment horizontal="center" readingOrder="2"/>
    </xf>
    <xf numFmtId="0" fontId="33" fillId="0" borderId="0" xfId="0" applyFont="1" applyAlignment="1">
      <alignment horizontal="center" wrapText="1" readingOrder="2"/>
    </xf>
    <xf numFmtId="0" fontId="33" fillId="0" borderId="0" xfId="0" applyFont="1" applyAlignment="1">
      <alignment horizontal="right" wrapText="1" readingOrder="2"/>
    </xf>
    <xf numFmtId="164" fontId="54" fillId="0" borderId="0" xfId="0" applyNumberFormat="1" applyFont="1" applyAlignment="1">
      <alignment horizontal="right" vertical="center" shrinkToFit="1" readingOrder="2"/>
    </xf>
    <xf numFmtId="0" fontId="40" fillId="0" borderId="0" xfId="0" applyFont="1" applyAlignment="1">
      <alignment horizontal="right" wrapText="1" readingOrder="2"/>
    </xf>
    <xf numFmtId="0" fontId="29" fillId="0" borderId="0" xfId="0" applyFont="1" applyAlignment="1">
      <alignment horizontal="center" vertical="center" shrinkToFit="1" readingOrder="2"/>
    </xf>
    <xf numFmtId="0" fontId="40" fillId="0" borderId="0" xfId="0" applyFont="1" applyAlignment="1">
      <alignment horizontal="center" vertical="center" shrinkToFit="1" readingOrder="2"/>
    </xf>
    <xf numFmtId="3" fontId="54" fillId="0" borderId="0" xfId="0" applyNumberFormat="1" applyFont="1" applyAlignment="1">
      <alignment horizontal="center" vertical="center" shrinkToFit="1" readingOrder="2"/>
    </xf>
    <xf numFmtId="0" fontId="27" fillId="0" borderId="0" xfId="0" applyFont="1" applyAlignment="1">
      <alignment horizontal="center" vertical="center" shrinkToFit="1" readingOrder="2"/>
    </xf>
    <xf numFmtId="169" fontId="54" fillId="0" borderId="0" xfId="0" applyNumberFormat="1" applyFont="1" applyAlignment="1">
      <alignment horizontal="center" vertical="center" wrapText="1" readingOrder="2"/>
    </xf>
    <xf numFmtId="0" fontId="54" fillId="0" borderId="0" xfId="0" applyFont="1" applyAlignment="1">
      <alignment horizontal="right" vertical="center" shrinkToFit="1" readingOrder="2"/>
    </xf>
    <xf numFmtId="0" fontId="40" fillId="0" borderId="0" xfId="0" applyFont="1" applyAlignment="1">
      <alignment horizontal="left" vertical="center" wrapText="1" readingOrder="2"/>
    </xf>
    <xf numFmtId="0" fontId="40" fillId="0" borderId="14" xfId="0" applyFont="1" applyBorder="1" applyAlignment="1">
      <alignment horizontal="right" vertical="center" wrapText="1" readingOrder="2"/>
    </xf>
    <xf numFmtId="164" fontId="40" fillId="0" borderId="0" xfId="0" applyNumberFormat="1" applyFont="1" applyAlignment="1">
      <alignment horizontal="right" vertical="center" wrapText="1" readingOrder="2"/>
    </xf>
    <xf numFmtId="0" fontId="109" fillId="0" borderId="45" xfId="0" applyFont="1" applyBorder="1" applyAlignment="1" applyProtection="1">
      <alignment horizontal="center" vertical="center" wrapText="1" readingOrder="2"/>
      <protection locked="0"/>
    </xf>
    <xf numFmtId="0" fontId="109" fillId="0" borderId="46" xfId="0" applyFont="1" applyBorder="1" applyAlignment="1" applyProtection="1">
      <alignment horizontal="center" vertical="center" wrapText="1" readingOrder="2"/>
      <protection locked="0"/>
    </xf>
    <xf numFmtId="0" fontId="109" fillId="0" borderId="44" xfId="0" applyFont="1" applyBorder="1" applyAlignment="1" applyProtection="1">
      <alignment horizontal="center" vertical="center" wrapText="1" readingOrder="2"/>
      <protection locked="0"/>
    </xf>
    <xf numFmtId="0" fontId="56" fillId="0" borderId="0" xfId="0" applyFont="1" applyAlignment="1">
      <alignment horizontal="center" vertical="center" wrapText="1" readingOrder="2"/>
    </xf>
    <xf numFmtId="172" fontId="40" fillId="0" borderId="0" xfId="0" applyNumberFormat="1" applyFont="1" applyAlignment="1">
      <alignment horizontal="right" vertical="center" wrapText="1" readingOrder="2"/>
    </xf>
    <xf numFmtId="0" fontId="40" fillId="0" borderId="48" xfId="0" applyFont="1" applyBorder="1" applyAlignment="1">
      <alignment horizontal="left" vertical="top" wrapText="1" readingOrder="2"/>
    </xf>
    <xf numFmtId="0" fontId="40" fillId="0" borderId="49" xfId="0" applyFont="1" applyBorder="1" applyAlignment="1">
      <alignment horizontal="left" vertical="top" wrapText="1" readingOrder="2"/>
    </xf>
    <xf numFmtId="0" fontId="40" fillId="0" borderId="50" xfId="0" applyFont="1" applyBorder="1" applyAlignment="1">
      <alignment horizontal="left" vertical="top" wrapText="1" readingOrder="2"/>
    </xf>
    <xf numFmtId="0" fontId="40" fillId="0" borderId="51" xfId="0" applyFont="1" applyBorder="1" applyAlignment="1">
      <alignment horizontal="left" vertical="top" wrapText="1" readingOrder="2"/>
    </xf>
    <xf numFmtId="0" fontId="40" fillId="0" borderId="52" xfId="0" applyFont="1" applyBorder="1" applyAlignment="1">
      <alignment horizontal="left" vertical="top" wrapText="1" readingOrder="2"/>
    </xf>
    <xf numFmtId="0" fontId="40" fillId="0" borderId="53" xfId="0" applyFont="1" applyBorder="1" applyAlignment="1">
      <alignment horizontal="left" vertical="top" wrapText="1" readingOrder="2"/>
    </xf>
    <xf numFmtId="0" fontId="40" fillId="0" borderId="0" xfId="0" applyFont="1" applyAlignment="1">
      <alignment horizontal="right" vertical="top" shrinkToFit="1" readingOrder="2"/>
    </xf>
    <xf numFmtId="170" fontId="40" fillId="0" borderId="0" xfId="0" applyNumberFormat="1" applyFont="1" applyAlignment="1">
      <alignment horizontal="right" vertical="center" wrapText="1" readingOrder="2"/>
    </xf>
    <xf numFmtId="164" fontId="60" fillId="26" borderId="0" xfId="0" applyNumberFormat="1" applyFont="1" applyFill="1" applyAlignment="1" applyProtection="1">
      <alignment horizontal="center" vertical="center" wrapText="1" readingOrder="2"/>
      <protection locked="0"/>
    </xf>
    <xf numFmtId="0" fontId="36" fillId="0" borderId="0" xfId="0" applyFont="1" applyAlignment="1">
      <alignment horizontal="right" vertical="center" readingOrder="2"/>
    </xf>
    <xf numFmtId="0" fontId="94" fillId="35" borderId="0" xfId="46" applyFont="1" applyFill="1" applyAlignment="1" applyProtection="1">
      <alignment horizontal="center" readingOrder="2"/>
      <protection locked="0"/>
    </xf>
    <xf numFmtId="0" fontId="94" fillId="34" borderId="0" xfId="46" applyFont="1" applyFill="1" applyAlignment="1" applyProtection="1">
      <alignment horizontal="center" readingOrder="2"/>
      <protection locked="0"/>
    </xf>
    <xf numFmtId="0" fontId="94" fillId="26" borderId="57" xfId="46" applyFont="1" applyFill="1" applyBorder="1" applyAlignment="1" applyProtection="1">
      <alignment horizontal="center" readingOrder="2"/>
      <protection locked="0"/>
    </xf>
    <xf numFmtId="0" fontId="90" fillId="0" borderId="0" xfId="46" applyFont="1" applyAlignment="1" applyProtection="1">
      <alignment horizontal="center" vertical="center" readingOrder="2"/>
      <protection locked="0"/>
    </xf>
    <xf numFmtId="0" fontId="108" fillId="27" borderId="0" xfId="46" applyFont="1" applyFill="1" applyAlignment="1" applyProtection="1">
      <alignment horizontal="right" readingOrder="2"/>
      <protection locked="0"/>
    </xf>
    <xf numFmtId="0" fontId="93" fillId="31" borderId="0" xfId="46" applyFont="1" applyFill="1" applyAlignment="1" applyProtection="1">
      <alignment horizontal="center" vertical="center" readingOrder="2"/>
      <protection locked="0"/>
    </xf>
    <xf numFmtId="0" fontId="93" fillId="32" borderId="0" xfId="46" applyFont="1" applyFill="1" applyAlignment="1" applyProtection="1">
      <alignment horizontal="center" vertical="center" readingOrder="2"/>
      <protection locked="0"/>
    </xf>
    <xf numFmtId="0" fontId="94" fillId="33" borderId="0" xfId="46" applyFont="1" applyFill="1" applyAlignment="1" applyProtection="1">
      <alignment horizontal="center" readingOrder="2"/>
      <protection locked="0"/>
    </xf>
    <xf numFmtId="0" fontId="34" fillId="0" borderId="0" xfId="0" applyFont="1" applyAlignment="1" applyProtection="1">
      <alignment horizontal="center" vertical="center" shrinkToFit="1" readingOrder="2"/>
    </xf>
    <xf numFmtId="0" fontId="34" fillId="0" borderId="0" xfId="0" applyFont="1" applyAlignment="1" applyProtection="1">
      <alignment horizontal="right" vertical="center" shrinkToFit="1" readingOrder="2"/>
    </xf>
    <xf numFmtId="0" fontId="34" fillId="0" borderId="0" xfId="0" applyFont="1" applyAlignment="1" applyProtection="1">
      <alignment horizontal="left" vertical="center" readingOrder="2"/>
    </xf>
    <xf numFmtId="164" fontId="124" fillId="0" borderId="0" xfId="0" applyNumberFormat="1" applyFont="1" applyAlignment="1" applyProtection="1">
      <alignment horizontal="right" vertical="center" readingOrder="2"/>
    </xf>
    <xf numFmtId="0" fontId="34" fillId="0" borderId="0" xfId="0" applyFont="1" applyAlignment="1" applyProtection="1">
      <alignment horizontal="center" vertical="center" readingOrder="2"/>
    </xf>
    <xf numFmtId="1" fontId="34" fillId="0" borderId="0" xfId="0" applyNumberFormat="1" applyFont="1" applyAlignment="1" applyProtection="1">
      <alignment horizontal="right" vertical="center" readingOrder="2"/>
    </xf>
    <xf numFmtId="0" fontId="34" fillId="0" borderId="0" xfId="0" applyFont="1" applyAlignment="1" applyProtection="1">
      <alignment horizontal="right" vertical="center" readingOrder="2"/>
    </xf>
    <xf numFmtId="0" fontId="34" fillId="0" borderId="0" xfId="0" applyFont="1" applyAlignment="1">
      <alignment horizontal="right" vertical="center" shrinkToFit="1" readingOrder="2"/>
    </xf>
    <xf numFmtId="172" fontId="34" fillId="0" borderId="0" xfId="0" applyNumberFormat="1" applyFont="1" applyAlignment="1">
      <alignment horizontal="right" vertical="center" shrinkToFit="1" readingOrder="2"/>
    </xf>
    <xf numFmtId="0" fontId="34" fillId="0" borderId="59" xfId="0" applyFont="1" applyBorder="1" applyAlignment="1" applyProtection="1">
      <alignment horizontal="center" vertical="top" readingOrder="2"/>
    </xf>
    <xf numFmtId="0" fontId="123" fillId="0" borderId="11" xfId="0" applyFont="1" applyBorder="1" applyAlignment="1">
      <alignment horizontal="center" vertical="center" readingOrder="2"/>
    </xf>
    <xf numFmtId="0" fontId="34" fillId="0" borderId="0" xfId="0" applyFont="1" applyAlignment="1">
      <alignment horizontal="center" vertical="center" shrinkToFit="1" readingOrder="2"/>
    </xf>
    <xf numFmtId="0" fontId="34" fillId="0" borderId="59" xfId="0" applyFont="1" applyBorder="1" applyAlignment="1">
      <alignment horizontal="center" vertical="top" readingOrder="2"/>
    </xf>
    <xf numFmtId="172" fontId="34" fillId="0" borderId="0" xfId="0" applyNumberFormat="1" applyFont="1" applyAlignment="1" applyProtection="1">
      <alignment horizontal="right" vertical="center" shrinkToFit="1" readingOrder="2"/>
    </xf>
    <xf numFmtId="49" fontId="34" fillId="26" borderId="0" xfId="0" applyNumberFormat="1" applyFont="1" applyFill="1" applyAlignment="1" applyProtection="1">
      <alignment horizontal="right" vertical="center" shrinkToFit="1" readingOrder="2"/>
      <protection locked="0"/>
    </xf>
    <xf numFmtId="0" fontId="125" fillId="0" borderId="0" xfId="0" applyFont="1" applyAlignment="1" applyProtection="1">
      <alignment horizontal="right" vertical="center" readingOrder="2"/>
    </xf>
    <xf numFmtId="0" fontId="34" fillId="0" borderId="0" xfId="0" applyFont="1" applyAlignment="1" applyProtection="1">
      <alignment horizontal="right" vertical="top" wrapText="1" readingOrder="2"/>
    </xf>
    <xf numFmtId="0" fontId="34" fillId="0" borderId="0" xfId="0" applyFont="1" applyAlignment="1" applyProtection="1">
      <alignment horizontal="center" vertical="top" readingOrder="2"/>
    </xf>
    <xf numFmtId="0" fontId="123" fillId="0" borderId="11" xfId="0" applyFont="1" applyBorder="1" applyAlignment="1" applyProtection="1">
      <alignment horizontal="center" vertical="center" readingOrder="2"/>
    </xf>
    <xf numFmtId="169" fontId="34" fillId="0" borderId="0" xfId="0" applyNumberFormat="1" applyFont="1" applyAlignment="1">
      <alignment horizontal="right" vertical="center" shrinkToFit="1" readingOrder="2"/>
    </xf>
    <xf numFmtId="0" fontId="34" fillId="0" borderId="0" xfId="0" applyFont="1" applyAlignment="1">
      <alignment horizontal="right" vertical="top" wrapText="1" readingOrder="2"/>
    </xf>
    <xf numFmtId="0" fontId="125" fillId="0" borderId="0" xfId="0" applyFont="1" applyAlignment="1">
      <alignment horizontal="right" vertical="center" readingOrder="2"/>
    </xf>
    <xf numFmtId="0" fontId="34" fillId="0" borderId="0" xfId="0" applyFont="1" applyAlignment="1">
      <alignment horizontal="center" vertical="top" readingOrder="2"/>
    </xf>
    <xf numFmtId="1" fontId="34" fillId="0" borderId="0" xfId="0" applyNumberFormat="1" applyFont="1" applyAlignment="1">
      <alignment horizontal="right" vertical="center" readingOrder="2"/>
    </xf>
    <xf numFmtId="0" fontId="34" fillId="0" borderId="0" xfId="0" applyFont="1" applyAlignment="1">
      <alignment horizontal="right" vertical="center" readingOrder="2"/>
    </xf>
    <xf numFmtId="0" fontId="34" fillId="0" borderId="0" xfId="0" applyFont="1" applyAlignment="1">
      <alignment horizontal="left" vertical="center" readingOrder="2"/>
    </xf>
    <xf numFmtId="164" fontId="124" fillId="0" borderId="0" xfId="0" applyNumberFormat="1" applyFont="1" applyAlignment="1">
      <alignment horizontal="right" vertical="center" readingOrder="2"/>
    </xf>
    <xf numFmtId="0" fontId="34" fillId="0" borderId="0" xfId="0" applyFont="1" applyAlignment="1">
      <alignment horizontal="center" vertical="center" readingOrder="2"/>
    </xf>
    <xf numFmtId="0" fontId="21" fillId="24" borderId="0" xfId="0" applyFont="1" applyFill="1" applyAlignment="1">
      <alignment horizontal="center" readingOrder="2"/>
    </xf>
    <xf numFmtId="0" fontId="21" fillId="24" borderId="0" xfId="0" applyFont="1" applyFill="1" applyAlignment="1">
      <alignment horizontal="right" readingOrder="2"/>
    </xf>
    <xf numFmtId="3" fontId="21" fillId="0" borderId="0" xfId="0" applyNumberFormat="1" applyFont="1" applyAlignment="1">
      <alignment horizontal="center" vertical="center" shrinkToFit="1" readingOrder="2"/>
    </xf>
    <xf numFmtId="0" fontId="21" fillId="0" borderId="0" xfId="0" applyFont="1" applyAlignment="1">
      <alignment horizontal="center" vertical="center" shrinkToFit="1" readingOrder="2"/>
    </xf>
    <xf numFmtId="0" fontId="21" fillId="0" borderId="0" xfId="0" applyFont="1" applyAlignment="1">
      <alignment horizontal="center" vertical="center" readingOrder="2"/>
    </xf>
    <xf numFmtId="0" fontId="21" fillId="24" borderId="0" xfId="0" applyFont="1" applyFill="1" applyAlignment="1">
      <alignment horizontal="center" vertical="center" readingOrder="2"/>
    </xf>
    <xf numFmtId="0" fontId="21" fillId="0" borderId="0" xfId="0" applyFont="1" applyAlignment="1">
      <alignment horizontal="right" vertical="center" readingOrder="2"/>
    </xf>
    <xf numFmtId="0" fontId="21" fillId="24" borderId="0" xfId="0" applyFont="1" applyFill="1" applyAlignment="1">
      <alignment horizontal="left" vertical="center" readingOrder="2"/>
    </xf>
    <xf numFmtId="0" fontId="21" fillId="24" borderId="0" xfId="0" applyFont="1" applyFill="1" applyAlignment="1">
      <alignment horizontal="right" vertical="center" readingOrder="2"/>
    </xf>
    <xf numFmtId="0" fontId="39" fillId="24" borderId="0" xfId="0" applyFont="1" applyFill="1" applyAlignment="1">
      <alignment horizontal="center" vertical="center" readingOrder="2"/>
    </xf>
    <xf numFmtId="0" fontId="39" fillId="24" borderId="0" xfId="0" applyFont="1" applyFill="1" applyAlignment="1">
      <alignment horizontal="right" vertical="center" readingOrder="2"/>
    </xf>
    <xf numFmtId="0" fontId="21" fillId="24" borderId="0" xfId="0" applyFont="1" applyFill="1" applyAlignment="1">
      <alignment horizontal="center" vertical="center" shrinkToFit="1" readingOrder="2"/>
    </xf>
    <xf numFmtId="1" fontId="21" fillId="24" borderId="0" xfId="0" applyNumberFormat="1" applyFont="1" applyFill="1" applyAlignment="1">
      <alignment horizontal="center" vertical="center" shrinkToFit="1" readingOrder="2"/>
    </xf>
    <xf numFmtId="0" fontId="20" fillId="24" borderId="0" xfId="0" applyFont="1" applyFill="1" applyAlignment="1">
      <alignment horizontal="center" readingOrder="2"/>
    </xf>
    <xf numFmtId="164" fontId="21" fillId="24" borderId="0" xfId="0" applyNumberFormat="1" applyFont="1" applyFill="1" applyAlignment="1">
      <alignment horizontal="right" readingOrder="2"/>
    </xf>
    <xf numFmtId="0" fontId="24" fillId="24" borderId="0" xfId="0" applyFont="1" applyFill="1" applyAlignment="1">
      <alignment horizontal="right" vertical="center" wrapText="1" readingOrder="2"/>
    </xf>
    <xf numFmtId="0" fontId="24" fillId="24" borderId="0" xfId="0" applyFont="1" applyFill="1" applyAlignment="1">
      <alignment horizontal="right" vertical="center" readingOrder="2"/>
    </xf>
    <xf numFmtId="0" fontId="115" fillId="24" borderId="0" xfId="0" applyFont="1" applyFill="1" applyAlignment="1">
      <alignment horizontal="center" wrapText="1" readingOrder="2"/>
    </xf>
    <xf numFmtId="0" fontId="115" fillId="24" borderId="0" xfId="0" applyFont="1" applyFill="1" applyAlignment="1">
      <alignment horizontal="center" readingOrder="2"/>
    </xf>
    <xf numFmtId="0" fontId="39" fillId="24" borderId="0" xfId="0" applyFont="1" applyFill="1" applyAlignment="1">
      <alignment horizontal="right" vertical="center" wrapText="1" readingOrder="2"/>
    </xf>
    <xf numFmtId="172" fontId="39" fillId="24" borderId="0" xfId="0" applyNumberFormat="1" applyFont="1" applyFill="1" applyAlignment="1">
      <alignment horizontal="right" vertical="center" readingOrder="2"/>
    </xf>
    <xf numFmtId="0" fontId="39" fillId="24" borderId="0" xfId="0" applyFont="1" applyFill="1" applyAlignment="1">
      <alignment horizontal="left" vertical="center" readingOrder="2"/>
    </xf>
    <xf numFmtId="169" fontId="39" fillId="24" borderId="0" xfId="0" applyNumberFormat="1" applyFont="1" applyFill="1" applyAlignment="1">
      <alignment horizontal="right" vertical="center" readingOrder="2"/>
    </xf>
    <xf numFmtId="167" fontId="121" fillId="0" borderId="0" xfId="46" applyNumberFormat="1" applyFont="1" applyAlignment="1">
      <alignment horizontal="right" vertical="center" indent="1" readingOrder="2"/>
    </xf>
    <xf numFmtId="0" fontId="119" fillId="0" borderId="0" xfId="46" applyFont="1" applyAlignment="1">
      <alignment horizontal="right" vertical="center" wrapText="1" indent="1" readingOrder="2"/>
    </xf>
    <xf numFmtId="0" fontId="119" fillId="0" borderId="0" xfId="46" applyFont="1" applyAlignment="1">
      <alignment horizontal="right" vertical="center" wrapText="1" readingOrder="2"/>
    </xf>
    <xf numFmtId="167" fontId="119" fillId="0" borderId="0" xfId="46" applyNumberFormat="1" applyFont="1" applyAlignment="1">
      <alignment horizontal="right" vertical="center" readingOrder="2"/>
    </xf>
    <xf numFmtId="0" fontId="52" fillId="0" borderId="0" xfId="46" applyFont="1" applyAlignment="1">
      <alignment horizontal="center" vertical="center" readingOrder="2"/>
    </xf>
    <xf numFmtId="0" fontId="119" fillId="0" borderId="0" xfId="46" applyFont="1" applyAlignment="1">
      <alignment horizontal="right" vertical="center" indent="1" shrinkToFit="1" readingOrder="2"/>
    </xf>
    <xf numFmtId="1" fontId="119" fillId="0" borderId="14" xfId="46" applyNumberFormat="1" applyFont="1" applyBorder="1" applyAlignment="1">
      <alignment horizontal="right" vertical="center" indent="1" shrinkToFit="1" readingOrder="2"/>
    </xf>
    <xf numFmtId="1" fontId="119" fillId="0" borderId="0" xfId="46" applyNumberFormat="1" applyFont="1" applyAlignment="1">
      <alignment horizontal="right" vertical="center" indent="1" shrinkToFit="1" readingOrder="2"/>
    </xf>
    <xf numFmtId="0" fontId="119" fillId="0" borderId="0" xfId="46" applyFont="1" applyAlignment="1">
      <alignment horizontal="right" vertical="center" indent="1" readingOrder="2"/>
    </xf>
    <xf numFmtId="0" fontId="44" fillId="0" borderId="41" xfId="46" applyFont="1" applyBorder="1" applyAlignment="1">
      <alignment horizontal="right" vertical="center" wrapText="1" readingOrder="2"/>
    </xf>
    <xf numFmtId="0" fontId="44" fillId="0" borderId="42" xfId="46" applyFont="1" applyBorder="1" applyAlignment="1">
      <alignment horizontal="right" vertical="center" wrapText="1" readingOrder="2"/>
    </xf>
    <xf numFmtId="0" fontId="44" fillId="0" borderId="43" xfId="46" applyFont="1" applyBorder="1" applyAlignment="1">
      <alignment horizontal="right" vertical="center" wrapText="1" readingOrder="2"/>
    </xf>
    <xf numFmtId="0" fontId="44" fillId="0" borderId="41" xfId="46" applyFont="1" applyBorder="1" applyAlignment="1">
      <alignment horizontal="center" vertical="center" wrapText="1" readingOrder="2"/>
    </xf>
    <xf numFmtId="0" fontId="44" fillId="0" borderId="42"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49" fontId="44" fillId="0" borderId="41" xfId="46" applyNumberFormat="1" applyFont="1" applyBorder="1" applyAlignment="1">
      <alignment horizontal="right" vertical="center" wrapText="1" readingOrder="2"/>
    </xf>
    <xf numFmtId="49" fontId="44" fillId="0" borderId="42" xfId="46" applyNumberFormat="1" applyFont="1" applyBorder="1" applyAlignment="1">
      <alignment horizontal="right" vertical="center" wrapText="1" readingOrder="2"/>
    </xf>
    <xf numFmtId="49" fontId="44" fillId="0" borderId="43" xfId="46" applyNumberFormat="1" applyFont="1" applyBorder="1" applyAlignment="1">
      <alignment horizontal="right" vertical="center" wrapText="1" readingOrder="2"/>
    </xf>
    <xf numFmtId="0" fontId="44" fillId="0" borderId="37" xfId="46" applyFont="1" applyBorder="1" applyAlignment="1">
      <alignment horizontal="center" vertical="center" wrapText="1" readingOrder="2"/>
    </xf>
    <xf numFmtId="0" fontId="44" fillId="0" borderId="40" xfId="46" applyFont="1" applyBorder="1" applyAlignment="1">
      <alignment horizontal="center" vertical="center" wrapText="1" readingOrder="2"/>
    </xf>
    <xf numFmtId="0" fontId="44" fillId="0" borderId="45" xfId="46" applyFont="1" applyBorder="1" applyAlignment="1">
      <alignment horizontal="center" vertical="center" wrapText="1" readingOrder="2"/>
    </xf>
    <xf numFmtId="0" fontId="44" fillId="0" borderId="44" xfId="46" applyFont="1" applyBorder="1" applyAlignment="1">
      <alignment horizontal="center" vertical="center" wrapText="1" readingOrder="2"/>
    </xf>
    <xf numFmtId="10" fontId="45" fillId="0" borderId="45" xfId="46" applyNumberFormat="1" applyFont="1" applyBorder="1" applyAlignment="1">
      <alignment horizontal="center" vertical="center" wrapText="1" readingOrder="2"/>
    </xf>
    <xf numFmtId="0" fontId="45" fillId="0" borderId="44" xfId="46" applyFont="1" applyBorder="1" applyAlignment="1">
      <alignment horizontal="center" vertical="center" wrapText="1" readingOrder="2"/>
    </xf>
    <xf numFmtId="4" fontId="45" fillId="0" borderId="35" xfId="46" applyNumberFormat="1" applyFont="1" applyBorder="1" applyAlignment="1">
      <alignment horizontal="center" vertical="center" wrapText="1" readingOrder="2"/>
    </xf>
    <xf numFmtId="4" fontId="45" fillId="0" borderId="36" xfId="46" applyNumberFormat="1" applyFont="1" applyBorder="1" applyAlignment="1">
      <alignment horizontal="center" vertical="center" wrapText="1" readingOrder="2"/>
    </xf>
    <xf numFmtId="4" fontId="45" fillId="0" borderId="37" xfId="46" applyNumberFormat="1" applyFont="1" applyBorder="1" applyAlignment="1">
      <alignment horizontal="center" vertical="center" wrapText="1" readingOrder="2"/>
    </xf>
    <xf numFmtId="4" fontId="45" fillId="0" borderId="38" xfId="46" applyNumberFormat="1" applyFont="1" applyBorder="1" applyAlignment="1">
      <alignment horizontal="center" vertical="center" wrapText="1" readingOrder="2"/>
    </xf>
    <xf numFmtId="4" fontId="45" fillId="0" borderId="39" xfId="46" applyNumberFormat="1" applyFont="1" applyBorder="1" applyAlignment="1">
      <alignment horizontal="center" vertical="center" wrapText="1" readingOrder="2"/>
    </xf>
    <xf numFmtId="4" fontId="45" fillId="0" borderId="40" xfId="46" applyNumberFormat="1" applyFont="1" applyBorder="1" applyAlignment="1">
      <alignment horizontal="center" vertical="center" wrapText="1" readingOrder="2"/>
    </xf>
    <xf numFmtId="0" fontId="45" fillId="0" borderId="45" xfId="46" applyFont="1" applyBorder="1" applyAlignment="1">
      <alignment horizontal="center" vertical="center" wrapText="1" readingOrder="2"/>
    </xf>
    <xf numFmtId="0" fontId="45" fillId="0" borderId="46" xfId="46" applyFont="1" applyBorder="1" applyAlignment="1">
      <alignment horizontal="center" vertical="center" wrapText="1" readingOrder="2"/>
    </xf>
    <xf numFmtId="0" fontId="45" fillId="0" borderId="41" xfId="46" applyFont="1" applyBorder="1" applyAlignment="1">
      <alignment horizontal="center" vertical="center" wrapText="1" readingOrder="2"/>
    </xf>
    <xf numFmtId="0" fontId="45" fillId="0" borderId="42" xfId="46" applyFont="1" applyBorder="1" applyAlignment="1">
      <alignment horizontal="center" vertical="center" wrapText="1" readingOrder="2"/>
    </xf>
    <xf numFmtId="0" fontId="45" fillId="0" borderId="43" xfId="46" applyFont="1" applyBorder="1" applyAlignment="1">
      <alignment horizontal="center" vertical="center" wrapText="1" readingOrder="2"/>
    </xf>
    <xf numFmtId="10" fontId="45" fillId="0" borderId="35" xfId="46" applyNumberFormat="1" applyFont="1" applyBorder="1" applyAlignment="1">
      <alignment horizontal="center" vertical="center" wrapText="1" readingOrder="2"/>
    </xf>
    <xf numFmtId="10" fontId="45" fillId="0" borderId="36" xfId="46" applyNumberFormat="1" applyFont="1" applyBorder="1" applyAlignment="1">
      <alignment horizontal="center" vertical="center" wrapText="1" readingOrder="2"/>
    </xf>
    <xf numFmtId="10" fontId="45" fillId="0" borderId="38" xfId="46" applyNumberFormat="1" applyFont="1" applyBorder="1" applyAlignment="1">
      <alignment horizontal="center" vertical="center" wrapText="1" readingOrder="2"/>
    </xf>
    <xf numFmtId="10" fontId="45" fillId="0" borderId="39" xfId="46" applyNumberFormat="1" applyFont="1" applyBorder="1" applyAlignment="1">
      <alignment horizontal="center" vertical="center" wrapText="1" readingOrder="2"/>
    </xf>
    <xf numFmtId="168" fontId="45" fillId="0" borderId="37" xfId="46" applyNumberFormat="1" applyFont="1" applyBorder="1" applyAlignment="1">
      <alignment horizontal="center" vertical="center" wrapText="1" readingOrder="2"/>
    </xf>
    <xf numFmtId="168" fontId="45" fillId="0" borderId="40" xfId="46" applyNumberFormat="1" applyFont="1" applyBorder="1" applyAlignment="1">
      <alignment horizontal="center" vertical="center" wrapText="1" readingOrder="2"/>
    </xf>
    <xf numFmtId="0" fontId="45" fillId="0" borderId="35" xfId="46" applyFont="1" applyBorder="1" applyAlignment="1">
      <alignment horizontal="center" vertical="center" wrapText="1" readingOrder="2"/>
    </xf>
    <xf numFmtId="0" fontId="45" fillId="0" borderId="36" xfId="46" applyFont="1" applyBorder="1" applyAlignment="1">
      <alignment horizontal="center" vertical="center" wrapText="1" readingOrder="2"/>
    </xf>
    <xf numFmtId="0" fontId="45" fillId="0" borderId="37" xfId="46" applyFont="1" applyBorder="1" applyAlignment="1">
      <alignment horizontal="center" vertical="center" wrapText="1" readingOrder="2"/>
    </xf>
    <xf numFmtId="0" fontId="45" fillId="0" borderId="38" xfId="46" applyFont="1" applyBorder="1" applyAlignment="1">
      <alignment horizontal="center" vertical="center" wrapText="1" readingOrder="2"/>
    </xf>
    <xf numFmtId="0" fontId="45" fillId="0" borderId="39" xfId="46" applyFont="1" applyBorder="1" applyAlignment="1">
      <alignment horizontal="center" vertical="center" wrapText="1" readingOrder="2"/>
    </xf>
    <xf numFmtId="0" fontId="45" fillId="0" borderId="40" xfId="46" applyFont="1" applyBorder="1" applyAlignment="1">
      <alignment horizontal="center" vertical="center" wrapText="1" readingOrder="2"/>
    </xf>
    <xf numFmtId="0" fontId="44" fillId="0" borderId="35" xfId="46" applyFont="1" applyBorder="1" applyAlignment="1">
      <alignment horizontal="center" vertical="center" wrapText="1" readingOrder="2"/>
    </xf>
    <xf numFmtId="0" fontId="44" fillId="0" borderId="36" xfId="46" applyFont="1" applyBorder="1" applyAlignment="1">
      <alignment horizontal="center" vertical="center" wrapText="1" readingOrder="2"/>
    </xf>
    <xf numFmtId="0" fontId="44" fillId="0" borderId="38" xfId="46" applyFont="1" applyBorder="1" applyAlignment="1">
      <alignment horizontal="center" vertical="center" wrapText="1" readingOrder="2"/>
    </xf>
    <xf numFmtId="0" fontId="44" fillId="0" borderId="39"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5" fillId="0" borderId="42" xfId="46" applyFont="1" applyBorder="1" applyAlignment="1">
      <alignment horizontal="right" vertical="center" wrapText="1" readingOrder="2"/>
    </xf>
    <xf numFmtId="0" fontId="45" fillId="0" borderId="43" xfId="46" applyFont="1" applyBorder="1" applyAlignment="1">
      <alignment horizontal="right" vertical="center" wrapText="1" readingOrder="2"/>
    </xf>
    <xf numFmtId="10" fontId="45" fillId="0" borderId="41" xfId="46" applyNumberFormat="1" applyFont="1" applyBorder="1" applyAlignment="1">
      <alignment horizontal="center" vertical="center" wrapText="1" readingOrder="2"/>
    </xf>
    <xf numFmtId="10" fontId="45" fillId="0" borderId="42" xfId="46" applyNumberFormat="1" applyFont="1" applyBorder="1" applyAlignment="1">
      <alignment horizontal="center" vertical="center" wrapText="1" readingOrder="2"/>
    </xf>
    <xf numFmtId="1" fontId="100" fillId="0" borderId="0" xfId="47" applyNumberFormat="1" applyFont="1" applyFill="1" applyBorder="1" applyAlignment="1">
      <alignment horizontal="right" readingOrder="2"/>
    </xf>
    <xf numFmtId="0" fontId="100" fillId="0" borderId="0" xfId="47" applyNumberFormat="1" applyFont="1" applyFill="1" applyBorder="1" applyAlignment="1">
      <alignment horizontal="right" readingOrder="2"/>
    </xf>
    <xf numFmtId="1" fontId="99" fillId="0" borderId="0" xfId="47" applyNumberFormat="1" applyFont="1" applyFill="1" applyBorder="1" applyAlignment="1">
      <alignment horizontal="right" readingOrder="2"/>
    </xf>
    <xf numFmtId="0" fontId="99" fillId="0" borderId="0" xfId="47" applyNumberFormat="1" applyFont="1" applyFill="1" applyBorder="1" applyAlignment="1">
      <alignment horizontal="right" readingOrder="2"/>
    </xf>
    <xf numFmtId="1" fontId="100" fillId="0" borderId="0" xfId="47" applyNumberFormat="1" applyFont="1" applyFill="1" applyBorder="1" applyAlignment="1">
      <alignment horizontal="right" vertical="center" shrinkToFit="1"/>
    </xf>
    <xf numFmtId="169" fontId="101" fillId="0" borderId="0" xfId="47" applyNumberFormat="1" applyFont="1" applyFill="1" applyBorder="1" applyAlignment="1">
      <alignment horizontal="right" vertical="center" readingOrder="2"/>
    </xf>
    <xf numFmtId="174" fontId="98" fillId="0" borderId="0" xfId="47" applyNumberFormat="1" applyFont="1" applyFill="1" applyBorder="1" applyAlignment="1" applyProtection="1">
      <alignment horizontal="center" vertical="center" readingOrder="2"/>
    </xf>
    <xf numFmtId="0" fontId="65" fillId="0" borderId="0" xfId="0" applyFont="1" applyAlignment="1">
      <alignment horizontal="right" vertical="center" wrapText="1" readingOrder="2"/>
    </xf>
    <xf numFmtId="0" fontId="65" fillId="0" borderId="0" xfId="0" applyFont="1" applyAlignment="1">
      <alignment horizontal="right" vertical="center" readingOrder="2"/>
    </xf>
    <xf numFmtId="0" fontId="67" fillId="0" borderId="0" xfId="0" applyFont="1" applyAlignment="1">
      <alignment horizontal="center" vertical="center"/>
    </xf>
    <xf numFmtId="0" fontId="64" fillId="0" borderId="0" xfId="0" applyFont="1" applyAlignment="1">
      <alignment horizontal="left" vertical="center"/>
    </xf>
    <xf numFmtId="0" fontId="74" fillId="0" borderId="0" xfId="0" applyFont="1" applyAlignment="1">
      <alignment horizontal="center"/>
    </xf>
    <xf numFmtId="164" fontId="65" fillId="0" borderId="60" xfId="0" applyNumberFormat="1" applyFont="1" applyBorder="1" applyAlignment="1">
      <alignment horizontal="center" vertical="center" readingOrder="2"/>
    </xf>
    <xf numFmtId="164" fontId="65" fillId="0" borderId="67" xfId="0" applyNumberFormat="1" applyFont="1" applyBorder="1" applyAlignment="1">
      <alignment horizontal="center" vertical="center" readingOrder="2"/>
    </xf>
    <xf numFmtId="164" fontId="65" fillId="0" borderId="68" xfId="0" applyNumberFormat="1" applyFont="1" applyBorder="1" applyAlignment="1">
      <alignment horizontal="center" vertical="center" readingOrder="2"/>
    </xf>
    <xf numFmtId="164" fontId="65" fillId="0" borderId="69" xfId="0" applyNumberFormat="1" applyFont="1" applyBorder="1" applyAlignment="1">
      <alignment horizontal="center" vertical="center" readingOrder="2"/>
    </xf>
    <xf numFmtId="173" fontId="65" fillId="0" borderId="0" xfId="0" applyNumberFormat="1" applyFont="1" applyAlignment="1">
      <alignment horizontal="right" vertical="center" readingOrder="2"/>
    </xf>
    <xf numFmtId="0" fontId="65" fillId="0" borderId="52" xfId="0" applyFont="1" applyBorder="1" applyAlignment="1">
      <alignment horizontal="right" vertical="center"/>
    </xf>
    <xf numFmtId="0" fontId="65" fillId="0" borderId="57" xfId="0" applyFont="1" applyBorder="1" applyAlignment="1">
      <alignment horizontal="right" vertical="center"/>
    </xf>
    <xf numFmtId="0" fontId="65" fillId="0" borderId="53" xfId="0" applyFont="1" applyBorder="1" applyAlignment="1">
      <alignment horizontal="right" vertical="center"/>
    </xf>
    <xf numFmtId="0" fontId="65" fillId="0" borderId="60" xfId="0" applyFont="1" applyBorder="1" applyAlignment="1">
      <alignment horizontal="center" vertical="center"/>
    </xf>
    <xf numFmtId="0" fontId="74" fillId="0" borderId="70" xfId="46" applyFont="1" applyBorder="1" applyAlignment="1">
      <alignment horizontal="center" shrinkToFit="1"/>
    </xf>
    <xf numFmtId="0" fontId="65" fillId="0" borderId="71" xfId="46" applyFont="1" applyBorder="1" applyAlignment="1">
      <alignment horizontal="center"/>
    </xf>
    <xf numFmtId="0" fontId="56" fillId="0" borderId="61" xfId="0" applyFont="1" applyBorder="1" applyAlignment="1">
      <alignment horizontal="left" vertical="center" wrapText="1"/>
    </xf>
    <xf numFmtId="0" fontId="56" fillId="0" borderId="62" xfId="0" applyFont="1" applyBorder="1" applyAlignment="1">
      <alignment horizontal="left" vertical="center"/>
    </xf>
    <xf numFmtId="0" fontId="56" fillId="0" borderId="63" xfId="0" applyFont="1" applyBorder="1" applyAlignment="1">
      <alignment horizontal="left" vertical="center"/>
    </xf>
    <xf numFmtId="0" fontId="65" fillId="0" borderId="0" xfId="0" applyFont="1" applyAlignment="1">
      <alignment horizontal="right" vertical="center"/>
    </xf>
    <xf numFmtId="0" fontId="65" fillId="0" borderId="0" xfId="0" applyFont="1" applyAlignment="1">
      <alignment horizontal="right" vertical="center" shrinkToFit="1"/>
    </xf>
    <xf numFmtId="0" fontId="65" fillId="0" borderId="51" xfId="0" applyFont="1" applyBorder="1" applyAlignment="1">
      <alignment horizontal="right" vertical="center" shrinkToFit="1"/>
    </xf>
    <xf numFmtId="10" fontId="45" fillId="0" borderId="58" xfId="46" applyNumberFormat="1" applyFont="1" applyBorder="1" applyAlignment="1">
      <alignment horizontal="center" vertical="center" wrapText="1" readingOrder="2"/>
    </xf>
    <xf numFmtId="0" fontId="45" fillId="0" borderId="58" xfId="46" applyFont="1" applyBorder="1" applyAlignment="1">
      <alignment horizontal="center" vertical="center" wrapText="1" readingOrder="2"/>
    </xf>
    <xf numFmtId="0" fontId="44" fillId="0" borderId="50" xfId="46" applyFont="1" applyBorder="1" applyAlignment="1">
      <alignment horizontal="right" vertical="center" wrapText="1" readingOrder="2"/>
    </xf>
    <xf numFmtId="0" fontId="44" fillId="0" borderId="0" xfId="46" applyFont="1" applyAlignment="1">
      <alignment horizontal="right" vertical="center" wrapText="1" readingOrder="2"/>
    </xf>
    <xf numFmtId="0" fontId="44" fillId="0" borderId="51" xfId="46" applyFont="1" applyBorder="1" applyAlignment="1">
      <alignment horizontal="right" vertical="center" wrapText="1" readingOrder="2"/>
    </xf>
    <xf numFmtId="0" fontId="44" fillId="0" borderId="60" xfId="46" applyFont="1" applyBorder="1" applyAlignment="1">
      <alignment horizontal="center" vertical="center" wrapText="1" readingOrder="2"/>
    </xf>
    <xf numFmtId="0" fontId="74" fillId="0" borderId="0" xfId="46" applyFont="1" applyAlignment="1">
      <alignment horizontal="center" shrinkToFit="1"/>
    </xf>
    <xf numFmtId="164" fontId="65" fillId="0" borderId="0" xfId="46" applyNumberFormat="1" applyFont="1" applyAlignment="1">
      <alignment horizontal="right" shrinkToFit="1" readingOrder="2"/>
    </xf>
    <xf numFmtId="0" fontId="44" fillId="29" borderId="60" xfId="46" applyFont="1" applyFill="1" applyBorder="1" applyAlignment="1">
      <alignment horizontal="center" vertical="center" wrapText="1" readingOrder="2"/>
    </xf>
    <xf numFmtId="49" fontId="44" fillId="0" borderId="61" xfId="46" applyNumberFormat="1" applyFont="1" applyBorder="1" applyAlignment="1">
      <alignment horizontal="right" vertical="center" wrapText="1" readingOrder="2"/>
    </xf>
    <xf numFmtId="49" fontId="44" fillId="0" borderId="62" xfId="46" applyNumberFormat="1" applyFont="1" applyBorder="1" applyAlignment="1">
      <alignment horizontal="right" vertical="center" wrapText="1" readingOrder="2"/>
    </xf>
    <xf numFmtId="49" fontId="44" fillId="0" borderId="63" xfId="46" applyNumberFormat="1" applyFont="1" applyBorder="1" applyAlignment="1">
      <alignment horizontal="right" vertical="center" wrapText="1" readingOrder="2"/>
    </xf>
    <xf numFmtId="0" fontId="44" fillId="0" borderId="52" xfId="46" applyFont="1" applyBorder="1" applyAlignment="1">
      <alignment horizontal="right" vertical="center" wrapText="1" readingOrder="2"/>
    </xf>
    <xf numFmtId="0" fontId="44" fillId="0" borderId="57" xfId="46" applyFont="1" applyBorder="1" applyAlignment="1">
      <alignment horizontal="right" vertical="center" wrapText="1" readingOrder="2"/>
    </xf>
    <xf numFmtId="0" fontId="44" fillId="0" borderId="53" xfId="46" applyFont="1" applyBorder="1" applyAlignment="1">
      <alignment horizontal="right" vertical="center" wrapText="1" readingOrder="2"/>
    </xf>
    <xf numFmtId="0" fontId="44" fillId="0" borderId="61" xfId="46" applyFont="1" applyBorder="1" applyAlignment="1">
      <alignment horizontal="right" vertical="center" wrapText="1" readingOrder="2"/>
    </xf>
    <xf numFmtId="0" fontId="44" fillId="0" borderId="62" xfId="46" applyFont="1" applyBorder="1" applyAlignment="1">
      <alignment horizontal="right" vertical="center" wrapText="1" readingOrder="2"/>
    </xf>
    <xf numFmtId="0" fontId="44" fillId="0" borderId="63" xfId="46" applyFont="1" applyBorder="1" applyAlignment="1">
      <alignment horizontal="right"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0" fontId="111" fillId="0" borderId="57" xfId="49" applyFont="1" applyBorder="1" applyAlignment="1">
      <alignment horizontal="center" vertical="center"/>
    </xf>
    <xf numFmtId="0" fontId="44" fillId="0" borderId="60" xfId="46" applyFont="1" applyBorder="1" applyAlignment="1">
      <alignment horizontal="right" vertical="center" wrapText="1" readingOrder="2"/>
    </xf>
    <xf numFmtId="0" fontId="44" fillId="29" borderId="67" xfId="46" applyFont="1" applyFill="1" applyBorder="1" applyAlignment="1">
      <alignment horizontal="center" vertical="center" wrapText="1" readingOrder="2"/>
    </xf>
    <xf numFmtId="0" fontId="44" fillId="29" borderId="68" xfId="46" applyFont="1" applyFill="1" applyBorder="1" applyAlignment="1">
      <alignment horizontal="center" vertical="center" wrapText="1" readingOrder="2"/>
    </xf>
    <xf numFmtId="0" fontId="44" fillId="29" borderId="69" xfId="46" applyFont="1" applyFill="1" applyBorder="1" applyAlignment="1">
      <alignment horizontal="center" vertical="center" wrapText="1" readingOrder="2"/>
    </xf>
    <xf numFmtId="0" fontId="45" fillId="0" borderId="60" xfId="46" applyFont="1" applyBorder="1" applyAlignment="1">
      <alignment horizontal="right" vertical="center" wrapText="1" readingOrder="2"/>
    </xf>
    <xf numFmtId="0" fontId="45" fillId="0" borderId="64" xfId="46" applyFont="1" applyBorder="1" applyAlignment="1">
      <alignment horizontal="center" vertical="center" wrapText="1" readingOrder="2"/>
    </xf>
    <xf numFmtId="0" fontId="45" fillId="0" borderId="66" xfId="46" applyFont="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1" xfId="46" applyFont="1" applyBorder="1" applyAlignment="1">
      <alignment horizontal="right" vertical="center" shrinkToFit="1" readingOrder="2"/>
    </xf>
    <xf numFmtId="0" fontId="44" fillId="0" borderId="62" xfId="46" applyFont="1" applyBorder="1" applyAlignment="1">
      <alignment horizontal="right" vertical="center" shrinkToFit="1" readingOrder="2"/>
    </xf>
    <xf numFmtId="0" fontId="44" fillId="0" borderId="63" xfId="46" applyFont="1" applyBorder="1" applyAlignment="1">
      <alignment horizontal="right" vertical="center" shrinkToFit="1" readingOrder="2"/>
    </xf>
    <xf numFmtId="0" fontId="44" fillId="0" borderId="67" xfId="46" applyFont="1" applyBorder="1" applyAlignment="1">
      <alignment horizontal="right" vertical="center" wrapText="1" readingOrder="2"/>
    </xf>
    <xf numFmtId="0" fontId="44" fillId="0" borderId="68" xfId="46" applyFont="1" applyBorder="1" applyAlignment="1">
      <alignment horizontal="right" vertical="center" wrapText="1" readingOrder="2"/>
    </xf>
    <xf numFmtId="0" fontId="44" fillId="0" borderId="69" xfId="46" applyFont="1" applyBorder="1" applyAlignment="1">
      <alignment horizontal="right" vertical="center" wrapText="1" readingOrder="2"/>
    </xf>
    <xf numFmtId="0" fontId="67" fillId="0" borderId="61" xfId="46" applyFont="1" applyBorder="1" applyAlignment="1">
      <alignment horizontal="right" vertical="center" shrinkToFit="1" readingOrder="2"/>
    </xf>
    <xf numFmtId="0" fontId="68" fillId="0" borderId="61" xfId="46" applyFont="1" applyBorder="1" applyAlignment="1">
      <alignment horizontal="right" vertical="center" shrinkToFit="1" readingOrder="2"/>
    </xf>
    <xf numFmtId="0" fontId="68" fillId="0" borderId="62" xfId="46" applyFont="1" applyBorder="1" applyAlignment="1">
      <alignment horizontal="right" vertical="center" shrinkToFit="1" readingOrder="2"/>
    </xf>
    <xf numFmtId="0" fontId="68" fillId="0" borderId="63" xfId="46" applyFont="1" applyBorder="1" applyAlignment="1">
      <alignment horizontal="right" vertical="center" shrinkToFit="1" readingOrder="2"/>
    </xf>
    <xf numFmtId="0" fontId="41" fillId="0" borderId="60" xfId="49" applyFont="1" applyBorder="1" applyAlignment="1">
      <alignment horizontal="center" vertical="center" readingOrder="2"/>
    </xf>
    <xf numFmtId="0" fontId="70" fillId="0" borderId="60" xfId="46" applyFont="1" applyBorder="1" applyAlignment="1">
      <alignment horizontal="right" vertical="center" wrapText="1" readingOrder="2"/>
    </xf>
    <xf numFmtId="0" fontId="46" fillId="0" borderId="61" xfId="46" applyFont="1" applyBorder="1" applyAlignment="1">
      <alignment horizontal="right" vertical="center" wrapText="1" readingOrder="2"/>
    </xf>
    <xf numFmtId="0" fontId="46" fillId="0" borderId="62" xfId="46" applyFont="1" applyBorder="1" applyAlignment="1">
      <alignment horizontal="right" vertical="center" wrapText="1" readingOrder="2"/>
    </xf>
    <xf numFmtId="0" fontId="46" fillId="0" borderId="63" xfId="46" applyFont="1" applyBorder="1" applyAlignment="1">
      <alignment horizontal="right" vertical="center" wrapText="1" readingOrder="2"/>
    </xf>
    <xf numFmtId="0" fontId="45" fillId="0" borderId="60" xfId="46" applyFont="1" applyBorder="1" applyAlignment="1">
      <alignment horizontal="center" vertical="center" wrapText="1" readingOrder="2"/>
    </xf>
    <xf numFmtId="0" fontId="44" fillId="29" borderId="60" xfId="46" applyFont="1" applyFill="1" applyBorder="1" applyAlignment="1">
      <alignment horizontal="right" vertical="center" wrapText="1" readingOrder="2"/>
    </xf>
    <xf numFmtId="0" fontId="73" fillId="0" borderId="0" xfId="46" applyFont="1" applyAlignment="1">
      <alignment horizontal="center" vertical="center" readingOrder="2"/>
    </xf>
    <xf numFmtId="0" fontId="73" fillId="0" borderId="57" xfId="46" applyFont="1" applyBorder="1" applyAlignment="1">
      <alignment horizontal="center" vertical="top" readingOrder="2"/>
    </xf>
    <xf numFmtId="0" fontId="44" fillId="0" borderId="61" xfId="46" applyFont="1" applyBorder="1" applyAlignment="1">
      <alignment horizontal="left" vertical="center" wrapText="1" readingOrder="2"/>
    </xf>
    <xf numFmtId="0" fontId="44" fillId="0" borderId="62" xfId="46" applyFont="1" applyBorder="1" applyAlignment="1">
      <alignment horizontal="left" vertical="center" wrapText="1" readingOrder="2"/>
    </xf>
    <xf numFmtId="0" fontId="44" fillId="0" borderId="52" xfId="46" applyFont="1" applyBorder="1" applyAlignment="1">
      <alignment horizontal="center" vertical="center" wrapText="1" readingOrder="2"/>
    </xf>
    <xf numFmtId="0" fontId="44" fillId="0" borderId="57" xfId="46" applyFont="1" applyBorder="1" applyAlignment="1">
      <alignment horizontal="center" vertical="center" wrapText="1" readingOrder="2"/>
    </xf>
    <xf numFmtId="0" fontId="44" fillId="0" borderId="53" xfId="46" applyFont="1" applyBorder="1" applyAlignment="1">
      <alignment horizontal="center" vertical="center" wrapText="1" readingOrder="2"/>
    </xf>
    <xf numFmtId="0" fontId="67" fillId="29" borderId="60" xfId="46" applyFont="1" applyFill="1" applyBorder="1" applyAlignment="1">
      <alignment horizontal="center"/>
    </xf>
    <xf numFmtId="0" fontId="80" fillId="0" borderId="57" xfId="0" applyFont="1" applyBorder="1" applyAlignment="1">
      <alignment horizontal="center"/>
    </xf>
    <xf numFmtId="0" fontId="126" fillId="0" borderId="0" xfId="0" applyFont="1" applyAlignment="1" applyProtection="1">
      <alignment horizontal="center" vertical="center"/>
    </xf>
    <xf numFmtId="0" fontId="56" fillId="26" borderId="0" xfId="0" applyFont="1" applyFill="1" applyAlignment="1" applyProtection="1">
      <alignment horizontal="right" vertical="center"/>
      <protection locked="0"/>
    </xf>
    <xf numFmtId="49" fontId="56" fillId="26" borderId="0" xfId="0" applyNumberFormat="1" applyFont="1" applyFill="1" applyAlignment="1" applyProtection="1">
      <alignment horizontal="right" vertical="center"/>
      <protection locked="0"/>
    </xf>
    <xf numFmtId="1" fontId="64" fillId="0" borderId="0" xfId="0" applyNumberFormat="1" applyFont="1" applyAlignment="1" applyProtection="1">
      <alignment horizontal="center" vertical="center"/>
    </xf>
    <xf numFmtId="0" fontId="64" fillId="0" borderId="0" xfId="0" applyNumberFormat="1" applyFont="1" applyAlignment="1" applyProtection="1">
      <alignment horizontal="center" vertical="center"/>
    </xf>
    <xf numFmtId="0" fontId="31" fillId="25" borderId="15" xfId="50" applyNumberFormat="1" applyFont="1" applyFill="1" applyBorder="1" applyAlignment="1">
      <alignment horizontal="center" vertical="center" shrinkToFit="1" readingOrder="1"/>
    </xf>
    <xf numFmtId="0" fontId="31" fillId="25" borderId="19" xfId="50" applyNumberFormat="1" applyFont="1" applyFill="1" applyBorder="1" applyAlignment="1">
      <alignment horizontal="center" vertical="center" shrinkToFit="1" readingOrder="1"/>
    </xf>
    <xf numFmtId="3" fontId="31" fillId="25" borderId="15" xfId="50" applyNumberFormat="1" applyFont="1" applyFill="1" applyBorder="1" applyAlignment="1">
      <alignment horizontal="center" vertical="center" readingOrder="1"/>
    </xf>
    <xf numFmtId="3" fontId="31" fillId="25" borderId="19" xfId="50" applyNumberFormat="1" applyFont="1" applyFill="1" applyBorder="1" applyAlignment="1">
      <alignment horizontal="center" vertical="center" readingOrder="1"/>
    </xf>
    <xf numFmtId="0" fontId="31" fillId="25" borderId="15" xfId="50" applyNumberFormat="1" applyFont="1" applyFill="1" applyBorder="1" applyAlignment="1">
      <alignment horizontal="center" vertical="center" readingOrder="1"/>
    </xf>
    <xf numFmtId="0" fontId="31" fillId="25" borderId="19" xfId="50" applyNumberFormat="1" applyFont="1" applyFill="1" applyBorder="1" applyAlignment="1">
      <alignment horizontal="center" vertical="center" readingOrder="1"/>
    </xf>
    <xf numFmtId="3" fontId="31" fillId="25" borderId="15" xfId="50" applyNumberFormat="1" applyFont="1" applyFill="1" applyBorder="1" applyAlignment="1">
      <alignment horizontal="center" vertical="center" wrapText="1" readingOrder="1"/>
    </xf>
    <xf numFmtId="3" fontId="31" fillId="25" borderId="19" xfId="50" applyNumberFormat="1" applyFont="1" applyFill="1" applyBorder="1" applyAlignment="1">
      <alignment horizontal="center" vertical="center" wrapText="1" readingOrder="1"/>
    </xf>
    <xf numFmtId="0" fontId="27" fillId="0" borderId="19" xfId="0" applyNumberFormat="1" applyFont="1" applyBorder="1" applyAlignment="1">
      <alignment horizontal="center" vertical="center" readingOrder="2"/>
    </xf>
    <xf numFmtId="166" fontId="31" fillId="25" borderId="15" xfId="50" applyNumberFormat="1" applyFont="1" applyFill="1" applyBorder="1" applyAlignment="1">
      <alignment horizontal="center" vertical="center" wrapText="1" readingOrder="1"/>
    </xf>
    <xf numFmtId="166" fontId="31" fillId="25" borderId="19" xfId="50" applyNumberFormat="1" applyFont="1" applyFill="1" applyBorder="1" applyAlignment="1">
      <alignment horizontal="center" vertical="center" wrapText="1" readingOrder="1"/>
    </xf>
    <xf numFmtId="10" fontId="27" fillId="0" borderId="30" xfId="0" applyNumberFormat="1" applyFont="1" applyBorder="1" applyAlignment="1">
      <alignment horizontal="center" vertical="center" readingOrder="2"/>
    </xf>
    <xf numFmtId="10" fontId="27" fillId="0" borderId="0" xfId="0" applyNumberFormat="1" applyFont="1" applyAlignment="1">
      <alignment horizontal="center" vertical="center" readingOrder="2"/>
    </xf>
    <xf numFmtId="0" fontId="26" fillId="0" borderId="31" xfId="0" applyNumberFormat="1" applyFont="1" applyBorder="1" applyAlignment="1">
      <alignment horizontal="center" vertical="center" readingOrder="2"/>
    </xf>
    <xf numFmtId="3" fontId="31" fillId="25" borderId="20" xfId="50" applyNumberFormat="1" applyFont="1" applyFill="1" applyBorder="1" applyAlignment="1">
      <alignment horizontal="center" vertical="center" readingOrder="1"/>
    </xf>
    <xf numFmtId="3" fontId="31" fillId="25" borderId="21" xfId="50" applyNumberFormat="1" applyFont="1" applyFill="1" applyBorder="1" applyAlignment="1">
      <alignment horizontal="center" vertical="center" readingOrder="1"/>
    </xf>
    <xf numFmtId="3" fontId="31" fillId="25" borderId="22" xfId="50" applyNumberFormat="1" applyFont="1" applyFill="1" applyBorder="1" applyAlignment="1">
      <alignment horizontal="center" vertical="center" readingOrder="1"/>
    </xf>
    <xf numFmtId="168" fontId="33" fillId="0" borderId="0" xfId="0" applyNumberFormat="1" applyFont="1" applyAlignment="1">
      <alignment horizontal="center" vertical="center" readingOrder="2"/>
    </xf>
    <xf numFmtId="0" fontId="31" fillId="25" borderId="15" xfId="42" applyFont="1" applyFill="1" applyBorder="1" applyAlignment="1">
      <alignment horizontal="center" vertical="center" shrinkToFit="1" readingOrder="1"/>
    </xf>
    <xf numFmtId="0" fontId="31" fillId="25" borderId="19" xfId="42" applyFont="1" applyFill="1" applyBorder="1" applyAlignment="1">
      <alignment horizontal="center" vertical="center" shrinkToFit="1" readingOrder="1"/>
    </xf>
    <xf numFmtId="0" fontId="26" fillId="0" borderId="31" xfId="0" applyFont="1" applyBorder="1" applyAlignment="1">
      <alignment horizontal="center" vertical="center" readingOrder="2"/>
    </xf>
    <xf numFmtId="168" fontId="27" fillId="0" borderId="30" xfId="45" applyNumberFormat="1" applyFont="1" applyBorder="1" applyAlignment="1">
      <alignment horizontal="center" vertical="center" readingOrder="2"/>
    </xf>
    <xf numFmtId="3" fontId="31" fillId="25" borderId="15" xfId="42" applyNumberFormat="1" applyFont="1" applyFill="1" applyBorder="1" applyAlignment="1">
      <alignment horizontal="center" vertical="center" readingOrder="1"/>
    </xf>
    <xf numFmtId="3" fontId="31" fillId="25" borderId="19" xfId="42" applyNumberFormat="1" applyFont="1" applyFill="1" applyBorder="1" applyAlignment="1">
      <alignment horizontal="center" vertical="center" readingOrder="1"/>
    </xf>
    <xf numFmtId="0" fontId="31" fillId="25" borderId="15" xfId="42" applyFont="1" applyFill="1" applyBorder="1" applyAlignment="1">
      <alignment horizontal="center" vertical="center" readingOrder="1"/>
    </xf>
    <xf numFmtId="0" fontId="31" fillId="25" borderId="19" xfId="42" applyFont="1" applyFill="1" applyBorder="1" applyAlignment="1">
      <alignment horizontal="center" vertical="center" readingOrder="1"/>
    </xf>
    <xf numFmtId="3" fontId="31" fillId="25" borderId="15" xfId="42" applyNumberFormat="1" applyFont="1" applyFill="1" applyBorder="1" applyAlignment="1">
      <alignment horizontal="center" vertical="center" wrapText="1" readingOrder="1"/>
    </xf>
    <xf numFmtId="3" fontId="31" fillId="25" borderId="19" xfId="42" applyNumberFormat="1" applyFont="1" applyFill="1" applyBorder="1" applyAlignment="1">
      <alignment horizontal="center" vertical="center" wrapText="1" readingOrder="1"/>
    </xf>
    <xf numFmtId="3" fontId="31" fillId="25" borderId="20" xfId="42" applyNumberFormat="1" applyFont="1" applyFill="1" applyBorder="1" applyAlignment="1">
      <alignment horizontal="center" vertical="center" readingOrder="1"/>
    </xf>
    <xf numFmtId="3" fontId="31" fillId="25" borderId="21" xfId="42" applyNumberFormat="1" applyFont="1" applyFill="1" applyBorder="1" applyAlignment="1">
      <alignment horizontal="center" vertical="center" readingOrder="1"/>
    </xf>
    <xf numFmtId="3" fontId="31" fillId="25" borderId="22" xfId="42" applyNumberFormat="1" applyFont="1" applyFill="1" applyBorder="1" applyAlignment="1">
      <alignment horizontal="center" vertical="center" readingOrder="1"/>
    </xf>
    <xf numFmtId="166" fontId="31" fillId="25" borderId="15" xfId="42" applyNumberFormat="1" applyFont="1" applyFill="1" applyBorder="1" applyAlignment="1">
      <alignment horizontal="center" vertical="center" wrapText="1" readingOrder="1"/>
    </xf>
    <xf numFmtId="166" fontId="31" fillId="25" borderId="19" xfId="42" applyNumberFormat="1" applyFont="1" applyFill="1" applyBorder="1" applyAlignment="1">
      <alignment horizontal="center" vertical="center" wrapText="1" readingOrder="1"/>
    </xf>
    <xf numFmtId="0" fontId="27" fillId="0" borderId="19" xfId="0" applyFont="1" applyBorder="1" applyAlignment="1">
      <alignment horizontal="center" vertical="center" readingOrder="2"/>
    </xf>
  </cellXfs>
  <cellStyles count="5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 2" xfId="46"/>
    <cellStyle name="Normal 3" xfId="47"/>
    <cellStyle name="Normal 4" xfId="49"/>
    <cellStyle name="Normal_1جدول ايدى فى ايدك جديد" xfId="43"/>
    <cellStyle name="Normal_1جدول ايدى فى ايدك جديد 2" xfId="51"/>
    <cellStyle name="Normal_hldg2" xfId="44"/>
    <cellStyle name="Normal_جدول الأقساط_1جدول ايدى فى ايدك جديد" xfId="42"/>
    <cellStyle name="Normal_جدول الأقساط_1جدول ايدى فى ايدك جديد 2" xfId="50"/>
    <cellStyle name="Note" xfId="37" builtinId="10" customBuiltin="1"/>
    <cellStyle name="Output" xfId="38" builtinId="21" customBuiltin="1"/>
    <cellStyle name="Percent" xfId="45" builtinId="5"/>
    <cellStyle name="Percent 2" xfId="48"/>
    <cellStyle name="Title" xfId="39" builtinId="15" customBuiltin="1"/>
    <cellStyle name="Total" xfId="40" builtinId="25" customBuiltin="1"/>
    <cellStyle name="Warning Text" xfId="41" builtinId="11" customBuiltin="1"/>
  </cellStyles>
  <dxfs count="46">
    <dxf>
      <font>
        <b val="0"/>
        <i val="0"/>
        <strike val="0"/>
        <condense val="0"/>
        <extend val="0"/>
        <outline val="0"/>
        <shadow val="0"/>
        <u val="none"/>
        <vertAlign val="baseline"/>
        <sz val="10"/>
        <color auto="1"/>
        <name val="Arial"/>
        <scheme val="none"/>
      </font>
      <numFmt numFmtId="0" formatCode="General"/>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FF0000"/>
        </patternFill>
      </fill>
    </dxf>
    <dxf>
      <numFmt numFmtId="0" formatCode="General"/>
      <alignment horizontal="right" vertical="bottom" textRotation="0" wrapText="0" indent="1" justifyLastLine="0" shrinkToFit="0" readingOrder="2"/>
      <border diagonalUp="0" diagonalDown="0">
        <left style="thin">
          <color auto="1"/>
        </left>
        <right style="thin">
          <color auto="1"/>
        </right>
        <top style="hair">
          <color auto="1"/>
        </top>
        <bottom style="hair">
          <color auto="1"/>
        </bottom>
      </border>
    </dxf>
    <dxf>
      <numFmt numFmtId="0" formatCode="General"/>
      <alignment horizontal="right" vertical="bottom" textRotation="0" wrapText="0" indent="1" justifyLastLine="0" shrinkToFit="0" readingOrder="2"/>
      <border diagonalUp="0" diagonalDown="0">
        <left style="thin">
          <color auto="1"/>
        </left>
        <right style="thin">
          <color auto="1"/>
        </right>
        <top style="hair">
          <color auto="1"/>
        </top>
        <bottom style="hair">
          <color auto="1"/>
        </bottom>
      </border>
    </dxf>
    <dxf>
      <numFmt numFmtId="0" formatCode="General"/>
      <alignment horizontal="right" vertical="bottom" textRotation="0" wrapText="0" indent="1" justifyLastLine="0" shrinkToFit="0" readingOrder="2"/>
      <border diagonalUp="0" diagonalDown="0">
        <left style="thin">
          <color auto="1"/>
        </left>
        <right style="thin">
          <color auto="1"/>
        </right>
        <top style="hair">
          <color auto="1"/>
        </top>
        <bottom style="hair">
          <color auto="1"/>
        </bottom>
      </border>
    </dxf>
    <dxf>
      <numFmt numFmtId="0" formatCode="General"/>
      <alignment horizontal="right" vertical="bottom" textRotation="0" wrapText="0" indent="1" justifyLastLine="0" shrinkToFit="0" readingOrder="2"/>
      <border diagonalUp="0" diagonalDown="0">
        <left style="thin">
          <color auto="1"/>
        </left>
        <right style="thin">
          <color auto="1"/>
        </right>
        <top style="hair">
          <color auto="1"/>
        </top>
        <bottom style="hair">
          <color auto="1"/>
        </bottom>
      </border>
    </dxf>
    <dxf>
      <numFmt numFmtId="0" formatCode="General"/>
      <alignment horizontal="right" vertical="bottom" textRotation="0" wrapText="0" indent="1" justifyLastLine="0" shrinkToFit="0" readingOrder="2"/>
      <border diagonalUp="0" diagonalDown="0">
        <left style="thin">
          <color auto="1"/>
        </left>
        <right style="thin">
          <color auto="1"/>
        </right>
        <top style="hair">
          <color auto="1"/>
        </top>
        <bottom style="hair">
          <color auto="1"/>
        </bottom>
      </border>
    </dxf>
    <dxf>
      <numFmt numFmtId="0" formatCode="General"/>
      <alignment horizontal="right" vertical="bottom" textRotation="0" wrapText="0" indent="1" justifyLastLine="0" shrinkToFit="0" readingOrder="2"/>
      <border diagonalUp="0" diagonalDown="0">
        <left style="thin">
          <color auto="1"/>
        </left>
        <right style="thin">
          <color auto="1"/>
        </right>
        <top style="hair">
          <color auto="1"/>
        </top>
        <bottom style="hair">
          <color auto="1"/>
        </bottom>
      </border>
    </dxf>
    <dxf>
      <numFmt numFmtId="0" formatCode="General"/>
      <alignment horizontal="right" vertical="bottom" textRotation="0" wrapText="0" indent="1" justifyLastLine="0" shrinkToFit="0" readingOrder="2"/>
      <border diagonalUp="0" diagonalDown="0">
        <left style="double">
          <color auto="1"/>
        </left>
        <right style="thin">
          <color auto="1"/>
        </right>
        <top style="hair">
          <color auto="1"/>
        </top>
        <bottom style="hair">
          <color auto="1"/>
        </bottom>
      </border>
    </dxf>
    <dxf>
      <numFmt numFmtId="0" formatCode="General"/>
      <alignment horizontal="right" vertical="bottom" textRotation="0" wrapText="0" indent="1" justifyLastLine="0" shrinkToFit="0" readingOrder="2"/>
      <border diagonalUp="0" diagonalDown="0">
        <left style="double">
          <color auto="1"/>
        </left>
        <right style="thin">
          <color auto="1"/>
        </right>
        <top style="hair">
          <color auto="1"/>
        </top>
        <bottom style="hair">
          <color auto="1"/>
        </bottom>
      </border>
    </dxf>
    <dxf>
      <border outline="0">
        <bottom style="double">
          <color auto="1"/>
        </bottom>
      </border>
    </dxf>
    <dxf>
      <numFmt numFmtId="0" formatCode="General"/>
      <alignment horizontal="right" vertical="bottom" textRotation="0" wrapText="0" indent="1" justifyLastLine="0" shrinkToFit="0" readingOrder="2"/>
    </dxf>
    <dxf>
      <numFmt numFmtId="0" formatCode="General"/>
      <alignment horizontal="right" vertical="bottom" textRotation="0" wrapText="0" indent="1" justifyLastLine="0" shrinkToFit="0" readingOrder="2"/>
    </dxf>
    <dxf>
      <fill>
        <patternFill patternType="solid">
          <fgColor indexed="64"/>
          <bgColor theme="7" tint="0.79998168889431442"/>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14" formatCode="0.0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4" formatCode="0.0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3" formatCode="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14" formatCode="0.0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3" formatCode="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3" formatCode="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7" tint="0.79998168889431442"/>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0"/>
        <color rgb="FFFF0000"/>
        <name val="Arial"/>
        <scheme val="none"/>
      </font>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1" defaultTableStyle="TableStyleMedium9" defaultPivotStyle="PivotStyleLight16">
    <tableStyle name="Invisible" pivot="0" table="0" count="0"/>
  </tableStyles>
  <colors>
    <mruColors>
      <color rgb="FF000099"/>
      <color rgb="FFCCFFCC"/>
      <color rgb="FFFFCCFF"/>
      <color rgb="FFCCFFFF"/>
      <color rgb="FFFFFFCC"/>
      <color rgb="FFFFFFA7"/>
      <color rgb="FFFFFF99"/>
      <color rgb="FFCCFF66"/>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https://api.qrserver.com/v1/create-qr-code/?size=100x100&amp;data=%20," TargetMode="External"/><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https://api.qrserver.com/v1/create-qr-code/?size=100x100&amp;data=%20,"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https://api.qrserver.com/v1/create-qr-code/?size=100x100&amp;data=26.170153%20,32.740988" TargetMode="External"/></Relationships>
</file>

<file path=xl/drawings/_rels/drawing4.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image" Target="../media/image4.jpeg"/></Relationships>
</file>

<file path=xl/drawings/_rels/drawing7.xml.rels><?xml version="1.0" encoding="UTF-8" standalone="yes"?>
<Relationships xmlns="http://schemas.openxmlformats.org/package/2006/relationships"><Relationship Id="rId2" Type="http://schemas.microsoft.com/office/2007/relationships/hdphoto" Target="../media/hdphoto3.wdp"/><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1</xdr:col>
      <xdr:colOff>10160</xdr:colOff>
      <xdr:row>1</xdr:row>
      <xdr:rowOff>78740</xdr:rowOff>
    </xdr:from>
    <xdr:to>
      <xdr:col>1</xdr:col>
      <xdr:colOff>381000</xdr:colOff>
      <xdr:row>3</xdr:row>
      <xdr:rowOff>37656</xdr:rowOff>
    </xdr:to>
    <xdr:pic>
      <xdr:nvPicPr>
        <xdr:cNvPr id="2" name="Picture 1" descr="upegypt2">
          <a:extLst>
            <a:ext uri="{FF2B5EF4-FFF2-40B4-BE49-F238E27FC236}">
              <a16:creationId xmlns:a16="http://schemas.microsoft.com/office/drawing/2014/main" id="{AAADC67B-AC1D-4ECD-8C81-DA60BBBAD4D6}"/>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987404460" y="414020"/>
          <a:ext cx="370840" cy="629476"/>
        </a:xfrm>
        <a:prstGeom prst="rect">
          <a:avLst/>
        </a:prstGeom>
        <a:noFill/>
        <a:ln w="25400">
          <a:noFill/>
          <a:miter lim="800000"/>
          <a:headEnd/>
          <a:tailEnd/>
        </a:ln>
      </xdr:spPr>
    </xdr:pic>
    <xdr:clientData/>
  </xdr:twoCellAnchor>
  <xdr:twoCellAnchor editAs="oneCell">
    <xdr:from>
      <xdr:col>11</xdr:col>
      <xdr:colOff>63500</xdr:colOff>
      <xdr:row>8</xdr:row>
      <xdr:rowOff>63500</xdr:rowOff>
    </xdr:from>
    <xdr:to>
      <xdr:col>12</xdr:col>
      <xdr:colOff>263406</xdr:colOff>
      <xdr:row>11</xdr:row>
      <xdr:rowOff>53856</xdr:rowOff>
    </xdr:to>
    <xdr:pic>
      <xdr:nvPicPr>
        <xdr:cNvPr id="3" name="My_QR_CODE_L9"/>
        <xdr:cNvPicPr>
          <a:picLocks noChangeAspect="1"/>
        </xdr:cNvPicPr>
      </xdr:nvPicPr>
      <xdr:blipFill>
        <a:blip xmlns:r="http://schemas.openxmlformats.org/officeDocument/2006/relationships" r:link="rId2"/>
        <a:stretch>
          <a:fillRect/>
        </a:stretch>
      </xdr:blipFill>
      <xdr:spPr>
        <a:xfrm>
          <a:off x="9669573744" y="2968625"/>
          <a:ext cx="952381" cy="95238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2578100</xdr:colOff>
      <xdr:row>10</xdr:row>
      <xdr:rowOff>25400</xdr:rowOff>
    </xdr:from>
    <xdr:to>
      <xdr:col>4</xdr:col>
      <xdr:colOff>115088</xdr:colOff>
      <xdr:row>13</xdr:row>
      <xdr:rowOff>161353</xdr:rowOff>
    </xdr:to>
    <xdr:pic>
      <xdr:nvPicPr>
        <xdr:cNvPr id="2" name="My_QR_CODE_L9"/>
        <xdr:cNvPicPr>
          <a:picLocks noChangeAspect="1"/>
        </xdr:cNvPicPr>
      </xdr:nvPicPr>
      <xdr:blipFill>
        <a:blip xmlns:r="http://schemas.openxmlformats.org/officeDocument/2006/relationships" r:link="rId1"/>
        <a:stretch>
          <a:fillRect/>
        </a:stretch>
      </xdr:blipFill>
      <xdr:spPr>
        <a:xfrm>
          <a:off x="10036129762" y="2968625"/>
          <a:ext cx="956463" cy="93605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16</xdr:col>
      <xdr:colOff>101600</xdr:colOff>
      <xdr:row>6</xdr:row>
      <xdr:rowOff>206375</xdr:rowOff>
    </xdr:from>
    <xdr:to>
      <xdr:col>17</xdr:col>
      <xdr:colOff>444381</xdr:colOff>
      <xdr:row>6</xdr:row>
      <xdr:rowOff>1158756</xdr:rowOff>
    </xdr:to>
    <xdr:pic>
      <xdr:nvPicPr>
        <xdr:cNvPr id="2" name="My_QR_CODE_L9"/>
        <xdr:cNvPicPr>
          <a:picLocks noChangeAspect="1"/>
        </xdr:cNvPicPr>
      </xdr:nvPicPr>
      <xdr:blipFill>
        <a:blip xmlns:r="http://schemas.openxmlformats.org/officeDocument/2006/relationships" r:link="rId1"/>
        <a:stretch>
          <a:fillRect/>
        </a:stretch>
      </xdr:blipFill>
      <xdr:spPr>
        <a:xfrm>
          <a:off x="9976878819" y="1568450"/>
          <a:ext cx="952381" cy="95238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16</xdr:col>
      <xdr:colOff>2968627</xdr:colOff>
      <xdr:row>8</xdr:row>
      <xdr:rowOff>660400</xdr:rowOff>
    </xdr:to>
    <xdr:pic>
      <xdr:nvPicPr>
        <xdr:cNvPr id="2" name="Picture 1">
          <a:extLst>
            <a:ext uri="{FF2B5EF4-FFF2-40B4-BE49-F238E27FC236}">
              <a16:creationId xmlns:a16="http://schemas.microsoft.com/office/drawing/2014/main" id="{B26B5ABB-BD7E-44B6-85B1-472EF4A91D2F}"/>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extLst>
            <a:ext uri="{BEBA8EAE-BF5A-486C-A8C5-ECC9F3942E4B}">
              <a14:imgProps xmlns:a14="http://schemas.microsoft.com/office/drawing/2010/main">
                <a14:imgLayer r:embed="rId2">
                  <a14:imgEffect>
                    <a14:sharpenSoften amount="30000"/>
                  </a14:imgEffect>
                  <a14:imgEffect>
                    <a14:saturation sat="266000"/>
                  </a14:imgEffect>
                  <a14:imgEffect>
                    <a14:brightnessContrast bright="-38000" contrast="81000"/>
                  </a14:imgEffect>
                </a14:imgLayer>
              </a14:imgProps>
            </a:ext>
            <a:ext uri="{28A0092B-C50C-407E-A947-70E740481C1C}">
              <a14:useLocalDpi xmlns:a14="http://schemas.microsoft.com/office/drawing/2010/main" val="0"/>
            </a:ext>
          </a:extLst>
        </a:blip>
        <a:srcRect t="13469"/>
        <a:stretch>
          <a:fillRect/>
        </a:stretch>
      </xdr:blipFill>
      <xdr:spPr>
        <a:xfrm>
          <a:off x="10186038173" y="0"/>
          <a:ext cx="18869027" cy="26924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14578</xdr:colOff>
      <xdr:row>0</xdr:row>
      <xdr:rowOff>55880</xdr:rowOff>
    </xdr:from>
    <xdr:to>
      <xdr:col>1</xdr:col>
      <xdr:colOff>320039</xdr:colOff>
      <xdr:row>2</xdr:row>
      <xdr:rowOff>254000</xdr:rowOff>
    </xdr:to>
    <xdr:pic>
      <xdr:nvPicPr>
        <xdr:cNvPr id="2" name="Picture 12">
          <a:extLst>
            <a:ext uri="{FF2B5EF4-FFF2-40B4-BE49-F238E27FC236}">
              <a16:creationId xmlns:a16="http://schemas.microsoft.com/office/drawing/2014/main" id="{91243800-E27D-4D1E-9CF4-CD107A3F773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10240589121" y="55880"/>
          <a:ext cx="305461" cy="497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86058</xdr:colOff>
      <xdr:row>2</xdr:row>
      <xdr:rowOff>22860</xdr:rowOff>
    </xdr:from>
    <xdr:to>
      <xdr:col>5</xdr:col>
      <xdr:colOff>867332</xdr:colOff>
      <xdr:row>9</xdr:row>
      <xdr:rowOff>0</xdr:rowOff>
    </xdr:to>
    <xdr:sp macro="" textlink="">
      <xdr:nvSpPr>
        <xdr:cNvPr id="2" name="Text Box 2"/>
        <xdr:cNvSpPr txBox="1">
          <a:spLocks noChangeArrowheads="1"/>
        </xdr:cNvSpPr>
      </xdr:nvSpPr>
      <xdr:spPr bwMode="auto">
        <a:xfrm>
          <a:off x="9987177208" y="327660"/>
          <a:ext cx="1794734" cy="1341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1">
            <a:defRPr sz="1000"/>
          </a:pPr>
          <a:r>
            <a:rPr lang="ar-EG" sz="1100" b="1" i="0" u="none" strike="noStrike" baseline="0">
              <a:solidFill>
                <a:srgbClr val="000000"/>
              </a:solidFill>
              <a:latin typeface="Simplified Arabic" pitchFamily="18" charset="-78"/>
              <a:cs typeface="Simplified Arabic" pitchFamily="18" charset="-78"/>
            </a:rPr>
            <a:t>جمعية الصعيد للتربية والتنمية</a:t>
          </a:r>
        </a:p>
        <a:p>
          <a:pPr algn="ctr" rtl="1">
            <a:defRPr sz="1000"/>
          </a:pPr>
          <a:r>
            <a:rPr lang="ar-EG" sz="1100" b="1" i="0" u="none" strike="noStrike" baseline="0">
              <a:solidFill>
                <a:srgbClr val="000000"/>
              </a:solidFill>
              <a:latin typeface="Simplified Arabic" pitchFamily="18" charset="-78"/>
              <a:cs typeface="Simplified Arabic" pitchFamily="18" charset="-78"/>
            </a:rPr>
            <a:t>برنامج القروض المتناهية الصغر</a:t>
          </a:r>
        </a:p>
        <a:p>
          <a:pPr algn="ctr" rtl="1">
            <a:defRPr sz="1000"/>
          </a:pPr>
          <a:r>
            <a:rPr lang="ar-EG" sz="1100" b="1" i="0" u="none" strike="noStrike" baseline="0">
              <a:solidFill>
                <a:srgbClr val="000000"/>
              </a:solidFill>
              <a:latin typeface="Simplified Arabic" pitchFamily="18" charset="-78"/>
              <a:cs typeface="Simplified Arabic" pitchFamily="18" charset="-78"/>
            </a:rPr>
            <a:t>ترخيص رقم : 1420</a:t>
          </a:r>
        </a:p>
        <a:p>
          <a:pPr algn="r" rtl="1">
            <a:defRPr sz="1000"/>
          </a:pPr>
          <a:r>
            <a:rPr lang="ar-EG" sz="1300" b="1">
              <a:effectLst/>
              <a:latin typeface="Simplified Arabic" pitchFamily="18" charset="-78"/>
              <a:ea typeface="+mn-ea"/>
              <a:cs typeface="Simplified Arabic" pitchFamily="18" charset="-78"/>
            </a:rPr>
            <a:t>      مكتب نجع</a:t>
          </a:r>
          <a:r>
            <a:rPr lang="ar-EG" sz="1300" b="1" baseline="0">
              <a:effectLst/>
              <a:latin typeface="Simplified Arabic" pitchFamily="18" charset="-78"/>
              <a:ea typeface="+mn-ea"/>
              <a:cs typeface="Simplified Arabic" pitchFamily="18" charset="-78"/>
            </a:rPr>
            <a:t> حمادي</a:t>
          </a:r>
          <a:endParaRPr lang="ar-EG" sz="1300" b="1" i="0" u="none" strike="noStrike" baseline="0">
            <a:solidFill>
              <a:srgbClr val="000000"/>
            </a:solidFill>
            <a:latin typeface="Simplified Arabic" pitchFamily="18" charset="-78"/>
            <a:cs typeface="Simplified Arabic" pitchFamily="18" charset="-78"/>
          </a:endParaRPr>
        </a:p>
      </xdr:txBody>
    </xdr:sp>
    <xdr:clientData/>
  </xdr:twoCellAnchor>
  <xdr:twoCellAnchor>
    <xdr:from>
      <xdr:col>11</xdr:col>
      <xdr:colOff>1111625</xdr:colOff>
      <xdr:row>2</xdr:row>
      <xdr:rowOff>6274</xdr:rowOff>
    </xdr:from>
    <xdr:to>
      <xdr:col>11</xdr:col>
      <xdr:colOff>1807585</xdr:colOff>
      <xdr:row>4</xdr:row>
      <xdr:rowOff>185867</xdr:rowOff>
    </xdr:to>
    <xdr:pic>
      <xdr:nvPicPr>
        <xdr:cNvPr id="3" name="Picture 1" descr="E:\سكرتارية جديده\نمازج\شعار الجمعية12.jpg"/>
        <xdr:cNvPicPr>
          <a:picLocks noChangeAspect="1" noChangeArrowheads="1"/>
        </xdr:cNvPicPr>
      </xdr:nvPicPr>
      <xdr:blipFill>
        <a:blip xmlns:r="http://schemas.openxmlformats.org/officeDocument/2006/relationships" r:embed="rId1" cstate="print">
          <a:clrChange>
            <a:clrFrom>
              <a:srgbClr val="000000"/>
            </a:clrFrom>
            <a:clrTo>
              <a:srgbClr val="000000">
                <a:alpha val="0"/>
              </a:srgbClr>
            </a:clrTo>
          </a:clrChange>
          <a:extLst>
            <a:ext uri="{28A0092B-C50C-407E-A947-70E740481C1C}">
              <a14:useLocalDpi xmlns:a14="http://schemas.microsoft.com/office/drawing/2010/main" val="0"/>
            </a:ext>
          </a:extLst>
        </a:blip>
        <a:srcRect/>
        <a:stretch>
          <a:fillRect/>
        </a:stretch>
      </xdr:blipFill>
      <xdr:spPr bwMode="auto">
        <a:xfrm>
          <a:off x="9980407655" y="311074"/>
          <a:ext cx="695960" cy="827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266038</xdr:colOff>
      <xdr:row>3</xdr:row>
      <xdr:rowOff>33020</xdr:rowOff>
    </xdr:from>
    <xdr:to>
      <xdr:col>0</xdr:col>
      <xdr:colOff>457200</xdr:colOff>
      <xdr:row>4</xdr:row>
      <xdr:rowOff>193537</xdr:rowOff>
    </xdr:to>
    <xdr:pic>
      <xdr:nvPicPr>
        <xdr:cNvPr id="2" name="Picture 12">
          <a:extLst>
            <a:ext uri="{FF2B5EF4-FFF2-40B4-BE49-F238E27FC236}">
              <a16:creationId xmlns:a16="http://schemas.microsoft.com/office/drawing/2014/main" id="{321181EB-708A-4370-835D-1A6B9EDE0E0D}"/>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9677180925" y="233045"/>
          <a:ext cx="191162" cy="379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5azena\d\&#1575;&#1604;&#1604;&#1580;&#1606;&#1577;\2024\3-2024\&#1593;&#1602;&#1608;&#1583;%20&#1575;&#1604;&#1604;&#1580;&#1606;&#1577;%20&#1575;&#1604;&#1585;&#1574;&#1610;&#1587;&#1610;&#1577;%20-%20&#1605;&#1593;&#1583;&#1604;\&#1601;&#1578;&#1581;&#1610;%20&#1593;&#1576;&#1583;&#1575;&#1604;&#1605;&#1606;&#1593;&#1605;%20&#1605;&#1581;&#1605;&#1583;%20&#1605;&#1581;&#1605;&#1608;&#158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5azena\d\&#1575;&#1604;&#1604;&#1580;&#1606;&#1577;\2022\12-2022\&#1593;&#1602;&#1608;&#1583;%20&#1585;&#1574;&#1610;&#1587;&#1610;&#1577;.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Contract_12-2023_Last_Update_MyNew_Update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افصاح"/>
      <sheetName val="ميزة"/>
      <sheetName val="فورى"/>
      <sheetName val="سند لأمر"/>
      <sheetName val="الاقساط"/>
      <sheetName val="جدول الاقساط"/>
      <sheetName val="DATA"/>
    </sheetNames>
    <sheetDataSet>
      <sheetData sheetId="0"/>
      <sheetData sheetId="1">
        <row r="10">
          <cell r="B10" t="str">
            <v>٠٠٠٠١٥٤١/٠٠٤</v>
          </cell>
          <cell r="C10" t="str">
            <v>مني حسني عبدالمقصود عبدالله</v>
          </cell>
          <cell r="D10">
            <v>0</v>
          </cell>
          <cell r="G10">
            <v>0</v>
          </cell>
          <cell r="Y10">
            <v>0</v>
          </cell>
          <cell r="AC10">
            <v>0</v>
          </cell>
          <cell r="AD10">
            <v>0</v>
          </cell>
          <cell r="AE10">
            <v>0</v>
          </cell>
          <cell r="AF10" t="str">
            <v>قنا</v>
          </cell>
          <cell r="AG10">
            <v>0</v>
          </cell>
          <cell r="AH10">
            <v>0</v>
          </cell>
          <cell r="AI10">
            <v>0</v>
          </cell>
          <cell r="AK10">
            <v>0</v>
          </cell>
          <cell r="AL10">
            <v>0</v>
          </cell>
          <cell r="AM10">
            <v>0</v>
          </cell>
        </row>
        <row r="11">
          <cell r="B11" t="str">
            <v>٠٠٠٠٣٤٦٣/٠٠٤</v>
          </cell>
          <cell r="C11" t="str">
            <v>عاطف عجيب لوندي مرجان</v>
          </cell>
          <cell r="D11" t="str">
            <v>اخصائى اجتماعى خبير مدرسة  ابوتشت الثانوية الصناعية</v>
          </cell>
          <cell r="G11" t="str">
            <v xml:space="preserve">القاره - مركز ابوتشت - قنا </v>
          </cell>
          <cell r="Y11" t="str">
            <v>اخصائى اجتماعى خبير مدرسة ابوتشت الثانويه الصناعيه</v>
          </cell>
          <cell r="AC11" t="str">
            <v>سعيد عاطف عجيب لوندي</v>
          </cell>
          <cell r="AD11" t="str">
            <v xml:space="preserve">حاصل على دبلوم صنايع </v>
          </cell>
          <cell r="AE11" t="str">
            <v>٣٠٠٠٣٠٨٢٧٠٠٨٣١</v>
          </cell>
          <cell r="AF11" t="str">
            <v>قنا</v>
          </cell>
          <cell r="AG11" t="str">
            <v>القاره - مركز ابوتشت - قنا</v>
          </cell>
          <cell r="AH11">
            <v>0</v>
          </cell>
          <cell r="AI11">
            <v>0</v>
          </cell>
          <cell r="AK11">
            <v>0</v>
          </cell>
          <cell r="AL11">
            <v>0</v>
          </cell>
          <cell r="AM11">
            <v>0</v>
          </cell>
        </row>
        <row r="12">
          <cell r="B12" t="str">
            <v>٠٠٠٠٠٢٩٧/٠٠٨</v>
          </cell>
          <cell r="C12" t="str">
            <v>عماد ايوب رزيق بسطا</v>
          </cell>
          <cell r="D12" t="str">
            <v xml:space="preserve">لايعمل </v>
          </cell>
          <cell r="G12" t="str">
            <v xml:space="preserve">الرزقه - مركز ابوتشت - قنا </v>
          </cell>
          <cell r="Y12" t="str">
            <v xml:space="preserve">حاصل على دبلوم تجاره </v>
          </cell>
          <cell r="AC12" t="str">
            <v>ماري عياد عزمي عبدالمسيح</v>
          </cell>
          <cell r="AD12" t="str">
            <v xml:space="preserve">حاصله على دبلوم تجاره </v>
          </cell>
          <cell r="AE12" t="str">
            <v>٢٧٨١١٢٦٢٧٠٠٩٠٩</v>
          </cell>
          <cell r="AF12" t="str">
            <v>قنا</v>
          </cell>
          <cell r="AG12" t="str">
            <v>الرزقه - مركز ابوتشت - قنا</v>
          </cell>
          <cell r="AH12">
            <v>0</v>
          </cell>
          <cell r="AI12">
            <v>0</v>
          </cell>
          <cell r="AK12" t="str">
            <v>٠١١٤٧٥٩٦٣٥٢</v>
          </cell>
          <cell r="AL12">
            <v>0</v>
          </cell>
          <cell r="AM12">
            <v>0</v>
          </cell>
        </row>
        <row r="13">
          <cell r="B13" t="str">
            <v>٠٠٠٠٠٤٥٦/٠٠٨</v>
          </cell>
          <cell r="C13" t="str">
            <v>اماني عبدالصبور عبداللطيف صابر</v>
          </cell>
          <cell r="D13" t="str">
            <v xml:space="preserve">ربة منزل </v>
          </cell>
          <cell r="G13" t="str">
            <v xml:space="preserve">البحرى سمهود - مركز ابوتشت - قنا </v>
          </cell>
          <cell r="Y13" t="str">
            <v>سائق</v>
          </cell>
          <cell r="AC13" t="str">
            <v>طلعت عباس علي فرغل</v>
          </cell>
          <cell r="AD13" t="str">
            <v xml:space="preserve">عامل عادى </v>
          </cell>
          <cell r="AE13" t="str">
            <v>٢٦٧٠٤١٩٢٧٠٠٤٩٩</v>
          </cell>
          <cell r="AF13" t="str">
            <v xml:space="preserve">قنا </v>
          </cell>
          <cell r="AG13" t="str">
            <v>ابوشوشة - مركز ابوتشت - قنا</v>
          </cell>
          <cell r="AH13">
            <v>0</v>
          </cell>
          <cell r="AI13">
            <v>0</v>
          </cell>
          <cell r="AK13" t="str">
            <v>٠١٠٠٥٦٨١٧٩٩</v>
          </cell>
          <cell r="AL13">
            <v>0</v>
          </cell>
          <cell r="AM13">
            <v>0</v>
          </cell>
        </row>
        <row r="14">
          <cell r="B14" t="str">
            <v>٠٠٠٠٠٤٨٢/٠٠٨</v>
          </cell>
          <cell r="C14" t="str">
            <v>محمد ابراهيم محمد ابراهيم</v>
          </cell>
          <cell r="D14" t="str">
            <v xml:space="preserve">حاصل على دبلوم صنايع </v>
          </cell>
          <cell r="G14" t="str">
            <v xml:space="preserve">كوم يعقوب - مركز ابوتشت - قنا </v>
          </cell>
          <cell r="Y14" t="str">
            <v>كاتب اول ادارة ابوتشت التعليمية</v>
          </cell>
          <cell r="AC14" t="str">
            <v>هاله محمد احمد عمر</v>
          </cell>
          <cell r="AD14" t="str">
            <v xml:space="preserve">حاصلة على دبلوم ثانوى تجارى </v>
          </cell>
          <cell r="AE14" t="str">
            <v>٢٩٠٠٣٣١٢٧٠٢٢٤٨</v>
          </cell>
          <cell r="AF14" t="str">
            <v xml:space="preserve">قنا </v>
          </cell>
          <cell r="AG14" t="str">
            <v>كوم يعقوب - مركز ابوتشت - قنا</v>
          </cell>
          <cell r="AH14">
            <v>0</v>
          </cell>
          <cell r="AI14">
            <v>0</v>
          </cell>
          <cell r="AK14" t="str">
            <v>٠١١٥٨٩٣٤٩٣٣</v>
          </cell>
          <cell r="AL14">
            <v>0</v>
          </cell>
          <cell r="AM14">
            <v>0</v>
          </cell>
        </row>
        <row r="15">
          <cell r="B15" t="str">
            <v>٠٠٠٠٠٤٩٦/٠٠٨</v>
          </cell>
          <cell r="C15" t="str">
            <v>نجاح مهدي احمد عبدالجواد</v>
          </cell>
          <cell r="D15" t="str">
            <v xml:space="preserve">ربة منزل </v>
          </cell>
          <cell r="G15" t="str">
            <v xml:space="preserve">بخانس -ش الشيخ عبدالعزيز - مركز ابوتشت - قنا </v>
          </cell>
          <cell r="Y15" t="str">
            <v xml:space="preserve">حاصل على دبلوم صنايع </v>
          </cell>
          <cell r="AC15" t="str">
            <v>ابوالوفا عبدالباسط عبدالعزيز احمد</v>
          </cell>
          <cell r="AD15" t="str">
            <v>بالمعاش</v>
          </cell>
          <cell r="AE15" t="str">
            <v>٢٦٢٠٥١٧٢٧٠٠٢٧٥</v>
          </cell>
          <cell r="AF15" t="str">
            <v>قنا</v>
          </cell>
          <cell r="AG15" t="str">
            <v>بخانس - مركز أبوتشت - قنا</v>
          </cell>
          <cell r="AH15">
            <v>0</v>
          </cell>
          <cell r="AI15">
            <v>0</v>
          </cell>
          <cell r="AK15" t="str">
            <v>٠١١٤٠٥٩٦٦٠٤</v>
          </cell>
          <cell r="AL15">
            <v>0</v>
          </cell>
          <cell r="AM15">
            <v>0</v>
          </cell>
        </row>
        <row r="16">
          <cell r="B16" t="str">
            <v>٠٠٠٠٠٥٥٥/٠٠٨</v>
          </cell>
          <cell r="C16" t="str">
            <v>نداء عليو فراج خليل</v>
          </cell>
          <cell r="D16" t="str">
            <v xml:space="preserve">حاصله على الثانوية الازهرية </v>
          </cell>
          <cell r="G16" t="str">
            <v xml:space="preserve">الزرايب - مركز أبوتشت - قنا </v>
          </cell>
          <cell r="Y16" t="str">
            <v xml:space="preserve">طالبه </v>
          </cell>
          <cell r="AC16" t="str">
            <v>عليو فراج خليل عليو</v>
          </cell>
          <cell r="AD16" t="str">
            <v xml:space="preserve">عامل عادى </v>
          </cell>
          <cell r="AE16" t="str">
            <v>٢٦٧٠٣٠٨٢٧٠٠٥١٩</v>
          </cell>
          <cell r="AF16" t="str">
            <v>قنا</v>
          </cell>
          <cell r="AG16" t="str">
            <v>المحارزه - مركز ابوتشت - قنا</v>
          </cell>
          <cell r="AH16">
            <v>0</v>
          </cell>
          <cell r="AI16">
            <v>0</v>
          </cell>
          <cell r="AK16" t="str">
            <v>٠١٠٢٠١٦٢١٢٢</v>
          </cell>
          <cell r="AL16">
            <v>0</v>
          </cell>
          <cell r="AM16">
            <v>0</v>
          </cell>
        </row>
        <row r="17">
          <cell r="B17" t="str">
            <v>٠٠٠٠٠٥٨٩/٠٠٨</v>
          </cell>
          <cell r="C17" t="str">
            <v>مينا فايز العبد شنوده</v>
          </cell>
          <cell r="D17" t="str">
            <v xml:space="preserve">حاصل على دبلوم صنايع </v>
          </cell>
          <cell r="G17" t="str">
            <v xml:space="preserve">قصير بخانس - مركز ابوتشت - قنا </v>
          </cell>
          <cell r="Y17" t="str">
            <v xml:space="preserve">حاصله على دبلوم تجاره </v>
          </cell>
          <cell r="AC17" t="str">
            <v>رضاني جاد بخيت عبدالملاك</v>
          </cell>
          <cell r="AD17" t="str">
            <v>حاصل على دبلوم زراعه</v>
          </cell>
          <cell r="AE17" t="str">
            <v>٢٨٦٠٢١٩٢٧٠٠٩٧٩</v>
          </cell>
          <cell r="AF17" t="str">
            <v>قنا</v>
          </cell>
          <cell r="AG17" t="str">
            <v>قصير بخانس - مركز ابوتشت - قنا</v>
          </cell>
          <cell r="AH17">
            <v>0</v>
          </cell>
          <cell r="AI17">
            <v>0</v>
          </cell>
          <cell r="AK17" t="str">
            <v>٠١٢٠٥٣٣٧٣٦٠</v>
          </cell>
          <cell r="AL17">
            <v>0</v>
          </cell>
          <cell r="AM17">
            <v>0</v>
          </cell>
        </row>
        <row r="18">
          <cell r="B18" t="str">
            <v>٠٠٠٠٠٦٧٣/٠٠٨</v>
          </cell>
          <cell r="C18" t="str">
            <v>محمد صديق عوض حامد</v>
          </cell>
          <cell r="D18" t="str">
            <v xml:space="preserve">خفير نظامى مركز شرطة ابوتشت </v>
          </cell>
          <cell r="G18" t="str">
            <v xml:space="preserve">بخانس - مركز أبوتشت - قنا </v>
          </cell>
          <cell r="Y18" t="str">
            <v xml:space="preserve">حاصل على دبلوم تجارة </v>
          </cell>
          <cell r="AC18" t="str">
            <v>عصام عبدالمحسن حمدي احمدالعارف</v>
          </cell>
          <cell r="AD18" t="str">
            <v xml:space="preserve">خفير نظامى مركز شرطة ابوتشت </v>
          </cell>
          <cell r="AE18" t="str">
            <v>٢٩٠٠٧٠٧٢٧٠٠٩٥٧</v>
          </cell>
          <cell r="AF18" t="str">
            <v>قنا</v>
          </cell>
          <cell r="AG18" t="str">
            <v>بخانس - مركز أبوتشت - قنا</v>
          </cell>
          <cell r="AH18">
            <v>0</v>
          </cell>
          <cell r="AI18">
            <v>0</v>
          </cell>
          <cell r="AK18" t="str">
            <v>٠١١٥١٩١٤٩١٩</v>
          </cell>
          <cell r="AL18">
            <v>0</v>
          </cell>
          <cell r="AM18">
            <v>0</v>
          </cell>
        </row>
        <row r="19">
          <cell r="B19" t="str">
            <v>٠٠٠٠٠٧١٣/٠٠٨</v>
          </cell>
          <cell r="C19" t="str">
            <v>ابتسام حسين محمد ابراهيم</v>
          </cell>
          <cell r="D19" t="str">
            <v xml:space="preserve">ربة منزل </v>
          </cell>
          <cell r="G19" t="str">
            <v xml:space="preserve">كوم يعقوب - شارع محمد حسنى مبارك - مركز ابوتشت - قنا </v>
          </cell>
          <cell r="Y19" t="str">
            <v xml:space="preserve">حاصل على دبلوم تجاره </v>
          </cell>
          <cell r="AC19" t="str">
            <v>مصطفي عبدالموجود عبداللاه ابراهيم</v>
          </cell>
          <cell r="AD19" t="str">
            <v xml:space="preserve">حاصل على دبلوم تجارة </v>
          </cell>
          <cell r="AE19" t="str">
            <v>٢٨١٠٣١٥٢٧٠١٦٣١</v>
          </cell>
          <cell r="AF19" t="str">
            <v>قنا</v>
          </cell>
          <cell r="AG19" t="str">
            <v>كوم يعقوب - مركز أبوتشت - قنا</v>
          </cell>
          <cell r="AH19">
            <v>0</v>
          </cell>
          <cell r="AI19">
            <v>0</v>
          </cell>
          <cell r="AK19" t="str">
            <v>٠١١١٧١٩٦٤٥٧</v>
          </cell>
          <cell r="AL19">
            <v>0</v>
          </cell>
          <cell r="AM19">
            <v>0</v>
          </cell>
        </row>
        <row r="20">
          <cell r="B20" t="str">
            <v>٠٠٠٠٠٧٦٣/٠٠٨</v>
          </cell>
          <cell r="C20" t="str">
            <v>احمد ابوالوفا عبدالباسط عبدالعزيز</v>
          </cell>
          <cell r="D20" t="str">
            <v xml:space="preserve">حاصل على دبلوم صنايع </v>
          </cell>
          <cell r="G20" t="str">
            <v xml:space="preserve">بخانس - ش الشيخ عبدالعزيز - مركز أبوتشت - قنا </v>
          </cell>
          <cell r="Y20" t="str">
            <v xml:space="preserve">طالبه </v>
          </cell>
          <cell r="AC20" t="str">
            <v>ابوالوفا عبدالباسط عبدالعزيز احمد</v>
          </cell>
          <cell r="AD20" t="str">
            <v>بالمعاش</v>
          </cell>
          <cell r="AE20" t="str">
            <v>٢٦٢٠٥١٧٢٧٠٠٢٧٥</v>
          </cell>
          <cell r="AF20" t="str">
            <v>قنا</v>
          </cell>
          <cell r="AG20" t="str">
            <v>بخانس - مركز أبوتشت - قنا</v>
          </cell>
          <cell r="AH20">
            <v>0</v>
          </cell>
          <cell r="AI20">
            <v>0</v>
          </cell>
          <cell r="AK20" t="str">
            <v>٠١١٤٠٦٩٦٦٠٤</v>
          </cell>
          <cell r="AL20">
            <v>0</v>
          </cell>
          <cell r="AM20">
            <v>0</v>
          </cell>
        </row>
        <row r="21">
          <cell r="B21" t="str">
            <v>٠٠٠٠٠٨٧٩/٠٠٨</v>
          </cell>
          <cell r="C21" t="str">
            <v>صالح حسني صالح سعيد</v>
          </cell>
          <cell r="D21" t="str">
            <v xml:space="preserve">حاصل على دبلوم صنايع </v>
          </cell>
          <cell r="G21" t="str">
            <v>شارع الشونه-رقم 4 - مركز البلينا - سوهاج</v>
          </cell>
          <cell r="Y21" t="str">
            <v>سائق</v>
          </cell>
          <cell r="AC21">
            <v>0</v>
          </cell>
          <cell r="AD21">
            <v>0</v>
          </cell>
          <cell r="AE21">
            <v>0</v>
          </cell>
          <cell r="AF21" t="str">
            <v>قنا</v>
          </cell>
          <cell r="AG21">
            <v>0</v>
          </cell>
          <cell r="AH21">
            <v>0</v>
          </cell>
          <cell r="AI21">
            <v>0</v>
          </cell>
          <cell r="AK21">
            <v>0</v>
          </cell>
          <cell r="AL21">
            <v>0</v>
          </cell>
          <cell r="AM21">
            <v>0</v>
          </cell>
        </row>
        <row r="22">
          <cell r="B22" t="str">
            <v>٠٠٠٠٠٨٨٢/٠٠٨</v>
          </cell>
          <cell r="C22" t="str">
            <v>عبدالشافي ابوزيد عبدالشافي ابراهيم</v>
          </cell>
          <cell r="D22" t="str">
            <v xml:space="preserve">عامل عادى </v>
          </cell>
          <cell r="G22" t="str">
            <v xml:space="preserve">ش السلخانه القديمة - مركز ابوتشت - قنا </v>
          </cell>
          <cell r="Y22" t="str">
            <v xml:space="preserve">حاصله على الثانويه الازهريه </v>
          </cell>
          <cell r="AC22" t="str">
            <v>سحر عبدالحميد محمد احمد</v>
          </cell>
          <cell r="AD22" t="str">
            <v>ربة منزل</v>
          </cell>
          <cell r="AE22" t="str">
            <v>٢٦٩١٢٠٨٢٨٠٠٣٠٩</v>
          </cell>
          <cell r="AF22" t="str">
            <v>قنا</v>
          </cell>
          <cell r="AG22" t="str">
            <v>ش شبكه الكهرباء - مركز ابوتشت - قنا</v>
          </cell>
          <cell r="AH22">
            <v>0</v>
          </cell>
          <cell r="AI22">
            <v>0</v>
          </cell>
          <cell r="AK22">
            <v>0</v>
          </cell>
          <cell r="AL22">
            <v>0</v>
          </cell>
          <cell r="AM22">
            <v>0</v>
          </cell>
        </row>
        <row r="23">
          <cell r="B23" t="str">
            <v>٠٠٠٠٠٨٨٣/٠٠٨</v>
          </cell>
          <cell r="C23" t="str">
            <v>صلاح فؤاد سالمان محمد</v>
          </cell>
          <cell r="D23" t="str">
            <v xml:space="preserve">عامل عادى </v>
          </cell>
          <cell r="G23" t="str">
            <v xml:space="preserve">السليمات - مركز أبوتشت - قنا </v>
          </cell>
          <cell r="Y23" t="str">
            <v xml:space="preserve">ربه منزل </v>
          </cell>
          <cell r="AC23" t="str">
            <v>اسماء حسن علي حسن</v>
          </cell>
          <cell r="AD23" t="str">
            <v>طالبه</v>
          </cell>
          <cell r="AE23" t="str">
            <v>٣٠٢٠٨١٤٢٧٠١٢٠٥</v>
          </cell>
          <cell r="AF23" t="str">
            <v>قنا</v>
          </cell>
          <cell r="AG23" t="str">
            <v>السليمات - مركز ابوتشت - قنا</v>
          </cell>
          <cell r="AH23">
            <v>0</v>
          </cell>
          <cell r="AI23">
            <v>0</v>
          </cell>
          <cell r="AK23">
            <v>0</v>
          </cell>
          <cell r="AL23">
            <v>0</v>
          </cell>
          <cell r="AM23">
            <v>0</v>
          </cell>
        </row>
        <row r="24">
          <cell r="B24" t="str">
            <v>٠٠٠٠٠٨٨٤/٠٠٨</v>
          </cell>
          <cell r="C24" t="str">
            <v>سعودي فتحي ابودهب عثمان</v>
          </cell>
          <cell r="D24" t="str">
            <v>سائق</v>
          </cell>
          <cell r="G24" t="str">
            <v xml:space="preserve">الكرنك - مركز أبوتشت - قنا </v>
          </cell>
          <cell r="Y24" t="str">
            <v>لايعمل</v>
          </cell>
          <cell r="AC24" t="str">
            <v>محمود سعودي فتحي ابوالدهب</v>
          </cell>
          <cell r="AD24" t="str">
            <v>طالب</v>
          </cell>
          <cell r="AE24" t="str">
            <v>٣٠٢٠٨٢٤٢٧٠١٤٥٨</v>
          </cell>
          <cell r="AF24" t="str">
            <v>قنا</v>
          </cell>
          <cell r="AG24" t="str">
            <v xml:space="preserve">الكرنك - مركز ابوتشت - قنا </v>
          </cell>
          <cell r="AH24">
            <v>0</v>
          </cell>
          <cell r="AI24">
            <v>0</v>
          </cell>
          <cell r="AK24" t="str">
            <v>٠١٠٦٨٦٥٤٧٩١</v>
          </cell>
          <cell r="AL24">
            <v>0</v>
          </cell>
          <cell r="AM24">
            <v>0</v>
          </cell>
        </row>
        <row r="25">
          <cell r="B25" t="str">
            <v>٠٠٠٠٠٨٨٥/٠٠٨</v>
          </cell>
          <cell r="C25" t="str">
            <v>عاطف كرم عزمي خليل</v>
          </cell>
          <cell r="D25" t="str">
            <v xml:space="preserve">حاصل على المعهد الفنى التجارى </v>
          </cell>
          <cell r="G25" t="str">
            <v xml:space="preserve">القاره - مركز ابوتشت - قنا </v>
          </cell>
          <cell r="Y25" t="str">
            <v xml:space="preserve">حاصل على دبلوم صنايع </v>
          </cell>
          <cell r="AC25" t="str">
            <v>مني بشري موريس القمص ميخائيل</v>
          </cell>
          <cell r="AD25" t="str">
            <v xml:space="preserve">حاصل على دبلوم صنايع </v>
          </cell>
          <cell r="AE25" t="str">
            <v>٢٩٠١٢٢٢٢٧٠٠٦٦١</v>
          </cell>
          <cell r="AF25" t="str">
            <v>قنا</v>
          </cell>
          <cell r="AG25" t="str">
            <v>القاره - مركز ابوتشت - قنا</v>
          </cell>
          <cell r="AH25">
            <v>0</v>
          </cell>
          <cell r="AI25">
            <v>0</v>
          </cell>
          <cell r="AK25">
            <v>0</v>
          </cell>
          <cell r="AL25">
            <v>0</v>
          </cell>
          <cell r="AM25">
            <v>0</v>
          </cell>
        </row>
        <row r="26">
          <cell r="B26" t="str">
            <v>٠٠٠٠٠٨٨٦/٠٠٨</v>
          </cell>
          <cell r="C26" t="str">
            <v>هيبت ثاقب ماجد يوسف</v>
          </cell>
          <cell r="D26" t="str">
            <v>لاتعمل</v>
          </cell>
          <cell r="G26" t="str">
            <v>بلادالمال بحري - مركز أبوتشت - قنا</v>
          </cell>
          <cell r="Y26" t="str">
            <v xml:space="preserve">عامل عادى </v>
          </cell>
          <cell r="AC26" t="str">
            <v>كاشف عبدالعظيم ماجد يوسف</v>
          </cell>
          <cell r="AD26" t="str">
            <v xml:space="preserve">عامل عادى </v>
          </cell>
          <cell r="AE26" t="str">
            <v>٢٨٣١١٠٧٢٧٠٠٨١٤</v>
          </cell>
          <cell r="AF26" t="str">
            <v>قنا</v>
          </cell>
          <cell r="AG26" t="str">
            <v>بلادالمال بحرى - مركز أبوتشت - قنا</v>
          </cell>
          <cell r="AH26">
            <v>0</v>
          </cell>
          <cell r="AI26">
            <v>0</v>
          </cell>
          <cell r="AK26" t="str">
            <v>٠١١٤٢٢٣٤١٣٥</v>
          </cell>
          <cell r="AL26">
            <v>0</v>
          </cell>
          <cell r="AM26">
            <v>0</v>
          </cell>
        </row>
        <row r="27">
          <cell r="B27" t="str">
            <v>٠٠٠٠٠٨٨٧/٠٠٨</v>
          </cell>
          <cell r="C27" t="str">
            <v>دينا عبدالرحيم عبدالغني محمد</v>
          </cell>
          <cell r="D27" t="str">
            <v xml:space="preserve">ربة منزل </v>
          </cell>
          <cell r="G27" t="str">
            <v xml:space="preserve">الزرايب - نجع سباق - مركز ابوتشت - قنا </v>
          </cell>
          <cell r="Y27" t="str">
            <v xml:space="preserve">حاصلة على دبلوم صنايع </v>
          </cell>
          <cell r="AC27" t="str">
            <v>شعبان عبدالموجود عبدالله احمد</v>
          </cell>
          <cell r="AD27" t="str">
            <v>سائق</v>
          </cell>
          <cell r="AE27" t="str">
            <v>٢٦٧١٢٢٦٢٧٠٠٥٣٢</v>
          </cell>
          <cell r="AF27" t="str">
            <v>قنا</v>
          </cell>
          <cell r="AG27" t="str">
            <v>القلمينا مركز قنا - قنا</v>
          </cell>
          <cell r="AH27">
            <v>0</v>
          </cell>
          <cell r="AI27">
            <v>0</v>
          </cell>
          <cell r="AK27" t="str">
            <v>٠١٢٢٨٧٢٨٧٨٨</v>
          </cell>
          <cell r="AL27">
            <v>0</v>
          </cell>
          <cell r="AM27">
            <v>0</v>
          </cell>
        </row>
        <row r="28">
          <cell r="B28" t="str">
            <v>٠٠٠٠٠٨٨٨/٠٠٨</v>
          </cell>
          <cell r="C28" t="str">
            <v>امال علي احمد عبدالله</v>
          </cell>
          <cell r="D28" t="str">
            <v xml:space="preserve">حاصله على دبلوم تجاره </v>
          </cell>
          <cell r="G28" t="str">
            <v xml:space="preserve">ابوتشت - مركز ابوتشت - قنا </v>
          </cell>
          <cell r="Y28" t="str">
            <v xml:space="preserve">حاصلة على دبلوم الثانوية التجارية </v>
          </cell>
          <cell r="AC28" t="str">
            <v>زكي سليم زكي سلامه</v>
          </cell>
          <cell r="AD28" t="str">
            <v xml:space="preserve">عامل عادى </v>
          </cell>
          <cell r="AE28" t="str">
            <v>٢٧٢٠٥٢٦٢٧٠٠١٧١</v>
          </cell>
          <cell r="AF28" t="str">
            <v>قنا</v>
          </cell>
          <cell r="AG28" t="str">
            <v>ابوتشت - مركز ابوتشت - قنا</v>
          </cell>
          <cell r="AH28">
            <v>0</v>
          </cell>
          <cell r="AI28">
            <v>0</v>
          </cell>
          <cell r="AK28" t="str">
            <v>٠١١٢٦٧١٠٩٦٠</v>
          </cell>
          <cell r="AL28">
            <v>0</v>
          </cell>
          <cell r="AM28">
            <v>0</v>
          </cell>
        </row>
        <row r="29">
          <cell r="B29" t="str">
            <v>٠٠٠٠٠٨٨٩/٠٠٨</v>
          </cell>
          <cell r="C29" t="str">
            <v>شيرين عزت محمود حسن</v>
          </cell>
          <cell r="D29" t="str">
            <v xml:space="preserve">ربة منزل </v>
          </cell>
          <cell r="G29" t="str">
            <v>ش الاصلاح - مركز ابوتشت - قنا</v>
          </cell>
          <cell r="Y29" t="str">
            <v>حاصلة على معهد فنى تجارى</v>
          </cell>
          <cell r="AC29" t="str">
            <v>شيرين الضبع محمد محمد</v>
          </cell>
          <cell r="AD29" t="str">
            <v>ربة منزل</v>
          </cell>
          <cell r="AE29" t="str">
            <v>٢٨٥٠١١٣٢٧٠٢٤٠٨</v>
          </cell>
          <cell r="AF29" t="str">
            <v>قنا</v>
          </cell>
          <cell r="AG29" t="str">
            <v>شارع الاصلاح - مركز ابوتشت - قنا</v>
          </cell>
          <cell r="AH29">
            <v>0</v>
          </cell>
          <cell r="AI29">
            <v>0</v>
          </cell>
          <cell r="AK29">
            <v>0</v>
          </cell>
          <cell r="AL29">
            <v>0</v>
          </cell>
          <cell r="AM29">
            <v>0</v>
          </cell>
        </row>
        <row r="30">
          <cell r="B30" t="str">
            <v>٠٠٠٠٠٨٩٠/٠٠٨</v>
          </cell>
          <cell r="C30" t="str">
            <v>فريد شوقي عزمي سفين</v>
          </cell>
          <cell r="D30" t="str">
            <v>حاصل على بكالوريوس  خدمه اجتماعيه</v>
          </cell>
          <cell r="G30" t="str">
            <v xml:space="preserve">النجمه والحمران - مركز ابوتشت - قنا </v>
          </cell>
          <cell r="Y30" t="str">
            <v xml:space="preserve">حاصل على ليسانس حقوق </v>
          </cell>
          <cell r="AC30" t="str">
            <v>علاء صلاح امين عبدالشافي</v>
          </cell>
          <cell r="AD30" t="str">
            <v>حاصل على ليسانس اصول الدين</v>
          </cell>
          <cell r="AE30" t="str">
            <v>٢٩٨٠٧١٨٢٧٠٠٩٩١</v>
          </cell>
          <cell r="AF30" t="str">
            <v>قنا</v>
          </cell>
          <cell r="AG30" t="str">
            <v>الأميرية - مركز ابوتشت - قنا</v>
          </cell>
          <cell r="AH30">
            <v>0</v>
          </cell>
          <cell r="AI30">
            <v>0</v>
          </cell>
          <cell r="AK30" t="str">
            <v>٠١١٤٠٤٧٢٧٧٩</v>
          </cell>
          <cell r="AL30">
            <v>0</v>
          </cell>
          <cell r="AM30">
            <v>0</v>
          </cell>
        </row>
        <row r="31">
          <cell r="B31" t="str">
            <v>٠٠٠٠٠٨٩١/٠٠٨</v>
          </cell>
          <cell r="C31" t="str">
            <v>احمد فتحي حسانين محمد</v>
          </cell>
          <cell r="D31" t="str">
            <v xml:space="preserve">لايعمل </v>
          </cell>
          <cell r="G31" t="str">
            <v xml:space="preserve">الزرايب - مركز ابوتشت - قنا </v>
          </cell>
          <cell r="Y31" t="str">
            <v>حاصلة على دبلوم تجارة</v>
          </cell>
          <cell r="AC31" t="str">
            <v>خلود فتحي حسن محمد</v>
          </cell>
          <cell r="AD31" t="str">
            <v>طالبه</v>
          </cell>
          <cell r="AE31" t="str">
            <v>٣٠٠٠٣١٣٢٧٠٢٠٢٤</v>
          </cell>
          <cell r="AF31" t="str">
            <v>قنا</v>
          </cell>
          <cell r="AG31" t="str">
            <v>كوم يعقوب - مركز أبوتشت - قنا</v>
          </cell>
          <cell r="AH31">
            <v>0</v>
          </cell>
          <cell r="AI31">
            <v>0</v>
          </cell>
          <cell r="AK31" t="str">
            <v>٠١١١٦٤٣١٥٣٧</v>
          </cell>
          <cell r="AL31">
            <v>0</v>
          </cell>
          <cell r="AM31">
            <v>0</v>
          </cell>
        </row>
        <row r="32">
          <cell r="B32" t="str">
            <v>٠٠٠٠٠٨٩٢/٠٠٨</v>
          </cell>
          <cell r="C32" t="str">
            <v>فتحي عبدالمنعم محمد محمود</v>
          </cell>
          <cell r="D32" t="str">
            <v>اخصائى اجتماعى خبير ادارة ابوتشت التعليميه</v>
          </cell>
          <cell r="G32" t="str">
            <v xml:space="preserve">كوم يعقوب - عزبة احمد هلال - مركز أبوتشت - قنا </v>
          </cell>
          <cell r="Y32" t="str">
            <v xml:space="preserve">اخصائى اجتماعى اول أ مدرسة سمهود الاعدادية بنات </v>
          </cell>
          <cell r="AC32" t="str">
            <v>خلف الله محمد عبدالراضي مدني</v>
          </cell>
          <cell r="AD32" t="str">
            <v xml:space="preserve">حاصل على دبلوم ثانوى صناعى </v>
          </cell>
          <cell r="AE32" t="str">
            <v>28808012711797</v>
          </cell>
          <cell r="AF32" t="str">
            <v>قنا</v>
          </cell>
          <cell r="AG32" t="str">
            <v>كوم يعقوب - البحاروه - مركز ابوتشت - قنا</v>
          </cell>
          <cell r="AH32">
            <v>0</v>
          </cell>
          <cell r="AI32">
            <v>0</v>
          </cell>
          <cell r="AK32" t="str">
            <v>01153366367</v>
          </cell>
          <cell r="AL32">
            <v>0</v>
          </cell>
          <cell r="AM32" t="str">
            <v>5078031371099772</v>
          </cell>
        </row>
        <row r="33">
          <cell r="B33" t="str">
            <v>٠٠٠٠٠٨٩٣/٠٠٨</v>
          </cell>
          <cell r="C33" t="str">
            <v>فوقيه جميل بشاره عوض</v>
          </cell>
          <cell r="D33" t="str">
            <v xml:space="preserve">ربة منزل </v>
          </cell>
          <cell r="G33" t="str">
            <v xml:space="preserve">القاره - مركز ابوتشت - قنا </v>
          </cell>
          <cell r="Y33" t="str">
            <v>بكالوريوس تجاره اعمال</v>
          </cell>
          <cell r="AC33" t="str">
            <v>ام الخير لبيب لوندي مرجان</v>
          </cell>
          <cell r="AD33" t="str">
            <v xml:space="preserve">ربة منزل </v>
          </cell>
          <cell r="AE33" t="str">
            <v>٢٨٣١٠٢٩٢٧٠٣٢٦٥</v>
          </cell>
          <cell r="AF33" t="str">
            <v>قنا</v>
          </cell>
          <cell r="AG33" t="str">
            <v>القاره - مركز ابوتشت - قنا</v>
          </cell>
          <cell r="AH33">
            <v>0</v>
          </cell>
          <cell r="AI33">
            <v>0</v>
          </cell>
          <cell r="AK33">
            <v>0</v>
          </cell>
          <cell r="AL33">
            <v>0</v>
          </cell>
          <cell r="AM33">
            <v>0</v>
          </cell>
        </row>
        <row r="34">
          <cell r="B34" t="str">
            <v>٠٠٠٠٠٨٩٤/٠٠٨</v>
          </cell>
          <cell r="C34" t="str">
            <v>كرم لندي عبدالله بخيت</v>
          </cell>
          <cell r="D34" t="str">
            <v>حاصله على دبلوم زراعة</v>
          </cell>
          <cell r="G34" t="str">
            <v xml:space="preserve">عزبة البوصة - مركز أبوتشت - قنا </v>
          </cell>
          <cell r="Y34" t="str">
            <v xml:space="preserve">حاصل على دبلوم صنايع </v>
          </cell>
          <cell r="AC34" t="str">
            <v>سعد ممدوح سعد كامل</v>
          </cell>
          <cell r="AD34" t="str">
            <v xml:space="preserve">حاصل على دبلوم تجارة </v>
          </cell>
          <cell r="AE34" t="str">
            <v>٢٩٤٠٨٠١٢٧٠٨٠٥٨</v>
          </cell>
          <cell r="AF34" t="str">
            <v>قنا</v>
          </cell>
          <cell r="AG34" t="str">
            <v>عزبة البوصه - مركز أبوتشت - قنا</v>
          </cell>
          <cell r="AH34">
            <v>0</v>
          </cell>
          <cell r="AI34">
            <v>0</v>
          </cell>
          <cell r="AK34">
            <v>0</v>
          </cell>
          <cell r="AL34">
            <v>0</v>
          </cell>
          <cell r="AM34">
            <v>0</v>
          </cell>
        </row>
        <row r="35">
          <cell r="B35" t="str">
            <v>٠٠٠٠٠٨٩٥/٠٠٨</v>
          </cell>
          <cell r="C35" t="str">
            <v>طلعت عباس علي فرغل</v>
          </cell>
          <cell r="D35" t="str">
            <v xml:space="preserve">عامل عادى </v>
          </cell>
          <cell r="G35" t="str">
            <v xml:space="preserve">ابوشوشة - مركز ابوتشت - قنا </v>
          </cell>
          <cell r="Y35" t="str">
            <v>مسئول شئون مجالس الوحده المحليه لقريه ابوشوشه</v>
          </cell>
          <cell r="AC35" t="str">
            <v>زينب ناصر عمر علاءالدين</v>
          </cell>
          <cell r="AD35" t="str">
            <v xml:space="preserve">حاصله على دبلوم تجاره </v>
          </cell>
          <cell r="AE35" t="str">
            <v>٣٠٠٠١٢٤٢٧٠١٩٨٥</v>
          </cell>
          <cell r="AF35" t="str">
            <v>قنا</v>
          </cell>
          <cell r="AG35" t="str">
            <v>ابوشوشه - مركز ابوتشت - قنا</v>
          </cell>
          <cell r="AH35">
            <v>0</v>
          </cell>
          <cell r="AI35">
            <v>0</v>
          </cell>
          <cell r="AK35" t="str">
            <v>٠١١٥٤٣١٥٢٩١</v>
          </cell>
          <cell r="AL35">
            <v>0</v>
          </cell>
          <cell r="AM35">
            <v>0</v>
          </cell>
        </row>
        <row r="36">
          <cell r="B36" t="str">
            <v>٠٠٠٠٠٨٩٦/٠٠٨</v>
          </cell>
          <cell r="C36" t="str">
            <v>هبه علي محمد عبدالعاطي</v>
          </cell>
          <cell r="D36" t="str">
            <v xml:space="preserve">طالبه </v>
          </cell>
          <cell r="G36" t="str">
            <v xml:space="preserve">ش  عبدالمنعم رياض - مركز ابوتشت - قنا </v>
          </cell>
          <cell r="Y36" t="str">
            <v xml:space="preserve">حاصلة على ليسانس فى الشريعة الاسلامية </v>
          </cell>
          <cell r="AC36" t="str">
            <v>امال احمد محمد احمد عثمان</v>
          </cell>
          <cell r="AD36" t="str">
            <v xml:space="preserve">مشرف تغذيه معهد فتيات ابوتشت الازهرى </v>
          </cell>
          <cell r="AE36" t="str">
            <v>٢٦٨١٠١٣٢٧٠٠٣٤٦</v>
          </cell>
          <cell r="AF36" t="str">
            <v>قنا</v>
          </cell>
          <cell r="AG36" t="str">
            <v>ش عبدالمنعم رياض - مركز ابوتشت - قنا</v>
          </cell>
          <cell r="AH36">
            <v>0</v>
          </cell>
          <cell r="AI36">
            <v>0</v>
          </cell>
          <cell r="AK36">
            <v>0</v>
          </cell>
          <cell r="AL36">
            <v>0</v>
          </cell>
          <cell r="AM36">
            <v>0</v>
          </cell>
        </row>
        <row r="37">
          <cell r="B37" t="str">
            <v>٠٠٠٠٠٨٩٧/٠٠٨</v>
          </cell>
          <cell r="C37" t="str">
            <v>ابراهيم احمد عبداللطيف محمد</v>
          </cell>
          <cell r="D37" t="str">
            <v>حاصل على ليسانس شريعة وقانون</v>
          </cell>
          <cell r="G37" t="str">
            <v>ش البتشتى - مركز ابوتشت - قنا</v>
          </cell>
          <cell r="Y37" t="str">
            <v xml:space="preserve">حاصل على دبلوم صنايع </v>
          </cell>
          <cell r="AC37" t="str">
            <v>ابوالحسن مهدي احمد محمود</v>
          </cell>
          <cell r="AD37" t="str">
            <v>معاون قضائى محكمة قنا الابتدائية محكمة الاسرة بأبوتشت</v>
          </cell>
          <cell r="AE37" t="str">
            <v>٢٧٨٠٥١٥٢٧٠٠٣٣٤</v>
          </cell>
          <cell r="AF37" t="str">
            <v>قنا</v>
          </cell>
          <cell r="AG37" t="str">
            <v>ش مبارك -من ش البتشتى - مركز ابوتشت - قنا</v>
          </cell>
          <cell r="AH37">
            <v>0</v>
          </cell>
          <cell r="AI37">
            <v>0</v>
          </cell>
          <cell r="AK37" t="str">
            <v>٠١١١١٠٠٥٠٦١</v>
          </cell>
          <cell r="AL37">
            <v>0</v>
          </cell>
          <cell r="AM37">
            <v>0</v>
          </cell>
        </row>
        <row r="38">
          <cell r="B38" t="str">
            <v>٠٠٠٠٠٨٩٨/٠٠٨</v>
          </cell>
          <cell r="C38" t="str">
            <v>سعد هرني لبيب حبيب</v>
          </cell>
          <cell r="D38" t="str">
            <v xml:space="preserve">حاصل على دبلوم صنايع </v>
          </cell>
          <cell r="G38" t="str">
            <v>ش التكيه - جرجا - سوهاج</v>
          </cell>
          <cell r="Y38" t="str">
            <v>حاصلة على دبلوم تجارة</v>
          </cell>
          <cell r="AC38" t="str">
            <v>نجوي هرني لبيب حبيب</v>
          </cell>
          <cell r="AD38" t="str">
            <v xml:space="preserve">حاصله على دبلوم صنايع </v>
          </cell>
          <cell r="AE38" t="str">
            <v>٢٨٣٠٧٣١٢٧٠٠٦٨٢</v>
          </cell>
          <cell r="AF38" t="str">
            <v>قنا</v>
          </cell>
          <cell r="AG38" t="str">
            <v>القاره - مركز ابوتشت - قنا</v>
          </cell>
          <cell r="AH38">
            <v>0</v>
          </cell>
          <cell r="AI38">
            <v>0</v>
          </cell>
          <cell r="AK38">
            <v>0</v>
          </cell>
          <cell r="AL38">
            <v>0</v>
          </cell>
          <cell r="AM38">
            <v>0</v>
          </cell>
        </row>
        <row r="39">
          <cell r="B39" t="str">
            <v>٠٠٠٠٠٨٩٩/٠٠٨</v>
          </cell>
          <cell r="C39" t="str">
            <v>احمد عبدالفتاح امين علي</v>
          </cell>
          <cell r="D39" t="str">
            <v>سائق</v>
          </cell>
          <cell r="G39" t="str">
            <v xml:space="preserve">البحرى سمهود - مركز ابوتشت - قنا </v>
          </cell>
          <cell r="Y39" t="str">
            <v xml:space="preserve">لاتعمل </v>
          </cell>
          <cell r="AC39">
            <v>0</v>
          </cell>
          <cell r="AD39">
            <v>0</v>
          </cell>
          <cell r="AE39">
            <v>0</v>
          </cell>
          <cell r="AF39">
            <v>0</v>
          </cell>
          <cell r="AG39">
            <v>0</v>
          </cell>
          <cell r="AH39">
            <v>0</v>
          </cell>
          <cell r="AI39">
            <v>0</v>
          </cell>
          <cell r="AK39">
            <v>0</v>
          </cell>
          <cell r="AL39">
            <v>0</v>
          </cell>
          <cell r="AM39">
            <v>0</v>
          </cell>
        </row>
        <row r="40">
          <cell r="B40" t="str">
            <v>٠٠٠٠٠٩٠٠/٠٠٨</v>
          </cell>
          <cell r="C40" t="str">
            <v>سناء حمدان برعي يونس</v>
          </cell>
          <cell r="D40" t="str">
            <v xml:space="preserve">ربة منزل </v>
          </cell>
          <cell r="G40" t="str">
            <v xml:space="preserve">الرفشه - مركز ابوتشت - قنا </v>
          </cell>
          <cell r="Y40" t="str">
            <v>مؤذن ادارة اوقاف ابوتشت</v>
          </cell>
          <cell r="AC40">
            <v>0</v>
          </cell>
          <cell r="AD40">
            <v>0</v>
          </cell>
          <cell r="AE40">
            <v>0</v>
          </cell>
          <cell r="AF40" t="str">
            <v>قنا</v>
          </cell>
          <cell r="AG40">
            <v>0</v>
          </cell>
          <cell r="AH40">
            <v>0</v>
          </cell>
          <cell r="AI40">
            <v>0</v>
          </cell>
          <cell r="AK40">
            <v>0</v>
          </cell>
          <cell r="AL40">
            <v>0</v>
          </cell>
          <cell r="AM40">
            <v>0</v>
          </cell>
        </row>
        <row r="41">
          <cell r="B41" t="str">
            <v>٠٠٠٠٠٩٠١/٠٠٨</v>
          </cell>
          <cell r="C41" t="str">
            <v>صادق احمد صادق سليم</v>
          </cell>
          <cell r="D41" t="str">
            <v xml:space="preserve">بدون عمل </v>
          </cell>
          <cell r="G41" t="str">
            <v xml:space="preserve">السليمات - مركز أبوتشت - قنا </v>
          </cell>
          <cell r="Y41" t="str">
            <v xml:space="preserve">عامل عادى </v>
          </cell>
          <cell r="AC41" t="str">
            <v>امجد صلاح محمد عبدالعال</v>
          </cell>
          <cell r="AD41" t="str">
            <v xml:space="preserve">حاصل على دبلوم تجارة </v>
          </cell>
          <cell r="AE41" t="str">
            <v>٢٩٣٠٩١١٢٧٠٢١٧٢</v>
          </cell>
          <cell r="AF41" t="str">
            <v>قنا</v>
          </cell>
          <cell r="AG41" t="str">
            <v>السليمات - مركز ابوتشت - قنا</v>
          </cell>
          <cell r="AH41">
            <v>0</v>
          </cell>
          <cell r="AI41">
            <v>0</v>
          </cell>
          <cell r="AK41">
            <v>0</v>
          </cell>
          <cell r="AL41">
            <v>0</v>
          </cell>
          <cell r="AM41">
            <v>0</v>
          </cell>
        </row>
        <row r="42">
          <cell r="B42" t="str">
            <v>٠٠٠٠٠٩٠٤/٠٠٨</v>
          </cell>
          <cell r="C42" t="str">
            <v>محمد الامير محمود محمد</v>
          </cell>
          <cell r="D42" t="str">
            <v>حاصل على ليسانس فى اللغة العربية</v>
          </cell>
          <cell r="G42" t="str">
            <v>ش احمد شوقى - مركز أبوتشت - قنا</v>
          </cell>
          <cell r="Y42" t="str">
            <v>حاصله على دبلوم تجارة</v>
          </cell>
          <cell r="AC42" t="str">
            <v>هويدا طارق صبري حسين</v>
          </cell>
          <cell r="AD42" t="str">
            <v xml:space="preserve">حاصله على دبلوم تجاره </v>
          </cell>
          <cell r="AE42" t="str">
            <v>٢٩٦٠٧٢٥٢٧٠٠٩٢٨</v>
          </cell>
          <cell r="AF42" t="str">
            <v>قنا</v>
          </cell>
          <cell r="AG42" t="str">
            <v>ش احمد شوقى - مركز أبوتشت - قنا</v>
          </cell>
          <cell r="AH42">
            <v>0</v>
          </cell>
          <cell r="AI42">
            <v>0</v>
          </cell>
          <cell r="AK42">
            <v>0</v>
          </cell>
          <cell r="AL42">
            <v>0</v>
          </cell>
          <cell r="AM42">
            <v>0</v>
          </cell>
        </row>
        <row r="43">
          <cell r="B43" t="str">
            <v>٠٠٠٠٠٩٠٥/٠٠٨</v>
          </cell>
          <cell r="C43" t="str">
            <v>علي الامير محمود محمد</v>
          </cell>
          <cell r="D43" t="str">
            <v xml:space="preserve">عامل عادى </v>
          </cell>
          <cell r="G43" t="str">
            <v>ش احمد شوقى - مركز ابوتشت - قنا</v>
          </cell>
          <cell r="Y43" t="str">
            <v>حاصله على دبلوم تجارة</v>
          </cell>
          <cell r="AC43" t="str">
            <v>منار عبدالمرضي عبدالعاطي عثمان</v>
          </cell>
          <cell r="AD43" t="str">
            <v>حاصله على دبلوم تجارة</v>
          </cell>
          <cell r="AE43" t="str">
            <v>٣٠٠٠٢٠١٢٧٠٦٨٨٧</v>
          </cell>
          <cell r="AF43" t="str">
            <v>قنا</v>
          </cell>
          <cell r="AG43" t="str">
            <v>المحارزه - مركز أبوتشت - قنا</v>
          </cell>
          <cell r="AH43">
            <v>0</v>
          </cell>
          <cell r="AI43">
            <v>0</v>
          </cell>
          <cell r="AK43" t="str">
            <v>٠١٠١٧٢٧٥٨٥٠</v>
          </cell>
          <cell r="AL43">
            <v>0</v>
          </cell>
          <cell r="AM43">
            <v>0</v>
          </cell>
        </row>
        <row r="44">
          <cell r="B44" t="str">
            <v>٠٠٠٠٠٩٠٦/٠٠٨</v>
          </cell>
          <cell r="C44" t="str">
            <v>جيهان رشدي محمود حسن</v>
          </cell>
          <cell r="D44" t="str">
            <v>مدير مدرسة ادارة ابوتشت التعليمية</v>
          </cell>
          <cell r="G44" t="str">
            <v>الزرايب -نجع سباق مركز ابوتشت - قنا</v>
          </cell>
          <cell r="Y44">
            <v>0</v>
          </cell>
          <cell r="AC44">
            <v>0</v>
          </cell>
          <cell r="AD44">
            <v>0</v>
          </cell>
          <cell r="AE44">
            <v>0</v>
          </cell>
          <cell r="AF44" t="str">
            <v>قنا</v>
          </cell>
          <cell r="AG44">
            <v>0</v>
          </cell>
          <cell r="AH44">
            <v>0</v>
          </cell>
          <cell r="AI44">
            <v>0</v>
          </cell>
          <cell r="AK44">
            <v>0</v>
          </cell>
          <cell r="AL44">
            <v>0</v>
          </cell>
          <cell r="AM44">
            <v>0</v>
          </cell>
        </row>
        <row r="45">
          <cell r="B45">
            <v>0</v>
          </cell>
          <cell r="C45">
            <v>0</v>
          </cell>
          <cell r="D45">
            <v>0</v>
          </cell>
          <cell r="G45">
            <v>0</v>
          </cell>
          <cell r="Y45">
            <v>0</v>
          </cell>
          <cell r="AC45">
            <v>0</v>
          </cell>
          <cell r="AD45">
            <v>0</v>
          </cell>
          <cell r="AE45">
            <v>0</v>
          </cell>
          <cell r="AF45" t="str">
            <v>قنا</v>
          </cell>
          <cell r="AG45">
            <v>0</v>
          </cell>
          <cell r="AH45">
            <v>0</v>
          </cell>
          <cell r="AI45">
            <v>0</v>
          </cell>
          <cell r="AK45">
            <v>0</v>
          </cell>
          <cell r="AL45">
            <v>0</v>
          </cell>
          <cell r="AM45">
            <v>0</v>
          </cell>
        </row>
        <row r="46">
          <cell r="B46">
            <v>0</v>
          </cell>
          <cell r="C46">
            <v>0</v>
          </cell>
          <cell r="D46">
            <v>0</v>
          </cell>
          <cell r="G46">
            <v>0</v>
          </cell>
          <cell r="Y46">
            <v>0</v>
          </cell>
          <cell r="AC46">
            <v>0</v>
          </cell>
          <cell r="AD46">
            <v>0</v>
          </cell>
          <cell r="AE46">
            <v>0</v>
          </cell>
          <cell r="AF46" t="str">
            <v>قنا</v>
          </cell>
          <cell r="AG46">
            <v>0</v>
          </cell>
          <cell r="AH46">
            <v>0</v>
          </cell>
          <cell r="AI46">
            <v>0</v>
          </cell>
          <cell r="AK46">
            <v>0</v>
          </cell>
          <cell r="AL46">
            <v>0</v>
          </cell>
          <cell r="AM46">
            <v>0</v>
          </cell>
        </row>
        <row r="47">
          <cell r="B47">
            <v>0</v>
          </cell>
          <cell r="C47">
            <v>0</v>
          </cell>
          <cell r="D47">
            <v>0</v>
          </cell>
          <cell r="G47">
            <v>0</v>
          </cell>
          <cell r="Y47">
            <v>0</v>
          </cell>
          <cell r="AC47">
            <v>0</v>
          </cell>
          <cell r="AD47">
            <v>0</v>
          </cell>
          <cell r="AE47">
            <v>0</v>
          </cell>
          <cell r="AF47">
            <v>0</v>
          </cell>
          <cell r="AG47">
            <v>0</v>
          </cell>
          <cell r="AH47">
            <v>0</v>
          </cell>
          <cell r="AI47">
            <v>0</v>
          </cell>
          <cell r="AK47">
            <v>0</v>
          </cell>
          <cell r="AL47">
            <v>0</v>
          </cell>
          <cell r="AM47">
            <v>0</v>
          </cell>
        </row>
        <row r="48">
          <cell r="B48">
            <v>0</v>
          </cell>
          <cell r="C48">
            <v>0</v>
          </cell>
          <cell r="D48">
            <v>0</v>
          </cell>
          <cell r="G48">
            <v>0</v>
          </cell>
          <cell r="Y48">
            <v>0</v>
          </cell>
          <cell r="AC48">
            <v>0</v>
          </cell>
          <cell r="AD48">
            <v>0</v>
          </cell>
          <cell r="AE48">
            <v>0</v>
          </cell>
          <cell r="AF48" t="str">
            <v xml:space="preserve">قنا </v>
          </cell>
          <cell r="AG48">
            <v>0</v>
          </cell>
          <cell r="AH48">
            <v>0</v>
          </cell>
          <cell r="AI48">
            <v>0</v>
          </cell>
          <cell r="AK48">
            <v>0</v>
          </cell>
          <cell r="AL48">
            <v>0</v>
          </cell>
          <cell r="AM48">
            <v>0</v>
          </cell>
        </row>
        <row r="49">
          <cell r="B49">
            <v>0</v>
          </cell>
          <cell r="C49">
            <v>0</v>
          </cell>
          <cell r="D49">
            <v>0</v>
          </cell>
          <cell r="G49">
            <v>0</v>
          </cell>
          <cell r="Y49">
            <v>0</v>
          </cell>
          <cell r="AC49">
            <v>0</v>
          </cell>
          <cell r="AD49">
            <v>0</v>
          </cell>
          <cell r="AE49">
            <v>0</v>
          </cell>
          <cell r="AF49" t="str">
            <v xml:space="preserve">البحر الاحمر </v>
          </cell>
          <cell r="AG49">
            <v>0</v>
          </cell>
          <cell r="AH49">
            <v>0</v>
          </cell>
          <cell r="AI49">
            <v>0</v>
          </cell>
          <cell r="AK49">
            <v>0</v>
          </cell>
          <cell r="AL49">
            <v>0</v>
          </cell>
          <cell r="AM49">
            <v>0</v>
          </cell>
        </row>
        <row r="50">
          <cell r="B50">
            <v>0</v>
          </cell>
          <cell r="C50">
            <v>0</v>
          </cell>
          <cell r="D50">
            <v>0</v>
          </cell>
          <cell r="G50">
            <v>0</v>
          </cell>
          <cell r="Y50">
            <v>0</v>
          </cell>
          <cell r="AC50">
            <v>0</v>
          </cell>
          <cell r="AD50">
            <v>0</v>
          </cell>
          <cell r="AE50">
            <v>0</v>
          </cell>
          <cell r="AF50" t="str">
            <v>قنا</v>
          </cell>
          <cell r="AG50">
            <v>0</v>
          </cell>
          <cell r="AH50">
            <v>0</v>
          </cell>
          <cell r="AI50">
            <v>0</v>
          </cell>
          <cell r="AK50">
            <v>0</v>
          </cell>
          <cell r="AL50">
            <v>0</v>
          </cell>
          <cell r="AM50">
            <v>0</v>
          </cell>
        </row>
        <row r="51">
          <cell r="B51">
            <v>0</v>
          </cell>
          <cell r="C51">
            <v>0</v>
          </cell>
          <cell r="D51">
            <v>0</v>
          </cell>
          <cell r="G51">
            <v>0</v>
          </cell>
          <cell r="Y51">
            <v>0</v>
          </cell>
          <cell r="AC51">
            <v>0</v>
          </cell>
          <cell r="AD51">
            <v>0</v>
          </cell>
          <cell r="AE51">
            <v>0</v>
          </cell>
          <cell r="AF51">
            <v>0</v>
          </cell>
          <cell r="AG51">
            <v>0</v>
          </cell>
          <cell r="AH51">
            <v>0</v>
          </cell>
          <cell r="AI51">
            <v>0</v>
          </cell>
          <cell r="AK51">
            <v>0</v>
          </cell>
          <cell r="AL51">
            <v>0</v>
          </cell>
          <cell r="AM51">
            <v>0</v>
          </cell>
        </row>
        <row r="52">
          <cell r="B52">
            <v>0</v>
          </cell>
          <cell r="C52">
            <v>0</v>
          </cell>
          <cell r="D52">
            <v>0</v>
          </cell>
          <cell r="G52">
            <v>0</v>
          </cell>
          <cell r="Y52">
            <v>0</v>
          </cell>
          <cell r="AC52">
            <v>0</v>
          </cell>
          <cell r="AD52">
            <v>0</v>
          </cell>
          <cell r="AE52">
            <v>0</v>
          </cell>
          <cell r="AF52">
            <v>0</v>
          </cell>
          <cell r="AG52">
            <v>0</v>
          </cell>
          <cell r="AH52">
            <v>0</v>
          </cell>
          <cell r="AI52">
            <v>0</v>
          </cell>
          <cell r="AK52">
            <v>0</v>
          </cell>
          <cell r="AL52">
            <v>0</v>
          </cell>
          <cell r="AM52">
            <v>0</v>
          </cell>
        </row>
        <row r="53">
          <cell r="B53">
            <v>0</v>
          </cell>
          <cell r="C53">
            <v>0</v>
          </cell>
          <cell r="D53">
            <v>0</v>
          </cell>
          <cell r="G53">
            <v>0</v>
          </cell>
          <cell r="Y53">
            <v>0</v>
          </cell>
          <cell r="AC53">
            <v>0</v>
          </cell>
          <cell r="AD53">
            <v>0</v>
          </cell>
          <cell r="AE53">
            <v>0</v>
          </cell>
          <cell r="AF53">
            <v>0</v>
          </cell>
          <cell r="AG53">
            <v>0</v>
          </cell>
          <cell r="AH53">
            <v>0</v>
          </cell>
          <cell r="AI53">
            <v>0</v>
          </cell>
          <cell r="AK53">
            <v>0</v>
          </cell>
          <cell r="AL53">
            <v>0</v>
          </cell>
          <cell r="AM53">
            <v>0</v>
          </cell>
        </row>
        <row r="54">
          <cell r="B54">
            <v>0</v>
          </cell>
          <cell r="C54">
            <v>0</v>
          </cell>
          <cell r="D54">
            <v>0</v>
          </cell>
          <cell r="G54">
            <v>0</v>
          </cell>
          <cell r="Y54">
            <v>0</v>
          </cell>
          <cell r="AC54">
            <v>0</v>
          </cell>
          <cell r="AD54">
            <v>0</v>
          </cell>
          <cell r="AE54">
            <v>0</v>
          </cell>
          <cell r="AF54">
            <v>0</v>
          </cell>
          <cell r="AG54">
            <v>0</v>
          </cell>
          <cell r="AH54">
            <v>0</v>
          </cell>
          <cell r="AI54">
            <v>0</v>
          </cell>
          <cell r="AK54">
            <v>0</v>
          </cell>
          <cell r="AL54">
            <v>0</v>
          </cell>
          <cell r="AM54">
            <v>0</v>
          </cell>
        </row>
        <row r="55">
          <cell r="B55">
            <v>0</v>
          </cell>
          <cell r="C55">
            <v>0</v>
          </cell>
          <cell r="D55">
            <v>0</v>
          </cell>
          <cell r="G55">
            <v>0</v>
          </cell>
          <cell r="Y55">
            <v>0</v>
          </cell>
          <cell r="AC55">
            <v>0</v>
          </cell>
          <cell r="AD55">
            <v>0</v>
          </cell>
          <cell r="AE55">
            <v>0</v>
          </cell>
          <cell r="AF55">
            <v>0</v>
          </cell>
          <cell r="AG55">
            <v>0</v>
          </cell>
          <cell r="AH55">
            <v>0</v>
          </cell>
          <cell r="AI55">
            <v>0</v>
          </cell>
          <cell r="AK55">
            <v>0</v>
          </cell>
          <cell r="AL55">
            <v>0</v>
          </cell>
          <cell r="AM55">
            <v>0</v>
          </cell>
        </row>
        <row r="56">
          <cell r="B56">
            <v>0</v>
          </cell>
          <cell r="C56">
            <v>0</v>
          </cell>
          <cell r="D56">
            <v>0</v>
          </cell>
          <cell r="G56">
            <v>0</v>
          </cell>
          <cell r="Y56">
            <v>0</v>
          </cell>
          <cell r="AC56">
            <v>0</v>
          </cell>
          <cell r="AD56">
            <v>0</v>
          </cell>
          <cell r="AE56">
            <v>0</v>
          </cell>
          <cell r="AF56">
            <v>0</v>
          </cell>
          <cell r="AG56">
            <v>0</v>
          </cell>
          <cell r="AH56">
            <v>0</v>
          </cell>
          <cell r="AI56">
            <v>0</v>
          </cell>
          <cell r="AK56">
            <v>0</v>
          </cell>
          <cell r="AL56">
            <v>0</v>
          </cell>
          <cell r="AM56">
            <v>0</v>
          </cell>
        </row>
        <row r="57">
          <cell r="B57">
            <v>0</v>
          </cell>
          <cell r="C57">
            <v>0</v>
          </cell>
          <cell r="D57">
            <v>0</v>
          </cell>
          <cell r="G57">
            <v>0</v>
          </cell>
          <cell r="Y57">
            <v>0</v>
          </cell>
          <cell r="AC57">
            <v>0</v>
          </cell>
          <cell r="AD57">
            <v>0</v>
          </cell>
          <cell r="AE57">
            <v>0</v>
          </cell>
          <cell r="AF57">
            <v>0</v>
          </cell>
          <cell r="AG57">
            <v>0</v>
          </cell>
          <cell r="AH57">
            <v>0</v>
          </cell>
          <cell r="AI57">
            <v>0</v>
          </cell>
          <cell r="AK57">
            <v>0</v>
          </cell>
          <cell r="AL57">
            <v>0</v>
          </cell>
          <cell r="AM57">
            <v>0</v>
          </cell>
        </row>
        <row r="58">
          <cell r="B58">
            <v>0</v>
          </cell>
          <cell r="C58">
            <v>0</v>
          </cell>
          <cell r="D58">
            <v>0</v>
          </cell>
          <cell r="G58">
            <v>0</v>
          </cell>
          <cell r="Y58">
            <v>0</v>
          </cell>
          <cell r="AC58">
            <v>0</v>
          </cell>
          <cell r="AD58">
            <v>0</v>
          </cell>
          <cell r="AE58">
            <v>0</v>
          </cell>
          <cell r="AF58">
            <v>0</v>
          </cell>
          <cell r="AG58">
            <v>0</v>
          </cell>
          <cell r="AH58">
            <v>0</v>
          </cell>
          <cell r="AI58">
            <v>0</v>
          </cell>
          <cell r="AK58">
            <v>0</v>
          </cell>
          <cell r="AL58">
            <v>0</v>
          </cell>
          <cell r="AM58">
            <v>0</v>
          </cell>
        </row>
        <row r="59">
          <cell r="B59">
            <v>0</v>
          </cell>
          <cell r="C59">
            <v>0</v>
          </cell>
          <cell r="D59">
            <v>0</v>
          </cell>
          <cell r="G59">
            <v>0</v>
          </cell>
          <cell r="Y59">
            <v>0</v>
          </cell>
          <cell r="AC59">
            <v>0</v>
          </cell>
          <cell r="AD59">
            <v>0</v>
          </cell>
          <cell r="AE59">
            <v>0</v>
          </cell>
          <cell r="AF59">
            <v>0</v>
          </cell>
          <cell r="AG59">
            <v>0</v>
          </cell>
          <cell r="AH59">
            <v>0</v>
          </cell>
          <cell r="AI59">
            <v>0</v>
          </cell>
          <cell r="AK59">
            <v>0</v>
          </cell>
          <cell r="AL59">
            <v>0</v>
          </cell>
          <cell r="AM59">
            <v>0</v>
          </cell>
        </row>
        <row r="60">
          <cell r="B60">
            <v>0</v>
          </cell>
          <cell r="C60">
            <v>0</v>
          </cell>
          <cell r="D60">
            <v>0</v>
          </cell>
          <cell r="G60">
            <v>0</v>
          </cell>
          <cell r="Y60">
            <v>0</v>
          </cell>
          <cell r="AC60">
            <v>0</v>
          </cell>
          <cell r="AD60">
            <v>0</v>
          </cell>
          <cell r="AE60">
            <v>0</v>
          </cell>
          <cell r="AF60">
            <v>0</v>
          </cell>
          <cell r="AG60">
            <v>0</v>
          </cell>
          <cell r="AH60">
            <v>0</v>
          </cell>
          <cell r="AI60">
            <v>0</v>
          </cell>
          <cell r="AK60">
            <v>0</v>
          </cell>
          <cell r="AL60">
            <v>0</v>
          </cell>
          <cell r="AM60">
            <v>0</v>
          </cell>
        </row>
        <row r="61">
          <cell r="B61">
            <v>0</v>
          </cell>
          <cell r="C61">
            <v>0</v>
          </cell>
          <cell r="D61">
            <v>0</v>
          </cell>
          <cell r="G61">
            <v>0</v>
          </cell>
          <cell r="Y61">
            <v>0</v>
          </cell>
          <cell r="AC61">
            <v>0</v>
          </cell>
          <cell r="AD61">
            <v>0</v>
          </cell>
          <cell r="AE61">
            <v>0</v>
          </cell>
          <cell r="AF61">
            <v>0</v>
          </cell>
          <cell r="AG61">
            <v>0</v>
          </cell>
          <cell r="AH61">
            <v>0</v>
          </cell>
          <cell r="AI61">
            <v>0</v>
          </cell>
          <cell r="AK61">
            <v>0</v>
          </cell>
          <cell r="AL61">
            <v>0</v>
          </cell>
          <cell r="AM61">
            <v>0</v>
          </cell>
        </row>
        <row r="62">
          <cell r="B62">
            <v>0</v>
          </cell>
          <cell r="C62">
            <v>0</v>
          </cell>
          <cell r="D62">
            <v>0</v>
          </cell>
          <cell r="G62">
            <v>0</v>
          </cell>
          <cell r="Y62">
            <v>0</v>
          </cell>
          <cell r="AC62">
            <v>0</v>
          </cell>
          <cell r="AD62">
            <v>0</v>
          </cell>
          <cell r="AE62">
            <v>0</v>
          </cell>
          <cell r="AF62">
            <v>0</v>
          </cell>
          <cell r="AG62">
            <v>0</v>
          </cell>
          <cell r="AH62">
            <v>0</v>
          </cell>
          <cell r="AI62">
            <v>0</v>
          </cell>
          <cell r="AK62">
            <v>0</v>
          </cell>
          <cell r="AL62">
            <v>0</v>
          </cell>
          <cell r="AM62">
            <v>0</v>
          </cell>
        </row>
        <row r="63">
          <cell r="B63">
            <v>0</v>
          </cell>
          <cell r="C63">
            <v>0</v>
          </cell>
          <cell r="D63">
            <v>0</v>
          </cell>
          <cell r="G63">
            <v>0</v>
          </cell>
          <cell r="Y63">
            <v>0</v>
          </cell>
          <cell r="AC63">
            <v>0</v>
          </cell>
          <cell r="AD63">
            <v>0</v>
          </cell>
          <cell r="AE63">
            <v>0</v>
          </cell>
          <cell r="AF63">
            <v>0</v>
          </cell>
          <cell r="AG63">
            <v>0</v>
          </cell>
          <cell r="AH63">
            <v>0</v>
          </cell>
          <cell r="AI63">
            <v>0</v>
          </cell>
          <cell r="AK63">
            <v>0</v>
          </cell>
          <cell r="AL63">
            <v>0</v>
          </cell>
          <cell r="AM63">
            <v>0</v>
          </cell>
        </row>
        <row r="64">
          <cell r="B64">
            <v>0</v>
          </cell>
          <cell r="C64">
            <v>0</v>
          </cell>
          <cell r="D64">
            <v>0</v>
          </cell>
          <cell r="G64">
            <v>0</v>
          </cell>
          <cell r="Y64">
            <v>0</v>
          </cell>
          <cell r="AC64">
            <v>0</v>
          </cell>
          <cell r="AD64">
            <v>0</v>
          </cell>
          <cell r="AE64">
            <v>0</v>
          </cell>
          <cell r="AF64">
            <v>0</v>
          </cell>
          <cell r="AG64">
            <v>0</v>
          </cell>
          <cell r="AH64">
            <v>0</v>
          </cell>
          <cell r="AI64">
            <v>0</v>
          </cell>
          <cell r="AK64">
            <v>0</v>
          </cell>
          <cell r="AL64">
            <v>0</v>
          </cell>
          <cell r="AM64">
            <v>0</v>
          </cell>
        </row>
        <row r="65">
          <cell r="B65">
            <v>0</v>
          </cell>
          <cell r="C65">
            <v>0</v>
          </cell>
          <cell r="D65">
            <v>0</v>
          </cell>
          <cell r="G65">
            <v>0</v>
          </cell>
          <cell r="Y65">
            <v>0</v>
          </cell>
          <cell r="AC65">
            <v>0</v>
          </cell>
          <cell r="AD65">
            <v>0</v>
          </cell>
          <cell r="AE65">
            <v>0</v>
          </cell>
          <cell r="AF65">
            <v>0</v>
          </cell>
          <cell r="AG65">
            <v>0</v>
          </cell>
          <cell r="AH65">
            <v>0</v>
          </cell>
          <cell r="AI65">
            <v>0</v>
          </cell>
          <cell r="AK65">
            <v>0</v>
          </cell>
          <cell r="AL65">
            <v>0</v>
          </cell>
          <cell r="AM65">
            <v>0</v>
          </cell>
        </row>
        <row r="66">
          <cell r="B66">
            <v>0</v>
          </cell>
          <cell r="C66">
            <v>0</v>
          </cell>
          <cell r="D66">
            <v>0</v>
          </cell>
          <cell r="G66">
            <v>0</v>
          </cell>
          <cell r="Y66">
            <v>0</v>
          </cell>
          <cell r="AC66">
            <v>0</v>
          </cell>
          <cell r="AD66">
            <v>0</v>
          </cell>
          <cell r="AE66">
            <v>0</v>
          </cell>
          <cell r="AF66">
            <v>0</v>
          </cell>
          <cell r="AG66">
            <v>0</v>
          </cell>
          <cell r="AH66">
            <v>0</v>
          </cell>
          <cell r="AI66">
            <v>0</v>
          </cell>
          <cell r="AK66">
            <v>0</v>
          </cell>
          <cell r="AL66">
            <v>0</v>
          </cell>
          <cell r="AM66">
            <v>0</v>
          </cell>
        </row>
        <row r="67">
          <cell r="B67">
            <v>0</v>
          </cell>
          <cell r="C67">
            <v>0</v>
          </cell>
          <cell r="D67">
            <v>0</v>
          </cell>
          <cell r="G67">
            <v>0</v>
          </cell>
          <cell r="Y67">
            <v>0</v>
          </cell>
          <cell r="AC67">
            <v>0</v>
          </cell>
          <cell r="AD67">
            <v>0</v>
          </cell>
          <cell r="AE67">
            <v>0</v>
          </cell>
          <cell r="AF67">
            <v>0</v>
          </cell>
          <cell r="AG67">
            <v>0</v>
          </cell>
          <cell r="AH67">
            <v>0</v>
          </cell>
          <cell r="AI67">
            <v>0</v>
          </cell>
          <cell r="AK67">
            <v>0</v>
          </cell>
          <cell r="AL67">
            <v>0</v>
          </cell>
          <cell r="AM67">
            <v>0</v>
          </cell>
        </row>
        <row r="68">
          <cell r="B68">
            <v>0</v>
          </cell>
          <cell r="C68">
            <v>0</v>
          </cell>
          <cell r="D68">
            <v>0</v>
          </cell>
          <cell r="G68">
            <v>0</v>
          </cell>
          <cell r="Y68">
            <v>0</v>
          </cell>
          <cell r="AC68">
            <v>0</v>
          </cell>
          <cell r="AD68">
            <v>0</v>
          </cell>
          <cell r="AE68">
            <v>0</v>
          </cell>
          <cell r="AF68">
            <v>0</v>
          </cell>
          <cell r="AG68">
            <v>0</v>
          </cell>
          <cell r="AH68">
            <v>0</v>
          </cell>
          <cell r="AI68">
            <v>0</v>
          </cell>
          <cell r="AK68">
            <v>0</v>
          </cell>
          <cell r="AL68">
            <v>0</v>
          </cell>
          <cell r="AM68">
            <v>0</v>
          </cell>
        </row>
        <row r="69">
          <cell r="B69">
            <v>0</v>
          </cell>
          <cell r="C69">
            <v>0</v>
          </cell>
          <cell r="D69">
            <v>0</v>
          </cell>
          <cell r="G69">
            <v>0</v>
          </cell>
          <cell r="Y69">
            <v>0</v>
          </cell>
          <cell r="AC69">
            <v>0</v>
          </cell>
          <cell r="AD69">
            <v>0</v>
          </cell>
          <cell r="AE69">
            <v>0</v>
          </cell>
          <cell r="AF69">
            <v>0</v>
          </cell>
          <cell r="AG69">
            <v>0</v>
          </cell>
          <cell r="AH69">
            <v>0</v>
          </cell>
          <cell r="AI69">
            <v>0</v>
          </cell>
          <cell r="AK69">
            <v>0</v>
          </cell>
          <cell r="AL69">
            <v>0</v>
          </cell>
          <cell r="AM69">
            <v>0</v>
          </cell>
        </row>
        <row r="70">
          <cell r="B70">
            <v>0</v>
          </cell>
          <cell r="C70">
            <v>0</v>
          </cell>
          <cell r="D70">
            <v>0</v>
          </cell>
          <cell r="G70">
            <v>0</v>
          </cell>
          <cell r="Y70">
            <v>0</v>
          </cell>
          <cell r="AC70">
            <v>0</v>
          </cell>
          <cell r="AD70">
            <v>0</v>
          </cell>
          <cell r="AE70">
            <v>0</v>
          </cell>
          <cell r="AF70">
            <v>0</v>
          </cell>
          <cell r="AG70">
            <v>0</v>
          </cell>
          <cell r="AH70">
            <v>0</v>
          </cell>
          <cell r="AI70">
            <v>0</v>
          </cell>
          <cell r="AK70">
            <v>0</v>
          </cell>
          <cell r="AL70">
            <v>0</v>
          </cell>
          <cell r="AM70">
            <v>0</v>
          </cell>
        </row>
        <row r="71">
          <cell r="B71">
            <v>0</v>
          </cell>
          <cell r="C71">
            <v>0</v>
          </cell>
          <cell r="D71">
            <v>0</v>
          </cell>
          <cell r="G71">
            <v>0</v>
          </cell>
          <cell r="Y71">
            <v>0</v>
          </cell>
          <cell r="AC71">
            <v>0</v>
          </cell>
          <cell r="AD71">
            <v>0</v>
          </cell>
          <cell r="AE71">
            <v>0</v>
          </cell>
          <cell r="AF71">
            <v>0</v>
          </cell>
          <cell r="AG71">
            <v>0</v>
          </cell>
          <cell r="AH71">
            <v>0</v>
          </cell>
          <cell r="AI71">
            <v>0</v>
          </cell>
          <cell r="AK71">
            <v>0</v>
          </cell>
          <cell r="AL71">
            <v>0</v>
          </cell>
          <cell r="AM71">
            <v>0</v>
          </cell>
        </row>
        <row r="72">
          <cell r="B72">
            <v>0</v>
          </cell>
          <cell r="C72">
            <v>0</v>
          </cell>
          <cell r="D72">
            <v>0</v>
          </cell>
          <cell r="G72">
            <v>0</v>
          </cell>
          <cell r="Y72">
            <v>0</v>
          </cell>
          <cell r="AC72">
            <v>0</v>
          </cell>
          <cell r="AD72">
            <v>0</v>
          </cell>
          <cell r="AE72">
            <v>0</v>
          </cell>
          <cell r="AF72">
            <v>0</v>
          </cell>
          <cell r="AG72">
            <v>0</v>
          </cell>
          <cell r="AH72">
            <v>0</v>
          </cell>
          <cell r="AI72">
            <v>0</v>
          </cell>
          <cell r="AK72">
            <v>0</v>
          </cell>
          <cell r="AL72">
            <v>0</v>
          </cell>
          <cell r="AM72">
            <v>0</v>
          </cell>
        </row>
        <row r="73">
          <cell r="B73">
            <v>0</v>
          </cell>
          <cell r="C73">
            <v>0</v>
          </cell>
          <cell r="D73">
            <v>0</v>
          </cell>
          <cell r="G73">
            <v>0</v>
          </cell>
          <cell r="Y73">
            <v>0</v>
          </cell>
          <cell r="AC73">
            <v>0</v>
          </cell>
          <cell r="AD73">
            <v>0</v>
          </cell>
          <cell r="AE73">
            <v>0</v>
          </cell>
          <cell r="AF73">
            <v>0</v>
          </cell>
          <cell r="AG73">
            <v>0</v>
          </cell>
          <cell r="AH73">
            <v>0</v>
          </cell>
          <cell r="AI73">
            <v>0</v>
          </cell>
          <cell r="AK73">
            <v>0</v>
          </cell>
          <cell r="AL73">
            <v>0</v>
          </cell>
          <cell r="AM73">
            <v>0</v>
          </cell>
        </row>
        <row r="74">
          <cell r="B74">
            <v>0</v>
          </cell>
          <cell r="C74">
            <v>0</v>
          </cell>
          <cell r="D74">
            <v>0</v>
          </cell>
          <cell r="G74">
            <v>0</v>
          </cell>
          <cell r="Y74">
            <v>0</v>
          </cell>
          <cell r="AC74">
            <v>0</v>
          </cell>
          <cell r="AD74">
            <v>0</v>
          </cell>
          <cell r="AE74">
            <v>0</v>
          </cell>
          <cell r="AF74">
            <v>0</v>
          </cell>
          <cell r="AG74">
            <v>0</v>
          </cell>
          <cell r="AH74">
            <v>0</v>
          </cell>
          <cell r="AI74">
            <v>0</v>
          </cell>
          <cell r="AK74">
            <v>0</v>
          </cell>
          <cell r="AL74">
            <v>0</v>
          </cell>
          <cell r="AM74">
            <v>0</v>
          </cell>
        </row>
        <row r="75">
          <cell r="B75">
            <v>0</v>
          </cell>
          <cell r="C75">
            <v>0</v>
          </cell>
          <cell r="D75">
            <v>0</v>
          </cell>
          <cell r="G75">
            <v>0</v>
          </cell>
          <cell r="Y75">
            <v>0</v>
          </cell>
          <cell r="AC75">
            <v>0</v>
          </cell>
          <cell r="AD75">
            <v>0</v>
          </cell>
          <cell r="AE75">
            <v>0</v>
          </cell>
          <cell r="AF75">
            <v>0</v>
          </cell>
          <cell r="AG75">
            <v>0</v>
          </cell>
          <cell r="AH75">
            <v>0</v>
          </cell>
          <cell r="AI75">
            <v>0</v>
          </cell>
          <cell r="AK75">
            <v>0</v>
          </cell>
          <cell r="AL75">
            <v>0</v>
          </cell>
          <cell r="AM75">
            <v>0</v>
          </cell>
        </row>
        <row r="76">
          <cell r="B76">
            <v>0</v>
          </cell>
          <cell r="C76">
            <v>0</v>
          </cell>
          <cell r="D76">
            <v>0</v>
          </cell>
          <cell r="G76">
            <v>0</v>
          </cell>
          <cell r="Y76">
            <v>0</v>
          </cell>
          <cell r="AC76">
            <v>0</v>
          </cell>
          <cell r="AD76">
            <v>0</v>
          </cell>
          <cell r="AE76">
            <v>0</v>
          </cell>
          <cell r="AF76">
            <v>0</v>
          </cell>
          <cell r="AG76">
            <v>0</v>
          </cell>
          <cell r="AH76">
            <v>0</v>
          </cell>
          <cell r="AI76">
            <v>0</v>
          </cell>
          <cell r="AK76">
            <v>0</v>
          </cell>
          <cell r="AL76">
            <v>0</v>
          </cell>
          <cell r="AM76">
            <v>0</v>
          </cell>
        </row>
        <row r="77">
          <cell r="B77">
            <v>0</v>
          </cell>
          <cell r="C77">
            <v>0</v>
          </cell>
          <cell r="D77">
            <v>0</v>
          </cell>
          <cell r="G77">
            <v>0</v>
          </cell>
          <cell r="Y77">
            <v>0</v>
          </cell>
          <cell r="AC77">
            <v>0</v>
          </cell>
          <cell r="AD77">
            <v>0</v>
          </cell>
          <cell r="AE77">
            <v>0</v>
          </cell>
          <cell r="AF77">
            <v>0</v>
          </cell>
          <cell r="AG77">
            <v>0</v>
          </cell>
          <cell r="AH77">
            <v>0</v>
          </cell>
          <cell r="AI77">
            <v>0</v>
          </cell>
          <cell r="AK77">
            <v>0</v>
          </cell>
          <cell r="AL77">
            <v>0</v>
          </cell>
          <cell r="AM77">
            <v>0</v>
          </cell>
        </row>
        <row r="78">
          <cell r="B78">
            <v>0</v>
          </cell>
          <cell r="C78">
            <v>0</v>
          </cell>
          <cell r="D78">
            <v>0</v>
          </cell>
          <cell r="G78">
            <v>0</v>
          </cell>
          <cell r="Y78">
            <v>0</v>
          </cell>
          <cell r="AC78">
            <v>0</v>
          </cell>
          <cell r="AD78">
            <v>0</v>
          </cell>
          <cell r="AE78">
            <v>0</v>
          </cell>
          <cell r="AF78">
            <v>0</v>
          </cell>
          <cell r="AG78">
            <v>0</v>
          </cell>
          <cell r="AH78">
            <v>0</v>
          </cell>
          <cell r="AI78">
            <v>0</v>
          </cell>
          <cell r="AK78">
            <v>0</v>
          </cell>
          <cell r="AL78">
            <v>0</v>
          </cell>
          <cell r="AM78">
            <v>0</v>
          </cell>
        </row>
        <row r="79">
          <cell r="B79">
            <v>0</v>
          </cell>
          <cell r="C79">
            <v>0</v>
          </cell>
          <cell r="D79">
            <v>0</v>
          </cell>
          <cell r="G79">
            <v>0</v>
          </cell>
          <cell r="Y79">
            <v>0</v>
          </cell>
          <cell r="AC79">
            <v>0</v>
          </cell>
          <cell r="AD79">
            <v>0</v>
          </cell>
          <cell r="AE79">
            <v>0</v>
          </cell>
          <cell r="AF79">
            <v>0</v>
          </cell>
          <cell r="AG79">
            <v>0</v>
          </cell>
          <cell r="AH79">
            <v>0</v>
          </cell>
          <cell r="AI79">
            <v>0</v>
          </cell>
          <cell r="AK79">
            <v>0</v>
          </cell>
          <cell r="AL79">
            <v>0</v>
          </cell>
          <cell r="AM79">
            <v>0</v>
          </cell>
        </row>
        <row r="80">
          <cell r="B80">
            <v>0</v>
          </cell>
          <cell r="C80">
            <v>0</v>
          </cell>
          <cell r="D80">
            <v>0</v>
          </cell>
          <cell r="G80">
            <v>0</v>
          </cell>
          <cell r="Y80">
            <v>0</v>
          </cell>
          <cell r="AC80">
            <v>0</v>
          </cell>
          <cell r="AD80">
            <v>0</v>
          </cell>
          <cell r="AE80">
            <v>0</v>
          </cell>
          <cell r="AF80">
            <v>0</v>
          </cell>
          <cell r="AG80">
            <v>0</v>
          </cell>
          <cell r="AH80">
            <v>0</v>
          </cell>
          <cell r="AI80">
            <v>0</v>
          </cell>
          <cell r="AK80">
            <v>0</v>
          </cell>
          <cell r="AL80">
            <v>0</v>
          </cell>
          <cell r="AM80">
            <v>0</v>
          </cell>
        </row>
        <row r="81">
          <cell r="B81">
            <v>0</v>
          </cell>
          <cell r="C81">
            <v>0</v>
          </cell>
          <cell r="D81">
            <v>0</v>
          </cell>
          <cell r="G81">
            <v>0</v>
          </cell>
          <cell r="Y81">
            <v>0</v>
          </cell>
          <cell r="AC81">
            <v>0</v>
          </cell>
          <cell r="AD81">
            <v>0</v>
          </cell>
          <cell r="AE81">
            <v>0</v>
          </cell>
          <cell r="AF81">
            <v>0</v>
          </cell>
          <cell r="AG81">
            <v>0</v>
          </cell>
          <cell r="AH81">
            <v>0</v>
          </cell>
          <cell r="AI81">
            <v>0</v>
          </cell>
          <cell r="AK81">
            <v>0</v>
          </cell>
          <cell r="AL81">
            <v>0</v>
          </cell>
          <cell r="AM81">
            <v>0</v>
          </cell>
        </row>
        <row r="82">
          <cell r="B82">
            <v>0</v>
          </cell>
          <cell r="C82">
            <v>0</v>
          </cell>
          <cell r="D82">
            <v>0</v>
          </cell>
          <cell r="G82">
            <v>0</v>
          </cell>
          <cell r="Y82">
            <v>0</v>
          </cell>
          <cell r="AC82">
            <v>0</v>
          </cell>
          <cell r="AD82">
            <v>0</v>
          </cell>
          <cell r="AE82">
            <v>0</v>
          </cell>
          <cell r="AF82">
            <v>0</v>
          </cell>
          <cell r="AG82">
            <v>0</v>
          </cell>
          <cell r="AH82">
            <v>0</v>
          </cell>
          <cell r="AI82">
            <v>0</v>
          </cell>
          <cell r="AK82">
            <v>0</v>
          </cell>
          <cell r="AL82">
            <v>0</v>
          </cell>
          <cell r="AM82">
            <v>0</v>
          </cell>
        </row>
        <row r="83">
          <cell r="B83">
            <v>0</v>
          </cell>
          <cell r="C83">
            <v>0</v>
          </cell>
          <cell r="D83">
            <v>0</v>
          </cell>
          <cell r="G83">
            <v>0</v>
          </cell>
          <cell r="Y83">
            <v>0</v>
          </cell>
          <cell r="AC83">
            <v>0</v>
          </cell>
          <cell r="AD83">
            <v>0</v>
          </cell>
          <cell r="AE83">
            <v>0</v>
          </cell>
          <cell r="AF83">
            <v>0</v>
          </cell>
          <cell r="AG83">
            <v>0</v>
          </cell>
          <cell r="AH83">
            <v>0</v>
          </cell>
          <cell r="AI83">
            <v>0</v>
          </cell>
          <cell r="AK83">
            <v>0</v>
          </cell>
          <cell r="AL83">
            <v>0</v>
          </cell>
          <cell r="AM83">
            <v>0</v>
          </cell>
        </row>
        <row r="84">
          <cell r="B84">
            <v>0</v>
          </cell>
          <cell r="C84">
            <v>0</v>
          </cell>
          <cell r="D84">
            <v>0</v>
          </cell>
          <cell r="G84">
            <v>0</v>
          </cell>
          <cell r="Y84">
            <v>0</v>
          </cell>
          <cell r="AC84">
            <v>0</v>
          </cell>
          <cell r="AD84">
            <v>0</v>
          </cell>
          <cell r="AE84">
            <v>0</v>
          </cell>
          <cell r="AF84">
            <v>0</v>
          </cell>
          <cell r="AG84">
            <v>0</v>
          </cell>
          <cell r="AH84">
            <v>0</v>
          </cell>
          <cell r="AI84">
            <v>0</v>
          </cell>
          <cell r="AK84">
            <v>0</v>
          </cell>
          <cell r="AL84">
            <v>0</v>
          </cell>
          <cell r="AM84">
            <v>0</v>
          </cell>
        </row>
        <row r="85">
          <cell r="B85">
            <v>0</v>
          </cell>
          <cell r="C85">
            <v>0</v>
          </cell>
          <cell r="D85">
            <v>0</v>
          </cell>
          <cell r="G85">
            <v>0</v>
          </cell>
          <cell r="Y85">
            <v>0</v>
          </cell>
          <cell r="AC85">
            <v>0</v>
          </cell>
          <cell r="AD85">
            <v>0</v>
          </cell>
          <cell r="AE85">
            <v>0</v>
          </cell>
          <cell r="AF85">
            <v>0</v>
          </cell>
          <cell r="AG85">
            <v>0</v>
          </cell>
          <cell r="AH85">
            <v>0</v>
          </cell>
          <cell r="AI85">
            <v>0</v>
          </cell>
          <cell r="AK85">
            <v>0</v>
          </cell>
          <cell r="AL85">
            <v>0</v>
          </cell>
          <cell r="AM85">
            <v>0</v>
          </cell>
        </row>
        <row r="86">
          <cell r="B86">
            <v>0</v>
          </cell>
          <cell r="C86">
            <v>0</v>
          </cell>
          <cell r="D86">
            <v>0</v>
          </cell>
          <cell r="G86">
            <v>0</v>
          </cell>
          <cell r="Y86">
            <v>0</v>
          </cell>
          <cell r="AC86">
            <v>0</v>
          </cell>
          <cell r="AD86">
            <v>0</v>
          </cell>
          <cell r="AE86">
            <v>0</v>
          </cell>
          <cell r="AF86">
            <v>0</v>
          </cell>
          <cell r="AG86">
            <v>0</v>
          </cell>
          <cell r="AH86">
            <v>0</v>
          </cell>
          <cell r="AI86">
            <v>0</v>
          </cell>
          <cell r="AK86">
            <v>0</v>
          </cell>
          <cell r="AL86">
            <v>0</v>
          </cell>
          <cell r="AM86">
            <v>0</v>
          </cell>
        </row>
        <row r="87">
          <cell r="B87">
            <v>0</v>
          </cell>
          <cell r="C87">
            <v>0</v>
          </cell>
          <cell r="D87">
            <v>0</v>
          </cell>
          <cell r="G87">
            <v>0</v>
          </cell>
          <cell r="Y87">
            <v>0</v>
          </cell>
          <cell r="AC87">
            <v>0</v>
          </cell>
          <cell r="AD87">
            <v>0</v>
          </cell>
          <cell r="AE87">
            <v>0</v>
          </cell>
          <cell r="AF87">
            <v>0</v>
          </cell>
          <cell r="AG87">
            <v>0</v>
          </cell>
          <cell r="AH87">
            <v>0</v>
          </cell>
          <cell r="AI87">
            <v>0</v>
          </cell>
          <cell r="AK87">
            <v>0</v>
          </cell>
          <cell r="AL87">
            <v>0</v>
          </cell>
          <cell r="AM87">
            <v>0</v>
          </cell>
        </row>
        <row r="88">
          <cell r="B88">
            <v>0</v>
          </cell>
          <cell r="C88">
            <v>0</v>
          </cell>
          <cell r="D88">
            <v>0</v>
          </cell>
          <cell r="G88">
            <v>0</v>
          </cell>
          <cell r="Y88">
            <v>0</v>
          </cell>
          <cell r="AC88">
            <v>0</v>
          </cell>
          <cell r="AD88">
            <v>0</v>
          </cell>
          <cell r="AE88">
            <v>0</v>
          </cell>
          <cell r="AF88">
            <v>0</v>
          </cell>
          <cell r="AG88">
            <v>0</v>
          </cell>
          <cell r="AH88">
            <v>0</v>
          </cell>
          <cell r="AI88">
            <v>0</v>
          </cell>
          <cell r="AK88">
            <v>0</v>
          </cell>
          <cell r="AL88">
            <v>0</v>
          </cell>
          <cell r="AM88">
            <v>0</v>
          </cell>
        </row>
        <row r="89">
          <cell r="B89">
            <v>0</v>
          </cell>
          <cell r="C89">
            <v>0</v>
          </cell>
          <cell r="D89">
            <v>0</v>
          </cell>
          <cell r="G89">
            <v>0</v>
          </cell>
          <cell r="Y89">
            <v>0</v>
          </cell>
          <cell r="AC89">
            <v>0</v>
          </cell>
          <cell r="AD89">
            <v>0</v>
          </cell>
          <cell r="AE89">
            <v>0</v>
          </cell>
          <cell r="AF89">
            <v>0</v>
          </cell>
          <cell r="AG89">
            <v>0</v>
          </cell>
          <cell r="AH89">
            <v>0</v>
          </cell>
          <cell r="AI89">
            <v>0</v>
          </cell>
          <cell r="AK89">
            <v>0</v>
          </cell>
          <cell r="AL89">
            <v>0</v>
          </cell>
          <cell r="AM89">
            <v>0</v>
          </cell>
        </row>
        <row r="90">
          <cell r="B90">
            <v>0</v>
          </cell>
          <cell r="C90">
            <v>0</v>
          </cell>
          <cell r="D90">
            <v>0</v>
          </cell>
          <cell r="G90">
            <v>0</v>
          </cell>
          <cell r="Y90">
            <v>0</v>
          </cell>
          <cell r="AC90">
            <v>0</v>
          </cell>
          <cell r="AD90">
            <v>0</v>
          </cell>
          <cell r="AE90">
            <v>0</v>
          </cell>
          <cell r="AF90">
            <v>0</v>
          </cell>
          <cell r="AG90">
            <v>0</v>
          </cell>
          <cell r="AH90">
            <v>0</v>
          </cell>
          <cell r="AI90">
            <v>0</v>
          </cell>
          <cell r="AK90">
            <v>0</v>
          </cell>
          <cell r="AL90">
            <v>0</v>
          </cell>
          <cell r="AM90">
            <v>0</v>
          </cell>
        </row>
        <row r="91">
          <cell r="B91">
            <v>0</v>
          </cell>
          <cell r="C91">
            <v>0</v>
          </cell>
          <cell r="D91">
            <v>0</v>
          </cell>
          <cell r="G91">
            <v>0</v>
          </cell>
          <cell r="Y91">
            <v>0</v>
          </cell>
          <cell r="AC91">
            <v>0</v>
          </cell>
          <cell r="AD91">
            <v>0</v>
          </cell>
          <cell r="AE91">
            <v>0</v>
          </cell>
          <cell r="AF91">
            <v>0</v>
          </cell>
          <cell r="AG91">
            <v>0</v>
          </cell>
          <cell r="AH91">
            <v>0</v>
          </cell>
          <cell r="AI91">
            <v>0</v>
          </cell>
          <cell r="AK91">
            <v>0</v>
          </cell>
          <cell r="AL91">
            <v>0</v>
          </cell>
          <cell r="AM91">
            <v>0</v>
          </cell>
        </row>
        <row r="92">
          <cell r="B92">
            <v>0</v>
          </cell>
          <cell r="C92">
            <v>0</v>
          </cell>
          <cell r="D92">
            <v>0</v>
          </cell>
          <cell r="G92">
            <v>0</v>
          </cell>
          <cell r="Y92">
            <v>0</v>
          </cell>
          <cell r="AC92">
            <v>0</v>
          </cell>
          <cell r="AD92">
            <v>0</v>
          </cell>
          <cell r="AE92">
            <v>0</v>
          </cell>
          <cell r="AF92">
            <v>0</v>
          </cell>
          <cell r="AG92">
            <v>0</v>
          </cell>
          <cell r="AH92">
            <v>0</v>
          </cell>
          <cell r="AI92">
            <v>0</v>
          </cell>
          <cell r="AK92">
            <v>0</v>
          </cell>
          <cell r="AL92">
            <v>0</v>
          </cell>
          <cell r="AM92">
            <v>0</v>
          </cell>
        </row>
        <row r="93">
          <cell r="B93">
            <v>0</v>
          </cell>
          <cell r="C93">
            <v>0</v>
          </cell>
          <cell r="D93">
            <v>0</v>
          </cell>
          <cell r="G93">
            <v>0</v>
          </cell>
          <cell r="Y93">
            <v>0</v>
          </cell>
          <cell r="AC93">
            <v>0</v>
          </cell>
          <cell r="AD93">
            <v>0</v>
          </cell>
          <cell r="AE93">
            <v>0</v>
          </cell>
          <cell r="AF93">
            <v>0</v>
          </cell>
          <cell r="AG93">
            <v>0</v>
          </cell>
          <cell r="AH93">
            <v>0</v>
          </cell>
          <cell r="AI93">
            <v>0</v>
          </cell>
          <cell r="AK93">
            <v>0</v>
          </cell>
          <cell r="AL93">
            <v>0</v>
          </cell>
          <cell r="AM93">
            <v>0</v>
          </cell>
        </row>
        <row r="94">
          <cell r="B94">
            <v>0</v>
          </cell>
          <cell r="C94">
            <v>0</v>
          </cell>
          <cell r="D94">
            <v>0</v>
          </cell>
          <cell r="G94">
            <v>0</v>
          </cell>
          <cell r="Y94">
            <v>0</v>
          </cell>
          <cell r="AC94">
            <v>0</v>
          </cell>
          <cell r="AD94">
            <v>0</v>
          </cell>
          <cell r="AE94">
            <v>0</v>
          </cell>
          <cell r="AF94">
            <v>0</v>
          </cell>
          <cell r="AG94">
            <v>0</v>
          </cell>
          <cell r="AH94">
            <v>0</v>
          </cell>
          <cell r="AI94">
            <v>0</v>
          </cell>
          <cell r="AK94">
            <v>0</v>
          </cell>
          <cell r="AL94">
            <v>0</v>
          </cell>
          <cell r="AM94">
            <v>0</v>
          </cell>
        </row>
        <row r="95">
          <cell r="B95">
            <v>0</v>
          </cell>
          <cell r="C95">
            <v>0</v>
          </cell>
          <cell r="D95">
            <v>0</v>
          </cell>
          <cell r="G95">
            <v>0</v>
          </cell>
          <cell r="Y95">
            <v>0</v>
          </cell>
          <cell r="AC95">
            <v>0</v>
          </cell>
          <cell r="AD95">
            <v>0</v>
          </cell>
          <cell r="AE95">
            <v>0</v>
          </cell>
          <cell r="AF95">
            <v>0</v>
          </cell>
          <cell r="AG95">
            <v>0</v>
          </cell>
          <cell r="AH95">
            <v>0</v>
          </cell>
          <cell r="AI95">
            <v>0</v>
          </cell>
          <cell r="AK95">
            <v>0</v>
          </cell>
          <cell r="AL95">
            <v>0</v>
          </cell>
          <cell r="AM95">
            <v>0</v>
          </cell>
        </row>
        <row r="96">
          <cell r="B96">
            <v>0</v>
          </cell>
          <cell r="C96">
            <v>0</v>
          </cell>
          <cell r="D96">
            <v>0</v>
          </cell>
          <cell r="G96">
            <v>0</v>
          </cell>
          <cell r="Y96">
            <v>0</v>
          </cell>
          <cell r="AC96">
            <v>0</v>
          </cell>
          <cell r="AD96">
            <v>0</v>
          </cell>
          <cell r="AE96">
            <v>0</v>
          </cell>
          <cell r="AF96">
            <v>0</v>
          </cell>
          <cell r="AG96">
            <v>0</v>
          </cell>
          <cell r="AH96">
            <v>0</v>
          </cell>
          <cell r="AI96">
            <v>0</v>
          </cell>
          <cell r="AK96">
            <v>0</v>
          </cell>
          <cell r="AL96">
            <v>0</v>
          </cell>
          <cell r="AM96">
            <v>0</v>
          </cell>
        </row>
        <row r="97">
          <cell r="B97">
            <v>0</v>
          </cell>
          <cell r="C97">
            <v>0</v>
          </cell>
          <cell r="D97">
            <v>0</v>
          </cell>
          <cell r="G97">
            <v>0</v>
          </cell>
          <cell r="Y97">
            <v>0</v>
          </cell>
          <cell r="AC97">
            <v>0</v>
          </cell>
          <cell r="AD97">
            <v>0</v>
          </cell>
          <cell r="AE97">
            <v>0</v>
          </cell>
          <cell r="AF97">
            <v>0</v>
          </cell>
          <cell r="AG97">
            <v>0</v>
          </cell>
          <cell r="AH97">
            <v>0</v>
          </cell>
          <cell r="AI97">
            <v>0</v>
          </cell>
          <cell r="AK97">
            <v>0</v>
          </cell>
          <cell r="AL97">
            <v>0</v>
          </cell>
          <cell r="AM97">
            <v>0</v>
          </cell>
        </row>
        <row r="98">
          <cell r="B98">
            <v>0</v>
          </cell>
          <cell r="C98">
            <v>0</v>
          </cell>
          <cell r="D98">
            <v>0</v>
          </cell>
          <cell r="G98">
            <v>0</v>
          </cell>
          <cell r="Y98">
            <v>0</v>
          </cell>
          <cell r="AC98">
            <v>0</v>
          </cell>
          <cell r="AD98">
            <v>0</v>
          </cell>
          <cell r="AE98">
            <v>0</v>
          </cell>
          <cell r="AF98">
            <v>0</v>
          </cell>
          <cell r="AG98">
            <v>0</v>
          </cell>
          <cell r="AH98">
            <v>0</v>
          </cell>
          <cell r="AI98">
            <v>0</v>
          </cell>
          <cell r="AK98">
            <v>0</v>
          </cell>
          <cell r="AL98">
            <v>0</v>
          </cell>
          <cell r="AM98">
            <v>0</v>
          </cell>
        </row>
        <row r="99">
          <cell r="B99">
            <v>0</v>
          </cell>
          <cell r="C99">
            <v>0</v>
          </cell>
          <cell r="D99">
            <v>0</v>
          </cell>
          <cell r="G99">
            <v>0</v>
          </cell>
          <cell r="Y99">
            <v>0</v>
          </cell>
          <cell r="AC99">
            <v>0</v>
          </cell>
          <cell r="AD99">
            <v>0</v>
          </cell>
          <cell r="AE99">
            <v>0</v>
          </cell>
          <cell r="AF99">
            <v>0</v>
          </cell>
          <cell r="AG99">
            <v>0</v>
          </cell>
          <cell r="AH99">
            <v>0</v>
          </cell>
          <cell r="AI99">
            <v>0</v>
          </cell>
          <cell r="AK99">
            <v>0</v>
          </cell>
          <cell r="AL99">
            <v>0</v>
          </cell>
          <cell r="AM99">
            <v>0</v>
          </cell>
        </row>
        <row r="100">
          <cell r="B100">
            <v>0</v>
          </cell>
          <cell r="C100">
            <v>0</v>
          </cell>
          <cell r="D100">
            <v>0</v>
          </cell>
          <cell r="G100">
            <v>0</v>
          </cell>
          <cell r="Y100">
            <v>0</v>
          </cell>
          <cell r="AC100">
            <v>0</v>
          </cell>
          <cell r="AD100">
            <v>0</v>
          </cell>
          <cell r="AE100">
            <v>0</v>
          </cell>
          <cell r="AF100">
            <v>0</v>
          </cell>
          <cell r="AG100">
            <v>0</v>
          </cell>
          <cell r="AH100">
            <v>0</v>
          </cell>
          <cell r="AI100">
            <v>0</v>
          </cell>
          <cell r="AK100">
            <v>0</v>
          </cell>
          <cell r="AL100">
            <v>0</v>
          </cell>
          <cell r="AM100">
            <v>0</v>
          </cell>
        </row>
        <row r="101">
          <cell r="B101">
            <v>0</v>
          </cell>
          <cell r="C101">
            <v>0</v>
          </cell>
          <cell r="D101">
            <v>0</v>
          </cell>
          <cell r="G101">
            <v>0</v>
          </cell>
          <cell r="Y101">
            <v>0</v>
          </cell>
          <cell r="AC101">
            <v>0</v>
          </cell>
          <cell r="AD101">
            <v>0</v>
          </cell>
          <cell r="AE101">
            <v>0</v>
          </cell>
          <cell r="AF101">
            <v>0</v>
          </cell>
          <cell r="AG101">
            <v>0</v>
          </cell>
          <cell r="AH101">
            <v>0</v>
          </cell>
          <cell r="AI101">
            <v>0</v>
          </cell>
          <cell r="AK101">
            <v>0</v>
          </cell>
          <cell r="AL101">
            <v>0</v>
          </cell>
          <cell r="AM101">
            <v>0</v>
          </cell>
        </row>
        <row r="102">
          <cell r="B102">
            <v>0</v>
          </cell>
          <cell r="C102">
            <v>0</v>
          </cell>
          <cell r="D102">
            <v>0</v>
          </cell>
          <cell r="G102">
            <v>0</v>
          </cell>
          <cell r="Y102">
            <v>0</v>
          </cell>
          <cell r="AC102">
            <v>0</v>
          </cell>
          <cell r="AD102">
            <v>0</v>
          </cell>
          <cell r="AE102">
            <v>0</v>
          </cell>
          <cell r="AF102">
            <v>0</v>
          </cell>
          <cell r="AG102">
            <v>0</v>
          </cell>
          <cell r="AH102">
            <v>0</v>
          </cell>
          <cell r="AI102">
            <v>0</v>
          </cell>
          <cell r="AK102">
            <v>0</v>
          </cell>
          <cell r="AL102">
            <v>0</v>
          </cell>
          <cell r="AM102">
            <v>0</v>
          </cell>
        </row>
        <row r="103">
          <cell r="B103">
            <v>0</v>
          </cell>
          <cell r="C103">
            <v>0</v>
          </cell>
          <cell r="D103">
            <v>0</v>
          </cell>
          <cell r="G103">
            <v>0</v>
          </cell>
          <cell r="Y103">
            <v>0</v>
          </cell>
          <cell r="AC103">
            <v>0</v>
          </cell>
          <cell r="AD103">
            <v>0</v>
          </cell>
          <cell r="AE103">
            <v>0</v>
          </cell>
          <cell r="AF103">
            <v>0</v>
          </cell>
          <cell r="AG103">
            <v>0</v>
          </cell>
          <cell r="AH103">
            <v>0</v>
          </cell>
          <cell r="AI103">
            <v>0</v>
          </cell>
          <cell r="AK103">
            <v>0</v>
          </cell>
          <cell r="AL103">
            <v>0</v>
          </cell>
          <cell r="AM103">
            <v>0</v>
          </cell>
        </row>
        <row r="104">
          <cell r="B104">
            <v>0</v>
          </cell>
          <cell r="C104">
            <v>0</v>
          </cell>
          <cell r="D104">
            <v>0</v>
          </cell>
          <cell r="G104">
            <v>0</v>
          </cell>
          <cell r="Y104">
            <v>0</v>
          </cell>
          <cell r="AC104">
            <v>0</v>
          </cell>
          <cell r="AD104">
            <v>0</v>
          </cell>
          <cell r="AE104">
            <v>0</v>
          </cell>
          <cell r="AF104">
            <v>0</v>
          </cell>
          <cell r="AG104">
            <v>0</v>
          </cell>
          <cell r="AH104">
            <v>0</v>
          </cell>
          <cell r="AI104">
            <v>0</v>
          </cell>
          <cell r="AK104">
            <v>0</v>
          </cell>
          <cell r="AL104">
            <v>0</v>
          </cell>
          <cell r="AM104">
            <v>0</v>
          </cell>
        </row>
        <row r="105">
          <cell r="B105">
            <v>0</v>
          </cell>
          <cell r="C105">
            <v>0</v>
          </cell>
          <cell r="D105">
            <v>0</v>
          </cell>
          <cell r="G105">
            <v>0</v>
          </cell>
          <cell r="Y105">
            <v>0</v>
          </cell>
          <cell r="AC105">
            <v>0</v>
          </cell>
          <cell r="AD105">
            <v>0</v>
          </cell>
          <cell r="AE105">
            <v>0</v>
          </cell>
          <cell r="AF105">
            <v>0</v>
          </cell>
          <cell r="AG105">
            <v>0</v>
          </cell>
          <cell r="AH105">
            <v>0</v>
          </cell>
          <cell r="AI105">
            <v>0</v>
          </cell>
          <cell r="AK105">
            <v>0</v>
          </cell>
          <cell r="AL105">
            <v>0</v>
          </cell>
          <cell r="AM105">
            <v>0</v>
          </cell>
        </row>
        <row r="106">
          <cell r="B106">
            <v>0</v>
          </cell>
          <cell r="C106">
            <v>0</v>
          </cell>
          <cell r="D106">
            <v>0</v>
          </cell>
          <cell r="G106">
            <v>0</v>
          </cell>
          <cell r="Y106">
            <v>0</v>
          </cell>
          <cell r="AC106">
            <v>0</v>
          </cell>
          <cell r="AD106">
            <v>0</v>
          </cell>
          <cell r="AE106">
            <v>0</v>
          </cell>
          <cell r="AF106">
            <v>0</v>
          </cell>
          <cell r="AG106">
            <v>0</v>
          </cell>
          <cell r="AH106">
            <v>0</v>
          </cell>
          <cell r="AI106">
            <v>0</v>
          </cell>
          <cell r="AK106">
            <v>0</v>
          </cell>
          <cell r="AL106">
            <v>0</v>
          </cell>
          <cell r="AM106">
            <v>0</v>
          </cell>
        </row>
        <row r="107">
          <cell r="B107">
            <v>0</v>
          </cell>
          <cell r="C107">
            <v>0</v>
          </cell>
          <cell r="D107">
            <v>0</v>
          </cell>
          <cell r="G107">
            <v>0</v>
          </cell>
          <cell r="Y107">
            <v>0</v>
          </cell>
          <cell r="AC107">
            <v>0</v>
          </cell>
          <cell r="AD107">
            <v>0</v>
          </cell>
          <cell r="AE107">
            <v>0</v>
          </cell>
          <cell r="AF107">
            <v>0</v>
          </cell>
          <cell r="AG107">
            <v>0</v>
          </cell>
          <cell r="AH107">
            <v>0</v>
          </cell>
          <cell r="AI107">
            <v>0</v>
          </cell>
          <cell r="AK107">
            <v>0</v>
          </cell>
          <cell r="AL107">
            <v>0</v>
          </cell>
          <cell r="AM107">
            <v>0</v>
          </cell>
        </row>
        <row r="108">
          <cell r="B108">
            <v>0</v>
          </cell>
          <cell r="C108">
            <v>0</v>
          </cell>
          <cell r="D108">
            <v>0</v>
          </cell>
          <cell r="G108">
            <v>0</v>
          </cell>
          <cell r="Y108">
            <v>0</v>
          </cell>
          <cell r="AC108">
            <v>0</v>
          </cell>
          <cell r="AD108">
            <v>0</v>
          </cell>
          <cell r="AE108">
            <v>0</v>
          </cell>
          <cell r="AF108">
            <v>0</v>
          </cell>
          <cell r="AG108">
            <v>0</v>
          </cell>
          <cell r="AH108">
            <v>0</v>
          </cell>
          <cell r="AI108">
            <v>0</v>
          </cell>
          <cell r="AK108">
            <v>0</v>
          </cell>
          <cell r="AL108">
            <v>0</v>
          </cell>
          <cell r="AM108">
            <v>0</v>
          </cell>
        </row>
        <row r="109">
          <cell r="B109">
            <v>0</v>
          </cell>
          <cell r="C109">
            <v>0</v>
          </cell>
          <cell r="D109">
            <v>0</v>
          </cell>
          <cell r="G109">
            <v>0</v>
          </cell>
          <cell r="Y109">
            <v>0</v>
          </cell>
          <cell r="AC109">
            <v>0</v>
          </cell>
          <cell r="AD109">
            <v>0</v>
          </cell>
          <cell r="AE109">
            <v>0</v>
          </cell>
          <cell r="AF109">
            <v>0</v>
          </cell>
          <cell r="AG109">
            <v>0</v>
          </cell>
          <cell r="AH109">
            <v>0</v>
          </cell>
          <cell r="AI109">
            <v>0</v>
          </cell>
          <cell r="AK109">
            <v>0</v>
          </cell>
          <cell r="AL109">
            <v>0</v>
          </cell>
          <cell r="AM109">
            <v>0</v>
          </cell>
        </row>
        <row r="110">
          <cell r="B110">
            <v>0</v>
          </cell>
          <cell r="C110">
            <v>0</v>
          </cell>
          <cell r="D110">
            <v>0</v>
          </cell>
          <cell r="G110">
            <v>0</v>
          </cell>
          <cell r="Y110">
            <v>0</v>
          </cell>
          <cell r="AC110">
            <v>0</v>
          </cell>
          <cell r="AD110">
            <v>0</v>
          </cell>
          <cell r="AE110">
            <v>0</v>
          </cell>
          <cell r="AF110">
            <v>0</v>
          </cell>
          <cell r="AG110">
            <v>0</v>
          </cell>
          <cell r="AH110">
            <v>0</v>
          </cell>
          <cell r="AI110">
            <v>0</v>
          </cell>
          <cell r="AK110">
            <v>0</v>
          </cell>
          <cell r="AL110">
            <v>0</v>
          </cell>
          <cell r="AM110">
            <v>0</v>
          </cell>
        </row>
        <row r="111">
          <cell r="B111">
            <v>0</v>
          </cell>
          <cell r="C111">
            <v>0</v>
          </cell>
          <cell r="D111">
            <v>0</v>
          </cell>
          <cell r="G111">
            <v>0</v>
          </cell>
          <cell r="Y111">
            <v>0</v>
          </cell>
          <cell r="AC111">
            <v>0</v>
          </cell>
          <cell r="AD111">
            <v>0</v>
          </cell>
          <cell r="AE111">
            <v>0</v>
          </cell>
          <cell r="AF111">
            <v>0</v>
          </cell>
          <cell r="AG111">
            <v>0</v>
          </cell>
          <cell r="AH111">
            <v>0</v>
          </cell>
          <cell r="AI111">
            <v>0</v>
          </cell>
          <cell r="AK111">
            <v>0</v>
          </cell>
          <cell r="AL111">
            <v>0</v>
          </cell>
          <cell r="AM111">
            <v>0</v>
          </cell>
        </row>
        <row r="112">
          <cell r="B112">
            <v>0</v>
          </cell>
          <cell r="C112">
            <v>0</v>
          </cell>
          <cell r="D112">
            <v>0</v>
          </cell>
          <cell r="G112">
            <v>0</v>
          </cell>
          <cell r="Y112">
            <v>0</v>
          </cell>
          <cell r="AC112">
            <v>0</v>
          </cell>
          <cell r="AD112">
            <v>0</v>
          </cell>
          <cell r="AE112">
            <v>0</v>
          </cell>
          <cell r="AF112">
            <v>0</v>
          </cell>
          <cell r="AG112">
            <v>0</v>
          </cell>
          <cell r="AH112">
            <v>0</v>
          </cell>
          <cell r="AI112">
            <v>0</v>
          </cell>
          <cell r="AK112">
            <v>0</v>
          </cell>
          <cell r="AL112">
            <v>0</v>
          </cell>
          <cell r="AM112">
            <v>0</v>
          </cell>
        </row>
        <row r="113">
          <cell r="B113">
            <v>0</v>
          </cell>
          <cell r="C113">
            <v>0</v>
          </cell>
          <cell r="D113">
            <v>0</v>
          </cell>
          <cell r="G113">
            <v>0</v>
          </cell>
          <cell r="Y113">
            <v>0</v>
          </cell>
          <cell r="AC113">
            <v>0</v>
          </cell>
          <cell r="AD113">
            <v>0</v>
          </cell>
          <cell r="AE113">
            <v>0</v>
          </cell>
          <cell r="AF113">
            <v>0</v>
          </cell>
          <cell r="AG113">
            <v>0</v>
          </cell>
          <cell r="AH113">
            <v>0</v>
          </cell>
          <cell r="AI113">
            <v>0</v>
          </cell>
          <cell r="AK113">
            <v>0</v>
          </cell>
          <cell r="AL113">
            <v>0</v>
          </cell>
          <cell r="AM113">
            <v>0</v>
          </cell>
        </row>
        <row r="114">
          <cell r="B114">
            <v>0</v>
          </cell>
          <cell r="C114">
            <v>0</v>
          </cell>
          <cell r="D114">
            <v>0</v>
          </cell>
          <cell r="G114">
            <v>0</v>
          </cell>
          <cell r="Y114">
            <v>0</v>
          </cell>
          <cell r="AC114">
            <v>0</v>
          </cell>
          <cell r="AD114">
            <v>0</v>
          </cell>
          <cell r="AE114">
            <v>0</v>
          </cell>
          <cell r="AF114">
            <v>0</v>
          </cell>
          <cell r="AG114">
            <v>0</v>
          </cell>
          <cell r="AH114">
            <v>0</v>
          </cell>
          <cell r="AI114">
            <v>0</v>
          </cell>
          <cell r="AK114">
            <v>0</v>
          </cell>
          <cell r="AL114">
            <v>0</v>
          </cell>
          <cell r="AM114">
            <v>0</v>
          </cell>
        </row>
        <row r="115">
          <cell r="B115">
            <v>0</v>
          </cell>
          <cell r="C115">
            <v>0</v>
          </cell>
          <cell r="D115">
            <v>0</v>
          </cell>
          <cell r="G115">
            <v>0</v>
          </cell>
          <cell r="Y115">
            <v>0</v>
          </cell>
          <cell r="AC115">
            <v>0</v>
          </cell>
          <cell r="AD115">
            <v>0</v>
          </cell>
          <cell r="AE115">
            <v>0</v>
          </cell>
          <cell r="AF115">
            <v>0</v>
          </cell>
          <cell r="AG115">
            <v>0</v>
          </cell>
          <cell r="AH115">
            <v>0</v>
          </cell>
          <cell r="AI115">
            <v>0</v>
          </cell>
          <cell r="AK115">
            <v>0</v>
          </cell>
          <cell r="AL115">
            <v>0</v>
          </cell>
          <cell r="AM115">
            <v>0</v>
          </cell>
        </row>
        <row r="116">
          <cell r="B116">
            <v>0</v>
          </cell>
          <cell r="C116">
            <v>0</v>
          </cell>
          <cell r="D116">
            <v>0</v>
          </cell>
          <cell r="G116">
            <v>0</v>
          </cell>
          <cell r="Y116">
            <v>0</v>
          </cell>
          <cell r="AC116">
            <v>0</v>
          </cell>
          <cell r="AD116">
            <v>0</v>
          </cell>
          <cell r="AE116">
            <v>0</v>
          </cell>
          <cell r="AF116">
            <v>0</v>
          </cell>
          <cell r="AG116">
            <v>0</v>
          </cell>
          <cell r="AH116">
            <v>0</v>
          </cell>
          <cell r="AI116">
            <v>0</v>
          </cell>
          <cell r="AK116">
            <v>0</v>
          </cell>
          <cell r="AL116">
            <v>0</v>
          </cell>
          <cell r="AM116">
            <v>0</v>
          </cell>
        </row>
        <row r="117">
          <cell r="B117">
            <v>0</v>
          </cell>
          <cell r="C117">
            <v>0</v>
          </cell>
          <cell r="D117">
            <v>0</v>
          </cell>
          <cell r="G117">
            <v>0</v>
          </cell>
          <cell r="Y117">
            <v>0</v>
          </cell>
          <cell r="AC117">
            <v>0</v>
          </cell>
          <cell r="AD117">
            <v>0</v>
          </cell>
          <cell r="AE117">
            <v>0</v>
          </cell>
          <cell r="AF117">
            <v>0</v>
          </cell>
          <cell r="AG117">
            <v>0</v>
          </cell>
          <cell r="AH117">
            <v>0</v>
          </cell>
          <cell r="AI117">
            <v>0</v>
          </cell>
          <cell r="AK117">
            <v>0</v>
          </cell>
          <cell r="AL117">
            <v>0</v>
          </cell>
          <cell r="AM117">
            <v>0</v>
          </cell>
        </row>
        <row r="118">
          <cell r="B118">
            <v>0</v>
          </cell>
          <cell r="C118">
            <v>0</v>
          </cell>
          <cell r="D118">
            <v>0</v>
          </cell>
          <cell r="G118">
            <v>0</v>
          </cell>
          <cell r="Y118">
            <v>0</v>
          </cell>
          <cell r="AC118">
            <v>0</v>
          </cell>
          <cell r="AD118">
            <v>0</v>
          </cell>
          <cell r="AE118">
            <v>0</v>
          </cell>
          <cell r="AF118">
            <v>0</v>
          </cell>
          <cell r="AG118">
            <v>0</v>
          </cell>
          <cell r="AH118">
            <v>0</v>
          </cell>
          <cell r="AI118">
            <v>0</v>
          </cell>
          <cell r="AK118">
            <v>0</v>
          </cell>
          <cell r="AL118">
            <v>0</v>
          </cell>
          <cell r="AM118">
            <v>0</v>
          </cell>
        </row>
        <row r="119">
          <cell r="B119">
            <v>0</v>
          </cell>
          <cell r="C119">
            <v>0</v>
          </cell>
          <cell r="D119">
            <v>0</v>
          </cell>
          <cell r="G119">
            <v>0</v>
          </cell>
          <cell r="Y119">
            <v>0</v>
          </cell>
          <cell r="AC119">
            <v>0</v>
          </cell>
          <cell r="AD119">
            <v>0</v>
          </cell>
          <cell r="AE119">
            <v>0</v>
          </cell>
          <cell r="AF119">
            <v>0</v>
          </cell>
          <cell r="AG119">
            <v>0</v>
          </cell>
          <cell r="AH119">
            <v>0</v>
          </cell>
          <cell r="AI119">
            <v>0</v>
          </cell>
          <cell r="AK119">
            <v>0</v>
          </cell>
          <cell r="AL119">
            <v>0</v>
          </cell>
        </row>
        <row r="120">
          <cell r="B120">
            <v>0</v>
          </cell>
          <cell r="C120">
            <v>0</v>
          </cell>
          <cell r="D120">
            <v>0</v>
          </cell>
          <cell r="G120">
            <v>0</v>
          </cell>
          <cell r="Y120">
            <v>0</v>
          </cell>
          <cell r="AC120">
            <v>0</v>
          </cell>
          <cell r="AD120">
            <v>0</v>
          </cell>
          <cell r="AE120">
            <v>0</v>
          </cell>
          <cell r="AF120">
            <v>0</v>
          </cell>
          <cell r="AG120">
            <v>0</v>
          </cell>
          <cell r="AH120">
            <v>0</v>
          </cell>
          <cell r="AI120">
            <v>0</v>
          </cell>
          <cell r="AK120">
            <v>0</v>
          </cell>
          <cell r="AL120">
            <v>0</v>
          </cell>
        </row>
        <row r="121">
          <cell r="B121">
            <v>0</v>
          </cell>
          <cell r="C121">
            <v>0</v>
          </cell>
          <cell r="D121">
            <v>0</v>
          </cell>
          <cell r="G121">
            <v>0</v>
          </cell>
          <cell r="Y121">
            <v>0</v>
          </cell>
          <cell r="AC121">
            <v>0</v>
          </cell>
          <cell r="AD121">
            <v>0</v>
          </cell>
          <cell r="AE121">
            <v>0</v>
          </cell>
          <cell r="AF121">
            <v>0</v>
          </cell>
          <cell r="AG121">
            <v>0</v>
          </cell>
          <cell r="AH121">
            <v>0</v>
          </cell>
          <cell r="AI121">
            <v>0</v>
          </cell>
          <cell r="AK121">
            <v>0</v>
          </cell>
          <cell r="AL121">
            <v>0</v>
          </cell>
        </row>
        <row r="122">
          <cell r="B122">
            <v>0</v>
          </cell>
          <cell r="C122">
            <v>0</v>
          </cell>
          <cell r="D122">
            <v>0</v>
          </cell>
          <cell r="G122">
            <v>0</v>
          </cell>
          <cell r="Y122">
            <v>0</v>
          </cell>
          <cell r="AC122">
            <v>0</v>
          </cell>
          <cell r="AD122">
            <v>0</v>
          </cell>
          <cell r="AE122">
            <v>0</v>
          </cell>
          <cell r="AF122">
            <v>0</v>
          </cell>
          <cell r="AG122">
            <v>0</v>
          </cell>
          <cell r="AH122">
            <v>0</v>
          </cell>
          <cell r="AI122">
            <v>0</v>
          </cell>
          <cell r="AK122">
            <v>0</v>
          </cell>
          <cell r="AL122">
            <v>0</v>
          </cell>
        </row>
        <row r="123">
          <cell r="B123">
            <v>0</v>
          </cell>
          <cell r="C123">
            <v>0</v>
          </cell>
          <cell r="D123">
            <v>0</v>
          </cell>
          <cell r="G123">
            <v>0</v>
          </cell>
          <cell r="Y123">
            <v>0</v>
          </cell>
          <cell r="AC123">
            <v>0</v>
          </cell>
          <cell r="AD123">
            <v>0</v>
          </cell>
          <cell r="AE123">
            <v>0</v>
          </cell>
          <cell r="AF123">
            <v>0</v>
          </cell>
          <cell r="AG123">
            <v>0</v>
          </cell>
          <cell r="AH123">
            <v>0</v>
          </cell>
          <cell r="AI123">
            <v>0</v>
          </cell>
          <cell r="AK123">
            <v>0</v>
          </cell>
          <cell r="AL123">
            <v>0</v>
          </cell>
        </row>
        <row r="124">
          <cell r="B124">
            <v>0</v>
          </cell>
          <cell r="C124">
            <v>0</v>
          </cell>
          <cell r="D124">
            <v>0</v>
          </cell>
          <cell r="G124">
            <v>0</v>
          </cell>
          <cell r="Y124">
            <v>0</v>
          </cell>
          <cell r="AC124">
            <v>0</v>
          </cell>
          <cell r="AD124">
            <v>0</v>
          </cell>
          <cell r="AE124">
            <v>0</v>
          </cell>
          <cell r="AF124">
            <v>0</v>
          </cell>
          <cell r="AG124">
            <v>0</v>
          </cell>
          <cell r="AH124">
            <v>0</v>
          </cell>
          <cell r="AI124">
            <v>0</v>
          </cell>
          <cell r="AK124">
            <v>0</v>
          </cell>
          <cell r="AL124">
            <v>0</v>
          </cell>
        </row>
        <row r="125">
          <cell r="B125">
            <v>0</v>
          </cell>
          <cell r="C125">
            <v>0</v>
          </cell>
          <cell r="D125">
            <v>0</v>
          </cell>
          <cell r="G125">
            <v>0</v>
          </cell>
          <cell r="Y125">
            <v>0</v>
          </cell>
          <cell r="AC125">
            <v>0</v>
          </cell>
          <cell r="AD125">
            <v>0</v>
          </cell>
          <cell r="AE125">
            <v>0</v>
          </cell>
          <cell r="AF125">
            <v>0</v>
          </cell>
          <cell r="AG125">
            <v>0</v>
          </cell>
          <cell r="AH125">
            <v>0</v>
          </cell>
          <cell r="AI125">
            <v>0</v>
          </cell>
          <cell r="AK125">
            <v>0</v>
          </cell>
          <cell r="AL125">
            <v>0</v>
          </cell>
        </row>
        <row r="126">
          <cell r="B126">
            <v>0</v>
          </cell>
          <cell r="C126">
            <v>0</v>
          </cell>
          <cell r="D126">
            <v>0</v>
          </cell>
          <cell r="G126">
            <v>0</v>
          </cell>
          <cell r="Y126">
            <v>0</v>
          </cell>
          <cell r="AC126">
            <v>0</v>
          </cell>
          <cell r="AD126">
            <v>0</v>
          </cell>
          <cell r="AE126">
            <v>0</v>
          </cell>
          <cell r="AF126">
            <v>0</v>
          </cell>
          <cell r="AG126">
            <v>0</v>
          </cell>
          <cell r="AH126">
            <v>0</v>
          </cell>
          <cell r="AI126">
            <v>0</v>
          </cell>
          <cell r="AK126">
            <v>0</v>
          </cell>
          <cell r="AL126">
            <v>0</v>
          </cell>
        </row>
        <row r="127">
          <cell r="B127">
            <v>0</v>
          </cell>
          <cell r="C127">
            <v>0</v>
          </cell>
          <cell r="D127">
            <v>0</v>
          </cell>
          <cell r="G127">
            <v>0</v>
          </cell>
          <cell r="Y127">
            <v>0</v>
          </cell>
          <cell r="AC127">
            <v>0</v>
          </cell>
          <cell r="AD127">
            <v>0</v>
          </cell>
          <cell r="AE127">
            <v>0</v>
          </cell>
          <cell r="AF127">
            <v>0</v>
          </cell>
          <cell r="AG127">
            <v>0</v>
          </cell>
          <cell r="AH127">
            <v>0</v>
          </cell>
          <cell r="AI127">
            <v>0</v>
          </cell>
          <cell r="AK127">
            <v>0</v>
          </cell>
          <cell r="AL127">
            <v>0</v>
          </cell>
        </row>
        <row r="128">
          <cell r="B128">
            <v>0</v>
          </cell>
          <cell r="C128">
            <v>0</v>
          </cell>
          <cell r="D128">
            <v>0</v>
          </cell>
          <cell r="G128">
            <v>0</v>
          </cell>
          <cell r="Y128">
            <v>0</v>
          </cell>
          <cell r="AC128">
            <v>0</v>
          </cell>
          <cell r="AD128">
            <v>0</v>
          </cell>
          <cell r="AE128">
            <v>0</v>
          </cell>
          <cell r="AF128">
            <v>0</v>
          </cell>
          <cell r="AG128">
            <v>0</v>
          </cell>
          <cell r="AH128">
            <v>0</v>
          </cell>
          <cell r="AI128">
            <v>0</v>
          </cell>
          <cell r="AK128">
            <v>0</v>
          </cell>
          <cell r="AL128">
            <v>0</v>
          </cell>
        </row>
        <row r="129">
          <cell r="B129">
            <v>0</v>
          </cell>
          <cell r="C129">
            <v>0</v>
          </cell>
          <cell r="D129">
            <v>0</v>
          </cell>
          <cell r="G129">
            <v>0</v>
          </cell>
          <cell r="Y129">
            <v>0</v>
          </cell>
          <cell r="AC129">
            <v>0</v>
          </cell>
          <cell r="AD129">
            <v>0</v>
          </cell>
          <cell r="AE129">
            <v>0</v>
          </cell>
          <cell r="AF129">
            <v>0</v>
          </cell>
          <cell r="AG129">
            <v>0</v>
          </cell>
          <cell r="AH129">
            <v>0</v>
          </cell>
          <cell r="AI129">
            <v>0</v>
          </cell>
          <cell r="AK129">
            <v>0</v>
          </cell>
          <cell r="AL129">
            <v>0</v>
          </cell>
        </row>
        <row r="130">
          <cell r="B130">
            <v>0</v>
          </cell>
          <cell r="C130">
            <v>0</v>
          </cell>
          <cell r="D130">
            <v>0</v>
          </cell>
          <cell r="G130">
            <v>0</v>
          </cell>
          <cell r="Y130">
            <v>0</v>
          </cell>
          <cell r="AC130">
            <v>0</v>
          </cell>
          <cell r="AD130">
            <v>0</v>
          </cell>
          <cell r="AE130">
            <v>0</v>
          </cell>
          <cell r="AF130">
            <v>0</v>
          </cell>
          <cell r="AG130">
            <v>0</v>
          </cell>
          <cell r="AH130">
            <v>0</v>
          </cell>
          <cell r="AI130">
            <v>0</v>
          </cell>
          <cell r="AK130">
            <v>0</v>
          </cell>
          <cell r="AL130">
            <v>0</v>
          </cell>
        </row>
        <row r="131">
          <cell r="B131">
            <v>0</v>
          </cell>
          <cell r="C131">
            <v>0</v>
          </cell>
          <cell r="D131">
            <v>0</v>
          </cell>
          <cell r="G131">
            <v>0</v>
          </cell>
          <cell r="Y131">
            <v>0</v>
          </cell>
          <cell r="AC131">
            <v>0</v>
          </cell>
          <cell r="AD131">
            <v>0</v>
          </cell>
          <cell r="AE131">
            <v>0</v>
          </cell>
          <cell r="AF131">
            <v>0</v>
          </cell>
          <cell r="AG131">
            <v>0</v>
          </cell>
          <cell r="AH131">
            <v>0</v>
          </cell>
          <cell r="AI131">
            <v>0</v>
          </cell>
          <cell r="AK131">
            <v>0</v>
          </cell>
          <cell r="AL131">
            <v>0</v>
          </cell>
        </row>
        <row r="132">
          <cell r="B132">
            <v>0</v>
          </cell>
          <cell r="C132">
            <v>0</v>
          </cell>
          <cell r="D132">
            <v>0</v>
          </cell>
          <cell r="G132">
            <v>0</v>
          </cell>
          <cell r="Y132">
            <v>0</v>
          </cell>
          <cell r="AC132">
            <v>0</v>
          </cell>
          <cell r="AD132">
            <v>0</v>
          </cell>
          <cell r="AE132">
            <v>0</v>
          </cell>
          <cell r="AF132">
            <v>0</v>
          </cell>
          <cell r="AG132">
            <v>0</v>
          </cell>
          <cell r="AH132">
            <v>0</v>
          </cell>
          <cell r="AI132">
            <v>0</v>
          </cell>
          <cell r="AK132">
            <v>0</v>
          </cell>
          <cell r="AL132">
            <v>0</v>
          </cell>
        </row>
        <row r="133">
          <cell r="B133">
            <v>0</v>
          </cell>
          <cell r="C133">
            <v>0</v>
          </cell>
          <cell r="D133">
            <v>0</v>
          </cell>
          <cell r="G133">
            <v>0</v>
          </cell>
          <cell r="Y133">
            <v>0</v>
          </cell>
          <cell r="AC133">
            <v>0</v>
          </cell>
          <cell r="AD133">
            <v>0</v>
          </cell>
          <cell r="AE133">
            <v>0</v>
          </cell>
          <cell r="AF133">
            <v>0</v>
          </cell>
          <cell r="AG133">
            <v>0</v>
          </cell>
          <cell r="AH133">
            <v>0</v>
          </cell>
          <cell r="AI133">
            <v>0</v>
          </cell>
          <cell r="AK133">
            <v>0</v>
          </cell>
          <cell r="AL133">
            <v>0</v>
          </cell>
        </row>
        <row r="134">
          <cell r="B134">
            <v>0</v>
          </cell>
          <cell r="C134">
            <v>0</v>
          </cell>
          <cell r="D134">
            <v>0</v>
          </cell>
          <cell r="G134">
            <v>0</v>
          </cell>
          <cell r="Y134">
            <v>0</v>
          </cell>
          <cell r="AC134">
            <v>0</v>
          </cell>
          <cell r="AD134">
            <v>0</v>
          </cell>
          <cell r="AE134">
            <v>0</v>
          </cell>
          <cell r="AF134">
            <v>0</v>
          </cell>
          <cell r="AG134">
            <v>0</v>
          </cell>
          <cell r="AH134">
            <v>0</v>
          </cell>
          <cell r="AI134">
            <v>0</v>
          </cell>
          <cell r="AK134">
            <v>0</v>
          </cell>
          <cell r="AL134">
            <v>0</v>
          </cell>
        </row>
        <row r="135">
          <cell r="B135">
            <v>0</v>
          </cell>
          <cell r="C135">
            <v>0</v>
          </cell>
          <cell r="D135">
            <v>0</v>
          </cell>
          <cell r="G135">
            <v>0</v>
          </cell>
          <cell r="Y135">
            <v>0</v>
          </cell>
          <cell r="AC135">
            <v>0</v>
          </cell>
          <cell r="AD135">
            <v>0</v>
          </cell>
          <cell r="AE135">
            <v>0</v>
          </cell>
          <cell r="AF135">
            <v>0</v>
          </cell>
          <cell r="AG135">
            <v>0</v>
          </cell>
          <cell r="AH135">
            <v>0</v>
          </cell>
          <cell r="AI135">
            <v>0</v>
          </cell>
          <cell r="AK135">
            <v>0</v>
          </cell>
          <cell r="AL135">
            <v>0</v>
          </cell>
        </row>
        <row r="136">
          <cell r="B136">
            <v>0</v>
          </cell>
          <cell r="C136">
            <v>0</v>
          </cell>
          <cell r="D136">
            <v>0</v>
          </cell>
          <cell r="G136">
            <v>0</v>
          </cell>
          <cell r="Y136">
            <v>0</v>
          </cell>
          <cell r="AC136">
            <v>0</v>
          </cell>
          <cell r="AD136">
            <v>0</v>
          </cell>
          <cell r="AE136">
            <v>0</v>
          </cell>
          <cell r="AF136">
            <v>0</v>
          </cell>
          <cell r="AG136">
            <v>0</v>
          </cell>
          <cell r="AH136">
            <v>0</v>
          </cell>
          <cell r="AI136">
            <v>0</v>
          </cell>
          <cell r="AK136">
            <v>0</v>
          </cell>
          <cell r="AL136">
            <v>0</v>
          </cell>
        </row>
        <row r="137">
          <cell r="B137">
            <v>0</v>
          </cell>
          <cell r="C137">
            <v>0</v>
          </cell>
          <cell r="D137">
            <v>0</v>
          </cell>
          <cell r="G137">
            <v>0</v>
          </cell>
          <cell r="Y137">
            <v>0</v>
          </cell>
          <cell r="AC137">
            <v>0</v>
          </cell>
          <cell r="AD137">
            <v>0</v>
          </cell>
          <cell r="AE137">
            <v>0</v>
          </cell>
          <cell r="AF137">
            <v>0</v>
          </cell>
          <cell r="AG137">
            <v>0</v>
          </cell>
          <cell r="AH137">
            <v>0</v>
          </cell>
          <cell r="AI137">
            <v>0</v>
          </cell>
          <cell r="AK137">
            <v>0</v>
          </cell>
          <cell r="AL137">
            <v>0</v>
          </cell>
        </row>
        <row r="138">
          <cell r="B138">
            <v>0</v>
          </cell>
          <cell r="C138">
            <v>0</v>
          </cell>
          <cell r="D138">
            <v>0</v>
          </cell>
          <cell r="G138">
            <v>0</v>
          </cell>
          <cell r="Y138">
            <v>0</v>
          </cell>
          <cell r="AC138">
            <v>0</v>
          </cell>
          <cell r="AD138">
            <v>0</v>
          </cell>
          <cell r="AE138">
            <v>0</v>
          </cell>
          <cell r="AF138">
            <v>0</v>
          </cell>
          <cell r="AG138">
            <v>0</v>
          </cell>
          <cell r="AH138">
            <v>0</v>
          </cell>
          <cell r="AI138">
            <v>0</v>
          </cell>
          <cell r="AK138">
            <v>0</v>
          </cell>
          <cell r="AL138">
            <v>0</v>
          </cell>
        </row>
        <row r="139">
          <cell r="B139">
            <v>0</v>
          </cell>
          <cell r="C139">
            <v>0</v>
          </cell>
          <cell r="D139">
            <v>0</v>
          </cell>
          <cell r="G139">
            <v>0</v>
          </cell>
          <cell r="Y139">
            <v>0</v>
          </cell>
          <cell r="AC139">
            <v>0</v>
          </cell>
          <cell r="AD139">
            <v>0</v>
          </cell>
          <cell r="AE139">
            <v>0</v>
          </cell>
          <cell r="AF139">
            <v>0</v>
          </cell>
          <cell r="AG139">
            <v>0</v>
          </cell>
          <cell r="AH139">
            <v>0</v>
          </cell>
          <cell r="AI139">
            <v>0</v>
          </cell>
          <cell r="AK139">
            <v>0</v>
          </cell>
          <cell r="AL139">
            <v>0</v>
          </cell>
        </row>
        <row r="140">
          <cell r="B140">
            <v>0</v>
          </cell>
          <cell r="C140">
            <v>0</v>
          </cell>
          <cell r="D140">
            <v>0</v>
          </cell>
          <cell r="G140">
            <v>0</v>
          </cell>
          <cell r="Y140">
            <v>0</v>
          </cell>
          <cell r="AC140">
            <v>0</v>
          </cell>
          <cell r="AD140">
            <v>0</v>
          </cell>
          <cell r="AE140">
            <v>0</v>
          </cell>
          <cell r="AF140">
            <v>0</v>
          </cell>
          <cell r="AG140">
            <v>0</v>
          </cell>
          <cell r="AH140">
            <v>0</v>
          </cell>
          <cell r="AI140">
            <v>0</v>
          </cell>
          <cell r="AK140">
            <v>0</v>
          </cell>
          <cell r="AL140">
            <v>0</v>
          </cell>
        </row>
        <row r="141">
          <cell r="B141">
            <v>0</v>
          </cell>
          <cell r="C141">
            <v>0</v>
          </cell>
          <cell r="D141">
            <v>0</v>
          </cell>
          <cell r="G141">
            <v>0</v>
          </cell>
          <cell r="Y141">
            <v>0</v>
          </cell>
          <cell r="AC141">
            <v>0</v>
          </cell>
          <cell r="AD141">
            <v>0</v>
          </cell>
          <cell r="AE141">
            <v>0</v>
          </cell>
          <cell r="AF141">
            <v>0</v>
          </cell>
          <cell r="AG141">
            <v>0</v>
          </cell>
          <cell r="AH141">
            <v>0</v>
          </cell>
          <cell r="AI141">
            <v>0</v>
          </cell>
          <cell r="AK141">
            <v>0</v>
          </cell>
          <cell r="AL141">
            <v>0</v>
          </cell>
        </row>
        <row r="142">
          <cell r="B142">
            <v>0</v>
          </cell>
          <cell r="C142">
            <v>0</v>
          </cell>
          <cell r="D142">
            <v>0</v>
          </cell>
          <cell r="G142">
            <v>0</v>
          </cell>
          <cell r="Y142">
            <v>0</v>
          </cell>
          <cell r="AC142">
            <v>0</v>
          </cell>
          <cell r="AD142">
            <v>0</v>
          </cell>
          <cell r="AE142">
            <v>0</v>
          </cell>
          <cell r="AF142">
            <v>0</v>
          </cell>
          <cell r="AG142">
            <v>0</v>
          </cell>
          <cell r="AH142">
            <v>0</v>
          </cell>
          <cell r="AI142">
            <v>0</v>
          </cell>
          <cell r="AK142">
            <v>0</v>
          </cell>
          <cell r="AL142">
            <v>0</v>
          </cell>
        </row>
        <row r="143">
          <cell r="B143">
            <v>0</v>
          </cell>
          <cell r="C143">
            <v>0</v>
          </cell>
          <cell r="D143">
            <v>0</v>
          </cell>
          <cell r="G143">
            <v>0</v>
          </cell>
          <cell r="Y143">
            <v>0</v>
          </cell>
          <cell r="AC143">
            <v>0</v>
          </cell>
          <cell r="AD143">
            <v>0</v>
          </cell>
          <cell r="AE143">
            <v>0</v>
          </cell>
          <cell r="AF143">
            <v>0</v>
          </cell>
          <cell r="AG143">
            <v>0</v>
          </cell>
          <cell r="AH143">
            <v>0</v>
          </cell>
          <cell r="AI143">
            <v>0</v>
          </cell>
          <cell r="AK143">
            <v>0</v>
          </cell>
          <cell r="AL143">
            <v>0</v>
          </cell>
        </row>
        <row r="144">
          <cell r="B144">
            <v>0</v>
          </cell>
          <cell r="C144">
            <v>0</v>
          </cell>
          <cell r="D144">
            <v>0</v>
          </cell>
          <cell r="G144">
            <v>0</v>
          </cell>
          <cell r="Y144">
            <v>0</v>
          </cell>
          <cell r="AC144">
            <v>0</v>
          </cell>
          <cell r="AD144">
            <v>0</v>
          </cell>
          <cell r="AE144">
            <v>0</v>
          </cell>
          <cell r="AF144">
            <v>0</v>
          </cell>
          <cell r="AG144">
            <v>0</v>
          </cell>
          <cell r="AH144">
            <v>0</v>
          </cell>
          <cell r="AI144">
            <v>0</v>
          </cell>
          <cell r="AK144">
            <v>0</v>
          </cell>
          <cell r="AL144">
            <v>0</v>
          </cell>
        </row>
        <row r="145">
          <cell r="B145">
            <v>0</v>
          </cell>
          <cell r="C145">
            <v>0</v>
          </cell>
          <cell r="D145">
            <v>0</v>
          </cell>
          <cell r="G145">
            <v>0</v>
          </cell>
          <cell r="Y145">
            <v>0</v>
          </cell>
          <cell r="AC145">
            <v>0</v>
          </cell>
          <cell r="AD145">
            <v>0</v>
          </cell>
          <cell r="AE145">
            <v>0</v>
          </cell>
          <cell r="AF145">
            <v>0</v>
          </cell>
          <cell r="AG145">
            <v>0</v>
          </cell>
          <cell r="AH145">
            <v>0</v>
          </cell>
          <cell r="AI145">
            <v>0</v>
          </cell>
          <cell r="AK145">
            <v>0</v>
          </cell>
          <cell r="AL145">
            <v>0</v>
          </cell>
        </row>
        <row r="146">
          <cell r="B146">
            <v>0</v>
          </cell>
          <cell r="C146">
            <v>0</v>
          </cell>
          <cell r="D146">
            <v>0</v>
          </cell>
          <cell r="G146">
            <v>0</v>
          </cell>
          <cell r="Y146">
            <v>0</v>
          </cell>
          <cell r="AC146">
            <v>0</v>
          </cell>
          <cell r="AD146">
            <v>0</v>
          </cell>
          <cell r="AE146">
            <v>0</v>
          </cell>
          <cell r="AF146">
            <v>0</v>
          </cell>
          <cell r="AG146">
            <v>0</v>
          </cell>
          <cell r="AH146">
            <v>0</v>
          </cell>
          <cell r="AI146">
            <v>0</v>
          </cell>
          <cell r="AK146">
            <v>0</v>
          </cell>
          <cell r="AL146">
            <v>0</v>
          </cell>
        </row>
        <row r="147">
          <cell r="B147">
            <v>0</v>
          </cell>
          <cell r="C147">
            <v>0</v>
          </cell>
          <cell r="D147">
            <v>0</v>
          </cell>
          <cell r="G147">
            <v>0</v>
          </cell>
          <cell r="Y147">
            <v>0</v>
          </cell>
          <cell r="AC147">
            <v>0</v>
          </cell>
          <cell r="AD147">
            <v>0</v>
          </cell>
          <cell r="AE147">
            <v>0</v>
          </cell>
          <cell r="AF147">
            <v>0</v>
          </cell>
          <cell r="AG147">
            <v>0</v>
          </cell>
          <cell r="AH147">
            <v>0</v>
          </cell>
          <cell r="AI147">
            <v>0</v>
          </cell>
          <cell r="AK147">
            <v>0</v>
          </cell>
          <cell r="AL147">
            <v>0</v>
          </cell>
        </row>
        <row r="148">
          <cell r="B148">
            <v>0</v>
          </cell>
          <cell r="C148">
            <v>0</v>
          </cell>
          <cell r="D148">
            <v>0</v>
          </cell>
          <cell r="G148">
            <v>0</v>
          </cell>
          <cell r="Y148">
            <v>0</v>
          </cell>
          <cell r="AC148">
            <v>0</v>
          </cell>
          <cell r="AD148">
            <v>0</v>
          </cell>
          <cell r="AE148">
            <v>0</v>
          </cell>
          <cell r="AF148">
            <v>0</v>
          </cell>
          <cell r="AG148">
            <v>0</v>
          </cell>
          <cell r="AH148">
            <v>0</v>
          </cell>
          <cell r="AI148">
            <v>0</v>
          </cell>
          <cell r="AK148">
            <v>0</v>
          </cell>
          <cell r="AL148">
            <v>0</v>
          </cell>
        </row>
        <row r="149">
          <cell r="B149">
            <v>0</v>
          </cell>
          <cell r="C149">
            <v>0</v>
          </cell>
          <cell r="D149">
            <v>0</v>
          </cell>
          <cell r="G149">
            <v>0</v>
          </cell>
          <cell r="Y149">
            <v>0</v>
          </cell>
          <cell r="AC149">
            <v>0</v>
          </cell>
          <cell r="AD149">
            <v>0</v>
          </cell>
          <cell r="AE149">
            <v>0</v>
          </cell>
          <cell r="AF149">
            <v>0</v>
          </cell>
          <cell r="AG149">
            <v>0</v>
          </cell>
          <cell r="AH149">
            <v>0</v>
          </cell>
          <cell r="AI149">
            <v>0</v>
          </cell>
          <cell r="AK149">
            <v>0</v>
          </cell>
          <cell r="AL149">
            <v>0</v>
          </cell>
        </row>
        <row r="150">
          <cell r="B150">
            <v>0</v>
          </cell>
          <cell r="C150">
            <v>0</v>
          </cell>
          <cell r="D150">
            <v>0</v>
          </cell>
          <cell r="G150">
            <v>0</v>
          </cell>
          <cell r="Y150">
            <v>0</v>
          </cell>
          <cell r="AC150">
            <v>0</v>
          </cell>
          <cell r="AD150">
            <v>0</v>
          </cell>
          <cell r="AE150">
            <v>0</v>
          </cell>
          <cell r="AF150">
            <v>0</v>
          </cell>
          <cell r="AG150">
            <v>0</v>
          </cell>
          <cell r="AH150">
            <v>0</v>
          </cell>
          <cell r="AI150">
            <v>0</v>
          </cell>
          <cell r="AK150">
            <v>0</v>
          </cell>
          <cell r="AL150">
            <v>0</v>
          </cell>
        </row>
        <row r="151">
          <cell r="B151">
            <v>0</v>
          </cell>
          <cell r="C151">
            <v>0</v>
          </cell>
          <cell r="D151">
            <v>0</v>
          </cell>
          <cell r="G151">
            <v>0</v>
          </cell>
          <cell r="Y151">
            <v>0</v>
          </cell>
          <cell r="AC151">
            <v>0</v>
          </cell>
          <cell r="AD151">
            <v>0</v>
          </cell>
          <cell r="AE151">
            <v>0</v>
          </cell>
          <cell r="AF151">
            <v>0</v>
          </cell>
          <cell r="AG151">
            <v>0</v>
          </cell>
          <cell r="AH151">
            <v>0</v>
          </cell>
          <cell r="AI151">
            <v>0</v>
          </cell>
          <cell r="AK151">
            <v>0</v>
          </cell>
          <cell r="AL151">
            <v>0</v>
          </cell>
        </row>
        <row r="152">
          <cell r="B152">
            <v>0</v>
          </cell>
          <cell r="C152">
            <v>0</v>
          </cell>
          <cell r="D152">
            <v>0</v>
          </cell>
          <cell r="G152">
            <v>0</v>
          </cell>
          <cell r="Y152">
            <v>0</v>
          </cell>
          <cell r="AC152">
            <v>0</v>
          </cell>
          <cell r="AD152">
            <v>0</v>
          </cell>
          <cell r="AE152">
            <v>0</v>
          </cell>
          <cell r="AF152">
            <v>0</v>
          </cell>
          <cell r="AG152">
            <v>0</v>
          </cell>
          <cell r="AH152">
            <v>0</v>
          </cell>
          <cell r="AI152">
            <v>0</v>
          </cell>
          <cell r="AK152">
            <v>0</v>
          </cell>
          <cell r="AL152">
            <v>0</v>
          </cell>
        </row>
        <row r="153">
          <cell r="B153">
            <v>0</v>
          </cell>
          <cell r="C153">
            <v>0</v>
          </cell>
          <cell r="D153">
            <v>0</v>
          </cell>
          <cell r="G153">
            <v>0</v>
          </cell>
          <cell r="Y153">
            <v>0</v>
          </cell>
          <cell r="AC153">
            <v>0</v>
          </cell>
          <cell r="AD153">
            <v>0</v>
          </cell>
          <cell r="AE153">
            <v>0</v>
          </cell>
          <cell r="AF153">
            <v>0</v>
          </cell>
          <cell r="AG153">
            <v>0</v>
          </cell>
          <cell r="AH153">
            <v>0</v>
          </cell>
          <cell r="AI153">
            <v>0</v>
          </cell>
          <cell r="AK153">
            <v>0</v>
          </cell>
          <cell r="AL153">
            <v>0</v>
          </cell>
        </row>
        <row r="154">
          <cell r="B154">
            <v>0</v>
          </cell>
          <cell r="C154">
            <v>0</v>
          </cell>
          <cell r="D154">
            <v>0</v>
          </cell>
          <cell r="G154">
            <v>0</v>
          </cell>
          <cell r="Y154">
            <v>0</v>
          </cell>
          <cell r="AC154">
            <v>0</v>
          </cell>
          <cell r="AD154">
            <v>0</v>
          </cell>
          <cell r="AE154">
            <v>0</v>
          </cell>
          <cell r="AF154">
            <v>0</v>
          </cell>
          <cell r="AG154">
            <v>0</v>
          </cell>
          <cell r="AH154">
            <v>0</v>
          </cell>
          <cell r="AI154">
            <v>0</v>
          </cell>
          <cell r="AK154">
            <v>0</v>
          </cell>
          <cell r="AL154">
            <v>0</v>
          </cell>
        </row>
        <row r="155">
          <cell r="B155">
            <v>0</v>
          </cell>
          <cell r="C155">
            <v>0</v>
          </cell>
          <cell r="D155">
            <v>0</v>
          </cell>
          <cell r="G155">
            <v>0</v>
          </cell>
          <cell r="Y155">
            <v>0</v>
          </cell>
          <cell r="AC155">
            <v>0</v>
          </cell>
          <cell r="AD155">
            <v>0</v>
          </cell>
          <cell r="AE155">
            <v>0</v>
          </cell>
          <cell r="AF155">
            <v>0</v>
          </cell>
          <cell r="AG155">
            <v>0</v>
          </cell>
          <cell r="AH155">
            <v>0</v>
          </cell>
          <cell r="AI155">
            <v>0</v>
          </cell>
          <cell r="AK155">
            <v>0</v>
          </cell>
          <cell r="AL155">
            <v>0</v>
          </cell>
        </row>
        <row r="156">
          <cell r="B156">
            <v>0</v>
          </cell>
          <cell r="C156">
            <v>0</v>
          </cell>
          <cell r="D156">
            <v>0</v>
          </cell>
          <cell r="G156">
            <v>0</v>
          </cell>
          <cell r="Y156">
            <v>0</v>
          </cell>
          <cell r="AC156">
            <v>0</v>
          </cell>
          <cell r="AD156">
            <v>0</v>
          </cell>
          <cell r="AE156">
            <v>0</v>
          </cell>
          <cell r="AF156">
            <v>0</v>
          </cell>
          <cell r="AG156">
            <v>0</v>
          </cell>
          <cell r="AH156">
            <v>0</v>
          </cell>
          <cell r="AI156">
            <v>0</v>
          </cell>
          <cell r="AK156">
            <v>0</v>
          </cell>
          <cell r="AL156">
            <v>0</v>
          </cell>
        </row>
        <row r="157">
          <cell r="B157">
            <v>0</v>
          </cell>
          <cell r="C157">
            <v>0</v>
          </cell>
          <cell r="D157">
            <v>0</v>
          </cell>
          <cell r="G157">
            <v>0</v>
          </cell>
          <cell r="Y157">
            <v>0</v>
          </cell>
          <cell r="AC157">
            <v>0</v>
          </cell>
          <cell r="AD157">
            <v>0</v>
          </cell>
          <cell r="AE157">
            <v>0</v>
          </cell>
          <cell r="AF157">
            <v>0</v>
          </cell>
          <cell r="AG157">
            <v>0</v>
          </cell>
          <cell r="AH157">
            <v>0</v>
          </cell>
          <cell r="AI157">
            <v>0</v>
          </cell>
          <cell r="AK157">
            <v>0</v>
          </cell>
          <cell r="AL157">
            <v>0</v>
          </cell>
        </row>
        <row r="158">
          <cell r="B158">
            <v>0</v>
          </cell>
          <cell r="C158">
            <v>0</v>
          </cell>
          <cell r="D158">
            <v>0</v>
          </cell>
          <cell r="G158">
            <v>0</v>
          </cell>
          <cell r="Y158">
            <v>0</v>
          </cell>
          <cell r="AC158">
            <v>0</v>
          </cell>
          <cell r="AD158">
            <v>0</v>
          </cell>
          <cell r="AE158">
            <v>0</v>
          </cell>
          <cell r="AF158">
            <v>0</v>
          </cell>
          <cell r="AG158">
            <v>0</v>
          </cell>
          <cell r="AH158">
            <v>0</v>
          </cell>
          <cell r="AI158">
            <v>0</v>
          </cell>
          <cell r="AK158">
            <v>0</v>
          </cell>
          <cell r="AL158">
            <v>0</v>
          </cell>
        </row>
        <row r="159">
          <cell r="B159">
            <v>0</v>
          </cell>
          <cell r="C159">
            <v>0</v>
          </cell>
          <cell r="D159">
            <v>0</v>
          </cell>
          <cell r="G159">
            <v>0</v>
          </cell>
          <cell r="Y159">
            <v>0</v>
          </cell>
          <cell r="AC159">
            <v>0</v>
          </cell>
          <cell r="AD159">
            <v>0</v>
          </cell>
          <cell r="AE159">
            <v>0</v>
          </cell>
          <cell r="AF159">
            <v>0</v>
          </cell>
          <cell r="AG159">
            <v>0</v>
          </cell>
          <cell r="AH159">
            <v>0</v>
          </cell>
          <cell r="AI159">
            <v>0</v>
          </cell>
          <cell r="AK159">
            <v>0</v>
          </cell>
          <cell r="AL159">
            <v>0</v>
          </cell>
        </row>
        <row r="160">
          <cell r="B160">
            <v>0</v>
          </cell>
          <cell r="C160">
            <v>0</v>
          </cell>
          <cell r="D160">
            <v>0</v>
          </cell>
          <cell r="G160">
            <v>0</v>
          </cell>
          <cell r="Y160">
            <v>0</v>
          </cell>
          <cell r="AC160">
            <v>0</v>
          </cell>
          <cell r="AD160">
            <v>0</v>
          </cell>
          <cell r="AE160">
            <v>0</v>
          </cell>
          <cell r="AF160">
            <v>0</v>
          </cell>
          <cell r="AG160">
            <v>0</v>
          </cell>
          <cell r="AH160">
            <v>0</v>
          </cell>
          <cell r="AI160">
            <v>0</v>
          </cell>
          <cell r="AK160">
            <v>0</v>
          </cell>
          <cell r="AL160">
            <v>0</v>
          </cell>
        </row>
        <row r="161">
          <cell r="B161">
            <v>0</v>
          </cell>
          <cell r="C161">
            <v>0</v>
          </cell>
          <cell r="D161">
            <v>0</v>
          </cell>
          <cell r="G161">
            <v>0</v>
          </cell>
          <cell r="Y161">
            <v>0</v>
          </cell>
          <cell r="AC161">
            <v>0</v>
          </cell>
          <cell r="AD161">
            <v>0</v>
          </cell>
          <cell r="AE161">
            <v>0</v>
          </cell>
          <cell r="AF161">
            <v>0</v>
          </cell>
          <cell r="AG161">
            <v>0</v>
          </cell>
          <cell r="AH161">
            <v>0</v>
          </cell>
          <cell r="AI161">
            <v>0</v>
          </cell>
          <cell r="AK161">
            <v>0</v>
          </cell>
        </row>
      </sheetData>
      <sheetData sheetId="2">
        <row r="6">
          <cell r="E6" t="str">
            <v>ابو تشت</v>
          </cell>
        </row>
      </sheetData>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ميزة"/>
      <sheetName val="فورى"/>
      <sheetName val="سند لأمر"/>
      <sheetName val="الاقساط"/>
      <sheetName val="جدول الاقساط"/>
      <sheetName val="DATA"/>
    </sheetNames>
    <sheetDataSet>
      <sheetData sheetId="0"/>
      <sheetData sheetId="1"/>
      <sheetData sheetId="2"/>
      <sheetData sheetId="3"/>
      <sheetData sheetId="4"/>
      <sheetData sheetId="5"/>
      <sheetData sheetId="6"/>
      <sheetData sheetId="7"/>
      <sheetData sheetId="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عقد القروض "/>
      <sheetName val="سند لأمر"/>
      <sheetName val="جدول الاقساط"/>
      <sheetName val="DATA"/>
      <sheetName val="تفصيلي بيانات العميل و الضامنين"/>
      <sheetName val="الاقساط"/>
      <sheetName val="مصر للتأمين"/>
      <sheetName val="اقرار"/>
      <sheetName val="اقرار الفيزا"/>
      <sheetName val="افصاح"/>
      <sheetName val="Contract_12-2023_Last_Update_My"/>
    </sheetNames>
    <sheetDataSet>
      <sheetData sheetId="0" refreshError="1"/>
      <sheetData sheetId="1" refreshError="1"/>
      <sheetData sheetId="2"/>
      <sheetData sheetId="3" refreshError="1"/>
      <sheetData sheetId="4"/>
      <sheetData sheetId="5"/>
      <sheetData sheetId="6" refreshError="1"/>
      <sheetData sheetId="7" refreshError="1"/>
      <sheetData sheetId="8" refreshError="1"/>
      <sheetData sheetId="9" refreshError="1"/>
      <sheetData sheetId="10" refreshError="1"/>
    </sheetDataSet>
  </externalBook>
</externalLink>
</file>

<file path=xl/tables/table1.xml><?xml version="1.0" encoding="utf-8"?>
<table xmlns="http://schemas.openxmlformats.org/spreadsheetml/2006/main" id="2" name="ControlRoom" displayName="ControlRoom" ref="B1:Q11" totalsRowShown="0" headerRowDxfId="45" dataDxfId="43" headerRowBorderDxfId="44" tableBorderDxfId="42" totalsRowBorderDxfId="41">
  <autoFilter ref="B1:Q11"/>
  <tableColumns count="16">
    <tableColumn id="1" name="التمويل" dataDxfId="40"/>
    <tableColumn id="2" name="اجمالي الالتزام" dataDxfId="39"/>
    <tableColumn id="3" name="القسط الشهري" dataDxfId="38"/>
    <tableColumn id="15" name="المبلغ" dataDxfId="37"/>
    <tableColumn id="16" name="المقدم" dataDxfId="0"/>
    <tableColumn id="4" name="فائدة أ" dataDxfId="36"/>
    <tableColumn id="5" name="فائدة ب" dataDxfId="35"/>
    <tableColumn id="6" name="فائدة ج" dataDxfId="34"/>
    <tableColumn id="7" name="فائدة مقدمة أ" dataDxfId="33"/>
    <tableColumn id="8" name="فائدة مقدمة ب" dataDxfId="32"/>
    <tableColumn id="9" name="فائدة مقدمة ج" dataDxfId="31"/>
    <tableColumn id="10" name="الشرائح" dataDxfId="30"/>
    <tableColumn id="11" name="من" dataDxfId="29"/>
    <tableColumn id="12" name="الي" dataDxfId="28"/>
    <tableColumn id="13" name="فائدة الشريحة" dataDxfId="27"/>
    <tableColumn id="14" name="فائدة مقدمة للشريحة" dataDxfId="26"/>
  </tableColumns>
  <tableStyleInfo name="TableStyleMedium9" showFirstColumn="0" showLastColumn="0" showRowStripes="1" showColumnStripes="0"/>
</table>
</file>

<file path=xl/tables/table2.xml><?xml version="1.0" encoding="utf-8"?>
<table xmlns="http://schemas.openxmlformats.org/spreadsheetml/2006/main" id="1" name="الاقساط" displayName="الاقساط" ref="A4:H5075" totalsRowShown="0" headerRowDxfId="25" dataDxfId="24" tableBorderDxfId="23" headerRowCellStyle="Normal 3" dataCellStyle="Normal 3">
  <autoFilter ref="A4:H5075"/>
  <tableColumns count="8">
    <tableColumn id="1" name="مصدر التمويل / اسم المشورع الممول" dataDxfId="22" dataCellStyle="Normal 3"/>
    <tableColumn id="2" name="قيمة القرض" dataDxfId="21" dataCellStyle="Normal 3"/>
    <tableColumn id="3" name="عدد الأقساط" dataDxfId="20" dataCellStyle="Normal 3"/>
    <tableColumn id="4" name="معدل الفائدة" dataDxfId="19" dataCellStyle="Normal 3"/>
    <tableColumn id="5" name="إجمالي الفوائد" dataDxfId="18" dataCellStyle="Normal 3"/>
    <tableColumn id="6" name="اجمالى الألتزام" dataDxfId="17" dataCellStyle="Normal 3"/>
    <tableColumn id="7" name="فائدة مقدمة" dataDxfId="16" dataCellStyle="Normal 3"/>
    <tableColumn id="8" name="القسط الشهري" dataDxfId="15" dataCellStyle="Normal 3"/>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6"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F0621D-936C-4EFB-9EAC-5E10280DEAB6}">
  <we:reference id="wa200005171" version="1.0.0.0" store="en-US" storeType="OMEX"/>
  <we:alternateReferences>
    <we:reference id="wa200005171" version="1.0.0.0" store="wa200005171" storeType="OMEX"/>
  </we:alternateReferences>
  <we:properties/>
  <we:bindings/>
  <we:snapshot xmlns:r="http://schemas.openxmlformats.org/officeDocument/2006/relationships"/>
  <we:extLst>
    <a:ext xmlns:a="http://schemas.openxmlformats.org/drawingml/2006/main" uri="{D87F86FE-615C-45B5-9D79-34F1136793EB}">
      <we:containsCustomFunctions xmlns=""/>
    </a:ext>
    <a:ext xmlns:a="http://schemas.openxmlformats.org/drawingml/2006/main" uri="{7C84B067-C214-45C3-A712-C9D94CD141B2}">
      <we:customFunctionIdList xmlns="">
        <we:customFunctionIds>_xldudf_GPT_GPTINTERACT</we:customFunctionIds>
        <we:customFunctionIds>_xldudf_GPT_GPTPROMPT</we:customFunctionIds>
        <we:customFunctionIds>_xldudf_GPT_GPTPREDICT</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sheetPr>
  <dimension ref="A1:Q157"/>
  <sheetViews>
    <sheetView rightToLeft="1" view="pageBreakPreview" topLeftCell="A37" zoomScaleNormal="100" zoomScaleSheetLayoutView="100" workbookViewId="0">
      <selection activeCell="B23" sqref="B23"/>
    </sheetView>
  </sheetViews>
  <sheetFormatPr defaultColWidth="8.85546875" defaultRowHeight="16.5"/>
  <cols>
    <col min="1" max="1" width="3.85546875" style="535" customWidth="1"/>
    <col min="2" max="2" width="12.42578125" style="535" customWidth="1"/>
    <col min="3" max="3" width="13.140625" style="535" bestFit="1" customWidth="1"/>
    <col min="4" max="4" width="9.7109375" style="535" customWidth="1"/>
    <col min="5" max="5" width="13.140625" style="535" bestFit="1" customWidth="1"/>
    <col min="6" max="7" width="8.85546875" style="535"/>
    <col min="8" max="8" width="10.85546875" style="535" customWidth="1"/>
    <col min="9" max="9" width="10.28515625" style="535" customWidth="1"/>
    <col min="10" max="11" width="8.85546875" style="535"/>
    <col min="12" max="12" width="11.28515625" style="535" customWidth="1"/>
    <col min="13" max="13" width="11.140625" style="535" bestFit="1" customWidth="1"/>
    <col min="14" max="14" width="4.7109375" style="535" customWidth="1"/>
    <col min="15" max="15" width="8.85546875" style="535"/>
    <col min="16" max="16" width="24.7109375" style="535" customWidth="1"/>
    <col min="17" max="17" width="15.140625" style="535" bestFit="1" customWidth="1"/>
    <col min="18" max="16384" width="8.85546875" style="535"/>
  </cols>
  <sheetData>
    <row r="1" spans="1:17" ht="26.45" customHeight="1" thickBot="1">
      <c r="L1" s="535" t="s">
        <v>0</v>
      </c>
      <c r="M1" s="335">
        <f>P3</f>
        <v>374</v>
      </c>
    </row>
    <row r="2" spans="1:17" ht="33" customHeight="1" thickTop="1" thickBot="1">
      <c r="A2" s="536"/>
      <c r="B2" s="617" t="s">
        <v>165</v>
      </c>
      <c r="C2" s="618"/>
      <c r="D2" s="618"/>
      <c r="E2" s="618"/>
      <c r="F2" s="537"/>
      <c r="G2" s="537"/>
      <c r="H2" s="537"/>
      <c r="I2" s="537"/>
      <c r="J2" s="537"/>
      <c r="K2" s="537"/>
      <c r="L2" s="537"/>
      <c r="M2" s="537"/>
      <c r="N2" s="538"/>
    </row>
    <row r="3" spans="1:17" ht="19.899999999999999" customHeight="1">
      <c r="A3" s="539"/>
      <c r="B3" s="619" t="s">
        <v>164</v>
      </c>
      <c r="C3" s="620"/>
      <c r="D3" s="620"/>
      <c r="E3" s="620"/>
      <c r="N3" s="540"/>
      <c r="P3" s="642">
        <v>374</v>
      </c>
    </row>
    <row r="4" spans="1:17" ht="23.45" customHeight="1">
      <c r="A4" s="539"/>
      <c r="B4" s="116"/>
      <c r="C4" s="656" t="str">
        <f>"مشروع"&amp;" "&amp;IFERROR(INDEX(تفصيلي!Q6:Q205,MATCH(عقد!M1,تفصيلي!B6:B205,0)),"")</f>
        <v>مشروع سياحي ناجح</v>
      </c>
      <c r="D4" s="656"/>
      <c r="E4" s="656"/>
      <c r="N4" s="540"/>
      <c r="P4" s="643"/>
    </row>
    <row r="5" spans="1:17" ht="31.9" customHeight="1" thickBot="1">
      <c r="A5" s="539"/>
      <c r="E5" s="645" t="s">
        <v>137</v>
      </c>
      <c r="F5" s="645"/>
      <c r="G5" s="645"/>
      <c r="H5" s="645"/>
      <c r="I5" s="645"/>
      <c r="J5" s="645"/>
      <c r="N5" s="540"/>
      <c r="P5" s="644"/>
      <c r="Q5" s="541"/>
    </row>
    <row r="6" spans="1:17" ht="6.6" customHeight="1">
      <c r="A6" s="539"/>
      <c r="N6" s="540"/>
    </row>
    <row r="7" spans="1:17" ht="24.6" customHeight="1">
      <c r="A7" s="539"/>
      <c r="B7" s="542" t="s">
        <v>190</v>
      </c>
      <c r="C7" s="543">
        <f>E7</f>
        <v>45875</v>
      </c>
      <c r="D7" s="69" t="s">
        <v>188</v>
      </c>
      <c r="E7" s="655">
        <v>45875</v>
      </c>
      <c r="F7" s="655"/>
      <c r="G7" s="626" t="s">
        <v>189</v>
      </c>
      <c r="H7" s="626"/>
      <c r="I7" s="626"/>
      <c r="J7" s="626"/>
      <c r="K7" s="626"/>
      <c r="L7" s="626"/>
      <c r="M7" s="626"/>
      <c r="N7" s="540"/>
    </row>
    <row r="8" spans="1:17" ht="65.45" customHeight="1">
      <c r="A8" s="539"/>
      <c r="B8" s="626" t="s">
        <v>166</v>
      </c>
      <c r="C8" s="626"/>
      <c r="D8" s="626"/>
      <c r="E8" s="626"/>
      <c r="F8" s="626"/>
      <c r="G8" s="626"/>
      <c r="H8" s="626"/>
      <c r="I8" s="626"/>
      <c r="J8" s="626"/>
      <c r="K8" s="626"/>
      <c r="L8" s="626"/>
      <c r="M8" s="626"/>
      <c r="N8" s="540"/>
    </row>
    <row r="9" spans="1:17" ht="25.9" customHeight="1">
      <c r="A9" s="539"/>
      <c r="B9" s="535" t="s">
        <v>138</v>
      </c>
      <c r="C9" s="626" t="str">
        <f>INDEX(تفصيلي!C6:C205,MATCH(عقد!M1,تفصيلي!B6:B205,0))</f>
        <v>منتصر نخله روس شنوده</v>
      </c>
      <c r="D9" s="626"/>
      <c r="E9" s="626"/>
      <c r="F9" s="626"/>
      <c r="G9" s="626"/>
      <c r="H9" s="626"/>
      <c r="I9" s="626"/>
      <c r="J9" s="626"/>
      <c r="K9" s="626"/>
      <c r="L9" s="647" t="str" cm="1">
        <f t="array" ref="L9">IFERROR(GenerateQR(D12),"")</f>
        <v/>
      </c>
      <c r="M9" s="648"/>
      <c r="N9" s="540"/>
    </row>
    <row r="10" spans="1:17" ht="25.9" customHeight="1">
      <c r="A10" s="539"/>
      <c r="B10" s="535" t="s">
        <v>139</v>
      </c>
      <c r="C10" s="646">
        <f>INDEX(تفصيلي!E6:E205,MATCH(عقد!M1,تفصيلي!B6:B205,0))</f>
        <v>27703292700272</v>
      </c>
      <c r="D10" s="646"/>
      <c r="E10" s="646"/>
      <c r="F10" s="646"/>
      <c r="G10" s="646"/>
      <c r="H10" s="535" t="s">
        <v>140</v>
      </c>
      <c r="I10" s="626" t="str">
        <f>IFERROR(VLOOKUP($M$1,تفصيلي!B6:T205,5,FALSE),"")</f>
        <v>قنا</v>
      </c>
      <c r="J10" s="626"/>
      <c r="K10" s="626"/>
      <c r="L10" s="649"/>
      <c r="M10" s="650"/>
      <c r="N10" s="540"/>
    </row>
    <row r="11" spans="1:17" ht="25.15" customHeight="1">
      <c r="A11" s="539"/>
      <c r="B11" s="544" t="s">
        <v>141</v>
      </c>
      <c r="C11" s="653">
        <f>INDEX(تفصيلي!G6:G205,MATCH(عقد!M1,تفصيلي!B6:B205,0))</f>
        <v>0</v>
      </c>
      <c r="D11" s="653"/>
      <c r="E11" s="653"/>
      <c r="F11" s="653"/>
      <c r="G11" s="653"/>
      <c r="H11" s="653"/>
      <c r="I11" s="653"/>
      <c r="J11" s="653"/>
      <c r="K11" s="653"/>
      <c r="L11" s="649"/>
      <c r="M11" s="650"/>
      <c r="N11" s="540"/>
    </row>
    <row r="12" spans="1:17" ht="25.9" customHeight="1">
      <c r="A12" s="539"/>
      <c r="B12" s="626" t="s">
        <v>142</v>
      </c>
      <c r="C12" s="626"/>
      <c r="D12" s="654" t="str">
        <f>INDEX(تفصيلي!AX6:AX205,MATCH(عقد!M1,تفصيلي!B6:B205,0))</f>
        <v xml:space="preserve"> ,</v>
      </c>
      <c r="E12" s="654"/>
      <c r="F12" s="654"/>
      <c r="G12" s="654"/>
      <c r="H12" s="654"/>
      <c r="I12" s="654"/>
      <c r="L12" s="651"/>
      <c r="M12" s="652"/>
      <c r="N12" s="540"/>
    </row>
    <row r="13" spans="1:17" ht="25.9" customHeight="1">
      <c r="A13" s="539"/>
      <c r="B13" s="626" t="s">
        <v>191</v>
      </c>
      <c r="C13" s="626"/>
      <c r="D13" s="626">
        <f>INDEX(تفصيلي!D6:D205,MATCH(عقد!M1,تفصيلي!B6:B205,0))</f>
        <v>0</v>
      </c>
      <c r="E13" s="626"/>
      <c r="F13" s="626"/>
      <c r="G13" s="639" t="s">
        <v>144</v>
      </c>
      <c r="H13" s="639"/>
      <c r="I13" s="641">
        <f t="shared" ref="I13" si="0">IFERROR(DATE(IF(LEFT($C$10,1)*1=3,20,19)&amp;MID($C$10,2,2),MID($C$10,4,2),MID($C$10,6,2)),"")</f>
        <v>28213</v>
      </c>
      <c r="J13" s="641"/>
      <c r="K13" s="641"/>
      <c r="L13" s="542" t="s">
        <v>143</v>
      </c>
      <c r="M13" s="69" t="str">
        <f ca="1">IFERROR(DATEDIF(I13,TODAY(),"Y")&amp;"  سنة ","")</f>
        <v xml:space="preserve">48  سنة </v>
      </c>
      <c r="N13" s="540"/>
    </row>
    <row r="14" spans="1:17" ht="25.9" customHeight="1">
      <c r="A14" s="539"/>
      <c r="B14" s="627" t="s">
        <v>145</v>
      </c>
      <c r="C14" s="627"/>
      <c r="D14" s="627"/>
      <c r="E14" s="638" t="str">
        <f>INDEX(تفصيلي!AY6:AY205,MATCH(عقد!M1,تفصيلي!B6:B205,0))</f>
        <v>تجارى / تجارة مواد غذائية</v>
      </c>
      <c r="F14" s="638"/>
      <c r="G14" s="638"/>
      <c r="H14" s="638"/>
      <c r="I14" s="638"/>
      <c r="J14" s="639" t="s">
        <v>146</v>
      </c>
      <c r="K14" s="639"/>
      <c r="L14" s="637">
        <f>IFERROR(INDEX(تفصيلي!H6:H205,MATCH(عقد!M1,تفصيلي!B6:B205,0)),"")</f>
        <v>1272219004</v>
      </c>
      <c r="M14" s="637"/>
      <c r="N14" s="540"/>
    </row>
    <row r="15" spans="1:17" ht="28.9" customHeight="1">
      <c r="A15" s="539"/>
      <c r="B15" s="535" t="s">
        <v>147</v>
      </c>
      <c r="C15" s="626" t="str">
        <f>INDEX(تفصيلي!N6:N205,MATCH(عقد!M1,تفصيلي!B6:B205,0))</f>
        <v>منزل نخله روس بجوار صيدليه الترعه - حاره الكموني - ش الترعه الضمرانيه -الساحل - نجع حمادي - قنا</v>
      </c>
      <c r="D15" s="626"/>
      <c r="E15" s="626"/>
      <c r="F15" s="626"/>
      <c r="G15" s="626"/>
      <c r="H15" s="626"/>
      <c r="I15" s="626"/>
      <c r="J15" s="626"/>
      <c r="K15" s="626"/>
      <c r="L15" s="626"/>
      <c r="M15" s="626" t="s">
        <v>148</v>
      </c>
      <c r="N15" s="640"/>
    </row>
    <row r="16" spans="1:17" ht="273.60000000000002" customHeight="1">
      <c r="A16" s="539"/>
      <c r="B16" s="626" t="s">
        <v>170</v>
      </c>
      <c r="C16" s="626"/>
      <c r="D16" s="626"/>
      <c r="E16" s="626"/>
      <c r="F16" s="626"/>
      <c r="G16" s="626"/>
      <c r="H16" s="626"/>
      <c r="I16" s="626"/>
      <c r="J16" s="626"/>
      <c r="K16" s="626"/>
      <c r="L16" s="626"/>
      <c r="M16" s="626"/>
      <c r="N16" s="540"/>
    </row>
    <row r="17" spans="1:14" ht="25.9" customHeight="1">
      <c r="A17" s="539"/>
      <c r="B17" s="626" t="s">
        <v>149</v>
      </c>
      <c r="C17" s="626"/>
      <c r="D17" s="626"/>
      <c r="E17" s="638" t="str">
        <f>IFERROR(VLOOKUP($M$1,تفصيلي!B6:R205,9,FALSE) &amp; " / "&amp;VLOOKUP($M$1,تفصيلي!B6:R205,10,FALSE),"")</f>
        <v>تجارى / تجارة مواد غذائية</v>
      </c>
      <c r="F17" s="638"/>
      <c r="G17" s="638"/>
      <c r="H17" s="639" t="s">
        <v>150</v>
      </c>
      <c r="I17" s="639"/>
      <c r="J17" s="639"/>
      <c r="K17" s="638">
        <f>INDEX(تفصيلي!M6:M205,MATCH(M1,تفصيلي!B6:B205,0))</f>
        <v>0</v>
      </c>
      <c r="L17" s="638"/>
      <c r="M17" s="638"/>
      <c r="N17" s="540"/>
    </row>
    <row r="18" spans="1:14" ht="37.15" customHeight="1">
      <c r="A18" s="539"/>
      <c r="B18" s="626" t="s">
        <v>151</v>
      </c>
      <c r="C18" s="626"/>
      <c r="D18" s="626"/>
      <c r="E18" s="626"/>
      <c r="F18" s="626"/>
      <c r="G18" s="626"/>
      <c r="H18" s="626"/>
      <c r="I18" s="626"/>
      <c r="J18" s="626"/>
      <c r="K18" s="626"/>
      <c r="L18" s="626"/>
      <c r="M18" s="626"/>
      <c r="N18" s="540"/>
    </row>
    <row r="19" spans="1:14" ht="25.9" customHeight="1">
      <c r="A19" s="539"/>
      <c r="B19" s="626" t="s">
        <v>192</v>
      </c>
      <c r="C19" s="626"/>
      <c r="D19" s="626"/>
      <c r="E19" s="626"/>
      <c r="F19" s="626"/>
      <c r="G19" s="626"/>
      <c r="H19" s="626"/>
      <c r="I19" s="626"/>
      <c r="J19" s="626"/>
      <c r="K19" s="635">
        <f>IFERROR(VLOOKUP($M$1,تفصيلي!B6:O205,14,FALSE),"")</f>
        <v>50000</v>
      </c>
      <c r="L19" s="635"/>
      <c r="M19" s="535" t="s">
        <v>152</v>
      </c>
      <c r="N19" s="540"/>
    </row>
    <row r="20" spans="1:14" ht="25.9" customHeight="1">
      <c r="A20" s="539"/>
      <c r="B20" s="633" t="str">
        <f>" ( " &amp;NumberToText(K19,"جنيها","")&amp;" ) "</f>
        <v xml:space="preserve"> ( خمسون ألف جنيها ) </v>
      </c>
      <c r="C20" s="633"/>
      <c r="D20" s="633"/>
      <c r="E20" s="633"/>
      <c r="F20" s="633"/>
      <c r="G20" s="636" t="s">
        <v>153</v>
      </c>
      <c r="H20" s="636"/>
      <c r="I20" s="636"/>
      <c r="J20" s="636"/>
      <c r="K20" s="635">
        <f ca="1">C22-K19</f>
        <v>15754</v>
      </c>
      <c r="L20" s="635"/>
      <c r="M20" s="535" t="s">
        <v>152</v>
      </c>
      <c r="N20" s="540"/>
    </row>
    <row r="21" spans="1:14" ht="25.9" customHeight="1">
      <c r="A21" s="539"/>
      <c r="B21" s="633" t="str">
        <f ca="1">" ( " &amp;NumberToText(K20,"جنيها","")&amp;" ) "</f>
        <v xml:space="preserve"> ( خمسة عشر ألف وسبعمائة وأربعة وخمسون جنيها ) </v>
      </c>
      <c r="C21" s="633"/>
      <c r="D21" s="633"/>
      <c r="E21" s="633"/>
      <c r="F21" s="633"/>
      <c r="G21" s="627" t="s">
        <v>154</v>
      </c>
      <c r="H21" s="627"/>
      <c r="I21" s="287">
        <f>IFERROR(VLOOKUP($M$1,تفصيلي!$B$6:$V$205,21,FALSE),"")</f>
        <v>0.21</v>
      </c>
      <c r="J21" s="634" t="s">
        <v>193</v>
      </c>
      <c r="K21" s="634"/>
      <c r="L21" s="634"/>
      <c r="M21" s="634"/>
      <c r="N21" s="540"/>
    </row>
    <row r="22" spans="1:14" ht="25.9" customHeight="1">
      <c r="A22" s="539"/>
      <c r="B22" s="535" t="s">
        <v>155</v>
      </c>
      <c r="C22" s="635">
        <f ca="1">IFERROR(VLOOKUP($M$1,تفصيلي!B6:T205,19,FALSE),"")</f>
        <v>65754</v>
      </c>
      <c r="D22" s="635"/>
      <c r="E22" s="535" t="s">
        <v>35</v>
      </c>
      <c r="F22" s="633" t="str">
        <f ca="1">" ( " &amp;NumberToText(C22,"جنيها","")&amp;" ) "</f>
        <v xml:space="preserve"> ( خمسة وستون ألف وسبعمائة وأربعة وخمسون جنيها ) </v>
      </c>
      <c r="G22" s="633"/>
      <c r="H22" s="633"/>
      <c r="I22" s="633"/>
      <c r="J22" s="633"/>
      <c r="K22" s="634" t="s">
        <v>194</v>
      </c>
      <c r="L22" s="634"/>
      <c r="M22" s="634"/>
      <c r="N22" s="540"/>
    </row>
    <row r="23" spans="1:14" ht="25.9" customHeight="1">
      <c r="A23" s="539"/>
      <c r="B23" s="545">
        <f>IFERROR(VLOOKUP($M$1,تفصيلي!B6:T205,15,FALSE),"")</f>
        <v>18</v>
      </c>
      <c r="C23" s="626" t="s">
        <v>156</v>
      </c>
      <c r="D23" s="626"/>
      <c r="E23" s="626"/>
      <c r="F23" s="626"/>
      <c r="G23" s="626"/>
      <c r="H23" s="626"/>
      <c r="I23" s="626"/>
      <c r="J23" s="626"/>
      <c r="K23" s="626"/>
      <c r="L23" s="626"/>
      <c r="M23" s="626"/>
      <c r="N23" s="540"/>
    </row>
    <row r="24" spans="1:14" ht="25.9" customHeight="1">
      <c r="A24" s="539"/>
      <c r="B24" s="627" t="s">
        <v>157</v>
      </c>
      <c r="C24" s="627"/>
      <c r="D24" s="627"/>
      <c r="E24" s="627"/>
      <c r="F24" s="627"/>
      <c r="G24" s="627"/>
      <c r="H24" s="627"/>
      <c r="I24" s="627"/>
      <c r="J24" s="627"/>
      <c r="K24" s="631">
        <f>IFERROR(VLOOKUP($M$1,تفصيلي!B6:T205,17,FALSE),"")</f>
        <v>45906</v>
      </c>
      <c r="L24" s="631"/>
      <c r="M24" s="631"/>
      <c r="N24" s="540"/>
    </row>
    <row r="25" spans="1:14" ht="46.15" customHeight="1">
      <c r="A25" s="539"/>
      <c r="B25" s="626" t="s">
        <v>171</v>
      </c>
      <c r="C25" s="626"/>
      <c r="D25" s="626"/>
      <c r="E25" s="626"/>
      <c r="F25" s="626"/>
      <c r="G25" s="626"/>
      <c r="H25" s="626"/>
      <c r="I25" s="626"/>
      <c r="J25" s="626"/>
      <c r="K25" s="626"/>
      <c r="L25" s="626"/>
      <c r="M25" s="626"/>
      <c r="N25" s="540"/>
    </row>
    <row r="26" spans="1:14" ht="25.9" customHeight="1">
      <c r="A26" s="539"/>
      <c r="F26" s="622" t="s">
        <v>196</v>
      </c>
      <c r="G26" s="622"/>
      <c r="H26" s="622"/>
      <c r="I26" s="621" t="s">
        <v>195</v>
      </c>
      <c r="J26" s="632"/>
      <c r="K26" s="632"/>
      <c r="L26" s="632"/>
      <c r="M26" s="632"/>
      <c r="N26" s="540"/>
    </row>
    <row r="27" spans="1:14" ht="110.45" customHeight="1" thickBot="1">
      <c r="A27" s="546"/>
      <c r="B27" s="547"/>
      <c r="C27" s="547"/>
      <c r="D27" s="547"/>
      <c r="E27" s="547"/>
      <c r="F27" s="548"/>
      <c r="G27" s="548"/>
      <c r="H27" s="548"/>
      <c r="I27" s="549"/>
      <c r="J27" s="549"/>
      <c r="K27" s="549"/>
      <c r="L27" s="549"/>
      <c r="M27" s="70" t="s">
        <v>167</v>
      </c>
      <c r="N27" s="550"/>
    </row>
    <row r="28" spans="1:14" ht="12.6" customHeight="1" thickTop="1">
      <c r="A28" s="537"/>
      <c r="B28" s="537"/>
      <c r="C28" s="537"/>
      <c r="D28" s="537"/>
      <c r="E28" s="537"/>
      <c r="F28" s="551"/>
      <c r="G28" s="551"/>
      <c r="H28" s="551"/>
      <c r="I28" s="552"/>
      <c r="J28" s="552"/>
      <c r="K28" s="552"/>
      <c r="L28" s="552"/>
      <c r="M28" s="552"/>
      <c r="N28" s="537"/>
    </row>
    <row r="29" spans="1:14" ht="13.9" customHeight="1" thickBot="1">
      <c r="A29" s="547"/>
      <c r="B29" s="547"/>
      <c r="C29" s="547"/>
      <c r="D29" s="547"/>
      <c r="E29" s="547"/>
      <c r="F29" s="548"/>
      <c r="G29" s="548"/>
      <c r="H29" s="548"/>
      <c r="I29" s="549"/>
      <c r="J29" s="549"/>
      <c r="K29" s="549"/>
      <c r="L29" s="549"/>
      <c r="M29" s="549"/>
      <c r="N29" s="547"/>
    </row>
    <row r="30" spans="1:14" ht="17.45" customHeight="1" thickTop="1">
      <c r="A30" s="536"/>
      <c r="B30" s="537"/>
      <c r="C30" s="537"/>
      <c r="D30" s="537"/>
      <c r="E30" s="537"/>
      <c r="F30" s="551"/>
      <c r="G30" s="551"/>
      <c r="H30" s="551"/>
      <c r="I30" s="552"/>
      <c r="J30" s="552"/>
      <c r="K30" s="552"/>
      <c r="L30" s="552"/>
      <c r="M30" s="552"/>
      <c r="N30" s="538"/>
    </row>
    <row r="31" spans="1:14" ht="206.45" customHeight="1">
      <c r="A31" s="539"/>
      <c r="B31" s="626" t="s">
        <v>197</v>
      </c>
      <c r="C31" s="626"/>
      <c r="D31" s="626"/>
      <c r="E31" s="626"/>
      <c r="F31" s="626"/>
      <c r="G31" s="626"/>
      <c r="H31" s="626"/>
      <c r="I31" s="626"/>
      <c r="J31" s="626"/>
      <c r="K31" s="626"/>
      <c r="L31" s="626"/>
      <c r="M31" s="626"/>
      <c r="N31" s="540"/>
    </row>
    <row r="32" spans="1:14" ht="122.45" customHeight="1">
      <c r="A32" s="539"/>
      <c r="B32" s="626" t="s">
        <v>198</v>
      </c>
      <c r="C32" s="626"/>
      <c r="D32" s="626"/>
      <c r="E32" s="626"/>
      <c r="F32" s="626"/>
      <c r="G32" s="626"/>
      <c r="H32" s="626"/>
      <c r="I32" s="626"/>
      <c r="J32" s="626"/>
      <c r="K32" s="626"/>
      <c r="L32" s="626"/>
      <c r="M32" s="626"/>
      <c r="N32" s="540"/>
    </row>
    <row r="33" spans="1:14" ht="105.6" customHeight="1">
      <c r="A33" s="539"/>
      <c r="B33" s="626" t="s">
        <v>163</v>
      </c>
      <c r="C33" s="626"/>
      <c r="D33" s="626"/>
      <c r="E33" s="626"/>
      <c r="F33" s="626"/>
      <c r="G33" s="626"/>
      <c r="H33" s="626"/>
      <c r="I33" s="626"/>
      <c r="J33" s="626"/>
      <c r="K33" s="626"/>
      <c r="L33" s="626"/>
      <c r="M33" s="626"/>
      <c r="N33" s="540"/>
    </row>
    <row r="34" spans="1:14" ht="138" customHeight="1">
      <c r="A34" s="539"/>
      <c r="B34" s="626" t="s">
        <v>698</v>
      </c>
      <c r="C34" s="626"/>
      <c r="D34" s="626"/>
      <c r="E34" s="626"/>
      <c r="F34" s="626"/>
      <c r="G34" s="626"/>
      <c r="H34" s="626"/>
      <c r="I34" s="626"/>
      <c r="J34" s="626"/>
      <c r="K34" s="626"/>
      <c r="L34" s="626"/>
      <c r="M34" s="626"/>
      <c r="N34" s="540"/>
    </row>
    <row r="35" spans="1:14" ht="124.15" customHeight="1">
      <c r="A35" s="539"/>
      <c r="B35" s="626" t="s">
        <v>199</v>
      </c>
      <c r="C35" s="626"/>
      <c r="D35" s="626"/>
      <c r="E35" s="626"/>
      <c r="F35" s="626"/>
      <c r="G35" s="626"/>
      <c r="H35" s="626"/>
      <c r="I35" s="626"/>
      <c r="J35" s="626"/>
      <c r="K35" s="626"/>
      <c r="L35" s="626"/>
      <c r="M35" s="626"/>
      <c r="N35" s="540"/>
    </row>
    <row r="36" spans="1:14" ht="43.9" customHeight="1">
      <c r="A36" s="539"/>
      <c r="B36" s="626" t="s">
        <v>158</v>
      </c>
      <c r="C36" s="626"/>
      <c r="D36" s="626"/>
      <c r="E36" s="626"/>
      <c r="F36" s="626"/>
      <c r="G36" s="626"/>
      <c r="H36" s="626"/>
      <c r="I36" s="626"/>
      <c r="J36" s="626"/>
      <c r="K36" s="626"/>
      <c r="L36" s="626"/>
      <c r="M36" s="626"/>
      <c r="N36" s="540"/>
    </row>
    <row r="37" spans="1:14" ht="25.9" customHeight="1">
      <c r="A37" s="539"/>
      <c r="B37" s="622" t="s">
        <v>159</v>
      </c>
      <c r="C37" s="622"/>
      <c r="D37" s="622"/>
      <c r="E37" s="622"/>
      <c r="F37" s="622"/>
      <c r="G37" s="622"/>
      <c r="H37" s="622"/>
      <c r="I37" s="622"/>
      <c r="J37" s="622"/>
      <c r="K37" s="622"/>
      <c r="L37" s="622"/>
      <c r="M37" s="622"/>
      <c r="N37" s="540"/>
    </row>
    <row r="38" spans="1:14" ht="43.9" customHeight="1">
      <c r="A38" s="539"/>
      <c r="B38" s="553" t="s">
        <v>160</v>
      </c>
      <c r="C38" s="623" t="s">
        <v>161</v>
      </c>
      <c r="D38" s="623"/>
      <c r="E38" s="623"/>
      <c r="F38" s="623"/>
      <c r="G38" s="554"/>
      <c r="H38" s="554"/>
      <c r="I38" s="553" t="s">
        <v>160</v>
      </c>
      <c r="J38" s="621" t="s">
        <v>200</v>
      </c>
      <c r="K38" s="621"/>
      <c r="L38" s="621"/>
      <c r="M38" s="621"/>
      <c r="N38" s="540"/>
    </row>
    <row r="39" spans="1:14" ht="37.9" customHeight="1">
      <c r="A39" s="539"/>
      <c r="I39" s="624" t="s">
        <v>139</v>
      </c>
      <c r="J39" s="624"/>
      <c r="K39" s="625">
        <f>C10</f>
        <v>27703292700272</v>
      </c>
      <c r="L39" s="625"/>
      <c r="M39" s="625"/>
      <c r="N39" s="540"/>
    </row>
    <row r="40" spans="1:14" ht="46.15" customHeight="1">
      <c r="A40" s="539"/>
      <c r="B40" s="629" t="s">
        <v>162</v>
      </c>
      <c r="C40" s="629"/>
      <c r="D40" s="621" t="s">
        <v>161</v>
      </c>
      <c r="E40" s="621"/>
      <c r="F40" s="621"/>
      <c r="G40" s="621"/>
      <c r="H40" s="621"/>
      <c r="I40" s="630" t="s">
        <v>201</v>
      </c>
      <c r="J40" s="630"/>
      <c r="K40" s="630"/>
      <c r="L40" s="630"/>
      <c r="M40" s="630"/>
      <c r="N40" s="540"/>
    </row>
    <row r="41" spans="1:14" ht="40.15" customHeight="1">
      <c r="A41" s="539"/>
      <c r="B41" s="624" t="s">
        <v>139</v>
      </c>
      <c r="C41" s="624"/>
      <c r="D41" s="628">
        <f>IFERROR(VLOOKUP($M$1,تفصيلي!B6:AW205,25,FALSE),"")</f>
        <v>0</v>
      </c>
      <c r="E41" s="628"/>
      <c r="F41" s="628"/>
      <c r="G41" s="628"/>
      <c r="I41" s="624" t="s">
        <v>139</v>
      </c>
      <c r="J41" s="624"/>
      <c r="K41" s="628">
        <f>IFERROR(VLOOKUP($M$1,تفصيلي!B6:AW205,31,FALSE),"")</f>
        <v>0</v>
      </c>
      <c r="L41" s="628"/>
      <c r="M41" s="628"/>
      <c r="N41" s="540"/>
    </row>
    <row r="42" spans="1:14" ht="25.9" customHeight="1">
      <c r="A42" s="539"/>
      <c r="N42" s="540"/>
    </row>
    <row r="43" spans="1:14" ht="25.9" customHeight="1">
      <c r="A43" s="539"/>
      <c r="N43" s="540"/>
    </row>
    <row r="44" spans="1:14" ht="25.9" customHeight="1">
      <c r="A44" s="539"/>
      <c r="N44" s="540"/>
    </row>
    <row r="45" spans="1:14" ht="25.9" customHeight="1">
      <c r="A45" s="539"/>
      <c r="N45" s="540"/>
    </row>
    <row r="46" spans="1:14" ht="25.9" customHeight="1">
      <c r="A46" s="539"/>
      <c r="N46" s="540"/>
    </row>
    <row r="47" spans="1:14" ht="25.9" customHeight="1">
      <c r="A47" s="539"/>
      <c r="N47" s="540"/>
    </row>
    <row r="48" spans="1:14" ht="25.9" customHeight="1" thickBot="1">
      <c r="A48" s="546"/>
      <c r="B48" s="547"/>
      <c r="C48" s="547"/>
      <c r="D48" s="547"/>
      <c r="E48" s="547"/>
      <c r="F48" s="547"/>
      <c r="G48" s="547"/>
      <c r="H48" s="547"/>
      <c r="I48" s="547"/>
      <c r="J48" s="547"/>
      <c r="K48" s="547"/>
      <c r="L48" s="547"/>
      <c r="M48" s="70" t="s">
        <v>168</v>
      </c>
      <c r="N48" s="550"/>
    </row>
    <row r="49" ht="25.9" customHeight="1" thickTop="1"/>
    <row r="50" ht="25.9" customHeight="1"/>
    <row r="51" ht="25.9" customHeight="1"/>
    <row r="52" ht="25.9" customHeight="1"/>
    <row r="53" ht="25.9" customHeight="1"/>
    <row r="54" ht="25.9" customHeight="1"/>
    <row r="55" ht="25.9" customHeight="1"/>
    <row r="56" ht="25.9" customHeight="1"/>
    <row r="57" ht="25.9" customHeight="1"/>
    <row r="58" ht="25.9" customHeight="1"/>
    <row r="59" ht="25.9" customHeight="1"/>
    <row r="60" ht="25.9" customHeight="1"/>
    <row r="61" ht="25.9" customHeight="1"/>
    <row r="62" ht="25.9" customHeight="1"/>
    <row r="63" ht="25.9" customHeight="1"/>
    <row r="64" ht="25.9" customHeight="1"/>
    <row r="65" ht="25.9" customHeight="1"/>
    <row r="66" ht="25.9" customHeight="1"/>
    <row r="67" ht="25.9" customHeight="1"/>
    <row r="68" ht="25.9" customHeight="1"/>
    <row r="69" ht="25.9" customHeight="1"/>
    <row r="70" ht="25.9" customHeight="1"/>
    <row r="71" ht="25.9" customHeight="1"/>
    <row r="72" ht="25.9" customHeight="1"/>
    <row r="73" ht="25.9" customHeight="1"/>
    <row r="74" ht="25.9" customHeight="1"/>
    <row r="75" ht="25.9" customHeight="1"/>
    <row r="76" ht="25.9" customHeight="1"/>
    <row r="77" ht="25.9" customHeight="1"/>
    <row r="78" ht="25.9" customHeight="1"/>
    <row r="79" ht="25.9" customHeight="1"/>
    <row r="80" ht="25.9" customHeight="1"/>
    <row r="81" ht="25.9" customHeight="1"/>
    <row r="82" ht="25.9" customHeight="1"/>
    <row r="83" ht="25.9" customHeight="1"/>
    <row r="84" ht="25.9" customHeight="1"/>
    <row r="85" ht="25.9" customHeight="1"/>
    <row r="86" ht="25.9" customHeight="1"/>
    <row r="87" ht="25.9" customHeight="1"/>
    <row r="88" ht="25.9" customHeight="1"/>
    <row r="89" ht="25.9" customHeight="1"/>
    <row r="90" ht="25.9" customHeight="1"/>
    <row r="91" ht="25.9" customHeight="1"/>
    <row r="92" ht="25.9" customHeight="1"/>
    <row r="93" ht="25.9" customHeight="1"/>
    <row r="94" ht="25.9" customHeight="1"/>
    <row r="95" ht="25.9" customHeight="1"/>
    <row r="96" ht="25.9" customHeight="1"/>
    <row r="97" ht="25.9" customHeight="1"/>
    <row r="98" ht="25.9" customHeight="1"/>
    <row r="99" ht="25.9" customHeight="1"/>
    <row r="100" ht="25.9" customHeight="1"/>
    <row r="101" ht="25.9" customHeight="1"/>
    <row r="102" ht="25.9" customHeight="1"/>
    <row r="103" ht="25.9" customHeight="1"/>
    <row r="104" ht="25.9" customHeight="1"/>
    <row r="105" ht="25.9" customHeight="1"/>
    <row r="106" ht="25.9" customHeight="1"/>
    <row r="107" ht="25.9" customHeight="1"/>
    <row r="108" ht="25.9" customHeight="1"/>
    <row r="109" ht="25.9" customHeight="1"/>
    <row r="110" ht="25.9" customHeight="1"/>
    <row r="111" ht="25.9" customHeight="1"/>
    <row r="112" ht="25.9" customHeight="1"/>
    <row r="113" ht="25.9" customHeight="1"/>
    <row r="114" ht="25.9" customHeight="1"/>
    <row r="115" ht="25.9" customHeight="1"/>
    <row r="116" ht="25.9" customHeight="1"/>
    <row r="117" ht="25.9" customHeight="1"/>
    <row r="118" ht="25.9" customHeight="1"/>
    <row r="119" ht="25.9" customHeight="1"/>
    <row r="120" ht="25.9" customHeight="1"/>
    <row r="121" ht="25.9" customHeight="1"/>
    <row r="122" ht="25.9" customHeight="1"/>
    <row r="123" ht="25.9" customHeight="1"/>
    <row r="124" ht="25.9" customHeight="1"/>
    <row r="125" ht="25.9" customHeight="1"/>
    <row r="126" ht="25.9" customHeight="1"/>
    <row r="127" ht="25.9" customHeight="1"/>
    <row r="128" ht="25.9" customHeight="1"/>
    <row r="129" ht="25.9" customHeight="1"/>
    <row r="130" ht="25.9" customHeight="1"/>
    <row r="131" ht="25.9" customHeight="1"/>
    <row r="132" ht="25.9" customHeight="1"/>
    <row r="133" ht="25.9" customHeight="1"/>
    <row r="134" ht="25.9" customHeight="1"/>
    <row r="135" ht="25.9" customHeight="1"/>
    <row r="136" ht="25.9" customHeight="1"/>
    <row r="137" ht="25.9" customHeight="1"/>
    <row r="138" ht="25.9" customHeight="1"/>
    <row r="139" ht="25.9" customHeight="1"/>
    <row r="140" ht="25.9" customHeight="1"/>
    <row r="141" ht="25.9" customHeight="1"/>
    <row r="142" ht="25.9" customHeight="1"/>
    <row r="143" ht="25.9" customHeight="1"/>
    <row r="144" ht="25.9" customHeight="1"/>
    <row r="145" ht="25.9" customHeight="1"/>
    <row r="146" ht="25.9" customHeight="1"/>
    <row r="147" ht="25.9" customHeight="1"/>
    <row r="148" ht="25.9" customHeight="1"/>
    <row r="149" ht="25.9" customHeight="1"/>
    <row r="150" ht="25.9" customHeight="1"/>
    <row r="151" ht="25.9" customHeight="1"/>
    <row r="152" ht="25.9" customHeight="1"/>
    <row r="153" ht="25.9" customHeight="1"/>
    <row r="154" ht="25.9" customHeight="1"/>
    <row r="155" ht="25.9" customHeight="1"/>
    <row r="156" ht="25.9" customHeight="1"/>
    <row r="157" ht="25.9" customHeight="1"/>
  </sheetData>
  <sheetProtection selectLockedCells="1"/>
  <mergeCells count="66">
    <mergeCell ref="P3:P5"/>
    <mergeCell ref="E5:J5"/>
    <mergeCell ref="B8:M8"/>
    <mergeCell ref="C9:K9"/>
    <mergeCell ref="C10:G10"/>
    <mergeCell ref="I10:K10"/>
    <mergeCell ref="L9:M12"/>
    <mergeCell ref="C11:K11"/>
    <mergeCell ref="B12:C12"/>
    <mergeCell ref="D12:I12"/>
    <mergeCell ref="G7:M7"/>
    <mergeCell ref="E7:F7"/>
    <mergeCell ref="C4:E4"/>
    <mergeCell ref="B13:C13"/>
    <mergeCell ref="G13:H13"/>
    <mergeCell ref="I13:K13"/>
    <mergeCell ref="B14:D14"/>
    <mergeCell ref="E14:I14"/>
    <mergeCell ref="J14:K14"/>
    <mergeCell ref="D13:F13"/>
    <mergeCell ref="L14:M14"/>
    <mergeCell ref="C15:L15"/>
    <mergeCell ref="B16:M16"/>
    <mergeCell ref="B17:D17"/>
    <mergeCell ref="E17:G17"/>
    <mergeCell ref="H17:J17"/>
    <mergeCell ref="K17:M17"/>
    <mergeCell ref="M15:N15"/>
    <mergeCell ref="B18:M18"/>
    <mergeCell ref="B19:J19"/>
    <mergeCell ref="K19:L19"/>
    <mergeCell ref="B20:F20"/>
    <mergeCell ref="G20:J20"/>
    <mergeCell ref="K20:L20"/>
    <mergeCell ref="K24:M24"/>
    <mergeCell ref="B25:M25"/>
    <mergeCell ref="F26:H26"/>
    <mergeCell ref="I26:M26"/>
    <mergeCell ref="B21:F21"/>
    <mergeCell ref="G21:H21"/>
    <mergeCell ref="J21:M21"/>
    <mergeCell ref="C22:D22"/>
    <mergeCell ref="F22:J22"/>
    <mergeCell ref="K22:M22"/>
    <mergeCell ref="B41:C41"/>
    <mergeCell ref="I41:J41"/>
    <mergeCell ref="D41:G41"/>
    <mergeCell ref="K41:M41"/>
    <mergeCell ref="B40:C40"/>
    <mergeCell ref="I40:M40"/>
    <mergeCell ref="B2:E2"/>
    <mergeCell ref="B3:E3"/>
    <mergeCell ref="D40:H40"/>
    <mergeCell ref="B37:M37"/>
    <mergeCell ref="C38:F38"/>
    <mergeCell ref="J38:M38"/>
    <mergeCell ref="I39:J39"/>
    <mergeCell ref="K39:M39"/>
    <mergeCell ref="B31:M31"/>
    <mergeCell ref="B32:M32"/>
    <mergeCell ref="B33:M33"/>
    <mergeCell ref="B34:M34"/>
    <mergeCell ref="B35:M35"/>
    <mergeCell ref="B36:M36"/>
    <mergeCell ref="C23:M23"/>
    <mergeCell ref="B24:J24"/>
  </mergeCells>
  <conditionalFormatting sqref="M13">
    <cfRule type="cellIs" dxfId="14" priority="1" operator="between">
      <formula>21</formula>
      <formula>65</formula>
    </cfRule>
  </conditionalFormatting>
  <printOptions horizontalCentered="1" verticalCentered="1"/>
  <pageMargins left="0.11811023622047245" right="0.11811023622047245" top="0.15748031496062992" bottom="0.15748031496062992" header="0.11811023622047245" footer="0.11811023622047245"/>
  <pageSetup paperSize="9" scale="73" fitToHeight="2" orientation="portrait" r:id="rId1"/>
  <rowBreaks count="1" manualBreakCount="1">
    <brk id="28" max="1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92D050"/>
  </sheetPr>
  <dimension ref="A1:BE205"/>
  <sheetViews>
    <sheetView rightToLeft="1" zoomScale="70" zoomScaleNormal="70" workbookViewId="0">
      <pane xSplit="3" ySplit="5" topLeftCell="O6" activePane="bottomRight" state="frozen"/>
      <selection activeCell="C7" sqref="C7:K7"/>
      <selection pane="topRight" activeCell="C7" sqref="C7:K7"/>
      <selection pane="bottomLeft" activeCell="C7" sqref="C7:K7"/>
      <selection pane="bottomRight" activeCell="V14" sqref="V14"/>
    </sheetView>
  </sheetViews>
  <sheetFormatPr defaultColWidth="9.140625" defaultRowHeight="18.75"/>
  <cols>
    <col min="1" max="1" width="5.85546875" style="188" bestFit="1" customWidth="1"/>
    <col min="2" max="2" width="11.85546875" style="528" customWidth="1"/>
    <col min="3" max="3" width="49" style="529" customWidth="1"/>
    <col min="4" max="4" width="51.28515625" style="530" customWidth="1"/>
    <col min="5" max="5" width="24.5703125" style="239" customWidth="1"/>
    <col min="6" max="6" width="8.42578125" style="188" customWidth="1"/>
    <col min="7" max="7" width="43" style="188" customWidth="1"/>
    <col min="8" max="8" width="23.5703125" style="165" customWidth="1"/>
    <col min="9" max="9" width="16.140625" style="165" customWidth="1"/>
    <col min="10" max="10" width="25.140625" style="529" customWidth="1"/>
    <col min="11" max="11" width="38.28515625" style="529" bestFit="1" customWidth="1"/>
    <col min="12" max="12" width="34" style="529" bestFit="1" customWidth="1"/>
    <col min="13" max="13" width="21.28515625" style="188" customWidth="1"/>
    <col min="14" max="14" width="102" style="529" bestFit="1" customWidth="1"/>
    <col min="15" max="15" width="10.7109375" style="414" customWidth="1"/>
    <col min="16" max="16" width="9.28515625" style="239" customWidth="1"/>
    <col min="17" max="17" width="36.85546875" style="188" customWidth="1"/>
    <col min="18" max="18" width="22.28515625" style="531" customWidth="1"/>
    <col min="19" max="19" width="23.28515625" style="531" customWidth="1"/>
    <col min="20" max="20" width="22.5703125" style="421" bestFit="1" customWidth="1"/>
    <col min="21" max="21" width="14.5703125" style="421" customWidth="1"/>
    <col min="22" max="22" width="14.5703125" style="422" customWidth="1"/>
    <col min="23" max="23" width="14.5703125" style="532" customWidth="1"/>
    <col min="24" max="24" width="32.85546875" style="188" customWidth="1"/>
    <col min="25" max="25" width="42.85546875" style="188" customWidth="1"/>
    <col min="26" max="26" width="25" style="164" customWidth="1"/>
    <col min="27" max="27" width="25" style="165" hidden="1" customWidth="1"/>
    <col min="28" max="28" width="8.42578125" style="188" customWidth="1"/>
    <col min="29" max="29" width="46.7109375" style="188" customWidth="1"/>
    <col min="30" max="30" width="31.85546875" style="188" customWidth="1"/>
    <col min="31" max="31" width="51" style="188" customWidth="1"/>
    <col min="32" max="32" width="27.28515625" style="164" customWidth="1"/>
    <col min="33" max="33" width="27.28515625" style="165" hidden="1" customWidth="1"/>
    <col min="34" max="34" width="12.42578125" style="188" customWidth="1"/>
    <col min="35" max="35" width="44.7109375" style="188" customWidth="1"/>
    <col min="36" max="36" width="31.85546875" style="188" hidden="1" customWidth="1"/>
    <col min="37" max="37" width="51" style="188" hidden="1" customWidth="1"/>
    <col min="38" max="38" width="27.28515625" style="164" hidden="1" customWidth="1"/>
    <col min="39" max="39" width="27.28515625" style="165" hidden="1" customWidth="1"/>
    <col min="40" max="40" width="9.7109375" style="188" hidden="1" customWidth="1"/>
    <col min="41" max="41" width="44.7109375" style="188" hidden="1" customWidth="1"/>
    <col min="42" max="42" width="19.5703125" style="188" customWidth="1"/>
    <col min="43" max="43" width="18.28515625" style="188" customWidth="1"/>
    <col min="44" max="44" width="12.28515625" style="188" customWidth="1"/>
    <col min="45" max="45" width="35.85546875" style="188" customWidth="1"/>
    <col min="46" max="46" width="11.42578125" style="188" customWidth="1"/>
    <col min="47" max="47" width="13.140625" style="188" customWidth="1"/>
    <col min="48" max="49" width="26.7109375" style="533" customWidth="1"/>
    <col min="50" max="50" width="11.5703125" style="534" customWidth="1"/>
    <col min="51" max="51" width="11.140625" style="534" customWidth="1"/>
    <col min="52" max="52" width="33.85546875" style="529" bestFit="1" customWidth="1"/>
    <col min="53" max="53" width="27.28515625" style="528" bestFit="1" customWidth="1"/>
    <col min="54" max="54" width="56.7109375" style="529" bestFit="1" customWidth="1"/>
    <col min="55" max="55" width="31.85546875" style="529" customWidth="1"/>
    <col min="56" max="56" width="31.85546875" style="528" customWidth="1"/>
    <col min="57" max="57" width="60.85546875" style="529" bestFit="1" customWidth="1"/>
    <col min="58" max="16384" width="9.140625" style="188"/>
  </cols>
  <sheetData>
    <row r="1" spans="1:57" s="430" customFormat="1" ht="21" customHeight="1">
      <c r="A1" s="660" t="s">
        <v>47</v>
      </c>
      <c r="B1" s="660"/>
      <c r="C1" s="660"/>
      <c r="D1" s="660"/>
      <c r="E1" s="423"/>
      <c r="F1" s="424"/>
      <c r="G1" s="424"/>
      <c r="H1" s="425"/>
      <c r="I1" s="426"/>
      <c r="J1" s="427"/>
      <c r="K1" s="428"/>
      <c r="L1" s="427"/>
      <c r="M1" s="407"/>
      <c r="N1" s="427"/>
      <c r="O1" s="406"/>
      <c r="P1" s="407"/>
      <c r="Q1" s="407"/>
      <c r="R1" s="407"/>
      <c r="S1" s="407"/>
      <c r="T1" s="415"/>
      <c r="U1" s="415"/>
      <c r="V1" s="416"/>
      <c r="W1" s="429"/>
      <c r="Z1" s="189"/>
      <c r="AA1" s="190"/>
      <c r="AF1" s="189"/>
      <c r="AG1" s="190"/>
      <c r="AL1" s="189"/>
      <c r="AM1" s="190"/>
      <c r="AV1" s="431"/>
      <c r="AW1" s="431"/>
      <c r="AX1" s="432"/>
      <c r="AY1" s="432"/>
      <c r="AZ1" s="433"/>
      <c r="BA1" s="433"/>
      <c r="BB1" s="433"/>
      <c r="BC1" s="433"/>
      <c r="BD1" s="433"/>
      <c r="BE1" s="433"/>
    </row>
    <row r="2" spans="1:57" s="440" customFormat="1" ht="17.45" customHeight="1">
      <c r="A2" s="409"/>
      <c r="B2" s="434">
        <v>1</v>
      </c>
      <c r="C2" s="435">
        <v>2</v>
      </c>
      <c r="D2" s="409">
        <v>3</v>
      </c>
      <c r="E2" s="436">
        <v>4</v>
      </c>
      <c r="F2" s="409">
        <v>5</v>
      </c>
      <c r="G2" s="409">
        <v>6</v>
      </c>
      <c r="H2" s="437">
        <v>7</v>
      </c>
      <c r="I2" s="409">
        <v>8</v>
      </c>
      <c r="J2" s="435">
        <v>9</v>
      </c>
      <c r="K2" s="435">
        <v>10</v>
      </c>
      <c r="L2" s="435">
        <v>11</v>
      </c>
      <c r="M2" s="409">
        <v>12</v>
      </c>
      <c r="N2" s="435">
        <v>13</v>
      </c>
      <c r="O2" s="408">
        <v>14</v>
      </c>
      <c r="P2" s="409">
        <v>15</v>
      </c>
      <c r="Q2" s="409">
        <v>16</v>
      </c>
      <c r="R2" s="409">
        <v>17</v>
      </c>
      <c r="S2" s="409">
        <v>18</v>
      </c>
      <c r="T2" s="408">
        <v>19</v>
      </c>
      <c r="U2" s="408">
        <v>20</v>
      </c>
      <c r="V2" s="408">
        <v>20</v>
      </c>
      <c r="W2" s="408">
        <v>22</v>
      </c>
      <c r="X2" s="409">
        <v>23</v>
      </c>
      <c r="Y2" s="409">
        <v>24</v>
      </c>
      <c r="Z2" s="409">
        <v>25</v>
      </c>
      <c r="AA2" s="409">
        <v>26</v>
      </c>
      <c r="AB2" s="409">
        <v>27</v>
      </c>
      <c r="AC2" s="409">
        <v>28</v>
      </c>
      <c r="AD2" s="409">
        <v>29</v>
      </c>
      <c r="AE2" s="409">
        <v>30</v>
      </c>
      <c r="AF2" s="409">
        <v>31</v>
      </c>
      <c r="AG2" s="409">
        <v>32</v>
      </c>
      <c r="AH2" s="409">
        <v>33</v>
      </c>
      <c r="AI2" s="409">
        <v>34</v>
      </c>
      <c r="AJ2" s="409">
        <v>35</v>
      </c>
      <c r="AK2" s="409">
        <v>36</v>
      </c>
      <c r="AL2" s="409">
        <v>37</v>
      </c>
      <c r="AM2" s="409">
        <v>38</v>
      </c>
      <c r="AN2" s="409">
        <v>39</v>
      </c>
      <c r="AO2" s="409">
        <v>40</v>
      </c>
      <c r="AP2" s="409">
        <v>41</v>
      </c>
      <c r="AQ2" s="409">
        <v>42</v>
      </c>
      <c r="AR2" s="409">
        <v>43</v>
      </c>
      <c r="AS2" s="409">
        <v>44</v>
      </c>
      <c r="AT2" s="409">
        <v>45</v>
      </c>
      <c r="AU2" s="409">
        <v>46</v>
      </c>
      <c r="AV2" s="409">
        <v>47</v>
      </c>
      <c r="AW2" s="409">
        <v>48</v>
      </c>
      <c r="AX2" s="438">
        <v>49</v>
      </c>
      <c r="AY2" s="438"/>
      <c r="AZ2" s="439"/>
      <c r="BA2" s="439"/>
      <c r="BB2" s="439"/>
      <c r="BC2" s="439"/>
      <c r="BD2" s="439"/>
      <c r="BE2" s="439"/>
    </row>
    <row r="3" spans="1:57" s="444" customFormat="1" ht="40.15" customHeight="1">
      <c r="A3" s="441"/>
      <c r="B3" s="661" t="s">
        <v>689</v>
      </c>
      <c r="C3" s="661"/>
      <c r="D3" s="661"/>
      <c r="E3" s="661"/>
      <c r="F3" s="661"/>
      <c r="G3" s="661"/>
      <c r="H3" s="661"/>
      <c r="I3" s="661"/>
      <c r="J3" s="662" t="s">
        <v>228</v>
      </c>
      <c r="K3" s="662"/>
      <c r="L3" s="662"/>
      <c r="M3" s="662"/>
      <c r="N3" s="662"/>
      <c r="O3" s="663" t="s">
        <v>229</v>
      </c>
      <c r="P3" s="663"/>
      <c r="Q3" s="663"/>
      <c r="R3" s="663"/>
      <c r="S3" s="663"/>
      <c r="T3" s="663"/>
      <c r="U3" s="663"/>
      <c r="V3" s="663"/>
      <c r="W3" s="663"/>
      <c r="X3" s="664" t="s">
        <v>230</v>
      </c>
      <c r="Y3" s="664"/>
      <c r="Z3" s="664"/>
      <c r="AA3" s="664"/>
      <c r="AB3" s="664"/>
      <c r="AC3" s="664"/>
      <c r="AD3" s="658" t="s">
        <v>231</v>
      </c>
      <c r="AE3" s="658"/>
      <c r="AF3" s="658"/>
      <c r="AG3" s="658"/>
      <c r="AH3" s="658"/>
      <c r="AI3" s="658"/>
      <c r="AJ3" s="657" t="s">
        <v>234</v>
      </c>
      <c r="AK3" s="657"/>
      <c r="AL3" s="657"/>
      <c r="AM3" s="657"/>
      <c r="AN3" s="657"/>
      <c r="AO3" s="657"/>
      <c r="AP3" s="659" t="s">
        <v>688</v>
      </c>
      <c r="AQ3" s="659"/>
      <c r="AR3" s="659"/>
      <c r="AS3" s="659"/>
      <c r="AT3" s="659"/>
      <c r="AU3" s="659"/>
      <c r="AV3" s="659"/>
      <c r="AW3" s="659"/>
      <c r="AX3" s="442"/>
      <c r="AY3" s="442"/>
      <c r="AZ3" s="443"/>
      <c r="BA3" s="443"/>
      <c r="BB3" s="443"/>
      <c r="BC3" s="443"/>
      <c r="BD3" s="443"/>
      <c r="BE3" s="443"/>
    </row>
    <row r="4" spans="1:57" s="451" customFormat="1" ht="19.5" customHeight="1">
      <c r="A4" s="289"/>
      <c r="B4" s="445">
        <f>عقد!M1</f>
        <v>374</v>
      </c>
      <c r="C4" s="446"/>
      <c r="D4" s="289"/>
      <c r="E4" s="288"/>
      <c r="F4" s="289"/>
      <c r="G4" s="289"/>
      <c r="H4" s="447"/>
      <c r="I4" s="447"/>
      <c r="J4" s="446"/>
      <c r="K4" s="446"/>
      <c r="L4" s="446"/>
      <c r="M4" s="289"/>
      <c r="N4" s="446"/>
      <c r="O4" s="410"/>
      <c r="P4" s="289"/>
      <c r="Q4" s="289"/>
      <c r="R4" s="448"/>
      <c r="S4" s="615"/>
      <c r="T4" s="614"/>
      <c r="U4" s="410"/>
      <c r="V4" s="417"/>
      <c r="W4" s="449"/>
      <c r="X4" s="289"/>
      <c r="Y4" s="289"/>
      <c r="Z4" s="289"/>
      <c r="AA4" s="289"/>
      <c r="AB4" s="289"/>
      <c r="AC4" s="289"/>
      <c r="AD4" s="289"/>
      <c r="AE4" s="289"/>
      <c r="AF4" s="289"/>
      <c r="AG4" s="289"/>
      <c r="AH4" s="289"/>
      <c r="AI4" s="289"/>
      <c r="AJ4" s="289"/>
      <c r="AK4" s="289"/>
      <c r="AL4" s="289"/>
      <c r="AM4" s="289"/>
      <c r="AN4" s="289"/>
      <c r="AO4" s="289"/>
      <c r="AP4" s="289"/>
      <c r="AQ4" s="289"/>
      <c r="AR4" s="289"/>
      <c r="AS4" s="289"/>
      <c r="AT4" s="450"/>
      <c r="AU4" s="450"/>
      <c r="AV4" s="450"/>
      <c r="AW4" s="450"/>
      <c r="AZ4" s="452"/>
      <c r="BA4" s="452"/>
      <c r="BB4" s="452"/>
      <c r="BC4" s="452"/>
      <c r="BD4" s="452"/>
      <c r="BE4" s="452"/>
    </row>
    <row r="5" spans="1:57" s="457" customFormat="1" ht="29.45" customHeight="1">
      <c r="A5" s="234" t="s">
        <v>7</v>
      </c>
      <c r="B5" s="240" t="s">
        <v>11</v>
      </c>
      <c r="C5" s="234" t="s">
        <v>690</v>
      </c>
      <c r="D5" s="234" t="s">
        <v>12</v>
      </c>
      <c r="E5" s="240" t="s">
        <v>52</v>
      </c>
      <c r="F5" s="234" t="s">
        <v>13</v>
      </c>
      <c r="G5" s="234" t="s">
        <v>14</v>
      </c>
      <c r="H5" s="235" t="s">
        <v>34</v>
      </c>
      <c r="I5" s="235" t="s">
        <v>36</v>
      </c>
      <c r="J5" s="234" t="s">
        <v>53</v>
      </c>
      <c r="K5" s="234" t="s">
        <v>54</v>
      </c>
      <c r="L5" s="234" t="s">
        <v>55</v>
      </c>
      <c r="M5" s="234" t="s">
        <v>43</v>
      </c>
      <c r="N5" s="234" t="s">
        <v>15</v>
      </c>
      <c r="O5" s="411" t="s">
        <v>29</v>
      </c>
      <c r="P5" s="234" t="s">
        <v>691</v>
      </c>
      <c r="Q5" s="234" t="s">
        <v>48</v>
      </c>
      <c r="R5" s="453" t="s">
        <v>18</v>
      </c>
      <c r="S5" s="453" t="s">
        <v>37</v>
      </c>
      <c r="T5" s="411" t="s">
        <v>19</v>
      </c>
      <c r="U5" s="411" t="s">
        <v>46</v>
      </c>
      <c r="V5" s="418" t="s">
        <v>61</v>
      </c>
      <c r="W5" s="454" t="s">
        <v>62</v>
      </c>
      <c r="X5" s="234" t="s">
        <v>22</v>
      </c>
      <c r="Y5" s="234" t="s">
        <v>23</v>
      </c>
      <c r="Z5" s="233" t="s">
        <v>692</v>
      </c>
      <c r="AA5" s="235" t="s">
        <v>693</v>
      </c>
      <c r="AB5" s="234" t="s">
        <v>24</v>
      </c>
      <c r="AC5" s="234" t="s">
        <v>25</v>
      </c>
      <c r="AD5" s="234" t="s">
        <v>26</v>
      </c>
      <c r="AE5" s="234" t="s">
        <v>27</v>
      </c>
      <c r="AF5" s="233" t="s">
        <v>694</v>
      </c>
      <c r="AG5" s="235" t="s">
        <v>695</v>
      </c>
      <c r="AH5" s="234" t="s">
        <v>24</v>
      </c>
      <c r="AI5" s="234" t="s">
        <v>28</v>
      </c>
      <c r="AJ5" s="234" t="s">
        <v>685</v>
      </c>
      <c r="AK5" s="234" t="s">
        <v>686</v>
      </c>
      <c r="AL5" s="233" t="s">
        <v>696</v>
      </c>
      <c r="AM5" s="235" t="s">
        <v>697</v>
      </c>
      <c r="AN5" s="234" t="s">
        <v>24</v>
      </c>
      <c r="AO5" s="234" t="s">
        <v>687</v>
      </c>
      <c r="AP5" s="234" t="s">
        <v>20</v>
      </c>
      <c r="AQ5" s="234" t="s">
        <v>21</v>
      </c>
      <c r="AR5" s="234" t="s">
        <v>63</v>
      </c>
      <c r="AS5" s="234" t="s">
        <v>618</v>
      </c>
      <c r="AT5" s="455" t="s">
        <v>75</v>
      </c>
      <c r="AU5" s="455" t="s">
        <v>76</v>
      </c>
      <c r="AV5" s="455" t="s">
        <v>232</v>
      </c>
      <c r="AW5" s="455" t="s">
        <v>233</v>
      </c>
      <c r="AX5" s="456" t="s">
        <v>719</v>
      </c>
      <c r="AY5" s="456" t="s">
        <v>720</v>
      </c>
      <c r="AZ5" s="455" t="s">
        <v>727</v>
      </c>
      <c r="BA5" s="455" t="s">
        <v>728</v>
      </c>
      <c r="BB5" s="455" t="s">
        <v>729</v>
      </c>
      <c r="BC5" s="455" t="s">
        <v>730</v>
      </c>
      <c r="BD5" s="455" t="s">
        <v>731</v>
      </c>
      <c r="BE5" s="455" t="s">
        <v>732</v>
      </c>
    </row>
    <row r="6" spans="1:57" s="476" customFormat="1" ht="21.6" customHeight="1">
      <c r="A6" s="341">
        <v>1</v>
      </c>
      <c r="B6" s="458">
        <v>374</v>
      </c>
      <c r="C6" s="459" t="s">
        <v>742</v>
      </c>
      <c r="D6" s="459"/>
      <c r="E6" s="460">
        <v>27703292700272</v>
      </c>
      <c r="F6" s="461" t="s">
        <v>624</v>
      </c>
      <c r="G6" s="342"/>
      <c r="H6" s="176">
        <v>1272219004</v>
      </c>
      <c r="I6" s="176"/>
      <c r="J6" s="462" t="s">
        <v>743</v>
      </c>
      <c r="K6" s="462" t="s">
        <v>744</v>
      </c>
      <c r="L6" s="462" t="s">
        <v>745</v>
      </c>
      <c r="M6" s="463"/>
      <c r="N6" s="462" t="s">
        <v>746</v>
      </c>
      <c r="O6" s="412">
        <v>50000</v>
      </c>
      <c r="P6" s="413">
        <v>18</v>
      </c>
      <c r="Q6" s="464" t="s">
        <v>642</v>
      </c>
      <c r="R6" s="465">
        <f>IFERROR(VLOOKUP(1,'Data Validation'!$O$2:$P$25,2,FALSE),"")</f>
        <v>45906</v>
      </c>
      <c r="S6" s="465">
        <f>IFERROR(VLOOKUP($P6,'Data Validation'!$O$2:$P$25,2,FALSE),"")</f>
        <v>46423</v>
      </c>
      <c r="T6" s="419">
        <f ca="1">INDEX(INDIRECT(INDEX(ControlRoom[اجمالي الالتزام],MATCH(تفصيلي!Q6,Control!$B$2:$B$12,0))),MATCH(CONCATENATE(O6,P6),INDIRECT(INDEX(ControlRoom[المبلغ],MATCH(تفصيلي!Q6,ControlRoom[التمويل],0))),0))</f>
        <v>65754</v>
      </c>
      <c r="U6" s="419">
        <f ca="1">INDEX(INDIRECT(INDEX(ControlRoom[القسط الشهري],MATCH(تفصيلي!Q6,Control!$B$2:$B$12,0))),MATCH(CONCATENATE(O6,P6),INDIRECT(INDEX(ControlRoom[المبلغ],MATCH(تفصيلي!Q6,ControlRoom[التمويل],0))),0))</f>
        <v>3528</v>
      </c>
      <c r="V6" s="420">
        <f>INDEX(ControlRoom[[فائدة أ]:[فائدة ج]],MATCH(تفصيلي!Q6,ControlRoom[التمويل],0),MATCH(IF(AND(تفصيلي!O6&gt;=Control!N2,تفصيلي!O6&lt;=Control!O2),Control!P2,IF(AND(تفصيلي!O6&gt;=Control!$N$3,تفصيلي!O6&lt;=Control!$O$3),Control!$P$3,IF(AND(تفصيلي!O6&gt;=Control!$N$4,تفصيلي!O6&lt;=Control!$O$4),Control!$P$4,"Out Of Range"))),ControlRoom[[#Headers],[فائدة أ]:[فائدة ج]],0))</f>
        <v>0.21</v>
      </c>
      <c r="W6" s="419">
        <f ca="1">INDEX(INDIRECT(INDEX(ControlRoom[المقدم],MATCH(تفصيلي!Q6,Control!$B$2:$B$12,0))),MATCH(CONCATENATE(O6,P6),INDIRECT(INDEX(ControlRoom[المبلغ],MATCH(تفصيلي!Q6,ControlRoom[التمويل],0))),0))</f>
        <v>2250</v>
      </c>
      <c r="X6" s="466">
        <f>AZ6</f>
        <v>0</v>
      </c>
      <c r="Y6" s="167"/>
      <c r="Z6" s="302">
        <f>BA6</f>
        <v>0</v>
      </c>
      <c r="AA6" s="166"/>
      <c r="AB6" s="167" t="s">
        <v>624</v>
      </c>
      <c r="AC6" s="167">
        <f>BB6</f>
        <v>0</v>
      </c>
      <c r="AD6" s="169">
        <f>BC6</f>
        <v>0</v>
      </c>
      <c r="AE6" s="174"/>
      <c r="AF6" s="303">
        <f>BD6</f>
        <v>0</v>
      </c>
      <c r="AG6" s="168"/>
      <c r="AH6" s="174" t="s">
        <v>624</v>
      </c>
      <c r="AI6" s="169">
        <f>BE6</f>
        <v>0</v>
      </c>
      <c r="AJ6" s="172"/>
      <c r="AK6" s="175"/>
      <c r="AL6" s="170"/>
      <c r="AM6" s="171"/>
      <c r="AN6" s="175"/>
      <c r="AO6" s="172"/>
      <c r="AP6" s="467"/>
      <c r="AQ6" s="468"/>
      <c r="AR6" s="469"/>
      <c r="AS6" s="470"/>
      <c r="AT6" s="471"/>
      <c r="AU6" s="471"/>
      <c r="AV6" s="472"/>
      <c r="AW6" s="472"/>
      <c r="AX6" s="473" t="str">
        <f>CONCATENATE(AV6," ",",",AW6)</f>
        <v xml:space="preserve"> ,</v>
      </c>
      <c r="AY6" s="473" t="str">
        <f>CONCATENATE(J6," ","/"," ",K6)</f>
        <v>تجارى / تجارة مواد غذائية</v>
      </c>
      <c r="AZ6" s="474"/>
      <c r="BA6" s="475"/>
      <c r="BB6" s="474"/>
      <c r="BC6" s="474"/>
      <c r="BD6" s="475"/>
      <c r="BE6" s="474"/>
    </row>
    <row r="7" spans="1:57" s="476" customFormat="1" ht="21.6" customHeight="1">
      <c r="A7" s="341">
        <f>A6+1</f>
        <v>2</v>
      </c>
      <c r="B7" s="458">
        <v>3695</v>
      </c>
      <c r="C7" s="459" t="s">
        <v>747</v>
      </c>
      <c r="D7" s="477"/>
      <c r="E7" s="460">
        <v>28001012704544</v>
      </c>
      <c r="F7" s="461" t="s">
        <v>624</v>
      </c>
      <c r="G7" s="342"/>
      <c r="H7" s="176">
        <v>1063654473</v>
      </c>
      <c r="I7" s="176"/>
      <c r="J7" s="462" t="s">
        <v>748</v>
      </c>
      <c r="K7" s="462" t="s">
        <v>749</v>
      </c>
      <c r="L7" s="462" t="s">
        <v>750</v>
      </c>
      <c r="M7" s="463"/>
      <c r="N7" s="462" t="s">
        <v>752</v>
      </c>
      <c r="O7" s="412">
        <v>15000</v>
      </c>
      <c r="P7" s="413">
        <v>18</v>
      </c>
      <c r="Q7" s="464" t="s">
        <v>655</v>
      </c>
      <c r="R7" s="465">
        <f>IFERROR(VLOOKUP(1,'Data Validation'!$O$2:$P$25,2,FALSE),"")</f>
        <v>45906</v>
      </c>
      <c r="S7" s="465">
        <f>IFERROR(VLOOKUP($P7,'Data Validation'!$O$2:$P$25,2,FALSE),"")</f>
        <v>46423</v>
      </c>
      <c r="T7" s="419">
        <f ca="1">INDEX(INDIRECT(INDEX(ControlRoom[اجمالي الالتزام],MATCH(تفصيلي!Q7,Control!$B$2:$B$12,0))),MATCH(CONCATENATE(O7,P7),INDIRECT(INDEX(ControlRoom[المبلغ],MATCH(تفصيلي!Q7,ControlRoom[التمويل],0))),0))</f>
        <v>19737</v>
      </c>
      <c r="U7" s="419">
        <f ca="1">INDEX(INDIRECT(INDEX(ControlRoom[القسط الشهري],MATCH(تفصيلي!Q7,Control!$B$2:$B$12,0))),MATCH(CONCATENATE(O7,P7),INDIRECT(INDEX(ControlRoom[المبلغ],MATCH(تفصيلي!Q7,ControlRoom[التمويل],0))),0))</f>
        <v>1059</v>
      </c>
      <c r="V7" s="420">
        <f>INDEX(ControlRoom[[فائدة أ]:[فائدة ج]],MATCH(تفصيلي!Q7,ControlRoom[التمويل],0),MATCH(IF(AND(تفصيلي!O7&gt;=Control!$N$2,تفصيلي!O7&lt;=Control!$O$2),Control!$P$2,IF(AND(تفصيلي!O7&gt;=Control!$N$3,تفصيلي!O7&lt;=Control!$O$3),Control!$P$3,IF(AND(تفصيلي!O7&gt;=Control!$N$4,تفصيلي!O7&lt;=Control!$O$4),Control!$P$4,"Out Of Range"))),ControlRoom[[#Headers],[فائدة أ]:[فائدة ج]],0))</f>
        <v>0.21</v>
      </c>
      <c r="W7" s="419">
        <f ca="1">INDEX(INDIRECT(INDEX(ControlRoom[المقدم],MATCH(تفصيلي!Q7,Control!$B$2:$B$12,0))),MATCH(CONCATENATE(O7,P7),INDIRECT(INDEX(ControlRoom[المبلغ],MATCH(تفصيلي!Q7,ControlRoom[التمويل],0))),0))</f>
        <v>675</v>
      </c>
      <c r="X7" s="466">
        <f t="shared" ref="X7:X70" si="0">AZ7</f>
        <v>0</v>
      </c>
      <c r="Y7" s="167"/>
      <c r="Z7" s="302">
        <f t="shared" ref="Z7:Z70" si="1">BA7</f>
        <v>0</v>
      </c>
      <c r="AA7" s="166"/>
      <c r="AB7" s="167" t="s">
        <v>624</v>
      </c>
      <c r="AC7" s="167">
        <f t="shared" ref="AC7:AC70" si="2">BB7</f>
        <v>0</v>
      </c>
      <c r="AD7" s="169">
        <f t="shared" ref="AD7:AD70" si="3">BC7</f>
        <v>0</v>
      </c>
      <c r="AE7" s="174"/>
      <c r="AF7" s="303">
        <f t="shared" ref="AF7:AF70" si="4">BD7</f>
        <v>0</v>
      </c>
      <c r="AG7" s="168"/>
      <c r="AH7" s="174" t="s">
        <v>624</v>
      </c>
      <c r="AI7" s="169">
        <f t="shared" ref="AI7:AI70" si="5">BE7</f>
        <v>0</v>
      </c>
      <c r="AJ7" s="172"/>
      <c r="AK7" s="175"/>
      <c r="AL7" s="170"/>
      <c r="AM7" s="171"/>
      <c r="AN7" s="175"/>
      <c r="AO7" s="172"/>
      <c r="AP7" s="467"/>
      <c r="AQ7" s="468"/>
      <c r="AR7" s="469"/>
      <c r="AS7" s="470"/>
      <c r="AT7" s="471"/>
      <c r="AU7" s="471"/>
      <c r="AV7" s="472"/>
      <c r="AW7" s="472"/>
      <c r="AX7" s="473" t="str">
        <f t="shared" ref="AX7:AX70" si="6">CONCATENATE(AV7," ",",",AW7)</f>
        <v xml:space="preserve"> ,</v>
      </c>
      <c r="AY7" s="473" t="str">
        <f t="shared" ref="AY7:AY70" si="7">CONCATENATE(J7," ","/"," ",K7)</f>
        <v>خدمى / اعمال التفصيل</v>
      </c>
      <c r="AZ7" s="474"/>
      <c r="BA7" s="475"/>
      <c r="BB7" s="474"/>
      <c r="BC7" s="474"/>
      <c r="BD7" s="475"/>
      <c r="BE7" s="474"/>
    </row>
    <row r="8" spans="1:57" s="478" customFormat="1" ht="21.6" customHeight="1">
      <c r="A8" s="341">
        <f t="shared" ref="A8:A71" si="8">A7+1</f>
        <v>3</v>
      </c>
      <c r="B8" s="458">
        <v>4619</v>
      </c>
      <c r="C8" s="459" t="s">
        <v>753</v>
      </c>
      <c r="D8" s="342"/>
      <c r="E8" s="460">
        <v>28701012708754</v>
      </c>
      <c r="F8" s="461" t="s">
        <v>624</v>
      </c>
      <c r="G8" s="342"/>
      <c r="H8" s="176">
        <v>1000595365</v>
      </c>
      <c r="I8" s="176"/>
      <c r="J8" s="462" t="s">
        <v>754</v>
      </c>
      <c r="K8" s="462" t="s">
        <v>755</v>
      </c>
      <c r="L8" s="462" t="s">
        <v>755</v>
      </c>
      <c r="M8" s="463"/>
      <c r="N8" s="462" t="s">
        <v>756</v>
      </c>
      <c r="O8" s="412">
        <v>50000</v>
      </c>
      <c r="P8" s="413">
        <v>18</v>
      </c>
      <c r="Q8" s="464" t="s">
        <v>642</v>
      </c>
      <c r="R8" s="465">
        <f>IFERROR(VLOOKUP(1,'Data Validation'!$O$2:$P$25,2,FALSE),"")</f>
        <v>45906</v>
      </c>
      <c r="S8" s="465">
        <f>IFERROR(VLOOKUP($P8,'Data Validation'!$O$2:$P$25,2,FALSE),"")</f>
        <v>46423</v>
      </c>
      <c r="T8" s="419">
        <f ca="1">INDEX(INDIRECT(INDEX(ControlRoom[اجمالي الالتزام],MATCH(تفصيلي!Q8,Control!$B$2:$B$12,0))),MATCH(CONCATENATE(O8,P8),INDIRECT(INDEX(ControlRoom[المبلغ],MATCH(تفصيلي!Q8,ControlRoom[التمويل],0))),0))</f>
        <v>65754</v>
      </c>
      <c r="U8" s="419">
        <f ca="1">INDEX(INDIRECT(INDEX(ControlRoom[القسط الشهري],MATCH(تفصيلي!Q8,Control!$B$2:$B$12,0))),MATCH(CONCATENATE(O8,P8),INDIRECT(INDEX(ControlRoom[المبلغ],MATCH(تفصيلي!Q8,ControlRoom[التمويل],0))),0))</f>
        <v>3528</v>
      </c>
      <c r="V8" s="420">
        <f>INDEX(ControlRoom[[فائدة أ]:[فائدة ج]],MATCH(تفصيلي!Q8,ControlRoom[التمويل],0),MATCH(IF(AND(تفصيلي!O8&gt;=Control!$N$2,تفصيلي!O8&lt;=Control!$O$2),Control!$P$2,IF(AND(تفصيلي!O8&gt;=Control!$N$3,تفصيلي!O8&lt;=Control!$O$3),Control!$P$3,IF(AND(تفصيلي!O8&gt;=Control!$N$4,تفصيلي!O8&lt;=Control!$O$4),Control!$P$4,"Out Of Range"))),ControlRoom[[#Headers],[فائدة أ]:[فائدة ج]],0))</f>
        <v>0.21</v>
      </c>
      <c r="W8" s="419">
        <f ca="1">INDEX(INDIRECT(INDEX(ControlRoom[المقدم],MATCH(تفصيلي!Q8,Control!$B$2:$B$12,0))),MATCH(CONCATENATE(O8,P8),INDIRECT(INDEX(ControlRoom[المبلغ],MATCH(تفصيلي!Q8,ControlRoom[التمويل],0))),0))</f>
        <v>2250</v>
      </c>
      <c r="X8" s="466">
        <f t="shared" si="0"/>
        <v>0</v>
      </c>
      <c r="Y8" s="167"/>
      <c r="Z8" s="302">
        <f t="shared" si="1"/>
        <v>0</v>
      </c>
      <c r="AA8" s="166"/>
      <c r="AB8" s="167" t="s">
        <v>624</v>
      </c>
      <c r="AC8" s="167">
        <f t="shared" si="2"/>
        <v>0</v>
      </c>
      <c r="AD8" s="169">
        <f t="shared" si="3"/>
        <v>0</v>
      </c>
      <c r="AE8" s="174"/>
      <c r="AF8" s="303">
        <f t="shared" si="4"/>
        <v>0</v>
      </c>
      <c r="AG8" s="168"/>
      <c r="AH8" s="174" t="s">
        <v>624</v>
      </c>
      <c r="AI8" s="169">
        <f t="shared" si="5"/>
        <v>0</v>
      </c>
      <c r="AJ8" s="172"/>
      <c r="AK8" s="175"/>
      <c r="AL8" s="170"/>
      <c r="AM8" s="171"/>
      <c r="AN8" s="175"/>
      <c r="AO8" s="172"/>
      <c r="AP8" s="467"/>
      <c r="AQ8" s="468"/>
      <c r="AR8" s="469"/>
      <c r="AS8" s="173"/>
      <c r="AT8" s="471"/>
      <c r="AU8" s="471"/>
      <c r="AV8" s="472"/>
      <c r="AW8" s="472"/>
      <c r="AX8" s="473" t="str">
        <f t="shared" si="6"/>
        <v xml:space="preserve"> ,</v>
      </c>
      <c r="AY8" s="473" t="str">
        <f t="shared" si="7"/>
        <v>انتاج حيوانى و زراعي / تربية و تسمين ماشية</v>
      </c>
      <c r="AZ8" s="474"/>
      <c r="BA8" s="475"/>
      <c r="BB8" s="474"/>
      <c r="BC8" s="474"/>
      <c r="BD8" s="475"/>
      <c r="BE8" s="474"/>
    </row>
    <row r="9" spans="1:57" s="476" customFormat="1" ht="21.6" customHeight="1">
      <c r="A9" s="341">
        <f t="shared" si="8"/>
        <v>4</v>
      </c>
      <c r="B9" s="458">
        <v>4977</v>
      </c>
      <c r="C9" s="459" t="s">
        <v>757</v>
      </c>
      <c r="D9" s="342"/>
      <c r="E9" s="460">
        <v>29201202701315</v>
      </c>
      <c r="F9" s="461" t="s">
        <v>624</v>
      </c>
      <c r="G9" s="342"/>
      <c r="H9" s="176">
        <v>1272219004</v>
      </c>
      <c r="I9" s="176"/>
      <c r="J9" s="462" t="s">
        <v>748</v>
      </c>
      <c r="K9" s="462" t="s">
        <v>758</v>
      </c>
      <c r="L9" s="462" t="s">
        <v>759</v>
      </c>
      <c r="M9" s="463"/>
      <c r="N9" s="462" t="s">
        <v>760</v>
      </c>
      <c r="O9" s="412">
        <v>50000</v>
      </c>
      <c r="P9" s="413">
        <v>18</v>
      </c>
      <c r="Q9" s="464" t="s">
        <v>751</v>
      </c>
      <c r="R9" s="465">
        <f>IFERROR(VLOOKUP(1,'Data Validation'!$O$2:$P$25,2,FALSE),"")</f>
        <v>45906</v>
      </c>
      <c r="S9" s="465">
        <f>IFERROR(VLOOKUP($P9,'Data Validation'!$O$2:$P$25,2,FALSE),"")</f>
        <v>46423</v>
      </c>
      <c r="T9" s="419">
        <f ca="1">INDEX(INDIRECT(INDEX(ControlRoom[اجمالي الالتزام],MATCH(تفصيلي!Q9,Control!$B$2:$B$12,0))),MATCH(CONCATENATE(O9,P9),INDIRECT(INDEX(ControlRoom[المبلغ],MATCH(تفصيلي!Q9,ControlRoom[التمويل],0))),0))</f>
        <v>73257</v>
      </c>
      <c r="U9" s="419">
        <f ca="1">INDEX(INDIRECT(INDEX(ControlRoom[القسط الشهري],MATCH(تفصيلي!Q9,Control!$B$2:$B$12,0))),MATCH(CONCATENATE(O9,P9),INDIRECT(INDEX(ControlRoom[المبلغ],MATCH(تفصيلي!Q9,ControlRoom[التمويل],0))),0))</f>
        <v>3924</v>
      </c>
      <c r="V9" s="420">
        <f>INDEX(ControlRoom[[فائدة أ]:[فائدة ج]],MATCH(تفصيلي!Q9,ControlRoom[التمويل],0),MATCH(IF(AND(تفصيلي!O9&gt;=Control!$N$2,تفصيلي!O9&lt;=Control!$O$2),Control!$P$2,IF(AND(تفصيلي!O9&gt;=Control!$N$3,تفصيلي!O9&lt;=Control!$O$3),Control!$P$3,IF(AND(تفصيلي!O9&gt;=Control!$N$4,تفصيلي!O9&lt;=Control!$O$4),Control!$P$4,"Out Of Range"))),ControlRoom[[#Headers],[فائدة أ]:[فائدة ج]],0))</f>
        <v>0.31</v>
      </c>
      <c r="W9" s="419">
        <f ca="1">INDEX(INDIRECT(INDEX(ControlRoom[المقدم],MATCH(تفصيلي!Q9,Control!$B$2:$B$12,0))),MATCH(CONCATENATE(O9,P9),INDIRECT(INDEX(ControlRoom[المبلغ],MATCH(تفصيلي!Q9,ControlRoom[التمويل],0))),0))</f>
        <v>2625</v>
      </c>
      <c r="X9" s="466">
        <f t="shared" si="0"/>
        <v>0</v>
      </c>
      <c r="Y9" s="167"/>
      <c r="Z9" s="302">
        <f t="shared" si="1"/>
        <v>0</v>
      </c>
      <c r="AA9" s="166"/>
      <c r="AB9" s="167" t="s">
        <v>624</v>
      </c>
      <c r="AC9" s="167">
        <f t="shared" si="2"/>
        <v>0</v>
      </c>
      <c r="AD9" s="169">
        <f t="shared" si="3"/>
        <v>0</v>
      </c>
      <c r="AE9" s="174"/>
      <c r="AF9" s="303">
        <f t="shared" si="4"/>
        <v>0</v>
      </c>
      <c r="AG9" s="168"/>
      <c r="AH9" s="174" t="s">
        <v>624</v>
      </c>
      <c r="AI9" s="169">
        <f t="shared" si="5"/>
        <v>0</v>
      </c>
      <c r="AJ9" s="172"/>
      <c r="AK9" s="175"/>
      <c r="AL9" s="170"/>
      <c r="AM9" s="171"/>
      <c r="AN9" s="175"/>
      <c r="AO9" s="175"/>
      <c r="AP9" s="467"/>
      <c r="AQ9" s="468"/>
      <c r="AR9" s="469"/>
      <c r="AS9" s="173"/>
      <c r="AT9" s="471"/>
      <c r="AU9" s="471"/>
      <c r="AV9" s="472"/>
      <c r="AW9" s="472"/>
      <c r="AX9" s="473" t="str">
        <f t="shared" si="6"/>
        <v xml:space="preserve"> ,</v>
      </c>
      <c r="AY9" s="473" t="str">
        <f t="shared" si="7"/>
        <v>خدمى / اعمال الصيانة و التصليح</v>
      </c>
      <c r="AZ9" s="474"/>
      <c r="BA9" s="475"/>
      <c r="BB9" s="474"/>
      <c r="BC9" s="474"/>
      <c r="BD9" s="475"/>
      <c r="BE9" s="474"/>
    </row>
    <row r="10" spans="1:57" s="476" customFormat="1" ht="21.6" customHeight="1">
      <c r="A10" s="341">
        <f t="shared" si="8"/>
        <v>5</v>
      </c>
      <c r="B10" s="458">
        <v>5196</v>
      </c>
      <c r="C10" s="459" t="s">
        <v>761</v>
      </c>
      <c r="D10" s="342"/>
      <c r="E10" s="460">
        <v>28408162700264</v>
      </c>
      <c r="F10" s="461" t="s">
        <v>624</v>
      </c>
      <c r="G10" s="342"/>
      <c r="H10" s="176">
        <v>1002105136</v>
      </c>
      <c r="I10" s="176"/>
      <c r="J10" s="462" t="s">
        <v>748</v>
      </c>
      <c r="K10" s="462" t="s">
        <v>749</v>
      </c>
      <c r="L10" s="462" t="s">
        <v>750</v>
      </c>
      <c r="M10" s="463"/>
      <c r="N10" s="462" t="s">
        <v>762</v>
      </c>
      <c r="O10" s="412">
        <v>25000</v>
      </c>
      <c r="P10" s="413">
        <v>18</v>
      </c>
      <c r="Q10" s="464" t="s">
        <v>751</v>
      </c>
      <c r="R10" s="465">
        <f>IFERROR(VLOOKUP(1,'Data Validation'!$O$2:$P$25,2,FALSE),"")</f>
        <v>45906</v>
      </c>
      <c r="S10" s="465">
        <f>IFERROR(VLOOKUP($P10,'Data Validation'!$O$2:$P$25,2,FALSE),"")</f>
        <v>46423</v>
      </c>
      <c r="T10" s="419">
        <f ca="1">INDEX(INDIRECT(INDEX(ControlRoom[اجمالي الالتزام],MATCH(تفصيلي!Q10,Control!$B$2:$B$12,0))),MATCH(CONCATENATE(O10,P10),INDIRECT(INDEX(ControlRoom[المبلغ],MATCH(تفصيلي!Q10,ControlRoom[التمويل],0))),0))</f>
        <v>36629</v>
      </c>
      <c r="U10" s="419">
        <f ca="1">INDEX(INDIRECT(INDEX(ControlRoom[القسط الشهري],MATCH(تفصيلي!Q10,Control!$B$2:$B$12,0))),MATCH(CONCATENATE(O10,P10),INDIRECT(INDEX(ControlRoom[المبلغ],MATCH(تفصيلي!Q10,ControlRoom[التمويل],0))),0))</f>
        <v>1962</v>
      </c>
      <c r="V10" s="420">
        <f>INDEX(ControlRoom[[فائدة أ]:[فائدة ج]],MATCH(تفصيلي!Q10,ControlRoom[التمويل],0),MATCH(IF(AND(تفصيلي!O10&gt;=Control!$N$2,تفصيلي!O10&lt;=Control!$O$2),Control!$P$2,IF(AND(تفصيلي!O10&gt;=Control!$N$3,تفصيلي!O10&lt;=Control!$O$3),Control!$P$3,IF(AND(تفصيلي!O10&gt;=Control!$N$4,تفصيلي!O10&lt;=Control!$O$4),Control!$P$4,"Out Of Range"))),ControlRoom[[#Headers],[فائدة أ]:[فائدة ج]],0))</f>
        <v>0.31</v>
      </c>
      <c r="W10" s="419">
        <f ca="1">INDEX(INDIRECT(INDEX(ControlRoom[المقدم],MATCH(تفصيلي!Q10,Control!$B$2:$B$12,0))),MATCH(CONCATENATE(O10,P10),INDIRECT(INDEX(ControlRoom[المبلغ],MATCH(تفصيلي!Q10,ControlRoom[التمويل],0))),0))</f>
        <v>1313</v>
      </c>
      <c r="X10" s="466">
        <f t="shared" si="0"/>
        <v>0</v>
      </c>
      <c r="Y10" s="167"/>
      <c r="Z10" s="302">
        <f t="shared" si="1"/>
        <v>0</v>
      </c>
      <c r="AA10" s="166"/>
      <c r="AB10" s="167" t="s">
        <v>624</v>
      </c>
      <c r="AC10" s="167">
        <f t="shared" si="2"/>
        <v>0</v>
      </c>
      <c r="AD10" s="169">
        <f t="shared" si="3"/>
        <v>0</v>
      </c>
      <c r="AE10" s="174"/>
      <c r="AF10" s="303">
        <f t="shared" si="4"/>
        <v>0</v>
      </c>
      <c r="AG10" s="168"/>
      <c r="AH10" s="174" t="s">
        <v>624</v>
      </c>
      <c r="AI10" s="169">
        <f t="shared" si="5"/>
        <v>0</v>
      </c>
      <c r="AJ10" s="172"/>
      <c r="AK10" s="175"/>
      <c r="AL10" s="170"/>
      <c r="AM10" s="171"/>
      <c r="AN10" s="175"/>
      <c r="AO10" s="172"/>
      <c r="AP10" s="467"/>
      <c r="AQ10" s="468"/>
      <c r="AR10" s="469"/>
      <c r="AS10" s="470"/>
      <c r="AT10" s="471"/>
      <c r="AU10" s="471"/>
      <c r="AV10" s="472"/>
      <c r="AW10" s="472"/>
      <c r="AX10" s="473" t="str">
        <f t="shared" si="6"/>
        <v xml:space="preserve"> ,</v>
      </c>
      <c r="AY10" s="473" t="str">
        <f t="shared" si="7"/>
        <v>خدمى / اعمال التفصيل</v>
      </c>
      <c r="AZ10" s="474"/>
      <c r="BA10" s="475"/>
      <c r="BB10" s="474"/>
      <c r="BC10" s="474"/>
      <c r="BD10" s="475"/>
      <c r="BE10" s="474"/>
    </row>
    <row r="11" spans="1:57" s="476" customFormat="1" ht="21.6" customHeight="1">
      <c r="A11" s="341">
        <f t="shared" si="8"/>
        <v>6</v>
      </c>
      <c r="B11" s="458">
        <v>5724</v>
      </c>
      <c r="C11" s="459" t="s">
        <v>763</v>
      </c>
      <c r="D11" s="342"/>
      <c r="E11" s="460">
        <v>26811182700777</v>
      </c>
      <c r="F11" s="461" t="s">
        <v>624</v>
      </c>
      <c r="G11" s="342"/>
      <c r="H11" s="176">
        <v>1097455160</v>
      </c>
      <c r="I11" s="176"/>
      <c r="J11" s="462" t="s">
        <v>748</v>
      </c>
      <c r="K11" s="462" t="s">
        <v>758</v>
      </c>
      <c r="L11" s="462" t="s">
        <v>764</v>
      </c>
      <c r="M11" s="463"/>
      <c r="N11" s="462" t="s">
        <v>765</v>
      </c>
      <c r="O11" s="412">
        <v>10000</v>
      </c>
      <c r="P11" s="413">
        <v>18</v>
      </c>
      <c r="Q11" s="464" t="s">
        <v>640</v>
      </c>
      <c r="R11" s="465">
        <f>IFERROR(VLOOKUP(1,'Data Validation'!$O$2:$P$25,2,FALSE),"")</f>
        <v>45906</v>
      </c>
      <c r="S11" s="465">
        <f>IFERROR(VLOOKUP($P11,'Data Validation'!$O$2:$P$25,2,FALSE),"")</f>
        <v>46423</v>
      </c>
      <c r="T11" s="419">
        <f ca="1">INDEX(INDIRECT(INDEX(ControlRoom[اجمالي الالتزام],MATCH(تفصيلي!Q11,Control!$B$2:$B$12,0))),MATCH(CONCATENATE(O11,P11),INDIRECT(INDEX(ControlRoom[المبلغ],MATCH(تفصيلي!Q11,ControlRoom[التمويل],0))),0))</f>
        <v>14652</v>
      </c>
      <c r="U11" s="419">
        <f ca="1">INDEX(INDIRECT(INDEX(ControlRoom[القسط الشهري],MATCH(تفصيلي!Q11,Control!$B$2:$B$12,0))),MATCH(CONCATENATE(O11,P11),INDIRECT(INDEX(ControlRoom[المبلغ],MATCH(تفصيلي!Q11,ControlRoom[التمويل],0))),0))</f>
        <v>789</v>
      </c>
      <c r="V11" s="420">
        <f>INDEX(ControlRoom[[فائدة أ]:[فائدة ج]],MATCH(تفصيلي!Q11,ControlRoom[التمويل],0),MATCH(IF(AND(تفصيلي!O11&gt;=Control!$N$2,تفصيلي!O11&lt;=Control!$O$2),Control!$P$2,IF(AND(تفصيلي!O11&gt;=Control!$N$3,تفصيلي!O11&lt;=Control!$O$3),Control!$P$3,IF(AND(تفصيلي!O11&gt;=Control!$N$4,تفصيلي!O11&lt;=Control!$O$4),Control!$P$4,"Out Of Range"))),ControlRoom[[#Headers],[فائدة أ]:[فائدة ج]],0))</f>
        <v>0.31</v>
      </c>
      <c r="W11" s="419">
        <f ca="1">INDEX(INDIRECT(INDEX(ControlRoom[المقدم],MATCH(تفصيلي!Q11,Control!$B$2:$B$12,0))),MATCH(CONCATENATE(O11,P11),INDIRECT(INDEX(ControlRoom[المبلغ],MATCH(تفصيلي!Q11,ControlRoom[التمويل],0))),0))</f>
        <v>450</v>
      </c>
      <c r="X11" s="466">
        <f t="shared" si="0"/>
        <v>0</v>
      </c>
      <c r="Y11" s="167"/>
      <c r="Z11" s="302">
        <f t="shared" si="1"/>
        <v>0</v>
      </c>
      <c r="AA11" s="166"/>
      <c r="AB11" s="167" t="s">
        <v>624</v>
      </c>
      <c r="AC11" s="167">
        <f t="shared" si="2"/>
        <v>0</v>
      </c>
      <c r="AD11" s="169">
        <f t="shared" si="3"/>
        <v>0</v>
      </c>
      <c r="AE11" s="174"/>
      <c r="AF11" s="303">
        <f t="shared" si="4"/>
        <v>0</v>
      </c>
      <c r="AG11" s="168"/>
      <c r="AH11" s="174" t="s">
        <v>624</v>
      </c>
      <c r="AI11" s="169">
        <f t="shared" si="5"/>
        <v>0</v>
      </c>
      <c r="AJ11" s="172"/>
      <c r="AK11" s="175"/>
      <c r="AL11" s="170"/>
      <c r="AM11" s="171"/>
      <c r="AN11" s="175"/>
      <c r="AO11" s="172"/>
      <c r="AP11" s="467"/>
      <c r="AQ11" s="468"/>
      <c r="AR11" s="469"/>
      <c r="AS11" s="470"/>
      <c r="AT11" s="471"/>
      <c r="AU11" s="471"/>
      <c r="AV11" s="472"/>
      <c r="AW11" s="472"/>
      <c r="AX11" s="473" t="str">
        <f t="shared" si="6"/>
        <v xml:space="preserve"> ,</v>
      </c>
      <c r="AY11" s="473" t="str">
        <f t="shared" si="7"/>
        <v>خدمى / اعمال الصيانة و التصليح</v>
      </c>
      <c r="AZ11" s="474"/>
      <c r="BA11" s="475"/>
      <c r="BB11" s="474"/>
      <c r="BC11" s="474"/>
      <c r="BD11" s="475"/>
      <c r="BE11" s="474"/>
    </row>
    <row r="12" spans="1:57" s="476" customFormat="1" ht="21.6" customHeight="1">
      <c r="A12" s="341">
        <f t="shared" si="8"/>
        <v>7</v>
      </c>
      <c r="B12" s="458">
        <v>6290</v>
      </c>
      <c r="C12" s="459" t="s">
        <v>766</v>
      </c>
      <c r="D12" s="342"/>
      <c r="E12" s="460">
        <v>29003142700873</v>
      </c>
      <c r="F12" s="461" t="s">
        <v>624</v>
      </c>
      <c r="G12" s="342"/>
      <c r="H12" s="176">
        <v>1032070686</v>
      </c>
      <c r="I12" s="176"/>
      <c r="J12" s="462" t="s">
        <v>754</v>
      </c>
      <c r="K12" s="462" t="s">
        <v>755</v>
      </c>
      <c r="L12" s="462" t="s">
        <v>755</v>
      </c>
      <c r="M12" s="463"/>
      <c r="N12" s="462" t="s">
        <v>767</v>
      </c>
      <c r="O12" s="412">
        <v>30000</v>
      </c>
      <c r="P12" s="413">
        <v>6</v>
      </c>
      <c r="Q12" s="464" t="s">
        <v>642</v>
      </c>
      <c r="R12" s="465">
        <f>IFERROR(VLOOKUP(1,'Data Validation'!$O$2:$P$25,2,FALSE),"")</f>
        <v>45906</v>
      </c>
      <c r="S12" s="465">
        <f>IFERROR(VLOOKUP($P12,'Data Validation'!$O$2:$P$25,2,FALSE),"")</f>
        <v>46058</v>
      </c>
      <c r="T12" s="419">
        <f ca="1">INDEX(INDIRECT(INDEX(ControlRoom[اجمالي الالتزام],MATCH(تفصيلي!Q12,Control!$B$2:$B$12,0))),MATCH(CONCATENATE(O12,P12),INDIRECT(INDEX(ControlRoom[المبلغ],MATCH(تفصيلي!Q12,ControlRoom[التمويل],0))),0))</f>
        <v>33156</v>
      </c>
      <c r="U12" s="419">
        <f ca="1">INDEX(INDIRECT(INDEX(ControlRoom[القسط الشهري],MATCH(تفصيلي!Q12,Control!$B$2:$B$12,0))),MATCH(CONCATENATE(O12,P12),INDIRECT(INDEX(ControlRoom[المبلغ],MATCH(تفصيلي!Q12,ControlRoom[التمويل],0))),0))</f>
        <v>5451</v>
      </c>
      <c r="V12" s="420">
        <f>INDEX(ControlRoom[[فائدة أ]:[فائدة ج]],MATCH(تفصيلي!Q12,ControlRoom[التمويل],0),MATCH(IF(AND(تفصيلي!O12&gt;=Control!$N$2,تفصيلي!O12&lt;=Control!$O$2),Control!$P$2,IF(AND(تفصيلي!O12&gt;=Control!$N$3,تفصيلي!O12&lt;=Control!$O$3),Control!$P$3,IF(AND(تفصيلي!O12&gt;=Control!$N$4,تفصيلي!O12&lt;=Control!$O$4),Control!$P$4,"Out Of Range"))),ControlRoom[[#Headers],[فائدة أ]:[فائدة ج]],0))</f>
        <v>0.21</v>
      </c>
      <c r="W12" s="419">
        <f ca="1">INDEX(INDIRECT(INDEX(ControlRoom[المقدم],MATCH(تفصيلي!Q12,Control!$B$2:$B$12,0))),MATCH(CONCATENATE(O12,P12),INDIRECT(INDEX(ControlRoom[المبلغ],MATCH(تفصيلي!Q12,ControlRoom[التمويل],0))),0))</f>
        <v>450</v>
      </c>
      <c r="X12" s="466">
        <f t="shared" si="0"/>
        <v>0</v>
      </c>
      <c r="Y12" s="167"/>
      <c r="Z12" s="302">
        <f t="shared" si="1"/>
        <v>0</v>
      </c>
      <c r="AA12" s="166"/>
      <c r="AB12" s="167" t="s">
        <v>624</v>
      </c>
      <c r="AC12" s="167">
        <f t="shared" si="2"/>
        <v>0</v>
      </c>
      <c r="AD12" s="169">
        <f t="shared" si="3"/>
        <v>0</v>
      </c>
      <c r="AE12" s="174"/>
      <c r="AF12" s="303">
        <f t="shared" si="4"/>
        <v>0</v>
      </c>
      <c r="AG12" s="168"/>
      <c r="AH12" s="174" t="s">
        <v>624</v>
      </c>
      <c r="AI12" s="169">
        <f t="shared" si="5"/>
        <v>0</v>
      </c>
      <c r="AJ12" s="172"/>
      <c r="AK12" s="175"/>
      <c r="AL12" s="170"/>
      <c r="AM12" s="171"/>
      <c r="AN12" s="175"/>
      <c r="AO12" s="172"/>
      <c r="AP12" s="467"/>
      <c r="AQ12" s="468"/>
      <c r="AR12" s="469"/>
      <c r="AS12" s="470"/>
      <c r="AT12" s="471"/>
      <c r="AU12" s="471"/>
      <c r="AV12" s="472"/>
      <c r="AW12" s="472"/>
      <c r="AX12" s="473" t="str">
        <f t="shared" si="6"/>
        <v xml:space="preserve"> ,</v>
      </c>
      <c r="AY12" s="473" t="str">
        <f t="shared" si="7"/>
        <v>انتاج حيوانى و زراعي / تربية و تسمين ماشية</v>
      </c>
      <c r="AZ12" s="474"/>
      <c r="BA12" s="475"/>
      <c r="BB12" s="474"/>
      <c r="BC12" s="474"/>
      <c r="BD12" s="475"/>
      <c r="BE12" s="474"/>
    </row>
    <row r="13" spans="1:57" s="478" customFormat="1" ht="21.6" customHeight="1">
      <c r="A13" s="341">
        <f t="shared" si="8"/>
        <v>8</v>
      </c>
      <c r="B13" s="458">
        <v>6505</v>
      </c>
      <c r="C13" s="459" t="s">
        <v>768</v>
      </c>
      <c r="D13" s="342"/>
      <c r="E13" s="460">
        <v>29806272700854</v>
      </c>
      <c r="F13" s="461" t="s">
        <v>624</v>
      </c>
      <c r="G13" s="342"/>
      <c r="H13" s="176">
        <v>1010769980</v>
      </c>
      <c r="I13" s="176"/>
      <c r="J13" s="462" t="s">
        <v>748</v>
      </c>
      <c r="K13" s="462" t="s">
        <v>758</v>
      </c>
      <c r="L13" s="462" t="s">
        <v>769</v>
      </c>
      <c r="M13" s="463"/>
      <c r="N13" s="462" t="s">
        <v>770</v>
      </c>
      <c r="O13" s="412">
        <v>40000</v>
      </c>
      <c r="P13" s="413">
        <v>18</v>
      </c>
      <c r="Q13" s="464" t="s">
        <v>640</v>
      </c>
      <c r="R13" s="465">
        <f>IFERROR(VLOOKUP(1,'Data Validation'!$O$2:$P$25,2,FALSE),"")</f>
        <v>45906</v>
      </c>
      <c r="S13" s="465">
        <f>IFERROR(VLOOKUP($P13,'Data Validation'!$O$2:$P$25,2,FALSE),"")</f>
        <v>46423</v>
      </c>
      <c r="T13" s="419">
        <f ca="1">INDEX(INDIRECT(INDEX(ControlRoom[اجمالي الالتزام],MATCH(تفصيلي!Q13,Control!$B$2:$B$12,0))),MATCH(CONCATENATE(O13,P13),INDIRECT(INDEX(ControlRoom[المبلغ],MATCH(تفصيلي!Q13,ControlRoom[التمويل],0))),0))</f>
        <v>58602</v>
      </c>
      <c r="U13" s="419">
        <f ca="1">INDEX(INDIRECT(INDEX(ControlRoom[القسط الشهري],MATCH(تفصيلي!Q13,Control!$B$2:$B$12,0))),MATCH(CONCATENATE(O13,P13),INDIRECT(INDEX(ControlRoom[المبلغ],MATCH(تفصيلي!Q13,ControlRoom[التمويل],0))),0))</f>
        <v>3139</v>
      </c>
      <c r="V13" s="420">
        <f>INDEX(ControlRoom[[فائدة أ]:[فائدة ج]],MATCH(تفصيلي!Q13,ControlRoom[التمويل],0),MATCH(IF(AND(تفصيلي!O13&gt;=Control!$N$2,تفصيلي!O13&lt;=Control!$O$2),Control!$P$2,IF(AND(تفصيلي!O13&gt;=Control!$N$3,تفصيلي!O13&lt;=Control!$O$3),Control!$P$3,IF(AND(تفصيلي!O13&gt;=Control!$N$4,تفصيلي!O13&lt;=Control!$O$4),Control!$P$4,"Out Of Range"))),ControlRoom[[#Headers],[فائدة أ]:[فائدة ج]],0))</f>
        <v>0.31</v>
      </c>
      <c r="W13" s="419">
        <f ca="1">INDEX(INDIRECT(INDEX(ControlRoom[المقدم],MATCH(تفصيلي!Q13,Control!$B$2:$B$12,0))),MATCH(CONCATENATE(O13,P13),INDIRECT(INDEX(ControlRoom[المبلغ],MATCH(تفصيلي!Q13,ControlRoom[التمويل],0))),0))</f>
        <v>2100</v>
      </c>
      <c r="X13" s="466">
        <f t="shared" si="0"/>
        <v>0</v>
      </c>
      <c r="Y13" s="167"/>
      <c r="Z13" s="302">
        <f t="shared" si="1"/>
        <v>0</v>
      </c>
      <c r="AA13" s="166"/>
      <c r="AB13" s="167" t="s">
        <v>624</v>
      </c>
      <c r="AC13" s="167">
        <f t="shared" si="2"/>
        <v>0</v>
      </c>
      <c r="AD13" s="169">
        <f t="shared" si="3"/>
        <v>0</v>
      </c>
      <c r="AE13" s="174"/>
      <c r="AF13" s="303">
        <f t="shared" si="4"/>
        <v>0</v>
      </c>
      <c r="AG13" s="168"/>
      <c r="AH13" s="174" t="s">
        <v>624</v>
      </c>
      <c r="AI13" s="169">
        <f t="shared" si="5"/>
        <v>0</v>
      </c>
      <c r="AJ13" s="172"/>
      <c r="AK13" s="175"/>
      <c r="AL13" s="170"/>
      <c r="AM13" s="171"/>
      <c r="AN13" s="175"/>
      <c r="AO13" s="172"/>
      <c r="AP13" s="467"/>
      <c r="AQ13" s="468"/>
      <c r="AR13" s="469"/>
      <c r="AS13" s="470"/>
      <c r="AT13" s="471"/>
      <c r="AU13" s="471"/>
      <c r="AV13" s="472"/>
      <c r="AW13" s="472"/>
      <c r="AX13" s="473" t="str">
        <f t="shared" si="6"/>
        <v xml:space="preserve"> ,</v>
      </c>
      <c r="AY13" s="473" t="str">
        <f t="shared" si="7"/>
        <v>خدمى / اعمال الصيانة و التصليح</v>
      </c>
      <c r="AZ13" s="474"/>
      <c r="BA13" s="475"/>
      <c r="BB13" s="474"/>
      <c r="BC13" s="474"/>
      <c r="BD13" s="475"/>
      <c r="BE13" s="474"/>
    </row>
    <row r="14" spans="1:57" s="476" customFormat="1" ht="21.6" customHeight="1">
      <c r="A14" s="341">
        <f t="shared" si="8"/>
        <v>9</v>
      </c>
      <c r="B14" s="458">
        <v>6506</v>
      </c>
      <c r="C14" s="459" t="s">
        <v>771</v>
      </c>
      <c r="D14" s="342"/>
      <c r="E14" s="460">
        <v>29301252701655</v>
      </c>
      <c r="F14" s="461" t="s">
        <v>624</v>
      </c>
      <c r="G14" s="342"/>
      <c r="H14" s="176">
        <v>1063584001</v>
      </c>
      <c r="I14" s="176"/>
      <c r="J14" s="462" t="s">
        <v>748</v>
      </c>
      <c r="K14" s="462" t="s">
        <v>758</v>
      </c>
      <c r="L14" s="462" t="s">
        <v>772</v>
      </c>
      <c r="M14" s="463"/>
      <c r="N14" s="462" t="s">
        <v>773</v>
      </c>
      <c r="O14" s="412">
        <v>80000</v>
      </c>
      <c r="P14" s="413">
        <v>12</v>
      </c>
      <c r="Q14" s="464" t="s">
        <v>640</v>
      </c>
      <c r="R14" s="465">
        <f>IFERROR(VLOOKUP(1,'Data Validation'!$O$2:$P$25,2,FALSE),"")</f>
        <v>45906</v>
      </c>
      <c r="S14" s="465">
        <f>IFERROR(VLOOKUP($P14,'Data Validation'!$O$2:$P$25,2,FALSE),"")</f>
        <v>46239</v>
      </c>
      <c r="T14" s="419">
        <f ca="1">INDEX(INDIRECT(INDEX(ControlRoom[اجمالي الالتزام],MATCH(تفصيلي!Q14,Control!$B$2:$B$12,0))),MATCH(CONCATENATE(O14,P14),INDIRECT(INDEX(ControlRoom[المبلغ],MATCH(تفصيلي!Q14,ControlRoom[التمويل],0))),0))</f>
        <v>105209</v>
      </c>
      <c r="U14" s="419">
        <f ca="1">INDEX(INDIRECT(INDEX(ControlRoom[القسط الشهري],MATCH(تفصيلي!Q14,Control!$B$2:$B$12,0))),MATCH(CONCATENATE(O14,P14),INDIRECT(INDEX(ControlRoom[المبلغ],MATCH(تفصيلي!Q14,ControlRoom[التمويل],0))),0))</f>
        <v>8534</v>
      </c>
      <c r="V14" s="420">
        <f>INDEX(ControlRoom[[فائدة أ]:[فائدة ج]],MATCH(تفصيلي!Q14,ControlRoom[التمويل],0),MATCH(IF(AND(تفصيلي!O14&gt;=Control!$N$2,تفصيلي!O14&lt;=Control!$O$2),Control!$P$2,IF(AND(تفصيلي!O14&gt;=Control!$N$3,تفصيلي!O14&lt;=Control!$O$3),Control!$P$3,IF(AND(تفصيلي!O14&gt;=Control!$N$4,تفصيلي!O14&lt;=Control!$O$4),Control!$P$4,"Out Of Range"))),ControlRoom[[#Headers],[فائدة أ]:[فائدة ج]],0))</f>
        <v>0.315</v>
      </c>
      <c r="W14" s="419">
        <f ca="1">INDEX(INDIRECT(INDEX(ControlRoom[المقدم],MATCH(تفصيلي!Q14,Control!$B$2:$B$12,0))),MATCH(CONCATENATE(O14,P14),INDIRECT(INDEX(ControlRoom[المبلغ],MATCH(تفصيلي!Q14,ControlRoom[التمويل],0))),0))</f>
        <v>2801</v>
      </c>
      <c r="X14" s="466">
        <f t="shared" si="0"/>
        <v>0</v>
      </c>
      <c r="Y14" s="167"/>
      <c r="Z14" s="302">
        <f t="shared" si="1"/>
        <v>0</v>
      </c>
      <c r="AA14" s="166"/>
      <c r="AB14" s="167" t="s">
        <v>624</v>
      </c>
      <c r="AC14" s="167">
        <f t="shared" si="2"/>
        <v>0</v>
      </c>
      <c r="AD14" s="169">
        <f t="shared" si="3"/>
        <v>0</v>
      </c>
      <c r="AE14" s="174"/>
      <c r="AF14" s="303">
        <f t="shared" si="4"/>
        <v>0</v>
      </c>
      <c r="AG14" s="168"/>
      <c r="AH14" s="174" t="s">
        <v>624</v>
      </c>
      <c r="AI14" s="169">
        <f t="shared" si="5"/>
        <v>0</v>
      </c>
      <c r="AJ14" s="172"/>
      <c r="AK14" s="175"/>
      <c r="AL14" s="170"/>
      <c r="AM14" s="171"/>
      <c r="AN14" s="175"/>
      <c r="AO14" s="172"/>
      <c r="AP14" s="467"/>
      <c r="AQ14" s="468"/>
      <c r="AR14" s="469"/>
      <c r="AS14" s="470"/>
      <c r="AT14" s="471"/>
      <c r="AU14" s="471"/>
      <c r="AV14" s="472"/>
      <c r="AW14" s="472"/>
      <c r="AX14" s="473" t="str">
        <f t="shared" si="6"/>
        <v xml:space="preserve"> ,</v>
      </c>
      <c r="AY14" s="473" t="str">
        <f t="shared" si="7"/>
        <v>خدمى / اعمال الصيانة و التصليح</v>
      </c>
      <c r="AZ14" s="474"/>
      <c r="BA14" s="475"/>
      <c r="BB14" s="474"/>
      <c r="BC14" s="474"/>
      <c r="BD14" s="475"/>
      <c r="BE14" s="474"/>
    </row>
    <row r="15" spans="1:57" s="476" customFormat="1" ht="21.6" customHeight="1">
      <c r="A15" s="341">
        <f t="shared" si="8"/>
        <v>10</v>
      </c>
      <c r="B15" s="479">
        <v>6507</v>
      </c>
      <c r="C15" s="477" t="s">
        <v>774</v>
      </c>
      <c r="D15" s="342"/>
      <c r="E15" s="460">
        <v>28611112701049</v>
      </c>
      <c r="F15" s="461" t="s">
        <v>624</v>
      </c>
      <c r="G15" s="342"/>
      <c r="H15" s="176">
        <v>1044795183</v>
      </c>
      <c r="I15" s="176"/>
      <c r="J15" s="462" t="s">
        <v>754</v>
      </c>
      <c r="K15" s="462" t="s">
        <v>755</v>
      </c>
      <c r="L15" s="346" t="s">
        <v>755</v>
      </c>
      <c r="M15" s="463"/>
      <c r="N15" s="345" t="s">
        <v>775</v>
      </c>
      <c r="O15" s="412">
        <v>21000</v>
      </c>
      <c r="P15" s="413">
        <v>18</v>
      </c>
      <c r="Q15" s="464" t="s">
        <v>751</v>
      </c>
      <c r="R15" s="465">
        <f>IFERROR(VLOOKUP(1,'Data Validation'!$O$2:$P$25,2,FALSE),"")</f>
        <v>45906</v>
      </c>
      <c r="S15" s="465">
        <f>IFERROR(VLOOKUP($P15,'Data Validation'!$O$2:$P$25,2,FALSE),"")</f>
        <v>46423</v>
      </c>
      <c r="T15" s="419">
        <f ca="1">INDEX(INDIRECT(INDEX(ControlRoom[اجمالي الالتزام],MATCH(تفصيلي!Q15,Control!$B$2:$B$12,0))),MATCH(CONCATENATE(O15,P15),INDIRECT(INDEX(ControlRoom[المبلغ],MATCH(تفصيلي!Q15,ControlRoom[التمويل],0))),0))</f>
        <v>30767</v>
      </c>
      <c r="U15" s="419">
        <f ca="1">INDEX(INDIRECT(INDEX(ControlRoom[القسط الشهري],MATCH(تفصيلي!Q15,Control!$B$2:$B$12,0))),MATCH(CONCATENATE(O15,P15),INDIRECT(INDEX(ControlRoom[المبلغ],MATCH(تفصيلي!Q15,ControlRoom[التمويل],0))),0))</f>
        <v>1648</v>
      </c>
      <c r="V15" s="420">
        <f>INDEX(ControlRoom[[فائدة أ]:[فائدة ج]],MATCH(تفصيلي!Q15,ControlRoom[التمويل],0),MATCH(IF(AND(تفصيلي!O15&gt;=Control!$N$2,تفصيلي!O15&lt;=Control!$O$2),Control!$P$2,IF(AND(تفصيلي!O15&gt;=Control!$N$3,تفصيلي!O15&lt;=Control!$O$3),Control!$P$3,IF(AND(تفصيلي!O15&gt;=Control!$N$4,تفصيلي!O15&lt;=Control!$O$4),Control!$P$4,"Out Of Range"))),ControlRoom[[#Headers],[فائدة أ]:[فائدة ج]],0))</f>
        <v>0.31</v>
      </c>
      <c r="W15" s="419">
        <f ca="1">INDEX(INDIRECT(INDEX(ControlRoom[المقدم],MATCH(تفصيلي!Q15,Control!$B$2:$B$12,0))),MATCH(CONCATENATE(O15,P15),INDIRECT(INDEX(ControlRoom[المبلغ],MATCH(تفصيلي!Q15,ControlRoom[التمويل],0))),0))</f>
        <v>1103</v>
      </c>
      <c r="X15" s="466">
        <f t="shared" si="0"/>
        <v>0</v>
      </c>
      <c r="Y15" s="167"/>
      <c r="Z15" s="302">
        <f t="shared" si="1"/>
        <v>0</v>
      </c>
      <c r="AA15" s="166"/>
      <c r="AB15" s="167" t="s">
        <v>624</v>
      </c>
      <c r="AC15" s="167">
        <f t="shared" si="2"/>
        <v>0</v>
      </c>
      <c r="AD15" s="169">
        <f t="shared" si="3"/>
        <v>0</v>
      </c>
      <c r="AE15" s="174"/>
      <c r="AF15" s="303">
        <f t="shared" si="4"/>
        <v>0</v>
      </c>
      <c r="AG15" s="168"/>
      <c r="AH15" s="174" t="s">
        <v>624</v>
      </c>
      <c r="AI15" s="169">
        <f t="shared" si="5"/>
        <v>0</v>
      </c>
      <c r="AJ15" s="172"/>
      <c r="AK15" s="175"/>
      <c r="AL15" s="170"/>
      <c r="AM15" s="171"/>
      <c r="AN15" s="175"/>
      <c r="AO15" s="172"/>
      <c r="AP15" s="467"/>
      <c r="AQ15" s="468"/>
      <c r="AR15" s="469"/>
      <c r="AS15" s="470"/>
      <c r="AT15" s="471"/>
      <c r="AU15" s="471"/>
      <c r="AV15" s="472"/>
      <c r="AW15" s="472"/>
      <c r="AX15" s="473" t="str">
        <f t="shared" si="6"/>
        <v xml:space="preserve"> ,</v>
      </c>
      <c r="AY15" s="473" t="str">
        <f t="shared" si="7"/>
        <v>انتاج حيوانى و زراعي / تربية و تسمين ماشية</v>
      </c>
      <c r="AZ15" s="474"/>
      <c r="BA15" s="475"/>
      <c r="BB15" s="474"/>
      <c r="BC15" s="474"/>
      <c r="BD15" s="475"/>
      <c r="BE15" s="474"/>
    </row>
    <row r="16" spans="1:57" s="476" customFormat="1" ht="21.6" customHeight="1">
      <c r="A16" s="341">
        <f t="shared" si="8"/>
        <v>11</v>
      </c>
      <c r="B16" s="479">
        <v>6508</v>
      </c>
      <c r="C16" s="477" t="s">
        <v>776</v>
      </c>
      <c r="D16" s="342"/>
      <c r="E16" s="460">
        <v>29203172700435</v>
      </c>
      <c r="F16" s="461" t="s">
        <v>624</v>
      </c>
      <c r="G16" s="342"/>
      <c r="H16" s="176">
        <v>1020234112</v>
      </c>
      <c r="I16" s="176"/>
      <c r="J16" s="346" t="s">
        <v>743</v>
      </c>
      <c r="K16" s="462" t="s">
        <v>744</v>
      </c>
      <c r="L16" s="346" t="s">
        <v>777</v>
      </c>
      <c r="M16" s="463"/>
      <c r="N16" s="345" t="s">
        <v>778</v>
      </c>
      <c r="O16" s="412">
        <v>34000</v>
      </c>
      <c r="P16" s="413">
        <v>18</v>
      </c>
      <c r="Q16" s="464" t="s">
        <v>640</v>
      </c>
      <c r="R16" s="465">
        <f>IFERROR(VLOOKUP(1,'Data Validation'!$O$2:$P$25,2,FALSE),"")</f>
        <v>45906</v>
      </c>
      <c r="S16" s="465">
        <f>IFERROR(VLOOKUP($P16,'Data Validation'!$O$2:$P$25,2,FALSE),"")</f>
        <v>46423</v>
      </c>
      <c r="T16" s="419">
        <f ca="1">INDEX(INDIRECT(INDEX(ControlRoom[اجمالي الالتزام],MATCH(تفصيلي!Q16,Control!$B$2:$B$12,0))),MATCH(CONCATENATE(O16,P16),INDIRECT(INDEX(ControlRoom[المبلغ],MATCH(تفصيلي!Q16,ControlRoom[التمويل],0))),0))</f>
        <v>49827</v>
      </c>
      <c r="U16" s="419">
        <f ca="1">INDEX(INDIRECT(INDEX(ControlRoom[القسط الشهري],MATCH(تفصيلي!Q16,Control!$B$2:$B$12,0))),MATCH(CONCATENATE(O16,P16),INDIRECT(INDEX(ControlRoom[المبلغ],MATCH(تفصيلي!Q16,ControlRoom[التمويل],0))),0))</f>
        <v>2669</v>
      </c>
      <c r="V16" s="420">
        <f>INDEX(ControlRoom[[فائدة أ]:[فائدة ج]],MATCH(تفصيلي!Q16,ControlRoom[التمويل],0),MATCH(IF(AND(تفصيلي!O16&gt;=Control!$N$2,تفصيلي!O16&lt;=Control!$O$2),Control!$P$2,IF(AND(تفصيلي!O16&gt;=Control!$N$3,تفصيلي!O16&lt;=Control!$O$3),Control!$P$3,IF(AND(تفصيلي!O16&gt;=Control!$N$4,تفصيلي!O16&lt;=Control!$O$4),Control!$P$4,"Out Of Range"))),ControlRoom[[#Headers],[فائدة أ]:[فائدة ج]],0))</f>
        <v>0.31</v>
      </c>
      <c r="W16" s="419">
        <f ca="1">INDEX(INDIRECT(INDEX(ControlRoom[المقدم],MATCH(تفصيلي!Q16,Control!$B$2:$B$12,0))),MATCH(CONCATENATE(O16,P16),INDIRECT(INDEX(ControlRoom[المبلغ],MATCH(تفصيلي!Q16,ControlRoom[التمويل],0))),0))</f>
        <v>1785</v>
      </c>
      <c r="X16" s="466">
        <f t="shared" si="0"/>
        <v>0</v>
      </c>
      <c r="Y16" s="167"/>
      <c r="Z16" s="302">
        <f t="shared" si="1"/>
        <v>0</v>
      </c>
      <c r="AA16" s="166"/>
      <c r="AB16" s="167" t="s">
        <v>624</v>
      </c>
      <c r="AC16" s="167">
        <f t="shared" si="2"/>
        <v>0</v>
      </c>
      <c r="AD16" s="169">
        <f t="shared" si="3"/>
        <v>0</v>
      </c>
      <c r="AE16" s="174"/>
      <c r="AF16" s="303">
        <f t="shared" si="4"/>
        <v>0</v>
      </c>
      <c r="AG16" s="168"/>
      <c r="AH16" s="174" t="s">
        <v>624</v>
      </c>
      <c r="AI16" s="169">
        <f t="shared" si="5"/>
        <v>0</v>
      </c>
      <c r="AJ16" s="172"/>
      <c r="AK16" s="175"/>
      <c r="AL16" s="170"/>
      <c r="AM16" s="171"/>
      <c r="AN16" s="175"/>
      <c r="AO16" s="172"/>
      <c r="AP16" s="467"/>
      <c r="AQ16" s="468"/>
      <c r="AR16" s="469"/>
      <c r="AS16" s="470"/>
      <c r="AT16" s="471"/>
      <c r="AU16" s="471"/>
      <c r="AV16" s="472"/>
      <c r="AW16" s="472"/>
      <c r="AX16" s="473" t="str">
        <f t="shared" si="6"/>
        <v xml:space="preserve"> ,</v>
      </c>
      <c r="AY16" s="473" t="str">
        <f t="shared" si="7"/>
        <v>تجارى / تجارة مواد غذائية</v>
      </c>
      <c r="AZ16" s="474"/>
      <c r="BA16" s="475"/>
      <c r="BB16" s="474"/>
      <c r="BC16" s="474"/>
      <c r="BD16" s="475"/>
      <c r="BE16" s="474"/>
    </row>
    <row r="17" spans="1:57" s="476" customFormat="1" ht="21.6" customHeight="1">
      <c r="A17" s="341">
        <f t="shared" si="8"/>
        <v>12</v>
      </c>
      <c r="B17" s="479">
        <v>6509</v>
      </c>
      <c r="C17" s="477" t="s">
        <v>779</v>
      </c>
      <c r="D17" s="342"/>
      <c r="E17" s="460">
        <v>28310152701467</v>
      </c>
      <c r="F17" s="461" t="s">
        <v>624</v>
      </c>
      <c r="G17" s="342"/>
      <c r="H17" s="176">
        <v>1151083137</v>
      </c>
      <c r="I17" s="176"/>
      <c r="J17" s="346" t="s">
        <v>754</v>
      </c>
      <c r="K17" s="462" t="s">
        <v>755</v>
      </c>
      <c r="L17" s="346" t="s">
        <v>755</v>
      </c>
      <c r="M17" s="463"/>
      <c r="N17" s="345" t="s">
        <v>780</v>
      </c>
      <c r="O17" s="412">
        <v>25000</v>
      </c>
      <c r="P17" s="413">
        <v>18</v>
      </c>
      <c r="Q17" s="464" t="s">
        <v>640</v>
      </c>
      <c r="R17" s="465">
        <f>IFERROR(VLOOKUP(1,'Data Validation'!$O$2:$P$25,2,FALSE),"")</f>
        <v>45906</v>
      </c>
      <c r="S17" s="465">
        <f>IFERROR(VLOOKUP($P17,'Data Validation'!$O$2:$P$25,2,FALSE),"")</f>
        <v>46423</v>
      </c>
      <c r="T17" s="419">
        <f ca="1">INDEX(INDIRECT(INDEX(ControlRoom[اجمالي الالتزام],MATCH(تفصيلي!Q17,Control!$B$2:$B$12,0))),MATCH(CONCATENATE(O17,P17),INDIRECT(INDEX(ControlRoom[المبلغ],MATCH(تفصيلي!Q17,ControlRoom[التمويل],0))),0))</f>
        <v>36629</v>
      </c>
      <c r="U17" s="419">
        <f ca="1">INDEX(INDIRECT(INDEX(ControlRoom[القسط الشهري],MATCH(تفصيلي!Q17,Control!$B$2:$B$12,0))),MATCH(CONCATENATE(O17,P17),INDIRECT(INDEX(ControlRoom[المبلغ],MATCH(تفصيلي!Q17,ControlRoom[التمويل],0))),0))</f>
        <v>1962</v>
      </c>
      <c r="V17" s="420">
        <f>INDEX(ControlRoom[[فائدة أ]:[فائدة ج]],MATCH(تفصيلي!Q17,ControlRoom[التمويل],0),MATCH(IF(AND(تفصيلي!O17&gt;=Control!$N$2,تفصيلي!O17&lt;=Control!$O$2),Control!$P$2,IF(AND(تفصيلي!O17&gt;=Control!$N$3,تفصيلي!O17&lt;=Control!$O$3),Control!$P$3,IF(AND(تفصيلي!O17&gt;=Control!$N$4,تفصيلي!O17&lt;=Control!$O$4),Control!$P$4,"Out Of Range"))),ControlRoom[[#Headers],[فائدة أ]:[فائدة ج]],0))</f>
        <v>0.31</v>
      </c>
      <c r="W17" s="419">
        <f ca="1">INDEX(INDIRECT(INDEX(ControlRoom[المقدم],MATCH(تفصيلي!Q17,Control!$B$2:$B$12,0))),MATCH(CONCATENATE(O17,P17),INDIRECT(INDEX(ControlRoom[المبلغ],MATCH(تفصيلي!Q17,ControlRoom[التمويل],0))),0))</f>
        <v>1313</v>
      </c>
      <c r="X17" s="466">
        <f t="shared" si="0"/>
        <v>0</v>
      </c>
      <c r="Y17" s="167"/>
      <c r="Z17" s="302">
        <f t="shared" si="1"/>
        <v>0</v>
      </c>
      <c r="AA17" s="166"/>
      <c r="AB17" s="167" t="s">
        <v>624</v>
      </c>
      <c r="AC17" s="167">
        <f t="shared" si="2"/>
        <v>0</v>
      </c>
      <c r="AD17" s="169">
        <f t="shared" si="3"/>
        <v>0</v>
      </c>
      <c r="AE17" s="174"/>
      <c r="AF17" s="303">
        <f t="shared" si="4"/>
        <v>0</v>
      </c>
      <c r="AG17" s="168"/>
      <c r="AH17" s="174" t="s">
        <v>624</v>
      </c>
      <c r="AI17" s="169">
        <f t="shared" si="5"/>
        <v>0</v>
      </c>
      <c r="AJ17" s="172"/>
      <c r="AK17" s="175"/>
      <c r="AL17" s="170"/>
      <c r="AM17" s="171"/>
      <c r="AN17" s="175"/>
      <c r="AO17" s="172"/>
      <c r="AP17" s="467"/>
      <c r="AQ17" s="468"/>
      <c r="AR17" s="469"/>
      <c r="AS17" s="470"/>
      <c r="AT17" s="471"/>
      <c r="AU17" s="471"/>
      <c r="AV17" s="472"/>
      <c r="AW17" s="472"/>
      <c r="AX17" s="473" t="str">
        <f t="shared" si="6"/>
        <v xml:space="preserve"> ,</v>
      </c>
      <c r="AY17" s="473" t="str">
        <f t="shared" si="7"/>
        <v>انتاج حيوانى و زراعي / تربية و تسمين ماشية</v>
      </c>
      <c r="AZ17" s="474"/>
      <c r="BA17" s="475"/>
      <c r="BB17" s="474"/>
      <c r="BC17" s="474"/>
      <c r="BD17" s="475"/>
      <c r="BE17" s="474"/>
    </row>
    <row r="18" spans="1:57" s="476" customFormat="1" ht="21.6" customHeight="1">
      <c r="A18" s="341">
        <f t="shared" si="8"/>
        <v>13</v>
      </c>
      <c r="B18" s="479">
        <v>6511</v>
      </c>
      <c r="C18" s="477" t="s">
        <v>781</v>
      </c>
      <c r="D18" s="342"/>
      <c r="E18" s="460">
        <v>29609290111483</v>
      </c>
      <c r="F18" s="461" t="s">
        <v>624</v>
      </c>
      <c r="G18" s="342"/>
      <c r="H18" s="176">
        <v>1061881832</v>
      </c>
      <c r="I18" s="176"/>
      <c r="J18" s="346" t="s">
        <v>748</v>
      </c>
      <c r="K18" s="462" t="s">
        <v>749</v>
      </c>
      <c r="L18" s="346" t="s">
        <v>750</v>
      </c>
      <c r="M18" s="463"/>
      <c r="N18" s="345" t="s">
        <v>782</v>
      </c>
      <c r="O18" s="412">
        <v>25000</v>
      </c>
      <c r="P18" s="413">
        <v>18</v>
      </c>
      <c r="Q18" s="464" t="s">
        <v>639</v>
      </c>
      <c r="R18" s="465">
        <f>IFERROR(VLOOKUP(1,'Data Validation'!$O$2:$P$25,2,FALSE),"")</f>
        <v>45906</v>
      </c>
      <c r="S18" s="465">
        <f>IFERROR(VLOOKUP($P18,'Data Validation'!$O$2:$P$25,2,FALSE),"")</f>
        <v>46423</v>
      </c>
      <c r="T18" s="419">
        <f ca="1">INDEX(INDIRECT(INDEX(ControlRoom[اجمالي الالتزام],MATCH(تفصيلي!Q18,Control!$B$2:$B$12,0))),MATCH(CONCATENATE(O18,P18),INDIRECT(INDEX(ControlRoom[المبلغ],MATCH(تفصيلي!Q18,ControlRoom[التمويل],0))),0))</f>
        <v>36629</v>
      </c>
      <c r="U18" s="419">
        <f ca="1">INDEX(INDIRECT(INDEX(ControlRoom[القسط الشهري],MATCH(تفصيلي!Q18,Control!$B$2:$B$12,0))),MATCH(CONCATENATE(O18,P18),INDIRECT(INDEX(ControlRoom[المبلغ],MATCH(تفصيلي!Q18,ControlRoom[التمويل],0))),0))</f>
        <v>1962</v>
      </c>
      <c r="V18" s="420">
        <f>INDEX(ControlRoom[[فائدة أ]:[فائدة ج]],MATCH(تفصيلي!Q18,ControlRoom[التمويل],0),MATCH(IF(AND(تفصيلي!O18&gt;=Control!$N$2,تفصيلي!O18&lt;=Control!$O$2),Control!$P$2,IF(AND(تفصيلي!O18&gt;=Control!$N$3,تفصيلي!O18&lt;=Control!$O$3),Control!$P$3,IF(AND(تفصيلي!O18&gt;=Control!$N$4,تفصيلي!O18&lt;=Control!$O$4),Control!$P$4,"Out Of Range"))),ControlRoom[[#Headers],[فائدة أ]:[فائدة ج]],0))</f>
        <v>0.31</v>
      </c>
      <c r="W18" s="419">
        <f ca="1">INDEX(INDIRECT(INDEX(ControlRoom[المقدم],MATCH(تفصيلي!Q18,Control!$B$2:$B$12,0))),MATCH(CONCATENATE(O18,P18),INDIRECT(INDEX(ControlRoom[المبلغ],MATCH(تفصيلي!Q18,ControlRoom[التمويل],0))),0))</f>
        <v>1313</v>
      </c>
      <c r="X18" s="466">
        <f t="shared" si="0"/>
        <v>0</v>
      </c>
      <c r="Y18" s="167"/>
      <c r="Z18" s="302">
        <f t="shared" si="1"/>
        <v>0</v>
      </c>
      <c r="AA18" s="166"/>
      <c r="AB18" s="167" t="s">
        <v>624</v>
      </c>
      <c r="AC18" s="167">
        <f t="shared" si="2"/>
        <v>0</v>
      </c>
      <c r="AD18" s="169">
        <f t="shared" si="3"/>
        <v>0</v>
      </c>
      <c r="AE18" s="174"/>
      <c r="AF18" s="303">
        <f t="shared" si="4"/>
        <v>0</v>
      </c>
      <c r="AG18" s="168"/>
      <c r="AH18" s="174" t="s">
        <v>624</v>
      </c>
      <c r="AI18" s="169">
        <f t="shared" si="5"/>
        <v>0</v>
      </c>
      <c r="AJ18" s="172"/>
      <c r="AK18" s="175"/>
      <c r="AL18" s="170"/>
      <c r="AM18" s="171"/>
      <c r="AN18" s="175"/>
      <c r="AO18" s="172"/>
      <c r="AP18" s="467"/>
      <c r="AQ18" s="468"/>
      <c r="AR18" s="469"/>
      <c r="AS18" s="173"/>
      <c r="AT18" s="471"/>
      <c r="AU18" s="471"/>
      <c r="AV18" s="480"/>
      <c r="AW18" s="480"/>
      <c r="AX18" s="473" t="str">
        <f t="shared" si="6"/>
        <v xml:space="preserve"> ,</v>
      </c>
      <c r="AY18" s="473" t="str">
        <f t="shared" si="7"/>
        <v>خدمى / اعمال التفصيل</v>
      </c>
      <c r="AZ18" s="474"/>
      <c r="BA18" s="475"/>
      <c r="BB18" s="474"/>
      <c r="BC18" s="474"/>
      <c r="BD18" s="475"/>
      <c r="BE18" s="474"/>
    </row>
    <row r="19" spans="1:57" s="476" customFormat="1" ht="21.6" customHeight="1">
      <c r="A19" s="341">
        <f t="shared" si="8"/>
        <v>14</v>
      </c>
      <c r="B19" s="479"/>
      <c r="C19" s="477"/>
      <c r="D19" s="342"/>
      <c r="E19" s="460"/>
      <c r="F19" s="461" t="s">
        <v>624</v>
      </c>
      <c r="G19" s="342"/>
      <c r="H19" s="176"/>
      <c r="I19" s="176"/>
      <c r="J19" s="346"/>
      <c r="K19" s="462"/>
      <c r="L19" s="346"/>
      <c r="M19" s="463"/>
      <c r="N19" s="345"/>
      <c r="O19" s="412"/>
      <c r="P19" s="413"/>
      <c r="Q19" s="464"/>
      <c r="R19" s="465">
        <f>IFERROR(VLOOKUP(1,'Data Validation'!$O$2:$P$25,2,FALSE),"")</f>
        <v>45906</v>
      </c>
      <c r="S19" s="465" t="str">
        <f>IFERROR(VLOOKUP($P19,'Data Validation'!$O$2:$P$25,2,FALSE),"")</f>
        <v/>
      </c>
      <c r="T19" s="419" t="e">
        <f ca="1">INDEX(INDIRECT(INDEX(ControlRoom[اجمالي الالتزام],MATCH(تفصيلي!Q19,Control!$B$2:$B$12,0))),MATCH(CONCATENATE(O19,P19),INDIRECT(INDEX(ControlRoom[المبلغ],MATCH(تفصيلي!Q19,ControlRoom[التمويل],0))),0))</f>
        <v>#N/A</v>
      </c>
      <c r="U19" s="419" t="e">
        <f ca="1">INDEX(INDIRECT(INDEX(ControlRoom[القسط الشهري],MATCH(تفصيلي!Q19,Control!$B$2:$B$12,0))),MATCH(CONCATENATE(O19,P19),INDIRECT(INDEX(ControlRoom[المبلغ],MATCH(تفصيلي!Q19,ControlRoom[التمويل],0))),0))</f>
        <v>#N/A</v>
      </c>
      <c r="V19" s="420" t="e">
        <f>INDEX(ControlRoom[[فائدة أ]:[فائدة ج]],MATCH(تفصيلي!Q19,ControlRoom[التمويل],0),MATCH(IF(AND(تفصيلي!O19&gt;=Control!$N$2,تفصيلي!O19&lt;=Control!$O$2),Control!$P$2,IF(AND(تفصيلي!O19&gt;=Control!$N$3,تفصيلي!O19&lt;=Control!$O$3),Control!$P$3,IF(AND(تفصيلي!O19&gt;=Control!$N$4,تفصيلي!O19&lt;=Control!$O$4),Control!$P$4,"Out Of Range"))),ControlRoom[[#Headers],[فائدة أ]:[فائدة ج]],0))</f>
        <v>#N/A</v>
      </c>
      <c r="W19" s="419"/>
      <c r="X19" s="466">
        <f t="shared" si="0"/>
        <v>0</v>
      </c>
      <c r="Y19" s="167"/>
      <c r="Z19" s="302">
        <f t="shared" si="1"/>
        <v>0</v>
      </c>
      <c r="AA19" s="166"/>
      <c r="AB19" s="167" t="s">
        <v>624</v>
      </c>
      <c r="AC19" s="167">
        <f t="shared" si="2"/>
        <v>0</v>
      </c>
      <c r="AD19" s="169">
        <f t="shared" si="3"/>
        <v>0</v>
      </c>
      <c r="AE19" s="174"/>
      <c r="AF19" s="303">
        <f t="shared" si="4"/>
        <v>0</v>
      </c>
      <c r="AG19" s="168"/>
      <c r="AH19" s="174" t="s">
        <v>624</v>
      </c>
      <c r="AI19" s="169">
        <f t="shared" si="5"/>
        <v>0</v>
      </c>
      <c r="AJ19" s="172"/>
      <c r="AK19" s="175"/>
      <c r="AL19" s="170"/>
      <c r="AM19" s="171"/>
      <c r="AN19" s="175"/>
      <c r="AO19" s="172"/>
      <c r="AP19" s="467"/>
      <c r="AQ19" s="468"/>
      <c r="AR19" s="469"/>
      <c r="AS19" s="173"/>
      <c r="AT19" s="471"/>
      <c r="AU19" s="471"/>
      <c r="AV19" s="472"/>
      <c r="AW19" s="472"/>
      <c r="AX19" s="473" t="str">
        <f t="shared" si="6"/>
        <v xml:space="preserve"> ,</v>
      </c>
      <c r="AY19" s="473" t="str">
        <f t="shared" si="7"/>
        <v xml:space="preserve"> / </v>
      </c>
      <c r="AZ19" s="474"/>
      <c r="BA19" s="475"/>
      <c r="BB19" s="474"/>
      <c r="BC19" s="474"/>
      <c r="BD19" s="475"/>
      <c r="BE19" s="474"/>
    </row>
    <row r="20" spans="1:57" s="476" customFormat="1" ht="21.6" customHeight="1">
      <c r="A20" s="341">
        <f t="shared" si="8"/>
        <v>15</v>
      </c>
      <c r="B20" s="479"/>
      <c r="C20" s="477"/>
      <c r="D20" s="342"/>
      <c r="E20" s="460"/>
      <c r="F20" s="461" t="s">
        <v>624</v>
      </c>
      <c r="G20" s="342"/>
      <c r="H20" s="176"/>
      <c r="I20" s="176"/>
      <c r="J20" s="346"/>
      <c r="K20" s="462"/>
      <c r="L20" s="346"/>
      <c r="M20" s="463"/>
      <c r="N20" s="345"/>
      <c r="O20" s="412"/>
      <c r="P20" s="413"/>
      <c r="Q20" s="464"/>
      <c r="R20" s="465">
        <f>IFERROR(VLOOKUP(1,'Data Validation'!$O$2:$P$25,2,FALSE),"")</f>
        <v>45906</v>
      </c>
      <c r="S20" s="465" t="str">
        <f>IFERROR(VLOOKUP($P20,'Data Validation'!$O$2:$P$25,2,FALSE),"")</f>
        <v/>
      </c>
      <c r="T20" s="419" t="e">
        <f ca="1">INDEX(INDIRECT(INDEX(ControlRoom[اجمالي الالتزام],MATCH(تفصيلي!Q20,Control!$B$2:$B$12,0))),MATCH(CONCATENATE(O20,P20),INDIRECT(INDEX(ControlRoom[المبلغ],MATCH(تفصيلي!Q20,ControlRoom[التمويل],0))),0))</f>
        <v>#N/A</v>
      </c>
      <c r="U20" s="419" t="e">
        <f ca="1">INDEX(INDIRECT(INDEX(ControlRoom[القسط الشهري],MATCH(تفصيلي!Q20,Control!$B$2:$B$12,0))),MATCH(CONCATENATE(O20,P20),INDIRECT(INDEX(ControlRoom[المبلغ],MATCH(تفصيلي!Q20,ControlRoom[التمويل],0))),0))</f>
        <v>#N/A</v>
      </c>
      <c r="V20" s="420" t="e">
        <f>INDEX(ControlRoom[[فائدة أ]:[فائدة ج]],MATCH(تفصيلي!Q20,ControlRoom[التمويل],0),MATCH(IF(AND(تفصيلي!O20&gt;=Control!$N$2,تفصيلي!O20&lt;=Control!$O$2),Control!$P$2,IF(AND(تفصيلي!O20&gt;=Control!$N$3,تفصيلي!O20&lt;=Control!$O$3),Control!$P$3,IF(AND(تفصيلي!O20&gt;=Control!$N$4,تفصيلي!O20&lt;=Control!$O$4),Control!$P$4,"Out Of Range"))),ControlRoom[[#Headers],[فائدة أ]:[فائدة ج]],0))</f>
        <v>#N/A</v>
      </c>
      <c r="W20" s="419"/>
      <c r="X20" s="466">
        <f t="shared" si="0"/>
        <v>0</v>
      </c>
      <c r="Y20" s="167"/>
      <c r="Z20" s="302">
        <f t="shared" si="1"/>
        <v>0</v>
      </c>
      <c r="AA20" s="166"/>
      <c r="AB20" s="167" t="s">
        <v>624</v>
      </c>
      <c r="AC20" s="167">
        <f t="shared" si="2"/>
        <v>0</v>
      </c>
      <c r="AD20" s="169">
        <f t="shared" si="3"/>
        <v>0</v>
      </c>
      <c r="AE20" s="174"/>
      <c r="AF20" s="303">
        <f t="shared" si="4"/>
        <v>0</v>
      </c>
      <c r="AG20" s="168"/>
      <c r="AH20" s="174" t="s">
        <v>624</v>
      </c>
      <c r="AI20" s="169">
        <f t="shared" si="5"/>
        <v>0</v>
      </c>
      <c r="AJ20" s="172"/>
      <c r="AK20" s="175"/>
      <c r="AL20" s="170"/>
      <c r="AM20" s="171"/>
      <c r="AN20" s="175"/>
      <c r="AO20" s="172"/>
      <c r="AP20" s="467"/>
      <c r="AQ20" s="468"/>
      <c r="AR20" s="469"/>
      <c r="AS20" s="470"/>
      <c r="AT20" s="471"/>
      <c r="AU20" s="471"/>
      <c r="AV20" s="472"/>
      <c r="AW20" s="472"/>
      <c r="AX20" s="473" t="str">
        <f t="shared" si="6"/>
        <v xml:space="preserve"> ,</v>
      </c>
      <c r="AY20" s="473" t="str">
        <f t="shared" si="7"/>
        <v xml:space="preserve"> / </v>
      </c>
      <c r="AZ20" s="474"/>
      <c r="BA20" s="475"/>
      <c r="BB20" s="474"/>
      <c r="BC20" s="474"/>
      <c r="BD20" s="475"/>
      <c r="BE20" s="474"/>
    </row>
    <row r="21" spans="1:57" s="476" customFormat="1" ht="21.6" customHeight="1">
      <c r="A21" s="341">
        <f t="shared" si="8"/>
        <v>16</v>
      </c>
      <c r="B21" s="479"/>
      <c r="C21" s="477"/>
      <c r="D21" s="342"/>
      <c r="E21" s="460"/>
      <c r="F21" s="461" t="s">
        <v>624</v>
      </c>
      <c r="G21" s="342"/>
      <c r="H21" s="176"/>
      <c r="I21" s="176"/>
      <c r="J21" s="346"/>
      <c r="K21" s="462"/>
      <c r="L21" s="346"/>
      <c r="M21" s="463"/>
      <c r="N21" s="345"/>
      <c r="O21" s="412"/>
      <c r="P21" s="413"/>
      <c r="Q21" s="464"/>
      <c r="R21" s="465">
        <f>IFERROR(VLOOKUP(1,'Data Validation'!$O$2:$P$25,2,FALSE),"")</f>
        <v>45906</v>
      </c>
      <c r="S21" s="465" t="str">
        <f>IFERROR(VLOOKUP($P21,'Data Validation'!$O$2:$P$25,2,FALSE),"")</f>
        <v/>
      </c>
      <c r="T21" s="419" t="e">
        <f ca="1">INDEX(INDIRECT(INDEX(ControlRoom[اجمالي الالتزام],MATCH(تفصيلي!Q21,Control!$B$2:$B$12,0))),MATCH(CONCATENATE(O21,P21),INDIRECT(INDEX(ControlRoom[المبلغ],MATCH(تفصيلي!Q21,ControlRoom[التمويل],0))),0))</f>
        <v>#N/A</v>
      </c>
      <c r="U21" s="419" t="e">
        <f ca="1">INDEX(INDIRECT(INDEX(ControlRoom[القسط الشهري],MATCH(تفصيلي!Q21,Control!$B$2:$B$12,0))),MATCH(CONCATENATE(O21,P21),INDIRECT(INDEX(ControlRoom[المبلغ],MATCH(تفصيلي!Q21,ControlRoom[التمويل],0))),0))</f>
        <v>#N/A</v>
      </c>
      <c r="V21" s="420" t="e">
        <f>INDEX(ControlRoom[[فائدة أ]:[فائدة ج]],MATCH(تفصيلي!Q21,ControlRoom[التمويل],0),MATCH(IF(AND(تفصيلي!O21&gt;=Control!$N$2,تفصيلي!O21&lt;=Control!$O$2),Control!$P$2,IF(AND(تفصيلي!O21&gt;=Control!$N$3,تفصيلي!O21&lt;=Control!$O$3),Control!$P$3,IF(AND(تفصيلي!O21&gt;=Control!$N$4,تفصيلي!O21&lt;=Control!$O$4),Control!$P$4,"Out Of Range"))),ControlRoom[[#Headers],[فائدة أ]:[فائدة ج]],0))</f>
        <v>#N/A</v>
      </c>
      <c r="W21" s="419"/>
      <c r="X21" s="466">
        <f t="shared" si="0"/>
        <v>0</v>
      </c>
      <c r="Y21" s="167"/>
      <c r="Z21" s="302">
        <f t="shared" si="1"/>
        <v>0</v>
      </c>
      <c r="AA21" s="166"/>
      <c r="AB21" s="167" t="s">
        <v>624</v>
      </c>
      <c r="AC21" s="167">
        <f t="shared" si="2"/>
        <v>0</v>
      </c>
      <c r="AD21" s="169">
        <f t="shared" si="3"/>
        <v>0</v>
      </c>
      <c r="AE21" s="174"/>
      <c r="AF21" s="303">
        <f t="shared" si="4"/>
        <v>0</v>
      </c>
      <c r="AG21" s="168"/>
      <c r="AH21" s="174" t="s">
        <v>624</v>
      </c>
      <c r="AI21" s="169">
        <f t="shared" si="5"/>
        <v>0</v>
      </c>
      <c r="AJ21" s="172"/>
      <c r="AK21" s="175"/>
      <c r="AL21" s="170"/>
      <c r="AM21" s="171"/>
      <c r="AN21" s="175"/>
      <c r="AO21" s="172"/>
      <c r="AP21" s="467"/>
      <c r="AQ21" s="468"/>
      <c r="AR21" s="469"/>
      <c r="AS21" s="173"/>
      <c r="AT21" s="471"/>
      <c r="AU21" s="471"/>
      <c r="AV21" s="472"/>
      <c r="AW21" s="472"/>
      <c r="AX21" s="473" t="str">
        <f t="shared" si="6"/>
        <v xml:space="preserve"> ,</v>
      </c>
      <c r="AY21" s="473" t="str">
        <f t="shared" si="7"/>
        <v xml:space="preserve"> / </v>
      </c>
      <c r="AZ21" s="474"/>
      <c r="BA21" s="475"/>
      <c r="BB21" s="474"/>
      <c r="BC21" s="474"/>
      <c r="BD21" s="475"/>
      <c r="BE21" s="474"/>
    </row>
    <row r="22" spans="1:57" s="476" customFormat="1" ht="21.6" customHeight="1">
      <c r="A22" s="341">
        <f t="shared" si="8"/>
        <v>17</v>
      </c>
      <c r="B22" s="479"/>
      <c r="C22" s="477"/>
      <c r="D22" s="342"/>
      <c r="E22" s="460"/>
      <c r="F22" s="461" t="s">
        <v>624</v>
      </c>
      <c r="G22" s="342"/>
      <c r="H22" s="176"/>
      <c r="I22" s="176"/>
      <c r="J22" s="346"/>
      <c r="K22" s="462"/>
      <c r="L22" s="346"/>
      <c r="M22" s="463"/>
      <c r="N22" s="345"/>
      <c r="O22" s="412"/>
      <c r="P22" s="413"/>
      <c r="Q22" s="464"/>
      <c r="R22" s="465">
        <f>IFERROR(VLOOKUP(1,'Data Validation'!$O$2:$P$25,2,FALSE),"")</f>
        <v>45906</v>
      </c>
      <c r="S22" s="465" t="str">
        <f>IFERROR(VLOOKUP($P22,'Data Validation'!$O$2:$P$25,2,FALSE),"")</f>
        <v/>
      </c>
      <c r="T22" s="419" t="e">
        <f ca="1">INDEX(INDIRECT(INDEX(ControlRoom[اجمالي الالتزام],MATCH(تفصيلي!Q22,Control!$B$2:$B$12,0))),MATCH(CONCATENATE(O22,P22),INDIRECT(INDEX(ControlRoom[المبلغ],MATCH(تفصيلي!Q22,ControlRoom[التمويل],0))),0))</f>
        <v>#N/A</v>
      </c>
      <c r="U22" s="419" t="e">
        <f ca="1">INDEX(INDIRECT(INDEX(ControlRoom[القسط الشهري],MATCH(تفصيلي!Q22,Control!$B$2:$B$12,0))),MATCH(CONCATENATE(O22,P22),INDIRECT(INDEX(ControlRoom[المبلغ],MATCH(تفصيلي!Q22,ControlRoom[التمويل],0))),0))</f>
        <v>#N/A</v>
      </c>
      <c r="V22" s="420" t="e">
        <f>INDEX(ControlRoom[[فائدة أ]:[فائدة ج]],MATCH(تفصيلي!Q22,ControlRoom[التمويل],0),MATCH(IF(AND(تفصيلي!O22&gt;=Control!$N$2,تفصيلي!O22&lt;=Control!$O$2),Control!$P$2,IF(AND(تفصيلي!O22&gt;=Control!$N$3,تفصيلي!O22&lt;=Control!$O$3),Control!$P$3,IF(AND(تفصيلي!O22&gt;=Control!$N$4,تفصيلي!O22&lt;=Control!$O$4),Control!$P$4,"Out Of Range"))),ControlRoom[[#Headers],[فائدة أ]:[فائدة ج]],0))</f>
        <v>#N/A</v>
      </c>
      <c r="W22" s="419"/>
      <c r="X22" s="466">
        <f t="shared" si="0"/>
        <v>0</v>
      </c>
      <c r="Y22" s="167"/>
      <c r="Z22" s="302">
        <f t="shared" si="1"/>
        <v>0</v>
      </c>
      <c r="AA22" s="166"/>
      <c r="AB22" s="167" t="s">
        <v>624</v>
      </c>
      <c r="AC22" s="167">
        <f t="shared" si="2"/>
        <v>0</v>
      </c>
      <c r="AD22" s="169">
        <f t="shared" si="3"/>
        <v>0</v>
      </c>
      <c r="AE22" s="174"/>
      <c r="AF22" s="303">
        <f t="shared" si="4"/>
        <v>0</v>
      </c>
      <c r="AG22" s="168"/>
      <c r="AH22" s="174" t="s">
        <v>624</v>
      </c>
      <c r="AI22" s="169">
        <f t="shared" si="5"/>
        <v>0</v>
      </c>
      <c r="AJ22" s="172"/>
      <c r="AK22" s="175"/>
      <c r="AL22" s="170"/>
      <c r="AM22" s="171"/>
      <c r="AN22" s="175"/>
      <c r="AO22" s="172"/>
      <c r="AP22" s="467"/>
      <c r="AQ22" s="468"/>
      <c r="AR22" s="469"/>
      <c r="AS22" s="470"/>
      <c r="AT22" s="471"/>
      <c r="AU22" s="471"/>
      <c r="AV22" s="472"/>
      <c r="AW22" s="472"/>
      <c r="AX22" s="473" t="str">
        <f t="shared" si="6"/>
        <v xml:space="preserve"> ,</v>
      </c>
      <c r="AY22" s="473" t="str">
        <f t="shared" si="7"/>
        <v xml:space="preserve"> / </v>
      </c>
      <c r="AZ22" s="474"/>
      <c r="BA22" s="475"/>
      <c r="BB22" s="474"/>
      <c r="BC22" s="474"/>
      <c r="BD22" s="475"/>
      <c r="BE22" s="474"/>
    </row>
    <row r="23" spans="1:57" s="476" customFormat="1" ht="21.6" customHeight="1">
      <c r="A23" s="341">
        <f t="shared" si="8"/>
        <v>18</v>
      </c>
      <c r="B23" s="479"/>
      <c r="C23" s="477"/>
      <c r="D23" s="342"/>
      <c r="E23" s="460"/>
      <c r="F23" s="461" t="s">
        <v>624</v>
      </c>
      <c r="G23" s="342"/>
      <c r="H23" s="176"/>
      <c r="I23" s="176"/>
      <c r="J23" s="346"/>
      <c r="K23" s="462"/>
      <c r="L23" s="346"/>
      <c r="M23" s="463"/>
      <c r="N23" s="345"/>
      <c r="O23" s="412"/>
      <c r="P23" s="413"/>
      <c r="Q23" s="464"/>
      <c r="R23" s="465">
        <f>IFERROR(VLOOKUP(1,'Data Validation'!$O$2:$P$25,2,FALSE),"")</f>
        <v>45906</v>
      </c>
      <c r="S23" s="465" t="str">
        <f>IFERROR(VLOOKUP($P23,'Data Validation'!$O$2:$P$25,2,FALSE),"")</f>
        <v/>
      </c>
      <c r="T23" s="419" t="e">
        <f ca="1">INDEX(INDIRECT(INDEX(ControlRoom[اجمالي الالتزام],MATCH(تفصيلي!Q23,Control!$B$2:$B$12,0))),MATCH(CONCATENATE(O23,P23),INDIRECT(INDEX(ControlRoom[المبلغ],MATCH(تفصيلي!Q23,ControlRoom[التمويل],0))),0))</f>
        <v>#N/A</v>
      </c>
      <c r="U23" s="419" t="e">
        <f ca="1">INDEX(INDIRECT(INDEX(ControlRoom[القسط الشهري],MATCH(تفصيلي!Q23,Control!$B$2:$B$12,0))),MATCH(CONCATENATE(O23,P23),INDIRECT(INDEX(ControlRoom[المبلغ],MATCH(تفصيلي!Q23,ControlRoom[التمويل],0))),0))</f>
        <v>#N/A</v>
      </c>
      <c r="V23" s="420" t="e">
        <f>INDEX(ControlRoom[[فائدة أ]:[فائدة ج]],MATCH(تفصيلي!Q23,ControlRoom[التمويل],0),MATCH(IF(AND(تفصيلي!O23&gt;=Control!$N$2,تفصيلي!O23&lt;=Control!$O$2),Control!$P$2,IF(AND(تفصيلي!O23&gt;=Control!$N$3,تفصيلي!O23&lt;=Control!$O$3),Control!$P$3,IF(AND(تفصيلي!O23&gt;=Control!$N$4,تفصيلي!O23&lt;=Control!$O$4),Control!$P$4,"Out Of Range"))),ControlRoom[[#Headers],[فائدة أ]:[فائدة ج]],0))</f>
        <v>#N/A</v>
      </c>
      <c r="W23" s="419"/>
      <c r="X23" s="466">
        <f t="shared" si="0"/>
        <v>0</v>
      </c>
      <c r="Y23" s="167"/>
      <c r="Z23" s="302">
        <f t="shared" si="1"/>
        <v>0</v>
      </c>
      <c r="AA23" s="166"/>
      <c r="AB23" s="167" t="s">
        <v>624</v>
      </c>
      <c r="AC23" s="167">
        <f t="shared" si="2"/>
        <v>0</v>
      </c>
      <c r="AD23" s="169">
        <f t="shared" si="3"/>
        <v>0</v>
      </c>
      <c r="AE23" s="174"/>
      <c r="AF23" s="303">
        <f t="shared" si="4"/>
        <v>0</v>
      </c>
      <c r="AG23" s="168"/>
      <c r="AH23" s="174" t="s">
        <v>624</v>
      </c>
      <c r="AI23" s="169">
        <f t="shared" si="5"/>
        <v>0</v>
      </c>
      <c r="AJ23" s="172"/>
      <c r="AK23" s="175"/>
      <c r="AL23" s="170"/>
      <c r="AM23" s="171"/>
      <c r="AN23" s="175"/>
      <c r="AO23" s="172"/>
      <c r="AP23" s="467"/>
      <c r="AQ23" s="468"/>
      <c r="AR23" s="469"/>
      <c r="AS23" s="470"/>
      <c r="AT23" s="471"/>
      <c r="AU23" s="471"/>
      <c r="AV23" s="472"/>
      <c r="AW23" s="472"/>
      <c r="AX23" s="473" t="str">
        <f t="shared" si="6"/>
        <v xml:space="preserve"> ,</v>
      </c>
      <c r="AY23" s="473" t="str">
        <f t="shared" si="7"/>
        <v xml:space="preserve"> / </v>
      </c>
      <c r="AZ23" s="474"/>
      <c r="BA23" s="475"/>
      <c r="BB23" s="474"/>
      <c r="BC23" s="474"/>
      <c r="BD23" s="475"/>
      <c r="BE23" s="474"/>
    </row>
    <row r="24" spans="1:57" s="476" customFormat="1" ht="21.6" customHeight="1">
      <c r="A24" s="341">
        <f t="shared" si="8"/>
        <v>19</v>
      </c>
      <c r="B24" s="479"/>
      <c r="C24" s="477"/>
      <c r="D24" s="342"/>
      <c r="E24" s="460"/>
      <c r="F24" s="461" t="s">
        <v>624</v>
      </c>
      <c r="G24" s="342"/>
      <c r="H24" s="176"/>
      <c r="I24" s="176"/>
      <c r="J24" s="346"/>
      <c r="K24" s="462"/>
      <c r="L24" s="346"/>
      <c r="M24" s="463"/>
      <c r="N24" s="345"/>
      <c r="O24" s="412"/>
      <c r="P24" s="413"/>
      <c r="Q24" s="464"/>
      <c r="R24" s="465">
        <f>IFERROR(VLOOKUP(1,'Data Validation'!$O$2:$P$25,2,FALSE),"")</f>
        <v>45906</v>
      </c>
      <c r="S24" s="465" t="str">
        <f>IFERROR(VLOOKUP($P24,'Data Validation'!$O$2:$P$25,2,FALSE),"")</f>
        <v/>
      </c>
      <c r="T24" s="419" t="e">
        <f ca="1">INDEX(INDIRECT(INDEX(ControlRoom[اجمالي الالتزام],MATCH(تفصيلي!Q24,Control!$B$2:$B$12,0))),MATCH(CONCATENATE(O24,P24),INDIRECT(INDEX(ControlRoom[المبلغ],MATCH(تفصيلي!Q24,ControlRoom[التمويل],0))),0))</f>
        <v>#N/A</v>
      </c>
      <c r="U24" s="419" t="e">
        <f ca="1">INDEX(INDIRECT(INDEX(ControlRoom[القسط الشهري],MATCH(تفصيلي!Q24,Control!$B$2:$B$12,0))),MATCH(CONCATENATE(O24,P24),INDIRECT(INDEX(ControlRoom[المبلغ],MATCH(تفصيلي!Q24,ControlRoom[التمويل],0))),0))</f>
        <v>#N/A</v>
      </c>
      <c r="V24" s="420" t="e">
        <f>INDEX(ControlRoom[[فائدة أ]:[فائدة ج]],MATCH(تفصيلي!Q24,ControlRoom[التمويل],0),MATCH(IF(AND(تفصيلي!O24&gt;=Control!$N$2,تفصيلي!O24&lt;=Control!$O$2),Control!$P$2,IF(AND(تفصيلي!O24&gt;=Control!$N$3,تفصيلي!O24&lt;=Control!$O$3),Control!$P$3,IF(AND(تفصيلي!O24&gt;=Control!$N$4,تفصيلي!O24&lt;=Control!$O$4),Control!$P$4,"Out Of Range"))),ControlRoom[[#Headers],[فائدة أ]:[فائدة ج]],0))</f>
        <v>#N/A</v>
      </c>
      <c r="W24" s="419"/>
      <c r="X24" s="466">
        <f t="shared" si="0"/>
        <v>0</v>
      </c>
      <c r="Y24" s="167"/>
      <c r="Z24" s="302">
        <f t="shared" si="1"/>
        <v>0</v>
      </c>
      <c r="AA24" s="166"/>
      <c r="AB24" s="167" t="s">
        <v>624</v>
      </c>
      <c r="AC24" s="167">
        <f t="shared" si="2"/>
        <v>0</v>
      </c>
      <c r="AD24" s="169">
        <f t="shared" si="3"/>
        <v>0</v>
      </c>
      <c r="AE24" s="174"/>
      <c r="AF24" s="303">
        <f t="shared" si="4"/>
        <v>0</v>
      </c>
      <c r="AG24" s="168"/>
      <c r="AH24" s="174" t="s">
        <v>624</v>
      </c>
      <c r="AI24" s="169">
        <f t="shared" si="5"/>
        <v>0</v>
      </c>
      <c r="AJ24" s="172"/>
      <c r="AK24" s="175"/>
      <c r="AL24" s="170"/>
      <c r="AM24" s="171"/>
      <c r="AN24" s="175"/>
      <c r="AO24" s="172"/>
      <c r="AP24" s="467"/>
      <c r="AQ24" s="468"/>
      <c r="AR24" s="469"/>
      <c r="AS24" s="470"/>
      <c r="AT24" s="471"/>
      <c r="AU24" s="471"/>
      <c r="AV24" s="472"/>
      <c r="AW24" s="472"/>
      <c r="AX24" s="473" t="str">
        <f t="shared" si="6"/>
        <v xml:space="preserve"> ,</v>
      </c>
      <c r="AY24" s="473" t="str">
        <f t="shared" si="7"/>
        <v xml:space="preserve"> / </v>
      </c>
      <c r="AZ24" s="474"/>
      <c r="BA24" s="475"/>
      <c r="BB24" s="474"/>
      <c r="BC24" s="474"/>
      <c r="BD24" s="475"/>
      <c r="BE24" s="474"/>
    </row>
    <row r="25" spans="1:57" s="476" customFormat="1" ht="21.6" customHeight="1">
      <c r="A25" s="341">
        <f t="shared" si="8"/>
        <v>20</v>
      </c>
      <c r="B25" s="479"/>
      <c r="C25" s="477"/>
      <c r="D25" s="342"/>
      <c r="E25" s="460"/>
      <c r="F25" s="461" t="s">
        <v>624</v>
      </c>
      <c r="G25" s="342"/>
      <c r="H25" s="176"/>
      <c r="I25" s="176"/>
      <c r="J25" s="346"/>
      <c r="K25" s="462"/>
      <c r="L25" s="346"/>
      <c r="M25" s="463"/>
      <c r="N25" s="345"/>
      <c r="O25" s="412"/>
      <c r="P25" s="413"/>
      <c r="Q25" s="464"/>
      <c r="R25" s="465">
        <f>IFERROR(VLOOKUP(1,'Data Validation'!$O$2:$P$25,2,FALSE),"")</f>
        <v>45906</v>
      </c>
      <c r="S25" s="465" t="str">
        <f>IFERROR(VLOOKUP($P25,'Data Validation'!$O$2:$P$25,2,FALSE),"")</f>
        <v/>
      </c>
      <c r="T25" s="419" t="e">
        <f ca="1">INDEX(INDIRECT(INDEX(ControlRoom[اجمالي الالتزام],MATCH(تفصيلي!Q25,Control!$B$2:$B$12,0))),MATCH(CONCATENATE(O25,P25),INDIRECT(INDEX(ControlRoom[المبلغ],MATCH(تفصيلي!Q25,ControlRoom[التمويل],0))),0))</f>
        <v>#N/A</v>
      </c>
      <c r="U25" s="419" t="e">
        <f ca="1">INDEX(INDIRECT(INDEX(ControlRoom[القسط الشهري],MATCH(تفصيلي!Q25,Control!$B$2:$B$12,0))),MATCH(CONCATENATE(O25,P25),INDIRECT(INDEX(ControlRoom[المبلغ],MATCH(تفصيلي!Q25,ControlRoom[التمويل],0))),0))</f>
        <v>#N/A</v>
      </c>
      <c r="V25" s="420" t="e">
        <f>INDEX(ControlRoom[[فائدة أ]:[فائدة ج]],MATCH(تفصيلي!Q25,ControlRoom[التمويل],0),MATCH(IF(AND(تفصيلي!O25&gt;=Control!$N$2,تفصيلي!O25&lt;=Control!$O$2),Control!$P$2,IF(AND(تفصيلي!O25&gt;=Control!$N$3,تفصيلي!O25&lt;=Control!$O$3),Control!$P$3,IF(AND(تفصيلي!O25&gt;=Control!$N$4,تفصيلي!O25&lt;=Control!$O$4),Control!$P$4,"Out Of Range"))),ControlRoom[[#Headers],[فائدة أ]:[فائدة ج]],0))</f>
        <v>#N/A</v>
      </c>
      <c r="W25" s="419"/>
      <c r="X25" s="466">
        <f t="shared" si="0"/>
        <v>0</v>
      </c>
      <c r="Y25" s="167"/>
      <c r="Z25" s="302">
        <f t="shared" si="1"/>
        <v>0</v>
      </c>
      <c r="AA25" s="166"/>
      <c r="AB25" s="167" t="s">
        <v>624</v>
      </c>
      <c r="AC25" s="167">
        <f t="shared" si="2"/>
        <v>0</v>
      </c>
      <c r="AD25" s="169">
        <f t="shared" si="3"/>
        <v>0</v>
      </c>
      <c r="AE25" s="174"/>
      <c r="AF25" s="303">
        <f t="shared" si="4"/>
        <v>0</v>
      </c>
      <c r="AG25" s="168"/>
      <c r="AH25" s="174" t="s">
        <v>624</v>
      </c>
      <c r="AI25" s="169">
        <f t="shared" si="5"/>
        <v>0</v>
      </c>
      <c r="AJ25" s="172"/>
      <c r="AK25" s="175"/>
      <c r="AL25" s="170"/>
      <c r="AM25" s="171"/>
      <c r="AN25" s="175"/>
      <c r="AO25" s="172"/>
      <c r="AP25" s="467"/>
      <c r="AQ25" s="468"/>
      <c r="AR25" s="469"/>
      <c r="AS25" s="470"/>
      <c r="AT25" s="471"/>
      <c r="AU25" s="471"/>
      <c r="AV25" s="472"/>
      <c r="AW25" s="472"/>
      <c r="AX25" s="473" t="str">
        <f t="shared" si="6"/>
        <v xml:space="preserve"> ,</v>
      </c>
      <c r="AY25" s="473" t="str">
        <f t="shared" si="7"/>
        <v xml:space="preserve"> / </v>
      </c>
      <c r="AZ25" s="474"/>
      <c r="BA25" s="475"/>
      <c r="BB25" s="474"/>
      <c r="BC25" s="474"/>
      <c r="BD25" s="475"/>
      <c r="BE25" s="474"/>
    </row>
    <row r="26" spans="1:57" s="478" customFormat="1" ht="21.6" customHeight="1">
      <c r="A26" s="341">
        <f t="shared" si="8"/>
        <v>21</v>
      </c>
      <c r="B26" s="479"/>
      <c r="C26" s="477"/>
      <c r="D26" s="342"/>
      <c r="E26" s="460"/>
      <c r="F26" s="461" t="s">
        <v>624</v>
      </c>
      <c r="G26" s="342"/>
      <c r="H26" s="176"/>
      <c r="I26" s="176"/>
      <c r="J26" s="346"/>
      <c r="K26" s="462"/>
      <c r="L26" s="346"/>
      <c r="M26" s="463"/>
      <c r="N26" s="345"/>
      <c r="O26" s="412"/>
      <c r="P26" s="413"/>
      <c r="Q26" s="464"/>
      <c r="R26" s="465">
        <f>IFERROR(VLOOKUP(1,'Data Validation'!$O$2:$P$25,2,FALSE),"")</f>
        <v>45906</v>
      </c>
      <c r="S26" s="465" t="str">
        <f>IFERROR(VLOOKUP($P26,'Data Validation'!$O$2:$P$25,2,FALSE),"")</f>
        <v/>
      </c>
      <c r="T26" s="419" t="e">
        <f ca="1">INDEX(INDIRECT(INDEX(ControlRoom[اجمالي الالتزام],MATCH(تفصيلي!Q26,Control!$B$2:$B$12,0))),MATCH(CONCATENATE(O26,P26),INDIRECT(INDEX(ControlRoom[المبلغ],MATCH(تفصيلي!Q26,ControlRoom[التمويل],0))),0))</f>
        <v>#N/A</v>
      </c>
      <c r="U26" s="419" t="e">
        <f ca="1">INDEX(INDIRECT(INDEX(ControlRoom[القسط الشهري],MATCH(تفصيلي!Q26,Control!$B$2:$B$12,0))),MATCH(CONCATENATE(O26,P26),INDIRECT(INDEX(ControlRoom[المبلغ],MATCH(تفصيلي!Q26,ControlRoom[التمويل],0))),0))</f>
        <v>#N/A</v>
      </c>
      <c r="V26" s="420" t="e">
        <f>INDEX(ControlRoom[[فائدة أ]:[فائدة ج]],MATCH(تفصيلي!Q26,ControlRoom[التمويل],0),MATCH(IF(AND(تفصيلي!O26&gt;=Control!$N$2,تفصيلي!O26&lt;=Control!$O$2),Control!$P$2,IF(AND(تفصيلي!O26&gt;=Control!$N$3,تفصيلي!O26&lt;=Control!$O$3),Control!$P$3,IF(AND(تفصيلي!O26&gt;=Control!$N$4,تفصيلي!O26&lt;=Control!$O$4),Control!$P$4,"Out Of Range"))),ControlRoom[[#Headers],[فائدة أ]:[فائدة ج]],0))</f>
        <v>#N/A</v>
      </c>
      <c r="W26" s="419"/>
      <c r="X26" s="466">
        <f t="shared" si="0"/>
        <v>0</v>
      </c>
      <c r="Y26" s="167"/>
      <c r="Z26" s="302">
        <f t="shared" si="1"/>
        <v>0</v>
      </c>
      <c r="AA26" s="166"/>
      <c r="AB26" s="167" t="s">
        <v>624</v>
      </c>
      <c r="AC26" s="167">
        <f t="shared" si="2"/>
        <v>0</v>
      </c>
      <c r="AD26" s="169">
        <f t="shared" si="3"/>
        <v>0</v>
      </c>
      <c r="AE26" s="174"/>
      <c r="AF26" s="303">
        <f t="shared" si="4"/>
        <v>0</v>
      </c>
      <c r="AG26" s="168"/>
      <c r="AH26" s="174" t="s">
        <v>624</v>
      </c>
      <c r="AI26" s="169">
        <f t="shared" si="5"/>
        <v>0</v>
      </c>
      <c r="AJ26" s="172"/>
      <c r="AK26" s="175"/>
      <c r="AL26" s="170"/>
      <c r="AM26" s="171"/>
      <c r="AN26" s="175"/>
      <c r="AO26" s="172"/>
      <c r="AP26" s="467"/>
      <c r="AQ26" s="468"/>
      <c r="AR26" s="469"/>
      <c r="AS26" s="470"/>
      <c r="AT26" s="471"/>
      <c r="AU26" s="471"/>
      <c r="AV26" s="472"/>
      <c r="AW26" s="472"/>
      <c r="AX26" s="473" t="str">
        <f t="shared" si="6"/>
        <v xml:space="preserve"> ,</v>
      </c>
      <c r="AY26" s="473" t="str">
        <f t="shared" si="7"/>
        <v xml:space="preserve"> / </v>
      </c>
      <c r="AZ26" s="474"/>
      <c r="BA26" s="475"/>
      <c r="BB26" s="474"/>
      <c r="BC26" s="474"/>
      <c r="BD26" s="475"/>
      <c r="BE26" s="474"/>
    </row>
    <row r="27" spans="1:57" s="476" customFormat="1" ht="21.6" customHeight="1">
      <c r="A27" s="341">
        <f t="shared" si="8"/>
        <v>22</v>
      </c>
      <c r="B27" s="479"/>
      <c r="C27" s="477"/>
      <c r="D27" s="342"/>
      <c r="E27" s="460"/>
      <c r="F27" s="461" t="s">
        <v>624</v>
      </c>
      <c r="G27" s="342"/>
      <c r="H27" s="176"/>
      <c r="I27" s="176"/>
      <c r="J27" s="346"/>
      <c r="K27" s="462"/>
      <c r="L27" s="346"/>
      <c r="M27" s="463"/>
      <c r="N27" s="345"/>
      <c r="O27" s="412"/>
      <c r="P27" s="413"/>
      <c r="Q27" s="464"/>
      <c r="R27" s="465">
        <f>IFERROR(VLOOKUP(1,'Data Validation'!$O$2:$P$25,2,FALSE),"")</f>
        <v>45906</v>
      </c>
      <c r="S27" s="465" t="str">
        <f>IFERROR(VLOOKUP($P27,'Data Validation'!$O$2:$P$25,2,FALSE),"")</f>
        <v/>
      </c>
      <c r="T27" s="419" t="e">
        <f ca="1">INDEX(INDIRECT(INDEX(ControlRoom[اجمالي الالتزام],MATCH(تفصيلي!Q27,Control!$B$2:$B$12,0))),MATCH(CONCATENATE(O27,P27),INDIRECT(INDEX(ControlRoom[المبلغ],MATCH(تفصيلي!Q27,ControlRoom[التمويل],0))),0))</f>
        <v>#N/A</v>
      </c>
      <c r="U27" s="419" t="e">
        <f ca="1">INDEX(INDIRECT(INDEX(ControlRoom[القسط الشهري],MATCH(تفصيلي!Q27,Control!$B$2:$B$12,0))),MATCH(CONCATENATE(O27,P27),INDIRECT(INDEX(ControlRoom[المبلغ],MATCH(تفصيلي!Q27,ControlRoom[التمويل],0))),0))</f>
        <v>#N/A</v>
      </c>
      <c r="V27" s="420" t="e">
        <f>INDEX(ControlRoom[[فائدة أ]:[فائدة ج]],MATCH(تفصيلي!Q27,ControlRoom[التمويل],0),MATCH(IF(AND(تفصيلي!O27&gt;=Control!$N$2,تفصيلي!O27&lt;=Control!$O$2),Control!$P$2,IF(AND(تفصيلي!O27&gt;=Control!$N$3,تفصيلي!O27&lt;=Control!$O$3),Control!$P$3,IF(AND(تفصيلي!O27&gt;=Control!$N$4,تفصيلي!O27&lt;=Control!$O$4),Control!$P$4,"Out Of Range"))),ControlRoom[[#Headers],[فائدة أ]:[فائدة ج]],0))</f>
        <v>#N/A</v>
      </c>
      <c r="W27" s="419"/>
      <c r="X27" s="466">
        <f t="shared" si="0"/>
        <v>0</v>
      </c>
      <c r="Y27" s="167"/>
      <c r="Z27" s="302">
        <f t="shared" si="1"/>
        <v>0</v>
      </c>
      <c r="AA27" s="166"/>
      <c r="AB27" s="167" t="s">
        <v>624</v>
      </c>
      <c r="AC27" s="167">
        <f t="shared" si="2"/>
        <v>0</v>
      </c>
      <c r="AD27" s="169">
        <f t="shared" si="3"/>
        <v>0</v>
      </c>
      <c r="AE27" s="174"/>
      <c r="AF27" s="303">
        <f t="shared" si="4"/>
        <v>0</v>
      </c>
      <c r="AG27" s="168"/>
      <c r="AH27" s="174" t="s">
        <v>624</v>
      </c>
      <c r="AI27" s="169">
        <f t="shared" si="5"/>
        <v>0</v>
      </c>
      <c r="AJ27" s="172"/>
      <c r="AK27" s="175"/>
      <c r="AL27" s="170"/>
      <c r="AM27" s="171"/>
      <c r="AN27" s="175"/>
      <c r="AO27" s="172"/>
      <c r="AP27" s="467"/>
      <c r="AQ27" s="468"/>
      <c r="AR27" s="469"/>
      <c r="AS27" s="173"/>
      <c r="AT27" s="471"/>
      <c r="AU27" s="471"/>
      <c r="AV27" s="472"/>
      <c r="AW27" s="472"/>
      <c r="AX27" s="473" t="str">
        <f t="shared" si="6"/>
        <v xml:space="preserve"> ,</v>
      </c>
      <c r="AY27" s="473" t="str">
        <f t="shared" si="7"/>
        <v xml:space="preserve"> / </v>
      </c>
      <c r="AZ27" s="474"/>
      <c r="BA27" s="475"/>
      <c r="BB27" s="474"/>
      <c r="BC27" s="474"/>
      <c r="BD27" s="475"/>
      <c r="BE27" s="474"/>
    </row>
    <row r="28" spans="1:57" s="476" customFormat="1" ht="21.6" customHeight="1">
      <c r="A28" s="341">
        <f t="shared" si="8"/>
        <v>23</v>
      </c>
      <c r="B28" s="479"/>
      <c r="C28" s="477"/>
      <c r="D28" s="342"/>
      <c r="E28" s="460"/>
      <c r="F28" s="461" t="s">
        <v>624</v>
      </c>
      <c r="G28" s="342"/>
      <c r="H28" s="176"/>
      <c r="I28" s="176"/>
      <c r="J28" s="346"/>
      <c r="K28" s="462"/>
      <c r="L28" s="346"/>
      <c r="M28" s="463"/>
      <c r="N28" s="345"/>
      <c r="O28" s="412"/>
      <c r="P28" s="413"/>
      <c r="Q28" s="464"/>
      <c r="R28" s="465">
        <f>IFERROR(VLOOKUP(1,'Data Validation'!$O$2:$P$25,2,FALSE),"")</f>
        <v>45906</v>
      </c>
      <c r="S28" s="465" t="str">
        <f>IFERROR(VLOOKUP($P28,'Data Validation'!$O$2:$P$25,2,FALSE),"")</f>
        <v/>
      </c>
      <c r="T28" s="419" t="e">
        <f ca="1">INDEX(INDIRECT(INDEX(ControlRoom[اجمالي الالتزام],MATCH(تفصيلي!Q28,Control!$B$2:$B$12,0))),MATCH(CONCATENATE(O28,P28),INDIRECT(INDEX(ControlRoom[المبلغ],MATCH(تفصيلي!Q28,ControlRoom[التمويل],0))),0))</f>
        <v>#N/A</v>
      </c>
      <c r="U28" s="419" t="e">
        <f ca="1">INDEX(INDIRECT(INDEX(ControlRoom[القسط الشهري],MATCH(تفصيلي!Q28,Control!$B$2:$B$12,0))),MATCH(CONCATENATE(O28,P28),INDIRECT(INDEX(ControlRoom[المبلغ],MATCH(تفصيلي!Q28,ControlRoom[التمويل],0))),0))</f>
        <v>#N/A</v>
      </c>
      <c r="V28" s="420" t="e">
        <f>INDEX(ControlRoom[[فائدة أ]:[فائدة ج]],MATCH(تفصيلي!Q28,ControlRoom[التمويل],0),MATCH(IF(AND(تفصيلي!O28&gt;=Control!$N$2,تفصيلي!O28&lt;=Control!$O$2),Control!$P$2,IF(AND(تفصيلي!O28&gt;=Control!$N$3,تفصيلي!O28&lt;=Control!$O$3),Control!$P$3,IF(AND(تفصيلي!O28&gt;=Control!$N$4,تفصيلي!O28&lt;=Control!$O$4),Control!$P$4,"Out Of Range"))),ControlRoom[[#Headers],[فائدة أ]:[فائدة ج]],0))</f>
        <v>#N/A</v>
      </c>
      <c r="W28" s="419"/>
      <c r="X28" s="466">
        <f t="shared" si="0"/>
        <v>0</v>
      </c>
      <c r="Y28" s="167"/>
      <c r="Z28" s="302">
        <f t="shared" si="1"/>
        <v>0</v>
      </c>
      <c r="AA28" s="166"/>
      <c r="AB28" s="167" t="s">
        <v>624</v>
      </c>
      <c r="AC28" s="167">
        <f t="shared" si="2"/>
        <v>0</v>
      </c>
      <c r="AD28" s="169">
        <f t="shared" si="3"/>
        <v>0</v>
      </c>
      <c r="AE28" s="174"/>
      <c r="AF28" s="303">
        <f t="shared" si="4"/>
        <v>0</v>
      </c>
      <c r="AG28" s="168"/>
      <c r="AH28" s="174" t="s">
        <v>624</v>
      </c>
      <c r="AI28" s="169">
        <f t="shared" si="5"/>
        <v>0</v>
      </c>
      <c r="AJ28" s="172"/>
      <c r="AK28" s="175"/>
      <c r="AL28" s="170"/>
      <c r="AM28" s="171"/>
      <c r="AN28" s="175"/>
      <c r="AO28" s="172"/>
      <c r="AP28" s="467"/>
      <c r="AQ28" s="468"/>
      <c r="AR28" s="469"/>
      <c r="AS28" s="470"/>
      <c r="AT28" s="471"/>
      <c r="AU28" s="471"/>
      <c r="AV28" s="472"/>
      <c r="AW28" s="472"/>
      <c r="AX28" s="473" t="str">
        <f t="shared" si="6"/>
        <v xml:space="preserve"> ,</v>
      </c>
      <c r="AY28" s="473" t="str">
        <f t="shared" si="7"/>
        <v xml:space="preserve"> / </v>
      </c>
      <c r="AZ28" s="474"/>
      <c r="BA28" s="475"/>
      <c r="BB28" s="474"/>
      <c r="BC28" s="474"/>
      <c r="BD28" s="475"/>
      <c r="BE28" s="474"/>
    </row>
    <row r="29" spans="1:57" s="476" customFormat="1" ht="21.6" customHeight="1">
      <c r="A29" s="341">
        <f t="shared" si="8"/>
        <v>24</v>
      </c>
      <c r="B29" s="479"/>
      <c r="C29" s="477"/>
      <c r="D29" s="342"/>
      <c r="E29" s="460"/>
      <c r="F29" s="461" t="s">
        <v>624</v>
      </c>
      <c r="G29" s="342"/>
      <c r="H29" s="176"/>
      <c r="I29" s="176"/>
      <c r="J29" s="346"/>
      <c r="K29" s="462"/>
      <c r="L29" s="346"/>
      <c r="M29" s="463"/>
      <c r="N29" s="345"/>
      <c r="O29" s="412"/>
      <c r="P29" s="413"/>
      <c r="Q29" s="464"/>
      <c r="R29" s="465">
        <f>IFERROR(VLOOKUP(1,'Data Validation'!$O$2:$P$25,2,FALSE),"")</f>
        <v>45906</v>
      </c>
      <c r="S29" s="465" t="str">
        <f>IFERROR(VLOOKUP($P29,'Data Validation'!$O$2:$P$25,2,FALSE),"")</f>
        <v/>
      </c>
      <c r="T29" s="419" t="e">
        <f ca="1">INDEX(INDIRECT(INDEX(ControlRoom[اجمالي الالتزام],MATCH(تفصيلي!Q29,Control!$B$2:$B$12,0))),MATCH(CONCATENATE(O29,P29),INDIRECT(INDEX(ControlRoom[المبلغ],MATCH(تفصيلي!Q29,ControlRoom[التمويل],0))),0))</f>
        <v>#N/A</v>
      </c>
      <c r="U29" s="419" t="e">
        <f ca="1">INDEX(INDIRECT(INDEX(ControlRoom[القسط الشهري],MATCH(تفصيلي!Q29,Control!$B$2:$B$12,0))),MATCH(CONCATENATE(O29,P29),INDIRECT(INDEX(ControlRoom[المبلغ],MATCH(تفصيلي!Q29,ControlRoom[التمويل],0))),0))</f>
        <v>#N/A</v>
      </c>
      <c r="V29" s="420" t="e">
        <f>INDEX(ControlRoom[[فائدة أ]:[فائدة ج]],MATCH(تفصيلي!Q29,ControlRoom[التمويل],0),MATCH(IF(AND(تفصيلي!O29&gt;=Control!$N$2,تفصيلي!O29&lt;=Control!$O$2),Control!$P$2,IF(AND(تفصيلي!O29&gt;=Control!$N$3,تفصيلي!O29&lt;=Control!$O$3),Control!$P$3,IF(AND(تفصيلي!O29&gt;=Control!$N$4,تفصيلي!O29&lt;=Control!$O$4),Control!$P$4,"Out Of Range"))),ControlRoom[[#Headers],[فائدة أ]:[فائدة ج]],0))</f>
        <v>#N/A</v>
      </c>
      <c r="W29" s="419"/>
      <c r="X29" s="466">
        <f t="shared" si="0"/>
        <v>0</v>
      </c>
      <c r="Y29" s="167"/>
      <c r="Z29" s="302">
        <f t="shared" si="1"/>
        <v>0</v>
      </c>
      <c r="AA29" s="166"/>
      <c r="AB29" s="167" t="s">
        <v>624</v>
      </c>
      <c r="AC29" s="167">
        <f t="shared" si="2"/>
        <v>0</v>
      </c>
      <c r="AD29" s="169">
        <f t="shared" si="3"/>
        <v>0</v>
      </c>
      <c r="AE29" s="174"/>
      <c r="AF29" s="303">
        <f t="shared" si="4"/>
        <v>0</v>
      </c>
      <c r="AG29" s="168"/>
      <c r="AH29" s="174" t="s">
        <v>624</v>
      </c>
      <c r="AI29" s="169">
        <f t="shared" si="5"/>
        <v>0</v>
      </c>
      <c r="AJ29" s="172"/>
      <c r="AK29" s="175"/>
      <c r="AL29" s="170"/>
      <c r="AM29" s="171"/>
      <c r="AN29" s="175"/>
      <c r="AO29" s="172"/>
      <c r="AP29" s="467"/>
      <c r="AQ29" s="468"/>
      <c r="AR29" s="469"/>
      <c r="AS29" s="470"/>
      <c r="AT29" s="471"/>
      <c r="AU29" s="471"/>
      <c r="AV29" s="472"/>
      <c r="AW29" s="472"/>
      <c r="AX29" s="473" t="str">
        <f t="shared" si="6"/>
        <v xml:space="preserve"> ,</v>
      </c>
      <c r="AY29" s="473" t="str">
        <f t="shared" si="7"/>
        <v xml:space="preserve"> / </v>
      </c>
      <c r="AZ29" s="474"/>
      <c r="BA29" s="475"/>
      <c r="BB29" s="474"/>
      <c r="BC29" s="474"/>
      <c r="BD29" s="475"/>
      <c r="BE29" s="474"/>
    </row>
    <row r="30" spans="1:57" s="476" customFormat="1" ht="21.6" customHeight="1">
      <c r="A30" s="341">
        <f t="shared" si="8"/>
        <v>25</v>
      </c>
      <c r="B30" s="479"/>
      <c r="C30" s="477"/>
      <c r="D30" s="342"/>
      <c r="E30" s="460"/>
      <c r="F30" s="461" t="s">
        <v>624</v>
      </c>
      <c r="G30" s="342"/>
      <c r="H30" s="176"/>
      <c r="I30" s="176"/>
      <c r="J30" s="346"/>
      <c r="K30" s="462"/>
      <c r="L30" s="346"/>
      <c r="M30" s="463"/>
      <c r="N30" s="345"/>
      <c r="O30" s="412"/>
      <c r="P30" s="413"/>
      <c r="Q30" s="464"/>
      <c r="R30" s="465">
        <f>IFERROR(VLOOKUP(1,'Data Validation'!$O$2:$P$25,2,FALSE),"")</f>
        <v>45906</v>
      </c>
      <c r="S30" s="465" t="str">
        <f>IFERROR(VLOOKUP($P30,'Data Validation'!$O$2:$P$25,2,FALSE),"")</f>
        <v/>
      </c>
      <c r="T30" s="419" t="e">
        <f ca="1">INDEX(INDIRECT(INDEX(ControlRoom[اجمالي الالتزام],MATCH(تفصيلي!Q30,Control!$B$2:$B$12,0))),MATCH(CONCATENATE(O30,P30),INDIRECT(INDEX(ControlRoom[المبلغ],MATCH(تفصيلي!Q30,ControlRoom[التمويل],0))),0))</f>
        <v>#N/A</v>
      </c>
      <c r="U30" s="419" t="e">
        <f ca="1">INDEX(INDIRECT(INDEX(ControlRoom[القسط الشهري],MATCH(تفصيلي!Q30,Control!$B$2:$B$12,0))),MATCH(CONCATENATE(O30,P30),INDIRECT(INDEX(ControlRoom[المبلغ],MATCH(تفصيلي!Q30,ControlRoom[التمويل],0))),0))</f>
        <v>#N/A</v>
      </c>
      <c r="V30" s="420" t="e">
        <f>INDEX(ControlRoom[[فائدة أ]:[فائدة ج]],MATCH(تفصيلي!Q30,ControlRoom[التمويل],0),MATCH(IF(AND(تفصيلي!O30&gt;=Control!$N$2,تفصيلي!O30&lt;=Control!$O$2),Control!$P$2,IF(AND(تفصيلي!O30&gt;=Control!$N$3,تفصيلي!O30&lt;=Control!$O$3),Control!$P$3,IF(AND(تفصيلي!O30&gt;=Control!$N$4,تفصيلي!O30&lt;=Control!$O$4),Control!$P$4,"Out Of Range"))),ControlRoom[[#Headers],[فائدة أ]:[فائدة ج]],0))</f>
        <v>#N/A</v>
      </c>
      <c r="W30" s="419"/>
      <c r="X30" s="466">
        <f t="shared" si="0"/>
        <v>0</v>
      </c>
      <c r="Y30" s="167"/>
      <c r="Z30" s="302">
        <f t="shared" si="1"/>
        <v>0</v>
      </c>
      <c r="AA30" s="166"/>
      <c r="AB30" s="167" t="s">
        <v>624</v>
      </c>
      <c r="AC30" s="167">
        <f t="shared" si="2"/>
        <v>0</v>
      </c>
      <c r="AD30" s="169">
        <f t="shared" si="3"/>
        <v>0</v>
      </c>
      <c r="AE30" s="174"/>
      <c r="AF30" s="303">
        <f t="shared" si="4"/>
        <v>0</v>
      </c>
      <c r="AG30" s="168"/>
      <c r="AH30" s="174" t="s">
        <v>624</v>
      </c>
      <c r="AI30" s="169">
        <f t="shared" si="5"/>
        <v>0</v>
      </c>
      <c r="AJ30" s="172"/>
      <c r="AK30" s="175"/>
      <c r="AL30" s="170"/>
      <c r="AM30" s="171"/>
      <c r="AN30" s="175"/>
      <c r="AO30" s="172"/>
      <c r="AP30" s="467"/>
      <c r="AQ30" s="468"/>
      <c r="AR30" s="469"/>
      <c r="AS30" s="173"/>
      <c r="AT30" s="471"/>
      <c r="AU30" s="471"/>
      <c r="AV30" s="472"/>
      <c r="AW30" s="472"/>
      <c r="AX30" s="473" t="str">
        <f t="shared" si="6"/>
        <v xml:space="preserve"> ,</v>
      </c>
      <c r="AY30" s="473" t="str">
        <f t="shared" si="7"/>
        <v xml:space="preserve"> / </v>
      </c>
      <c r="AZ30" s="474"/>
      <c r="BA30" s="475"/>
      <c r="BB30" s="474"/>
      <c r="BC30" s="474"/>
      <c r="BD30" s="475"/>
      <c r="BE30" s="474"/>
    </row>
    <row r="31" spans="1:57" s="476" customFormat="1" ht="21.6" customHeight="1">
      <c r="A31" s="341">
        <f t="shared" si="8"/>
        <v>26</v>
      </c>
      <c r="B31" s="479"/>
      <c r="C31" s="477"/>
      <c r="D31" s="342"/>
      <c r="E31" s="460"/>
      <c r="F31" s="461" t="s">
        <v>624</v>
      </c>
      <c r="G31" s="342"/>
      <c r="H31" s="176"/>
      <c r="I31" s="176"/>
      <c r="J31" s="346"/>
      <c r="K31" s="462"/>
      <c r="L31" s="346"/>
      <c r="M31" s="463"/>
      <c r="N31" s="345"/>
      <c r="O31" s="412"/>
      <c r="P31" s="413"/>
      <c r="Q31" s="464"/>
      <c r="R31" s="465">
        <f>IFERROR(VLOOKUP(1,'Data Validation'!$O$2:$P$25,2,FALSE),"")</f>
        <v>45906</v>
      </c>
      <c r="S31" s="465" t="str">
        <f>IFERROR(VLOOKUP($P31,'Data Validation'!$O$2:$P$25,2,FALSE),"")</f>
        <v/>
      </c>
      <c r="T31" s="419" t="e">
        <f ca="1">INDEX(INDIRECT(INDEX(ControlRoom[اجمالي الالتزام],MATCH(تفصيلي!Q31,Control!$B$2:$B$12,0))),MATCH(CONCATENATE(O31,P31),INDIRECT(INDEX(ControlRoom[المبلغ],MATCH(تفصيلي!Q31,ControlRoom[التمويل],0))),0))</f>
        <v>#N/A</v>
      </c>
      <c r="U31" s="419" t="e">
        <f ca="1">INDEX(INDIRECT(INDEX(ControlRoom[القسط الشهري],MATCH(تفصيلي!Q31,Control!$B$2:$B$12,0))),MATCH(CONCATENATE(O31,P31),INDIRECT(INDEX(ControlRoom[المبلغ],MATCH(تفصيلي!Q31,ControlRoom[التمويل],0))),0))</f>
        <v>#N/A</v>
      </c>
      <c r="V31" s="420" t="e">
        <f>INDEX(ControlRoom[[فائدة أ]:[فائدة ج]],MATCH(تفصيلي!Q31,ControlRoom[التمويل],0),MATCH(IF(AND(تفصيلي!O31&gt;=Control!$N$2,تفصيلي!O31&lt;=Control!$O$2),Control!$P$2,IF(AND(تفصيلي!O31&gt;=Control!$N$3,تفصيلي!O31&lt;=Control!$O$3),Control!$P$3,IF(AND(تفصيلي!O31&gt;=Control!$N$4,تفصيلي!O31&lt;=Control!$O$4),Control!$P$4,"Out Of Range"))),ControlRoom[[#Headers],[فائدة أ]:[فائدة ج]],0))</f>
        <v>#N/A</v>
      </c>
      <c r="W31" s="419"/>
      <c r="X31" s="466">
        <f t="shared" si="0"/>
        <v>0</v>
      </c>
      <c r="Y31" s="167"/>
      <c r="Z31" s="302">
        <f t="shared" si="1"/>
        <v>0</v>
      </c>
      <c r="AA31" s="166"/>
      <c r="AB31" s="167" t="s">
        <v>624</v>
      </c>
      <c r="AC31" s="167">
        <f t="shared" si="2"/>
        <v>0</v>
      </c>
      <c r="AD31" s="169">
        <f t="shared" si="3"/>
        <v>0</v>
      </c>
      <c r="AE31" s="174"/>
      <c r="AF31" s="303">
        <f t="shared" si="4"/>
        <v>0</v>
      </c>
      <c r="AG31" s="168"/>
      <c r="AH31" s="174" t="s">
        <v>624</v>
      </c>
      <c r="AI31" s="169">
        <f t="shared" si="5"/>
        <v>0</v>
      </c>
      <c r="AJ31" s="172"/>
      <c r="AK31" s="175"/>
      <c r="AL31" s="170"/>
      <c r="AM31" s="171"/>
      <c r="AN31" s="175"/>
      <c r="AO31" s="172"/>
      <c r="AP31" s="467"/>
      <c r="AQ31" s="468"/>
      <c r="AR31" s="469"/>
      <c r="AS31" s="470"/>
      <c r="AT31" s="471"/>
      <c r="AU31" s="471"/>
      <c r="AV31" s="472"/>
      <c r="AW31" s="472"/>
      <c r="AX31" s="473" t="str">
        <f t="shared" si="6"/>
        <v xml:space="preserve"> ,</v>
      </c>
      <c r="AY31" s="473" t="str">
        <f t="shared" si="7"/>
        <v xml:space="preserve"> / </v>
      </c>
      <c r="AZ31" s="474"/>
      <c r="BA31" s="475"/>
      <c r="BB31" s="474"/>
      <c r="BC31" s="474"/>
      <c r="BD31" s="475"/>
      <c r="BE31" s="474"/>
    </row>
    <row r="32" spans="1:57" s="476" customFormat="1" ht="21.6" customHeight="1">
      <c r="A32" s="341">
        <f t="shared" si="8"/>
        <v>27</v>
      </c>
      <c r="B32" s="479"/>
      <c r="C32" s="477"/>
      <c r="D32" s="342"/>
      <c r="E32" s="460"/>
      <c r="F32" s="461" t="s">
        <v>624</v>
      </c>
      <c r="G32" s="342"/>
      <c r="H32" s="176"/>
      <c r="I32" s="176"/>
      <c r="J32" s="346"/>
      <c r="K32" s="462"/>
      <c r="L32" s="346"/>
      <c r="M32" s="463"/>
      <c r="N32" s="345"/>
      <c r="O32" s="412"/>
      <c r="P32" s="413"/>
      <c r="Q32" s="464"/>
      <c r="R32" s="465">
        <f>IFERROR(VLOOKUP(1,'Data Validation'!$O$2:$P$25,2,FALSE),"")</f>
        <v>45906</v>
      </c>
      <c r="S32" s="465" t="str">
        <f>IFERROR(VLOOKUP($P32,'Data Validation'!$O$2:$P$25,2,FALSE),"")</f>
        <v/>
      </c>
      <c r="T32" s="419" t="e">
        <f ca="1">INDEX(INDIRECT(INDEX(ControlRoom[اجمالي الالتزام],MATCH(تفصيلي!Q32,Control!$B$2:$B$12,0))),MATCH(CONCATENATE(O32,P32),INDIRECT(INDEX(ControlRoom[المبلغ],MATCH(تفصيلي!Q32,ControlRoom[التمويل],0))),0))</f>
        <v>#N/A</v>
      </c>
      <c r="U32" s="419" t="e">
        <f ca="1">INDEX(INDIRECT(INDEX(ControlRoom[القسط الشهري],MATCH(تفصيلي!Q32,Control!$B$2:$B$12,0))),MATCH(CONCATENATE(O32,P32),INDIRECT(INDEX(ControlRoom[المبلغ],MATCH(تفصيلي!Q32,ControlRoom[التمويل],0))),0))</f>
        <v>#N/A</v>
      </c>
      <c r="V32" s="420" t="e">
        <f>INDEX(ControlRoom[[فائدة أ]:[فائدة ج]],MATCH(تفصيلي!Q32,ControlRoom[التمويل],0),MATCH(IF(AND(تفصيلي!O32&gt;=Control!$N$2,تفصيلي!O32&lt;=Control!$O$2),Control!$P$2,IF(AND(تفصيلي!O32&gt;=Control!$N$3,تفصيلي!O32&lt;=Control!$O$3),Control!$P$3,IF(AND(تفصيلي!O32&gt;=Control!$N$4,تفصيلي!O32&lt;=Control!$O$4),Control!$P$4,"Out Of Range"))),ControlRoom[[#Headers],[فائدة أ]:[فائدة ج]],0))</f>
        <v>#N/A</v>
      </c>
      <c r="W32" s="419"/>
      <c r="X32" s="466">
        <f t="shared" si="0"/>
        <v>0</v>
      </c>
      <c r="Y32" s="167"/>
      <c r="Z32" s="302">
        <f t="shared" si="1"/>
        <v>0</v>
      </c>
      <c r="AA32" s="166"/>
      <c r="AB32" s="167" t="s">
        <v>624</v>
      </c>
      <c r="AC32" s="167">
        <f t="shared" si="2"/>
        <v>0</v>
      </c>
      <c r="AD32" s="169">
        <f t="shared" si="3"/>
        <v>0</v>
      </c>
      <c r="AE32" s="174"/>
      <c r="AF32" s="303">
        <f t="shared" si="4"/>
        <v>0</v>
      </c>
      <c r="AG32" s="168"/>
      <c r="AH32" s="174" t="s">
        <v>624</v>
      </c>
      <c r="AI32" s="169">
        <f t="shared" si="5"/>
        <v>0</v>
      </c>
      <c r="AJ32" s="172"/>
      <c r="AK32" s="175"/>
      <c r="AL32" s="170"/>
      <c r="AM32" s="171"/>
      <c r="AN32" s="175"/>
      <c r="AO32" s="172"/>
      <c r="AP32" s="467"/>
      <c r="AQ32" s="468"/>
      <c r="AR32" s="469"/>
      <c r="AS32" s="470"/>
      <c r="AT32" s="471"/>
      <c r="AU32" s="471"/>
      <c r="AV32" s="472"/>
      <c r="AW32" s="472"/>
      <c r="AX32" s="473" t="str">
        <f t="shared" si="6"/>
        <v xml:space="preserve"> ,</v>
      </c>
      <c r="AY32" s="473" t="str">
        <f t="shared" si="7"/>
        <v xml:space="preserve"> / </v>
      </c>
      <c r="AZ32" s="474"/>
      <c r="BA32" s="475"/>
      <c r="BB32" s="474"/>
      <c r="BC32" s="474"/>
      <c r="BD32" s="475"/>
      <c r="BE32" s="474"/>
    </row>
    <row r="33" spans="1:57" s="476" customFormat="1" ht="21.6" customHeight="1">
      <c r="A33" s="341">
        <f t="shared" si="8"/>
        <v>28</v>
      </c>
      <c r="B33" s="479"/>
      <c r="C33" s="477"/>
      <c r="D33" s="342"/>
      <c r="E33" s="460"/>
      <c r="F33" s="461" t="s">
        <v>624</v>
      </c>
      <c r="G33" s="342"/>
      <c r="H33" s="176"/>
      <c r="I33" s="176"/>
      <c r="J33" s="346"/>
      <c r="K33" s="462"/>
      <c r="L33" s="346"/>
      <c r="M33" s="463"/>
      <c r="N33" s="345"/>
      <c r="O33" s="412"/>
      <c r="P33" s="413"/>
      <c r="Q33" s="464"/>
      <c r="R33" s="465">
        <f>IFERROR(VLOOKUP(1,'Data Validation'!$O$2:$P$25,2,FALSE),"")</f>
        <v>45906</v>
      </c>
      <c r="S33" s="465" t="str">
        <f>IFERROR(VLOOKUP($P33,'Data Validation'!$O$2:$P$25,2,FALSE),"")</f>
        <v/>
      </c>
      <c r="T33" s="419" t="e">
        <f ca="1">INDEX(INDIRECT(INDEX(ControlRoom[اجمالي الالتزام],MATCH(تفصيلي!Q33,Control!$B$2:$B$12,0))),MATCH(CONCATENATE(O33,P33),INDIRECT(INDEX(ControlRoom[المبلغ],MATCH(تفصيلي!Q33,ControlRoom[التمويل],0))),0))</f>
        <v>#N/A</v>
      </c>
      <c r="U33" s="419" t="e">
        <f ca="1">INDEX(INDIRECT(INDEX(ControlRoom[القسط الشهري],MATCH(تفصيلي!Q33,Control!$B$2:$B$12,0))),MATCH(CONCATENATE(O33,P33),INDIRECT(INDEX(ControlRoom[المبلغ],MATCH(تفصيلي!Q33,ControlRoom[التمويل],0))),0))</f>
        <v>#N/A</v>
      </c>
      <c r="V33" s="420" t="e">
        <f>INDEX(ControlRoom[[فائدة أ]:[فائدة ج]],MATCH(تفصيلي!Q33,ControlRoom[التمويل],0),MATCH(IF(AND(تفصيلي!O33&gt;=Control!$N$2,تفصيلي!O33&lt;=Control!$O$2),Control!$P$2,IF(AND(تفصيلي!O33&gt;=Control!$N$3,تفصيلي!O33&lt;=Control!$O$3),Control!$P$3,IF(AND(تفصيلي!O33&gt;=Control!$N$4,تفصيلي!O33&lt;=Control!$O$4),Control!$P$4,"Out Of Range"))),ControlRoom[[#Headers],[فائدة أ]:[فائدة ج]],0))</f>
        <v>#N/A</v>
      </c>
      <c r="W33" s="419"/>
      <c r="X33" s="466">
        <f t="shared" si="0"/>
        <v>0</v>
      </c>
      <c r="Y33" s="167"/>
      <c r="Z33" s="302">
        <f t="shared" si="1"/>
        <v>0</v>
      </c>
      <c r="AA33" s="166"/>
      <c r="AB33" s="167" t="s">
        <v>624</v>
      </c>
      <c r="AC33" s="167">
        <f t="shared" si="2"/>
        <v>0</v>
      </c>
      <c r="AD33" s="169">
        <f t="shared" si="3"/>
        <v>0</v>
      </c>
      <c r="AE33" s="174"/>
      <c r="AF33" s="303">
        <f t="shared" si="4"/>
        <v>0</v>
      </c>
      <c r="AG33" s="168"/>
      <c r="AH33" s="174" t="s">
        <v>624</v>
      </c>
      <c r="AI33" s="169">
        <f t="shared" si="5"/>
        <v>0</v>
      </c>
      <c r="AJ33" s="172"/>
      <c r="AK33" s="175"/>
      <c r="AL33" s="170"/>
      <c r="AM33" s="171"/>
      <c r="AN33" s="175"/>
      <c r="AO33" s="172"/>
      <c r="AP33" s="467"/>
      <c r="AQ33" s="468"/>
      <c r="AR33" s="469"/>
      <c r="AS33" s="173"/>
      <c r="AT33" s="471"/>
      <c r="AU33" s="471"/>
      <c r="AV33" s="472"/>
      <c r="AW33" s="472"/>
      <c r="AX33" s="473" t="str">
        <f t="shared" si="6"/>
        <v xml:space="preserve"> ,</v>
      </c>
      <c r="AY33" s="473" t="str">
        <f t="shared" si="7"/>
        <v xml:space="preserve"> / </v>
      </c>
      <c r="AZ33" s="474"/>
      <c r="BA33" s="475"/>
      <c r="BB33" s="474"/>
      <c r="BC33" s="474"/>
      <c r="BD33" s="475"/>
      <c r="BE33" s="474"/>
    </row>
    <row r="34" spans="1:57" s="476" customFormat="1" ht="21.6" customHeight="1">
      <c r="A34" s="341">
        <f t="shared" si="8"/>
        <v>29</v>
      </c>
      <c r="B34" s="479"/>
      <c r="C34" s="477"/>
      <c r="D34" s="342"/>
      <c r="E34" s="460"/>
      <c r="F34" s="461" t="s">
        <v>624</v>
      </c>
      <c r="G34" s="342"/>
      <c r="H34" s="176"/>
      <c r="I34" s="176"/>
      <c r="J34" s="346"/>
      <c r="K34" s="462"/>
      <c r="L34" s="346"/>
      <c r="M34" s="463"/>
      <c r="N34" s="345"/>
      <c r="O34" s="412"/>
      <c r="P34" s="413"/>
      <c r="Q34" s="464"/>
      <c r="R34" s="465">
        <f>IFERROR(VLOOKUP(1,'Data Validation'!$O$2:$P$25,2,FALSE),"")</f>
        <v>45906</v>
      </c>
      <c r="S34" s="465" t="str">
        <f>IFERROR(VLOOKUP($P34,'Data Validation'!$O$2:$P$25,2,FALSE),"")</f>
        <v/>
      </c>
      <c r="T34" s="419" t="e">
        <f ca="1">INDEX(INDIRECT(INDEX(ControlRoom[اجمالي الالتزام],MATCH(تفصيلي!Q34,Control!$B$2:$B$12,0))),MATCH(CONCATENATE(O34,P34),INDIRECT(INDEX(ControlRoom[المبلغ],MATCH(تفصيلي!Q34,ControlRoom[التمويل],0))),0))</f>
        <v>#N/A</v>
      </c>
      <c r="U34" s="419" t="e">
        <f ca="1">INDEX(INDIRECT(INDEX(ControlRoom[القسط الشهري],MATCH(تفصيلي!Q34,Control!$B$2:$B$12,0))),MATCH(CONCATENATE(O34,P34),INDIRECT(INDEX(ControlRoom[المبلغ],MATCH(تفصيلي!Q34,ControlRoom[التمويل],0))),0))</f>
        <v>#N/A</v>
      </c>
      <c r="V34" s="420" t="e">
        <f>INDEX(ControlRoom[[فائدة أ]:[فائدة ج]],MATCH(تفصيلي!Q34,ControlRoom[التمويل],0),MATCH(IF(AND(تفصيلي!O34&gt;=Control!$N$2,تفصيلي!O34&lt;=Control!$O$2),Control!$P$2,IF(AND(تفصيلي!O34&gt;=Control!$N$3,تفصيلي!O34&lt;=Control!$O$3),Control!$P$3,IF(AND(تفصيلي!O34&gt;=Control!$N$4,تفصيلي!O34&lt;=Control!$O$4),Control!$P$4,"Out Of Range"))),ControlRoom[[#Headers],[فائدة أ]:[فائدة ج]],0))</f>
        <v>#N/A</v>
      </c>
      <c r="W34" s="419"/>
      <c r="X34" s="466">
        <f t="shared" si="0"/>
        <v>0</v>
      </c>
      <c r="Y34" s="167"/>
      <c r="Z34" s="302">
        <f t="shared" si="1"/>
        <v>0</v>
      </c>
      <c r="AA34" s="166"/>
      <c r="AB34" s="167" t="s">
        <v>624</v>
      </c>
      <c r="AC34" s="167">
        <f t="shared" si="2"/>
        <v>0</v>
      </c>
      <c r="AD34" s="169">
        <f t="shared" si="3"/>
        <v>0</v>
      </c>
      <c r="AE34" s="174"/>
      <c r="AF34" s="303">
        <f t="shared" si="4"/>
        <v>0</v>
      </c>
      <c r="AG34" s="168"/>
      <c r="AH34" s="174" t="s">
        <v>624</v>
      </c>
      <c r="AI34" s="169">
        <f t="shared" si="5"/>
        <v>0</v>
      </c>
      <c r="AJ34" s="172"/>
      <c r="AK34" s="175"/>
      <c r="AL34" s="170"/>
      <c r="AM34" s="171"/>
      <c r="AN34" s="175"/>
      <c r="AO34" s="172"/>
      <c r="AP34" s="467"/>
      <c r="AQ34" s="468"/>
      <c r="AR34" s="469"/>
      <c r="AS34" s="173"/>
      <c r="AT34" s="471"/>
      <c r="AU34" s="471"/>
      <c r="AV34" s="472"/>
      <c r="AW34" s="472"/>
      <c r="AX34" s="473" t="str">
        <f t="shared" si="6"/>
        <v xml:space="preserve"> ,</v>
      </c>
      <c r="AY34" s="473" t="str">
        <f t="shared" si="7"/>
        <v xml:space="preserve"> / </v>
      </c>
      <c r="AZ34" s="474"/>
      <c r="BA34" s="475"/>
      <c r="BB34" s="474"/>
      <c r="BC34" s="474"/>
      <c r="BD34" s="475"/>
      <c r="BE34" s="474"/>
    </row>
    <row r="35" spans="1:57" s="478" customFormat="1" ht="21.6" customHeight="1">
      <c r="A35" s="341">
        <f t="shared" si="8"/>
        <v>30</v>
      </c>
      <c r="B35" s="479"/>
      <c r="C35" s="477"/>
      <c r="D35" s="342"/>
      <c r="E35" s="460"/>
      <c r="F35" s="461" t="s">
        <v>624</v>
      </c>
      <c r="G35" s="342"/>
      <c r="H35" s="176"/>
      <c r="I35" s="176"/>
      <c r="J35" s="346"/>
      <c r="K35" s="462"/>
      <c r="L35" s="346"/>
      <c r="M35" s="463"/>
      <c r="N35" s="345"/>
      <c r="O35" s="412"/>
      <c r="P35" s="413"/>
      <c r="Q35" s="464"/>
      <c r="R35" s="465">
        <f>IFERROR(VLOOKUP(1,'Data Validation'!$O$2:$P$25,2,FALSE),"")</f>
        <v>45906</v>
      </c>
      <c r="S35" s="465" t="str">
        <f>IFERROR(VLOOKUP($P35,'Data Validation'!$O$2:$P$25,2,FALSE),"")</f>
        <v/>
      </c>
      <c r="T35" s="419" t="e">
        <f ca="1">INDEX(INDIRECT(INDEX(ControlRoom[اجمالي الالتزام],MATCH(تفصيلي!Q35,Control!$B$2:$B$12,0))),MATCH(CONCATENATE(O35,P35),INDIRECT(INDEX(ControlRoom[المبلغ],MATCH(تفصيلي!Q35,ControlRoom[التمويل],0))),0))</f>
        <v>#N/A</v>
      </c>
      <c r="U35" s="419" t="e">
        <f ca="1">INDEX(INDIRECT(INDEX(ControlRoom[القسط الشهري],MATCH(تفصيلي!Q35,Control!$B$2:$B$12,0))),MATCH(CONCATENATE(O35,P35),INDIRECT(INDEX(ControlRoom[المبلغ],MATCH(تفصيلي!Q35,ControlRoom[التمويل],0))),0))</f>
        <v>#N/A</v>
      </c>
      <c r="V35" s="420" t="e">
        <f>INDEX(ControlRoom[[فائدة أ]:[فائدة ج]],MATCH(تفصيلي!Q35,ControlRoom[التمويل],0),MATCH(IF(AND(تفصيلي!O35&gt;=Control!$N$2,تفصيلي!O35&lt;=Control!$O$2),Control!$P$2,IF(AND(تفصيلي!O35&gt;=Control!$N$3,تفصيلي!O35&lt;=Control!$O$3),Control!$P$3,IF(AND(تفصيلي!O35&gt;=Control!$N$4,تفصيلي!O35&lt;=Control!$O$4),Control!$P$4,"Out Of Range"))),ControlRoom[[#Headers],[فائدة أ]:[فائدة ج]],0))</f>
        <v>#N/A</v>
      </c>
      <c r="W35" s="419"/>
      <c r="X35" s="466">
        <f t="shared" si="0"/>
        <v>0</v>
      </c>
      <c r="Y35" s="167"/>
      <c r="Z35" s="302">
        <f t="shared" si="1"/>
        <v>0</v>
      </c>
      <c r="AA35" s="166"/>
      <c r="AB35" s="167" t="s">
        <v>624</v>
      </c>
      <c r="AC35" s="167">
        <f t="shared" si="2"/>
        <v>0</v>
      </c>
      <c r="AD35" s="169">
        <f t="shared" si="3"/>
        <v>0</v>
      </c>
      <c r="AE35" s="174"/>
      <c r="AF35" s="303">
        <f t="shared" si="4"/>
        <v>0</v>
      </c>
      <c r="AG35" s="168"/>
      <c r="AH35" s="174" t="s">
        <v>624</v>
      </c>
      <c r="AI35" s="169">
        <f t="shared" si="5"/>
        <v>0</v>
      </c>
      <c r="AJ35" s="172"/>
      <c r="AK35" s="175"/>
      <c r="AL35" s="170"/>
      <c r="AM35" s="171"/>
      <c r="AN35" s="175"/>
      <c r="AO35" s="172"/>
      <c r="AP35" s="467"/>
      <c r="AQ35" s="468"/>
      <c r="AR35" s="469"/>
      <c r="AS35" s="173"/>
      <c r="AT35" s="471"/>
      <c r="AU35" s="471"/>
      <c r="AV35" s="472"/>
      <c r="AW35" s="472"/>
      <c r="AX35" s="473" t="str">
        <f t="shared" si="6"/>
        <v xml:space="preserve"> ,</v>
      </c>
      <c r="AY35" s="473" t="str">
        <f t="shared" si="7"/>
        <v xml:space="preserve"> / </v>
      </c>
      <c r="AZ35" s="474"/>
      <c r="BA35" s="475"/>
      <c r="BB35" s="474"/>
      <c r="BC35" s="474"/>
      <c r="BD35" s="475"/>
      <c r="BE35" s="474"/>
    </row>
    <row r="36" spans="1:57" s="476" customFormat="1" ht="21.6" customHeight="1">
      <c r="A36" s="341">
        <f t="shared" si="8"/>
        <v>31</v>
      </c>
      <c r="B36" s="479"/>
      <c r="C36" s="477"/>
      <c r="D36" s="342"/>
      <c r="E36" s="460"/>
      <c r="F36" s="461" t="s">
        <v>624</v>
      </c>
      <c r="G36" s="342"/>
      <c r="H36" s="176"/>
      <c r="I36" s="176"/>
      <c r="J36" s="346"/>
      <c r="K36" s="462"/>
      <c r="L36" s="346"/>
      <c r="M36" s="463"/>
      <c r="N36" s="345"/>
      <c r="O36" s="412"/>
      <c r="P36" s="413"/>
      <c r="Q36" s="464"/>
      <c r="R36" s="465">
        <f>IFERROR(VLOOKUP(1,'Data Validation'!$O$2:$P$25,2,FALSE),"")</f>
        <v>45906</v>
      </c>
      <c r="S36" s="465" t="str">
        <f>IFERROR(VLOOKUP($P36,'Data Validation'!$O$2:$P$25,2,FALSE),"")</f>
        <v/>
      </c>
      <c r="T36" s="419" t="e">
        <f ca="1">INDEX(INDIRECT(INDEX(ControlRoom[اجمالي الالتزام],MATCH(تفصيلي!Q36,Control!$B$2:$B$12,0))),MATCH(CONCATENATE(O36,P36),INDIRECT(INDEX(ControlRoom[المبلغ],MATCH(تفصيلي!Q36,ControlRoom[التمويل],0))),0))</f>
        <v>#N/A</v>
      </c>
      <c r="U36" s="419" t="e">
        <f ca="1">INDEX(INDIRECT(INDEX(ControlRoom[القسط الشهري],MATCH(تفصيلي!Q36,Control!$B$2:$B$12,0))),MATCH(CONCATENATE(O36,P36),INDIRECT(INDEX(ControlRoom[المبلغ],MATCH(تفصيلي!Q36,ControlRoom[التمويل],0))),0))</f>
        <v>#N/A</v>
      </c>
      <c r="V36" s="420" t="e">
        <f>INDEX(ControlRoom[[فائدة أ]:[فائدة ج]],MATCH(تفصيلي!Q36,ControlRoom[التمويل],0),MATCH(IF(AND(تفصيلي!O36&gt;=Control!$N$2,تفصيلي!O36&lt;=Control!$O$2),Control!$P$2,IF(AND(تفصيلي!O36&gt;=Control!$N$3,تفصيلي!O36&lt;=Control!$O$3),Control!$P$3,IF(AND(تفصيلي!O36&gt;=Control!$N$4,تفصيلي!O36&lt;=Control!$O$4),Control!$P$4,"Out Of Range"))),ControlRoom[[#Headers],[فائدة أ]:[فائدة ج]],0))</f>
        <v>#N/A</v>
      </c>
      <c r="W36" s="419"/>
      <c r="X36" s="466">
        <f t="shared" si="0"/>
        <v>0</v>
      </c>
      <c r="Y36" s="167"/>
      <c r="Z36" s="302">
        <f t="shared" si="1"/>
        <v>0</v>
      </c>
      <c r="AA36" s="166"/>
      <c r="AB36" s="167" t="s">
        <v>624</v>
      </c>
      <c r="AC36" s="167">
        <f t="shared" si="2"/>
        <v>0</v>
      </c>
      <c r="AD36" s="169">
        <f t="shared" si="3"/>
        <v>0</v>
      </c>
      <c r="AE36" s="174"/>
      <c r="AF36" s="303">
        <f t="shared" si="4"/>
        <v>0</v>
      </c>
      <c r="AG36" s="168"/>
      <c r="AH36" s="174" t="s">
        <v>624</v>
      </c>
      <c r="AI36" s="169">
        <f t="shared" si="5"/>
        <v>0</v>
      </c>
      <c r="AJ36" s="172"/>
      <c r="AK36" s="175"/>
      <c r="AL36" s="170"/>
      <c r="AM36" s="171"/>
      <c r="AN36" s="175"/>
      <c r="AO36" s="172"/>
      <c r="AP36" s="467"/>
      <c r="AQ36" s="468"/>
      <c r="AR36" s="469"/>
      <c r="AS36" s="470"/>
      <c r="AT36" s="471"/>
      <c r="AU36" s="471"/>
      <c r="AV36" s="472"/>
      <c r="AW36" s="472"/>
      <c r="AX36" s="473" t="str">
        <f t="shared" si="6"/>
        <v xml:space="preserve"> ,</v>
      </c>
      <c r="AY36" s="473" t="str">
        <f t="shared" si="7"/>
        <v xml:space="preserve"> / </v>
      </c>
      <c r="AZ36" s="474"/>
      <c r="BA36" s="475"/>
      <c r="BB36" s="474"/>
      <c r="BC36" s="474"/>
      <c r="BD36" s="475"/>
      <c r="BE36" s="474"/>
    </row>
    <row r="37" spans="1:57" s="476" customFormat="1" ht="21.6" customHeight="1">
      <c r="A37" s="341">
        <f t="shared" si="8"/>
        <v>32</v>
      </c>
      <c r="B37" s="479"/>
      <c r="C37" s="477"/>
      <c r="D37" s="342"/>
      <c r="E37" s="460"/>
      <c r="F37" s="461" t="s">
        <v>624</v>
      </c>
      <c r="G37" s="342"/>
      <c r="H37" s="176"/>
      <c r="I37" s="176"/>
      <c r="J37" s="346"/>
      <c r="K37" s="462"/>
      <c r="L37" s="346"/>
      <c r="M37" s="463"/>
      <c r="N37" s="345"/>
      <c r="O37" s="412"/>
      <c r="P37" s="413"/>
      <c r="Q37" s="464"/>
      <c r="R37" s="465">
        <f>IFERROR(VLOOKUP(1,'Data Validation'!$O$2:$P$25,2,FALSE),"")</f>
        <v>45906</v>
      </c>
      <c r="S37" s="465" t="str">
        <f>IFERROR(VLOOKUP($P37,'Data Validation'!$O$2:$P$25,2,FALSE),"")</f>
        <v/>
      </c>
      <c r="T37" s="419" t="e">
        <f ca="1">INDEX(INDIRECT(INDEX(ControlRoom[اجمالي الالتزام],MATCH(تفصيلي!Q37,Control!$B$2:$B$12,0))),MATCH(CONCATENATE(O37,P37),INDIRECT(INDEX(ControlRoom[المبلغ],MATCH(تفصيلي!Q37,ControlRoom[التمويل],0))),0))</f>
        <v>#N/A</v>
      </c>
      <c r="U37" s="419" t="e">
        <f ca="1">INDEX(INDIRECT(INDEX(ControlRoom[القسط الشهري],MATCH(تفصيلي!Q37,Control!$B$2:$B$12,0))),MATCH(CONCATENATE(O37,P37),INDIRECT(INDEX(ControlRoom[المبلغ],MATCH(تفصيلي!Q37,ControlRoom[التمويل],0))),0))</f>
        <v>#N/A</v>
      </c>
      <c r="V37" s="420" t="e">
        <f>INDEX(ControlRoom[[فائدة أ]:[فائدة ج]],MATCH(تفصيلي!Q37,ControlRoom[التمويل],0),MATCH(IF(AND(تفصيلي!O37&gt;=Control!$N$2,تفصيلي!O37&lt;=Control!$O$2),Control!$P$2,IF(AND(تفصيلي!O37&gt;=Control!$N$3,تفصيلي!O37&lt;=Control!$O$3),Control!$P$3,IF(AND(تفصيلي!O37&gt;=Control!$N$4,تفصيلي!O37&lt;=Control!$O$4),Control!$P$4,"Out Of Range"))),ControlRoom[[#Headers],[فائدة أ]:[فائدة ج]],0))</f>
        <v>#N/A</v>
      </c>
      <c r="W37" s="419"/>
      <c r="X37" s="466">
        <f t="shared" si="0"/>
        <v>0</v>
      </c>
      <c r="Y37" s="167"/>
      <c r="Z37" s="302">
        <f t="shared" si="1"/>
        <v>0</v>
      </c>
      <c r="AA37" s="166"/>
      <c r="AB37" s="167" t="s">
        <v>624</v>
      </c>
      <c r="AC37" s="167">
        <f t="shared" si="2"/>
        <v>0</v>
      </c>
      <c r="AD37" s="169">
        <f t="shared" si="3"/>
        <v>0</v>
      </c>
      <c r="AE37" s="174"/>
      <c r="AF37" s="303">
        <f t="shared" si="4"/>
        <v>0</v>
      </c>
      <c r="AG37" s="168"/>
      <c r="AH37" s="174" t="s">
        <v>624</v>
      </c>
      <c r="AI37" s="169">
        <f t="shared" si="5"/>
        <v>0</v>
      </c>
      <c r="AJ37" s="172"/>
      <c r="AK37" s="175"/>
      <c r="AL37" s="170"/>
      <c r="AM37" s="171"/>
      <c r="AN37" s="175"/>
      <c r="AO37" s="172"/>
      <c r="AP37" s="467"/>
      <c r="AQ37" s="468"/>
      <c r="AR37" s="469"/>
      <c r="AS37" s="173"/>
      <c r="AT37" s="471"/>
      <c r="AU37" s="471"/>
      <c r="AV37" s="472"/>
      <c r="AW37" s="472"/>
      <c r="AX37" s="473" t="str">
        <f t="shared" si="6"/>
        <v xml:space="preserve"> ,</v>
      </c>
      <c r="AY37" s="473" t="str">
        <f t="shared" si="7"/>
        <v xml:space="preserve"> / </v>
      </c>
      <c r="AZ37" s="474"/>
      <c r="BA37" s="475"/>
      <c r="BB37" s="474"/>
      <c r="BC37" s="474"/>
      <c r="BD37" s="475"/>
      <c r="BE37" s="474"/>
    </row>
    <row r="38" spans="1:57" s="476" customFormat="1" ht="21.6" customHeight="1">
      <c r="A38" s="341">
        <f t="shared" si="8"/>
        <v>33</v>
      </c>
      <c r="B38" s="479"/>
      <c r="C38" s="477"/>
      <c r="D38" s="342"/>
      <c r="E38" s="460"/>
      <c r="F38" s="461" t="s">
        <v>624</v>
      </c>
      <c r="G38" s="342"/>
      <c r="H38" s="176"/>
      <c r="I38" s="176"/>
      <c r="J38" s="346"/>
      <c r="K38" s="462"/>
      <c r="L38" s="346"/>
      <c r="M38" s="463"/>
      <c r="N38" s="345"/>
      <c r="O38" s="412"/>
      <c r="P38" s="413"/>
      <c r="Q38" s="464"/>
      <c r="R38" s="465">
        <f>IFERROR(VLOOKUP(1,'Data Validation'!$O$2:$P$25,2,FALSE),"")</f>
        <v>45906</v>
      </c>
      <c r="S38" s="465" t="str">
        <f>IFERROR(VLOOKUP($P38,'Data Validation'!$O$2:$P$25,2,FALSE),"")</f>
        <v/>
      </c>
      <c r="T38" s="419" t="e">
        <f ca="1">INDEX(INDIRECT(INDEX(ControlRoom[اجمالي الالتزام],MATCH(تفصيلي!Q38,Control!$B$2:$B$12,0))),MATCH(CONCATENATE(O38,P38),INDIRECT(INDEX(ControlRoom[المبلغ],MATCH(تفصيلي!Q38,ControlRoom[التمويل],0))),0))</f>
        <v>#N/A</v>
      </c>
      <c r="U38" s="419" t="e">
        <f ca="1">INDEX(INDIRECT(INDEX(ControlRoom[القسط الشهري],MATCH(تفصيلي!Q38,Control!$B$2:$B$12,0))),MATCH(CONCATENATE(O38,P38),INDIRECT(INDEX(ControlRoom[المبلغ],MATCH(تفصيلي!Q38,ControlRoom[التمويل],0))),0))</f>
        <v>#N/A</v>
      </c>
      <c r="V38" s="420" t="e">
        <f>INDEX(ControlRoom[[فائدة أ]:[فائدة ج]],MATCH(تفصيلي!Q38,ControlRoom[التمويل],0),MATCH(IF(AND(تفصيلي!O38&gt;=Control!$N$2,تفصيلي!O38&lt;=Control!$O$2),Control!$P$2,IF(AND(تفصيلي!O38&gt;=Control!$N$3,تفصيلي!O38&lt;=Control!$O$3),Control!$P$3,IF(AND(تفصيلي!O38&gt;=Control!$N$4,تفصيلي!O38&lt;=Control!$O$4),Control!$P$4,"Out Of Range"))),ControlRoom[[#Headers],[فائدة أ]:[فائدة ج]],0))</f>
        <v>#N/A</v>
      </c>
      <c r="W38" s="419"/>
      <c r="X38" s="466">
        <f t="shared" si="0"/>
        <v>0</v>
      </c>
      <c r="Y38" s="167"/>
      <c r="Z38" s="302">
        <f t="shared" si="1"/>
        <v>0</v>
      </c>
      <c r="AA38" s="166"/>
      <c r="AB38" s="167" t="s">
        <v>624</v>
      </c>
      <c r="AC38" s="167">
        <f t="shared" si="2"/>
        <v>0</v>
      </c>
      <c r="AD38" s="169">
        <f t="shared" si="3"/>
        <v>0</v>
      </c>
      <c r="AE38" s="174"/>
      <c r="AF38" s="303">
        <f t="shared" si="4"/>
        <v>0</v>
      </c>
      <c r="AG38" s="168"/>
      <c r="AH38" s="174" t="s">
        <v>624</v>
      </c>
      <c r="AI38" s="169">
        <f t="shared" si="5"/>
        <v>0</v>
      </c>
      <c r="AJ38" s="172"/>
      <c r="AK38" s="175"/>
      <c r="AL38" s="170"/>
      <c r="AM38" s="171"/>
      <c r="AN38" s="175"/>
      <c r="AO38" s="172"/>
      <c r="AP38" s="467"/>
      <c r="AQ38" s="468"/>
      <c r="AR38" s="469"/>
      <c r="AS38" s="173"/>
      <c r="AT38" s="471"/>
      <c r="AU38" s="471"/>
      <c r="AV38" s="472"/>
      <c r="AW38" s="472"/>
      <c r="AX38" s="473" t="str">
        <f t="shared" si="6"/>
        <v xml:space="preserve"> ,</v>
      </c>
      <c r="AY38" s="473" t="str">
        <f t="shared" si="7"/>
        <v xml:space="preserve"> / </v>
      </c>
      <c r="AZ38" s="474"/>
      <c r="BA38" s="475"/>
      <c r="BB38" s="474"/>
      <c r="BC38" s="474"/>
      <c r="BD38" s="475"/>
      <c r="BE38" s="474"/>
    </row>
    <row r="39" spans="1:57" s="476" customFormat="1" ht="21.6" customHeight="1">
      <c r="A39" s="341">
        <f t="shared" si="8"/>
        <v>34</v>
      </c>
      <c r="B39" s="479"/>
      <c r="C39" s="477"/>
      <c r="D39" s="342"/>
      <c r="E39" s="460"/>
      <c r="F39" s="461" t="s">
        <v>624</v>
      </c>
      <c r="G39" s="342"/>
      <c r="H39" s="176"/>
      <c r="I39" s="176"/>
      <c r="J39" s="346"/>
      <c r="K39" s="462"/>
      <c r="L39" s="346"/>
      <c r="M39" s="463"/>
      <c r="N39" s="345"/>
      <c r="O39" s="412"/>
      <c r="P39" s="413"/>
      <c r="Q39" s="464"/>
      <c r="R39" s="465">
        <f>IFERROR(VLOOKUP(1,'Data Validation'!$O$2:$P$25,2,FALSE),"")</f>
        <v>45906</v>
      </c>
      <c r="S39" s="465" t="str">
        <f>IFERROR(VLOOKUP($P39,'Data Validation'!$O$2:$P$25,2,FALSE),"")</f>
        <v/>
      </c>
      <c r="T39" s="419" t="e">
        <f ca="1">INDEX(INDIRECT(INDEX(ControlRoom[اجمالي الالتزام],MATCH(تفصيلي!Q39,Control!$B$2:$B$12,0))),MATCH(CONCATENATE(O39,P39),INDIRECT(INDEX(ControlRoom[المبلغ],MATCH(تفصيلي!Q39,ControlRoom[التمويل],0))),0))</f>
        <v>#N/A</v>
      </c>
      <c r="U39" s="419" t="e">
        <f ca="1">INDEX(INDIRECT(INDEX(ControlRoom[القسط الشهري],MATCH(تفصيلي!Q39,Control!$B$2:$B$12,0))),MATCH(CONCATENATE(O39,P39),INDIRECT(INDEX(ControlRoom[المبلغ],MATCH(تفصيلي!Q39,ControlRoom[التمويل],0))),0))</f>
        <v>#N/A</v>
      </c>
      <c r="V39" s="420" t="e">
        <f>INDEX(ControlRoom[[فائدة أ]:[فائدة ج]],MATCH(تفصيلي!Q39,ControlRoom[التمويل],0),MATCH(IF(AND(تفصيلي!O39&gt;=Control!$N$2,تفصيلي!O39&lt;=Control!$O$2),Control!$P$2,IF(AND(تفصيلي!O39&gt;=Control!$N$3,تفصيلي!O39&lt;=Control!$O$3),Control!$P$3,IF(AND(تفصيلي!O39&gt;=Control!$N$4,تفصيلي!O39&lt;=Control!$O$4),Control!$P$4,"Out Of Range"))),ControlRoom[[#Headers],[فائدة أ]:[فائدة ج]],0))</f>
        <v>#N/A</v>
      </c>
      <c r="W39" s="419"/>
      <c r="X39" s="466">
        <f t="shared" si="0"/>
        <v>0</v>
      </c>
      <c r="Y39" s="167"/>
      <c r="Z39" s="302">
        <f t="shared" si="1"/>
        <v>0</v>
      </c>
      <c r="AA39" s="166"/>
      <c r="AB39" s="167" t="s">
        <v>624</v>
      </c>
      <c r="AC39" s="167">
        <f t="shared" si="2"/>
        <v>0</v>
      </c>
      <c r="AD39" s="169">
        <f t="shared" si="3"/>
        <v>0</v>
      </c>
      <c r="AE39" s="174"/>
      <c r="AF39" s="303">
        <f t="shared" si="4"/>
        <v>0</v>
      </c>
      <c r="AG39" s="168"/>
      <c r="AH39" s="174" t="s">
        <v>624</v>
      </c>
      <c r="AI39" s="169">
        <f t="shared" si="5"/>
        <v>0</v>
      </c>
      <c r="AJ39" s="172"/>
      <c r="AK39" s="175"/>
      <c r="AL39" s="170"/>
      <c r="AM39" s="171"/>
      <c r="AN39" s="175"/>
      <c r="AO39" s="172"/>
      <c r="AP39" s="467"/>
      <c r="AQ39" s="468"/>
      <c r="AR39" s="469"/>
      <c r="AS39" s="173"/>
      <c r="AT39" s="471"/>
      <c r="AU39" s="471"/>
      <c r="AV39" s="472"/>
      <c r="AW39" s="472"/>
      <c r="AX39" s="473" t="str">
        <f t="shared" si="6"/>
        <v xml:space="preserve"> ,</v>
      </c>
      <c r="AY39" s="473" t="str">
        <f t="shared" si="7"/>
        <v xml:space="preserve"> / </v>
      </c>
      <c r="AZ39" s="474"/>
      <c r="BA39" s="475"/>
      <c r="BB39" s="474"/>
      <c r="BC39" s="474"/>
      <c r="BD39" s="475"/>
      <c r="BE39" s="474"/>
    </row>
    <row r="40" spans="1:57" s="476" customFormat="1" ht="21.6" customHeight="1">
      <c r="A40" s="341">
        <f t="shared" si="8"/>
        <v>35</v>
      </c>
      <c r="B40" s="479"/>
      <c r="C40" s="477"/>
      <c r="D40" s="342"/>
      <c r="E40" s="460"/>
      <c r="F40" s="461" t="s">
        <v>624</v>
      </c>
      <c r="G40" s="342"/>
      <c r="H40" s="176"/>
      <c r="I40" s="176"/>
      <c r="J40" s="346"/>
      <c r="K40" s="462"/>
      <c r="L40" s="346"/>
      <c r="M40" s="463"/>
      <c r="N40" s="345"/>
      <c r="O40" s="412"/>
      <c r="P40" s="413"/>
      <c r="Q40" s="464"/>
      <c r="R40" s="465">
        <f>IFERROR(VLOOKUP(1,'Data Validation'!$O$2:$P$25,2,FALSE),"")</f>
        <v>45906</v>
      </c>
      <c r="S40" s="465" t="str">
        <f>IFERROR(VLOOKUP($P40,'Data Validation'!$O$2:$P$25,2,FALSE),"")</f>
        <v/>
      </c>
      <c r="T40" s="419" t="e">
        <f ca="1">INDEX(INDIRECT(INDEX(ControlRoom[اجمالي الالتزام],MATCH(تفصيلي!Q40,Control!$B$2:$B$12,0))),MATCH(CONCATENATE(O40,P40),INDIRECT(INDEX(ControlRoom[المبلغ],MATCH(تفصيلي!Q40,ControlRoom[التمويل],0))),0))</f>
        <v>#N/A</v>
      </c>
      <c r="U40" s="419" t="e">
        <f ca="1">INDEX(INDIRECT(INDEX(ControlRoom[القسط الشهري],MATCH(تفصيلي!Q40,Control!$B$2:$B$12,0))),MATCH(CONCATENATE(O40,P40),INDIRECT(INDEX(ControlRoom[المبلغ],MATCH(تفصيلي!Q40,ControlRoom[التمويل],0))),0))</f>
        <v>#N/A</v>
      </c>
      <c r="V40" s="420" t="e">
        <f>INDEX(ControlRoom[[فائدة أ]:[فائدة ج]],MATCH(تفصيلي!Q40,ControlRoom[التمويل],0),MATCH(IF(AND(تفصيلي!O40&gt;=Control!$N$2,تفصيلي!O40&lt;=Control!$O$2),Control!$P$2,IF(AND(تفصيلي!O40&gt;=Control!$N$3,تفصيلي!O40&lt;=Control!$O$3),Control!$P$3,IF(AND(تفصيلي!O40&gt;=Control!$N$4,تفصيلي!O40&lt;=Control!$O$4),Control!$P$4,"Out Of Range"))),ControlRoom[[#Headers],[فائدة أ]:[فائدة ج]],0))</f>
        <v>#N/A</v>
      </c>
      <c r="W40" s="419"/>
      <c r="X40" s="466">
        <f t="shared" si="0"/>
        <v>0</v>
      </c>
      <c r="Y40" s="167"/>
      <c r="Z40" s="302">
        <f t="shared" si="1"/>
        <v>0</v>
      </c>
      <c r="AA40" s="166"/>
      <c r="AB40" s="167" t="s">
        <v>624</v>
      </c>
      <c r="AC40" s="167">
        <f t="shared" si="2"/>
        <v>0</v>
      </c>
      <c r="AD40" s="169">
        <f t="shared" si="3"/>
        <v>0</v>
      </c>
      <c r="AE40" s="174"/>
      <c r="AF40" s="303">
        <f t="shared" si="4"/>
        <v>0</v>
      </c>
      <c r="AG40" s="168"/>
      <c r="AH40" s="174" t="s">
        <v>624</v>
      </c>
      <c r="AI40" s="169">
        <f t="shared" si="5"/>
        <v>0</v>
      </c>
      <c r="AJ40" s="172"/>
      <c r="AK40" s="175"/>
      <c r="AL40" s="170"/>
      <c r="AM40" s="171"/>
      <c r="AN40" s="175"/>
      <c r="AO40" s="172"/>
      <c r="AP40" s="467"/>
      <c r="AQ40" s="468"/>
      <c r="AR40" s="469"/>
      <c r="AS40" s="470"/>
      <c r="AT40" s="471"/>
      <c r="AU40" s="471"/>
      <c r="AV40" s="472"/>
      <c r="AW40" s="472"/>
      <c r="AX40" s="473" t="str">
        <f t="shared" si="6"/>
        <v xml:space="preserve"> ,</v>
      </c>
      <c r="AY40" s="473" t="str">
        <f t="shared" si="7"/>
        <v xml:space="preserve"> / </v>
      </c>
      <c r="AZ40" s="474"/>
      <c r="BA40" s="475"/>
      <c r="BB40" s="474"/>
      <c r="BC40" s="474"/>
      <c r="BD40" s="475"/>
      <c r="BE40" s="474"/>
    </row>
    <row r="41" spans="1:57" s="476" customFormat="1" ht="21.6" customHeight="1">
      <c r="A41" s="341">
        <f t="shared" si="8"/>
        <v>36</v>
      </c>
      <c r="B41" s="479"/>
      <c r="C41" s="477"/>
      <c r="D41" s="342"/>
      <c r="E41" s="460"/>
      <c r="F41" s="461" t="s">
        <v>624</v>
      </c>
      <c r="G41" s="342"/>
      <c r="H41" s="176"/>
      <c r="I41" s="176"/>
      <c r="J41" s="346"/>
      <c r="K41" s="462"/>
      <c r="L41" s="346"/>
      <c r="M41" s="463"/>
      <c r="N41" s="345"/>
      <c r="O41" s="412"/>
      <c r="P41" s="413"/>
      <c r="Q41" s="464"/>
      <c r="R41" s="465">
        <f>IFERROR(VLOOKUP(1,'Data Validation'!$O$2:$P$25,2,FALSE),"")</f>
        <v>45906</v>
      </c>
      <c r="S41" s="465" t="str">
        <f>IFERROR(VLOOKUP($P41,'Data Validation'!$O$2:$P$25,2,FALSE),"")</f>
        <v/>
      </c>
      <c r="T41" s="419" t="e">
        <f ca="1">INDEX(INDIRECT(INDEX(ControlRoom[اجمالي الالتزام],MATCH(تفصيلي!Q41,Control!$B$2:$B$12,0))),MATCH(CONCATENATE(O41,P41),INDIRECT(INDEX(ControlRoom[المبلغ],MATCH(تفصيلي!Q41,ControlRoom[التمويل],0))),0))</f>
        <v>#N/A</v>
      </c>
      <c r="U41" s="419" t="e">
        <f ca="1">INDEX(INDIRECT(INDEX(ControlRoom[القسط الشهري],MATCH(تفصيلي!Q41,Control!$B$2:$B$12,0))),MATCH(CONCATENATE(O41,P41),INDIRECT(INDEX(ControlRoom[المبلغ],MATCH(تفصيلي!Q41,ControlRoom[التمويل],0))),0))</f>
        <v>#N/A</v>
      </c>
      <c r="V41" s="420" t="e">
        <f>INDEX(ControlRoom[[فائدة أ]:[فائدة ج]],MATCH(تفصيلي!Q41,ControlRoom[التمويل],0),MATCH(IF(AND(تفصيلي!O41&gt;=Control!$N$2,تفصيلي!O41&lt;=Control!$O$2),Control!$P$2,IF(AND(تفصيلي!O41&gt;=Control!$N$3,تفصيلي!O41&lt;=Control!$O$3),Control!$P$3,IF(AND(تفصيلي!O41&gt;=Control!$N$4,تفصيلي!O41&lt;=Control!$O$4),Control!$P$4,"Out Of Range"))),ControlRoom[[#Headers],[فائدة أ]:[فائدة ج]],0))</f>
        <v>#N/A</v>
      </c>
      <c r="W41" s="419"/>
      <c r="X41" s="466">
        <f t="shared" si="0"/>
        <v>0</v>
      </c>
      <c r="Y41" s="167"/>
      <c r="Z41" s="302">
        <f t="shared" si="1"/>
        <v>0</v>
      </c>
      <c r="AA41" s="166"/>
      <c r="AB41" s="167" t="s">
        <v>624</v>
      </c>
      <c r="AC41" s="167">
        <f t="shared" si="2"/>
        <v>0</v>
      </c>
      <c r="AD41" s="169">
        <f t="shared" si="3"/>
        <v>0</v>
      </c>
      <c r="AE41" s="174"/>
      <c r="AF41" s="303">
        <f t="shared" si="4"/>
        <v>0</v>
      </c>
      <c r="AG41" s="168"/>
      <c r="AH41" s="174" t="s">
        <v>624</v>
      </c>
      <c r="AI41" s="169">
        <f t="shared" si="5"/>
        <v>0</v>
      </c>
      <c r="AJ41" s="172"/>
      <c r="AK41" s="175"/>
      <c r="AL41" s="170"/>
      <c r="AM41" s="171"/>
      <c r="AN41" s="175"/>
      <c r="AO41" s="172"/>
      <c r="AP41" s="467"/>
      <c r="AQ41" s="468"/>
      <c r="AR41" s="469"/>
      <c r="AS41" s="470"/>
      <c r="AT41" s="471"/>
      <c r="AU41" s="471"/>
      <c r="AV41" s="472"/>
      <c r="AW41" s="472"/>
      <c r="AX41" s="473" t="str">
        <f t="shared" si="6"/>
        <v xml:space="preserve"> ,</v>
      </c>
      <c r="AY41" s="473" t="str">
        <f t="shared" si="7"/>
        <v xml:space="preserve"> / </v>
      </c>
      <c r="AZ41" s="474"/>
      <c r="BA41" s="475"/>
      <c r="BB41" s="474"/>
      <c r="BC41" s="474"/>
      <c r="BD41" s="475"/>
      <c r="BE41" s="474"/>
    </row>
    <row r="42" spans="1:57" s="476" customFormat="1" ht="21.6" customHeight="1">
      <c r="A42" s="341">
        <f t="shared" si="8"/>
        <v>37</v>
      </c>
      <c r="B42" s="479"/>
      <c r="C42" s="477"/>
      <c r="D42" s="342"/>
      <c r="E42" s="460"/>
      <c r="F42" s="461" t="s">
        <v>624</v>
      </c>
      <c r="G42" s="342"/>
      <c r="H42" s="176"/>
      <c r="I42" s="176"/>
      <c r="J42" s="346"/>
      <c r="K42" s="462"/>
      <c r="L42" s="346"/>
      <c r="M42" s="463"/>
      <c r="N42" s="345"/>
      <c r="O42" s="412"/>
      <c r="P42" s="413"/>
      <c r="Q42" s="464"/>
      <c r="R42" s="465">
        <f>IFERROR(VLOOKUP(1,'Data Validation'!$O$2:$P$25,2,FALSE),"")</f>
        <v>45906</v>
      </c>
      <c r="S42" s="465" t="str">
        <f>IFERROR(VLOOKUP($P42,'Data Validation'!$O$2:$P$25,2,FALSE),"")</f>
        <v/>
      </c>
      <c r="T42" s="419" t="e">
        <f ca="1">INDEX(INDIRECT(INDEX(ControlRoom[اجمالي الالتزام],MATCH(تفصيلي!Q42,Control!$B$2:$B$12,0))),MATCH(CONCATENATE(O42,P42),INDIRECT(INDEX(ControlRoom[المبلغ],MATCH(تفصيلي!Q42,ControlRoom[التمويل],0))),0))</f>
        <v>#N/A</v>
      </c>
      <c r="U42" s="419" t="e">
        <f ca="1">INDEX(INDIRECT(INDEX(ControlRoom[القسط الشهري],MATCH(تفصيلي!Q42,Control!$B$2:$B$12,0))),MATCH(CONCATENATE(O42,P42),INDIRECT(INDEX(ControlRoom[المبلغ],MATCH(تفصيلي!Q42,ControlRoom[التمويل],0))),0))</f>
        <v>#N/A</v>
      </c>
      <c r="V42" s="420" t="e">
        <f>INDEX(ControlRoom[[فائدة أ]:[فائدة ج]],MATCH(تفصيلي!Q42,ControlRoom[التمويل],0),MATCH(IF(AND(تفصيلي!O42&gt;=Control!$N$2,تفصيلي!O42&lt;=Control!$O$2),Control!$P$2,IF(AND(تفصيلي!O42&gt;=Control!$N$3,تفصيلي!O42&lt;=Control!$O$3),Control!$P$3,IF(AND(تفصيلي!O42&gt;=Control!$N$4,تفصيلي!O42&lt;=Control!$O$4),Control!$P$4,"Out Of Range"))),ControlRoom[[#Headers],[فائدة أ]:[فائدة ج]],0))</f>
        <v>#N/A</v>
      </c>
      <c r="W42" s="419"/>
      <c r="X42" s="466">
        <f t="shared" si="0"/>
        <v>0</v>
      </c>
      <c r="Y42" s="167"/>
      <c r="Z42" s="302">
        <f t="shared" si="1"/>
        <v>0</v>
      </c>
      <c r="AA42" s="166"/>
      <c r="AB42" s="167" t="s">
        <v>624</v>
      </c>
      <c r="AC42" s="167">
        <f t="shared" si="2"/>
        <v>0</v>
      </c>
      <c r="AD42" s="169">
        <f t="shared" si="3"/>
        <v>0</v>
      </c>
      <c r="AE42" s="174"/>
      <c r="AF42" s="303">
        <f t="shared" si="4"/>
        <v>0</v>
      </c>
      <c r="AG42" s="168"/>
      <c r="AH42" s="174" t="s">
        <v>624</v>
      </c>
      <c r="AI42" s="169">
        <f t="shared" si="5"/>
        <v>0</v>
      </c>
      <c r="AJ42" s="172"/>
      <c r="AK42" s="175"/>
      <c r="AL42" s="170"/>
      <c r="AM42" s="171"/>
      <c r="AN42" s="175"/>
      <c r="AO42" s="172"/>
      <c r="AP42" s="467"/>
      <c r="AQ42" s="468"/>
      <c r="AR42" s="469"/>
      <c r="AS42" s="470"/>
      <c r="AT42" s="471"/>
      <c r="AU42" s="471"/>
      <c r="AV42" s="472"/>
      <c r="AW42" s="472"/>
      <c r="AX42" s="473" t="str">
        <f t="shared" si="6"/>
        <v xml:space="preserve"> ,</v>
      </c>
      <c r="AY42" s="473" t="str">
        <f t="shared" si="7"/>
        <v xml:space="preserve"> / </v>
      </c>
      <c r="AZ42" s="474"/>
      <c r="BA42" s="475"/>
      <c r="BB42" s="474"/>
      <c r="BC42" s="474"/>
      <c r="BD42" s="475"/>
      <c r="BE42" s="474"/>
    </row>
    <row r="43" spans="1:57" s="476" customFormat="1" ht="21.6" customHeight="1">
      <c r="A43" s="341">
        <f t="shared" si="8"/>
        <v>38</v>
      </c>
      <c r="B43" s="479"/>
      <c r="C43" s="477"/>
      <c r="D43" s="342"/>
      <c r="E43" s="460"/>
      <c r="F43" s="461" t="s">
        <v>624</v>
      </c>
      <c r="G43" s="342"/>
      <c r="H43" s="176"/>
      <c r="I43" s="176"/>
      <c r="J43" s="346"/>
      <c r="K43" s="462"/>
      <c r="L43" s="346"/>
      <c r="M43" s="463"/>
      <c r="N43" s="345"/>
      <c r="O43" s="412"/>
      <c r="P43" s="413"/>
      <c r="Q43" s="464"/>
      <c r="R43" s="465">
        <f>IFERROR(VLOOKUP(1,'Data Validation'!$O$2:$P$25,2,FALSE),"")</f>
        <v>45906</v>
      </c>
      <c r="S43" s="465" t="str">
        <f>IFERROR(VLOOKUP($P43,'Data Validation'!$O$2:$P$25,2,FALSE),"")</f>
        <v/>
      </c>
      <c r="T43" s="419" t="e">
        <f ca="1">INDEX(INDIRECT(INDEX(ControlRoom[اجمالي الالتزام],MATCH(تفصيلي!Q43,Control!$B$2:$B$12,0))),MATCH(CONCATENATE(O43,P43),INDIRECT(INDEX(ControlRoom[المبلغ],MATCH(تفصيلي!Q43,ControlRoom[التمويل],0))),0))</f>
        <v>#N/A</v>
      </c>
      <c r="U43" s="419" t="e">
        <f ca="1">INDEX(INDIRECT(INDEX(ControlRoom[القسط الشهري],MATCH(تفصيلي!Q43,Control!$B$2:$B$12,0))),MATCH(CONCATENATE(O43,P43),INDIRECT(INDEX(ControlRoom[المبلغ],MATCH(تفصيلي!Q43,ControlRoom[التمويل],0))),0))</f>
        <v>#N/A</v>
      </c>
      <c r="V43" s="420" t="e">
        <f>INDEX(ControlRoom[[فائدة أ]:[فائدة ج]],MATCH(تفصيلي!Q43,ControlRoom[التمويل],0),MATCH(IF(AND(تفصيلي!O43&gt;=Control!$N$2,تفصيلي!O43&lt;=Control!$O$2),Control!$P$2,IF(AND(تفصيلي!O43&gt;=Control!$N$3,تفصيلي!O43&lt;=Control!$O$3),Control!$P$3,IF(AND(تفصيلي!O43&gt;=Control!$N$4,تفصيلي!O43&lt;=Control!$O$4),Control!$P$4,"Out Of Range"))),ControlRoom[[#Headers],[فائدة أ]:[فائدة ج]],0))</f>
        <v>#N/A</v>
      </c>
      <c r="W43" s="419"/>
      <c r="X43" s="466">
        <f t="shared" si="0"/>
        <v>0</v>
      </c>
      <c r="Y43" s="167"/>
      <c r="Z43" s="302">
        <f t="shared" si="1"/>
        <v>0</v>
      </c>
      <c r="AA43" s="166"/>
      <c r="AB43" s="167" t="s">
        <v>624</v>
      </c>
      <c r="AC43" s="167">
        <f t="shared" si="2"/>
        <v>0</v>
      </c>
      <c r="AD43" s="169">
        <f t="shared" si="3"/>
        <v>0</v>
      </c>
      <c r="AE43" s="174"/>
      <c r="AF43" s="303">
        <f t="shared" si="4"/>
        <v>0</v>
      </c>
      <c r="AG43" s="168"/>
      <c r="AH43" s="174" t="s">
        <v>624</v>
      </c>
      <c r="AI43" s="169">
        <f t="shared" si="5"/>
        <v>0</v>
      </c>
      <c r="AJ43" s="172"/>
      <c r="AK43" s="175"/>
      <c r="AL43" s="170"/>
      <c r="AM43" s="171"/>
      <c r="AN43" s="175"/>
      <c r="AO43" s="172"/>
      <c r="AP43" s="467"/>
      <c r="AQ43" s="468"/>
      <c r="AR43" s="469"/>
      <c r="AS43" s="470"/>
      <c r="AT43" s="471"/>
      <c r="AU43" s="471"/>
      <c r="AV43" s="472"/>
      <c r="AW43" s="472"/>
      <c r="AX43" s="473" t="str">
        <f t="shared" si="6"/>
        <v xml:space="preserve"> ,</v>
      </c>
      <c r="AY43" s="473" t="str">
        <f t="shared" si="7"/>
        <v xml:space="preserve"> / </v>
      </c>
      <c r="AZ43" s="474"/>
      <c r="BA43" s="475"/>
      <c r="BB43" s="474"/>
      <c r="BC43" s="474"/>
      <c r="BD43" s="475"/>
      <c r="BE43" s="474"/>
    </row>
    <row r="44" spans="1:57" s="476" customFormat="1" ht="21.6" customHeight="1">
      <c r="A44" s="341">
        <f t="shared" si="8"/>
        <v>39</v>
      </c>
      <c r="B44" s="479"/>
      <c r="C44" s="477"/>
      <c r="D44" s="342"/>
      <c r="E44" s="460"/>
      <c r="F44" s="461" t="s">
        <v>624</v>
      </c>
      <c r="G44" s="342"/>
      <c r="H44" s="176"/>
      <c r="I44" s="176"/>
      <c r="J44" s="346"/>
      <c r="K44" s="462"/>
      <c r="L44" s="346"/>
      <c r="M44" s="463"/>
      <c r="N44" s="345"/>
      <c r="O44" s="412"/>
      <c r="P44" s="413"/>
      <c r="Q44" s="464"/>
      <c r="R44" s="465">
        <f>IFERROR(VLOOKUP(1,'Data Validation'!$O$2:$P$25,2,FALSE),"")</f>
        <v>45906</v>
      </c>
      <c r="S44" s="465" t="str">
        <f>IFERROR(VLOOKUP($P44,'Data Validation'!$O$2:$P$25,2,FALSE),"")</f>
        <v/>
      </c>
      <c r="T44" s="419" t="e">
        <f ca="1">INDEX(INDIRECT(INDEX(ControlRoom[اجمالي الالتزام],MATCH(تفصيلي!Q44,Control!$B$2:$B$12,0))),MATCH(CONCATENATE(O44,P44),INDIRECT(INDEX(ControlRoom[المبلغ],MATCH(تفصيلي!Q44,ControlRoom[التمويل],0))),0))</f>
        <v>#N/A</v>
      </c>
      <c r="U44" s="419" t="e">
        <f ca="1">INDEX(INDIRECT(INDEX(ControlRoom[القسط الشهري],MATCH(تفصيلي!Q44,Control!$B$2:$B$12,0))),MATCH(CONCATENATE(O44,P44),INDIRECT(INDEX(ControlRoom[المبلغ],MATCH(تفصيلي!Q44,ControlRoom[التمويل],0))),0))</f>
        <v>#N/A</v>
      </c>
      <c r="V44" s="420" t="e">
        <f>INDEX(ControlRoom[[فائدة أ]:[فائدة ج]],MATCH(تفصيلي!Q44,ControlRoom[التمويل],0),MATCH(IF(AND(تفصيلي!O44&gt;=Control!$N$2,تفصيلي!O44&lt;=Control!$O$2),Control!$P$2,IF(AND(تفصيلي!O44&gt;=Control!$N$3,تفصيلي!O44&lt;=Control!$O$3),Control!$P$3,IF(AND(تفصيلي!O44&gt;=Control!$N$4,تفصيلي!O44&lt;=Control!$O$4),Control!$P$4,"Out Of Range"))),ControlRoom[[#Headers],[فائدة أ]:[فائدة ج]],0))</f>
        <v>#N/A</v>
      </c>
      <c r="W44" s="419"/>
      <c r="X44" s="466">
        <f t="shared" si="0"/>
        <v>0</v>
      </c>
      <c r="Y44" s="167"/>
      <c r="Z44" s="302">
        <f t="shared" si="1"/>
        <v>0</v>
      </c>
      <c r="AA44" s="166"/>
      <c r="AB44" s="167" t="s">
        <v>624</v>
      </c>
      <c r="AC44" s="167">
        <f t="shared" si="2"/>
        <v>0</v>
      </c>
      <c r="AD44" s="169">
        <f t="shared" si="3"/>
        <v>0</v>
      </c>
      <c r="AE44" s="174"/>
      <c r="AF44" s="303">
        <f t="shared" si="4"/>
        <v>0</v>
      </c>
      <c r="AG44" s="168"/>
      <c r="AH44" s="174" t="s">
        <v>624</v>
      </c>
      <c r="AI44" s="169">
        <f t="shared" si="5"/>
        <v>0</v>
      </c>
      <c r="AJ44" s="172"/>
      <c r="AK44" s="175"/>
      <c r="AL44" s="170"/>
      <c r="AM44" s="171"/>
      <c r="AN44" s="175"/>
      <c r="AO44" s="172"/>
      <c r="AP44" s="467"/>
      <c r="AQ44" s="468"/>
      <c r="AR44" s="469"/>
      <c r="AS44" s="173"/>
      <c r="AT44" s="471"/>
      <c r="AU44" s="471"/>
      <c r="AV44" s="472"/>
      <c r="AW44" s="472"/>
      <c r="AX44" s="473" t="str">
        <f t="shared" si="6"/>
        <v xml:space="preserve"> ,</v>
      </c>
      <c r="AY44" s="473" t="str">
        <f t="shared" si="7"/>
        <v xml:space="preserve"> / </v>
      </c>
      <c r="AZ44" s="474"/>
      <c r="BA44" s="475"/>
      <c r="BB44" s="474"/>
      <c r="BC44" s="474"/>
      <c r="BD44" s="475"/>
      <c r="BE44" s="474"/>
    </row>
    <row r="45" spans="1:57" s="476" customFormat="1" ht="21.6" customHeight="1">
      <c r="A45" s="341">
        <f t="shared" si="8"/>
        <v>40</v>
      </c>
      <c r="B45" s="479"/>
      <c r="C45" s="477"/>
      <c r="D45" s="342"/>
      <c r="E45" s="460"/>
      <c r="F45" s="461" t="s">
        <v>624</v>
      </c>
      <c r="G45" s="342"/>
      <c r="H45" s="176"/>
      <c r="I45" s="176"/>
      <c r="J45" s="346"/>
      <c r="K45" s="462"/>
      <c r="L45" s="346"/>
      <c r="M45" s="463"/>
      <c r="N45" s="345"/>
      <c r="O45" s="412"/>
      <c r="P45" s="413"/>
      <c r="Q45" s="464"/>
      <c r="R45" s="465">
        <f>IFERROR(VLOOKUP(1,'Data Validation'!$O$2:$P$25,2,FALSE),"")</f>
        <v>45906</v>
      </c>
      <c r="S45" s="465" t="str">
        <f>IFERROR(VLOOKUP($P45,'Data Validation'!$O$2:$P$25,2,FALSE),"")</f>
        <v/>
      </c>
      <c r="T45" s="419" t="e">
        <f ca="1">INDEX(INDIRECT(INDEX(ControlRoom[اجمالي الالتزام],MATCH(تفصيلي!Q45,Control!$B$2:$B$12,0))),MATCH(CONCATENATE(O45,P45),INDIRECT(INDEX(ControlRoom[المبلغ],MATCH(تفصيلي!Q45,ControlRoom[التمويل],0))),0))</f>
        <v>#N/A</v>
      </c>
      <c r="U45" s="419" t="e">
        <f ca="1">INDEX(INDIRECT(INDEX(ControlRoom[القسط الشهري],MATCH(تفصيلي!Q45,Control!$B$2:$B$12,0))),MATCH(CONCATENATE(O45,P45),INDIRECT(INDEX(ControlRoom[المبلغ],MATCH(تفصيلي!Q45,ControlRoom[التمويل],0))),0))</f>
        <v>#N/A</v>
      </c>
      <c r="V45" s="420" t="e">
        <f>INDEX(ControlRoom[[فائدة أ]:[فائدة ج]],MATCH(تفصيلي!Q45,ControlRoom[التمويل],0),MATCH(IF(AND(تفصيلي!O45&gt;=Control!$N$2,تفصيلي!O45&lt;=Control!$O$2),Control!$P$2,IF(AND(تفصيلي!O45&gt;=Control!$N$3,تفصيلي!O45&lt;=Control!$O$3),Control!$P$3,IF(AND(تفصيلي!O45&gt;=Control!$N$4,تفصيلي!O45&lt;=Control!$O$4),Control!$P$4,"Out Of Range"))),ControlRoom[[#Headers],[فائدة أ]:[فائدة ج]],0))</f>
        <v>#N/A</v>
      </c>
      <c r="W45" s="419"/>
      <c r="X45" s="466">
        <f t="shared" si="0"/>
        <v>0</v>
      </c>
      <c r="Y45" s="167"/>
      <c r="Z45" s="302">
        <f t="shared" si="1"/>
        <v>0</v>
      </c>
      <c r="AA45" s="166"/>
      <c r="AB45" s="167" t="s">
        <v>624</v>
      </c>
      <c r="AC45" s="167">
        <f t="shared" si="2"/>
        <v>0</v>
      </c>
      <c r="AD45" s="169">
        <f t="shared" si="3"/>
        <v>0</v>
      </c>
      <c r="AE45" s="174"/>
      <c r="AF45" s="303">
        <f t="shared" si="4"/>
        <v>0</v>
      </c>
      <c r="AG45" s="168"/>
      <c r="AH45" s="174" t="s">
        <v>624</v>
      </c>
      <c r="AI45" s="169">
        <f t="shared" si="5"/>
        <v>0</v>
      </c>
      <c r="AJ45" s="172"/>
      <c r="AK45" s="175"/>
      <c r="AL45" s="170"/>
      <c r="AM45" s="171"/>
      <c r="AN45" s="175"/>
      <c r="AO45" s="172"/>
      <c r="AP45" s="467"/>
      <c r="AQ45" s="468"/>
      <c r="AR45" s="469"/>
      <c r="AS45" s="470"/>
      <c r="AT45" s="471"/>
      <c r="AU45" s="471"/>
      <c r="AV45" s="472"/>
      <c r="AW45" s="472"/>
      <c r="AX45" s="473" t="str">
        <f t="shared" si="6"/>
        <v xml:space="preserve"> ,</v>
      </c>
      <c r="AY45" s="473" t="str">
        <f t="shared" si="7"/>
        <v xml:space="preserve"> / </v>
      </c>
      <c r="AZ45" s="474"/>
      <c r="BA45" s="475"/>
      <c r="BB45" s="474"/>
      <c r="BC45" s="474"/>
      <c r="BD45" s="475"/>
      <c r="BE45" s="474"/>
    </row>
    <row r="46" spans="1:57" s="476" customFormat="1" ht="21.6" customHeight="1">
      <c r="A46" s="341">
        <f t="shared" si="8"/>
        <v>41</v>
      </c>
      <c r="B46" s="479"/>
      <c r="C46" s="477"/>
      <c r="D46" s="342"/>
      <c r="E46" s="460"/>
      <c r="F46" s="461" t="s">
        <v>624</v>
      </c>
      <c r="G46" s="342"/>
      <c r="H46" s="176"/>
      <c r="I46" s="176"/>
      <c r="J46" s="346"/>
      <c r="K46" s="462"/>
      <c r="L46" s="346"/>
      <c r="M46" s="463"/>
      <c r="N46" s="345"/>
      <c r="O46" s="412"/>
      <c r="P46" s="413"/>
      <c r="Q46" s="464"/>
      <c r="R46" s="465">
        <f>IFERROR(VLOOKUP(1,'Data Validation'!$O$2:$P$25,2,FALSE),"")</f>
        <v>45906</v>
      </c>
      <c r="S46" s="465" t="str">
        <f>IFERROR(VLOOKUP($P46,'Data Validation'!$O$2:$P$25,2,FALSE),"")</f>
        <v/>
      </c>
      <c r="T46" s="419" t="e">
        <f ca="1">INDEX(INDIRECT(INDEX(ControlRoom[اجمالي الالتزام],MATCH(تفصيلي!Q46,Control!$B$2:$B$12,0))),MATCH(CONCATENATE(O46,P46),INDIRECT(INDEX(ControlRoom[المبلغ],MATCH(تفصيلي!Q46,ControlRoom[التمويل],0))),0))</f>
        <v>#N/A</v>
      </c>
      <c r="U46" s="419" t="e">
        <f ca="1">INDEX(INDIRECT(INDEX(ControlRoom[القسط الشهري],MATCH(تفصيلي!Q46,Control!$B$2:$B$12,0))),MATCH(CONCATENATE(O46,P46),INDIRECT(INDEX(ControlRoom[المبلغ],MATCH(تفصيلي!Q46,ControlRoom[التمويل],0))),0))</f>
        <v>#N/A</v>
      </c>
      <c r="V46" s="420" t="e">
        <f>INDEX(ControlRoom[[فائدة أ]:[فائدة ج]],MATCH(تفصيلي!Q46,ControlRoom[التمويل],0),MATCH(IF(AND(تفصيلي!O46&gt;=Control!$N$2,تفصيلي!O46&lt;=Control!$O$2),Control!$P$2,IF(AND(تفصيلي!O46&gt;=Control!$N$3,تفصيلي!O46&lt;=Control!$O$3),Control!$P$3,IF(AND(تفصيلي!O46&gt;=Control!$N$4,تفصيلي!O46&lt;=Control!$O$4),Control!$P$4,"Out Of Range"))),ControlRoom[[#Headers],[فائدة أ]:[فائدة ج]],0))</f>
        <v>#N/A</v>
      </c>
      <c r="W46" s="419"/>
      <c r="X46" s="466">
        <f t="shared" si="0"/>
        <v>0</v>
      </c>
      <c r="Y46" s="167"/>
      <c r="Z46" s="302">
        <f t="shared" si="1"/>
        <v>0</v>
      </c>
      <c r="AA46" s="166"/>
      <c r="AB46" s="167" t="s">
        <v>624</v>
      </c>
      <c r="AC46" s="167">
        <f t="shared" si="2"/>
        <v>0</v>
      </c>
      <c r="AD46" s="169">
        <f t="shared" si="3"/>
        <v>0</v>
      </c>
      <c r="AE46" s="174"/>
      <c r="AF46" s="303">
        <f t="shared" si="4"/>
        <v>0</v>
      </c>
      <c r="AG46" s="168"/>
      <c r="AH46" s="174" t="s">
        <v>624</v>
      </c>
      <c r="AI46" s="169">
        <f t="shared" si="5"/>
        <v>0</v>
      </c>
      <c r="AJ46" s="172"/>
      <c r="AK46" s="175"/>
      <c r="AL46" s="170"/>
      <c r="AM46" s="171"/>
      <c r="AN46" s="175"/>
      <c r="AO46" s="172"/>
      <c r="AP46" s="467"/>
      <c r="AQ46" s="468"/>
      <c r="AR46" s="469"/>
      <c r="AS46" s="470"/>
      <c r="AT46" s="471"/>
      <c r="AU46" s="471"/>
      <c r="AV46" s="472"/>
      <c r="AW46" s="472"/>
      <c r="AX46" s="473" t="str">
        <f t="shared" si="6"/>
        <v xml:space="preserve"> ,</v>
      </c>
      <c r="AY46" s="473" t="str">
        <f t="shared" si="7"/>
        <v xml:space="preserve"> / </v>
      </c>
      <c r="AZ46" s="474"/>
      <c r="BA46" s="475"/>
      <c r="BB46" s="474"/>
      <c r="BC46" s="474"/>
      <c r="BD46" s="475"/>
      <c r="BE46" s="474"/>
    </row>
    <row r="47" spans="1:57" s="476" customFormat="1" ht="21.6" customHeight="1">
      <c r="A47" s="341">
        <f t="shared" si="8"/>
        <v>42</v>
      </c>
      <c r="B47" s="479"/>
      <c r="C47" s="477"/>
      <c r="D47" s="342"/>
      <c r="E47" s="460"/>
      <c r="F47" s="461" t="s">
        <v>624</v>
      </c>
      <c r="G47" s="342"/>
      <c r="H47" s="176"/>
      <c r="I47" s="176"/>
      <c r="J47" s="346"/>
      <c r="K47" s="462"/>
      <c r="L47" s="346"/>
      <c r="M47" s="463"/>
      <c r="N47" s="345"/>
      <c r="O47" s="412"/>
      <c r="P47" s="413"/>
      <c r="Q47" s="464"/>
      <c r="R47" s="465">
        <f>IFERROR(VLOOKUP(1,'Data Validation'!$O$2:$P$25,2,FALSE),"")</f>
        <v>45906</v>
      </c>
      <c r="S47" s="465" t="str">
        <f>IFERROR(VLOOKUP($P47,'Data Validation'!$O$2:$P$25,2,FALSE),"")</f>
        <v/>
      </c>
      <c r="T47" s="419" t="e">
        <f ca="1">INDEX(INDIRECT(INDEX(ControlRoom[اجمالي الالتزام],MATCH(تفصيلي!Q47,Control!$B$2:$B$12,0))),MATCH(CONCATENATE(O47,P47),INDIRECT(INDEX(ControlRoom[المبلغ],MATCH(تفصيلي!Q47,ControlRoom[التمويل],0))),0))</f>
        <v>#N/A</v>
      </c>
      <c r="U47" s="419" t="e">
        <f ca="1">INDEX(INDIRECT(INDEX(ControlRoom[القسط الشهري],MATCH(تفصيلي!Q47,Control!$B$2:$B$12,0))),MATCH(CONCATENATE(O47,P47),INDIRECT(INDEX(ControlRoom[المبلغ],MATCH(تفصيلي!Q47,ControlRoom[التمويل],0))),0))</f>
        <v>#N/A</v>
      </c>
      <c r="V47" s="420" t="e">
        <f>INDEX(ControlRoom[[فائدة أ]:[فائدة ج]],MATCH(تفصيلي!Q47,ControlRoom[التمويل],0),MATCH(IF(AND(تفصيلي!O47&gt;=Control!$N$2,تفصيلي!O47&lt;=Control!$O$2),Control!$P$2,IF(AND(تفصيلي!O47&gt;=Control!$N$3,تفصيلي!O47&lt;=Control!$O$3),Control!$P$3,IF(AND(تفصيلي!O47&gt;=Control!$N$4,تفصيلي!O47&lt;=Control!$O$4),Control!$P$4,"Out Of Range"))),ControlRoom[[#Headers],[فائدة أ]:[فائدة ج]],0))</f>
        <v>#N/A</v>
      </c>
      <c r="W47" s="419"/>
      <c r="X47" s="466">
        <f t="shared" si="0"/>
        <v>0</v>
      </c>
      <c r="Y47" s="167"/>
      <c r="Z47" s="302">
        <f t="shared" si="1"/>
        <v>0</v>
      </c>
      <c r="AA47" s="166"/>
      <c r="AB47" s="167" t="s">
        <v>624</v>
      </c>
      <c r="AC47" s="167">
        <f t="shared" si="2"/>
        <v>0</v>
      </c>
      <c r="AD47" s="169">
        <f t="shared" si="3"/>
        <v>0</v>
      </c>
      <c r="AE47" s="174"/>
      <c r="AF47" s="303">
        <f t="shared" si="4"/>
        <v>0</v>
      </c>
      <c r="AG47" s="168"/>
      <c r="AH47" s="174" t="s">
        <v>624</v>
      </c>
      <c r="AI47" s="169">
        <f t="shared" si="5"/>
        <v>0</v>
      </c>
      <c r="AJ47" s="172"/>
      <c r="AK47" s="175"/>
      <c r="AL47" s="170"/>
      <c r="AM47" s="171"/>
      <c r="AN47" s="175"/>
      <c r="AO47" s="172"/>
      <c r="AP47" s="467"/>
      <c r="AQ47" s="468"/>
      <c r="AR47" s="469"/>
      <c r="AS47" s="470"/>
      <c r="AT47" s="471"/>
      <c r="AU47" s="471"/>
      <c r="AV47" s="472"/>
      <c r="AW47" s="472"/>
      <c r="AX47" s="473" t="str">
        <f t="shared" si="6"/>
        <v xml:space="preserve"> ,</v>
      </c>
      <c r="AY47" s="473" t="str">
        <f t="shared" si="7"/>
        <v xml:space="preserve"> / </v>
      </c>
      <c r="AZ47" s="474"/>
      <c r="BA47" s="475"/>
      <c r="BB47" s="474"/>
      <c r="BC47" s="474"/>
      <c r="BD47" s="475"/>
      <c r="BE47" s="474"/>
    </row>
    <row r="48" spans="1:57" s="476" customFormat="1" ht="21.6" customHeight="1">
      <c r="A48" s="341">
        <f t="shared" si="8"/>
        <v>43</v>
      </c>
      <c r="B48" s="479"/>
      <c r="C48" s="477"/>
      <c r="D48" s="342"/>
      <c r="E48" s="460"/>
      <c r="F48" s="461" t="s">
        <v>624</v>
      </c>
      <c r="G48" s="342"/>
      <c r="H48" s="176"/>
      <c r="I48" s="176"/>
      <c r="J48" s="346"/>
      <c r="K48" s="462"/>
      <c r="L48" s="346"/>
      <c r="M48" s="463"/>
      <c r="N48" s="345"/>
      <c r="O48" s="412"/>
      <c r="P48" s="413"/>
      <c r="Q48" s="464"/>
      <c r="R48" s="465">
        <f>IFERROR(VLOOKUP(1,'Data Validation'!$O$2:$P$25,2,FALSE),"")</f>
        <v>45906</v>
      </c>
      <c r="S48" s="465" t="str">
        <f>IFERROR(VLOOKUP($P48,'Data Validation'!$O$2:$P$25,2,FALSE),"")</f>
        <v/>
      </c>
      <c r="T48" s="419" t="e">
        <f ca="1">INDEX(INDIRECT(INDEX(ControlRoom[اجمالي الالتزام],MATCH(تفصيلي!Q48,Control!$B$2:$B$12,0))),MATCH(CONCATENATE(O48,P48),INDIRECT(INDEX(ControlRoom[المبلغ],MATCH(تفصيلي!Q48,ControlRoom[التمويل],0))),0))</f>
        <v>#N/A</v>
      </c>
      <c r="U48" s="419" t="e">
        <f ca="1">INDEX(INDIRECT(INDEX(ControlRoom[القسط الشهري],MATCH(تفصيلي!Q48,Control!$B$2:$B$12,0))),MATCH(CONCATENATE(O48,P48),INDIRECT(INDEX(ControlRoom[المبلغ],MATCH(تفصيلي!Q48,ControlRoom[التمويل],0))),0))</f>
        <v>#N/A</v>
      </c>
      <c r="V48" s="420" t="e">
        <f>INDEX(ControlRoom[[فائدة أ]:[فائدة ج]],MATCH(تفصيلي!Q48,ControlRoom[التمويل],0),MATCH(IF(AND(تفصيلي!O48&gt;=Control!$N$2,تفصيلي!O48&lt;=Control!$O$2),Control!$P$2,IF(AND(تفصيلي!O48&gt;=Control!$N$3,تفصيلي!O48&lt;=Control!$O$3),Control!$P$3,IF(AND(تفصيلي!O48&gt;=Control!$N$4,تفصيلي!O48&lt;=Control!$O$4),Control!$P$4,"Out Of Range"))),ControlRoom[[#Headers],[فائدة أ]:[فائدة ج]],0))</f>
        <v>#N/A</v>
      </c>
      <c r="W48" s="419"/>
      <c r="X48" s="466">
        <f t="shared" si="0"/>
        <v>0</v>
      </c>
      <c r="Y48" s="167"/>
      <c r="Z48" s="302">
        <f t="shared" si="1"/>
        <v>0</v>
      </c>
      <c r="AA48" s="166"/>
      <c r="AB48" s="167" t="s">
        <v>624</v>
      </c>
      <c r="AC48" s="167">
        <f t="shared" si="2"/>
        <v>0</v>
      </c>
      <c r="AD48" s="169">
        <f t="shared" si="3"/>
        <v>0</v>
      </c>
      <c r="AE48" s="174"/>
      <c r="AF48" s="303">
        <f t="shared" si="4"/>
        <v>0</v>
      </c>
      <c r="AG48" s="168"/>
      <c r="AH48" s="174" t="s">
        <v>624</v>
      </c>
      <c r="AI48" s="169">
        <f t="shared" si="5"/>
        <v>0</v>
      </c>
      <c r="AJ48" s="172"/>
      <c r="AK48" s="175"/>
      <c r="AL48" s="170"/>
      <c r="AM48" s="171"/>
      <c r="AN48" s="175"/>
      <c r="AO48" s="172"/>
      <c r="AP48" s="467"/>
      <c r="AQ48" s="468"/>
      <c r="AR48" s="469"/>
      <c r="AS48" s="470"/>
      <c r="AT48" s="471"/>
      <c r="AU48" s="471"/>
      <c r="AV48" s="472"/>
      <c r="AW48" s="472"/>
      <c r="AX48" s="473" t="str">
        <f t="shared" si="6"/>
        <v xml:space="preserve"> ,</v>
      </c>
      <c r="AY48" s="473" t="str">
        <f t="shared" si="7"/>
        <v xml:space="preserve"> / </v>
      </c>
      <c r="AZ48" s="474"/>
      <c r="BA48" s="475"/>
      <c r="BB48" s="474"/>
      <c r="BC48" s="474"/>
      <c r="BD48" s="475"/>
      <c r="BE48" s="474"/>
    </row>
    <row r="49" spans="1:57" s="476" customFormat="1" ht="21.6" customHeight="1">
      <c r="A49" s="341">
        <f t="shared" si="8"/>
        <v>44</v>
      </c>
      <c r="B49" s="479"/>
      <c r="C49" s="477"/>
      <c r="D49" s="342"/>
      <c r="E49" s="460"/>
      <c r="F49" s="461" t="s">
        <v>624</v>
      </c>
      <c r="G49" s="342"/>
      <c r="H49" s="176"/>
      <c r="I49" s="176"/>
      <c r="J49" s="346"/>
      <c r="K49" s="462"/>
      <c r="L49" s="346"/>
      <c r="M49" s="463"/>
      <c r="N49" s="345"/>
      <c r="O49" s="412"/>
      <c r="P49" s="413"/>
      <c r="Q49" s="464"/>
      <c r="R49" s="465">
        <f>IFERROR(VLOOKUP(1,'Data Validation'!$O$2:$P$25,2,FALSE),"")</f>
        <v>45906</v>
      </c>
      <c r="S49" s="465" t="str">
        <f>IFERROR(VLOOKUP($P49,'Data Validation'!$O$2:$P$25,2,FALSE),"")</f>
        <v/>
      </c>
      <c r="T49" s="419" t="e">
        <f ca="1">INDEX(INDIRECT(INDEX(ControlRoom[اجمالي الالتزام],MATCH(تفصيلي!Q49,Control!$B$2:$B$12,0))),MATCH(CONCATENATE(O49,P49),INDIRECT(INDEX(ControlRoom[المبلغ],MATCH(تفصيلي!Q49,ControlRoom[التمويل],0))),0))</f>
        <v>#N/A</v>
      </c>
      <c r="U49" s="419" t="e">
        <f ca="1">INDEX(INDIRECT(INDEX(ControlRoom[القسط الشهري],MATCH(تفصيلي!Q49,Control!$B$2:$B$12,0))),MATCH(CONCATENATE(O49,P49),INDIRECT(INDEX(ControlRoom[المبلغ],MATCH(تفصيلي!Q49,ControlRoom[التمويل],0))),0))</f>
        <v>#N/A</v>
      </c>
      <c r="V49" s="420" t="e">
        <f>INDEX(ControlRoom[[فائدة أ]:[فائدة ج]],MATCH(تفصيلي!Q49,ControlRoom[التمويل],0),MATCH(IF(AND(تفصيلي!O49&gt;=Control!$N$2,تفصيلي!O49&lt;=Control!$O$2),Control!$P$2,IF(AND(تفصيلي!O49&gt;=Control!$N$3,تفصيلي!O49&lt;=Control!$O$3),Control!$P$3,IF(AND(تفصيلي!O49&gt;=Control!$N$4,تفصيلي!O49&lt;=Control!$O$4),Control!$P$4,"Out Of Range"))),ControlRoom[[#Headers],[فائدة أ]:[فائدة ج]],0))</f>
        <v>#N/A</v>
      </c>
      <c r="W49" s="419"/>
      <c r="X49" s="466">
        <f t="shared" si="0"/>
        <v>0</v>
      </c>
      <c r="Y49" s="167"/>
      <c r="Z49" s="302">
        <f t="shared" si="1"/>
        <v>0</v>
      </c>
      <c r="AA49" s="166"/>
      <c r="AB49" s="167" t="s">
        <v>624</v>
      </c>
      <c r="AC49" s="167">
        <f t="shared" si="2"/>
        <v>0</v>
      </c>
      <c r="AD49" s="169">
        <f t="shared" si="3"/>
        <v>0</v>
      </c>
      <c r="AE49" s="174"/>
      <c r="AF49" s="303">
        <f t="shared" si="4"/>
        <v>0</v>
      </c>
      <c r="AG49" s="168"/>
      <c r="AH49" s="174" t="s">
        <v>624</v>
      </c>
      <c r="AI49" s="169">
        <f t="shared" si="5"/>
        <v>0</v>
      </c>
      <c r="AJ49" s="172"/>
      <c r="AK49" s="175"/>
      <c r="AL49" s="170"/>
      <c r="AM49" s="171"/>
      <c r="AN49" s="175"/>
      <c r="AO49" s="172"/>
      <c r="AP49" s="467"/>
      <c r="AQ49" s="468"/>
      <c r="AR49" s="469"/>
      <c r="AS49" s="470"/>
      <c r="AT49" s="471"/>
      <c r="AU49" s="471"/>
      <c r="AV49" s="472"/>
      <c r="AW49" s="472"/>
      <c r="AX49" s="473" t="str">
        <f t="shared" si="6"/>
        <v xml:space="preserve"> ,</v>
      </c>
      <c r="AY49" s="473" t="str">
        <f t="shared" si="7"/>
        <v xml:space="preserve"> / </v>
      </c>
      <c r="AZ49" s="474"/>
      <c r="BA49" s="475"/>
      <c r="BB49" s="474"/>
      <c r="BC49" s="474"/>
      <c r="BD49" s="475"/>
      <c r="BE49" s="474"/>
    </row>
    <row r="50" spans="1:57" s="476" customFormat="1" ht="21.6" customHeight="1">
      <c r="A50" s="341">
        <f t="shared" si="8"/>
        <v>45</v>
      </c>
      <c r="B50" s="479"/>
      <c r="C50" s="477"/>
      <c r="D50" s="342"/>
      <c r="E50" s="460"/>
      <c r="F50" s="461" t="s">
        <v>624</v>
      </c>
      <c r="G50" s="342"/>
      <c r="H50" s="176"/>
      <c r="I50" s="176"/>
      <c r="J50" s="346"/>
      <c r="K50" s="462"/>
      <c r="L50" s="346"/>
      <c r="M50" s="463"/>
      <c r="N50" s="345"/>
      <c r="O50" s="412"/>
      <c r="P50" s="413"/>
      <c r="Q50" s="464"/>
      <c r="R50" s="465">
        <f>IFERROR(VLOOKUP(1,'Data Validation'!$O$2:$P$25,2,FALSE),"")</f>
        <v>45906</v>
      </c>
      <c r="S50" s="465" t="str">
        <f>IFERROR(VLOOKUP($P50,'Data Validation'!$O$2:$P$25,2,FALSE),"")</f>
        <v/>
      </c>
      <c r="T50" s="419" t="e">
        <f ca="1">INDEX(INDIRECT(INDEX(ControlRoom[اجمالي الالتزام],MATCH(تفصيلي!Q50,Control!$B$2:$B$12,0))),MATCH(CONCATENATE(O50,P50),INDIRECT(INDEX(ControlRoom[المبلغ],MATCH(تفصيلي!Q50,ControlRoom[التمويل],0))),0))</f>
        <v>#N/A</v>
      </c>
      <c r="U50" s="419" t="e">
        <f ca="1">INDEX(INDIRECT(INDEX(ControlRoom[القسط الشهري],MATCH(تفصيلي!Q50,Control!$B$2:$B$12,0))),MATCH(CONCATENATE(O50,P50),INDIRECT(INDEX(ControlRoom[المبلغ],MATCH(تفصيلي!Q50,ControlRoom[التمويل],0))),0))</f>
        <v>#N/A</v>
      </c>
      <c r="V50" s="420" t="e">
        <f>INDEX(ControlRoom[[فائدة أ]:[فائدة ج]],MATCH(تفصيلي!Q50,ControlRoom[التمويل],0),MATCH(IF(AND(تفصيلي!O50&gt;=Control!$N$2,تفصيلي!O50&lt;=Control!$O$2),Control!$P$2,IF(AND(تفصيلي!O50&gt;=Control!$N$3,تفصيلي!O50&lt;=Control!$O$3),Control!$P$3,IF(AND(تفصيلي!O50&gt;=Control!$N$4,تفصيلي!O50&lt;=Control!$O$4),Control!$P$4,"Out Of Range"))),ControlRoom[[#Headers],[فائدة أ]:[فائدة ج]],0))</f>
        <v>#N/A</v>
      </c>
      <c r="W50" s="419"/>
      <c r="X50" s="466">
        <f t="shared" si="0"/>
        <v>0</v>
      </c>
      <c r="Y50" s="167"/>
      <c r="Z50" s="302">
        <f t="shared" si="1"/>
        <v>0</v>
      </c>
      <c r="AA50" s="166"/>
      <c r="AB50" s="167" t="s">
        <v>624</v>
      </c>
      <c r="AC50" s="167">
        <f t="shared" si="2"/>
        <v>0</v>
      </c>
      <c r="AD50" s="169">
        <f t="shared" si="3"/>
        <v>0</v>
      </c>
      <c r="AE50" s="174"/>
      <c r="AF50" s="303">
        <f t="shared" si="4"/>
        <v>0</v>
      </c>
      <c r="AG50" s="168"/>
      <c r="AH50" s="174" t="s">
        <v>624</v>
      </c>
      <c r="AI50" s="169">
        <f t="shared" si="5"/>
        <v>0</v>
      </c>
      <c r="AJ50" s="172"/>
      <c r="AK50" s="175"/>
      <c r="AL50" s="170"/>
      <c r="AM50" s="171"/>
      <c r="AN50" s="175"/>
      <c r="AO50" s="172"/>
      <c r="AP50" s="467"/>
      <c r="AQ50" s="468"/>
      <c r="AR50" s="469"/>
      <c r="AS50" s="470"/>
      <c r="AT50" s="471"/>
      <c r="AU50" s="471"/>
      <c r="AV50" s="472"/>
      <c r="AW50" s="472"/>
      <c r="AX50" s="473" t="str">
        <f t="shared" si="6"/>
        <v xml:space="preserve"> ,</v>
      </c>
      <c r="AY50" s="473" t="str">
        <f t="shared" si="7"/>
        <v xml:space="preserve"> / </v>
      </c>
      <c r="AZ50" s="474"/>
      <c r="BA50" s="475"/>
      <c r="BB50" s="474"/>
      <c r="BC50" s="474"/>
      <c r="BD50" s="475"/>
      <c r="BE50" s="474"/>
    </row>
    <row r="51" spans="1:57" s="476" customFormat="1" ht="21.6" customHeight="1">
      <c r="A51" s="341">
        <f t="shared" si="8"/>
        <v>46</v>
      </c>
      <c r="B51" s="479"/>
      <c r="C51" s="477"/>
      <c r="D51" s="342"/>
      <c r="E51" s="236"/>
      <c r="F51" s="461" t="s">
        <v>624</v>
      </c>
      <c r="G51" s="342"/>
      <c r="H51" s="176"/>
      <c r="I51" s="176"/>
      <c r="J51" s="346"/>
      <c r="K51" s="462"/>
      <c r="L51" s="346"/>
      <c r="M51" s="463"/>
      <c r="N51" s="345"/>
      <c r="O51" s="412"/>
      <c r="P51" s="413"/>
      <c r="Q51" s="464"/>
      <c r="R51" s="465">
        <f>IFERROR(VLOOKUP(1,'Data Validation'!$O$2:$P$25,2,FALSE),"")</f>
        <v>45906</v>
      </c>
      <c r="S51" s="465" t="str">
        <f>IFERROR(VLOOKUP($P51,'Data Validation'!$O$2:$P$25,2,FALSE),"")</f>
        <v/>
      </c>
      <c r="T51" s="419" t="e">
        <f ca="1">INDEX(INDIRECT(INDEX(ControlRoom[اجمالي الالتزام],MATCH(تفصيلي!Q51,Control!$B$2:$B$12,0))),MATCH(CONCATENATE(O51,P51),INDIRECT(INDEX(ControlRoom[المبلغ],MATCH(تفصيلي!Q51,ControlRoom[التمويل],0))),0))</f>
        <v>#N/A</v>
      </c>
      <c r="U51" s="419" t="e">
        <f ca="1">INDEX(INDIRECT(INDEX(ControlRoom[القسط الشهري],MATCH(تفصيلي!Q51,Control!$B$2:$B$12,0))),MATCH(CONCATENATE(O51,P51),INDIRECT(INDEX(ControlRoom[المبلغ],MATCH(تفصيلي!Q51,ControlRoom[التمويل],0))),0))</f>
        <v>#N/A</v>
      </c>
      <c r="V51" s="420" t="e">
        <f>INDEX(ControlRoom[[فائدة أ]:[فائدة ج]],MATCH(تفصيلي!Q51,ControlRoom[التمويل],0),MATCH(IF(AND(تفصيلي!O51&gt;=Control!$N$2,تفصيلي!O51&lt;=Control!$O$2),Control!$P$2,IF(AND(تفصيلي!O51&gt;=Control!$N$3,تفصيلي!O51&lt;=Control!$O$3),Control!$P$3,IF(AND(تفصيلي!O51&gt;=Control!$N$4,تفصيلي!O51&lt;=Control!$O$4),Control!$P$4,"Out Of Range"))),ControlRoom[[#Headers],[فائدة أ]:[فائدة ج]],0))</f>
        <v>#N/A</v>
      </c>
      <c r="W51" s="419"/>
      <c r="X51" s="466">
        <f t="shared" si="0"/>
        <v>0</v>
      </c>
      <c r="Y51" s="167"/>
      <c r="Z51" s="302">
        <f t="shared" si="1"/>
        <v>0</v>
      </c>
      <c r="AA51" s="166"/>
      <c r="AB51" s="167" t="s">
        <v>624</v>
      </c>
      <c r="AC51" s="167">
        <f t="shared" si="2"/>
        <v>0</v>
      </c>
      <c r="AD51" s="169">
        <f t="shared" si="3"/>
        <v>0</v>
      </c>
      <c r="AE51" s="174"/>
      <c r="AF51" s="303">
        <f t="shared" si="4"/>
        <v>0</v>
      </c>
      <c r="AG51" s="168"/>
      <c r="AH51" s="174" t="s">
        <v>624</v>
      </c>
      <c r="AI51" s="169">
        <f t="shared" si="5"/>
        <v>0</v>
      </c>
      <c r="AJ51" s="172"/>
      <c r="AK51" s="175"/>
      <c r="AL51" s="170"/>
      <c r="AM51" s="171"/>
      <c r="AN51" s="175"/>
      <c r="AO51" s="172"/>
      <c r="AP51" s="467"/>
      <c r="AQ51" s="468"/>
      <c r="AR51" s="469"/>
      <c r="AS51" s="470"/>
      <c r="AT51" s="471"/>
      <c r="AU51" s="471"/>
      <c r="AV51" s="472"/>
      <c r="AW51" s="472"/>
      <c r="AX51" s="473" t="str">
        <f t="shared" si="6"/>
        <v xml:space="preserve"> ,</v>
      </c>
      <c r="AY51" s="473" t="str">
        <f t="shared" si="7"/>
        <v xml:space="preserve"> / </v>
      </c>
      <c r="AZ51" s="474"/>
      <c r="BA51" s="475"/>
      <c r="BB51" s="474"/>
      <c r="BC51" s="474"/>
      <c r="BD51" s="475"/>
      <c r="BE51" s="474"/>
    </row>
    <row r="52" spans="1:57" s="476" customFormat="1" ht="21.6" customHeight="1">
      <c r="A52" s="341">
        <f t="shared" si="8"/>
        <v>47</v>
      </c>
      <c r="B52" s="479"/>
      <c r="C52" s="477"/>
      <c r="D52" s="342"/>
      <c r="E52" s="236"/>
      <c r="F52" s="461" t="s">
        <v>624</v>
      </c>
      <c r="G52" s="342"/>
      <c r="H52" s="176"/>
      <c r="I52" s="176"/>
      <c r="J52" s="346"/>
      <c r="K52" s="462"/>
      <c r="L52" s="346"/>
      <c r="M52" s="463"/>
      <c r="N52" s="345"/>
      <c r="O52" s="412"/>
      <c r="P52" s="413"/>
      <c r="Q52" s="464"/>
      <c r="R52" s="465">
        <f>IFERROR(VLOOKUP(1,'Data Validation'!$O$2:$P$25,2,FALSE),"")</f>
        <v>45906</v>
      </c>
      <c r="S52" s="465" t="str">
        <f>IFERROR(VLOOKUP($P52,'Data Validation'!$O$2:$P$25,2,FALSE),"")</f>
        <v/>
      </c>
      <c r="T52" s="419" t="e">
        <f ca="1">INDEX(INDIRECT(INDEX(ControlRoom[اجمالي الالتزام],MATCH(تفصيلي!Q52,Control!$B$2:$B$12,0))),MATCH(CONCATENATE(O52,P52),INDIRECT(INDEX(ControlRoom[المبلغ],MATCH(تفصيلي!Q52,ControlRoom[التمويل],0))),0))</f>
        <v>#N/A</v>
      </c>
      <c r="U52" s="419" t="e">
        <f ca="1">INDEX(INDIRECT(INDEX(ControlRoom[القسط الشهري],MATCH(تفصيلي!Q52,Control!$B$2:$B$12,0))),MATCH(CONCATENATE(O52,P52),INDIRECT(INDEX(ControlRoom[المبلغ],MATCH(تفصيلي!Q52,ControlRoom[التمويل],0))),0))</f>
        <v>#N/A</v>
      </c>
      <c r="V52" s="420" t="e">
        <f>INDEX(ControlRoom[[فائدة أ]:[فائدة ج]],MATCH(تفصيلي!Q52,ControlRoom[التمويل],0),MATCH(IF(AND(تفصيلي!O52&gt;=Control!$N$2,تفصيلي!O52&lt;=Control!$O$2),Control!$P$2,IF(AND(تفصيلي!O52&gt;=Control!$N$3,تفصيلي!O52&lt;=Control!$O$3),Control!$P$3,IF(AND(تفصيلي!O52&gt;=Control!$N$4,تفصيلي!O52&lt;=Control!$O$4),Control!$P$4,"Out Of Range"))),ControlRoom[[#Headers],[فائدة أ]:[فائدة ج]],0))</f>
        <v>#N/A</v>
      </c>
      <c r="W52" s="419"/>
      <c r="X52" s="466">
        <f t="shared" si="0"/>
        <v>0</v>
      </c>
      <c r="Y52" s="167"/>
      <c r="Z52" s="302">
        <f t="shared" si="1"/>
        <v>0</v>
      </c>
      <c r="AA52" s="166"/>
      <c r="AB52" s="167" t="s">
        <v>624</v>
      </c>
      <c r="AC52" s="167">
        <f t="shared" si="2"/>
        <v>0</v>
      </c>
      <c r="AD52" s="169">
        <f t="shared" si="3"/>
        <v>0</v>
      </c>
      <c r="AE52" s="174"/>
      <c r="AF52" s="303">
        <f t="shared" si="4"/>
        <v>0</v>
      </c>
      <c r="AG52" s="168"/>
      <c r="AH52" s="174" t="s">
        <v>624</v>
      </c>
      <c r="AI52" s="169">
        <f t="shared" si="5"/>
        <v>0</v>
      </c>
      <c r="AJ52" s="172"/>
      <c r="AK52" s="175"/>
      <c r="AL52" s="170"/>
      <c r="AM52" s="171"/>
      <c r="AN52" s="175"/>
      <c r="AO52" s="172"/>
      <c r="AP52" s="467"/>
      <c r="AQ52" s="468"/>
      <c r="AR52" s="469"/>
      <c r="AS52" s="470"/>
      <c r="AT52" s="471"/>
      <c r="AU52" s="471"/>
      <c r="AV52" s="472"/>
      <c r="AW52" s="472"/>
      <c r="AX52" s="473" t="str">
        <f t="shared" si="6"/>
        <v xml:space="preserve"> ,</v>
      </c>
      <c r="AY52" s="473" t="str">
        <f t="shared" si="7"/>
        <v xml:space="preserve"> / </v>
      </c>
      <c r="AZ52" s="474"/>
      <c r="BA52" s="475"/>
      <c r="BB52" s="474"/>
      <c r="BC52" s="474"/>
      <c r="BD52" s="475"/>
      <c r="BE52" s="474"/>
    </row>
    <row r="53" spans="1:57" s="476" customFormat="1" ht="21.6" customHeight="1">
      <c r="A53" s="341">
        <f t="shared" si="8"/>
        <v>48</v>
      </c>
      <c r="B53" s="479"/>
      <c r="C53" s="477"/>
      <c r="D53" s="342"/>
      <c r="E53" s="236"/>
      <c r="F53" s="461" t="s">
        <v>624</v>
      </c>
      <c r="G53" s="342"/>
      <c r="H53" s="176"/>
      <c r="I53" s="176"/>
      <c r="J53" s="346"/>
      <c r="K53" s="462"/>
      <c r="L53" s="346"/>
      <c r="M53" s="463"/>
      <c r="N53" s="345"/>
      <c r="O53" s="412"/>
      <c r="P53" s="413"/>
      <c r="Q53" s="464"/>
      <c r="R53" s="465">
        <f>IFERROR(VLOOKUP(1,'Data Validation'!$O$2:$P$25,2,FALSE),"")</f>
        <v>45906</v>
      </c>
      <c r="S53" s="465" t="str">
        <f>IFERROR(VLOOKUP($P53,'Data Validation'!$O$2:$P$25,2,FALSE),"")</f>
        <v/>
      </c>
      <c r="T53" s="419" t="e">
        <f ca="1">INDEX(INDIRECT(INDEX(ControlRoom[اجمالي الالتزام],MATCH(تفصيلي!Q53,Control!$B$2:$B$12,0))),MATCH(CONCATENATE(O53,P53),INDIRECT(INDEX(ControlRoom[المبلغ],MATCH(تفصيلي!Q53,ControlRoom[التمويل],0))),0))</f>
        <v>#N/A</v>
      </c>
      <c r="U53" s="419" t="e">
        <f ca="1">INDEX(INDIRECT(INDEX(ControlRoom[القسط الشهري],MATCH(تفصيلي!Q53,Control!$B$2:$B$12,0))),MATCH(CONCATENATE(O53,P53),INDIRECT(INDEX(ControlRoom[المبلغ],MATCH(تفصيلي!Q53,ControlRoom[التمويل],0))),0))</f>
        <v>#N/A</v>
      </c>
      <c r="V53" s="420" t="e">
        <f>INDEX(ControlRoom[[فائدة أ]:[فائدة ج]],MATCH(تفصيلي!Q53,ControlRoom[التمويل],0),MATCH(IF(AND(تفصيلي!O53&gt;=Control!$N$2,تفصيلي!O53&lt;=Control!$O$2),Control!$P$2,IF(AND(تفصيلي!O53&gt;=Control!$N$3,تفصيلي!O53&lt;=Control!$O$3),Control!$P$3,IF(AND(تفصيلي!O53&gt;=Control!$N$4,تفصيلي!O53&lt;=Control!$O$4),Control!$P$4,"Out Of Range"))),ControlRoom[[#Headers],[فائدة أ]:[فائدة ج]],0))</f>
        <v>#N/A</v>
      </c>
      <c r="W53" s="419"/>
      <c r="X53" s="466">
        <f t="shared" si="0"/>
        <v>0</v>
      </c>
      <c r="Y53" s="167"/>
      <c r="Z53" s="302">
        <f t="shared" si="1"/>
        <v>0</v>
      </c>
      <c r="AA53" s="166"/>
      <c r="AB53" s="167" t="s">
        <v>624</v>
      </c>
      <c r="AC53" s="167">
        <f t="shared" si="2"/>
        <v>0</v>
      </c>
      <c r="AD53" s="169">
        <f t="shared" si="3"/>
        <v>0</v>
      </c>
      <c r="AE53" s="174"/>
      <c r="AF53" s="303">
        <f t="shared" si="4"/>
        <v>0</v>
      </c>
      <c r="AG53" s="168"/>
      <c r="AH53" s="174" t="s">
        <v>624</v>
      </c>
      <c r="AI53" s="169">
        <f t="shared" si="5"/>
        <v>0</v>
      </c>
      <c r="AJ53" s="172"/>
      <c r="AK53" s="175"/>
      <c r="AL53" s="170"/>
      <c r="AM53" s="171"/>
      <c r="AN53" s="175"/>
      <c r="AO53" s="172"/>
      <c r="AP53" s="467"/>
      <c r="AQ53" s="468"/>
      <c r="AR53" s="469"/>
      <c r="AS53" s="470"/>
      <c r="AT53" s="471"/>
      <c r="AU53" s="471"/>
      <c r="AV53" s="472"/>
      <c r="AW53" s="472"/>
      <c r="AX53" s="473" t="str">
        <f t="shared" si="6"/>
        <v xml:space="preserve"> ,</v>
      </c>
      <c r="AY53" s="473" t="str">
        <f t="shared" si="7"/>
        <v xml:space="preserve"> / </v>
      </c>
      <c r="AZ53" s="474"/>
      <c r="BA53" s="475"/>
      <c r="BB53" s="474"/>
      <c r="BC53" s="474"/>
      <c r="BD53" s="475"/>
      <c r="BE53" s="474"/>
    </row>
    <row r="54" spans="1:57" s="476" customFormat="1" ht="21.6" customHeight="1">
      <c r="A54" s="341">
        <f t="shared" si="8"/>
        <v>49</v>
      </c>
      <c r="B54" s="479"/>
      <c r="C54" s="477"/>
      <c r="D54" s="342"/>
      <c r="E54" s="236"/>
      <c r="F54" s="461" t="s">
        <v>624</v>
      </c>
      <c r="G54" s="342"/>
      <c r="H54" s="176"/>
      <c r="I54" s="176"/>
      <c r="J54" s="346"/>
      <c r="K54" s="462"/>
      <c r="L54" s="346"/>
      <c r="M54" s="463"/>
      <c r="N54" s="345"/>
      <c r="O54" s="412"/>
      <c r="P54" s="413"/>
      <c r="Q54" s="464"/>
      <c r="R54" s="465">
        <f>IFERROR(VLOOKUP(1,'Data Validation'!$O$2:$P$25,2,FALSE),"")</f>
        <v>45906</v>
      </c>
      <c r="S54" s="465" t="str">
        <f>IFERROR(VLOOKUP($P54,'Data Validation'!$O$2:$P$25,2,FALSE),"")</f>
        <v/>
      </c>
      <c r="T54" s="419" t="e">
        <f ca="1">INDEX(INDIRECT(INDEX(ControlRoom[اجمالي الالتزام],MATCH(تفصيلي!Q54,Control!$B$2:$B$12,0))),MATCH(CONCATENATE(O54,P54),INDIRECT(INDEX(ControlRoom[المبلغ],MATCH(تفصيلي!Q54,ControlRoom[التمويل],0))),0))</f>
        <v>#N/A</v>
      </c>
      <c r="U54" s="419" t="e">
        <f ca="1">INDEX(INDIRECT(INDEX(ControlRoom[القسط الشهري],MATCH(تفصيلي!Q54,Control!$B$2:$B$12,0))),MATCH(CONCATENATE(O54,P54),INDIRECT(INDEX(ControlRoom[المبلغ],MATCH(تفصيلي!Q54,ControlRoom[التمويل],0))),0))</f>
        <v>#N/A</v>
      </c>
      <c r="V54" s="420" t="e">
        <f>INDEX(ControlRoom[[فائدة أ]:[فائدة ج]],MATCH(تفصيلي!Q54,ControlRoom[التمويل],0),MATCH(IF(AND(تفصيلي!O54&gt;=Control!$N$2,تفصيلي!O54&lt;=Control!$O$2),Control!$P$2,IF(AND(تفصيلي!O54&gt;=Control!$N$3,تفصيلي!O54&lt;=Control!$O$3),Control!$P$3,IF(AND(تفصيلي!O54&gt;=Control!$N$4,تفصيلي!O54&lt;=Control!$O$4),Control!$P$4,"Out Of Range"))),ControlRoom[[#Headers],[فائدة أ]:[فائدة ج]],0))</f>
        <v>#N/A</v>
      </c>
      <c r="W54" s="419"/>
      <c r="X54" s="466">
        <f t="shared" si="0"/>
        <v>0</v>
      </c>
      <c r="Y54" s="167"/>
      <c r="Z54" s="302">
        <f t="shared" si="1"/>
        <v>0</v>
      </c>
      <c r="AA54" s="166"/>
      <c r="AB54" s="167" t="s">
        <v>624</v>
      </c>
      <c r="AC54" s="167">
        <f t="shared" si="2"/>
        <v>0</v>
      </c>
      <c r="AD54" s="169">
        <f t="shared" si="3"/>
        <v>0</v>
      </c>
      <c r="AE54" s="174"/>
      <c r="AF54" s="303">
        <f t="shared" si="4"/>
        <v>0</v>
      </c>
      <c r="AG54" s="168"/>
      <c r="AH54" s="174" t="s">
        <v>624</v>
      </c>
      <c r="AI54" s="169">
        <f t="shared" si="5"/>
        <v>0</v>
      </c>
      <c r="AJ54" s="172"/>
      <c r="AK54" s="175"/>
      <c r="AL54" s="170"/>
      <c r="AM54" s="171"/>
      <c r="AN54" s="175"/>
      <c r="AO54" s="172"/>
      <c r="AP54" s="467"/>
      <c r="AQ54" s="468"/>
      <c r="AR54" s="469"/>
      <c r="AS54" s="470"/>
      <c r="AT54" s="471"/>
      <c r="AU54" s="471"/>
      <c r="AV54" s="472"/>
      <c r="AW54" s="472"/>
      <c r="AX54" s="473" t="str">
        <f t="shared" si="6"/>
        <v xml:space="preserve"> ,</v>
      </c>
      <c r="AY54" s="473" t="str">
        <f t="shared" si="7"/>
        <v xml:space="preserve"> / </v>
      </c>
      <c r="AZ54" s="474"/>
      <c r="BA54" s="475"/>
      <c r="BB54" s="474"/>
      <c r="BC54" s="474"/>
      <c r="BD54" s="475"/>
      <c r="BE54" s="474"/>
    </row>
    <row r="55" spans="1:57" s="476" customFormat="1" ht="21.6" customHeight="1">
      <c r="A55" s="341">
        <f t="shared" si="8"/>
        <v>50</v>
      </c>
      <c r="B55" s="479"/>
      <c r="C55" s="477"/>
      <c r="D55" s="342"/>
      <c r="E55" s="236"/>
      <c r="F55" s="461" t="s">
        <v>624</v>
      </c>
      <c r="G55" s="342"/>
      <c r="H55" s="176"/>
      <c r="I55" s="176"/>
      <c r="J55" s="346"/>
      <c r="K55" s="462"/>
      <c r="L55" s="346"/>
      <c r="M55" s="463"/>
      <c r="N55" s="345"/>
      <c r="O55" s="412"/>
      <c r="P55" s="413"/>
      <c r="Q55" s="464"/>
      <c r="R55" s="465">
        <f>IFERROR(VLOOKUP(1,'Data Validation'!$O$2:$P$25,2,FALSE),"")</f>
        <v>45906</v>
      </c>
      <c r="S55" s="465" t="str">
        <f>IFERROR(VLOOKUP($P55,'Data Validation'!$O$2:$P$25,2,FALSE),"")</f>
        <v/>
      </c>
      <c r="T55" s="419" t="e">
        <f ca="1">INDEX(INDIRECT(INDEX(ControlRoom[اجمالي الالتزام],MATCH(تفصيلي!Q55,Control!$B$2:$B$12,0))),MATCH(CONCATENATE(O55,P55),INDIRECT(INDEX(ControlRoom[المبلغ],MATCH(تفصيلي!Q55,ControlRoom[التمويل],0))),0))</f>
        <v>#N/A</v>
      </c>
      <c r="U55" s="419" t="e">
        <f ca="1">INDEX(INDIRECT(INDEX(ControlRoom[القسط الشهري],MATCH(تفصيلي!Q55,Control!$B$2:$B$12,0))),MATCH(CONCATENATE(O55,P55),INDIRECT(INDEX(ControlRoom[المبلغ],MATCH(تفصيلي!Q55,ControlRoom[التمويل],0))),0))</f>
        <v>#N/A</v>
      </c>
      <c r="V55" s="420" t="e">
        <f>INDEX(ControlRoom[[فائدة أ]:[فائدة ج]],MATCH(تفصيلي!Q55,ControlRoom[التمويل],0),MATCH(IF(AND(تفصيلي!O55&gt;=Control!$N$2,تفصيلي!O55&lt;=Control!$O$2),Control!$P$2,IF(AND(تفصيلي!O55&gt;=Control!$N$3,تفصيلي!O55&lt;=Control!$O$3),Control!$P$3,IF(AND(تفصيلي!O55&gt;=Control!$N$4,تفصيلي!O55&lt;=Control!$O$4),Control!$P$4,"Out Of Range"))),ControlRoom[[#Headers],[فائدة أ]:[فائدة ج]],0))</f>
        <v>#N/A</v>
      </c>
      <c r="W55" s="419"/>
      <c r="X55" s="466">
        <f t="shared" si="0"/>
        <v>0</v>
      </c>
      <c r="Y55" s="167"/>
      <c r="Z55" s="302">
        <f t="shared" si="1"/>
        <v>0</v>
      </c>
      <c r="AA55" s="166"/>
      <c r="AB55" s="167" t="s">
        <v>624</v>
      </c>
      <c r="AC55" s="167">
        <f t="shared" si="2"/>
        <v>0</v>
      </c>
      <c r="AD55" s="169">
        <f t="shared" si="3"/>
        <v>0</v>
      </c>
      <c r="AE55" s="174"/>
      <c r="AF55" s="303">
        <f t="shared" si="4"/>
        <v>0</v>
      </c>
      <c r="AG55" s="168"/>
      <c r="AH55" s="174" t="s">
        <v>624</v>
      </c>
      <c r="AI55" s="169">
        <f t="shared" si="5"/>
        <v>0</v>
      </c>
      <c r="AJ55" s="172"/>
      <c r="AK55" s="175"/>
      <c r="AL55" s="170"/>
      <c r="AM55" s="171"/>
      <c r="AN55" s="175"/>
      <c r="AO55" s="172"/>
      <c r="AP55" s="467"/>
      <c r="AQ55" s="468"/>
      <c r="AR55" s="469"/>
      <c r="AS55" s="470"/>
      <c r="AT55" s="471"/>
      <c r="AU55" s="471"/>
      <c r="AV55" s="472"/>
      <c r="AW55" s="472"/>
      <c r="AX55" s="473" t="str">
        <f t="shared" si="6"/>
        <v xml:space="preserve"> ,</v>
      </c>
      <c r="AY55" s="473" t="str">
        <f t="shared" si="7"/>
        <v xml:space="preserve"> / </v>
      </c>
      <c r="AZ55" s="474"/>
      <c r="BA55" s="475"/>
      <c r="BB55" s="474"/>
      <c r="BC55" s="474"/>
      <c r="BD55" s="475"/>
      <c r="BE55" s="474"/>
    </row>
    <row r="56" spans="1:57" s="476" customFormat="1" ht="21.6" customHeight="1">
      <c r="A56" s="341">
        <f t="shared" si="8"/>
        <v>51</v>
      </c>
      <c r="B56" s="479"/>
      <c r="C56" s="477"/>
      <c r="D56" s="342"/>
      <c r="E56" s="236"/>
      <c r="F56" s="461" t="s">
        <v>624</v>
      </c>
      <c r="G56" s="342"/>
      <c r="H56" s="176"/>
      <c r="I56" s="176"/>
      <c r="J56" s="346"/>
      <c r="K56" s="462"/>
      <c r="L56" s="346"/>
      <c r="M56" s="463"/>
      <c r="N56" s="345"/>
      <c r="O56" s="412"/>
      <c r="P56" s="413"/>
      <c r="Q56" s="464"/>
      <c r="R56" s="465">
        <f>IFERROR(VLOOKUP(1,'Data Validation'!$O$2:$P$25,2,FALSE),"")</f>
        <v>45906</v>
      </c>
      <c r="S56" s="465" t="str">
        <f>IFERROR(VLOOKUP($P56,'Data Validation'!$O$2:$P$25,2,FALSE),"")</f>
        <v/>
      </c>
      <c r="T56" s="419" t="e">
        <f ca="1">INDEX(INDIRECT(INDEX(ControlRoom[اجمالي الالتزام],MATCH(تفصيلي!Q56,Control!$B$2:$B$12,0))),MATCH(CONCATENATE(O56,P56),INDIRECT(INDEX(ControlRoom[المبلغ],MATCH(تفصيلي!Q56,ControlRoom[التمويل],0))),0))</f>
        <v>#N/A</v>
      </c>
      <c r="U56" s="419" t="e">
        <f ca="1">INDEX(INDIRECT(INDEX(ControlRoom[القسط الشهري],MATCH(تفصيلي!Q56,Control!$B$2:$B$12,0))),MATCH(CONCATENATE(O56,P56),INDIRECT(INDEX(ControlRoom[المبلغ],MATCH(تفصيلي!Q56,ControlRoom[التمويل],0))),0))</f>
        <v>#N/A</v>
      </c>
      <c r="V56" s="420" t="e">
        <f>INDEX(ControlRoom[[فائدة أ]:[فائدة ج]],MATCH(تفصيلي!Q56,ControlRoom[التمويل],0),MATCH(IF(AND(تفصيلي!O56&gt;=Control!$N$2,تفصيلي!O56&lt;=Control!$O$2),Control!$P$2,IF(AND(تفصيلي!O56&gt;=Control!$N$3,تفصيلي!O56&lt;=Control!$O$3),Control!$P$3,IF(AND(تفصيلي!O56&gt;=Control!$N$4,تفصيلي!O56&lt;=Control!$O$4),Control!$P$4,"Out Of Range"))),ControlRoom[[#Headers],[فائدة أ]:[فائدة ج]],0))</f>
        <v>#N/A</v>
      </c>
      <c r="W56" s="419"/>
      <c r="X56" s="466">
        <f t="shared" si="0"/>
        <v>0</v>
      </c>
      <c r="Y56" s="167"/>
      <c r="Z56" s="302">
        <f t="shared" si="1"/>
        <v>0</v>
      </c>
      <c r="AA56" s="166"/>
      <c r="AB56" s="167" t="s">
        <v>624</v>
      </c>
      <c r="AC56" s="167">
        <f t="shared" si="2"/>
        <v>0</v>
      </c>
      <c r="AD56" s="169">
        <f t="shared" si="3"/>
        <v>0</v>
      </c>
      <c r="AE56" s="174"/>
      <c r="AF56" s="303">
        <f t="shared" si="4"/>
        <v>0</v>
      </c>
      <c r="AG56" s="168"/>
      <c r="AH56" s="174" t="s">
        <v>624</v>
      </c>
      <c r="AI56" s="169">
        <f t="shared" si="5"/>
        <v>0</v>
      </c>
      <c r="AJ56" s="172"/>
      <c r="AK56" s="175"/>
      <c r="AL56" s="170"/>
      <c r="AM56" s="171"/>
      <c r="AN56" s="175"/>
      <c r="AO56" s="172"/>
      <c r="AP56" s="467"/>
      <c r="AQ56" s="468"/>
      <c r="AR56" s="469"/>
      <c r="AS56" s="470"/>
      <c r="AT56" s="471"/>
      <c r="AU56" s="471"/>
      <c r="AV56" s="472"/>
      <c r="AW56" s="472"/>
      <c r="AX56" s="473" t="str">
        <f t="shared" si="6"/>
        <v xml:space="preserve"> ,</v>
      </c>
      <c r="AY56" s="473" t="str">
        <f t="shared" si="7"/>
        <v xml:space="preserve"> / </v>
      </c>
      <c r="AZ56" s="474"/>
      <c r="BA56" s="475"/>
      <c r="BB56" s="474"/>
      <c r="BC56" s="474"/>
      <c r="BD56" s="475"/>
      <c r="BE56" s="474"/>
    </row>
    <row r="57" spans="1:57" s="476" customFormat="1" ht="21.6" customHeight="1">
      <c r="A57" s="341">
        <f t="shared" si="8"/>
        <v>52</v>
      </c>
      <c r="B57" s="479"/>
      <c r="C57" s="477"/>
      <c r="D57" s="342"/>
      <c r="E57" s="236"/>
      <c r="F57" s="461" t="s">
        <v>624</v>
      </c>
      <c r="G57" s="342"/>
      <c r="H57" s="176"/>
      <c r="I57" s="176"/>
      <c r="J57" s="346"/>
      <c r="K57" s="462"/>
      <c r="L57" s="346"/>
      <c r="M57" s="463"/>
      <c r="N57" s="345"/>
      <c r="O57" s="412"/>
      <c r="P57" s="413"/>
      <c r="Q57" s="464"/>
      <c r="R57" s="465">
        <f>IFERROR(VLOOKUP(1,'Data Validation'!$O$2:$P$25,2,FALSE),"")</f>
        <v>45906</v>
      </c>
      <c r="S57" s="465" t="str">
        <f>IFERROR(VLOOKUP($P57,'Data Validation'!$O$2:$P$25,2,FALSE),"")</f>
        <v/>
      </c>
      <c r="T57" s="419" t="e">
        <f ca="1">INDEX(INDIRECT(INDEX(ControlRoom[اجمالي الالتزام],MATCH(تفصيلي!Q57,Control!$B$2:$B$12,0))),MATCH(CONCATENATE(O57,P57),INDIRECT(INDEX(ControlRoom[المبلغ],MATCH(تفصيلي!Q57,ControlRoom[التمويل],0))),0))</f>
        <v>#N/A</v>
      </c>
      <c r="U57" s="419" t="e">
        <f ca="1">INDEX(INDIRECT(INDEX(ControlRoom[القسط الشهري],MATCH(تفصيلي!Q57,Control!$B$2:$B$12,0))),MATCH(CONCATENATE(O57,P57),INDIRECT(INDEX(ControlRoom[المبلغ],MATCH(تفصيلي!Q57,ControlRoom[التمويل],0))),0))</f>
        <v>#N/A</v>
      </c>
      <c r="V57" s="420" t="e">
        <f>INDEX(ControlRoom[[فائدة أ]:[فائدة ج]],MATCH(تفصيلي!Q57,ControlRoom[التمويل],0),MATCH(IF(AND(تفصيلي!O57&gt;=Control!$N$2,تفصيلي!O57&lt;=Control!$O$2),Control!$P$2,IF(AND(تفصيلي!O57&gt;=Control!$N$3,تفصيلي!O57&lt;=Control!$O$3),Control!$P$3,IF(AND(تفصيلي!O57&gt;=Control!$N$4,تفصيلي!O57&lt;=Control!$O$4),Control!$P$4,"Out Of Range"))),ControlRoom[[#Headers],[فائدة أ]:[فائدة ج]],0))</f>
        <v>#N/A</v>
      </c>
      <c r="W57" s="419"/>
      <c r="X57" s="466">
        <f t="shared" si="0"/>
        <v>0</v>
      </c>
      <c r="Y57" s="167"/>
      <c r="Z57" s="302">
        <f t="shared" si="1"/>
        <v>0</v>
      </c>
      <c r="AA57" s="166"/>
      <c r="AB57" s="167" t="s">
        <v>624</v>
      </c>
      <c r="AC57" s="167">
        <f t="shared" si="2"/>
        <v>0</v>
      </c>
      <c r="AD57" s="169">
        <f t="shared" si="3"/>
        <v>0</v>
      </c>
      <c r="AE57" s="174"/>
      <c r="AF57" s="303">
        <f t="shared" si="4"/>
        <v>0</v>
      </c>
      <c r="AG57" s="168"/>
      <c r="AH57" s="174" t="s">
        <v>624</v>
      </c>
      <c r="AI57" s="169">
        <f t="shared" si="5"/>
        <v>0</v>
      </c>
      <c r="AJ57" s="172"/>
      <c r="AK57" s="175"/>
      <c r="AL57" s="170"/>
      <c r="AM57" s="171"/>
      <c r="AN57" s="175"/>
      <c r="AO57" s="172"/>
      <c r="AP57" s="467"/>
      <c r="AQ57" s="468"/>
      <c r="AR57" s="469"/>
      <c r="AS57" s="470"/>
      <c r="AT57" s="471"/>
      <c r="AU57" s="471"/>
      <c r="AV57" s="472"/>
      <c r="AW57" s="472"/>
      <c r="AX57" s="473" t="str">
        <f t="shared" si="6"/>
        <v xml:space="preserve"> ,</v>
      </c>
      <c r="AY57" s="473" t="str">
        <f t="shared" si="7"/>
        <v xml:space="preserve"> / </v>
      </c>
      <c r="AZ57" s="474"/>
      <c r="BA57" s="475"/>
      <c r="BB57" s="474"/>
      <c r="BC57" s="474"/>
      <c r="BD57" s="475"/>
      <c r="BE57" s="474"/>
    </row>
    <row r="58" spans="1:57" s="476" customFormat="1" ht="21.6" customHeight="1">
      <c r="A58" s="341">
        <f t="shared" si="8"/>
        <v>53</v>
      </c>
      <c r="B58" s="479"/>
      <c r="C58" s="477"/>
      <c r="D58" s="342"/>
      <c r="E58" s="236"/>
      <c r="F58" s="461" t="s">
        <v>624</v>
      </c>
      <c r="G58" s="342"/>
      <c r="H58" s="176"/>
      <c r="I58" s="176"/>
      <c r="J58" s="346"/>
      <c r="K58" s="462"/>
      <c r="L58" s="346"/>
      <c r="M58" s="463"/>
      <c r="N58" s="345"/>
      <c r="O58" s="412"/>
      <c r="P58" s="413"/>
      <c r="Q58" s="464"/>
      <c r="R58" s="465">
        <f>IFERROR(VLOOKUP(1,'Data Validation'!$O$2:$P$25,2,FALSE),"")</f>
        <v>45906</v>
      </c>
      <c r="S58" s="465" t="str">
        <f>IFERROR(VLOOKUP($P58,'Data Validation'!$O$2:$P$25,2,FALSE),"")</f>
        <v/>
      </c>
      <c r="T58" s="419" t="e">
        <f ca="1">INDEX(INDIRECT(INDEX(ControlRoom[اجمالي الالتزام],MATCH(تفصيلي!Q58,Control!$B$2:$B$12,0))),MATCH(CONCATENATE(O58,P58),INDIRECT(INDEX(ControlRoom[المبلغ],MATCH(تفصيلي!Q58,ControlRoom[التمويل],0))),0))</f>
        <v>#N/A</v>
      </c>
      <c r="U58" s="419" t="e">
        <f ca="1">INDEX(INDIRECT(INDEX(ControlRoom[القسط الشهري],MATCH(تفصيلي!Q58,Control!$B$2:$B$12,0))),MATCH(CONCATENATE(O58,P58),INDIRECT(INDEX(ControlRoom[المبلغ],MATCH(تفصيلي!Q58,ControlRoom[التمويل],0))),0))</f>
        <v>#N/A</v>
      </c>
      <c r="V58" s="420" t="e">
        <f>INDEX(ControlRoom[[فائدة أ]:[فائدة ج]],MATCH(تفصيلي!Q58,ControlRoom[التمويل],0),MATCH(IF(AND(تفصيلي!O58&gt;=Control!$N$2,تفصيلي!O58&lt;=Control!$O$2),Control!$P$2,IF(AND(تفصيلي!O58&gt;=Control!$N$3,تفصيلي!O58&lt;=Control!$O$3),Control!$P$3,IF(AND(تفصيلي!O58&gt;=Control!$N$4,تفصيلي!O58&lt;=Control!$O$4),Control!$P$4,"Out Of Range"))),ControlRoom[[#Headers],[فائدة أ]:[فائدة ج]],0))</f>
        <v>#N/A</v>
      </c>
      <c r="W58" s="419"/>
      <c r="X58" s="466">
        <f t="shared" si="0"/>
        <v>0</v>
      </c>
      <c r="Y58" s="167"/>
      <c r="Z58" s="302">
        <f t="shared" si="1"/>
        <v>0</v>
      </c>
      <c r="AA58" s="166"/>
      <c r="AB58" s="167" t="s">
        <v>624</v>
      </c>
      <c r="AC58" s="167">
        <f t="shared" si="2"/>
        <v>0</v>
      </c>
      <c r="AD58" s="169">
        <f t="shared" si="3"/>
        <v>0</v>
      </c>
      <c r="AE58" s="174"/>
      <c r="AF58" s="303">
        <f t="shared" si="4"/>
        <v>0</v>
      </c>
      <c r="AG58" s="168"/>
      <c r="AH58" s="174" t="s">
        <v>624</v>
      </c>
      <c r="AI58" s="169">
        <f t="shared" si="5"/>
        <v>0</v>
      </c>
      <c r="AJ58" s="172"/>
      <c r="AK58" s="175"/>
      <c r="AL58" s="170"/>
      <c r="AM58" s="171"/>
      <c r="AN58" s="175"/>
      <c r="AO58" s="172"/>
      <c r="AP58" s="467"/>
      <c r="AQ58" s="468"/>
      <c r="AR58" s="469"/>
      <c r="AS58" s="470"/>
      <c r="AT58" s="471"/>
      <c r="AU58" s="471"/>
      <c r="AV58" s="472"/>
      <c r="AW58" s="472"/>
      <c r="AX58" s="473" t="str">
        <f t="shared" si="6"/>
        <v xml:space="preserve"> ,</v>
      </c>
      <c r="AY58" s="473" t="str">
        <f t="shared" si="7"/>
        <v xml:space="preserve"> / </v>
      </c>
      <c r="AZ58" s="474"/>
      <c r="BA58" s="475"/>
      <c r="BB58" s="474"/>
      <c r="BC58" s="474"/>
      <c r="BD58" s="475"/>
      <c r="BE58" s="474"/>
    </row>
    <row r="59" spans="1:57" s="476" customFormat="1" ht="21.6" customHeight="1">
      <c r="A59" s="341">
        <f t="shared" si="8"/>
        <v>54</v>
      </c>
      <c r="B59" s="479"/>
      <c r="C59" s="477"/>
      <c r="D59" s="342"/>
      <c r="E59" s="236"/>
      <c r="F59" s="461" t="s">
        <v>624</v>
      </c>
      <c r="G59" s="342"/>
      <c r="H59" s="176"/>
      <c r="I59" s="176"/>
      <c r="J59" s="346"/>
      <c r="K59" s="462"/>
      <c r="L59" s="346"/>
      <c r="M59" s="463"/>
      <c r="N59" s="345"/>
      <c r="O59" s="412"/>
      <c r="P59" s="413"/>
      <c r="Q59" s="464"/>
      <c r="R59" s="465">
        <f>IFERROR(VLOOKUP(1,'Data Validation'!$O$2:$P$25,2,FALSE),"")</f>
        <v>45906</v>
      </c>
      <c r="S59" s="465" t="str">
        <f>IFERROR(VLOOKUP($P59,'Data Validation'!$O$2:$P$25,2,FALSE),"")</f>
        <v/>
      </c>
      <c r="T59" s="419" t="e">
        <f ca="1">INDEX(INDIRECT(INDEX(ControlRoom[اجمالي الالتزام],MATCH(تفصيلي!Q59,Control!$B$2:$B$12,0))),MATCH(CONCATENATE(O59,P59),INDIRECT(INDEX(ControlRoom[المبلغ],MATCH(تفصيلي!Q59,ControlRoom[التمويل],0))),0))</f>
        <v>#N/A</v>
      </c>
      <c r="U59" s="419" t="e">
        <f ca="1">INDEX(INDIRECT(INDEX(ControlRoom[القسط الشهري],MATCH(تفصيلي!Q59,Control!$B$2:$B$12,0))),MATCH(CONCATENATE(O59,P59),INDIRECT(INDEX(ControlRoom[المبلغ],MATCH(تفصيلي!Q59,ControlRoom[التمويل],0))),0))</f>
        <v>#N/A</v>
      </c>
      <c r="V59" s="420" t="e">
        <f>INDEX(ControlRoom[[فائدة أ]:[فائدة ج]],MATCH(تفصيلي!Q59,ControlRoom[التمويل],0),MATCH(IF(AND(تفصيلي!O59&gt;=Control!$N$2,تفصيلي!O59&lt;=Control!$O$2),Control!$P$2,IF(AND(تفصيلي!O59&gt;=Control!$N$3,تفصيلي!O59&lt;=Control!$O$3),Control!$P$3,IF(AND(تفصيلي!O59&gt;=Control!$N$4,تفصيلي!O59&lt;=Control!$O$4),Control!$P$4,"Out Of Range"))),ControlRoom[[#Headers],[فائدة أ]:[فائدة ج]],0))</f>
        <v>#N/A</v>
      </c>
      <c r="W59" s="419"/>
      <c r="X59" s="466">
        <f t="shared" si="0"/>
        <v>0</v>
      </c>
      <c r="Y59" s="167"/>
      <c r="Z59" s="302">
        <f t="shared" si="1"/>
        <v>0</v>
      </c>
      <c r="AA59" s="166"/>
      <c r="AB59" s="167" t="s">
        <v>624</v>
      </c>
      <c r="AC59" s="167">
        <f t="shared" si="2"/>
        <v>0</v>
      </c>
      <c r="AD59" s="169">
        <f t="shared" si="3"/>
        <v>0</v>
      </c>
      <c r="AE59" s="174"/>
      <c r="AF59" s="303">
        <f t="shared" si="4"/>
        <v>0</v>
      </c>
      <c r="AG59" s="168"/>
      <c r="AH59" s="174" t="s">
        <v>624</v>
      </c>
      <c r="AI59" s="169">
        <f t="shared" si="5"/>
        <v>0</v>
      </c>
      <c r="AJ59" s="172"/>
      <c r="AK59" s="175"/>
      <c r="AL59" s="170"/>
      <c r="AM59" s="171"/>
      <c r="AN59" s="175"/>
      <c r="AO59" s="172"/>
      <c r="AP59" s="467"/>
      <c r="AQ59" s="468"/>
      <c r="AR59" s="469"/>
      <c r="AS59" s="470"/>
      <c r="AT59" s="471"/>
      <c r="AU59" s="471"/>
      <c r="AV59" s="472"/>
      <c r="AW59" s="472"/>
      <c r="AX59" s="473" t="str">
        <f t="shared" si="6"/>
        <v xml:space="preserve"> ,</v>
      </c>
      <c r="AY59" s="473" t="str">
        <f t="shared" si="7"/>
        <v xml:space="preserve"> / </v>
      </c>
      <c r="AZ59" s="474"/>
      <c r="BA59" s="475"/>
      <c r="BB59" s="474"/>
      <c r="BC59" s="474"/>
      <c r="BD59" s="475"/>
      <c r="BE59" s="474"/>
    </row>
    <row r="60" spans="1:57" s="476" customFormat="1" ht="21.6" customHeight="1">
      <c r="A60" s="341">
        <f t="shared" si="8"/>
        <v>55</v>
      </c>
      <c r="B60" s="479"/>
      <c r="C60" s="477"/>
      <c r="D60" s="342"/>
      <c r="E60" s="236"/>
      <c r="F60" s="461" t="s">
        <v>624</v>
      </c>
      <c r="G60" s="342"/>
      <c r="H60" s="176"/>
      <c r="I60" s="176"/>
      <c r="J60" s="346"/>
      <c r="K60" s="462"/>
      <c r="L60" s="346"/>
      <c r="M60" s="463"/>
      <c r="N60" s="345"/>
      <c r="O60" s="412"/>
      <c r="P60" s="413"/>
      <c r="Q60" s="464"/>
      <c r="R60" s="465">
        <f>IFERROR(VLOOKUP(1,'Data Validation'!$O$2:$P$25,2,FALSE),"")</f>
        <v>45906</v>
      </c>
      <c r="S60" s="465" t="str">
        <f>IFERROR(VLOOKUP($P60,'Data Validation'!$O$2:$P$25,2,FALSE),"")</f>
        <v/>
      </c>
      <c r="T60" s="419" t="e">
        <f ca="1">INDEX(INDIRECT(INDEX(ControlRoom[اجمالي الالتزام],MATCH(تفصيلي!Q60,Control!$B$2:$B$12,0))),MATCH(CONCATENATE(O60,P60),INDIRECT(INDEX(ControlRoom[المبلغ],MATCH(تفصيلي!Q60,ControlRoom[التمويل],0))),0))</f>
        <v>#N/A</v>
      </c>
      <c r="U60" s="419" t="e">
        <f ca="1">INDEX(INDIRECT(INDEX(ControlRoom[القسط الشهري],MATCH(تفصيلي!Q60,Control!$B$2:$B$12,0))),MATCH(CONCATENATE(O60,P60),INDIRECT(INDEX(ControlRoom[المبلغ],MATCH(تفصيلي!Q60,ControlRoom[التمويل],0))),0))</f>
        <v>#N/A</v>
      </c>
      <c r="V60" s="420" t="e">
        <f>INDEX(ControlRoom[[فائدة أ]:[فائدة ج]],MATCH(تفصيلي!Q60,ControlRoom[التمويل],0),MATCH(IF(AND(تفصيلي!O60&gt;=Control!$N$2,تفصيلي!O60&lt;=Control!$O$2),Control!$P$2,IF(AND(تفصيلي!O60&gt;=Control!$N$3,تفصيلي!O60&lt;=Control!$O$3),Control!$P$3,IF(AND(تفصيلي!O60&gt;=Control!$N$4,تفصيلي!O60&lt;=Control!$O$4),Control!$P$4,"Out Of Range"))),ControlRoom[[#Headers],[فائدة أ]:[فائدة ج]],0))</f>
        <v>#N/A</v>
      </c>
      <c r="W60" s="419"/>
      <c r="X60" s="466">
        <f t="shared" si="0"/>
        <v>0</v>
      </c>
      <c r="Y60" s="167"/>
      <c r="Z60" s="302">
        <f t="shared" si="1"/>
        <v>0</v>
      </c>
      <c r="AA60" s="166"/>
      <c r="AB60" s="167" t="s">
        <v>624</v>
      </c>
      <c r="AC60" s="167">
        <f t="shared" si="2"/>
        <v>0</v>
      </c>
      <c r="AD60" s="169">
        <f t="shared" si="3"/>
        <v>0</v>
      </c>
      <c r="AE60" s="174"/>
      <c r="AF60" s="303">
        <f t="shared" si="4"/>
        <v>0</v>
      </c>
      <c r="AG60" s="168"/>
      <c r="AH60" s="174" t="s">
        <v>624</v>
      </c>
      <c r="AI60" s="169">
        <f t="shared" si="5"/>
        <v>0</v>
      </c>
      <c r="AJ60" s="172"/>
      <c r="AK60" s="175"/>
      <c r="AL60" s="170"/>
      <c r="AM60" s="171"/>
      <c r="AN60" s="175"/>
      <c r="AO60" s="172"/>
      <c r="AP60" s="467"/>
      <c r="AQ60" s="468"/>
      <c r="AR60" s="469"/>
      <c r="AS60" s="470"/>
      <c r="AT60" s="471"/>
      <c r="AU60" s="471"/>
      <c r="AV60" s="472"/>
      <c r="AW60" s="472"/>
      <c r="AX60" s="473" t="str">
        <f t="shared" si="6"/>
        <v xml:space="preserve"> ,</v>
      </c>
      <c r="AY60" s="473" t="str">
        <f t="shared" si="7"/>
        <v xml:space="preserve"> / </v>
      </c>
      <c r="AZ60" s="474"/>
      <c r="BA60" s="475"/>
      <c r="BB60" s="474"/>
      <c r="BC60" s="474"/>
      <c r="BD60" s="475"/>
      <c r="BE60" s="474"/>
    </row>
    <row r="61" spans="1:57" s="476" customFormat="1" ht="21.6" customHeight="1">
      <c r="A61" s="341">
        <f t="shared" si="8"/>
        <v>56</v>
      </c>
      <c r="B61" s="479"/>
      <c r="C61" s="477"/>
      <c r="D61" s="342"/>
      <c r="E61" s="236"/>
      <c r="F61" s="461" t="s">
        <v>624</v>
      </c>
      <c r="G61" s="342"/>
      <c r="H61" s="176"/>
      <c r="I61" s="176"/>
      <c r="J61" s="346"/>
      <c r="K61" s="462"/>
      <c r="L61" s="346"/>
      <c r="M61" s="463"/>
      <c r="N61" s="345"/>
      <c r="O61" s="412"/>
      <c r="P61" s="413"/>
      <c r="Q61" s="464"/>
      <c r="R61" s="465">
        <f>IFERROR(VLOOKUP(1,'Data Validation'!$O$2:$P$25,2,FALSE),"")</f>
        <v>45906</v>
      </c>
      <c r="S61" s="465" t="str">
        <f>IFERROR(VLOOKUP($P61,'Data Validation'!$O$2:$P$25,2,FALSE),"")</f>
        <v/>
      </c>
      <c r="T61" s="419" t="e">
        <f ca="1">INDEX(INDIRECT(INDEX(ControlRoom[اجمالي الالتزام],MATCH(تفصيلي!Q61,Control!$B$2:$B$12,0))),MATCH(CONCATENATE(O61,P61),INDIRECT(INDEX(ControlRoom[المبلغ],MATCH(تفصيلي!Q61,ControlRoom[التمويل],0))),0))</f>
        <v>#N/A</v>
      </c>
      <c r="U61" s="419" t="e">
        <f ca="1">INDEX(INDIRECT(INDEX(ControlRoom[القسط الشهري],MATCH(تفصيلي!Q61,Control!$B$2:$B$12,0))),MATCH(CONCATENATE(O61,P61),INDIRECT(INDEX(ControlRoom[المبلغ],MATCH(تفصيلي!Q61,ControlRoom[التمويل],0))),0))</f>
        <v>#N/A</v>
      </c>
      <c r="V61" s="420" t="e">
        <f>INDEX(ControlRoom[[فائدة أ]:[فائدة ج]],MATCH(تفصيلي!Q61,ControlRoom[التمويل],0),MATCH(IF(AND(تفصيلي!O61&gt;=Control!$N$2,تفصيلي!O61&lt;=Control!$O$2),Control!$P$2,IF(AND(تفصيلي!O61&gt;=Control!$N$3,تفصيلي!O61&lt;=Control!$O$3),Control!$P$3,IF(AND(تفصيلي!O61&gt;=Control!$N$4,تفصيلي!O61&lt;=Control!$O$4),Control!$P$4,"Out Of Range"))),ControlRoom[[#Headers],[فائدة أ]:[فائدة ج]],0))</f>
        <v>#N/A</v>
      </c>
      <c r="W61" s="419"/>
      <c r="X61" s="466">
        <f t="shared" si="0"/>
        <v>0</v>
      </c>
      <c r="Y61" s="167"/>
      <c r="Z61" s="302">
        <f t="shared" si="1"/>
        <v>0</v>
      </c>
      <c r="AA61" s="166"/>
      <c r="AB61" s="167" t="s">
        <v>624</v>
      </c>
      <c r="AC61" s="167">
        <f t="shared" si="2"/>
        <v>0</v>
      </c>
      <c r="AD61" s="169">
        <f t="shared" si="3"/>
        <v>0</v>
      </c>
      <c r="AE61" s="174"/>
      <c r="AF61" s="303">
        <f t="shared" si="4"/>
        <v>0</v>
      </c>
      <c r="AG61" s="168"/>
      <c r="AH61" s="174" t="s">
        <v>624</v>
      </c>
      <c r="AI61" s="169">
        <f t="shared" si="5"/>
        <v>0</v>
      </c>
      <c r="AJ61" s="172"/>
      <c r="AK61" s="175"/>
      <c r="AL61" s="170"/>
      <c r="AM61" s="171"/>
      <c r="AN61" s="175"/>
      <c r="AO61" s="172"/>
      <c r="AP61" s="467"/>
      <c r="AQ61" s="468"/>
      <c r="AR61" s="469"/>
      <c r="AS61" s="470"/>
      <c r="AT61" s="471"/>
      <c r="AU61" s="471"/>
      <c r="AV61" s="472"/>
      <c r="AW61" s="472"/>
      <c r="AX61" s="473" t="str">
        <f t="shared" si="6"/>
        <v xml:space="preserve"> ,</v>
      </c>
      <c r="AY61" s="473" t="str">
        <f t="shared" si="7"/>
        <v xml:space="preserve"> / </v>
      </c>
      <c r="AZ61" s="474"/>
      <c r="BA61" s="475"/>
      <c r="BB61" s="474"/>
      <c r="BC61" s="474"/>
      <c r="BD61" s="475"/>
      <c r="BE61" s="474"/>
    </row>
    <row r="62" spans="1:57" s="476" customFormat="1" ht="21.6" customHeight="1">
      <c r="A62" s="341">
        <f t="shared" si="8"/>
        <v>57</v>
      </c>
      <c r="B62" s="481"/>
      <c r="C62" s="477"/>
      <c r="D62" s="342"/>
      <c r="E62" s="236"/>
      <c r="F62" s="461" t="s">
        <v>624</v>
      </c>
      <c r="G62" s="342"/>
      <c r="H62" s="176"/>
      <c r="I62" s="176"/>
      <c r="J62" s="346"/>
      <c r="K62" s="462"/>
      <c r="L62" s="346"/>
      <c r="M62" s="463"/>
      <c r="N62" s="345"/>
      <c r="O62" s="412"/>
      <c r="P62" s="413"/>
      <c r="Q62" s="464"/>
      <c r="R62" s="465">
        <f>IFERROR(VLOOKUP(1,'Data Validation'!$O$2:$P$25,2,FALSE),"")</f>
        <v>45906</v>
      </c>
      <c r="S62" s="465" t="str">
        <f>IFERROR(VLOOKUP($P62,'Data Validation'!$O$2:$P$25,2,FALSE),"")</f>
        <v/>
      </c>
      <c r="T62" s="419" t="e">
        <f ca="1">INDEX(INDIRECT(INDEX(ControlRoom[اجمالي الالتزام],MATCH(تفصيلي!Q62,Control!$B$2:$B$12,0))),MATCH(CONCATENATE(O62,P62),INDIRECT(INDEX(ControlRoom[المبلغ],MATCH(تفصيلي!Q62,ControlRoom[التمويل],0))),0))</f>
        <v>#N/A</v>
      </c>
      <c r="U62" s="419" t="e">
        <f ca="1">INDEX(INDIRECT(INDEX(ControlRoom[القسط الشهري],MATCH(تفصيلي!Q62,Control!$B$2:$B$12,0))),MATCH(CONCATENATE(O62,P62),INDIRECT(INDEX(ControlRoom[المبلغ],MATCH(تفصيلي!Q62,ControlRoom[التمويل],0))),0))</f>
        <v>#N/A</v>
      </c>
      <c r="V62" s="420" t="e">
        <f>INDEX(ControlRoom[[فائدة أ]:[فائدة ج]],MATCH(تفصيلي!Q62,ControlRoom[التمويل],0),MATCH(IF(AND(تفصيلي!O62&gt;=Control!$N$2,تفصيلي!O62&lt;=Control!$O$2),Control!$P$2,IF(AND(تفصيلي!O62&gt;=Control!$N$3,تفصيلي!O62&lt;=Control!$O$3),Control!$P$3,IF(AND(تفصيلي!O62&gt;=Control!$N$4,تفصيلي!O62&lt;=Control!$O$4),Control!$P$4,"Out Of Range"))),ControlRoom[[#Headers],[فائدة أ]:[فائدة ج]],0))</f>
        <v>#N/A</v>
      </c>
      <c r="W62" s="419"/>
      <c r="X62" s="466">
        <f t="shared" si="0"/>
        <v>0</v>
      </c>
      <c r="Y62" s="167"/>
      <c r="Z62" s="302">
        <f t="shared" si="1"/>
        <v>0</v>
      </c>
      <c r="AA62" s="166"/>
      <c r="AB62" s="167" t="s">
        <v>624</v>
      </c>
      <c r="AC62" s="167">
        <f t="shared" si="2"/>
        <v>0</v>
      </c>
      <c r="AD62" s="169">
        <f t="shared" si="3"/>
        <v>0</v>
      </c>
      <c r="AE62" s="174"/>
      <c r="AF62" s="303">
        <f t="shared" si="4"/>
        <v>0</v>
      </c>
      <c r="AG62" s="168"/>
      <c r="AH62" s="174" t="s">
        <v>624</v>
      </c>
      <c r="AI62" s="169">
        <f t="shared" si="5"/>
        <v>0</v>
      </c>
      <c r="AJ62" s="172"/>
      <c r="AK62" s="175"/>
      <c r="AL62" s="170"/>
      <c r="AM62" s="171"/>
      <c r="AN62" s="175"/>
      <c r="AO62" s="172"/>
      <c r="AP62" s="467"/>
      <c r="AQ62" s="468"/>
      <c r="AR62" s="469"/>
      <c r="AS62" s="470"/>
      <c r="AT62" s="471"/>
      <c r="AU62" s="471"/>
      <c r="AV62" s="472"/>
      <c r="AW62" s="472"/>
      <c r="AX62" s="473" t="str">
        <f t="shared" si="6"/>
        <v xml:space="preserve"> ,</v>
      </c>
      <c r="AY62" s="473" t="str">
        <f t="shared" si="7"/>
        <v xml:space="preserve"> / </v>
      </c>
      <c r="AZ62" s="474"/>
      <c r="BA62" s="475"/>
      <c r="BB62" s="474"/>
      <c r="BC62" s="474"/>
      <c r="BD62" s="475"/>
      <c r="BE62" s="474"/>
    </row>
    <row r="63" spans="1:57" s="476" customFormat="1" ht="21.6" customHeight="1">
      <c r="A63" s="341">
        <f t="shared" si="8"/>
        <v>58</v>
      </c>
      <c r="B63" s="481"/>
      <c r="C63" s="477"/>
      <c r="D63" s="342"/>
      <c r="E63" s="236"/>
      <c r="F63" s="461" t="s">
        <v>624</v>
      </c>
      <c r="G63" s="342"/>
      <c r="H63" s="176"/>
      <c r="I63" s="176"/>
      <c r="J63" s="346"/>
      <c r="K63" s="462"/>
      <c r="L63" s="346"/>
      <c r="M63" s="463"/>
      <c r="N63" s="345"/>
      <c r="O63" s="412"/>
      <c r="P63" s="413"/>
      <c r="Q63" s="464"/>
      <c r="R63" s="465">
        <f>IFERROR(VLOOKUP(1,'Data Validation'!$O$2:$P$25,2,FALSE),"")</f>
        <v>45906</v>
      </c>
      <c r="S63" s="465" t="str">
        <f>IFERROR(VLOOKUP($P63,'Data Validation'!$O$2:$P$25,2,FALSE),"")</f>
        <v/>
      </c>
      <c r="T63" s="419" t="e">
        <f ca="1">INDEX(INDIRECT(INDEX(ControlRoom[اجمالي الالتزام],MATCH(تفصيلي!Q63,Control!$B$2:$B$12,0))),MATCH(CONCATENATE(O63,P63),INDIRECT(INDEX(ControlRoom[المبلغ],MATCH(تفصيلي!Q63,ControlRoom[التمويل],0))),0))</f>
        <v>#N/A</v>
      </c>
      <c r="U63" s="419" t="e">
        <f ca="1">INDEX(INDIRECT(INDEX(ControlRoom[القسط الشهري],MATCH(تفصيلي!Q63,Control!$B$2:$B$12,0))),MATCH(CONCATENATE(O63,P63),INDIRECT(INDEX(ControlRoom[المبلغ],MATCH(تفصيلي!Q63,ControlRoom[التمويل],0))),0))</f>
        <v>#N/A</v>
      </c>
      <c r="V63" s="420" t="e">
        <f>INDEX(ControlRoom[[فائدة أ]:[فائدة ج]],MATCH(تفصيلي!Q63,ControlRoom[التمويل],0),MATCH(IF(AND(تفصيلي!O63&gt;=Control!$N$2,تفصيلي!O63&lt;=Control!$O$2),Control!$P$2,IF(AND(تفصيلي!O63&gt;=Control!$N$3,تفصيلي!O63&lt;=Control!$O$3),Control!$P$3,IF(AND(تفصيلي!O63&gt;=Control!$N$4,تفصيلي!O63&lt;=Control!$O$4),Control!$P$4,"Out Of Range"))),ControlRoom[[#Headers],[فائدة أ]:[فائدة ج]],0))</f>
        <v>#N/A</v>
      </c>
      <c r="W63" s="419"/>
      <c r="X63" s="466">
        <f t="shared" si="0"/>
        <v>0</v>
      </c>
      <c r="Y63" s="167"/>
      <c r="Z63" s="302">
        <f t="shared" si="1"/>
        <v>0</v>
      </c>
      <c r="AA63" s="166"/>
      <c r="AB63" s="167" t="s">
        <v>624</v>
      </c>
      <c r="AC63" s="167">
        <f t="shared" si="2"/>
        <v>0</v>
      </c>
      <c r="AD63" s="169">
        <f t="shared" si="3"/>
        <v>0</v>
      </c>
      <c r="AE63" s="174"/>
      <c r="AF63" s="303">
        <f t="shared" si="4"/>
        <v>0</v>
      </c>
      <c r="AG63" s="168"/>
      <c r="AH63" s="174" t="s">
        <v>624</v>
      </c>
      <c r="AI63" s="169">
        <f t="shared" si="5"/>
        <v>0</v>
      </c>
      <c r="AJ63" s="172"/>
      <c r="AK63" s="175"/>
      <c r="AL63" s="170"/>
      <c r="AM63" s="171"/>
      <c r="AN63" s="175"/>
      <c r="AO63" s="172"/>
      <c r="AP63" s="467"/>
      <c r="AQ63" s="468"/>
      <c r="AR63" s="469"/>
      <c r="AS63" s="470"/>
      <c r="AT63" s="471"/>
      <c r="AU63" s="471"/>
      <c r="AV63" s="472"/>
      <c r="AW63" s="472"/>
      <c r="AX63" s="473" t="str">
        <f t="shared" si="6"/>
        <v xml:space="preserve"> ,</v>
      </c>
      <c r="AY63" s="473" t="str">
        <f t="shared" si="7"/>
        <v xml:space="preserve"> / </v>
      </c>
      <c r="AZ63" s="474"/>
      <c r="BA63" s="475"/>
      <c r="BB63" s="474"/>
      <c r="BC63" s="474"/>
      <c r="BD63" s="475"/>
      <c r="BE63" s="474"/>
    </row>
    <row r="64" spans="1:57" s="476" customFormat="1" ht="21.6" customHeight="1">
      <c r="A64" s="341">
        <f t="shared" si="8"/>
        <v>59</v>
      </c>
      <c r="B64" s="481"/>
      <c r="C64" s="477"/>
      <c r="D64" s="342"/>
      <c r="E64" s="236"/>
      <c r="F64" s="461" t="s">
        <v>624</v>
      </c>
      <c r="G64" s="342"/>
      <c r="H64" s="176"/>
      <c r="I64" s="176"/>
      <c r="J64" s="346"/>
      <c r="K64" s="462"/>
      <c r="L64" s="346"/>
      <c r="M64" s="463"/>
      <c r="N64" s="345"/>
      <c r="O64" s="412"/>
      <c r="P64" s="413"/>
      <c r="Q64" s="464"/>
      <c r="R64" s="465">
        <f>IFERROR(VLOOKUP(1,'Data Validation'!$O$2:$P$25,2,FALSE),"")</f>
        <v>45906</v>
      </c>
      <c r="S64" s="465" t="str">
        <f>IFERROR(VLOOKUP($P64,'Data Validation'!$O$2:$P$25,2,FALSE),"")</f>
        <v/>
      </c>
      <c r="T64" s="419" t="e">
        <f ca="1">INDEX(INDIRECT(INDEX(ControlRoom[اجمالي الالتزام],MATCH(تفصيلي!Q64,Control!$B$2:$B$12,0))),MATCH(CONCATENATE(O64,P64),INDIRECT(INDEX(ControlRoom[المبلغ],MATCH(تفصيلي!Q64,ControlRoom[التمويل],0))),0))</f>
        <v>#N/A</v>
      </c>
      <c r="U64" s="419" t="e">
        <f ca="1">INDEX(INDIRECT(INDEX(ControlRoom[القسط الشهري],MATCH(تفصيلي!Q64,Control!$B$2:$B$12,0))),MATCH(CONCATENATE(O64,P64),INDIRECT(INDEX(ControlRoom[المبلغ],MATCH(تفصيلي!Q64,ControlRoom[التمويل],0))),0))</f>
        <v>#N/A</v>
      </c>
      <c r="V64" s="420" t="e">
        <f>INDEX(ControlRoom[[فائدة أ]:[فائدة ج]],MATCH(تفصيلي!Q64,ControlRoom[التمويل],0),MATCH(IF(AND(تفصيلي!O64&gt;=Control!$N$2,تفصيلي!O64&lt;=Control!$O$2),Control!$P$2,IF(AND(تفصيلي!O64&gt;=Control!$N$3,تفصيلي!O64&lt;=Control!$O$3),Control!$P$3,IF(AND(تفصيلي!O64&gt;=Control!$N$4,تفصيلي!O64&lt;=Control!$O$4),Control!$P$4,"Out Of Range"))),ControlRoom[[#Headers],[فائدة أ]:[فائدة ج]],0))</f>
        <v>#N/A</v>
      </c>
      <c r="W64" s="419"/>
      <c r="X64" s="466">
        <f t="shared" si="0"/>
        <v>0</v>
      </c>
      <c r="Y64" s="167"/>
      <c r="Z64" s="302">
        <f t="shared" si="1"/>
        <v>0</v>
      </c>
      <c r="AA64" s="166"/>
      <c r="AB64" s="167" t="s">
        <v>624</v>
      </c>
      <c r="AC64" s="167">
        <f t="shared" si="2"/>
        <v>0</v>
      </c>
      <c r="AD64" s="169">
        <f t="shared" si="3"/>
        <v>0</v>
      </c>
      <c r="AE64" s="174"/>
      <c r="AF64" s="303">
        <f t="shared" si="4"/>
        <v>0</v>
      </c>
      <c r="AG64" s="168"/>
      <c r="AH64" s="174" t="s">
        <v>624</v>
      </c>
      <c r="AI64" s="169">
        <f t="shared" si="5"/>
        <v>0</v>
      </c>
      <c r="AJ64" s="172"/>
      <c r="AK64" s="175"/>
      <c r="AL64" s="170"/>
      <c r="AM64" s="171"/>
      <c r="AN64" s="175"/>
      <c r="AO64" s="172"/>
      <c r="AP64" s="467"/>
      <c r="AQ64" s="468"/>
      <c r="AR64" s="469"/>
      <c r="AS64" s="470"/>
      <c r="AT64" s="471"/>
      <c r="AU64" s="471"/>
      <c r="AV64" s="472"/>
      <c r="AW64" s="472"/>
      <c r="AX64" s="473" t="str">
        <f t="shared" si="6"/>
        <v xml:space="preserve"> ,</v>
      </c>
      <c r="AY64" s="473" t="str">
        <f t="shared" si="7"/>
        <v xml:space="preserve"> / </v>
      </c>
      <c r="AZ64" s="474"/>
      <c r="BA64" s="475"/>
      <c r="BB64" s="474"/>
      <c r="BC64" s="474"/>
      <c r="BD64" s="475"/>
      <c r="BE64" s="474"/>
    </row>
    <row r="65" spans="1:57" s="476" customFormat="1" ht="21.6" customHeight="1">
      <c r="A65" s="341">
        <f t="shared" si="8"/>
        <v>60</v>
      </c>
      <c r="B65" s="481"/>
      <c r="C65" s="477"/>
      <c r="D65" s="342"/>
      <c r="E65" s="236"/>
      <c r="F65" s="461" t="s">
        <v>624</v>
      </c>
      <c r="G65" s="342"/>
      <c r="H65" s="176"/>
      <c r="I65" s="176"/>
      <c r="J65" s="346"/>
      <c r="K65" s="462"/>
      <c r="L65" s="346"/>
      <c r="M65" s="463"/>
      <c r="N65" s="345"/>
      <c r="O65" s="412"/>
      <c r="P65" s="413"/>
      <c r="Q65" s="464"/>
      <c r="R65" s="465">
        <f>IFERROR(VLOOKUP(1,'Data Validation'!$O$2:$P$25,2,FALSE),"")</f>
        <v>45906</v>
      </c>
      <c r="S65" s="465" t="str">
        <f>IFERROR(VLOOKUP($P65,'Data Validation'!$O$2:$P$25,2,FALSE),"")</f>
        <v/>
      </c>
      <c r="T65" s="419" t="e">
        <f ca="1">INDEX(INDIRECT(INDEX(ControlRoom[اجمالي الالتزام],MATCH(تفصيلي!Q65,Control!$B$2:$B$12,0))),MATCH(CONCATENATE(O65,P65),INDIRECT(INDEX(ControlRoom[المبلغ],MATCH(تفصيلي!Q65,ControlRoom[التمويل],0))),0))</f>
        <v>#N/A</v>
      </c>
      <c r="U65" s="419" t="e">
        <f ca="1">INDEX(INDIRECT(INDEX(ControlRoom[القسط الشهري],MATCH(تفصيلي!Q65,Control!$B$2:$B$12,0))),MATCH(CONCATENATE(O65,P65),INDIRECT(INDEX(ControlRoom[المبلغ],MATCH(تفصيلي!Q65,ControlRoom[التمويل],0))),0))</f>
        <v>#N/A</v>
      </c>
      <c r="V65" s="420" t="e">
        <f>INDEX(ControlRoom[[فائدة أ]:[فائدة ج]],MATCH(تفصيلي!Q65,ControlRoom[التمويل],0),MATCH(IF(AND(تفصيلي!O65&gt;=Control!$N$2,تفصيلي!O65&lt;=Control!$O$2),Control!$P$2,IF(AND(تفصيلي!O65&gt;=Control!$N$3,تفصيلي!O65&lt;=Control!$O$3),Control!$P$3,IF(AND(تفصيلي!O65&gt;=Control!$N$4,تفصيلي!O65&lt;=Control!$O$4),Control!$P$4,"Out Of Range"))),ControlRoom[[#Headers],[فائدة أ]:[فائدة ج]],0))</f>
        <v>#N/A</v>
      </c>
      <c r="W65" s="419"/>
      <c r="X65" s="466">
        <f t="shared" si="0"/>
        <v>0</v>
      </c>
      <c r="Y65" s="167"/>
      <c r="Z65" s="302">
        <f t="shared" si="1"/>
        <v>0</v>
      </c>
      <c r="AA65" s="166"/>
      <c r="AB65" s="167" t="s">
        <v>624</v>
      </c>
      <c r="AC65" s="167">
        <f t="shared" si="2"/>
        <v>0</v>
      </c>
      <c r="AD65" s="169">
        <f t="shared" si="3"/>
        <v>0</v>
      </c>
      <c r="AE65" s="174"/>
      <c r="AF65" s="303">
        <f t="shared" si="4"/>
        <v>0</v>
      </c>
      <c r="AG65" s="168"/>
      <c r="AH65" s="174" t="s">
        <v>624</v>
      </c>
      <c r="AI65" s="169">
        <f t="shared" si="5"/>
        <v>0</v>
      </c>
      <c r="AJ65" s="172"/>
      <c r="AK65" s="175"/>
      <c r="AL65" s="170"/>
      <c r="AM65" s="171"/>
      <c r="AN65" s="175"/>
      <c r="AO65" s="172"/>
      <c r="AP65" s="467"/>
      <c r="AQ65" s="468"/>
      <c r="AR65" s="469"/>
      <c r="AS65" s="470"/>
      <c r="AT65" s="471"/>
      <c r="AU65" s="471"/>
      <c r="AV65" s="472"/>
      <c r="AW65" s="472"/>
      <c r="AX65" s="473" t="str">
        <f t="shared" si="6"/>
        <v xml:space="preserve"> ,</v>
      </c>
      <c r="AY65" s="473" t="str">
        <f t="shared" si="7"/>
        <v xml:space="preserve"> / </v>
      </c>
      <c r="AZ65" s="474"/>
      <c r="BA65" s="475"/>
      <c r="BB65" s="474"/>
      <c r="BC65" s="474"/>
      <c r="BD65" s="475"/>
      <c r="BE65" s="474"/>
    </row>
    <row r="66" spans="1:57" s="476" customFormat="1" ht="21.6" customHeight="1">
      <c r="A66" s="341">
        <f t="shared" si="8"/>
        <v>61</v>
      </c>
      <c r="B66" s="481"/>
      <c r="C66" s="477"/>
      <c r="D66" s="342"/>
      <c r="E66" s="236"/>
      <c r="F66" s="461" t="s">
        <v>624</v>
      </c>
      <c r="G66" s="342"/>
      <c r="H66" s="176"/>
      <c r="I66" s="176"/>
      <c r="J66" s="346"/>
      <c r="K66" s="462"/>
      <c r="L66" s="346"/>
      <c r="M66" s="463"/>
      <c r="N66" s="345"/>
      <c r="O66" s="412"/>
      <c r="P66" s="413"/>
      <c r="Q66" s="464"/>
      <c r="R66" s="465">
        <f>IFERROR(VLOOKUP(1,'Data Validation'!$O$2:$P$25,2,FALSE),"")</f>
        <v>45906</v>
      </c>
      <c r="S66" s="465" t="str">
        <f>IFERROR(VLOOKUP($P66,'Data Validation'!$O$2:$P$25,2,FALSE),"")</f>
        <v/>
      </c>
      <c r="T66" s="419" t="e">
        <f ca="1">INDEX(INDIRECT(INDEX(ControlRoom[اجمالي الالتزام],MATCH(تفصيلي!Q66,Control!$B$2:$B$12,0))),MATCH(CONCATENATE(O66,P66),INDIRECT(INDEX(ControlRoom[المبلغ],MATCH(تفصيلي!Q66,ControlRoom[التمويل],0))),0))</f>
        <v>#N/A</v>
      </c>
      <c r="U66" s="419" t="e">
        <f ca="1">INDEX(INDIRECT(INDEX(ControlRoom[القسط الشهري],MATCH(تفصيلي!Q66,Control!$B$2:$B$12,0))),MATCH(CONCATENATE(O66,P66),INDIRECT(INDEX(ControlRoom[المبلغ],MATCH(تفصيلي!Q66,ControlRoom[التمويل],0))),0))</f>
        <v>#N/A</v>
      </c>
      <c r="V66" s="420" t="e">
        <f>INDEX(ControlRoom[[فائدة أ]:[فائدة ج]],MATCH(تفصيلي!Q66,ControlRoom[التمويل],0),MATCH(IF(AND(تفصيلي!O66&gt;=Control!$N$2,تفصيلي!O66&lt;=Control!$O$2),Control!$P$2,IF(AND(تفصيلي!O66&gt;=Control!$N$3,تفصيلي!O66&lt;=Control!$O$3),Control!$P$3,IF(AND(تفصيلي!O66&gt;=Control!$N$4,تفصيلي!O66&lt;=Control!$O$4),Control!$P$4,"Out Of Range"))),ControlRoom[[#Headers],[فائدة أ]:[فائدة ج]],0))</f>
        <v>#N/A</v>
      </c>
      <c r="W66" s="419"/>
      <c r="X66" s="466">
        <f t="shared" si="0"/>
        <v>0</v>
      </c>
      <c r="Y66" s="167"/>
      <c r="Z66" s="302">
        <f t="shared" si="1"/>
        <v>0</v>
      </c>
      <c r="AA66" s="166"/>
      <c r="AB66" s="167" t="s">
        <v>624</v>
      </c>
      <c r="AC66" s="167">
        <f t="shared" si="2"/>
        <v>0</v>
      </c>
      <c r="AD66" s="169">
        <f t="shared" si="3"/>
        <v>0</v>
      </c>
      <c r="AE66" s="174"/>
      <c r="AF66" s="303">
        <f t="shared" si="4"/>
        <v>0</v>
      </c>
      <c r="AG66" s="168"/>
      <c r="AH66" s="174" t="s">
        <v>624</v>
      </c>
      <c r="AI66" s="169">
        <f t="shared" si="5"/>
        <v>0</v>
      </c>
      <c r="AJ66" s="172"/>
      <c r="AK66" s="175"/>
      <c r="AL66" s="170"/>
      <c r="AM66" s="171"/>
      <c r="AN66" s="175"/>
      <c r="AO66" s="172"/>
      <c r="AP66" s="467"/>
      <c r="AQ66" s="468"/>
      <c r="AR66" s="469"/>
      <c r="AS66" s="470"/>
      <c r="AT66" s="471"/>
      <c r="AU66" s="471"/>
      <c r="AV66" s="472"/>
      <c r="AW66" s="472"/>
      <c r="AX66" s="473" t="str">
        <f t="shared" si="6"/>
        <v xml:space="preserve"> ,</v>
      </c>
      <c r="AY66" s="473" t="str">
        <f t="shared" si="7"/>
        <v xml:space="preserve"> / </v>
      </c>
      <c r="AZ66" s="474"/>
      <c r="BA66" s="475"/>
      <c r="BB66" s="474"/>
      <c r="BC66" s="474"/>
      <c r="BD66" s="475"/>
      <c r="BE66" s="474"/>
    </row>
    <row r="67" spans="1:57" s="476" customFormat="1" ht="21.6" customHeight="1">
      <c r="A67" s="341">
        <f t="shared" si="8"/>
        <v>62</v>
      </c>
      <c r="B67" s="481"/>
      <c r="C67" s="477"/>
      <c r="D67" s="342"/>
      <c r="E67" s="236"/>
      <c r="F67" s="461" t="s">
        <v>624</v>
      </c>
      <c r="G67" s="342"/>
      <c r="H67" s="176"/>
      <c r="I67" s="176"/>
      <c r="J67" s="346"/>
      <c r="K67" s="462"/>
      <c r="L67" s="346"/>
      <c r="M67" s="463"/>
      <c r="N67" s="345"/>
      <c r="O67" s="412"/>
      <c r="P67" s="413"/>
      <c r="Q67" s="464"/>
      <c r="R67" s="465">
        <f>IFERROR(VLOOKUP(1,'Data Validation'!$O$2:$P$25,2,FALSE),"")</f>
        <v>45906</v>
      </c>
      <c r="S67" s="465" t="str">
        <f>IFERROR(VLOOKUP($P67,'Data Validation'!$O$2:$P$25,2,FALSE),"")</f>
        <v/>
      </c>
      <c r="T67" s="419" t="e">
        <f ca="1">INDEX(INDIRECT(INDEX(ControlRoom[اجمالي الالتزام],MATCH(تفصيلي!Q67,Control!$B$2:$B$12,0))),MATCH(CONCATENATE(O67,P67),INDIRECT(INDEX(ControlRoom[المبلغ],MATCH(تفصيلي!Q67,ControlRoom[التمويل],0))),0))</f>
        <v>#N/A</v>
      </c>
      <c r="U67" s="419" t="e">
        <f ca="1">INDEX(INDIRECT(INDEX(ControlRoom[القسط الشهري],MATCH(تفصيلي!Q67,Control!$B$2:$B$12,0))),MATCH(CONCATENATE(O67,P67),INDIRECT(INDEX(ControlRoom[المبلغ],MATCH(تفصيلي!Q67,ControlRoom[التمويل],0))),0))</f>
        <v>#N/A</v>
      </c>
      <c r="V67" s="420" t="e">
        <f>INDEX(ControlRoom[[فائدة أ]:[فائدة ج]],MATCH(تفصيلي!Q67,ControlRoom[التمويل],0),MATCH(IF(AND(تفصيلي!O67&gt;=Control!$N$2,تفصيلي!O67&lt;=Control!$O$2),Control!$P$2,IF(AND(تفصيلي!O67&gt;=Control!$N$3,تفصيلي!O67&lt;=Control!$O$3),Control!$P$3,IF(AND(تفصيلي!O67&gt;=Control!$N$4,تفصيلي!O67&lt;=Control!$O$4),Control!$P$4,"Out Of Range"))),ControlRoom[[#Headers],[فائدة أ]:[فائدة ج]],0))</f>
        <v>#N/A</v>
      </c>
      <c r="W67" s="419"/>
      <c r="X67" s="466">
        <f t="shared" si="0"/>
        <v>0</v>
      </c>
      <c r="Y67" s="167"/>
      <c r="Z67" s="302">
        <f t="shared" si="1"/>
        <v>0</v>
      </c>
      <c r="AA67" s="166"/>
      <c r="AB67" s="167" t="s">
        <v>624</v>
      </c>
      <c r="AC67" s="167">
        <f t="shared" si="2"/>
        <v>0</v>
      </c>
      <c r="AD67" s="169">
        <f t="shared" si="3"/>
        <v>0</v>
      </c>
      <c r="AE67" s="174"/>
      <c r="AF67" s="303">
        <f t="shared" si="4"/>
        <v>0</v>
      </c>
      <c r="AG67" s="168"/>
      <c r="AH67" s="174" t="s">
        <v>624</v>
      </c>
      <c r="AI67" s="169">
        <f t="shared" si="5"/>
        <v>0</v>
      </c>
      <c r="AJ67" s="172"/>
      <c r="AK67" s="175"/>
      <c r="AL67" s="170"/>
      <c r="AM67" s="171"/>
      <c r="AN67" s="175"/>
      <c r="AO67" s="172"/>
      <c r="AP67" s="467"/>
      <c r="AQ67" s="468"/>
      <c r="AR67" s="469"/>
      <c r="AS67" s="470"/>
      <c r="AT67" s="471"/>
      <c r="AU67" s="471"/>
      <c r="AV67" s="472"/>
      <c r="AW67" s="472"/>
      <c r="AX67" s="473" t="str">
        <f t="shared" si="6"/>
        <v xml:space="preserve"> ,</v>
      </c>
      <c r="AY67" s="473" t="str">
        <f t="shared" si="7"/>
        <v xml:space="preserve"> / </v>
      </c>
      <c r="AZ67" s="474"/>
      <c r="BA67" s="475"/>
      <c r="BB67" s="474"/>
      <c r="BC67" s="474"/>
      <c r="BD67" s="475"/>
      <c r="BE67" s="474"/>
    </row>
    <row r="68" spans="1:57" s="476" customFormat="1" ht="21.6" customHeight="1">
      <c r="A68" s="341">
        <f t="shared" si="8"/>
        <v>63</v>
      </c>
      <c r="B68" s="481"/>
      <c r="C68" s="477"/>
      <c r="D68" s="342"/>
      <c r="E68" s="236"/>
      <c r="F68" s="461" t="s">
        <v>624</v>
      </c>
      <c r="G68" s="342"/>
      <c r="H68" s="176"/>
      <c r="I68" s="176"/>
      <c r="J68" s="346"/>
      <c r="K68" s="462"/>
      <c r="L68" s="346"/>
      <c r="M68" s="463"/>
      <c r="N68" s="345"/>
      <c r="O68" s="412"/>
      <c r="P68" s="413"/>
      <c r="Q68" s="464"/>
      <c r="R68" s="465">
        <f>IFERROR(VLOOKUP(1,'Data Validation'!$O$2:$P$25,2,FALSE),"")</f>
        <v>45906</v>
      </c>
      <c r="S68" s="465" t="str">
        <f>IFERROR(VLOOKUP($P68,'Data Validation'!$O$2:$P$25,2,FALSE),"")</f>
        <v/>
      </c>
      <c r="T68" s="419" t="e">
        <f ca="1">INDEX(INDIRECT(INDEX(ControlRoom[اجمالي الالتزام],MATCH(تفصيلي!Q68,Control!$B$2:$B$12,0))),MATCH(CONCATENATE(O68,P68),INDIRECT(INDEX(ControlRoom[المبلغ],MATCH(تفصيلي!Q68,ControlRoom[التمويل],0))),0))</f>
        <v>#N/A</v>
      </c>
      <c r="U68" s="419" t="e">
        <f ca="1">INDEX(INDIRECT(INDEX(ControlRoom[القسط الشهري],MATCH(تفصيلي!Q68,Control!$B$2:$B$12,0))),MATCH(CONCATENATE(O68,P68),INDIRECT(INDEX(ControlRoom[المبلغ],MATCH(تفصيلي!Q68,ControlRoom[التمويل],0))),0))</f>
        <v>#N/A</v>
      </c>
      <c r="V68" s="420" t="e">
        <f>INDEX(ControlRoom[[فائدة أ]:[فائدة ج]],MATCH(تفصيلي!Q68,ControlRoom[التمويل],0),MATCH(IF(AND(تفصيلي!O68&gt;=Control!$N$2,تفصيلي!O68&lt;=Control!$O$2),Control!$P$2,IF(AND(تفصيلي!O68&gt;=Control!$N$3,تفصيلي!O68&lt;=Control!$O$3),Control!$P$3,IF(AND(تفصيلي!O68&gt;=Control!$N$4,تفصيلي!O68&lt;=Control!$O$4),Control!$P$4,"Out Of Range"))),ControlRoom[[#Headers],[فائدة أ]:[فائدة ج]],0))</f>
        <v>#N/A</v>
      </c>
      <c r="W68" s="419"/>
      <c r="X68" s="466">
        <f t="shared" si="0"/>
        <v>0</v>
      </c>
      <c r="Y68" s="167"/>
      <c r="Z68" s="302">
        <f t="shared" si="1"/>
        <v>0</v>
      </c>
      <c r="AA68" s="166"/>
      <c r="AB68" s="167" t="s">
        <v>624</v>
      </c>
      <c r="AC68" s="167">
        <f t="shared" si="2"/>
        <v>0</v>
      </c>
      <c r="AD68" s="169">
        <f t="shared" si="3"/>
        <v>0</v>
      </c>
      <c r="AE68" s="174"/>
      <c r="AF68" s="303">
        <f t="shared" si="4"/>
        <v>0</v>
      </c>
      <c r="AG68" s="168"/>
      <c r="AH68" s="174" t="s">
        <v>624</v>
      </c>
      <c r="AI68" s="169">
        <f t="shared" si="5"/>
        <v>0</v>
      </c>
      <c r="AJ68" s="172"/>
      <c r="AK68" s="175"/>
      <c r="AL68" s="170"/>
      <c r="AM68" s="171"/>
      <c r="AN68" s="175"/>
      <c r="AO68" s="172"/>
      <c r="AP68" s="467"/>
      <c r="AQ68" s="468"/>
      <c r="AR68" s="469"/>
      <c r="AS68" s="470"/>
      <c r="AT68" s="471"/>
      <c r="AU68" s="471"/>
      <c r="AV68" s="472"/>
      <c r="AW68" s="472"/>
      <c r="AX68" s="473" t="str">
        <f t="shared" si="6"/>
        <v xml:space="preserve"> ,</v>
      </c>
      <c r="AY68" s="473" t="str">
        <f t="shared" si="7"/>
        <v xml:space="preserve"> / </v>
      </c>
      <c r="AZ68" s="474"/>
      <c r="BA68" s="475"/>
      <c r="BB68" s="474"/>
      <c r="BC68" s="474"/>
      <c r="BD68" s="475"/>
      <c r="BE68" s="474"/>
    </row>
    <row r="69" spans="1:57" s="476" customFormat="1" ht="21.6" customHeight="1">
      <c r="A69" s="341">
        <f t="shared" si="8"/>
        <v>64</v>
      </c>
      <c r="B69" s="481"/>
      <c r="C69" s="477"/>
      <c r="D69" s="342"/>
      <c r="E69" s="236"/>
      <c r="F69" s="461" t="s">
        <v>624</v>
      </c>
      <c r="G69" s="342"/>
      <c r="H69" s="176"/>
      <c r="I69" s="176"/>
      <c r="J69" s="346"/>
      <c r="K69" s="462"/>
      <c r="L69" s="346"/>
      <c r="M69" s="463"/>
      <c r="N69" s="345"/>
      <c r="O69" s="412"/>
      <c r="P69" s="413"/>
      <c r="Q69" s="464"/>
      <c r="R69" s="465">
        <f>IFERROR(VLOOKUP(1,'Data Validation'!$O$2:$P$25,2,FALSE),"")</f>
        <v>45906</v>
      </c>
      <c r="S69" s="465" t="str">
        <f>IFERROR(VLOOKUP($P69,'Data Validation'!$O$2:$P$25,2,FALSE),"")</f>
        <v/>
      </c>
      <c r="T69" s="419" t="e">
        <f ca="1">INDEX(INDIRECT(INDEX(ControlRoom[اجمالي الالتزام],MATCH(تفصيلي!Q69,Control!$B$2:$B$12,0))),MATCH(CONCATENATE(O69,P69),INDIRECT(INDEX(ControlRoom[المبلغ],MATCH(تفصيلي!Q69,ControlRoom[التمويل],0))),0))</f>
        <v>#N/A</v>
      </c>
      <c r="U69" s="419" t="e">
        <f ca="1">INDEX(INDIRECT(INDEX(ControlRoom[القسط الشهري],MATCH(تفصيلي!Q69,Control!$B$2:$B$12,0))),MATCH(CONCATENATE(O69,P69),INDIRECT(INDEX(ControlRoom[المبلغ],MATCH(تفصيلي!Q69,ControlRoom[التمويل],0))),0))</f>
        <v>#N/A</v>
      </c>
      <c r="V69" s="420" t="e">
        <f>INDEX(ControlRoom[[فائدة أ]:[فائدة ج]],MATCH(تفصيلي!Q69,ControlRoom[التمويل],0),MATCH(IF(AND(تفصيلي!O69&gt;=Control!$N$2,تفصيلي!O69&lt;=Control!$O$2),Control!$P$2,IF(AND(تفصيلي!O69&gt;=Control!$N$3,تفصيلي!O69&lt;=Control!$O$3),Control!$P$3,IF(AND(تفصيلي!O69&gt;=Control!$N$4,تفصيلي!O69&lt;=Control!$O$4),Control!$P$4,"Out Of Range"))),ControlRoom[[#Headers],[فائدة أ]:[فائدة ج]],0))</f>
        <v>#N/A</v>
      </c>
      <c r="W69" s="419"/>
      <c r="X69" s="466">
        <f t="shared" si="0"/>
        <v>0</v>
      </c>
      <c r="Y69" s="167"/>
      <c r="Z69" s="302">
        <f t="shared" si="1"/>
        <v>0</v>
      </c>
      <c r="AA69" s="166"/>
      <c r="AB69" s="167" t="s">
        <v>624</v>
      </c>
      <c r="AC69" s="167">
        <f t="shared" si="2"/>
        <v>0</v>
      </c>
      <c r="AD69" s="169">
        <f t="shared" si="3"/>
        <v>0</v>
      </c>
      <c r="AE69" s="174"/>
      <c r="AF69" s="303">
        <f t="shared" si="4"/>
        <v>0</v>
      </c>
      <c r="AG69" s="168"/>
      <c r="AH69" s="174" t="s">
        <v>624</v>
      </c>
      <c r="AI69" s="169">
        <f t="shared" si="5"/>
        <v>0</v>
      </c>
      <c r="AJ69" s="172"/>
      <c r="AK69" s="175"/>
      <c r="AL69" s="170"/>
      <c r="AM69" s="171"/>
      <c r="AN69" s="175"/>
      <c r="AO69" s="172"/>
      <c r="AP69" s="467"/>
      <c r="AQ69" s="468"/>
      <c r="AR69" s="469"/>
      <c r="AS69" s="470"/>
      <c r="AT69" s="471"/>
      <c r="AU69" s="471"/>
      <c r="AV69" s="472"/>
      <c r="AW69" s="472"/>
      <c r="AX69" s="473" t="str">
        <f t="shared" si="6"/>
        <v xml:space="preserve"> ,</v>
      </c>
      <c r="AY69" s="473" t="str">
        <f t="shared" si="7"/>
        <v xml:space="preserve"> / </v>
      </c>
      <c r="AZ69" s="474"/>
      <c r="BA69" s="475"/>
      <c r="BB69" s="474"/>
      <c r="BC69" s="474"/>
      <c r="BD69" s="475"/>
      <c r="BE69" s="474"/>
    </row>
    <row r="70" spans="1:57" s="476" customFormat="1" ht="21.6" customHeight="1">
      <c r="A70" s="341">
        <f t="shared" si="8"/>
        <v>65</v>
      </c>
      <c r="B70" s="481"/>
      <c r="C70" s="477"/>
      <c r="D70" s="342"/>
      <c r="E70" s="236"/>
      <c r="F70" s="461" t="s">
        <v>624</v>
      </c>
      <c r="G70" s="342"/>
      <c r="H70" s="176"/>
      <c r="I70" s="176"/>
      <c r="J70" s="346"/>
      <c r="K70" s="462"/>
      <c r="L70" s="346"/>
      <c r="M70" s="463"/>
      <c r="N70" s="345"/>
      <c r="O70" s="412"/>
      <c r="P70" s="413"/>
      <c r="Q70" s="464"/>
      <c r="R70" s="465">
        <f>IFERROR(VLOOKUP(1,'Data Validation'!$O$2:$P$25,2,FALSE),"")</f>
        <v>45906</v>
      </c>
      <c r="S70" s="465" t="str">
        <f>IFERROR(VLOOKUP($P70,'Data Validation'!$O$2:$P$25,2,FALSE),"")</f>
        <v/>
      </c>
      <c r="T70" s="419" t="e">
        <f ca="1">INDEX(INDIRECT(INDEX(ControlRoom[اجمالي الالتزام],MATCH(تفصيلي!Q70,Control!$B$2:$B$12,0))),MATCH(CONCATENATE(O70,P70),INDIRECT(INDEX(ControlRoom[المبلغ],MATCH(تفصيلي!Q70,ControlRoom[التمويل],0))),0))</f>
        <v>#N/A</v>
      </c>
      <c r="U70" s="419" t="e">
        <f ca="1">INDEX(INDIRECT(INDEX(ControlRoom[القسط الشهري],MATCH(تفصيلي!Q70,Control!$B$2:$B$12,0))),MATCH(CONCATENATE(O70,P70),INDIRECT(INDEX(ControlRoom[المبلغ],MATCH(تفصيلي!Q70,ControlRoom[التمويل],0))),0))</f>
        <v>#N/A</v>
      </c>
      <c r="V70" s="420" t="e">
        <f>INDEX(ControlRoom[[فائدة أ]:[فائدة ج]],MATCH(تفصيلي!Q70,ControlRoom[التمويل],0),MATCH(IF(AND(تفصيلي!O70&gt;=Control!$N$2,تفصيلي!O70&lt;=Control!$O$2),Control!$P$2,IF(AND(تفصيلي!O70&gt;=Control!$N$3,تفصيلي!O70&lt;=Control!$O$3),Control!$P$3,IF(AND(تفصيلي!O70&gt;=Control!$N$4,تفصيلي!O70&lt;=Control!$O$4),Control!$P$4,"Out Of Range"))),ControlRoom[[#Headers],[فائدة أ]:[فائدة ج]],0))</f>
        <v>#N/A</v>
      </c>
      <c r="W70" s="419"/>
      <c r="X70" s="466">
        <f t="shared" si="0"/>
        <v>0</v>
      </c>
      <c r="Y70" s="167"/>
      <c r="Z70" s="302">
        <f t="shared" si="1"/>
        <v>0</v>
      </c>
      <c r="AA70" s="166"/>
      <c r="AB70" s="167" t="s">
        <v>624</v>
      </c>
      <c r="AC70" s="167">
        <f t="shared" si="2"/>
        <v>0</v>
      </c>
      <c r="AD70" s="169">
        <f t="shared" si="3"/>
        <v>0</v>
      </c>
      <c r="AE70" s="174"/>
      <c r="AF70" s="303">
        <f t="shared" si="4"/>
        <v>0</v>
      </c>
      <c r="AG70" s="168"/>
      <c r="AH70" s="174" t="s">
        <v>624</v>
      </c>
      <c r="AI70" s="169">
        <f t="shared" si="5"/>
        <v>0</v>
      </c>
      <c r="AJ70" s="172"/>
      <c r="AK70" s="175"/>
      <c r="AL70" s="170"/>
      <c r="AM70" s="171"/>
      <c r="AN70" s="175"/>
      <c r="AO70" s="172"/>
      <c r="AP70" s="467"/>
      <c r="AQ70" s="468"/>
      <c r="AR70" s="469"/>
      <c r="AS70" s="470"/>
      <c r="AT70" s="471"/>
      <c r="AU70" s="471"/>
      <c r="AV70" s="472"/>
      <c r="AW70" s="472"/>
      <c r="AX70" s="473" t="str">
        <f t="shared" si="6"/>
        <v xml:space="preserve"> ,</v>
      </c>
      <c r="AY70" s="473" t="str">
        <f t="shared" si="7"/>
        <v xml:space="preserve"> / </v>
      </c>
      <c r="AZ70" s="474"/>
      <c r="BA70" s="475"/>
      <c r="BB70" s="474"/>
      <c r="BC70" s="474"/>
      <c r="BD70" s="475"/>
      <c r="BE70" s="474"/>
    </row>
    <row r="71" spans="1:57" s="476" customFormat="1" ht="21.6" customHeight="1">
      <c r="A71" s="341">
        <f t="shared" si="8"/>
        <v>66</v>
      </c>
      <c r="B71" s="481"/>
      <c r="C71" s="477"/>
      <c r="D71" s="342"/>
      <c r="E71" s="236"/>
      <c r="F71" s="461" t="s">
        <v>624</v>
      </c>
      <c r="G71" s="342"/>
      <c r="H71" s="176"/>
      <c r="I71" s="176"/>
      <c r="J71" s="346"/>
      <c r="K71" s="462"/>
      <c r="L71" s="346"/>
      <c r="M71" s="463"/>
      <c r="N71" s="345"/>
      <c r="O71" s="412"/>
      <c r="P71" s="413"/>
      <c r="Q71" s="464"/>
      <c r="R71" s="465">
        <f>IFERROR(VLOOKUP(1,'Data Validation'!$O$2:$P$25,2,FALSE),"")</f>
        <v>45906</v>
      </c>
      <c r="S71" s="465" t="str">
        <f>IFERROR(VLOOKUP($P71,'Data Validation'!$O$2:$P$25,2,FALSE),"")</f>
        <v/>
      </c>
      <c r="T71" s="419" t="e">
        <f ca="1">INDEX(INDIRECT(INDEX(ControlRoom[اجمالي الالتزام],MATCH(تفصيلي!Q71,Control!$B$2:$B$12,0))),MATCH(CONCATENATE(O71,P71),INDIRECT(INDEX(ControlRoom[المبلغ],MATCH(تفصيلي!Q71,ControlRoom[التمويل],0))),0))</f>
        <v>#N/A</v>
      </c>
      <c r="U71" s="419" t="e">
        <f ca="1">INDEX(INDIRECT(INDEX(ControlRoom[القسط الشهري],MATCH(تفصيلي!Q71,Control!$B$2:$B$12,0))),MATCH(CONCATENATE(O71,P71),INDIRECT(INDEX(ControlRoom[المبلغ],MATCH(تفصيلي!Q71,ControlRoom[التمويل],0))),0))</f>
        <v>#N/A</v>
      </c>
      <c r="V71" s="420" t="e">
        <f>INDEX(ControlRoom[[فائدة أ]:[فائدة ج]],MATCH(تفصيلي!Q71,ControlRoom[التمويل],0),MATCH(IF(AND(تفصيلي!O71&gt;=Control!$N$2,تفصيلي!O71&lt;=Control!$O$2),Control!$P$2,IF(AND(تفصيلي!O71&gt;=Control!$N$3,تفصيلي!O71&lt;=Control!$O$3),Control!$P$3,IF(AND(تفصيلي!O71&gt;=Control!$N$4,تفصيلي!O71&lt;=Control!$O$4),Control!$P$4,"Out Of Range"))),ControlRoom[[#Headers],[فائدة أ]:[فائدة ج]],0))</f>
        <v>#N/A</v>
      </c>
      <c r="W71" s="419"/>
      <c r="X71" s="466">
        <f t="shared" ref="X71:X134" si="9">AZ71</f>
        <v>0</v>
      </c>
      <c r="Y71" s="167"/>
      <c r="Z71" s="302">
        <f t="shared" ref="Z71:Z134" si="10">BA71</f>
        <v>0</v>
      </c>
      <c r="AA71" s="166"/>
      <c r="AB71" s="167" t="s">
        <v>624</v>
      </c>
      <c r="AC71" s="167">
        <f t="shared" ref="AC71:AC134" si="11">BB71</f>
        <v>0</v>
      </c>
      <c r="AD71" s="169">
        <f t="shared" ref="AD71:AD134" si="12">BC71</f>
        <v>0</v>
      </c>
      <c r="AE71" s="174"/>
      <c r="AF71" s="303">
        <f t="shared" ref="AF71:AF134" si="13">BD71</f>
        <v>0</v>
      </c>
      <c r="AG71" s="168"/>
      <c r="AH71" s="174" t="s">
        <v>624</v>
      </c>
      <c r="AI71" s="169">
        <f t="shared" ref="AI71:AI134" si="14">BE71</f>
        <v>0</v>
      </c>
      <c r="AJ71" s="172"/>
      <c r="AK71" s="175"/>
      <c r="AL71" s="170"/>
      <c r="AM71" s="171"/>
      <c r="AN71" s="175"/>
      <c r="AO71" s="172"/>
      <c r="AP71" s="467"/>
      <c r="AQ71" s="468"/>
      <c r="AR71" s="469"/>
      <c r="AS71" s="470"/>
      <c r="AT71" s="471"/>
      <c r="AU71" s="471"/>
      <c r="AV71" s="472"/>
      <c r="AW71" s="472"/>
      <c r="AX71" s="473" t="str">
        <f t="shared" ref="AX71:AX134" si="15">CONCATENATE(AV71," ",",",AW71)</f>
        <v xml:space="preserve"> ,</v>
      </c>
      <c r="AY71" s="473" t="str">
        <f t="shared" ref="AY71:AY134" si="16">CONCATENATE(J71," ","/"," ",K71)</f>
        <v xml:space="preserve"> / </v>
      </c>
      <c r="AZ71" s="474"/>
      <c r="BA71" s="475"/>
      <c r="BB71" s="474"/>
      <c r="BC71" s="474"/>
      <c r="BD71" s="475"/>
      <c r="BE71" s="474"/>
    </row>
    <row r="72" spans="1:57" s="476" customFormat="1" ht="21.6" customHeight="1">
      <c r="A72" s="341">
        <f t="shared" ref="A72:A135" si="17">A71+1</f>
        <v>67</v>
      </c>
      <c r="B72" s="481"/>
      <c r="C72" s="477"/>
      <c r="D72" s="342"/>
      <c r="E72" s="236"/>
      <c r="F72" s="461" t="s">
        <v>624</v>
      </c>
      <c r="G72" s="342"/>
      <c r="H72" s="176"/>
      <c r="I72" s="176"/>
      <c r="J72" s="346"/>
      <c r="K72" s="462"/>
      <c r="L72" s="346"/>
      <c r="M72" s="463"/>
      <c r="N72" s="345"/>
      <c r="O72" s="412"/>
      <c r="P72" s="413"/>
      <c r="Q72" s="464"/>
      <c r="R72" s="465">
        <f>IFERROR(VLOOKUP(1,'Data Validation'!$O$2:$P$25,2,FALSE),"")</f>
        <v>45906</v>
      </c>
      <c r="S72" s="465" t="str">
        <f>IFERROR(VLOOKUP($P72,'Data Validation'!$O$2:$P$25,2,FALSE),"")</f>
        <v/>
      </c>
      <c r="T72" s="419" t="e">
        <f ca="1">INDEX(INDIRECT(INDEX(ControlRoom[اجمالي الالتزام],MATCH(تفصيلي!Q72,Control!$B$2:$B$12,0))),MATCH(CONCATENATE(O72,P72),INDIRECT(INDEX(ControlRoom[المبلغ],MATCH(تفصيلي!Q72,ControlRoom[التمويل],0))),0))</f>
        <v>#N/A</v>
      </c>
      <c r="U72" s="419" t="e">
        <f ca="1">INDEX(INDIRECT(INDEX(ControlRoom[القسط الشهري],MATCH(تفصيلي!Q72,Control!$B$2:$B$12,0))),MATCH(CONCATENATE(O72,P72),INDIRECT(INDEX(ControlRoom[المبلغ],MATCH(تفصيلي!Q72,ControlRoom[التمويل],0))),0))</f>
        <v>#N/A</v>
      </c>
      <c r="V72" s="420" t="e">
        <f>INDEX(ControlRoom[[فائدة أ]:[فائدة ج]],MATCH(تفصيلي!Q72,ControlRoom[التمويل],0),MATCH(IF(AND(تفصيلي!O72&gt;=Control!$N$2,تفصيلي!O72&lt;=Control!$O$2),Control!$P$2,IF(AND(تفصيلي!O72&gt;=Control!$N$3,تفصيلي!O72&lt;=Control!$O$3),Control!$P$3,IF(AND(تفصيلي!O72&gt;=Control!$N$4,تفصيلي!O72&lt;=Control!$O$4),Control!$P$4,"Out Of Range"))),ControlRoom[[#Headers],[فائدة أ]:[فائدة ج]],0))</f>
        <v>#N/A</v>
      </c>
      <c r="W72" s="419"/>
      <c r="X72" s="466">
        <f t="shared" si="9"/>
        <v>0</v>
      </c>
      <c r="Y72" s="167"/>
      <c r="Z72" s="302">
        <f t="shared" si="10"/>
        <v>0</v>
      </c>
      <c r="AA72" s="166"/>
      <c r="AB72" s="167" t="s">
        <v>624</v>
      </c>
      <c r="AC72" s="167">
        <f t="shared" si="11"/>
        <v>0</v>
      </c>
      <c r="AD72" s="169">
        <f t="shared" si="12"/>
        <v>0</v>
      </c>
      <c r="AE72" s="174"/>
      <c r="AF72" s="303">
        <f t="shared" si="13"/>
        <v>0</v>
      </c>
      <c r="AG72" s="168"/>
      <c r="AH72" s="174" t="s">
        <v>624</v>
      </c>
      <c r="AI72" s="169">
        <f t="shared" si="14"/>
        <v>0</v>
      </c>
      <c r="AJ72" s="172"/>
      <c r="AK72" s="175"/>
      <c r="AL72" s="170"/>
      <c r="AM72" s="171"/>
      <c r="AN72" s="175"/>
      <c r="AO72" s="172"/>
      <c r="AP72" s="467"/>
      <c r="AQ72" s="468"/>
      <c r="AR72" s="469"/>
      <c r="AS72" s="470"/>
      <c r="AT72" s="471"/>
      <c r="AU72" s="471"/>
      <c r="AV72" s="472"/>
      <c r="AW72" s="472"/>
      <c r="AX72" s="473" t="str">
        <f t="shared" si="15"/>
        <v xml:space="preserve"> ,</v>
      </c>
      <c r="AY72" s="473" t="str">
        <f t="shared" si="16"/>
        <v xml:space="preserve"> / </v>
      </c>
      <c r="AZ72" s="474"/>
      <c r="BA72" s="475"/>
      <c r="BB72" s="474"/>
      <c r="BC72" s="474"/>
      <c r="BD72" s="475"/>
      <c r="BE72" s="474"/>
    </row>
    <row r="73" spans="1:57" s="476" customFormat="1" ht="21.6" customHeight="1">
      <c r="A73" s="341">
        <f t="shared" si="17"/>
        <v>68</v>
      </c>
      <c r="B73" s="481"/>
      <c r="C73" s="477"/>
      <c r="D73" s="342"/>
      <c r="E73" s="236"/>
      <c r="F73" s="461" t="s">
        <v>624</v>
      </c>
      <c r="G73" s="342"/>
      <c r="H73" s="176"/>
      <c r="I73" s="176"/>
      <c r="J73" s="346"/>
      <c r="K73" s="462"/>
      <c r="L73" s="346"/>
      <c r="M73" s="463"/>
      <c r="N73" s="345"/>
      <c r="O73" s="412"/>
      <c r="P73" s="413"/>
      <c r="Q73" s="464"/>
      <c r="R73" s="465">
        <f>IFERROR(VLOOKUP(1,'Data Validation'!$O$2:$P$25,2,FALSE),"")</f>
        <v>45906</v>
      </c>
      <c r="S73" s="465" t="str">
        <f>IFERROR(VLOOKUP($P73,'Data Validation'!$O$2:$P$25,2,FALSE),"")</f>
        <v/>
      </c>
      <c r="T73" s="419" t="e">
        <f ca="1">INDEX(INDIRECT(INDEX(ControlRoom[اجمالي الالتزام],MATCH(تفصيلي!Q73,Control!$B$2:$B$12,0))),MATCH(CONCATENATE(O73,P73),INDIRECT(INDEX(ControlRoom[المبلغ],MATCH(تفصيلي!Q73,ControlRoom[التمويل],0))),0))</f>
        <v>#N/A</v>
      </c>
      <c r="U73" s="419" t="e">
        <f ca="1">INDEX(INDIRECT(INDEX(ControlRoom[القسط الشهري],MATCH(تفصيلي!Q73,Control!$B$2:$B$12,0))),MATCH(CONCATENATE(O73,P73),INDIRECT(INDEX(ControlRoom[المبلغ],MATCH(تفصيلي!Q73,ControlRoom[التمويل],0))),0))</f>
        <v>#N/A</v>
      </c>
      <c r="V73" s="420" t="e">
        <f>INDEX(ControlRoom[[فائدة أ]:[فائدة ج]],MATCH(تفصيلي!Q73,ControlRoom[التمويل],0),MATCH(IF(AND(تفصيلي!O73&gt;=Control!$N$2,تفصيلي!O73&lt;=Control!$O$2),Control!$P$2,IF(AND(تفصيلي!O73&gt;=Control!$N$3,تفصيلي!O73&lt;=Control!$O$3),Control!$P$3,IF(AND(تفصيلي!O73&gt;=Control!$N$4,تفصيلي!O73&lt;=Control!$O$4),Control!$P$4,"Out Of Range"))),ControlRoom[[#Headers],[فائدة أ]:[فائدة ج]],0))</f>
        <v>#N/A</v>
      </c>
      <c r="W73" s="419"/>
      <c r="X73" s="466">
        <f t="shared" si="9"/>
        <v>0</v>
      </c>
      <c r="Y73" s="167"/>
      <c r="Z73" s="302">
        <f t="shared" si="10"/>
        <v>0</v>
      </c>
      <c r="AA73" s="166"/>
      <c r="AB73" s="167" t="s">
        <v>624</v>
      </c>
      <c r="AC73" s="167">
        <f t="shared" si="11"/>
        <v>0</v>
      </c>
      <c r="AD73" s="169">
        <f t="shared" si="12"/>
        <v>0</v>
      </c>
      <c r="AE73" s="174"/>
      <c r="AF73" s="303">
        <f t="shared" si="13"/>
        <v>0</v>
      </c>
      <c r="AG73" s="168"/>
      <c r="AH73" s="174" t="s">
        <v>624</v>
      </c>
      <c r="AI73" s="169">
        <f t="shared" si="14"/>
        <v>0</v>
      </c>
      <c r="AJ73" s="172"/>
      <c r="AK73" s="175"/>
      <c r="AL73" s="170"/>
      <c r="AM73" s="171"/>
      <c r="AN73" s="175"/>
      <c r="AO73" s="172"/>
      <c r="AP73" s="467"/>
      <c r="AQ73" s="468"/>
      <c r="AR73" s="469"/>
      <c r="AS73" s="470"/>
      <c r="AT73" s="471"/>
      <c r="AU73" s="471"/>
      <c r="AV73" s="472"/>
      <c r="AW73" s="472"/>
      <c r="AX73" s="473" t="str">
        <f t="shared" si="15"/>
        <v xml:space="preserve"> ,</v>
      </c>
      <c r="AY73" s="473" t="str">
        <f t="shared" si="16"/>
        <v xml:space="preserve"> / </v>
      </c>
      <c r="AZ73" s="474"/>
      <c r="BA73" s="475"/>
      <c r="BB73" s="474"/>
      <c r="BC73" s="474"/>
      <c r="BD73" s="475"/>
      <c r="BE73" s="474"/>
    </row>
    <row r="74" spans="1:57" s="476" customFormat="1" ht="21.6" customHeight="1">
      <c r="A74" s="341">
        <f t="shared" si="17"/>
        <v>69</v>
      </c>
      <c r="B74" s="481"/>
      <c r="C74" s="477"/>
      <c r="D74" s="342"/>
      <c r="E74" s="236"/>
      <c r="F74" s="461" t="s">
        <v>624</v>
      </c>
      <c r="G74" s="342"/>
      <c r="H74" s="176"/>
      <c r="I74" s="176"/>
      <c r="J74" s="346"/>
      <c r="K74" s="462"/>
      <c r="L74" s="346"/>
      <c r="M74" s="463"/>
      <c r="N74" s="345"/>
      <c r="O74" s="412"/>
      <c r="P74" s="413"/>
      <c r="Q74" s="464"/>
      <c r="R74" s="465">
        <f>IFERROR(VLOOKUP(1,'Data Validation'!$O$2:$P$25,2,FALSE),"")</f>
        <v>45906</v>
      </c>
      <c r="S74" s="465" t="str">
        <f>IFERROR(VLOOKUP($P74,'Data Validation'!$O$2:$P$25,2,FALSE),"")</f>
        <v/>
      </c>
      <c r="T74" s="419" t="e">
        <f ca="1">INDEX(INDIRECT(INDEX(ControlRoom[اجمالي الالتزام],MATCH(تفصيلي!Q74,Control!$B$2:$B$12,0))),MATCH(CONCATENATE(O74,P74),INDIRECT(INDEX(ControlRoom[المبلغ],MATCH(تفصيلي!Q74,ControlRoom[التمويل],0))),0))</f>
        <v>#N/A</v>
      </c>
      <c r="U74" s="419" t="e">
        <f ca="1">INDEX(INDIRECT(INDEX(ControlRoom[القسط الشهري],MATCH(تفصيلي!Q74,Control!$B$2:$B$12,0))),MATCH(CONCATENATE(O74,P74),INDIRECT(INDEX(ControlRoom[المبلغ],MATCH(تفصيلي!Q74,ControlRoom[التمويل],0))),0))</f>
        <v>#N/A</v>
      </c>
      <c r="V74" s="420" t="e">
        <f>INDEX(ControlRoom[[فائدة أ]:[فائدة ج]],MATCH(تفصيلي!Q74,ControlRoom[التمويل],0),MATCH(IF(AND(تفصيلي!O74&gt;=Control!$N$2,تفصيلي!O74&lt;=Control!$O$2),Control!$P$2,IF(AND(تفصيلي!O74&gt;=Control!$N$3,تفصيلي!O74&lt;=Control!$O$3),Control!$P$3,IF(AND(تفصيلي!O74&gt;=Control!$N$4,تفصيلي!O74&lt;=Control!$O$4),Control!$P$4,"Out Of Range"))),ControlRoom[[#Headers],[فائدة أ]:[فائدة ج]],0))</f>
        <v>#N/A</v>
      </c>
      <c r="W74" s="419"/>
      <c r="X74" s="466">
        <f t="shared" si="9"/>
        <v>0</v>
      </c>
      <c r="Y74" s="167"/>
      <c r="Z74" s="302">
        <f t="shared" si="10"/>
        <v>0</v>
      </c>
      <c r="AA74" s="166"/>
      <c r="AB74" s="167" t="s">
        <v>624</v>
      </c>
      <c r="AC74" s="167">
        <f t="shared" si="11"/>
        <v>0</v>
      </c>
      <c r="AD74" s="169">
        <f t="shared" si="12"/>
        <v>0</v>
      </c>
      <c r="AE74" s="174"/>
      <c r="AF74" s="303">
        <f t="shared" si="13"/>
        <v>0</v>
      </c>
      <c r="AG74" s="168"/>
      <c r="AH74" s="174" t="s">
        <v>624</v>
      </c>
      <c r="AI74" s="169">
        <f t="shared" si="14"/>
        <v>0</v>
      </c>
      <c r="AJ74" s="172"/>
      <c r="AK74" s="175"/>
      <c r="AL74" s="170"/>
      <c r="AM74" s="171"/>
      <c r="AN74" s="175"/>
      <c r="AO74" s="172"/>
      <c r="AP74" s="467"/>
      <c r="AQ74" s="468"/>
      <c r="AR74" s="469"/>
      <c r="AS74" s="470"/>
      <c r="AT74" s="471"/>
      <c r="AU74" s="471"/>
      <c r="AV74" s="472"/>
      <c r="AW74" s="472"/>
      <c r="AX74" s="473" t="str">
        <f t="shared" si="15"/>
        <v xml:space="preserve"> ,</v>
      </c>
      <c r="AY74" s="473" t="str">
        <f t="shared" si="16"/>
        <v xml:space="preserve"> / </v>
      </c>
      <c r="AZ74" s="474"/>
      <c r="BA74" s="475"/>
      <c r="BB74" s="474"/>
      <c r="BC74" s="474"/>
      <c r="BD74" s="475"/>
      <c r="BE74" s="474"/>
    </row>
    <row r="75" spans="1:57" s="476" customFormat="1" ht="21.6" customHeight="1">
      <c r="A75" s="341">
        <f t="shared" si="17"/>
        <v>70</v>
      </c>
      <c r="B75" s="481"/>
      <c r="C75" s="477"/>
      <c r="D75" s="342"/>
      <c r="E75" s="236"/>
      <c r="F75" s="461" t="s">
        <v>624</v>
      </c>
      <c r="G75" s="342"/>
      <c r="H75" s="176"/>
      <c r="I75" s="176"/>
      <c r="J75" s="346"/>
      <c r="K75" s="462"/>
      <c r="L75" s="346"/>
      <c r="M75" s="463"/>
      <c r="N75" s="345"/>
      <c r="O75" s="412"/>
      <c r="P75" s="413"/>
      <c r="Q75" s="464"/>
      <c r="R75" s="465">
        <f>IFERROR(VLOOKUP(1,'Data Validation'!$O$2:$P$25,2,FALSE),"")</f>
        <v>45906</v>
      </c>
      <c r="S75" s="465" t="str">
        <f>IFERROR(VLOOKUP($P75,'Data Validation'!$O$2:$P$25,2,FALSE),"")</f>
        <v/>
      </c>
      <c r="T75" s="419" t="e">
        <f ca="1">INDEX(INDIRECT(INDEX(ControlRoom[اجمالي الالتزام],MATCH(تفصيلي!Q75,Control!$B$2:$B$12,0))),MATCH(CONCATENATE(O75,P75),INDIRECT(INDEX(ControlRoom[المبلغ],MATCH(تفصيلي!Q75,ControlRoom[التمويل],0))),0))</f>
        <v>#N/A</v>
      </c>
      <c r="U75" s="419" t="e">
        <f ca="1">INDEX(INDIRECT(INDEX(ControlRoom[القسط الشهري],MATCH(تفصيلي!Q75,Control!$B$2:$B$12,0))),MATCH(CONCATENATE(O75,P75),INDIRECT(INDEX(ControlRoom[المبلغ],MATCH(تفصيلي!Q75,ControlRoom[التمويل],0))),0))</f>
        <v>#N/A</v>
      </c>
      <c r="V75" s="420" t="e">
        <f>INDEX(ControlRoom[[فائدة أ]:[فائدة ج]],MATCH(تفصيلي!Q75,ControlRoom[التمويل],0),MATCH(IF(AND(تفصيلي!O75&gt;=Control!$N$2,تفصيلي!O75&lt;=Control!$O$2),Control!$P$2,IF(AND(تفصيلي!O75&gt;=Control!$N$3,تفصيلي!O75&lt;=Control!$O$3),Control!$P$3,IF(AND(تفصيلي!O75&gt;=Control!$N$4,تفصيلي!O75&lt;=Control!$O$4),Control!$P$4,"Out Of Range"))),ControlRoom[[#Headers],[فائدة أ]:[فائدة ج]],0))</f>
        <v>#N/A</v>
      </c>
      <c r="W75" s="419"/>
      <c r="X75" s="466">
        <f t="shared" si="9"/>
        <v>0</v>
      </c>
      <c r="Y75" s="167"/>
      <c r="Z75" s="302">
        <f t="shared" si="10"/>
        <v>0</v>
      </c>
      <c r="AA75" s="166"/>
      <c r="AB75" s="167" t="s">
        <v>624</v>
      </c>
      <c r="AC75" s="167">
        <f t="shared" si="11"/>
        <v>0</v>
      </c>
      <c r="AD75" s="169">
        <f t="shared" si="12"/>
        <v>0</v>
      </c>
      <c r="AE75" s="174"/>
      <c r="AF75" s="303">
        <f t="shared" si="13"/>
        <v>0</v>
      </c>
      <c r="AG75" s="168"/>
      <c r="AH75" s="174" t="s">
        <v>624</v>
      </c>
      <c r="AI75" s="169">
        <f t="shared" si="14"/>
        <v>0</v>
      </c>
      <c r="AJ75" s="172"/>
      <c r="AK75" s="175"/>
      <c r="AL75" s="170"/>
      <c r="AM75" s="171"/>
      <c r="AN75" s="175"/>
      <c r="AO75" s="172"/>
      <c r="AP75" s="467"/>
      <c r="AQ75" s="468"/>
      <c r="AR75" s="469"/>
      <c r="AS75" s="470"/>
      <c r="AT75" s="471"/>
      <c r="AU75" s="471"/>
      <c r="AV75" s="472"/>
      <c r="AW75" s="472"/>
      <c r="AX75" s="473" t="str">
        <f t="shared" si="15"/>
        <v xml:space="preserve"> ,</v>
      </c>
      <c r="AY75" s="473" t="str">
        <f t="shared" si="16"/>
        <v xml:space="preserve"> / </v>
      </c>
      <c r="AZ75" s="474"/>
      <c r="BA75" s="475"/>
      <c r="BB75" s="474"/>
      <c r="BC75" s="474"/>
      <c r="BD75" s="475"/>
      <c r="BE75" s="474"/>
    </row>
    <row r="76" spans="1:57" s="476" customFormat="1" ht="21.6" customHeight="1">
      <c r="A76" s="341">
        <f t="shared" si="17"/>
        <v>71</v>
      </c>
      <c r="B76" s="481"/>
      <c r="C76" s="477"/>
      <c r="D76" s="342"/>
      <c r="E76" s="236"/>
      <c r="F76" s="461" t="s">
        <v>624</v>
      </c>
      <c r="G76" s="342"/>
      <c r="H76" s="176"/>
      <c r="I76" s="176"/>
      <c r="J76" s="346"/>
      <c r="K76" s="462"/>
      <c r="L76" s="346"/>
      <c r="M76" s="463"/>
      <c r="N76" s="345"/>
      <c r="O76" s="412"/>
      <c r="P76" s="413"/>
      <c r="Q76" s="464"/>
      <c r="R76" s="465">
        <f>IFERROR(VLOOKUP(1,'Data Validation'!$O$2:$P$25,2,FALSE),"")</f>
        <v>45906</v>
      </c>
      <c r="S76" s="465" t="str">
        <f>IFERROR(VLOOKUP($P76,'Data Validation'!$O$2:$P$25,2,FALSE),"")</f>
        <v/>
      </c>
      <c r="T76" s="419" t="e">
        <f ca="1">INDEX(INDIRECT(INDEX(ControlRoom[اجمالي الالتزام],MATCH(تفصيلي!Q76,Control!$B$2:$B$12,0))),MATCH(CONCATENATE(O76,P76),INDIRECT(INDEX(ControlRoom[المبلغ],MATCH(تفصيلي!Q76,ControlRoom[التمويل],0))),0))</f>
        <v>#N/A</v>
      </c>
      <c r="U76" s="419" t="e">
        <f ca="1">INDEX(INDIRECT(INDEX(ControlRoom[القسط الشهري],MATCH(تفصيلي!Q76,Control!$B$2:$B$12,0))),MATCH(CONCATENATE(O76,P76),INDIRECT(INDEX(ControlRoom[المبلغ],MATCH(تفصيلي!Q76,ControlRoom[التمويل],0))),0))</f>
        <v>#N/A</v>
      </c>
      <c r="V76" s="420" t="e">
        <f>INDEX(ControlRoom[[فائدة أ]:[فائدة ج]],MATCH(تفصيلي!Q76,ControlRoom[التمويل],0),MATCH(IF(AND(تفصيلي!O76&gt;=Control!$N$2,تفصيلي!O76&lt;=Control!$O$2),Control!$P$2,IF(AND(تفصيلي!O76&gt;=Control!$N$3,تفصيلي!O76&lt;=Control!$O$3),Control!$P$3,IF(AND(تفصيلي!O76&gt;=Control!$N$4,تفصيلي!O76&lt;=Control!$O$4),Control!$P$4,"Out Of Range"))),ControlRoom[[#Headers],[فائدة أ]:[فائدة ج]],0))</f>
        <v>#N/A</v>
      </c>
      <c r="W76" s="419"/>
      <c r="X76" s="466">
        <f t="shared" si="9"/>
        <v>0</v>
      </c>
      <c r="Y76" s="167"/>
      <c r="Z76" s="302">
        <f t="shared" si="10"/>
        <v>0</v>
      </c>
      <c r="AA76" s="166"/>
      <c r="AB76" s="167" t="s">
        <v>624</v>
      </c>
      <c r="AC76" s="167">
        <f t="shared" si="11"/>
        <v>0</v>
      </c>
      <c r="AD76" s="169">
        <f t="shared" si="12"/>
        <v>0</v>
      </c>
      <c r="AE76" s="174"/>
      <c r="AF76" s="303">
        <f t="shared" si="13"/>
        <v>0</v>
      </c>
      <c r="AG76" s="168"/>
      <c r="AH76" s="174" t="s">
        <v>624</v>
      </c>
      <c r="AI76" s="169">
        <f t="shared" si="14"/>
        <v>0</v>
      </c>
      <c r="AJ76" s="172"/>
      <c r="AK76" s="175"/>
      <c r="AL76" s="170"/>
      <c r="AM76" s="171"/>
      <c r="AN76" s="175"/>
      <c r="AO76" s="172"/>
      <c r="AP76" s="467"/>
      <c r="AQ76" s="468"/>
      <c r="AR76" s="469"/>
      <c r="AS76" s="470"/>
      <c r="AT76" s="471"/>
      <c r="AU76" s="471"/>
      <c r="AV76" s="472"/>
      <c r="AW76" s="472"/>
      <c r="AX76" s="473" t="str">
        <f t="shared" si="15"/>
        <v xml:space="preserve"> ,</v>
      </c>
      <c r="AY76" s="473" t="str">
        <f t="shared" si="16"/>
        <v xml:space="preserve"> / </v>
      </c>
      <c r="AZ76" s="474"/>
      <c r="BA76" s="475"/>
      <c r="BB76" s="474"/>
      <c r="BC76" s="474"/>
      <c r="BD76" s="475"/>
      <c r="BE76" s="474"/>
    </row>
    <row r="77" spans="1:57" s="476" customFormat="1" ht="21.6" customHeight="1">
      <c r="A77" s="341">
        <f t="shared" si="17"/>
        <v>72</v>
      </c>
      <c r="B77" s="481"/>
      <c r="C77" s="477"/>
      <c r="D77" s="342"/>
      <c r="E77" s="236"/>
      <c r="F77" s="461" t="s">
        <v>624</v>
      </c>
      <c r="G77" s="342"/>
      <c r="H77" s="176"/>
      <c r="I77" s="176"/>
      <c r="J77" s="346"/>
      <c r="K77" s="462"/>
      <c r="L77" s="346"/>
      <c r="M77" s="463"/>
      <c r="N77" s="345"/>
      <c r="O77" s="412"/>
      <c r="P77" s="413"/>
      <c r="Q77" s="464"/>
      <c r="R77" s="465">
        <f>IFERROR(VLOOKUP(1,'Data Validation'!$O$2:$P$25,2,FALSE),"")</f>
        <v>45906</v>
      </c>
      <c r="S77" s="465" t="str">
        <f>IFERROR(VLOOKUP($P77,'Data Validation'!$O$2:$P$25,2,FALSE),"")</f>
        <v/>
      </c>
      <c r="T77" s="419" t="e">
        <f ca="1">INDEX(INDIRECT(INDEX(ControlRoom[اجمالي الالتزام],MATCH(تفصيلي!Q77,Control!$B$2:$B$12,0))),MATCH(CONCATENATE(O77,P77),INDIRECT(INDEX(ControlRoom[المبلغ],MATCH(تفصيلي!Q77,ControlRoom[التمويل],0))),0))</f>
        <v>#N/A</v>
      </c>
      <c r="U77" s="419" t="e">
        <f ca="1">INDEX(INDIRECT(INDEX(ControlRoom[القسط الشهري],MATCH(تفصيلي!Q77,Control!$B$2:$B$12,0))),MATCH(CONCATENATE(O77,P77),INDIRECT(INDEX(ControlRoom[المبلغ],MATCH(تفصيلي!Q77,ControlRoom[التمويل],0))),0))</f>
        <v>#N/A</v>
      </c>
      <c r="V77" s="420" t="e">
        <f>INDEX(ControlRoom[[فائدة أ]:[فائدة ج]],MATCH(تفصيلي!Q77,ControlRoom[التمويل],0),MATCH(IF(AND(تفصيلي!O77&gt;=Control!$N$2,تفصيلي!O77&lt;=Control!$O$2),Control!$P$2,IF(AND(تفصيلي!O77&gt;=Control!$N$3,تفصيلي!O77&lt;=Control!$O$3),Control!$P$3,IF(AND(تفصيلي!O77&gt;=Control!$N$4,تفصيلي!O77&lt;=Control!$O$4),Control!$P$4,"Out Of Range"))),ControlRoom[[#Headers],[فائدة أ]:[فائدة ج]],0))</f>
        <v>#N/A</v>
      </c>
      <c r="W77" s="419"/>
      <c r="X77" s="466">
        <f t="shared" si="9"/>
        <v>0</v>
      </c>
      <c r="Y77" s="167"/>
      <c r="Z77" s="302">
        <f t="shared" si="10"/>
        <v>0</v>
      </c>
      <c r="AA77" s="166"/>
      <c r="AB77" s="167" t="s">
        <v>624</v>
      </c>
      <c r="AC77" s="167">
        <f t="shared" si="11"/>
        <v>0</v>
      </c>
      <c r="AD77" s="169">
        <f t="shared" si="12"/>
        <v>0</v>
      </c>
      <c r="AE77" s="174"/>
      <c r="AF77" s="303">
        <f t="shared" si="13"/>
        <v>0</v>
      </c>
      <c r="AG77" s="168"/>
      <c r="AH77" s="174" t="s">
        <v>624</v>
      </c>
      <c r="AI77" s="169">
        <f t="shared" si="14"/>
        <v>0</v>
      </c>
      <c r="AJ77" s="172"/>
      <c r="AK77" s="175"/>
      <c r="AL77" s="170"/>
      <c r="AM77" s="171"/>
      <c r="AN77" s="175"/>
      <c r="AO77" s="172"/>
      <c r="AP77" s="467"/>
      <c r="AQ77" s="468"/>
      <c r="AR77" s="469"/>
      <c r="AS77" s="470"/>
      <c r="AT77" s="471"/>
      <c r="AU77" s="471"/>
      <c r="AV77" s="472"/>
      <c r="AW77" s="472"/>
      <c r="AX77" s="473" t="str">
        <f t="shared" si="15"/>
        <v xml:space="preserve"> ,</v>
      </c>
      <c r="AY77" s="473" t="str">
        <f t="shared" si="16"/>
        <v xml:space="preserve"> / </v>
      </c>
      <c r="AZ77" s="474"/>
      <c r="BA77" s="475"/>
      <c r="BB77" s="474"/>
      <c r="BC77" s="474"/>
      <c r="BD77" s="475"/>
      <c r="BE77" s="474"/>
    </row>
    <row r="78" spans="1:57" s="476" customFormat="1" ht="21.6" customHeight="1">
      <c r="A78" s="341">
        <f t="shared" si="17"/>
        <v>73</v>
      </c>
      <c r="B78" s="481"/>
      <c r="C78" s="477"/>
      <c r="D78" s="342"/>
      <c r="E78" s="236"/>
      <c r="F78" s="461" t="s">
        <v>624</v>
      </c>
      <c r="G78" s="342"/>
      <c r="H78" s="176"/>
      <c r="I78" s="176"/>
      <c r="J78" s="346"/>
      <c r="K78" s="462"/>
      <c r="L78" s="346"/>
      <c r="M78" s="463"/>
      <c r="N78" s="345"/>
      <c r="O78" s="412"/>
      <c r="P78" s="413"/>
      <c r="Q78" s="464"/>
      <c r="R78" s="465">
        <f>IFERROR(VLOOKUP(1,'Data Validation'!$O$2:$P$25,2,FALSE),"")</f>
        <v>45906</v>
      </c>
      <c r="S78" s="465" t="str">
        <f>IFERROR(VLOOKUP($P78,'Data Validation'!$O$2:$P$25,2,FALSE),"")</f>
        <v/>
      </c>
      <c r="T78" s="419" t="e">
        <f ca="1">INDEX(INDIRECT(INDEX(ControlRoom[اجمالي الالتزام],MATCH(تفصيلي!Q78,Control!$B$2:$B$12,0))),MATCH(CONCATENATE(O78,P78),INDIRECT(INDEX(ControlRoom[المبلغ],MATCH(تفصيلي!Q78,ControlRoom[التمويل],0))),0))</f>
        <v>#N/A</v>
      </c>
      <c r="U78" s="419" t="e">
        <f ca="1">INDEX(INDIRECT(INDEX(ControlRoom[القسط الشهري],MATCH(تفصيلي!Q78,Control!$B$2:$B$12,0))),MATCH(CONCATENATE(O78,P78),INDIRECT(INDEX(ControlRoom[المبلغ],MATCH(تفصيلي!Q78,ControlRoom[التمويل],0))),0))</f>
        <v>#N/A</v>
      </c>
      <c r="V78" s="420" t="e">
        <f>INDEX(ControlRoom[[فائدة أ]:[فائدة ج]],MATCH(تفصيلي!Q78,ControlRoom[التمويل],0),MATCH(IF(AND(تفصيلي!O78&gt;=Control!$N$2,تفصيلي!O78&lt;=Control!$O$2),Control!$P$2,IF(AND(تفصيلي!O78&gt;=Control!$N$3,تفصيلي!O78&lt;=Control!$O$3),Control!$P$3,IF(AND(تفصيلي!O78&gt;=Control!$N$4,تفصيلي!O78&lt;=Control!$O$4),Control!$P$4,"Out Of Range"))),ControlRoom[[#Headers],[فائدة أ]:[فائدة ج]],0))</f>
        <v>#N/A</v>
      </c>
      <c r="W78" s="419"/>
      <c r="X78" s="466">
        <f t="shared" si="9"/>
        <v>0</v>
      </c>
      <c r="Y78" s="167"/>
      <c r="Z78" s="302">
        <f t="shared" si="10"/>
        <v>0</v>
      </c>
      <c r="AA78" s="166"/>
      <c r="AB78" s="167" t="s">
        <v>624</v>
      </c>
      <c r="AC78" s="167">
        <f t="shared" si="11"/>
        <v>0</v>
      </c>
      <c r="AD78" s="169">
        <f t="shared" si="12"/>
        <v>0</v>
      </c>
      <c r="AE78" s="174"/>
      <c r="AF78" s="303">
        <f t="shared" si="13"/>
        <v>0</v>
      </c>
      <c r="AG78" s="168"/>
      <c r="AH78" s="174" t="s">
        <v>624</v>
      </c>
      <c r="AI78" s="169">
        <f t="shared" si="14"/>
        <v>0</v>
      </c>
      <c r="AJ78" s="172"/>
      <c r="AK78" s="175"/>
      <c r="AL78" s="170"/>
      <c r="AM78" s="171"/>
      <c r="AN78" s="175"/>
      <c r="AO78" s="172"/>
      <c r="AP78" s="467"/>
      <c r="AQ78" s="468"/>
      <c r="AR78" s="469"/>
      <c r="AS78" s="470"/>
      <c r="AT78" s="471"/>
      <c r="AU78" s="471"/>
      <c r="AV78" s="472"/>
      <c r="AW78" s="472"/>
      <c r="AX78" s="473" t="str">
        <f t="shared" si="15"/>
        <v xml:space="preserve"> ,</v>
      </c>
      <c r="AY78" s="473" t="str">
        <f t="shared" si="16"/>
        <v xml:space="preserve"> / </v>
      </c>
      <c r="AZ78" s="474"/>
      <c r="BA78" s="475"/>
      <c r="BB78" s="474"/>
      <c r="BC78" s="474"/>
      <c r="BD78" s="475"/>
      <c r="BE78" s="474"/>
    </row>
    <row r="79" spans="1:57" s="476" customFormat="1" ht="21.6" customHeight="1">
      <c r="A79" s="341">
        <f t="shared" si="17"/>
        <v>74</v>
      </c>
      <c r="B79" s="481"/>
      <c r="C79" s="477"/>
      <c r="D79" s="342"/>
      <c r="E79" s="236"/>
      <c r="F79" s="461" t="s">
        <v>624</v>
      </c>
      <c r="G79" s="342"/>
      <c r="H79" s="176"/>
      <c r="I79" s="176"/>
      <c r="J79" s="346"/>
      <c r="K79" s="462"/>
      <c r="L79" s="346"/>
      <c r="M79" s="463"/>
      <c r="N79" s="345"/>
      <c r="O79" s="412"/>
      <c r="P79" s="413"/>
      <c r="Q79" s="464"/>
      <c r="R79" s="465">
        <f>IFERROR(VLOOKUP(1,'Data Validation'!$O$2:$P$25,2,FALSE),"")</f>
        <v>45906</v>
      </c>
      <c r="S79" s="465" t="str">
        <f>IFERROR(VLOOKUP($P79,'Data Validation'!$O$2:$P$25,2,FALSE),"")</f>
        <v/>
      </c>
      <c r="T79" s="419" t="e">
        <f ca="1">INDEX(INDIRECT(INDEX(ControlRoom[اجمالي الالتزام],MATCH(تفصيلي!Q79,Control!$B$2:$B$12,0))),MATCH(CONCATENATE(O79,P79),INDIRECT(INDEX(ControlRoom[المبلغ],MATCH(تفصيلي!Q79,ControlRoom[التمويل],0))),0))</f>
        <v>#N/A</v>
      </c>
      <c r="U79" s="419" t="e">
        <f ca="1">INDEX(INDIRECT(INDEX(ControlRoom[القسط الشهري],MATCH(تفصيلي!Q79,Control!$B$2:$B$12,0))),MATCH(CONCATENATE(O79,P79),INDIRECT(INDEX(ControlRoom[المبلغ],MATCH(تفصيلي!Q79,ControlRoom[التمويل],0))),0))</f>
        <v>#N/A</v>
      </c>
      <c r="V79" s="420" t="e">
        <f>INDEX(ControlRoom[[فائدة أ]:[فائدة ج]],MATCH(تفصيلي!Q79,ControlRoom[التمويل],0),MATCH(IF(AND(تفصيلي!O79&gt;=Control!$N$2,تفصيلي!O79&lt;=Control!$O$2),Control!$P$2,IF(AND(تفصيلي!O79&gt;=Control!$N$3,تفصيلي!O79&lt;=Control!$O$3),Control!$P$3,IF(AND(تفصيلي!O79&gt;=Control!$N$4,تفصيلي!O79&lt;=Control!$O$4),Control!$P$4,"Out Of Range"))),ControlRoom[[#Headers],[فائدة أ]:[فائدة ج]],0))</f>
        <v>#N/A</v>
      </c>
      <c r="W79" s="419"/>
      <c r="X79" s="466">
        <f t="shared" si="9"/>
        <v>0</v>
      </c>
      <c r="Y79" s="167"/>
      <c r="Z79" s="302">
        <f t="shared" si="10"/>
        <v>0</v>
      </c>
      <c r="AA79" s="166"/>
      <c r="AB79" s="167" t="s">
        <v>624</v>
      </c>
      <c r="AC79" s="167">
        <f t="shared" si="11"/>
        <v>0</v>
      </c>
      <c r="AD79" s="169">
        <f t="shared" si="12"/>
        <v>0</v>
      </c>
      <c r="AE79" s="174"/>
      <c r="AF79" s="303">
        <f t="shared" si="13"/>
        <v>0</v>
      </c>
      <c r="AG79" s="168"/>
      <c r="AH79" s="174" t="s">
        <v>624</v>
      </c>
      <c r="AI79" s="169">
        <f t="shared" si="14"/>
        <v>0</v>
      </c>
      <c r="AJ79" s="172"/>
      <c r="AK79" s="175"/>
      <c r="AL79" s="170"/>
      <c r="AM79" s="171"/>
      <c r="AN79" s="175"/>
      <c r="AO79" s="172"/>
      <c r="AP79" s="467"/>
      <c r="AQ79" s="468"/>
      <c r="AR79" s="469"/>
      <c r="AS79" s="470"/>
      <c r="AT79" s="471"/>
      <c r="AU79" s="471"/>
      <c r="AV79" s="472"/>
      <c r="AW79" s="472"/>
      <c r="AX79" s="473" t="str">
        <f t="shared" si="15"/>
        <v xml:space="preserve"> ,</v>
      </c>
      <c r="AY79" s="473" t="str">
        <f t="shared" si="16"/>
        <v xml:space="preserve"> / </v>
      </c>
      <c r="AZ79" s="474"/>
      <c r="BA79" s="475"/>
      <c r="BB79" s="474"/>
      <c r="BC79" s="474"/>
      <c r="BD79" s="475"/>
      <c r="BE79" s="474"/>
    </row>
    <row r="80" spans="1:57" s="476" customFormat="1" ht="21.6" customHeight="1">
      <c r="A80" s="341">
        <f t="shared" si="17"/>
        <v>75</v>
      </c>
      <c r="B80" s="481"/>
      <c r="C80" s="477"/>
      <c r="D80" s="342"/>
      <c r="E80" s="236"/>
      <c r="F80" s="461" t="s">
        <v>624</v>
      </c>
      <c r="G80" s="342"/>
      <c r="H80" s="176"/>
      <c r="I80" s="176"/>
      <c r="J80" s="346"/>
      <c r="K80" s="462"/>
      <c r="L80" s="346"/>
      <c r="M80" s="463"/>
      <c r="N80" s="345"/>
      <c r="O80" s="412"/>
      <c r="P80" s="413"/>
      <c r="Q80" s="464"/>
      <c r="R80" s="465">
        <f>IFERROR(VLOOKUP(1,'Data Validation'!$O$2:$P$25,2,FALSE),"")</f>
        <v>45906</v>
      </c>
      <c r="S80" s="465" t="str">
        <f>IFERROR(VLOOKUP($P80,'Data Validation'!$O$2:$P$25,2,FALSE),"")</f>
        <v/>
      </c>
      <c r="T80" s="419" t="e">
        <f ca="1">INDEX(INDIRECT(INDEX(ControlRoom[اجمالي الالتزام],MATCH(تفصيلي!Q80,Control!$B$2:$B$12,0))),MATCH(CONCATENATE(O80,P80),INDIRECT(INDEX(ControlRoom[المبلغ],MATCH(تفصيلي!Q80,ControlRoom[التمويل],0))),0))</f>
        <v>#N/A</v>
      </c>
      <c r="U80" s="419" t="e">
        <f ca="1">INDEX(INDIRECT(INDEX(ControlRoom[القسط الشهري],MATCH(تفصيلي!Q80,Control!$B$2:$B$12,0))),MATCH(CONCATENATE(O80,P80),INDIRECT(INDEX(ControlRoom[المبلغ],MATCH(تفصيلي!Q80,ControlRoom[التمويل],0))),0))</f>
        <v>#N/A</v>
      </c>
      <c r="V80" s="420" t="e">
        <f>INDEX(ControlRoom[[فائدة أ]:[فائدة ج]],MATCH(تفصيلي!Q80,ControlRoom[التمويل],0),MATCH(IF(AND(تفصيلي!O80&gt;=Control!$N$2,تفصيلي!O80&lt;=Control!$O$2),Control!$P$2,IF(AND(تفصيلي!O80&gt;=Control!$N$3,تفصيلي!O80&lt;=Control!$O$3),Control!$P$3,IF(AND(تفصيلي!O80&gt;=Control!$N$4,تفصيلي!O80&lt;=Control!$O$4),Control!$P$4,"Out Of Range"))),ControlRoom[[#Headers],[فائدة أ]:[فائدة ج]],0))</f>
        <v>#N/A</v>
      </c>
      <c r="W80" s="419"/>
      <c r="X80" s="466">
        <f t="shared" si="9"/>
        <v>0</v>
      </c>
      <c r="Y80" s="167"/>
      <c r="Z80" s="302">
        <f t="shared" si="10"/>
        <v>0</v>
      </c>
      <c r="AA80" s="166"/>
      <c r="AB80" s="167" t="s">
        <v>624</v>
      </c>
      <c r="AC80" s="167">
        <f t="shared" si="11"/>
        <v>0</v>
      </c>
      <c r="AD80" s="169">
        <f t="shared" si="12"/>
        <v>0</v>
      </c>
      <c r="AE80" s="174"/>
      <c r="AF80" s="303">
        <f t="shared" si="13"/>
        <v>0</v>
      </c>
      <c r="AG80" s="168"/>
      <c r="AH80" s="174" t="s">
        <v>624</v>
      </c>
      <c r="AI80" s="169">
        <f t="shared" si="14"/>
        <v>0</v>
      </c>
      <c r="AJ80" s="172"/>
      <c r="AK80" s="175"/>
      <c r="AL80" s="170"/>
      <c r="AM80" s="171"/>
      <c r="AN80" s="175"/>
      <c r="AO80" s="172"/>
      <c r="AP80" s="467"/>
      <c r="AQ80" s="468"/>
      <c r="AR80" s="469"/>
      <c r="AS80" s="470"/>
      <c r="AT80" s="471"/>
      <c r="AU80" s="471"/>
      <c r="AV80" s="472"/>
      <c r="AW80" s="472"/>
      <c r="AX80" s="473" t="str">
        <f t="shared" si="15"/>
        <v xml:space="preserve"> ,</v>
      </c>
      <c r="AY80" s="473" t="str">
        <f t="shared" si="16"/>
        <v xml:space="preserve"> / </v>
      </c>
      <c r="AZ80" s="474"/>
      <c r="BA80" s="475"/>
      <c r="BB80" s="474"/>
      <c r="BC80" s="474"/>
      <c r="BD80" s="475"/>
      <c r="BE80" s="474"/>
    </row>
    <row r="81" spans="1:57" s="476" customFormat="1" ht="21.6" customHeight="1">
      <c r="A81" s="341">
        <f t="shared" si="17"/>
        <v>76</v>
      </c>
      <c r="B81" s="481"/>
      <c r="C81" s="477"/>
      <c r="D81" s="342"/>
      <c r="E81" s="236"/>
      <c r="F81" s="461" t="s">
        <v>624</v>
      </c>
      <c r="G81" s="342"/>
      <c r="H81" s="176"/>
      <c r="I81" s="176"/>
      <c r="J81" s="346"/>
      <c r="K81" s="462"/>
      <c r="L81" s="346"/>
      <c r="M81" s="463"/>
      <c r="N81" s="345"/>
      <c r="O81" s="412"/>
      <c r="P81" s="413"/>
      <c r="Q81" s="464"/>
      <c r="R81" s="465">
        <f>IFERROR(VLOOKUP(1,'Data Validation'!$O$2:$P$25,2,FALSE),"")</f>
        <v>45906</v>
      </c>
      <c r="S81" s="465" t="str">
        <f>IFERROR(VLOOKUP($P81,'Data Validation'!$O$2:$P$25,2,FALSE),"")</f>
        <v/>
      </c>
      <c r="T81" s="419" t="e">
        <f ca="1">INDEX(INDIRECT(INDEX(ControlRoom[اجمالي الالتزام],MATCH(تفصيلي!Q81,Control!$B$2:$B$12,0))),MATCH(CONCATENATE(O81,P81),INDIRECT(INDEX(ControlRoom[المبلغ],MATCH(تفصيلي!Q81,ControlRoom[التمويل],0))),0))</f>
        <v>#N/A</v>
      </c>
      <c r="U81" s="419" t="e">
        <f ca="1">INDEX(INDIRECT(INDEX(ControlRoom[القسط الشهري],MATCH(تفصيلي!Q81,Control!$B$2:$B$12,0))),MATCH(CONCATENATE(O81,P81),INDIRECT(INDEX(ControlRoom[المبلغ],MATCH(تفصيلي!Q81,ControlRoom[التمويل],0))),0))</f>
        <v>#N/A</v>
      </c>
      <c r="V81" s="420" t="e">
        <f>INDEX(ControlRoom[[فائدة أ]:[فائدة ج]],MATCH(تفصيلي!Q81,ControlRoom[التمويل],0),MATCH(IF(AND(تفصيلي!O81&gt;=Control!$N$2,تفصيلي!O81&lt;=Control!$O$2),Control!$P$2,IF(AND(تفصيلي!O81&gt;=Control!$N$3,تفصيلي!O81&lt;=Control!$O$3),Control!$P$3,IF(AND(تفصيلي!O81&gt;=Control!$N$4,تفصيلي!O81&lt;=Control!$O$4),Control!$P$4,"Out Of Range"))),ControlRoom[[#Headers],[فائدة أ]:[فائدة ج]],0))</f>
        <v>#N/A</v>
      </c>
      <c r="W81" s="419"/>
      <c r="X81" s="466">
        <f t="shared" si="9"/>
        <v>0</v>
      </c>
      <c r="Y81" s="167"/>
      <c r="Z81" s="302">
        <f t="shared" si="10"/>
        <v>0</v>
      </c>
      <c r="AA81" s="166"/>
      <c r="AB81" s="167" t="s">
        <v>624</v>
      </c>
      <c r="AC81" s="167">
        <f t="shared" si="11"/>
        <v>0</v>
      </c>
      <c r="AD81" s="169">
        <f t="shared" si="12"/>
        <v>0</v>
      </c>
      <c r="AE81" s="174"/>
      <c r="AF81" s="303">
        <f t="shared" si="13"/>
        <v>0</v>
      </c>
      <c r="AG81" s="168"/>
      <c r="AH81" s="174" t="s">
        <v>624</v>
      </c>
      <c r="AI81" s="169">
        <f t="shared" si="14"/>
        <v>0</v>
      </c>
      <c r="AJ81" s="172"/>
      <c r="AK81" s="175"/>
      <c r="AL81" s="170"/>
      <c r="AM81" s="171"/>
      <c r="AN81" s="175"/>
      <c r="AO81" s="172"/>
      <c r="AP81" s="467"/>
      <c r="AQ81" s="468"/>
      <c r="AR81" s="469"/>
      <c r="AS81" s="470"/>
      <c r="AT81" s="471"/>
      <c r="AU81" s="471"/>
      <c r="AV81" s="472"/>
      <c r="AW81" s="472"/>
      <c r="AX81" s="473" t="str">
        <f t="shared" si="15"/>
        <v xml:space="preserve"> ,</v>
      </c>
      <c r="AY81" s="473" t="str">
        <f t="shared" si="16"/>
        <v xml:space="preserve"> / </v>
      </c>
      <c r="AZ81" s="474"/>
      <c r="BA81" s="475"/>
      <c r="BB81" s="474"/>
      <c r="BC81" s="474"/>
      <c r="BD81" s="475"/>
      <c r="BE81" s="474"/>
    </row>
    <row r="82" spans="1:57" s="476" customFormat="1" ht="21.6" customHeight="1">
      <c r="A82" s="341">
        <f t="shared" si="17"/>
        <v>77</v>
      </c>
      <c r="B82" s="481"/>
      <c r="C82" s="477"/>
      <c r="D82" s="342"/>
      <c r="E82" s="236"/>
      <c r="F82" s="461" t="s">
        <v>624</v>
      </c>
      <c r="G82" s="342"/>
      <c r="H82" s="176"/>
      <c r="I82" s="176"/>
      <c r="J82" s="346"/>
      <c r="K82" s="462"/>
      <c r="L82" s="346"/>
      <c r="M82" s="463"/>
      <c r="N82" s="345"/>
      <c r="O82" s="412"/>
      <c r="P82" s="413"/>
      <c r="Q82" s="464"/>
      <c r="R82" s="465">
        <f>IFERROR(VLOOKUP(1,'Data Validation'!$O$2:$P$25,2,FALSE),"")</f>
        <v>45906</v>
      </c>
      <c r="S82" s="465" t="str">
        <f>IFERROR(VLOOKUP($P82,'Data Validation'!$O$2:$P$25,2,FALSE),"")</f>
        <v/>
      </c>
      <c r="T82" s="419" t="e">
        <f ca="1">INDEX(INDIRECT(INDEX(ControlRoom[اجمالي الالتزام],MATCH(تفصيلي!Q82,Control!$B$2:$B$12,0))),MATCH(CONCATENATE(O82,P82),INDIRECT(INDEX(ControlRoom[المبلغ],MATCH(تفصيلي!Q82,ControlRoom[التمويل],0))),0))</f>
        <v>#N/A</v>
      </c>
      <c r="U82" s="419" t="e">
        <f ca="1">INDEX(INDIRECT(INDEX(ControlRoom[القسط الشهري],MATCH(تفصيلي!Q82,Control!$B$2:$B$12,0))),MATCH(CONCATENATE(O82,P82),INDIRECT(INDEX(ControlRoom[المبلغ],MATCH(تفصيلي!Q82,ControlRoom[التمويل],0))),0))</f>
        <v>#N/A</v>
      </c>
      <c r="V82" s="420" t="e">
        <f>INDEX(ControlRoom[[فائدة أ]:[فائدة ج]],MATCH(تفصيلي!Q82,ControlRoom[التمويل],0),MATCH(IF(AND(تفصيلي!O82&gt;=Control!$N$2,تفصيلي!O82&lt;=Control!$O$2),Control!$P$2,IF(AND(تفصيلي!O82&gt;=Control!$N$3,تفصيلي!O82&lt;=Control!$O$3),Control!$P$3,IF(AND(تفصيلي!O82&gt;=Control!$N$4,تفصيلي!O82&lt;=Control!$O$4),Control!$P$4,"Out Of Range"))),ControlRoom[[#Headers],[فائدة أ]:[فائدة ج]],0))</f>
        <v>#N/A</v>
      </c>
      <c r="W82" s="419"/>
      <c r="X82" s="466">
        <f t="shared" si="9"/>
        <v>0</v>
      </c>
      <c r="Y82" s="167"/>
      <c r="Z82" s="302">
        <f t="shared" si="10"/>
        <v>0</v>
      </c>
      <c r="AA82" s="166"/>
      <c r="AB82" s="167" t="s">
        <v>624</v>
      </c>
      <c r="AC82" s="167">
        <f t="shared" si="11"/>
        <v>0</v>
      </c>
      <c r="AD82" s="169">
        <f t="shared" si="12"/>
        <v>0</v>
      </c>
      <c r="AE82" s="174"/>
      <c r="AF82" s="303">
        <f t="shared" si="13"/>
        <v>0</v>
      </c>
      <c r="AG82" s="168"/>
      <c r="AH82" s="174" t="s">
        <v>624</v>
      </c>
      <c r="AI82" s="169">
        <f t="shared" si="14"/>
        <v>0</v>
      </c>
      <c r="AJ82" s="172"/>
      <c r="AK82" s="175"/>
      <c r="AL82" s="170"/>
      <c r="AM82" s="171"/>
      <c r="AN82" s="175"/>
      <c r="AO82" s="172"/>
      <c r="AP82" s="467"/>
      <c r="AQ82" s="468"/>
      <c r="AR82" s="469"/>
      <c r="AS82" s="470"/>
      <c r="AT82" s="471"/>
      <c r="AU82" s="471"/>
      <c r="AV82" s="472"/>
      <c r="AW82" s="472"/>
      <c r="AX82" s="473" t="str">
        <f t="shared" si="15"/>
        <v xml:space="preserve"> ,</v>
      </c>
      <c r="AY82" s="473" t="str">
        <f t="shared" si="16"/>
        <v xml:space="preserve"> / </v>
      </c>
      <c r="AZ82" s="474"/>
      <c r="BA82" s="475"/>
      <c r="BB82" s="474"/>
      <c r="BC82" s="474"/>
      <c r="BD82" s="475"/>
      <c r="BE82" s="474"/>
    </row>
    <row r="83" spans="1:57" s="476" customFormat="1" ht="21.6" customHeight="1">
      <c r="A83" s="341">
        <f t="shared" si="17"/>
        <v>78</v>
      </c>
      <c r="B83" s="481"/>
      <c r="C83" s="477"/>
      <c r="D83" s="342"/>
      <c r="E83" s="236"/>
      <c r="F83" s="461" t="s">
        <v>624</v>
      </c>
      <c r="G83" s="342"/>
      <c r="H83" s="176"/>
      <c r="I83" s="176"/>
      <c r="J83" s="346"/>
      <c r="K83" s="462"/>
      <c r="L83" s="346"/>
      <c r="M83" s="463"/>
      <c r="N83" s="345"/>
      <c r="O83" s="412"/>
      <c r="P83" s="413"/>
      <c r="Q83" s="464"/>
      <c r="R83" s="465">
        <f>IFERROR(VLOOKUP(1,'Data Validation'!$O$2:$P$25,2,FALSE),"")</f>
        <v>45906</v>
      </c>
      <c r="S83" s="465" t="str">
        <f>IFERROR(VLOOKUP($P83,'Data Validation'!$O$2:$P$25,2,FALSE),"")</f>
        <v/>
      </c>
      <c r="T83" s="419" t="e">
        <f ca="1">INDEX(INDIRECT(INDEX(ControlRoom[اجمالي الالتزام],MATCH(تفصيلي!Q83,Control!$B$2:$B$12,0))),MATCH(CONCATENATE(O83,P83),INDIRECT(INDEX(ControlRoom[المبلغ],MATCH(تفصيلي!Q83,ControlRoom[التمويل],0))),0))</f>
        <v>#N/A</v>
      </c>
      <c r="U83" s="419" t="e">
        <f ca="1">INDEX(INDIRECT(INDEX(ControlRoom[القسط الشهري],MATCH(تفصيلي!Q83,Control!$B$2:$B$12,0))),MATCH(CONCATENATE(O83,P83),INDIRECT(INDEX(ControlRoom[المبلغ],MATCH(تفصيلي!Q83,ControlRoom[التمويل],0))),0))</f>
        <v>#N/A</v>
      </c>
      <c r="V83" s="420" t="e">
        <f>INDEX(ControlRoom[[فائدة أ]:[فائدة ج]],MATCH(تفصيلي!Q83,ControlRoom[التمويل],0),MATCH(IF(AND(تفصيلي!O83&gt;=Control!$N$2,تفصيلي!O83&lt;=Control!$O$2),Control!$P$2,IF(AND(تفصيلي!O83&gt;=Control!$N$3,تفصيلي!O83&lt;=Control!$O$3),Control!$P$3,IF(AND(تفصيلي!O83&gt;=Control!$N$4,تفصيلي!O83&lt;=Control!$O$4),Control!$P$4,"Out Of Range"))),ControlRoom[[#Headers],[فائدة أ]:[فائدة ج]],0))</f>
        <v>#N/A</v>
      </c>
      <c r="W83" s="419"/>
      <c r="X83" s="466">
        <f t="shared" si="9"/>
        <v>0</v>
      </c>
      <c r="Y83" s="167"/>
      <c r="Z83" s="302">
        <f t="shared" si="10"/>
        <v>0</v>
      </c>
      <c r="AA83" s="166"/>
      <c r="AB83" s="167" t="s">
        <v>624</v>
      </c>
      <c r="AC83" s="167">
        <f t="shared" si="11"/>
        <v>0</v>
      </c>
      <c r="AD83" s="169">
        <f t="shared" si="12"/>
        <v>0</v>
      </c>
      <c r="AE83" s="174"/>
      <c r="AF83" s="303">
        <f t="shared" si="13"/>
        <v>0</v>
      </c>
      <c r="AG83" s="168"/>
      <c r="AH83" s="174" t="s">
        <v>624</v>
      </c>
      <c r="AI83" s="169">
        <f t="shared" si="14"/>
        <v>0</v>
      </c>
      <c r="AJ83" s="172"/>
      <c r="AK83" s="175"/>
      <c r="AL83" s="170"/>
      <c r="AM83" s="171"/>
      <c r="AN83" s="175"/>
      <c r="AO83" s="172"/>
      <c r="AP83" s="467"/>
      <c r="AQ83" s="468"/>
      <c r="AR83" s="469"/>
      <c r="AS83" s="470"/>
      <c r="AT83" s="471"/>
      <c r="AU83" s="471"/>
      <c r="AV83" s="472"/>
      <c r="AW83" s="472"/>
      <c r="AX83" s="473" t="str">
        <f t="shared" si="15"/>
        <v xml:space="preserve"> ,</v>
      </c>
      <c r="AY83" s="473" t="str">
        <f t="shared" si="16"/>
        <v xml:space="preserve"> / </v>
      </c>
      <c r="AZ83" s="474"/>
      <c r="BA83" s="475"/>
      <c r="BB83" s="474"/>
      <c r="BC83" s="474"/>
      <c r="BD83" s="475"/>
      <c r="BE83" s="474"/>
    </row>
    <row r="84" spans="1:57" s="476" customFormat="1" ht="21.6" customHeight="1">
      <c r="A84" s="341">
        <f t="shared" si="17"/>
        <v>79</v>
      </c>
      <c r="B84" s="481"/>
      <c r="C84" s="477"/>
      <c r="D84" s="342"/>
      <c r="E84" s="482"/>
      <c r="F84" s="461" t="s">
        <v>624</v>
      </c>
      <c r="G84" s="342"/>
      <c r="H84" s="176"/>
      <c r="I84" s="176"/>
      <c r="J84" s="346"/>
      <c r="K84" s="462"/>
      <c r="L84" s="483"/>
      <c r="M84" s="463"/>
      <c r="N84" s="346"/>
      <c r="O84" s="412"/>
      <c r="P84" s="413"/>
      <c r="Q84" s="464"/>
      <c r="R84" s="465">
        <f>IFERROR(VLOOKUP(1,'Data Validation'!$O$2:$P$25,2,FALSE),"")</f>
        <v>45906</v>
      </c>
      <c r="S84" s="465" t="str">
        <f>IFERROR(VLOOKUP($P84,'Data Validation'!$O$2:$P$25,2,FALSE),"")</f>
        <v/>
      </c>
      <c r="T84" s="419" t="e">
        <f ca="1">INDEX(INDIRECT(INDEX(ControlRoom[اجمالي الالتزام],MATCH(تفصيلي!Q84,Control!$B$2:$B$12,0))),MATCH(CONCATENATE(O84,P84),INDIRECT(INDEX(ControlRoom[المبلغ],MATCH(تفصيلي!Q84,ControlRoom[التمويل],0))),0))</f>
        <v>#N/A</v>
      </c>
      <c r="U84" s="419" t="e">
        <f ca="1">INDEX(INDIRECT(INDEX(ControlRoom[القسط الشهري],MATCH(تفصيلي!Q84,Control!$B$2:$B$12,0))),MATCH(CONCATENATE(O84,P84),INDIRECT(INDEX(ControlRoom[المبلغ],MATCH(تفصيلي!Q84,ControlRoom[التمويل],0))),0))</f>
        <v>#N/A</v>
      </c>
      <c r="V84" s="420" t="e">
        <f>INDEX(ControlRoom[[فائدة أ]:[فائدة ج]],MATCH(تفصيلي!Q84,ControlRoom[التمويل],0),MATCH(IF(AND(تفصيلي!O84&gt;=Control!$N$2,تفصيلي!O84&lt;=Control!$O$2),Control!$P$2,IF(AND(تفصيلي!O84&gt;=Control!$N$3,تفصيلي!O84&lt;=Control!$O$3),Control!$P$3,IF(AND(تفصيلي!O84&gt;=Control!$N$4,تفصيلي!O84&lt;=Control!$O$4),Control!$P$4,"Out Of Range"))),ControlRoom[[#Headers],[فائدة أ]:[فائدة ج]],0))</f>
        <v>#N/A</v>
      </c>
      <c r="W84" s="419"/>
      <c r="X84" s="466">
        <f t="shared" si="9"/>
        <v>0</v>
      </c>
      <c r="Y84" s="167"/>
      <c r="Z84" s="302">
        <f t="shared" si="10"/>
        <v>0</v>
      </c>
      <c r="AA84" s="166"/>
      <c r="AB84" s="167" t="s">
        <v>624</v>
      </c>
      <c r="AC84" s="167">
        <f t="shared" si="11"/>
        <v>0</v>
      </c>
      <c r="AD84" s="169">
        <f t="shared" si="12"/>
        <v>0</v>
      </c>
      <c r="AE84" s="174"/>
      <c r="AF84" s="303">
        <f t="shared" si="13"/>
        <v>0</v>
      </c>
      <c r="AG84" s="484"/>
      <c r="AH84" s="174" t="s">
        <v>624</v>
      </c>
      <c r="AI84" s="169">
        <f t="shared" si="14"/>
        <v>0</v>
      </c>
      <c r="AJ84" s="175"/>
      <c r="AK84" s="175"/>
      <c r="AL84" s="485"/>
      <c r="AM84" s="486"/>
      <c r="AN84" s="487"/>
      <c r="AO84" s="175"/>
      <c r="AP84" s="467"/>
      <c r="AQ84" s="488"/>
      <c r="AR84" s="469"/>
      <c r="AS84" s="470"/>
      <c r="AT84" s="471"/>
      <c r="AU84" s="471"/>
      <c r="AV84" s="472"/>
      <c r="AW84" s="472"/>
      <c r="AX84" s="473" t="str">
        <f t="shared" si="15"/>
        <v xml:space="preserve"> ,</v>
      </c>
      <c r="AY84" s="473" t="str">
        <f t="shared" si="16"/>
        <v xml:space="preserve"> / </v>
      </c>
      <c r="AZ84" s="474"/>
      <c r="BA84" s="475"/>
      <c r="BB84" s="474"/>
      <c r="BC84" s="474"/>
      <c r="BD84" s="475"/>
      <c r="BE84" s="474"/>
    </row>
    <row r="85" spans="1:57" s="476" customFormat="1" ht="21.6" customHeight="1">
      <c r="A85" s="341">
        <f t="shared" si="17"/>
        <v>80</v>
      </c>
      <c r="B85" s="481"/>
      <c r="C85" s="477"/>
      <c r="D85" s="342"/>
      <c r="E85" s="482"/>
      <c r="F85" s="461" t="s">
        <v>624</v>
      </c>
      <c r="G85" s="342"/>
      <c r="H85" s="176"/>
      <c r="I85" s="176"/>
      <c r="J85" s="346"/>
      <c r="K85" s="462"/>
      <c r="L85" s="483"/>
      <c r="M85" s="463"/>
      <c r="N85" s="346"/>
      <c r="O85" s="412"/>
      <c r="P85" s="413"/>
      <c r="Q85" s="464"/>
      <c r="R85" s="465">
        <f>IFERROR(VLOOKUP(1,'Data Validation'!$O$2:$P$25,2,FALSE),"")</f>
        <v>45906</v>
      </c>
      <c r="S85" s="465" t="str">
        <f>IFERROR(VLOOKUP($P85,'Data Validation'!$O$2:$P$25,2,FALSE),"")</f>
        <v/>
      </c>
      <c r="T85" s="419" t="e">
        <f ca="1">INDEX(INDIRECT(INDEX(ControlRoom[اجمالي الالتزام],MATCH(تفصيلي!Q85,Control!$B$2:$B$12,0))),MATCH(CONCATENATE(O85,P85),INDIRECT(INDEX(ControlRoom[المبلغ],MATCH(تفصيلي!Q85,ControlRoom[التمويل],0))),0))</f>
        <v>#N/A</v>
      </c>
      <c r="U85" s="419" t="e">
        <f ca="1">INDEX(INDIRECT(INDEX(ControlRoom[القسط الشهري],MATCH(تفصيلي!Q85,Control!$B$2:$B$12,0))),MATCH(CONCATENATE(O85,P85),INDIRECT(INDEX(ControlRoom[المبلغ],MATCH(تفصيلي!Q85,ControlRoom[التمويل],0))),0))</f>
        <v>#N/A</v>
      </c>
      <c r="V85" s="420" t="e">
        <f>INDEX(ControlRoom[[فائدة أ]:[فائدة ج]],MATCH(تفصيلي!Q85,ControlRoom[التمويل],0),MATCH(IF(AND(تفصيلي!O85&gt;=Control!$N$2,تفصيلي!O85&lt;=Control!$O$2),Control!$P$2,IF(AND(تفصيلي!O85&gt;=Control!$N$3,تفصيلي!O85&lt;=Control!$O$3),Control!$P$3,IF(AND(تفصيلي!O85&gt;=Control!$N$4,تفصيلي!O85&lt;=Control!$O$4),Control!$P$4,"Out Of Range"))),ControlRoom[[#Headers],[فائدة أ]:[فائدة ج]],0))</f>
        <v>#N/A</v>
      </c>
      <c r="W85" s="419"/>
      <c r="X85" s="466">
        <f t="shared" si="9"/>
        <v>0</v>
      </c>
      <c r="Y85" s="167"/>
      <c r="Z85" s="302">
        <f t="shared" si="10"/>
        <v>0</v>
      </c>
      <c r="AA85" s="166"/>
      <c r="AB85" s="167" t="s">
        <v>624</v>
      </c>
      <c r="AC85" s="167">
        <f t="shared" si="11"/>
        <v>0</v>
      </c>
      <c r="AD85" s="169">
        <f t="shared" si="12"/>
        <v>0</v>
      </c>
      <c r="AE85" s="174"/>
      <c r="AF85" s="303">
        <f t="shared" si="13"/>
        <v>0</v>
      </c>
      <c r="AG85" s="484"/>
      <c r="AH85" s="174" t="s">
        <v>624</v>
      </c>
      <c r="AI85" s="169">
        <f t="shared" si="14"/>
        <v>0</v>
      </c>
      <c r="AJ85" s="175"/>
      <c r="AK85" s="175"/>
      <c r="AL85" s="485"/>
      <c r="AM85" s="486"/>
      <c r="AN85" s="487"/>
      <c r="AO85" s="175"/>
      <c r="AP85" s="467"/>
      <c r="AQ85" s="488"/>
      <c r="AR85" s="469"/>
      <c r="AS85" s="470"/>
      <c r="AT85" s="471"/>
      <c r="AU85" s="471"/>
      <c r="AV85" s="472"/>
      <c r="AW85" s="472"/>
      <c r="AX85" s="473" t="str">
        <f t="shared" si="15"/>
        <v xml:space="preserve"> ,</v>
      </c>
      <c r="AY85" s="473" t="str">
        <f t="shared" si="16"/>
        <v xml:space="preserve"> / </v>
      </c>
      <c r="AZ85" s="474"/>
      <c r="BA85" s="475"/>
      <c r="BB85" s="474"/>
      <c r="BC85" s="474"/>
      <c r="BD85" s="475"/>
      <c r="BE85" s="474"/>
    </row>
    <row r="86" spans="1:57" s="476" customFormat="1" ht="21.6" customHeight="1">
      <c r="A86" s="341">
        <f t="shared" si="17"/>
        <v>81</v>
      </c>
      <c r="B86" s="481"/>
      <c r="C86" s="477"/>
      <c r="D86" s="342"/>
      <c r="E86" s="482"/>
      <c r="F86" s="461" t="s">
        <v>624</v>
      </c>
      <c r="G86" s="342"/>
      <c r="H86" s="176"/>
      <c r="I86" s="176"/>
      <c r="J86" s="346"/>
      <c r="K86" s="462"/>
      <c r="L86" s="483"/>
      <c r="M86" s="463"/>
      <c r="N86" s="346"/>
      <c r="O86" s="412"/>
      <c r="P86" s="413"/>
      <c r="Q86" s="464"/>
      <c r="R86" s="465">
        <f>IFERROR(VLOOKUP(1,'Data Validation'!$O$2:$P$25,2,FALSE),"")</f>
        <v>45906</v>
      </c>
      <c r="S86" s="465" t="str">
        <f>IFERROR(VLOOKUP($P86,'Data Validation'!$O$2:$P$25,2,FALSE),"")</f>
        <v/>
      </c>
      <c r="T86" s="419" t="e">
        <f ca="1">INDEX(INDIRECT(INDEX(ControlRoom[اجمالي الالتزام],MATCH(تفصيلي!Q86,Control!$B$2:$B$12,0))),MATCH(CONCATENATE(O86,P86),INDIRECT(INDEX(ControlRoom[المبلغ],MATCH(تفصيلي!Q86,ControlRoom[التمويل],0))),0))</f>
        <v>#N/A</v>
      </c>
      <c r="U86" s="419" t="e">
        <f ca="1">INDEX(INDIRECT(INDEX(ControlRoom[القسط الشهري],MATCH(تفصيلي!Q86,Control!$B$2:$B$12,0))),MATCH(CONCATENATE(O86,P86),INDIRECT(INDEX(ControlRoom[المبلغ],MATCH(تفصيلي!Q86,ControlRoom[التمويل],0))),0))</f>
        <v>#N/A</v>
      </c>
      <c r="V86" s="420" t="e">
        <f>INDEX(ControlRoom[[فائدة أ]:[فائدة ج]],MATCH(تفصيلي!Q86,ControlRoom[التمويل],0),MATCH(IF(AND(تفصيلي!O86&gt;=Control!$N$2,تفصيلي!O86&lt;=Control!$O$2),Control!$P$2,IF(AND(تفصيلي!O86&gt;=Control!$N$3,تفصيلي!O86&lt;=Control!$O$3),Control!$P$3,IF(AND(تفصيلي!O86&gt;=Control!$N$4,تفصيلي!O86&lt;=Control!$O$4),Control!$P$4,"Out Of Range"))),ControlRoom[[#Headers],[فائدة أ]:[فائدة ج]],0))</f>
        <v>#N/A</v>
      </c>
      <c r="W86" s="419"/>
      <c r="X86" s="466">
        <f t="shared" si="9"/>
        <v>0</v>
      </c>
      <c r="Y86" s="167"/>
      <c r="Z86" s="302">
        <f t="shared" si="10"/>
        <v>0</v>
      </c>
      <c r="AA86" s="166"/>
      <c r="AB86" s="167" t="s">
        <v>624</v>
      </c>
      <c r="AC86" s="167">
        <f t="shared" si="11"/>
        <v>0</v>
      </c>
      <c r="AD86" s="169">
        <f t="shared" si="12"/>
        <v>0</v>
      </c>
      <c r="AE86" s="174"/>
      <c r="AF86" s="303">
        <f t="shared" si="13"/>
        <v>0</v>
      </c>
      <c r="AG86" s="484"/>
      <c r="AH86" s="174" t="s">
        <v>624</v>
      </c>
      <c r="AI86" s="169">
        <f t="shared" si="14"/>
        <v>0</v>
      </c>
      <c r="AJ86" s="175"/>
      <c r="AK86" s="175"/>
      <c r="AL86" s="485"/>
      <c r="AM86" s="486"/>
      <c r="AN86" s="487"/>
      <c r="AO86" s="175"/>
      <c r="AP86" s="467"/>
      <c r="AQ86" s="488"/>
      <c r="AR86" s="469"/>
      <c r="AS86" s="470"/>
      <c r="AT86" s="471"/>
      <c r="AU86" s="471"/>
      <c r="AV86" s="472"/>
      <c r="AW86" s="472"/>
      <c r="AX86" s="473" t="str">
        <f t="shared" si="15"/>
        <v xml:space="preserve"> ,</v>
      </c>
      <c r="AY86" s="473" t="str">
        <f t="shared" si="16"/>
        <v xml:space="preserve"> / </v>
      </c>
      <c r="AZ86" s="474"/>
      <c r="BA86" s="475"/>
      <c r="BB86" s="474"/>
      <c r="BC86" s="474"/>
      <c r="BD86" s="475"/>
      <c r="BE86" s="474"/>
    </row>
    <row r="87" spans="1:57" s="476" customFormat="1" ht="21.6" customHeight="1">
      <c r="A87" s="341">
        <f t="shared" si="17"/>
        <v>82</v>
      </c>
      <c r="B87" s="481"/>
      <c r="C87" s="477"/>
      <c r="D87" s="342"/>
      <c r="E87" s="482"/>
      <c r="F87" s="461" t="s">
        <v>624</v>
      </c>
      <c r="G87" s="342"/>
      <c r="H87" s="176"/>
      <c r="I87" s="176"/>
      <c r="J87" s="346"/>
      <c r="K87" s="462"/>
      <c r="L87" s="483"/>
      <c r="M87" s="463"/>
      <c r="N87" s="346"/>
      <c r="O87" s="412"/>
      <c r="P87" s="413"/>
      <c r="Q87" s="464"/>
      <c r="R87" s="465">
        <f>IFERROR(VLOOKUP(1,'Data Validation'!$O$2:$P$25,2,FALSE),"")</f>
        <v>45906</v>
      </c>
      <c r="S87" s="465" t="str">
        <f>IFERROR(VLOOKUP($P87,'Data Validation'!$O$2:$P$25,2,FALSE),"")</f>
        <v/>
      </c>
      <c r="T87" s="419" t="e">
        <f ca="1">INDEX(INDIRECT(INDEX(ControlRoom[اجمالي الالتزام],MATCH(تفصيلي!Q87,Control!$B$2:$B$12,0))),MATCH(CONCATENATE(O87,P87),INDIRECT(INDEX(ControlRoom[المبلغ],MATCH(تفصيلي!Q87,ControlRoom[التمويل],0))),0))</f>
        <v>#N/A</v>
      </c>
      <c r="U87" s="419" t="e">
        <f ca="1">INDEX(INDIRECT(INDEX(ControlRoom[القسط الشهري],MATCH(تفصيلي!Q87,Control!$B$2:$B$12,0))),MATCH(CONCATENATE(O87,P87),INDIRECT(INDEX(ControlRoom[المبلغ],MATCH(تفصيلي!Q87,ControlRoom[التمويل],0))),0))</f>
        <v>#N/A</v>
      </c>
      <c r="V87" s="420" t="e">
        <f>INDEX(ControlRoom[[فائدة أ]:[فائدة ج]],MATCH(تفصيلي!Q87,ControlRoom[التمويل],0),MATCH(IF(AND(تفصيلي!O87&gt;=Control!$N$2,تفصيلي!O87&lt;=Control!$O$2),Control!$P$2,IF(AND(تفصيلي!O87&gt;=Control!$N$3,تفصيلي!O87&lt;=Control!$O$3),Control!$P$3,IF(AND(تفصيلي!O87&gt;=Control!$N$4,تفصيلي!O87&lt;=Control!$O$4),Control!$P$4,"Out Of Range"))),ControlRoom[[#Headers],[فائدة أ]:[فائدة ج]],0))</f>
        <v>#N/A</v>
      </c>
      <c r="W87" s="419"/>
      <c r="X87" s="466">
        <f t="shared" si="9"/>
        <v>0</v>
      </c>
      <c r="Y87" s="167"/>
      <c r="Z87" s="302">
        <f t="shared" si="10"/>
        <v>0</v>
      </c>
      <c r="AA87" s="166"/>
      <c r="AB87" s="167" t="s">
        <v>624</v>
      </c>
      <c r="AC87" s="167">
        <f t="shared" si="11"/>
        <v>0</v>
      </c>
      <c r="AD87" s="169">
        <f t="shared" si="12"/>
        <v>0</v>
      </c>
      <c r="AE87" s="174"/>
      <c r="AF87" s="303">
        <f t="shared" si="13"/>
        <v>0</v>
      </c>
      <c r="AG87" s="484"/>
      <c r="AH87" s="174" t="s">
        <v>624</v>
      </c>
      <c r="AI87" s="169">
        <f t="shared" si="14"/>
        <v>0</v>
      </c>
      <c r="AJ87" s="175"/>
      <c r="AK87" s="175"/>
      <c r="AL87" s="485"/>
      <c r="AM87" s="486"/>
      <c r="AN87" s="487"/>
      <c r="AO87" s="175"/>
      <c r="AP87" s="467"/>
      <c r="AQ87" s="488"/>
      <c r="AR87" s="469"/>
      <c r="AS87" s="470"/>
      <c r="AT87" s="471"/>
      <c r="AU87" s="471"/>
      <c r="AV87" s="472"/>
      <c r="AW87" s="472"/>
      <c r="AX87" s="473" t="str">
        <f t="shared" si="15"/>
        <v xml:space="preserve"> ,</v>
      </c>
      <c r="AY87" s="473" t="str">
        <f t="shared" si="16"/>
        <v xml:space="preserve"> / </v>
      </c>
      <c r="AZ87" s="474"/>
      <c r="BA87" s="475"/>
      <c r="BB87" s="474"/>
      <c r="BC87" s="474"/>
      <c r="BD87" s="475"/>
      <c r="BE87" s="474"/>
    </row>
    <row r="88" spans="1:57" s="476" customFormat="1" ht="21.6" customHeight="1">
      <c r="A88" s="341">
        <f t="shared" si="17"/>
        <v>83</v>
      </c>
      <c r="B88" s="481"/>
      <c r="C88" s="477"/>
      <c r="D88" s="342"/>
      <c r="E88" s="482"/>
      <c r="F88" s="461" t="s">
        <v>624</v>
      </c>
      <c r="G88" s="342"/>
      <c r="H88" s="176"/>
      <c r="I88" s="176"/>
      <c r="J88" s="346"/>
      <c r="K88" s="462"/>
      <c r="L88" s="483"/>
      <c r="M88" s="463"/>
      <c r="N88" s="346"/>
      <c r="O88" s="412"/>
      <c r="P88" s="413"/>
      <c r="Q88" s="464"/>
      <c r="R88" s="465">
        <f>IFERROR(VLOOKUP(1,'Data Validation'!$O$2:$P$25,2,FALSE),"")</f>
        <v>45906</v>
      </c>
      <c r="S88" s="465" t="str">
        <f>IFERROR(VLOOKUP($P88,'Data Validation'!$O$2:$P$25,2,FALSE),"")</f>
        <v/>
      </c>
      <c r="T88" s="419" t="e">
        <f ca="1">INDEX(INDIRECT(INDEX(ControlRoom[اجمالي الالتزام],MATCH(تفصيلي!Q88,Control!$B$2:$B$12,0))),MATCH(CONCATENATE(O88,P88),INDIRECT(INDEX(ControlRoom[المبلغ],MATCH(تفصيلي!Q88,ControlRoom[التمويل],0))),0))</f>
        <v>#N/A</v>
      </c>
      <c r="U88" s="419" t="e">
        <f ca="1">INDEX(INDIRECT(INDEX(ControlRoom[القسط الشهري],MATCH(تفصيلي!Q88,Control!$B$2:$B$12,0))),MATCH(CONCATENATE(O88,P88),INDIRECT(INDEX(ControlRoom[المبلغ],MATCH(تفصيلي!Q88,ControlRoom[التمويل],0))),0))</f>
        <v>#N/A</v>
      </c>
      <c r="V88" s="420" t="e">
        <f>INDEX(ControlRoom[[فائدة أ]:[فائدة ج]],MATCH(تفصيلي!Q88,ControlRoom[التمويل],0),MATCH(IF(AND(تفصيلي!O88&gt;=Control!$N$2,تفصيلي!O88&lt;=Control!$O$2),Control!$P$2,IF(AND(تفصيلي!O88&gt;=Control!$N$3,تفصيلي!O88&lt;=Control!$O$3),Control!$P$3,IF(AND(تفصيلي!O88&gt;=Control!$N$4,تفصيلي!O88&lt;=Control!$O$4),Control!$P$4,"Out Of Range"))),ControlRoom[[#Headers],[فائدة أ]:[فائدة ج]],0))</f>
        <v>#N/A</v>
      </c>
      <c r="W88" s="419"/>
      <c r="X88" s="466">
        <f t="shared" si="9"/>
        <v>0</v>
      </c>
      <c r="Y88" s="167"/>
      <c r="Z88" s="302">
        <f t="shared" si="10"/>
        <v>0</v>
      </c>
      <c r="AA88" s="166"/>
      <c r="AB88" s="167" t="s">
        <v>624</v>
      </c>
      <c r="AC88" s="167">
        <f t="shared" si="11"/>
        <v>0</v>
      </c>
      <c r="AD88" s="169">
        <f t="shared" si="12"/>
        <v>0</v>
      </c>
      <c r="AE88" s="174"/>
      <c r="AF88" s="303">
        <f t="shared" si="13"/>
        <v>0</v>
      </c>
      <c r="AG88" s="484"/>
      <c r="AH88" s="174" t="s">
        <v>624</v>
      </c>
      <c r="AI88" s="169">
        <f t="shared" si="14"/>
        <v>0</v>
      </c>
      <c r="AJ88" s="175"/>
      <c r="AK88" s="175"/>
      <c r="AL88" s="485"/>
      <c r="AM88" s="486"/>
      <c r="AN88" s="487"/>
      <c r="AO88" s="175"/>
      <c r="AP88" s="467"/>
      <c r="AQ88" s="488"/>
      <c r="AR88" s="469"/>
      <c r="AS88" s="470"/>
      <c r="AT88" s="471"/>
      <c r="AU88" s="471"/>
      <c r="AV88" s="472"/>
      <c r="AW88" s="472"/>
      <c r="AX88" s="473" t="str">
        <f t="shared" si="15"/>
        <v xml:space="preserve"> ,</v>
      </c>
      <c r="AY88" s="473" t="str">
        <f t="shared" si="16"/>
        <v xml:space="preserve"> / </v>
      </c>
      <c r="AZ88" s="474"/>
      <c r="BA88" s="475"/>
      <c r="BB88" s="474"/>
      <c r="BC88" s="474"/>
      <c r="BD88" s="475"/>
      <c r="BE88" s="474"/>
    </row>
    <row r="89" spans="1:57" s="476" customFormat="1" ht="21.6" customHeight="1">
      <c r="A89" s="341">
        <f t="shared" si="17"/>
        <v>84</v>
      </c>
      <c r="B89" s="481"/>
      <c r="C89" s="477"/>
      <c r="D89" s="342"/>
      <c r="E89" s="482"/>
      <c r="F89" s="461" t="s">
        <v>624</v>
      </c>
      <c r="G89" s="342"/>
      <c r="H89" s="176"/>
      <c r="I89" s="176"/>
      <c r="J89" s="346"/>
      <c r="K89" s="462"/>
      <c r="L89" s="483"/>
      <c r="M89" s="463"/>
      <c r="N89" s="346"/>
      <c r="O89" s="412"/>
      <c r="P89" s="413"/>
      <c r="Q89" s="464"/>
      <c r="R89" s="465">
        <f>IFERROR(VLOOKUP(1,'Data Validation'!$O$2:$P$25,2,FALSE),"")</f>
        <v>45906</v>
      </c>
      <c r="S89" s="465" t="str">
        <f>IFERROR(VLOOKUP($P89,'Data Validation'!$O$2:$P$25,2,FALSE),"")</f>
        <v/>
      </c>
      <c r="T89" s="419" t="e">
        <f ca="1">INDEX(INDIRECT(INDEX(ControlRoom[اجمالي الالتزام],MATCH(تفصيلي!Q89,Control!$B$2:$B$12,0))),MATCH(CONCATENATE(O89,P89),INDIRECT(INDEX(ControlRoom[المبلغ],MATCH(تفصيلي!Q89,ControlRoom[التمويل],0))),0))</f>
        <v>#N/A</v>
      </c>
      <c r="U89" s="419" t="e">
        <f ca="1">INDEX(INDIRECT(INDEX(ControlRoom[القسط الشهري],MATCH(تفصيلي!Q89,Control!$B$2:$B$12,0))),MATCH(CONCATENATE(O89,P89),INDIRECT(INDEX(ControlRoom[المبلغ],MATCH(تفصيلي!Q89,ControlRoom[التمويل],0))),0))</f>
        <v>#N/A</v>
      </c>
      <c r="V89" s="420" t="e">
        <f>INDEX(ControlRoom[[فائدة أ]:[فائدة ج]],MATCH(تفصيلي!Q89,ControlRoom[التمويل],0),MATCH(IF(AND(تفصيلي!O89&gt;=Control!$N$2,تفصيلي!O89&lt;=Control!$O$2),Control!$P$2,IF(AND(تفصيلي!O89&gt;=Control!$N$3,تفصيلي!O89&lt;=Control!$O$3),Control!$P$3,IF(AND(تفصيلي!O89&gt;=Control!$N$4,تفصيلي!O89&lt;=Control!$O$4),Control!$P$4,"Out Of Range"))),ControlRoom[[#Headers],[فائدة أ]:[فائدة ج]],0))</f>
        <v>#N/A</v>
      </c>
      <c r="W89" s="419"/>
      <c r="X89" s="466">
        <f t="shared" si="9"/>
        <v>0</v>
      </c>
      <c r="Y89" s="167"/>
      <c r="Z89" s="302">
        <f t="shared" si="10"/>
        <v>0</v>
      </c>
      <c r="AA89" s="166"/>
      <c r="AB89" s="167" t="s">
        <v>624</v>
      </c>
      <c r="AC89" s="167">
        <f t="shared" si="11"/>
        <v>0</v>
      </c>
      <c r="AD89" s="169">
        <f t="shared" si="12"/>
        <v>0</v>
      </c>
      <c r="AE89" s="174"/>
      <c r="AF89" s="303">
        <f t="shared" si="13"/>
        <v>0</v>
      </c>
      <c r="AG89" s="484"/>
      <c r="AH89" s="174" t="s">
        <v>624</v>
      </c>
      <c r="AI89" s="169">
        <f t="shared" si="14"/>
        <v>0</v>
      </c>
      <c r="AJ89" s="175"/>
      <c r="AK89" s="175"/>
      <c r="AL89" s="485"/>
      <c r="AM89" s="486"/>
      <c r="AN89" s="487"/>
      <c r="AO89" s="175"/>
      <c r="AP89" s="467"/>
      <c r="AQ89" s="488"/>
      <c r="AR89" s="469"/>
      <c r="AS89" s="470"/>
      <c r="AT89" s="471"/>
      <c r="AU89" s="471"/>
      <c r="AV89" s="472"/>
      <c r="AW89" s="472"/>
      <c r="AX89" s="473" t="str">
        <f t="shared" si="15"/>
        <v xml:space="preserve"> ,</v>
      </c>
      <c r="AY89" s="473" t="str">
        <f t="shared" si="16"/>
        <v xml:space="preserve"> / </v>
      </c>
      <c r="AZ89" s="474"/>
      <c r="BA89" s="475"/>
      <c r="BB89" s="474"/>
      <c r="BC89" s="474"/>
      <c r="BD89" s="475"/>
      <c r="BE89" s="474"/>
    </row>
    <row r="90" spans="1:57" s="476" customFormat="1" ht="21.6" customHeight="1">
      <c r="A90" s="341">
        <f t="shared" si="17"/>
        <v>85</v>
      </c>
      <c r="B90" s="481"/>
      <c r="C90" s="477"/>
      <c r="D90" s="342"/>
      <c r="E90" s="482"/>
      <c r="F90" s="461" t="s">
        <v>624</v>
      </c>
      <c r="G90" s="342"/>
      <c r="H90" s="176"/>
      <c r="I90" s="176"/>
      <c r="J90" s="346"/>
      <c r="K90" s="462"/>
      <c r="L90" s="483"/>
      <c r="M90" s="463"/>
      <c r="N90" s="346"/>
      <c r="O90" s="412"/>
      <c r="P90" s="413"/>
      <c r="Q90" s="464"/>
      <c r="R90" s="465">
        <f>IFERROR(VLOOKUP(1,'Data Validation'!$O$2:$P$25,2,FALSE),"")</f>
        <v>45906</v>
      </c>
      <c r="S90" s="465" t="str">
        <f>IFERROR(VLOOKUP($P90,'Data Validation'!$O$2:$P$25,2,FALSE),"")</f>
        <v/>
      </c>
      <c r="T90" s="419" t="e">
        <f ca="1">INDEX(INDIRECT(INDEX(ControlRoom[اجمالي الالتزام],MATCH(تفصيلي!Q90,Control!$B$2:$B$12,0))),MATCH(CONCATENATE(O90,P90),INDIRECT(INDEX(ControlRoom[المبلغ],MATCH(تفصيلي!Q90,ControlRoom[التمويل],0))),0))</f>
        <v>#N/A</v>
      </c>
      <c r="U90" s="419" t="e">
        <f ca="1">INDEX(INDIRECT(INDEX(ControlRoom[القسط الشهري],MATCH(تفصيلي!Q90,Control!$B$2:$B$12,0))),MATCH(CONCATENATE(O90,P90),INDIRECT(INDEX(ControlRoom[المبلغ],MATCH(تفصيلي!Q90,ControlRoom[التمويل],0))),0))</f>
        <v>#N/A</v>
      </c>
      <c r="V90" s="420" t="e">
        <f>INDEX(ControlRoom[[فائدة أ]:[فائدة ج]],MATCH(تفصيلي!Q90,ControlRoom[التمويل],0),MATCH(IF(AND(تفصيلي!O90&gt;=Control!$N$2,تفصيلي!O90&lt;=Control!$O$2),Control!$P$2,IF(AND(تفصيلي!O90&gt;=Control!$N$3,تفصيلي!O90&lt;=Control!$O$3),Control!$P$3,IF(AND(تفصيلي!O90&gt;=Control!$N$4,تفصيلي!O90&lt;=Control!$O$4),Control!$P$4,"Out Of Range"))),ControlRoom[[#Headers],[فائدة أ]:[فائدة ج]],0))</f>
        <v>#N/A</v>
      </c>
      <c r="W90" s="419"/>
      <c r="X90" s="466">
        <f t="shared" si="9"/>
        <v>0</v>
      </c>
      <c r="Y90" s="167"/>
      <c r="Z90" s="302">
        <f t="shared" si="10"/>
        <v>0</v>
      </c>
      <c r="AA90" s="166"/>
      <c r="AB90" s="167" t="s">
        <v>624</v>
      </c>
      <c r="AC90" s="167">
        <f t="shared" si="11"/>
        <v>0</v>
      </c>
      <c r="AD90" s="169">
        <f t="shared" si="12"/>
        <v>0</v>
      </c>
      <c r="AE90" s="174"/>
      <c r="AF90" s="303">
        <f t="shared" si="13"/>
        <v>0</v>
      </c>
      <c r="AG90" s="484"/>
      <c r="AH90" s="174" t="s">
        <v>624</v>
      </c>
      <c r="AI90" s="169">
        <f t="shared" si="14"/>
        <v>0</v>
      </c>
      <c r="AJ90" s="175"/>
      <c r="AK90" s="175"/>
      <c r="AL90" s="485"/>
      <c r="AM90" s="486"/>
      <c r="AN90" s="487"/>
      <c r="AO90" s="175"/>
      <c r="AP90" s="467"/>
      <c r="AQ90" s="488"/>
      <c r="AR90" s="469"/>
      <c r="AS90" s="470"/>
      <c r="AT90" s="471"/>
      <c r="AU90" s="471"/>
      <c r="AV90" s="472"/>
      <c r="AW90" s="472"/>
      <c r="AX90" s="473" t="str">
        <f t="shared" si="15"/>
        <v xml:space="preserve"> ,</v>
      </c>
      <c r="AY90" s="473" t="str">
        <f t="shared" si="16"/>
        <v xml:space="preserve"> / </v>
      </c>
      <c r="AZ90" s="474"/>
      <c r="BA90" s="475"/>
      <c r="BB90" s="474"/>
      <c r="BC90" s="474"/>
      <c r="BD90" s="475"/>
      <c r="BE90" s="474"/>
    </row>
    <row r="91" spans="1:57" s="476" customFormat="1" ht="21.6" customHeight="1">
      <c r="A91" s="341">
        <f t="shared" si="17"/>
        <v>86</v>
      </c>
      <c r="B91" s="481"/>
      <c r="C91" s="477"/>
      <c r="D91" s="342"/>
      <c r="E91" s="482"/>
      <c r="F91" s="461" t="s">
        <v>624</v>
      </c>
      <c r="G91" s="342"/>
      <c r="H91" s="176"/>
      <c r="I91" s="176"/>
      <c r="J91" s="346"/>
      <c r="K91" s="462"/>
      <c r="L91" s="483"/>
      <c r="M91" s="463"/>
      <c r="N91" s="346"/>
      <c r="O91" s="412"/>
      <c r="P91" s="413"/>
      <c r="Q91" s="464"/>
      <c r="R91" s="465">
        <f>IFERROR(VLOOKUP(1,'Data Validation'!$O$2:$P$25,2,FALSE),"")</f>
        <v>45906</v>
      </c>
      <c r="S91" s="465" t="str">
        <f>IFERROR(VLOOKUP($P91,'Data Validation'!$O$2:$P$25,2,FALSE),"")</f>
        <v/>
      </c>
      <c r="T91" s="419" t="e">
        <f ca="1">INDEX(INDIRECT(INDEX(ControlRoom[اجمالي الالتزام],MATCH(تفصيلي!Q91,Control!$B$2:$B$12,0))),MATCH(CONCATENATE(O91,P91),INDIRECT(INDEX(ControlRoom[المبلغ],MATCH(تفصيلي!Q91,ControlRoom[التمويل],0))),0))</f>
        <v>#N/A</v>
      </c>
      <c r="U91" s="419" t="e">
        <f ca="1">INDEX(INDIRECT(INDEX(ControlRoom[القسط الشهري],MATCH(تفصيلي!Q91,Control!$B$2:$B$12,0))),MATCH(CONCATENATE(O91,P91),INDIRECT(INDEX(ControlRoom[المبلغ],MATCH(تفصيلي!Q91,ControlRoom[التمويل],0))),0))</f>
        <v>#N/A</v>
      </c>
      <c r="V91" s="420" t="e">
        <f>INDEX(ControlRoom[[فائدة أ]:[فائدة ج]],MATCH(تفصيلي!Q91,ControlRoom[التمويل],0),MATCH(IF(AND(تفصيلي!O91&gt;=Control!$N$2,تفصيلي!O91&lt;=Control!$O$2),Control!$P$2,IF(AND(تفصيلي!O91&gt;=Control!$N$3,تفصيلي!O91&lt;=Control!$O$3),Control!$P$3,IF(AND(تفصيلي!O91&gt;=Control!$N$4,تفصيلي!O91&lt;=Control!$O$4),Control!$P$4,"Out Of Range"))),ControlRoom[[#Headers],[فائدة أ]:[فائدة ج]],0))</f>
        <v>#N/A</v>
      </c>
      <c r="W91" s="419"/>
      <c r="X91" s="466">
        <f t="shared" si="9"/>
        <v>0</v>
      </c>
      <c r="Y91" s="167"/>
      <c r="Z91" s="302">
        <f t="shared" si="10"/>
        <v>0</v>
      </c>
      <c r="AA91" s="166"/>
      <c r="AB91" s="167" t="s">
        <v>624</v>
      </c>
      <c r="AC91" s="167">
        <f t="shared" si="11"/>
        <v>0</v>
      </c>
      <c r="AD91" s="169">
        <f t="shared" si="12"/>
        <v>0</v>
      </c>
      <c r="AE91" s="174"/>
      <c r="AF91" s="303">
        <f t="shared" si="13"/>
        <v>0</v>
      </c>
      <c r="AG91" s="168"/>
      <c r="AH91" s="174" t="s">
        <v>624</v>
      </c>
      <c r="AI91" s="169">
        <f t="shared" si="14"/>
        <v>0</v>
      </c>
      <c r="AJ91" s="175"/>
      <c r="AK91" s="175"/>
      <c r="AL91" s="170"/>
      <c r="AM91" s="171"/>
      <c r="AN91" s="487"/>
      <c r="AO91" s="175"/>
      <c r="AP91" s="467"/>
      <c r="AQ91" s="488"/>
      <c r="AR91" s="469"/>
      <c r="AS91" s="470"/>
      <c r="AT91" s="471"/>
      <c r="AU91" s="471"/>
      <c r="AV91" s="472"/>
      <c r="AW91" s="472"/>
      <c r="AX91" s="473" t="str">
        <f t="shared" si="15"/>
        <v xml:space="preserve"> ,</v>
      </c>
      <c r="AY91" s="473" t="str">
        <f t="shared" si="16"/>
        <v xml:space="preserve"> / </v>
      </c>
      <c r="AZ91" s="474"/>
      <c r="BA91" s="475"/>
      <c r="BB91" s="474"/>
      <c r="BC91" s="474"/>
      <c r="BD91" s="475"/>
      <c r="BE91" s="474"/>
    </row>
    <row r="92" spans="1:57" s="476" customFormat="1" ht="21.6" customHeight="1">
      <c r="A92" s="341">
        <f t="shared" si="17"/>
        <v>87</v>
      </c>
      <c r="B92" s="481"/>
      <c r="C92" s="477"/>
      <c r="D92" s="342"/>
      <c r="E92" s="482"/>
      <c r="F92" s="461" t="s">
        <v>624</v>
      </c>
      <c r="G92" s="342"/>
      <c r="H92" s="176"/>
      <c r="I92" s="176"/>
      <c r="J92" s="346"/>
      <c r="K92" s="462"/>
      <c r="L92" s="483"/>
      <c r="M92" s="463"/>
      <c r="N92" s="346"/>
      <c r="O92" s="412"/>
      <c r="P92" s="413"/>
      <c r="Q92" s="464"/>
      <c r="R92" s="465">
        <f>IFERROR(VLOOKUP(1,'Data Validation'!$O$2:$P$25,2,FALSE),"")</f>
        <v>45906</v>
      </c>
      <c r="S92" s="465" t="str">
        <f>IFERROR(VLOOKUP($P92,'Data Validation'!$O$2:$P$25,2,FALSE),"")</f>
        <v/>
      </c>
      <c r="T92" s="419" t="e">
        <f ca="1">INDEX(INDIRECT(INDEX(ControlRoom[اجمالي الالتزام],MATCH(تفصيلي!Q92,Control!$B$2:$B$12,0))),MATCH(CONCATENATE(O92,P92),INDIRECT(INDEX(ControlRoom[المبلغ],MATCH(تفصيلي!Q92,ControlRoom[التمويل],0))),0))</f>
        <v>#N/A</v>
      </c>
      <c r="U92" s="419" t="e">
        <f ca="1">INDEX(INDIRECT(INDEX(ControlRoom[القسط الشهري],MATCH(تفصيلي!Q92,Control!$B$2:$B$12,0))),MATCH(CONCATENATE(O92,P92),INDIRECT(INDEX(ControlRoom[المبلغ],MATCH(تفصيلي!Q92,ControlRoom[التمويل],0))),0))</f>
        <v>#N/A</v>
      </c>
      <c r="V92" s="420" t="e">
        <f>INDEX(ControlRoom[[فائدة أ]:[فائدة ج]],MATCH(تفصيلي!Q92,ControlRoom[التمويل],0),MATCH(IF(AND(تفصيلي!O92&gt;=Control!$N$2,تفصيلي!O92&lt;=Control!$O$2),Control!$P$2,IF(AND(تفصيلي!O92&gt;=Control!$N$3,تفصيلي!O92&lt;=Control!$O$3),Control!$P$3,IF(AND(تفصيلي!O92&gt;=Control!$N$4,تفصيلي!O92&lt;=Control!$O$4),Control!$P$4,"Out Of Range"))),ControlRoom[[#Headers],[فائدة أ]:[فائدة ج]],0))</f>
        <v>#N/A</v>
      </c>
      <c r="W92" s="419"/>
      <c r="X92" s="466">
        <f t="shared" si="9"/>
        <v>0</v>
      </c>
      <c r="Y92" s="167"/>
      <c r="Z92" s="302">
        <f t="shared" si="10"/>
        <v>0</v>
      </c>
      <c r="AA92" s="166"/>
      <c r="AB92" s="167" t="s">
        <v>624</v>
      </c>
      <c r="AC92" s="167">
        <f t="shared" si="11"/>
        <v>0</v>
      </c>
      <c r="AD92" s="169">
        <f t="shared" si="12"/>
        <v>0</v>
      </c>
      <c r="AE92" s="174"/>
      <c r="AF92" s="303">
        <f t="shared" si="13"/>
        <v>0</v>
      </c>
      <c r="AG92" s="484"/>
      <c r="AH92" s="174" t="s">
        <v>624</v>
      </c>
      <c r="AI92" s="169">
        <f t="shared" si="14"/>
        <v>0</v>
      </c>
      <c r="AJ92" s="175"/>
      <c r="AK92" s="175"/>
      <c r="AL92" s="485"/>
      <c r="AM92" s="486"/>
      <c r="AN92" s="487"/>
      <c r="AO92" s="175"/>
      <c r="AP92" s="467"/>
      <c r="AQ92" s="488"/>
      <c r="AR92" s="469"/>
      <c r="AS92" s="470"/>
      <c r="AT92" s="471"/>
      <c r="AU92" s="471"/>
      <c r="AV92" s="472"/>
      <c r="AW92" s="472"/>
      <c r="AX92" s="473" t="str">
        <f t="shared" si="15"/>
        <v xml:space="preserve"> ,</v>
      </c>
      <c r="AY92" s="473" t="str">
        <f t="shared" si="16"/>
        <v xml:space="preserve"> / </v>
      </c>
      <c r="AZ92" s="474"/>
      <c r="BA92" s="475"/>
      <c r="BB92" s="474"/>
      <c r="BC92" s="474"/>
      <c r="BD92" s="475"/>
      <c r="BE92" s="474"/>
    </row>
    <row r="93" spans="1:57" s="476" customFormat="1" ht="21.6" customHeight="1">
      <c r="A93" s="341">
        <f t="shared" si="17"/>
        <v>88</v>
      </c>
      <c r="B93" s="481"/>
      <c r="C93" s="477"/>
      <c r="D93" s="342"/>
      <c r="E93" s="482"/>
      <c r="F93" s="461" t="s">
        <v>624</v>
      </c>
      <c r="G93" s="342"/>
      <c r="H93" s="176"/>
      <c r="I93" s="176"/>
      <c r="J93" s="346"/>
      <c r="K93" s="462"/>
      <c r="L93" s="483"/>
      <c r="M93" s="463"/>
      <c r="N93" s="346"/>
      <c r="O93" s="412"/>
      <c r="P93" s="413"/>
      <c r="Q93" s="464"/>
      <c r="R93" s="465">
        <f>IFERROR(VLOOKUP(1,'Data Validation'!$O$2:$P$25,2,FALSE),"")</f>
        <v>45906</v>
      </c>
      <c r="S93" s="465" t="str">
        <f>IFERROR(VLOOKUP($P93,'Data Validation'!$O$2:$P$25,2,FALSE),"")</f>
        <v/>
      </c>
      <c r="T93" s="419" t="e">
        <f ca="1">INDEX(INDIRECT(INDEX(ControlRoom[اجمالي الالتزام],MATCH(تفصيلي!Q93,Control!$B$2:$B$12,0))),MATCH(CONCATENATE(O93,P93),INDIRECT(INDEX(ControlRoom[المبلغ],MATCH(تفصيلي!Q93,ControlRoom[التمويل],0))),0))</f>
        <v>#N/A</v>
      </c>
      <c r="U93" s="419" t="e">
        <f ca="1">INDEX(INDIRECT(INDEX(ControlRoom[القسط الشهري],MATCH(تفصيلي!Q93,Control!$B$2:$B$12,0))),MATCH(CONCATENATE(O93,P93),INDIRECT(INDEX(ControlRoom[المبلغ],MATCH(تفصيلي!Q93,ControlRoom[التمويل],0))),0))</f>
        <v>#N/A</v>
      </c>
      <c r="V93" s="420" t="e">
        <f>INDEX(ControlRoom[[فائدة أ]:[فائدة ج]],MATCH(تفصيلي!Q93,ControlRoom[التمويل],0),MATCH(IF(AND(تفصيلي!O93&gt;=Control!$N$2,تفصيلي!O93&lt;=Control!$O$2),Control!$P$2,IF(AND(تفصيلي!O93&gt;=Control!$N$3,تفصيلي!O93&lt;=Control!$O$3),Control!$P$3,IF(AND(تفصيلي!O93&gt;=Control!$N$4,تفصيلي!O93&lt;=Control!$O$4),Control!$P$4,"Out Of Range"))),ControlRoom[[#Headers],[فائدة أ]:[فائدة ج]],0))</f>
        <v>#N/A</v>
      </c>
      <c r="W93" s="419"/>
      <c r="X93" s="466">
        <f t="shared" si="9"/>
        <v>0</v>
      </c>
      <c r="Y93" s="167"/>
      <c r="Z93" s="302">
        <f t="shared" si="10"/>
        <v>0</v>
      </c>
      <c r="AA93" s="166"/>
      <c r="AB93" s="167" t="s">
        <v>624</v>
      </c>
      <c r="AC93" s="167">
        <f t="shared" si="11"/>
        <v>0</v>
      </c>
      <c r="AD93" s="169">
        <f t="shared" si="12"/>
        <v>0</v>
      </c>
      <c r="AE93" s="174"/>
      <c r="AF93" s="303">
        <f t="shared" si="13"/>
        <v>0</v>
      </c>
      <c r="AG93" s="484"/>
      <c r="AH93" s="174" t="s">
        <v>624</v>
      </c>
      <c r="AI93" s="169">
        <f t="shared" si="14"/>
        <v>0</v>
      </c>
      <c r="AJ93" s="175"/>
      <c r="AK93" s="175"/>
      <c r="AL93" s="485"/>
      <c r="AM93" s="486"/>
      <c r="AN93" s="487"/>
      <c r="AO93" s="175"/>
      <c r="AP93" s="467"/>
      <c r="AQ93" s="488"/>
      <c r="AR93" s="469"/>
      <c r="AS93" s="470"/>
      <c r="AT93" s="471"/>
      <c r="AU93" s="471"/>
      <c r="AV93" s="472"/>
      <c r="AW93" s="472"/>
      <c r="AX93" s="473" t="str">
        <f t="shared" si="15"/>
        <v xml:space="preserve"> ,</v>
      </c>
      <c r="AY93" s="473" t="str">
        <f t="shared" si="16"/>
        <v xml:space="preserve"> / </v>
      </c>
      <c r="AZ93" s="474"/>
      <c r="BA93" s="475"/>
      <c r="BB93" s="474"/>
      <c r="BC93" s="474"/>
      <c r="BD93" s="475"/>
      <c r="BE93" s="474"/>
    </row>
    <row r="94" spans="1:57" s="476" customFormat="1" ht="21.6" customHeight="1">
      <c r="A94" s="341">
        <f t="shared" si="17"/>
        <v>89</v>
      </c>
      <c r="B94" s="481"/>
      <c r="C94" s="477"/>
      <c r="D94" s="342"/>
      <c r="E94" s="482"/>
      <c r="F94" s="461" t="s">
        <v>624</v>
      </c>
      <c r="G94" s="342"/>
      <c r="H94" s="176"/>
      <c r="I94" s="176"/>
      <c r="J94" s="346"/>
      <c r="K94" s="462"/>
      <c r="L94" s="483"/>
      <c r="M94" s="463"/>
      <c r="N94" s="346"/>
      <c r="O94" s="412"/>
      <c r="P94" s="413"/>
      <c r="Q94" s="464"/>
      <c r="R94" s="465">
        <f>IFERROR(VLOOKUP(1,'Data Validation'!$O$2:$P$25,2,FALSE),"")</f>
        <v>45906</v>
      </c>
      <c r="S94" s="465" t="str">
        <f>IFERROR(VLOOKUP($P94,'Data Validation'!$O$2:$P$25,2,FALSE),"")</f>
        <v/>
      </c>
      <c r="T94" s="419" t="e">
        <f ca="1">INDEX(INDIRECT(INDEX(ControlRoom[اجمالي الالتزام],MATCH(تفصيلي!Q94,Control!$B$2:$B$12,0))),MATCH(CONCATENATE(O94,P94),INDIRECT(INDEX(ControlRoom[المبلغ],MATCH(تفصيلي!Q94,ControlRoom[التمويل],0))),0))</f>
        <v>#N/A</v>
      </c>
      <c r="U94" s="419" t="e">
        <f ca="1">INDEX(INDIRECT(INDEX(ControlRoom[القسط الشهري],MATCH(تفصيلي!Q94,Control!$B$2:$B$12,0))),MATCH(CONCATENATE(O94,P94),INDIRECT(INDEX(ControlRoom[المبلغ],MATCH(تفصيلي!Q94,ControlRoom[التمويل],0))),0))</f>
        <v>#N/A</v>
      </c>
      <c r="V94" s="420" t="e">
        <f>INDEX(ControlRoom[[فائدة أ]:[فائدة ج]],MATCH(تفصيلي!Q94,ControlRoom[التمويل],0),MATCH(IF(AND(تفصيلي!O94&gt;=Control!$N$2,تفصيلي!O94&lt;=Control!$O$2),Control!$P$2,IF(AND(تفصيلي!O94&gt;=Control!$N$3,تفصيلي!O94&lt;=Control!$O$3),Control!$P$3,IF(AND(تفصيلي!O94&gt;=Control!$N$4,تفصيلي!O94&lt;=Control!$O$4),Control!$P$4,"Out Of Range"))),ControlRoom[[#Headers],[فائدة أ]:[فائدة ج]],0))</f>
        <v>#N/A</v>
      </c>
      <c r="W94" s="419"/>
      <c r="X94" s="466">
        <f t="shared" si="9"/>
        <v>0</v>
      </c>
      <c r="Y94" s="167"/>
      <c r="Z94" s="302">
        <f t="shared" si="10"/>
        <v>0</v>
      </c>
      <c r="AA94" s="166"/>
      <c r="AB94" s="167" t="s">
        <v>624</v>
      </c>
      <c r="AC94" s="167">
        <f t="shared" si="11"/>
        <v>0</v>
      </c>
      <c r="AD94" s="169">
        <f t="shared" si="12"/>
        <v>0</v>
      </c>
      <c r="AE94" s="174"/>
      <c r="AF94" s="303">
        <f t="shared" si="13"/>
        <v>0</v>
      </c>
      <c r="AG94" s="484"/>
      <c r="AH94" s="174" t="s">
        <v>624</v>
      </c>
      <c r="AI94" s="169">
        <f t="shared" si="14"/>
        <v>0</v>
      </c>
      <c r="AJ94" s="175"/>
      <c r="AK94" s="175"/>
      <c r="AL94" s="485"/>
      <c r="AM94" s="486"/>
      <c r="AN94" s="487"/>
      <c r="AO94" s="175"/>
      <c r="AP94" s="467"/>
      <c r="AQ94" s="488"/>
      <c r="AR94" s="469"/>
      <c r="AS94" s="470"/>
      <c r="AT94" s="471"/>
      <c r="AU94" s="471"/>
      <c r="AV94" s="472"/>
      <c r="AW94" s="472"/>
      <c r="AX94" s="473" t="str">
        <f t="shared" si="15"/>
        <v xml:space="preserve"> ,</v>
      </c>
      <c r="AY94" s="473" t="str">
        <f t="shared" si="16"/>
        <v xml:space="preserve"> / </v>
      </c>
      <c r="AZ94" s="474"/>
      <c r="BA94" s="475"/>
      <c r="BB94" s="474"/>
      <c r="BC94" s="474"/>
      <c r="BD94" s="475"/>
      <c r="BE94" s="474"/>
    </row>
    <row r="95" spans="1:57" s="476" customFormat="1" ht="21.6" customHeight="1">
      <c r="A95" s="341">
        <f t="shared" si="17"/>
        <v>90</v>
      </c>
      <c r="B95" s="481"/>
      <c r="C95" s="477"/>
      <c r="D95" s="342"/>
      <c r="E95" s="482"/>
      <c r="F95" s="461" t="s">
        <v>624</v>
      </c>
      <c r="G95" s="342"/>
      <c r="H95" s="176"/>
      <c r="I95" s="176"/>
      <c r="J95" s="346"/>
      <c r="K95" s="462"/>
      <c r="L95" s="483"/>
      <c r="M95" s="463"/>
      <c r="N95" s="346"/>
      <c r="O95" s="412"/>
      <c r="P95" s="413"/>
      <c r="Q95" s="464"/>
      <c r="R95" s="465">
        <f>IFERROR(VLOOKUP(1,'Data Validation'!$O$2:$P$25,2,FALSE),"")</f>
        <v>45906</v>
      </c>
      <c r="S95" s="465" t="str">
        <f>IFERROR(VLOOKUP($P95,'Data Validation'!$O$2:$P$25,2,FALSE),"")</f>
        <v/>
      </c>
      <c r="T95" s="419" t="e">
        <f ca="1">INDEX(INDIRECT(INDEX(ControlRoom[اجمالي الالتزام],MATCH(تفصيلي!Q95,Control!$B$2:$B$12,0))),MATCH(CONCATENATE(O95,P95),INDIRECT(INDEX(ControlRoom[المبلغ],MATCH(تفصيلي!Q95,ControlRoom[التمويل],0))),0))</f>
        <v>#N/A</v>
      </c>
      <c r="U95" s="419" t="e">
        <f ca="1">INDEX(INDIRECT(INDEX(ControlRoom[القسط الشهري],MATCH(تفصيلي!Q95,Control!$B$2:$B$12,0))),MATCH(CONCATENATE(O95,P95),INDIRECT(INDEX(ControlRoom[المبلغ],MATCH(تفصيلي!Q95,ControlRoom[التمويل],0))),0))</f>
        <v>#N/A</v>
      </c>
      <c r="V95" s="420" t="e">
        <f>INDEX(ControlRoom[[فائدة أ]:[فائدة ج]],MATCH(تفصيلي!Q95,ControlRoom[التمويل],0),MATCH(IF(AND(تفصيلي!O95&gt;=Control!$N$2,تفصيلي!O95&lt;=Control!$O$2),Control!$P$2,IF(AND(تفصيلي!O95&gt;=Control!$N$3,تفصيلي!O95&lt;=Control!$O$3),Control!$P$3,IF(AND(تفصيلي!O95&gt;=Control!$N$4,تفصيلي!O95&lt;=Control!$O$4),Control!$P$4,"Out Of Range"))),ControlRoom[[#Headers],[فائدة أ]:[فائدة ج]],0))</f>
        <v>#N/A</v>
      </c>
      <c r="W95" s="419"/>
      <c r="X95" s="466">
        <f t="shared" si="9"/>
        <v>0</v>
      </c>
      <c r="Y95" s="167"/>
      <c r="Z95" s="302">
        <f t="shared" si="10"/>
        <v>0</v>
      </c>
      <c r="AA95" s="166"/>
      <c r="AB95" s="167" t="s">
        <v>624</v>
      </c>
      <c r="AC95" s="167">
        <f t="shared" si="11"/>
        <v>0</v>
      </c>
      <c r="AD95" s="169">
        <f t="shared" si="12"/>
        <v>0</v>
      </c>
      <c r="AE95" s="174"/>
      <c r="AF95" s="303">
        <f t="shared" si="13"/>
        <v>0</v>
      </c>
      <c r="AG95" s="484"/>
      <c r="AH95" s="174" t="s">
        <v>624</v>
      </c>
      <c r="AI95" s="169">
        <f t="shared" si="14"/>
        <v>0</v>
      </c>
      <c r="AJ95" s="175"/>
      <c r="AK95" s="175"/>
      <c r="AL95" s="485"/>
      <c r="AM95" s="486"/>
      <c r="AN95" s="487"/>
      <c r="AO95" s="175"/>
      <c r="AP95" s="467"/>
      <c r="AQ95" s="488"/>
      <c r="AR95" s="469"/>
      <c r="AS95" s="470"/>
      <c r="AT95" s="471"/>
      <c r="AU95" s="471"/>
      <c r="AV95" s="472"/>
      <c r="AW95" s="472"/>
      <c r="AX95" s="473" t="str">
        <f t="shared" si="15"/>
        <v xml:space="preserve"> ,</v>
      </c>
      <c r="AY95" s="473" t="str">
        <f t="shared" si="16"/>
        <v xml:space="preserve"> / </v>
      </c>
      <c r="AZ95" s="474"/>
      <c r="BA95" s="475"/>
      <c r="BB95" s="474"/>
      <c r="BC95" s="474"/>
      <c r="BD95" s="475"/>
      <c r="BE95" s="474"/>
    </row>
    <row r="96" spans="1:57" s="476" customFormat="1" ht="21.6" customHeight="1">
      <c r="A96" s="341">
        <f t="shared" si="17"/>
        <v>91</v>
      </c>
      <c r="B96" s="481"/>
      <c r="C96" s="477"/>
      <c r="D96" s="342"/>
      <c r="E96" s="482"/>
      <c r="F96" s="461" t="s">
        <v>624</v>
      </c>
      <c r="G96" s="342"/>
      <c r="H96" s="176"/>
      <c r="I96" s="176"/>
      <c r="J96" s="346"/>
      <c r="K96" s="462"/>
      <c r="L96" s="483"/>
      <c r="M96" s="463"/>
      <c r="N96" s="346"/>
      <c r="O96" s="412"/>
      <c r="P96" s="413"/>
      <c r="Q96" s="464"/>
      <c r="R96" s="465">
        <f>IFERROR(VLOOKUP(1,'Data Validation'!$O$2:$P$25,2,FALSE),"")</f>
        <v>45906</v>
      </c>
      <c r="S96" s="465" t="str">
        <f>IFERROR(VLOOKUP($P96,'Data Validation'!$O$2:$P$25,2,FALSE),"")</f>
        <v/>
      </c>
      <c r="T96" s="419" t="e">
        <f ca="1">INDEX(INDIRECT(INDEX(ControlRoom[اجمالي الالتزام],MATCH(تفصيلي!Q96,Control!$B$2:$B$12,0))),MATCH(CONCATENATE(O96,P96),INDIRECT(INDEX(ControlRoom[المبلغ],MATCH(تفصيلي!Q96,ControlRoom[التمويل],0))),0))</f>
        <v>#N/A</v>
      </c>
      <c r="U96" s="419" t="e">
        <f ca="1">INDEX(INDIRECT(INDEX(ControlRoom[القسط الشهري],MATCH(تفصيلي!Q96,Control!$B$2:$B$12,0))),MATCH(CONCATENATE(O96,P96),INDIRECT(INDEX(ControlRoom[المبلغ],MATCH(تفصيلي!Q96,ControlRoom[التمويل],0))),0))</f>
        <v>#N/A</v>
      </c>
      <c r="V96" s="420" t="e">
        <f>INDEX(ControlRoom[[فائدة أ]:[فائدة ج]],MATCH(تفصيلي!Q96,ControlRoom[التمويل],0),MATCH(IF(AND(تفصيلي!O96&gt;=Control!$N$2,تفصيلي!O96&lt;=Control!$O$2),Control!$P$2,IF(AND(تفصيلي!O96&gt;=Control!$N$3,تفصيلي!O96&lt;=Control!$O$3),Control!$P$3,IF(AND(تفصيلي!O96&gt;=Control!$N$4,تفصيلي!O96&lt;=Control!$O$4),Control!$P$4,"Out Of Range"))),ControlRoom[[#Headers],[فائدة أ]:[فائدة ج]],0))</f>
        <v>#N/A</v>
      </c>
      <c r="W96" s="419"/>
      <c r="X96" s="466">
        <f t="shared" si="9"/>
        <v>0</v>
      </c>
      <c r="Y96" s="167"/>
      <c r="Z96" s="302">
        <f t="shared" si="10"/>
        <v>0</v>
      </c>
      <c r="AA96" s="166"/>
      <c r="AB96" s="167" t="s">
        <v>624</v>
      </c>
      <c r="AC96" s="167">
        <f t="shared" si="11"/>
        <v>0</v>
      </c>
      <c r="AD96" s="169">
        <f t="shared" si="12"/>
        <v>0</v>
      </c>
      <c r="AE96" s="174"/>
      <c r="AF96" s="303">
        <f t="shared" si="13"/>
        <v>0</v>
      </c>
      <c r="AG96" s="484"/>
      <c r="AH96" s="174" t="s">
        <v>624</v>
      </c>
      <c r="AI96" s="169">
        <f t="shared" si="14"/>
        <v>0</v>
      </c>
      <c r="AJ96" s="175"/>
      <c r="AK96" s="175"/>
      <c r="AL96" s="485"/>
      <c r="AM96" s="486"/>
      <c r="AN96" s="487"/>
      <c r="AO96" s="175"/>
      <c r="AP96" s="467"/>
      <c r="AQ96" s="488"/>
      <c r="AR96" s="469"/>
      <c r="AS96" s="470"/>
      <c r="AT96" s="471"/>
      <c r="AU96" s="471"/>
      <c r="AV96" s="472"/>
      <c r="AW96" s="472"/>
      <c r="AX96" s="473" t="str">
        <f t="shared" si="15"/>
        <v xml:space="preserve"> ,</v>
      </c>
      <c r="AY96" s="473" t="str">
        <f t="shared" si="16"/>
        <v xml:space="preserve"> / </v>
      </c>
      <c r="AZ96" s="474"/>
      <c r="BA96" s="475"/>
      <c r="BB96" s="474"/>
      <c r="BC96" s="474"/>
      <c r="BD96" s="475"/>
      <c r="BE96" s="474"/>
    </row>
    <row r="97" spans="1:57" s="476" customFormat="1" ht="21.6" customHeight="1">
      <c r="A97" s="341">
        <f t="shared" si="17"/>
        <v>92</v>
      </c>
      <c r="B97" s="481"/>
      <c r="C97" s="477"/>
      <c r="D97" s="342"/>
      <c r="E97" s="482"/>
      <c r="F97" s="461" t="s">
        <v>624</v>
      </c>
      <c r="G97" s="342"/>
      <c r="H97" s="176"/>
      <c r="I97" s="176"/>
      <c r="J97" s="346"/>
      <c r="K97" s="462"/>
      <c r="L97" s="483"/>
      <c r="M97" s="463"/>
      <c r="N97" s="346"/>
      <c r="O97" s="412"/>
      <c r="P97" s="413"/>
      <c r="Q97" s="464"/>
      <c r="R97" s="465">
        <f>IFERROR(VLOOKUP(1,'Data Validation'!$O$2:$P$25,2,FALSE),"")</f>
        <v>45906</v>
      </c>
      <c r="S97" s="465" t="str">
        <f>IFERROR(VLOOKUP($P97,'Data Validation'!$O$2:$P$25,2,FALSE),"")</f>
        <v/>
      </c>
      <c r="T97" s="419" t="e">
        <f ca="1">INDEX(INDIRECT(INDEX(ControlRoom[اجمالي الالتزام],MATCH(تفصيلي!Q97,Control!$B$2:$B$12,0))),MATCH(CONCATENATE(O97,P97),INDIRECT(INDEX(ControlRoom[المبلغ],MATCH(تفصيلي!Q97,ControlRoom[التمويل],0))),0))</f>
        <v>#N/A</v>
      </c>
      <c r="U97" s="419" t="e">
        <f ca="1">INDEX(INDIRECT(INDEX(ControlRoom[القسط الشهري],MATCH(تفصيلي!Q97,Control!$B$2:$B$12,0))),MATCH(CONCATENATE(O97,P97),INDIRECT(INDEX(ControlRoom[المبلغ],MATCH(تفصيلي!Q97,ControlRoom[التمويل],0))),0))</f>
        <v>#N/A</v>
      </c>
      <c r="V97" s="420" t="e">
        <f>INDEX(ControlRoom[[فائدة أ]:[فائدة ج]],MATCH(تفصيلي!Q97,ControlRoom[التمويل],0),MATCH(IF(AND(تفصيلي!O97&gt;=Control!$N$2,تفصيلي!O97&lt;=Control!$O$2),Control!$P$2,IF(AND(تفصيلي!O97&gt;=Control!$N$3,تفصيلي!O97&lt;=Control!$O$3),Control!$P$3,IF(AND(تفصيلي!O97&gt;=Control!$N$4,تفصيلي!O97&lt;=Control!$O$4),Control!$P$4,"Out Of Range"))),ControlRoom[[#Headers],[فائدة أ]:[فائدة ج]],0))</f>
        <v>#N/A</v>
      </c>
      <c r="W97" s="419"/>
      <c r="X97" s="466">
        <f t="shared" si="9"/>
        <v>0</v>
      </c>
      <c r="Y97" s="167"/>
      <c r="Z97" s="302">
        <f t="shared" si="10"/>
        <v>0</v>
      </c>
      <c r="AA97" s="166"/>
      <c r="AB97" s="167" t="s">
        <v>624</v>
      </c>
      <c r="AC97" s="167">
        <f t="shared" si="11"/>
        <v>0</v>
      </c>
      <c r="AD97" s="169">
        <f t="shared" si="12"/>
        <v>0</v>
      </c>
      <c r="AE97" s="174"/>
      <c r="AF97" s="303">
        <f t="shared" si="13"/>
        <v>0</v>
      </c>
      <c r="AG97" s="484"/>
      <c r="AH97" s="174" t="s">
        <v>624</v>
      </c>
      <c r="AI97" s="169">
        <f t="shared" si="14"/>
        <v>0</v>
      </c>
      <c r="AJ97" s="175"/>
      <c r="AK97" s="175"/>
      <c r="AL97" s="485"/>
      <c r="AM97" s="486"/>
      <c r="AN97" s="487"/>
      <c r="AO97" s="175"/>
      <c r="AP97" s="467"/>
      <c r="AQ97" s="488"/>
      <c r="AR97" s="469"/>
      <c r="AS97" s="470"/>
      <c r="AT97" s="471"/>
      <c r="AU97" s="471"/>
      <c r="AV97" s="472"/>
      <c r="AW97" s="472"/>
      <c r="AX97" s="473" t="str">
        <f t="shared" si="15"/>
        <v xml:space="preserve"> ,</v>
      </c>
      <c r="AY97" s="473" t="str">
        <f t="shared" si="16"/>
        <v xml:space="preserve"> / </v>
      </c>
      <c r="AZ97" s="474"/>
      <c r="BA97" s="475"/>
      <c r="BB97" s="474"/>
      <c r="BC97" s="474"/>
      <c r="BD97" s="475"/>
      <c r="BE97" s="474"/>
    </row>
    <row r="98" spans="1:57" s="476" customFormat="1" ht="21.6" customHeight="1">
      <c r="A98" s="341">
        <f t="shared" si="17"/>
        <v>93</v>
      </c>
      <c r="B98" s="481"/>
      <c r="C98" s="477"/>
      <c r="D98" s="342"/>
      <c r="E98" s="482"/>
      <c r="F98" s="461" t="s">
        <v>624</v>
      </c>
      <c r="G98" s="342"/>
      <c r="H98" s="176"/>
      <c r="I98" s="176"/>
      <c r="J98" s="346"/>
      <c r="K98" s="462"/>
      <c r="L98" s="483"/>
      <c r="M98" s="463"/>
      <c r="N98" s="346"/>
      <c r="O98" s="412"/>
      <c r="P98" s="413"/>
      <c r="Q98" s="464"/>
      <c r="R98" s="465">
        <f>IFERROR(VLOOKUP(1,'Data Validation'!$O$2:$P$25,2,FALSE),"")</f>
        <v>45906</v>
      </c>
      <c r="S98" s="465" t="str">
        <f>IFERROR(VLOOKUP($P98,'Data Validation'!$O$2:$P$25,2,FALSE),"")</f>
        <v/>
      </c>
      <c r="T98" s="419" t="e">
        <f ca="1">INDEX(INDIRECT(INDEX(ControlRoom[اجمالي الالتزام],MATCH(تفصيلي!Q98,Control!$B$2:$B$12,0))),MATCH(CONCATENATE(O98,P98),INDIRECT(INDEX(ControlRoom[المبلغ],MATCH(تفصيلي!Q98,ControlRoom[التمويل],0))),0))</f>
        <v>#N/A</v>
      </c>
      <c r="U98" s="419" t="e">
        <f ca="1">INDEX(INDIRECT(INDEX(ControlRoom[القسط الشهري],MATCH(تفصيلي!Q98,Control!$B$2:$B$12,0))),MATCH(CONCATENATE(O98,P98),INDIRECT(INDEX(ControlRoom[المبلغ],MATCH(تفصيلي!Q98,ControlRoom[التمويل],0))),0))</f>
        <v>#N/A</v>
      </c>
      <c r="V98" s="420" t="e">
        <f>INDEX(ControlRoom[[فائدة أ]:[فائدة ج]],MATCH(تفصيلي!Q98,ControlRoom[التمويل],0),MATCH(IF(AND(تفصيلي!O98&gt;=Control!$N$2,تفصيلي!O98&lt;=Control!$O$2),Control!$P$2,IF(AND(تفصيلي!O98&gt;=Control!$N$3,تفصيلي!O98&lt;=Control!$O$3),Control!$P$3,IF(AND(تفصيلي!O98&gt;=Control!$N$4,تفصيلي!O98&lt;=Control!$O$4),Control!$P$4,"Out Of Range"))),ControlRoom[[#Headers],[فائدة أ]:[فائدة ج]],0))</f>
        <v>#N/A</v>
      </c>
      <c r="W98" s="419"/>
      <c r="X98" s="466">
        <f t="shared" si="9"/>
        <v>0</v>
      </c>
      <c r="Y98" s="167"/>
      <c r="Z98" s="302">
        <f t="shared" si="10"/>
        <v>0</v>
      </c>
      <c r="AA98" s="166"/>
      <c r="AB98" s="167" t="s">
        <v>624</v>
      </c>
      <c r="AC98" s="167">
        <f t="shared" si="11"/>
        <v>0</v>
      </c>
      <c r="AD98" s="169">
        <f t="shared" si="12"/>
        <v>0</v>
      </c>
      <c r="AE98" s="174"/>
      <c r="AF98" s="303">
        <f t="shared" si="13"/>
        <v>0</v>
      </c>
      <c r="AG98" s="484"/>
      <c r="AH98" s="174" t="s">
        <v>624</v>
      </c>
      <c r="AI98" s="169">
        <f t="shared" si="14"/>
        <v>0</v>
      </c>
      <c r="AJ98" s="175"/>
      <c r="AK98" s="175"/>
      <c r="AL98" s="485"/>
      <c r="AM98" s="486"/>
      <c r="AN98" s="487"/>
      <c r="AO98" s="175"/>
      <c r="AP98" s="467"/>
      <c r="AQ98" s="488"/>
      <c r="AR98" s="469"/>
      <c r="AS98" s="470"/>
      <c r="AT98" s="471"/>
      <c r="AU98" s="471"/>
      <c r="AV98" s="472"/>
      <c r="AW98" s="472"/>
      <c r="AX98" s="473" t="str">
        <f t="shared" si="15"/>
        <v xml:space="preserve"> ,</v>
      </c>
      <c r="AY98" s="473" t="str">
        <f t="shared" si="16"/>
        <v xml:space="preserve"> / </v>
      </c>
      <c r="AZ98" s="474"/>
      <c r="BA98" s="475"/>
      <c r="BB98" s="474"/>
      <c r="BC98" s="474"/>
      <c r="BD98" s="475"/>
      <c r="BE98" s="474"/>
    </row>
    <row r="99" spans="1:57" s="476" customFormat="1" ht="21.6" customHeight="1">
      <c r="A99" s="341">
        <f t="shared" si="17"/>
        <v>94</v>
      </c>
      <c r="B99" s="481"/>
      <c r="C99" s="477"/>
      <c r="D99" s="342"/>
      <c r="E99" s="482"/>
      <c r="F99" s="461" t="s">
        <v>624</v>
      </c>
      <c r="G99" s="342"/>
      <c r="H99" s="176"/>
      <c r="I99" s="176"/>
      <c r="J99" s="346"/>
      <c r="K99" s="462"/>
      <c r="L99" s="483"/>
      <c r="M99" s="463"/>
      <c r="N99" s="346"/>
      <c r="O99" s="412"/>
      <c r="P99" s="413"/>
      <c r="Q99" s="464"/>
      <c r="R99" s="465">
        <f>IFERROR(VLOOKUP(1,'Data Validation'!$O$2:$P$25,2,FALSE),"")</f>
        <v>45906</v>
      </c>
      <c r="S99" s="465" t="str">
        <f>IFERROR(VLOOKUP($P99,'Data Validation'!$O$2:$P$25,2,FALSE),"")</f>
        <v/>
      </c>
      <c r="T99" s="419" t="e">
        <f ca="1">INDEX(INDIRECT(INDEX(ControlRoom[اجمالي الالتزام],MATCH(تفصيلي!Q99,Control!$B$2:$B$12,0))),MATCH(CONCATENATE(O99,P99),INDIRECT(INDEX(ControlRoom[المبلغ],MATCH(تفصيلي!Q99,ControlRoom[التمويل],0))),0))</f>
        <v>#N/A</v>
      </c>
      <c r="U99" s="419" t="e">
        <f ca="1">INDEX(INDIRECT(INDEX(ControlRoom[القسط الشهري],MATCH(تفصيلي!Q99,Control!$B$2:$B$12,0))),MATCH(CONCATENATE(O99,P99),INDIRECT(INDEX(ControlRoom[المبلغ],MATCH(تفصيلي!Q99,ControlRoom[التمويل],0))),0))</f>
        <v>#N/A</v>
      </c>
      <c r="V99" s="420" t="e">
        <f>INDEX(ControlRoom[[فائدة أ]:[فائدة ج]],MATCH(تفصيلي!Q99,ControlRoom[التمويل],0),MATCH(IF(AND(تفصيلي!O99&gt;=Control!$N$2,تفصيلي!O99&lt;=Control!$O$2),Control!$P$2,IF(AND(تفصيلي!O99&gt;=Control!$N$3,تفصيلي!O99&lt;=Control!$O$3),Control!$P$3,IF(AND(تفصيلي!O99&gt;=Control!$N$4,تفصيلي!O99&lt;=Control!$O$4),Control!$P$4,"Out Of Range"))),ControlRoom[[#Headers],[فائدة أ]:[فائدة ج]],0))</f>
        <v>#N/A</v>
      </c>
      <c r="W99" s="419"/>
      <c r="X99" s="466">
        <f t="shared" si="9"/>
        <v>0</v>
      </c>
      <c r="Y99" s="167"/>
      <c r="Z99" s="302">
        <f t="shared" si="10"/>
        <v>0</v>
      </c>
      <c r="AA99" s="166"/>
      <c r="AB99" s="167" t="s">
        <v>624</v>
      </c>
      <c r="AC99" s="167">
        <f t="shared" si="11"/>
        <v>0</v>
      </c>
      <c r="AD99" s="169">
        <f t="shared" si="12"/>
        <v>0</v>
      </c>
      <c r="AE99" s="174"/>
      <c r="AF99" s="303">
        <f t="shared" si="13"/>
        <v>0</v>
      </c>
      <c r="AG99" s="484"/>
      <c r="AH99" s="174" t="s">
        <v>624</v>
      </c>
      <c r="AI99" s="169">
        <f t="shared" si="14"/>
        <v>0</v>
      </c>
      <c r="AJ99" s="175"/>
      <c r="AK99" s="175"/>
      <c r="AL99" s="485"/>
      <c r="AM99" s="486"/>
      <c r="AN99" s="487"/>
      <c r="AO99" s="175"/>
      <c r="AP99" s="467"/>
      <c r="AQ99" s="488"/>
      <c r="AR99" s="469"/>
      <c r="AS99" s="470"/>
      <c r="AT99" s="471"/>
      <c r="AU99" s="471"/>
      <c r="AV99" s="472"/>
      <c r="AW99" s="472"/>
      <c r="AX99" s="473" t="str">
        <f t="shared" si="15"/>
        <v xml:space="preserve"> ,</v>
      </c>
      <c r="AY99" s="473" t="str">
        <f t="shared" si="16"/>
        <v xml:space="preserve"> / </v>
      </c>
      <c r="AZ99" s="474"/>
      <c r="BA99" s="475"/>
      <c r="BB99" s="474"/>
      <c r="BC99" s="474"/>
      <c r="BD99" s="475"/>
      <c r="BE99" s="474"/>
    </row>
    <row r="100" spans="1:57" s="476" customFormat="1" ht="21.6" customHeight="1">
      <c r="A100" s="341">
        <f t="shared" si="17"/>
        <v>95</v>
      </c>
      <c r="B100" s="481"/>
      <c r="C100" s="477"/>
      <c r="D100" s="342"/>
      <c r="E100" s="482"/>
      <c r="F100" s="461" t="s">
        <v>624</v>
      </c>
      <c r="G100" s="342"/>
      <c r="H100" s="176"/>
      <c r="I100" s="176"/>
      <c r="J100" s="346"/>
      <c r="K100" s="462"/>
      <c r="L100" s="483"/>
      <c r="M100" s="463"/>
      <c r="N100" s="346"/>
      <c r="O100" s="412"/>
      <c r="P100" s="413"/>
      <c r="Q100" s="464"/>
      <c r="R100" s="465">
        <f>IFERROR(VLOOKUP(1,'Data Validation'!$O$2:$P$25,2,FALSE),"")</f>
        <v>45906</v>
      </c>
      <c r="S100" s="465" t="str">
        <f>IFERROR(VLOOKUP($P100,'Data Validation'!$O$2:$P$25,2,FALSE),"")</f>
        <v/>
      </c>
      <c r="T100" s="419" t="e">
        <f ca="1">INDEX(INDIRECT(INDEX(ControlRoom[اجمالي الالتزام],MATCH(تفصيلي!Q100,Control!$B$2:$B$12,0))),MATCH(CONCATENATE(O100,P100),INDIRECT(INDEX(ControlRoom[المبلغ],MATCH(تفصيلي!Q100,ControlRoom[التمويل],0))),0))</f>
        <v>#N/A</v>
      </c>
      <c r="U100" s="419" t="e">
        <f ca="1">INDEX(INDIRECT(INDEX(ControlRoom[القسط الشهري],MATCH(تفصيلي!Q100,Control!$B$2:$B$12,0))),MATCH(CONCATENATE(O100,P100),INDIRECT(INDEX(ControlRoom[المبلغ],MATCH(تفصيلي!Q100,ControlRoom[التمويل],0))),0))</f>
        <v>#N/A</v>
      </c>
      <c r="V100" s="420" t="e">
        <f>INDEX(ControlRoom[[فائدة أ]:[فائدة ج]],MATCH(تفصيلي!Q100,ControlRoom[التمويل],0),MATCH(IF(AND(تفصيلي!O100&gt;=Control!$N$2,تفصيلي!O100&lt;=Control!$O$2),Control!$P$2,IF(AND(تفصيلي!O100&gt;=Control!$N$3,تفصيلي!O100&lt;=Control!$O$3),Control!$P$3,IF(AND(تفصيلي!O100&gt;=Control!$N$4,تفصيلي!O100&lt;=Control!$O$4),Control!$P$4,"Out Of Range"))),ControlRoom[[#Headers],[فائدة أ]:[فائدة ج]],0))</f>
        <v>#N/A</v>
      </c>
      <c r="W100" s="419"/>
      <c r="X100" s="466">
        <f t="shared" si="9"/>
        <v>0</v>
      </c>
      <c r="Y100" s="167"/>
      <c r="Z100" s="302">
        <f t="shared" si="10"/>
        <v>0</v>
      </c>
      <c r="AA100" s="166"/>
      <c r="AB100" s="167" t="s">
        <v>624</v>
      </c>
      <c r="AC100" s="167">
        <f t="shared" si="11"/>
        <v>0</v>
      </c>
      <c r="AD100" s="169">
        <f t="shared" si="12"/>
        <v>0</v>
      </c>
      <c r="AE100" s="174"/>
      <c r="AF100" s="303">
        <f t="shared" si="13"/>
        <v>0</v>
      </c>
      <c r="AG100" s="484"/>
      <c r="AH100" s="174" t="s">
        <v>624</v>
      </c>
      <c r="AI100" s="169">
        <f t="shared" si="14"/>
        <v>0</v>
      </c>
      <c r="AJ100" s="175"/>
      <c r="AK100" s="175"/>
      <c r="AL100" s="485"/>
      <c r="AM100" s="486"/>
      <c r="AN100" s="487"/>
      <c r="AO100" s="175"/>
      <c r="AP100" s="467"/>
      <c r="AQ100" s="488"/>
      <c r="AR100" s="469"/>
      <c r="AS100" s="470"/>
      <c r="AT100" s="471"/>
      <c r="AU100" s="471"/>
      <c r="AV100" s="472"/>
      <c r="AW100" s="472"/>
      <c r="AX100" s="473" t="str">
        <f t="shared" si="15"/>
        <v xml:space="preserve"> ,</v>
      </c>
      <c r="AY100" s="473" t="str">
        <f t="shared" si="16"/>
        <v xml:space="preserve"> / </v>
      </c>
      <c r="AZ100" s="474"/>
      <c r="BA100" s="475"/>
      <c r="BB100" s="474"/>
      <c r="BC100" s="474"/>
      <c r="BD100" s="475"/>
      <c r="BE100" s="474"/>
    </row>
    <row r="101" spans="1:57" s="476" customFormat="1" ht="21.6" customHeight="1">
      <c r="A101" s="341">
        <f t="shared" si="17"/>
        <v>96</v>
      </c>
      <c r="B101" s="481"/>
      <c r="C101" s="477"/>
      <c r="D101" s="342"/>
      <c r="E101" s="482"/>
      <c r="F101" s="461" t="s">
        <v>624</v>
      </c>
      <c r="G101" s="342"/>
      <c r="H101" s="176"/>
      <c r="I101" s="176"/>
      <c r="J101" s="346"/>
      <c r="K101" s="462"/>
      <c r="L101" s="483"/>
      <c r="M101" s="463"/>
      <c r="N101" s="346"/>
      <c r="O101" s="412"/>
      <c r="P101" s="413"/>
      <c r="Q101" s="464"/>
      <c r="R101" s="465">
        <f>IFERROR(VLOOKUP(1,'Data Validation'!$O$2:$P$25,2,FALSE),"")</f>
        <v>45906</v>
      </c>
      <c r="S101" s="465" t="str">
        <f>IFERROR(VLOOKUP($P101,'Data Validation'!$O$2:$P$25,2,FALSE),"")</f>
        <v/>
      </c>
      <c r="T101" s="419" t="e">
        <f ca="1">INDEX(INDIRECT(INDEX(ControlRoom[اجمالي الالتزام],MATCH(تفصيلي!Q101,Control!$B$2:$B$12,0))),MATCH(CONCATENATE(O101,P101),INDIRECT(INDEX(ControlRoom[المبلغ],MATCH(تفصيلي!Q101,ControlRoom[التمويل],0))),0))</f>
        <v>#N/A</v>
      </c>
      <c r="U101" s="419" t="e">
        <f ca="1">INDEX(INDIRECT(INDEX(ControlRoom[القسط الشهري],MATCH(تفصيلي!Q101,Control!$B$2:$B$12,0))),MATCH(CONCATENATE(O101,P101),INDIRECT(INDEX(ControlRoom[المبلغ],MATCH(تفصيلي!Q101,ControlRoom[التمويل],0))),0))</f>
        <v>#N/A</v>
      </c>
      <c r="V101" s="420" t="e">
        <f>INDEX(ControlRoom[[فائدة أ]:[فائدة ج]],MATCH(تفصيلي!Q101,ControlRoom[التمويل],0),MATCH(IF(AND(تفصيلي!O101&gt;=Control!$N$2,تفصيلي!O101&lt;=Control!$O$2),Control!$P$2,IF(AND(تفصيلي!O101&gt;=Control!$N$3,تفصيلي!O101&lt;=Control!$O$3),Control!$P$3,IF(AND(تفصيلي!O101&gt;=Control!$N$4,تفصيلي!O101&lt;=Control!$O$4),Control!$P$4,"Out Of Range"))),ControlRoom[[#Headers],[فائدة أ]:[فائدة ج]],0))</f>
        <v>#N/A</v>
      </c>
      <c r="W101" s="419"/>
      <c r="X101" s="466">
        <f t="shared" si="9"/>
        <v>0</v>
      </c>
      <c r="Y101" s="167"/>
      <c r="Z101" s="302">
        <f t="shared" si="10"/>
        <v>0</v>
      </c>
      <c r="AA101" s="166"/>
      <c r="AB101" s="167" t="s">
        <v>624</v>
      </c>
      <c r="AC101" s="167">
        <f t="shared" si="11"/>
        <v>0</v>
      </c>
      <c r="AD101" s="169">
        <f t="shared" si="12"/>
        <v>0</v>
      </c>
      <c r="AE101" s="174"/>
      <c r="AF101" s="303">
        <f t="shared" si="13"/>
        <v>0</v>
      </c>
      <c r="AG101" s="484"/>
      <c r="AH101" s="174" t="s">
        <v>624</v>
      </c>
      <c r="AI101" s="169">
        <f t="shared" si="14"/>
        <v>0</v>
      </c>
      <c r="AJ101" s="175"/>
      <c r="AK101" s="175"/>
      <c r="AL101" s="485"/>
      <c r="AM101" s="486"/>
      <c r="AN101" s="487"/>
      <c r="AO101" s="175"/>
      <c r="AP101" s="467"/>
      <c r="AQ101" s="488"/>
      <c r="AR101" s="469"/>
      <c r="AS101" s="470"/>
      <c r="AT101" s="471"/>
      <c r="AU101" s="471"/>
      <c r="AV101" s="472"/>
      <c r="AW101" s="472"/>
      <c r="AX101" s="473" t="str">
        <f t="shared" si="15"/>
        <v xml:space="preserve"> ,</v>
      </c>
      <c r="AY101" s="473" t="str">
        <f t="shared" si="16"/>
        <v xml:space="preserve"> / </v>
      </c>
      <c r="AZ101" s="474"/>
      <c r="BA101" s="475"/>
      <c r="BB101" s="474"/>
      <c r="BC101" s="474"/>
      <c r="BD101" s="475"/>
      <c r="BE101" s="474"/>
    </row>
    <row r="102" spans="1:57" s="476" customFormat="1" ht="21.6" customHeight="1">
      <c r="A102" s="341">
        <f t="shared" si="17"/>
        <v>97</v>
      </c>
      <c r="B102" s="481"/>
      <c r="C102" s="477"/>
      <c r="D102" s="342"/>
      <c r="E102" s="482"/>
      <c r="F102" s="461" t="s">
        <v>624</v>
      </c>
      <c r="G102" s="342"/>
      <c r="H102" s="176"/>
      <c r="I102" s="176"/>
      <c r="J102" s="346"/>
      <c r="K102" s="462"/>
      <c r="L102" s="483"/>
      <c r="M102" s="463"/>
      <c r="N102" s="346"/>
      <c r="O102" s="412"/>
      <c r="P102" s="413"/>
      <c r="Q102" s="464"/>
      <c r="R102" s="465">
        <f>IFERROR(VLOOKUP(1,'Data Validation'!$O$2:$P$25,2,FALSE),"")</f>
        <v>45906</v>
      </c>
      <c r="S102" s="465" t="str">
        <f>IFERROR(VLOOKUP($P102,'Data Validation'!$O$2:$P$25,2,FALSE),"")</f>
        <v/>
      </c>
      <c r="T102" s="419" t="e">
        <f ca="1">INDEX(INDIRECT(INDEX(ControlRoom[اجمالي الالتزام],MATCH(تفصيلي!Q102,Control!$B$2:$B$12,0))),MATCH(CONCATENATE(O102,P102),INDIRECT(INDEX(ControlRoom[المبلغ],MATCH(تفصيلي!Q102,ControlRoom[التمويل],0))),0))</f>
        <v>#N/A</v>
      </c>
      <c r="U102" s="419" t="e">
        <f ca="1">INDEX(INDIRECT(INDEX(ControlRoom[القسط الشهري],MATCH(تفصيلي!Q102,Control!$B$2:$B$12,0))),MATCH(CONCATENATE(O102,P102),INDIRECT(INDEX(ControlRoom[المبلغ],MATCH(تفصيلي!Q102,ControlRoom[التمويل],0))),0))</f>
        <v>#N/A</v>
      </c>
      <c r="V102" s="420" t="e">
        <f>INDEX(ControlRoom[[فائدة أ]:[فائدة ج]],MATCH(تفصيلي!Q102,ControlRoom[التمويل],0),MATCH(IF(AND(تفصيلي!O102&gt;=Control!$N$2,تفصيلي!O102&lt;=Control!$O$2),Control!$P$2,IF(AND(تفصيلي!O102&gt;=Control!$N$3,تفصيلي!O102&lt;=Control!$O$3),Control!$P$3,IF(AND(تفصيلي!O102&gt;=Control!$N$4,تفصيلي!O102&lt;=Control!$O$4),Control!$P$4,"Out Of Range"))),ControlRoom[[#Headers],[فائدة أ]:[فائدة ج]],0))</f>
        <v>#N/A</v>
      </c>
      <c r="W102" s="419"/>
      <c r="X102" s="466">
        <f t="shared" si="9"/>
        <v>0</v>
      </c>
      <c r="Y102" s="167"/>
      <c r="Z102" s="302">
        <f t="shared" si="10"/>
        <v>0</v>
      </c>
      <c r="AA102" s="166"/>
      <c r="AB102" s="167" t="s">
        <v>624</v>
      </c>
      <c r="AC102" s="167">
        <f t="shared" si="11"/>
        <v>0</v>
      </c>
      <c r="AD102" s="169">
        <f t="shared" si="12"/>
        <v>0</v>
      </c>
      <c r="AE102" s="174"/>
      <c r="AF102" s="303">
        <f t="shared" si="13"/>
        <v>0</v>
      </c>
      <c r="AG102" s="484"/>
      <c r="AH102" s="174" t="s">
        <v>624</v>
      </c>
      <c r="AI102" s="169">
        <f t="shared" si="14"/>
        <v>0</v>
      </c>
      <c r="AJ102" s="175"/>
      <c r="AK102" s="175"/>
      <c r="AL102" s="485"/>
      <c r="AM102" s="486"/>
      <c r="AN102" s="487"/>
      <c r="AO102" s="175"/>
      <c r="AP102" s="467"/>
      <c r="AQ102" s="488"/>
      <c r="AR102" s="469"/>
      <c r="AS102" s="470"/>
      <c r="AT102" s="471"/>
      <c r="AU102" s="471"/>
      <c r="AV102" s="472"/>
      <c r="AW102" s="472"/>
      <c r="AX102" s="473" t="str">
        <f t="shared" si="15"/>
        <v xml:space="preserve"> ,</v>
      </c>
      <c r="AY102" s="473" t="str">
        <f t="shared" si="16"/>
        <v xml:space="preserve"> / </v>
      </c>
      <c r="AZ102" s="474"/>
      <c r="BA102" s="475"/>
      <c r="BB102" s="474"/>
      <c r="BC102" s="474"/>
      <c r="BD102" s="475"/>
      <c r="BE102" s="474"/>
    </row>
    <row r="103" spans="1:57" s="476" customFormat="1" ht="21.6" customHeight="1">
      <c r="A103" s="341">
        <f t="shared" si="17"/>
        <v>98</v>
      </c>
      <c r="B103" s="481"/>
      <c r="C103" s="477"/>
      <c r="D103" s="342"/>
      <c r="E103" s="482"/>
      <c r="F103" s="461" t="s">
        <v>624</v>
      </c>
      <c r="G103" s="342"/>
      <c r="H103" s="176"/>
      <c r="I103" s="176"/>
      <c r="J103" s="346"/>
      <c r="K103" s="462"/>
      <c r="L103" s="483"/>
      <c r="M103" s="463"/>
      <c r="N103" s="346"/>
      <c r="O103" s="412"/>
      <c r="P103" s="413"/>
      <c r="Q103" s="464"/>
      <c r="R103" s="465">
        <f>IFERROR(VLOOKUP(1,'Data Validation'!$O$2:$P$25,2,FALSE),"")</f>
        <v>45906</v>
      </c>
      <c r="S103" s="465" t="str">
        <f>IFERROR(VLOOKUP($P103,'Data Validation'!$O$2:$P$25,2,FALSE),"")</f>
        <v/>
      </c>
      <c r="T103" s="419" t="e">
        <f ca="1">INDEX(INDIRECT(INDEX(ControlRoom[اجمالي الالتزام],MATCH(تفصيلي!Q103,Control!$B$2:$B$12,0))),MATCH(CONCATENATE(O103,P103),INDIRECT(INDEX(ControlRoom[المبلغ],MATCH(تفصيلي!Q103,ControlRoom[التمويل],0))),0))</f>
        <v>#N/A</v>
      </c>
      <c r="U103" s="419" t="e">
        <f ca="1">INDEX(INDIRECT(INDEX(ControlRoom[القسط الشهري],MATCH(تفصيلي!Q103,Control!$B$2:$B$12,0))),MATCH(CONCATENATE(O103,P103),INDIRECT(INDEX(ControlRoom[المبلغ],MATCH(تفصيلي!Q103,ControlRoom[التمويل],0))),0))</f>
        <v>#N/A</v>
      </c>
      <c r="V103" s="420" t="e">
        <f>INDEX(ControlRoom[[فائدة أ]:[فائدة ج]],MATCH(تفصيلي!Q103,ControlRoom[التمويل],0),MATCH(IF(AND(تفصيلي!O103&gt;=Control!$N$2,تفصيلي!O103&lt;=Control!$O$2),Control!$P$2,IF(AND(تفصيلي!O103&gt;=Control!$N$3,تفصيلي!O103&lt;=Control!$O$3),Control!$P$3,IF(AND(تفصيلي!O103&gt;=Control!$N$4,تفصيلي!O103&lt;=Control!$O$4),Control!$P$4,"Out Of Range"))),ControlRoom[[#Headers],[فائدة أ]:[فائدة ج]],0))</f>
        <v>#N/A</v>
      </c>
      <c r="W103" s="419"/>
      <c r="X103" s="466">
        <f t="shared" si="9"/>
        <v>0</v>
      </c>
      <c r="Y103" s="167"/>
      <c r="Z103" s="302">
        <f t="shared" si="10"/>
        <v>0</v>
      </c>
      <c r="AA103" s="166"/>
      <c r="AB103" s="167" t="s">
        <v>624</v>
      </c>
      <c r="AC103" s="167">
        <f t="shared" si="11"/>
        <v>0</v>
      </c>
      <c r="AD103" s="169">
        <f t="shared" si="12"/>
        <v>0</v>
      </c>
      <c r="AE103" s="174"/>
      <c r="AF103" s="303">
        <f t="shared" si="13"/>
        <v>0</v>
      </c>
      <c r="AG103" s="484"/>
      <c r="AH103" s="174" t="s">
        <v>624</v>
      </c>
      <c r="AI103" s="169">
        <f t="shared" si="14"/>
        <v>0</v>
      </c>
      <c r="AJ103" s="175"/>
      <c r="AK103" s="175"/>
      <c r="AL103" s="485"/>
      <c r="AM103" s="486"/>
      <c r="AN103" s="487"/>
      <c r="AO103" s="175"/>
      <c r="AP103" s="467"/>
      <c r="AQ103" s="488"/>
      <c r="AR103" s="469"/>
      <c r="AS103" s="470"/>
      <c r="AT103" s="471"/>
      <c r="AU103" s="471"/>
      <c r="AV103" s="472"/>
      <c r="AW103" s="472"/>
      <c r="AX103" s="473" t="str">
        <f t="shared" si="15"/>
        <v xml:space="preserve"> ,</v>
      </c>
      <c r="AY103" s="473" t="str">
        <f t="shared" si="16"/>
        <v xml:space="preserve"> / </v>
      </c>
      <c r="AZ103" s="474"/>
      <c r="BA103" s="475"/>
      <c r="BB103" s="474"/>
      <c r="BC103" s="474"/>
      <c r="BD103" s="475"/>
      <c r="BE103" s="474"/>
    </row>
    <row r="104" spans="1:57" s="476" customFormat="1" ht="21.6" customHeight="1">
      <c r="A104" s="341">
        <f t="shared" si="17"/>
        <v>99</v>
      </c>
      <c r="B104" s="481"/>
      <c r="C104" s="477"/>
      <c r="D104" s="342"/>
      <c r="E104" s="482"/>
      <c r="F104" s="461" t="s">
        <v>624</v>
      </c>
      <c r="G104" s="342"/>
      <c r="H104" s="176"/>
      <c r="I104" s="176"/>
      <c r="J104" s="346"/>
      <c r="K104" s="462"/>
      <c r="L104" s="483"/>
      <c r="M104" s="463"/>
      <c r="N104" s="346"/>
      <c r="O104" s="412"/>
      <c r="P104" s="413"/>
      <c r="Q104" s="464"/>
      <c r="R104" s="465">
        <f>IFERROR(VLOOKUP(1,'Data Validation'!$O$2:$P$25,2,FALSE),"")</f>
        <v>45906</v>
      </c>
      <c r="S104" s="465" t="str">
        <f>IFERROR(VLOOKUP($P104,'Data Validation'!$O$2:$P$25,2,FALSE),"")</f>
        <v/>
      </c>
      <c r="T104" s="419" t="e">
        <f ca="1">INDEX(INDIRECT(INDEX(ControlRoom[اجمالي الالتزام],MATCH(تفصيلي!Q104,Control!$B$2:$B$12,0))),MATCH(CONCATENATE(O104,P104),INDIRECT(INDEX(ControlRoom[المبلغ],MATCH(تفصيلي!Q104,ControlRoom[التمويل],0))),0))</f>
        <v>#N/A</v>
      </c>
      <c r="U104" s="419" t="e">
        <f ca="1">INDEX(INDIRECT(INDEX(ControlRoom[القسط الشهري],MATCH(تفصيلي!Q104,Control!$B$2:$B$12,0))),MATCH(CONCATENATE(O104,P104),INDIRECT(INDEX(ControlRoom[المبلغ],MATCH(تفصيلي!Q104,ControlRoom[التمويل],0))),0))</f>
        <v>#N/A</v>
      </c>
      <c r="V104" s="420" t="e">
        <f>INDEX(ControlRoom[[فائدة أ]:[فائدة ج]],MATCH(تفصيلي!Q104,ControlRoom[التمويل],0),MATCH(IF(AND(تفصيلي!O104&gt;=Control!$N$2,تفصيلي!O104&lt;=Control!$O$2),Control!$P$2,IF(AND(تفصيلي!O104&gt;=Control!$N$3,تفصيلي!O104&lt;=Control!$O$3),Control!$P$3,IF(AND(تفصيلي!O104&gt;=Control!$N$4,تفصيلي!O104&lt;=Control!$O$4),Control!$P$4,"Out Of Range"))),ControlRoom[[#Headers],[فائدة أ]:[فائدة ج]],0))</f>
        <v>#N/A</v>
      </c>
      <c r="W104" s="419"/>
      <c r="X104" s="466">
        <f t="shared" si="9"/>
        <v>0</v>
      </c>
      <c r="Y104" s="167"/>
      <c r="Z104" s="302">
        <f t="shared" si="10"/>
        <v>0</v>
      </c>
      <c r="AA104" s="166"/>
      <c r="AB104" s="167" t="s">
        <v>624</v>
      </c>
      <c r="AC104" s="167">
        <f t="shared" si="11"/>
        <v>0</v>
      </c>
      <c r="AD104" s="169">
        <f t="shared" si="12"/>
        <v>0</v>
      </c>
      <c r="AE104" s="174"/>
      <c r="AF104" s="303">
        <f t="shared" si="13"/>
        <v>0</v>
      </c>
      <c r="AG104" s="484"/>
      <c r="AH104" s="174" t="s">
        <v>624</v>
      </c>
      <c r="AI104" s="169">
        <f t="shared" si="14"/>
        <v>0</v>
      </c>
      <c r="AJ104" s="175"/>
      <c r="AK104" s="175"/>
      <c r="AL104" s="485"/>
      <c r="AM104" s="486"/>
      <c r="AN104" s="487"/>
      <c r="AO104" s="175"/>
      <c r="AP104" s="467"/>
      <c r="AQ104" s="488"/>
      <c r="AR104" s="469"/>
      <c r="AS104" s="470"/>
      <c r="AT104" s="471"/>
      <c r="AU104" s="471"/>
      <c r="AV104" s="472"/>
      <c r="AW104" s="472"/>
      <c r="AX104" s="473" t="str">
        <f t="shared" si="15"/>
        <v xml:space="preserve"> ,</v>
      </c>
      <c r="AY104" s="473" t="str">
        <f t="shared" si="16"/>
        <v xml:space="preserve"> / </v>
      </c>
      <c r="AZ104" s="474"/>
      <c r="BA104" s="475"/>
      <c r="BB104" s="474"/>
      <c r="BC104" s="474"/>
      <c r="BD104" s="475"/>
      <c r="BE104" s="474"/>
    </row>
    <row r="105" spans="1:57" s="476" customFormat="1" ht="21.6" customHeight="1">
      <c r="A105" s="341">
        <f t="shared" si="17"/>
        <v>100</v>
      </c>
      <c r="B105" s="481"/>
      <c r="C105" s="477"/>
      <c r="D105" s="342"/>
      <c r="E105" s="482"/>
      <c r="F105" s="461" t="s">
        <v>624</v>
      </c>
      <c r="G105" s="342"/>
      <c r="H105" s="176"/>
      <c r="I105" s="176"/>
      <c r="J105" s="346"/>
      <c r="K105" s="462"/>
      <c r="L105" s="483"/>
      <c r="M105" s="463"/>
      <c r="N105" s="346"/>
      <c r="O105" s="412"/>
      <c r="P105" s="413"/>
      <c r="Q105" s="464"/>
      <c r="R105" s="465">
        <f>IFERROR(VLOOKUP(1,'Data Validation'!$O$2:$P$25,2,FALSE),"")</f>
        <v>45906</v>
      </c>
      <c r="S105" s="465" t="str">
        <f>IFERROR(VLOOKUP($P105,'Data Validation'!$O$2:$P$25,2,FALSE),"")</f>
        <v/>
      </c>
      <c r="T105" s="419" t="e">
        <f ca="1">INDEX(INDIRECT(INDEX(ControlRoom[اجمالي الالتزام],MATCH(تفصيلي!Q105,Control!$B$2:$B$12,0))),MATCH(CONCATENATE(O105,P105),INDIRECT(INDEX(ControlRoom[المبلغ],MATCH(تفصيلي!Q105,ControlRoom[التمويل],0))),0))</f>
        <v>#N/A</v>
      </c>
      <c r="U105" s="419" t="e">
        <f ca="1">INDEX(INDIRECT(INDEX(ControlRoom[القسط الشهري],MATCH(تفصيلي!Q105,Control!$B$2:$B$12,0))),MATCH(CONCATENATE(O105,P105),INDIRECT(INDEX(ControlRoom[المبلغ],MATCH(تفصيلي!Q105,ControlRoom[التمويل],0))),0))</f>
        <v>#N/A</v>
      </c>
      <c r="V105" s="420" t="e">
        <f>INDEX(ControlRoom[[فائدة أ]:[فائدة ج]],MATCH(تفصيلي!Q105,ControlRoom[التمويل],0),MATCH(IF(AND(تفصيلي!O105&gt;=Control!$N$2,تفصيلي!O105&lt;=Control!$O$2),Control!$P$2,IF(AND(تفصيلي!O105&gt;=Control!$N$3,تفصيلي!O105&lt;=Control!$O$3),Control!$P$3,IF(AND(تفصيلي!O105&gt;=Control!$N$4,تفصيلي!O105&lt;=Control!$O$4),Control!$P$4,"Out Of Range"))),ControlRoom[[#Headers],[فائدة أ]:[فائدة ج]],0))</f>
        <v>#N/A</v>
      </c>
      <c r="W105" s="419"/>
      <c r="X105" s="466">
        <f t="shared" si="9"/>
        <v>0</v>
      </c>
      <c r="Y105" s="167"/>
      <c r="Z105" s="302">
        <f t="shared" si="10"/>
        <v>0</v>
      </c>
      <c r="AA105" s="166"/>
      <c r="AB105" s="167" t="s">
        <v>624</v>
      </c>
      <c r="AC105" s="167">
        <f t="shared" si="11"/>
        <v>0</v>
      </c>
      <c r="AD105" s="169">
        <f t="shared" si="12"/>
        <v>0</v>
      </c>
      <c r="AE105" s="174"/>
      <c r="AF105" s="303">
        <f t="shared" si="13"/>
        <v>0</v>
      </c>
      <c r="AG105" s="484"/>
      <c r="AH105" s="174" t="s">
        <v>624</v>
      </c>
      <c r="AI105" s="169">
        <f t="shared" si="14"/>
        <v>0</v>
      </c>
      <c r="AJ105" s="175"/>
      <c r="AK105" s="175"/>
      <c r="AL105" s="485"/>
      <c r="AM105" s="486"/>
      <c r="AN105" s="487"/>
      <c r="AO105" s="175"/>
      <c r="AP105" s="467"/>
      <c r="AQ105" s="488"/>
      <c r="AR105" s="469"/>
      <c r="AS105" s="470"/>
      <c r="AT105" s="471"/>
      <c r="AU105" s="471"/>
      <c r="AV105" s="472"/>
      <c r="AW105" s="472"/>
      <c r="AX105" s="473" t="str">
        <f t="shared" si="15"/>
        <v xml:space="preserve"> ,</v>
      </c>
      <c r="AY105" s="473" t="str">
        <f t="shared" si="16"/>
        <v xml:space="preserve"> / </v>
      </c>
      <c r="AZ105" s="474"/>
      <c r="BA105" s="475"/>
      <c r="BB105" s="474"/>
      <c r="BC105" s="474"/>
      <c r="BD105" s="475"/>
      <c r="BE105" s="474"/>
    </row>
    <row r="106" spans="1:57" s="476" customFormat="1" ht="21.6" customHeight="1">
      <c r="A106" s="341">
        <f t="shared" si="17"/>
        <v>101</v>
      </c>
      <c r="B106" s="481"/>
      <c r="C106" s="477"/>
      <c r="D106" s="342"/>
      <c r="E106" s="482"/>
      <c r="F106" s="461" t="s">
        <v>624</v>
      </c>
      <c r="G106" s="342"/>
      <c r="H106" s="176"/>
      <c r="I106" s="176"/>
      <c r="J106" s="346"/>
      <c r="K106" s="462"/>
      <c r="L106" s="483"/>
      <c r="M106" s="463"/>
      <c r="N106" s="346"/>
      <c r="O106" s="412"/>
      <c r="P106" s="413"/>
      <c r="Q106" s="464"/>
      <c r="R106" s="465">
        <f>IFERROR(VLOOKUP(1,'Data Validation'!$O$2:$P$25,2,FALSE),"")</f>
        <v>45906</v>
      </c>
      <c r="S106" s="465" t="str">
        <f>IFERROR(VLOOKUP($P106,'Data Validation'!$O$2:$P$25,2,FALSE),"")</f>
        <v/>
      </c>
      <c r="T106" s="419" t="e">
        <f ca="1">INDEX(INDIRECT(INDEX(ControlRoom[اجمالي الالتزام],MATCH(تفصيلي!Q106,Control!$B$2:$B$12,0))),MATCH(CONCATENATE(O106,P106),INDIRECT(INDEX(ControlRoom[المبلغ],MATCH(تفصيلي!Q106,ControlRoom[التمويل],0))),0))</f>
        <v>#N/A</v>
      </c>
      <c r="U106" s="419" t="e">
        <f ca="1">INDEX(INDIRECT(INDEX(ControlRoom[القسط الشهري],MATCH(تفصيلي!Q106,Control!$B$2:$B$12,0))),MATCH(CONCATENATE(O106,P106),INDIRECT(INDEX(ControlRoom[المبلغ],MATCH(تفصيلي!Q106,ControlRoom[التمويل],0))),0))</f>
        <v>#N/A</v>
      </c>
      <c r="V106" s="420" t="e">
        <f>INDEX(ControlRoom[[فائدة أ]:[فائدة ج]],MATCH(تفصيلي!Q106,ControlRoom[التمويل],0),MATCH(IF(AND(تفصيلي!O106&gt;=Control!$N$2,تفصيلي!O106&lt;=Control!$O$2),Control!$P$2,IF(AND(تفصيلي!O106&gt;=Control!$N$3,تفصيلي!O106&lt;=Control!$O$3),Control!$P$3,IF(AND(تفصيلي!O106&gt;=Control!$N$4,تفصيلي!O106&lt;=Control!$O$4),Control!$P$4,"Out Of Range"))),ControlRoom[[#Headers],[فائدة أ]:[فائدة ج]],0))</f>
        <v>#N/A</v>
      </c>
      <c r="W106" s="419"/>
      <c r="X106" s="466">
        <f t="shared" si="9"/>
        <v>0</v>
      </c>
      <c r="Y106" s="167"/>
      <c r="Z106" s="302">
        <f t="shared" si="10"/>
        <v>0</v>
      </c>
      <c r="AA106" s="166"/>
      <c r="AB106" s="167" t="s">
        <v>624</v>
      </c>
      <c r="AC106" s="167">
        <f t="shared" si="11"/>
        <v>0</v>
      </c>
      <c r="AD106" s="169">
        <f t="shared" si="12"/>
        <v>0</v>
      </c>
      <c r="AE106" s="174"/>
      <c r="AF106" s="303">
        <f t="shared" si="13"/>
        <v>0</v>
      </c>
      <c r="AG106" s="484"/>
      <c r="AH106" s="174" t="s">
        <v>624</v>
      </c>
      <c r="AI106" s="169">
        <f t="shared" si="14"/>
        <v>0</v>
      </c>
      <c r="AJ106" s="175"/>
      <c r="AK106" s="175"/>
      <c r="AL106" s="485"/>
      <c r="AM106" s="486"/>
      <c r="AN106" s="487"/>
      <c r="AO106" s="175"/>
      <c r="AP106" s="467"/>
      <c r="AQ106" s="488"/>
      <c r="AR106" s="469"/>
      <c r="AS106" s="470"/>
      <c r="AT106" s="471"/>
      <c r="AU106" s="471"/>
      <c r="AV106" s="472"/>
      <c r="AW106" s="472"/>
      <c r="AX106" s="473" t="str">
        <f t="shared" si="15"/>
        <v xml:space="preserve"> ,</v>
      </c>
      <c r="AY106" s="473" t="str">
        <f t="shared" si="16"/>
        <v xml:space="preserve"> / </v>
      </c>
      <c r="AZ106" s="474"/>
      <c r="BA106" s="475"/>
      <c r="BB106" s="474"/>
      <c r="BC106" s="474"/>
      <c r="BD106" s="475"/>
      <c r="BE106" s="474"/>
    </row>
    <row r="107" spans="1:57" s="476" customFormat="1" ht="21.6" customHeight="1">
      <c r="A107" s="341">
        <f t="shared" si="17"/>
        <v>102</v>
      </c>
      <c r="B107" s="481"/>
      <c r="C107" s="489"/>
      <c r="D107" s="343"/>
      <c r="E107" s="237"/>
      <c r="F107" s="461" t="s">
        <v>624</v>
      </c>
      <c r="G107" s="342"/>
      <c r="H107" s="178"/>
      <c r="I107" s="178"/>
      <c r="J107" s="490"/>
      <c r="K107" s="462"/>
      <c r="L107" s="483"/>
      <c r="M107" s="347"/>
      <c r="N107" s="346"/>
      <c r="O107" s="412"/>
      <c r="P107" s="413"/>
      <c r="Q107" s="464"/>
      <c r="R107" s="465">
        <f>IFERROR(VLOOKUP(1,'Data Validation'!$O$2:$P$25,2,FALSE),"")</f>
        <v>45906</v>
      </c>
      <c r="S107" s="465" t="str">
        <f>IFERROR(VLOOKUP($P107,'Data Validation'!$O$2:$P$25,2,FALSE),"")</f>
        <v/>
      </c>
      <c r="T107" s="419" t="e">
        <f ca="1">INDEX(INDIRECT(INDEX(ControlRoom[اجمالي الالتزام],MATCH(تفصيلي!Q107,Control!$B$2:$B$12,0))),MATCH(CONCATENATE(O107,P107),INDIRECT(INDEX(ControlRoom[المبلغ],MATCH(تفصيلي!Q107,ControlRoom[التمويل],0))),0))</f>
        <v>#N/A</v>
      </c>
      <c r="U107" s="419" t="e">
        <f ca="1">INDEX(INDIRECT(INDEX(ControlRoom[القسط الشهري],MATCH(تفصيلي!Q107,Control!$B$2:$B$12,0))),MATCH(CONCATENATE(O107,P107),INDIRECT(INDEX(ControlRoom[المبلغ],MATCH(تفصيلي!Q107,ControlRoom[التمويل],0))),0))</f>
        <v>#N/A</v>
      </c>
      <c r="V107" s="420" t="e">
        <f>INDEX(ControlRoom[[فائدة أ]:[فائدة ج]],MATCH(تفصيلي!Q107,ControlRoom[التمويل],0),MATCH(IF(AND(تفصيلي!O107&gt;=Control!$N$2,تفصيلي!O107&lt;=Control!$O$2),Control!$P$2,IF(AND(تفصيلي!O107&gt;=Control!$N$3,تفصيلي!O107&lt;=Control!$O$3),Control!$P$3,IF(AND(تفصيلي!O107&gt;=Control!$N$4,تفصيلي!O107&lt;=Control!$O$4),Control!$P$4,"Out Of Range"))),ControlRoom[[#Headers],[فائدة أ]:[فائدة ج]],0))</f>
        <v>#N/A</v>
      </c>
      <c r="W107" s="419"/>
      <c r="X107" s="466">
        <f t="shared" si="9"/>
        <v>0</v>
      </c>
      <c r="Y107" s="491"/>
      <c r="Z107" s="302">
        <f t="shared" si="10"/>
        <v>0</v>
      </c>
      <c r="AA107" s="166"/>
      <c r="AB107" s="167" t="s">
        <v>624</v>
      </c>
      <c r="AC107" s="167">
        <f t="shared" si="11"/>
        <v>0</v>
      </c>
      <c r="AD107" s="169">
        <f t="shared" si="12"/>
        <v>0</v>
      </c>
      <c r="AE107" s="492"/>
      <c r="AF107" s="303">
        <f t="shared" si="13"/>
        <v>0</v>
      </c>
      <c r="AG107" s="484"/>
      <c r="AH107" s="174" t="s">
        <v>624</v>
      </c>
      <c r="AI107" s="169">
        <f t="shared" si="14"/>
        <v>0</v>
      </c>
      <c r="AJ107" s="180"/>
      <c r="AK107" s="180"/>
      <c r="AL107" s="485"/>
      <c r="AM107" s="486"/>
      <c r="AN107" s="487"/>
      <c r="AO107" s="175"/>
      <c r="AP107" s="467"/>
      <c r="AQ107" s="177"/>
      <c r="AR107" s="469"/>
      <c r="AS107" s="470"/>
      <c r="AT107" s="471"/>
      <c r="AU107" s="471"/>
      <c r="AV107" s="472"/>
      <c r="AW107" s="472"/>
      <c r="AX107" s="473" t="str">
        <f t="shared" si="15"/>
        <v xml:space="preserve"> ,</v>
      </c>
      <c r="AY107" s="473" t="str">
        <f t="shared" si="16"/>
        <v xml:space="preserve"> / </v>
      </c>
      <c r="AZ107" s="474"/>
      <c r="BA107" s="475"/>
      <c r="BB107" s="474"/>
      <c r="BC107" s="474"/>
      <c r="BD107" s="475"/>
      <c r="BE107" s="474"/>
    </row>
    <row r="108" spans="1:57" s="476" customFormat="1" ht="21.6" customHeight="1">
      <c r="A108" s="341">
        <f t="shared" si="17"/>
        <v>103</v>
      </c>
      <c r="B108" s="481"/>
      <c r="C108" s="489"/>
      <c r="D108" s="343"/>
      <c r="E108" s="237"/>
      <c r="F108" s="461" t="s">
        <v>624</v>
      </c>
      <c r="G108" s="342"/>
      <c r="H108" s="178"/>
      <c r="I108" s="178"/>
      <c r="J108" s="490"/>
      <c r="K108" s="462"/>
      <c r="L108" s="483"/>
      <c r="M108" s="347"/>
      <c r="N108" s="346"/>
      <c r="O108" s="412"/>
      <c r="P108" s="413"/>
      <c r="Q108" s="464"/>
      <c r="R108" s="465">
        <f>IFERROR(VLOOKUP(1,'Data Validation'!$O$2:$P$25,2,FALSE),"")</f>
        <v>45906</v>
      </c>
      <c r="S108" s="465" t="str">
        <f>IFERROR(VLOOKUP($P108,'Data Validation'!$O$2:$P$25,2,FALSE),"")</f>
        <v/>
      </c>
      <c r="T108" s="419" t="e">
        <f ca="1">INDEX(INDIRECT(INDEX(ControlRoom[اجمالي الالتزام],MATCH(تفصيلي!Q108,Control!$B$2:$B$12,0))),MATCH(CONCATENATE(O108,P108),INDIRECT(INDEX(ControlRoom[المبلغ],MATCH(تفصيلي!Q108,ControlRoom[التمويل],0))),0))</f>
        <v>#N/A</v>
      </c>
      <c r="U108" s="419" t="e">
        <f ca="1">INDEX(INDIRECT(INDEX(ControlRoom[القسط الشهري],MATCH(تفصيلي!Q108,Control!$B$2:$B$12,0))),MATCH(CONCATENATE(O108,P108),INDIRECT(INDEX(ControlRoom[المبلغ],MATCH(تفصيلي!Q108,ControlRoom[التمويل],0))),0))</f>
        <v>#N/A</v>
      </c>
      <c r="V108" s="420" t="e">
        <f>INDEX(ControlRoom[[فائدة أ]:[فائدة ج]],MATCH(تفصيلي!Q108,ControlRoom[التمويل],0),MATCH(IF(AND(تفصيلي!O108&gt;=Control!$N$2,تفصيلي!O108&lt;=Control!$O$2),Control!$P$2,IF(AND(تفصيلي!O108&gt;=Control!$N$3,تفصيلي!O108&lt;=Control!$O$3),Control!$P$3,IF(AND(تفصيلي!O108&gt;=Control!$N$4,تفصيلي!O108&lt;=Control!$O$4),Control!$P$4,"Out Of Range"))),ControlRoom[[#Headers],[فائدة أ]:[فائدة ج]],0))</f>
        <v>#N/A</v>
      </c>
      <c r="W108" s="419"/>
      <c r="X108" s="466">
        <f t="shared" si="9"/>
        <v>0</v>
      </c>
      <c r="Y108" s="491"/>
      <c r="Z108" s="302">
        <f t="shared" si="10"/>
        <v>0</v>
      </c>
      <c r="AA108" s="166"/>
      <c r="AB108" s="167" t="s">
        <v>624</v>
      </c>
      <c r="AC108" s="167">
        <f t="shared" si="11"/>
        <v>0</v>
      </c>
      <c r="AD108" s="169">
        <f t="shared" si="12"/>
        <v>0</v>
      </c>
      <c r="AE108" s="492"/>
      <c r="AF108" s="303">
        <f t="shared" si="13"/>
        <v>0</v>
      </c>
      <c r="AG108" s="484"/>
      <c r="AH108" s="174" t="s">
        <v>624</v>
      </c>
      <c r="AI108" s="169">
        <f t="shared" si="14"/>
        <v>0</v>
      </c>
      <c r="AJ108" s="180"/>
      <c r="AK108" s="180"/>
      <c r="AL108" s="485"/>
      <c r="AM108" s="486"/>
      <c r="AN108" s="487"/>
      <c r="AO108" s="175"/>
      <c r="AP108" s="467"/>
      <c r="AQ108" s="177"/>
      <c r="AR108" s="469"/>
      <c r="AS108" s="470"/>
      <c r="AT108" s="471"/>
      <c r="AU108" s="471"/>
      <c r="AV108" s="472"/>
      <c r="AW108" s="472"/>
      <c r="AX108" s="473" t="str">
        <f t="shared" si="15"/>
        <v xml:space="preserve"> ,</v>
      </c>
      <c r="AY108" s="473" t="str">
        <f t="shared" si="16"/>
        <v xml:space="preserve"> / </v>
      </c>
      <c r="AZ108" s="474"/>
      <c r="BA108" s="475"/>
      <c r="BB108" s="474"/>
      <c r="BC108" s="474"/>
      <c r="BD108" s="475"/>
      <c r="BE108" s="474"/>
    </row>
    <row r="109" spans="1:57" ht="21.6" customHeight="1">
      <c r="A109" s="341">
        <f t="shared" si="17"/>
        <v>104</v>
      </c>
      <c r="B109" s="481"/>
      <c r="C109" s="489"/>
      <c r="D109" s="343"/>
      <c r="E109" s="237"/>
      <c r="F109" s="461" t="s">
        <v>624</v>
      </c>
      <c r="G109" s="342"/>
      <c r="H109" s="178"/>
      <c r="I109" s="178"/>
      <c r="J109" s="490"/>
      <c r="K109" s="462"/>
      <c r="L109" s="483"/>
      <c r="M109" s="347"/>
      <c r="N109" s="346"/>
      <c r="O109" s="412"/>
      <c r="P109" s="413"/>
      <c r="Q109" s="464"/>
      <c r="R109" s="465">
        <f>IFERROR(VLOOKUP(1,'Data Validation'!$O$2:$P$25,2,FALSE),"")</f>
        <v>45906</v>
      </c>
      <c r="S109" s="465" t="str">
        <f>IFERROR(VLOOKUP($P109,'Data Validation'!$O$2:$P$25,2,FALSE),"")</f>
        <v/>
      </c>
      <c r="T109" s="419" t="e">
        <f ca="1">INDEX(INDIRECT(INDEX(ControlRoom[اجمالي الالتزام],MATCH(تفصيلي!Q109,Control!$B$2:$B$12,0))),MATCH(CONCATENATE(O109,P109),INDIRECT(INDEX(ControlRoom[المبلغ],MATCH(تفصيلي!Q109,ControlRoom[التمويل],0))),0))</f>
        <v>#N/A</v>
      </c>
      <c r="U109" s="419" t="e">
        <f ca="1">INDEX(INDIRECT(INDEX(ControlRoom[القسط الشهري],MATCH(تفصيلي!Q109,Control!$B$2:$B$12,0))),MATCH(CONCATENATE(O109,P109),INDIRECT(INDEX(ControlRoom[المبلغ],MATCH(تفصيلي!Q109,ControlRoom[التمويل],0))),0))</f>
        <v>#N/A</v>
      </c>
      <c r="V109" s="420" t="e">
        <f>INDEX(ControlRoom[[فائدة أ]:[فائدة ج]],MATCH(تفصيلي!Q109,ControlRoom[التمويل],0),MATCH(IF(AND(تفصيلي!O109&gt;=Control!$N$2,تفصيلي!O109&lt;=Control!$O$2),Control!$P$2,IF(AND(تفصيلي!O109&gt;=Control!$N$3,تفصيلي!O109&lt;=Control!$O$3),Control!$P$3,IF(AND(تفصيلي!O109&gt;=Control!$N$4,تفصيلي!O109&lt;=Control!$O$4),Control!$P$4,"Out Of Range"))),ControlRoom[[#Headers],[فائدة أ]:[فائدة ج]],0))</f>
        <v>#N/A</v>
      </c>
      <c r="W109" s="419"/>
      <c r="X109" s="466">
        <f t="shared" si="9"/>
        <v>0</v>
      </c>
      <c r="Y109" s="491"/>
      <c r="Z109" s="302">
        <f t="shared" si="10"/>
        <v>0</v>
      </c>
      <c r="AA109" s="166"/>
      <c r="AB109" s="167" t="s">
        <v>624</v>
      </c>
      <c r="AC109" s="167">
        <f t="shared" si="11"/>
        <v>0</v>
      </c>
      <c r="AD109" s="169">
        <f t="shared" si="12"/>
        <v>0</v>
      </c>
      <c r="AE109" s="492"/>
      <c r="AF109" s="303">
        <f t="shared" si="13"/>
        <v>0</v>
      </c>
      <c r="AG109" s="484"/>
      <c r="AH109" s="174" t="s">
        <v>624</v>
      </c>
      <c r="AI109" s="169">
        <f t="shared" si="14"/>
        <v>0</v>
      </c>
      <c r="AJ109" s="181"/>
      <c r="AK109" s="180"/>
      <c r="AL109" s="485"/>
      <c r="AM109" s="486"/>
      <c r="AN109" s="487"/>
      <c r="AO109" s="175"/>
      <c r="AP109" s="467"/>
      <c r="AQ109" s="177"/>
      <c r="AR109" s="469"/>
      <c r="AS109" s="470"/>
      <c r="AT109" s="471"/>
      <c r="AU109" s="471"/>
      <c r="AV109" s="493"/>
      <c r="AW109" s="493"/>
      <c r="AX109" s="473" t="str">
        <f t="shared" si="15"/>
        <v xml:space="preserve"> ,</v>
      </c>
      <c r="AY109" s="473" t="str">
        <f t="shared" si="16"/>
        <v xml:space="preserve"> / </v>
      </c>
      <c r="AZ109" s="474"/>
      <c r="BA109" s="475"/>
      <c r="BB109" s="474"/>
      <c r="BC109" s="494"/>
      <c r="BD109" s="475"/>
      <c r="BE109" s="494"/>
    </row>
    <row r="110" spans="1:57" ht="21.6" customHeight="1">
      <c r="A110" s="341">
        <f t="shared" si="17"/>
        <v>105</v>
      </c>
      <c r="B110" s="481"/>
      <c r="C110" s="489"/>
      <c r="D110" s="343"/>
      <c r="E110" s="237"/>
      <c r="F110" s="461" t="s">
        <v>624</v>
      </c>
      <c r="G110" s="342"/>
      <c r="H110" s="178"/>
      <c r="I110" s="178"/>
      <c r="J110" s="490"/>
      <c r="K110" s="462"/>
      <c r="L110" s="483"/>
      <c r="M110" s="347"/>
      <c r="N110" s="346"/>
      <c r="O110" s="412"/>
      <c r="P110" s="413"/>
      <c r="Q110" s="464"/>
      <c r="R110" s="465">
        <f>IFERROR(VLOOKUP(1,'Data Validation'!$O$2:$P$25,2,FALSE),"")</f>
        <v>45906</v>
      </c>
      <c r="S110" s="465" t="str">
        <f>IFERROR(VLOOKUP($P110,'Data Validation'!$O$2:$P$25,2,FALSE),"")</f>
        <v/>
      </c>
      <c r="T110" s="419" t="e">
        <f ca="1">INDEX(INDIRECT(INDEX(ControlRoom[اجمالي الالتزام],MATCH(تفصيلي!Q110,Control!$B$2:$B$12,0))),MATCH(CONCATENATE(O110,P110),INDIRECT(INDEX(ControlRoom[المبلغ],MATCH(تفصيلي!Q110,ControlRoom[التمويل],0))),0))</f>
        <v>#N/A</v>
      </c>
      <c r="U110" s="419" t="e">
        <f ca="1">INDEX(INDIRECT(INDEX(ControlRoom[القسط الشهري],MATCH(تفصيلي!Q110,Control!$B$2:$B$12,0))),MATCH(CONCATENATE(O110,P110),INDIRECT(INDEX(ControlRoom[المبلغ],MATCH(تفصيلي!Q110,ControlRoom[التمويل],0))),0))</f>
        <v>#N/A</v>
      </c>
      <c r="V110" s="420" t="e">
        <f>INDEX(ControlRoom[[فائدة أ]:[فائدة ج]],MATCH(تفصيلي!Q110,ControlRoom[التمويل],0),MATCH(IF(AND(تفصيلي!O110&gt;=Control!$N$2,تفصيلي!O110&lt;=Control!$O$2),Control!$P$2,IF(AND(تفصيلي!O110&gt;=Control!$N$3,تفصيلي!O110&lt;=Control!$O$3),Control!$P$3,IF(AND(تفصيلي!O110&gt;=Control!$N$4,تفصيلي!O110&lt;=Control!$O$4),Control!$P$4,"Out Of Range"))),ControlRoom[[#Headers],[فائدة أ]:[فائدة ج]],0))</f>
        <v>#N/A</v>
      </c>
      <c r="W110" s="419"/>
      <c r="X110" s="466">
        <f t="shared" si="9"/>
        <v>0</v>
      </c>
      <c r="Y110" s="491"/>
      <c r="Z110" s="302">
        <f t="shared" si="10"/>
        <v>0</v>
      </c>
      <c r="AA110" s="166"/>
      <c r="AB110" s="167" t="s">
        <v>624</v>
      </c>
      <c r="AC110" s="167">
        <f t="shared" si="11"/>
        <v>0</v>
      </c>
      <c r="AD110" s="169">
        <f t="shared" si="12"/>
        <v>0</v>
      </c>
      <c r="AE110" s="492"/>
      <c r="AF110" s="303">
        <f t="shared" si="13"/>
        <v>0</v>
      </c>
      <c r="AG110" s="484"/>
      <c r="AH110" s="174" t="s">
        <v>624</v>
      </c>
      <c r="AI110" s="169">
        <f t="shared" si="14"/>
        <v>0</v>
      </c>
      <c r="AJ110" s="181"/>
      <c r="AK110" s="180"/>
      <c r="AL110" s="485"/>
      <c r="AM110" s="486"/>
      <c r="AN110" s="487"/>
      <c r="AO110" s="175"/>
      <c r="AP110" s="467"/>
      <c r="AQ110" s="177"/>
      <c r="AR110" s="469"/>
      <c r="AS110" s="470"/>
      <c r="AT110" s="471"/>
      <c r="AU110" s="471"/>
      <c r="AV110" s="493"/>
      <c r="AW110" s="493"/>
      <c r="AX110" s="473" t="str">
        <f t="shared" si="15"/>
        <v xml:space="preserve"> ,</v>
      </c>
      <c r="AY110" s="473" t="str">
        <f t="shared" si="16"/>
        <v xml:space="preserve"> / </v>
      </c>
      <c r="AZ110" s="474"/>
      <c r="BA110" s="475"/>
      <c r="BB110" s="474"/>
      <c r="BC110" s="494"/>
      <c r="BD110" s="475"/>
      <c r="BE110" s="494"/>
    </row>
    <row r="111" spans="1:57" ht="21.6" customHeight="1">
      <c r="A111" s="341">
        <f t="shared" si="17"/>
        <v>106</v>
      </c>
      <c r="B111" s="481"/>
      <c r="C111" s="489"/>
      <c r="D111" s="343"/>
      <c r="E111" s="237"/>
      <c r="F111" s="461" t="s">
        <v>624</v>
      </c>
      <c r="G111" s="342"/>
      <c r="H111" s="178"/>
      <c r="I111" s="178"/>
      <c r="J111" s="490"/>
      <c r="K111" s="462"/>
      <c r="L111" s="483"/>
      <c r="M111" s="347"/>
      <c r="N111" s="346"/>
      <c r="O111" s="412"/>
      <c r="P111" s="413"/>
      <c r="Q111" s="464"/>
      <c r="R111" s="465">
        <f>IFERROR(VLOOKUP(1,'Data Validation'!$O$2:$P$25,2,FALSE),"")</f>
        <v>45906</v>
      </c>
      <c r="S111" s="465" t="str">
        <f>IFERROR(VLOOKUP($P111,'Data Validation'!$O$2:$P$25,2,FALSE),"")</f>
        <v/>
      </c>
      <c r="T111" s="419" t="e">
        <f ca="1">INDEX(INDIRECT(INDEX(ControlRoom[اجمالي الالتزام],MATCH(تفصيلي!Q111,Control!$B$2:$B$12,0))),MATCH(CONCATENATE(O111,P111),INDIRECT(INDEX(ControlRoom[المبلغ],MATCH(تفصيلي!Q111,ControlRoom[التمويل],0))),0))</f>
        <v>#N/A</v>
      </c>
      <c r="U111" s="419" t="e">
        <f ca="1">INDEX(INDIRECT(INDEX(ControlRoom[القسط الشهري],MATCH(تفصيلي!Q111,Control!$B$2:$B$12,0))),MATCH(CONCATENATE(O111,P111),INDIRECT(INDEX(ControlRoom[المبلغ],MATCH(تفصيلي!Q111,ControlRoom[التمويل],0))),0))</f>
        <v>#N/A</v>
      </c>
      <c r="V111" s="420" t="e">
        <f>INDEX(ControlRoom[[فائدة أ]:[فائدة ج]],MATCH(تفصيلي!Q111,ControlRoom[التمويل],0),MATCH(IF(AND(تفصيلي!O111&gt;=Control!$N$2,تفصيلي!O111&lt;=Control!$O$2),Control!$P$2,IF(AND(تفصيلي!O111&gt;=Control!$N$3,تفصيلي!O111&lt;=Control!$O$3),Control!$P$3,IF(AND(تفصيلي!O111&gt;=Control!$N$4,تفصيلي!O111&lt;=Control!$O$4),Control!$P$4,"Out Of Range"))),ControlRoom[[#Headers],[فائدة أ]:[فائدة ج]],0))</f>
        <v>#N/A</v>
      </c>
      <c r="W111" s="419"/>
      <c r="X111" s="466">
        <f t="shared" si="9"/>
        <v>0</v>
      </c>
      <c r="Y111" s="491"/>
      <c r="Z111" s="302">
        <f t="shared" si="10"/>
        <v>0</v>
      </c>
      <c r="AA111" s="166"/>
      <c r="AB111" s="167" t="s">
        <v>624</v>
      </c>
      <c r="AC111" s="167">
        <f t="shared" si="11"/>
        <v>0</v>
      </c>
      <c r="AD111" s="169">
        <f t="shared" si="12"/>
        <v>0</v>
      </c>
      <c r="AE111" s="492"/>
      <c r="AF111" s="303">
        <f t="shared" si="13"/>
        <v>0</v>
      </c>
      <c r="AG111" s="484"/>
      <c r="AH111" s="174" t="s">
        <v>624</v>
      </c>
      <c r="AI111" s="169">
        <f t="shared" si="14"/>
        <v>0</v>
      </c>
      <c r="AJ111" s="181"/>
      <c r="AK111" s="180"/>
      <c r="AL111" s="485"/>
      <c r="AM111" s="486"/>
      <c r="AN111" s="487"/>
      <c r="AO111" s="175"/>
      <c r="AP111" s="467"/>
      <c r="AQ111" s="177"/>
      <c r="AR111" s="469"/>
      <c r="AS111" s="470"/>
      <c r="AT111" s="471"/>
      <c r="AU111" s="471"/>
      <c r="AV111" s="493"/>
      <c r="AW111" s="493"/>
      <c r="AX111" s="473" t="str">
        <f t="shared" si="15"/>
        <v xml:space="preserve"> ,</v>
      </c>
      <c r="AY111" s="473" t="str">
        <f t="shared" si="16"/>
        <v xml:space="preserve"> / </v>
      </c>
      <c r="AZ111" s="474"/>
      <c r="BA111" s="475"/>
      <c r="BB111" s="474"/>
      <c r="BC111" s="494"/>
      <c r="BD111" s="475"/>
      <c r="BE111" s="494"/>
    </row>
    <row r="112" spans="1:57" ht="21.6" customHeight="1">
      <c r="A112" s="341">
        <f t="shared" si="17"/>
        <v>107</v>
      </c>
      <c r="B112" s="481"/>
      <c r="C112" s="489"/>
      <c r="D112" s="343"/>
      <c r="E112" s="237"/>
      <c r="F112" s="461" t="s">
        <v>624</v>
      </c>
      <c r="G112" s="342"/>
      <c r="H112" s="178"/>
      <c r="I112" s="178"/>
      <c r="J112" s="490"/>
      <c r="K112" s="462"/>
      <c r="L112" s="483"/>
      <c r="M112" s="347"/>
      <c r="N112" s="346"/>
      <c r="O112" s="412"/>
      <c r="P112" s="413"/>
      <c r="Q112" s="464"/>
      <c r="R112" s="465">
        <f>IFERROR(VLOOKUP(1,'Data Validation'!$O$2:$P$25,2,FALSE),"")</f>
        <v>45906</v>
      </c>
      <c r="S112" s="465" t="str">
        <f>IFERROR(VLOOKUP($P112,'Data Validation'!$O$2:$P$25,2,FALSE),"")</f>
        <v/>
      </c>
      <c r="T112" s="419" t="e">
        <f ca="1">INDEX(INDIRECT(INDEX(ControlRoom[اجمالي الالتزام],MATCH(تفصيلي!Q112,Control!$B$2:$B$12,0))),MATCH(CONCATENATE(O112,P112),INDIRECT(INDEX(ControlRoom[المبلغ],MATCH(تفصيلي!Q112,ControlRoom[التمويل],0))),0))</f>
        <v>#N/A</v>
      </c>
      <c r="U112" s="419" t="e">
        <f ca="1">INDEX(INDIRECT(INDEX(ControlRoom[القسط الشهري],MATCH(تفصيلي!Q112,Control!$B$2:$B$12,0))),MATCH(CONCATENATE(O112,P112),INDIRECT(INDEX(ControlRoom[المبلغ],MATCH(تفصيلي!Q112,ControlRoom[التمويل],0))),0))</f>
        <v>#N/A</v>
      </c>
      <c r="V112" s="420" t="e">
        <f>INDEX(ControlRoom[[فائدة أ]:[فائدة ج]],MATCH(تفصيلي!Q112,ControlRoom[التمويل],0),MATCH(IF(AND(تفصيلي!O112&gt;=Control!$N$2,تفصيلي!O112&lt;=Control!$O$2),Control!$P$2,IF(AND(تفصيلي!O112&gt;=Control!$N$3,تفصيلي!O112&lt;=Control!$O$3),Control!$P$3,IF(AND(تفصيلي!O112&gt;=Control!$N$4,تفصيلي!O112&lt;=Control!$O$4),Control!$P$4,"Out Of Range"))),ControlRoom[[#Headers],[فائدة أ]:[فائدة ج]],0))</f>
        <v>#N/A</v>
      </c>
      <c r="W112" s="419"/>
      <c r="X112" s="466">
        <f t="shared" si="9"/>
        <v>0</v>
      </c>
      <c r="Y112" s="491"/>
      <c r="Z112" s="302">
        <f t="shared" si="10"/>
        <v>0</v>
      </c>
      <c r="AA112" s="166"/>
      <c r="AB112" s="167" t="s">
        <v>624</v>
      </c>
      <c r="AC112" s="167">
        <f t="shared" si="11"/>
        <v>0</v>
      </c>
      <c r="AD112" s="169">
        <f t="shared" si="12"/>
        <v>0</v>
      </c>
      <c r="AE112" s="492"/>
      <c r="AF112" s="303">
        <f t="shared" si="13"/>
        <v>0</v>
      </c>
      <c r="AG112" s="484"/>
      <c r="AH112" s="174" t="s">
        <v>624</v>
      </c>
      <c r="AI112" s="169">
        <f t="shared" si="14"/>
        <v>0</v>
      </c>
      <c r="AJ112" s="181"/>
      <c r="AK112" s="180"/>
      <c r="AL112" s="485"/>
      <c r="AM112" s="486"/>
      <c r="AN112" s="487"/>
      <c r="AO112" s="175"/>
      <c r="AP112" s="467"/>
      <c r="AQ112" s="177"/>
      <c r="AR112" s="469"/>
      <c r="AS112" s="470"/>
      <c r="AT112" s="471"/>
      <c r="AU112" s="471"/>
      <c r="AV112" s="493"/>
      <c r="AW112" s="493"/>
      <c r="AX112" s="473" t="str">
        <f t="shared" si="15"/>
        <v xml:space="preserve"> ,</v>
      </c>
      <c r="AY112" s="473" t="str">
        <f t="shared" si="16"/>
        <v xml:space="preserve"> / </v>
      </c>
      <c r="AZ112" s="474"/>
      <c r="BA112" s="475"/>
      <c r="BB112" s="474"/>
      <c r="BC112" s="494"/>
      <c r="BD112" s="475"/>
      <c r="BE112" s="494"/>
    </row>
    <row r="113" spans="1:57" ht="21.6" customHeight="1">
      <c r="A113" s="341">
        <f t="shared" si="17"/>
        <v>108</v>
      </c>
      <c r="B113" s="481"/>
      <c r="C113" s="489"/>
      <c r="D113" s="343"/>
      <c r="E113" s="237"/>
      <c r="F113" s="461" t="s">
        <v>624</v>
      </c>
      <c r="G113" s="342"/>
      <c r="H113" s="178"/>
      <c r="I113" s="178"/>
      <c r="J113" s="490"/>
      <c r="K113" s="462"/>
      <c r="L113" s="483"/>
      <c r="M113" s="347"/>
      <c r="N113" s="346"/>
      <c r="O113" s="412"/>
      <c r="P113" s="413"/>
      <c r="Q113" s="464"/>
      <c r="R113" s="465">
        <f>IFERROR(VLOOKUP(1,'Data Validation'!$O$2:$P$25,2,FALSE),"")</f>
        <v>45906</v>
      </c>
      <c r="S113" s="465" t="str">
        <f>IFERROR(VLOOKUP($P113,'Data Validation'!$O$2:$P$25,2,FALSE),"")</f>
        <v/>
      </c>
      <c r="T113" s="419" t="e">
        <f ca="1">INDEX(INDIRECT(INDEX(ControlRoom[اجمالي الالتزام],MATCH(تفصيلي!Q113,Control!$B$2:$B$12,0))),MATCH(CONCATENATE(O113,P113),INDIRECT(INDEX(ControlRoom[المبلغ],MATCH(تفصيلي!Q113,ControlRoom[التمويل],0))),0))</f>
        <v>#N/A</v>
      </c>
      <c r="U113" s="419" t="e">
        <f ca="1">INDEX(INDIRECT(INDEX(ControlRoom[القسط الشهري],MATCH(تفصيلي!Q113,Control!$B$2:$B$12,0))),MATCH(CONCATENATE(O113,P113),INDIRECT(INDEX(ControlRoom[المبلغ],MATCH(تفصيلي!Q113,ControlRoom[التمويل],0))),0))</f>
        <v>#N/A</v>
      </c>
      <c r="V113" s="420" t="e">
        <f>INDEX(ControlRoom[[فائدة أ]:[فائدة ج]],MATCH(تفصيلي!Q113,ControlRoom[التمويل],0),MATCH(IF(AND(تفصيلي!O113&gt;=Control!$N$2,تفصيلي!O113&lt;=Control!$O$2),Control!$P$2,IF(AND(تفصيلي!O113&gt;=Control!$N$3,تفصيلي!O113&lt;=Control!$O$3),Control!$P$3,IF(AND(تفصيلي!O113&gt;=Control!$N$4,تفصيلي!O113&lt;=Control!$O$4),Control!$P$4,"Out Of Range"))),ControlRoom[[#Headers],[فائدة أ]:[فائدة ج]],0))</f>
        <v>#N/A</v>
      </c>
      <c r="W113" s="419"/>
      <c r="X113" s="466">
        <f t="shared" si="9"/>
        <v>0</v>
      </c>
      <c r="Y113" s="491"/>
      <c r="Z113" s="302">
        <f t="shared" si="10"/>
        <v>0</v>
      </c>
      <c r="AA113" s="166"/>
      <c r="AB113" s="167" t="s">
        <v>624</v>
      </c>
      <c r="AC113" s="167">
        <f t="shared" si="11"/>
        <v>0</v>
      </c>
      <c r="AD113" s="169">
        <f t="shared" si="12"/>
        <v>0</v>
      </c>
      <c r="AE113" s="492"/>
      <c r="AF113" s="303">
        <f t="shared" si="13"/>
        <v>0</v>
      </c>
      <c r="AG113" s="484"/>
      <c r="AH113" s="174" t="s">
        <v>624</v>
      </c>
      <c r="AI113" s="169">
        <f t="shared" si="14"/>
        <v>0</v>
      </c>
      <c r="AJ113" s="181"/>
      <c r="AK113" s="180"/>
      <c r="AL113" s="485"/>
      <c r="AM113" s="486"/>
      <c r="AN113" s="487"/>
      <c r="AO113" s="175"/>
      <c r="AP113" s="467"/>
      <c r="AQ113" s="177"/>
      <c r="AR113" s="469"/>
      <c r="AS113" s="470"/>
      <c r="AT113" s="471"/>
      <c r="AU113" s="471"/>
      <c r="AV113" s="493"/>
      <c r="AW113" s="493"/>
      <c r="AX113" s="473" t="str">
        <f t="shared" si="15"/>
        <v xml:space="preserve"> ,</v>
      </c>
      <c r="AY113" s="473" t="str">
        <f t="shared" si="16"/>
        <v xml:space="preserve"> / </v>
      </c>
      <c r="AZ113" s="474"/>
      <c r="BA113" s="475"/>
      <c r="BB113" s="474"/>
      <c r="BC113" s="494"/>
      <c r="BD113" s="475"/>
      <c r="BE113" s="494"/>
    </row>
    <row r="114" spans="1:57" ht="21.6" customHeight="1">
      <c r="A114" s="341">
        <f t="shared" si="17"/>
        <v>109</v>
      </c>
      <c r="B114" s="481"/>
      <c r="C114" s="489"/>
      <c r="D114" s="343"/>
      <c r="E114" s="237"/>
      <c r="F114" s="461" t="s">
        <v>624</v>
      </c>
      <c r="G114" s="342"/>
      <c r="H114" s="178"/>
      <c r="I114" s="178"/>
      <c r="J114" s="490"/>
      <c r="K114" s="462"/>
      <c r="L114" s="483"/>
      <c r="M114" s="347"/>
      <c r="N114" s="346"/>
      <c r="O114" s="412"/>
      <c r="P114" s="413"/>
      <c r="Q114" s="464"/>
      <c r="R114" s="465">
        <f>IFERROR(VLOOKUP(1,'Data Validation'!$O$2:$P$25,2,FALSE),"")</f>
        <v>45906</v>
      </c>
      <c r="S114" s="465" t="str">
        <f>IFERROR(VLOOKUP($P114,'Data Validation'!$O$2:$P$25,2,FALSE),"")</f>
        <v/>
      </c>
      <c r="T114" s="419" t="e">
        <f ca="1">INDEX(INDIRECT(INDEX(ControlRoom[اجمالي الالتزام],MATCH(تفصيلي!Q114,Control!$B$2:$B$12,0))),MATCH(CONCATENATE(O114,P114),INDIRECT(INDEX(ControlRoom[المبلغ],MATCH(تفصيلي!Q114,ControlRoom[التمويل],0))),0))</f>
        <v>#N/A</v>
      </c>
      <c r="U114" s="419" t="e">
        <f ca="1">INDEX(INDIRECT(INDEX(ControlRoom[القسط الشهري],MATCH(تفصيلي!Q114,Control!$B$2:$B$12,0))),MATCH(CONCATENATE(O114,P114),INDIRECT(INDEX(ControlRoom[المبلغ],MATCH(تفصيلي!Q114,ControlRoom[التمويل],0))),0))</f>
        <v>#N/A</v>
      </c>
      <c r="V114" s="420" t="e">
        <f>INDEX(ControlRoom[[فائدة أ]:[فائدة ج]],MATCH(تفصيلي!Q114,ControlRoom[التمويل],0),MATCH(IF(AND(تفصيلي!O114&gt;=Control!$N$2,تفصيلي!O114&lt;=Control!$O$2),Control!$P$2,IF(AND(تفصيلي!O114&gt;=Control!$N$3,تفصيلي!O114&lt;=Control!$O$3),Control!$P$3,IF(AND(تفصيلي!O114&gt;=Control!$N$4,تفصيلي!O114&lt;=Control!$O$4),Control!$P$4,"Out Of Range"))),ControlRoom[[#Headers],[فائدة أ]:[فائدة ج]],0))</f>
        <v>#N/A</v>
      </c>
      <c r="W114" s="419"/>
      <c r="X114" s="466">
        <f t="shared" si="9"/>
        <v>0</v>
      </c>
      <c r="Y114" s="491"/>
      <c r="Z114" s="302">
        <f t="shared" si="10"/>
        <v>0</v>
      </c>
      <c r="AA114" s="166"/>
      <c r="AB114" s="167" t="s">
        <v>624</v>
      </c>
      <c r="AC114" s="167">
        <f t="shared" si="11"/>
        <v>0</v>
      </c>
      <c r="AD114" s="169">
        <f t="shared" si="12"/>
        <v>0</v>
      </c>
      <c r="AE114" s="492"/>
      <c r="AF114" s="303">
        <f t="shared" si="13"/>
        <v>0</v>
      </c>
      <c r="AG114" s="484"/>
      <c r="AH114" s="174" t="s">
        <v>624</v>
      </c>
      <c r="AI114" s="169">
        <f t="shared" si="14"/>
        <v>0</v>
      </c>
      <c r="AJ114" s="181"/>
      <c r="AK114" s="180"/>
      <c r="AL114" s="485"/>
      <c r="AM114" s="486"/>
      <c r="AN114" s="487"/>
      <c r="AO114" s="175"/>
      <c r="AP114" s="467"/>
      <c r="AQ114" s="177"/>
      <c r="AR114" s="469"/>
      <c r="AS114" s="470"/>
      <c r="AT114" s="471"/>
      <c r="AU114" s="471"/>
      <c r="AV114" s="493"/>
      <c r="AW114" s="493"/>
      <c r="AX114" s="473" t="str">
        <f t="shared" si="15"/>
        <v xml:space="preserve"> ,</v>
      </c>
      <c r="AY114" s="473" t="str">
        <f t="shared" si="16"/>
        <v xml:space="preserve"> / </v>
      </c>
      <c r="AZ114" s="474"/>
      <c r="BA114" s="475"/>
      <c r="BB114" s="474"/>
      <c r="BC114" s="494"/>
      <c r="BD114" s="475"/>
      <c r="BE114" s="494"/>
    </row>
    <row r="115" spans="1:57" ht="21.6" customHeight="1">
      <c r="A115" s="341">
        <f t="shared" si="17"/>
        <v>110</v>
      </c>
      <c r="B115" s="481"/>
      <c r="C115" s="489"/>
      <c r="D115" s="343"/>
      <c r="E115" s="237"/>
      <c r="F115" s="461" t="s">
        <v>624</v>
      </c>
      <c r="G115" s="342"/>
      <c r="H115" s="178"/>
      <c r="I115" s="178"/>
      <c r="J115" s="490"/>
      <c r="K115" s="462"/>
      <c r="L115" s="483"/>
      <c r="M115" s="347"/>
      <c r="N115" s="346"/>
      <c r="O115" s="412"/>
      <c r="P115" s="413"/>
      <c r="Q115" s="464"/>
      <c r="R115" s="465">
        <f>IFERROR(VLOOKUP(1,'Data Validation'!$O$2:$P$25,2,FALSE),"")</f>
        <v>45906</v>
      </c>
      <c r="S115" s="465" t="str">
        <f>IFERROR(VLOOKUP($P115,'Data Validation'!$O$2:$P$25,2,FALSE),"")</f>
        <v/>
      </c>
      <c r="T115" s="419" t="e">
        <f ca="1">INDEX(INDIRECT(INDEX(ControlRoom[اجمالي الالتزام],MATCH(تفصيلي!Q115,Control!$B$2:$B$12,0))),MATCH(CONCATENATE(O115,P115),INDIRECT(INDEX(ControlRoom[المبلغ],MATCH(تفصيلي!Q115,ControlRoom[التمويل],0))),0))</f>
        <v>#N/A</v>
      </c>
      <c r="U115" s="419" t="e">
        <f ca="1">INDEX(INDIRECT(INDEX(ControlRoom[القسط الشهري],MATCH(تفصيلي!Q115,Control!$B$2:$B$12,0))),MATCH(CONCATENATE(O115,P115),INDIRECT(INDEX(ControlRoom[المبلغ],MATCH(تفصيلي!Q115,ControlRoom[التمويل],0))),0))</f>
        <v>#N/A</v>
      </c>
      <c r="V115" s="420" t="e">
        <f>INDEX(ControlRoom[[فائدة أ]:[فائدة ج]],MATCH(تفصيلي!Q115,ControlRoom[التمويل],0),MATCH(IF(AND(تفصيلي!O115&gt;=Control!$N$2,تفصيلي!O115&lt;=Control!$O$2),Control!$P$2,IF(AND(تفصيلي!O115&gt;=Control!$N$3,تفصيلي!O115&lt;=Control!$O$3),Control!$P$3,IF(AND(تفصيلي!O115&gt;=Control!$N$4,تفصيلي!O115&lt;=Control!$O$4),Control!$P$4,"Out Of Range"))),ControlRoom[[#Headers],[فائدة أ]:[فائدة ج]],0))</f>
        <v>#N/A</v>
      </c>
      <c r="W115" s="419"/>
      <c r="X115" s="466">
        <f t="shared" si="9"/>
        <v>0</v>
      </c>
      <c r="Y115" s="491"/>
      <c r="Z115" s="302">
        <f t="shared" si="10"/>
        <v>0</v>
      </c>
      <c r="AA115" s="166"/>
      <c r="AB115" s="167" t="s">
        <v>624</v>
      </c>
      <c r="AC115" s="167">
        <f t="shared" si="11"/>
        <v>0</v>
      </c>
      <c r="AD115" s="169">
        <f t="shared" si="12"/>
        <v>0</v>
      </c>
      <c r="AE115" s="492"/>
      <c r="AF115" s="303">
        <f t="shared" si="13"/>
        <v>0</v>
      </c>
      <c r="AG115" s="484"/>
      <c r="AH115" s="174" t="s">
        <v>624</v>
      </c>
      <c r="AI115" s="169">
        <f t="shared" si="14"/>
        <v>0</v>
      </c>
      <c r="AJ115" s="181"/>
      <c r="AK115" s="180"/>
      <c r="AL115" s="485"/>
      <c r="AM115" s="486"/>
      <c r="AN115" s="179"/>
      <c r="AO115" s="175"/>
      <c r="AP115" s="467"/>
      <c r="AQ115" s="177"/>
      <c r="AR115" s="469"/>
      <c r="AS115" s="495"/>
      <c r="AT115" s="471"/>
      <c r="AU115" s="471"/>
      <c r="AV115" s="493"/>
      <c r="AW115" s="493"/>
      <c r="AX115" s="473" t="str">
        <f t="shared" si="15"/>
        <v xml:space="preserve"> ,</v>
      </c>
      <c r="AY115" s="473" t="str">
        <f t="shared" si="16"/>
        <v xml:space="preserve"> / </v>
      </c>
      <c r="AZ115" s="474"/>
      <c r="BA115" s="475"/>
      <c r="BB115" s="474"/>
      <c r="BC115" s="494"/>
      <c r="BD115" s="475"/>
      <c r="BE115" s="494"/>
    </row>
    <row r="116" spans="1:57" ht="21.6" customHeight="1">
      <c r="A116" s="341">
        <f t="shared" si="17"/>
        <v>111</v>
      </c>
      <c r="B116" s="481"/>
      <c r="C116" s="489"/>
      <c r="D116" s="343"/>
      <c r="E116" s="237"/>
      <c r="F116" s="461" t="s">
        <v>624</v>
      </c>
      <c r="G116" s="342"/>
      <c r="H116" s="178"/>
      <c r="I116" s="178"/>
      <c r="J116" s="490"/>
      <c r="K116" s="462"/>
      <c r="L116" s="483"/>
      <c r="M116" s="347"/>
      <c r="N116" s="346"/>
      <c r="O116" s="412"/>
      <c r="P116" s="413"/>
      <c r="Q116" s="464"/>
      <c r="R116" s="465">
        <f>IFERROR(VLOOKUP(1,'Data Validation'!$O$2:$P$25,2,FALSE),"")</f>
        <v>45906</v>
      </c>
      <c r="S116" s="465" t="str">
        <f>IFERROR(VLOOKUP($P116,'Data Validation'!$O$2:$P$25,2,FALSE),"")</f>
        <v/>
      </c>
      <c r="T116" s="419" t="e">
        <f ca="1">INDEX(INDIRECT(INDEX(ControlRoom[اجمالي الالتزام],MATCH(تفصيلي!Q116,Control!$B$2:$B$12,0))),MATCH(CONCATENATE(O116,P116),INDIRECT(INDEX(ControlRoom[المبلغ],MATCH(تفصيلي!Q116,ControlRoom[التمويل],0))),0))</f>
        <v>#N/A</v>
      </c>
      <c r="U116" s="419" t="e">
        <f ca="1">INDEX(INDIRECT(INDEX(ControlRoom[القسط الشهري],MATCH(تفصيلي!Q116,Control!$B$2:$B$12,0))),MATCH(CONCATENATE(O116,P116),INDIRECT(INDEX(ControlRoom[المبلغ],MATCH(تفصيلي!Q116,ControlRoom[التمويل],0))),0))</f>
        <v>#N/A</v>
      </c>
      <c r="V116" s="420" t="e">
        <f>INDEX(ControlRoom[[فائدة أ]:[فائدة ج]],MATCH(تفصيلي!Q116,ControlRoom[التمويل],0),MATCH(IF(AND(تفصيلي!O116&gt;=Control!$N$2,تفصيلي!O116&lt;=Control!$O$2),Control!$P$2,IF(AND(تفصيلي!O116&gt;=Control!$N$3,تفصيلي!O116&lt;=Control!$O$3),Control!$P$3,IF(AND(تفصيلي!O116&gt;=Control!$N$4,تفصيلي!O116&lt;=Control!$O$4),Control!$P$4,"Out Of Range"))),ControlRoom[[#Headers],[فائدة أ]:[فائدة ج]],0))</f>
        <v>#N/A</v>
      </c>
      <c r="W116" s="419"/>
      <c r="X116" s="466">
        <f t="shared" si="9"/>
        <v>0</v>
      </c>
      <c r="Y116" s="491"/>
      <c r="Z116" s="302">
        <f t="shared" si="10"/>
        <v>0</v>
      </c>
      <c r="AA116" s="166"/>
      <c r="AB116" s="167" t="s">
        <v>624</v>
      </c>
      <c r="AC116" s="167">
        <f t="shared" si="11"/>
        <v>0</v>
      </c>
      <c r="AD116" s="169">
        <f t="shared" si="12"/>
        <v>0</v>
      </c>
      <c r="AE116" s="492"/>
      <c r="AF116" s="303">
        <f t="shared" si="13"/>
        <v>0</v>
      </c>
      <c r="AG116" s="484"/>
      <c r="AH116" s="174" t="s">
        <v>624</v>
      </c>
      <c r="AI116" s="169">
        <f t="shared" si="14"/>
        <v>0</v>
      </c>
      <c r="AJ116" s="181"/>
      <c r="AK116" s="180"/>
      <c r="AL116" s="485"/>
      <c r="AM116" s="486"/>
      <c r="AN116" s="179"/>
      <c r="AO116" s="175"/>
      <c r="AP116" s="467"/>
      <c r="AQ116" s="177"/>
      <c r="AR116" s="469"/>
      <c r="AS116" s="495"/>
      <c r="AT116" s="471"/>
      <c r="AU116" s="471"/>
      <c r="AV116" s="493"/>
      <c r="AW116" s="493"/>
      <c r="AX116" s="473" t="str">
        <f t="shared" si="15"/>
        <v xml:space="preserve"> ,</v>
      </c>
      <c r="AY116" s="473" t="str">
        <f t="shared" si="16"/>
        <v xml:space="preserve"> / </v>
      </c>
      <c r="AZ116" s="474"/>
      <c r="BA116" s="475"/>
      <c r="BB116" s="474"/>
      <c r="BC116" s="494"/>
      <c r="BD116" s="475"/>
      <c r="BE116" s="494"/>
    </row>
    <row r="117" spans="1:57" ht="21.6" customHeight="1">
      <c r="A117" s="341">
        <f t="shared" si="17"/>
        <v>112</v>
      </c>
      <c r="B117" s="481"/>
      <c r="C117" s="489"/>
      <c r="D117" s="343"/>
      <c r="E117" s="237"/>
      <c r="F117" s="461" t="s">
        <v>624</v>
      </c>
      <c r="G117" s="343"/>
      <c r="H117" s="178"/>
      <c r="I117" s="178"/>
      <c r="J117" s="490"/>
      <c r="K117" s="462"/>
      <c r="L117" s="483"/>
      <c r="M117" s="347"/>
      <c r="N117" s="346"/>
      <c r="O117" s="412"/>
      <c r="P117" s="413"/>
      <c r="Q117" s="464"/>
      <c r="R117" s="465">
        <f>IFERROR(VLOOKUP(1,'Data Validation'!$O$2:$P$25,2,FALSE),"")</f>
        <v>45906</v>
      </c>
      <c r="S117" s="465" t="str">
        <f>IFERROR(VLOOKUP($P117,'Data Validation'!$O$2:$P$25,2,FALSE),"")</f>
        <v/>
      </c>
      <c r="T117" s="419" t="e">
        <f ca="1">INDEX(INDIRECT(INDEX(ControlRoom[اجمالي الالتزام],MATCH(تفصيلي!Q117,Control!$B$2:$B$12,0))),MATCH(CONCATENATE(O117,P117),INDIRECT(INDEX(ControlRoom[المبلغ],MATCH(تفصيلي!Q117,ControlRoom[التمويل],0))),0))</f>
        <v>#N/A</v>
      </c>
      <c r="U117" s="419" t="e">
        <f ca="1">INDEX(INDIRECT(INDEX(ControlRoom[القسط الشهري],MATCH(تفصيلي!Q117,Control!$B$2:$B$12,0))),MATCH(CONCATENATE(O117,P117),INDIRECT(INDEX(ControlRoom[المبلغ],MATCH(تفصيلي!Q117,ControlRoom[التمويل],0))),0))</f>
        <v>#N/A</v>
      </c>
      <c r="V117" s="420" t="e">
        <f>INDEX(ControlRoom[[فائدة أ]:[فائدة ج]],MATCH(تفصيلي!Q117,ControlRoom[التمويل],0),MATCH(IF(AND(تفصيلي!O117&gt;=Control!$N$2,تفصيلي!O117&lt;=Control!$O$2),Control!$P$2,IF(AND(تفصيلي!O117&gt;=Control!$N$3,تفصيلي!O117&lt;=Control!$O$3),Control!$P$3,IF(AND(تفصيلي!O117&gt;=Control!$N$4,تفصيلي!O117&lt;=Control!$O$4),Control!$P$4,"Out Of Range"))),ControlRoom[[#Headers],[فائدة أ]:[فائدة ج]],0))</f>
        <v>#N/A</v>
      </c>
      <c r="W117" s="419"/>
      <c r="X117" s="466">
        <f t="shared" si="9"/>
        <v>0</v>
      </c>
      <c r="Y117" s="491"/>
      <c r="Z117" s="302">
        <f t="shared" si="10"/>
        <v>0</v>
      </c>
      <c r="AA117" s="166"/>
      <c r="AB117" s="167" t="s">
        <v>624</v>
      </c>
      <c r="AC117" s="167">
        <f t="shared" si="11"/>
        <v>0</v>
      </c>
      <c r="AD117" s="169">
        <f t="shared" si="12"/>
        <v>0</v>
      </c>
      <c r="AE117" s="492"/>
      <c r="AF117" s="303">
        <f t="shared" si="13"/>
        <v>0</v>
      </c>
      <c r="AG117" s="484"/>
      <c r="AH117" s="174" t="s">
        <v>624</v>
      </c>
      <c r="AI117" s="169">
        <f t="shared" si="14"/>
        <v>0</v>
      </c>
      <c r="AJ117" s="181"/>
      <c r="AK117" s="180"/>
      <c r="AL117" s="485"/>
      <c r="AM117" s="486"/>
      <c r="AN117" s="179"/>
      <c r="AO117" s="175"/>
      <c r="AP117" s="467"/>
      <c r="AQ117" s="177"/>
      <c r="AR117" s="469"/>
      <c r="AS117" s="495"/>
      <c r="AT117" s="471"/>
      <c r="AU117" s="471"/>
      <c r="AV117" s="493"/>
      <c r="AW117" s="493"/>
      <c r="AX117" s="473" t="str">
        <f t="shared" si="15"/>
        <v xml:space="preserve"> ,</v>
      </c>
      <c r="AY117" s="473" t="str">
        <f t="shared" si="16"/>
        <v xml:space="preserve"> / </v>
      </c>
      <c r="AZ117" s="474"/>
      <c r="BA117" s="475"/>
      <c r="BB117" s="474"/>
      <c r="BC117" s="494"/>
      <c r="BD117" s="475"/>
      <c r="BE117" s="494"/>
    </row>
    <row r="118" spans="1:57" ht="21.6" customHeight="1">
      <c r="A118" s="341">
        <f t="shared" si="17"/>
        <v>113</v>
      </c>
      <c r="B118" s="481"/>
      <c r="C118" s="489"/>
      <c r="D118" s="343"/>
      <c r="E118" s="237"/>
      <c r="F118" s="461" t="s">
        <v>624</v>
      </c>
      <c r="G118" s="343"/>
      <c r="H118" s="178"/>
      <c r="I118" s="178"/>
      <c r="J118" s="490"/>
      <c r="K118" s="462"/>
      <c r="L118" s="483"/>
      <c r="M118" s="347"/>
      <c r="N118" s="346"/>
      <c r="O118" s="412"/>
      <c r="P118" s="413"/>
      <c r="Q118" s="464"/>
      <c r="R118" s="465">
        <f>IFERROR(VLOOKUP(1,'Data Validation'!$O$2:$P$25,2,FALSE),"")</f>
        <v>45906</v>
      </c>
      <c r="S118" s="465" t="str">
        <f>IFERROR(VLOOKUP($P118,'Data Validation'!$O$2:$P$25,2,FALSE),"")</f>
        <v/>
      </c>
      <c r="T118" s="419" t="e">
        <f ca="1">INDEX(INDIRECT(INDEX(ControlRoom[اجمالي الالتزام],MATCH(تفصيلي!Q118,Control!$B$2:$B$12,0))),MATCH(CONCATENATE(O118,P118),INDIRECT(INDEX(ControlRoom[المبلغ],MATCH(تفصيلي!Q118,ControlRoom[التمويل],0))),0))</f>
        <v>#N/A</v>
      </c>
      <c r="U118" s="419" t="e">
        <f ca="1">INDEX(INDIRECT(INDEX(ControlRoom[القسط الشهري],MATCH(تفصيلي!Q118,Control!$B$2:$B$12,0))),MATCH(CONCATENATE(O118,P118),INDIRECT(INDEX(ControlRoom[المبلغ],MATCH(تفصيلي!Q118,ControlRoom[التمويل],0))),0))</f>
        <v>#N/A</v>
      </c>
      <c r="V118" s="420" t="e">
        <f>INDEX(ControlRoom[[فائدة أ]:[فائدة ج]],MATCH(تفصيلي!Q118,ControlRoom[التمويل],0),MATCH(IF(AND(تفصيلي!O118&gt;=Control!$N$2,تفصيلي!O118&lt;=Control!$O$2),Control!$P$2,IF(AND(تفصيلي!O118&gt;=Control!$N$3,تفصيلي!O118&lt;=Control!$O$3),Control!$P$3,IF(AND(تفصيلي!O118&gt;=Control!$N$4,تفصيلي!O118&lt;=Control!$O$4),Control!$P$4,"Out Of Range"))),ControlRoom[[#Headers],[فائدة أ]:[فائدة ج]],0))</f>
        <v>#N/A</v>
      </c>
      <c r="W118" s="419"/>
      <c r="X118" s="466">
        <f t="shared" si="9"/>
        <v>0</v>
      </c>
      <c r="Y118" s="491"/>
      <c r="Z118" s="302">
        <f t="shared" si="10"/>
        <v>0</v>
      </c>
      <c r="AA118" s="166"/>
      <c r="AB118" s="167" t="s">
        <v>624</v>
      </c>
      <c r="AC118" s="167">
        <f t="shared" si="11"/>
        <v>0</v>
      </c>
      <c r="AD118" s="169">
        <f t="shared" si="12"/>
        <v>0</v>
      </c>
      <c r="AE118" s="492"/>
      <c r="AF118" s="303">
        <f t="shared" si="13"/>
        <v>0</v>
      </c>
      <c r="AG118" s="484"/>
      <c r="AH118" s="174" t="s">
        <v>624</v>
      </c>
      <c r="AI118" s="169">
        <f t="shared" si="14"/>
        <v>0</v>
      </c>
      <c r="AJ118" s="181"/>
      <c r="AK118" s="180"/>
      <c r="AL118" s="485"/>
      <c r="AM118" s="486"/>
      <c r="AN118" s="179"/>
      <c r="AO118" s="175"/>
      <c r="AP118" s="467"/>
      <c r="AQ118" s="177"/>
      <c r="AR118" s="469"/>
      <c r="AS118" s="495"/>
      <c r="AT118" s="471"/>
      <c r="AU118" s="471"/>
      <c r="AV118" s="493"/>
      <c r="AW118" s="493"/>
      <c r="AX118" s="473" t="str">
        <f t="shared" si="15"/>
        <v xml:space="preserve"> ,</v>
      </c>
      <c r="AY118" s="473" t="str">
        <f t="shared" si="16"/>
        <v xml:space="preserve"> / </v>
      </c>
      <c r="AZ118" s="474"/>
      <c r="BA118" s="475"/>
      <c r="BB118" s="474"/>
      <c r="BC118" s="494"/>
      <c r="BD118" s="475"/>
      <c r="BE118" s="494"/>
    </row>
    <row r="119" spans="1:57" ht="21.6" customHeight="1">
      <c r="A119" s="341">
        <f t="shared" si="17"/>
        <v>114</v>
      </c>
      <c r="B119" s="481"/>
      <c r="C119" s="489"/>
      <c r="D119" s="343"/>
      <c r="E119" s="237"/>
      <c r="F119" s="461" t="s">
        <v>624</v>
      </c>
      <c r="G119" s="343"/>
      <c r="H119" s="178"/>
      <c r="I119" s="178"/>
      <c r="J119" s="490"/>
      <c r="K119" s="462"/>
      <c r="L119" s="483"/>
      <c r="M119" s="347"/>
      <c r="N119" s="346"/>
      <c r="O119" s="412"/>
      <c r="P119" s="413"/>
      <c r="Q119" s="464"/>
      <c r="R119" s="465">
        <f>IFERROR(VLOOKUP(1,'Data Validation'!$O$2:$P$25,2,FALSE),"")</f>
        <v>45906</v>
      </c>
      <c r="S119" s="465" t="str">
        <f>IFERROR(VLOOKUP($P119,'Data Validation'!$O$2:$P$25,2,FALSE),"")</f>
        <v/>
      </c>
      <c r="T119" s="419" t="e">
        <f ca="1">INDEX(INDIRECT(INDEX(ControlRoom[اجمالي الالتزام],MATCH(تفصيلي!Q119,Control!$B$2:$B$12,0))),MATCH(CONCATENATE(O119,P119),INDIRECT(INDEX(ControlRoom[المبلغ],MATCH(تفصيلي!Q119,ControlRoom[التمويل],0))),0))</f>
        <v>#N/A</v>
      </c>
      <c r="U119" s="419" t="e">
        <f ca="1">INDEX(INDIRECT(INDEX(ControlRoom[القسط الشهري],MATCH(تفصيلي!Q119,Control!$B$2:$B$12,0))),MATCH(CONCATENATE(O119,P119),INDIRECT(INDEX(ControlRoom[المبلغ],MATCH(تفصيلي!Q119,ControlRoom[التمويل],0))),0))</f>
        <v>#N/A</v>
      </c>
      <c r="V119" s="420" t="e">
        <f>INDEX(ControlRoom[[فائدة أ]:[فائدة ج]],MATCH(تفصيلي!Q119,ControlRoom[التمويل],0),MATCH(IF(AND(تفصيلي!O119&gt;=Control!$N$2,تفصيلي!O119&lt;=Control!$O$2),Control!$P$2,IF(AND(تفصيلي!O119&gt;=Control!$N$3,تفصيلي!O119&lt;=Control!$O$3),Control!$P$3,IF(AND(تفصيلي!O119&gt;=Control!$N$4,تفصيلي!O119&lt;=Control!$O$4),Control!$P$4,"Out Of Range"))),ControlRoom[[#Headers],[فائدة أ]:[فائدة ج]],0))</f>
        <v>#N/A</v>
      </c>
      <c r="W119" s="419"/>
      <c r="X119" s="466">
        <f t="shared" si="9"/>
        <v>0</v>
      </c>
      <c r="Y119" s="491"/>
      <c r="Z119" s="302">
        <f t="shared" si="10"/>
        <v>0</v>
      </c>
      <c r="AA119" s="166"/>
      <c r="AB119" s="167" t="s">
        <v>624</v>
      </c>
      <c r="AC119" s="167">
        <f t="shared" si="11"/>
        <v>0</v>
      </c>
      <c r="AD119" s="169">
        <f t="shared" si="12"/>
        <v>0</v>
      </c>
      <c r="AE119" s="492"/>
      <c r="AF119" s="303">
        <f t="shared" si="13"/>
        <v>0</v>
      </c>
      <c r="AG119" s="484"/>
      <c r="AH119" s="174" t="s">
        <v>624</v>
      </c>
      <c r="AI119" s="169">
        <f t="shared" si="14"/>
        <v>0</v>
      </c>
      <c r="AJ119" s="181"/>
      <c r="AK119" s="180"/>
      <c r="AL119" s="485"/>
      <c r="AM119" s="486"/>
      <c r="AN119" s="179"/>
      <c r="AO119" s="175"/>
      <c r="AP119" s="467"/>
      <c r="AQ119" s="177"/>
      <c r="AR119" s="469"/>
      <c r="AS119" s="495"/>
      <c r="AT119" s="471"/>
      <c r="AU119" s="471"/>
      <c r="AV119" s="493"/>
      <c r="AW119" s="493"/>
      <c r="AX119" s="473" t="str">
        <f t="shared" si="15"/>
        <v xml:space="preserve"> ,</v>
      </c>
      <c r="AY119" s="473" t="str">
        <f t="shared" si="16"/>
        <v xml:space="preserve"> / </v>
      </c>
      <c r="AZ119" s="474"/>
      <c r="BA119" s="475"/>
      <c r="BB119" s="474"/>
      <c r="BC119" s="494"/>
      <c r="BD119" s="475"/>
      <c r="BE119" s="494"/>
    </row>
    <row r="120" spans="1:57" ht="21.6" customHeight="1">
      <c r="A120" s="341">
        <f t="shared" si="17"/>
        <v>115</v>
      </c>
      <c r="B120" s="481"/>
      <c r="C120" s="489"/>
      <c r="D120" s="343"/>
      <c r="E120" s="237"/>
      <c r="F120" s="461" t="s">
        <v>624</v>
      </c>
      <c r="G120" s="343"/>
      <c r="H120" s="178"/>
      <c r="I120" s="178"/>
      <c r="J120" s="490"/>
      <c r="K120" s="462"/>
      <c r="L120" s="483"/>
      <c r="M120" s="347"/>
      <c r="N120" s="346"/>
      <c r="O120" s="412"/>
      <c r="P120" s="413"/>
      <c r="Q120" s="464"/>
      <c r="R120" s="465">
        <f>IFERROR(VLOOKUP(1,'Data Validation'!$O$2:$P$25,2,FALSE),"")</f>
        <v>45906</v>
      </c>
      <c r="S120" s="465" t="str">
        <f>IFERROR(VLOOKUP($P120,'Data Validation'!$O$2:$P$25,2,FALSE),"")</f>
        <v/>
      </c>
      <c r="T120" s="419" t="e">
        <f ca="1">INDEX(INDIRECT(INDEX(ControlRoom[اجمالي الالتزام],MATCH(تفصيلي!Q120,Control!$B$2:$B$12,0))),MATCH(CONCATENATE(O120,P120),INDIRECT(INDEX(ControlRoom[المبلغ],MATCH(تفصيلي!Q120,ControlRoom[التمويل],0))),0))</f>
        <v>#N/A</v>
      </c>
      <c r="U120" s="419" t="e">
        <f ca="1">INDEX(INDIRECT(INDEX(ControlRoom[القسط الشهري],MATCH(تفصيلي!Q120,Control!$B$2:$B$12,0))),MATCH(CONCATENATE(O120,P120),INDIRECT(INDEX(ControlRoom[المبلغ],MATCH(تفصيلي!Q120,ControlRoom[التمويل],0))),0))</f>
        <v>#N/A</v>
      </c>
      <c r="V120" s="420" t="e">
        <f>INDEX(ControlRoom[[فائدة أ]:[فائدة ج]],MATCH(تفصيلي!Q120,ControlRoom[التمويل],0),MATCH(IF(AND(تفصيلي!O120&gt;=Control!$N$2,تفصيلي!O120&lt;=Control!$O$2),Control!$P$2,IF(AND(تفصيلي!O120&gt;=Control!$N$3,تفصيلي!O120&lt;=Control!$O$3),Control!$P$3,IF(AND(تفصيلي!O120&gt;=Control!$N$4,تفصيلي!O120&lt;=Control!$O$4),Control!$P$4,"Out Of Range"))),ControlRoom[[#Headers],[فائدة أ]:[فائدة ج]],0))</f>
        <v>#N/A</v>
      </c>
      <c r="W120" s="419"/>
      <c r="X120" s="466">
        <f t="shared" si="9"/>
        <v>0</v>
      </c>
      <c r="Y120" s="491"/>
      <c r="Z120" s="302">
        <f t="shared" si="10"/>
        <v>0</v>
      </c>
      <c r="AA120" s="166"/>
      <c r="AB120" s="167" t="s">
        <v>624</v>
      </c>
      <c r="AC120" s="167">
        <f t="shared" si="11"/>
        <v>0</v>
      </c>
      <c r="AD120" s="169">
        <f t="shared" si="12"/>
        <v>0</v>
      </c>
      <c r="AE120" s="492"/>
      <c r="AF120" s="303">
        <f t="shared" si="13"/>
        <v>0</v>
      </c>
      <c r="AG120" s="484"/>
      <c r="AH120" s="174" t="s">
        <v>624</v>
      </c>
      <c r="AI120" s="169">
        <f t="shared" si="14"/>
        <v>0</v>
      </c>
      <c r="AJ120" s="181"/>
      <c r="AK120" s="180"/>
      <c r="AL120" s="485"/>
      <c r="AM120" s="486"/>
      <c r="AN120" s="179"/>
      <c r="AO120" s="180"/>
      <c r="AP120" s="467"/>
      <c r="AQ120" s="177"/>
      <c r="AR120" s="469"/>
      <c r="AS120" s="495"/>
      <c r="AT120" s="471"/>
      <c r="AU120" s="471"/>
      <c r="AV120" s="493"/>
      <c r="AW120" s="493"/>
      <c r="AX120" s="473" t="str">
        <f t="shared" si="15"/>
        <v xml:space="preserve"> ,</v>
      </c>
      <c r="AY120" s="473" t="str">
        <f t="shared" si="16"/>
        <v xml:space="preserve"> / </v>
      </c>
      <c r="AZ120" s="474"/>
      <c r="BA120" s="475"/>
      <c r="BB120" s="474"/>
      <c r="BC120" s="494"/>
      <c r="BD120" s="475"/>
      <c r="BE120" s="494"/>
    </row>
    <row r="121" spans="1:57" ht="21.6" customHeight="1">
      <c r="A121" s="341">
        <f t="shared" si="17"/>
        <v>116</v>
      </c>
      <c r="B121" s="481"/>
      <c r="C121" s="489"/>
      <c r="D121" s="343"/>
      <c r="E121" s="237"/>
      <c r="F121" s="461" t="s">
        <v>624</v>
      </c>
      <c r="G121" s="343"/>
      <c r="H121" s="178"/>
      <c r="I121" s="178"/>
      <c r="J121" s="490"/>
      <c r="K121" s="462"/>
      <c r="L121" s="483"/>
      <c r="M121" s="347"/>
      <c r="N121" s="346"/>
      <c r="O121" s="412"/>
      <c r="P121" s="413"/>
      <c r="Q121" s="464"/>
      <c r="R121" s="465">
        <f>IFERROR(VLOOKUP(1,'Data Validation'!$O$2:$P$25,2,FALSE),"")</f>
        <v>45906</v>
      </c>
      <c r="S121" s="465" t="str">
        <f>IFERROR(VLOOKUP($P121,'Data Validation'!$O$2:$P$25,2,FALSE),"")</f>
        <v/>
      </c>
      <c r="T121" s="419" t="e">
        <f ca="1">INDEX(INDIRECT(INDEX(ControlRoom[اجمالي الالتزام],MATCH(تفصيلي!Q121,Control!$B$2:$B$12,0))),MATCH(CONCATENATE(O121,P121),INDIRECT(INDEX(ControlRoom[المبلغ],MATCH(تفصيلي!Q121,ControlRoom[التمويل],0))),0))</f>
        <v>#N/A</v>
      </c>
      <c r="U121" s="419" t="e">
        <f ca="1">INDEX(INDIRECT(INDEX(ControlRoom[القسط الشهري],MATCH(تفصيلي!Q121,Control!$B$2:$B$12,0))),MATCH(CONCATENATE(O121,P121),INDIRECT(INDEX(ControlRoom[المبلغ],MATCH(تفصيلي!Q121,ControlRoom[التمويل],0))),0))</f>
        <v>#N/A</v>
      </c>
      <c r="V121" s="420" t="e">
        <f>INDEX(ControlRoom[[فائدة أ]:[فائدة ج]],MATCH(تفصيلي!Q121,ControlRoom[التمويل],0),MATCH(IF(AND(تفصيلي!O121&gt;=Control!$N$2,تفصيلي!O121&lt;=Control!$O$2),Control!$P$2,IF(AND(تفصيلي!O121&gt;=Control!$N$3,تفصيلي!O121&lt;=Control!$O$3),Control!$P$3,IF(AND(تفصيلي!O121&gt;=Control!$N$4,تفصيلي!O121&lt;=Control!$O$4),Control!$P$4,"Out Of Range"))),ControlRoom[[#Headers],[فائدة أ]:[فائدة ج]],0))</f>
        <v>#N/A</v>
      </c>
      <c r="W121" s="419"/>
      <c r="X121" s="466">
        <f t="shared" si="9"/>
        <v>0</v>
      </c>
      <c r="Y121" s="491"/>
      <c r="Z121" s="302">
        <f t="shared" si="10"/>
        <v>0</v>
      </c>
      <c r="AA121" s="166"/>
      <c r="AB121" s="167" t="s">
        <v>624</v>
      </c>
      <c r="AC121" s="167">
        <f t="shared" si="11"/>
        <v>0</v>
      </c>
      <c r="AD121" s="169">
        <f t="shared" si="12"/>
        <v>0</v>
      </c>
      <c r="AE121" s="492"/>
      <c r="AF121" s="303">
        <f t="shared" si="13"/>
        <v>0</v>
      </c>
      <c r="AG121" s="484"/>
      <c r="AH121" s="174" t="s">
        <v>624</v>
      </c>
      <c r="AI121" s="169">
        <f t="shared" si="14"/>
        <v>0</v>
      </c>
      <c r="AJ121" s="181"/>
      <c r="AK121" s="180"/>
      <c r="AL121" s="485"/>
      <c r="AM121" s="486"/>
      <c r="AN121" s="179"/>
      <c r="AO121" s="180"/>
      <c r="AP121" s="467"/>
      <c r="AQ121" s="177"/>
      <c r="AR121" s="469"/>
      <c r="AS121" s="495"/>
      <c r="AT121" s="471"/>
      <c r="AU121" s="471"/>
      <c r="AV121" s="493"/>
      <c r="AW121" s="493"/>
      <c r="AX121" s="473" t="str">
        <f t="shared" si="15"/>
        <v xml:space="preserve"> ,</v>
      </c>
      <c r="AY121" s="473" t="str">
        <f t="shared" si="16"/>
        <v xml:space="preserve"> / </v>
      </c>
      <c r="AZ121" s="474"/>
      <c r="BA121" s="475"/>
      <c r="BB121" s="474"/>
      <c r="BC121" s="494"/>
      <c r="BD121" s="475"/>
      <c r="BE121" s="494"/>
    </row>
    <row r="122" spans="1:57" ht="21.6" customHeight="1">
      <c r="A122" s="341">
        <f t="shared" si="17"/>
        <v>117</v>
      </c>
      <c r="B122" s="481"/>
      <c r="C122" s="489"/>
      <c r="D122" s="343"/>
      <c r="E122" s="237"/>
      <c r="F122" s="461" t="s">
        <v>624</v>
      </c>
      <c r="G122" s="343"/>
      <c r="H122" s="178"/>
      <c r="I122" s="178"/>
      <c r="J122" s="490"/>
      <c r="K122" s="462"/>
      <c r="L122" s="483"/>
      <c r="M122" s="347"/>
      <c r="N122" s="346"/>
      <c r="O122" s="412"/>
      <c r="P122" s="413"/>
      <c r="Q122" s="464"/>
      <c r="R122" s="465">
        <f>IFERROR(VLOOKUP(1,'Data Validation'!$O$2:$P$25,2,FALSE),"")</f>
        <v>45906</v>
      </c>
      <c r="S122" s="465" t="str">
        <f>IFERROR(VLOOKUP($P122,'Data Validation'!$O$2:$P$25,2,FALSE),"")</f>
        <v/>
      </c>
      <c r="T122" s="419" t="e">
        <f ca="1">INDEX(INDIRECT(INDEX(ControlRoom[اجمالي الالتزام],MATCH(تفصيلي!Q122,Control!$B$2:$B$12,0))),MATCH(CONCATENATE(O122,P122),INDIRECT(INDEX(ControlRoom[المبلغ],MATCH(تفصيلي!Q122,ControlRoom[التمويل],0))),0))</f>
        <v>#N/A</v>
      </c>
      <c r="U122" s="419" t="e">
        <f ca="1">INDEX(INDIRECT(INDEX(ControlRoom[القسط الشهري],MATCH(تفصيلي!Q122,Control!$B$2:$B$12,0))),MATCH(CONCATENATE(O122,P122),INDIRECT(INDEX(ControlRoom[المبلغ],MATCH(تفصيلي!Q122,ControlRoom[التمويل],0))),0))</f>
        <v>#N/A</v>
      </c>
      <c r="V122" s="420" t="e">
        <f>INDEX(ControlRoom[[فائدة أ]:[فائدة ج]],MATCH(تفصيلي!Q122,ControlRoom[التمويل],0),MATCH(IF(AND(تفصيلي!O122&gt;=Control!$N$2,تفصيلي!O122&lt;=Control!$O$2),Control!$P$2,IF(AND(تفصيلي!O122&gt;=Control!$N$3,تفصيلي!O122&lt;=Control!$O$3),Control!$P$3,IF(AND(تفصيلي!O122&gt;=Control!$N$4,تفصيلي!O122&lt;=Control!$O$4),Control!$P$4,"Out Of Range"))),ControlRoom[[#Headers],[فائدة أ]:[فائدة ج]],0))</f>
        <v>#N/A</v>
      </c>
      <c r="W122" s="419"/>
      <c r="X122" s="466">
        <f t="shared" si="9"/>
        <v>0</v>
      </c>
      <c r="Y122" s="491"/>
      <c r="Z122" s="302">
        <f t="shared" si="10"/>
        <v>0</v>
      </c>
      <c r="AA122" s="166"/>
      <c r="AB122" s="167" t="s">
        <v>624</v>
      </c>
      <c r="AC122" s="167">
        <f t="shared" si="11"/>
        <v>0</v>
      </c>
      <c r="AD122" s="169">
        <f t="shared" si="12"/>
        <v>0</v>
      </c>
      <c r="AE122" s="492"/>
      <c r="AF122" s="303">
        <f t="shared" si="13"/>
        <v>0</v>
      </c>
      <c r="AG122" s="484"/>
      <c r="AH122" s="174" t="s">
        <v>624</v>
      </c>
      <c r="AI122" s="169">
        <f t="shared" si="14"/>
        <v>0</v>
      </c>
      <c r="AJ122" s="181"/>
      <c r="AK122" s="180"/>
      <c r="AL122" s="485"/>
      <c r="AM122" s="486"/>
      <c r="AN122" s="179"/>
      <c r="AO122" s="180"/>
      <c r="AP122" s="467"/>
      <c r="AQ122" s="177"/>
      <c r="AR122" s="469"/>
      <c r="AS122" s="495"/>
      <c r="AT122" s="471"/>
      <c r="AU122" s="471"/>
      <c r="AV122" s="493"/>
      <c r="AW122" s="493"/>
      <c r="AX122" s="473" t="str">
        <f t="shared" si="15"/>
        <v xml:space="preserve"> ,</v>
      </c>
      <c r="AY122" s="473" t="str">
        <f t="shared" si="16"/>
        <v xml:space="preserve"> / </v>
      </c>
      <c r="AZ122" s="474"/>
      <c r="BA122" s="475"/>
      <c r="BB122" s="474"/>
      <c r="BC122" s="494"/>
      <c r="BD122" s="475"/>
      <c r="BE122" s="494"/>
    </row>
    <row r="123" spans="1:57" ht="21.6" customHeight="1">
      <c r="A123" s="341">
        <f t="shared" si="17"/>
        <v>118</v>
      </c>
      <c r="B123" s="481"/>
      <c r="C123" s="489"/>
      <c r="D123" s="343"/>
      <c r="E123" s="237"/>
      <c r="F123" s="461" t="s">
        <v>624</v>
      </c>
      <c r="G123" s="343"/>
      <c r="H123" s="178"/>
      <c r="I123" s="178"/>
      <c r="J123" s="490"/>
      <c r="K123" s="462"/>
      <c r="L123" s="483"/>
      <c r="M123" s="347"/>
      <c r="N123" s="346"/>
      <c r="O123" s="412"/>
      <c r="P123" s="413"/>
      <c r="Q123" s="464"/>
      <c r="R123" s="465">
        <f>IFERROR(VLOOKUP(1,'Data Validation'!$O$2:$P$25,2,FALSE),"")</f>
        <v>45906</v>
      </c>
      <c r="S123" s="465" t="str">
        <f>IFERROR(VLOOKUP($P123,'Data Validation'!$O$2:$P$25,2,FALSE),"")</f>
        <v/>
      </c>
      <c r="T123" s="419" t="e">
        <f ca="1">INDEX(INDIRECT(INDEX(ControlRoom[اجمالي الالتزام],MATCH(تفصيلي!Q123,Control!$B$2:$B$12,0))),MATCH(CONCATENATE(O123,P123),INDIRECT(INDEX(ControlRoom[المبلغ],MATCH(تفصيلي!Q123,ControlRoom[التمويل],0))),0))</f>
        <v>#N/A</v>
      </c>
      <c r="U123" s="419" t="e">
        <f ca="1">INDEX(INDIRECT(INDEX(ControlRoom[القسط الشهري],MATCH(تفصيلي!Q123,Control!$B$2:$B$12,0))),MATCH(CONCATENATE(O123,P123),INDIRECT(INDEX(ControlRoom[المبلغ],MATCH(تفصيلي!Q123,ControlRoom[التمويل],0))),0))</f>
        <v>#N/A</v>
      </c>
      <c r="V123" s="420" t="e">
        <f>INDEX(ControlRoom[[فائدة أ]:[فائدة ج]],MATCH(تفصيلي!Q123,ControlRoom[التمويل],0),MATCH(IF(AND(تفصيلي!O123&gt;=Control!$N$2,تفصيلي!O123&lt;=Control!$O$2),Control!$P$2,IF(AND(تفصيلي!O123&gt;=Control!$N$3,تفصيلي!O123&lt;=Control!$O$3),Control!$P$3,IF(AND(تفصيلي!O123&gt;=Control!$N$4,تفصيلي!O123&lt;=Control!$O$4),Control!$P$4,"Out Of Range"))),ControlRoom[[#Headers],[فائدة أ]:[فائدة ج]],0))</f>
        <v>#N/A</v>
      </c>
      <c r="W123" s="419"/>
      <c r="X123" s="466">
        <f t="shared" si="9"/>
        <v>0</v>
      </c>
      <c r="Y123" s="491"/>
      <c r="Z123" s="302">
        <f t="shared" si="10"/>
        <v>0</v>
      </c>
      <c r="AA123" s="166"/>
      <c r="AB123" s="167" t="s">
        <v>624</v>
      </c>
      <c r="AC123" s="167">
        <f t="shared" si="11"/>
        <v>0</v>
      </c>
      <c r="AD123" s="169">
        <f t="shared" si="12"/>
        <v>0</v>
      </c>
      <c r="AE123" s="492"/>
      <c r="AF123" s="303">
        <f t="shared" si="13"/>
        <v>0</v>
      </c>
      <c r="AG123" s="484"/>
      <c r="AH123" s="174" t="s">
        <v>624</v>
      </c>
      <c r="AI123" s="169">
        <f t="shared" si="14"/>
        <v>0</v>
      </c>
      <c r="AJ123" s="181"/>
      <c r="AK123" s="180"/>
      <c r="AL123" s="485"/>
      <c r="AM123" s="486"/>
      <c r="AN123" s="179"/>
      <c r="AO123" s="180"/>
      <c r="AP123" s="467"/>
      <c r="AQ123" s="177"/>
      <c r="AR123" s="469"/>
      <c r="AS123" s="495"/>
      <c r="AT123" s="471"/>
      <c r="AU123" s="471"/>
      <c r="AV123" s="493"/>
      <c r="AW123" s="493"/>
      <c r="AX123" s="473" t="str">
        <f t="shared" si="15"/>
        <v xml:space="preserve"> ,</v>
      </c>
      <c r="AY123" s="473" t="str">
        <f t="shared" si="16"/>
        <v xml:space="preserve"> / </v>
      </c>
      <c r="AZ123" s="474"/>
      <c r="BA123" s="475"/>
      <c r="BB123" s="474"/>
      <c r="BC123" s="494"/>
      <c r="BD123" s="475"/>
      <c r="BE123" s="494"/>
    </row>
    <row r="124" spans="1:57" ht="21.6" customHeight="1">
      <c r="A124" s="341">
        <f t="shared" si="17"/>
        <v>119</v>
      </c>
      <c r="B124" s="481"/>
      <c r="C124" s="489"/>
      <c r="D124" s="343"/>
      <c r="E124" s="237"/>
      <c r="F124" s="461" t="s">
        <v>624</v>
      </c>
      <c r="G124" s="343"/>
      <c r="H124" s="178"/>
      <c r="I124" s="178"/>
      <c r="J124" s="490"/>
      <c r="K124" s="462"/>
      <c r="L124" s="483"/>
      <c r="M124" s="347"/>
      <c r="N124" s="346"/>
      <c r="O124" s="412"/>
      <c r="P124" s="413"/>
      <c r="Q124" s="464"/>
      <c r="R124" s="465">
        <f>IFERROR(VLOOKUP(1,'Data Validation'!$O$2:$P$25,2,FALSE),"")</f>
        <v>45906</v>
      </c>
      <c r="S124" s="465" t="str">
        <f>IFERROR(VLOOKUP($P124,'Data Validation'!$O$2:$P$25,2,FALSE),"")</f>
        <v/>
      </c>
      <c r="T124" s="419" t="e">
        <f ca="1">INDEX(INDIRECT(INDEX(ControlRoom[اجمالي الالتزام],MATCH(تفصيلي!Q124,Control!$B$2:$B$12,0))),MATCH(CONCATENATE(O124,P124),INDIRECT(INDEX(ControlRoom[المبلغ],MATCH(تفصيلي!Q124,ControlRoom[التمويل],0))),0))</f>
        <v>#N/A</v>
      </c>
      <c r="U124" s="419" t="e">
        <f ca="1">INDEX(INDIRECT(INDEX(ControlRoom[القسط الشهري],MATCH(تفصيلي!Q124,Control!$B$2:$B$12,0))),MATCH(CONCATENATE(O124,P124),INDIRECT(INDEX(ControlRoom[المبلغ],MATCH(تفصيلي!Q124,ControlRoom[التمويل],0))),0))</f>
        <v>#N/A</v>
      </c>
      <c r="V124" s="420" t="e">
        <f>INDEX(ControlRoom[[فائدة أ]:[فائدة ج]],MATCH(تفصيلي!Q124,ControlRoom[التمويل],0),MATCH(IF(AND(تفصيلي!O124&gt;=Control!$N$2,تفصيلي!O124&lt;=Control!$O$2),Control!$P$2,IF(AND(تفصيلي!O124&gt;=Control!$N$3,تفصيلي!O124&lt;=Control!$O$3),Control!$P$3,IF(AND(تفصيلي!O124&gt;=Control!$N$4,تفصيلي!O124&lt;=Control!$O$4),Control!$P$4,"Out Of Range"))),ControlRoom[[#Headers],[فائدة أ]:[فائدة ج]],0))</f>
        <v>#N/A</v>
      </c>
      <c r="W124" s="419"/>
      <c r="X124" s="466">
        <f t="shared" si="9"/>
        <v>0</v>
      </c>
      <c r="Y124" s="491"/>
      <c r="Z124" s="302">
        <f t="shared" si="10"/>
        <v>0</v>
      </c>
      <c r="AA124" s="166"/>
      <c r="AB124" s="167" t="s">
        <v>624</v>
      </c>
      <c r="AC124" s="167">
        <f t="shared" si="11"/>
        <v>0</v>
      </c>
      <c r="AD124" s="169">
        <f t="shared" si="12"/>
        <v>0</v>
      </c>
      <c r="AE124" s="492"/>
      <c r="AF124" s="303">
        <f t="shared" si="13"/>
        <v>0</v>
      </c>
      <c r="AG124" s="484"/>
      <c r="AH124" s="174" t="s">
        <v>624</v>
      </c>
      <c r="AI124" s="169">
        <f t="shared" si="14"/>
        <v>0</v>
      </c>
      <c r="AJ124" s="181"/>
      <c r="AK124" s="180"/>
      <c r="AL124" s="485"/>
      <c r="AM124" s="486"/>
      <c r="AN124" s="179"/>
      <c r="AO124" s="180"/>
      <c r="AP124" s="467"/>
      <c r="AQ124" s="177"/>
      <c r="AR124" s="469"/>
      <c r="AS124" s="495"/>
      <c r="AT124" s="471"/>
      <c r="AU124" s="471"/>
      <c r="AV124" s="493"/>
      <c r="AW124" s="493"/>
      <c r="AX124" s="473" t="str">
        <f t="shared" si="15"/>
        <v xml:space="preserve"> ,</v>
      </c>
      <c r="AY124" s="473" t="str">
        <f t="shared" si="16"/>
        <v xml:space="preserve"> / </v>
      </c>
      <c r="AZ124" s="474"/>
      <c r="BA124" s="475"/>
      <c r="BB124" s="474"/>
      <c r="BC124" s="494"/>
      <c r="BD124" s="475"/>
      <c r="BE124" s="494"/>
    </row>
    <row r="125" spans="1:57" ht="21.6" customHeight="1">
      <c r="A125" s="341">
        <f t="shared" si="17"/>
        <v>120</v>
      </c>
      <c r="B125" s="481"/>
      <c r="C125" s="489"/>
      <c r="D125" s="343"/>
      <c r="E125" s="237"/>
      <c r="F125" s="461" t="s">
        <v>624</v>
      </c>
      <c r="G125" s="343"/>
      <c r="H125" s="178"/>
      <c r="I125" s="178"/>
      <c r="J125" s="490"/>
      <c r="K125" s="462"/>
      <c r="L125" s="483"/>
      <c r="M125" s="347"/>
      <c r="N125" s="346"/>
      <c r="O125" s="412"/>
      <c r="P125" s="413"/>
      <c r="Q125" s="464"/>
      <c r="R125" s="465">
        <f>IFERROR(VLOOKUP(1,'Data Validation'!$O$2:$P$25,2,FALSE),"")</f>
        <v>45906</v>
      </c>
      <c r="S125" s="465" t="str">
        <f>IFERROR(VLOOKUP($P125,'Data Validation'!$O$2:$P$25,2,FALSE),"")</f>
        <v/>
      </c>
      <c r="T125" s="419" t="e">
        <f ca="1">INDEX(INDIRECT(INDEX(ControlRoom[اجمالي الالتزام],MATCH(تفصيلي!Q125,Control!$B$2:$B$12,0))),MATCH(CONCATENATE(O125,P125),INDIRECT(INDEX(ControlRoom[المبلغ],MATCH(تفصيلي!Q125,ControlRoom[التمويل],0))),0))</f>
        <v>#N/A</v>
      </c>
      <c r="U125" s="419" t="e">
        <f ca="1">INDEX(INDIRECT(INDEX(ControlRoom[القسط الشهري],MATCH(تفصيلي!Q125,Control!$B$2:$B$12,0))),MATCH(CONCATENATE(O125,P125),INDIRECT(INDEX(ControlRoom[المبلغ],MATCH(تفصيلي!Q125,ControlRoom[التمويل],0))),0))</f>
        <v>#N/A</v>
      </c>
      <c r="V125" s="420" t="e">
        <f>INDEX(ControlRoom[[فائدة أ]:[فائدة ج]],MATCH(تفصيلي!Q125,ControlRoom[التمويل],0),MATCH(IF(AND(تفصيلي!O125&gt;=Control!$N$2,تفصيلي!O125&lt;=Control!$O$2),Control!$P$2,IF(AND(تفصيلي!O125&gt;=Control!$N$3,تفصيلي!O125&lt;=Control!$O$3),Control!$P$3,IF(AND(تفصيلي!O125&gt;=Control!$N$4,تفصيلي!O125&lt;=Control!$O$4),Control!$P$4,"Out Of Range"))),ControlRoom[[#Headers],[فائدة أ]:[فائدة ج]],0))</f>
        <v>#N/A</v>
      </c>
      <c r="W125" s="419"/>
      <c r="X125" s="466">
        <f t="shared" si="9"/>
        <v>0</v>
      </c>
      <c r="Y125" s="491"/>
      <c r="Z125" s="302">
        <f t="shared" si="10"/>
        <v>0</v>
      </c>
      <c r="AA125" s="166"/>
      <c r="AB125" s="167" t="s">
        <v>624</v>
      </c>
      <c r="AC125" s="167">
        <f t="shared" si="11"/>
        <v>0</v>
      </c>
      <c r="AD125" s="169">
        <f t="shared" si="12"/>
        <v>0</v>
      </c>
      <c r="AE125" s="492"/>
      <c r="AF125" s="303">
        <f t="shared" si="13"/>
        <v>0</v>
      </c>
      <c r="AG125" s="484"/>
      <c r="AH125" s="174" t="s">
        <v>624</v>
      </c>
      <c r="AI125" s="169">
        <f t="shared" si="14"/>
        <v>0</v>
      </c>
      <c r="AJ125" s="181"/>
      <c r="AK125" s="180"/>
      <c r="AL125" s="485"/>
      <c r="AM125" s="486"/>
      <c r="AN125" s="179"/>
      <c r="AO125" s="180"/>
      <c r="AP125" s="467"/>
      <c r="AQ125" s="177"/>
      <c r="AR125" s="469"/>
      <c r="AS125" s="495"/>
      <c r="AT125" s="471"/>
      <c r="AU125" s="471"/>
      <c r="AV125" s="493"/>
      <c r="AW125" s="493"/>
      <c r="AX125" s="473" t="str">
        <f t="shared" si="15"/>
        <v xml:space="preserve"> ,</v>
      </c>
      <c r="AY125" s="473" t="str">
        <f t="shared" si="16"/>
        <v xml:space="preserve"> / </v>
      </c>
      <c r="AZ125" s="474"/>
      <c r="BA125" s="475"/>
      <c r="BB125" s="474"/>
      <c r="BC125" s="494"/>
      <c r="BD125" s="475"/>
      <c r="BE125" s="494"/>
    </row>
    <row r="126" spans="1:57" ht="21.6" customHeight="1">
      <c r="A126" s="341">
        <f t="shared" si="17"/>
        <v>121</v>
      </c>
      <c r="B126" s="481"/>
      <c r="C126" s="489"/>
      <c r="D126" s="343"/>
      <c r="E126" s="237"/>
      <c r="F126" s="461" t="s">
        <v>624</v>
      </c>
      <c r="G126" s="343"/>
      <c r="H126" s="178"/>
      <c r="I126" s="178"/>
      <c r="J126" s="490"/>
      <c r="K126" s="462"/>
      <c r="L126" s="483"/>
      <c r="M126" s="347"/>
      <c r="N126" s="346"/>
      <c r="O126" s="412"/>
      <c r="P126" s="413"/>
      <c r="Q126" s="464"/>
      <c r="R126" s="465">
        <f>IFERROR(VLOOKUP(1,'Data Validation'!$O$2:$P$25,2,FALSE),"")</f>
        <v>45906</v>
      </c>
      <c r="S126" s="465" t="str">
        <f>IFERROR(VLOOKUP($P126,'Data Validation'!$O$2:$P$25,2,FALSE),"")</f>
        <v/>
      </c>
      <c r="T126" s="419" t="e">
        <f ca="1">INDEX(INDIRECT(INDEX(ControlRoom[اجمالي الالتزام],MATCH(تفصيلي!Q126,Control!$B$2:$B$12,0))),MATCH(CONCATENATE(O126,P126),INDIRECT(INDEX(ControlRoom[المبلغ],MATCH(تفصيلي!Q126,ControlRoom[التمويل],0))),0))</f>
        <v>#N/A</v>
      </c>
      <c r="U126" s="419" t="e">
        <f ca="1">INDEX(INDIRECT(INDEX(ControlRoom[القسط الشهري],MATCH(تفصيلي!Q126,Control!$B$2:$B$12,0))),MATCH(CONCATENATE(O126,P126),INDIRECT(INDEX(ControlRoom[المبلغ],MATCH(تفصيلي!Q126,ControlRoom[التمويل],0))),0))</f>
        <v>#N/A</v>
      </c>
      <c r="V126" s="420" t="e">
        <f>INDEX(ControlRoom[[فائدة أ]:[فائدة ج]],MATCH(تفصيلي!Q126,ControlRoom[التمويل],0),MATCH(IF(AND(تفصيلي!O126&gt;=Control!$N$2,تفصيلي!O126&lt;=Control!$O$2),Control!$P$2,IF(AND(تفصيلي!O126&gt;=Control!$N$3,تفصيلي!O126&lt;=Control!$O$3),Control!$P$3,IF(AND(تفصيلي!O126&gt;=Control!$N$4,تفصيلي!O126&lt;=Control!$O$4),Control!$P$4,"Out Of Range"))),ControlRoom[[#Headers],[فائدة أ]:[فائدة ج]],0))</f>
        <v>#N/A</v>
      </c>
      <c r="W126" s="419"/>
      <c r="X126" s="466">
        <f t="shared" si="9"/>
        <v>0</v>
      </c>
      <c r="Y126" s="491"/>
      <c r="Z126" s="302">
        <f t="shared" si="10"/>
        <v>0</v>
      </c>
      <c r="AA126" s="166"/>
      <c r="AB126" s="167" t="s">
        <v>624</v>
      </c>
      <c r="AC126" s="167">
        <f t="shared" si="11"/>
        <v>0</v>
      </c>
      <c r="AD126" s="169">
        <f t="shared" si="12"/>
        <v>0</v>
      </c>
      <c r="AE126" s="492"/>
      <c r="AF126" s="303">
        <f t="shared" si="13"/>
        <v>0</v>
      </c>
      <c r="AG126" s="484"/>
      <c r="AH126" s="174" t="s">
        <v>624</v>
      </c>
      <c r="AI126" s="169">
        <f t="shared" si="14"/>
        <v>0</v>
      </c>
      <c r="AJ126" s="181"/>
      <c r="AK126" s="180"/>
      <c r="AL126" s="485"/>
      <c r="AM126" s="486"/>
      <c r="AN126" s="179"/>
      <c r="AO126" s="180"/>
      <c r="AP126" s="467"/>
      <c r="AQ126" s="177"/>
      <c r="AR126" s="469"/>
      <c r="AS126" s="495"/>
      <c r="AT126" s="471"/>
      <c r="AU126" s="471"/>
      <c r="AV126" s="493"/>
      <c r="AW126" s="493"/>
      <c r="AX126" s="473" t="str">
        <f t="shared" si="15"/>
        <v xml:space="preserve"> ,</v>
      </c>
      <c r="AY126" s="473" t="str">
        <f t="shared" si="16"/>
        <v xml:space="preserve"> / </v>
      </c>
      <c r="AZ126" s="474"/>
      <c r="BA126" s="475"/>
      <c r="BB126" s="474"/>
      <c r="BC126" s="494"/>
      <c r="BD126" s="475"/>
      <c r="BE126" s="494"/>
    </row>
    <row r="127" spans="1:57" ht="21.6" customHeight="1">
      <c r="A127" s="341">
        <f t="shared" si="17"/>
        <v>122</v>
      </c>
      <c r="B127" s="481"/>
      <c r="C127" s="489"/>
      <c r="D127" s="343"/>
      <c r="E127" s="237"/>
      <c r="F127" s="461" t="s">
        <v>624</v>
      </c>
      <c r="G127" s="343"/>
      <c r="H127" s="178"/>
      <c r="I127" s="178"/>
      <c r="J127" s="490"/>
      <c r="K127" s="462"/>
      <c r="L127" s="483"/>
      <c r="M127" s="347"/>
      <c r="N127" s="346"/>
      <c r="O127" s="412"/>
      <c r="P127" s="413"/>
      <c r="Q127" s="464"/>
      <c r="R127" s="465">
        <f>IFERROR(VLOOKUP(1,'Data Validation'!$O$2:$P$25,2,FALSE),"")</f>
        <v>45906</v>
      </c>
      <c r="S127" s="465" t="str">
        <f>IFERROR(VLOOKUP($P127,'Data Validation'!$O$2:$P$25,2,FALSE),"")</f>
        <v/>
      </c>
      <c r="T127" s="419" t="e">
        <f ca="1">INDEX(INDIRECT(INDEX(ControlRoom[اجمالي الالتزام],MATCH(تفصيلي!Q127,Control!$B$2:$B$12,0))),MATCH(CONCATENATE(O127,P127),INDIRECT(INDEX(ControlRoom[المبلغ],MATCH(تفصيلي!Q127,ControlRoom[التمويل],0))),0))</f>
        <v>#N/A</v>
      </c>
      <c r="U127" s="419" t="e">
        <f ca="1">INDEX(INDIRECT(INDEX(ControlRoom[القسط الشهري],MATCH(تفصيلي!Q127,Control!$B$2:$B$12,0))),MATCH(CONCATENATE(O127,P127),INDIRECT(INDEX(ControlRoom[المبلغ],MATCH(تفصيلي!Q127,ControlRoom[التمويل],0))),0))</f>
        <v>#N/A</v>
      </c>
      <c r="V127" s="420" t="e">
        <f>INDEX(ControlRoom[[فائدة أ]:[فائدة ج]],MATCH(تفصيلي!Q127,ControlRoom[التمويل],0),MATCH(IF(AND(تفصيلي!O127&gt;=Control!$N$2,تفصيلي!O127&lt;=Control!$O$2),Control!$P$2,IF(AND(تفصيلي!O127&gt;=Control!$N$3,تفصيلي!O127&lt;=Control!$O$3),Control!$P$3,IF(AND(تفصيلي!O127&gt;=Control!$N$4,تفصيلي!O127&lt;=Control!$O$4),Control!$P$4,"Out Of Range"))),ControlRoom[[#Headers],[فائدة أ]:[فائدة ج]],0))</f>
        <v>#N/A</v>
      </c>
      <c r="W127" s="419"/>
      <c r="X127" s="466">
        <f t="shared" si="9"/>
        <v>0</v>
      </c>
      <c r="Y127" s="491"/>
      <c r="Z127" s="302">
        <f t="shared" si="10"/>
        <v>0</v>
      </c>
      <c r="AA127" s="166"/>
      <c r="AB127" s="167" t="s">
        <v>624</v>
      </c>
      <c r="AC127" s="167">
        <f t="shared" si="11"/>
        <v>0</v>
      </c>
      <c r="AD127" s="169">
        <f t="shared" si="12"/>
        <v>0</v>
      </c>
      <c r="AE127" s="492"/>
      <c r="AF127" s="303">
        <f t="shared" si="13"/>
        <v>0</v>
      </c>
      <c r="AG127" s="484"/>
      <c r="AH127" s="174" t="s">
        <v>624</v>
      </c>
      <c r="AI127" s="169">
        <f t="shared" si="14"/>
        <v>0</v>
      </c>
      <c r="AJ127" s="181"/>
      <c r="AK127" s="180"/>
      <c r="AL127" s="485"/>
      <c r="AM127" s="486"/>
      <c r="AN127" s="179"/>
      <c r="AO127" s="180"/>
      <c r="AP127" s="467"/>
      <c r="AQ127" s="177"/>
      <c r="AR127" s="469"/>
      <c r="AS127" s="495"/>
      <c r="AT127" s="471"/>
      <c r="AU127" s="471"/>
      <c r="AV127" s="493"/>
      <c r="AW127" s="493"/>
      <c r="AX127" s="473" t="str">
        <f t="shared" si="15"/>
        <v xml:space="preserve"> ,</v>
      </c>
      <c r="AY127" s="473" t="str">
        <f t="shared" si="16"/>
        <v xml:space="preserve"> / </v>
      </c>
      <c r="AZ127" s="474"/>
      <c r="BA127" s="475"/>
      <c r="BB127" s="474"/>
      <c r="BC127" s="494"/>
      <c r="BD127" s="475"/>
      <c r="BE127" s="494"/>
    </row>
    <row r="128" spans="1:57" ht="21.6" customHeight="1">
      <c r="A128" s="341">
        <f t="shared" si="17"/>
        <v>123</v>
      </c>
      <c r="B128" s="481"/>
      <c r="C128" s="489"/>
      <c r="D128" s="343"/>
      <c r="E128" s="237"/>
      <c r="F128" s="461" t="s">
        <v>624</v>
      </c>
      <c r="G128" s="343"/>
      <c r="H128" s="178"/>
      <c r="I128" s="178"/>
      <c r="J128" s="490"/>
      <c r="K128" s="462"/>
      <c r="L128" s="483"/>
      <c r="M128" s="347"/>
      <c r="N128" s="346"/>
      <c r="O128" s="412"/>
      <c r="P128" s="413"/>
      <c r="Q128" s="464"/>
      <c r="R128" s="465">
        <f>IFERROR(VLOOKUP(1,'Data Validation'!$O$2:$P$25,2,FALSE),"")</f>
        <v>45906</v>
      </c>
      <c r="S128" s="465" t="str">
        <f>IFERROR(VLOOKUP($P128,'Data Validation'!$O$2:$P$25,2,FALSE),"")</f>
        <v/>
      </c>
      <c r="T128" s="419" t="e">
        <f ca="1">INDEX(INDIRECT(INDEX(ControlRoom[اجمالي الالتزام],MATCH(تفصيلي!Q128,Control!$B$2:$B$12,0))),MATCH(CONCATENATE(O128,P128),INDIRECT(INDEX(ControlRoom[المبلغ],MATCH(تفصيلي!Q128,ControlRoom[التمويل],0))),0))</f>
        <v>#N/A</v>
      </c>
      <c r="U128" s="419" t="e">
        <f ca="1">INDEX(INDIRECT(INDEX(ControlRoom[القسط الشهري],MATCH(تفصيلي!Q128,Control!$B$2:$B$12,0))),MATCH(CONCATENATE(O128,P128),INDIRECT(INDEX(ControlRoom[المبلغ],MATCH(تفصيلي!Q128,ControlRoom[التمويل],0))),0))</f>
        <v>#N/A</v>
      </c>
      <c r="V128" s="420" t="e">
        <f>INDEX(ControlRoom[[فائدة أ]:[فائدة ج]],MATCH(تفصيلي!Q128,ControlRoom[التمويل],0),MATCH(IF(AND(تفصيلي!O128&gt;=Control!$N$2,تفصيلي!O128&lt;=Control!$O$2),Control!$P$2,IF(AND(تفصيلي!O128&gt;=Control!$N$3,تفصيلي!O128&lt;=Control!$O$3),Control!$P$3,IF(AND(تفصيلي!O128&gt;=Control!$N$4,تفصيلي!O128&lt;=Control!$O$4),Control!$P$4,"Out Of Range"))),ControlRoom[[#Headers],[فائدة أ]:[فائدة ج]],0))</f>
        <v>#N/A</v>
      </c>
      <c r="W128" s="419"/>
      <c r="X128" s="466">
        <f t="shared" si="9"/>
        <v>0</v>
      </c>
      <c r="Y128" s="491"/>
      <c r="Z128" s="302">
        <f t="shared" si="10"/>
        <v>0</v>
      </c>
      <c r="AA128" s="166"/>
      <c r="AB128" s="167" t="s">
        <v>624</v>
      </c>
      <c r="AC128" s="167">
        <f t="shared" si="11"/>
        <v>0</v>
      </c>
      <c r="AD128" s="169">
        <f t="shared" si="12"/>
        <v>0</v>
      </c>
      <c r="AE128" s="492"/>
      <c r="AF128" s="303">
        <f t="shared" si="13"/>
        <v>0</v>
      </c>
      <c r="AG128" s="484"/>
      <c r="AH128" s="174" t="s">
        <v>624</v>
      </c>
      <c r="AI128" s="169">
        <f t="shared" si="14"/>
        <v>0</v>
      </c>
      <c r="AJ128" s="181"/>
      <c r="AK128" s="180"/>
      <c r="AL128" s="485"/>
      <c r="AM128" s="486"/>
      <c r="AN128" s="179"/>
      <c r="AO128" s="180"/>
      <c r="AP128" s="467"/>
      <c r="AQ128" s="177"/>
      <c r="AR128" s="469"/>
      <c r="AS128" s="495"/>
      <c r="AT128" s="471"/>
      <c r="AU128" s="471"/>
      <c r="AV128" s="493"/>
      <c r="AW128" s="493"/>
      <c r="AX128" s="473" t="str">
        <f t="shared" si="15"/>
        <v xml:space="preserve"> ,</v>
      </c>
      <c r="AY128" s="473" t="str">
        <f t="shared" si="16"/>
        <v xml:space="preserve"> / </v>
      </c>
      <c r="AZ128" s="474"/>
      <c r="BA128" s="475"/>
      <c r="BB128" s="474"/>
      <c r="BC128" s="494"/>
      <c r="BD128" s="475"/>
      <c r="BE128" s="494"/>
    </row>
    <row r="129" spans="1:57" ht="21.6" customHeight="1">
      <c r="A129" s="341">
        <f t="shared" si="17"/>
        <v>124</v>
      </c>
      <c r="B129" s="481"/>
      <c r="C129" s="489"/>
      <c r="D129" s="343"/>
      <c r="E129" s="237"/>
      <c r="F129" s="461" t="s">
        <v>624</v>
      </c>
      <c r="G129" s="343"/>
      <c r="H129" s="178"/>
      <c r="I129" s="178"/>
      <c r="J129" s="490"/>
      <c r="K129" s="462"/>
      <c r="L129" s="483"/>
      <c r="M129" s="347"/>
      <c r="N129" s="346"/>
      <c r="O129" s="412"/>
      <c r="P129" s="413"/>
      <c r="Q129" s="464"/>
      <c r="R129" s="465">
        <f>IFERROR(VLOOKUP(1,'Data Validation'!$O$2:$P$25,2,FALSE),"")</f>
        <v>45906</v>
      </c>
      <c r="S129" s="465" t="str">
        <f>IFERROR(VLOOKUP($P129,'Data Validation'!$O$2:$P$25,2,FALSE),"")</f>
        <v/>
      </c>
      <c r="T129" s="419" t="e">
        <f ca="1">INDEX(INDIRECT(INDEX(ControlRoom[اجمالي الالتزام],MATCH(تفصيلي!Q129,Control!$B$2:$B$12,0))),MATCH(CONCATENATE(O129,P129),INDIRECT(INDEX(ControlRoom[المبلغ],MATCH(تفصيلي!Q129,ControlRoom[التمويل],0))),0))</f>
        <v>#N/A</v>
      </c>
      <c r="U129" s="419" t="e">
        <f ca="1">INDEX(INDIRECT(INDEX(ControlRoom[القسط الشهري],MATCH(تفصيلي!Q129,Control!$B$2:$B$12,0))),MATCH(CONCATENATE(O129,P129),INDIRECT(INDEX(ControlRoom[المبلغ],MATCH(تفصيلي!Q129,ControlRoom[التمويل],0))),0))</f>
        <v>#N/A</v>
      </c>
      <c r="V129" s="420" t="e">
        <f>INDEX(ControlRoom[[فائدة أ]:[فائدة ج]],MATCH(تفصيلي!Q129,ControlRoom[التمويل],0),MATCH(IF(AND(تفصيلي!O129&gt;=Control!$N$2,تفصيلي!O129&lt;=Control!$O$2),Control!$P$2,IF(AND(تفصيلي!O129&gt;=Control!$N$3,تفصيلي!O129&lt;=Control!$O$3),Control!$P$3,IF(AND(تفصيلي!O129&gt;=Control!$N$4,تفصيلي!O129&lt;=Control!$O$4),Control!$P$4,"Out Of Range"))),ControlRoom[[#Headers],[فائدة أ]:[فائدة ج]],0))</f>
        <v>#N/A</v>
      </c>
      <c r="W129" s="419"/>
      <c r="X129" s="466">
        <f t="shared" si="9"/>
        <v>0</v>
      </c>
      <c r="Y129" s="491"/>
      <c r="Z129" s="302">
        <f t="shared" si="10"/>
        <v>0</v>
      </c>
      <c r="AA129" s="166"/>
      <c r="AB129" s="167" t="s">
        <v>624</v>
      </c>
      <c r="AC129" s="167">
        <f t="shared" si="11"/>
        <v>0</v>
      </c>
      <c r="AD129" s="169">
        <f t="shared" si="12"/>
        <v>0</v>
      </c>
      <c r="AE129" s="492"/>
      <c r="AF129" s="303">
        <f t="shared" si="13"/>
        <v>0</v>
      </c>
      <c r="AG129" s="484"/>
      <c r="AH129" s="174" t="s">
        <v>624</v>
      </c>
      <c r="AI129" s="169">
        <f t="shared" si="14"/>
        <v>0</v>
      </c>
      <c r="AJ129" s="181"/>
      <c r="AK129" s="180"/>
      <c r="AL129" s="485"/>
      <c r="AM129" s="486"/>
      <c r="AN129" s="179"/>
      <c r="AO129" s="180"/>
      <c r="AP129" s="467"/>
      <c r="AQ129" s="177"/>
      <c r="AR129" s="469"/>
      <c r="AS129" s="495"/>
      <c r="AT129" s="471"/>
      <c r="AU129" s="471"/>
      <c r="AV129" s="493"/>
      <c r="AW129" s="493"/>
      <c r="AX129" s="473" t="str">
        <f t="shared" si="15"/>
        <v xml:space="preserve"> ,</v>
      </c>
      <c r="AY129" s="473" t="str">
        <f t="shared" si="16"/>
        <v xml:space="preserve"> / </v>
      </c>
      <c r="AZ129" s="474"/>
      <c r="BA129" s="475"/>
      <c r="BB129" s="474"/>
      <c r="BC129" s="494"/>
      <c r="BD129" s="475"/>
      <c r="BE129" s="494"/>
    </row>
    <row r="130" spans="1:57" ht="21.6" customHeight="1">
      <c r="A130" s="341">
        <f t="shared" si="17"/>
        <v>125</v>
      </c>
      <c r="B130" s="481"/>
      <c r="C130" s="489"/>
      <c r="D130" s="343"/>
      <c r="E130" s="237"/>
      <c r="F130" s="461" t="s">
        <v>624</v>
      </c>
      <c r="G130" s="343"/>
      <c r="H130" s="178"/>
      <c r="I130" s="178"/>
      <c r="J130" s="490"/>
      <c r="K130" s="462"/>
      <c r="L130" s="483"/>
      <c r="M130" s="347"/>
      <c r="N130" s="346"/>
      <c r="O130" s="412"/>
      <c r="P130" s="413"/>
      <c r="Q130" s="464"/>
      <c r="R130" s="465">
        <f>IFERROR(VLOOKUP(1,'Data Validation'!$O$2:$P$25,2,FALSE),"")</f>
        <v>45906</v>
      </c>
      <c r="S130" s="465" t="str">
        <f>IFERROR(VLOOKUP($P130,'Data Validation'!$O$2:$P$25,2,FALSE),"")</f>
        <v/>
      </c>
      <c r="T130" s="419" t="e">
        <f ca="1">INDEX(INDIRECT(INDEX(ControlRoom[اجمالي الالتزام],MATCH(تفصيلي!Q130,Control!$B$2:$B$12,0))),MATCH(CONCATENATE(O130,P130),INDIRECT(INDEX(ControlRoom[المبلغ],MATCH(تفصيلي!Q130,ControlRoom[التمويل],0))),0))</f>
        <v>#N/A</v>
      </c>
      <c r="U130" s="419" t="e">
        <f ca="1">INDEX(INDIRECT(INDEX(ControlRoom[القسط الشهري],MATCH(تفصيلي!Q130,Control!$B$2:$B$12,0))),MATCH(CONCATENATE(O130,P130),INDIRECT(INDEX(ControlRoom[المبلغ],MATCH(تفصيلي!Q130,ControlRoom[التمويل],0))),0))</f>
        <v>#N/A</v>
      </c>
      <c r="V130" s="420" t="e">
        <f>INDEX(ControlRoom[[فائدة أ]:[فائدة ج]],MATCH(تفصيلي!Q130,ControlRoom[التمويل],0),MATCH(IF(AND(تفصيلي!O130&gt;=Control!$N$2,تفصيلي!O130&lt;=Control!$O$2),Control!$P$2,IF(AND(تفصيلي!O130&gt;=Control!$N$3,تفصيلي!O130&lt;=Control!$O$3),Control!$P$3,IF(AND(تفصيلي!O130&gt;=Control!$N$4,تفصيلي!O130&lt;=Control!$O$4),Control!$P$4,"Out Of Range"))),ControlRoom[[#Headers],[فائدة أ]:[فائدة ج]],0))</f>
        <v>#N/A</v>
      </c>
      <c r="W130" s="419"/>
      <c r="X130" s="466">
        <f t="shared" si="9"/>
        <v>0</v>
      </c>
      <c r="Y130" s="491"/>
      <c r="Z130" s="302">
        <f t="shared" si="10"/>
        <v>0</v>
      </c>
      <c r="AA130" s="166"/>
      <c r="AB130" s="167" t="s">
        <v>624</v>
      </c>
      <c r="AC130" s="167">
        <f t="shared" si="11"/>
        <v>0</v>
      </c>
      <c r="AD130" s="169">
        <f t="shared" si="12"/>
        <v>0</v>
      </c>
      <c r="AE130" s="492"/>
      <c r="AF130" s="303">
        <f t="shared" si="13"/>
        <v>0</v>
      </c>
      <c r="AG130" s="484"/>
      <c r="AH130" s="174" t="s">
        <v>624</v>
      </c>
      <c r="AI130" s="169">
        <f t="shared" si="14"/>
        <v>0</v>
      </c>
      <c r="AJ130" s="181"/>
      <c r="AK130" s="180"/>
      <c r="AL130" s="485"/>
      <c r="AM130" s="486"/>
      <c r="AN130" s="179"/>
      <c r="AO130" s="180"/>
      <c r="AP130" s="467"/>
      <c r="AQ130" s="177"/>
      <c r="AR130" s="469"/>
      <c r="AS130" s="495"/>
      <c r="AT130" s="471"/>
      <c r="AU130" s="471"/>
      <c r="AV130" s="493"/>
      <c r="AW130" s="493"/>
      <c r="AX130" s="473" t="str">
        <f t="shared" si="15"/>
        <v xml:space="preserve"> ,</v>
      </c>
      <c r="AY130" s="473" t="str">
        <f t="shared" si="16"/>
        <v xml:space="preserve"> / </v>
      </c>
      <c r="AZ130" s="474"/>
      <c r="BA130" s="475"/>
      <c r="BB130" s="474"/>
      <c r="BC130" s="494"/>
      <c r="BD130" s="475"/>
      <c r="BE130" s="494"/>
    </row>
    <row r="131" spans="1:57" ht="21.6" customHeight="1">
      <c r="A131" s="341">
        <f t="shared" si="17"/>
        <v>126</v>
      </c>
      <c r="B131" s="481"/>
      <c r="C131" s="489"/>
      <c r="D131" s="343"/>
      <c r="E131" s="237"/>
      <c r="F131" s="461" t="s">
        <v>624</v>
      </c>
      <c r="G131" s="343"/>
      <c r="H131" s="178"/>
      <c r="I131" s="178"/>
      <c r="J131" s="490"/>
      <c r="K131" s="462"/>
      <c r="L131" s="483"/>
      <c r="M131" s="347"/>
      <c r="N131" s="346"/>
      <c r="O131" s="412"/>
      <c r="P131" s="413"/>
      <c r="Q131" s="464"/>
      <c r="R131" s="465">
        <f>IFERROR(VLOOKUP(1,'Data Validation'!$O$2:$P$25,2,FALSE),"")</f>
        <v>45906</v>
      </c>
      <c r="S131" s="465" t="str">
        <f>IFERROR(VLOOKUP($P131,'Data Validation'!$O$2:$P$25,2,FALSE),"")</f>
        <v/>
      </c>
      <c r="T131" s="419" t="e">
        <f ca="1">INDEX(INDIRECT(INDEX(ControlRoom[اجمالي الالتزام],MATCH(تفصيلي!Q131,Control!$B$2:$B$12,0))),MATCH(CONCATENATE(O131,P131),INDIRECT(INDEX(ControlRoom[المبلغ],MATCH(تفصيلي!Q131,ControlRoom[التمويل],0))),0))</f>
        <v>#N/A</v>
      </c>
      <c r="U131" s="419" t="e">
        <f ca="1">INDEX(INDIRECT(INDEX(ControlRoom[القسط الشهري],MATCH(تفصيلي!Q131,Control!$B$2:$B$12,0))),MATCH(CONCATENATE(O131,P131),INDIRECT(INDEX(ControlRoom[المبلغ],MATCH(تفصيلي!Q131,ControlRoom[التمويل],0))),0))</f>
        <v>#N/A</v>
      </c>
      <c r="V131" s="420" t="e">
        <f>INDEX(ControlRoom[[فائدة أ]:[فائدة ج]],MATCH(تفصيلي!Q131,ControlRoom[التمويل],0),MATCH(IF(AND(تفصيلي!O131&gt;=Control!$N$2,تفصيلي!O131&lt;=Control!$O$2),Control!$P$2,IF(AND(تفصيلي!O131&gt;=Control!$N$3,تفصيلي!O131&lt;=Control!$O$3),Control!$P$3,IF(AND(تفصيلي!O131&gt;=Control!$N$4,تفصيلي!O131&lt;=Control!$O$4),Control!$P$4,"Out Of Range"))),ControlRoom[[#Headers],[فائدة أ]:[فائدة ج]],0))</f>
        <v>#N/A</v>
      </c>
      <c r="W131" s="419"/>
      <c r="X131" s="466">
        <f t="shared" si="9"/>
        <v>0</v>
      </c>
      <c r="Y131" s="491"/>
      <c r="Z131" s="302">
        <f t="shared" si="10"/>
        <v>0</v>
      </c>
      <c r="AA131" s="166"/>
      <c r="AB131" s="167" t="s">
        <v>624</v>
      </c>
      <c r="AC131" s="167">
        <f t="shared" si="11"/>
        <v>0</v>
      </c>
      <c r="AD131" s="169">
        <f t="shared" si="12"/>
        <v>0</v>
      </c>
      <c r="AE131" s="492"/>
      <c r="AF131" s="303">
        <f t="shared" si="13"/>
        <v>0</v>
      </c>
      <c r="AG131" s="484"/>
      <c r="AH131" s="174" t="s">
        <v>624</v>
      </c>
      <c r="AI131" s="169">
        <f t="shared" si="14"/>
        <v>0</v>
      </c>
      <c r="AJ131" s="181"/>
      <c r="AK131" s="180"/>
      <c r="AL131" s="485"/>
      <c r="AM131" s="486"/>
      <c r="AN131" s="179"/>
      <c r="AO131" s="180"/>
      <c r="AP131" s="467"/>
      <c r="AQ131" s="177"/>
      <c r="AR131" s="469"/>
      <c r="AS131" s="495"/>
      <c r="AT131" s="471"/>
      <c r="AU131" s="471"/>
      <c r="AV131" s="493"/>
      <c r="AW131" s="493"/>
      <c r="AX131" s="473" t="str">
        <f t="shared" si="15"/>
        <v xml:space="preserve"> ,</v>
      </c>
      <c r="AY131" s="473" t="str">
        <f t="shared" si="16"/>
        <v xml:space="preserve"> / </v>
      </c>
      <c r="AZ131" s="474"/>
      <c r="BA131" s="475"/>
      <c r="BB131" s="474"/>
      <c r="BC131" s="494"/>
      <c r="BD131" s="475"/>
      <c r="BE131" s="494"/>
    </row>
    <row r="132" spans="1:57" ht="21.6" customHeight="1">
      <c r="A132" s="341">
        <f t="shared" si="17"/>
        <v>127</v>
      </c>
      <c r="B132" s="481"/>
      <c r="C132" s="489"/>
      <c r="D132" s="343"/>
      <c r="E132" s="237"/>
      <c r="F132" s="461" t="s">
        <v>624</v>
      </c>
      <c r="G132" s="343"/>
      <c r="H132" s="178"/>
      <c r="I132" s="178"/>
      <c r="J132" s="490"/>
      <c r="K132" s="462"/>
      <c r="L132" s="483"/>
      <c r="M132" s="347"/>
      <c r="N132" s="346"/>
      <c r="O132" s="412"/>
      <c r="P132" s="413"/>
      <c r="Q132" s="464"/>
      <c r="R132" s="465">
        <f>IFERROR(VLOOKUP(1,'Data Validation'!$O$2:$P$25,2,FALSE),"")</f>
        <v>45906</v>
      </c>
      <c r="S132" s="465" t="str">
        <f>IFERROR(VLOOKUP($P132,'Data Validation'!$O$2:$P$25,2,FALSE),"")</f>
        <v/>
      </c>
      <c r="T132" s="419" t="e">
        <f ca="1">INDEX(INDIRECT(INDEX(ControlRoom[اجمالي الالتزام],MATCH(تفصيلي!Q132,Control!$B$2:$B$12,0))),MATCH(CONCATENATE(O132,P132),INDIRECT(INDEX(ControlRoom[المبلغ],MATCH(تفصيلي!Q132,ControlRoom[التمويل],0))),0))</f>
        <v>#N/A</v>
      </c>
      <c r="U132" s="419" t="e">
        <f ca="1">INDEX(INDIRECT(INDEX(ControlRoom[القسط الشهري],MATCH(تفصيلي!Q132,Control!$B$2:$B$12,0))),MATCH(CONCATENATE(O132,P132),INDIRECT(INDEX(ControlRoom[المبلغ],MATCH(تفصيلي!Q132,ControlRoom[التمويل],0))),0))</f>
        <v>#N/A</v>
      </c>
      <c r="V132" s="420" t="e">
        <f>INDEX(ControlRoom[[فائدة أ]:[فائدة ج]],MATCH(تفصيلي!Q132,ControlRoom[التمويل],0),MATCH(IF(AND(تفصيلي!O132&gt;=Control!$N$2,تفصيلي!O132&lt;=Control!$O$2),Control!$P$2,IF(AND(تفصيلي!O132&gt;=Control!$N$3,تفصيلي!O132&lt;=Control!$O$3),Control!$P$3,IF(AND(تفصيلي!O132&gt;=Control!$N$4,تفصيلي!O132&lt;=Control!$O$4),Control!$P$4,"Out Of Range"))),ControlRoom[[#Headers],[فائدة أ]:[فائدة ج]],0))</f>
        <v>#N/A</v>
      </c>
      <c r="W132" s="419"/>
      <c r="X132" s="466">
        <f t="shared" si="9"/>
        <v>0</v>
      </c>
      <c r="Y132" s="491"/>
      <c r="Z132" s="302">
        <f t="shared" si="10"/>
        <v>0</v>
      </c>
      <c r="AA132" s="166"/>
      <c r="AB132" s="167" t="s">
        <v>624</v>
      </c>
      <c r="AC132" s="167">
        <f t="shared" si="11"/>
        <v>0</v>
      </c>
      <c r="AD132" s="169">
        <f t="shared" si="12"/>
        <v>0</v>
      </c>
      <c r="AE132" s="492"/>
      <c r="AF132" s="303">
        <f t="shared" si="13"/>
        <v>0</v>
      </c>
      <c r="AG132" s="484"/>
      <c r="AH132" s="174" t="s">
        <v>624</v>
      </c>
      <c r="AI132" s="169">
        <f t="shared" si="14"/>
        <v>0</v>
      </c>
      <c r="AJ132" s="181"/>
      <c r="AK132" s="180"/>
      <c r="AL132" s="485"/>
      <c r="AM132" s="486"/>
      <c r="AN132" s="179"/>
      <c r="AO132" s="180"/>
      <c r="AP132" s="467"/>
      <c r="AQ132" s="177"/>
      <c r="AR132" s="469"/>
      <c r="AS132" s="495"/>
      <c r="AT132" s="471"/>
      <c r="AU132" s="471"/>
      <c r="AV132" s="493"/>
      <c r="AW132" s="493"/>
      <c r="AX132" s="473" t="str">
        <f t="shared" si="15"/>
        <v xml:space="preserve"> ,</v>
      </c>
      <c r="AY132" s="473" t="str">
        <f t="shared" si="16"/>
        <v xml:space="preserve"> / </v>
      </c>
      <c r="AZ132" s="474"/>
      <c r="BA132" s="475"/>
      <c r="BB132" s="474"/>
      <c r="BC132" s="494"/>
      <c r="BD132" s="475"/>
      <c r="BE132" s="494"/>
    </row>
    <row r="133" spans="1:57" ht="21.6" customHeight="1">
      <c r="A133" s="341">
        <f t="shared" si="17"/>
        <v>128</v>
      </c>
      <c r="B133" s="481"/>
      <c r="C133" s="489"/>
      <c r="D133" s="343"/>
      <c r="E133" s="237"/>
      <c r="F133" s="461" t="s">
        <v>624</v>
      </c>
      <c r="G133" s="343"/>
      <c r="H133" s="178"/>
      <c r="I133" s="178"/>
      <c r="J133" s="490"/>
      <c r="K133" s="462"/>
      <c r="L133" s="483"/>
      <c r="M133" s="347"/>
      <c r="N133" s="346"/>
      <c r="O133" s="412"/>
      <c r="P133" s="413"/>
      <c r="Q133" s="464"/>
      <c r="R133" s="465">
        <f>IFERROR(VLOOKUP(1,'Data Validation'!$O$2:$P$25,2,FALSE),"")</f>
        <v>45906</v>
      </c>
      <c r="S133" s="465" t="str">
        <f>IFERROR(VLOOKUP($P133,'Data Validation'!$O$2:$P$25,2,FALSE),"")</f>
        <v/>
      </c>
      <c r="T133" s="419" t="e">
        <f ca="1">INDEX(INDIRECT(INDEX(ControlRoom[اجمالي الالتزام],MATCH(تفصيلي!Q133,Control!$B$2:$B$12,0))),MATCH(CONCATENATE(O133,P133),INDIRECT(INDEX(ControlRoom[المبلغ],MATCH(تفصيلي!Q133,ControlRoom[التمويل],0))),0))</f>
        <v>#N/A</v>
      </c>
      <c r="U133" s="419" t="e">
        <f ca="1">INDEX(INDIRECT(INDEX(ControlRoom[القسط الشهري],MATCH(تفصيلي!Q133,Control!$B$2:$B$12,0))),MATCH(CONCATENATE(O133,P133),INDIRECT(INDEX(ControlRoom[المبلغ],MATCH(تفصيلي!Q133,ControlRoom[التمويل],0))),0))</f>
        <v>#N/A</v>
      </c>
      <c r="V133" s="420" t="e">
        <f>INDEX(ControlRoom[[فائدة أ]:[فائدة ج]],MATCH(تفصيلي!Q133,ControlRoom[التمويل],0),MATCH(IF(AND(تفصيلي!O133&gt;=Control!$N$2,تفصيلي!O133&lt;=Control!$O$2),Control!$P$2,IF(AND(تفصيلي!O133&gt;=Control!$N$3,تفصيلي!O133&lt;=Control!$O$3),Control!$P$3,IF(AND(تفصيلي!O133&gt;=Control!$N$4,تفصيلي!O133&lt;=Control!$O$4),Control!$P$4,"Out Of Range"))),ControlRoom[[#Headers],[فائدة أ]:[فائدة ج]],0))</f>
        <v>#N/A</v>
      </c>
      <c r="W133" s="419"/>
      <c r="X133" s="466">
        <f t="shared" si="9"/>
        <v>0</v>
      </c>
      <c r="Y133" s="491"/>
      <c r="Z133" s="302">
        <f t="shared" si="10"/>
        <v>0</v>
      </c>
      <c r="AA133" s="166"/>
      <c r="AB133" s="167" t="s">
        <v>624</v>
      </c>
      <c r="AC133" s="167">
        <f t="shared" si="11"/>
        <v>0</v>
      </c>
      <c r="AD133" s="169">
        <f t="shared" si="12"/>
        <v>0</v>
      </c>
      <c r="AE133" s="492"/>
      <c r="AF133" s="303">
        <f t="shared" si="13"/>
        <v>0</v>
      </c>
      <c r="AG133" s="484"/>
      <c r="AH133" s="174" t="s">
        <v>624</v>
      </c>
      <c r="AI133" s="169">
        <f t="shared" si="14"/>
        <v>0</v>
      </c>
      <c r="AJ133" s="181"/>
      <c r="AK133" s="180"/>
      <c r="AL133" s="485"/>
      <c r="AM133" s="486"/>
      <c r="AN133" s="179"/>
      <c r="AO133" s="180"/>
      <c r="AP133" s="467"/>
      <c r="AQ133" s="177"/>
      <c r="AR133" s="469"/>
      <c r="AS133" s="495"/>
      <c r="AT133" s="471"/>
      <c r="AU133" s="471"/>
      <c r="AV133" s="493"/>
      <c r="AW133" s="493"/>
      <c r="AX133" s="473" t="str">
        <f t="shared" si="15"/>
        <v xml:space="preserve"> ,</v>
      </c>
      <c r="AY133" s="473" t="str">
        <f t="shared" si="16"/>
        <v xml:space="preserve"> / </v>
      </c>
      <c r="AZ133" s="474"/>
      <c r="BA133" s="475"/>
      <c r="BB133" s="474"/>
      <c r="BC133" s="494"/>
      <c r="BD133" s="475"/>
      <c r="BE133" s="494"/>
    </row>
    <row r="134" spans="1:57" ht="21.6" customHeight="1">
      <c r="A134" s="341">
        <f t="shared" si="17"/>
        <v>129</v>
      </c>
      <c r="B134" s="481"/>
      <c r="C134" s="489"/>
      <c r="D134" s="343"/>
      <c r="E134" s="237"/>
      <c r="F134" s="461" t="s">
        <v>624</v>
      </c>
      <c r="G134" s="343"/>
      <c r="H134" s="178"/>
      <c r="I134" s="178"/>
      <c r="J134" s="490"/>
      <c r="K134" s="462"/>
      <c r="L134" s="483"/>
      <c r="M134" s="347"/>
      <c r="N134" s="346"/>
      <c r="O134" s="412"/>
      <c r="P134" s="413"/>
      <c r="Q134" s="464"/>
      <c r="R134" s="465">
        <f>IFERROR(VLOOKUP(1,'Data Validation'!$O$2:$P$25,2,FALSE),"")</f>
        <v>45906</v>
      </c>
      <c r="S134" s="465" t="str">
        <f>IFERROR(VLOOKUP($P134,'Data Validation'!$O$2:$P$25,2,FALSE),"")</f>
        <v/>
      </c>
      <c r="T134" s="419" t="e">
        <f ca="1">INDEX(INDIRECT(INDEX(ControlRoom[اجمالي الالتزام],MATCH(تفصيلي!Q134,Control!$B$2:$B$12,0))),MATCH(CONCATENATE(O134,P134),INDIRECT(INDEX(ControlRoom[المبلغ],MATCH(تفصيلي!Q134,ControlRoom[التمويل],0))),0))</f>
        <v>#N/A</v>
      </c>
      <c r="U134" s="419" t="e">
        <f ca="1">INDEX(INDIRECT(INDEX(ControlRoom[القسط الشهري],MATCH(تفصيلي!Q134,Control!$B$2:$B$12,0))),MATCH(CONCATENATE(O134,P134),INDIRECT(INDEX(ControlRoom[المبلغ],MATCH(تفصيلي!Q134,ControlRoom[التمويل],0))),0))</f>
        <v>#N/A</v>
      </c>
      <c r="V134" s="420" t="e">
        <f>INDEX(ControlRoom[[فائدة أ]:[فائدة ج]],MATCH(تفصيلي!Q134,ControlRoom[التمويل],0),MATCH(IF(AND(تفصيلي!O134&gt;=Control!$N$2,تفصيلي!O134&lt;=Control!$O$2),Control!$P$2,IF(AND(تفصيلي!O134&gt;=Control!$N$3,تفصيلي!O134&lt;=Control!$O$3),Control!$P$3,IF(AND(تفصيلي!O134&gt;=Control!$N$4,تفصيلي!O134&lt;=Control!$O$4),Control!$P$4,"Out Of Range"))),ControlRoom[[#Headers],[فائدة أ]:[فائدة ج]],0))</f>
        <v>#N/A</v>
      </c>
      <c r="W134" s="419"/>
      <c r="X134" s="466">
        <f t="shared" si="9"/>
        <v>0</v>
      </c>
      <c r="Y134" s="491"/>
      <c r="Z134" s="302">
        <f t="shared" si="10"/>
        <v>0</v>
      </c>
      <c r="AA134" s="166"/>
      <c r="AB134" s="167" t="s">
        <v>624</v>
      </c>
      <c r="AC134" s="167">
        <f t="shared" si="11"/>
        <v>0</v>
      </c>
      <c r="AD134" s="169">
        <f t="shared" si="12"/>
        <v>0</v>
      </c>
      <c r="AE134" s="492"/>
      <c r="AF134" s="303">
        <f t="shared" si="13"/>
        <v>0</v>
      </c>
      <c r="AG134" s="484"/>
      <c r="AH134" s="174" t="s">
        <v>624</v>
      </c>
      <c r="AI134" s="169">
        <f t="shared" si="14"/>
        <v>0</v>
      </c>
      <c r="AJ134" s="181"/>
      <c r="AK134" s="180"/>
      <c r="AL134" s="485"/>
      <c r="AM134" s="486"/>
      <c r="AN134" s="179"/>
      <c r="AO134" s="180"/>
      <c r="AP134" s="467"/>
      <c r="AQ134" s="177"/>
      <c r="AR134" s="469"/>
      <c r="AS134" s="495"/>
      <c r="AT134" s="471"/>
      <c r="AU134" s="471"/>
      <c r="AV134" s="493"/>
      <c r="AW134" s="493"/>
      <c r="AX134" s="473" t="str">
        <f t="shared" si="15"/>
        <v xml:space="preserve"> ,</v>
      </c>
      <c r="AY134" s="473" t="str">
        <f t="shared" si="16"/>
        <v xml:space="preserve"> / </v>
      </c>
      <c r="AZ134" s="474"/>
      <c r="BA134" s="475"/>
      <c r="BB134" s="474"/>
      <c r="BC134" s="494"/>
      <c r="BD134" s="475"/>
      <c r="BE134" s="494"/>
    </row>
    <row r="135" spans="1:57" ht="21.6" customHeight="1">
      <c r="A135" s="341">
        <f t="shared" si="17"/>
        <v>130</v>
      </c>
      <c r="B135" s="481"/>
      <c r="C135" s="489"/>
      <c r="D135" s="343"/>
      <c r="E135" s="237"/>
      <c r="F135" s="461" t="s">
        <v>624</v>
      </c>
      <c r="G135" s="343"/>
      <c r="H135" s="178"/>
      <c r="I135" s="178"/>
      <c r="J135" s="490"/>
      <c r="K135" s="462"/>
      <c r="L135" s="483"/>
      <c r="M135" s="347"/>
      <c r="N135" s="346"/>
      <c r="O135" s="412"/>
      <c r="P135" s="413"/>
      <c r="Q135" s="464"/>
      <c r="R135" s="465">
        <f>IFERROR(VLOOKUP(1,'Data Validation'!$O$2:$P$25,2,FALSE),"")</f>
        <v>45906</v>
      </c>
      <c r="S135" s="465" t="str">
        <f>IFERROR(VLOOKUP($P135,'Data Validation'!$O$2:$P$25,2,FALSE),"")</f>
        <v/>
      </c>
      <c r="T135" s="419" t="e">
        <f ca="1">INDEX(INDIRECT(INDEX(ControlRoom[اجمالي الالتزام],MATCH(تفصيلي!Q135,Control!$B$2:$B$12,0))),MATCH(CONCATENATE(O135,P135),INDIRECT(INDEX(ControlRoom[المبلغ],MATCH(تفصيلي!Q135,ControlRoom[التمويل],0))),0))</f>
        <v>#N/A</v>
      </c>
      <c r="U135" s="419" t="e">
        <f ca="1">INDEX(INDIRECT(INDEX(ControlRoom[القسط الشهري],MATCH(تفصيلي!Q135,Control!$B$2:$B$12,0))),MATCH(CONCATENATE(O135,P135),INDIRECT(INDEX(ControlRoom[المبلغ],MATCH(تفصيلي!Q135,ControlRoom[التمويل],0))),0))</f>
        <v>#N/A</v>
      </c>
      <c r="V135" s="420" t="e">
        <f>INDEX(ControlRoom[[فائدة أ]:[فائدة ج]],MATCH(تفصيلي!Q135,ControlRoom[التمويل],0),MATCH(IF(AND(تفصيلي!O135&gt;=Control!$N$2,تفصيلي!O135&lt;=Control!$O$2),Control!$P$2,IF(AND(تفصيلي!O135&gt;=Control!$N$3,تفصيلي!O135&lt;=Control!$O$3),Control!$P$3,IF(AND(تفصيلي!O135&gt;=Control!$N$4,تفصيلي!O135&lt;=Control!$O$4),Control!$P$4,"Out Of Range"))),ControlRoom[[#Headers],[فائدة أ]:[فائدة ج]],0))</f>
        <v>#N/A</v>
      </c>
      <c r="W135" s="419"/>
      <c r="X135" s="466">
        <f t="shared" ref="X135:X198" si="18">AZ135</f>
        <v>0</v>
      </c>
      <c r="Y135" s="491"/>
      <c r="Z135" s="302">
        <f t="shared" ref="Z135:Z198" si="19">BA135</f>
        <v>0</v>
      </c>
      <c r="AA135" s="166"/>
      <c r="AB135" s="167" t="s">
        <v>624</v>
      </c>
      <c r="AC135" s="167">
        <f t="shared" ref="AC135:AC198" si="20">BB135</f>
        <v>0</v>
      </c>
      <c r="AD135" s="169">
        <f t="shared" ref="AD135:AD198" si="21">BC135</f>
        <v>0</v>
      </c>
      <c r="AE135" s="492"/>
      <c r="AF135" s="303">
        <f t="shared" ref="AF135:AF198" si="22">BD135</f>
        <v>0</v>
      </c>
      <c r="AG135" s="484"/>
      <c r="AH135" s="174" t="s">
        <v>624</v>
      </c>
      <c r="AI135" s="169">
        <f t="shared" ref="AI135:AI198" si="23">BE135</f>
        <v>0</v>
      </c>
      <c r="AJ135" s="181"/>
      <c r="AK135" s="180"/>
      <c r="AL135" s="485"/>
      <c r="AM135" s="486"/>
      <c r="AN135" s="179"/>
      <c r="AO135" s="180"/>
      <c r="AP135" s="467"/>
      <c r="AQ135" s="177"/>
      <c r="AR135" s="469"/>
      <c r="AS135" s="495"/>
      <c r="AT135" s="471"/>
      <c r="AU135" s="471"/>
      <c r="AV135" s="493"/>
      <c r="AW135" s="493"/>
      <c r="AX135" s="473" t="str">
        <f t="shared" ref="AX135:AX198" si="24">CONCATENATE(AV135," ",",",AW135)</f>
        <v xml:space="preserve"> ,</v>
      </c>
      <c r="AY135" s="473" t="str">
        <f t="shared" ref="AY135:AY198" si="25">CONCATENATE(J135," ","/"," ",K135)</f>
        <v xml:space="preserve"> / </v>
      </c>
      <c r="AZ135" s="474"/>
      <c r="BA135" s="475"/>
      <c r="BB135" s="474"/>
      <c r="BC135" s="494"/>
      <c r="BD135" s="475"/>
      <c r="BE135" s="494"/>
    </row>
    <row r="136" spans="1:57" ht="21.6" customHeight="1">
      <c r="A136" s="341">
        <f t="shared" ref="A136:A199" si="26">A135+1</f>
        <v>131</v>
      </c>
      <c r="B136" s="481"/>
      <c r="C136" s="489"/>
      <c r="D136" s="343"/>
      <c r="E136" s="237"/>
      <c r="F136" s="461" t="s">
        <v>624</v>
      </c>
      <c r="G136" s="343"/>
      <c r="H136" s="178"/>
      <c r="I136" s="178"/>
      <c r="J136" s="490"/>
      <c r="K136" s="462"/>
      <c r="L136" s="483"/>
      <c r="M136" s="347"/>
      <c r="N136" s="346"/>
      <c r="O136" s="412"/>
      <c r="P136" s="413"/>
      <c r="Q136" s="464"/>
      <c r="R136" s="465">
        <f>IFERROR(VLOOKUP(1,'Data Validation'!$O$2:$P$25,2,FALSE),"")</f>
        <v>45906</v>
      </c>
      <c r="S136" s="465" t="str">
        <f>IFERROR(VLOOKUP($P136,'Data Validation'!$O$2:$P$25,2,FALSE),"")</f>
        <v/>
      </c>
      <c r="T136" s="419" t="e">
        <f ca="1">INDEX(INDIRECT(INDEX(ControlRoom[اجمالي الالتزام],MATCH(تفصيلي!Q136,Control!$B$2:$B$12,0))),MATCH(CONCATENATE(O136,P136),INDIRECT(INDEX(ControlRoom[المبلغ],MATCH(تفصيلي!Q136,ControlRoom[التمويل],0))),0))</f>
        <v>#N/A</v>
      </c>
      <c r="U136" s="419" t="e">
        <f ca="1">INDEX(INDIRECT(INDEX(ControlRoom[القسط الشهري],MATCH(تفصيلي!Q136,Control!$B$2:$B$12,0))),MATCH(CONCATENATE(O136,P136),INDIRECT(INDEX(ControlRoom[المبلغ],MATCH(تفصيلي!Q136,ControlRoom[التمويل],0))),0))</f>
        <v>#N/A</v>
      </c>
      <c r="V136" s="420" t="e">
        <f>INDEX(ControlRoom[[فائدة أ]:[فائدة ج]],MATCH(تفصيلي!Q136,ControlRoom[التمويل],0),MATCH(IF(AND(تفصيلي!O136&gt;=Control!$N$2,تفصيلي!O136&lt;=Control!$O$2),Control!$P$2,IF(AND(تفصيلي!O136&gt;=Control!$N$3,تفصيلي!O136&lt;=Control!$O$3),Control!$P$3,IF(AND(تفصيلي!O136&gt;=Control!$N$4,تفصيلي!O136&lt;=Control!$O$4),Control!$P$4,"Out Of Range"))),ControlRoom[[#Headers],[فائدة أ]:[فائدة ج]],0))</f>
        <v>#N/A</v>
      </c>
      <c r="W136" s="419"/>
      <c r="X136" s="466">
        <f t="shared" si="18"/>
        <v>0</v>
      </c>
      <c r="Y136" s="491"/>
      <c r="Z136" s="302">
        <f t="shared" si="19"/>
        <v>0</v>
      </c>
      <c r="AA136" s="166"/>
      <c r="AB136" s="167" t="s">
        <v>624</v>
      </c>
      <c r="AC136" s="167">
        <f t="shared" si="20"/>
        <v>0</v>
      </c>
      <c r="AD136" s="169">
        <f t="shared" si="21"/>
        <v>0</v>
      </c>
      <c r="AE136" s="492"/>
      <c r="AF136" s="303">
        <f t="shared" si="22"/>
        <v>0</v>
      </c>
      <c r="AG136" s="484"/>
      <c r="AH136" s="174" t="s">
        <v>624</v>
      </c>
      <c r="AI136" s="169">
        <f t="shared" si="23"/>
        <v>0</v>
      </c>
      <c r="AJ136" s="181"/>
      <c r="AK136" s="180"/>
      <c r="AL136" s="485"/>
      <c r="AM136" s="486"/>
      <c r="AN136" s="179"/>
      <c r="AO136" s="180"/>
      <c r="AP136" s="467"/>
      <c r="AQ136" s="177"/>
      <c r="AR136" s="469"/>
      <c r="AS136" s="495"/>
      <c r="AT136" s="471"/>
      <c r="AU136" s="471"/>
      <c r="AV136" s="493"/>
      <c r="AW136" s="493"/>
      <c r="AX136" s="473" t="str">
        <f t="shared" si="24"/>
        <v xml:space="preserve"> ,</v>
      </c>
      <c r="AY136" s="473" t="str">
        <f t="shared" si="25"/>
        <v xml:space="preserve"> / </v>
      </c>
      <c r="AZ136" s="474"/>
      <c r="BA136" s="475"/>
      <c r="BB136" s="474"/>
      <c r="BC136" s="494"/>
      <c r="BD136" s="475"/>
      <c r="BE136" s="494"/>
    </row>
    <row r="137" spans="1:57" ht="21.6" customHeight="1">
      <c r="A137" s="341">
        <f t="shared" si="26"/>
        <v>132</v>
      </c>
      <c r="B137" s="481"/>
      <c r="C137" s="489"/>
      <c r="D137" s="343"/>
      <c r="E137" s="237"/>
      <c r="F137" s="461" t="s">
        <v>624</v>
      </c>
      <c r="G137" s="343"/>
      <c r="H137" s="178"/>
      <c r="I137" s="178"/>
      <c r="J137" s="490"/>
      <c r="K137" s="462"/>
      <c r="L137" s="483"/>
      <c r="M137" s="347"/>
      <c r="N137" s="346"/>
      <c r="O137" s="412"/>
      <c r="P137" s="413"/>
      <c r="Q137" s="464"/>
      <c r="R137" s="465">
        <f>IFERROR(VLOOKUP(1,'Data Validation'!$O$2:$P$25,2,FALSE),"")</f>
        <v>45906</v>
      </c>
      <c r="S137" s="465" t="str">
        <f>IFERROR(VLOOKUP($P137,'Data Validation'!$O$2:$P$25,2,FALSE),"")</f>
        <v/>
      </c>
      <c r="T137" s="419" t="e">
        <f ca="1">INDEX(INDIRECT(INDEX(ControlRoom[اجمالي الالتزام],MATCH(تفصيلي!Q137,Control!$B$2:$B$12,0))),MATCH(CONCATENATE(O137,P137),INDIRECT(INDEX(ControlRoom[المبلغ],MATCH(تفصيلي!Q137,ControlRoom[التمويل],0))),0))</f>
        <v>#N/A</v>
      </c>
      <c r="U137" s="419" t="e">
        <f ca="1">INDEX(INDIRECT(INDEX(ControlRoom[القسط الشهري],MATCH(تفصيلي!Q137,Control!$B$2:$B$12,0))),MATCH(CONCATENATE(O137,P137),INDIRECT(INDEX(ControlRoom[المبلغ],MATCH(تفصيلي!Q137,ControlRoom[التمويل],0))),0))</f>
        <v>#N/A</v>
      </c>
      <c r="V137" s="420" t="e">
        <f>INDEX(ControlRoom[[فائدة أ]:[فائدة ج]],MATCH(تفصيلي!Q137,ControlRoom[التمويل],0),MATCH(IF(AND(تفصيلي!O137&gt;=Control!$N$2,تفصيلي!O137&lt;=Control!$O$2),Control!$P$2,IF(AND(تفصيلي!O137&gt;=Control!$N$3,تفصيلي!O137&lt;=Control!$O$3),Control!$P$3,IF(AND(تفصيلي!O137&gt;=Control!$N$4,تفصيلي!O137&lt;=Control!$O$4),Control!$P$4,"Out Of Range"))),ControlRoom[[#Headers],[فائدة أ]:[فائدة ج]],0))</f>
        <v>#N/A</v>
      </c>
      <c r="W137" s="419"/>
      <c r="X137" s="466">
        <f t="shared" si="18"/>
        <v>0</v>
      </c>
      <c r="Y137" s="491"/>
      <c r="Z137" s="302">
        <f t="shared" si="19"/>
        <v>0</v>
      </c>
      <c r="AA137" s="166"/>
      <c r="AB137" s="167" t="s">
        <v>624</v>
      </c>
      <c r="AC137" s="167">
        <f t="shared" si="20"/>
        <v>0</v>
      </c>
      <c r="AD137" s="169">
        <f t="shared" si="21"/>
        <v>0</v>
      </c>
      <c r="AE137" s="492"/>
      <c r="AF137" s="303">
        <f t="shared" si="22"/>
        <v>0</v>
      </c>
      <c r="AG137" s="484"/>
      <c r="AH137" s="174" t="s">
        <v>624</v>
      </c>
      <c r="AI137" s="169">
        <f t="shared" si="23"/>
        <v>0</v>
      </c>
      <c r="AJ137" s="181"/>
      <c r="AK137" s="180"/>
      <c r="AL137" s="485"/>
      <c r="AM137" s="486"/>
      <c r="AN137" s="179"/>
      <c r="AO137" s="180"/>
      <c r="AP137" s="467"/>
      <c r="AQ137" s="177"/>
      <c r="AR137" s="469"/>
      <c r="AS137" s="495"/>
      <c r="AT137" s="471"/>
      <c r="AU137" s="471"/>
      <c r="AV137" s="493"/>
      <c r="AW137" s="493"/>
      <c r="AX137" s="473" t="str">
        <f t="shared" si="24"/>
        <v xml:space="preserve"> ,</v>
      </c>
      <c r="AY137" s="473" t="str">
        <f t="shared" si="25"/>
        <v xml:space="preserve"> / </v>
      </c>
      <c r="AZ137" s="474"/>
      <c r="BA137" s="475"/>
      <c r="BB137" s="474"/>
      <c r="BC137" s="494"/>
      <c r="BD137" s="475"/>
      <c r="BE137" s="494"/>
    </row>
    <row r="138" spans="1:57" ht="21.6" customHeight="1">
      <c r="A138" s="341">
        <f t="shared" si="26"/>
        <v>133</v>
      </c>
      <c r="B138" s="481"/>
      <c r="C138" s="489"/>
      <c r="D138" s="343"/>
      <c r="E138" s="237"/>
      <c r="F138" s="461" t="s">
        <v>624</v>
      </c>
      <c r="G138" s="343"/>
      <c r="H138" s="178"/>
      <c r="I138" s="178"/>
      <c r="J138" s="490"/>
      <c r="K138" s="462"/>
      <c r="L138" s="483"/>
      <c r="M138" s="347"/>
      <c r="N138" s="346"/>
      <c r="O138" s="412"/>
      <c r="P138" s="413"/>
      <c r="Q138" s="464"/>
      <c r="R138" s="465">
        <f>IFERROR(VLOOKUP(1,'Data Validation'!$O$2:$P$25,2,FALSE),"")</f>
        <v>45906</v>
      </c>
      <c r="S138" s="465" t="str">
        <f>IFERROR(VLOOKUP($P138,'Data Validation'!$O$2:$P$25,2,FALSE),"")</f>
        <v/>
      </c>
      <c r="T138" s="419" t="e">
        <f ca="1">INDEX(INDIRECT(INDEX(ControlRoom[اجمالي الالتزام],MATCH(تفصيلي!Q138,Control!$B$2:$B$12,0))),MATCH(CONCATENATE(O138,P138),INDIRECT(INDEX(ControlRoom[المبلغ],MATCH(تفصيلي!Q138,ControlRoom[التمويل],0))),0))</f>
        <v>#N/A</v>
      </c>
      <c r="U138" s="419" t="e">
        <f ca="1">INDEX(INDIRECT(INDEX(ControlRoom[القسط الشهري],MATCH(تفصيلي!Q138,Control!$B$2:$B$12,0))),MATCH(CONCATENATE(O138,P138),INDIRECT(INDEX(ControlRoom[المبلغ],MATCH(تفصيلي!Q138,ControlRoom[التمويل],0))),0))</f>
        <v>#N/A</v>
      </c>
      <c r="V138" s="420" t="e">
        <f>INDEX(ControlRoom[[فائدة أ]:[فائدة ج]],MATCH(تفصيلي!Q138,ControlRoom[التمويل],0),MATCH(IF(AND(تفصيلي!O138&gt;=Control!$N$2,تفصيلي!O138&lt;=Control!$O$2),Control!$P$2,IF(AND(تفصيلي!O138&gt;=Control!$N$3,تفصيلي!O138&lt;=Control!$O$3),Control!$P$3,IF(AND(تفصيلي!O138&gt;=Control!$N$4,تفصيلي!O138&lt;=Control!$O$4),Control!$P$4,"Out Of Range"))),ControlRoom[[#Headers],[فائدة أ]:[فائدة ج]],0))</f>
        <v>#N/A</v>
      </c>
      <c r="W138" s="419"/>
      <c r="X138" s="466">
        <f t="shared" si="18"/>
        <v>0</v>
      </c>
      <c r="Y138" s="491"/>
      <c r="Z138" s="302">
        <f t="shared" si="19"/>
        <v>0</v>
      </c>
      <c r="AA138" s="166"/>
      <c r="AB138" s="167" t="s">
        <v>624</v>
      </c>
      <c r="AC138" s="167">
        <f t="shared" si="20"/>
        <v>0</v>
      </c>
      <c r="AD138" s="169">
        <f t="shared" si="21"/>
        <v>0</v>
      </c>
      <c r="AE138" s="492"/>
      <c r="AF138" s="303">
        <f t="shared" si="22"/>
        <v>0</v>
      </c>
      <c r="AG138" s="484"/>
      <c r="AH138" s="174" t="s">
        <v>624</v>
      </c>
      <c r="AI138" s="169">
        <f t="shared" si="23"/>
        <v>0</v>
      </c>
      <c r="AJ138" s="181"/>
      <c r="AK138" s="180"/>
      <c r="AL138" s="485"/>
      <c r="AM138" s="486"/>
      <c r="AN138" s="179"/>
      <c r="AO138" s="180"/>
      <c r="AP138" s="467"/>
      <c r="AQ138" s="177"/>
      <c r="AR138" s="469"/>
      <c r="AS138" s="495"/>
      <c r="AT138" s="471"/>
      <c r="AU138" s="471"/>
      <c r="AV138" s="493"/>
      <c r="AW138" s="493"/>
      <c r="AX138" s="473" t="str">
        <f t="shared" si="24"/>
        <v xml:space="preserve"> ,</v>
      </c>
      <c r="AY138" s="473" t="str">
        <f t="shared" si="25"/>
        <v xml:space="preserve"> / </v>
      </c>
      <c r="AZ138" s="474"/>
      <c r="BA138" s="475"/>
      <c r="BB138" s="474"/>
      <c r="BC138" s="494"/>
      <c r="BD138" s="475"/>
      <c r="BE138" s="494"/>
    </row>
    <row r="139" spans="1:57" ht="21.6" customHeight="1">
      <c r="A139" s="341">
        <f t="shared" si="26"/>
        <v>134</v>
      </c>
      <c r="B139" s="481"/>
      <c r="C139" s="489"/>
      <c r="D139" s="343"/>
      <c r="E139" s="237"/>
      <c r="F139" s="461" t="s">
        <v>624</v>
      </c>
      <c r="G139" s="343"/>
      <c r="H139" s="178"/>
      <c r="I139" s="178"/>
      <c r="J139" s="490"/>
      <c r="K139" s="462"/>
      <c r="L139" s="483"/>
      <c r="M139" s="347"/>
      <c r="N139" s="346"/>
      <c r="O139" s="412"/>
      <c r="P139" s="413"/>
      <c r="Q139" s="464"/>
      <c r="R139" s="465">
        <f>IFERROR(VLOOKUP(1,'Data Validation'!$O$2:$P$25,2,FALSE),"")</f>
        <v>45906</v>
      </c>
      <c r="S139" s="465" t="str">
        <f>IFERROR(VLOOKUP($P139,'Data Validation'!$O$2:$P$25,2,FALSE),"")</f>
        <v/>
      </c>
      <c r="T139" s="419" t="e">
        <f ca="1">INDEX(INDIRECT(INDEX(ControlRoom[اجمالي الالتزام],MATCH(تفصيلي!Q139,Control!$B$2:$B$12,0))),MATCH(CONCATENATE(O139,P139),INDIRECT(INDEX(ControlRoom[المبلغ],MATCH(تفصيلي!Q139,ControlRoom[التمويل],0))),0))</f>
        <v>#N/A</v>
      </c>
      <c r="U139" s="419" t="e">
        <f ca="1">INDEX(INDIRECT(INDEX(ControlRoom[القسط الشهري],MATCH(تفصيلي!Q139,Control!$B$2:$B$12,0))),MATCH(CONCATENATE(O139,P139),INDIRECT(INDEX(ControlRoom[المبلغ],MATCH(تفصيلي!Q139,ControlRoom[التمويل],0))),0))</f>
        <v>#N/A</v>
      </c>
      <c r="V139" s="420" t="e">
        <f>INDEX(ControlRoom[[فائدة أ]:[فائدة ج]],MATCH(تفصيلي!Q139,ControlRoom[التمويل],0),MATCH(IF(AND(تفصيلي!O139&gt;=Control!$N$2,تفصيلي!O139&lt;=Control!$O$2),Control!$P$2,IF(AND(تفصيلي!O139&gt;=Control!$N$3,تفصيلي!O139&lt;=Control!$O$3),Control!$P$3,IF(AND(تفصيلي!O139&gt;=Control!$N$4,تفصيلي!O139&lt;=Control!$O$4),Control!$P$4,"Out Of Range"))),ControlRoom[[#Headers],[فائدة أ]:[فائدة ج]],0))</f>
        <v>#N/A</v>
      </c>
      <c r="W139" s="419"/>
      <c r="X139" s="466">
        <f t="shared" si="18"/>
        <v>0</v>
      </c>
      <c r="Y139" s="491"/>
      <c r="Z139" s="302">
        <f t="shared" si="19"/>
        <v>0</v>
      </c>
      <c r="AA139" s="166"/>
      <c r="AB139" s="167" t="s">
        <v>624</v>
      </c>
      <c r="AC139" s="167">
        <f t="shared" si="20"/>
        <v>0</v>
      </c>
      <c r="AD139" s="169">
        <f t="shared" si="21"/>
        <v>0</v>
      </c>
      <c r="AE139" s="492"/>
      <c r="AF139" s="303">
        <f t="shared" si="22"/>
        <v>0</v>
      </c>
      <c r="AG139" s="484"/>
      <c r="AH139" s="174" t="s">
        <v>624</v>
      </c>
      <c r="AI139" s="169">
        <f t="shared" si="23"/>
        <v>0</v>
      </c>
      <c r="AJ139" s="181"/>
      <c r="AK139" s="180"/>
      <c r="AL139" s="485"/>
      <c r="AM139" s="486"/>
      <c r="AN139" s="179"/>
      <c r="AO139" s="180"/>
      <c r="AP139" s="467"/>
      <c r="AQ139" s="177"/>
      <c r="AR139" s="469"/>
      <c r="AS139" s="495"/>
      <c r="AT139" s="471"/>
      <c r="AU139" s="471"/>
      <c r="AV139" s="493"/>
      <c r="AW139" s="493"/>
      <c r="AX139" s="473" t="str">
        <f t="shared" si="24"/>
        <v xml:space="preserve"> ,</v>
      </c>
      <c r="AY139" s="473" t="str">
        <f t="shared" si="25"/>
        <v xml:space="preserve"> / </v>
      </c>
      <c r="AZ139" s="474"/>
      <c r="BA139" s="475"/>
      <c r="BB139" s="474"/>
      <c r="BC139" s="494"/>
      <c r="BD139" s="475"/>
      <c r="BE139" s="494"/>
    </row>
    <row r="140" spans="1:57" ht="21.6" customHeight="1">
      <c r="A140" s="341">
        <f t="shared" si="26"/>
        <v>135</v>
      </c>
      <c r="B140" s="481"/>
      <c r="C140" s="489"/>
      <c r="D140" s="343"/>
      <c r="E140" s="237"/>
      <c r="F140" s="461" t="s">
        <v>624</v>
      </c>
      <c r="G140" s="343"/>
      <c r="H140" s="178"/>
      <c r="I140" s="178"/>
      <c r="J140" s="490"/>
      <c r="K140" s="462"/>
      <c r="L140" s="483"/>
      <c r="M140" s="347"/>
      <c r="N140" s="346"/>
      <c r="O140" s="412"/>
      <c r="P140" s="413"/>
      <c r="Q140" s="464"/>
      <c r="R140" s="465">
        <f>IFERROR(VLOOKUP(1,'Data Validation'!$O$2:$P$25,2,FALSE),"")</f>
        <v>45906</v>
      </c>
      <c r="S140" s="465" t="str">
        <f>IFERROR(VLOOKUP($P140,'Data Validation'!$O$2:$P$25,2,FALSE),"")</f>
        <v/>
      </c>
      <c r="T140" s="419" t="e">
        <f ca="1">INDEX(INDIRECT(INDEX(ControlRoom[اجمالي الالتزام],MATCH(تفصيلي!Q140,Control!$B$2:$B$12,0))),MATCH(CONCATENATE(O140,P140),INDIRECT(INDEX(ControlRoom[المبلغ],MATCH(تفصيلي!Q140,ControlRoom[التمويل],0))),0))</f>
        <v>#N/A</v>
      </c>
      <c r="U140" s="419" t="e">
        <f ca="1">INDEX(INDIRECT(INDEX(ControlRoom[القسط الشهري],MATCH(تفصيلي!Q140,Control!$B$2:$B$12,0))),MATCH(CONCATENATE(O140,P140),INDIRECT(INDEX(ControlRoom[المبلغ],MATCH(تفصيلي!Q140,ControlRoom[التمويل],0))),0))</f>
        <v>#N/A</v>
      </c>
      <c r="V140" s="420" t="e">
        <f>INDEX(ControlRoom[[فائدة أ]:[فائدة ج]],MATCH(تفصيلي!Q140,ControlRoom[التمويل],0),MATCH(IF(AND(تفصيلي!O140&gt;=Control!$N$2,تفصيلي!O140&lt;=Control!$O$2),Control!$P$2,IF(AND(تفصيلي!O140&gt;=Control!$N$3,تفصيلي!O140&lt;=Control!$O$3),Control!$P$3,IF(AND(تفصيلي!O140&gt;=Control!$N$4,تفصيلي!O140&lt;=Control!$O$4),Control!$P$4,"Out Of Range"))),ControlRoom[[#Headers],[فائدة أ]:[فائدة ج]],0))</f>
        <v>#N/A</v>
      </c>
      <c r="W140" s="419"/>
      <c r="X140" s="466">
        <f t="shared" si="18"/>
        <v>0</v>
      </c>
      <c r="Y140" s="491"/>
      <c r="Z140" s="302">
        <f t="shared" si="19"/>
        <v>0</v>
      </c>
      <c r="AA140" s="166"/>
      <c r="AB140" s="167" t="s">
        <v>624</v>
      </c>
      <c r="AC140" s="167">
        <f t="shared" si="20"/>
        <v>0</v>
      </c>
      <c r="AD140" s="169">
        <f t="shared" si="21"/>
        <v>0</v>
      </c>
      <c r="AE140" s="492"/>
      <c r="AF140" s="303">
        <f t="shared" si="22"/>
        <v>0</v>
      </c>
      <c r="AG140" s="484"/>
      <c r="AH140" s="174" t="s">
        <v>624</v>
      </c>
      <c r="AI140" s="169">
        <f t="shared" si="23"/>
        <v>0</v>
      </c>
      <c r="AJ140" s="181"/>
      <c r="AK140" s="180"/>
      <c r="AL140" s="485"/>
      <c r="AM140" s="486"/>
      <c r="AN140" s="179"/>
      <c r="AO140" s="180"/>
      <c r="AP140" s="467"/>
      <c r="AQ140" s="177"/>
      <c r="AR140" s="469"/>
      <c r="AS140" s="495"/>
      <c r="AT140" s="471"/>
      <c r="AU140" s="471"/>
      <c r="AV140" s="493"/>
      <c r="AW140" s="493"/>
      <c r="AX140" s="473" t="str">
        <f t="shared" si="24"/>
        <v xml:space="preserve"> ,</v>
      </c>
      <c r="AY140" s="473" t="str">
        <f t="shared" si="25"/>
        <v xml:space="preserve"> / </v>
      </c>
      <c r="AZ140" s="474"/>
      <c r="BA140" s="475"/>
      <c r="BB140" s="474"/>
      <c r="BC140" s="494"/>
      <c r="BD140" s="475"/>
      <c r="BE140" s="494"/>
    </row>
    <row r="141" spans="1:57" ht="21.6" customHeight="1">
      <c r="A141" s="341">
        <f t="shared" si="26"/>
        <v>136</v>
      </c>
      <c r="B141" s="481"/>
      <c r="C141" s="489"/>
      <c r="D141" s="343"/>
      <c r="E141" s="237"/>
      <c r="F141" s="461" t="s">
        <v>624</v>
      </c>
      <c r="G141" s="343"/>
      <c r="H141" s="178"/>
      <c r="I141" s="178"/>
      <c r="J141" s="490"/>
      <c r="K141" s="462"/>
      <c r="L141" s="483"/>
      <c r="M141" s="347"/>
      <c r="N141" s="346"/>
      <c r="O141" s="412"/>
      <c r="P141" s="413"/>
      <c r="Q141" s="464"/>
      <c r="R141" s="465">
        <f>IFERROR(VLOOKUP(1,'Data Validation'!$O$2:$P$25,2,FALSE),"")</f>
        <v>45906</v>
      </c>
      <c r="S141" s="465" t="str">
        <f>IFERROR(VLOOKUP($P141,'Data Validation'!$O$2:$P$25,2,FALSE),"")</f>
        <v/>
      </c>
      <c r="T141" s="419" t="e">
        <f ca="1">INDEX(INDIRECT(INDEX(ControlRoom[اجمالي الالتزام],MATCH(تفصيلي!Q141,Control!$B$2:$B$12,0))),MATCH(CONCATENATE(O141,P141),INDIRECT(INDEX(ControlRoom[المبلغ],MATCH(تفصيلي!Q141,ControlRoom[التمويل],0))),0))</f>
        <v>#N/A</v>
      </c>
      <c r="U141" s="419" t="e">
        <f ca="1">INDEX(INDIRECT(INDEX(ControlRoom[القسط الشهري],MATCH(تفصيلي!Q141,Control!$B$2:$B$12,0))),MATCH(CONCATENATE(O141,P141),INDIRECT(INDEX(ControlRoom[المبلغ],MATCH(تفصيلي!Q141,ControlRoom[التمويل],0))),0))</f>
        <v>#N/A</v>
      </c>
      <c r="V141" s="420" t="e">
        <f>INDEX(ControlRoom[[فائدة أ]:[فائدة ج]],MATCH(تفصيلي!Q141,ControlRoom[التمويل],0),MATCH(IF(AND(تفصيلي!O141&gt;=Control!$N$2,تفصيلي!O141&lt;=Control!$O$2),Control!$P$2,IF(AND(تفصيلي!O141&gt;=Control!$N$3,تفصيلي!O141&lt;=Control!$O$3),Control!$P$3,IF(AND(تفصيلي!O141&gt;=Control!$N$4,تفصيلي!O141&lt;=Control!$O$4),Control!$P$4,"Out Of Range"))),ControlRoom[[#Headers],[فائدة أ]:[فائدة ج]],0))</f>
        <v>#N/A</v>
      </c>
      <c r="W141" s="419"/>
      <c r="X141" s="466">
        <f t="shared" si="18"/>
        <v>0</v>
      </c>
      <c r="Y141" s="491"/>
      <c r="Z141" s="302">
        <f t="shared" si="19"/>
        <v>0</v>
      </c>
      <c r="AA141" s="166"/>
      <c r="AB141" s="167" t="s">
        <v>624</v>
      </c>
      <c r="AC141" s="167">
        <f t="shared" si="20"/>
        <v>0</v>
      </c>
      <c r="AD141" s="169">
        <f t="shared" si="21"/>
        <v>0</v>
      </c>
      <c r="AE141" s="492"/>
      <c r="AF141" s="303">
        <f t="shared" si="22"/>
        <v>0</v>
      </c>
      <c r="AG141" s="484"/>
      <c r="AH141" s="174" t="s">
        <v>624</v>
      </c>
      <c r="AI141" s="169">
        <f t="shared" si="23"/>
        <v>0</v>
      </c>
      <c r="AJ141" s="181"/>
      <c r="AK141" s="180"/>
      <c r="AL141" s="485"/>
      <c r="AM141" s="486"/>
      <c r="AN141" s="179"/>
      <c r="AO141" s="180"/>
      <c r="AP141" s="467"/>
      <c r="AQ141" s="177"/>
      <c r="AR141" s="469"/>
      <c r="AS141" s="495"/>
      <c r="AT141" s="471"/>
      <c r="AU141" s="471"/>
      <c r="AV141" s="493"/>
      <c r="AW141" s="493"/>
      <c r="AX141" s="473" t="str">
        <f t="shared" si="24"/>
        <v xml:space="preserve"> ,</v>
      </c>
      <c r="AY141" s="473" t="str">
        <f t="shared" si="25"/>
        <v xml:space="preserve"> / </v>
      </c>
      <c r="AZ141" s="474"/>
      <c r="BA141" s="475"/>
      <c r="BB141" s="474"/>
      <c r="BC141" s="494"/>
      <c r="BD141" s="475"/>
      <c r="BE141" s="494"/>
    </row>
    <row r="142" spans="1:57" ht="21.6" customHeight="1">
      <c r="A142" s="341">
        <f t="shared" si="26"/>
        <v>137</v>
      </c>
      <c r="B142" s="481"/>
      <c r="C142" s="489"/>
      <c r="D142" s="343"/>
      <c r="E142" s="237"/>
      <c r="F142" s="461" t="s">
        <v>624</v>
      </c>
      <c r="G142" s="343"/>
      <c r="H142" s="178"/>
      <c r="I142" s="178"/>
      <c r="J142" s="490"/>
      <c r="K142" s="462"/>
      <c r="L142" s="483"/>
      <c r="M142" s="347"/>
      <c r="N142" s="346"/>
      <c r="O142" s="412"/>
      <c r="P142" s="413"/>
      <c r="Q142" s="464"/>
      <c r="R142" s="465">
        <f>IFERROR(VLOOKUP(1,'Data Validation'!$O$2:$P$25,2,FALSE),"")</f>
        <v>45906</v>
      </c>
      <c r="S142" s="465" t="str">
        <f>IFERROR(VLOOKUP($P142,'Data Validation'!$O$2:$P$25,2,FALSE),"")</f>
        <v/>
      </c>
      <c r="T142" s="419" t="e">
        <f ca="1">INDEX(INDIRECT(INDEX(ControlRoom[اجمالي الالتزام],MATCH(تفصيلي!Q142,Control!$B$2:$B$12,0))),MATCH(CONCATENATE(O142,P142),INDIRECT(INDEX(ControlRoom[المبلغ],MATCH(تفصيلي!Q142,ControlRoom[التمويل],0))),0))</f>
        <v>#N/A</v>
      </c>
      <c r="U142" s="419" t="e">
        <f ca="1">INDEX(INDIRECT(INDEX(ControlRoom[القسط الشهري],MATCH(تفصيلي!Q142,Control!$B$2:$B$12,0))),MATCH(CONCATENATE(O142,P142),INDIRECT(INDEX(ControlRoom[المبلغ],MATCH(تفصيلي!Q142,ControlRoom[التمويل],0))),0))</f>
        <v>#N/A</v>
      </c>
      <c r="V142" s="420" t="e">
        <f>INDEX(ControlRoom[[فائدة أ]:[فائدة ج]],MATCH(تفصيلي!Q142,ControlRoom[التمويل],0),MATCH(IF(AND(تفصيلي!O142&gt;=Control!$N$2,تفصيلي!O142&lt;=Control!$O$2),Control!$P$2,IF(AND(تفصيلي!O142&gt;=Control!$N$3,تفصيلي!O142&lt;=Control!$O$3),Control!$P$3,IF(AND(تفصيلي!O142&gt;=Control!$N$4,تفصيلي!O142&lt;=Control!$O$4),Control!$P$4,"Out Of Range"))),ControlRoom[[#Headers],[فائدة أ]:[فائدة ج]],0))</f>
        <v>#N/A</v>
      </c>
      <c r="W142" s="419"/>
      <c r="X142" s="466">
        <f t="shared" si="18"/>
        <v>0</v>
      </c>
      <c r="Y142" s="491"/>
      <c r="Z142" s="302">
        <f t="shared" si="19"/>
        <v>0</v>
      </c>
      <c r="AA142" s="166"/>
      <c r="AB142" s="167" t="s">
        <v>624</v>
      </c>
      <c r="AC142" s="167">
        <f t="shared" si="20"/>
        <v>0</v>
      </c>
      <c r="AD142" s="169">
        <f t="shared" si="21"/>
        <v>0</v>
      </c>
      <c r="AE142" s="492"/>
      <c r="AF142" s="303">
        <f t="shared" si="22"/>
        <v>0</v>
      </c>
      <c r="AG142" s="484"/>
      <c r="AH142" s="174" t="s">
        <v>624</v>
      </c>
      <c r="AI142" s="169">
        <f t="shared" si="23"/>
        <v>0</v>
      </c>
      <c r="AJ142" s="181"/>
      <c r="AK142" s="180"/>
      <c r="AL142" s="485"/>
      <c r="AM142" s="486"/>
      <c r="AN142" s="179"/>
      <c r="AO142" s="180"/>
      <c r="AP142" s="467"/>
      <c r="AQ142" s="177"/>
      <c r="AR142" s="469"/>
      <c r="AS142" s="495"/>
      <c r="AT142" s="471"/>
      <c r="AU142" s="471"/>
      <c r="AV142" s="493"/>
      <c r="AW142" s="493"/>
      <c r="AX142" s="473" t="str">
        <f t="shared" si="24"/>
        <v xml:space="preserve"> ,</v>
      </c>
      <c r="AY142" s="473" t="str">
        <f t="shared" si="25"/>
        <v xml:space="preserve"> / </v>
      </c>
      <c r="AZ142" s="474"/>
      <c r="BA142" s="475"/>
      <c r="BB142" s="474"/>
      <c r="BC142" s="494"/>
      <c r="BD142" s="475"/>
      <c r="BE142" s="494"/>
    </row>
    <row r="143" spans="1:57" ht="21.6" customHeight="1">
      <c r="A143" s="341">
        <f t="shared" si="26"/>
        <v>138</v>
      </c>
      <c r="B143" s="481"/>
      <c r="C143" s="496"/>
      <c r="D143" s="497"/>
      <c r="E143" s="237"/>
      <c r="F143" s="461" t="s">
        <v>624</v>
      </c>
      <c r="G143" s="498"/>
      <c r="H143" s="499"/>
      <c r="I143" s="499"/>
      <c r="J143" s="500"/>
      <c r="K143" s="462"/>
      <c r="L143" s="483"/>
      <c r="M143" s="501"/>
      <c r="N143" s="346"/>
      <c r="O143" s="412"/>
      <c r="P143" s="413"/>
      <c r="Q143" s="464"/>
      <c r="R143" s="465">
        <f>IFERROR(VLOOKUP(1,'Data Validation'!$O$2:$P$25,2,FALSE),"")</f>
        <v>45906</v>
      </c>
      <c r="S143" s="465" t="str">
        <f>IFERROR(VLOOKUP($P143,'Data Validation'!$O$2:$P$25,2,FALSE),"")</f>
        <v/>
      </c>
      <c r="T143" s="419" t="e">
        <f ca="1">INDEX(INDIRECT(INDEX(ControlRoom[اجمالي الالتزام],MATCH(تفصيلي!Q143,Control!$B$2:$B$12,0))),MATCH(CONCATENATE(O143,P143),INDIRECT(INDEX(ControlRoom[المبلغ],MATCH(تفصيلي!Q143,ControlRoom[التمويل],0))),0))</f>
        <v>#N/A</v>
      </c>
      <c r="U143" s="419" t="e">
        <f ca="1">INDEX(INDIRECT(INDEX(ControlRoom[القسط الشهري],MATCH(تفصيلي!Q143,Control!$B$2:$B$12,0))),MATCH(CONCATENATE(O143,P143),INDIRECT(INDEX(ControlRoom[المبلغ],MATCH(تفصيلي!Q143,ControlRoom[التمويل],0))),0))</f>
        <v>#N/A</v>
      </c>
      <c r="V143" s="420" t="e">
        <f>INDEX(ControlRoom[[فائدة أ]:[فائدة ج]],MATCH(تفصيلي!Q143,ControlRoom[التمويل],0),MATCH(IF(AND(تفصيلي!O143&gt;=Control!$N$2,تفصيلي!O143&lt;=Control!$O$2),Control!$P$2,IF(AND(تفصيلي!O143&gt;=Control!$N$3,تفصيلي!O143&lt;=Control!$O$3),Control!$P$3,IF(AND(تفصيلي!O143&gt;=Control!$N$4,تفصيلي!O143&lt;=Control!$O$4),Control!$P$4,"Out Of Range"))),ControlRoom[[#Headers],[فائدة أ]:[فائدة ج]],0))</f>
        <v>#N/A</v>
      </c>
      <c r="W143" s="419"/>
      <c r="X143" s="466">
        <f t="shared" si="18"/>
        <v>0</v>
      </c>
      <c r="Y143" s="502"/>
      <c r="Z143" s="302">
        <f t="shared" si="19"/>
        <v>0</v>
      </c>
      <c r="AA143" s="166"/>
      <c r="AB143" s="167" t="s">
        <v>624</v>
      </c>
      <c r="AC143" s="167">
        <f t="shared" si="20"/>
        <v>0</v>
      </c>
      <c r="AD143" s="169">
        <f t="shared" si="21"/>
        <v>0</v>
      </c>
      <c r="AE143" s="503"/>
      <c r="AF143" s="303">
        <f t="shared" si="22"/>
        <v>0</v>
      </c>
      <c r="AG143" s="484"/>
      <c r="AH143" s="174" t="s">
        <v>624</v>
      </c>
      <c r="AI143" s="169">
        <f t="shared" si="23"/>
        <v>0</v>
      </c>
      <c r="AJ143" s="181"/>
      <c r="AK143" s="181"/>
      <c r="AL143" s="485"/>
      <c r="AM143" s="486"/>
      <c r="AN143" s="181"/>
      <c r="AO143" s="181"/>
      <c r="AP143" s="467"/>
      <c r="AQ143" s="177"/>
      <c r="AR143" s="469"/>
      <c r="AS143" s="495"/>
      <c r="AT143" s="471"/>
      <c r="AU143" s="471"/>
      <c r="AV143" s="493"/>
      <c r="AW143" s="493"/>
      <c r="AX143" s="473" t="str">
        <f t="shared" si="24"/>
        <v xml:space="preserve"> ,</v>
      </c>
      <c r="AY143" s="473" t="str">
        <f t="shared" si="25"/>
        <v xml:space="preserve"> / </v>
      </c>
      <c r="AZ143" s="474"/>
      <c r="BA143" s="475"/>
      <c r="BB143" s="474"/>
      <c r="BC143" s="494"/>
      <c r="BD143" s="475"/>
      <c r="BE143" s="494"/>
    </row>
    <row r="144" spans="1:57" ht="21.6" customHeight="1">
      <c r="A144" s="341">
        <f t="shared" si="26"/>
        <v>139</v>
      </c>
      <c r="B144" s="481"/>
      <c r="C144" s="496"/>
      <c r="D144" s="497"/>
      <c r="E144" s="237"/>
      <c r="F144" s="461" t="s">
        <v>624</v>
      </c>
      <c r="G144" s="498"/>
      <c r="H144" s="499"/>
      <c r="I144" s="499"/>
      <c r="J144" s="500"/>
      <c r="K144" s="462"/>
      <c r="L144" s="483"/>
      <c r="M144" s="501"/>
      <c r="N144" s="346"/>
      <c r="O144" s="412"/>
      <c r="P144" s="413"/>
      <c r="Q144" s="464"/>
      <c r="R144" s="465">
        <f>IFERROR(VLOOKUP(1,'Data Validation'!$O$2:$P$25,2,FALSE),"")</f>
        <v>45906</v>
      </c>
      <c r="S144" s="465" t="str">
        <f>IFERROR(VLOOKUP($P144,'Data Validation'!$O$2:$P$25,2,FALSE),"")</f>
        <v/>
      </c>
      <c r="T144" s="419" t="e">
        <f ca="1">INDEX(INDIRECT(INDEX(ControlRoom[اجمالي الالتزام],MATCH(تفصيلي!Q144,Control!$B$2:$B$12,0))),MATCH(CONCATENATE(O144,P144),INDIRECT(INDEX(ControlRoom[المبلغ],MATCH(تفصيلي!Q144,ControlRoom[التمويل],0))),0))</f>
        <v>#N/A</v>
      </c>
      <c r="U144" s="419" t="e">
        <f ca="1">INDEX(INDIRECT(INDEX(ControlRoom[القسط الشهري],MATCH(تفصيلي!Q144,Control!$B$2:$B$12,0))),MATCH(CONCATENATE(O144,P144),INDIRECT(INDEX(ControlRoom[المبلغ],MATCH(تفصيلي!Q144,ControlRoom[التمويل],0))),0))</f>
        <v>#N/A</v>
      </c>
      <c r="V144" s="420" t="e">
        <f>INDEX(ControlRoom[[فائدة أ]:[فائدة ج]],MATCH(تفصيلي!Q144,ControlRoom[التمويل],0),MATCH(IF(AND(تفصيلي!O144&gt;=Control!$N$2,تفصيلي!O144&lt;=Control!$O$2),Control!$P$2,IF(AND(تفصيلي!O144&gt;=Control!$N$3,تفصيلي!O144&lt;=Control!$O$3),Control!$P$3,IF(AND(تفصيلي!O144&gt;=Control!$N$4,تفصيلي!O144&lt;=Control!$O$4),Control!$P$4,"Out Of Range"))),ControlRoom[[#Headers],[فائدة أ]:[فائدة ج]],0))</f>
        <v>#N/A</v>
      </c>
      <c r="W144" s="419"/>
      <c r="X144" s="466">
        <f t="shared" si="18"/>
        <v>0</v>
      </c>
      <c r="Y144" s="502"/>
      <c r="Z144" s="302">
        <f t="shared" si="19"/>
        <v>0</v>
      </c>
      <c r="AA144" s="166"/>
      <c r="AB144" s="167" t="s">
        <v>624</v>
      </c>
      <c r="AC144" s="167">
        <f t="shared" si="20"/>
        <v>0</v>
      </c>
      <c r="AD144" s="169">
        <f t="shared" si="21"/>
        <v>0</v>
      </c>
      <c r="AE144" s="503"/>
      <c r="AF144" s="303">
        <f t="shared" si="22"/>
        <v>0</v>
      </c>
      <c r="AG144" s="484"/>
      <c r="AH144" s="174" t="s">
        <v>624</v>
      </c>
      <c r="AI144" s="169">
        <f t="shared" si="23"/>
        <v>0</v>
      </c>
      <c r="AJ144" s="181"/>
      <c r="AK144" s="181"/>
      <c r="AL144" s="485"/>
      <c r="AM144" s="486"/>
      <c r="AN144" s="181"/>
      <c r="AO144" s="181"/>
      <c r="AP144" s="467"/>
      <c r="AQ144" s="177"/>
      <c r="AR144" s="469"/>
      <c r="AS144" s="495"/>
      <c r="AT144" s="471"/>
      <c r="AU144" s="471"/>
      <c r="AV144" s="493"/>
      <c r="AW144" s="493"/>
      <c r="AX144" s="473" t="str">
        <f t="shared" si="24"/>
        <v xml:space="preserve"> ,</v>
      </c>
      <c r="AY144" s="473" t="str">
        <f t="shared" si="25"/>
        <v xml:space="preserve"> / </v>
      </c>
      <c r="AZ144" s="474"/>
      <c r="BA144" s="475"/>
      <c r="BB144" s="474"/>
      <c r="BC144" s="494"/>
      <c r="BD144" s="475"/>
      <c r="BE144" s="494"/>
    </row>
    <row r="145" spans="1:57" ht="21.6" customHeight="1">
      <c r="A145" s="341">
        <f t="shared" si="26"/>
        <v>140</v>
      </c>
      <c r="B145" s="481"/>
      <c r="C145" s="496"/>
      <c r="D145" s="497"/>
      <c r="E145" s="237"/>
      <c r="F145" s="461" t="s">
        <v>624</v>
      </c>
      <c r="G145" s="498"/>
      <c r="H145" s="499"/>
      <c r="I145" s="499"/>
      <c r="J145" s="500"/>
      <c r="K145" s="462"/>
      <c r="L145" s="483"/>
      <c r="M145" s="501"/>
      <c r="N145" s="346"/>
      <c r="O145" s="412"/>
      <c r="P145" s="413"/>
      <c r="Q145" s="464"/>
      <c r="R145" s="465">
        <f>IFERROR(VLOOKUP(1,'Data Validation'!$O$2:$P$25,2,FALSE),"")</f>
        <v>45906</v>
      </c>
      <c r="S145" s="465" t="str">
        <f>IFERROR(VLOOKUP($P145,'Data Validation'!$O$2:$P$25,2,FALSE),"")</f>
        <v/>
      </c>
      <c r="T145" s="419" t="e">
        <f ca="1">INDEX(INDIRECT(INDEX(ControlRoom[اجمالي الالتزام],MATCH(تفصيلي!Q145,Control!$B$2:$B$12,0))),MATCH(CONCATENATE(O145,P145),INDIRECT(INDEX(ControlRoom[المبلغ],MATCH(تفصيلي!Q145,ControlRoom[التمويل],0))),0))</f>
        <v>#N/A</v>
      </c>
      <c r="U145" s="419" t="e">
        <f ca="1">INDEX(INDIRECT(INDEX(ControlRoom[القسط الشهري],MATCH(تفصيلي!Q145,Control!$B$2:$B$12,0))),MATCH(CONCATENATE(O145,P145),INDIRECT(INDEX(ControlRoom[المبلغ],MATCH(تفصيلي!Q145,ControlRoom[التمويل],0))),0))</f>
        <v>#N/A</v>
      </c>
      <c r="V145" s="420" t="e">
        <f>INDEX(ControlRoom[[فائدة أ]:[فائدة ج]],MATCH(تفصيلي!Q145,ControlRoom[التمويل],0),MATCH(IF(AND(تفصيلي!O145&gt;=Control!$N$2,تفصيلي!O145&lt;=Control!$O$2),Control!$P$2,IF(AND(تفصيلي!O145&gt;=Control!$N$3,تفصيلي!O145&lt;=Control!$O$3),Control!$P$3,IF(AND(تفصيلي!O145&gt;=Control!$N$4,تفصيلي!O145&lt;=Control!$O$4),Control!$P$4,"Out Of Range"))),ControlRoom[[#Headers],[فائدة أ]:[فائدة ج]],0))</f>
        <v>#N/A</v>
      </c>
      <c r="W145" s="419"/>
      <c r="X145" s="466">
        <f t="shared" si="18"/>
        <v>0</v>
      </c>
      <c r="Y145" s="502"/>
      <c r="Z145" s="302">
        <f t="shared" si="19"/>
        <v>0</v>
      </c>
      <c r="AA145" s="166"/>
      <c r="AB145" s="167" t="s">
        <v>624</v>
      </c>
      <c r="AC145" s="167">
        <f t="shared" si="20"/>
        <v>0</v>
      </c>
      <c r="AD145" s="169">
        <f t="shared" si="21"/>
        <v>0</v>
      </c>
      <c r="AE145" s="503"/>
      <c r="AF145" s="303">
        <f t="shared" si="22"/>
        <v>0</v>
      </c>
      <c r="AG145" s="484"/>
      <c r="AH145" s="174" t="s">
        <v>624</v>
      </c>
      <c r="AI145" s="169">
        <f t="shared" si="23"/>
        <v>0</v>
      </c>
      <c r="AJ145" s="181"/>
      <c r="AK145" s="181"/>
      <c r="AL145" s="485"/>
      <c r="AM145" s="486"/>
      <c r="AN145" s="181"/>
      <c r="AO145" s="181"/>
      <c r="AP145" s="467"/>
      <c r="AQ145" s="177"/>
      <c r="AR145" s="469"/>
      <c r="AS145" s="495"/>
      <c r="AT145" s="471"/>
      <c r="AU145" s="471"/>
      <c r="AV145" s="493"/>
      <c r="AW145" s="493"/>
      <c r="AX145" s="473" t="str">
        <f t="shared" si="24"/>
        <v xml:space="preserve"> ,</v>
      </c>
      <c r="AY145" s="473" t="str">
        <f t="shared" si="25"/>
        <v xml:space="preserve"> / </v>
      </c>
      <c r="AZ145" s="474"/>
      <c r="BA145" s="475"/>
      <c r="BB145" s="474"/>
      <c r="BC145" s="494"/>
      <c r="BD145" s="475"/>
      <c r="BE145" s="494"/>
    </row>
    <row r="146" spans="1:57" ht="21.6" customHeight="1">
      <c r="A146" s="341">
        <f t="shared" si="26"/>
        <v>141</v>
      </c>
      <c r="B146" s="481"/>
      <c r="C146" s="496"/>
      <c r="D146" s="497"/>
      <c r="E146" s="237"/>
      <c r="F146" s="461" t="s">
        <v>624</v>
      </c>
      <c r="G146" s="498"/>
      <c r="H146" s="499"/>
      <c r="I146" s="499"/>
      <c r="J146" s="500"/>
      <c r="K146" s="462"/>
      <c r="L146" s="483"/>
      <c r="M146" s="501"/>
      <c r="N146" s="346"/>
      <c r="O146" s="412"/>
      <c r="P146" s="413"/>
      <c r="Q146" s="464"/>
      <c r="R146" s="465">
        <f>IFERROR(VLOOKUP(1,'Data Validation'!$O$2:$P$25,2,FALSE),"")</f>
        <v>45906</v>
      </c>
      <c r="S146" s="465" t="str">
        <f>IFERROR(VLOOKUP($P146,'Data Validation'!$O$2:$P$25,2,FALSE),"")</f>
        <v/>
      </c>
      <c r="T146" s="419" t="e">
        <f ca="1">INDEX(INDIRECT(INDEX(ControlRoom[اجمالي الالتزام],MATCH(تفصيلي!Q146,Control!$B$2:$B$12,0))),MATCH(CONCATENATE(O146,P146),INDIRECT(INDEX(ControlRoom[المبلغ],MATCH(تفصيلي!Q146,ControlRoom[التمويل],0))),0))</f>
        <v>#N/A</v>
      </c>
      <c r="U146" s="419" t="e">
        <f ca="1">INDEX(INDIRECT(INDEX(ControlRoom[القسط الشهري],MATCH(تفصيلي!Q146,Control!$B$2:$B$12,0))),MATCH(CONCATENATE(O146,P146),INDIRECT(INDEX(ControlRoom[المبلغ],MATCH(تفصيلي!Q146,ControlRoom[التمويل],0))),0))</f>
        <v>#N/A</v>
      </c>
      <c r="V146" s="420" t="e">
        <f>INDEX(ControlRoom[[فائدة أ]:[فائدة ج]],MATCH(تفصيلي!Q146,ControlRoom[التمويل],0),MATCH(IF(AND(تفصيلي!O146&gt;=Control!$N$2,تفصيلي!O146&lt;=Control!$O$2),Control!$P$2,IF(AND(تفصيلي!O146&gt;=Control!$N$3,تفصيلي!O146&lt;=Control!$O$3),Control!$P$3,IF(AND(تفصيلي!O146&gt;=Control!$N$4,تفصيلي!O146&lt;=Control!$O$4),Control!$P$4,"Out Of Range"))),ControlRoom[[#Headers],[فائدة أ]:[فائدة ج]],0))</f>
        <v>#N/A</v>
      </c>
      <c r="W146" s="419"/>
      <c r="X146" s="466">
        <f t="shared" si="18"/>
        <v>0</v>
      </c>
      <c r="Y146" s="502"/>
      <c r="Z146" s="302">
        <f t="shared" si="19"/>
        <v>0</v>
      </c>
      <c r="AA146" s="166"/>
      <c r="AB146" s="167" t="s">
        <v>624</v>
      </c>
      <c r="AC146" s="167">
        <f t="shared" si="20"/>
        <v>0</v>
      </c>
      <c r="AD146" s="169">
        <f t="shared" si="21"/>
        <v>0</v>
      </c>
      <c r="AE146" s="503"/>
      <c r="AF146" s="303">
        <f t="shared" si="22"/>
        <v>0</v>
      </c>
      <c r="AG146" s="484"/>
      <c r="AH146" s="174" t="s">
        <v>624</v>
      </c>
      <c r="AI146" s="169">
        <f t="shared" si="23"/>
        <v>0</v>
      </c>
      <c r="AJ146" s="181"/>
      <c r="AK146" s="181"/>
      <c r="AL146" s="485"/>
      <c r="AM146" s="486"/>
      <c r="AN146" s="181"/>
      <c r="AO146" s="181"/>
      <c r="AP146" s="467"/>
      <c r="AQ146" s="177"/>
      <c r="AR146" s="469"/>
      <c r="AS146" s="495"/>
      <c r="AT146" s="471"/>
      <c r="AU146" s="471"/>
      <c r="AV146" s="493"/>
      <c r="AW146" s="493"/>
      <c r="AX146" s="473" t="str">
        <f t="shared" si="24"/>
        <v xml:space="preserve"> ,</v>
      </c>
      <c r="AY146" s="473" t="str">
        <f t="shared" si="25"/>
        <v xml:space="preserve"> / </v>
      </c>
      <c r="AZ146" s="474"/>
      <c r="BA146" s="475"/>
      <c r="BB146" s="474"/>
      <c r="BC146" s="494"/>
      <c r="BD146" s="475"/>
      <c r="BE146" s="494"/>
    </row>
    <row r="147" spans="1:57" ht="21.6" customHeight="1">
      <c r="A147" s="341">
        <f t="shared" si="26"/>
        <v>142</v>
      </c>
      <c r="B147" s="481"/>
      <c r="C147" s="496"/>
      <c r="D147" s="497"/>
      <c r="E147" s="237"/>
      <c r="F147" s="461" t="s">
        <v>624</v>
      </c>
      <c r="G147" s="498"/>
      <c r="H147" s="499"/>
      <c r="I147" s="499"/>
      <c r="J147" s="500"/>
      <c r="K147" s="462"/>
      <c r="L147" s="483"/>
      <c r="M147" s="501"/>
      <c r="N147" s="346"/>
      <c r="O147" s="412"/>
      <c r="P147" s="413"/>
      <c r="Q147" s="464"/>
      <c r="R147" s="465">
        <f>IFERROR(VLOOKUP(1,'Data Validation'!$O$2:$P$25,2,FALSE),"")</f>
        <v>45906</v>
      </c>
      <c r="S147" s="465" t="str">
        <f>IFERROR(VLOOKUP($P147,'Data Validation'!$O$2:$P$25,2,FALSE),"")</f>
        <v/>
      </c>
      <c r="T147" s="419" t="e">
        <f ca="1">INDEX(INDIRECT(INDEX(ControlRoom[اجمالي الالتزام],MATCH(تفصيلي!Q147,Control!$B$2:$B$12,0))),MATCH(CONCATENATE(O147,P147),INDIRECT(INDEX(ControlRoom[المبلغ],MATCH(تفصيلي!Q147,ControlRoom[التمويل],0))),0))</f>
        <v>#N/A</v>
      </c>
      <c r="U147" s="419" t="e">
        <f ca="1">INDEX(INDIRECT(INDEX(ControlRoom[القسط الشهري],MATCH(تفصيلي!Q147,Control!$B$2:$B$12,0))),MATCH(CONCATENATE(O147,P147),INDIRECT(INDEX(ControlRoom[المبلغ],MATCH(تفصيلي!Q147,ControlRoom[التمويل],0))),0))</f>
        <v>#N/A</v>
      </c>
      <c r="V147" s="420" t="e">
        <f>INDEX(ControlRoom[[فائدة أ]:[فائدة ج]],MATCH(تفصيلي!Q147,ControlRoom[التمويل],0),MATCH(IF(AND(تفصيلي!O147&gt;=Control!$N$2,تفصيلي!O147&lt;=Control!$O$2),Control!$P$2,IF(AND(تفصيلي!O147&gt;=Control!$N$3,تفصيلي!O147&lt;=Control!$O$3),Control!$P$3,IF(AND(تفصيلي!O147&gt;=Control!$N$4,تفصيلي!O147&lt;=Control!$O$4),Control!$P$4,"Out Of Range"))),ControlRoom[[#Headers],[فائدة أ]:[فائدة ج]],0))</f>
        <v>#N/A</v>
      </c>
      <c r="W147" s="419"/>
      <c r="X147" s="466">
        <f t="shared" si="18"/>
        <v>0</v>
      </c>
      <c r="Y147" s="502"/>
      <c r="Z147" s="302">
        <f t="shared" si="19"/>
        <v>0</v>
      </c>
      <c r="AA147" s="166"/>
      <c r="AB147" s="167" t="s">
        <v>624</v>
      </c>
      <c r="AC147" s="167">
        <f t="shared" si="20"/>
        <v>0</v>
      </c>
      <c r="AD147" s="169">
        <f t="shared" si="21"/>
        <v>0</v>
      </c>
      <c r="AE147" s="503"/>
      <c r="AF147" s="303">
        <f t="shared" si="22"/>
        <v>0</v>
      </c>
      <c r="AG147" s="484"/>
      <c r="AH147" s="174" t="s">
        <v>624</v>
      </c>
      <c r="AI147" s="169">
        <f t="shared" si="23"/>
        <v>0</v>
      </c>
      <c r="AJ147" s="181"/>
      <c r="AK147" s="181"/>
      <c r="AL147" s="485"/>
      <c r="AM147" s="486"/>
      <c r="AN147" s="181"/>
      <c r="AO147" s="181"/>
      <c r="AP147" s="467"/>
      <c r="AQ147" s="177"/>
      <c r="AR147" s="469"/>
      <c r="AS147" s="495"/>
      <c r="AT147" s="471"/>
      <c r="AU147" s="471"/>
      <c r="AV147" s="493"/>
      <c r="AW147" s="493"/>
      <c r="AX147" s="473" t="str">
        <f t="shared" si="24"/>
        <v xml:space="preserve"> ,</v>
      </c>
      <c r="AY147" s="473" t="str">
        <f t="shared" si="25"/>
        <v xml:space="preserve"> / </v>
      </c>
      <c r="AZ147" s="474"/>
      <c r="BA147" s="475"/>
      <c r="BB147" s="474"/>
      <c r="BC147" s="494"/>
      <c r="BD147" s="475"/>
      <c r="BE147" s="494"/>
    </row>
    <row r="148" spans="1:57" ht="21.6" customHeight="1">
      <c r="A148" s="341">
        <f t="shared" si="26"/>
        <v>143</v>
      </c>
      <c r="B148" s="481"/>
      <c r="C148" s="496"/>
      <c r="D148" s="497"/>
      <c r="E148" s="237"/>
      <c r="F148" s="461" t="s">
        <v>624</v>
      </c>
      <c r="G148" s="498"/>
      <c r="H148" s="499"/>
      <c r="I148" s="499"/>
      <c r="J148" s="500"/>
      <c r="K148" s="462"/>
      <c r="L148" s="483"/>
      <c r="M148" s="501"/>
      <c r="N148" s="346"/>
      <c r="O148" s="412"/>
      <c r="P148" s="413"/>
      <c r="Q148" s="464"/>
      <c r="R148" s="465">
        <f>IFERROR(VLOOKUP(1,'Data Validation'!$O$2:$P$25,2,FALSE),"")</f>
        <v>45906</v>
      </c>
      <c r="S148" s="465" t="str">
        <f>IFERROR(VLOOKUP($P148,'Data Validation'!$O$2:$P$25,2,FALSE),"")</f>
        <v/>
      </c>
      <c r="T148" s="419" t="e">
        <f ca="1">INDEX(INDIRECT(INDEX(ControlRoom[اجمالي الالتزام],MATCH(تفصيلي!Q148,Control!$B$2:$B$12,0))),MATCH(CONCATENATE(O148,P148),INDIRECT(INDEX(ControlRoom[المبلغ],MATCH(تفصيلي!Q148,ControlRoom[التمويل],0))),0))</f>
        <v>#N/A</v>
      </c>
      <c r="U148" s="419" t="e">
        <f ca="1">INDEX(INDIRECT(INDEX(ControlRoom[القسط الشهري],MATCH(تفصيلي!Q148,Control!$B$2:$B$12,0))),MATCH(CONCATENATE(O148,P148),INDIRECT(INDEX(ControlRoom[المبلغ],MATCH(تفصيلي!Q148,ControlRoom[التمويل],0))),0))</f>
        <v>#N/A</v>
      </c>
      <c r="V148" s="420" t="e">
        <f>INDEX(ControlRoom[[فائدة أ]:[فائدة ج]],MATCH(تفصيلي!Q148,ControlRoom[التمويل],0),MATCH(IF(AND(تفصيلي!O148&gt;=Control!$N$2,تفصيلي!O148&lt;=Control!$O$2),Control!$P$2,IF(AND(تفصيلي!O148&gt;=Control!$N$3,تفصيلي!O148&lt;=Control!$O$3),Control!$P$3,IF(AND(تفصيلي!O148&gt;=Control!$N$4,تفصيلي!O148&lt;=Control!$O$4),Control!$P$4,"Out Of Range"))),ControlRoom[[#Headers],[فائدة أ]:[فائدة ج]],0))</f>
        <v>#N/A</v>
      </c>
      <c r="W148" s="419"/>
      <c r="X148" s="466">
        <f t="shared" si="18"/>
        <v>0</v>
      </c>
      <c r="Y148" s="502"/>
      <c r="Z148" s="302">
        <f t="shared" si="19"/>
        <v>0</v>
      </c>
      <c r="AA148" s="166"/>
      <c r="AB148" s="167" t="s">
        <v>624</v>
      </c>
      <c r="AC148" s="167">
        <f t="shared" si="20"/>
        <v>0</v>
      </c>
      <c r="AD148" s="169">
        <f t="shared" si="21"/>
        <v>0</v>
      </c>
      <c r="AE148" s="503"/>
      <c r="AF148" s="303">
        <f t="shared" si="22"/>
        <v>0</v>
      </c>
      <c r="AG148" s="484"/>
      <c r="AH148" s="174" t="s">
        <v>624</v>
      </c>
      <c r="AI148" s="169">
        <f t="shared" si="23"/>
        <v>0</v>
      </c>
      <c r="AJ148" s="181"/>
      <c r="AK148" s="181"/>
      <c r="AL148" s="485"/>
      <c r="AM148" s="486"/>
      <c r="AN148" s="181"/>
      <c r="AO148" s="181"/>
      <c r="AP148" s="467"/>
      <c r="AQ148" s="177"/>
      <c r="AR148" s="469"/>
      <c r="AS148" s="495"/>
      <c r="AT148" s="471"/>
      <c r="AU148" s="471"/>
      <c r="AV148" s="493"/>
      <c r="AW148" s="493"/>
      <c r="AX148" s="473" t="str">
        <f t="shared" si="24"/>
        <v xml:space="preserve"> ,</v>
      </c>
      <c r="AY148" s="473" t="str">
        <f t="shared" si="25"/>
        <v xml:space="preserve"> / </v>
      </c>
      <c r="AZ148" s="474"/>
      <c r="BA148" s="475"/>
      <c r="BB148" s="474"/>
      <c r="BC148" s="494"/>
      <c r="BD148" s="475"/>
      <c r="BE148" s="494"/>
    </row>
    <row r="149" spans="1:57" ht="21.6" customHeight="1">
      <c r="A149" s="341">
        <f t="shared" si="26"/>
        <v>144</v>
      </c>
      <c r="B149" s="481"/>
      <c r="C149" s="496"/>
      <c r="D149" s="497"/>
      <c r="E149" s="237"/>
      <c r="F149" s="461" t="s">
        <v>624</v>
      </c>
      <c r="G149" s="498"/>
      <c r="H149" s="499"/>
      <c r="I149" s="499"/>
      <c r="J149" s="500"/>
      <c r="K149" s="462"/>
      <c r="L149" s="483"/>
      <c r="M149" s="501"/>
      <c r="N149" s="346"/>
      <c r="O149" s="412"/>
      <c r="P149" s="413"/>
      <c r="Q149" s="464"/>
      <c r="R149" s="465">
        <f>IFERROR(VLOOKUP(1,'Data Validation'!$O$2:$P$25,2,FALSE),"")</f>
        <v>45906</v>
      </c>
      <c r="S149" s="465" t="str">
        <f>IFERROR(VLOOKUP($P149,'Data Validation'!$O$2:$P$25,2,FALSE),"")</f>
        <v/>
      </c>
      <c r="T149" s="419" t="e">
        <f ca="1">INDEX(INDIRECT(INDEX(ControlRoom[اجمالي الالتزام],MATCH(تفصيلي!Q149,Control!$B$2:$B$12,0))),MATCH(CONCATENATE(O149,P149),INDIRECT(INDEX(ControlRoom[المبلغ],MATCH(تفصيلي!Q149,ControlRoom[التمويل],0))),0))</f>
        <v>#N/A</v>
      </c>
      <c r="U149" s="419" t="e">
        <f ca="1">INDEX(INDIRECT(INDEX(ControlRoom[القسط الشهري],MATCH(تفصيلي!Q149,Control!$B$2:$B$12,0))),MATCH(CONCATENATE(O149,P149),INDIRECT(INDEX(ControlRoom[المبلغ],MATCH(تفصيلي!Q149,ControlRoom[التمويل],0))),0))</f>
        <v>#N/A</v>
      </c>
      <c r="V149" s="420" t="e">
        <f>INDEX(ControlRoom[[فائدة أ]:[فائدة ج]],MATCH(تفصيلي!Q149,ControlRoom[التمويل],0),MATCH(IF(AND(تفصيلي!O149&gt;=Control!$N$2,تفصيلي!O149&lt;=Control!$O$2),Control!$P$2,IF(AND(تفصيلي!O149&gt;=Control!$N$3,تفصيلي!O149&lt;=Control!$O$3),Control!$P$3,IF(AND(تفصيلي!O149&gt;=Control!$N$4,تفصيلي!O149&lt;=Control!$O$4),Control!$P$4,"Out Of Range"))),ControlRoom[[#Headers],[فائدة أ]:[فائدة ج]],0))</f>
        <v>#N/A</v>
      </c>
      <c r="W149" s="419"/>
      <c r="X149" s="466">
        <f t="shared" si="18"/>
        <v>0</v>
      </c>
      <c r="Y149" s="502"/>
      <c r="Z149" s="302">
        <f t="shared" si="19"/>
        <v>0</v>
      </c>
      <c r="AA149" s="166"/>
      <c r="AB149" s="167" t="s">
        <v>624</v>
      </c>
      <c r="AC149" s="167">
        <f t="shared" si="20"/>
        <v>0</v>
      </c>
      <c r="AD149" s="169">
        <f t="shared" si="21"/>
        <v>0</v>
      </c>
      <c r="AE149" s="503"/>
      <c r="AF149" s="303">
        <f t="shared" si="22"/>
        <v>0</v>
      </c>
      <c r="AG149" s="484"/>
      <c r="AH149" s="174" t="s">
        <v>624</v>
      </c>
      <c r="AI149" s="169">
        <f t="shared" si="23"/>
        <v>0</v>
      </c>
      <c r="AJ149" s="181"/>
      <c r="AK149" s="181"/>
      <c r="AL149" s="485"/>
      <c r="AM149" s="486"/>
      <c r="AN149" s="181"/>
      <c r="AO149" s="181"/>
      <c r="AP149" s="467"/>
      <c r="AQ149" s="177"/>
      <c r="AR149" s="469"/>
      <c r="AS149" s="495"/>
      <c r="AT149" s="471"/>
      <c r="AU149" s="471"/>
      <c r="AV149" s="493"/>
      <c r="AW149" s="493"/>
      <c r="AX149" s="473" t="str">
        <f t="shared" si="24"/>
        <v xml:space="preserve"> ,</v>
      </c>
      <c r="AY149" s="473" t="str">
        <f t="shared" si="25"/>
        <v xml:space="preserve"> / </v>
      </c>
      <c r="AZ149" s="474"/>
      <c r="BA149" s="475"/>
      <c r="BB149" s="474"/>
      <c r="BC149" s="494"/>
      <c r="BD149" s="475"/>
      <c r="BE149" s="494"/>
    </row>
    <row r="150" spans="1:57" ht="21.6" customHeight="1">
      <c r="A150" s="341">
        <f t="shared" si="26"/>
        <v>145</v>
      </c>
      <c r="B150" s="481"/>
      <c r="C150" s="496"/>
      <c r="D150" s="497"/>
      <c r="E150" s="237"/>
      <c r="F150" s="461" t="s">
        <v>624</v>
      </c>
      <c r="G150" s="498"/>
      <c r="H150" s="499"/>
      <c r="I150" s="499"/>
      <c r="J150" s="500"/>
      <c r="K150" s="462"/>
      <c r="L150" s="483"/>
      <c r="M150" s="501"/>
      <c r="N150" s="346"/>
      <c r="O150" s="412"/>
      <c r="P150" s="413"/>
      <c r="Q150" s="464"/>
      <c r="R150" s="465">
        <f>IFERROR(VLOOKUP(1,'Data Validation'!$O$2:$P$25,2,FALSE),"")</f>
        <v>45906</v>
      </c>
      <c r="S150" s="465" t="str">
        <f>IFERROR(VLOOKUP($P150,'Data Validation'!$O$2:$P$25,2,FALSE),"")</f>
        <v/>
      </c>
      <c r="T150" s="419" t="e">
        <f ca="1">INDEX(INDIRECT(INDEX(ControlRoom[اجمالي الالتزام],MATCH(تفصيلي!Q150,Control!$B$2:$B$12,0))),MATCH(CONCATENATE(O150,P150),INDIRECT(INDEX(ControlRoom[المبلغ],MATCH(تفصيلي!Q150,ControlRoom[التمويل],0))),0))</f>
        <v>#N/A</v>
      </c>
      <c r="U150" s="419" t="e">
        <f ca="1">INDEX(INDIRECT(INDEX(ControlRoom[القسط الشهري],MATCH(تفصيلي!Q150,Control!$B$2:$B$12,0))),MATCH(CONCATENATE(O150,P150),INDIRECT(INDEX(ControlRoom[المبلغ],MATCH(تفصيلي!Q150,ControlRoom[التمويل],0))),0))</f>
        <v>#N/A</v>
      </c>
      <c r="V150" s="420" t="e">
        <f>INDEX(ControlRoom[[فائدة أ]:[فائدة ج]],MATCH(تفصيلي!Q150,ControlRoom[التمويل],0),MATCH(IF(AND(تفصيلي!O150&gt;=Control!$N$2,تفصيلي!O150&lt;=Control!$O$2),Control!$P$2,IF(AND(تفصيلي!O150&gt;=Control!$N$3,تفصيلي!O150&lt;=Control!$O$3),Control!$P$3,IF(AND(تفصيلي!O150&gt;=Control!$N$4,تفصيلي!O150&lt;=Control!$O$4),Control!$P$4,"Out Of Range"))),ControlRoom[[#Headers],[فائدة أ]:[فائدة ج]],0))</f>
        <v>#N/A</v>
      </c>
      <c r="W150" s="419"/>
      <c r="X150" s="466">
        <f t="shared" si="18"/>
        <v>0</v>
      </c>
      <c r="Y150" s="502"/>
      <c r="Z150" s="302">
        <f t="shared" si="19"/>
        <v>0</v>
      </c>
      <c r="AA150" s="166"/>
      <c r="AB150" s="167" t="s">
        <v>624</v>
      </c>
      <c r="AC150" s="167">
        <f t="shared" si="20"/>
        <v>0</v>
      </c>
      <c r="AD150" s="169">
        <f t="shared" si="21"/>
        <v>0</v>
      </c>
      <c r="AE150" s="503"/>
      <c r="AF150" s="303">
        <f t="shared" si="22"/>
        <v>0</v>
      </c>
      <c r="AG150" s="484"/>
      <c r="AH150" s="174" t="s">
        <v>624</v>
      </c>
      <c r="AI150" s="169">
        <f t="shared" si="23"/>
        <v>0</v>
      </c>
      <c r="AJ150" s="181"/>
      <c r="AK150" s="181"/>
      <c r="AL150" s="485"/>
      <c r="AM150" s="486"/>
      <c r="AN150" s="181"/>
      <c r="AO150" s="181"/>
      <c r="AP150" s="467"/>
      <c r="AQ150" s="177"/>
      <c r="AR150" s="469"/>
      <c r="AS150" s="495"/>
      <c r="AT150" s="471"/>
      <c r="AU150" s="471"/>
      <c r="AV150" s="493"/>
      <c r="AW150" s="493"/>
      <c r="AX150" s="473" t="str">
        <f t="shared" si="24"/>
        <v xml:space="preserve"> ,</v>
      </c>
      <c r="AY150" s="473" t="str">
        <f t="shared" si="25"/>
        <v xml:space="preserve"> / </v>
      </c>
      <c r="AZ150" s="474"/>
      <c r="BA150" s="475"/>
      <c r="BB150" s="474"/>
      <c r="BC150" s="494"/>
      <c r="BD150" s="475"/>
      <c r="BE150" s="494"/>
    </row>
    <row r="151" spans="1:57" ht="21.6" customHeight="1">
      <c r="A151" s="341">
        <f t="shared" si="26"/>
        <v>146</v>
      </c>
      <c r="B151" s="481"/>
      <c r="C151" s="496"/>
      <c r="D151" s="497"/>
      <c r="E151" s="237"/>
      <c r="F151" s="461" t="s">
        <v>624</v>
      </c>
      <c r="G151" s="498"/>
      <c r="H151" s="499"/>
      <c r="I151" s="499"/>
      <c r="J151" s="500"/>
      <c r="K151" s="462"/>
      <c r="L151" s="483"/>
      <c r="M151" s="501"/>
      <c r="N151" s="346"/>
      <c r="O151" s="412"/>
      <c r="P151" s="413"/>
      <c r="Q151" s="464"/>
      <c r="R151" s="465">
        <f>IFERROR(VLOOKUP(1,'Data Validation'!$O$2:$P$25,2,FALSE),"")</f>
        <v>45906</v>
      </c>
      <c r="S151" s="465" t="str">
        <f>IFERROR(VLOOKUP($P151,'Data Validation'!$O$2:$P$25,2,FALSE),"")</f>
        <v/>
      </c>
      <c r="T151" s="419" t="e">
        <f ca="1">INDEX(INDIRECT(INDEX(ControlRoom[اجمالي الالتزام],MATCH(تفصيلي!Q151,Control!$B$2:$B$12,0))),MATCH(CONCATENATE(O151,P151),INDIRECT(INDEX(ControlRoom[المبلغ],MATCH(تفصيلي!Q151,ControlRoom[التمويل],0))),0))</f>
        <v>#N/A</v>
      </c>
      <c r="U151" s="419" t="e">
        <f ca="1">INDEX(INDIRECT(INDEX(ControlRoom[القسط الشهري],MATCH(تفصيلي!Q151,Control!$B$2:$B$12,0))),MATCH(CONCATENATE(O151,P151),INDIRECT(INDEX(ControlRoom[المبلغ],MATCH(تفصيلي!Q151,ControlRoom[التمويل],0))),0))</f>
        <v>#N/A</v>
      </c>
      <c r="V151" s="420" t="e">
        <f>INDEX(ControlRoom[[فائدة أ]:[فائدة ج]],MATCH(تفصيلي!Q151,ControlRoom[التمويل],0),MATCH(IF(AND(تفصيلي!O151&gt;=Control!$N$2,تفصيلي!O151&lt;=Control!$O$2),Control!$P$2,IF(AND(تفصيلي!O151&gt;=Control!$N$3,تفصيلي!O151&lt;=Control!$O$3),Control!$P$3,IF(AND(تفصيلي!O151&gt;=Control!$N$4,تفصيلي!O151&lt;=Control!$O$4),Control!$P$4,"Out Of Range"))),ControlRoom[[#Headers],[فائدة أ]:[فائدة ج]],0))</f>
        <v>#N/A</v>
      </c>
      <c r="W151" s="419"/>
      <c r="X151" s="466">
        <f t="shared" si="18"/>
        <v>0</v>
      </c>
      <c r="Y151" s="502"/>
      <c r="Z151" s="302">
        <f t="shared" si="19"/>
        <v>0</v>
      </c>
      <c r="AA151" s="166"/>
      <c r="AB151" s="167" t="s">
        <v>624</v>
      </c>
      <c r="AC151" s="167">
        <f t="shared" si="20"/>
        <v>0</v>
      </c>
      <c r="AD151" s="169">
        <f t="shared" si="21"/>
        <v>0</v>
      </c>
      <c r="AE151" s="503"/>
      <c r="AF151" s="303">
        <f t="shared" si="22"/>
        <v>0</v>
      </c>
      <c r="AG151" s="484"/>
      <c r="AH151" s="174" t="s">
        <v>624</v>
      </c>
      <c r="AI151" s="169">
        <f t="shared" si="23"/>
        <v>0</v>
      </c>
      <c r="AJ151" s="181"/>
      <c r="AK151" s="181"/>
      <c r="AL151" s="485"/>
      <c r="AM151" s="486"/>
      <c r="AN151" s="181"/>
      <c r="AO151" s="181"/>
      <c r="AP151" s="467"/>
      <c r="AQ151" s="177"/>
      <c r="AR151" s="469"/>
      <c r="AS151" s="495"/>
      <c r="AT151" s="471"/>
      <c r="AU151" s="471"/>
      <c r="AV151" s="493"/>
      <c r="AW151" s="493"/>
      <c r="AX151" s="473" t="str">
        <f t="shared" si="24"/>
        <v xml:space="preserve"> ,</v>
      </c>
      <c r="AY151" s="473" t="str">
        <f t="shared" si="25"/>
        <v xml:space="preserve"> / </v>
      </c>
      <c r="AZ151" s="474"/>
      <c r="BA151" s="475"/>
      <c r="BB151" s="474"/>
      <c r="BC151" s="494"/>
      <c r="BD151" s="475"/>
      <c r="BE151" s="494"/>
    </row>
    <row r="152" spans="1:57" ht="21.6" customHeight="1">
      <c r="A152" s="341">
        <f t="shared" si="26"/>
        <v>147</v>
      </c>
      <c r="B152" s="481"/>
      <c r="C152" s="496"/>
      <c r="D152" s="497"/>
      <c r="E152" s="237"/>
      <c r="F152" s="461" t="s">
        <v>624</v>
      </c>
      <c r="G152" s="498"/>
      <c r="H152" s="499"/>
      <c r="I152" s="499"/>
      <c r="J152" s="500"/>
      <c r="K152" s="462"/>
      <c r="L152" s="483"/>
      <c r="M152" s="501"/>
      <c r="N152" s="346"/>
      <c r="O152" s="412"/>
      <c r="P152" s="413"/>
      <c r="Q152" s="464"/>
      <c r="R152" s="465">
        <f>IFERROR(VLOOKUP(1,'Data Validation'!$O$2:$P$25,2,FALSE),"")</f>
        <v>45906</v>
      </c>
      <c r="S152" s="465" t="str">
        <f>IFERROR(VLOOKUP($P152,'Data Validation'!$O$2:$P$25,2,FALSE),"")</f>
        <v/>
      </c>
      <c r="T152" s="419" t="e">
        <f ca="1">INDEX(INDIRECT(INDEX(ControlRoom[اجمالي الالتزام],MATCH(تفصيلي!Q152,Control!$B$2:$B$12,0))),MATCH(CONCATENATE(O152,P152),INDIRECT(INDEX(ControlRoom[المبلغ],MATCH(تفصيلي!Q152,ControlRoom[التمويل],0))),0))</f>
        <v>#N/A</v>
      </c>
      <c r="U152" s="419" t="e">
        <f ca="1">INDEX(INDIRECT(INDEX(ControlRoom[القسط الشهري],MATCH(تفصيلي!Q152,Control!$B$2:$B$12,0))),MATCH(CONCATENATE(O152,P152),INDIRECT(INDEX(ControlRoom[المبلغ],MATCH(تفصيلي!Q152,ControlRoom[التمويل],0))),0))</f>
        <v>#N/A</v>
      </c>
      <c r="V152" s="420" t="e">
        <f>INDEX(ControlRoom[[فائدة أ]:[فائدة ج]],MATCH(تفصيلي!Q152,ControlRoom[التمويل],0),MATCH(IF(AND(تفصيلي!O152&gt;=Control!$N$2,تفصيلي!O152&lt;=Control!$O$2),Control!$P$2,IF(AND(تفصيلي!O152&gt;=Control!$N$3,تفصيلي!O152&lt;=Control!$O$3),Control!$P$3,IF(AND(تفصيلي!O152&gt;=Control!$N$4,تفصيلي!O152&lt;=Control!$O$4),Control!$P$4,"Out Of Range"))),ControlRoom[[#Headers],[فائدة أ]:[فائدة ج]],0))</f>
        <v>#N/A</v>
      </c>
      <c r="W152" s="419"/>
      <c r="X152" s="466">
        <f t="shared" si="18"/>
        <v>0</v>
      </c>
      <c r="Y152" s="502"/>
      <c r="Z152" s="302">
        <f t="shared" si="19"/>
        <v>0</v>
      </c>
      <c r="AA152" s="166"/>
      <c r="AB152" s="167" t="s">
        <v>624</v>
      </c>
      <c r="AC152" s="167">
        <f t="shared" si="20"/>
        <v>0</v>
      </c>
      <c r="AD152" s="169">
        <f t="shared" si="21"/>
        <v>0</v>
      </c>
      <c r="AE152" s="503"/>
      <c r="AF152" s="303">
        <f t="shared" si="22"/>
        <v>0</v>
      </c>
      <c r="AG152" s="484"/>
      <c r="AH152" s="174" t="s">
        <v>624</v>
      </c>
      <c r="AI152" s="169">
        <f t="shared" si="23"/>
        <v>0</v>
      </c>
      <c r="AJ152" s="181"/>
      <c r="AK152" s="181"/>
      <c r="AL152" s="485"/>
      <c r="AM152" s="486"/>
      <c r="AN152" s="181"/>
      <c r="AO152" s="181"/>
      <c r="AP152" s="467"/>
      <c r="AQ152" s="177"/>
      <c r="AR152" s="469"/>
      <c r="AS152" s="495"/>
      <c r="AT152" s="471"/>
      <c r="AU152" s="471"/>
      <c r="AV152" s="493"/>
      <c r="AW152" s="493"/>
      <c r="AX152" s="473" t="str">
        <f t="shared" si="24"/>
        <v xml:space="preserve"> ,</v>
      </c>
      <c r="AY152" s="473" t="str">
        <f t="shared" si="25"/>
        <v xml:space="preserve"> / </v>
      </c>
      <c r="AZ152" s="474"/>
      <c r="BA152" s="475"/>
      <c r="BB152" s="474"/>
      <c r="BC152" s="494"/>
      <c r="BD152" s="475"/>
      <c r="BE152" s="494"/>
    </row>
    <row r="153" spans="1:57" ht="21.6" customHeight="1">
      <c r="A153" s="341">
        <f t="shared" si="26"/>
        <v>148</v>
      </c>
      <c r="B153" s="481"/>
      <c r="C153" s="496"/>
      <c r="D153" s="497"/>
      <c r="E153" s="237"/>
      <c r="F153" s="461" t="s">
        <v>624</v>
      </c>
      <c r="G153" s="498"/>
      <c r="H153" s="499"/>
      <c r="I153" s="499"/>
      <c r="J153" s="500"/>
      <c r="K153" s="462"/>
      <c r="L153" s="483"/>
      <c r="M153" s="501"/>
      <c r="N153" s="346"/>
      <c r="O153" s="412"/>
      <c r="P153" s="413"/>
      <c r="Q153" s="464"/>
      <c r="R153" s="465">
        <f>IFERROR(VLOOKUP(1,'Data Validation'!$O$2:$P$25,2,FALSE),"")</f>
        <v>45906</v>
      </c>
      <c r="S153" s="465" t="str">
        <f>IFERROR(VLOOKUP($P153,'Data Validation'!$O$2:$P$25,2,FALSE),"")</f>
        <v/>
      </c>
      <c r="T153" s="419" t="e">
        <f ca="1">INDEX(INDIRECT(INDEX(ControlRoom[اجمالي الالتزام],MATCH(تفصيلي!Q153,Control!$B$2:$B$12,0))),MATCH(CONCATENATE(O153,P153),INDIRECT(INDEX(ControlRoom[المبلغ],MATCH(تفصيلي!Q153,ControlRoom[التمويل],0))),0))</f>
        <v>#N/A</v>
      </c>
      <c r="U153" s="419" t="e">
        <f ca="1">INDEX(INDIRECT(INDEX(ControlRoom[القسط الشهري],MATCH(تفصيلي!Q153,Control!$B$2:$B$12,0))),MATCH(CONCATENATE(O153,P153),INDIRECT(INDEX(ControlRoom[المبلغ],MATCH(تفصيلي!Q153,ControlRoom[التمويل],0))),0))</f>
        <v>#N/A</v>
      </c>
      <c r="V153" s="420" t="e">
        <f>INDEX(ControlRoom[[فائدة أ]:[فائدة ج]],MATCH(تفصيلي!Q153,ControlRoom[التمويل],0),MATCH(IF(AND(تفصيلي!O153&gt;=Control!$N$2,تفصيلي!O153&lt;=Control!$O$2),Control!$P$2,IF(AND(تفصيلي!O153&gt;=Control!$N$3,تفصيلي!O153&lt;=Control!$O$3),Control!$P$3,IF(AND(تفصيلي!O153&gt;=Control!$N$4,تفصيلي!O153&lt;=Control!$O$4),Control!$P$4,"Out Of Range"))),ControlRoom[[#Headers],[فائدة أ]:[فائدة ج]],0))</f>
        <v>#N/A</v>
      </c>
      <c r="W153" s="419"/>
      <c r="X153" s="466">
        <f t="shared" si="18"/>
        <v>0</v>
      </c>
      <c r="Y153" s="502"/>
      <c r="Z153" s="302">
        <f t="shared" si="19"/>
        <v>0</v>
      </c>
      <c r="AA153" s="166"/>
      <c r="AB153" s="167" t="s">
        <v>624</v>
      </c>
      <c r="AC153" s="167">
        <f t="shared" si="20"/>
        <v>0</v>
      </c>
      <c r="AD153" s="169">
        <f t="shared" si="21"/>
        <v>0</v>
      </c>
      <c r="AE153" s="503"/>
      <c r="AF153" s="303">
        <f t="shared" si="22"/>
        <v>0</v>
      </c>
      <c r="AG153" s="484"/>
      <c r="AH153" s="174" t="s">
        <v>624</v>
      </c>
      <c r="AI153" s="169">
        <f t="shared" si="23"/>
        <v>0</v>
      </c>
      <c r="AJ153" s="181"/>
      <c r="AK153" s="181"/>
      <c r="AL153" s="485"/>
      <c r="AM153" s="486"/>
      <c r="AN153" s="181"/>
      <c r="AO153" s="181"/>
      <c r="AP153" s="467"/>
      <c r="AQ153" s="177"/>
      <c r="AR153" s="469"/>
      <c r="AS153" s="495"/>
      <c r="AT153" s="471"/>
      <c r="AU153" s="471"/>
      <c r="AV153" s="493"/>
      <c r="AW153" s="493"/>
      <c r="AX153" s="473" t="str">
        <f t="shared" si="24"/>
        <v xml:space="preserve"> ,</v>
      </c>
      <c r="AY153" s="473" t="str">
        <f t="shared" si="25"/>
        <v xml:space="preserve"> / </v>
      </c>
      <c r="AZ153" s="474"/>
      <c r="BA153" s="475"/>
      <c r="BB153" s="474"/>
      <c r="BC153" s="494"/>
      <c r="BD153" s="475"/>
      <c r="BE153" s="494"/>
    </row>
    <row r="154" spans="1:57" ht="21.6" customHeight="1">
      <c r="A154" s="341">
        <f t="shared" si="26"/>
        <v>149</v>
      </c>
      <c r="B154" s="481"/>
      <c r="C154" s="496"/>
      <c r="D154" s="497"/>
      <c r="E154" s="237"/>
      <c r="F154" s="461" t="s">
        <v>624</v>
      </c>
      <c r="G154" s="498"/>
      <c r="H154" s="499"/>
      <c r="I154" s="499"/>
      <c r="J154" s="500"/>
      <c r="K154" s="462"/>
      <c r="L154" s="483"/>
      <c r="M154" s="501"/>
      <c r="N154" s="346"/>
      <c r="O154" s="412"/>
      <c r="P154" s="413"/>
      <c r="Q154" s="464"/>
      <c r="R154" s="465">
        <f>IFERROR(VLOOKUP(1,'Data Validation'!$O$2:$P$25,2,FALSE),"")</f>
        <v>45906</v>
      </c>
      <c r="S154" s="465" t="str">
        <f>IFERROR(VLOOKUP($P154,'Data Validation'!$O$2:$P$25,2,FALSE),"")</f>
        <v/>
      </c>
      <c r="T154" s="419" t="e">
        <f ca="1">INDEX(INDIRECT(INDEX(ControlRoom[اجمالي الالتزام],MATCH(تفصيلي!Q154,Control!$B$2:$B$12,0))),MATCH(CONCATENATE(O154,P154),INDIRECT(INDEX(ControlRoom[المبلغ],MATCH(تفصيلي!Q154,ControlRoom[التمويل],0))),0))</f>
        <v>#N/A</v>
      </c>
      <c r="U154" s="419" t="e">
        <f ca="1">INDEX(INDIRECT(INDEX(ControlRoom[القسط الشهري],MATCH(تفصيلي!Q154,Control!$B$2:$B$12,0))),MATCH(CONCATENATE(O154,P154),INDIRECT(INDEX(ControlRoom[المبلغ],MATCH(تفصيلي!Q154,ControlRoom[التمويل],0))),0))</f>
        <v>#N/A</v>
      </c>
      <c r="V154" s="420" t="e">
        <f>INDEX(ControlRoom[[فائدة أ]:[فائدة ج]],MATCH(تفصيلي!Q154,ControlRoom[التمويل],0),MATCH(IF(AND(تفصيلي!O154&gt;=Control!$N$2,تفصيلي!O154&lt;=Control!$O$2),Control!$P$2,IF(AND(تفصيلي!O154&gt;=Control!$N$3,تفصيلي!O154&lt;=Control!$O$3),Control!$P$3,IF(AND(تفصيلي!O154&gt;=Control!$N$4,تفصيلي!O154&lt;=Control!$O$4),Control!$P$4,"Out Of Range"))),ControlRoom[[#Headers],[فائدة أ]:[فائدة ج]],0))</f>
        <v>#N/A</v>
      </c>
      <c r="W154" s="419"/>
      <c r="X154" s="466">
        <f t="shared" si="18"/>
        <v>0</v>
      </c>
      <c r="Y154" s="502"/>
      <c r="Z154" s="302">
        <f t="shared" si="19"/>
        <v>0</v>
      </c>
      <c r="AA154" s="166"/>
      <c r="AB154" s="167" t="s">
        <v>624</v>
      </c>
      <c r="AC154" s="167">
        <f t="shared" si="20"/>
        <v>0</v>
      </c>
      <c r="AD154" s="169">
        <f t="shared" si="21"/>
        <v>0</v>
      </c>
      <c r="AE154" s="503"/>
      <c r="AF154" s="303">
        <f t="shared" si="22"/>
        <v>0</v>
      </c>
      <c r="AG154" s="484"/>
      <c r="AH154" s="174" t="s">
        <v>624</v>
      </c>
      <c r="AI154" s="169">
        <f t="shared" si="23"/>
        <v>0</v>
      </c>
      <c r="AJ154" s="181"/>
      <c r="AK154" s="181"/>
      <c r="AL154" s="485"/>
      <c r="AM154" s="486"/>
      <c r="AN154" s="181"/>
      <c r="AO154" s="181"/>
      <c r="AP154" s="467"/>
      <c r="AQ154" s="177"/>
      <c r="AR154" s="469"/>
      <c r="AS154" s="495"/>
      <c r="AT154" s="471"/>
      <c r="AU154" s="471"/>
      <c r="AV154" s="493"/>
      <c r="AW154" s="493"/>
      <c r="AX154" s="473" t="str">
        <f t="shared" si="24"/>
        <v xml:space="preserve"> ,</v>
      </c>
      <c r="AY154" s="473" t="str">
        <f t="shared" si="25"/>
        <v xml:space="preserve"> / </v>
      </c>
      <c r="AZ154" s="474"/>
      <c r="BA154" s="475"/>
      <c r="BB154" s="474"/>
      <c r="BC154" s="494"/>
      <c r="BD154" s="475"/>
      <c r="BE154" s="494"/>
    </row>
    <row r="155" spans="1:57" ht="21.6" customHeight="1">
      <c r="A155" s="341">
        <f t="shared" si="26"/>
        <v>150</v>
      </c>
      <c r="B155" s="481"/>
      <c r="C155" s="496"/>
      <c r="D155" s="497"/>
      <c r="E155" s="237"/>
      <c r="F155" s="461" t="s">
        <v>624</v>
      </c>
      <c r="G155" s="498"/>
      <c r="H155" s="499"/>
      <c r="I155" s="499"/>
      <c r="J155" s="500"/>
      <c r="K155" s="462"/>
      <c r="L155" s="483"/>
      <c r="M155" s="501"/>
      <c r="N155" s="346"/>
      <c r="O155" s="412"/>
      <c r="P155" s="413"/>
      <c r="Q155" s="464"/>
      <c r="R155" s="465">
        <f>IFERROR(VLOOKUP(1,'Data Validation'!$O$2:$P$25,2,FALSE),"")</f>
        <v>45906</v>
      </c>
      <c r="S155" s="465" t="str">
        <f>IFERROR(VLOOKUP($P155,'Data Validation'!$O$2:$P$25,2,FALSE),"")</f>
        <v/>
      </c>
      <c r="T155" s="419" t="e">
        <f ca="1">INDEX(INDIRECT(INDEX(ControlRoom[اجمالي الالتزام],MATCH(تفصيلي!Q155,Control!$B$2:$B$12,0))),MATCH(CONCATENATE(O155,P155),INDIRECT(INDEX(ControlRoom[المبلغ],MATCH(تفصيلي!Q155,ControlRoom[التمويل],0))),0))</f>
        <v>#N/A</v>
      </c>
      <c r="U155" s="419" t="e">
        <f ca="1">INDEX(INDIRECT(INDEX(ControlRoom[القسط الشهري],MATCH(تفصيلي!Q155,Control!$B$2:$B$12,0))),MATCH(CONCATENATE(O155,P155),INDIRECT(INDEX(ControlRoom[المبلغ],MATCH(تفصيلي!Q155,ControlRoom[التمويل],0))),0))</f>
        <v>#N/A</v>
      </c>
      <c r="V155" s="420" t="e">
        <f>INDEX(ControlRoom[[فائدة أ]:[فائدة ج]],MATCH(تفصيلي!Q155,ControlRoom[التمويل],0),MATCH(IF(AND(تفصيلي!O155&gt;=Control!$N$2,تفصيلي!O155&lt;=Control!$O$2),Control!$P$2,IF(AND(تفصيلي!O155&gt;=Control!$N$3,تفصيلي!O155&lt;=Control!$O$3),Control!$P$3,IF(AND(تفصيلي!O155&gt;=Control!$N$4,تفصيلي!O155&lt;=Control!$O$4),Control!$P$4,"Out Of Range"))),ControlRoom[[#Headers],[فائدة أ]:[فائدة ج]],0))</f>
        <v>#N/A</v>
      </c>
      <c r="W155" s="419"/>
      <c r="X155" s="466">
        <f t="shared" si="18"/>
        <v>0</v>
      </c>
      <c r="Y155" s="502"/>
      <c r="Z155" s="302">
        <f t="shared" si="19"/>
        <v>0</v>
      </c>
      <c r="AA155" s="166"/>
      <c r="AB155" s="167" t="s">
        <v>624</v>
      </c>
      <c r="AC155" s="167">
        <f t="shared" si="20"/>
        <v>0</v>
      </c>
      <c r="AD155" s="169">
        <f t="shared" si="21"/>
        <v>0</v>
      </c>
      <c r="AE155" s="503"/>
      <c r="AF155" s="303">
        <f t="shared" si="22"/>
        <v>0</v>
      </c>
      <c r="AG155" s="484"/>
      <c r="AH155" s="174" t="s">
        <v>624</v>
      </c>
      <c r="AI155" s="169">
        <f t="shared" si="23"/>
        <v>0</v>
      </c>
      <c r="AJ155" s="181"/>
      <c r="AK155" s="181"/>
      <c r="AL155" s="485"/>
      <c r="AM155" s="486"/>
      <c r="AN155" s="181"/>
      <c r="AO155" s="181"/>
      <c r="AP155" s="467"/>
      <c r="AQ155" s="177"/>
      <c r="AR155" s="469"/>
      <c r="AS155" s="495"/>
      <c r="AT155" s="471"/>
      <c r="AU155" s="471"/>
      <c r="AV155" s="493"/>
      <c r="AW155" s="493"/>
      <c r="AX155" s="473" t="str">
        <f t="shared" si="24"/>
        <v xml:space="preserve"> ,</v>
      </c>
      <c r="AY155" s="473" t="str">
        <f t="shared" si="25"/>
        <v xml:space="preserve"> / </v>
      </c>
      <c r="AZ155" s="474"/>
      <c r="BA155" s="475"/>
      <c r="BB155" s="474"/>
      <c r="BC155" s="494"/>
      <c r="BD155" s="475"/>
      <c r="BE155" s="494"/>
    </row>
    <row r="156" spans="1:57" s="515" customFormat="1" ht="21.6" customHeight="1">
      <c r="A156" s="341">
        <f t="shared" si="26"/>
        <v>151</v>
      </c>
      <c r="B156" s="481"/>
      <c r="C156" s="504"/>
      <c r="D156" s="505"/>
      <c r="E156" s="237"/>
      <c r="F156" s="461" t="s">
        <v>624</v>
      </c>
      <c r="G156" s="506"/>
      <c r="H156" s="507"/>
      <c r="I156" s="507"/>
      <c r="J156" s="508"/>
      <c r="K156" s="462"/>
      <c r="L156" s="483"/>
      <c r="M156" s="509"/>
      <c r="N156" s="346"/>
      <c r="O156" s="412"/>
      <c r="P156" s="413"/>
      <c r="Q156" s="464"/>
      <c r="R156" s="465">
        <f>IFERROR(VLOOKUP(1,'Data Validation'!$O$2:$P$25,2,FALSE),"")</f>
        <v>45906</v>
      </c>
      <c r="S156" s="465" t="str">
        <f>IFERROR(VLOOKUP($P156,'Data Validation'!$O$2:$P$25,2,FALSE),"")</f>
        <v/>
      </c>
      <c r="T156" s="419" t="e">
        <f ca="1">INDEX(INDIRECT(INDEX(ControlRoom[اجمالي الالتزام],MATCH(تفصيلي!Q156,Control!$B$2:$B$12,0))),MATCH(CONCATENATE(O156,P156),INDIRECT(INDEX(ControlRoom[المبلغ],MATCH(تفصيلي!Q156,ControlRoom[التمويل],0))),0))</f>
        <v>#N/A</v>
      </c>
      <c r="U156" s="419" t="e">
        <f ca="1">INDEX(INDIRECT(INDEX(ControlRoom[القسط الشهري],MATCH(تفصيلي!Q156,Control!$B$2:$B$12,0))),MATCH(CONCATENATE(O156,P156),INDIRECT(INDEX(ControlRoom[المبلغ],MATCH(تفصيلي!Q156,ControlRoom[التمويل],0))),0))</f>
        <v>#N/A</v>
      </c>
      <c r="V156" s="420" t="e">
        <f>INDEX(ControlRoom[[فائدة أ]:[فائدة ج]],MATCH(تفصيلي!Q156,ControlRoom[التمويل],0),MATCH(IF(AND(تفصيلي!O156&gt;=Control!$N$2,تفصيلي!O156&lt;=Control!$O$2),Control!$P$2,IF(AND(تفصيلي!O156&gt;=Control!$N$3,تفصيلي!O156&lt;=Control!$O$3),Control!$P$3,IF(AND(تفصيلي!O156&gt;=Control!$N$4,تفصيلي!O156&lt;=Control!$O$4),Control!$P$4,"Out Of Range"))),ControlRoom[[#Headers],[فائدة أ]:[فائدة ج]],0))</f>
        <v>#N/A</v>
      </c>
      <c r="W156" s="419"/>
      <c r="X156" s="466">
        <f t="shared" si="18"/>
        <v>0</v>
      </c>
      <c r="Y156" s="510"/>
      <c r="Z156" s="302">
        <f t="shared" si="19"/>
        <v>0</v>
      </c>
      <c r="AA156" s="166"/>
      <c r="AB156" s="167" t="s">
        <v>624</v>
      </c>
      <c r="AC156" s="167">
        <f t="shared" si="20"/>
        <v>0</v>
      </c>
      <c r="AD156" s="169">
        <f t="shared" si="21"/>
        <v>0</v>
      </c>
      <c r="AE156" s="511"/>
      <c r="AF156" s="303">
        <f t="shared" si="22"/>
        <v>0</v>
      </c>
      <c r="AG156" s="484"/>
      <c r="AH156" s="174" t="s">
        <v>624</v>
      </c>
      <c r="AI156" s="169">
        <f t="shared" si="23"/>
        <v>0</v>
      </c>
      <c r="AJ156" s="182"/>
      <c r="AK156" s="182"/>
      <c r="AL156" s="485"/>
      <c r="AM156" s="486"/>
      <c r="AN156" s="182"/>
      <c r="AO156" s="182"/>
      <c r="AP156" s="467"/>
      <c r="AQ156" s="177"/>
      <c r="AR156" s="469"/>
      <c r="AS156" s="512"/>
      <c r="AT156" s="471"/>
      <c r="AU156" s="471"/>
      <c r="AV156" s="513"/>
      <c r="AW156" s="513"/>
      <c r="AX156" s="473" t="str">
        <f t="shared" si="24"/>
        <v xml:space="preserve"> ,</v>
      </c>
      <c r="AY156" s="473" t="str">
        <f t="shared" si="25"/>
        <v xml:space="preserve"> / </v>
      </c>
      <c r="AZ156" s="474"/>
      <c r="BA156" s="475"/>
      <c r="BB156" s="474"/>
      <c r="BC156" s="514"/>
      <c r="BD156" s="475"/>
      <c r="BE156" s="514"/>
    </row>
    <row r="157" spans="1:57" s="515" customFormat="1" ht="21.6" customHeight="1">
      <c r="A157" s="341">
        <f t="shared" si="26"/>
        <v>152</v>
      </c>
      <c r="B157" s="516"/>
      <c r="C157" s="504"/>
      <c r="D157" s="505"/>
      <c r="E157" s="237"/>
      <c r="F157" s="461" t="s">
        <v>624</v>
      </c>
      <c r="G157" s="506"/>
      <c r="H157" s="507"/>
      <c r="I157" s="507"/>
      <c r="J157" s="508"/>
      <c r="K157" s="462"/>
      <c r="L157" s="483"/>
      <c r="M157" s="509"/>
      <c r="N157" s="346"/>
      <c r="O157" s="412"/>
      <c r="P157" s="413"/>
      <c r="Q157" s="464"/>
      <c r="R157" s="465">
        <f>IFERROR(VLOOKUP(1,'Data Validation'!$O$2:$P$25,2,FALSE),"")</f>
        <v>45906</v>
      </c>
      <c r="S157" s="465" t="str">
        <f>IFERROR(VLOOKUP($P157,'Data Validation'!$O$2:$P$25,2,FALSE),"")</f>
        <v/>
      </c>
      <c r="T157" s="419" t="e">
        <f ca="1">INDEX(INDIRECT(INDEX(ControlRoom[اجمالي الالتزام],MATCH(تفصيلي!Q157,Control!$B$2:$B$12,0))),MATCH(CONCATENATE(O157,P157),INDIRECT(INDEX(ControlRoom[المبلغ],MATCH(تفصيلي!Q157,ControlRoom[التمويل],0))),0))</f>
        <v>#N/A</v>
      </c>
      <c r="U157" s="419" t="e">
        <f ca="1">INDEX(INDIRECT(INDEX(ControlRoom[القسط الشهري],MATCH(تفصيلي!Q157,Control!$B$2:$B$12,0))),MATCH(CONCATENATE(O157,P157),INDIRECT(INDEX(ControlRoom[المبلغ],MATCH(تفصيلي!Q157,ControlRoom[التمويل],0))),0))</f>
        <v>#N/A</v>
      </c>
      <c r="V157" s="420" t="e">
        <f>INDEX(ControlRoom[[فائدة أ]:[فائدة ج]],MATCH(تفصيلي!Q157,ControlRoom[التمويل],0),MATCH(IF(AND(تفصيلي!O157&gt;=Control!$N$2,تفصيلي!O157&lt;=Control!$O$2),Control!$P$2,IF(AND(تفصيلي!O157&gt;=Control!$N$3,تفصيلي!O157&lt;=Control!$O$3),Control!$P$3,IF(AND(تفصيلي!O157&gt;=Control!$N$4,تفصيلي!O157&lt;=Control!$O$4),Control!$P$4,"Out Of Range"))),ControlRoom[[#Headers],[فائدة أ]:[فائدة ج]],0))</f>
        <v>#N/A</v>
      </c>
      <c r="W157" s="419"/>
      <c r="X157" s="466">
        <f t="shared" si="18"/>
        <v>0</v>
      </c>
      <c r="Y157" s="510"/>
      <c r="Z157" s="302">
        <f t="shared" si="19"/>
        <v>0</v>
      </c>
      <c r="AA157" s="166"/>
      <c r="AB157" s="167" t="s">
        <v>624</v>
      </c>
      <c r="AC157" s="167">
        <f t="shared" si="20"/>
        <v>0</v>
      </c>
      <c r="AD157" s="169">
        <f t="shared" si="21"/>
        <v>0</v>
      </c>
      <c r="AE157" s="511"/>
      <c r="AF157" s="303">
        <f t="shared" si="22"/>
        <v>0</v>
      </c>
      <c r="AG157" s="484"/>
      <c r="AH157" s="174" t="s">
        <v>624</v>
      </c>
      <c r="AI157" s="169">
        <f t="shared" si="23"/>
        <v>0</v>
      </c>
      <c r="AJ157" s="182"/>
      <c r="AK157" s="182"/>
      <c r="AL157" s="485"/>
      <c r="AM157" s="486"/>
      <c r="AN157" s="182"/>
      <c r="AO157" s="182"/>
      <c r="AP157" s="467"/>
      <c r="AQ157" s="512"/>
      <c r="AR157" s="512"/>
      <c r="AS157" s="512"/>
      <c r="AT157" s="471"/>
      <c r="AU157" s="471"/>
      <c r="AV157" s="513"/>
      <c r="AW157" s="513"/>
      <c r="AX157" s="473" t="str">
        <f t="shared" si="24"/>
        <v xml:space="preserve"> ,</v>
      </c>
      <c r="AY157" s="473" t="str">
        <f t="shared" si="25"/>
        <v xml:space="preserve"> / </v>
      </c>
      <c r="AZ157" s="474"/>
      <c r="BA157" s="475"/>
      <c r="BB157" s="474"/>
      <c r="BC157" s="514"/>
      <c r="BD157" s="475"/>
      <c r="BE157" s="514"/>
    </row>
    <row r="158" spans="1:57" s="515" customFormat="1" ht="21.6" customHeight="1">
      <c r="A158" s="341">
        <f t="shared" si="26"/>
        <v>153</v>
      </c>
      <c r="B158" s="516"/>
      <c r="C158" s="504"/>
      <c r="D158" s="505"/>
      <c r="E158" s="238"/>
      <c r="F158" s="461" t="s">
        <v>624</v>
      </c>
      <c r="G158" s="506"/>
      <c r="H158" s="507"/>
      <c r="I158" s="507"/>
      <c r="J158" s="508"/>
      <c r="K158" s="462"/>
      <c r="L158" s="508"/>
      <c r="M158" s="509"/>
      <c r="N158" s="346"/>
      <c r="O158" s="412"/>
      <c r="P158" s="413"/>
      <c r="Q158" s="464"/>
      <c r="R158" s="465">
        <f>IFERROR(VLOOKUP(1,'Data Validation'!$O$2:$P$25,2,FALSE),"")</f>
        <v>45906</v>
      </c>
      <c r="S158" s="465" t="str">
        <f>IFERROR(VLOOKUP($P158,'Data Validation'!$O$2:$P$25,2,FALSE),"")</f>
        <v/>
      </c>
      <c r="T158" s="419" t="e">
        <f ca="1">INDEX(INDIRECT(INDEX(ControlRoom[اجمالي الالتزام],MATCH(تفصيلي!Q158,Control!$B$2:$B$12,0))),MATCH(CONCATENATE(O158,P158),INDIRECT(INDEX(ControlRoom[المبلغ],MATCH(تفصيلي!Q158,ControlRoom[التمويل],0))),0))</f>
        <v>#N/A</v>
      </c>
      <c r="U158" s="419" t="e">
        <f ca="1">INDEX(INDIRECT(INDEX(ControlRoom[القسط الشهري],MATCH(تفصيلي!Q158,Control!$B$2:$B$12,0))),MATCH(CONCATENATE(O158,P158),INDIRECT(INDEX(ControlRoom[المبلغ],MATCH(تفصيلي!Q158,ControlRoom[التمويل],0))),0))</f>
        <v>#N/A</v>
      </c>
      <c r="V158" s="420" t="e">
        <f>INDEX(ControlRoom[[فائدة أ]:[فائدة ج]],MATCH(تفصيلي!Q158,ControlRoom[التمويل],0),MATCH(IF(AND(تفصيلي!O158&gt;=Control!$N$2,تفصيلي!O158&lt;=Control!$O$2),Control!$P$2,IF(AND(تفصيلي!O158&gt;=Control!$N$3,تفصيلي!O158&lt;=Control!$O$3),Control!$P$3,IF(AND(تفصيلي!O158&gt;=Control!$N$4,تفصيلي!O158&lt;=Control!$O$4),Control!$P$4,"Out Of Range"))),ControlRoom[[#Headers],[فائدة أ]:[فائدة ج]],0))</f>
        <v>#N/A</v>
      </c>
      <c r="W158" s="419"/>
      <c r="X158" s="466">
        <f t="shared" si="18"/>
        <v>0</v>
      </c>
      <c r="Y158" s="510"/>
      <c r="Z158" s="302">
        <f t="shared" si="19"/>
        <v>0</v>
      </c>
      <c r="AA158" s="166"/>
      <c r="AB158" s="167" t="s">
        <v>624</v>
      </c>
      <c r="AC158" s="167">
        <f t="shared" si="20"/>
        <v>0</v>
      </c>
      <c r="AD158" s="169">
        <f t="shared" si="21"/>
        <v>0</v>
      </c>
      <c r="AE158" s="511"/>
      <c r="AF158" s="303">
        <f t="shared" si="22"/>
        <v>0</v>
      </c>
      <c r="AG158" s="484"/>
      <c r="AH158" s="174" t="s">
        <v>624</v>
      </c>
      <c r="AI158" s="169">
        <f t="shared" si="23"/>
        <v>0</v>
      </c>
      <c r="AJ158" s="182"/>
      <c r="AK158" s="182"/>
      <c r="AL158" s="485"/>
      <c r="AM158" s="486"/>
      <c r="AN158" s="182"/>
      <c r="AO158" s="182"/>
      <c r="AP158" s="467"/>
      <c r="AQ158" s="512"/>
      <c r="AR158" s="512"/>
      <c r="AS158" s="512"/>
      <c r="AT158" s="512"/>
      <c r="AU158" s="512"/>
      <c r="AV158" s="513"/>
      <c r="AW158" s="513"/>
      <c r="AX158" s="473" t="str">
        <f t="shared" si="24"/>
        <v xml:space="preserve"> ,</v>
      </c>
      <c r="AY158" s="473" t="str">
        <f t="shared" si="25"/>
        <v xml:space="preserve"> / </v>
      </c>
      <c r="AZ158" s="474"/>
      <c r="BA158" s="475"/>
      <c r="BB158" s="474"/>
      <c r="BC158" s="514"/>
      <c r="BD158" s="475"/>
      <c r="BE158" s="514"/>
    </row>
    <row r="159" spans="1:57" s="515" customFormat="1" ht="21.6" customHeight="1">
      <c r="A159" s="341">
        <f t="shared" si="26"/>
        <v>154</v>
      </c>
      <c r="B159" s="516"/>
      <c r="C159" s="504"/>
      <c r="D159" s="505"/>
      <c r="E159" s="238"/>
      <c r="F159" s="461" t="s">
        <v>624</v>
      </c>
      <c r="G159" s="506"/>
      <c r="H159" s="507"/>
      <c r="I159" s="507"/>
      <c r="J159" s="508"/>
      <c r="K159" s="462"/>
      <c r="L159" s="508"/>
      <c r="M159" s="509"/>
      <c r="N159" s="346"/>
      <c r="O159" s="412"/>
      <c r="P159" s="413"/>
      <c r="Q159" s="464"/>
      <c r="R159" s="465">
        <f>IFERROR(VLOOKUP(1,'Data Validation'!$O$2:$P$25,2,FALSE),"")</f>
        <v>45906</v>
      </c>
      <c r="S159" s="465" t="str">
        <f>IFERROR(VLOOKUP($P159,'Data Validation'!$O$2:$P$25,2,FALSE),"")</f>
        <v/>
      </c>
      <c r="T159" s="419" t="e">
        <f ca="1">INDEX(INDIRECT(INDEX(ControlRoom[اجمالي الالتزام],MATCH(تفصيلي!Q159,Control!$B$2:$B$12,0))),MATCH(CONCATENATE(O159,P159),INDIRECT(INDEX(ControlRoom[المبلغ],MATCH(تفصيلي!Q159,ControlRoom[التمويل],0))),0))</f>
        <v>#N/A</v>
      </c>
      <c r="U159" s="419" t="e">
        <f ca="1">INDEX(INDIRECT(INDEX(ControlRoom[القسط الشهري],MATCH(تفصيلي!Q159,Control!$B$2:$B$12,0))),MATCH(CONCATENATE(O159,P159),INDIRECT(INDEX(ControlRoom[المبلغ],MATCH(تفصيلي!Q159,ControlRoom[التمويل],0))),0))</f>
        <v>#N/A</v>
      </c>
      <c r="V159" s="420" t="e">
        <f>INDEX(ControlRoom[[فائدة أ]:[فائدة ج]],MATCH(تفصيلي!Q159,ControlRoom[التمويل],0),MATCH(IF(AND(تفصيلي!O159&gt;=Control!$N$2,تفصيلي!O159&lt;=Control!$O$2),Control!$P$2,IF(AND(تفصيلي!O159&gt;=Control!$N$3,تفصيلي!O159&lt;=Control!$O$3),Control!$P$3,IF(AND(تفصيلي!O159&gt;=Control!$N$4,تفصيلي!O159&lt;=Control!$O$4),Control!$P$4,"Out Of Range"))),ControlRoom[[#Headers],[فائدة أ]:[فائدة ج]],0))</f>
        <v>#N/A</v>
      </c>
      <c r="W159" s="419"/>
      <c r="X159" s="466">
        <f t="shared" si="18"/>
        <v>0</v>
      </c>
      <c r="Y159" s="510"/>
      <c r="Z159" s="302">
        <f t="shared" si="19"/>
        <v>0</v>
      </c>
      <c r="AA159" s="166"/>
      <c r="AB159" s="167" t="s">
        <v>624</v>
      </c>
      <c r="AC159" s="167">
        <f t="shared" si="20"/>
        <v>0</v>
      </c>
      <c r="AD159" s="169">
        <f t="shared" si="21"/>
        <v>0</v>
      </c>
      <c r="AE159" s="511"/>
      <c r="AF159" s="303">
        <f t="shared" si="22"/>
        <v>0</v>
      </c>
      <c r="AG159" s="484"/>
      <c r="AH159" s="174" t="s">
        <v>624</v>
      </c>
      <c r="AI159" s="169">
        <f t="shared" si="23"/>
        <v>0</v>
      </c>
      <c r="AJ159" s="182"/>
      <c r="AK159" s="182"/>
      <c r="AL159" s="485"/>
      <c r="AM159" s="486"/>
      <c r="AN159" s="182"/>
      <c r="AO159" s="182"/>
      <c r="AP159" s="467"/>
      <c r="AQ159" s="512"/>
      <c r="AR159" s="512"/>
      <c r="AS159" s="512"/>
      <c r="AT159" s="512"/>
      <c r="AU159" s="512"/>
      <c r="AV159" s="513"/>
      <c r="AW159" s="513"/>
      <c r="AX159" s="473" t="str">
        <f t="shared" si="24"/>
        <v xml:space="preserve"> ,</v>
      </c>
      <c r="AY159" s="473" t="str">
        <f t="shared" si="25"/>
        <v xml:space="preserve"> / </v>
      </c>
      <c r="AZ159" s="474"/>
      <c r="BA159" s="475"/>
      <c r="BB159" s="474"/>
      <c r="BC159" s="514"/>
      <c r="BD159" s="475"/>
      <c r="BE159" s="514"/>
    </row>
    <row r="160" spans="1:57" s="515" customFormat="1" ht="21.6" customHeight="1">
      <c r="A160" s="341">
        <f t="shared" si="26"/>
        <v>155</v>
      </c>
      <c r="B160" s="516"/>
      <c r="C160" s="504"/>
      <c r="D160" s="505"/>
      <c r="E160" s="238"/>
      <c r="F160" s="461" t="s">
        <v>624</v>
      </c>
      <c r="G160" s="506"/>
      <c r="H160" s="507"/>
      <c r="I160" s="507"/>
      <c r="J160" s="508"/>
      <c r="K160" s="462"/>
      <c r="L160" s="508"/>
      <c r="M160" s="509"/>
      <c r="N160" s="346"/>
      <c r="O160" s="412"/>
      <c r="P160" s="413"/>
      <c r="Q160" s="464"/>
      <c r="R160" s="465">
        <f>IFERROR(VLOOKUP(1,'Data Validation'!$O$2:$P$25,2,FALSE),"")</f>
        <v>45906</v>
      </c>
      <c r="S160" s="465" t="str">
        <f>IFERROR(VLOOKUP($P160,'Data Validation'!$O$2:$P$25,2,FALSE),"")</f>
        <v/>
      </c>
      <c r="T160" s="419" t="e">
        <f ca="1">INDEX(INDIRECT(INDEX(ControlRoom[اجمالي الالتزام],MATCH(تفصيلي!Q160,Control!$B$2:$B$12,0))),MATCH(CONCATENATE(O160,P160),INDIRECT(INDEX(ControlRoom[المبلغ],MATCH(تفصيلي!Q160,ControlRoom[التمويل],0))),0))</f>
        <v>#N/A</v>
      </c>
      <c r="U160" s="419" t="e">
        <f ca="1">INDEX(INDIRECT(INDEX(ControlRoom[القسط الشهري],MATCH(تفصيلي!Q160,Control!$B$2:$B$12,0))),MATCH(CONCATENATE(O160,P160),INDIRECT(INDEX(ControlRoom[المبلغ],MATCH(تفصيلي!Q160,ControlRoom[التمويل],0))),0))</f>
        <v>#N/A</v>
      </c>
      <c r="V160" s="420" t="e">
        <f>INDEX(ControlRoom[[فائدة أ]:[فائدة ج]],MATCH(تفصيلي!Q160,ControlRoom[التمويل],0),MATCH(IF(AND(تفصيلي!O160&gt;=Control!$N$2,تفصيلي!O160&lt;=Control!$O$2),Control!$P$2,IF(AND(تفصيلي!O160&gt;=Control!$N$3,تفصيلي!O160&lt;=Control!$O$3),Control!$P$3,IF(AND(تفصيلي!O160&gt;=Control!$N$4,تفصيلي!O160&lt;=Control!$O$4),Control!$P$4,"Out Of Range"))),ControlRoom[[#Headers],[فائدة أ]:[فائدة ج]],0))</f>
        <v>#N/A</v>
      </c>
      <c r="W160" s="419"/>
      <c r="X160" s="466">
        <f t="shared" si="18"/>
        <v>0</v>
      </c>
      <c r="Y160" s="510"/>
      <c r="Z160" s="302">
        <f t="shared" si="19"/>
        <v>0</v>
      </c>
      <c r="AA160" s="166"/>
      <c r="AB160" s="167" t="s">
        <v>624</v>
      </c>
      <c r="AC160" s="167">
        <f t="shared" si="20"/>
        <v>0</v>
      </c>
      <c r="AD160" s="169">
        <f t="shared" si="21"/>
        <v>0</v>
      </c>
      <c r="AE160" s="511"/>
      <c r="AF160" s="303">
        <f t="shared" si="22"/>
        <v>0</v>
      </c>
      <c r="AG160" s="484"/>
      <c r="AH160" s="174" t="s">
        <v>624</v>
      </c>
      <c r="AI160" s="169">
        <f t="shared" si="23"/>
        <v>0</v>
      </c>
      <c r="AJ160" s="182"/>
      <c r="AK160" s="182"/>
      <c r="AL160" s="485"/>
      <c r="AM160" s="486"/>
      <c r="AN160" s="182"/>
      <c r="AO160" s="182"/>
      <c r="AP160" s="467"/>
      <c r="AQ160" s="512"/>
      <c r="AR160" s="512"/>
      <c r="AS160" s="512"/>
      <c r="AT160" s="512"/>
      <c r="AU160" s="512"/>
      <c r="AV160" s="513"/>
      <c r="AW160" s="513"/>
      <c r="AX160" s="473" t="str">
        <f t="shared" si="24"/>
        <v xml:space="preserve"> ,</v>
      </c>
      <c r="AY160" s="473" t="str">
        <f t="shared" si="25"/>
        <v xml:space="preserve"> / </v>
      </c>
      <c r="AZ160" s="474"/>
      <c r="BA160" s="475"/>
      <c r="BB160" s="474"/>
      <c r="BC160" s="514"/>
      <c r="BD160" s="475"/>
      <c r="BE160" s="514"/>
    </row>
    <row r="161" spans="1:57" s="515" customFormat="1" ht="21.6" customHeight="1">
      <c r="A161" s="341">
        <f t="shared" si="26"/>
        <v>156</v>
      </c>
      <c r="B161" s="516"/>
      <c r="C161" s="504"/>
      <c r="D161" s="505"/>
      <c r="E161" s="238"/>
      <c r="F161" s="461" t="s">
        <v>624</v>
      </c>
      <c r="G161" s="506"/>
      <c r="H161" s="507"/>
      <c r="I161" s="507"/>
      <c r="J161" s="508"/>
      <c r="K161" s="462"/>
      <c r="L161" s="508"/>
      <c r="M161" s="509"/>
      <c r="N161" s="346"/>
      <c r="O161" s="412"/>
      <c r="P161" s="413"/>
      <c r="Q161" s="464"/>
      <c r="R161" s="465">
        <f>IFERROR(VLOOKUP(1,'Data Validation'!$O$2:$P$25,2,FALSE),"")</f>
        <v>45906</v>
      </c>
      <c r="S161" s="465" t="str">
        <f>IFERROR(VLOOKUP($P161,'Data Validation'!$O$2:$P$25,2,FALSE),"")</f>
        <v/>
      </c>
      <c r="T161" s="419" t="e">
        <f ca="1">INDEX(INDIRECT(INDEX(ControlRoom[اجمالي الالتزام],MATCH(تفصيلي!Q161,Control!$B$2:$B$12,0))),MATCH(CONCATENATE(O161,P161),INDIRECT(INDEX(ControlRoom[المبلغ],MATCH(تفصيلي!Q161,ControlRoom[التمويل],0))),0))</f>
        <v>#N/A</v>
      </c>
      <c r="U161" s="419" t="e">
        <f ca="1">INDEX(INDIRECT(INDEX(ControlRoom[القسط الشهري],MATCH(تفصيلي!Q161,Control!$B$2:$B$12,0))),MATCH(CONCATENATE(O161,P161),INDIRECT(INDEX(ControlRoom[المبلغ],MATCH(تفصيلي!Q161,ControlRoom[التمويل],0))),0))</f>
        <v>#N/A</v>
      </c>
      <c r="V161" s="420" t="e">
        <f>INDEX(ControlRoom[[فائدة أ]:[فائدة ج]],MATCH(تفصيلي!Q161,ControlRoom[التمويل],0),MATCH(IF(AND(تفصيلي!O161&gt;=Control!$N$2,تفصيلي!O161&lt;=Control!$O$2),Control!$P$2,IF(AND(تفصيلي!O161&gt;=Control!$N$3,تفصيلي!O161&lt;=Control!$O$3),Control!$P$3,IF(AND(تفصيلي!O161&gt;=Control!$N$4,تفصيلي!O161&lt;=Control!$O$4),Control!$P$4,"Out Of Range"))),ControlRoom[[#Headers],[فائدة أ]:[فائدة ج]],0))</f>
        <v>#N/A</v>
      </c>
      <c r="W161" s="419"/>
      <c r="X161" s="466">
        <f t="shared" si="18"/>
        <v>0</v>
      </c>
      <c r="Y161" s="510"/>
      <c r="Z161" s="302">
        <f t="shared" si="19"/>
        <v>0</v>
      </c>
      <c r="AA161" s="166"/>
      <c r="AB161" s="167" t="s">
        <v>624</v>
      </c>
      <c r="AC161" s="167">
        <f t="shared" si="20"/>
        <v>0</v>
      </c>
      <c r="AD161" s="169">
        <f t="shared" si="21"/>
        <v>0</v>
      </c>
      <c r="AE161" s="511"/>
      <c r="AF161" s="303">
        <f t="shared" si="22"/>
        <v>0</v>
      </c>
      <c r="AG161" s="484"/>
      <c r="AH161" s="174" t="s">
        <v>624</v>
      </c>
      <c r="AI161" s="169">
        <f t="shared" si="23"/>
        <v>0</v>
      </c>
      <c r="AJ161" s="182"/>
      <c r="AK161" s="182"/>
      <c r="AL161" s="485"/>
      <c r="AM161" s="486"/>
      <c r="AN161" s="182"/>
      <c r="AO161" s="182"/>
      <c r="AP161" s="467"/>
      <c r="AQ161" s="512"/>
      <c r="AR161" s="512"/>
      <c r="AS161" s="512"/>
      <c r="AT161" s="512"/>
      <c r="AU161" s="512"/>
      <c r="AV161" s="513"/>
      <c r="AW161" s="513"/>
      <c r="AX161" s="473" t="str">
        <f t="shared" si="24"/>
        <v xml:space="preserve"> ,</v>
      </c>
      <c r="AY161" s="473" t="str">
        <f t="shared" si="25"/>
        <v xml:space="preserve"> / </v>
      </c>
      <c r="AZ161" s="474"/>
      <c r="BA161" s="475"/>
      <c r="BB161" s="474"/>
      <c r="BC161" s="514"/>
      <c r="BD161" s="475"/>
      <c r="BE161" s="514"/>
    </row>
    <row r="162" spans="1:57" s="515" customFormat="1" ht="21.6" customHeight="1">
      <c r="A162" s="341">
        <f t="shared" si="26"/>
        <v>157</v>
      </c>
      <c r="B162" s="516"/>
      <c r="C162" s="504"/>
      <c r="D162" s="505"/>
      <c r="E162" s="238"/>
      <c r="F162" s="461" t="s">
        <v>624</v>
      </c>
      <c r="G162" s="506"/>
      <c r="H162" s="507"/>
      <c r="I162" s="507"/>
      <c r="J162" s="508"/>
      <c r="K162" s="462"/>
      <c r="L162" s="508"/>
      <c r="M162" s="509"/>
      <c r="N162" s="346"/>
      <c r="O162" s="412"/>
      <c r="P162" s="413"/>
      <c r="Q162" s="464"/>
      <c r="R162" s="465">
        <f>IFERROR(VLOOKUP(1,'Data Validation'!$O$2:$P$25,2,FALSE),"")</f>
        <v>45906</v>
      </c>
      <c r="S162" s="465" t="str">
        <f>IFERROR(VLOOKUP($P162,'Data Validation'!$O$2:$P$25,2,FALSE),"")</f>
        <v/>
      </c>
      <c r="T162" s="419" t="e">
        <f ca="1">INDEX(INDIRECT(INDEX(ControlRoom[اجمالي الالتزام],MATCH(تفصيلي!Q162,Control!$B$2:$B$12,0))),MATCH(CONCATENATE(O162,P162),INDIRECT(INDEX(ControlRoom[المبلغ],MATCH(تفصيلي!Q162,ControlRoom[التمويل],0))),0))</f>
        <v>#N/A</v>
      </c>
      <c r="U162" s="419" t="e">
        <f ca="1">INDEX(INDIRECT(INDEX(ControlRoom[القسط الشهري],MATCH(تفصيلي!Q162,Control!$B$2:$B$12,0))),MATCH(CONCATENATE(O162,P162),INDIRECT(INDEX(ControlRoom[المبلغ],MATCH(تفصيلي!Q162,ControlRoom[التمويل],0))),0))</f>
        <v>#N/A</v>
      </c>
      <c r="V162" s="420" t="e">
        <f>INDEX(ControlRoom[[فائدة أ]:[فائدة ج]],MATCH(تفصيلي!Q162,ControlRoom[التمويل],0),MATCH(IF(AND(تفصيلي!O162&gt;=Control!$N$2,تفصيلي!O162&lt;=Control!$O$2),Control!$P$2,IF(AND(تفصيلي!O162&gt;=Control!$N$3,تفصيلي!O162&lt;=Control!$O$3),Control!$P$3,IF(AND(تفصيلي!O162&gt;=Control!$N$4,تفصيلي!O162&lt;=Control!$O$4),Control!$P$4,"Out Of Range"))),ControlRoom[[#Headers],[فائدة أ]:[فائدة ج]],0))</f>
        <v>#N/A</v>
      </c>
      <c r="W162" s="419"/>
      <c r="X162" s="466">
        <f t="shared" si="18"/>
        <v>0</v>
      </c>
      <c r="Y162" s="510"/>
      <c r="Z162" s="302">
        <f t="shared" si="19"/>
        <v>0</v>
      </c>
      <c r="AA162" s="166"/>
      <c r="AB162" s="167" t="s">
        <v>624</v>
      </c>
      <c r="AC162" s="167">
        <f t="shared" si="20"/>
        <v>0</v>
      </c>
      <c r="AD162" s="169">
        <f t="shared" si="21"/>
        <v>0</v>
      </c>
      <c r="AE162" s="511"/>
      <c r="AF162" s="303">
        <f t="shared" si="22"/>
        <v>0</v>
      </c>
      <c r="AG162" s="484"/>
      <c r="AH162" s="174" t="s">
        <v>624</v>
      </c>
      <c r="AI162" s="169">
        <f t="shared" si="23"/>
        <v>0</v>
      </c>
      <c r="AJ162" s="182"/>
      <c r="AK162" s="182"/>
      <c r="AL162" s="485"/>
      <c r="AM162" s="486"/>
      <c r="AN162" s="182"/>
      <c r="AO162" s="182"/>
      <c r="AP162" s="467"/>
      <c r="AQ162" s="512"/>
      <c r="AR162" s="512"/>
      <c r="AS162" s="512"/>
      <c r="AT162" s="512"/>
      <c r="AU162" s="512"/>
      <c r="AV162" s="513"/>
      <c r="AW162" s="513"/>
      <c r="AX162" s="473" t="str">
        <f t="shared" si="24"/>
        <v xml:space="preserve"> ,</v>
      </c>
      <c r="AY162" s="473" t="str">
        <f t="shared" si="25"/>
        <v xml:space="preserve"> / </v>
      </c>
      <c r="AZ162" s="474"/>
      <c r="BA162" s="475"/>
      <c r="BB162" s="474"/>
      <c r="BC162" s="514"/>
      <c r="BD162" s="475"/>
      <c r="BE162" s="514"/>
    </row>
    <row r="163" spans="1:57" s="515" customFormat="1" ht="21.6" customHeight="1">
      <c r="A163" s="341">
        <f t="shared" si="26"/>
        <v>158</v>
      </c>
      <c r="B163" s="516"/>
      <c r="C163" s="504"/>
      <c r="D163" s="505"/>
      <c r="E163" s="238"/>
      <c r="F163" s="461" t="s">
        <v>624</v>
      </c>
      <c r="G163" s="506"/>
      <c r="H163" s="507"/>
      <c r="I163" s="507"/>
      <c r="J163" s="508"/>
      <c r="K163" s="462"/>
      <c r="L163" s="508"/>
      <c r="M163" s="509"/>
      <c r="N163" s="346"/>
      <c r="O163" s="412"/>
      <c r="P163" s="413"/>
      <c r="Q163" s="464"/>
      <c r="R163" s="465">
        <f>IFERROR(VLOOKUP(1,'Data Validation'!$O$2:$P$25,2,FALSE),"")</f>
        <v>45906</v>
      </c>
      <c r="S163" s="465" t="str">
        <f>IFERROR(VLOOKUP($P163,'Data Validation'!$O$2:$P$25,2,FALSE),"")</f>
        <v/>
      </c>
      <c r="T163" s="419" t="e">
        <f ca="1">INDEX(INDIRECT(INDEX(ControlRoom[اجمالي الالتزام],MATCH(تفصيلي!Q163,Control!$B$2:$B$12,0))),MATCH(CONCATENATE(O163,P163),INDIRECT(INDEX(ControlRoom[المبلغ],MATCH(تفصيلي!Q163,ControlRoom[التمويل],0))),0))</f>
        <v>#N/A</v>
      </c>
      <c r="U163" s="419" t="e">
        <f ca="1">INDEX(INDIRECT(INDEX(ControlRoom[القسط الشهري],MATCH(تفصيلي!Q163,Control!$B$2:$B$12,0))),MATCH(CONCATENATE(O163,P163),INDIRECT(INDEX(ControlRoom[المبلغ],MATCH(تفصيلي!Q163,ControlRoom[التمويل],0))),0))</f>
        <v>#N/A</v>
      </c>
      <c r="V163" s="420" t="e">
        <f>INDEX(ControlRoom[[فائدة أ]:[فائدة ج]],MATCH(تفصيلي!Q163,ControlRoom[التمويل],0),MATCH(IF(AND(تفصيلي!O163&gt;=Control!$N$2,تفصيلي!O163&lt;=Control!$O$2),Control!$P$2,IF(AND(تفصيلي!O163&gt;=Control!$N$3,تفصيلي!O163&lt;=Control!$O$3),Control!$P$3,IF(AND(تفصيلي!O163&gt;=Control!$N$4,تفصيلي!O163&lt;=Control!$O$4),Control!$P$4,"Out Of Range"))),ControlRoom[[#Headers],[فائدة أ]:[فائدة ج]],0))</f>
        <v>#N/A</v>
      </c>
      <c r="W163" s="419"/>
      <c r="X163" s="466">
        <f t="shared" si="18"/>
        <v>0</v>
      </c>
      <c r="Y163" s="510"/>
      <c r="Z163" s="302">
        <f t="shared" si="19"/>
        <v>0</v>
      </c>
      <c r="AA163" s="166"/>
      <c r="AB163" s="167" t="s">
        <v>624</v>
      </c>
      <c r="AC163" s="167">
        <f t="shared" si="20"/>
        <v>0</v>
      </c>
      <c r="AD163" s="169">
        <f t="shared" si="21"/>
        <v>0</v>
      </c>
      <c r="AE163" s="511"/>
      <c r="AF163" s="303">
        <f t="shared" si="22"/>
        <v>0</v>
      </c>
      <c r="AG163" s="484"/>
      <c r="AH163" s="174" t="s">
        <v>624</v>
      </c>
      <c r="AI163" s="169">
        <f t="shared" si="23"/>
        <v>0</v>
      </c>
      <c r="AJ163" s="182"/>
      <c r="AK163" s="182"/>
      <c r="AL163" s="485"/>
      <c r="AM163" s="486"/>
      <c r="AN163" s="182"/>
      <c r="AO163" s="182"/>
      <c r="AP163" s="467"/>
      <c r="AQ163" s="512"/>
      <c r="AR163" s="512"/>
      <c r="AS163" s="512"/>
      <c r="AT163" s="512"/>
      <c r="AU163" s="512"/>
      <c r="AV163" s="513"/>
      <c r="AW163" s="513"/>
      <c r="AX163" s="473" t="str">
        <f t="shared" si="24"/>
        <v xml:space="preserve"> ,</v>
      </c>
      <c r="AY163" s="473" t="str">
        <f t="shared" si="25"/>
        <v xml:space="preserve"> / </v>
      </c>
      <c r="AZ163" s="474"/>
      <c r="BA163" s="475"/>
      <c r="BB163" s="474"/>
      <c r="BC163" s="514"/>
      <c r="BD163" s="475"/>
      <c r="BE163" s="514"/>
    </row>
    <row r="164" spans="1:57" s="515" customFormat="1" ht="21.6" customHeight="1">
      <c r="A164" s="341">
        <f t="shared" si="26"/>
        <v>159</v>
      </c>
      <c r="B164" s="516"/>
      <c r="C164" s="504"/>
      <c r="D164" s="505"/>
      <c r="E164" s="238"/>
      <c r="F164" s="461" t="s">
        <v>624</v>
      </c>
      <c r="G164" s="506"/>
      <c r="H164" s="507"/>
      <c r="I164" s="507"/>
      <c r="J164" s="508"/>
      <c r="K164" s="462"/>
      <c r="L164" s="508"/>
      <c r="M164" s="509"/>
      <c r="N164" s="346"/>
      <c r="O164" s="412"/>
      <c r="P164" s="413"/>
      <c r="Q164" s="464"/>
      <c r="R164" s="465">
        <f>IFERROR(VLOOKUP(1,'Data Validation'!$O$2:$P$25,2,FALSE),"")</f>
        <v>45906</v>
      </c>
      <c r="S164" s="465" t="str">
        <f>IFERROR(VLOOKUP($P164,'Data Validation'!$O$2:$P$25,2,FALSE),"")</f>
        <v/>
      </c>
      <c r="T164" s="419" t="e">
        <f ca="1">INDEX(INDIRECT(INDEX(ControlRoom[اجمالي الالتزام],MATCH(تفصيلي!Q164,Control!$B$2:$B$12,0))),MATCH(CONCATENATE(O164,P164),INDIRECT(INDEX(ControlRoom[المبلغ],MATCH(تفصيلي!Q164,ControlRoom[التمويل],0))),0))</f>
        <v>#N/A</v>
      </c>
      <c r="U164" s="419" t="e">
        <f ca="1">INDEX(INDIRECT(INDEX(ControlRoom[القسط الشهري],MATCH(تفصيلي!Q164,Control!$B$2:$B$12,0))),MATCH(CONCATENATE(O164,P164),INDIRECT(INDEX(ControlRoom[المبلغ],MATCH(تفصيلي!Q164,ControlRoom[التمويل],0))),0))</f>
        <v>#N/A</v>
      </c>
      <c r="V164" s="420" t="e">
        <f>INDEX(ControlRoom[[فائدة أ]:[فائدة ج]],MATCH(تفصيلي!Q164,ControlRoom[التمويل],0),MATCH(IF(AND(تفصيلي!O164&gt;=Control!$N$2,تفصيلي!O164&lt;=Control!$O$2),Control!$P$2,IF(AND(تفصيلي!O164&gt;=Control!$N$3,تفصيلي!O164&lt;=Control!$O$3),Control!$P$3,IF(AND(تفصيلي!O164&gt;=Control!$N$4,تفصيلي!O164&lt;=Control!$O$4),Control!$P$4,"Out Of Range"))),ControlRoom[[#Headers],[فائدة أ]:[فائدة ج]],0))</f>
        <v>#N/A</v>
      </c>
      <c r="W164" s="419"/>
      <c r="X164" s="466">
        <f t="shared" si="18"/>
        <v>0</v>
      </c>
      <c r="Y164" s="510"/>
      <c r="Z164" s="302">
        <f t="shared" si="19"/>
        <v>0</v>
      </c>
      <c r="AA164" s="166"/>
      <c r="AB164" s="167" t="s">
        <v>624</v>
      </c>
      <c r="AC164" s="167">
        <f t="shared" si="20"/>
        <v>0</v>
      </c>
      <c r="AD164" s="169">
        <f t="shared" si="21"/>
        <v>0</v>
      </c>
      <c r="AE164" s="511"/>
      <c r="AF164" s="303">
        <f t="shared" si="22"/>
        <v>0</v>
      </c>
      <c r="AG164" s="484"/>
      <c r="AH164" s="174" t="s">
        <v>624</v>
      </c>
      <c r="AI164" s="169">
        <f t="shared" si="23"/>
        <v>0</v>
      </c>
      <c r="AJ164" s="182"/>
      <c r="AK164" s="182"/>
      <c r="AL164" s="485"/>
      <c r="AM164" s="486"/>
      <c r="AN164" s="182"/>
      <c r="AO164" s="182"/>
      <c r="AP164" s="467"/>
      <c r="AQ164" s="512"/>
      <c r="AR164" s="512"/>
      <c r="AS164" s="512"/>
      <c r="AT164" s="512"/>
      <c r="AU164" s="512"/>
      <c r="AV164" s="513"/>
      <c r="AW164" s="513"/>
      <c r="AX164" s="473" t="str">
        <f t="shared" si="24"/>
        <v xml:space="preserve"> ,</v>
      </c>
      <c r="AY164" s="473" t="str">
        <f t="shared" si="25"/>
        <v xml:space="preserve"> / </v>
      </c>
      <c r="AZ164" s="474"/>
      <c r="BA164" s="475"/>
      <c r="BB164" s="474"/>
      <c r="BC164" s="514"/>
      <c r="BD164" s="475"/>
      <c r="BE164" s="514"/>
    </row>
    <row r="165" spans="1:57" s="515" customFormat="1" ht="21.6" customHeight="1">
      <c r="A165" s="341">
        <f t="shared" si="26"/>
        <v>160</v>
      </c>
      <c r="B165" s="516"/>
      <c r="C165" s="504"/>
      <c r="D165" s="505"/>
      <c r="E165" s="238"/>
      <c r="F165" s="461" t="s">
        <v>624</v>
      </c>
      <c r="G165" s="506"/>
      <c r="H165" s="507"/>
      <c r="I165" s="507"/>
      <c r="J165" s="508"/>
      <c r="K165" s="462"/>
      <c r="L165" s="508"/>
      <c r="M165" s="509"/>
      <c r="N165" s="346"/>
      <c r="O165" s="412"/>
      <c r="P165" s="413"/>
      <c r="Q165" s="464"/>
      <c r="R165" s="465">
        <f>IFERROR(VLOOKUP(1,'Data Validation'!$O$2:$P$25,2,FALSE),"")</f>
        <v>45906</v>
      </c>
      <c r="S165" s="465" t="str">
        <f>IFERROR(VLOOKUP($P165,'Data Validation'!$O$2:$P$25,2,FALSE),"")</f>
        <v/>
      </c>
      <c r="T165" s="419" t="e">
        <f ca="1">INDEX(INDIRECT(INDEX(ControlRoom[اجمالي الالتزام],MATCH(تفصيلي!Q165,Control!$B$2:$B$12,0))),MATCH(CONCATENATE(O165,P165),INDIRECT(INDEX(ControlRoom[المبلغ],MATCH(تفصيلي!Q165,ControlRoom[التمويل],0))),0))</f>
        <v>#N/A</v>
      </c>
      <c r="U165" s="419" t="e">
        <f ca="1">INDEX(INDIRECT(INDEX(ControlRoom[القسط الشهري],MATCH(تفصيلي!Q165,Control!$B$2:$B$12,0))),MATCH(CONCATENATE(O165,P165),INDIRECT(INDEX(ControlRoom[المبلغ],MATCH(تفصيلي!Q165,ControlRoom[التمويل],0))),0))</f>
        <v>#N/A</v>
      </c>
      <c r="V165" s="420" t="e">
        <f>INDEX(ControlRoom[[فائدة أ]:[فائدة ج]],MATCH(تفصيلي!Q165,ControlRoom[التمويل],0),MATCH(IF(AND(تفصيلي!O165&gt;=Control!$N$2,تفصيلي!O165&lt;=Control!$O$2),Control!$P$2,IF(AND(تفصيلي!O165&gt;=Control!$N$3,تفصيلي!O165&lt;=Control!$O$3),Control!$P$3,IF(AND(تفصيلي!O165&gt;=Control!$N$4,تفصيلي!O165&lt;=Control!$O$4),Control!$P$4,"Out Of Range"))),ControlRoom[[#Headers],[فائدة أ]:[فائدة ج]],0))</f>
        <v>#N/A</v>
      </c>
      <c r="W165" s="419"/>
      <c r="X165" s="466">
        <f t="shared" si="18"/>
        <v>0</v>
      </c>
      <c r="Y165" s="510"/>
      <c r="Z165" s="302">
        <f t="shared" si="19"/>
        <v>0</v>
      </c>
      <c r="AA165" s="166"/>
      <c r="AB165" s="167" t="s">
        <v>624</v>
      </c>
      <c r="AC165" s="167">
        <f t="shared" si="20"/>
        <v>0</v>
      </c>
      <c r="AD165" s="169">
        <f t="shared" si="21"/>
        <v>0</v>
      </c>
      <c r="AE165" s="511"/>
      <c r="AF165" s="303">
        <f t="shared" si="22"/>
        <v>0</v>
      </c>
      <c r="AG165" s="484"/>
      <c r="AH165" s="174" t="s">
        <v>624</v>
      </c>
      <c r="AI165" s="169">
        <f t="shared" si="23"/>
        <v>0</v>
      </c>
      <c r="AJ165" s="182"/>
      <c r="AK165" s="182"/>
      <c r="AL165" s="485"/>
      <c r="AM165" s="486"/>
      <c r="AN165" s="182"/>
      <c r="AO165" s="182"/>
      <c r="AP165" s="467"/>
      <c r="AQ165" s="512"/>
      <c r="AR165" s="512"/>
      <c r="AS165" s="512"/>
      <c r="AT165" s="512"/>
      <c r="AU165" s="512"/>
      <c r="AV165" s="513"/>
      <c r="AW165" s="513"/>
      <c r="AX165" s="473" t="str">
        <f t="shared" si="24"/>
        <v xml:space="preserve"> ,</v>
      </c>
      <c r="AY165" s="473" t="str">
        <f t="shared" si="25"/>
        <v xml:space="preserve"> / </v>
      </c>
      <c r="AZ165" s="474"/>
      <c r="BA165" s="475"/>
      <c r="BB165" s="474"/>
      <c r="BC165" s="514"/>
      <c r="BD165" s="475"/>
      <c r="BE165" s="514"/>
    </row>
    <row r="166" spans="1:57" s="476" customFormat="1" ht="21.6" customHeight="1">
      <c r="A166" s="341">
        <f t="shared" si="26"/>
        <v>161</v>
      </c>
      <c r="B166" s="517"/>
      <c r="C166" s="518"/>
      <c r="D166" s="519"/>
      <c r="E166" s="520"/>
      <c r="F166" s="461" t="s">
        <v>624</v>
      </c>
      <c r="G166" s="521"/>
      <c r="H166" s="522"/>
      <c r="I166" s="178"/>
      <c r="J166" s="490"/>
      <c r="K166" s="462"/>
      <c r="L166" s="490"/>
      <c r="M166" s="347"/>
      <c r="N166" s="490"/>
      <c r="O166" s="412"/>
      <c r="P166" s="413"/>
      <c r="Q166" s="464"/>
      <c r="R166" s="465">
        <f>IFERROR(VLOOKUP(1,'Data Validation'!$O$2:$P$25,2,FALSE),"")</f>
        <v>45906</v>
      </c>
      <c r="S166" s="465" t="str">
        <f>IFERROR(VLOOKUP($P166,'Data Validation'!$O$2:$P$25,2,FALSE),"")</f>
        <v/>
      </c>
      <c r="T166" s="419" t="e">
        <f ca="1">INDEX(INDIRECT(INDEX(ControlRoom[اجمالي الالتزام],MATCH(تفصيلي!Q166,Control!$B$2:$B$12,0))),MATCH(CONCATENATE(O166,P166),INDIRECT(INDEX(ControlRoom[المبلغ],MATCH(تفصيلي!Q166,ControlRoom[التمويل],0))),0))</f>
        <v>#N/A</v>
      </c>
      <c r="U166" s="419" t="e">
        <f ca="1">INDEX(INDIRECT(INDEX(ControlRoom[القسط الشهري],MATCH(تفصيلي!Q166,Control!$B$2:$B$12,0))),MATCH(CONCATENATE(O166,P166),INDIRECT(INDEX(ControlRoom[المبلغ],MATCH(تفصيلي!Q166,ControlRoom[التمويل],0))),0))</f>
        <v>#N/A</v>
      </c>
      <c r="V166" s="420" t="e">
        <f>INDEX(ControlRoom[[فائدة أ]:[فائدة ج]],MATCH(تفصيلي!Q166,ControlRoom[التمويل],0),MATCH(IF(AND(تفصيلي!O166&gt;=Control!$N$2,تفصيلي!O166&lt;=Control!$O$2),Control!$P$2,IF(AND(تفصيلي!O166&gt;=Control!$N$3,تفصيلي!O166&lt;=Control!$O$3),Control!$P$3,IF(AND(تفصيلي!O166&gt;=Control!$N$4,تفصيلي!O166&lt;=Control!$O$4),Control!$P$4,"Out Of Range"))),ControlRoom[[#Headers],[فائدة أ]:[فائدة ج]],0))</f>
        <v>#N/A</v>
      </c>
      <c r="W166" s="419"/>
      <c r="X166" s="466">
        <f t="shared" si="18"/>
        <v>0</v>
      </c>
      <c r="Y166" s="491"/>
      <c r="Z166" s="302">
        <f t="shared" si="19"/>
        <v>0</v>
      </c>
      <c r="AA166" s="183"/>
      <c r="AB166" s="167" t="s">
        <v>624</v>
      </c>
      <c r="AC166" s="167">
        <f t="shared" si="20"/>
        <v>0</v>
      </c>
      <c r="AD166" s="169">
        <f t="shared" si="21"/>
        <v>0</v>
      </c>
      <c r="AE166" s="492"/>
      <c r="AF166" s="303">
        <f t="shared" si="22"/>
        <v>0</v>
      </c>
      <c r="AG166" s="523"/>
      <c r="AH166" s="174" t="s">
        <v>624</v>
      </c>
      <c r="AI166" s="169">
        <f t="shared" si="23"/>
        <v>0</v>
      </c>
      <c r="AJ166" s="180"/>
      <c r="AK166" s="180"/>
      <c r="AL166" s="524"/>
      <c r="AM166" s="525"/>
      <c r="AN166" s="180"/>
      <c r="AO166" s="180"/>
      <c r="AP166" s="467"/>
      <c r="AQ166" s="469"/>
      <c r="AR166" s="469"/>
      <c r="AS166" s="469"/>
      <c r="AT166" s="469"/>
      <c r="AU166" s="469"/>
      <c r="AV166" s="472"/>
      <c r="AW166" s="472"/>
      <c r="AX166" s="473" t="str">
        <f t="shared" si="24"/>
        <v xml:space="preserve"> ,</v>
      </c>
      <c r="AY166" s="473" t="str">
        <f t="shared" si="25"/>
        <v xml:space="preserve"> / </v>
      </c>
      <c r="AZ166" s="474"/>
      <c r="BA166" s="475"/>
      <c r="BB166" s="474"/>
      <c r="BC166" s="474"/>
      <c r="BD166" s="475"/>
      <c r="BE166" s="474"/>
    </row>
    <row r="167" spans="1:57" s="527" customFormat="1" ht="21.6" customHeight="1">
      <c r="A167" s="341">
        <f t="shared" si="26"/>
        <v>162</v>
      </c>
      <c r="B167" s="479"/>
      <c r="C167" s="477"/>
      <c r="D167" s="342"/>
      <c r="E167" s="482"/>
      <c r="F167" s="461" t="s">
        <v>624</v>
      </c>
      <c r="G167" s="344"/>
      <c r="H167" s="184"/>
      <c r="I167" s="176"/>
      <c r="J167" s="346"/>
      <c r="K167" s="462"/>
      <c r="L167" s="346"/>
      <c r="M167" s="463"/>
      <c r="N167" s="346"/>
      <c r="O167" s="412"/>
      <c r="P167" s="413"/>
      <c r="Q167" s="464"/>
      <c r="R167" s="465">
        <f>IFERROR(VLOOKUP(1,'Data Validation'!$O$2:$P$25,2,FALSE),"")</f>
        <v>45906</v>
      </c>
      <c r="S167" s="465" t="str">
        <f>IFERROR(VLOOKUP($P167,'Data Validation'!$O$2:$P$25,2,FALSE),"")</f>
        <v/>
      </c>
      <c r="T167" s="419" t="e">
        <f ca="1">INDEX(INDIRECT(INDEX(ControlRoom[اجمالي الالتزام],MATCH(تفصيلي!Q167,Control!$B$2:$B$12,0))),MATCH(CONCATENATE(O167,P167),INDIRECT(INDEX(ControlRoom[المبلغ],MATCH(تفصيلي!Q167,ControlRoom[التمويل],0))),0))</f>
        <v>#N/A</v>
      </c>
      <c r="U167" s="419" t="e">
        <f ca="1">INDEX(INDIRECT(INDEX(ControlRoom[القسط الشهري],MATCH(تفصيلي!Q167,Control!$B$2:$B$12,0))),MATCH(CONCATENATE(O167,P167),INDIRECT(INDEX(ControlRoom[المبلغ],MATCH(تفصيلي!Q167,ControlRoom[التمويل],0))),0))</f>
        <v>#N/A</v>
      </c>
      <c r="V167" s="420" t="e">
        <f>INDEX(ControlRoom[[فائدة أ]:[فائدة ج]],MATCH(تفصيلي!Q167,ControlRoom[التمويل],0),MATCH(IF(AND(تفصيلي!O167&gt;=Control!$N$2,تفصيلي!O167&lt;=Control!$O$2),Control!$P$2,IF(AND(تفصيلي!O167&gt;=Control!$N$3,تفصيلي!O167&lt;=Control!$O$3),Control!$P$3,IF(AND(تفصيلي!O167&gt;=Control!$N$4,تفصيلي!O167&lt;=Control!$O$4),Control!$P$4,"Out Of Range"))),ControlRoom[[#Headers],[فائدة أ]:[فائدة ج]],0))</f>
        <v>#N/A</v>
      </c>
      <c r="W167" s="419"/>
      <c r="X167" s="466">
        <f t="shared" si="18"/>
        <v>0</v>
      </c>
      <c r="Y167" s="167"/>
      <c r="Z167" s="302">
        <f t="shared" si="19"/>
        <v>0</v>
      </c>
      <c r="AA167" s="166"/>
      <c r="AB167" s="167" t="s">
        <v>624</v>
      </c>
      <c r="AC167" s="167">
        <f t="shared" si="20"/>
        <v>0</v>
      </c>
      <c r="AD167" s="169">
        <f t="shared" si="21"/>
        <v>0</v>
      </c>
      <c r="AE167" s="174"/>
      <c r="AF167" s="303">
        <f t="shared" si="22"/>
        <v>0</v>
      </c>
      <c r="AG167" s="484"/>
      <c r="AH167" s="174" t="s">
        <v>624</v>
      </c>
      <c r="AI167" s="169">
        <f t="shared" si="23"/>
        <v>0</v>
      </c>
      <c r="AJ167" s="175"/>
      <c r="AK167" s="175"/>
      <c r="AL167" s="485"/>
      <c r="AM167" s="486"/>
      <c r="AN167" s="175"/>
      <c r="AO167" s="175"/>
      <c r="AP167" s="467"/>
      <c r="AQ167" s="488"/>
      <c r="AR167" s="488"/>
      <c r="AS167" s="488"/>
      <c r="AT167" s="488"/>
      <c r="AU167" s="488"/>
      <c r="AV167" s="480"/>
      <c r="AW167" s="480"/>
      <c r="AX167" s="473" t="str">
        <f t="shared" si="24"/>
        <v xml:space="preserve"> ,</v>
      </c>
      <c r="AY167" s="473" t="str">
        <f t="shared" si="25"/>
        <v xml:space="preserve"> / </v>
      </c>
      <c r="AZ167" s="474"/>
      <c r="BA167" s="475"/>
      <c r="BB167" s="474"/>
      <c r="BC167" s="526"/>
      <c r="BD167" s="475"/>
      <c r="BE167" s="526"/>
    </row>
    <row r="168" spans="1:57" s="527" customFormat="1" ht="21.6" customHeight="1">
      <c r="A168" s="341">
        <f t="shared" si="26"/>
        <v>163</v>
      </c>
      <c r="B168" s="479"/>
      <c r="C168" s="477"/>
      <c r="D168" s="342"/>
      <c r="E168" s="482"/>
      <c r="F168" s="461" t="s">
        <v>624</v>
      </c>
      <c r="G168" s="344"/>
      <c r="H168" s="184"/>
      <c r="I168" s="176"/>
      <c r="J168" s="346"/>
      <c r="K168" s="462"/>
      <c r="L168" s="346"/>
      <c r="M168" s="463"/>
      <c r="N168" s="346"/>
      <c r="O168" s="412"/>
      <c r="P168" s="413"/>
      <c r="Q168" s="464"/>
      <c r="R168" s="465">
        <f>IFERROR(VLOOKUP(1,'Data Validation'!$O$2:$P$25,2,FALSE),"")</f>
        <v>45906</v>
      </c>
      <c r="S168" s="465" t="str">
        <f>IFERROR(VLOOKUP($P168,'Data Validation'!$O$2:$P$25,2,FALSE),"")</f>
        <v/>
      </c>
      <c r="T168" s="419" t="e">
        <f ca="1">INDEX(INDIRECT(INDEX(ControlRoom[اجمالي الالتزام],MATCH(تفصيلي!Q168,Control!$B$2:$B$12,0))),MATCH(CONCATENATE(O168,P168),INDIRECT(INDEX(ControlRoom[المبلغ],MATCH(تفصيلي!Q168,ControlRoom[التمويل],0))),0))</f>
        <v>#N/A</v>
      </c>
      <c r="U168" s="419" t="e">
        <f ca="1">INDEX(INDIRECT(INDEX(ControlRoom[القسط الشهري],MATCH(تفصيلي!Q168,Control!$B$2:$B$12,0))),MATCH(CONCATENATE(O168,P168),INDIRECT(INDEX(ControlRoom[المبلغ],MATCH(تفصيلي!Q168,ControlRoom[التمويل],0))),0))</f>
        <v>#N/A</v>
      </c>
      <c r="V168" s="420" t="e">
        <f>INDEX(ControlRoom[[فائدة أ]:[فائدة ج]],MATCH(تفصيلي!Q168,ControlRoom[التمويل],0),MATCH(IF(AND(تفصيلي!O168&gt;=Control!$N$2,تفصيلي!O168&lt;=Control!$O$2),Control!$P$2,IF(AND(تفصيلي!O168&gt;=Control!$N$3,تفصيلي!O168&lt;=Control!$O$3),Control!$P$3,IF(AND(تفصيلي!O168&gt;=Control!$N$4,تفصيلي!O168&lt;=Control!$O$4),Control!$P$4,"Out Of Range"))),ControlRoom[[#Headers],[فائدة أ]:[فائدة ج]],0))</f>
        <v>#N/A</v>
      </c>
      <c r="W168" s="419"/>
      <c r="X168" s="466">
        <f t="shared" si="18"/>
        <v>0</v>
      </c>
      <c r="Y168" s="167"/>
      <c r="Z168" s="302">
        <f t="shared" si="19"/>
        <v>0</v>
      </c>
      <c r="AA168" s="166"/>
      <c r="AB168" s="167" t="s">
        <v>624</v>
      </c>
      <c r="AC168" s="167">
        <f t="shared" si="20"/>
        <v>0</v>
      </c>
      <c r="AD168" s="169">
        <f t="shared" si="21"/>
        <v>0</v>
      </c>
      <c r="AE168" s="174"/>
      <c r="AF168" s="303">
        <f t="shared" si="22"/>
        <v>0</v>
      </c>
      <c r="AG168" s="484"/>
      <c r="AH168" s="174" t="s">
        <v>624</v>
      </c>
      <c r="AI168" s="169">
        <f t="shared" si="23"/>
        <v>0</v>
      </c>
      <c r="AJ168" s="175"/>
      <c r="AK168" s="175"/>
      <c r="AL168" s="485"/>
      <c r="AM168" s="486"/>
      <c r="AN168" s="175"/>
      <c r="AO168" s="175"/>
      <c r="AP168" s="467"/>
      <c r="AQ168" s="488"/>
      <c r="AR168" s="488"/>
      <c r="AS168" s="488"/>
      <c r="AT168" s="488"/>
      <c r="AU168" s="488"/>
      <c r="AV168" s="480"/>
      <c r="AW168" s="480"/>
      <c r="AX168" s="473" t="str">
        <f t="shared" si="24"/>
        <v xml:space="preserve"> ,</v>
      </c>
      <c r="AY168" s="473" t="str">
        <f t="shared" si="25"/>
        <v xml:space="preserve"> / </v>
      </c>
      <c r="AZ168" s="474"/>
      <c r="BA168" s="475"/>
      <c r="BB168" s="474"/>
      <c r="BC168" s="526"/>
      <c r="BD168" s="475"/>
      <c r="BE168" s="526"/>
    </row>
    <row r="169" spans="1:57" s="527" customFormat="1" ht="21.6" customHeight="1">
      <c r="A169" s="341">
        <f t="shared" si="26"/>
        <v>164</v>
      </c>
      <c r="B169" s="479"/>
      <c r="C169" s="477"/>
      <c r="D169" s="342"/>
      <c r="E169" s="482"/>
      <c r="F169" s="461" t="s">
        <v>624</v>
      </c>
      <c r="G169" s="344"/>
      <c r="H169" s="184"/>
      <c r="I169" s="176"/>
      <c r="J169" s="346"/>
      <c r="K169" s="462"/>
      <c r="L169" s="346"/>
      <c r="M169" s="463"/>
      <c r="N169" s="346"/>
      <c r="O169" s="412"/>
      <c r="P169" s="413"/>
      <c r="Q169" s="464"/>
      <c r="R169" s="465">
        <f>IFERROR(VLOOKUP(1,'Data Validation'!$O$2:$P$25,2,FALSE),"")</f>
        <v>45906</v>
      </c>
      <c r="S169" s="465" t="str">
        <f>IFERROR(VLOOKUP($P169,'Data Validation'!$O$2:$P$25,2,FALSE),"")</f>
        <v/>
      </c>
      <c r="T169" s="419" t="e">
        <f ca="1">INDEX(INDIRECT(INDEX(ControlRoom[اجمالي الالتزام],MATCH(تفصيلي!Q169,Control!$B$2:$B$12,0))),MATCH(CONCATENATE(O169,P169),INDIRECT(INDEX(ControlRoom[المبلغ],MATCH(تفصيلي!Q169,ControlRoom[التمويل],0))),0))</f>
        <v>#N/A</v>
      </c>
      <c r="U169" s="419" t="e">
        <f ca="1">INDEX(INDIRECT(INDEX(ControlRoom[القسط الشهري],MATCH(تفصيلي!Q169,Control!$B$2:$B$12,0))),MATCH(CONCATENATE(O169,P169),INDIRECT(INDEX(ControlRoom[المبلغ],MATCH(تفصيلي!Q169,ControlRoom[التمويل],0))),0))</f>
        <v>#N/A</v>
      </c>
      <c r="V169" s="420" t="e">
        <f>INDEX(ControlRoom[[فائدة أ]:[فائدة ج]],MATCH(تفصيلي!Q169,ControlRoom[التمويل],0),MATCH(IF(AND(تفصيلي!O169&gt;=Control!$N$2,تفصيلي!O169&lt;=Control!$O$2),Control!$P$2,IF(AND(تفصيلي!O169&gt;=Control!$N$3,تفصيلي!O169&lt;=Control!$O$3),Control!$P$3,IF(AND(تفصيلي!O169&gt;=Control!$N$4,تفصيلي!O169&lt;=Control!$O$4),Control!$P$4,"Out Of Range"))),ControlRoom[[#Headers],[فائدة أ]:[فائدة ج]],0))</f>
        <v>#N/A</v>
      </c>
      <c r="W169" s="419"/>
      <c r="X169" s="466">
        <f t="shared" si="18"/>
        <v>0</v>
      </c>
      <c r="Y169" s="167"/>
      <c r="Z169" s="302">
        <f t="shared" si="19"/>
        <v>0</v>
      </c>
      <c r="AA169" s="166"/>
      <c r="AB169" s="167" t="s">
        <v>624</v>
      </c>
      <c r="AC169" s="167">
        <f t="shared" si="20"/>
        <v>0</v>
      </c>
      <c r="AD169" s="169">
        <f t="shared" si="21"/>
        <v>0</v>
      </c>
      <c r="AE169" s="174"/>
      <c r="AF169" s="303">
        <f t="shared" si="22"/>
        <v>0</v>
      </c>
      <c r="AG169" s="484"/>
      <c r="AH169" s="174" t="s">
        <v>624</v>
      </c>
      <c r="AI169" s="169">
        <f t="shared" si="23"/>
        <v>0</v>
      </c>
      <c r="AJ169" s="175"/>
      <c r="AK169" s="175"/>
      <c r="AL169" s="485"/>
      <c r="AM169" s="486"/>
      <c r="AN169" s="175"/>
      <c r="AO169" s="175"/>
      <c r="AP169" s="467"/>
      <c r="AQ169" s="488"/>
      <c r="AR169" s="488"/>
      <c r="AS169" s="488"/>
      <c r="AT169" s="488"/>
      <c r="AU169" s="488"/>
      <c r="AV169" s="480"/>
      <c r="AW169" s="480"/>
      <c r="AX169" s="473" t="str">
        <f t="shared" si="24"/>
        <v xml:space="preserve"> ,</v>
      </c>
      <c r="AY169" s="473" t="str">
        <f t="shared" si="25"/>
        <v xml:space="preserve"> / </v>
      </c>
      <c r="AZ169" s="474"/>
      <c r="BA169" s="475"/>
      <c r="BB169" s="474"/>
      <c r="BC169" s="526"/>
      <c r="BD169" s="475"/>
      <c r="BE169" s="526"/>
    </row>
    <row r="170" spans="1:57" s="527" customFormat="1" ht="21.6" customHeight="1">
      <c r="A170" s="341">
        <f t="shared" si="26"/>
        <v>165</v>
      </c>
      <c r="B170" s="479"/>
      <c r="C170" s="477"/>
      <c r="D170" s="342"/>
      <c r="E170" s="482"/>
      <c r="F170" s="461" t="s">
        <v>624</v>
      </c>
      <c r="G170" s="344"/>
      <c r="H170" s="184"/>
      <c r="I170" s="176"/>
      <c r="J170" s="346"/>
      <c r="K170" s="462"/>
      <c r="L170" s="346"/>
      <c r="M170" s="463"/>
      <c r="N170" s="346"/>
      <c r="O170" s="412"/>
      <c r="P170" s="413"/>
      <c r="Q170" s="464"/>
      <c r="R170" s="465">
        <f>IFERROR(VLOOKUP(1,'Data Validation'!$O$2:$P$25,2,FALSE),"")</f>
        <v>45906</v>
      </c>
      <c r="S170" s="465" t="str">
        <f>IFERROR(VLOOKUP($P170,'Data Validation'!$O$2:$P$25,2,FALSE),"")</f>
        <v/>
      </c>
      <c r="T170" s="419" t="e">
        <f ca="1">INDEX(INDIRECT(INDEX(ControlRoom[اجمالي الالتزام],MATCH(تفصيلي!Q170,Control!$B$2:$B$12,0))),MATCH(CONCATENATE(O170,P170),INDIRECT(INDEX(ControlRoom[المبلغ],MATCH(تفصيلي!Q170,ControlRoom[التمويل],0))),0))</f>
        <v>#N/A</v>
      </c>
      <c r="U170" s="419" t="e">
        <f ca="1">INDEX(INDIRECT(INDEX(ControlRoom[القسط الشهري],MATCH(تفصيلي!Q170,Control!$B$2:$B$12,0))),MATCH(CONCATENATE(O170,P170),INDIRECT(INDEX(ControlRoom[المبلغ],MATCH(تفصيلي!Q170,ControlRoom[التمويل],0))),0))</f>
        <v>#N/A</v>
      </c>
      <c r="V170" s="420" t="e">
        <f>INDEX(ControlRoom[[فائدة أ]:[فائدة ج]],MATCH(تفصيلي!Q170,ControlRoom[التمويل],0),MATCH(IF(AND(تفصيلي!O170&gt;=Control!$N$2,تفصيلي!O170&lt;=Control!$O$2),Control!$P$2,IF(AND(تفصيلي!O170&gt;=Control!$N$3,تفصيلي!O170&lt;=Control!$O$3),Control!$P$3,IF(AND(تفصيلي!O170&gt;=Control!$N$4,تفصيلي!O170&lt;=Control!$O$4),Control!$P$4,"Out Of Range"))),ControlRoom[[#Headers],[فائدة أ]:[فائدة ج]],0))</f>
        <v>#N/A</v>
      </c>
      <c r="W170" s="419"/>
      <c r="X170" s="466">
        <f t="shared" si="18"/>
        <v>0</v>
      </c>
      <c r="Y170" s="167"/>
      <c r="Z170" s="302">
        <f t="shared" si="19"/>
        <v>0</v>
      </c>
      <c r="AA170" s="166"/>
      <c r="AB170" s="167" t="s">
        <v>624</v>
      </c>
      <c r="AC170" s="167">
        <f t="shared" si="20"/>
        <v>0</v>
      </c>
      <c r="AD170" s="169">
        <f t="shared" si="21"/>
        <v>0</v>
      </c>
      <c r="AE170" s="174"/>
      <c r="AF170" s="303">
        <f t="shared" si="22"/>
        <v>0</v>
      </c>
      <c r="AG170" s="484"/>
      <c r="AH170" s="174" t="s">
        <v>624</v>
      </c>
      <c r="AI170" s="169">
        <f t="shared" si="23"/>
        <v>0</v>
      </c>
      <c r="AJ170" s="175"/>
      <c r="AK170" s="175"/>
      <c r="AL170" s="485"/>
      <c r="AM170" s="486"/>
      <c r="AN170" s="175"/>
      <c r="AO170" s="175"/>
      <c r="AP170" s="467"/>
      <c r="AQ170" s="488"/>
      <c r="AR170" s="488"/>
      <c r="AS170" s="488"/>
      <c r="AT170" s="488"/>
      <c r="AU170" s="488"/>
      <c r="AV170" s="480"/>
      <c r="AW170" s="480"/>
      <c r="AX170" s="473" t="str">
        <f t="shared" si="24"/>
        <v xml:space="preserve"> ,</v>
      </c>
      <c r="AY170" s="473" t="str">
        <f t="shared" si="25"/>
        <v xml:space="preserve"> / </v>
      </c>
      <c r="AZ170" s="474"/>
      <c r="BA170" s="475"/>
      <c r="BB170" s="474"/>
      <c r="BC170" s="526"/>
      <c r="BD170" s="475"/>
      <c r="BE170" s="526"/>
    </row>
    <row r="171" spans="1:57" s="527" customFormat="1" ht="21.6" customHeight="1">
      <c r="A171" s="341">
        <f t="shared" si="26"/>
        <v>166</v>
      </c>
      <c r="B171" s="479"/>
      <c r="C171" s="477"/>
      <c r="D171" s="342"/>
      <c r="E171" s="482"/>
      <c r="F171" s="461" t="s">
        <v>624</v>
      </c>
      <c r="G171" s="344"/>
      <c r="H171" s="184"/>
      <c r="I171" s="176"/>
      <c r="J171" s="346"/>
      <c r="K171" s="462"/>
      <c r="L171" s="346"/>
      <c r="M171" s="463"/>
      <c r="N171" s="346"/>
      <c r="O171" s="412"/>
      <c r="P171" s="413"/>
      <c r="Q171" s="464"/>
      <c r="R171" s="465">
        <f>IFERROR(VLOOKUP(1,'Data Validation'!$O$2:$P$25,2,FALSE),"")</f>
        <v>45906</v>
      </c>
      <c r="S171" s="465" t="str">
        <f>IFERROR(VLOOKUP($P171,'Data Validation'!$O$2:$P$25,2,FALSE),"")</f>
        <v/>
      </c>
      <c r="T171" s="419" t="e">
        <f ca="1">INDEX(INDIRECT(INDEX(ControlRoom[اجمالي الالتزام],MATCH(تفصيلي!Q171,Control!$B$2:$B$12,0))),MATCH(CONCATENATE(O171,P171),INDIRECT(INDEX(ControlRoom[المبلغ],MATCH(تفصيلي!Q171,ControlRoom[التمويل],0))),0))</f>
        <v>#N/A</v>
      </c>
      <c r="U171" s="419" t="e">
        <f ca="1">INDEX(INDIRECT(INDEX(ControlRoom[القسط الشهري],MATCH(تفصيلي!Q171,Control!$B$2:$B$12,0))),MATCH(CONCATENATE(O171,P171),INDIRECT(INDEX(ControlRoom[المبلغ],MATCH(تفصيلي!Q171,ControlRoom[التمويل],0))),0))</f>
        <v>#N/A</v>
      </c>
      <c r="V171" s="420" t="e">
        <f>INDEX(ControlRoom[[فائدة أ]:[فائدة ج]],MATCH(تفصيلي!Q171,ControlRoom[التمويل],0),MATCH(IF(AND(تفصيلي!O171&gt;=Control!$N$2,تفصيلي!O171&lt;=Control!$O$2),Control!$P$2,IF(AND(تفصيلي!O171&gt;=Control!$N$3,تفصيلي!O171&lt;=Control!$O$3),Control!$P$3,IF(AND(تفصيلي!O171&gt;=Control!$N$4,تفصيلي!O171&lt;=Control!$O$4),Control!$P$4,"Out Of Range"))),ControlRoom[[#Headers],[فائدة أ]:[فائدة ج]],0))</f>
        <v>#N/A</v>
      </c>
      <c r="W171" s="419"/>
      <c r="X171" s="466">
        <f t="shared" si="18"/>
        <v>0</v>
      </c>
      <c r="Y171" s="167"/>
      <c r="Z171" s="302">
        <f t="shared" si="19"/>
        <v>0</v>
      </c>
      <c r="AA171" s="166"/>
      <c r="AB171" s="167" t="s">
        <v>624</v>
      </c>
      <c r="AC171" s="167">
        <f t="shared" si="20"/>
        <v>0</v>
      </c>
      <c r="AD171" s="169">
        <f t="shared" si="21"/>
        <v>0</v>
      </c>
      <c r="AE171" s="174"/>
      <c r="AF171" s="303">
        <f t="shared" si="22"/>
        <v>0</v>
      </c>
      <c r="AG171" s="484"/>
      <c r="AH171" s="174" t="s">
        <v>624</v>
      </c>
      <c r="AI171" s="169">
        <f t="shared" si="23"/>
        <v>0</v>
      </c>
      <c r="AJ171" s="175"/>
      <c r="AK171" s="175"/>
      <c r="AL171" s="485"/>
      <c r="AM171" s="486"/>
      <c r="AN171" s="175"/>
      <c r="AO171" s="175"/>
      <c r="AP171" s="467"/>
      <c r="AQ171" s="488"/>
      <c r="AR171" s="488"/>
      <c r="AS171" s="488"/>
      <c r="AT171" s="488"/>
      <c r="AU171" s="488"/>
      <c r="AV171" s="480"/>
      <c r="AW171" s="480"/>
      <c r="AX171" s="473" t="str">
        <f t="shared" si="24"/>
        <v xml:space="preserve"> ,</v>
      </c>
      <c r="AY171" s="473" t="str">
        <f t="shared" si="25"/>
        <v xml:space="preserve"> / </v>
      </c>
      <c r="AZ171" s="474"/>
      <c r="BA171" s="475"/>
      <c r="BB171" s="474"/>
      <c r="BC171" s="526"/>
      <c r="BD171" s="475"/>
      <c r="BE171" s="526"/>
    </row>
    <row r="172" spans="1:57" s="515" customFormat="1" ht="21.6" customHeight="1">
      <c r="A172" s="341">
        <f t="shared" si="26"/>
        <v>167</v>
      </c>
      <c r="B172" s="479"/>
      <c r="C172" s="477"/>
      <c r="D172" s="342"/>
      <c r="E172" s="482"/>
      <c r="F172" s="461" t="s">
        <v>624</v>
      </c>
      <c r="G172" s="344"/>
      <c r="H172" s="184"/>
      <c r="I172" s="507"/>
      <c r="J172" s="508"/>
      <c r="K172" s="462"/>
      <c r="L172" s="508"/>
      <c r="M172" s="509"/>
      <c r="N172" s="346"/>
      <c r="O172" s="412"/>
      <c r="P172" s="413"/>
      <c r="Q172" s="464"/>
      <c r="R172" s="465">
        <f>IFERROR(VLOOKUP(1,'Data Validation'!$O$2:$P$25,2,FALSE),"")</f>
        <v>45906</v>
      </c>
      <c r="S172" s="465" t="str">
        <f>IFERROR(VLOOKUP($P172,'Data Validation'!$O$2:$P$25,2,FALSE),"")</f>
        <v/>
      </c>
      <c r="T172" s="419" t="e">
        <f ca="1">INDEX(INDIRECT(INDEX(ControlRoom[اجمالي الالتزام],MATCH(تفصيلي!Q172,Control!$B$2:$B$12,0))),MATCH(CONCATENATE(O172,P172),INDIRECT(INDEX(ControlRoom[المبلغ],MATCH(تفصيلي!Q172,ControlRoom[التمويل],0))),0))</f>
        <v>#N/A</v>
      </c>
      <c r="U172" s="419" t="e">
        <f ca="1">INDEX(INDIRECT(INDEX(ControlRoom[القسط الشهري],MATCH(تفصيلي!Q172,Control!$B$2:$B$12,0))),MATCH(CONCATENATE(O172,P172),INDIRECT(INDEX(ControlRoom[المبلغ],MATCH(تفصيلي!Q172,ControlRoom[التمويل],0))),0))</f>
        <v>#N/A</v>
      </c>
      <c r="V172" s="420" t="e">
        <f>INDEX(ControlRoom[[فائدة أ]:[فائدة ج]],MATCH(تفصيلي!Q172,ControlRoom[التمويل],0),MATCH(IF(AND(تفصيلي!O172&gt;=Control!$N$2,تفصيلي!O172&lt;=Control!$O$2),Control!$P$2,IF(AND(تفصيلي!O172&gt;=Control!$N$3,تفصيلي!O172&lt;=Control!$O$3),Control!$P$3,IF(AND(تفصيلي!O172&gt;=Control!$N$4,تفصيلي!O172&lt;=Control!$O$4),Control!$P$4,"Out Of Range"))),ControlRoom[[#Headers],[فائدة أ]:[فائدة ج]],0))</f>
        <v>#N/A</v>
      </c>
      <c r="W172" s="419"/>
      <c r="X172" s="466">
        <f t="shared" si="18"/>
        <v>0</v>
      </c>
      <c r="Y172" s="167"/>
      <c r="Z172" s="302">
        <f t="shared" si="19"/>
        <v>0</v>
      </c>
      <c r="AA172" s="166"/>
      <c r="AB172" s="167" t="s">
        <v>624</v>
      </c>
      <c r="AC172" s="167">
        <f t="shared" si="20"/>
        <v>0</v>
      </c>
      <c r="AD172" s="169">
        <f t="shared" si="21"/>
        <v>0</v>
      </c>
      <c r="AE172" s="511"/>
      <c r="AF172" s="303">
        <f t="shared" si="22"/>
        <v>0</v>
      </c>
      <c r="AG172" s="484"/>
      <c r="AH172" s="174" t="s">
        <v>624</v>
      </c>
      <c r="AI172" s="169">
        <f t="shared" si="23"/>
        <v>0</v>
      </c>
      <c r="AJ172" s="182"/>
      <c r="AK172" s="182"/>
      <c r="AL172" s="485"/>
      <c r="AM172" s="486"/>
      <c r="AN172" s="182"/>
      <c r="AO172" s="182"/>
      <c r="AP172" s="467"/>
      <c r="AQ172" s="512"/>
      <c r="AR172" s="512"/>
      <c r="AS172" s="512"/>
      <c r="AT172" s="512"/>
      <c r="AU172" s="512"/>
      <c r="AV172" s="513"/>
      <c r="AW172" s="513"/>
      <c r="AX172" s="473" t="str">
        <f t="shared" si="24"/>
        <v xml:space="preserve"> ,</v>
      </c>
      <c r="AY172" s="473" t="str">
        <f t="shared" si="25"/>
        <v xml:space="preserve"> / </v>
      </c>
      <c r="AZ172" s="474"/>
      <c r="BA172" s="475"/>
      <c r="BB172" s="474"/>
      <c r="BC172" s="514"/>
      <c r="BD172" s="475"/>
      <c r="BE172" s="514"/>
    </row>
    <row r="173" spans="1:57" s="515" customFormat="1" ht="21.6" customHeight="1">
      <c r="A173" s="341">
        <f t="shared" si="26"/>
        <v>168</v>
      </c>
      <c r="B173" s="479"/>
      <c r="C173" s="477"/>
      <c r="D173" s="342"/>
      <c r="E173" s="482"/>
      <c r="F173" s="461" t="s">
        <v>624</v>
      </c>
      <c r="G173" s="344"/>
      <c r="H173" s="184"/>
      <c r="I173" s="507"/>
      <c r="J173" s="508"/>
      <c r="K173" s="462"/>
      <c r="L173" s="508"/>
      <c r="M173" s="509"/>
      <c r="N173" s="346"/>
      <c r="O173" s="412"/>
      <c r="P173" s="413"/>
      <c r="Q173" s="464"/>
      <c r="R173" s="465">
        <f>IFERROR(VLOOKUP(1,'Data Validation'!$O$2:$P$25,2,FALSE),"")</f>
        <v>45906</v>
      </c>
      <c r="S173" s="465" t="str">
        <f>IFERROR(VLOOKUP($P173,'Data Validation'!$O$2:$P$25,2,FALSE),"")</f>
        <v/>
      </c>
      <c r="T173" s="419" t="e">
        <f ca="1">INDEX(INDIRECT(INDEX(ControlRoom[اجمالي الالتزام],MATCH(تفصيلي!Q173,Control!$B$2:$B$12,0))),MATCH(CONCATENATE(O173,P173),INDIRECT(INDEX(ControlRoom[المبلغ],MATCH(تفصيلي!Q173,ControlRoom[التمويل],0))),0))</f>
        <v>#N/A</v>
      </c>
      <c r="U173" s="419" t="e">
        <f ca="1">INDEX(INDIRECT(INDEX(ControlRoom[القسط الشهري],MATCH(تفصيلي!Q173,Control!$B$2:$B$12,0))),MATCH(CONCATENATE(O173,P173),INDIRECT(INDEX(ControlRoom[المبلغ],MATCH(تفصيلي!Q173,ControlRoom[التمويل],0))),0))</f>
        <v>#N/A</v>
      </c>
      <c r="V173" s="420" t="e">
        <f>INDEX(ControlRoom[[فائدة أ]:[فائدة ج]],MATCH(تفصيلي!Q173,ControlRoom[التمويل],0),MATCH(IF(AND(تفصيلي!O173&gt;=Control!$N$2,تفصيلي!O173&lt;=Control!$O$2),Control!$P$2,IF(AND(تفصيلي!O173&gt;=Control!$N$3,تفصيلي!O173&lt;=Control!$O$3),Control!$P$3,IF(AND(تفصيلي!O173&gt;=Control!$N$4,تفصيلي!O173&lt;=Control!$O$4),Control!$P$4,"Out Of Range"))),ControlRoom[[#Headers],[فائدة أ]:[فائدة ج]],0))</f>
        <v>#N/A</v>
      </c>
      <c r="W173" s="419"/>
      <c r="X173" s="466">
        <f t="shared" si="18"/>
        <v>0</v>
      </c>
      <c r="Y173" s="167"/>
      <c r="Z173" s="302">
        <f t="shared" si="19"/>
        <v>0</v>
      </c>
      <c r="AA173" s="166"/>
      <c r="AB173" s="167" t="s">
        <v>624</v>
      </c>
      <c r="AC173" s="167">
        <f t="shared" si="20"/>
        <v>0</v>
      </c>
      <c r="AD173" s="169">
        <f t="shared" si="21"/>
        <v>0</v>
      </c>
      <c r="AE173" s="511"/>
      <c r="AF173" s="303">
        <f t="shared" si="22"/>
        <v>0</v>
      </c>
      <c r="AG173" s="484"/>
      <c r="AH173" s="174" t="s">
        <v>624</v>
      </c>
      <c r="AI173" s="169">
        <f t="shared" si="23"/>
        <v>0</v>
      </c>
      <c r="AJ173" s="182"/>
      <c r="AK173" s="182"/>
      <c r="AL173" s="485"/>
      <c r="AM173" s="486"/>
      <c r="AN173" s="182"/>
      <c r="AO173" s="182"/>
      <c r="AP173" s="467"/>
      <c r="AQ173" s="512"/>
      <c r="AR173" s="512"/>
      <c r="AS173" s="512"/>
      <c r="AT173" s="512"/>
      <c r="AU173" s="512"/>
      <c r="AV173" s="513"/>
      <c r="AW173" s="513"/>
      <c r="AX173" s="473" t="str">
        <f t="shared" si="24"/>
        <v xml:space="preserve"> ,</v>
      </c>
      <c r="AY173" s="473" t="str">
        <f t="shared" si="25"/>
        <v xml:space="preserve"> / </v>
      </c>
      <c r="AZ173" s="474"/>
      <c r="BA173" s="475"/>
      <c r="BB173" s="474"/>
      <c r="BC173" s="514"/>
      <c r="BD173" s="475"/>
      <c r="BE173" s="514"/>
    </row>
    <row r="174" spans="1:57" s="515" customFormat="1" ht="21.6" customHeight="1">
      <c r="A174" s="341">
        <f t="shared" si="26"/>
        <v>169</v>
      </c>
      <c r="B174" s="479"/>
      <c r="C174" s="477"/>
      <c r="D174" s="342"/>
      <c r="E174" s="482"/>
      <c r="F174" s="461" t="s">
        <v>624</v>
      </c>
      <c r="G174" s="344"/>
      <c r="H174" s="184"/>
      <c r="I174" s="507"/>
      <c r="J174" s="508"/>
      <c r="K174" s="462"/>
      <c r="L174" s="508"/>
      <c r="M174" s="509"/>
      <c r="N174" s="346"/>
      <c r="O174" s="412"/>
      <c r="P174" s="413"/>
      <c r="Q174" s="464"/>
      <c r="R174" s="465">
        <f>IFERROR(VLOOKUP(1,'Data Validation'!$O$2:$P$25,2,FALSE),"")</f>
        <v>45906</v>
      </c>
      <c r="S174" s="465" t="str">
        <f>IFERROR(VLOOKUP($P174,'Data Validation'!$O$2:$P$25,2,FALSE),"")</f>
        <v/>
      </c>
      <c r="T174" s="419" t="e">
        <f ca="1">INDEX(INDIRECT(INDEX(ControlRoom[اجمالي الالتزام],MATCH(تفصيلي!Q174,Control!$B$2:$B$12,0))),MATCH(CONCATENATE(O174,P174),INDIRECT(INDEX(ControlRoom[المبلغ],MATCH(تفصيلي!Q174,ControlRoom[التمويل],0))),0))</f>
        <v>#N/A</v>
      </c>
      <c r="U174" s="419" t="e">
        <f ca="1">INDEX(INDIRECT(INDEX(ControlRoom[القسط الشهري],MATCH(تفصيلي!Q174,Control!$B$2:$B$12,0))),MATCH(CONCATENATE(O174,P174),INDIRECT(INDEX(ControlRoom[المبلغ],MATCH(تفصيلي!Q174,ControlRoom[التمويل],0))),0))</f>
        <v>#N/A</v>
      </c>
      <c r="V174" s="420" t="e">
        <f>INDEX(ControlRoom[[فائدة أ]:[فائدة ج]],MATCH(تفصيلي!Q174,ControlRoom[التمويل],0),MATCH(IF(AND(تفصيلي!O174&gt;=Control!$N$2,تفصيلي!O174&lt;=Control!$O$2),Control!$P$2,IF(AND(تفصيلي!O174&gt;=Control!$N$3,تفصيلي!O174&lt;=Control!$O$3),Control!$P$3,IF(AND(تفصيلي!O174&gt;=Control!$N$4,تفصيلي!O174&lt;=Control!$O$4),Control!$P$4,"Out Of Range"))),ControlRoom[[#Headers],[فائدة أ]:[فائدة ج]],0))</f>
        <v>#N/A</v>
      </c>
      <c r="W174" s="419"/>
      <c r="X174" s="466">
        <f t="shared" si="18"/>
        <v>0</v>
      </c>
      <c r="Y174" s="167"/>
      <c r="Z174" s="302">
        <f t="shared" si="19"/>
        <v>0</v>
      </c>
      <c r="AA174" s="166"/>
      <c r="AB174" s="167" t="s">
        <v>624</v>
      </c>
      <c r="AC174" s="167">
        <f t="shared" si="20"/>
        <v>0</v>
      </c>
      <c r="AD174" s="169">
        <f t="shared" si="21"/>
        <v>0</v>
      </c>
      <c r="AE174" s="511"/>
      <c r="AF174" s="303">
        <f t="shared" si="22"/>
        <v>0</v>
      </c>
      <c r="AG174" s="484"/>
      <c r="AH174" s="174" t="s">
        <v>624</v>
      </c>
      <c r="AI174" s="169">
        <f t="shared" si="23"/>
        <v>0</v>
      </c>
      <c r="AJ174" s="182"/>
      <c r="AK174" s="182"/>
      <c r="AL174" s="485"/>
      <c r="AM174" s="486"/>
      <c r="AN174" s="182"/>
      <c r="AO174" s="182"/>
      <c r="AP174" s="467"/>
      <c r="AQ174" s="512"/>
      <c r="AR174" s="512"/>
      <c r="AS174" s="512"/>
      <c r="AT174" s="512"/>
      <c r="AU174" s="512"/>
      <c r="AV174" s="513"/>
      <c r="AW174" s="513"/>
      <c r="AX174" s="473" t="str">
        <f t="shared" si="24"/>
        <v xml:space="preserve"> ,</v>
      </c>
      <c r="AY174" s="473" t="str">
        <f t="shared" si="25"/>
        <v xml:space="preserve"> / </v>
      </c>
      <c r="AZ174" s="474"/>
      <c r="BA174" s="475"/>
      <c r="BB174" s="474"/>
      <c r="BC174" s="514"/>
      <c r="BD174" s="475"/>
      <c r="BE174" s="514"/>
    </row>
    <row r="175" spans="1:57" s="515" customFormat="1" ht="21.6" customHeight="1">
      <c r="A175" s="341">
        <f t="shared" si="26"/>
        <v>170</v>
      </c>
      <c r="B175" s="516"/>
      <c r="C175" s="504"/>
      <c r="D175" s="505"/>
      <c r="E175" s="238"/>
      <c r="F175" s="461" t="s">
        <v>624</v>
      </c>
      <c r="G175" s="506"/>
      <c r="H175" s="507"/>
      <c r="I175" s="507"/>
      <c r="J175" s="508"/>
      <c r="K175" s="462"/>
      <c r="L175" s="508"/>
      <c r="M175" s="509"/>
      <c r="N175" s="346"/>
      <c r="O175" s="412"/>
      <c r="P175" s="413"/>
      <c r="Q175" s="464"/>
      <c r="R175" s="465">
        <f>IFERROR(VLOOKUP(1,'Data Validation'!$O$2:$P$25,2,FALSE),"")</f>
        <v>45906</v>
      </c>
      <c r="S175" s="465" t="str">
        <f>IFERROR(VLOOKUP($P175,'Data Validation'!$O$2:$P$25,2,FALSE),"")</f>
        <v/>
      </c>
      <c r="T175" s="419" t="e">
        <f ca="1">INDEX(INDIRECT(INDEX(ControlRoom[اجمالي الالتزام],MATCH(تفصيلي!Q175,Control!$B$2:$B$12,0))),MATCH(CONCATENATE(O175,P175),INDIRECT(INDEX(ControlRoom[المبلغ],MATCH(تفصيلي!Q175,ControlRoom[التمويل],0))),0))</f>
        <v>#N/A</v>
      </c>
      <c r="U175" s="419" t="e">
        <f ca="1">INDEX(INDIRECT(INDEX(ControlRoom[القسط الشهري],MATCH(تفصيلي!Q175,Control!$B$2:$B$12,0))),MATCH(CONCATENATE(O175,P175),INDIRECT(INDEX(ControlRoom[المبلغ],MATCH(تفصيلي!Q175,ControlRoom[التمويل],0))),0))</f>
        <v>#N/A</v>
      </c>
      <c r="V175" s="420" t="e">
        <f>INDEX(ControlRoom[[فائدة أ]:[فائدة ج]],MATCH(تفصيلي!Q175,ControlRoom[التمويل],0),MATCH(IF(AND(تفصيلي!O175&gt;=Control!$N$2,تفصيلي!O175&lt;=Control!$O$2),Control!$P$2,IF(AND(تفصيلي!O175&gt;=Control!$N$3,تفصيلي!O175&lt;=Control!$O$3),Control!$P$3,IF(AND(تفصيلي!O175&gt;=Control!$N$4,تفصيلي!O175&lt;=Control!$O$4),Control!$P$4,"Out Of Range"))),ControlRoom[[#Headers],[فائدة أ]:[فائدة ج]],0))</f>
        <v>#N/A</v>
      </c>
      <c r="W175" s="419"/>
      <c r="X175" s="466">
        <f t="shared" si="18"/>
        <v>0</v>
      </c>
      <c r="Y175" s="167"/>
      <c r="Z175" s="302">
        <f t="shared" si="19"/>
        <v>0</v>
      </c>
      <c r="AA175" s="166"/>
      <c r="AB175" s="167" t="s">
        <v>624</v>
      </c>
      <c r="AC175" s="167">
        <f t="shared" si="20"/>
        <v>0</v>
      </c>
      <c r="AD175" s="169">
        <f t="shared" si="21"/>
        <v>0</v>
      </c>
      <c r="AE175" s="511"/>
      <c r="AF175" s="303">
        <f t="shared" si="22"/>
        <v>0</v>
      </c>
      <c r="AG175" s="484"/>
      <c r="AH175" s="174" t="s">
        <v>624</v>
      </c>
      <c r="AI175" s="169">
        <f t="shared" si="23"/>
        <v>0</v>
      </c>
      <c r="AJ175" s="182"/>
      <c r="AK175" s="182"/>
      <c r="AL175" s="485"/>
      <c r="AM175" s="486"/>
      <c r="AN175" s="182"/>
      <c r="AO175" s="182"/>
      <c r="AP175" s="467"/>
      <c r="AQ175" s="512"/>
      <c r="AR175" s="512"/>
      <c r="AS175" s="512"/>
      <c r="AT175" s="512"/>
      <c r="AU175" s="512"/>
      <c r="AV175" s="513"/>
      <c r="AW175" s="513"/>
      <c r="AX175" s="473" t="str">
        <f t="shared" si="24"/>
        <v xml:space="preserve"> ,</v>
      </c>
      <c r="AY175" s="473" t="str">
        <f t="shared" si="25"/>
        <v xml:space="preserve"> / </v>
      </c>
      <c r="AZ175" s="474"/>
      <c r="BA175" s="475"/>
      <c r="BB175" s="474"/>
      <c r="BC175" s="514"/>
      <c r="BD175" s="475"/>
      <c r="BE175" s="514"/>
    </row>
    <row r="176" spans="1:57" s="515" customFormat="1" ht="21.6" customHeight="1">
      <c r="A176" s="341">
        <f t="shared" si="26"/>
        <v>171</v>
      </c>
      <c r="B176" s="516"/>
      <c r="C176" s="504"/>
      <c r="D176" s="505"/>
      <c r="E176" s="238"/>
      <c r="F176" s="461" t="s">
        <v>624</v>
      </c>
      <c r="G176" s="506"/>
      <c r="H176" s="507"/>
      <c r="I176" s="507"/>
      <c r="J176" s="508"/>
      <c r="K176" s="462"/>
      <c r="L176" s="508"/>
      <c r="M176" s="509"/>
      <c r="N176" s="346"/>
      <c r="O176" s="412"/>
      <c r="P176" s="413"/>
      <c r="Q176" s="464"/>
      <c r="R176" s="465">
        <f>IFERROR(VLOOKUP(1,'Data Validation'!$O$2:$P$25,2,FALSE),"")</f>
        <v>45906</v>
      </c>
      <c r="S176" s="465" t="str">
        <f>IFERROR(VLOOKUP($P176,'Data Validation'!$O$2:$P$25,2,FALSE),"")</f>
        <v/>
      </c>
      <c r="T176" s="419" t="e">
        <f ca="1">INDEX(INDIRECT(INDEX(ControlRoom[اجمالي الالتزام],MATCH(تفصيلي!Q176,Control!$B$2:$B$12,0))),MATCH(CONCATENATE(O176,P176),INDIRECT(INDEX(ControlRoom[المبلغ],MATCH(تفصيلي!Q176,ControlRoom[التمويل],0))),0))</f>
        <v>#N/A</v>
      </c>
      <c r="U176" s="419" t="e">
        <f ca="1">INDEX(INDIRECT(INDEX(ControlRoom[القسط الشهري],MATCH(تفصيلي!Q176,Control!$B$2:$B$12,0))),MATCH(CONCATENATE(O176,P176),INDIRECT(INDEX(ControlRoom[المبلغ],MATCH(تفصيلي!Q176,ControlRoom[التمويل],0))),0))</f>
        <v>#N/A</v>
      </c>
      <c r="V176" s="420" t="e">
        <f>INDEX(ControlRoom[[فائدة أ]:[فائدة ج]],MATCH(تفصيلي!Q176,ControlRoom[التمويل],0),MATCH(IF(AND(تفصيلي!O176&gt;=Control!$N$2,تفصيلي!O176&lt;=Control!$O$2),Control!$P$2,IF(AND(تفصيلي!O176&gt;=Control!$N$3,تفصيلي!O176&lt;=Control!$O$3),Control!$P$3,IF(AND(تفصيلي!O176&gt;=Control!$N$4,تفصيلي!O176&lt;=Control!$O$4),Control!$P$4,"Out Of Range"))),ControlRoom[[#Headers],[فائدة أ]:[فائدة ج]],0))</f>
        <v>#N/A</v>
      </c>
      <c r="W176" s="419"/>
      <c r="X176" s="466">
        <f t="shared" si="18"/>
        <v>0</v>
      </c>
      <c r="Y176" s="510"/>
      <c r="Z176" s="302">
        <f t="shared" si="19"/>
        <v>0</v>
      </c>
      <c r="AA176" s="166"/>
      <c r="AB176" s="167" t="s">
        <v>624</v>
      </c>
      <c r="AC176" s="167">
        <f t="shared" si="20"/>
        <v>0</v>
      </c>
      <c r="AD176" s="169">
        <f t="shared" si="21"/>
        <v>0</v>
      </c>
      <c r="AE176" s="511"/>
      <c r="AF176" s="303">
        <f t="shared" si="22"/>
        <v>0</v>
      </c>
      <c r="AG176" s="484"/>
      <c r="AH176" s="174" t="s">
        <v>624</v>
      </c>
      <c r="AI176" s="169">
        <f t="shared" si="23"/>
        <v>0</v>
      </c>
      <c r="AJ176" s="182"/>
      <c r="AK176" s="182"/>
      <c r="AL176" s="485"/>
      <c r="AM176" s="486"/>
      <c r="AN176" s="182"/>
      <c r="AO176" s="182"/>
      <c r="AP176" s="467"/>
      <c r="AQ176" s="512"/>
      <c r="AR176" s="512"/>
      <c r="AS176" s="512"/>
      <c r="AT176" s="512"/>
      <c r="AU176" s="512"/>
      <c r="AV176" s="513"/>
      <c r="AW176" s="513"/>
      <c r="AX176" s="473" t="str">
        <f t="shared" si="24"/>
        <v xml:space="preserve"> ,</v>
      </c>
      <c r="AY176" s="473" t="str">
        <f t="shared" si="25"/>
        <v xml:space="preserve"> / </v>
      </c>
      <c r="AZ176" s="474"/>
      <c r="BA176" s="475"/>
      <c r="BB176" s="474"/>
      <c r="BC176" s="514"/>
      <c r="BD176" s="475"/>
      <c r="BE176" s="514"/>
    </row>
    <row r="177" spans="1:57" s="515" customFormat="1" ht="21.6" customHeight="1">
      <c r="A177" s="341">
        <f t="shared" si="26"/>
        <v>172</v>
      </c>
      <c r="B177" s="516"/>
      <c r="C177" s="504"/>
      <c r="D177" s="505"/>
      <c r="E177" s="238"/>
      <c r="F177" s="461" t="s">
        <v>624</v>
      </c>
      <c r="G177" s="506"/>
      <c r="H177" s="507"/>
      <c r="I177" s="507"/>
      <c r="J177" s="508"/>
      <c r="K177" s="462"/>
      <c r="L177" s="508"/>
      <c r="M177" s="509"/>
      <c r="N177" s="346"/>
      <c r="O177" s="412"/>
      <c r="P177" s="413"/>
      <c r="Q177" s="464"/>
      <c r="R177" s="465">
        <f>IFERROR(VLOOKUP(1,'Data Validation'!$O$2:$P$25,2,FALSE),"")</f>
        <v>45906</v>
      </c>
      <c r="S177" s="465" t="str">
        <f>IFERROR(VLOOKUP($P177,'Data Validation'!$O$2:$P$25,2,FALSE),"")</f>
        <v/>
      </c>
      <c r="T177" s="419" t="e">
        <f ca="1">INDEX(INDIRECT(INDEX(ControlRoom[اجمالي الالتزام],MATCH(تفصيلي!Q177,Control!$B$2:$B$12,0))),MATCH(CONCATENATE(O177,P177),INDIRECT(INDEX(ControlRoom[المبلغ],MATCH(تفصيلي!Q177,ControlRoom[التمويل],0))),0))</f>
        <v>#N/A</v>
      </c>
      <c r="U177" s="419" t="e">
        <f ca="1">INDEX(INDIRECT(INDEX(ControlRoom[القسط الشهري],MATCH(تفصيلي!Q177,Control!$B$2:$B$12,0))),MATCH(CONCATENATE(O177,P177),INDIRECT(INDEX(ControlRoom[المبلغ],MATCH(تفصيلي!Q177,ControlRoom[التمويل],0))),0))</f>
        <v>#N/A</v>
      </c>
      <c r="V177" s="420" t="e">
        <f>INDEX(ControlRoom[[فائدة أ]:[فائدة ج]],MATCH(تفصيلي!Q177,ControlRoom[التمويل],0),MATCH(IF(AND(تفصيلي!O177&gt;=Control!$N$2,تفصيلي!O177&lt;=Control!$O$2),Control!$P$2,IF(AND(تفصيلي!O177&gt;=Control!$N$3,تفصيلي!O177&lt;=Control!$O$3),Control!$P$3,IF(AND(تفصيلي!O177&gt;=Control!$N$4,تفصيلي!O177&lt;=Control!$O$4),Control!$P$4,"Out Of Range"))),ControlRoom[[#Headers],[فائدة أ]:[فائدة ج]],0))</f>
        <v>#N/A</v>
      </c>
      <c r="W177" s="419"/>
      <c r="X177" s="466">
        <f t="shared" si="18"/>
        <v>0</v>
      </c>
      <c r="Y177" s="510"/>
      <c r="Z177" s="302">
        <f t="shared" si="19"/>
        <v>0</v>
      </c>
      <c r="AA177" s="166"/>
      <c r="AB177" s="167" t="s">
        <v>624</v>
      </c>
      <c r="AC177" s="167">
        <f t="shared" si="20"/>
        <v>0</v>
      </c>
      <c r="AD177" s="169">
        <f t="shared" si="21"/>
        <v>0</v>
      </c>
      <c r="AE177" s="511"/>
      <c r="AF177" s="303">
        <f t="shared" si="22"/>
        <v>0</v>
      </c>
      <c r="AG177" s="484"/>
      <c r="AH177" s="174" t="s">
        <v>624</v>
      </c>
      <c r="AI177" s="169">
        <f t="shared" si="23"/>
        <v>0</v>
      </c>
      <c r="AJ177" s="182"/>
      <c r="AK177" s="182"/>
      <c r="AL177" s="485"/>
      <c r="AM177" s="486"/>
      <c r="AN177" s="182"/>
      <c r="AO177" s="182"/>
      <c r="AP177" s="467"/>
      <c r="AQ177" s="512"/>
      <c r="AR177" s="512"/>
      <c r="AS177" s="512"/>
      <c r="AT177" s="512"/>
      <c r="AU177" s="512"/>
      <c r="AV177" s="513"/>
      <c r="AW177" s="513"/>
      <c r="AX177" s="473" t="str">
        <f t="shared" si="24"/>
        <v xml:space="preserve"> ,</v>
      </c>
      <c r="AY177" s="473" t="str">
        <f t="shared" si="25"/>
        <v xml:space="preserve"> / </v>
      </c>
      <c r="AZ177" s="474"/>
      <c r="BA177" s="475"/>
      <c r="BB177" s="474"/>
      <c r="BC177" s="514"/>
      <c r="BD177" s="475"/>
      <c r="BE177" s="514"/>
    </row>
    <row r="178" spans="1:57" s="515" customFormat="1" ht="21.6" customHeight="1">
      <c r="A178" s="341">
        <f t="shared" si="26"/>
        <v>173</v>
      </c>
      <c r="B178" s="516"/>
      <c r="C178" s="504"/>
      <c r="D178" s="505"/>
      <c r="E178" s="238"/>
      <c r="F178" s="461" t="s">
        <v>624</v>
      </c>
      <c r="G178" s="506"/>
      <c r="H178" s="507"/>
      <c r="I178" s="507"/>
      <c r="J178" s="508"/>
      <c r="K178" s="462"/>
      <c r="L178" s="508"/>
      <c r="M178" s="509"/>
      <c r="N178" s="346"/>
      <c r="O178" s="412"/>
      <c r="P178" s="413"/>
      <c r="Q178" s="464"/>
      <c r="R178" s="465">
        <f>IFERROR(VLOOKUP(1,'Data Validation'!$O$2:$P$25,2,FALSE),"")</f>
        <v>45906</v>
      </c>
      <c r="S178" s="465" t="str">
        <f>IFERROR(VLOOKUP($P178,'Data Validation'!$O$2:$P$25,2,FALSE),"")</f>
        <v/>
      </c>
      <c r="T178" s="419" t="e">
        <f ca="1">INDEX(INDIRECT(INDEX(ControlRoom[اجمالي الالتزام],MATCH(تفصيلي!Q178,Control!$B$2:$B$12,0))),MATCH(CONCATENATE(O178,P178),INDIRECT(INDEX(ControlRoom[المبلغ],MATCH(تفصيلي!Q178,ControlRoom[التمويل],0))),0))</f>
        <v>#N/A</v>
      </c>
      <c r="U178" s="419" t="e">
        <f ca="1">INDEX(INDIRECT(INDEX(ControlRoom[القسط الشهري],MATCH(تفصيلي!Q178,Control!$B$2:$B$12,0))),MATCH(CONCATENATE(O178,P178),INDIRECT(INDEX(ControlRoom[المبلغ],MATCH(تفصيلي!Q178,ControlRoom[التمويل],0))),0))</f>
        <v>#N/A</v>
      </c>
      <c r="V178" s="420" t="e">
        <f>INDEX(ControlRoom[[فائدة أ]:[فائدة ج]],MATCH(تفصيلي!Q178,ControlRoom[التمويل],0),MATCH(IF(AND(تفصيلي!O178&gt;=Control!$N$2,تفصيلي!O178&lt;=Control!$O$2),Control!$P$2,IF(AND(تفصيلي!O178&gt;=Control!$N$3,تفصيلي!O178&lt;=Control!$O$3),Control!$P$3,IF(AND(تفصيلي!O178&gt;=Control!$N$4,تفصيلي!O178&lt;=Control!$O$4),Control!$P$4,"Out Of Range"))),ControlRoom[[#Headers],[فائدة أ]:[فائدة ج]],0))</f>
        <v>#N/A</v>
      </c>
      <c r="W178" s="419"/>
      <c r="X178" s="466">
        <f t="shared" si="18"/>
        <v>0</v>
      </c>
      <c r="Y178" s="510"/>
      <c r="Z178" s="302">
        <f t="shared" si="19"/>
        <v>0</v>
      </c>
      <c r="AA178" s="166"/>
      <c r="AB178" s="167" t="s">
        <v>624</v>
      </c>
      <c r="AC178" s="167">
        <f t="shared" si="20"/>
        <v>0</v>
      </c>
      <c r="AD178" s="169">
        <f t="shared" si="21"/>
        <v>0</v>
      </c>
      <c r="AE178" s="511"/>
      <c r="AF178" s="303">
        <f t="shared" si="22"/>
        <v>0</v>
      </c>
      <c r="AG178" s="484"/>
      <c r="AH178" s="174" t="s">
        <v>624</v>
      </c>
      <c r="AI178" s="169">
        <f t="shared" si="23"/>
        <v>0</v>
      </c>
      <c r="AJ178" s="182"/>
      <c r="AK178" s="182"/>
      <c r="AL178" s="485"/>
      <c r="AM178" s="486"/>
      <c r="AN178" s="182"/>
      <c r="AO178" s="182"/>
      <c r="AP178" s="467"/>
      <c r="AQ178" s="512"/>
      <c r="AR178" s="512"/>
      <c r="AS178" s="512"/>
      <c r="AT178" s="512"/>
      <c r="AU178" s="512"/>
      <c r="AV178" s="513"/>
      <c r="AW178" s="513"/>
      <c r="AX178" s="473" t="str">
        <f t="shared" si="24"/>
        <v xml:space="preserve"> ,</v>
      </c>
      <c r="AY178" s="473" t="str">
        <f t="shared" si="25"/>
        <v xml:space="preserve"> / </v>
      </c>
      <c r="AZ178" s="474"/>
      <c r="BA178" s="475"/>
      <c r="BB178" s="474"/>
      <c r="BC178" s="514"/>
      <c r="BD178" s="475"/>
      <c r="BE178" s="514"/>
    </row>
    <row r="179" spans="1:57" s="515" customFormat="1" ht="21.6" customHeight="1">
      <c r="A179" s="341">
        <f t="shared" si="26"/>
        <v>174</v>
      </c>
      <c r="B179" s="516"/>
      <c r="C179" s="504"/>
      <c r="D179" s="505"/>
      <c r="E179" s="238"/>
      <c r="F179" s="461" t="s">
        <v>624</v>
      </c>
      <c r="G179" s="506"/>
      <c r="H179" s="507"/>
      <c r="I179" s="507"/>
      <c r="J179" s="508"/>
      <c r="K179" s="462"/>
      <c r="L179" s="508"/>
      <c r="M179" s="509"/>
      <c r="N179" s="346"/>
      <c r="O179" s="412"/>
      <c r="P179" s="413"/>
      <c r="Q179" s="464"/>
      <c r="R179" s="465">
        <f>IFERROR(VLOOKUP(1,'Data Validation'!$O$2:$P$25,2,FALSE),"")</f>
        <v>45906</v>
      </c>
      <c r="S179" s="465" t="str">
        <f>IFERROR(VLOOKUP($P179,'Data Validation'!$O$2:$P$25,2,FALSE),"")</f>
        <v/>
      </c>
      <c r="T179" s="419" t="e">
        <f ca="1">INDEX(INDIRECT(INDEX(ControlRoom[اجمالي الالتزام],MATCH(تفصيلي!Q179,Control!$B$2:$B$12,0))),MATCH(CONCATENATE(O179,P179),INDIRECT(INDEX(ControlRoom[المبلغ],MATCH(تفصيلي!Q179,ControlRoom[التمويل],0))),0))</f>
        <v>#N/A</v>
      </c>
      <c r="U179" s="419" t="e">
        <f ca="1">INDEX(INDIRECT(INDEX(ControlRoom[القسط الشهري],MATCH(تفصيلي!Q179,Control!$B$2:$B$12,0))),MATCH(CONCATENATE(O179,P179),INDIRECT(INDEX(ControlRoom[المبلغ],MATCH(تفصيلي!Q179,ControlRoom[التمويل],0))),0))</f>
        <v>#N/A</v>
      </c>
      <c r="V179" s="420" t="e">
        <f>INDEX(ControlRoom[[فائدة أ]:[فائدة ج]],MATCH(تفصيلي!Q179,ControlRoom[التمويل],0),MATCH(IF(AND(تفصيلي!O179&gt;=Control!$N$2,تفصيلي!O179&lt;=Control!$O$2),Control!$P$2,IF(AND(تفصيلي!O179&gt;=Control!$N$3,تفصيلي!O179&lt;=Control!$O$3),Control!$P$3,IF(AND(تفصيلي!O179&gt;=Control!$N$4,تفصيلي!O179&lt;=Control!$O$4),Control!$P$4,"Out Of Range"))),ControlRoom[[#Headers],[فائدة أ]:[فائدة ج]],0))</f>
        <v>#N/A</v>
      </c>
      <c r="W179" s="419"/>
      <c r="X179" s="466">
        <f t="shared" si="18"/>
        <v>0</v>
      </c>
      <c r="Y179" s="510"/>
      <c r="Z179" s="302">
        <f t="shared" si="19"/>
        <v>0</v>
      </c>
      <c r="AA179" s="166"/>
      <c r="AB179" s="167" t="s">
        <v>624</v>
      </c>
      <c r="AC179" s="167">
        <f t="shared" si="20"/>
        <v>0</v>
      </c>
      <c r="AD179" s="169">
        <f t="shared" si="21"/>
        <v>0</v>
      </c>
      <c r="AE179" s="511"/>
      <c r="AF179" s="303">
        <f t="shared" si="22"/>
        <v>0</v>
      </c>
      <c r="AG179" s="484"/>
      <c r="AH179" s="174" t="s">
        <v>624</v>
      </c>
      <c r="AI179" s="169">
        <f t="shared" si="23"/>
        <v>0</v>
      </c>
      <c r="AJ179" s="182"/>
      <c r="AK179" s="182"/>
      <c r="AL179" s="485"/>
      <c r="AM179" s="486"/>
      <c r="AN179" s="182"/>
      <c r="AO179" s="182"/>
      <c r="AP179" s="467"/>
      <c r="AQ179" s="512"/>
      <c r="AR179" s="512"/>
      <c r="AS179" s="512"/>
      <c r="AT179" s="512"/>
      <c r="AU179" s="512"/>
      <c r="AV179" s="513"/>
      <c r="AW179" s="513"/>
      <c r="AX179" s="473" t="str">
        <f t="shared" si="24"/>
        <v xml:space="preserve"> ,</v>
      </c>
      <c r="AY179" s="473" t="str">
        <f t="shared" si="25"/>
        <v xml:space="preserve"> / </v>
      </c>
      <c r="AZ179" s="474"/>
      <c r="BA179" s="475"/>
      <c r="BB179" s="474"/>
      <c r="BC179" s="514"/>
      <c r="BD179" s="475"/>
      <c r="BE179" s="514"/>
    </row>
    <row r="180" spans="1:57" s="515" customFormat="1" ht="21.6" customHeight="1">
      <c r="A180" s="341">
        <f t="shared" si="26"/>
        <v>175</v>
      </c>
      <c r="B180" s="516"/>
      <c r="C180" s="504"/>
      <c r="D180" s="505"/>
      <c r="E180" s="238"/>
      <c r="F180" s="461" t="s">
        <v>624</v>
      </c>
      <c r="G180" s="506"/>
      <c r="H180" s="507"/>
      <c r="I180" s="507"/>
      <c r="J180" s="508"/>
      <c r="K180" s="462"/>
      <c r="L180" s="508"/>
      <c r="M180" s="509"/>
      <c r="N180" s="346"/>
      <c r="O180" s="412"/>
      <c r="P180" s="413"/>
      <c r="Q180" s="464"/>
      <c r="R180" s="465">
        <f>IFERROR(VLOOKUP(1,'Data Validation'!$O$2:$P$25,2,FALSE),"")</f>
        <v>45906</v>
      </c>
      <c r="S180" s="465" t="str">
        <f>IFERROR(VLOOKUP($P180,'Data Validation'!$O$2:$P$25,2,FALSE),"")</f>
        <v/>
      </c>
      <c r="T180" s="419" t="e">
        <f ca="1">INDEX(INDIRECT(INDEX(ControlRoom[اجمالي الالتزام],MATCH(تفصيلي!Q180,Control!$B$2:$B$12,0))),MATCH(CONCATENATE(O180,P180),INDIRECT(INDEX(ControlRoom[المبلغ],MATCH(تفصيلي!Q180,ControlRoom[التمويل],0))),0))</f>
        <v>#N/A</v>
      </c>
      <c r="U180" s="419" t="e">
        <f ca="1">INDEX(INDIRECT(INDEX(ControlRoom[القسط الشهري],MATCH(تفصيلي!Q180,Control!$B$2:$B$12,0))),MATCH(CONCATENATE(O180,P180),INDIRECT(INDEX(ControlRoom[المبلغ],MATCH(تفصيلي!Q180,ControlRoom[التمويل],0))),0))</f>
        <v>#N/A</v>
      </c>
      <c r="V180" s="420" t="e">
        <f>INDEX(ControlRoom[[فائدة أ]:[فائدة ج]],MATCH(تفصيلي!Q180,ControlRoom[التمويل],0),MATCH(IF(AND(تفصيلي!O180&gt;=Control!$N$2,تفصيلي!O180&lt;=Control!$O$2),Control!$P$2,IF(AND(تفصيلي!O180&gt;=Control!$N$3,تفصيلي!O180&lt;=Control!$O$3),Control!$P$3,IF(AND(تفصيلي!O180&gt;=Control!$N$4,تفصيلي!O180&lt;=Control!$O$4),Control!$P$4,"Out Of Range"))),ControlRoom[[#Headers],[فائدة أ]:[فائدة ج]],0))</f>
        <v>#N/A</v>
      </c>
      <c r="W180" s="419"/>
      <c r="X180" s="466">
        <f t="shared" si="18"/>
        <v>0</v>
      </c>
      <c r="Y180" s="510"/>
      <c r="Z180" s="302">
        <f t="shared" si="19"/>
        <v>0</v>
      </c>
      <c r="AA180" s="166"/>
      <c r="AB180" s="167" t="s">
        <v>624</v>
      </c>
      <c r="AC180" s="167">
        <f t="shared" si="20"/>
        <v>0</v>
      </c>
      <c r="AD180" s="169">
        <f t="shared" si="21"/>
        <v>0</v>
      </c>
      <c r="AE180" s="511"/>
      <c r="AF180" s="303">
        <f t="shared" si="22"/>
        <v>0</v>
      </c>
      <c r="AG180" s="484"/>
      <c r="AH180" s="174" t="s">
        <v>624</v>
      </c>
      <c r="AI180" s="169">
        <f t="shared" si="23"/>
        <v>0</v>
      </c>
      <c r="AJ180" s="182"/>
      <c r="AK180" s="182"/>
      <c r="AL180" s="485"/>
      <c r="AM180" s="486"/>
      <c r="AN180" s="182"/>
      <c r="AO180" s="182"/>
      <c r="AP180" s="467"/>
      <c r="AQ180" s="512"/>
      <c r="AR180" s="512"/>
      <c r="AS180" s="512"/>
      <c r="AT180" s="512"/>
      <c r="AU180" s="512"/>
      <c r="AV180" s="513"/>
      <c r="AW180" s="513"/>
      <c r="AX180" s="473" t="str">
        <f t="shared" si="24"/>
        <v xml:space="preserve"> ,</v>
      </c>
      <c r="AY180" s="473" t="str">
        <f t="shared" si="25"/>
        <v xml:space="preserve"> / </v>
      </c>
      <c r="AZ180" s="474"/>
      <c r="BA180" s="475"/>
      <c r="BB180" s="474"/>
      <c r="BC180" s="514"/>
      <c r="BD180" s="475"/>
      <c r="BE180" s="514"/>
    </row>
    <row r="181" spans="1:57" s="515" customFormat="1" ht="21.6" customHeight="1">
      <c r="A181" s="341">
        <f t="shared" si="26"/>
        <v>176</v>
      </c>
      <c r="B181" s="516"/>
      <c r="C181" s="504"/>
      <c r="D181" s="505"/>
      <c r="E181" s="238"/>
      <c r="F181" s="461" t="s">
        <v>624</v>
      </c>
      <c r="G181" s="506"/>
      <c r="H181" s="507"/>
      <c r="I181" s="507"/>
      <c r="J181" s="508"/>
      <c r="K181" s="462"/>
      <c r="L181" s="508"/>
      <c r="M181" s="509"/>
      <c r="N181" s="346"/>
      <c r="O181" s="412"/>
      <c r="P181" s="413"/>
      <c r="Q181" s="464"/>
      <c r="R181" s="465">
        <f>IFERROR(VLOOKUP(1,'Data Validation'!$O$2:$P$25,2,FALSE),"")</f>
        <v>45906</v>
      </c>
      <c r="S181" s="465" t="str">
        <f>IFERROR(VLOOKUP($P181,'Data Validation'!$O$2:$P$25,2,FALSE),"")</f>
        <v/>
      </c>
      <c r="T181" s="419" t="e">
        <f ca="1">INDEX(INDIRECT(INDEX(ControlRoom[اجمالي الالتزام],MATCH(تفصيلي!Q181,Control!$B$2:$B$12,0))),MATCH(CONCATENATE(O181,P181),INDIRECT(INDEX(ControlRoom[المبلغ],MATCH(تفصيلي!Q181,ControlRoom[التمويل],0))),0))</f>
        <v>#N/A</v>
      </c>
      <c r="U181" s="419" t="e">
        <f ca="1">INDEX(INDIRECT(INDEX(ControlRoom[القسط الشهري],MATCH(تفصيلي!Q181,Control!$B$2:$B$12,0))),MATCH(CONCATENATE(O181,P181),INDIRECT(INDEX(ControlRoom[المبلغ],MATCH(تفصيلي!Q181,ControlRoom[التمويل],0))),0))</f>
        <v>#N/A</v>
      </c>
      <c r="V181" s="420" t="e">
        <f>INDEX(ControlRoom[[فائدة أ]:[فائدة ج]],MATCH(تفصيلي!Q181,ControlRoom[التمويل],0),MATCH(IF(AND(تفصيلي!O181&gt;=Control!$N$2,تفصيلي!O181&lt;=Control!$O$2),Control!$P$2,IF(AND(تفصيلي!O181&gt;=Control!$N$3,تفصيلي!O181&lt;=Control!$O$3),Control!$P$3,IF(AND(تفصيلي!O181&gt;=Control!$N$4,تفصيلي!O181&lt;=Control!$O$4),Control!$P$4,"Out Of Range"))),ControlRoom[[#Headers],[فائدة أ]:[فائدة ج]],0))</f>
        <v>#N/A</v>
      </c>
      <c r="W181" s="419"/>
      <c r="X181" s="466">
        <f t="shared" si="18"/>
        <v>0</v>
      </c>
      <c r="Y181" s="510"/>
      <c r="Z181" s="302">
        <f t="shared" si="19"/>
        <v>0</v>
      </c>
      <c r="AA181" s="166"/>
      <c r="AB181" s="167" t="s">
        <v>624</v>
      </c>
      <c r="AC181" s="167">
        <f t="shared" si="20"/>
        <v>0</v>
      </c>
      <c r="AD181" s="169">
        <f t="shared" si="21"/>
        <v>0</v>
      </c>
      <c r="AE181" s="511"/>
      <c r="AF181" s="303">
        <f t="shared" si="22"/>
        <v>0</v>
      </c>
      <c r="AG181" s="484"/>
      <c r="AH181" s="174" t="s">
        <v>624</v>
      </c>
      <c r="AI181" s="169">
        <f t="shared" si="23"/>
        <v>0</v>
      </c>
      <c r="AJ181" s="182"/>
      <c r="AK181" s="182"/>
      <c r="AL181" s="485"/>
      <c r="AM181" s="486"/>
      <c r="AN181" s="182"/>
      <c r="AO181" s="182"/>
      <c r="AP181" s="467"/>
      <c r="AQ181" s="512"/>
      <c r="AR181" s="512"/>
      <c r="AS181" s="512"/>
      <c r="AT181" s="512"/>
      <c r="AU181" s="512"/>
      <c r="AV181" s="513"/>
      <c r="AW181" s="513"/>
      <c r="AX181" s="473" t="str">
        <f t="shared" si="24"/>
        <v xml:space="preserve"> ,</v>
      </c>
      <c r="AY181" s="473" t="str">
        <f t="shared" si="25"/>
        <v xml:space="preserve"> / </v>
      </c>
      <c r="AZ181" s="474"/>
      <c r="BA181" s="475"/>
      <c r="BB181" s="474"/>
      <c r="BC181" s="514"/>
      <c r="BD181" s="475"/>
      <c r="BE181" s="514"/>
    </row>
    <row r="182" spans="1:57" s="515" customFormat="1" ht="21.6" customHeight="1">
      <c r="A182" s="341">
        <f t="shared" si="26"/>
        <v>177</v>
      </c>
      <c r="B182" s="516"/>
      <c r="C182" s="504"/>
      <c r="D182" s="505"/>
      <c r="E182" s="238"/>
      <c r="F182" s="461" t="s">
        <v>624</v>
      </c>
      <c r="G182" s="506"/>
      <c r="H182" s="507"/>
      <c r="I182" s="507"/>
      <c r="J182" s="508"/>
      <c r="K182" s="462"/>
      <c r="L182" s="508"/>
      <c r="M182" s="509"/>
      <c r="N182" s="346"/>
      <c r="O182" s="412"/>
      <c r="P182" s="413"/>
      <c r="Q182" s="464"/>
      <c r="R182" s="465">
        <f>IFERROR(VLOOKUP(1,'Data Validation'!$O$2:$P$25,2,FALSE),"")</f>
        <v>45906</v>
      </c>
      <c r="S182" s="465" t="str">
        <f>IFERROR(VLOOKUP($P182,'Data Validation'!$O$2:$P$25,2,FALSE),"")</f>
        <v/>
      </c>
      <c r="T182" s="419" t="e">
        <f ca="1">INDEX(INDIRECT(INDEX(ControlRoom[اجمالي الالتزام],MATCH(تفصيلي!Q182,Control!$B$2:$B$12,0))),MATCH(CONCATENATE(O182,P182),INDIRECT(INDEX(ControlRoom[المبلغ],MATCH(تفصيلي!Q182,ControlRoom[التمويل],0))),0))</f>
        <v>#N/A</v>
      </c>
      <c r="U182" s="419" t="e">
        <f ca="1">INDEX(INDIRECT(INDEX(ControlRoom[القسط الشهري],MATCH(تفصيلي!Q182,Control!$B$2:$B$12,0))),MATCH(CONCATENATE(O182,P182),INDIRECT(INDEX(ControlRoom[المبلغ],MATCH(تفصيلي!Q182,ControlRoom[التمويل],0))),0))</f>
        <v>#N/A</v>
      </c>
      <c r="V182" s="420" t="e">
        <f>INDEX(ControlRoom[[فائدة أ]:[فائدة ج]],MATCH(تفصيلي!Q182,ControlRoom[التمويل],0),MATCH(IF(AND(تفصيلي!O182&gt;=Control!$N$2,تفصيلي!O182&lt;=Control!$O$2),Control!$P$2,IF(AND(تفصيلي!O182&gt;=Control!$N$3,تفصيلي!O182&lt;=Control!$O$3),Control!$P$3,IF(AND(تفصيلي!O182&gt;=Control!$N$4,تفصيلي!O182&lt;=Control!$O$4),Control!$P$4,"Out Of Range"))),ControlRoom[[#Headers],[فائدة أ]:[فائدة ج]],0))</f>
        <v>#N/A</v>
      </c>
      <c r="W182" s="419"/>
      <c r="X182" s="466">
        <f t="shared" si="18"/>
        <v>0</v>
      </c>
      <c r="Y182" s="510"/>
      <c r="Z182" s="302">
        <f t="shared" si="19"/>
        <v>0</v>
      </c>
      <c r="AA182" s="166"/>
      <c r="AB182" s="167" t="s">
        <v>624</v>
      </c>
      <c r="AC182" s="167">
        <f t="shared" si="20"/>
        <v>0</v>
      </c>
      <c r="AD182" s="169">
        <f t="shared" si="21"/>
        <v>0</v>
      </c>
      <c r="AE182" s="511"/>
      <c r="AF182" s="303">
        <f t="shared" si="22"/>
        <v>0</v>
      </c>
      <c r="AG182" s="484"/>
      <c r="AH182" s="174" t="s">
        <v>624</v>
      </c>
      <c r="AI182" s="169">
        <f t="shared" si="23"/>
        <v>0</v>
      </c>
      <c r="AJ182" s="182"/>
      <c r="AK182" s="182"/>
      <c r="AL182" s="485"/>
      <c r="AM182" s="486"/>
      <c r="AN182" s="182"/>
      <c r="AO182" s="182"/>
      <c r="AP182" s="467"/>
      <c r="AQ182" s="512"/>
      <c r="AR182" s="512"/>
      <c r="AS182" s="512"/>
      <c r="AT182" s="512"/>
      <c r="AU182" s="512"/>
      <c r="AV182" s="513"/>
      <c r="AW182" s="513"/>
      <c r="AX182" s="473" t="str">
        <f t="shared" si="24"/>
        <v xml:space="preserve"> ,</v>
      </c>
      <c r="AY182" s="473" t="str">
        <f t="shared" si="25"/>
        <v xml:space="preserve"> / </v>
      </c>
      <c r="AZ182" s="474"/>
      <c r="BA182" s="475"/>
      <c r="BB182" s="474"/>
      <c r="BC182" s="514"/>
      <c r="BD182" s="475"/>
      <c r="BE182" s="514"/>
    </row>
    <row r="183" spans="1:57" s="515" customFormat="1" ht="21.6" customHeight="1">
      <c r="A183" s="341">
        <f t="shared" si="26"/>
        <v>178</v>
      </c>
      <c r="B183" s="516"/>
      <c r="C183" s="504"/>
      <c r="D183" s="505"/>
      <c r="E183" s="238"/>
      <c r="F183" s="461" t="s">
        <v>624</v>
      </c>
      <c r="G183" s="506"/>
      <c r="H183" s="507"/>
      <c r="I183" s="507"/>
      <c r="J183" s="508"/>
      <c r="K183" s="462"/>
      <c r="L183" s="508"/>
      <c r="M183" s="509"/>
      <c r="N183" s="346"/>
      <c r="O183" s="412"/>
      <c r="P183" s="413"/>
      <c r="Q183" s="464"/>
      <c r="R183" s="465">
        <f>IFERROR(VLOOKUP(1,'Data Validation'!$O$2:$P$25,2,FALSE),"")</f>
        <v>45906</v>
      </c>
      <c r="S183" s="465" t="str">
        <f>IFERROR(VLOOKUP($P183,'Data Validation'!$O$2:$P$25,2,FALSE),"")</f>
        <v/>
      </c>
      <c r="T183" s="419" t="e">
        <f ca="1">INDEX(INDIRECT(INDEX(ControlRoom[اجمالي الالتزام],MATCH(تفصيلي!Q183,Control!$B$2:$B$12,0))),MATCH(CONCATENATE(O183,P183),INDIRECT(INDEX(ControlRoom[المبلغ],MATCH(تفصيلي!Q183,ControlRoom[التمويل],0))),0))</f>
        <v>#N/A</v>
      </c>
      <c r="U183" s="419" t="e">
        <f ca="1">INDEX(INDIRECT(INDEX(ControlRoom[القسط الشهري],MATCH(تفصيلي!Q183,Control!$B$2:$B$12,0))),MATCH(CONCATENATE(O183,P183),INDIRECT(INDEX(ControlRoom[المبلغ],MATCH(تفصيلي!Q183,ControlRoom[التمويل],0))),0))</f>
        <v>#N/A</v>
      </c>
      <c r="V183" s="420" t="e">
        <f>INDEX(ControlRoom[[فائدة أ]:[فائدة ج]],MATCH(تفصيلي!Q183,ControlRoom[التمويل],0),MATCH(IF(AND(تفصيلي!O183&gt;=Control!$N$2,تفصيلي!O183&lt;=Control!$O$2),Control!$P$2,IF(AND(تفصيلي!O183&gt;=Control!$N$3,تفصيلي!O183&lt;=Control!$O$3),Control!$P$3,IF(AND(تفصيلي!O183&gt;=Control!$N$4,تفصيلي!O183&lt;=Control!$O$4),Control!$P$4,"Out Of Range"))),ControlRoom[[#Headers],[فائدة أ]:[فائدة ج]],0))</f>
        <v>#N/A</v>
      </c>
      <c r="W183" s="419"/>
      <c r="X183" s="466">
        <f t="shared" si="18"/>
        <v>0</v>
      </c>
      <c r="Y183" s="510"/>
      <c r="Z183" s="302">
        <f t="shared" si="19"/>
        <v>0</v>
      </c>
      <c r="AA183" s="166"/>
      <c r="AB183" s="167" t="s">
        <v>624</v>
      </c>
      <c r="AC183" s="167">
        <f t="shared" si="20"/>
        <v>0</v>
      </c>
      <c r="AD183" s="169">
        <f t="shared" si="21"/>
        <v>0</v>
      </c>
      <c r="AE183" s="511"/>
      <c r="AF183" s="303">
        <f t="shared" si="22"/>
        <v>0</v>
      </c>
      <c r="AG183" s="185"/>
      <c r="AH183" s="174" t="s">
        <v>624</v>
      </c>
      <c r="AI183" s="169">
        <f t="shared" si="23"/>
        <v>0</v>
      </c>
      <c r="AJ183" s="182"/>
      <c r="AK183" s="182"/>
      <c r="AL183" s="186"/>
      <c r="AM183" s="187"/>
      <c r="AN183" s="182"/>
      <c r="AO183" s="182"/>
      <c r="AP183" s="467"/>
      <c r="AQ183" s="512"/>
      <c r="AR183" s="512"/>
      <c r="AS183" s="512"/>
      <c r="AT183" s="512"/>
      <c r="AU183" s="512"/>
      <c r="AV183" s="513"/>
      <c r="AW183" s="513"/>
      <c r="AX183" s="473" t="str">
        <f t="shared" si="24"/>
        <v xml:space="preserve"> ,</v>
      </c>
      <c r="AY183" s="473" t="str">
        <f t="shared" si="25"/>
        <v xml:space="preserve"> / </v>
      </c>
      <c r="AZ183" s="474"/>
      <c r="BA183" s="475"/>
      <c r="BB183" s="474"/>
      <c r="BC183" s="514"/>
      <c r="BD183" s="475"/>
      <c r="BE183" s="514"/>
    </row>
    <row r="184" spans="1:57" s="515" customFormat="1" ht="21.6" customHeight="1">
      <c r="A184" s="341">
        <f t="shared" si="26"/>
        <v>179</v>
      </c>
      <c r="B184" s="516"/>
      <c r="C184" s="504"/>
      <c r="D184" s="505"/>
      <c r="E184" s="238"/>
      <c r="F184" s="461" t="s">
        <v>624</v>
      </c>
      <c r="G184" s="506"/>
      <c r="H184" s="507"/>
      <c r="I184" s="507"/>
      <c r="J184" s="508"/>
      <c r="K184" s="462"/>
      <c r="L184" s="508"/>
      <c r="M184" s="509"/>
      <c r="N184" s="346"/>
      <c r="O184" s="412"/>
      <c r="P184" s="413"/>
      <c r="Q184" s="464"/>
      <c r="R184" s="465">
        <f>IFERROR(VLOOKUP(1,'Data Validation'!$O$2:$P$25,2,FALSE),"")</f>
        <v>45906</v>
      </c>
      <c r="S184" s="465" t="str">
        <f>IFERROR(VLOOKUP($P184,'Data Validation'!$O$2:$P$25,2,FALSE),"")</f>
        <v/>
      </c>
      <c r="T184" s="419" t="e">
        <f ca="1">INDEX(INDIRECT(INDEX(ControlRoom[اجمالي الالتزام],MATCH(تفصيلي!Q184,Control!$B$2:$B$12,0))),MATCH(CONCATENATE(O184,P184),INDIRECT(INDEX(ControlRoom[المبلغ],MATCH(تفصيلي!Q184,ControlRoom[التمويل],0))),0))</f>
        <v>#N/A</v>
      </c>
      <c r="U184" s="419" t="e">
        <f ca="1">INDEX(INDIRECT(INDEX(ControlRoom[القسط الشهري],MATCH(تفصيلي!Q184,Control!$B$2:$B$12,0))),MATCH(CONCATENATE(O184,P184),INDIRECT(INDEX(ControlRoom[المبلغ],MATCH(تفصيلي!Q184,ControlRoom[التمويل],0))),0))</f>
        <v>#N/A</v>
      </c>
      <c r="V184" s="420" t="e">
        <f>INDEX(ControlRoom[[فائدة أ]:[فائدة ج]],MATCH(تفصيلي!Q184,ControlRoom[التمويل],0),MATCH(IF(AND(تفصيلي!O184&gt;=Control!$N$2,تفصيلي!O184&lt;=Control!$O$2),Control!$P$2,IF(AND(تفصيلي!O184&gt;=Control!$N$3,تفصيلي!O184&lt;=Control!$O$3),Control!$P$3,IF(AND(تفصيلي!O184&gt;=Control!$N$4,تفصيلي!O184&lt;=Control!$O$4),Control!$P$4,"Out Of Range"))),ControlRoom[[#Headers],[فائدة أ]:[فائدة ج]],0))</f>
        <v>#N/A</v>
      </c>
      <c r="W184" s="419"/>
      <c r="X184" s="466">
        <f t="shared" si="18"/>
        <v>0</v>
      </c>
      <c r="Y184" s="510"/>
      <c r="Z184" s="302">
        <f t="shared" si="19"/>
        <v>0</v>
      </c>
      <c r="AA184" s="166"/>
      <c r="AB184" s="167" t="s">
        <v>624</v>
      </c>
      <c r="AC184" s="167">
        <f t="shared" si="20"/>
        <v>0</v>
      </c>
      <c r="AD184" s="169">
        <f t="shared" si="21"/>
        <v>0</v>
      </c>
      <c r="AE184" s="511"/>
      <c r="AF184" s="303">
        <f t="shared" si="22"/>
        <v>0</v>
      </c>
      <c r="AG184" s="185"/>
      <c r="AH184" s="174" t="s">
        <v>624</v>
      </c>
      <c r="AI184" s="169">
        <f t="shared" si="23"/>
        <v>0</v>
      </c>
      <c r="AJ184" s="182"/>
      <c r="AK184" s="182"/>
      <c r="AL184" s="186"/>
      <c r="AM184" s="187"/>
      <c r="AN184" s="182"/>
      <c r="AO184" s="182"/>
      <c r="AP184" s="467"/>
      <c r="AQ184" s="512"/>
      <c r="AR184" s="512"/>
      <c r="AS184" s="512"/>
      <c r="AT184" s="512"/>
      <c r="AU184" s="512"/>
      <c r="AV184" s="513"/>
      <c r="AW184" s="513"/>
      <c r="AX184" s="473" t="str">
        <f t="shared" si="24"/>
        <v xml:space="preserve"> ,</v>
      </c>
      <c r="AY184" s="473" t="str">
        <f t="shared" si="25"/>
        <v xml:space="preserve"> / </v>
      </c>
      <c r="AZ184" s="474"/>
      <c r="BA184" s="475"/>
      <c r="BB184" s="474"/>
      <c r="BC184" s="514"/>
      <c r="BD184" s="475"/>
      <c r="BE184" s="514"/>
    </row>
    <row r="185" spans="1:57" s="515" customFormat="1" ht="21.6" customHeight="1">
      <c r="A185" s="341">
        <f t="shared" si="26"/>
        <v>180</v>
      </c>
      <c r="B185" s="516"/>
      <c r="C185" s="504"/>
      <c r="D185" s="505"/>
      <c r="E185" s="238"/>
      <c r="F185" s="461" t="s">
        <v>624</v>
      </c>
      <c r="G185" s="506"/>
      <c r="H185" s="507"/>
      <c r="I185" s="507"/>
      <c r="J185" s="508"/>
      <c r="K185" s="462"/>
      <c r="L185" s="508"/>
      <c r="M185" s="509"/>
      <c r="N185" s="346"/>
      <c r="O185" s="412"/>
      <c r="P185" s="413"/>
      <c r="Q185" s="464"/>
      <c r="R185" s="465">
        <f>IFERROR(VLOOKUP(1,'Data Validation'!$O$2:$P$25,2,FALSE),"")</f>
        <v>45906</v>
      </c>
      <c r="S185" s="465" t="str">
        <f>IFERROR(VLOOKUP($P185,'Data Validation'!$O$2:$P$25,2,FALSE),"")</f>
        <v/>
      </c>
      <c r="T185" s="419" t="e">
        <f ca="1">INDEX(INDIRECT(INDEX(ControlRoom[اجمالي الالتزام],MATCH(تفصيلي!Q185,Control!$B$2:$B$12,0))),MATCH(CONCATENATE(O185,P185),INDIRECT(INDEX(ControlRoom[المبلغ],MATCH(تفصيلي!Q185,ControlRoom[التمويل],0))),0))</f>
        <v>#N/A</v>
      </c>
      <c r="U185" s="419" t="e">
        <f ca="1">INDEX(INDIRECT(INDEX(ControlRoom[القسط الشهري],MATCH(تفصيلي!Q185,Control!$B$2:$B$12,0))),MATCH(CONCATENATE(O185,P185),INDIRECT(INDEX(ControlRoom[المبلغ],MATCH(تفصيلي!Q185,ControlRoom[التمويل],0))),0))</f>
        <v>#N/A</v>
      </c>
      <c r="V185" s="420" t="e">
        <f>INDEX(ControlRoom[[فائدة أ]:[فائدة ج]],MATCH(تفصيلي!Q185,ControlRoom[التمويل],0),MATCH(IF(AND(تفصيلي!O185&gt;=Control!$N$2,تفصيلي!O185&lt;=Control!$O$2),Control!$P$2,IF(AND(تفصيلي!O185&gt;=Control!$N$3,تفصيلي!O185&lt;=Control!$O$3),Control!$P$3,IF(AND(تفصيلي!O185&gt;=Control!$N$4,تفصيلي!O185&lt;=Control!$O$4),Control!$P$4,"Out Of Range"))),ControlRoom[[#Headers],[فائدة أ]:[فائدة ج]],0))</f>
        <v>#N/A</v>
      </c>
      <c r="W185" s="419"/>
      <c r="X185" s="466">
        <f t="shared" si="18"/>
        <v>0</v>
      </c>
      <c r="Y185" s="510"/>
      <c r="Z185" s="302">
        <f t="shared" si="19"/>
        <v>0</v>
      </c>
      <c r="AA185" s="166"/>
      <c r="AB185" s="167" t="s">
        <v>624</v>
      </c>
      <c r="AC185" s="167">
        <f t="shared" si="20"/>
        <v>0</v>
      </c>
      <c r="AD185" s="169">
        <f t="shared" si="21"/>
        <v>0</v>
      </c>
      <c r="AE185" s="511"/>
      <c r="AF185" s="303">
        <f t="shared" si="22"/>
        <v>0</v>
      </c>
      <c r="AG185" s="185"/>
      <c r="AH185" s="174" t="s">
        <v>624</v>
      </c>
      <c r="AI185" s="169">
        <f t="shared" si="23"/>
        <v>0</v>
      </c>
      <c r="AJ185" s="182"/>
      <c r="AK185" s="182"/>
      <c r="AL185" s="186"/>
      <c r="AM185" s="187"/>
      <c r="AN185" s="182"/>
      <c r="AO185" s="182"/>
      <c r="AP185" s="467"/>
      <c r="AQ185" s="512"/>
      <c r="AR185" s="512"/>
      <c r="AS185" s="512"/>
      <c r="AT185" s="512"/>
      <c r="AU185" s="512"/>
      <c r="AV185" s="513"/>
      <c r="AW185" s="513"/>
      <c r="AX185" s="473" t="str">
        <f t="shared" si="24"/>
        <v xml:space="preserve"> ,</v>
      </c>
      <c r="AY185" s="473" t="str">
        <f t="shared" si="25"/>
        <v xml:space="preserve"> / </v>
      </c>
      <c r="AZ185" s="474"/>
      <c r="BA185" s="475"/>
      <c r="BB185" s="474"/>
      <c r="BC185" s="514"/>
      <c r="BD185" s="475"/>
      <c r="BE185" s="514"/>
    </row>
    <row r="186" spans="1:57" s="515" customFormat="1" ht="21.6" customHeight="1">
      <c r="A186" s="341">
        <f t="shared" si="26"/>
        <v>181</v>
      </c>
      <c r="B186" s="516"/>
      <c r="C186" s="504"/>
      <c r="D186" s="505"/>
      <c r="E186" s="238"/>
      <c r="F186" s="461" t="s">
        <v>624</v>
      </c>
      <c r="G186" s="506"/>
      <c r="H186" s="507"/>
      <c r="I186" s="507"/>
      <c r="J186" s="508"/>
      <c r="K186" s="462"/>
      <c r="L186" s="508"/>
      <c r="M186" s="509"/>
      <c r="N186" s="346"/>
      <c r="O186" s="412"/>
      <c r="P186" s="413"/>
      <c r="Q186" s="464"/>
      <c r="R186" s="465">
        <f>IFERROR(VLOOKUP(1,'Data Validation'!$O$2:$P$25,2,FALSE),"")</f>
        <v>45906</v>
      </c>
      <c r="S186" s="465" t="str">
        <f>IFERROR(VLOOKUP($P186,'Data Validation'!$O$2:$P$25,2,FALSE),"")</f>
        <v/>
      </c>
      <c r="T186" s="419" t="e">
        <f ca="1">INDEX(INDIRECT(INDEX(ControlRoom[اجمالي الالتزام],MATCH(تفصيلي!Q186,Control!$B$2:$B$12,0))),MATCH(CONCATENATE(O186,P186),INDIRECT(INDEX(ControlRoom[المبلغ],MATCH(تفصيلي!Q186,ControlRoom[التمويل],0))),0))</f>
        <v>#N/A</v>
      </c>
      <c r="U186" s="419" t="e">
        <f ca="1">INDEX(INDIRECT(INDEX(ControlRoom[القسط الشهري],MATCH(تفصيلي!Q186,Control!$B$2:$B$12,0))),MATCH(CONCATENATE(O186,P186),INDIRECT(INDEX(ControlRoom[المبلغ],MATCH(تفصيلي!Q186,ControlRoom[التمويل],0))),0))</f>
        <v>#N/A</v>
      </c>
      <c r="V186" s="420" t="e">
        <f>INDEX(ControlRoom[[فائدة أ]:[فائدة ج]],MATCH(تفصيلي!Q186,ControlRoom[التمويل],0),MATCH(IF(AND(تفصيلي!O186&gt;=Control!$N$2,تفصيلي!O186&lt;=Control!$O$2),Control!$P$2,IF(AND(تفصيلي!O186&gt;=Control!$N$3,تفصيلي!O186&lt;=Control!$O$3),Control!$P$3,IF(AND(تفصيلي!O186&gt;=Control!$N$4,تفصيلي!O186&lt;=Control!$O$4),Control!$P$4,"Out Of Range"))),ControlRoom[[#Headers],[فائدة أ]:[فائدة ج]],0))</f>
        <v>#N/A</v>
      </c>
      <c r="W186" s="419"/>
      <c r="X186" s="466">
        <f t="shared" si="18"/>
        <v>0</v>
      </c>
      <c r="Y186" s="510"/>
      <c r="Z186" s="302">
        <f t="shared" si="19"/>
        <v>0</v>
      </c>
      <c r="AA186" s="166"/>
      <c r="AB186" s="167" t="s">
        <v>624</v>
      </c>
      <c r="AC186" s="167">
        <f t="shared" si="20"/>
        <v>0</v>
      </c>
      <c r="AD186" s="169">
        <f t="shared" si="21"/>
        <v>0</v>
      </c>
      <c r="AE186" s="511"/>
      <c r="AF186" s="303">
        <f t="shared" si="22"/>
        <v>0</v>
      </c>
      <c r="AG186" s="185"/>
      <c r="AH186" s="174" t="s">
        <v>624</v>
      </c>
      <c r="AI186" s="169">
        <f t="shared" si="23"/>
        <v>0</v>
      </c>
      <c r="AJ186" s="182"/>
      <c r="AK186" s="182"/>
      <c r="AL186" s="186"/>
      <c r="AM186" s="187"/>
      <c r="AN186" s="182"/>
      <c r="AO186" s="182"/>
      <c r="AP186" s="467"/>
      <c r="AQ186" s="512"/>
      <c r="AR186" s="512"/>
      <c r="AS186" s="512"/>
      <c r="AT186" s="512"/>
      <c r="AU186" s="512"/>
      <c r="AV186" s="513"/>
      <c r="AW186" s="513"/>
      <c r="AX186" s="473" t="str">
        <f t="shared" si="24"/>
        <v xml:space="preserve"> ,</v>
      </c>
      <c r="AY186" s="473" t="str">
        <f t="shared" si="25"/>
        <v xml:space="preserve"> / </v>
      </c>
      <c r="AZ186" s="474"/>
      <c r="BA186" s="475"/>
      <c r="BB186" s="474"/>
      <c r="BC186" s="514"/>
      <c r="BD186" s="475"/>
      <c r="BE186" s="514"/>
    </row>
    <row r="187" spans="1:57" s="515" customFormat="1" ht="21.6" customHeight="1">
      <c r="A187" s="341">
        <f t="shared" si="26"/>
        <v>182</v>
      </c>
      <c r="B187" s="516"/>
      <c r="C187" s="504"/>
      <c r="D187" s="505"/>
      <c r="E187" s="238"/>
      <c r="F187" s="461" t="s">
        <v>624</v>
      </c>
      <c r="G187" s="506"/>
      <c r="H187" s="507"/>
      <c r="I187" s="507"/>
      <c r="J187" s="508"/>
      <c r="K187" s="462"/>
      <c r="L187" s="508"/>
      <c r="M187" s="509"/>
      <c r="N187" s="346"/>
      <c r="O187" s="412"/>
      <c r="P187" s="413"/>
      <c r="Q187" s="464"/>
      <c r="R187" s="465">
        <f>IFERROR(VLOOKUP(1,'Data Validation'!$O$2:$P$25,2,FALSE),"")</f>
        <v>45906</v>
      </c>
      <c r="S187" s="465" t="str">
        <f>IFERROR(VLOOKUP($P187,'Data Validation'!$O$2:$P$25,2,FALSE),"")</f>
        <v/>
      </c>
      <c r="T187" s="419" t="e">
        <f ca="1">INDEX(INDIRECT(INDEX(ControlRoom[اجمالي الالتزام],MATCH(تفصيلي!Q187,Control!$B$2:$B$12,0))),MATCH(CONCATENATE(O187,P187),INDIRECT(INDEX(ControlRoom[المبلغ],MATCH(تفصيلي!Q187,ControlRoom[التمويل],0))),0))</f>
        <v>#N/A</v>
      </c>
      <c r="U187" s="419" t="e">
        <f ca="1">INDEX(INDIRECT(INDEX(ControlRoom[القسط الشهري],MATCH(تفصيلي!Q187,Control!$B$2:$B$12,0))),MATCH(CONCATENATE(O187,P187),INDIRECT(INDEX(ControlRoom[المبلغ],MATCH(تفصيلي!Q187,ControlRoom[التمويل],0))),0))</f>
        <v>#N/A</v>
      </c>
      <c r="V187" s="420" t="e">
        <f>INDEX(ControlRoom[[فائدة أ]:[فائدة ج]],MATCH(تفصيلي!Q187,ControlRoom[التمويل],0),MATCH(IF(AND(تفصيلي!O187&gt;=Control!$N$2,تفصيلي!O187&lt;=Control!$O$2),Control!$P$2,IF(AND(تفصيلي!O187&gt;=Control!$N$3,تفصيلي!O187&lt;=Control!$O$3),Control!$P$3,IF(AND(تفصيلي!O187&gt;=Control!$N$4,تفصيلي!O187&lt;=Control!$O$4),Control!$P$4,"Out Of Range"))),ControlRoom[[#Headers],[فائدة أ]:[فائدة ج]],0))</f>
        <v>#N/A</v>
      </c>
      <c r="W187" s="419"/>
      <c r="X187" s="466">
        <f t="shared" si="18"/>
        <v>0</v>
      </c>
      <c r="Y187" s="510"/>
      <c r="Z187" s="302">
        <f t="shared" si="19"/>
        <v>0</v>
      </c>
      <c r="AA187" s="166"/>
      <c r="AB187" s="167" t="s">
        <v>624</v>
      </c>
      <c r="AC187" s="167">
        <f t="shared" si="20"/>
        <v>0</v>
      </c>
      <c r="AD187" s="169">
        <f t="shared" si="21"/>
        <v>0</v>
      </c>
      <c r="AE187" s="511"/>
      <c r="AF187" s="303">
        <f t="shared" si="22"/>
        <v>0</v>
      </c>
      <c r="AG187" s="185"/>
      <c r="AH187" s="174" t="s">
        <v>624</v>
      </c>
      <c r="AI187" s="169">
        <f t="shared" si="23"/>
        <v>0</v>
      </c>
      <c r="AJ187" s="182"/>
      <c r="AK187" s="182"/>
      <c r="AL187" s="186"/>
      <c r="AM187" s="187"/>
      <c r="AN187" s="182"/>
      <c r="AO187" s="182"/>
      <c r="AP187" s="467"/>
      <c r="AQ187" s="512"/>
      <c r="AR187" s="512"/>
      <c r="AS187" s="512"/>
      <c r="AT187" s="512"/>
      <c r="AU187" s="512"/>
      <c r="AV187" s="513"/>
      <c r="AW187" s="513"/>
      <c r="AX187" s="473" t="str">
        <f t="shared" si="24"/>
        <v xml:space="preserve"> ,</v>
      </c>
      <c r="AY187" s="473" t="str">
        <f t="shared" si="25"/>
        <v xml:space="preserve"> / </v>
      </c>
      <c r="AZ187" s="474"/>
      <c r="BA187" s="475"/>
      <c r="BB187" s="474"/>
      <c r="BC187" s="514"/>
      <c r="BD187" s="475"/>
      <c r="BE187" s="514"/>
    </row>
    <row r="188" spans="1:57" s="515" customFormat="1" ht="21.6" customHeight="1">
      <c r="A188" s="341">
        <f t="shared" si="26"/>
        <v>183</v>
      </c>
      <c r="B188" s="516"/>
      <c r="C188" s="504"/>
      <c r="D188" s="505"/>
      <c r="E188" s="238"/>
      <c r="F188" s="461" t="s">
        <v>624</v>
      </c>
      <c r="G188" s="506"/>
      <c r="H188" s="507"/>
      <c r="I188" s="507"/>
      <c r="J188" s="508"/>
      <c r="K188" s="462"/>
      <c r="L188" s="508"/>
      <c r="M188" s="509"/>
      <c r="N188" s="346"/>
      <c r="O188" s="412"/>
      <c r="P188" s="413"/>
      <c r="Q188" s="464"/>
      <c r="R188" s="465">
        <f>IFERROR(VLOOKUP(1,'Data Validation'!$O$2:$P$25,2,FALSE),"")</f>
        <v>45906</v>
      </c>
      <c r="S188" s="465" t="str">
        <f>IFERROR(VLOOKUP($P188,'Data Validation'!$O$2:$P$25,2,FALSE),"")</f>
        <v/>
      </c>
      <c r="T188" s="419" t="e">
        <f ca="1">INDEX(INDIRECT(INDEX(ControlRoom[اجمالي الالتزام],MATCH(تفصيلي!Q188,Control!$B$2:$B$12,0))),MATCH(CONCATENATE(O188,P188),INDIRECT(INDEX(ControlRoom[المبلغ],MATCH(تفصيلي!Q188,ControlRoom[التمويل],0))),0))</f>
        <v>#N/A</v>
      </c>
      <c r="U188" s="419" t="e">
        <f ca="1">INDEX(INDIRECT(INDEX(ControlRoom[القسط الشهري],MATCH(تفصيلي!Q188,Control!$B$2:$B$12,0))),MATCH(CONCATENATE(O188,P188),INDIRECT(INDEX(ControlRoom[المبلغ],MATCH(تفصيلي!Q188,ControlRoom[التمويل],0))),0))</f>
        <v>#N/A</v>
      </c>
      <c r="V188" s="420" t="e">
        <f>INDEX(ControlRoom[[فائدة أ]:[فائدة ج]],MATCH(تفصيلي!Q188,ControlRoom[التمويل],0),MATCH(IF(AND(تفصيلي!O188&gt;=Control!$N$2,تفصيلي!O188&lt;=Control!$O$2),Control!$P$2,IF(AND(تفصيلي!O188&gt;=Control!$N$3,تفصيلي!O188&lt;=Control!$O$3),Control!$P$3,IF(AND(تفصيلي!O188&gt;=Control!$N$4,تفصيلي!O188&lt;=Control!$O$4),Control!$P$4,"Out Of Range"))),ControlRoom[[#Headers],[فائدة أ]:[فائدة ج]],0))</f>
        <v>#N/A</v>
      </c>
      <c r="W188" s="419"/>
      <c r="X188" s="466">
        <f t="shared" si="18"/>
        <v>0</v>
      </c>
      <c r="Y188" s="510"/>
      <c r="Z188" s="302">
        <f t="shared" si="19"/>
        <v>0</v>
      </c>
      <c r="AA188" s="166"/>
      <c r="AB188" s="167" t="s">
        <v>624</v>
      </c>
      <c r="AC188" s="167">
        <f t="shared" si="20"/>
        <v>0</v>
      </c>
      <c r="AD188" s="169">
        <f t="shared" si="21"/>
        <v>0</v>
      </c>
      <c r="AE188" s="511"/>
      <c r="AF188" s="303">
        <f t="shared" si="22"/>
        <v>0</v>
      </c>
      <c r="AG188" s="185"/>
      <c r="AH188" s="174" t="s">
        <v>624</v>
      </c>
      <c r="AI188" s="169">
        <f t="shared" si="23"/>
        <v>0</v>
      </c>
      <c r="AJ188" s="182"/>
      <c r="AK188" s="182"/>
      <c r="AL188" s="186"/>
      <c r="AM188" s="187"/>
      <c r="AN188" s="182"/>
      <c r="AO188" s="182"/>
      <c r="AP188" s="467"/>
      <c r="AQ188" s="512"/>
      <c r="AR188" s="512"/>
      <c r="AS188" s="512"/>
      <c r="AT188" s="512"/>
      <c r="AU188" s="512"/>
      <c r="AV188" s="513"/>
      <c r="AW188" s="513"/>
      <c r="AX188" s="473" t="str">
        <f t="shared" si="24"/>
        <v xml:space="preserve"> ,</v>
      </c>
      <c r="AY188" s="473" t="str">
        <f t="shared" si="25"/>
        <v xml:space="preserve"> / </v>
      </c>
      <c r="AZ188" s="474"/>
      <c r="BA188" s="475"/>
      <c r="BB188" s="474"/>
      <c r="BC188" s="514"/>
      <c r="BD188" s="475"/>
      <c r="BE188" s="514"/>
    </row>
    <row r="189" spans="1:57" s="515" customFormat="1" ht="21.6" customHeight="1">
      <c r="A189" s="341">
        <f t="shared" si="26"/>
        <v>184</v>
      </c>
      <c r="B189" s="516"/>
      <c r="C189" s="504"/>
      <c r="D189" s="505"/>
      <c r="E189" s="238"/>
      <c r="F189" s="461" t="s">
        <v>624</v>
      </c>
      <c r="G189" s="506"/>
      <c r="H189" s="507"/>
      <c r="I189" s="507"/>
      <c r="J189" s="508"/>
      <c r="K189" s="462"/>
      <c r="L189" s="508"/>
      <c r="M189" s="509"/>
      <c r="N189" s="346"/>
      <c r="O189" s="412"/>
      <c r="P189" s="413"/>
      <c r="Q189" s="464"/>
      <c r="R189" s="465">
        <f>IFERROR(VLOOKUP(1,'Data Validation'!$O$2:$P$25,2,FALSE),"")</f>
        <v>45906</v>
      </c>
      <c r="S189" s="465" t="str">
        <f>IFERROR(VLOOKUP($P189,'Data Validation'!$O$2:$P$25,2,FALSE),"")</f>
        <v/>
      </c>
      <c r="T189" s="419" t="e">
        <f ca="1">INDEX(INDIRECT(INDEX(ControlRoom[اجمالي الالتزام],MATCH(تفصيلي!Q189,Control!$B$2:$B$12,0))),MATCH(CONCATENATE(O189,P189),INDIRECT(INDEX(ControlRoom[المبلغ],MATCH(تفصيلي!Q189,ControlRoom[التمويل],0))),0))</f>
        <v>#N/A</v>
      </c>
      <c r="U189" s="419" t="e">
        <f ca="1">INDEX(INDIRECT(INDEX(ControlRoom[القسط الشهري],MATCH(تفصيلي!Q189,Control!$B$2:$B$12,0))),MATCH(CONCATENATE(O189,P189),INDIRECT(INDEX(ControlRoom[المبلغ],MATCH(تفصيلي!Q189,ControlRoom[التمويل],0))),0))</f>
        <v>#N/A</v>
      </c>
      <c r="V189" s="420" t="e">
        <f>INDEX(ControlRoom[[فائدة أ]:[فائدة ج]],MATCH(تفصيلي!Q189,ControlRoom[التمويل],0),MATCH(IF(AND(تفصيلي!O189&gt;=Control!$N$2,تفصيلي!O189&lt;=Control!$O$2),Control!$P$2,IF(AND(تفصيلي!O189&gt;=Control!$N$3,تفصيلي!O189&lt;=Control!$O$3),Control!$P$3,IF(AND(تفصيلي!O189&gt;=Control!$N$4,تفصيلي!O189&lt;=Control!$O$4),Control!$P$4,"Out Of Range"))),ControlRoom[[#Headers],[فائدة أ]:[فائدة ج]],0))</f>
        <v>#N/A</v>
      </c>
      <c r="W189" s="419"/>
      <c r="X189" s="466">
        <f t="shared" si="18"/>
        <v>0</v>
      </c>
      <c r="Y189" s="510"/>
      <c r="Z189" s="302">
        <f t="shared" si="19"/>
        <v>0</v>
      </c>
      <c r="AA189" s="166"/>
      <c r="AB189" s="167" t="s">
        <v>624</v>
      </c>
      <c r="AC189" s="167">
        <f t="shared" si="20"/>
        <v>0</v>
      </c>
      <c r="AD189" s="169">
        <f t="shared" si="21"/>
        <v>0</v>
      </c>
      <c r="AE189" s="511"/>
      <c r="AF189" s="303">
        <f t="shared" si="22"/>
        <v>0</v>
      </c>
      <c r="AG189" s="185"/>
      <c r="AH189" s="174" t="s">
        <v>624</v>
      </c>
      <c r="AI189" s="169">
        <f t="shared" si="23"/>
        <v>0</v>
      </c>
      <c r="AJ189" s="182"/>
      <c r="AK189" s="182"/>
      <c r="AL189" s="186"/>
      <c r="AM189" s="187"/>
      <c r="AN189" s="182"/>
      <c r="AO189" s="182"/>
      <c r="AP189" s="467"/>
      <c r="AQ189" s="512"/>
      <c r="AR189" s="512"/>
      <c r="AS189" s="512"/>
      <c r="AT189" s="512"/>
      <c r="AU189" s="512"/>
      <c r="AV189" s="513"/>
      <c r="AW189" s="513"/>
      <c r="AX189" s="473" t="str">
        <f t="shared" si="24"/>
        <v xml:space="preserve"> ,</v>
      </c>
      <c r="AY189" s="473" t="str">
        <f t="shared" si="25"/>
        <v xml:space="preserve"> / </v>
      </c>
      <c r="AZ189" s="474"/>
      <c r="BA189" s="475"/>
      <c r="BB189" s="474"/>
      <c r="BC189" s="514"/>
      <c r="BD189" s="475"/>
      <c r="BE189" s="514"/>
    </row>
    <row r="190" spans="1:57" s="515" customFormat="1" ht="21.6" customHeight="1">
      <c r="A190" s="341">
        <f t="shared" si="26"/>
        <v>185</v>
      </c>
      <c r="B190" s="516"/>
      <c r="C190" s="504"/>
      <c r="D190" s="505"/>
      <c r="E190" s="238"/>
      <c r="F190" s="461" t="s">
        <v>624</v>
      </c>
      <c r="G190" s="506"/>
      <c r="H190" s="507"/>
      <c r="I190" s="507"/>
      <c r="J190" s="508"/>
      <c r="K190" s="462"/>
      <c r="L190" s="508"/>
      <c r="M190" s="509"/>
      <c r="N190" s="346"/>
      <c r="O190" s="412"/>
      <c r="P190" s="413"/>
      <c r="Q190" s="464"/>
      <c r="R190" s="465">
        <f>IFERROR(VLOOKUP(1,'Data Validation'!$O$2:$P$25,2,FALSE),"")</f>
        <v>45906</v>
      </c>
      <c r="S190" s="465" t="str">
        <f>IFERROR(VLOOKUP($P190,'Data Validation'!$O$2:$P$25,2,FALSE),"")</f>
        <v/>
      </c>
      <c r="T190" s="419" t="e">
        <f ca="1">INDEX(INDIRECT(INDEX(ControlRoom[اجمالي الالتزام],MATCH(تفصيلي!Q190,Control!$B$2:$B$12,0))),MATCH(CONCATENATE(O190,P190),INDIRECT(INDEX(ControlRoom[المبلغ],MATCH(تفصيلي!Q190,ControlRoom[التمويل],0))),0))</f>
        <v>#N/A</v>
      </c>
      <c r="U190" s="419" t="e">
        <f ca="1">INDEX(INDIRECT(INDEX(ControlRoom[القسط الشهري],MATCH(تفصيلي!Q190,Control!$B$2:$B$12,0))),MATCH(CONCATENATE(O190,P190),INDIRECT(INDEX(ControlRoom[المبلغ],MATCH(تفصيلي!Q190,ControlRoom[التمويل],0))),0))</f>
        <v>#N/A</v>
      </c>
      <c r="V190" s="420" t="e">
        <f>INDEX(ControlRoom[[فائدة أ]:[فائدة ج]],MATCH(تفصيلي!Q190,ControlRoom[التمويل],0),MATCH(IF(AND(تفصيلي!O190&gt;=Control!$N$2,تفصيلي!O190&lt;=Control!$O$2),Control!$P$2,IF(AND(تفصيلي!O190&gt;=Control!$N$3,تفصيلي!O190&lt;=Control!$O$3),Control!$P$3,IF(AND(تفصيلي!O190&gt;=Control!$N$4,تفصيلي!O190&lt;=Control!$O$4),Control!$P$4,"Out Of Range"))),ControlRoom[[#Headers],[فائدة أ]:[فائدة ج]],0))</f>
        <v>#N/A</v>
      </c>
      <c r="W190" s="419"/>
      <c r="X190" s="466">
        <f t="shared" si="18"/>
        <v>0</v>
      </c>
      <c r="Y190" s="510"/>
      <c r="Z190" s="302">
        <f t="shared" si="19"/>
        <v>0</v>
      </c>
      <c r="AA190" s="166"/>
      <c r="AB190" s="167" t="s">
        <v>624</v>
      </c>
      <c r="AC190" s="167">
        <f t="shared" si="20"/>
        <v>0</v>
      </c>
      <c r="AD190" s="169">
        <f t="shared" si="21"/>
        <v>0</v>
      </c>
      <c r="AE190" s="511"/>
      <c r="AF190" s="303">
        <f t="shared" si="22"/>
        <v>0</v>
      </c>
      <c r="AG190" s="185"/>
      <c r="AH190" s="174" t="s">
        <v>624</v>
      </c>
      <c r="AI190" s="169">
        <f t="shared" si="23"/>
        <v>0</v>
      </c>
      <c r="AJ190" s="182"/>
      <c r="AK190" s="182"/>
      <c r="AL190" s="186"/>
      <c r="AM190" s="187"/>
      <c r="AN190" s="182"/>
      <c r="AO190" s="182"/>
      <c r="AP190" s="467"/>
      <c r="AQ190" s="512"/>
      <c r="AR190" s="512"/>
      <c r="AS190" s="512"/>
      <c r="AT190" s="512"/>
      <c r="AU190" s="512"/>
      <c r="AV190" s="513"/>
      <c r="AW190" s="513"/>
      <c r="AX190" s="473" t="str">
        <f t="shared" si="24"/>
        <v xml:space="preserve"> ,</v>
      </c>
      <c r="AY190" s="473" t="str">
        <f t="shared" si="25"/>
        <v xml:space="preserve"> / </v>
      </c>
      <c r="AZ190" s="474"/>
      <c r="BA190" s="475"/>
      <c r="BB190" s="474"/>
      <c r="BC190" s="514"/>
      <c r="BD190" s="475"/>
      <c r="BE190" s="514"/>
    </row>
    <row r="191" spans="1:57" s="515" customFormat="1" ht="21.6" customHeight="1">
      <c r="A191" s="341">
        <f t="shared" si="26"/>
        <v>186</v>
      </c>
      <c r="B191" s="516"/>
      <c r="C191" s="504"/>
      <c r="D191" s="505"/>
      <c r="E191" s="238"/>
      <c r="F191" s="461" t="s">
        <v>624</v>
      </c>
      <c r="G191" s="506"/>
      <c r="H191" s="507"/>
      <c r="I191" s="507"/>
      <c r="J191" s="508"/>
      <c r="K191" s="462"/>
      <c r="L191" s="508"/>
      <c r="M191" s="509"/>
      <c r="N191" s="346"/>
      <c r="O191" s="412"/>
      <c r="P191" s="413"/>
      <c r="Q191" s="464"/>
      <c r="R191" s="465">
        <f>IFERROR(VLOOKUP(1,'Data Validation'!$O$2:$P$25,2,FALSE),"")</f>
        <v>45906</v>
      </c>
      <c r="S191" s="465" t="str">
        <f>IFERROR(VLOOKUP($P191,'Data Validation'!$O$2:$P$25,2,FALSE),"")</f>
        <v/>
      </c>
      <c r="T191" s="419" t="e">
        <f ca="1">INDEX(INDIRECT(INDEX(ControlRoom[اجمالي الالتزام],MATCH(تفصيلي!Q191,Control!$B$2:$B$12,0))),MATCH(CONCATENATE(O191,P191),INDIRECT(INDEX(ControlRoom[المبلغ],MATCH(تفصيلي!Q191,ControlRoom[التمويل],0))),0))</f>
        <v>#N/A</v>
      </c>
      <c r="U191" s="419" t="e">
        <f ca="1">INDEX(INDIRECT(INDEX(ControlRoom[القسط الشهري],MATCH(تفصيلي!Q191,Control!$B$2:$B$12,0))),MATCH(CONCATENATE(O191,P191),INDIRECT(INDEX(ControlRoom[المبلغ],MATCH(تفصيلي!Q191,ControlRoom[التمويل],0))),0))</f>
        <v>#N/A</v>
      </c>
      <c r="V191" s="420" t="e">
        <f>INDEX(ControlRoom[[فائدة أ]:[فائدة ج]],MATCH(تفصيلي!Q191,ControlRoom[التمويل],0),MATCH(IF(AND(تفصيلي!O191&gt;=Control!$N$2,تفصيلي!O191&lt;=Control!$O$2),Control!$P$2,IF(AND(تفصيلي!O191&gt;=Control!$N$3,تفصيلي!O191&lt;=Control!$O$3),Control!$P$3,IF(AND(تفصيلي!O191&gt;=Control!$N$4,تفصيلي!O191&lt;=Control!$O$4),Control!$P$4,"Out Of Range"))),ControlRoom[[#Headers],[فائدة أ]:[فائدة ج]],0))</f>
        <v>#N/A</v>
      </c>
      <c r="W191" s="419"/>
      <c r="X191" s="466">
        <f t="shared" si="18"/>
        <v>0</v>
      </c>
      <c r="Y191" s="510"/>
      <c r="Z191" s="302">
        <f t="shared" si="19"/>
        <v>0</v>
      </c>
      <c r="AA191" s="166"/>
      <c r="AB191" s="167" t="s">
        <v>624</v>
      </c>
      <c r="AC191" s="167">
        <f t="shared" si="20"/>
        <v>0</v>
      </c>
      <c r="AD191" s="169">
        <f t="shared" si="21"/>
        <v>0</v>
      </c>
      <c r="AE191" s="511"/>
      <c r="AF191" s="303">
        <f t="shared" si="22"/>
        <v>0</v>
      </c>
      <c r="AG191" s="185"/>
      <c r="AH191" s="174" t="s">
        <v>624</v>
      </c>
      <c r="AI191" s="169">
        <f t="shared" si="23"/>
        <v>0</v>
      </c>
      <c r="AJ191" s="182"/>
      <c r="AK191" s="182"/>
      <c r="AL191" s="186"/>
      <c r="AM191" s="187"/>
      <c r="AN191" s="182"/>
      <c r="AO191" s="182"/>
      <c r="AP191" s="467"/>
      <c r="AQ191" s="512"/>
      <c r="AR191" s="512"/>
      <c r="AS191" s="512"/>
      <c r="AT191" s="512"/>
      <c r="AU191" s="512"/>
      <c r="AV191" s="513"/>
      <c r="AW191" s="513"/>
      <c r="AX191" s="473" t="str">
        <f t="shared" si="24"/>
        <v xml:space="preserve"> ,</v>
      </c>
      <c r="AY191" s="473" t="str">
        <f t="shared" si="25"/>
        <v xml:space="preserve"> / </v>
      </c>
      <c r="AZ191" s="474"/>
      <c r="BA191" s="475"/>
      <c r="BB191" s="474"/>
      <c r="BC191" s="514"/>
      <c r="BD191" s="475"/>
      <c r="BE191" s="514"/>
    </row>
    <row r="192" spans="1:57" s="515" customFormat="1" ht="21.6" customHeight="1">
      <c r="A192" s="341">
        <f t="shared" si="26"/>
        <v>187</v>
      </c>
      <c r="B192" s="516"/>
      <c r="C192" s="504"/>
      <c r="D192" s="505"/>
      <c r="E192" s="238"/>
      <c r="F192" s="461" t="s">
        <v>624</v>
      </c>
      <c r="G192" s="506"/>
      <c r="H192" s="507"/>
      <c r="I192" s="507"/>
      <c r="J192" s="508"/>
      <c r="K192" s="462"/>
      <c r="L192" s="508"/>
      <c r="M192" s="509"/>
      <c r="N192" s="346"/>
      <c r="O192" s="412"/>
      <c r="P192" s="413"/>
      <c r="Q192" s="464"/>
      <c r="R192" s="465">
        <f>IFERROR(VLOOKUP(1,'Data Validation'!$O$2:$P$25,2,FALSE),"")</f>
        <v>45906</v>
      </c>
      <c r="S192" s="465" t="str">
        <f>IFERROR(VLOOKUP($P192,'Data Validation'!$O$2:$P$25,2,FALSE),"")</f>
        <v/>
      </c>
      <c r="T192" s="419" t="e">
        <f ca="1">INDEX(INDIRECT(INDEX(ControlRoom[اجمالي الالتزام],MATCH(تفصيلي!Q192,Control!$B$2:$B$12,0))),MATCH(CONCATENATE(O192,P192),INDIRECT(INDEX(ControlRoom[المبلغ],MATCH(تفصيلي!Q192,ControlRoom[التمويل],0))),0))</f>
        <v>#N/A</v>
      </c>
      <c r="U192" s="419" t="e">
        <f ca="1">INDEX(INDIRECT(INDEX(ControlRoom[القسط الشهري],MATCH(تفصيلي!Q192,Control!$B$2:$B$12,0))),MATCH(CONCATENATE(O192,P192),INDIRECT(INDEX(ControlRoom[المبلغ],MATCH(تفصيلي!Q192,ControlRoom[التمويل],0))),0))</f>
        <v>#N/A</v>
      </c>
      <c r="V192" s="420" t="e">
        <f>INDEX(ControlRoom[[فائدة أ]:[فائدة ج]],MATCH(تفصيلي!Q192,ControlRoom[التمويل],0),MATCH(IF(AND(تفصيلي!O192&gt;=Control!$N$2,تفصيلي!O192&lt;=Control!$O$2),Control!$P$2,IF(AND(تفصيلي!O192&gt;=Control!$N$3,تفصيلي!O192&lt;=Control!$O$3),Control!$P$3,IF(AND(تفصيلي!O192&gt;=Control!$N$4,تفصيلي!O192&lt;=Control!$O$4),Control!$P$4,"Out Of Range"))),ControlRoom[[#Headers],[فائدة أ]:[فائدة ج]],0))</f>
        <v>#N/A</v>
      </c>
      <c r="W192" s="419"/>
      <c r="X192" s="466">
        <f t="shared" si="18"/>
        <v>0</v>
      </c>
      <c r="Y192" s="510"/>
      <c r="Z192" s="302">
        <f t="shared" si="19"/>
        <v>0</v>
      </c>
      <c r="AA192" s="166"/>
      <c r="AB192" s="167" t="s">
        <v>624</v>
      </c>
      <c r="AC192" s="167">
        <f t="shared" si="20"/>
        <v>0</v>
      </c>
      <c r="AD192" s="169">
        <f t="shared" si="21"/>
        <v>0</v>
      </c>
      <c r="AE192" s="511"/>
      <c r="AF192" s="303">
        <f t="shared" si="22"/>
        <v>0</v>
      </c>
      <c r="AG192" s="185"/>
      <c r="AH192" s="174" t="s">
        <v>624</v>
      </c>
      <c r="AI192" s="169">
        <f t="shared" si="23"/>
        <v>0</v>
      </c>
      <c r="AJ192" s="182"/>
      <c r="AK192" s="182"/>
      <c r="AL192" s="186"/>
      <c r="AM192" s="187"/>
      <c r="AN192" s="182"/>
      <c r="AO192" s="182"/>
      <c r="AP192" s="467"/>
      <c r="AQ192" s="512"/>
      <c r="AR192" s="512"/>
      <c r="AS192" s="512"/>
      <c r="AT192" s="512"/>
      <c r="AU192" s="512"/>
      <c r="AV192" s="513"/>
      <c r="AW192" s="513"/>
      <c r="AX192" s="473" t="str">
        <f t="shared" si="24"/>
        <v xml:space="preserve"> ,</v>
      </c>
      <c r="AY192" s="473" t="str">
        <f t="shared" si="25"/>
        <v xml:space="preserve"> / </v>
      </c>
      <c r="AZ192" s="474"/>
      <c r="BA192" s="475"/>
      <c r="BB192" s="474"/>
      <c r="BC192" s="514"/>
      <c r="BD192" s="475"/>
      <c r="BE192" s="514"/>
    </row>
    <row r="193" spans="1:57" s="515" customFormat="1" ht="21.6" customHeight="1">
      <c r="A193" s="341">
        <f t="shared" si="26"/>
        <v>188</v>
      </c>
      <c r="B193" s="516"/>
      <c r="C193" s="504"/>
      <c r="D193" s="505"/>
      <c r="E193" s="238"/>
      <c r="F193" s="461" t="s">
        <v>624</v>
      </c>
      <c r="G193" s="506"/>
      <c r="H193" s="507"/>
      <c r="I193" s="507"/>
      <c r="J193" s="508"/>
      <c r="K193" s="462"/>
      <c r="L193" s="508"/>
      <c r="M193" s="509"/>
      <c r="N193" s="346"/>
      <c r="O193" s="412"/>
      <c r="P193" s="413"/>
      <c r="Q193" s="464"/>
      <c r="R193" s="465">
        <f>IFERROR(VLOOKUP(1,'Data Validation'!$O$2:$P$25,2,FALSE),"")</f>
        <v>45906</v>
      </c>
      <c r="S193" s="465" t="str">
        <f>IFERROR(VLOOKUP($P193,'Data Validation'!$O$2:$P$25,2,FALSE),"")</f>
        <v/>
      </c>
      <c r="T193" s="419" t="e">
        <f ca="1">INDEX(INDIRECT(INDEX(ControlRoom[اجمالي الالتزام],MATCH(تفصيلي!Q193,Control!$B$2:$B$12,0))),MATCH(CONCATENATE(O193,P193),INDIRECT(INDEX(ControlRoom[المبلغ],MATCH(تفصيلي!Q193,ControlRoom[التمويل],0))),0))</f>
        <v>#N/A</v>
      </c>
      <c r="U193" s="419" t="e">
        <f ca="1">INDEX(INDIRECT(INDEX(ControlRoom[القسط الشهري],MATCH(تفصيلي!Q193,Control!$B$2:$B$12,0))),MATCH(CONCATENATE(O193,P193),INDIRECT(INDEX(ControlRoom[المبلغ],MATCH(تفصيلي!Q193,ControlRoom[التمويل],0))),0))</f>
        <v>#N/A</v>
      </c>
      <c r="V193" s="420" t="e">
        <f>INDEX(ControlRoom[[فائدة أ]:[فائدة ج]],MATCH(تفصيلي!Q193,ControlRoom[التمويل],0),MATCH(IF(AND(تفصيلي!O193&gt;=Control!$N$2,تفصيلي!O193&lt;=Control!$O$2),Control!$P$2,IF(AND(تفصيلي!O193&gt;=Control!$N$3,تفصيلي!O193&lt;=Control!$O$3),Control!$P$3,IF(AND(تفصيلي!O193&gt;=Control!$N$4,تفصيلي!O193&lt;=Control!$O$4),Control!$P$4,"Out Of Range"))),ControlRoom[[#Headers],[فائدة أ]:[فائدة ج]],0))</f>
        <v>#N/A</v>
      </c>
      <c r="W193" s="419"/>
      <c r="X193" s="466">
        <f t="shared" si="18"/>
        <v>0</v>
      </c>
      <c r="Y193" s="510"/>
      <c r="Z193" s="302">
        <f t="shared" si="19"/>
        <v>0</v>
      </c>
      <c r="AA193" s="166"/>
      <c r="AB193" s="167" t="s">
        <v>624</v>
      </c>
      <c r="AC193" s="167">
        <f t="shared" si="20"/>
        <v>0</v>
      </c>
      <c r="AD193" s="169">
        <f t="shared" si="21"/>
        <v>0</v>
      </c>
      <c r="AE193" s="511"/>
      <c r="AF193" s="303">
        <f t="shared" si="22"/>
        <v>0</v>
      </c>
      <c r="AG193" s="185"/>
      <c r="AH193" s="174" t="s">
        <v>624</v>
      </c>
      <c r="AI193" s="169">
        <f t="shared" si="23"/>
        <v>0</v>
      </c>
      <c r="AJ193" s="182"/>
      <c r="AK193" s="182"/>
      <c r="AL193" s="186"/>
      <c r="AM193" s="187"/>
      <c r="AN193" s="182"/>
      <c r="AO193" s="182"/>
      <c r="AP193" s="467"/>
      <c r="AQ193" s="512"/>
      <c r="AR193" s="512"/>
      <c r="AS193" s="512"/>
      <c r="AT193" s="512"/>
      <c r="AU193" s="512"/>
      <c r="AV193" s="513"/>
      <c r="AW193" s="513"/>
      <c r="AX193" s="473" t="str">
        <f t="shared" si="24"/>
        <v xml:space="preserve"> ,</v>
      </c>
      <c r="AY193" s="473" t="str">
        <f t="shared" si="25"/>
        <v xml:space="preserve"> / </v>
      </c>
      <c r="AZ193" s="474"/>
      <c r="BA193" s="475"/>
      <c r="BB193" s="474"/>
      <c r="BC193" s="514"/>
      <c r="BD193" s="475"/>
      <c r="BE193" s="514"/>
    </row>
    <row r="194" spans="1:57" s="515" customFormat="1" ht="21.6" customHeight="1">
      <c r="A194" s="341">
        <f t="shared" si="26"/>
        <v>189</v>
      </c>
      <c r="B194" s="516"/>
      <c r="C194" s="504"/>
      <c r="D194" s="505"/>
      <c r="E194" s="238"/>
      <c r="F194" s="461" t="s">
        <v>624</v>
      </c>
      <c r="G194" s="506"/>
      <c r="H194" s="507"/>
      <c r="I194" s="507"/>
      <c r="J194" s="508"/>
      <c r="K194" s="462"/>
      <c r="L194" s="508"/>
      <c r="M194" s="509"/>
      <c r="N194" s="346"/>
      <c r="O194" s="412"/>
      <c r="P194" s="413"/>
      <c r="Q194" s="464"/>
      <c r="R194" s="465">
        <f>IFERROR(VLOOKUP(1,'Data Validation'!$O$2:$P$25,2,FALSE),"")</f>
        <v>45906</v>
      </c>
      <c r="S194" s="465" t="str">
        <f>IFERROR(VLOOKUP($P194,'Data Validation'!$O$2:$P$25,2,FALSE),"")</f>
        <v/>
      </c>
      <c r="T194" s="419" t="e">
        <f ca="1">INDEX(INDIRECT(INDEX(ControlRoom[اجمالي الالتزام],MATCH(تفصيلي!Q194,Control!$B$2:$B$12,0))),MATCH(CONCATENATE(O194,P194),INDIRECT(INDEX(ControlRoom[المبلغ],MATCH(تفصيلي!Q194,ControlRoom[التمويل],0))),0))</f>
        <v>#N/A</v>
      </c>
      <c r="U194" s="419" t="e">
        <f ca="1">INDEX(INDIRECT(INDEX(ControlRoom[القسط الشهري],MATCH(تفصيلي!Q194,Control!$B$2:$B$12,0))),MATCH(CONCATENATE(O194,P194),INDIRECT(INDEX(ControlRoom[المبلغ],MATCH(تفصيلي!Q194,ControlRoom[التمويل],0))),0))</f>
        <v>#N/A</v>
      </c>
      <c r="V194" s="420" t="e">
        <f>INDEX(ControlRoom[[فائدة أ]:[فائدة ج]],MATCH(تفصيلي!Q194,ControlRoom[التمويل],0),MATCH(IF(AND(تفصيلي!O194&gt;=Control!$N$2,تفصيلي!O194&lt;=Control!$O$2),Control!$P$2,IF(AND(تفصيلي!O194&gt;=Control!$N$3,تفصيلي!O194&lt;=Control!$O$3),Control!$P$3,IF(AND(تفصيلي!O194&gt;=Control!$N$4,تفصيلي!O194&lt;=Control!$O$4),Control!$P$4,"Out Of Range"))),ControlRoom[[#Headers],[فائدة أ]:[فائدة ج]],0))</f>
        <v>#N/A</v>
      </c>
      <c r="W194" s="419"/>
      <c r="X194" s="466">
        <f t="shared" si="18"/>
        <v>0</v>
      </c>
      <c r="Y194" s="510"/>
      <c r="Z194" s="302">
        <f t="shared" si="19"/>
        <v>0</v>
      </c>
      <c r="AA194" s="166"/>
      <c r="AB194" s="167" t="s">
        <v>624</v>
      </c>
      <c r="AC194" s="167">
        <f t="shared" si="20"/>
        <v>0</v>
      </c>
      <c r="AD194" s="169">
        <f t="shared" si="21"/>
        <v>0</v>
      </c>
      <c r="AE194" s="511"/>
      <c r="AF194" s="303">
        <f t="shared" si="22"/>
        <v>0</v>
      </c>
      <c r="AG194" s="185"/>
      <c r="AH194" s="174" t="s">
        <v>624</v>
      </c>
      <c r="AI194" s="169">
        <f t="shared" si="23"/>
        <v>0</v>
      </c>
      <c r="AJ194" s="182"/>
      <c r="AK194" s="182"/>
      <c r="AL194" s="186"/>
      <c r="AM194" s="187"/>
      <c r="AN194" s="182"/>
      <c r="AO194" s="182"/>
      <c r="AP194" s="467"/>
      <c r="AQ194" s="512"/>
      <c r="AR194" s="512"/>
      <c r="AS194" s="512"/>
      <c r="AT194" s="512"/>
      <c r="AU194" s="512"/>
      <c r="AV194" s="513"/>
      <c r="AW194" s="513"/>
      <c r="AX194" s="473" t="str">
        <f t="shared" si="24"/>
        <v xml:space="preserve"> ,</v>
      </c>
      <c r="AY194" s="473" t="str">
        <f t="shared" si="25"/>
        <v xml:space="preserve"> / </v>
      </c>
      <c r="AZ194" s="474"/>
      <c r="BA194" s="475"/>
      <c r="BB194" s="474"/>
      <c r="BC194" s="514"/>
      <c r="BD194" s="475"/>
      <c r="BE194" s="514"/>
    </row>
    <row r="195" spans="1:57" s="515" customFormat="1" ht="21.6" customHeight="1">
      <c r="A195" s="341">
        <f t="shared" si="26"/>
        <v>190</v>
      </c>
      <c r="B195" s="516"/>
      <c r="C195" s="504"/>
      <c r="D195" s="505"/>
      <c r="E195" s="238"/>
      <c r="F195" s="461" t="s">
        <v>624</v>
      </c>
      <c r="G195" s="506"/>
      <c r="H195" s="507"/>
      <c r="I195" s="507"/>
      <c r="J195" s="508"/>
      <c r="K195" s="462"/>
      <c r="L195" s="508"/>
      <c r="M195" s="509"/>
      <c r="N195" s="346"/>
      <c r="O195" s="412"/>
      <c r="P195" s="413"/>
      <c r="Q195" s="464"/>
      <c r="R195" s="465">
        <f>IFERROR(VLOOKUP(1,'Data Validation'!$O$2:$P$25,2,FALSE),"")</f>
        <v>45906</v>
      </c>
      <c r="S195" s="465" t="str">
        <f>IFERROR(VLOOKUP($P195,'Data Validation'!$O$2:$P$25,2,FALSE),"")</f>
        <v/>
      </c>
      <c r="T195" s="419" t="e">
        <f ca="1">INDEX(INDIRECT(INDEX(ControlRoom[اجمالي الالتزام],MATCH(تفصيلي!Q195,Control!$B$2:$B$12,0))),MATCH(CONCATENATE(O195,P195),INDIRECT(INDEX(ControlRoom[المبلغ],MATCH(تفصيلي!Q195,ControlRoom[التمويل],0))),0))</f>
        <v>#N/A</v>
      </c>
      <c r="U195" s="419" t="e">
        <f ca="1">INDEX(INDIRECT(INDEX(ControlRoom[القسط الشهري],MATCH(تفصيلي!Q195,Control!$B$2:$B$12,0))),MATCH(CONCATENATE(O195,P195),INDIRECT(INDEX(ControlRoom[المبلغ],MATCH(تفصيلي!Q195,ControlRoom[التمويل],0))),0))</f>
        <v>#N/A</v>
      </c>
      <c r="V195" s="420" t="e">
        <f>INDEX(ControlRoom[[فائدة أ]:[فائدة ج]],MATCH(تفصيلي!Q195,ControlRoom[التمويل],0),MATCH(IF(AND(تفصيلي!O195&gt;=Control!$N$2,تفصيلي!O195&lt;=Control!$O$2),Control!$P$2,IF(AND(تفصيلي!O195&gt;=Control!$N$3,تفصيلي!O195&lt;=Control!$O$3),Control!$P$3,IF(AND(تفصيلي!O195&gt;=Control!$N$4,تفصيلي!O195&lt;=Control!$O$4),Control!$P$4,"Out Of Range"))),ControlRoom[[#Headers],[فائدة أ]:[فائدة ج]],0))</f>
        <v>#N/A</v>
      </c>
      <c r="W195" s="419"/>
      <c r="X195" s="466">
        <f t="shared" si="18"/>
        <v>0</v>
      </c>
      <c r="Y195" s="510"/>
      <c r="Z195" s="302">
        <f t="shared" si="19"/>
        <v>0</v>
      </c>
      <c r="AA195" s="166"/>
      <c r="AB195" s="167" t="s">
        <v>624</v>
      </c>
      <c r="AC195" s="167">
        <f t="shared" si="20"/>
        <v>0</v>
      </c>
      <c r="AD195" s="169">
        <f t="shared" si="21"/>
        <v>0</v>
      </c>
      <c r="AE195" s="511"/>
      <c r="AF195" s="303">
        <f t="shared" si="22"/>
        <v>0</v>
      </c>
      <c r="AG195" s="185"/>
      <c r="AH195" s="174" t="s">
        <v>624</v>
      </c>
      <c r="AI195" s="169">
        <f t="shared" si="23"/>
        <v>0</v>
      </c>
      <c r="AJ195" s="182"/>
      <c r="AK195" s="182"/>
      <c r="AL195" s="186"/>
      <c r="AM195" s="187"/>
      <c r="AN195" s="182"/>
      <c r="AO195" s="182"/>
      <c r="AP195" s="467"/>
      <c r="AQ195" s="512"/>
      <c r="AR195" s="512"/>
      <c r="AS195" s="512"/>
      <c r="AT195" s="512"/>
      <c r="AU195" s="512"/>
      <c r="AV195" s="513"/>
      <c r="AW195" s="513"/>
      <c r="AX195" s="473" t="str">
        <f t="shared" si="24"/>
        <v xml:space="preserve"> ,</v>
      </c>
      <c r="AY195" s="473" t="str">
        <f t="shared" si="25"/>
        <v xml:space="preserve"> / </v>
      </c>
      <c r="AZ195" s="474"/>
      <c r="BA195" s="475"/>
      <c r="BB195" s="474"/>
      <c r="BC195" s="514"/>
      <c r="BD195" s="475"/>
      <c r="BE195" s="514"/>
    </row>
    <row r="196" spans="1:57" s="515" customFormat="1" ht="21.6" customHeight="1">
      <c r="A196" s="341">
        <f t="shared" si="26"/>
        <v>191</v>
      </c>
      <c r="B196" s="516"/>
      <c r="C196" s="504"/>
      <c r="D196" s="505"/>
      <c r="E196" s="238"/>
      <c r="F196" s="461" t="s">
        <v>624</v>
      </c>
      <c r="G196" s="506"/>
      <c r="H196" s="507"/>
      <c r="I196" s="507"/>
      <c r="J196" s="508"/>
      <c r="K196" s="462"/>
      <c r="L196" s="508"/>
      <c r="M196" s="509"/>
      <c r="N196" s="346"/>
      <c r="O196" s="412"/>
      <c r="P196" s="413"/>
      <c r="Q196" s="464"/>
      <c r="R196" s="465">
        <f>IFERROR(VLOOKUP(1,'Data Validation'!$O$2:$P$25,2,FALSE),"")</f>
        <v>45906</v>
      </c>
      <c r="S196" s="465" t="str">
        <f>IFERROR(VLOOKUP($P196,'Data Validation'!$O$2:$P$25,2,FALSE),"")</f>
        <v/>
      </c>
      <c r="T196" s="419" t="e">
        <f ca="1">INDEX(INDIRECT(INDEX(ControlRoom[اجمالي الالتزام],MATCH(تفصيلي!Q196,Control!$B$2:$B$12,0))),MATCH(CONCATENATE(O196,P196),INDIRECT(INDEX(ControlRoom[المبلغ],MATCH(تفصيلي!Q196,ControlRoom[التمويل],0))),0))</f>
        <v>#N/A</v>
      </c>
      <c r="U196" s="419" t="e">
        <f ca="1">INDEX(INDIRECT(INDEX(ControlRoom[القسط الشهري],MATCH(تفصيلي!Q196,Control!$B$2:$B$12,0))),MATCH(CONCATENATE(O196,P196),INDIRECT(INDEX(ControlRoom[المبلغ],MATCH(تفصيلي!Q196,ControlRoom[التمويل],0))),0))</f>
        <v>#N/A</v>
      </c>
      <c r="V196" s="420" t="e">
        <f>INDEX(ControlRoom[[فائدة أ]:[فائدة ج]],MATCH(تفصيلي!Q196,ControlRoom[التمويل],0),MATCH(IF(AND(تفصيلي!O196&gt;=Control!$N$2,تفصيلي!O196&lt;=Control!$O$2),Control!$P$2,IF(AND(تفصيلي!O196&gt;=Control!$N$3,تفصيلي!O196&lt;=Control!$O$3),Control!$P$3,IF(AND(تفصيلي!O196&gt;=Control!$N$4,تفصيلي!O196&lt;=Control!$O$4),Control!$P$4,"Out Of Range"))),ControlRoom[[#Headers],[فائدة أ]:[فائدة ج]],0))</f>
        <v>#N/A</v>
      </c>
      <c r="W196" s="419"/>
      <c r="X196" s="466">
        <f t="shared" si="18"/>
        <v>0</v>
      </c>
      <c r="Y196" s="510"/>
      <c r="Z196" s="302">
        <f t="shared" si="19"/>
        <v>0</v>
      </c>
      <c r="AA196" s="166"/>
      <c r="AB196" s="167" t="s">
        <v>624</v>
      </c>
      <c r="AC196" s="167">
        <f t="shared" si="20"/>
        <v>0</v>
      </c>
      <c r="AD196" s="169">
        <f t="shared" si="21"/>
        <v>0</v>
      </c>
      <c r="AE196" s="511"/>
      <c r="AF196" s="303">
        <f t="shared" si="22"/>
        <v>0</v>
      </c>
      <c r="AG196" s="185"/>
      <c r="AH196" s="174" t="s">
        <v>624</v>
      </c>
      <c r="AI196" s="169">
        <f t="shared" si="23"/>
        <v>0</v>
      </c>
      <c r="AJ196" s="182"/>
      <c r="AK196" s="182"/>
      <c r="AL196" s="186"/>
      <c r="AM196" s="187"/>
      <c r="AN196" s="182"/>
      <c r="AO196" s="182"/>
      <c r="AP196" s="467"/>
      <c r="AQ196" s="512"/>
      <c r="AR196" s="512"/>
      <c r="AS196" s="512"/>
      <c r="AT196" s="512"/>
      <c r="AU196" s="512"/>
      <c r="AV196" s="513"/>
      <c r="AW196" s="513"/>
      <c r="AX196" s="473" t="str">
        <f t="shared" si="24"/>
        <v xml:space="preserve"> ,</v>
      </c>
      <c r="AY196" s="473" t="str">
        <f t="shared" si="25"/>
        <v xml:space="preserve"> / </v>
      </c>
      <c r="AZ196" s="474"/>
      <c r="BA196" s="475"/>
      <c r="BB196" s="474"/>
      <c r="BC196" s="514"/>
      <c r="BD196" s="475"/>
      <c r="BE196" s="514"/>
    </row>
    <row r="197" spans="1:57" s="515" customFormat="1" ht="21.6" customHeight="1">
      <c r="A197" s="341">
        <f t="shared" si="26"/>
        <v>192</v>
      </c>
      <c r="B197" s="516"/>
      <c r="C197" s="504"/>
      <c r="D197" s="505"/>
      <c r="E197" s="238"/>
      <c r="F197" s="461" t="s">
        <v>624</v>
      </c>
      <c r="G197" s="506"/>
      <c r="H197" s="507"/>
      <c r="I197" s="507"/>
      <c r="J197" s="508"/>
      <c r="K197" s="462"/>
      <c r="L197" s="508"/>
      <c r="M197" s="509"/>
      <c r="N197" s="346"/>
      <c r="O197" s="412"/>
      <c r="P197" s="413"/>
      <c r="Q197" s="464"/>
      <c r="R197" s="465">
        <f>IFERROR(VLOOKUP(1,'Data Validation'!$O$2:$P$25,2,FALSE),"")</f>
        <v>45906</v>
      </c>
      <c r="S197" s="465" t="str">
        <f>IFERROR(VLOOKUP($P197,'Data Validation'!$O$2:$P$25,2,FALSE),"")</f>
        <v/>
      </c>
      <c r="T197" s="419" t="e">
        <f ca="1">INDEX(INDIRECT(INDEX(ControlRoom[اجمالي الالتزام],MATCH(تفصيلي!Q197,Control!$B$2:$B$12,0))),MATCH(CONCATENATE(O197,P197),INDIRECT(INDEX(ControlRoom[المبلغ],MATCH(تفصيلي!Q197,ControlRoom[التمويل],0))),0))</f>
        <v>#N/A</v>
      </c>
      <c r="U197" s="419" t="e">
        <f ca="1">INDEX(INDIRECT(INDEX(ControlRoom[القسط الشهري],MATCH(تفصيلي!Q197,Control!$B$2:$B$12,0))),MATCH(CONCATENATE(O197,P197),INDIRECT(INDEX(ControlRoom[المبلغ],MATCH(تفصيلي!Q197,ControlRoom[التمويل],0))),0))</f>
        <v>#N/A</v>
      </c>
      <c r="V197" s="420" t="e">
        <f>INDEX(ControlRoom[[فائدة أ]:[فائدة ج]],MATCH(تفصيلي!Q197,ControlRoom[التمويل],0),MATCH(IF(AND(تفصيلي!O197&gt;=Control!$N$2,تفصيلي!O197&lt;=Control!$O$2),Control!$P$2,IF(AND(تفصيلي!O197&gt;=Control!$N$3,تفصيلي!O197&lt;=Control!$O$3),Control!$P$3,IF(AND(تفصيلي!O197&gt;=Control!$N$4,تفصيلي!O197&lt;=Control!$O$4),Control!$P$4,"Out Of Range"))),ControlRoom[[#Headers],[فائدة أ]:[فائدة ج]],0))</f>
        <v>#N/A</v>
      </c>
      <c r="W197" s="419"/>
      <c r="X197" s="466">
        <f t="shared" si="18"/>
        <v>0</v>
      </c>
      <c r="Y197" s="510"/>
      <c r="Z197" s="302">
        <f t="shared" si="19"/>
        <v>0</v>
      </c>
      <c r="AA197" s="166"/>
      <c r="AB197" s="167" t="s">
        <v>624</v>
      </c>
      <c r="AC197" s="167">
        <f t="shared" si="20"/>
        <v>0</v>
      </c>
      <c r="AD197" s="169">
        <f t="shared" si="21"/>
        <v>0</v>
      </c>
      <c r="AE197" s="511"/>
      <c r="AF197" s="303">
        <f t="shared" si="22"/>
        <v>0</v>
      </c>
      <c r="AG197" s="185"/>
      <c r="AH197" s="174" t="s">
        <v>624</v>
      </c>
      <c r="AI197" s="169">
        <f t="shared" si="23"/>
        <v>0</v>
      </c>
      <c r="AJ197" s="182"/>
      <c r="AK197" s="182"/>
      <c r="AL197" s="186"/>
      <c r="AM197" s="187"/>
      <c r="AN197" s="182"/>
      <c r="AO197" s="182"/>
      <c r="AP197" s="467"/>
      <c r="AQ197" s="512"/>
      <c r="AR197" s="512"/>
      <c r="AS197" s="512"/>
      <c r="AT197" s="512"/>
      <c r="AU197" s="512"/>
      <c r="AV197" s="513"/>
      <c r="AW197" s="513"/>
      <c r="AX197" s="473" t="str">
        <f t="shared" si="24"/>
        <v xml:space="preserve"> ,</v>
      </c>
      <c r="AY197" s="473" t="str">
        <f t="shared" si="25"/>
        <v xml:space="preserve"> / </v>
      </c>
      <c r="AZ197" s="474"/>
      <c r="BA197" s="475"/>
      <c r="BB197" s="474"/>
      <c r="BC197" s="514"/>
      <c r="BD197" s="475"/>
      <c r="BE197" s="514"/>
    </row>
    <row r="198" spans="1:57" s="515" customFormat="1" ht="21.6" customHeight="1">
      <c r="A198" s="341">
        <f t="shared" si="26"/>
        <v>193</v>
      </c>
      <c r="B198" s="516"/>
      <c r="C198" s="504"/>
      <c r="D198" s="505"/>
      <c r="E198" s="238"/>
      <c r="F198" s="461" t="s">
        <v>624</v>
      </c>
      <c r="G198" s="506"/>
      <c r="H198" s="507"/>
      <c r="I198" s="507"/>
      <c r="J198" s="508"/>
      <c r="K198" s="462"/>
      <c r="L198" s="508"/>
      <c r="M198" s="509"/>
      <c r="N198" s="346"/>
      <c r="O198" s="412"/>
      <c r="P198" s="413"/>
      <c r="Q198" s="464"/>
      <c r="R198" s="465">
        <f>IFERROR(VLOOKUP(1,'Data Validation'!$O$2:$P$25,2,FALSE),"")</f>
        <v>45906</v>
      </c>
      <c r="S198" s="465" t="str">
        <f>IFERROR(VLOOKUP($P198,'Data Validation'!$O$2:$P$25,2,FALSE),"")</f>
        <v/>
      </c>
      <c r="T198" s="419" t="e">
        <f ca="1">INDEX(INDIRECT(INDEX(ControlRoom[اجمالي الالتزام],MATCH(تفصيلي!Q198,Control!$B$2:$B$12,0))),MATCH(CONCATENATE(O198,P198),INDIRECT(INDEX(ControlRoom[المبلغ],MATCH(تفصيلي!Q198,ControlRoom[التمويل],0))),0))</f>
        <v>#N/A</v>
      </c>
      <c r="U198" s="419" t="e">
        <f ca="1">INDEX(INDIRECT(INDEX(ControlRoom[القسط الشهري],MATCH(تفصيلي!Q198,Control!$B$2:$B$12,0))),MATCH(CONCATENATE(O198,P198),INDIRECT(INDEX(ControlRoom[المبلغ],MATCH(تفصيلي!Q198,ControlRoom[التمويل],0))),0))</f>
        <v>#N/A</v>
      </c>
      <c r="V198" s="420" t="e">
        <f>INDEX(ControlRoom[[فائدة أ]:[فائدة ج]],MATCH(تفصيلي!Q198,ControlRoom[التمويل],0),MATCH(IF(AND(تفصيلي!O198&gt;=Control!$N$2,تفصيلي!O198&lt;=Control!$O$2),Control!$P$2,IF(AND(تفصيلي!O198&gt;=Control!$N$3,تفصيلي!O198&lt;=Control!$O$3),Control!$P$3,IF(AND(تفصيلي!O198&gt;=Control!$N$4,تفصيلي!O198&lt;=Control!$O$4),Control!$P$4,"Out Of Range"))),ControlRoom[[#Headers],[فائدة أ]:[فائدة ج]],0))</f>
        <v>#N/A</v>
      </c>
      <c r="W198" s="419"/>
      <c r="X198" s="466">
        <f t="shared" si="18"/>
        <v>0</v>
      </c>
      <c r="Y198" s="510"/>
      <c r="Z198" s="302">
        <f t="shared" si="19"/>
        <v>0</v>
      </c>
      <c r="AA198" s="166"/>
      <c r="AB198" s="167" t="s">
        <v>624</v>
      </c>
      <c r="AC198" s="167">
        <f t="shared" si="20"/>
        <v>0</v>
      </c>
      <c r="AD198" s="169">
        <f t="shared" si="21"/>
        <v>0</v>
      </c>
      <c r="AE198" s="511"/>
      <c r="AF198" s="303">
        <f t="shared" si="22"/>
        <v>0</v>
      </c>
      <c r="AG198" s="185"/>
      <c r="AH198" s="174" t="s">
        <v>624</v>
      </c>
      <c r="AI198" s="169">
        <f t="shared" si="23"/>
        <v>0</v>
      </c>
      <c r="AJ198" s="182"/>
      <c r="AK198" s="182"/>
      <c r="AL198" s="186"/>
      <c r="AM198" s="187"/>
      <c r="AN198" s="182"/>
      <c r="AO198" s="182"/>
      <c r="AP198" s="467"/>
      <c r="AQ198" s="512"/>
      <c r="AR198" s="512"/>
      <c r="AS198" s="512"/>
      <c r="AT198" s="512"/>
      <c r="AU198" s="512"/>
      <c r="AV198" s="513"/>
      <c r="AW198" s="513"/>
      <c r="AX198" s="473" t="str">
        <f t="shared" si="24"/>
        <v xml:space="preserve"> ,</v>
      </c>
      <c r="AY198" s="473" t="str">
        <f t="shared" si="25"/>
        <v xml:space="preserve"> / </v>
      </c>
      <c r="AZ198" s="474"/>
      <c r="BA198" s="475"/>
      <c r="BB198" s="474"/>
      <c r="BC198" s="514"/>
      <c r="BD198" s="475"/>
      <c r="BE198" s="514"/>
    </row>
    <row r="199" spans="1:57" s="515" customFormat="1" ht="21.6" customHeight="1">
      <c r="A199" s="341">
        <f t="shared" si="26"/>
        <v>194</v>
      </c>
      <c r="B199" s="516"/>
      <c r="C199" s="504"/>
      <c r="D199" s="505"/>
      <c r="E199" s="238"/>
      <c r="F199" s="461" t="s">
        <v>624</v>
      </c>
      <c r="G199" s="506"/>
      <c r="H199" s="507"/>
      <c r="I199" s="507"/>
      <c r="J199" s="508"/>
      <c r="K199" s="462"/>
      <c r="L199" s="508"/>
      <c r="M199" s="509"/>
      <c r="N199" s="346"/>
      <c r="O199" s="412"/>
      <c r="P199" s="413"/>
      <c r="Q199" s="464"/>
      <c r="R199" s="465">
        <f>IFERROR(VLOOKUP(1,'Data Validation'!$O$2:$P$25,2,FALSE),"")</f>
        <v>45906</v>
      </c>
      <c r="S199" s="465" t="str">
        <f>IFERROR(VLOOKUP($P199,'Data Validation'!$O$2:$P$25,2,FALSE),"")</f>
        <v/>
      </c>
      <c r="T199" s="419" t="e">
        <f ca="1">INDEX(INDIRECT(INDEX(ControlRoom[اجمالي الالتزام],MATCH(تفصيلي!Q199,Control!$B$2:$B$12,0))),MATCH(CONCATENATE(O199,P199),INDIRECT(INDEX(ControlRoom[المبلغ],MATCH(تفصيلي!Q199,ControlRoom[التمويل],0))),0))</f>
        <v>#N/A</v>
      </c>
      <c r="U199" s="419" t="e">
        <f ca="1">INDEX(INDIRECT(INDEX(ControlRoom[القسط الشهري],MATCH(تفصيلي!Q199,Control!$B$2:$B$12,0))),MATCH(CONCATENATE(O199,P199),INDIRECT(INDEX(ControlRoom[المبلغ],MATCH(تفصيلي!Q199,ControlRoom[التمويل],0))),0))</f>
        <v>#N/A</v>
      </c>
      <c r="V199" s="420" t="e">
        <f>INDEX(ControlRoom[[فائدة أ]:[فائدة ج]],MATCH(تفصيلي!Q199,ControlRoom[التمويل],0),MATCH(IF(AND(تفصيلي!O199&gt;=Control!$N$2,تفصيلي!O199&lt;=Control!$O$2),Control!$P$2,IF(AND(تفصيلي!O199&gt;=Control!$N$3,تفصيلي!O199&lt;=Control!$O$3),Control!$P$3,IF(AND(تفصيلي!O199&gt;=Control!$N$4,تفصيلي!O199&lt;=Control!$O$4),Control!$P$4,"Out Of Range"))),ControlRoom[[#Headers],[فائدة أ]:[فائدة ج]],0))</f>
        <v>#N/A</v>
      </c>
      <c r="W199" s="419"/>
      <c r="X199" s="466">
        <f t="shared" ref="X199:X205" si="27">AZ199</f>
        <v>0</v>
      </c>
      <c r="Y199" s="510"/>
      <c r="Z199" s="302">
        <f t="shared" ref="Z199:Z205" si="28">BA199</f>
        <v>0</v>
      </c>
      <c r="AA199" s="166"/>
      <c r="AB199" s="167" t="s">
        <v>624</v>
      </c>
      <c r="AC199" s="167">
        <f t="shared" ref="AC199:AC205" si="29">BB199</f>
        <v>0</v>
      </c>
      <c r="AD199" s="169">
        <f t="shared" ref="AD199:AD205" si="30">BC199</f>
        <v>0</v>
      </c>
      <c r="AE199" s="511"/>
      <c r="AF199" s="303">
        <f t="shared" ref="AF199:AF205" si="31">BD199</f>
        <v>0</v>
      </c>
      <c r="AG199" s="185"/>
      <c r="AH199" s="174" t="s">
        <v>624</v>
      </c>
      <c r="AI199" s="169">
        <f t="shared" ref="AI199:AI205" si="32">BE199</f>
        <v>0</v>
      </c>
      <c r="AJ199" s="182"/>
      <c r="AK199" s="182"/>
      <c r="AL199" s="186"/>
      <c r="AM199" s="187"/>
      <c r="AN199" s="182"/>
      <c r="AO199" s="182"/>
      <c r="AP199" s="467"/>
      <c r="AQ199" s="512"/>
      <c r="AR199" s="512"/>
      <c r="AS199" s="512"/>
      <c r="AT199" s="512"/>
      <c r="AU199" s="512"/>
      <c r="AV199" s="513"/>
      <c r="AW199" s="513"/>
      <c r="AX199" s="473" t="str">
        <f t="shared" ref="AX199:AX205" si="33">CONCATENATE(AV199," ",",",AW199)</f>
        <v xml:space="preserve"> ,</v>
      </c>
      <c r="AY199" s="473" t="str">
        <f t="shared" ref="AY199:AY205" si="34">CONCATENATE(J199," ","/"," ",K199)</f>
        <v xml:space="preserve"> / </v>
      </c>
      <c r="AZ199" s="474"/>
      <c r="BA199" s="475"/>
      <c r="BB199" s="474"/>
      <c r="BC199" s="514"/>
      <c r="BD199" s="475"/>
      <c r="BE199" s="514"/>
    </row>
    <row r="200" spans="1:57" s="515" customFormat="1" ht="21.6" customHeight="1">
      <c r="A200" s="341">
        <f t="shared" ref="A200:A205" si="35">A199+1</f>
        <v>195</v>
      </c>
      <c r="B200" s="516"/>
      <c r="C200" s="504"/>
      <c r="D200" s="505"/>
      <c r="E200" s="238"/>
      <c r="F200" s="461" t="s">
        <v>624</v>
      </c>
      <c r="G200" s="506"/>
      <c r="H200" s="507"/>
      <c r="I200" s="507"/>
      <c r="J200" s="508"/>
      <c r="K200" s="462"/>
      <c r="L200" s="508"/>
      <c r="M200" s="509"/>
      <c r="N200" s="346"/>
      <c r="O200" s="412"/>
      <c r="P200" s="413"/>
      <c r="Q200" s="464"/>
      <c r="R200" s="465">
        <f>IFERROR(VLOOKUP(1,'Data Validation'!$O$2:$P$25,2,FALSE),"")</f>
        <v>45906</v>
      </c>
      <c r="S200" s="465" t="str">
        <f>IFERROR(VLOOKUP($P200,'Data Validation'!$O$2:$P$25,2,FALSE),"")</f>
        <v/>
      </c>
      <c r="T200" s="419" t="e">
        <f ca="1">INDEX(INDIRECT(INDEX(ControlRoom[اجمالي الالتزام],MATCH(تفصيلي!Q200,Control!$B$2:$B$12,0))),MATCH(CONCATENATE(O200,P200),INDIRECT(INDEX(ControlRoom[المبلغ],MATCH(تفصيلي!Q200,ControlRoom[التمويل],0))),0))</f>
        <v>#N/A</v>
      </c>
      <c r="U200" s="419" t="e">
        <f ca="1">INDEX(INDIRECT(INDEX(ControlRoom[القسط الشهري],MATCH(تفصيلي!Q200,Control!$B$2:$B$12,0))),MATCH(CONCATENATE(O200,P200),INDIRECT(INDEX(ControlRoom[المبلغ],MATCH(تفصيلي!Q200,ControlRoom[التمويل],0))),0))</f>
        <v>#N/A</v>
      </c>
      <c r="V200" s="420" t="e">
        <f>INDEX(ControlRoom[[فائدة أ]:[فائدة ج]],MATCH(تفصيلي!Q200,ControlRoom[التمويل],0),MATCH(IF(AND(تفصيلي!O200&gt;=Control!$N$2,تفصيلي!O200&lt;=Control!$O$2),Control!$P$2,IF(AND(تفصيلي!O200&gt;=Control!$N$3,تفصيلي!O200&lt;=Control!$O$3),Control!$P$3,IF(AND(تفصيلي!O200&gt;=Control!$N$4,تفصيلي!O200&lt;=Control!$O$4),Control!$P$4,"Out Of Range"))),ControlRoom[[#Headers],[فائدة أ]:[فائدة ج]],0))</f>
        <v>#N/A</v>
      </c>
      <c r="W200" s="419"/>
      <c r="X200" s="466">
        <f t="shared" si="27"/>
        <v>0</v>
      </c>
      <c r="Y200" s="510"/>
      <c r="Z200" s="302">
        <f t="shared" si="28"/>
        <v>0</v>
      </c>
      <c r="AA200" s="166"/>
      <c r="AB200" s="167" t="s">
        <v>624</v>
      </c>
      <c r="AC200" s="167">
        <f t="shared" si="29"/>
        <v>0</v>
      </c>
      <c r="AD200" s="169">
        <f t="shared" si="30"/>
        <v>0</v>
      </c>
      <c r="AE200" s="511"/>
      <c r="AF200" s="303">
        <f t="shared" si="31"/>
        <v>0</v>
      </c>
      <c r="AG200" s="185"/>
      <c r="AH200" s="174" t="s">
        <v>624</v>
      </c>
      <c r="AI200" s="169">
        <f t="shared" si="32"/>
        <v>0</v>
      </c>
      <c r="AJ200" s="182"/>
      <c r="AK200" s="182"/>
      <c r="AL200" s="186"/>
      <c r="AM200" s="187"/>
      <c r="AN200" s="182"/>
      <c r="AO200" s="182"/>
      <c r="AP200" s="467"/>
      <c r="AQ200" s="512"/>
      <c r="AR200" s="512"/>
      <c r="AS200" s="512"/>
      <c r="AT200" s="512"/>
      <c r="AU200" s="512"/>
      <c r="AV200" s="513"/>
      <c r="AW200" s="513"/>
      <c r="AX200" s="473" t="str">
        <f t="shared" si="33"/>
        <v xml:space="preserve"> ,</v>
      </c>
      <c r="AY200" s="473" t="str">
        <f t="shared" si="34"/>
        <v xml:space="preserve"> / </v>
      </c>
      <c r="AZ200" s="474"/>
      <c r="BA200" s="475"/>
      <c r="BB200" s="474"/>
      <c r="BC200" s="514"/>
      <c r="BD200" s="475"/>
      <c r="BE200" s="514"/>
    </row>
    <row r="201" spans="1:57" s="515" customFormat="1" ht="21.6" customHeight="1">
      <c r="A201" s="341">
        <f t="shared" si="35"/>
        <v>196</v>
      </c>
      <c r="B201" s="516"/>
      <c r="C201" s="504"/>
      <c r="D201" s="505"/>
      <c r="E201" s="238"/>
      <c r="F201" s="461" t="s">
        <v>624</v>
      </c>
      <c r="G201" s="506"/>
      <c r="H201" s="507"/>
      <c r="I201" s="507"/>
      <c r="J201" s="508"/>
      <c r="K201" s="462"/>
      <c r="L201" s="508"/>
      <c r="M201" s="509"/>
      <c r="N201" s="346"/>
      <c r="O201" s="412"/>
      <c r="P201" s="413"/>
      <c r="Q201" s="464"/>
      <c r="R201" s="465">
        <f>IFERROR(VLOOKUP(1,'Data Validation'!$O$2:$P$25,2,FALSE),"")</f>
        <v>45906</v>
      </c>
      <c r="S201" s="465" t="str">
        <f>IFERROR(VLOOKUP($P201,'Data Validation'!$O$2:$P$25,2,FALSE),"")</f>
        <v/>
      </c>
      <c r="T201" s="419" t="e">
        <f ca="1">INDEX(INDIRECT(INDEX(ControlRoom[اجمالي الالتزام],MATCH(تفصيلي!Q201,Control!$B$2:$B$12,0))),MATCH(CONCATENATE(O201,P201),INDIRECT(INDEX(ControlRoom[المبلغ],MATCH(تفصيلي!Q201,ControlRoom[التمويل],0))),0))</f>
        <v>#N/A</v>
      </c>
      <c r="U201" s="419" t="e">
        <f ca="1">INDEX(INDIRECT(INDEX(ControlRoom[القسط الشهري],MATCH(تفصيلي!Q201,Control!$B$2:$B$12,0))),MATCH(CONCATENATE(O201,P201),INDIRECT(INDEX(ControlRoom[المبلغ],MATCH(تفصيلي!Q201,ControlRoom[التمويل],0))),0))</f>
        <v>#N/A</v>
      </c>
      <c r="V201" s="420" t="e">
        <f>INDEX(ControlRoom[[فائدة أ]:[فائدة ج]],MATCH(تفصيلي!Q201,ControlRoom[التمويل],0),MATCH(IF(AND(تفصيلي!O201&gt;=Control!$N$2,تفصيلي!O201&lt;=Control!$O$2),Control!$P$2,IF(AND(تفصيلي!O201&gt;=Control!$N$3,تفصيلي!O201&lt;=Control!$O$3),Control!$P$3,IF(AND(تفصيلي!O201&gt;=Control!$N$4,تفصيلي!O201&lt;=Control!$O$4),Control!$P$4,"Out Of Range"))),ControlRoom[[#Headers],[فائدة أ]:[فائدة ج]],0))</f>
        <v>#N/A</v>
      </c>
      <c r="W201" s="419"/>
      <c r="X201" s="466">
        <f t="shared" si="27"/>
        <v>0</v>
      </c>
      <c r="Y201" s="510"/>
      <c r="Z201" s="302">
        <f t="shared" si="28"/>
        <v>0</v>
      </c>
      <c r="AA201" s="166"/>
      <c r="AB201" s="167" t="s">
        <v>624</v>
      </c>
      <c r="AC201" s="167">
        <f t="shared" si="29"/>
        <v>0</v>
      </c>
      <c r="AD201" s="169">
        <f t="shared" si="30"/>
        <v>0</v>
      </c>
      <c r="AE201" s="511"/>
      <c r="AF201" s="303">
        <f t="shared" si="31"/>
        <v>0</v>
      </c>
      <c r="AG201" s="185"/>
      <c r="AH201" s="174" t="s">
        <v>624</v>
      </c>
      <c r="AI201" s="169">
        <f t="shared" si="32"/>
        <v>0</v>
      </c>
      <c r="AJ201" s="182"/>
      <c r="AK201" s="182"/>
      <c r="AL201" s="186"/>
      <c r="AM201" s="187"/>
      <c r="AN201" s="182"/>
      <c r="AO201" s="182"/>
      <c r="AP201" s="467"/>
      <c r="AQ201" s="512"/>
      <c r="AR201" s="512"/>
      <c r="AS201" s="512"/>
      <c r="AT201" s="512"/>
      <c r="AU201" s="512"/>
      <c r="AV201" s="513"/>
      <c r="AW201" s="513"/>
      <c r="AX201" s="473" t="str">
        <f t="shared" si="33"/>
        <v xml:space="preserve"> ,</v>
      </c>
      <c r="AY201" s="473" t="str">
        <f t="shared" si="34"/>
        <v xml:space="preserve"> / </v>
      </c>
      <c r="AZ201" s="474"/>
      <c r="BA201" s="475"/>
      <c r="BB201" s="474"/>
      <c r="BC201" s="514"/>
      <c r="BD201" s="475"/>
      <c r="BE201" s="514"/>
    </row>
    <row r="202" spans="1:57" s="515" customFormat="1" ht="21.6" customHeight="1">
      <c r="A202" s="341">
        <f t="shared" si="35"/>
        <v>197</v>
      </c>
      <c r="B202" s="516"/>
      <c r="C202" s="504"/>
      <c r="D202" s="505"/>
      <c r="E202" s="238"/>
      <c r="F202" s="461" t="s">
        <v>624</v>
      </c>
      <c r="G202" s="506"/>
      <c r="H202" s="507"/>
      <c r="I202" s="507"/>
      <c r="J202" s="508"/>
      <c r="K202" s="462"/>
      <c r="L202" s="508"/>
      <c r="M202" s="509"/>
      <c r="N202" s="346"/>
      <c r="O202" s="412"/>
      <c r="P202" s="413"/>
      <c r="Q202" s="464"/>
      <c r="R202" s="465">
        <f>IFERROR(VLOOKUP(1,'Data Validation'!$O$2:$P$25,2,FALSE),"")</f>
        <v>45906</v>
      </c>
      <c r="S202" s="465" t="str">
        <f>IFERROR(VLOOKUP($P202,'Data Validation'!$O$2:$P$25,2,FALSE),"")</f>
        <v/>
      </c>
      <c r="T202" s="419" t="e">
        <f ca="1">INDEX(INDIRECT(INDEX(ControlRoom[اجمالي الالتزام],MATCH(تفصيلي!Q202,Control!$B$2:$B$12,0))),MATCH(CONCATENATE(O202,P202),INDIRECT(INDEX(ControlRoom[المبلغ],MATCH(تفصيلي!Q202,ControlRoom[التمويل],0))),0))</f>
        <v>#N/A</v>
      </c>
      <c r="U202" s="419" t="e">
        <f ca="1">INDEX(INDIRECT(INDEX(ControlRoom[القسط الشهري],MATCH(تفصيلي!Q202,Control!$B$2:$B$12,0))),MATCH(CONCATENATE(O202,P202),INDIRECT(INDEX(ControlRoom[المبلغ],MATCH(تفصيلي!Q202,ControlRoom[التمويل],0))),0))</f>
        <v>#N/A</v>
      </c>
      <c r="V202" s="420" t="e">
        <f>INDEX(ControlRoom[[فائدة أ]:[فائدة ج]],MATCH(تفصيلي!Q202,ControlRoom[التمويل],0),MATCH(IF(AND(تفصيلي!O202&gt;=Control!$N$2,تفصيلي!O202&lt;=Control!$O$2),Control!$P$2,IF(AND(تفصيلي!O202&gt;=Control!$N$3,تفصيلي!O202&lt;=Control!$O$3),Control!$P$3,IF(AND(تفصيلي!O202&gt;=Control!$N$4,تفصيلي!O202&lt;=Control!$O$4),Control!$P$4,"Out Of Range"))),ControlRoom[[#Headers],[فائدة أ]:[فائدة ج]],0))</f>
        <v>#N/A</v>
      </c>
      <c r="W202" s="419"/>
      <c r="X202" s="466">
        <f t="shared" si="27"/>
        <v>0</v>
      </c>
      <c r="Y202" s="510"/>
      <c r="Z202" s="302">
        <f t="shared" si="28"/>
        <v>0</v>
      </c>
      <c r="AA202" s="166"/>
      <c r="AB202" s="167" t="s">
        <v>624</v>
      </c>
      <c r="AC202" s="167">
        <f t="shared" si="29"/>
        <v>0</v>
      </c>
      <c r="AD202" s="169">
        <f t="shared" si="30"/>
        <v>0</v>
      </c>
      <c r="AE202" s="511"/>
      <c r="AF202" s="303">
        <f t="shared" si="31"/>
        <v>0</v>
      </c>
      <c r="AG202" s="185"/>
      <c r="AH202" s="174" t="s">
        <v>624</v>
      </c>
      <c r="AI202" s="169">
        <f t="shared" si="32"/>
        <v>0</v>
      </c>
      <c r="AJ202" s="182"/>
      <c r="AK202" s="182"/>
      <c r="AL202" s="186"/>
      <c r="AM202" s="187"/>
      <c r="AN202" s="182"/>
      <c r="AO202" s="182"/>
      <c r="AP202" s="467"/>
      <c r="AQ202" s="512"/>
      <c r="AR202" s="512"/>
      <c r="AS202" s="512"/>
      <c r="AT202" s="512"/>
      <c r="AU202" s="512"/>
      <c r="AV202" s="513"/>
      <c r="AW202" s="513"/>
      <c r="AX202" s="473" t="str">
        <f t="shared" si="33"/>
        <v xml:space="preserve"> ,</v>
      </c>
      <c r="AY202" s="473" t="str">
        <f t="shared" si="34"/>
        <v xml:space="preserve"> / </v>
      </c>
      <c r="AZ202" s="474"/>
      <c r="BA202" s="475"/>
      <c r="BB202" s="474"/>
      <c r="BC202" s="514"/>
      <c r="BD202" s="475"/>
      <c r="BE202" s="514"/>
    </row>
    <row r="203" spans="1:57" s="515" customFormat="1" ht="21.6" customHeight="1">
      <c r="A203" s="341">
        <f t="shared" si="35"/>
        <v>198</v>
      </c>
      <c r="B203" s="516"/>
      <c r="C203" s="504"/>
      <c r="D203" s="505"/>
      <c r="E203" s="238"/>
      <c r="F203" s="461" t="s">
        <v>624</v>
      </c>
      <c r="G203" s="506"/>
      <c r="H203" s="507"/>
      <c r="I203" s="507"/>
      <c r="J203" s="508"/>
      <c r="K203" s="462"/>
      <c r="L203" s="508"/>
      <c r="M203" s="509"/>
      <c r="N203" s="346"/>
      <c r="O203" s="412"/>
      <c r="P203" s="413"/>
      <c r="Q203" s="464"/>
      <c r="R203" s="465">
        <f>IFERROR(VLOOKUP(1,'Data Validation'!$O$2:$P$25,2,FALSE),"")</f>
        <v>45906</v>
      </c>
      <c r="S203" s="465" t="str">
        <f>IFERROR(VLOOKUP($P203,'Data Validation'!$O$2:$P$25,2,FALSE),"")</f>
        <v/>
      </c>
      <c r="T203" s="419" t="e">
        <f ca="1">INDEX(INDIRECT(INDEX(ControlRoom[اجمالي الالتزام],MATCH(تفصيلي!Q203,Control!$B$2:$B$12,0))),MATCH(CONCATENATE(O203,P203),INDIRECT(INDEX(ControlRoom[المبلغ],MATCH(تفصيلي!Q203,ControlRoom[التمويل],0))),0))</f>
        <v>#N/A</v>
      </c>
      <c r="U203" s="419" t="e">
        <f ca="1">INDEX(INDIRECT(INDEX(ControlRoom[القسط الشهري],MATCH(تفصيلي!Q203,Control!$B$2:$B$12,0))),MATCH(CONCATENATE(O203,P203),INDIRECT(INDEX(ControlRoom[المبلغ],MATCH(تفصيلي!Q203,ControlRoom[التمويل],0))),0))</f>
        <v>#N/A</v>
      </c>
      <c r="V203" s="420" t="e">
        <f>INDEX(ControlRoom[[فائدة أ]:[فائدة ج]],MATCH(تفصيلي!Q203,ControlRoom[التمويل],0),MATCH(IF(AND(تفصيلي!O203&gt;=Control!$N$2,تفصيلي!O203&lt;=Control!$O$2),Control!$P$2,IF(AND(تفصيلي!O203&gt;=Control!$N$3,تفصيلي!O203&lt;=Control!$O$3),Control!$P$3,IF(AND(تفصيلي!O203&gt;=Control!$N$4,تفصيلي!O203&lt;=Control!$O$4),Control!$P$4,"Out Of Range"))),ControlRoom[[#Headers],[فائدة أ]:[فائدة ج]],0))</f>
        <v>#N/A</v>
      </c>
      <c r="W203" s="419"/>
      <c r="X203" s="466">
        <f t="shared" si="27"/>
        <v>0</v>
      </c>
      <c r="Y203" s="510"/>
      <c r="Z203" s="302">
        <f t="shared" si="28"/>
        <v>0</v>
      </c>
      <c r="AA203" s="166"/>
      <c r="AB203" s="167" t="s">
        <v>624</v>
      </c>
      <c r="AC203" s="167">
        <f t="shared" si="29"/>
        <v>0</v>
      </c>
      <c r="AD203" s="169">
        <f t="shared" si="30"/>
        <v>0</v>
      </c>
      <c r="AE203" s="511"/>
      <c r="AF203" s="303">
        <f t="shared" si="31"/>
        <v>0</v>
      </c>
      <c r="AG203" s="185"/>
      <c r="AH203" s="174" t="s">
        <v>624</v>
      </c>
      <c r="AI203" s="169">
        <f t="shared" si="32"/>
        <v>0</v>
      </c>
      <c r="AJ203" s="182"/>
      <c r="AK203" s="182"/>
      <c r="AL203" s="186"/>
      <c r="AM203" s="187"/>
      <c r="AN203" s="182"/>
      <c r="AO203" s="182"/>
      <c r="AP203" s="467"/>
      <c r="AQ203" s="512"/>
      <c r="AR203" s="512"/>
      <c r="AS203" s="512"/>
      <c r="AT203" s="512"/>
      <c r="AU203" s="512"/>
      <c r="AV203" s="513"/>
      <c r="AW203" s="513"/>
      <c r="AX203" s="473" t="str">
        <f t="shared" si="33"/>
        <v xml:space="preserve"> ,</v>
      </c>
      <c r="AY203" s="473" t="str">
        <f t="shared" si="34"/>
        <v xml:space="preserve"> / </v>
      </c>
      <c r="AZ203" s="474"/>
      <c r="BA203" s="475"/>
      <c r="BB203" s="474"/>
      <c r="BC203" s="514"/>
      <c r="BD203" s="475"/>
      <c r="BE203" s="514"/>
    </row>
    <row r="204" spans="1:57" s="515" customFormat="1" ht="21.6" customHeight="1">
      <c r="A204" s="341">
        <f t="shared" si="35"/>
        <v>199</v>
      </c>
      <c r="B204" s="516"/>
      <c r="C204" s="504"/>
      <c r="D204" s="505"/>
      <c r="E204" s="238"/>
      <c r="F204" s="461" t="s">
        <v>624</v>
      </c>
      <c r="G204" s="506"/>
      <c r="H204" s="507"/>
      <c r="I204" s="507"/>
      <c r="J204" s="508"/>
      <c r="K204" s="462"/>
      <c r="L204" s="508"/>
      <c r="M204" s="509"/>
      <c r="N204" s="346"/>
      <c r="O204" s="412"/>
      <c r="P204" s="413"/>
      <c r="Q204" s="464"/>
      <c r="R204" s="465">
        <f>IFERROR(VLOOKUP(1,'Data Validation'!$O$2:$P$25,2,FALSE),"")</f>
        <v>45906</v>
      </c>
      <c r="S204" s="465" t="str">
        <f>IFERROR(VLOOKUP($P204,'Data Validation'!$O$2:$P$25,2,FALSE),"")</f>
        <v/>
      </c>
      <c r="T204" s="419" t="e">
        <f ca="1">INDEX(INDIRECT(INDEX(ControlRoom[اجمالي الالتزام],MATCH(تفصيلي!Q204,Control!$B$2:$B$12,0))),MATCH(CONCATENATE(O204,P204),INDIRECT(INDEX(ControlRoom[المبلغ],MATCH(تفصيلي!Q204,ControlRoom[التمويل],0))),0))</f>
        <v>#N/A</v>
      </c>
      <c r="U204" s="419" t="e">
        <f ca="1">INDEX(INDIRECT(INDEX(ControlRoom[القسط الشهري],MATCH(تفصيلي!Q204,Control!$B$2:$B$12,0))),MATCH(CONCATENATE(O204,P204),INDIRECT(INDEX(ControlRoom[المبلغ],MATCH(تفصيلي!Q204,ControlRoom[التمويل],0))),0))</f>
        <v>#N/A</v>
      </c>
      <c r="V204" s="420" t="e">
        <f>INDEX(ControlRoom[[فائدة أ]:[فائدة ج]],MATCH(تفصيلي!Q204,ControlRoom[التمويل],0),MATCH(IF(AND(تفصيلي!O204&gt;=Control!$N$2,تفصيلي!O204&lt;=Control!$O$2),Control!$P$2,IF(AND(تفصيلي!O204&gt;=Control!$N$3,تفصيلي!O204&lt;=Control!$O$3),Control!$P$3,IF(AND(تفصيلي!O204&gt;=Control!$N$4,تفصيلي!O204&lt;=Control!$O$4),Control!$P$4,"Out Of Range"))),ControlRoom[[#Headers],[فائدة أ]:[فائدة ج]],0))</f>
        <v>#N/A</v>
      </c>
      <c r="W204" s="419"/>
      <c r="X204" s="466">
        <f t="shared" si="27"/>
        <v>0</v>
      </c>
      <c r="Y204" s="510"/>
      <c r="Z204" s="302">
        <f t="shared" si="28"/>
        <v>0</v>
      </c>
      <c r="AA204" s="166"/>
      <c r="AB204" s="167" t="s">
        <v>624</v>
      </c>
      <c r="AC204" s="167">
        <f t="shared" si="29"/>
        <v>0</v>
      </c>
      <c r="AD204" s="169">
        <f t="shared" si="30"/>
        <v>0</v>
      </c>
      <c r="AE204" s="511"/>
      <c r="AF204" s="303">
        <f t="shared" si="31"/>
        <v>0</v>
      </c>
      <c r="AG204" s="185"/>
      <c r="AH204" s="174" t="s">
        <v>624</v>
      </c>
      <c r="AI204" s="169">
        <f t="shared" si="32"/>
        <v>0</v>
      </c>
      <c r="AJ204" s="182"/>
      <c r="AK204" s="182"/>
      <c r="AL204" s="186"/>
      <c r="AM204" s="187"/>
      <c r="AN204" s="182"/>
      <c r="AO204" s="182"/>
      <c r="AP204" s="467"/>
      <c r="AQ204" s="512"/>
      <c r="AR204" s="512"/>
      <c r="AS204" s="512"/>
      <c r="AT204" s="512"/>
      <c r="AU204" s="512"/>
      <c r="AV204" s="513"/>
      <c r="AW204" s="513"/>
      <c r="AX204" s="473" t="str">
        <f t="shared" si="33"/>
        <v xml:space="preserve"> ,</v>
      </c>
      <c r="AY204" s="473" t="str">
        <f t="shared" si="34"/>
        <v xml:space="preserve"> / </v>
      </c>
      <c r="AZ204" s="474"/>
      <c r="BA204" s="475"/>
      <c r="BB204" s="474"/>
      <c r="BC204" s="514"/>
      <c r="BD204" s="475"/>
      <c r="BE204" s="514"/>
    </row>
    <row r="205" spans="1:57" s="515" customFormat="1" ht="21.6" customHeight="1">
      <c r="A205" s="341">
        <f t="shared" si="35"/>
        <v>200</v>
      </c>
      <c r="B205" s="516">
        <v>0</v>
      </c>
      <c r="C205" s="504" t="s">
        <v>741</v>
      </c>
      <c r="D205" s="505" t="s">
        <v>741</v>
      </c>
      <c r="E205" s="238">
        <v>0</v>
      </c>
      <c r="F205" s="461" t="s">
        <v>624</v>
      </c>
      <c r="G205" s="506" t="s">
        <v>741</v>
      </c>
      <c r="H205" s="507" t="s">
        <v>741</v>
      </c>
      <c r="I205" s="507" t="s">
        <v>741</v>
      </c>
      <c r="J205" s="508"/>
      <c r="K205" s="462"/>
      <c r="L205" s="508"/>
      <c r="M205" s="509"/>
      <c r="N205" s="346"/>
      <c r="O205" s="412"/>
      <c r="P205" s="413"/>
      <c r="Q205" s="464"/>
      <c r="R205" s="465">
        <f>IFERROR(VLOOKUP(1,'Data Validation'!$O$2:$P$25,2,FALSE),"")</f>
        <v>45906</v>
      </c>
      <c r="S205" s="465" t="str">
        <f>IFERROR(VLOOKUP($P205,'Data Validation'!$O$2:$P$25,2,FALSE),"")</f>
        <v/>
      </c>
      <c r="T205" s="419" t="e">
        <f ca="1">INDEX(INDIRECT(INDEX(ControlRoom[اجمالي الالتزام],MATCH(تفصيلي!Q205,Control!$B$2:$B$12,0))),MATCH(CONCATENATE(O205,P205),INDIRECT(INDEX(ControlRoom[المبلغ],MATCH(تفصيلي!Q205,ControlRoom[التمويل],0))),0))</f>
        <v>#N/A</v>
      </c>
      <c r="U205" s="419" t="e">
        <f ca="1">INDEX(INDIRECT(INDEX(ControlRoom[القسط الشهري],MATCH(تفصيلي!Q205,Control!$B$2:$B$12,0))),MATCH(CONCATENATE(O205,P205),INDIRECT(INDEX(ControlRoom[المبلغ],MATCH(تفصيلي!Q205,ControlRoom[التمويل],0))),0))</f>
        <v>#N/A</v>
      </c>
      <c r="V205" s="420" t="e">
        <f>INDEX(ControlRoom[[فائدة أ]:[فائدة ج]],MATCH(تفصيلي!Q205,ControlRoom[التمويل],0),MATCH(IF(AND(تفصيلي!O205&gt;=Control!$N$2,تفصيلي!O205&lt;=Control!$O$2),Control!$P$2,IF(AND(تفصيلي!O205&gt;=Control!$N$3,تفصيلي!O205&lt;=Control!$O$3),Control!$P$3,IF(AND(تفصيلي!O205&gt;=Control!$N$4,تفصيلي!O205&lt;=Control!$O$4),Control!$P$4,"Out Of Range"))),ControlRoom[[#Headers],[فائدة أ]:[فائدة ج]],0))</f>
        <v>#N/A</v>
      </c>
      <c r="W205" s="419"/>
      <c r="X205" s="466">
        <f t="shared" si="27"/>
        <v>0</v>
      </c>
      <c r="Y205" s="510"/>
      <c r="Z205" s="302">
        <f t="shared" si="28"/>
        <v>0</v>
      </c>
      <c r="AA205" s="166"/>
      <c r="AB205" s="167" t="s">
        <v>624</v>
      </c>
      <c r="AC205" s="167">
        <f t="shared" si="29"/>
        <v>0</v>
      </c>
      <c r="AD205" s="169">
        <f t="shared" si="30"/>
        <v>0</v>
      </c>
      <c r="AE205" s="511"/>
      <c r="AF205" s="303">
        <f t="shared" si="31"/>
        <v>0</v>
      </c>
      <c r="AG205" s="185"/>
      <c r="AH205" s="174" t="s">
        <v>624</v>
      </c>
      <c r="AI205" s="169">
        <f t="shared" si="32"/>
        <v>0</v>
      </c>
      <c r="AJ205" s="182"/>
      <c r="AK205" s="182"/>
      <c r="AL205" s="186"/>
      <c r="AM205" s="187"/>
      <c r="AN205" s="182"/>
      <c r="AO205" s="182"/>
      <c r="AP205" s="467"/>
      <c r="AQ205" s="512"/>
      <c r="AR205" s="512"/>
      <c r="AS205" s="512"/>
      <c r="AT205" s="512"/>
      <c r="AU205" s="512"/>
      <c r="AV205" s="513"/>
      <c r="AW205" s="513"/>
      <c r="AX205" s="473" t="str">
        <f t="shared" si="33"/>
        <v xml:space="preserve"> ,</v>
      </c>
      <c r="AY205" s="473" t="str">
        <f t="shared" si="34"/>
        <v xml:space="preserve"> / </v>
      </c>
      <c r="AZ205" s="474"/>
      <c r="BA205" s="475"/>
      <c r="BB205" s="474"/>
      <c r="BC205" s="514"/>
      <c r="BD205" s="475"/>
      <c r="BE205" s="514"/>
    </row>
  </sheetData>
  <protectedRanges>
    <protectedRange sqref="AQ84:AQ156" name="نطاق9"/>
    <protectedRange sqref="G100" name="نطاق4_1"/>
    <protectedRange sqref="G107:G108 H100:M116 G117:M137 N108:N110 G138:N142 G144:N156 G143:M143 E100:E156 N97 AA98:AA99" name="نطاق2_7"/>
    <protectedRange sqref="D100:D102 D105 D107:D156 C100:C156 Y99 AK99 AK102 AE99 AE102" name="نطاق1_2"/>
    <protectedRange sqref="G111" name="نطاق4_2_1"/>
    <protectedRange sqref="G109:G110 G114:G116" name="نطاق2_2_1"/>
    <protectedRange sqref="G112:G113" name="نطاق2_1_1_1"/>
    <protectedRange sqref="G105" name="نطاق2_2_4_1"/>
    <protectedRange sqref="H98:M99 E98 AA103" name="نطاق2_7_1"/>
    <protectedRange sqref="C98:C99" name="نطاق1_2_1"/>
    <protectedRange sqref="G93 AO93" name="نطاق2_2_4_1_1"/>
    <protectedRange sqref="C36" name="نطاق3_1_1"/>
    <protectedRange sqref="C37:C46 C86:C97 C63 C48:C51 C34:C35 AV18 C18:C32 C6:C15 B6:B156" name="نطاق1_1_1"/>
    <protectedRange sqref="C47" name="نطاق3_7_1"/>
    <protectedRange sqref="D15 D104 D10 D56 D51" name="نطاق1_2_4"/>
    <protectedRange sqref="H90:M97 H89:L89" name="نطاق2_12_2"/>
    <protectedRange sqref="M89" name="نطاق2_23_1"/>
    <protectedRange sqref="H87:M88" name="نطاق2_27_1_1"/>
    <protectedRange sqref="E6:E83" name="نطاق2_1_6_1"/>
    <protectedRange sqref="O100:P156" name="نطاق2_21"/>
    <protectedRange sqref="O98:P99" name="نطاق2_7_4"/>
    <protectedRange sqref="O6:O83" name="نطاق2_1_9"/>
    <protectedRange sqref="O89:P97" name="نطاق2_12_2_2"/>
    <protectedRange sqref="O87:P88" name="نطاق2_27_1_1_3"/>
    <protectedRange sqref="AO120:AO156 AN115:AN156 AL100:AM101 AL104:AM156 AG100:AG101 AG104:AG156" name="نطاق5_3"/>
    <protectedRange sqref="AJ100:AK101 AA100:AA102 AA104:AA156 AJ104:AK156 AE100:AE101 AE104:AE156" name="نطاق4_22"/>
    <protectedRange sqref="Y100:Y102 Y105 Y107:Y156" name="نطاق3_6"/>
    <protectedRange sqref="AO101 AO114:AO115 AO119 AO105 AO107:AO109" name="نطاق4_4_1"/>
    <protectedRange sqref="AO100 AO111:AO113 AO116:AO117" name="نطاق2_4_2"/>
    <protectedRange sqref="AO110" name="نطاق4_1_2_1"/>
    <protectedRange sqref="AO118" name="نطاق2_1_3_1"/>
    <protectedRange sqref="AL103:AM103 AL98:AM98 AG103 AG98" name="نطاق5_3_1"/>
    <protectedRange sqref="AJ98:AK98 AJ103:AK103 AE98 AE103" name="نطاق4_22_1"/>
    <protectedRange sqref="D13:D14 D18:D46 D54:D55 D59:D87 G66 G24" name="نطاق4_13_3"/>
    <protectedRange sqref="C33" name="نطاق1_1_1_2"/>
    <protectedRange sqref="C52:C54" name="نطاق1_1_1_4"/>
    <protectedRange sqref="AJ84 C72:C85" name="نطاق1_1_1_1"/>
    <protectedRange sqref="C71" name="نطاق1_3_1_2"/>
    <protectedRange sqref="C55:C62 C64:C70" name="نطاق1_1_1_4_1"/>
    <protectedRange sqref="D11:D12 D52:D53" name="نطاق4_16_11_1_1_1_1_1_1_1_1_1_1_1_1"/>
    <protectedRange sqref="AW18" name="نطاق1_10_2_2_1_1_1_1_1_1_1_1_1"/>
    <protectedRange sqref="AO98 AO103" name="نطاق2_14_5_2_1_1_1_1_1_1_1_1_1_1_1_1_2"/>
    <protectedRange sqref="H84:M86" name="نطاق2_27_1_1_4"/>
    <protectedRange sqref="O84:P86" name="نطاق2_27_1_1_3_3"/>
    <protectedRange sqref="E95:E97" name="نطاق2_12_2_1"/>
    <protectedRange sqref="G95 G103:G104 G97:G99 AO99 AO102" name="نطاق2_7_2_1_1_1"/>
    <protectedRange sqref="AO85 AO87 AO104" name="نطاق2_15_1_2_1_1"/>
    <protectedRange sqref="AL95:AM97 AG95:AG97" name="نطاق5_3_1_1_1"/>
    <protectedRange sqref="AJ95:AK95 AJ96:AJ97 AA95:AA97 AE95" name="نطاق4_27_1"/>
    <protectedRange sqref="Y106 Y92 Y94:Y97" name="نطاق3_3_1_1"/>
    <protectedRange sqref="AO97" name="نطاق4_4_1_1_1_1"/>
    <protectedRange sqref="AK97 D99 AE97" name="نطاق1_2_4_2"/>
    <protectedRange sqref="D90 D94 D103 Y98" name="نطاق1_10_4_1_1_1_1_1_1_1_1_1_2_1_1_1_1_1"/>
    <protectedRange sqref="AA91" name="نطاق4_16_11_1_1_1_1_1_1_2_1_1_1_1_1_1_1_2_1_1"/>
    <protectedRange sqref="AL91:AM91 AG91" name="نطاق2_14_10_1_2_1_1_2_1_1_1_1_2_1_1"/>
    <protectedRange sqref="AJ91" name="نطاق2_14_12_1_1_1_1_1_1_1_1_3_1_1_1_1_1_1_1_1"/>
    <protectedRange sqref="AK84:AK85 AK87 AE84:AE85 AE87" name="نطاق4_26_2_2_1_1_1_1_1_1_1_1_1_1_2_1_1_1_1_1"/>
    <protectedRange sqref="E93:E94" name="نطاق2_12_2_1_1"/>
    <protectedRange sqref="D93" name="نطاق1_7_1_1_1_1"/>
    <protectedRange sqref="G90" name="نطاق2_7_2_1_1_1_1"/>
    <protectedRange sqref="AL84:AM84 AG84" name="نطاق4_7_3_2_1_1_1_1"/>
    <protectedRange sqref="D88 Y89 Y91 D91:D92 Y93" name="نطاق3_13_1_1_1_1_1_1_1_1_1_2_1_1_1_1_1"/>
    <protectedRange sqref="E91:E92" name="نطاق2_12_2_5_1_1"/>
    <protectedRange sqref="G91 G88:G89 AO88:AO89 G94" name="نطاق2_34_1_2_1_1_1_1_3_1_1"/>
    <protectedRange sqref="E88 AA89" name="نطاق4_31_3_2_1_2_1_1_1"/>
    <protectedRange sqref="E89 AA88" name="نطاق4_1_3_1_1_1_2_1_1_1_1"/>
    <protectedRange sqref="D89 Y88" name="نطاق3_9_2_1_2_1_1_1_2_1_1_1_1_1"/>
    <protectedRange sqref="D97:D98 D106 Y103" name="نطاق3_13_1_1_1_2_1_2_3_1_1_1"/>
    <protectedRange sqref="G106" name="نطاق2_34_1_2_1_1_1_1_1_1_1_1"/>
    <protectedRange sqref="G85:G87 G92 G96 G101:G102 AO96" name="نطاق2_4_2_1_1_1_1_2_1_1_1_1_1_1_1"/>
    <protectedRange sqref="E85 AA87" name="نطاق5_8_1_1_1_1_1_2_1_1_1_1"/>
    <protectedRange sqref="E90" name="نطاق5_8_1_1_1_1_1_1_1"/>
    <protectedRange sqref="AA90" name="نطاق4_1_3_1_1_1_2_1_1_1_2"/>
    <protectedRange sqref="Y90" name="نطاق3_9_2_1_2_1_1_1_2_1_1_1_1_2"/>
    <protectedRange sqref="AL93:AM94 E99 AG93:AG94" name="نطاق5_3_1_1_1_1"/>
    <protectedRange sqref="AJ93:AK93 AK96 AA93:AA94 AJ94 AL99:AM99 AL102:AM102 AE93 AE96 AG99 AG102" name="نطاق4_27_1_1"/>
    <protectedRange sqref="AJ99 AJ102" name="نطاق3_3_1_1_1"/>
    <protectedRange sqref="E84" name="نطاق4_7_3_1_1_1_1_1_1"/>
    <protectedRange sqref="Y85" name="نطاق1_2_4_4_1_1_1_1_1"/>
    <protectedRange sqref="AA84" name="نطاق4_13_3_2_1_1_1_1_1"/>
    <protectedRange sqref="Y84 Y86:Y87" name="نطاق4_16_3_1_2_1_1_1_1_1"/>
    <protectedRange sqref="AO90 AO92" name="نطاق2_34_1_2_1_1_1_1_4_1_2"/>
    <protectedRange sqref="AL92:AM92 AG92" name="نطاق5_3_1_1_2_1_1_1"/>
    <protectedRange sqref="AJ92:AK92 AA92 AE92" name="نطاق4_27_2_1_1_1"/>
    <protectedRange sqref="AL90:AM90 AG90" name="نطاق5_8_2_1_1_2_2_1_1_1"/>
    <protectedRange sqref="AL90:AM90 AG90" name="نطاق2_27_3_2_1_2_2_2_1_1"/>
    <protectedRange sqref="AJ90:AK90 AE90" name="نطاق1_6_2_1_1_1_2_1_1_1_1"/>
    <protectedRange sqref="AO106" name="نطاق2_34_1_2_1_1_1_1_2_1_1_1"/>
    <protectedRange sqref="AJ88:AK89 AK91 AK94 AE88:AE89 AE91 AE94" name="نطاق1_6_2_1_1_1_2_2_1_1_1"/>
    <protectedRange sqref="AL88:AM89 AG88:AG89" name="نطاق2_5_2_1_1_1_2_1_1_1_1"/>
    <protectedRange sqref="AA86" name="نطاق2_27_1_1_1_1_1_1_1_1_1_1"/>
    <protectedRange sqref="AL86:AM86 AG86" name="نطاق5_8_2_1_1_2_2_2_2_1_1_1_1"/>
    <protectedRange sqref="AJ86" name="نطاق4_1_3_1_1_1_2_1_2_2_1_1_1_1"/>
    <protectedRange sqref="AK86 AE86" name="نطاق4_31_3_2_1_2_1_1_1_1_1_1_1"/>
    <protectedRange sqref="AO86" name="نطاق4_26_3_1_1_1_2_1_1_1_1_1_1_1"/>
    <protectedRange sqref="AL85:AM85 AL87:AM87 AG85 AG87" name="نطاق5_8_2_1_1_2_2_2_1_1_1_1_1_1"/>
    <protectedRange sqref="AA85 E87" name="نطاق4_1_3_1_1_1_2_1_2_1_1_1_1_1_1"/>
    <protectedRange sqref="AL85:AM85 AL87:AM87 AG85 AG87" name="نطاق2_27_3_2_1_2_2_1_1_1_1_1_1_1"/>
    <protectedRange sqref="AJ85 AJ87" name="نطاق1_6_2_1_1_1_2_1_1_1_1_1_1_1_1"/>
    <protectedRange sqref="AO94:AO95" name="نطاق2_15_1_2_1_1_1"/>
    <protectedRange sqref="AN84:AN114" name="نطاق4_15_4_1_4"/>
    <protectedRange sqref="D47:D50 D6:D9" name="نطاق1_2_4_1_1"/>
    <protectedRange sqref="C16:C17" name="نطاق1_1_1_8"/>
    <protectedRange sqref="D16:D17 D57:D58" name="نطاق1_2_4_7_1_1_1_2"/>
    <protectedRange sqref="A7:A205" name="نطاق7_1"/>
    <protectedRange sqref="AP6:AP205" name="نطاق8_2"/>
    <protectedRange sqref="A6" name="نطاق7_2"/>
    <protectedRange sqref="AQ6:AQ83" name="نطاق9_2"/>
    <protectedRange sqref="AN6:AN83 M6:M83 J6:J83 F6:F205 AB6:AB205 AH6:AH205" name="نطاق2_1_6_7"/>
    <protectedRange sqref="Q6:S205" name="نطاق2_1_9_2"/>
    <protectedRange sqref="P6:P83" name="نطاق2_13_3_2"/>
    <protectedRange sqref="H6:I83 K6:L83" name="نطاق2_1_6_6_1"/>
    <protectedRange sqref="G67:G83 G6:G23 G25:G65 AO6:AO83 AI6:AI205 AC6:AC205" name="نطاق2_15_1_2_1_2_1_1"/>
    <protectedRange sqref="Y6:Y83" name="نطاق1_10_2_2_1_1_1_1_1_1_1_1_1_5_1_1_2_3_1_1"/>
    <protectedRange sqref="X6:X205" name="نطاق1_1_1_3_2_1_1"/>
    <protectedRange sqref="Z6:AA6 AA7:AA83 Z7:Z205" name="نطاق5_1_1_2_1_1_1"/>
    <protectedRange sqref="AK6:AK83 AE6:AE83" name="نطاق1_2_5_1_1_2_1_1"/>
    <protectedRange sqref="AJ6:AJ83 AD6:AD205" name="نطاق1_1_1_12_3_1_1_1_1"/>
    <protectedRange sqref="AL6:AM83 AF6:AG6 AG7:AG83 AF7:AF205" name="نطاق2_30_1_2_1_1_1_1_1"/>
    <protectedRange sqref="N168" name="نطاق2_1_9_2_1"/>
  </protectedRanges>
  <autoFilter ref="A5:BE5"/>
  <dataConsolidate/>
  <mergeCells count="8">
    <mergeCell ref="AJ3:AO3"/>
    <mergeCell ref="AD3:AI3"/>
    <mergeCell ref="AP3:AW3"/>
    <mergeCell ref="A1:D1"/>
    <mergeCell ref="B3:I3"/>
    <mergeCell ref="J3:N3"/>
    <mergeCell ref="O3:W3"/>
    <mergeCell ref="X3:AC3"/>
  </mergeCells>
  <conditionalFormatting sqref="C6:C205">
    <cfRule type="expression" dxfId="13" priority="18">
      <formula>B6=$B$4</formula>
    </cfRule>
  </conditionalFormatting>
  <conditionalFormatting sqref="D6:D205">
    <cfRule type="expression" dxfId="12" priority="16">
      <formula>B6=$B$4</formula>
    </cfRule>
  </conditionalFormatting>
  <conditionalFormatting sqref="E6:E205">
    <cfRule type="expression" dxfId="11" priority="15">
      <formula>B6=$B$4</formula>
    </cfRule>
  </conditionalFormatting>
  <conditionalFormatting sqref="F6:F205">
    <cfRule type="expression" dxfId="10" priority="14">
      <formula>B6=$B$4</formula>
    </cfRule>
  </conditionalFormatting>
  <conditionalFormatting sqref="G6:G205">
    <cfRule type="expression" dxfId="9" priority="13">
      <formula>B6=$B$4</formula>
    </cfRule>
  </conditionalFormatting>
  <conditionalFormatting sqref="H6:H205">
    <cfRule type="expression" dxfId="8" priority="12">
      <formula>B6=$B$4</formula>
    </cfRule>
  </conditionalFormatting>
  <conditionalFormatting sqref="I6:I205">
    <cfRule type="expression" dxfId="7" priority="11">
      <formula>B6=$B$4</formula>
    </cfRule>
  </conditionalFormatting>
  <conditionalFormatting sqref="J6:J205">
    <cfRule type="expression" dxfId="6" priority="10">
      <formula>B6=$B$4</formula>
    </cfRule>
  </conditionalFormatting>
  <conditionalFormatting sqref="K7:K205">
    <cfRule type="expression" dxfId="5" priority="9">
      <formula>C7=$B$4</formula>
    </cfRule>
  </conditionalFormatting>
  <conditionalFormatting sqref="K6:K205">
    <cfRule type="expression" dxfId="4" priority="8">
      <formula>B6=$B$4</formula>
    </cfRule>
  </conditionalFormatting>
  <conditionalFormatting sqref="L6:L205">
    <cfRule type="expression" dxfId="3" priority="7">
      <formula>B6=$B$4</formula>
    </cfRule>
  </conditionalFormatting>
  <conditionalFormatting sqref="M6:M205">
    <cfRule type="expression" dxfId="2" priority="6">
      <formula>B6=$B$4</formula>
    </cfRule>
  </conditionalFormatting>
  <conditionalFormatting sqref="N6:N205">
    <cfRule type="expression" dxfId="1" priority="5">
      <formula>B6=$B$4</formula>
    </cfRule>
  </conditionalFormatting>
  <dataValidations count="2">
    <dataValidation type="list" allowBlank="1" showInputMessage="1" showErrorMessage="1" sqref="N168">
      <formula1>$N$167:$N$171</formula1>
    </dataValidation>
    <dataValidation allowBlank="1" showInputMessage="1" sqref="Q5"/>
  </dataValidations>
  <pageMargins left="0.31496062992125984" right="0.31496062992125984" top="0.35433070866141736" bottom="0.35433070866141736" header="0.11811023622047245" footer="0.11811023622047245"/>
  <pageSetup paperSize="9" orientation="portrait" r:id="rId1"/>
  <drawing r:id="rId2"/>
  <extLst>
    <ext xmlns:x14="http://schemas.microsoft.com/office/spreadsheetml/2009/9/main" uri="{CCE6A557-97BC-4b89-ADB6-D9C93CAAB3DF}">
      <x14:dataValidations xmlns:xm="http://schemas.microsoft.com/office/excel/2006/main" count="6">
        <x14:dataValidation type="list" allowBlank="1" showInputMessage="1" showErrorMessage="1">
          <x14:formula1>
            <xm:f>'Data Validation'!$L$2:$L$13</xm:f>
          </x14:formula1>
          <xm:sqref>F6:F205</xm:sqref>
        </x14:dataValidation>
        <x14:dataValidation type="list" allowBlank="1" showInputMessage="1" showErrorMessage="1">
          <x14:formula1>
            <xm:f>'Data Validation'!$L$2:$L$8</xm:f>
          </x14:formula1>
          <xm:sqref>AB6:AB205</xm:sqref>
        </x14:dataValidation>
        <x14:dataValidation type="list" allowBlank="1" showInputMessage="1" showErrorMessage="1">
          <x14:formula1>
            <xm:f>'Data Validation'!$L$2:$L$10</xm:f>
          </x14:formula1>
          <xm:sqref>AH6:AH205</xm:sqref>
        </x14:dataValidation>
        <x14:dataValidation type="list" allowBlank="1" showInputMessage="1" showErrorMessage="1">
          <x14:formula1>
            <xm:f>'Data Validation'!$L$2:$L$11</xm:f>
          </x14:formula1>
          <xm:sqref>AN6:AN205</xm:sqref>
        </x14:dataValidation>
        <x14:dataValidation type="list" allowBlank="1" showInputMessage="1" showErrorMessage="1">
          <x14:formula1>
            <xm:f>'Data Validation'!$N$2:$N$12</xm:f>
          </x14:formula1>
          <xm:sqref>AS6:AS205</xm:sqref>
        </x14:dataValidation>
        <x14:dataValidation type="list" allowBlank="1" showInputMessage="1">
          <x14:formula1>
            <xm:f>'Data Validation'!$J$2:$J$10</xm:f>
          </x14:formula1>
          <xm:sqref>Q6:Q205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Q25"/>
  <sheetViews>
    <sheetView rightToLeft="1" topLeftCell="B1" zoomScale="115" zoomScaleNormal="115" workbookViewId="0">
      <selection activeCell="E18" sqref="E18"/>
    </sheetView>
  </sheetViews>
  <sheetFormatPr defaultRowHeight="12.75"/>
  <cols>
    <col min="1" max="1" width="2.140625" style="111" customWidth="1"/>
    <col min="2" max="2" width="21.42578125" style="111" bestFit="1" customWidth="1"/>
    <col min="3" max="3" width="14.5703125" style="111" bestFit="1" customWidth="1"/>
    <col min="4" max="6" width="17.85546875" style="111" customWidth="1"/>
    <col min="7" max="7" width="12.140625" style="111" customWidth="1"/>
    <col min="8" max="8" width="7.85546875" style="111" customWidth="1"/>
    <col min="9" max="9" width="9.140625" style="111"/>
    <col min="10" max="10" width="10.5703125" style="111" customWidth="1"/>
    <col min="11" max="11" width="11.28515625" style="111" customWidth="1"/>
    <col min="12" max="12" width="11.140625" style="111" customWidth="1"/>
    <col min="13" max="13" width="7.85546875" style="111" customWidth="1"/>
    <col min="14" max="14" width="7.28515625" style="111" customWidth="1"/>
    <col min="15" max="15" width="7" style="111" customWidth="1"/>
    <col min="16" max="16" width="11.140625" style="111" customWidth="1"/>
    <col min="17" max="17" width="15.140625" style="111" customWidth="1"/>
    <col min="18" max="16384" width="9.140625" style="111"/>
  </cols>
  <sheetData>
    <row r="1" spans="2:17" s="578" customFormat="1" ht="16.5" customHeight="1">
      <c r="B1" s="596" t="s">
        <v>112</v>
      </c>
      <c r="C1" s="597" t="s">
        <v>784</v>
      </c>
      <c r="D1" s="597" t="s">
        <v>46</v>
      </c>
      <c r="E1" s="597" t="s">
        <v>798</v>
      </c>
      <c r="F1" s="597" t="s">
        <v>801</v>
      </c>
      <c r="G1" s="597" t="s">
        <v>789</v>
      </c>
      <c r="H1" s="597" t="s">
        <v>790</v>
      </c>
      <c r="I1" s="597" t="s">
        <v>791</v>
      </c>
      <c r="J1" s="597" t="s">
        <v>792</v>
      </c>
      <c r="K1" s="597" t="s">
        <v>793</v>
      </c>
      <c r="L1" s="597" t="s">
        <v>794</v>
      </c>
      <c r="M1" s="598" t="s">
        <v>699</v>
      </c>
      <c r="N1" s="599" t="s">
        <v>700</v>
      </c>
      <c r="O1" s="599" t="s">
        <v>701</v>
      </c>
      <c r="P1" s="599" t="s">
        <v>795</v>
      </c>
      <c r="Q1" s="598" t="s">
        <v>796</v>
      </c>
    </row>
    <row r="2" spans="2:17" ht="15.75" customHeight="1">
      <c r="B2" s="592" t="s">
        <v>639</v>
      </c>
      <c r="C2" s="589" t="s">
        <v>787</v>
      </c>
      <c r="D2" s="589" t="s">
        <v>785</v>
      </c>
      <c r="E2" s="589" t="s">
        <v>799</v>
      </c>
      <c r="F2" s="589" t="s">
        <v>802</v>
      </c>
      <c r="G2" s="590">
        <v>0.31</v>
      </c>
      <c r="H2" s="590">
        <v>0.31</v>
      </c>
      <c r="I2" s="591">
        <v>0.315</v>
      </c>
      <c r="J2" s="590">
        <v>0.03</v>
      </c>
      <c r="K2" s="591">
        <v>3.5000000000000003E-2</v>
      </c>
      <c r="L2" s="591">
        <v>3.5000000000000003E-2</v>
      </c>
      <c r="M2" s="582" t="s">
        <v>704</v>
      </c>
      <c r="N2" s="583">
        <v>6000</v>
      </c>
      <c r="O2" s="583">
        <v>14000</v>
      </c>
      <c r="P2" s="584" t="s">
        <v>789</v>
      </c>
      <c r="Q2" s="594" t="s">
        <v>792</v>
      </c>
    </row>
    <row r="3" spans="2:17" ht="15.75" customHeight="1">
      <c r="B3" s="592" t="s">
        <v>640</v>
      </c>
      <c r="C3" s="589" t="s">
        <v>787</v>
      </c>
      <c r="D3" s="589" t="s">
        <v>785</v>
      </c>
      <c r="E3" s="589" t="s">
        <v>799</v>
      </c>
      <c r="F3" s="589" t="s">
        <v>802</v>
      </c>
      <c r="G3" s="590">
        <v>0.31</v>
      </c>
      <c r="H3" s="590">
        <v>0.31</v>
      </c>
      <c r="I3" s="591">
        <v>0.315</v>
      </c>
      <c r="J3" s="590">
        <v>0.03</v>
      </c>
      <c r="K3" s="591">
        <v>3.5000000000000003E-2</v>
      </c>
      <c r="L3" s="591">
        <v>3.5000000000000003E-2</v>
      </c>
      <c r="M3" s="582" t="s">
        <v>706</v>
      </c>
      <c r="N3" s="583">
        <v>15000</v>
      </c>
      <c r="O3" s="583">
        <v>50000</v>
      </c>
      <c r="P3" s="584" t="s">
        <v>790</v>
      </c>
      <c r="Q3" s="594" t="s">
        <v>793</v>
      </c>
    </row>
    <row r="4" spans="2:17" ht="15.75" customHeight="1">
      <c r="B4" s="592" t="s">
        <v>645</v>
      </c>
      <c r="C4" s="589" t="s">
        <v>787</v>
      </c>
      <c r="D4" s="589" t="s">
        <v>785</v>
      </c>
      <c r="E4" s="589" t="s">
        <v>799</v>
      </c>
      <c r="F4" s="589" t="s">
        <v>802</v>
      </c>
      <c r="G4" s="590">
        <v>0.31</v>
      </c>
      <c r="H4" s="590">
        <v>0.31</v>
      </c>
      <c r="I4" s="591">
        <v>0.315</v>
      </c>
      <c r="J4" s="590">
        <v>0.03</v>
      </c>
      <c r="K4" s="591">
        <v>3.5000000000000003E-2</v>
      </c>
      <c r="L4" s="591">
        <v>3.5000000000000003E-2</v>
      </c>
      <c r="M4" s="585" t="s">
        <v>708</v>
      </c>
      <c r="N4" s="583">
        <v>51000</v>
      </c>
      <c r="O4" s="583">
        <v>150000</v>
      </c>
      <c r="P4" s="584" t="s">
        <v>791</v>
      </c>
      <c r="Q4" s="594" t="s">
        <v>794</v>
      </c>
    </row>
    <row r="5" spans="2:17" ht="15.75" customHeight="1">
      <c r="B5" s="592" t="s">
        <v>641</v>
      </c>
      <c r="C5" s="589" t="s">
        <v>787</v>
      </c>
      <c r="D5" s="589" t="s">
        <v>785</v>
      </c>
      <c r="E5" s="589" t="s">
        <v>799</v>
      </c>
      <c r="F5" s="589" t="s">
        <v>802</v>
      </c>
      <c r="G5" s="590">
        <v>0.31</v>
      </c>
      <c r="H5" s="590">
        <v>0.31</v>
      </c>
      <c r="I5" s="591">
        <v>0.315</v>
      </c>
      <c r="J5" s="590">
        <v>0.03</v>
      </c>
      <c r="K5" s="591">
        <v>3.5000000000000003E-2</v>
      </c>
      <c r="L5" s="591">
        <v>3.5000000000000003E-2</v>
      </c>
      <c r="M5" s="585"/>
      <c r="N5" s="583"/>
      <c r="O5" s="583"/>
      <c r="P5" s="584"/>
      <c r="Q5" s="594"/>
    </row>
    <row r="6" spans="2:17" ht="15.75" customHeight="1">
      <c r="B6" s="593" t="s">
        <v>642</v>
      </c>
      <c r="C6" s="579" t="s">
        <v>788</v>
      </c>
      <c r="D6" s="579" t="s">
        <v>786</v>
      </c>
      <c r="E6" s="579" t="s">
        <v>800</v>
      </c>
      <c r="F6" s="579" t="s">
        <v>803</v>
      </c>
      <c r="G6" s="580">
        <v>0.21</v>
      </c>
      <c r="H6" s="580">
        <v>0.21</v>
      </c>
      <c r="I6" s="586" t="s">
        <v>797</v>
      </c>
      <c r="J6" s="580">
        <v>0.03</v>
      </c>
      <c r="K6" s="581">
        <v>0.03</v>
      </c>
      <c r="L6" s="586" t="s">
        <v>797</v>
      </c>
      <c r="M6" s="583"/>
      <c r="N6" s="583"/>
      <c r="O6" s="583"/>
      <c r="P6" s="583"/>
      <c r="Q6" s="595"/>
    </row>
    <row r="7" spans="2:17" ht="15.75" customHeight="1">
      <c r="B7" s="593" t="s">
        <v>643</v>
      </c>
      <c r="C7" s="579" t="s">
        <v>788</v>
      </c>
      <c r="D7" s="579" t="s">
        <v>786</v>
      </c>
      <c r="E7" s="579" t="s">
        <v>800</v>
      </c>
      <c r="F7" s="579" t="s">
        <v>803</v>
      </c>
      <c r="G7" s="580">
        <v>0.21</v>
      </c>
      <c r="H7" s="580">
        <v>0.21</v>
      </c>
      <c r="I7" s="586" t="s">
        <v>797</v>
      </c>
      <c r="J7" s="580">
        <v>0.03</v>
      </c>
      <c r="K7" s="581">
        <v>0.03</v>
      </c>
      <c r="L7" s="586" t="s">
        <v>797</v>
      </c>
      <c r="M7" s="583"/>
      <c r="N7" s="583"/>
      <c r="O7" s="583"/>
      <c r="P7" s="583"/>
      <c r="Q7" s="595"/>
    </row>
    <row r="8" spans="2:17" ht="15.75" customHeight="1">
      <c r="B8" s="593" t="s">
        <v>655</v>
      </c>
      <c r="C8" s="579" t="s">
        <v>788</v>
      </c>
      <c r="D8" s="579" t="s">
        <v>786</v>
      </c>
      <c r="E8" s="579" t="s">
        <v>800</v>
      </c>
      <c r="F8" s="579" t="s">
        <v>803</v>
      </c>
      <c r="G8" s="580">
        <v>0.21</v>
      </c>
      <c r="H8" s="580">
        <v>0.21</v>
      </c>
      <c r="I8" s="586" t="s">
        <v>797</v>
      </c>
      <c r="J8" s="580">
        <v>0.03</v>
      </c>
      <c r="K8" s="581">
        <v>0.03</v>
      </c>
      <c r="L8" s="586" t="s">
        <v>797</v>
      </c>
      <c r="M8" s="583"/>
      <c r="N8" s="583"/>
      <c r="O8" s="583"/>
      <c r="P8" s="583"/>
      <c r="Q8" s="595"/>
    </row>
    <row r="9" spans="2:17" ht="15.75" customHeight="1">
      <c r="B9" s="593" t="s">
        <v>646</v>
      </c>
      <c r="C9" s="579" t="s">
        <v>788</v>
      </c>
      <c r="D9" s="579" t="s">
        <v>786</v>
      </c>
      <c r="E9" s="579" t="s">
        <v>800</v>
      </c>
      <c r="F9" s="579" t="s">
        <v>803</v>
      </c>
      <c r="G9" s="580">
        <v>0.21</v>
      </c>
      <c r="H9" s="580">
        <v>0.21</v>
      </c>
      <c r="I9" s="586" t="s">
        <v>797</v>
      </c>
      <c r="J9" s="580">
        <v>0.03</v>
      </c>
      <c r="K9" s="581">
        <v>0.03</v>
      </c>
      <c r="L9" s="586" t="s">
        <v>797</v>
      </c>
      <c r="M9" s="583"/>
      <c r="N9" s="583"/>
      <c r="O9" s="583"/>
      <c r="P9" s="583"/>
      <c r="Q9" s="595"/>
    </row>
    <row r="10" spans="2:17" ht="15.75" customHeight="1">
      <c r="B10" s="600" t="s">
        <v>644</v>
      </c>
      <c r="C10" s="601"/>
      <c r="D10" s="601"/>
      <c r="E10" s="601"/>
      <c r="F10" s="601"/>
      <c r="G10" s="602">
        <v>0.05</v>
      </c>
      <c r="H10" s="602">
        <v>0.05</v>
      </c>
      <c r="I10" s="603" t="s">
        <v>797</v>
      </c>
      <c r="J10" s="602">
        <v>0</v>
      </c>
      <c r="K10" s="604">
        <v>0</v>
      </c>
      <c r="L10" s="603" t="s">
        <v>797</v>
      </c>
      <c r="M10" s="605"/>
      <c r="N10" s="605"/>
      <c r="O10" s="605"/>
      <c r="P10" s="605"/>
      <c r="Q10" s="606"/>
    </row>
    <row r="11" spans="2:17">
      <c r="B11" s="607"/>
      <c r="C11" s="608"/>
      <c r="D11" s="608"/>
      <c r="E11" s="608"/>
      <c r="F11" s="608"/>
      <c r="G11" s="609"/>
      <c r="H11" s="609"/>
      <c r="I11" s="610"/>
      <c r="J11" s="609"/>
      <c r="K11" s="611"/>
      <c r="L11" s="610"/>
      <c r="M11" s="612"/>
      <c r="N11" s="612"/>
      <c r="O11" s="612"/>
      <c r="P11" s="612"/>
      <c r="Q11" s="613"/>
    </row>
    <row r="16" spans="2:17">
      <c r="I16" s="578"/>
    </row>
    <row r="17" spans="9:9">
      <c r="I17" s="587"/>
    </row>
    <row r="18" spans="9:9">
      <c r="I18" s="587"/>
    </row>
    <row r="19" spans="9:9">
      <c r="I19" s="587"/>
    </row>
    <row r="20" spans="9:9">
      <c r="I20" s="587"/>
    </row>
    <row r="21" spans="9:9">
      <c r="I21" s="587"/>
    </row>
    <row r="22" spans="9:9">
      <c r="I22" s="587"/>
    </row>
    <row r="23" spans="9:9">
      <c r="I23" s="588"/>
    </row>
    <row r="24" spans="9:9">
      <c r="I24" s="587"/>
    </row>
    <row r="25" spans="9:9">
      <c r="I25" s="587"/>
    </row>
  </sheetData>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F0"/>
  </sheetPr>
  <dimension ref="A1:R40"/>
  <sheetViews>
    <sheetView rightToLeft="1" view="pageBreakPreview" zoomScaleNormal="80" zoomScaleSheetLayoutView="100" workbookViewId="0">
      <selection activeCell="C7" sqref="C7:K7"/>
    </sheetView>
  </sheetViews>
  <sheetFormatPr defaultColWidth="8.85546875" defaultRowHeight="24" customHeight="1"/>
  <cols>
    <col min="1" max="1" width="1.28515625" style="100" customWidth="1"/>
    <col min="2" max="2" width="1.7109375" style="100" customWidth="1"/>
    <col min="3" max="5" width="8.85546875" style="100"/>
    <col min="6" max="7" width="6" style="100" customWidth="1"/>
    <col min="8" max="9" width="4.7109375" style="100" customWidth="1"/>
    <col min="10" max="11" width="11" style="100" customWidth="1"/>
    <col min="12" max="12" width="11.85546875" style="100" customWidth="1"/>
    <col min="13" max="14" width="8.85546875" style="100" customWidth="1"/>
    <col min="15" max="15" width="11" style="100" customWidth="1"/>
    <col min="16" max="16" width="1.42578125" style="100" customWidth="1"/>
    <col min="17" max="17" width="2.28515625" style="100" customWidth="1"/>
    <col min="18" max="16384" width="8.85546875" style="100"/>
  </cols>
  <sheetData>
    <row r="1" spans="1:18" ht="19.899999999999999" customHeight="1" thickBot="1">
      <c r="A1" s="99"/>
      <c r="B1" s="304"/>
      <c r="C1" s="304"/>
      <c r="D1" s="304"/>
      <c r="E1" s="304"/>
      <c r="F1" s="304"/>
      <c r="G1" s="304"/>
      <c r="H1" s="304"/>
      <c r="I1" s="304"/>
      <c r="J1" s="304"/>
      <c r="K1" s="304"/>
      <c r="L1" s="304"/>
      <c r="M1" s="304"/>
      <c r="N1" s="304" t="s">
        <v>0</v>
      </c>
      <c r="O1" s="304">
        <f>عقد!M1</f>
        <v>374</v>
      </c>
      <c r="P1" s="305"/>
      <c r="Q1" s="306"/>
    </row>
    <row r="2" spans="1:18" ht="24" customHeight="1" thickTop="1">
      <c r="A2" s="99"/>
      <c r="B2" s="307"/>
      <c r="C2" s="683" t="s">
        <v>135</v>
      </c>
      <c r="D2" s="683"/>
      <c r="E2" s="683"/>
      <c r="F2" s="683"/>
      <c r="G2" s="683"/>
      <c r="H2" s="683"/>
      <c r="I2" s="683"/>
      <c r="J2" s="683"/>
      <c r="K2" s="683"/>
      <c r="L2" s="683"/>
      <c r="M2" s="683"/>
      <c r="N2" s="683"/>
      <c r="O2" s="683"/>
      <c r="P2" s="308"/>
      <c r="Q2" s="306"/>
    </row>
    <row r="3" spans="1:18" ht="11.45" customHeight="1">
      <c r="A3" s="99"/>
      <c r="B3" s="309"/>
      <c r="C3" s="305"/>
      <c r="D3" s="305"/>
      <c r="E3" s="305"/>
      <c r="F3" s="305"/>
      <c r="G3" s="305"/>
      <c r="H3" s="305"/>
      <c r="I3" s="305"/>
      <c r="J3" s="305"/>
      <c r="K3" s="305"/>
      <c r="L3" s="305"/>
      <c r="M3" s="305"/>
      <c r="N3" s="305"/>
      <c r="O3" s="305"/>
      <c r="P3" s="310"/>
      <c r="Q3" s="306"/>
    </row>
    <row r="4" spans="1:18" ht="24" customHeight="1">
      <c r="A4" s="101"/>
      <c r="B4" s="244"/>
      <c r="C4" s="665" t="s">
        <v>8</v>
      </c>
      <c r="D4" s="665"/>
      <c r="E4" s="666">
        <f>IFERROR(VLOOKUP(عقد!$M$1,تفصيلي!B6:AW205,23,FALSE),"")</f>
        <v>0</v>
      </c>
      <c r="F4" s="666"/>
      <c r="G4" s="666"/>
      <c r="H4" s="666"/>
      <c r="I4" s="666"/>
      <c r="J4" s="666"/>
      <c r="K4" s="311" t="s">
        <v>38</v>
      </c>
      <c r="L4" s="678">
        <f>INDEX(تفصيلي!Z6:Z205,MATCH(الكفالة!E4,تفصيلي!X6:X205,0))</f>
        <v>0</v>
      </c>
      <c r="M4" s="678"/>
      <c r="N4" s="678"/>
      <c r="O4" s="678"/>
      <c r="P4" s="245"/>
      <c r="Q4" s="306"/>
    </row>
    <row r="5" spans="1:18" ht="24" customHeight="1">
      <c r="A5" s="101"/>
      <c r="B5" s="244"/>
      <c r="C5" s="665" t="s">
        <v>51</v>
      </c>
      <c r="D5" s="665"/>
      <c r="E5" s="666">
        <f>IFERROR(VLOOKUP(عقد!$M$1,تفصيلي!B6:AW205,24,FALSE),"")</f>
        <v>0</v>
      </c>
      <c r="F5" s="666"/>
      <c r="G5" s="666"/>
      <c r="H5" s="666"/>
      <c r="I5" s="666"/>
      <c r="J5" s="666"/>
      <c r="K5" s="312" t="s">
        <v>136</v>
      </c>
      <c r="L5" s="679"/>
      <c r="M5" s="679"/>
      <c r="N5" s="679"/>
      <c r="O5" s="679"/>
      <c r="P5" s="245"/>
      <c r="Q5" s="306"/>
      <c r="R5" s="100">
        <f>LEN(L5)</f>
        <v>0</v>
      </c>
    </row>
    <row r="6" spans="1:18" ht="24" customHeight="1">
      <c r="A6" s="101"/>
      <c r="B6" s="244"/>
      <c r="C6" s="665" t="s">
        <v>9</v>
      </c>
      <c r="D6" s="665"/>
      <c r="E6" s="666">
        <f>INDEX(تفصيلي!AC6:AC205,MATCH(الكفالة!E4,تفصيلي!X6:X205,0))</f>
        <v>0</v>
      </c>
      <c r="F6" s="666"/>
      <c r="G6" s="666"/>
      <c r="H6" s="666"/>
      <c r="I6" s="666"/>
      <c r="J6" s="666"/>
      <c r="K6" s="311" t="s">
        <v>6</v>
      </c>
      <c r="L6" s="666" t="str">
        <f>IFERROR(VLOOKUP(عقد!$M$1,تفصيلي!B6:AW205,27,FALSE),"")</f>
        <v>قنا</v>
      </c>
      <c r="M6" s="666"/>
      <c r="N6" s="666"/>
      <c r="O6" s="666"/>
      <c r="P6" s="245"/>
      <c r="Q6" s="306"/>
    </row>
    <row r="7" spans="1:18" ht="24" customHeight="1">
      <c r="A7" s="103"/>
      <c r="B7" s="244"/>
      <c r="C7" s="665" t="s">
        <v>203</v>
      </c>
      <c r="D7" s="665"/>
      <c r="E7" s="665"/>
      <c r="F7" s="665"/>
      <c r="G7" s="665"/>
      <c r="H7" s="665"/>
      <c r="I7" s="665"/>
      <c r="J7" s="665"/>
      <c r="K7" s="665"/>
      <c r="L7" s="313">
        <f>عقد!E7</f>
        <v>45875</v>
      </c>
      <c r="M7" s="666" t="s">
        <v>202</v>
      </c>
      <c r="N7" s="666"/>
      <c r="O7" s="666"/>
      <c r="P7" s="245"/>
      <c r="Q7" s="306"/>
    </row>
    <row r="8" spans="1:18" ht="24" customHeight="1">
      <c r="A8" s="103"/>
      <c r="B8" s="244"/>
      <c r="C8" s="665" t="s">
        <v>49</v>
      </c>
      <c r="D8" s="665"/>
      <c r="E8" s="665"/>
      <c r="F8" s="666" t="str">
        <f>عقد!C9</f>
        <v>منتصر نخله روس شنوده</v>
      </c>
      <c r="G8" s="666"/>
      <c r="H8" s="666"/>
      <c r="I8" s="666"/>
      <c r="J8" s="665" t="s">
        <v>50</v>
      </c>
      <c r="K8" s="665"/>
      <c r="L8" s="665"/>
      <c r="M8" s="665"/>
      <c r="N8" s="665"/>
      <c r="O8" s="665"/>
      <c r="P8" s="245"/>
      <c r="Q8" s="306"/>
    </row>
    <row r="9" spans="1:18" ht="111.6" customHeight="1">
      <c r="A9" s="99"/>
      <c r="B9" s="309"/>
      <c r="C9" s="681" t="s">
        <v>169</v>
      </c>
      <c r="D9" s="681"/>
      <c r="E9" s="681"/>
      <c r="F9" s="681"/>
      <c r="G9" s="681"/>
      <c r="H9" s="681"/>
      <c r="I9" s="681"/>
      <c r="J9" s="681"/>
      <c r="K9" s="681"/>
      <c r="L9" s="681"/>
      <c r="M9" s="681"/>
      <c r="N9" s="681"/>
      <c r="O9" s="681"/>
      <c r="P9" s="310"/>
      <c r="Q9" s="306"/>
    </row>
    <row r="10" spans="1:18" ht="51.6" customHeight="1">
      <c r="A10" s="99"/>
      <c r="B10" s="309"/>
      <c r="C10" s="667" t="s">
        <v>204</v>
      </c>
      <c r="D10" s="667"/>
      <c r="E10" s="668">
        <f>عقد!$E$7</f>
        <v>45875</v>
      </c>
      <c r="F10" s="668"/>
      <c r="G10" s="668"/>
      <c r="H10" s="669" t="s">
        <v>57</v>
      </c>
      <c r="I10" s="669"/>
      <c r="J10" s="669"/>
      <c r="K10" s="669"/>
      <c r="L10" s="680" t="s">
        <v>10</v>
      </c>
      <c r="M10" s="680"/>
      <c r="N10" s="680"/>
      <c r="O10" s="680"/>
      <c r="P10" s="310"/>
      <c r="Q10" s="306"/>
    </row>
    <row r="11" spans="1:18" ht="24" customHeight="1">
      <c r="A11" s="99"/>
      <c r="B11" s="309"/>
      <c r="C11" s="305"/>
      <c r="D11" s="305"/>
      <c r="E11" s="305"/>
      <c r="F11" s="305"/>
      <c r="G11" s="305"/>
      <c r="H11" s="305"/>
      <c r="I11" s="305"/>
      <c r="J11" s="682"/>
      <c r="K11" s="682"/>
      <c r="L11" s="670"/>
      <c r="M11" s="671"/>
      <c r="N11" s="671"/>
      <c r="O11" s="671"/>
      <c r="P11" s="310"/>
      <c r="Q11" s="306"/>
    </row>
    <row r="12" spans="1:18" ht="21.6" customHeight="1" thickBot="1">
      <c r="A12" s="99"/>
      <c r="B12" s="314"/>
      <c r="C12" s="304"/>
      <c r="D12" s="304"/>
      <c r="E12" s="304"/>
      <c r="F12" s="304"/>
      <c r="G12" s="304"/>
      <c r="H12" s="304"/>
      <c r="I12" s="304"/>
      <c r="J12" s="304"/>
      <c r="K12" s="304"/>
      <c r="L12" s="304"/>
      <c r="M12" s="304"/>
      <c r="N12" s="304"/>
      <c r="O12" s="304"/>
      <c r="P12" s="315"/>
      <c r="Q12" s="306"/>
    </row>
    <row r="13" spans="1:18" ht="39" customHeight="1" thickTop="1">
      <c r="A13" s="99"/>
      <c r="B13" s="305"/>
      <c r="C13" s="305"/>
      <c r="D13" s="305"/>
      <c r="E13" s="305"/>
      <c r="F13" s="305"/>
      <c r="G13" s="305"/>
      <c r="H13" s="305"/>
      <c r="I13" s="305"/>
      <c r="J13" s="305"/>
      <c r="K13" s="305"/>
      <c r="L13" s="305"/>
      <c r="M13" s="305"/>
      <c r="N13" s="674" t="s">
        <v>205</v>
      </c>
      <c r="O13" s="674"/>
      <c r="P13" s="305"/>
      <c r="Q13" s="306"/>
    </row>
    <row r="14" spans="1:18" ht="39" customHeight="1">
      <c r="B14" s="306"/>
      <c r="C14" s="306"/>
      <c r="D14" s="306"/>
      <c r="E14" s="306"/>
      <c r="F14" s="306"/>
      <c r="G14" s="306"/>
      <c r="H14" s="306"/>
      <c r="I14" s="306"/>
      <c r="J14" s="306"/>
      <c r="K14" s="306"/>
      <c r="L14" s="306"/>
      <c r="M14" s="306"/>
      <c r="N14" s="306"/>
      <c r="O14" s="306"/>
      <c r="P14" s="306"/>
      <c r="Q14" s="306"/>
    </row>
    <row r="15" spans="1:18" ht="19.899999999999999" customHeight="1" thickBot="1">
      <c r="A15" s="99"/>
      <c r="B15" s="304"/>
      <c r="C15" s="304"/>
      <c r="D15" s="304"/>
      <c r="E15" s="304"/>
      <c r="F15" s="304"/>
      <c r="G15" s="304"/>
      <c r="H15" s="304"/>
      <c r="I15" s="304"/>
      <c r="J15" s="304"/>
      <c r="K15" s="304"/>
      <c r="L15" s="304"/>
      <c r="M15" s="304"/>
      <c r="N15" s="304" t="s">
        <v>0</v>
      </c>
      <c r="O15" s="304">
        <f>O1</f>
        <v>374</v>
      </c>
      <c r="P15" s="305"/>
      <c r="Q15" s="306"/>
    </row>
    <row r="16" spans="1:18" ht="24" customHeight="1" thickTop="1">
      <c r="A16" s="99"/>
      <c r="B16" s="307"/>
      <c r="C16" s="683" t="s">
        <v>135</v>
      </c>
      <c r="D16" s="683"/>
      <c r="E16" s="683"/>
      <c r="F16" s="683"/>
      <c r="G16" s="683"/>
      <c r="H16" s="683"/>
      <c r="I16" s="683"/>
      <c r="J16" s="683"/>
      <c r="K16" s="683"/>
      <c r="L16" s="683"/>
      <c r="M16" s="683"/>
      <c r="N16" s="683"/>
      <c r="O16" s="683"/>
      <c r="P16" s="308"/>
      <c r="Q16" s="306"/>
    </row>
    <row r="17" spans="1:18" ht="11.45" customHeight="1">
      <c r="A17" s="99"/>
      <c r="B17" s="309"/>
      <c r="C17" s="305"/>
      <c r="D17" s="305"/>
      <c r="E17" s="305"/>
      <c r="F17" s="305"/>
      <c r="G17" s="305"/>
      <c r="H17" s="305"/>
      <c r="I17" s="305"/>
      <c r="J17" s="305"/>
      <c r="K17" s="305"/>
      <c r="L17" s="305"/>
      <c r="M17" s="305"/>
      <c r="N17" s="305"/>
      <c r="O17" s="305"/>
      <c r="P17" s="310"/>
      <c r="Q17" s="306"/>
    </row>
    <row r="18" spans="1:18" ht="24" customHeight="1">
      <c r="A18" s="101"/>
      <c r="B18" s="244"/>
      <c r="C18" s="665" t="s">
        <v>8</v>
      </c>
      <c r="D18" s="665"/>
      <c r="E18" s="666">
        <f>IFERROR(VLOOKUP(O15,تفصيلي!$B$6:$AW$205,29,FALSE),"")</f>
        <v>0</v>
      </c>
      <c r="F18" s="666"/>
      <c r="G18" s="666"/>
      <c r="H18" s="666"/>
      <c r="I18" s="666"/>
      <c r="J18" s="666"/>
      <c r="K18" s="311" t="s">
        <v>38</v>
      </c>
      <c r="L18" s="678">
        <f>IFERROR(VLOOKUP(O15,تفصيلي!$B$6:$AW$205,31,FALSE),"")</f>
        <v>0</v>
      </c>
      <c r="M18" s="678"/>
      <c r="N18" s="678"/>
      <c r="O18" s="678"/>
      <c r="P18" s="245"/>
      <c r="Q18" s="306"/>
    </row>
    <row r="19" spans="1:18" ht="24" customHeight="1">
      <c r="A19" s="101"/>
      <c r="B19" s="244"/>
      <c r="C19" s="665" t="s">
        <v>51</v>
      </c>
      <c r="D19" s="665"/>
      <c r="E19" s="666">
        <f>IFERROR(VLOOKUP(O15,تفصيلي!$B$6:$AW$205,30,FALSE),"")</f>
        <v>0</v>
      </c>
      <c r="F19" s="666"/>
      <c r="G19" s="666"/>
      <c r="H19" s="666"/>
      <c r="I19" s="666"/>
      <c r="J19" s="666"/>
      <c r="K19" s="312" t="s">
        <v>136</v>
      </c>
      <c r="L19" s="679"/>
      <c r="M19" s="679"/>
      <c r="N19" s="679"/>
      <c r="O19" s="679"/>
      <c r="P19" s="245"/>
      <c r="Q19" s="306"/>
      <c r="R19" s="100">
        <f>LEN(L19)</f>
        <v>0</v>
      </c>
    </row>
    <row r="20" spans="1:18" ht="24" customHeight="1">
      <c r="A20" s="101"/>
      <c r="B20" s="244"/>
      <c r="C20" s="665" t="s">
        <v>9</v>
      </c>
      <c r="D20" s="665"/>
      <c r="E20" s="666">
        <f>IFERROR(VLOOKUP(O15,تفصيلي!$B$6:$AW$205,34,FALSE),"")</f>
        <v>0</v>
      </c>
      <c r="F20" s="666"/>
      <c r="G20" s="666"/>
      <c r="H20" s="666"/>
      <c r="I20" s="666"/>
      <c r="J20" s="666"/>
      <c r="K20" s="311" t="s">
        <v>6</v>
      </c>
      <c r="L20" s="666" t="str">
        <f>IFERROR(VLOOKUP(O15,تفصيلي!$B$6:$AW$205,33,FALSE),"")</f>
        <v>قنا</v>
      </c>
      <c r="M20" s="666"/>
      <c r="N20" s="666"/>
      <c r="O20" s="666"/>
      <c r="P20" s="245"/>
      <c r="Q20" s="306"/>
    </row>
    <row r="21" spans="1:18" ht="24" customHeight="1">
      <c r="A21" s="103"/>
      <c r="B21" s="244"/>
      <c r="C21" s="665" t="s">
        <v>203</v>
      </c>
      <c r="D21" s="665"/>
      <c r="E21" s="665"/>
      <c r="F21" s="665"/>
      <c r="G21" s="665"/>
      <c r="H21" s="665"/>
      <c r="I21" s="665"/>
      <c r="J21" s="665"/>
      <c r="K21" s="665"/>
      <c r="L21" s="313">
        <f>L7</f>
        <v>45875</v>
      </c>
      <c r="M21" s="666" t="s">
        <v>202</v>
      </c>
      <c r="N21" s="666"/>
      <c r="O21" s="666"/>
      <c r="P21" s="245"/>
      <c r="Q21" s="306"/>
    </row>
    <row r="22" spans="1:18" ht="24" customHeight="1">
      <c r="A22" s="103"/>
      <c r="B22" s="244"/>
      <c r="C22" s="665" t="s">
        <v>49</v>
      </c>
      <c r="D22" s="665"/>
      <c r="E22" s="665"/>
      <c r="F22" s="666" t="str">
        <f>F8</f>
        <v>منتصر نخله روس شنوده</v>
      </c>
      <c r="G22" s="666"/>
      <c r="H22" s="666"/>
      <c r="I22" s="666"/>
      <c r="J22" s="665" t="s">
        <v>50</v>
      </c>
      <c r="K22" s="665"/>
      <c r="L22" s="665"/>
      <c r="M22" s="665"/>
      <c r="N22" s="665"/>
      <c r="O22" s="665"/>
      <c r="P22" s="245"/>
      <c r="Q22" s="306"/>
    </row>
    <row r="23" spans="1:18" ht="111.6" customHeight="1">
      <c r="A23" s="99"/>
      <c r="B23" s="309"/>
      <c r="C23" s="681" t="s">
        <v>169</v>
      </c>
      <c r="D23" s="681"/>
      <c r="E23" s="681"/>
      <c r="F23" s="681"/>
      <c r="G23" s="681"/>
      <c r="H23" s="681"/>
      <c r="I23" s="681"/>
      <c r="J23" s="681"/>
      <c r="K23" s="681"/>
      <c r="L23" s="681"/>
      <c r="M23" s="681"/>
      <c r="N23" s="681"/>
      <c r="O23" s="681"/>
      <c r="P23" s="310"/>
      <c r="Q23" s="306"/>
    </row>
    <row r="24" spans="1:18" ht="51.6" customHeight="1">
      <c r="A24" s="99"/>
      <c r="B24" s="309"/>
      <c r="C24" s="667" t="s">
        <v>204</v>
      </c>
      <c r="D24" s="667"/>
      <c r="E24" s="668">
        <f>عقد!$E$7</f>
        <v>45875</v>
      </c>
      <c r="F24" s="668"/>
      <c r="G24" s="668"/>
      <c r="H24" s="669" t="s">
        <v>57</v>
      </c>
      <c r="I24" s="669"/>
      <c r="J24" s="669"/>
      <c r="K24" s="669"/>
      <c r="L24" s="680" t="s">
        <v>10</v>
      </c>
      <c r="M24" s="680"/>
      <c r="N24" s="680"/>
      <c r="O24" s="680"/>
      <c r="P24" s="310"/>
      <c r="Q24" s="306"/>
    </row>
    <row r="25" spans="1:18" ht="24" customHeight="1">
      <c r="A25" s="99"/>
      <c r="B25" s="309"/>
      <c r="C25" s="305"/>
      <c r="D25" s="305"/>
      <c r="E25" s="305"/>
      <c r="F25" s="305"/>
      <c r="G25" s="305"/>
      <c r="H25" s="305"/>
      <c r="I25" s="305"/>
      <c r="J25" s="682"/>
      <c r="K25" s="682"/>
      <c r="L25" s="670"/>
      <c r="M25" s="671"/>
      <c r="N25" s="671"/>
      <c r="O25" s="671"/>
      <c r="P25" s="310"/>
      <c r="Q25" s="306"/>
    </row>
    <row r="26" spans="1:18" ht="21.6" customHeight="1" thickBot="1">
      <c r="A26" s="99"/>
      <c r="B26" s="314"/>
      <c r="C26" s="304"/>
      <c r="D26" s="304"/>
      <c r="E26" s="304"/>
      <c r="F26" s="304"/>
      <c r="G26" s="304"/>
      <c r="H26" s="304"/>
      <c r="I26" s="304"/>
      <c r="J26" s="304"/>
      <c r="K26" s="304"/>
      <c r="L26" s="304"/>
      <c r="M26" s="304"/>
      <c r="N26" s="304"/>
      <c r="O26" s="304"/>
      <c r="P26" s="315"/>
      <c r="Q26" s="306"/>
    </row>
    <row r="27" spans="1:18" ht="39" customHeight="1" thickTop="1">
      <c r="A27" s="99"/>
      <c r="B27" s="305"/>
      <c r="C27" s="305"/>
      <c r="D27" s="305"/>
      <c r="E27" s="305"/>
      <c r="F27" s="305"/>
      <c r="G27" s="305"/>
      <c r="H27" s="305"/>
      <c r="I27" s="305"/>
      <c r="J27" s="305"/>
      <c r="K27" s="305"/>
      <c r="L27" s="305"/>
      <c r="M27" s="305"/>
      <c r="N27" s="674" t="s">
        <v>648</v>
      </c>
      <c r="O27" s="674"/>
      <c r="P27" s="305"/>
      <c r="Q27" s="306"/>
    </row>
    <row r="28" spans="1:18" ht="19.899999999999999" customHeight="1" thickBot="1">
      <c r="A28" s="99"/>
      <c r="B28" s="316"/>
      <c r="C28" s="316"/>
      <c r="D28" s="316"/>
      <c r="E28" s="316"/>
      <c r="F28" s="316"/>
      <c r="G28" s="316"/>
      <c r="H28" s="316"/>
      <c r="I28" s="316"/>
      <c r="J28" s="316"/>
      <c r="K28" s="316"/>
      <c r="L28" s="316"/>
      <c r="M28" s="316"/>
      <c r="N28" s="316" t="s">
        <v>0</v>
      </c>
      <c r="O28" s="316">
        <f>O1</f>
        <v>374</v>
      </c>
      <c r="P28" s="317"/>
      <c r="Q28" s="318"/>
    </row>
    <row r="29" spans="1:18" ht="24" customHeight="1" thickTop="1">
      <c r="A29" s="99"/>
      <c r="B29" s="319"/>
      <c r="C29" s="675" t="s">
        <v>135</v>
      </c>
      <c r="D29" s="675"/>
      <c r="E29" s="675"/>
      <c r="F29" s="675"/>
      <c r="G29" s="675"/>
      <c r="H29" s="675"/>
      <c r="I29" s="675"/>
      <c r="J29" s="675"/>
      <c r="K29" s="675"/>
      <c r="L29" s="675"/>
      <c r="M29" s="675"/>
      <c r="N29" s="675"/>
      <c r="O29" s="675"/>
      <c r="P29" s="320"/>
      <c r="Q29" s="318"/>
    </row>
    <row r="30" spans="1:18" ht="11.45" customHeight="1">
      <c r="A30" s="99"/>
      <c r="B30" s="321"/>
      <c r="C30" s="317"/>
      <c r="D30" s="317"/>
      <c r="E30" s="317"/>
      <c r="F30" s="317"/>
      <c r="G30" s="317"/>
      <c r="H30" s="317"/>
      <c r="I30" s="317"/>
      <c r="J30" s="317"/>
      <c r="K30" s="317"/>
      <c r="L30" s="317"/>
      <c r="M30" s="317"/>
      <c r="N30" s="317"/>
      <c r="O30" s="317"/>
      <c r="P30" s="322"/>
      <c r="Q30" s="318"/>
    </row>
    <row r="31" spans="1:18" ht="24" customHeight="1">
      <c r="A31" s="101"/>
      <c r="B31" s="102"/>
      <c r="C31" s="676" t="s">
        <v>8</v>
      </c>
      <c r="D31" s="676"/>
      <c r="E31" s="672">
        <f>IFERROR(VLOOKUP(O28,تفصيلي!$B$6:$AW$205,35,FALSE),"")</f>
        <v>0</v>
      </c>
      <c r="F31" s="672"/>
      <c r="G31" s="672"/>
      <c r="H31" s="672"/>
      <c r="I31" s="672"/>
      <c r="J31" s="672"/>
      <c r="K31" s="323" t="s">
        <v>38</v>
      </c>
      <c r="L31" s="673">
        <f>IFERROR(VLOOKUP(O28,تفصيلي!$B$6:$AW$205,37,FALSE),"")</f>
        <v>0</v>
      </c>
      <c r="M31" s="673"/>
      <c r="N31" s="673"/>
      <c r="O31" s="673"/>
      <c r="P31" s="104"/>
      <c r="Q31" s="318"/>
    </row>
    <row r="32" spans="1:18" ht="24" customHeight="1">
      <c r="A32" s="101"/>
      <c r="B32" s="102"/>
      <c r="C32" s="676" t="s">
        <v>51</v>
      </c>
      <c r="D32" s="676"/>
      <c r="E32" s="672">
        <f>IFERROR(VLOOKUP(O28,تفصيلي!$B$6:$AW$205,36,FALSE),"")</f>
        <v>0</v>
      </c>
      <c r="F32" s="672"/>
      <c r="G32" s="672"/>
      <c r="H32" s="672"/>
      <c r="I32" s="672"/>
      <c r="J32" s="672"/>
      <c r="K32" s="324" t="s">
        <v>136</v>
      </c>
      <c r="L32" s="684">
        <f>IFERROR(VLOOKUP(O28,تفصيلي!$B$6:$AW$205,38,FALSE),"")</f>
        <v>0</v>
      </c>
      <c r="M32" s="684"/>
      <c r="N32" s="684"/>
      <c r="O32" s="684"/>
      <c r="P32" s="104"/>
      <c r="Q32" s="318"/>
    </row>
    <row r="33" spans="1:17" ht="24" customHeight="1">
      <c r="A33" s="101"/>
      <c r="B33" s="102"/>
      <c r="C33" s="676" t="s">
        <v>9</v>
      </c>
      <c r="D33" s="676"/>
      <c r="E33" s="672">
        <f>IFERROR(VLOOKUP(O28,تفصيلي!$B$6:$AW$205,40,FALSE),"")</f>
        <v>0</v>
      </c>
      <c r="F33" s="672"/>
      <c r="G33" s="672"/>
      <c r="H33" s="672"/>
      <c r="I33" s="672"/>
      <c r="J33" s="672"/>
      <c r="K33" s="323" t="s">
        <v>6</v>
      </c>
      <c r="L33" s="672">
        <f>IFERROR(VLOOKUP(O28,تفصيلي!$B$6:$AW$205,39,FALSE),"")</f>
        <v>0</v>
      </c>
      <c r="M33" s="672"/>
      <c r="N33" s="672"/>
      <c r="O33" s="672"/>
      <c r="P33" s="104"/>
      <c r="Q33" s="318"/>
    </row>
    <row r="34" spans="1:17" ht="24" customHeight="1">
      <c r="A34" s="103"/>
      <c r="B34" s="102"/>
      <c r="C34" s="676" t="s">
        <v>203</v>
      </c>
      <c r="D34" s="676"/>
      <c r="E34" s="676"/>
      <c r="F34" s="676"/>
      <c r="G34" s="676"/>
      <c r="H34" s="676"/>
      <c r="I34" s="676"/>
      <c r="J34" s="676"/>
      <c r="K34" s="676"/>
      <c r="L34" s="325">
        <f>L7</f>
        <v>45875</v>
      </c>
      <c r="M34" s="672" t="s">
        <v>202</v>
      </c>
      <c r="N34" s="672"/>
      <c r="O34" s="672"/>
      <c r="P34" s="104"/>
      <c r="Q34" s="318"/>
    </row>
    <row r="35" spans="1:17" ht="24" customHeight="1">
      <c r="A35" s="103"/>
      <c r="B35" s="102"/>
      <c r="C35" s="676" t="s">
        <v>49</v>
      </c>
      <c r="D35" s="676"/>
      <c r="E35" s="676"/>
      <c r="F35" s="672" t="str">
        <f>F8</f>
        <v>منتصر نخله روس شنوده</v>
      </c>
      <c r="G35" s="672"/>
      <c r="H35" s="672"/>
      <c r="I35" s="672"/>
      <c r="J35" s="676" t="s">
        <v>50</v>
      </c>
      <c r="K35" s="676"/>
      <c r="L35" s="676"/>
      <c r="M35" s="676"/>
      <c r="N35" s="676"/>
      <c r="O35" s="676"/>
      <c r="P35" s="104"/>
      <c r="Q35" s="318"/>
    </row>
    <row r="36" spans="1:17" ht="111.6" customHeight="1">
      <c r="A36" s="99"/>
      <c r="B36" s="321"/>
      <c r="C36" s="685" t="s">
        <v>169</v>
      </c>
      <c r="D36" s="685"/>
      <c r="E36" s="685"/>
      <c r="F36" s="685"/>
      <c r="G36" s="685"/>
      <c r="H36" s="685"/>
      <c r="I36" s="685"/>
      <c r="J36" s="685"/>
      <c r="K36" s="685"/>
      <c r="L36" s="685"/>
      <c r="M36" s="685"/>
      <c r="N36" s="685"/>
      <c r="O36" s="685"/>
      <c r="P36" s="322"/>
      <c r="Q36" s="318"/>
    </row>
    <row r="37" spans="1:17" ht="51.6" customHeight="1">
      <c r="A37" s="99"/>
      <c r="B37" s="321"/>
      <c r="C37" s="690" t="s">
        <v>204</v>
      </c>
      <c r="D37" s="690"/>
      <c r="E37" s="691">
        <f>عقد!$E$7</f>
        <v>45875</v>
      </c>
      <c r="F37" s="691"/>
      <c r="G37" s="691"/>
      <c r="H37" s="692" t="s">
        <v>57</v>
      </c>
      <c r="I37" s="692"/>
      <c r="J37" s="692"/>
      <c r="K37" s="692"/>
      <c r="L37" s="686" t="s">
        <v>10</v>
      </c>
      <c r="M37" s="686"/>
      <c r="N37" s="686"/>
      <c r="O37" s="686"/>
      <c r="P37" s="322"/>
      <c r="Q37" s="318"/>
    </row>
    <row r="38" spans="1:17" ht="24" customHeight="1">
      <c r="A38" s="99"/>
      <c r="B38" s="321"/>
      <c r="C38" s="317"/>
      <c r="D38" s="317"/>
      <c r="E38" s="317"/>
      <c r="F38" s="317"/>
      <c r="G38" s="317"/>
      <c r="H38" s="317"/>
      <c r="I38" s="317"/>
      <c r="J38" s="687"/>
      <c r="K38" s="687"/>
      <c r="L38" s="688"/>
      <c r="M38" s="689"/>
      <c r="N38" s="689"/>
      <c r="O38" s="689"/>
      <c r="P38" s="322"/>
      <c r="Q38" s="318"/>
    </row>
    <row r="39" spans="1:17" ht="21.6" customHeight="1" thickBot="1">
      <c r="A39" s="99"/>
      <c r="B39" s="326"/>
      <c r="C39" s="316"/>
      <c r="D39" s="316"/>
      <c r="E39" s="316"/>
      <c r="F39" s="316"/>
      <c r="G39" s="316"/>
      <c r="H39" s="316"/>
      <c r="I39" s="316"/>
      <c r="J39" s="316"/>
      <c r="K39" s="316"/>
      <c r="L39" s="316"/>
      <c r="M39" s="316"/>
      <c r="N39" s="316"/>
      <c r="O39" s="316"/>
      <c r="P39" s="327"/>
      <c r="Q39" s="318"/>
    </row>
    <row r="40" spans="1:17" ht="39" customHeight="1" thickTop="1">
      <c r="A40" s="99"/>
      <c r="B40" s="317"/>
      <c r="C40" s="317"/>
      <c r="D40" s="317"/>
      <c r="E40" s="317"/>
      <c r="F40" s="317"/>
      <c r="G40" s="317"/>
      <c r="H40" s="317"/>
      <c r="I40" s="317"/>
      <c r="J40" s="317"/>
      <c r="K40" s="317"/>
      <c r="L40" s="317"/>
      <c r="M40" s="317"/>
      <c r="N40" s="677" t="s">
        <v>649</v>
      </c>
      <c r="O40" s="677"/>
      <c r="P40" s="317"/>
      <c r="Q40" s="318"/>
    </row>
  </sheetData>
  <sheetProtection sheet="1" selectLockedCells="1"/>
  <mergeCells count="69">
    <mergeCell ref="C36:O36"/>
    <mergeCell ref="L37:O37"/>
    <mergeCell ref="J38:K38"/>
    <mergeCell ref="L38:O38"/>
    <mergeCell ref="C37:D37"/>
    <mergeCell ref="E37:G37"/>
    <mergeCell ref="H37:K37"/>
    <mergeCell ref="C34:K34"/>
    <mergeCell ref="M34:O34"/>
    <mergeCell ref="C35:E35"/>
    <mergeCell ref="F35:I35"/>
    <mergeCell ref="J35:O35"/>
    <mergeCell ref="C18:D18"/>
    <mergeCell ref="C32:D32"/>
    <mergeCell ref="C33:D33"/>
    <mergeCell ref="E32:J32"/>
    <mergeCell ref="L32:O32"/>
    <mergeCell ref="E33:J33"/>
    <mergeCell ref="L33:O33"/>
    <mergeCell ref="E19:J19"/>
    <mergeCell ref="L19:O19"/>
    <mergeCell ref="E18:J18"/>
    <mergeCell ref="L18:O18"/>
    <mergeCell ref="E20:J20"/>
    <mergeCell ref="L20:O20"/>
    <mergeCell ref="C21:K21"/>
    <mergeCell ref="M21:O21"/>
    <mergeCell ref="J25:K25"/>
    <mergeCell ref="C2:O2"/>
    <mergeCell ref="C4:D4"/>
    <mergeCell ref="C5:D5"/>
    <mergeCell ref="C6:D6"/>
    <mergeCell ref="C8:E8"/>
    <mergeCell ref="F8:I8"/>
    <mergeCell ref="J8:O8"/>
    <mergeCell ref="C9:O9"/>
    <mergeCell ref="L10:O10"/>
    <mergeCell ref="J11:K11"/>
    <mergeCell ref="L11:O11"/>
    <mergeCell ref="C16:O16"/>
    <mergeCell ref="N13:O13"/>
    <mergeCell ref="N40:O40"/>
    <mergeCell ref="E4:J4"/>
    <mergeCell ref="E5:J5"/>
    <mergeCell ref="E6:J6"/>
    <mergeCell ref="L4:O4"/>
    <mergeCell ref="L5:O5"/>
    <mergeCell ref="L6:O6"/>
    <mergeCell ref="M7:O7"/>
    <mergeCell ref="C7:K7"/>
    <mergeCell ref="C10:D10"/>
    <mergeCell ref="H10:K10"/>
    <mergeCell ref="E10:G10"/>
    <mergeCell ref="L24:O24"/>
    <mergeCell ref="C23:O23"/>
    <mergeCell ref="C20:D20"/>
    <mergeCell ref="C19:D19"/>
    <mergeCell ref="L25:O25"/>
    <mergeCell ref="E31:J31"/>
    <mergeCell ref="L31:O31"/>
    <mergeCell ref="N27:O27"/>
    <mergeCell ref="C29:O29"/>
    <mergeCell ref="C31:D31"/>
    <mergeCell ref="C22:E22"/>
    <mergeCell ref="F22:I22"/>
    <mergeCell ref="C24:D24"/>
    <mergeCell ref="E24:G24"/>
    <mergeCell ref="H24:K24"/>
    <mergeCell ref="J22:O22"/>
  </mergeCells>
  <printOptions horizontalCentered="1"/>
  <pageMargins left="0.31496062992125984" right="0.31496062992125984" top="0.94488188976377963" bottom="0.35433070866141736" header="0.31496062992125984" footer="0.31496062992125984"/>
  <pageSetup paperSize="9" scale="75" fitToHeight="2" orientation="portrait" r:id="rId1"/>
  <rowBreaks count="1" manualBreakCount="1">
    <brk id="27" max="16"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95"/>
  <sheetViews>
    <sheetView rightToLeft="1" view="pageBreakPreview" topLeftCell="A6" zoomScale="90" zoomScaleNormal="100" zoomScaleSheetLayoutView="90" workbookViewId="0">
      <selection activeCell="C7" sqref="C7:K7"/>
    </sheetView>
  </sheetViews>
  <sheetFormatPr defaultRowHeight="12.75"/>
  <cols>
    <col min="1" max="1" width="3" customWidth="1"/>
    <col min="2" max="2" width="2.140625" customWidth="1"/>
    <col min="3" max="3" width="27.7109375" customWidth="1"/>
    <col min="5" max="5" width="14.28515625" customWidth="1"/>
    <col min="11" max="11" width="14.28515625" customWidth="1"/>
    <col min="12" max="12" width="2.7109375" customWidth="1"/>
    <col min="13" max="13" width="3.140625" customWidth="1"/>
  </cols>
  <sheetData>
    <row r="1" spans="1:12" ht="15.6" customHeight="1">
      <c r="A1" s="114"/>
      <c r="B1" s="114"/>
      <c r="C1" s="114"/>
      <c r="D1" s="114"/>
      <c r="E1" s="114"/>
      <c r="F1" s="114"/>
      <c r="G1" s="114"/>
      <c r="H1" s="114"/>
      <c r="I1" s="114"/>
      <c r="J1" s="115" t="s">
        <v>0</v>
      </c>
      <c r="K1" s="115">
        <f>عقد!M1</f>
        <v>374</v>
      </c>
      <c r="L1" s="114"/>
    </row>
    <row r="2" spans="1:12" ht="4.1500000000000004" customHeight="1" thickBot="1">
      <c r="A2" s="3"/>
      <c r="B2" s="3"/>
      <c r="C2" s="3"/>
      <c r="D2" s="3"/>
      <c r="E2" s="3"/>
      <c r="F2" s="3"/>
      <c r="G2" s="3"/>
      <c r="H2" s="39"/>
      <c r="I2" s="3"/>
      <c r="J2" s="3"/>
      <c r="K2" s="3"/>
      <c r="L2" s="3"/>
    </row>
    <row r="3" spans="1:12" ht="21" thickTop="1">
      <c r="A3" s="3"/>
      <c r="B3" s="40"/>
      <c r="C3" s="41"/>
      <c r="D3" s="41"/>
      <c r="E3" s="41"/>
      <c r="F3" s="41"/>
      <c r="G3" s="41"/>
      <c r="H3" s="41"/>
      <c r="I3" s="41"/>
      <c r="J3" s="41"/>
      <c r="K3" s="41"/>
      <c r="L3" s="105"/>
    </row>
    <row r="4" spans="1:12" ht="20.25">
      <c r="A4" s="3"/>
      <c r="B4" s="1"/>
      <c r="C4" s="706" t="s">
        <v>64</v>
      </c>
      <c r="D4" s="706"/>
      <c r="E4" s="706"/>
      <c r="F4" s="706"/>
      <c r="G4" s="706"/>
      <c r="H4" s="706"/>
      <c r="I4" s="706"/>
      <c r="J4" s="706"/>
      <c r="K4" s="706"/>
      <c r="L4" s="106"/>
    </row>
    <row r="5" spans="1:12" ht="20.25">
      <c r="A5" s="3"/>
      <c r="B5" s="1"/>
      <c r="C5" s="42"/>
      <c r="D5" s="42"/>
      <c r="E5" s="42"/>
      <c r="F5" s="42"/>
      <c r="G5" s="42"/>
      <c r="H5" s="42"/>
      <c r="I5" s="42"/>
      <c r="J5" s="42"/>
      <c r="K5" s="42"/>
      <c r="L5" s="106"/>
    </row>
    <row r="6" spans="1:12" s="111" customFormat="1" ht="20.45" customHeight="1">
      <c r="A6" s="3"/>
      <c r="B6" s="1"/>
      <c r="C6" s="702" t="s">
        <v>67</v>
      </c>
      <c r="D6" s="702"/>
      <c r="E6" s="149">
        <f>عقد!E7</f>
        <v>45875</v>
      </c>
      <c r="F6" s="702" t="s">
        <v>66</v>
      </c>
      <c r="G6" s="702"/>
      <c r="H6" s="702"/>
      <c r="I6" s="702"/>
      <c r="J6" s="702"/>
      <c r="K6" s="702"/>
      <c r="L6" s="106"/>
    </row>
    <row r="7" spans="1:12" s="111" customFormat="1" ht="20.45" customHeight="1">
      <c r="A7" s="3"/>
      <c r="B7" s="1"/>
      <c r="C7" s="703" t="s">
        <v>657</v>
      </c>
      <c r="D7" s="703"/>
      <c r="E7" s="703"/>
      <c r="F7" s="703"/>
      <c r="G7" s="703"/>
      <c r="H7" s="703"/>
      <c r="I7" s="703"/>
      <c r="J7" s="703"/>
      <c r="K7" s="703"/>
      <c r="L7" s="106"/>
    </row>
    <row r="8" spans="1:12" s="111" customFormat="1" ht="20.45" customHeight="1">
      <c r="A8" s="43"/>
      <c r="B8" s="44"/>
      <c r="C8" s="109" t="s">
        <v>65</v>
      </c>
      <c r="D8" s="704" t="str">
        <f>عقد!C9</f>
        <v>منتصر نخله روس شنوده</v>
      </c>
      <c r="E8" s="704"/>
      <c r="F8" s="704"/>
      <c r="G8" s="698" t="s">
        <v>56</v>
      </c>
      <c r="H8" s="698"/>
      <c r="I8" s="705">
        <f>عقد!C10</f>
        <v>27703292700272</v>
      </c>
      <c r="J8" s="705"/>
      <c r="K8" s="705"/>
      <c r="L8" s="107"/>
    </row>
    <row r="9" spans="1:12" s="111" customFormat="1" ht="20.45" customHeight="1">
      <c r="A9" s="43"/>
      <c r="B9" s="44"/>
      <c r="C9" s="109" t="s">
        <v>1</v>
      </c>
      <c r="D9" s="699">
        <f>عقد!D13</f>
        <v>0</v>
      </c>
      <c r="E9" s="699"/>
      <c r="F9" s="699"/>
      <c r="G9" s="699"/>
      <c r="H9" s="699"/>
      <c r="I9" s="699"/>
      <c r="J9" s="699"/>
      <c r="K9" s="699"/>
      <c r="L9" s="107"/>
    </row>
    <row r="10" spans="1:12" s="111" customFormat="1" ht="20.45" customHeight="1">
      <c r="A10" s="43"/>
      <c r="B10" s="44"/>
      <c r="C10" s="109" t="s">
        <v>647</v>
      </c>
      <c r="D10" s="699">
        <f>عقد!C11</f>
        <v>0</v>
      </c>
      <c r="E10" s="699"/>
      <c r="F10" s="699"/>
      <c r="G10" s="699"/>
      <c r="H10" s="699"/>
      <c r="I10" s="110" t="s">
        <v>2</v>
      </c>
      <c r="J10" s="699" t="str">
        <f>عقد!I10</f>
        <v>قنا</v>
      </c>
      <c r="K10" s="699"/>
      <c r="L10" s="107"/>
    </row>
    <row r="11" spans="1:12" s="111" customFormat="1" ht="20.45" customHeight="1">
      <c r="A11" s="43"/>
      <c r="B11" s="44"/>
      <c r="C11" s="700" t="str">
        <f>"اقر وأتعـــهد بموجب هذا السند بأن   "</f>
        <v xml:space="preserve">اقر وأتعـــهد بموجب هذا السند بأن   </v>
      </c>
      <c r="D11" s="700"/>
      <c r="E11" s="701"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11" s="701"/>
      <c r="G11" s="701"/>
      <c r="H11" s="701"/>
      <c r="I11" s="701"/>
      <c r="J11" s="701"/>
      <c r="K11" s="701"/>
      <c r="L11" s="107"/>
    </row>
    <row r="12" spans="1:12" s="111" customFormat="1" ht="20.45" customHeight="1">
      <c r="A12" s="43"/>
      <c r="B12" s="44"/>
      <c r="C12" s="112" t="str">
        <f>"  الصعيد للتربية والتنمية  "&amp;" مبلغ "</f>
        <v xml:space="preserve">  الصعيد للتربية والتنمية   مبلغ </v>
      </c>
      <c r="D12" s="695" t="str">
        <f ca="1">عقد!C22&amp;عقد!E22&amp;عقد!F22</f>
        <v xml:space="preserve">65754جنيهاً  ( خمسة وستون ألف وسبعمائة وأربعة وخمسون جنيها ) </v>
      </c>
      <c r="E12" s="696"/>
      <c r="F12" s="696"/>
      <c r="G12" s="696"/>
      <c r="H12" s="696"/>
      <c r="I12" s="696"/>
      <c r="J12" s="696"/>
      <c r="K12" s="110" t="s">
        <v>68</v>
      </c>
      <c r="L12" s="107"/>
    </row>
    <row r="13" spans="1:12" s="111" customFormat="1" ht="20.45" customHeight="1">
      <c r="A13" s="43"/>
      <c r="B13" s="44"/>
      <c r="C13" s="150">
        <f>IFERROR(VLOOKUP(عقد!M1,تفصيلي!B6:T205,18,FALSE),"")</f>
        <v>46423</v>
      </c>
      <c r="D13" s="697" t="s">
        <v>172</v>
      </c>
      <c r="E13" s="697"/>
      <c r="F13" s="697"/>
      <c r="G13" s="697"/>
      <c r="H13" s="697"/>
      <c r="I13" s="697"/>
      <c r="J13" s="697"/>
      <c r="K13" s="697"/>
      <c r="L13" s="107"/>
    </row>
    <row r="14" spans="1:12" s="111" customFormat="1" ht="20.45" customHeight="1">
      <c r="A14" s="43"/>
      <c r="B14" s="44"/>
      <c r="C14" s="698" t="s">
        <v>69</v>
      </c>
      <c r="D14" s="698"/>
      <c r="E14" s="698"/>
      <c r="F14" s="698"/>
      <c r="G14" s="698"/>
      <c r="H14" s="698"/>
      <c r="I14" s="698"/>
      <c r="J14" s="698"/>
      <c r="K14" s="698"/>
      <c r="L14" s="107"/>
    </row>
    <row r="15" spans="1:12" s="111" customFormat="1" ht="20.45" customHeight="1">
      <c r="A15" s="43"/>
      <c r="B15" s="44"/>
      <c r="C15" s="698" t="s">
        <v>70</v>
      </c>
      <c r="D15" s="698"/>
      <c r="E15" s="698"/>
      <c r="F15" s="698"/>
      <c r="G15" s="698"/>
      <c r="H15" s="698"/>
      <c r="I15" s="698"/>
      <c r="J15" s="698"/>
      <c r="K15" s="698"/>
      <c r="L15" s="107"/>
    </row>
    <row r="16" spans="1:12" s="111" customFormat="1" ht="20.45" customHeight="1">
      <c r="A16" s="43"/>
      <c r="B16" s="44"/>
      <c r="C16" s="698" t="s">
        <v>71</v>
      </c>
      <c r="D16" s="698"/>
      <c r="E16" s="698"/>
      <c r="F16" s="698"/>
      <c r="G16" s="698"/>
      <c r="H16" s="698"/>
      <c r="I16" s="698"/>
      <c r="J16" s="698"/>
      <c r="K16" s="698"/>
      <c r="L16" s="107"/>
    </row>
    <row r="17" spans="1:12" ht="26.45" customHeight="1">
      <c r="A17" s="43"/>
      <c r="B17" s="44"/>
      <c r="C17" s="45"/>
      <c r="D17" s="45"/>
      <c r="E17" s="45"/>
      <c r="F17" s="45"/>
      <c r="G17" s="693" t="s">
        <v>3</v>
      </c>
      <c r="H17" s="693"/>
      <c r="I17" s="693"/>
      <c r="J17" s="693"/>
      <c r="K17" s="693"/>
      <c r="L17" s="107"/>
    </row>
    <row r="18" spans="1:12" ht="27" customHeight="1">
      <c r="A18" s="43"/>
      <c r="B18" s="44"/>
      <c r="C18" s="45"/>
      <c r="D18" s="45"/>
      <c r="E18" s="45"/>
      <c r="F18" s="694" t="s">
        <v>4</v>
      </c>
      <c r="G18" s="694"/>
      <c r="H18" s="694"/>
      <c r="I18" s="694"/>
      <c r="J18" s="694"/>
      <c r="K18" s="694"/>
      <c r="L18" s="107"/>
    </row>
    <row r="19" spans="1:12" ht="27" customHeight="1">
      <c r="A19" s="43"/>
      <c r="B19" s="44"/>
      <c r="C19" s="45"/>
      <c r="D19" s="45"/>
      <c r="E19" s="45"/>
      <c r="F19" s="694" t="s">
        <v>5</v>
      </c>
      <c r="G19" s="694"/>
      <c r="H19" s="694"/>
      <c r="I19" s="694"/>
      <c r="J19" s="694"/>
      <c r="K19" s="694"/>
      <c r="L19" s="107"/>
    </row>
    <row r="20" spans="1:12" ht="18">
      <c r="A20" s="43"/>
      <c r="B20" s="44"/>
      <c r="C20" s="45"/>
      <c r="D20" s="45"/>
      <c r="E20" s="45"/>
      <c r="F20" s="45"/>
      <c r="G20" s="45"/>
      <c r="H20" s="45"/>
      <c r="I20" s="45"/>
      <c r="J20" s="45"/>
      <c r="K20" s="45"/>
      <c r="L20" s="107"/>
    </row>
    <row r="21" spans="1:12" ht="18">
      <c r="A21" s="43"/>
      <c r="B21" s="71"/>
      <c r="C21" s="72"/>
      <c r="D21" s="72"/>
      <c r="E21" s="72"/>
      <c r="F21" s="72"/>
      <c r="G21" s="72"/>
      <c r="H21" s="72"/>
      <c r="I21" s="72"/>
      <c r="J21" s="72"/>
      <c r="K21" s="72"/>
      <c r="L21" s="108"/>
    </row>
    <row r="22" spans="1:12" ht="13.5" thickTop="1"/>
    <row r="23" spans="1:12" ht="24" customHeight="1"/>
    <row r="25" spans="1:12" ht="15.6" customHeight="1">
      <c r="A25" s="114"/>
      <c r="B25" s="114"/>
      <c r="C25" s="114"/>
      <c r="D25" s="114"/>
      <c r="E25" s="114"/>
      <c r="F25" s="114"/>
      <c r="G25" s="114"/>
      <c r="H25" s="114"/>
      <c r="I25" s="114"/>
      <c r="J25" s="115" t="s">
        <v>0</v>
      </c>
      <c r="K25" s="115">
        <f>K1</f>
        <v>374</v>
      </c>
      <c r="L25" s="114"/>
    </row>
    <row r="26" spans="1:12" ht="4.1500000000000004" customHeight="1" thickBot="1">
      <c r="A26" s="3"/>
      <c r="B26" s="3"/>
      <c r="C26" s="3"/>
      <c r="D26" s="3"/>
      <c r="E26" s="3"/>
      <c r="F26" s="3"/>
      <c r="G26" s="3"/>
      <c r="H26" s="39"/>
      <c r="I26" s="3"/>
      <c r="J26" s="3"/>
      <c r="K26" s="3"/>
      <c r="L26" s="3"/>
    </row>
    <row r="27" spans="1:12" ht="21" thickTop="1">
      <c r="A27" s="3"/>
      <c r="B27" s="40"/>
      <c r="C27" s="41"/>
      <c r="D27" s="41"/>
      <c r="E27" s="41"/>
      <c r="F27" s="41"/>
      <c r="G27" s="41"/>
      <c r="H27" s="41"/>
      <c r="I27" s="41"/>
      <c r="J27" s="41"/>
      <c r="K27" s="41"/>
      <c r="L27" s="105"/>
    </row>
    <row r="28" spans="1:12" ht="20.25">
      <c r="A28" s="3"/>
      <c r="B28" s="1"/>
      <c r="C28" s="706" t="s">
        <v>64</v>
      </c>
      <c r="D28" s="706"/>
      <c r="E28" s="706"/>
      <c r="F28" s="706"/>
      <c r="G28" s="706"/>
      <c r="H28" s="706"/>
      <c r="I28" s="706"/>
      <c r="J28" s="706"/>
      <c r="K28" s="706"/>
      <c r="L28" s="106"/>
    </row>
    <row r="29" spans="1:12" ht="20.25">
      <c r="A29" s="3"/>
      <c r="B29" s="1"/>
      <c r="C29" s="42"/>
      <c r="D29" s="42"/>
      <c r="E29" s="42"/>
      <c r="F29" s="42"/>
      <c r="G29" s="42"/>
      <c r="H29" s="42"/>
      <c r="I29" s="42"/>
      <c r="J29" s="42"/>
      <c r="K29" s="42"/>
      <c r="L29" s="106"/>
    </row>
    <row r="30" spans="1:12" s="111" customFormat="1" ht="20.45" customHeight="1">
      <c r="A30" s="3"/>
      <c r="B30" s="1"/>
      <c r="C30" s="702" t="s">
        <v>67</v>
      </c>
      <c r="D30" s="702"/>
      <c r="E30" s="149">
        <f>E6</f>
        <v>45875</v>
      </c>
      <c r="F30" s="702" t="s">
        <v>66</v>
      </c>
      <c r="G30" s="702"/>
      <c r="H30" s="702"/>
      <c r="I30" s="702"/>
      <c r="J30" s="702"/>
      <c r="K30" s="702"/>
      <c r="L30" s="106"/>
    </row>
    <row r="31" spans="1:12" s="111" customFormat="1" ht="20.45" customHeight="1">
      <c r="A31" s="3"/>
      <c r="B31" s="1"/>
      <c r="C31" s="703" t="s">
        <v>657</v>
      </c>
      <c r="D31" s="703"/>
      <c r="E31" s="703"/>
      <c r="F31" s="703"/>
      <c r="G31" s="703"/>
      <c r="H31" s="703"/>
      <c r="I31" s="703"/>
      <c r="J31" s="703"/>
      <c r="K31" s="703"/>
      <c r="L31" s="106"/>
    </row>
    <row r="32" spans="1:12" s="111" customFormat="1" ht="20.45" customHeight="1">
      <c r="A32" s="43"/>
      <c r="B32" s="44"/>
      <c r="C32" s="109" t="s">
        <v>65</v>
      </c>
      <c r="D32" s="704">
        <f>IFERROR(VLOOKUP(K1,تفصيلي!$B$6:$AW$205,23,FALSE),"")</f>
        <v>0</v>
      </c>
      <c r="E32" s="704"/>
      <c r="F32" s="704"/>
      <c r="G32" s="698" t="s">
        <v>56</v>
      </c>
      <c r="H32" s="698"/>
      <c r="I32" s="705">
        <f>IFERROR(VLOOKUP(K25,تفصيلي!$B$6:$AW$205,25,FALSE),"")</f>
        <v>0</v>
      </c>
      <c r="J32" s="705"/>
      <c r="K32" s="705"/>
      <c r="L32" s="107"/>
    </row>
    <row r="33" spans="1:12" s="111" customFormat="1" ht="20.45" customHeight="1">
      <c r="A33" s="43"/>
      <c r="B33" s="44"/>
      <c r="C33" s="109" t="s">
        <v>1</v>
      </c>
      <c r="D33" s="699">
        <f>IFERROR(VLOOKUP(K25,تفصيلي!$B$6:$AW$205,24,FALSE),"")</f>
        <v>0</v>
      </c>
      <c r="E33" s="699"/>
      <c r="F33" s="699"/>
      <c r="G33" s="699"/>
      <c r="H33" s="699"/>
      <c r="I33" s="699"/>
      <c r="J33" s="699"/>
      <c r="K33" s="699"/>
      <c r="L33" s="107"/>
    </row>
    <row r="34" spans="1:12" s="111" customFormat="1" ht="20.45" customHeight="1">
      <c r="A34" s="43"/>
      <c r="B34" s="44"/>
      <c r="C34" s="109" t="s">
        <v>647</v>
      </c>
      <c r="D34" s="699">
        <f>IFERROR(VLOOKUP(K25,تفصيلي!$B$6:$AW$205,28,FALSE),"")</f>
        <v>0</v>
      </c>
      <c r="E34" s="699"/>
      <c r="F34" s="699"/>
      <c r="G34" s="699"/>
      <c r="H34" s="699"/>
      <c r="I34" s="110" t="s">
        <v>2</v>
      </c>
      <c r="J34" s="699" t="str">
        <f>IFERROR(VLOOKUP(K25,تفصيلي!$B$6:$AW$205,27,FALSE),"")</f>
        <v>قنا</v>
      </c>
      <c r="K34" s="699"/>
      <c r="L34" s="107"/>
    </row>
    <row r="35" spans="1:12" s="111" customFormat="1" ht="20.45" customHeight="1">
      <c r="A35" s="43"/>
      <c r="B35" s="44"/>
      <c r="C35" s="700" t="str">
        <f>"اقر وأتعـــهد بموجب هذا السند بأن   "</f>
        <v xml:space="preserve">اقر وأتعـــهد بموجب هذا السند بأن   </v>
      </c>
      <c r="D35" s="700"/>
      <c r="E35" s="701"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35" s="701"/>
      <c r="G35" s="701"/>
      <c r="H35" s="701"/>
      <c r="I35" s="701"/>
      <c r="J35" s="701"/>
      <c r="K35" s="701"/>
      <c r="L35" s="107"/>
    </row>
    <row r="36" spans="1:12" s="111" customFormat="1" ht="20.45" customHeight="1">
      <c r="A36" s="43"/>
      <c r="B36" s="44"/>
      <c r="C36" s="112" t="str">
        <f>"  الصعيد للتربية والتنمية  "&amp;" مبلغ "</f>
        <v xml:space="preserve">  الصعيد للتربية والتنمية   مبلغ </v>
      </c>
      <c r="D36" s="695" t="str">
        <f ca="1">D12</f>
        <v xml:space="preserve">65754جنيهاً  ( خمسة وستون ألف وسبعمائة وأربعة وخمسون جنيها ) </v>
      </c>
      <c r="E36" s="696"/>
      <c r="F36" s="696"/>
      <c r="G36" s="696"/>
      <c r="H36" s="696"/>
      <c r="I36" s="696"/>
      <c r="J36" s="696"/>
      <c r="K36" s="110" t="s">
        <v>68</v>
      </c>
      <c r="L36" s="107"/>
    </row>
    <row r="37" spans="1:12" s="111" customFormat="1" ht="20.45" customHeight="1">
      <c r="A37" s="43"/>
      <c r="B37" s="44"/>
      <c r="C37" s="150">
        <f>C13</f>
        <v>46423</v>
      </c>
      <c r="D37" s="697" t="s">
        <v>172</v>
      </c>
      <c r="E37" s="697"/>
      <c r="F37" s="697"/>
      <c r="G37" s="697"/>
      <c r="H37" s="697"/>
      <c r="I37" s="697"/>
      <c r="J37" s="697"/>
      <c r="K37" s="697"/>
      <c r="L37" s="107"/>
    </row>
    <row r="38" spans="1:12" s="111" customFormat="1" ht="20.45" customHeight="1">
      <c r="A38" s="43"/>
      <c r="B38" s="44"/>
      <c r="C38" s="698" t="s">
        <v>69</v>
      </c>
      <c r="D38" s="698"/>
      <c r="E38" s="698"/>
      <c r="F38" s="698"/>
      <c r="G38" s="698"/>
      <c r="H38" s="698"/>
      <c r="I38" s="698"/>
      <c r="J38" s="698"/>
      <c r="K38" s="698"/>
      <c r="L38" s="107"/>
    </row>
    <row r="39" spans="1:12" s="111" customFormat="1" ht="20.45" customHeight="1">
      <c r="A39" s="43"/>
      <c r="B39" s="44"/>
      <c r="C39" s="698" t="s">
        <v>70</v>
      </c>
      <c r="D39" s="698"/>
      <c r="E39" s="698"/>
      <c r="F39" s="698"/>
      <c r="G39" s="698"/>
      <c r="H39" s="698"/>
      <c r="I39" s="698"/>
      <c r="J39" s="698"/>
      <c r="K39" s="698"/>
      <c r="L39" s="107"/>
    </row>
    <row r="40" spans="1:12" s="111" customFormat="1" ht="20.45" customHeight="1">
      <c r="A40" s="43"/>
      <c r="B40" s="44"/>
      <c r="C40" s="698" t="s">
        <v>71</v>
      </c>
      <c r="D40" s="698"/>
      <c r="E40" s="698"/>
      <c r="F40" s="698"/>
      <c r="G40" s="698"/>
      <c r="H40" s="698"/>
      <c r="I40" s="698"/>
      <c r="J40" s="698"/>
      <c r="K40" s="698"/>
      <c r="L40" s="107"/>
    </row>
    <row r="41" spans="1:12" ht="26.45" customHeight="1">
      <c r="A41" s="43"/>
      <c r="B41" s="44"/>
      <c r="C41" s="45"/>
      <c r="D41" s="45"/>
      <c r="E41" s="45"/>
      <c r="F41" s="45"/>
      <c r="G41" s="693" t="s">
        <v>3</v>
      </c>
      <c r="H41" s="693"/>
      <c r="I41" s="693"/>
      <c r="J41" s="693"/>
      <c r="K41" s="693"/>
      <c r="L41" s="107"/>
    </row>
    <row r="42" spans="1:12" ht="27" customHeight="1">
      <c r="A42" s="43"/>
      <c r="B42" s="44"/>
      <c r="C42" s="45"/>
      <c r="D42" s="45"/>
      <c r="E42" s="45"/>
      <c r="F42" s="694" t="s">
        <v>4</v>
      </c>
      <c r="G42" s="694"/>
      <c r="H42" s="694"/>
      <c r="I42" s="694"/>
      <c r="J42" s="694"/>
      <c r="K42" s="694"/>
      <c r="L42" s="107"/>
    </row>
    <row r="43" spans="1:12" ht="27" customHeight="1">
      <c r="A43" s="43"/>
      <c r="B43" s="44"/>
      <c r="C43" s="45"/>
      <c r="D43" s="45"/>
      <c r="E43" s="45"/>
      <c r="F43" s="694" t="s">
        <v>5</v>
      </c>
      <c r="G43" s="694"/>
      <c r="H43" s="694"/>
      <c r="I43" s="694"/>
      <c r="J43" s="694"/>
      <c r="K43" s="694"/>
      <c r="L43" s="107"/>
    </row>
    <row r="44" spans="1:12" ht="18">
      <c r="A44" s="43"/>
      <c r="B44" s="44"/>
      <c r="C44" s="45"/>
      <c r="D44" s="45"/>
      <c r="E44" s="45"/>
      <c r="F44" s="45"/>
      <c r="G44" s="45"/>
      <c r="H44" s="45"/>
      <c r="I44" s="45"/>
      <c r="J44" s="45"/>
      <c r="K44" s="45"/>
      <c r="L44" s="107"/>
    </row>
    <row r="45" spans="1:12" ht="18.75" thickBot="1">
      <c r="A45" s="43"/>
      <c r="B45" s="71"/>
      <c r="C45" s="72"/>
      <c r="D45" s="72"/>
      <c r="E45" s="72"/>
      <c r="F45" s="72"/>
      <c r="G45" s="72"/>
      <c r="H45" s="72"/>
      <c r="I45" s="72"/>
      <c r="J45" s="72"/>
      <c r="K45" s="72"/>
      <c r="L45" s="108"/>
    </row>
    <row r="46" spans="1:12" ht="13.5" thickTop="1"/>
    <row r="47" spans="1:12" ht="24" customHeight="1"/>
    <row r="49" spans="1:12" ht="15.6" customHeight="1">
      <c r="A49" s="114"/>
      <c r="B49" s="114"/>
      <c r="C49" s="114"/>
      <c r="D49" s="114"/>
      <c r="E49" s="114"/>
      <c r="F49" s="114"/>
      <c r="G49" s="114"/>
      <c r="H49" s="114"/>
      <c r="I49" s="114"/>
      <c r="J49" s="115" t="s">
        <v>0</v>
      </c>
      <c r="K49" s="115">
        <f>K25</f>
        <v>374</v>
      </c>
      <c r="L49" s="114"/>
    </row>
    <row r="50" spans="1:12" ht="4.1500000000000004" customHeight="1" thickBot="1">
      <c r="A50" s="3"/>
      <c r="B50" s="3"/>
      <c r="C50" s="3"/>
      <c r="D50" s="3"/>
      <c r="E50" s="3"/>
      <c r="F50" s="3"/>
      <c r="G50" s="3"/>
      <c r="H50" s="39"/>
      <c r="I50" s="3"/>
      <c r="J50" s="3"/>
      <c r="K50" s="3"/>
      <c r="L50" s="3"/>
    </row>
    <row r="51" spans="1:12" ht="21" thickTop="1">
      <c r="A51" s="3"/>
      <c r="B51" s="40"/>
      <c r="C51" s="41"/>
      <c r="D51" s="41"/>
      <c r="E51" s="41"/>
      <c r="F51" s="41"/>
      <c r="G51" s="41"/>
      <c r="H51" s="41"/>
      <c r="I51" s="41"/>
      <c r="J51" s="41"/>
      <c r="K51" s="41"/>
      <c r="L51" s="105"/>
    </row>
    <row r="52" spans="1:12" ht="20.25">
      <c r="A52" s="3"/>
      <c r="B52" s="1"/>
      <c r="C52" s="706" t="s">
        <v>64</v>
      </c>
      <c r="D52" s="706"/>
      <c r="E52" s="706"/>
      <c r="F52" s="706"/>
      <c r="G52" s="706"/>
      <c r="H52" s="706"/>
      <c r="I52" s="706"/>
      <c r="J52" s="706"/>
      <c r="K52" s="706"/>
      <c r="L52" s="106"/>
    </row>
    <row r="53" spans="1:12" ht="20.25">
      <c r="A53" s="3"/>
      <c r="B53" s="1"/>
      <c r="C53" s="42"/>
      <c r="D53" s="42"/>
      <c r="E53" s="42"/>
      <c r="F53" s="42"/>
      <c r="G53" s="42"/>
      <c r="H53" s="42"/>
      <c r="I53" s="42"/>
      <c r="J53" s="42"/>
      <c r="K53" s="42"/>
      <c r="L53" s="106"/>
    </row>
    <row r="54" spans="1:12" s="111" customFormat="1" ht="20.45" customHeight="1">
      <c r="A54" s="3"/>
      <c r="B54" s="1"/>
      <c r="C54" s="702" t="s">
        <v>67</v>
      </c>
      <c r="D54" s="702"/>
      <c r="E54" s="149">
        <f>E30</f>
        <v>45875</v>
      </c>
      <c r="F54" s="702" t="s">
        <v>66</v>
      </c>
      <c r="G54" s="702"/>
      <c r="H54" s="702"/>
      <c r="I54" s="702"/>
      <c r="J54" s="702"/>
      <c r="K54" s="702"/>
      <c r="L54" s="106"/>
    </row>
    <row r="55" spans="1:12" s="111" customFormat="1" ht="20.45" customHeight="1">
      <c r="A55" s="3"/>
      <c r="B55" s="1"/>
      <c r="C55" s="703" t="s">
        <v>657</v>
      </c>
      <c r="D55" s="703"/>
      <c r="E55" s="703"/>
      <c r="F55" s="703"/>
      <c r="G55" s="703"/>
      <c r="H55" s="703"/>
      <c r="I55" s="703"/>
      <c r="J55" s="703"/>
      <c r="K55" s="703"/>
      <c r="L55" s="106"/>
    </row>
    <row r="56" spans="1:12" s="111" customFormat="1" ht="20.45" customHeight="1">
      <c r="A56" s="43"/>
      <c r="B56" s="44"/>
      <c r="C56" s="109" t="s">
        <v>65</v>
      </c>
      <c r="D56" s="704">
        <f>IFERROR(VLOOKUP(K25,تفصيلي!$B$6:$AW$205,29,FALSE),"")</f>
        <v>0</v>
      </c>
      <c r="E56" s="704"/>
      <c r="F56" s="704"/>
      <c r="G56" s="698" t="s">
        <v>56</v>
      </c>
      <c r="H56" s="698"/>
      <c r="I56" s="705">
        <f>IFERROR(VLOOKUP(K49,تفصيلي!$B$6:$AW$205,31,FALSE),"")</f>
        <v>0</v>
      </c>
      <c r="J56" s="705"/>
      <c r="K56" s="705"/>
      <c r="L56" s="107"/>
    </row>
    <row r="57" spans="1:12" s="111" customFormat="1" ht="20.45" customHeight="1">
      <c r="A57" s="43"/>
      <c r="B57" s="44"/>
      <c r="C57" s="109" t="s">
        <v>1</v>
      </c>
      <c r="D57" s="699">
        <f>IFERROR(VLOOKUP(K49,تفصيلي!$B$6:$AW$205,30,FALSE),"")</f>
        <v>0</v>
      </c>
      <c r="E57" s="699"/>
      <c r="F57" s="699"/>
      <c r="G57" s="699"/>
      <c r="H57" s="699"/>
      <c r="I57" s="699"/>
      <c r="J57" s="699"/>
      <c r="K57" s="699"/>
      <c r="L57" s="107"/>
    </row>
    <row r="58" spans="1:12" s="111" customFormat="1" ht="20.45" customHeight="1">
      <c r="A58" s="43"/>
      <c r="B58" s="44"/>
      <c r="C58" s="109" t="s">
        <v>647</v>
      </c>
      <c r="D58" s="699">
        <f>IFERROR(VLOOKUP(K49,تفصيلي!$B$6:$AW$205,34,FALSE),"")</f>
        <v>0</v>
      </c>
      <c r="E58" s="699"/>
      <c r="F58" s="699"/>
      <c r="G58" s="699"/>
      <c r="H58" s="699"/>
      <c r="I58" s="110" t="s">
        <v>2</v>
      </c>
      <c r="J58" s="699" t="str">
        <f>IFERROR(VLOOKUP(K49,تفصيلي!$B$6:$AW$205,33,FALSE),"")</f>
        <v>قنا</v>
      </c>
      <c r="K58" s="699"/>
      <c r="L58" s="107"/>
    </row>
    <row r="59" spans="1:12" s="111" customFormat="1" ht="20.45" customHeight="1">
      <c r="A59" s="43"/>
      <c r="B59" s="44"/>
      <c r="C59" s="700" t="str">
        <f>"اقر وأتعـــهد بموجب هذا السند بأن   "</f>
        <v xml:space="preserve">اقر وأتعـــهد بموجب هذا السند بأن   </v>
      </c>
      <c r="D59" s="700"/>
      <c r="E59" s="701"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59" s="701"/>
      <c r="G59" s="701"/>
      <c r="H59" s="701"/>
      <c r="I59" s="701"/>
      <c r="J59" s="701"/>
      <c r="K59" s="701"/>
      <c r="L59" s="107"/>
    </row>
    <row r="60" spans="1:12" s="111" customFormat="1" ht="20.45" customHeight="1">
      <c r="A60" s="43"/>
      <c r="B60" s="44"/>
      <c r="C60" s="112" t="str">
        <f>"  الصعيد للتربية والتنمية  "&amp;" مبلغ "</f>
        <v xml:space="preserve">  الصعيد للتربية والتنمية   مبلغ </v>
      </c>
      <c r="D60" s="695" t="str">
        <f ca="1">D36</f>
        <v xml:space="preserve">65754جنيهاً  ( خمسة وستون ألف وسبعمائة وأربعة وخمسون جنيها ) </v>
      </c>
      <c r="E60" s="696"/>
      <c r="F60" s="696"/>
      <c r="G60" s="696"/>
      <c r="H60" s="696"/>
      <c r="I60" s="696"/>
      <c r="J60" s="696"/>
      <c r="K60" s="110" t="s">
        <v>68</v>
      </c>
      <c r="L60" s="107"/>
    </row>
    <row r="61" spans="1:12" s="111" customFormat="1" ht="20.45" customHeight="1">
      <c r="A61" s="43"/>
      <c r="B61" s="44"/>
      <c r="C61" s="150">
        <f>C37</f>
        <v>46423</v>
      </c>
      <c r="D61" s="697" t="s">
        <v>172</v>
      </c>
      <c r="E61" s="697"/>
      <c r="F61" s="697"/>
      <c r="G61" s="697"/>
      <c r="H61" s="697"/>
      <c r="I61" s="697"/>
      <c r="J61" s="697"/>
      <c r="K61" s="697"/>
      <c r="L61" s="107"/>
    </row>
    <row r="62" spans="1:12" s="111" customFormat="1" ht="20.45" customHeight="1">
      <c r="A62" s="43"/>
      <c r="B62" s="44"/>
      <c r="C62" s="698" t="s">
        <v>69</v>
      </c>
      <c r="D62" s="698"/>
      <c r="E62" s="698"/>
      <c r="F62" s="698"/>
      <c r="G62" s="698"/>
      <c r="H62" s="698"/>
      <c r="I62" s="698"/>
      <c r="J62" s="698"/>
      <c r="K62" s="698"/>
      <c r="L62" s="107"/>
    </row>
    <row r="63" spans="1:12" s="111" customFormat="1" ht="20.45" customHeight="1">
      <c r="A63" s="43"/>
      <c r="B63" s="44"/>
      <c r="C63" s="698" t="s">
        <v>70</v>
      </c>
      <c r="D63" s="698"/>
      <c r="E63" s="698"/>
      <c r="F63" s="698"/>
      <c r="G63" s="698"/>
      <c r="H63" s="698"/>
      <c r="I63" s="698"/>
      <c r="J63" s="698"/>
      <c r="K63" s="698"/>
      <c r="L63" s="107"/>
    </row>
    <row r="64" spans="1:12" s="111" customFormat="1" ht="20.45" customHeight="1">
      <c r="A64" s="43"/>
      <c r="B64" s="44"/>
      <c r="C64" s="698" t="s">
        <v>71</v>
      </c>
      <c r="D64" s="698"/>
      <c r="E64" s="698"/>
      <c r="F64" s="698"/>
      <c r="G64" s="698"/>
      <c r="H64" s="698"/>
      <c r="I64" s="698"/>
      <c r="J64" s="698"/>
      <c r="K64" s="698"/>
      <c r="L64" s="107"/>
    </row>
    <row r="65" spans="1:12" ht="26.45" customHeight="1">
      <c r="A65" s="43"/>
      <c r="B65" s="44"/>
      <c r="C65" s="45"/>
      <c r="D65" s="45"/>
      <c r="E65" s="45"/>
      <c r="F65" s="45"/>
      <c r="G65" s="693" t="s">
        <v>3</v>
      </c>
      <c r="H65" s="693"/>
      <c r="I65" s="693"/>
      <c r="J65" s="693"/>
      <c r="K65" s="693"/>
      <c r="L65" s="107"/>
    </row>
    <row r="66" spans="1:12" ht="27" customHeight="1">
      <c r="A66" s="43"/>
      <c r="B66" s="44"/>
      <c r="C66" s="45"/>
      <c r="D66" s="45"/>
      <c r="E66" s="45"/>
      <c r="F66" s="694" t="s">
        <v>4</v>
      </c>
      <c r="G66" s="694"/>
      <c r="H66" s="694"/>
      <c r="I66" s="694"/>
      <c r="J66" s="694"/>
      <c r="K66" s="694"/>
      <c r="L66" s="107"/>
    </row>
    <row r="67" spans="1:12" ht="27" customHeight="1">
      <c r="A67" s="43"/>
      <c r="B67" s="44"/>
      <c r="C67" s="45"/>
      <c r="D67" s="45"/>
      <c r="E67" s="45"/>
      <c r="F67" s="694" t="s">
        <v>5</v>
      </c>
      <c r="G67" s="694"/>
      <c r="H67" s="694"/>
      <c r="I67" s="694"/>
      <c r="J67" s="694"/>
      <c r="K67" s="694"/>
      <c r="L67" s="107"/>
    </row>
    <row r="68" spans="1:12" ht="18">
      <c r="A68" s="43"/>
      <c r="B68" s="44"/>
      <c r="C68" s="45"/>
      <c r="D68" s="45"/>
      <c r="E68" s="45"/>
      <c r="F68" s="45"/>
      <c r="G68" s="45"/>
      <c r="H68" s="45"/>
      <c r="I68" s="45"/>
      <c r="J68" s="45"/>
      <c r="K68" s="45"/>
      <c r="L68" s="107"/>
    </row>
    <row r="69" spans="1:12" ht="18.75" thickBot="1">
      <c r="A69" s="43"/>
      <c r="B69" s="71"/>
      <c r="C69" s="72"/>
      <c r="D69" s="72"/>
      <c r="E69" s="72"/>
      <c r="F69" s="72"/>
      <c r="G69" s="72"/>
      <c r="H69" s="72"/>
      <c r="I69" s="72"/>
      <c r="J69" s="72"/>
      <c r="K69" s="72"/>
      <c r="L69" s="108"/>
    </row>
    <row r="70" spans="1:12" ht="13.5" thickTop="1"/>
    <row r="71" spans="1:12" ht="24" customHeight="1"/>
    <row r="74" spans="1:12" ht="15.6" customHeight="1">
      <c r="A74" s="114"/>
      <c r="B74" s="114"/>
      <c r="C74" s="114"/>
      <c r="D74" s="114"/>
      <c r="E74" s="114"/>
      <c r="F74" s="114"/>
      <c r="G74" s="114"/>
      <c r="H74" s="114"/>
      <c r="I74" s="114"/>
      <c r="J74" s="115" t="s">
        <v>0</v>
      </c>
      <c r="K74" s="115">
        <f>K49</f>
        <v>374</v>
      </c>
      <c r="L74" s="114"/>
    </row>
    <row r="75" spans="1:12" ht="4.1500000000000004" customHeight="1" thickBot="1">
      <c r="A75" s="3"/>
      <c r="B75" s="3"/>
      <c r="C75" s="3"/>
      <c r="D75" s="3"/>
      <c r="E75" s="3"/>
      <c r="F75" s="3"/>
      <c r="G75" s="3"/>
      <c r="H75" s="39"/>
      <c r="I75" s="3"/>
      <c r="J75" s="3"/>
      <c r="K75" s="3"/>
      <c r="L75" s="3"/>
    </row>
    <row r="76" spans="1:12" ht="21" thickTop="1">
      <c r="A76" s="3"/>
      <c r="B76" s="40"/>
      <c r="C76" s="41"/>
      <c r="D76" s="41"/>
      <c r="E76" s="41"/>
      <c r="F76" s="41"/>
      <c r="G76" s="41"/>
      <c r="H76" s="41"/>
      <c r="I76" s="41"/>
      <c r="J76" s="41"/>
      <c r="K76" s="41"/>
      <c r="L76" s="105"/>
    </row>
    <row r="77" spans="1:12" ht="20.25">
      <c r="A77" s="3"/>
      <c r="B77" s="1"/>
      <c r="C77" s="706" t="s">
        <v>64</v>
      </c>
      <c r="D77" s="706"/>
      <c r="E77" s="706"/>
      <c r="F77" s="706"/>
      <c r="G77" s="706"/>
      <c r="H77" s="706"/>
      <c r="I77" s="706"/>
      <c r="J77" s="706"/>
      <c r="K77" s="706"/>
      <c r="L77" s="106"/>
    </row>
    <row r="78" spans="1:12" ht="20.25">
      <c r="A78" s="3"/>
      <c r="B78" s="1"/>
      <c r="C78" s="42"/>
      <c r="D78" s="42"/>
      <c r="E78" s="42"/>
      <c r="F78" s="42"/>
      <c r="G78" s="42"/>
      <c r="H78" s="42"/>
      <c r="I78" s="42"/>
      <c r="J78" s="42"/>
      <c r="K78" s="42"/>
      <c r="L78" s="106"/>
    </row>
    <row r="79" spans="1:12" s="111" customFormat="1" ht="20.45" customHeight="1">
      <c r="A79" s="3"/>
      <c r="B79" s="1"/>
      <c r="C79" s="702" t="s">
        <v>67</v>
      </c>
      <c r="D79" s="702"/>
      <c r="E79" s="149">
        <f>E6</f>
        <v>45875</v>
      </c>
      <c r="F79" s="702" t="s">
        <v>66</v>
      </c>
      <c r="G79" s="702"/>
      <c r="H79" s="702"/>
      <c r="I79" s="702"/>
      <c r="J79" s="702"/>
      <c r="K79" s="702"/>
      <c r="L79" s="106"/>
    </row>
    <row r="80" spans="1:12" s="111" customFormat="1" ht="20.45" customHeight="1">
      <c r="A80" s="3"/>
      <c r="B80" s="1"/>
      <c r="C80" s="703" t="s">
        <v>657</v>
      </c>
      <c r="D80" s="703"/>
      <c r="E80" s="703"/>
      <c r="F80" s="703"/>
      <c r="G80" s="703"/>
      <c r="H80" s="703"/>
      <c r="I80" s="703"/>
      <c r="J80" s="703"/>
      <c r="K80" s="703"/>
      <c r="L80" s="106"/>
    </row>
    <row r="81" spans="1:12" s="111" customFormat="1" ht="20.45" customHeight="1">
      <c r="A81" s="43"/>
      <c r="B81" s="44"/>
      <c r="C81" s="109" t="s">
        <v>65</v>
      </c>
      <c r="D81" s="704">
        <f>IFERROR(VLOOKUP(K74,تفصيلي!$B$6:$AW$205,35,FALSE),"")</f>
        <v>0</v>
      </c>
      <c r="E81" s="704"/>
      <c r="F81" s="704"/>
      <c r="G81" s="698" t="s">
        <v>56</v>
      </c>
      <c r="H81" s="698"/>
      <c r="I81" s="705">
        <f>IFERROR(VLOOKUP(K74,تفصيلي!$B$6:$AW$205,37,FALSE),"")</f>
        <v>0</v>
      </c>
      <c r="J81" s="705"/>
      <c r="K81" s="705"/>
      <c r="L81" s="107"/>
    </row>
    <row r="82" spans="1:12" s="111" customFormat="1" ht="20.45" customHeight="1">
      <c r="A82" s="43"/>
      <c r="B82" s="44"/>
      <c r="C82" s="109" t="s">
        <v>1</v>
      </c>
      <c r="D82" s="699">
        <f>IFERROR(VLOOKUP(K74,تفصيلي!$B$6:$AW$205,36,FALSE),"")</f>
        <v>0</v>
      </c>
      <c r="E82" s="699"/>
      <c r="F82" s="699"/>
      <c r="G82" s="699"/>
      <c r="H82" s="699"/>
      <c r="I82" s="699"/>
      <c r="J82" s="699"/>
      <c r="K82" s="699"/>
      <c r="L82" s="107"/>
    </row>
    <row r="83" spans="1:12" s="111" customFormat="1" ht="20.45" customHeight="1">
      <c r="A83" s="43"/>
      <c r="B83" s="44"/>
      <c r="C83" s="109" t="s">
        <v>647</v>
      </c>
      <c r="D83" s="699">
        <f>IFERROR(VLOOKUP(K74,تفصيلي!$B$6:$AW$205,40,FALSE),"")</f>
        <v>0</v>
      </c>
      <c r="E83" s="699"/>
      <c r="F83" s="699"/>
      <c r="G83" s="699"/>
      <c r="H83" s="699"/>
      <c r="I83" s="110" t="s">
        <v>2</v>
      </c>
      <c r="J83" s="699">
        <f>IFERROR(VLOOKUP(K74,تفصيلي!$B$6:$AW$205,39,FALSE),"")</f>
        <v>0</v>
      </c>
      <c r="K83" s="699"/>
      <c r="L83" s="107"/>
    </row>
    <row r="84" spans="1:12" s="111" customFormat="1" ht="20.45" customHeight="1">
      <c r="A84" s="43"/>
      <c r="B84" s="44"/>
      <c r="C84" s="700" t="str">
        <f>"اقر وأتعـــهد بموجب هذا السند بأن   "</f>
        <v xml:space="preserve">اقر وأتعـــهد بموجب هذا السند بأن   </v>
      </c>
      <c r="D84" s="700"/>
      <c r="E84" s="701"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84" s="701"/>
      <c r="G84" s="701"/>
      <c r="H84" s="701"/>
      <c r="I84" s="701"/>
      <c r="J84" s="701"/>
      <c r="K84" s="701"/>
      <c r="L84" s="107"/>
    </row>
    <row r="85" spans="1:12" s="111" customFormat="1" ht="20.45" customHeight="1">
      <c r="A85" s="43"/>
      <c r="B85" s="44"/>
      <c r="C85" s="112" t="str">
        <f>"  الصعيد للتربية والتنمية  "&amp;" مبلغ "</f>
        <v xml:space="preserve">  الصعيد للتربية والتنمية   مبلغ </v>
      </c>
      <c r="D85" s="695" t="str">
        <f ca="1">D12</f>
        <v xml:space="preserve">65754جنيهاً  ( خمسة وستون ألف وسبعمائة وأربعة وخمسون جنيها ) </v>
      </c>
      <c r="E85" s="696"/>
      <c r="F85" s="696"/>
      <c r="G85" s="696"/>
      <c r="H85" s="696"/>
      <c r="I85" s="696"/>
      <c r="J85" s="696"/>
      <c r="K85" s="110" t="s">
        <v>68</v>
      </c>
      <c r="L85" s="107"/>
    </row>
    <row r="86" spans="1:12" s="111" customFormat="1" ht="20.45" customHeight="1">
      <c r="A86" s="43"/>
      <c r="B86" s="44"/>
      <c r="C86" s="150">
        <f>C13</f>
        <v>46423</v>
      </c>
      <c r="D86" s="697" t="s">
        <v>172</v>
      </c>
      <c r="E86" s="697"/>
      <c r="F86" s="697"/>
      <c r="G86" s="697"/>
      <c r="H86" s="697"/>
      <c r="I86" s="697"/>
      <c r="J86" s="697"/>
      <c r="K86" s="697"/>
      <c r="L86" s="107"/>
    </row>
    <row r="87" spans="1:12" s="111" customFormat="1" ht="20.45" customHeight="1">
      <c r="A87" s="43"/>
      <c r="B87" s="44"/>
      <c r="C87" s="698" t="s">
        <v>69</v>
      </c>
      <c r="D87" s="698"/>
      <c r="E87" s="698"/>
      <c r="F87" s="698"/>
      <c r="G87" s="698"/>
      <c r="H87" s="698"/>
      <c r="I87" s="698"/>
      <c r="J87" s="698"/>
      <c r="K87" s="698"/>
      <c r="L87" s="107"/>
    </row>
    <row r="88" spans="1:12" s="111" customFormat="1" ht="20.45" customHeight="1">
      <c r="A88" s="43"/>
      <c r="B88" s="44"/>
      <c r="C88" s="698" t="s">
        <v>70</v>
      </c>
      <c r="D88" s="698"/>
      <c r="E88" s="698"/>
      <c r="F88" s="698"/>
      <c r="G88" s="698"/>
      <c r="H88" s="698"/>
      <c r="I88" s="698"/>
      <c r="J88" s="698"/>
      <c r="K88" s="698"/>
      <c r="L88" s="107"/>
    </row>
    <row r="89" spans="1:12" s="111" customFormat="1" ht="20.45" customHeight="1">
      <c r="A89" s="43"/>
      <c r="B89" s="44"/>
      <c r="C89" s="698" t="s">
        <v>71</v>
      </c>
      <c r="D89" s="698"/>
      <c r="E89" s="698"/>
      <c r="F89" s="698"/>
      <c r="G89" s="698"/>
      <c r="H89" s="698"/>
      <c r="I89" s="698"/>
      <c r="J89" s="698"/>
      <c r="K89" s="698"/>
      <c r="L89" s="107"/>
    </row>
    <row r="90" spans="1:12" ht="26.45" customHeight="1">
      <c r="A90" s="43"/>
      <c r="B90" s="44"/>
      <c r="C90" s="45"/>
      <c r="D90" s="45"/>
      <c r="E90" s="45"/>
      <c r="F90" s="45"/>
      <c r="G90" s="693" t="s">
        <v>3</v>
      </c>
      <c r="H90" s="693"/>
      <c r="I90" s="693"/>
      <c r="J90" s="693"/>
      <c r="K90" s="693"/>
      <c r="L90" s="107"/>
    </row>
    <row r="91" spans="1:12" ht="27" customHeight="1">
      <c r="A91" s="43"/>
      <c r="B91" s="44"/>
      <c r="C91" s="45"/>
      <c r="D91" s="45"/>
      <c r="E91" s="45"/>
      <c r="F91" s="694" t="s">
        <v>4</v>
      </c>
      <c r="G91" s="694"/>
      <c r="H91" s="694"/>
      <c r="I91" s="694"/>
      <c r="J91" s="694"/>
      <c r="K91" s="694"/>
      <c r="L91" s="107"/>
    </row>
    <row r="92" spans="1:12" ht="27" customHeight="1">
      <c r="A92" s="43"/>
      <c r="B92" s="44"/>
      <c r="C92" s="45"/>
      <c r="D92" s="45"/>
      <c r="E92" s="45"/>
      <c r="F92" s="694" t="s">
        <v>5</v>
      </c>
      <c r="G92" s="694"/>
      <c r="H92" s="694"/>
      <c r="I92" s="694"/>
      <c r="J92" s="694"/>
      <c r="K92" s="694"/>
      <c r="L92" s="107"/>
    </row>
    <row r="93" spans="1:12" ht="18">
      <c r="A93" s="43"/>
      <c r="B93" s="44"/>
      <c r="C93" s="45"/>
      <c r="D93" s="45"/>
      <c r="E93" s="45"/>
      <c r="F93" s="45"/>
      <c r="G93" s="45"/>
      <c r="H93" s="45"/>
      <c r="I93" s="45"/>
      <c r="J93" s="45"/>
      <c r="K93" s="45"/>
      <c r="L93" s="107"/>
    </row>
    <row r="94" spans="1:12" ht="18.75" thickBot="1">
      <c r="A94" s="43"/>
      <c r="B94" s="71"/>
      <c r="C94" s="72"/>
      <c r="D94" s="72"/>
      <c r="E94" s="72"/>
      <c r="F94" s="72"/>
      <c r="G94" s="72"/>
      <c r="H94" s="72"/>
      <c r="I94" s="72"/>
      <c r="J94" s="72"/>
      <c r="K94" s="72"/>
      <c r="L94" s="108"/>
    </row>
    <row r="95" spans="1:12" ht="13.5" thickTop="1"/>
  </sheetData>
  <sheetProtection sheet="1" objects="1" scenarios="1" selectLockedCells="1"/>
  <mergeCells count="80">
    <mergeCell ref="D61:K61"/>
    <mergeCell ref="C62:K62"/>
    <mergeCell ref="C63:K63"/>
    <mergeCell ref="D58:H58"/>
    <mergeCell ref="J58:K58"/>
    <mergeCell ref="C59:D59"/>
    <mergeCell ref="E59:K59"/>
    <mergeCell ref="D60:J60"/>
    <mergeCell ref="C52:K52"/>
    <mergeCell ref="C54:D54"/>
    <mergeCell ref="F54:K54"/>
    <mergeCell ref="D57:K57"/>
    <mergeCell ref="C55:K55"/>
    <mergeCell ref="D56:F56"/>
    <mergeCell ref="G56:H56"/>
    <mergeCell ref="I56:K56"/>
    <mergeCell ref="C39:K39"/>
    <mergeCell ref="C40:K40"/>
    <mergeCell ref="G41:K41"/>
    <mergeCell ref="F42:K42"/>
    <mergeCell ref="F43:K43"/>
    <mergeCell ref="D33:K33"/>
    <mergeCell ref="C38:K38"/>
    <mergeCell ref="D34:H34"/>
    <mergeCell ref="J34:K34"/>
    <mergeCell ref="C35:D35"/>
    <mergeCell ref="E35:K35"/>
    <mergeCell ref="D36:J36"/>
    <mergeCell ref="D37:K37"/>
    <mergeCell ref="C28:K28"/>
    <mergeCell ref="C30:D30"/>
    <mergeCell ref="F30:K30"/>
    <mergeCell ref="C31:K31"/>
    <mergeCell ref="D32:F32"/>
    <mergeCell ref="G32:H32"/>
    <mergeCell ref="I32:K32"/>
    <mergeCell ref="C4:K4"/>
    <mergeCell ref="C6:D6"/>
    <mergeCell ref="F6:K6"/>
    <mergeCell ref="C7:K7"/>
    <mergeCell ref="I8:K8"/>
    <mergeCell ref="G8:H8"/>
    <mergeCell ref="D8:F8"/>
    <mergeCell ref="D9:K9"/>
    <mergeCell ref="D10:H10"/>
    <mergeCell ref="J10:K10"/>
    <mergeCell ref="C11:D11"/>
    <mergeCell ref="E11:K11"/>
    <mergeCell ref="D12:J12"/>
    <mergeCell ref="F19:K19"/>
    <mergeCell ref="D13:K13"/>
    <mergeCell ref="C14:K14"/>
    <mergeCell ref="C15:K15"/>
    <mergeCell ref="C16:K16"/>
    <mergeCell ref="G17:K17"/>
    <mergeCell ref="F18:K18"/>
    <mergeCell ref="C64:K64"/>
    <mergeCell ref="G65:K65"/>
    <mergeCell ref="F66:K66"/>
    <mergeCell ref="F67:K67"/>
    <mergeCell ref="C77:K77"/>
    <mergeCell ref="C79:D79"/>
    <mergeCell ref="F79:K79"/>
    <mergeCell ref="C80:K80"/>
    <mergeCell ref="D81:F81"/>
    <mergeCell ref="G81:H81"/>
    <mergeCell ref="I81:K81"/>
    <mergeCell ref="D82:K82"/>
    <mergeCell ref="D83:H83"/>
    <mergeCell ref="J83:K83"/>
    <mergeCell ref="C84:D84"/>
    <mergeCell ref="E84:K84"/>
    <mergeCell ref="G90:K90"/>
    <mergeCell ref="F91:K91"/>
    <mergeCell ref="F92:K92"/>
    <mergeCell ref="D85:J85"/>
    <mergeCell ref="D86:K86"/>
    <mergeCell ref="C87:K87"/>
    <mergeCell ref="C88:K88"/>
    <mergeCell ref="C89:K89"/>
  </mergeCells>
  <printOptions horizontalCentered="1"/>
  <pageMargins left="0.31496062992125984" right="0.31496062992125984" top="0.35433070866141736" bottom="0.35433070866141736" header="0.31496062992125984" footer="0.31496062992125984"/>
  <pageSetup paperSize="9" scale="80" orientation="portrait" r:id="rId1"/>
  <rowBreaks count="1" manualBreakCount="1">
    <brk id="47" max="12"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6" tint="0.39997558519241921"/>
    <pageSetUpPr fitToPage="1"/>
  </sheetPr>
  <dimension ref="A1:M24"/>
  <sheetViews>
    <sheetView rightToLeft="1" view="pageBreakPreview" zoomScaleNormal="100" zoomScaleSheetLayoutView="100" workbookViewId="0">
      <selection activeCell="C7" sqref="C7:K7"/>
    </sheetView>
  </sheetViews>
  <sheetFormatPr defaultRowHeight="12.75"/>
  <cols>
    <col min="1" max="1" width="3" customWidth="1"/>
    <col min="2" max="2" width="2.140625" customWidth="1"/>
    <col min="3" max="3" width="27.7109375" customWidth="1"/>
    <col min="5" max="5" width="14.28515625" customWidth="1"/>
    <col min="11" max="11" width="14.28515625" customWidth="1"/>
    <col min="12" max="12" width="2.7109375" customWidth="1"/>
    <col min="13" max="13" width="3.140625" customWidth="1"/>
  </cols>
  <sheetData>
    <row r="1" spans="1:13" ht="19.149999999999999" customHeight="1">
      <c r="A1" s="114"/>
      <c r="B1" s="114"/>
      <c r="C1" s="114"/>
      <c r="D1" s="114"/>
      <c r="E1" s="114"/>
      <c r="F1" s="114"/>
      <c r="G1" s="114"/>
      <c r="H1" s="114"/>
      <c r="I1" s="114"/>
      <c r="J1" s="295" t="s">
        <v>0</v>
      </c>
      <c r="K1" s="295">
        <f>عقد!M1</f>
        <v>374</v>
      </c>
      <c r="L1" s="114"/>
    </row>
    <row r="2" spans="1:13" ht="7.15" customHeight="1" thickBot="1">
      <c r="A2" s="3"/>
      <c r="B2" s="3"/>
      <c r="C2" s="3"/>
      <c r="D2" s="3"/>
      <c r="E2" s="3"/>
      <c r="F2" s="3"/>
      <c r="G2" s="3"/>
      <c r="H2" s="39"/>
      <c r="I2" s="3"/>
      <c r="J2" s="3"/>
      <c r="K2" s="3"/>
      <c r="L2" s="3"/>
    </row>
    <row r="3" spans="1:13" ht="21" thickTop="1">
      <c r="A3" s="3"/>
      <c r="B3" s="40"/>
      <c r="C3" s="41"/>
      <c r="D3" s="41"/>
      <c r="E3" s="41"/>
      <c r="F3" s="41"/>
      <c r="G3" s="41"/>
      <c r="H3" s="41"/>
      <c r="I3" s="41"/>
      <c r="J3" s="41"/>
      <c r="K3" s="41"/>
      <c r="L3" s="105"/>
      <c r="M3" s="292"/>
    </row>
    <row r="4" spans="1:13" ht="20.25">
      <c r="A4" s="3"/>
      <c r="B4" s="1"/>
      <c r="C4" s="711" t="s">
        <v>173</v>
      </c>
      <c r="D4" s="711"/>
      <c r="E4" s="711"/>
      <c r="F4" s="711"/>
      <c r="G4" s="711"/>
      <c r="H4" s="711"/>
      <c r="I4" s="711"/>
      <c r="J4" s="711"/>
      <c r="K4" s="711"/>
      <c r="L4" s="106"/>
      <c r="M4" s="292"/>
    </row>
    <row r="5" spans="1:13" ht="20.25">
      <c r="A5" s="3"/>
      <c r="B5" s="1"/>
      <c r="C5" s="293"/>
      <c r="D5" s="293"/>
      <c r="E5" s="293"/>
      <c r="F5" s="293"/>
      <c r="G5" s="293"/>
      <c r="H5" s="293"/>
      <c r="I5" s="293"/>
      <c r="J5" s="293"/>
      <c r="K5" s="293"/>
      <c r="L5" s="106"/>
      <c r="M5" s="292"/>
    </row>
    <row r="6" spans="1:13" s="111" customFormat="1" ht="20.45" customHeight="1">
      <c r="A6" s="3"/>
      <c r="B6" s="1"/>
      <c r="C6" s="703" t="str">
        <f>+" أقر أنا الموقع أدناه / "&amp;عقد!$C$9</f>
        <v xml:space="preserve"> أقر أنا الموقع أدناه / منتصر نخله روس شنوده</v>
      </c>
      <c r="D6" s="703"/>
      <c r="E6" s="703"/>
      <c r="F6" s="703"/>
      <c r="G6" s="703"/>
      <c r="H6" s="113" t="s">
        <v>723</v>
      </c>
      <c r="I6" s="113"/>
      <c r="J6" s="113"/>
      <c r="K6" s="113"/>
      <c r="L6" s="106"/>
      <c r="M6" s="294"/>
    </row>
    <row r="7" spans="1:13" s="111" customFormat="1" ht="170.45" customHeight="1">
      <c r="A7" s="3"/>
      <c r="B7" s="1"/>
      <c r="C7" s="712" t="s">
        <v>724</v>
      </c>
      <c r="D7" s="703"/>
      <c r="E7" s="703"/>
      <c r="F7" s="703"/>
      <c r="G7" s="703"/>
      <c r="H7" s="703"/>
      <c r="I7" s="703"/>
      <c r="J7" s="703"/>
      <c r="K7" s="703"/>
      <c r="L7" s="106"/>
      <c r="M7" s="294"/>
    </row>
    <row r="8" spans="1:13" ht="26.45" customHeight="1">
      <c r="A8" s="43"/>
      <c r="B8" s="44"/>
      <c r="C8" s="117" t="s">
        <v>204</v>
      </c>
      <c r="D8" s="707">
        <f>عقد!$E$7</f>
        <v>45875</v>
      </c>
      <c r="E8" s="707"/>
      <c r="F8" s="45"/>
      <c r="G8" s="45" t="s">
        <v>3</v>
      </c>
      <c r="H8" s="45"/>
      <c r="I8" s="45"/>
      <c r="J8" s="45"/>
      <c r="K8" s="45"/>
      <c r="L8" s="107"/>
      <c r="M8" s="292"/>
    </row>
    <row r="9" spans="1:13" ht="27" customHeight="1">
      <c r="A9" s="43"/>
      <c r="B9" s="44"/>
      <c r="C9" s="45"/>
      <c r="D9" s="45"/>
      <c r="E9" s="45"/>
      <c r="F9" s="45" t="s">
        <v>5</v>
      </c>
      <c r="G9" s="45"/>
      <c r="H9" s="45"/>
      <c r="I9" s="45"/>
      <c r="J9" s="45"/>
      <c r="K9" s="45"/>
      <c r="L9" s="107"/>
      <c r="M9" s="292"/>
    </row>
    <row r="10" spans="1:13" ht="18">
      <c r="A10" s="43"/>
      <c r="B10" s="44"/>
      <c r="C10" s="45"/>
      <c r="D10" s="45"/>
      <c r="E10" s="45"/>
      <c r="F10" s="45"/>
      <c r="G10" s="45"/>
      <c r="H10" s="45"/>
      <c r="I10" s="45"/>
      <c r="J10" s="45"/>
      <c r="K10" s="45"/>
      <c r="L10" s="107"/>
      <c r="M10" s="292"/>
    </row>
    <row r="11" spans="1:13" ht="54" customHeight="1" thickBot="1">
      <c r="A11" s="43"/>
      <c r="B11" s="71"/>
      <c r="C11" s="72"/>
      <c r="D11" s="72"/>
      <c r="E11" s="72"/>
      <c r="F11" s="72"/>
      <c r="G11" s="72"/>
      <c r="H11" s="72"/>
      <c r="I11" s="72"/>
      <c r="J11" s="72"/>
      <c r="K11" s="72"/>
      <c r="L11" s="108"/>
      <c r="M11" s="292"/>
    </row>
    <row r="12" spans="1:13" ht="49.15" customHeight="1" thickTop="1">
      <c r="C12" s="292"/>
      <c r="D12" s="292"/>
      <c r="E12" s="292"/>
      <c r="F12" s="292"/>
      <c r="G12" s="292"/>
      <c r="H12" s="292"/>
      <c r="I12" s="292"/>
      <c r="J12" s="292"/>
      <c r="K12" s="292"/>
      <c r="L12" s="292"/>
      <c r="M12" s="292"/>
    </row>
    <row r="13" spans="1:13" ht="27" customHeight="1" thickBot="1">
      <c r="C13" s="292"/>
      <c r="D13" s="292"/>
      <c r="E13" s="292"/>
      <c r="F13" s="292"/>
      <c r="G13" s="292"/>
      <c r="H13" s="292"/>
      <c r="I13" s="292"/>
      <c r="J13" s="292"/>
      <c r="K13" s="292"/>
      <c r="L13" s="292"/>
      <c r="M13" s="292"/>
    </row>
    <row r="14" spans="1:13" ht="21" thickTop="1">
      <c r="A14" s="3"/>
      <c r="B14" s="40"/>
      <c r="C14" s="41"/>
      <c r="D14" s="41"/>
      <c r="E14" s="41"/>
      <c r="F14" s="41"/>
      <c r="G14" s="41"/>
      <c r="H14" s="41"/>
      <c r="I14" s="41"/>
      <c r="J14" s="41"/>
      <c r="K14" s="41"/>
      <c r="L14" s="105"/>
      <c r="M14" s="292"/>
    </row>
    <row r="15" spans="1:13" ht="41.45" customHeight="1">
      <c r="A15" s="3"/>
      <c r="B15" s="1"/>
      <c r="C15" s="710" t="s">
        <v>174</v>
      </c>
      <c r="D15" s="711"/>
      <c r="E15" s="711"/>
      <c r="F15" s="711"/>
      <c r="G15" s="711"/>
      <c r="H15" s="711"/>
      <c r="I15" s="711"/>
      <c r="J15" s="711"/>
      <c r="K15" s="711"/>
      <c r="L15" s="106"/>
      <c r="M15" s="292"/>
    </row>
    <row r="16" spans="1:13" ht="20.25">
      <c r="A16" s="3"/>
      <c r="B16" s="1"/>
      <c r="C16" s="293"/>
      <c r="D16" s="293"/>
      <c r="E16" s="293"/>
      <c r="F16" s="293"/>
      <c r="G16" s="293"/>
      <c r="H16" s="293"/>
      <c r="I16" s="293"/>
      <c r="J16" s="293"/>
      <c r="K16" s="293"/>
      <c r="L16" s="106"/>
      <c r="M16" s="292"/>
    </row>
    <row r="17" spans="1:13" s="111" customFormat="1" ht="20.45" customHeight="1">
      <c r="A17" s="3"/>
      <c r="B17" s="1"/>
      <c r="C17" s="703" t="str">
        <f>+" أقر أنا الموقع أدناه / "&amp;عقد!$C$9</f>
        <v xml:space="preserve"> أقر أنا الموقع أدناه / منتصر نخله روس شنوده</v>
      </c>
      <c r="D17" s="703"/>
      <c r="E17" s="703"/>
      <c r="F17" s="703"/>
      <c r="G17" s="714" t="s">
        <v>56</v>
      </c>
      <c r="H17" s="714"/>
      <c r="I17" s="713">
        <f>عقد!$C$10</f>
        <v>27703292700272</v>
      </c>
      <c r="J17" s="713"/>
      <c r="K17" s="713"/>
      <c r="L17" s="106"/>
      <c r="M17" s="294"/>
    </row>
    <row r="18" spans="1:13" s="111" customFormat="1" ht="20.45" customHeight="1">
      <c r="A18" s="3"/>
      <c r="B18" s="1"/>
      <c r="C18" s="702" t="s">
        <v>206</v>
      </c>
      <c r="D18" s="702"/>
      <c r="E18" s="702"/>
      <c r="F18" s="715">
        <f>عقد!$L$14</f>
        <v>1272219004</v>
      </c>
      <c r="G18" s="715"/>
      <c r="H18" s="715"/>
      <c r="I18" s="113"/>
      <c r="J18" s="113"/>
      <c r="K18" s="113"/>
      <c r="L18" s="106"/>
      <c r="M18" s="294"/>
    </row>
    <row r="19" spans="1:13" s="111" customFormat="1" ht="186" customHeight="1">
      <c r="A19" s="3"/>
      <c r="B19" s="1"/>
      <c r="C19" s="708" t="s">
        <v>175</v>
      </c>
      <c r="D19" s="709"/>
      <c r="E19" s="709"/>
      <c r="F19" s="709"/>
      <c r="G19" s="709"/>
      <c r="H19" s="709"/>
      <c r="I19" s="709"/>
      <c r="J19" s="709"/>
      <c r="K19" s="709"/>
      <c r="L19" s="106"/>
      <c r="M19" s="294"/>
    </row>
    <row r="20" spans="1:13" ht="26.45" customHeight="1">
      <c r="A20" s="43"/>
      <c r="B20" s="44"/>
      <c r="C20" s="117" t="s">
        <v>204</v>
      </c>
      <c r="D20" s="707">
        <f>عقد!E7</f>
        <v>45875</v>
      </c>
      <c r="E20" s="707"/>
      <c r="F20" s="45"/>
      <c r="G20" s="45" t="s">
        <v>3</v>
      </c>
      <c r="H20" s="45"/>
      <c r="I20" s="45"/>
      <c r="J20" s="45"/>
      <c r="K20" s="45"/>
      <c r="L20" s="107"/>
      <c r="M20" s="292"/>
    </row>
    <row r="21" spans="1:13" ht="27" customHeight="1">
      <c r="A21" s="43"/>
      <c r="B21" s="44"/>
      <c r="C21" s="45"/>
      <c r="D21" s="45"/>
      <c r="E21" s="45"/>
      <c r="F21" s="45" t="s">
        <v>5</v>
      </c>
      <c r="G21" s="45"/>
      <c r="H21" s="45"/>
      <c r="I21" s="45"/>
      <c r="J21" s="45"/>
      <c r="K21" s="45"/>
      <c r="L21" s="107"/>
      <c r="M21" s="292"/>
    </row>
    <row r="22" spans="1:13" ht="18">
      <c r="A22" s="43"/>
      <c r="B22" s="44"/>
      <c r="C22" s="45"/>
      <c r="D22" s="45"/>
      <c r="E22" s="45"/>
      <c r="F22" s="45"/>
      <c r="G22" s="45"/>
      <c r="H22" s="45"/>
      <c r="I22" s="45"/>
      <c r="J22" s="45"/>
      <c r="K22" s="45"/>
      <c r="L22" s="107"/>
      <c r="M22" s="292"/>
    </row>
    <row r="23" spans="1:13" ht="61.15" customHeight="1" thickBot="1">
      <c r="A23" s="43"/>
      <c r="B23" s="71"/>
      <c r="C23" s="72"/>
      <c r="D23" s="72"/>
      <c r="E23" s="72"/>
      <c r="F23" s="72"/>
      <c r="G23" s="72"/>
      <c r="H23" s="72"/>
      <c r="I23" s="72"/>
      <c r="J23" s="72"/>
      <c r="K23" s="72"/>
      <c r="L23" s="108"/>
      <c r="M23" s="292"/>
    </row>
    <row r="24" spans="1:13" ht="13.5" thickTop="1">
      <c r="C24" s="292"/>
      <c r="D24" s="292"/>
      <c r="E24" s="292"/>
      <c r="F24" s="292"/>
      <c r="G24" s="292"/>
      <c r="H24" s="292"/>
      <c r="I24" s="292"/>
      <c r="J24" s="292"/>
      <c r="K24" s="292"/>
      <c r="L24" s="292"/>
      <c r="M24" s="292"/>
    </row>
  </sheetData>
  <sheetProtection sheet="1" objects="1" scenarios="1" selectLockedCells="1"/>
  <mergeCells count="12">
    <mergeCell ref="D20:E20"/>
    <mergeCell ref="C19:K19"/>
    <mergeCell ref="C15:K15"/>
    <mergeCell ref="C4:K4"/>
    <mergeCell ref="C7:K7"/>
    <mergeCell ref="C6:G6"/>
    <mergeCell ref="D8:E8"/>
    <mergeCell ref="I17:K17"/>
    <mergeCell ref="C17:F17"/>
    <mergeCell ref="G17:H17"/>
    <mergeCell ref="C18:E18"/>
    <mergeCell ref="F18:H18"/>
  </mergeCells>
  <printOptions horizontalCentered="1" verticalCentered="1"/>
  <pageMargins left="0.31496062992125984" right="0.31496062992125984" top="0.35433070866141736" bottom="0.35433070866141736" header="0.31496062992125984" footer="0.31496062992125984"/>
  <pageSetup paperSize="9" scale="81"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9" tint="-0.249977111117893"/>
  </sheetPr>
  <dimension ref="B9:W51"/>
  <sheetViews>
    <sheetView rightToLeft="1" view="pageBreakPreview" zoomScale="40" zoomScaleNormal="50" zoomScaleSheetLayoutView="40" workbookViewId="0">
      <selection activeCell="C15" sqref="C15"/>
    </sheetView>
  </sheetViews>
  <sheetFormatPr defaultColWidth="9.140625" defaultRowHeight="20.25"/>
  <cols>
    <col min="1" max="1" width="2.85546875" style="97" customWidth="1"/>
    <col min="2" max="2" width="6.7109375" style="97" customWidth="1"/>
    <col min="3" max="3" width="27.28515625" style="97" customWidth="1"/>
    <col min="4" max="4" width="13" style="97" customWidth="1"/>
    <col min="5" max="5" width="16.5703125" style="97" customWidth="1"/>
    <col min="6" max="6" width="19" style="97" customWidth="1"/>
    <col min="7" max="7" width="15" style="97" customWidth="1"/>
    <col min="8" max="8" width="11.140625" style="97" customWidth="1"/>
    <col min="9" max="9" width="13.140625" style="97" customWidth="1"/>
    <col min="10" max="10" width="26.42578125" style="97" customWidth="1"/>
    <col min="11" max="11" width="17" style="97" customWidth="1"/>
    <col min="12" max="12" width="10.140625" style="97" customWidth="1"/>
    <col min="13" max="13" width="12.28515625" style="97" customWidth="1"/>
    <col min="14" max="14" width="10.28515625" style="97" customWidth="1"/>
    <col min="15" max="15" width="11.7109375" style="97" customWidth="1"/>
    <col min="16" max="16" width="19.140625" style="97" customWidth="1"/>
    <col min="17" max="17" width="53" style="97" customWidth="1"/>
    <col min="18" max="18" width="2.85546875" style="97" customWidth="1"/>
    <col min="19" max="20" width="9.140625" style="97"/>
    <col min="21" max="21" width="18.42578125" style="97" bestFit="1" customWidth="1"/>
    <col min="22" max="22" width="9.85546875" style="97" bestFit="1" customWidth="1"/>
    <col min="23" max="23" width="14.42578125" style="97" bestFit="1" customWidth="1"/>
    <col min="24" max="16384" width="9.140625" style="97"/>
  </cols>
  <sheetData>
    <row r="9" spans="2:17" ht="56.45" customHeight="1"/>
    <row r="10" spans="2:17" ht="38.450000000000003" customHeight="1">
      <c r="P10" s="118"/>
      <c r="Q10" s="119" t="str">
        <f>"كود: "&amp;عقد!M1</f>
        <v>كود: 374</v>
      </c>
    </row>
    <row r="11" spans="2:17" ht="50.25">
      <c r="C11" s="96"/>
      <c r="D11" s="96"/>
      <c r="E11" s="96"/>
      <c r="F11" s="96"/>
      <c r="G11" s="96"/>
      <c r="H11" s="96"/>
      <c r="I11" s="96"/>
      <c r="J11" s="720" t="s">
        <v>120</v>
      </c>
      <c r="K11" s="720"/>
      <c r="L11" s="96"/>
      <c r="M11" s="96"/>
      <c r="N11" s="96"/>
      <c r="O11" s="96"/>
      <c r="P11" s="96"/>
    </row>
    <row r="12" spans="2:17" ht="49.5">
      <c r="C12" s="96"/>
      <c r="D12" s="96"/>
      <c r="E12" s="96"/>
      <c r="F12" s="96"/>
      <c r="G12" s="96"/>
      <c r="H12" s="96"/>
      <c r="I12" s="96"/>
      <c r="J12" s="96"/>
      <c r="K12" s="96"/>
      <c r="L12" s="96"/>
      <c r="M12" s="96"/>
      <c r="N12" s="96"/>
      <c r="O12" s="96"/>
      <c r="P12" s="96"/>
    </row>
    <row r="13" spans="2:17" ht="49.5">
      <c r="B13" s="296"/>
      <c r="C13" s="328" t="s">
        <v>8</v>
      </c>
      <c r="D13" s="721" t="str">
        <f>عقد!C9</f>
        <v>منتصر نخله روس شنوده</v>
      </c>
      <c r="E13" s="721"/>
      <c r="F13" s="721"/>
      <c r="G13" s="721"/>
      <c r="H13" s="721"/>
      <c r="I13" s="721"/>
      <c r="J13" s="721"/>
      <c r="K13" s="721"/>
      <c r="L13" s="329"/>
      <c r="M13" s="329"/>
      <c r="N13" s="330" t="s">
        <v>121</v>
      </c>
      <c r="O13" s="330"/>
      <c r="P13" s="330" t="s">
        <v>122</v>
      </c>
      <c r="Q13" s="331"/>
    </row>
    <row r="14" spans="2:17" ht="49.5">
      <c r="B14" s="296"/>
      <c r="C14" s="329" t="s">
        <v>123</v>
      </c>
      <c r="D14" s="329"/>
      <c r="E14" s="329"/>
      <c r="F14" s="329"/>
      <c r="G14" s="329"/>
      <c r="H14" s="722">
        <f>عقد!C10</f>
        <v>27703292700272</v>
      </c>
      <c r="I14" s="722"/>
      <c r="J14" s="722"/>
      <c r="K14" s="722"/>
      <c r="L14" s="722"/>
      <c r="M14" s="722"/>
      <c r="N14" s="722"/>
      <c r="O14" s="722"/>
      <c r="P14" s="723"/>
      <c r="Q14" s="331"/>
    </row>
    <row r="15" spans="2:17" ht="70.900000000000006" customHeight="1">
      <c r="B15" s="296"/>
      <c r="C15" s="333" t="s">
        <v>650</v>
      </c>
      <c r="D15" s="724">
        <f>عقد!C11</f>
        <v>0</v>
      </c>
      <c r="E15" s="724"/>
      <c r="F15" s="724"/>
      <c r="G15" s="724"/>
      <c r="H15" s="724"/>
      <c r="I15" s="724"/>
      <c r="J15" s="724"/>
      <c r="K15" s="724"/>
      <c r="L15" s="724"/>
      <c r="M15" s="724"/>
      <c r="N15" s="724"/>
      <c r="O15" s="724"/>
      <c r="P15" s="724"/>
      <c r="Q15" s="332"/>
    </row>
    <row r="16" spans="2:17">
      <c r="B16" s="296"/>
      <c r="C16" s="332"/>
      <c r="D16" s="332"/>
      <c r="E16" s="332"/>
      <c r="F16" s="332"/>
      <c r="G16" s="332"/>
      <c r="H16" s="332"/>
      <c r="I16" s="332"/>
      <c r="J16" s="332"/>
      <c r="K16" s="332"/>
      <c r="L16" s="332"/>
      <c r="M16" s="332"/>
      <c r="N16" s="332"/>
      <c r="O16" s="332"/>
      <c r="P16" s="332"/>
      <c r="Q16" s="332"/>
    </row>
    <row r="17" spans="2:23" ht="44.25" customHeight="1">
      <c r="B17" s="296"/>
      <c r="C17" s="330" t="s">
        <v>124</v>
      </c>
      <c r="D17" s="330"/>
      <c r="E17" s="330"/>
      <c r="F17" s="330"/>
      <c r="G17" s="330"/>
      <c r="H17" s="330"/>
      <c r="I17" s="330"/>
      <c r="J17" s="330"/>
      <c r="K17" s="330"/>
      <c r="L17" s="330"/>
      <c r="M17" s="330"/>
      <c r="N17" s="330"/>
      <c r="O17" s="330"/>
      <c r="P17" s="330"/>
      <c r="Q17" s="330"/>
    </row>
    <row r="18" spans="2:23" ht="44.25">
      <c r="B18" s="296"/>
      <c r="C18" s="333" t="s">
        <v>125</v>
      </c>
      <c r="D18" s="716">
        <f>عقد!E7</f>
        <v>45875</v>
      </c>
      <c r="E18" s="716"/>
      <c r="F18" s="716"/>
      <c r="G18" s="334"/>
      <c r="H18" s="334"/>
      <c r="I18" s="334"/>
      <c r="J18" s="334"/>
      <c r="K18" s="334"/>
      <c r="L18" s="332"/>
      <c r="M18" s="332"/>
      <c r="N18" s="332"/>
      <c r="O18" s="332"/>
      <c r="P18" s="332"/>
      <c r="Q18" s="332"/>
    </row>
    <row r="19" spans="2:23" ht="34.5" customHeight="1">
      <c r="B19" s="296"/>
      <c r="C19" s="717" t="s">
        <v>126</v>
      </c>
      <c r="D19" s="717"/>
      <c r="E19" s="717"/>
      <c r="F19" s="717"/>
      <c r="G19" s="717"/>
      <c r="H19" s="717"/>
      <c r="I19" s="717"/>
      <c r="J19" s="717"/>
      <c r="K19" s="717"/>
      <c r="L19" s="717"/>
      <c r="M19" s="717"/>
      <c r="N19" s="717"/>
      <c r="O19" s="717"/>
      <c r="P19" s="717"/>
      <c r="Q19" s="717"/>
    </row>
    <row r="20" spans="2:23" ht="34.5" customHeight="1">
      <c r="B20" s="296"/>
      <c r="C20" s="717"/>
      <c r="D20" s="717"/>
      <c r="E20" s="717"/>
      <c r="F20" s="717"/>
      <c r="G20" s="717"/>
      <c r="H20" s="717"/>
      <c r="I20" s="717"/>
      <c r="J20" s="717"/>
      <c r="K20" s="717"/>
      <c r="L20" s="717"/>
      <c r="M20" s="717"/>
      <c r="N20" s="717"/>
      <c r="O20" s="717"/>
      <c r="P20" s="717"/>
      <c r="Q20" s="717"/>
    </row>
    <row r="21" spans="2:23" ht="111" customHeight="1">
      <c r="B21" s="296"/>
      <c r="C21" s="717"/>
      <c r="D21" s="717"/>
      <c r="E21" s="717"/>
      <c r="F21" s="717"/>
      <c r="G21" s="717"/>
      <c r="H21" s="717"/>
      <c r="I21" s="717"/>
      <c r="J21" s="717"/>
      <c r="K21" s="717"/>
      <c r="L21" s="717"/>
      <c r="M21" s="717"/>
      <c r="N21" s="717"/>
      <c r="O21" s="717"/>
      <c r="P21" s="717"/>
      <c r="Q21" s="717"/>
    </row>
    <row r="22" spans="2:23" ht="49.5">
      <c r="B22" s="296"/>
      <c r="C22" s="330" t="s">
        <v>127</v>
      </c>
      <c r="D22" s="330"/>
      <c r="E22" s="330"/>
      <c r="F22" s="330"/>
      <c r="G22" s="330"/>
      <c r="H22" s="330"/>
      <c r="I22" s="330"/>
      <c r="J22" s="330"/>
      <c r="K22" s="330"/>
      <c r="L22" s="330"/>
      <c r="M22" s="330"/>
      <c r="N22" s="330"/>
      <c r="O22" s="330"/>
      <c r="P22" s="330"/>
      <c r="Q22" s="330"/>
    </row>
    <row r="23" spans="2:23" ht="49.5">
      <c r="B23" s="296"/>
      <c r="C23" s="297"/>
      <c r="D23" s="297"/>
      <c r="E23" s="297"/>
      <c r="F23" s="297"/>
      <c r="G23" s="297"/>
      <c r="H23" s="297"/>
      <c r="I23" s="297"/>
      <c r="J23" s="297"/>
      <c r="K23" s="297"/>
      <c r="L23" s="297"/>
      <c r="M23" s="297"/>
      <c r="N23" s="297"/>
      <c r="O23" s="297"/>
      <c r="P23" s="297"/>
      <c r="Q23" s="297"/>
    </row>
    <row r="24" spans="2:23" ht="49.5">
      <c r="B24" s="296"/>
      <c r="C24" s="297"/>
      <c r="D24" s="297"/>
      <c r="E24" s="297"/>
      <c r="F24" s="297"/>
      <c r="G24" s="297"/>
      <c r="H24" s="297"/>
      <c r="I24" s="297"/>
      <c r="J24" s="297"/>
      <c r="K24" s="297"/>
      <c r="L24" s="297"/>
      <c r="M24" s="297"/>
      <c r="N24" s="297"/>
      <c r="O24" s="297"/>
      <c r="P24" s="298"/>
      <c r="Q24" s="297"/>
    </row>
    <row r="25" spans="2:23" ht="49.5">
      <c r="B25" s="296"/>
      <c r="C25" s="297"/>
      <c r="D25" s="297"/>
      <c r="E25" s="297"/>
      <c r="F25" s="297"/>
      <c r="G25" s="297"/>
      <c r="H25" s="297"/>
      <c r="I25" s="297"/>
      <c r="J25" s="297"/>
      <c r="K25" s="297"/>
      <c r="L25" s="297"/>
      <c r="M25" s="297"/>
      <c r="N25" s="297"/>
      <c r="O25" s="297"/>
      <c r="P25" s="298" t="s">
        <v>128</v>
      </c>
      <c r="Q25" s="298"/>
      <c r="R25" s="98"/>
      <c r="S25" s="98"/>
      <c r="T25" s="98"/>
      <c r="U25" s="98"/>
      <c r="V25" s="98"/>
      <c r="W25" s="98"/>
    </row>
    <row r="26" spans="2:23" ht="74.25" customHeight="1">
      <c r="B26" s="296"/>
      <c r="C26" s="297"/>
      <c r="D26" s="297"/>
      <c r="E26" s="297"/>
      <c r="F26" s="297"/>
      <c r="G26" s="297"/>
      <c r="H26" s="297"/>
      <c r="I26" s="297"/>
      <c r="J26" s="297"/>
      <c r="K26" s="297"/>
      <c r="L26" s="297"/>
      <c r="M26" s="297"/>
      <c r="N26" s="298" t="s">
        <v>129</v>
      </c>
      <c r="O26" s="298"/>
      <c r="P26" s="298"/>
      <c r="Q26" s="297"/>
    </row>
    <row r="27" spans="2:23" ht="81.75" customHeight="1">
      <c r="B27" s="296"/>
      <c r="C27" s="297"/>
      <c r="D27" s="297"/>
      <c r="E27" s="297"/>
      <c r="F27" s="297"/>
      <c r="G27" s="297"/>
      <c r="H27" s="297"/>
      <c r="I27" s="297"/>
      <c r="J27" s="297"/>
      <c r="K27" s="297"/>
      <c r="L27" s="297"/>
      <c r="M27" s="297"/>
      <c r="N27" s="298" t="s">
        <v>130</v>
      </c>
      <c r="O27" s="298"/>
      <c r="P27" s="298"/>
      <c r="Q27" s="298"/>
    </row>
    <row r="28" spans="2:23" ht="49.5">
      <c r="B28" s="296"/>
      <c r="C28" s="297"/>
      <c r="D28" s="297"/>
      <c r="E28" s="297"/>
      <c r="F28" s="297"/>
      <c r="G28" s="297"/>
      <c r="H28" s="297"/>
      <c r="I28" s="297"/>
      <c r="J28" s="297"/>
      <c r="K28" s="297"/>
      <c r="L28" s="297"/>
      <c r="M28" s="297"/>
      <c r="N28" s="298" t="s">
        <v>131</v>
      </c>
      <c r="O28" s="298"/>
      <c r="P28" s="298"/>
      <c r="Q28" s="297"/>
    </row>
    <row r="29" spans="2:23" ht="21" thickBot="1">
      <c r="B29" s="296"/>
      <c r="C29" s="299"/>
      <c r="D29" s="299"/>
      <c r="E29" s="299"/>
      <c r="F29" s="299"/>
      <c r="G29" s="299"/>
      <c r="H29" s="299"/>
      <c r="I29" s="299"/>
      <c r="J29" s="299"/>
      <c r="K29" s="299"/>
      <c r="L29" s="299"/>
      <c r="M29" s="299"/>
      <c r="N29" s="299"/>
      <c r="O29" s="299"/>
      <c r="P29" s="299"/>
      <c r="Q29" s="299"/>
    </row>
    <row r="30" spans="2:23">
      <c r="B30" s="296"/>
      <c r="C30" s="296"/>
      <c r="D30" s="296"/>
      <c r="E30" s="296"/>
      <c r="F30" s="296"/>
      <c r="G30" s="296"/>
      <c r="H30" s="296"/>
      <c r="I30" s="296"/>
      <c r="J30" s="296"/>
      <c r="K30" s="296"/>
      <c r="L30" s="296"/>
      <c r="M30" s="296"/>
      <c r="N30" s="296"/>
      <c r="O30" s="296"/>
      <c r="P30" s="296"/>
      <c r="Q30" s="296"/>
    </row>
    <row r="31" spans="2:23" ht="20.25" customHeight="1">
      <c r="B31" s="718" t="s">
        <v>132</v>
      </c>
      <c r="C31" s="718"/>
      <c r="D31" s="718"/>
      <c r="E31" s="718"/>
      <c r="F31" s="718"/>
      <c r="G31" s="718"/>
      <c r="H31" s="718"/>
      <c r="I31" s="718"/>
      <c r="J31" s="718"/>
      <c r="K31" s="718"/>
      <c r="L31" s="718"/>
      <c r="M31" s="718"/>
      <c r="N31" s="718"/>
      <c r="O31" s="718"/>
      <c r="P31" s="718"/>
      <c r="Q31" s="718"/>
    </row>
    <row r="32" spans="2:23" ht="20.25" customHeight="1">
      <c r="B32" s="718"/>
      <c r="C32" s="718"/>
      <c r="D32" s="718"/>
      <c r="E32" s="718"/>
      <c r="F32" s="718"/>
      <c r="G32" s="718"/>
      <c r="H32" s="718"/>
      <c r="I32" s="718"/>
      <c r="J32" s="718"/>
      <c r="K32" s="718"/>
      <c r="L32" s="718"/>
      <c r="M32" s="718"/>
      <c r="N32" s="718"/>
      <c r="O32" s="718"/>
      <c r="P32" s="718"/>
      <c r="Q32" s="718"/>
    </row>
    <row r="33" spans="2:17" ht="20.25" customHeight="1">
      <c r="B33" s="718"/>
      <c r="C33" s="718"/>
      <c r="D33" s="718"/>
      <c r="E33" s="718"/>
      <c r="F33" s="718"/>
      <c r="G33" s="718"/>
      <c r="H33" s="718"/>
      <c r="I33" s="718"/>
      <c r="J33" s="718"/>
      <c r="K33" s="718"/>
      <c r="L33" s="718"/>
      <c r="M33" s="718"/>
      <c r="N33" s="718"/>
      <c r="O33" s="718"/>
      <c r="P33" s="718"/>
      <c r="Q33" s="718"/>
    </row>
    <row r="34" spans="2:17" ht="20.25" customHeight="1">
      <c r="B34" s="718"/>
      <c r="C34" s="718"/>
      <c r="D34" s="718"/>
      <c r="E34" s="718"/>
      <c r="F34" s="718"/>
      <c r="G34" s="718"/>
      <c r="H34" s="718"/>
      <c r="I34" s="718"/>
      <c r="J34" s="718"/>
      <c r="K34" s="718"/>
      <c r="L34" s="718"/>
      <c r="M34" s="718"/>
      <c r="N34" s="718"/>
      <c r="O34" s="718"/>
      <c r="P34" s="718"/>
      <c r="Q34" s="718"/>
    </row>
    <row r="35" spans="2:17" ht="20.25" customHeight="1">
      <c r="B35" s="718"/>
      <c r="C35" s="718"/>
      <c r="D35" s="718"/>
      <c r="E35" s="718"/>
      <c r="F35" s="718"/>
      <c r="G35" s="718"/>
      <c r="H35" s="718"/>
      <c r="I35" s="718"/>
      <c r="J35" s="718"/>
      <c r="K35" s="718"/>
      <c r="L35" s="718"/>
      <c r="M35" s="718"/>
      <c r="N35" s="718"/>
      <c r="O35" s="718"/>
      <c r="P35" s="718"/>
      <c r="Q35" s="718"/>
    </row>
    <row r="36" spans="2:17" ht="49.5">
      <c r="B36" s="297"/>
      <c r="C36" s="297"/>
      <c r="D36" s="297"/>
      <c r="E36" s="297"/>
      <c r="F36" s="297"/>
      <c r="G36" s="297"/>
      <c r="H36" s="297"/>
      <c r="I36" s="297"/>
      <c r="J36" s="297"/>
      <c r="K36" s="297"/>
      <c r="L36" s="297"/>
      <c r="M36" s="297"/>
      <c r="N36" s="297"/>
      <c r="O36" s="297"/>
      <c r="P36" s="297"/>
      <c r="Q36" s="297"/>
    </row>
    <row r="37" spans="2:17" ht="49.5">
      <c r="B37" s="297"/>
      <c r="C37" s="297"/>
      <c r="D37" s="297"/>
      <c r="E37" s="297"/>
      <c r="F37" s="297"/>
      <c r="G37" s="297"/>
      <c r="H37" s="297"/>
      <c r="I37" s="297"/>
      <c r="J37" s="297"/>
      <c r="K37" s="297"/>
      <c r="L37" s="297"/>
      <c r="M37" s="297"/>
      <c r="N37" s="297"/>
      <c r="O37" s="297"/>
      <c r="P37" s="297"/>
      <c r="Q37" s="297"/>
    </row>
    <row r="38" spans="2:17" ht="49.5">
      <c r="B38" s="297"/>
      <c r="C38" s="297"/>
      <c r="D38" s="297"/>
      <c r="E38" s="297"/>
      <c r="F38" s="297"/>
      <c r="G38" s="297"/>
      <c r="H38" s="297"/>
      <c r="I38" s="297"/>
      <c r="J38" s="297"/>
      <c r="K38" s="297"/>
      <c r="L38" s="297"/>
      <c r="M38" s="297"/>
      <c r="N38" s="297"/>
      <c r="O38" s="297"/>
      <c r="P38" s="297"/>
      <c r="Q38" s="297"/>
    </row>
    <row r="39" spans="2:17" ht="49.5">
      <c r="B39" s="297"/>
      <c r="C39" s="297"/>
      <c r="D39" s="297"/>
      <c r="E39" s="297"/>
      <c r="F39" s="297"/>
      <c r="G39" s="297"/>
      <c r="H39" s="297"/>
      <c r="I39" s="297"/>
      <c r="J39" s="297"/>
      <c r="K39" s="297"/>
      <c r="L39" s="297"/>
      <c r="M39" s="297"/>
      <c r="N39" s="297"/>
      <c r="O39" s="298" t="s">
        <v>128</v>
      </c>
      <c r="P39" s="298"/>
      <c r="Q39" s="297"/>
    </row>
    <row r="40" spans="2:17" ht="49.5">
      <c r="B40" s="297"/>
      <c r="C40" s="297"/>
      <c r="D40" s="297"/>
      <c r="E40" s="297"/>
      <c r="F40" s="297"/>
      <c r="G40" s="297"/>
      <c r="H40" s="297"/>
      <c r="I40" s="297"/>
      <c r="J40" s="297"/>
      <c r="K40" s="297"/>
      <c r="L40" s="297"/>
      <c r="M40" s="300" t="s">
        <v>725</v>
      </c>
      <c r="N40" s="298"/>
      <c r="O40" s="298"/>
      <c r="P40" s="297"/>
      <c r="Q40" s="298"/>
    </row>
    <row r="41" spans="2:17" ht="85.5" customHeight="1">
      <c r="B41" s="297"/>
      <c r="C41" s="297"/>
      <c r="D41" s="297"/>
      <c r="E41" s="297"/>
      <c r="F41" s="297"/>
      <c r="G41" s="297"/>
      <c r="H41" s="297"/>
      <c r="I41" s="297"/>
      <c r="J41" s="297"/>
      <c r="K41" s="297"/>
      <c r="L41" s="297"/>
      <c r="M41" s="301" t="s">
        <v>726</v>
      </c>
      <c r="N41" s="298"/>
      <c r="O41" s="298"/>
      <c r="P41" s="297"/>
      <c r="Q41" s="298"/>
    </row>
    <row r="42" spans="2:17" ht="85.5" customHeight="1">
      <c r="B42" s="297"/>
      <c r="C42" s="297"/>
      <c r="D42" s="297"/>
      <c r="E42" s="297"/>
      <c r="F42" s="297"/>
      <c r="G42" s="297"/>
      <c r="H42" s="297"/>
      <c r="I42" s="297"/>
      <c r="J42" s="297"/>
      <c r="K42" s="297"/>
      <c r="L42" s="297"/>
      <c r="M42" s="298"/>
      <c r="N42" s="297"/>
      <c r="O42" s="297"/>
      <c r="P42" s="297"/>
      <c r="Q42" s="297"/>
    </row>
    <row r="43" spans="2:17" ht="49.5">
      <c r="B43" s="297"/>
      <c r="C43" s="297"/>
      <c r="D43" s="297"/>
      <c r="E43" s="297"/>
      <c r="F43" s="297"/>
      <c r="G43" s="297"/>
      <c r="H43" s="297"/>
      <c r="I43" s="297"/>
      <c r="J43" s="297"/>
      <c r="K43" s="297"/>
      <c r="L43" s="297"/>
      <c r="M43" s="297"/>
      <c r="N43" s="297"/>
      <c r="O43" s="297"/>
      <c r="P43" s="297"/>
      <c r="Q43" s="297"/>
    </row>
    <row r="44" spans="2:17" ht="49.5">
      <c r="B44" s="297"/>
      <c r="C44" s="297"/>
      <c r="D44" s="297"/>
      <c r="E44" s="297"/>
      <c r="F44" s="297"/>
      <c r="G44" s="297"/>
      <c r="H44" s="297"/>
      <c r="I44" s="297"/>
      <c r="J44" s="297"/>
      <c r="K44" s="297"/>
      <c r="L44" s="297"/>
      <c r="M44" s="297"/>
      <c r="N44" s="297"/>
      <c r="O44" s="297"/>
      <c r="P44" s="297"/>
      <c r="Q44" s="297"/>
    </row>
    <row r="45" spans="2:17" ht="49.5">
      <c r="B45" s="297"/>
      <c r="C45" s="297"/>
      <c r="D45" s="297"/>
      <c r="E45" s="297"/>
      <c r="F45" s="297"/>
      <c r="G45" s="297"/>
      <c r="H45" s="297"/>
      <c r="I45" s="297"/>
      <c r="J45" s="297"/>
      <c r="K45" s="297"/>
      <c r="L45" s="297"/>
      <c r="M45" s="297"/>
      <c r="N45" s="297"/>
      <c r="O45" s="297"/>
      <c r="P45" s="297"/>
      <c r="Q45" s="297"/>
    </row>
    <row r="46" spans="2:17" ht="49.5">
      <c r="B46" s="297"/>
      <c r="C46" s="298" t="s">
        <v>125</v>
      </c>
      <c r="D46" s="719">
        <f>D18</f>
        <v>45875</v>
      </c>
      <c r="E46" s="719"/>
      <c r="F46" s="719"/>
      <c r="G46" s="297"/>
      <c r="H46" s="297"/>
      <c r="I46" s="297"/>
      <c r="J46" s="297"/>
      <c r="K46" s="297"/>
      <c r="L46" s="297"/>
      <c r="M46" s="297"/>
      <c r="N46" s="297"/>
      <c r="O46" s="297"/>
      <c r="P46" s="297"/>
      <c r="Q46" s="297"/>
    </row>
    <row r="47" spans="2:17">
      <c r="B47" s="296"/>
      <c r="C47" s="296"/>
      <c r="D47" s="296"/>
      <c r="E47" s="296"/>
      <c r="F47" s="296"/>
      <c r="G47" s="296"/>
      <c r="H47" s="296"/>
      <c r="I47" s="296"/>
      <c r="J47" s="296"/>
      <c r="K47" s="296"/>
      <c r="L47" s="296"/>
      <c r="M47" s="296"/>
      <c r="N47" s="296"/>
      <c r="O47" s="296"/>
      <c r="P47" s="296"/>
      <c r="Q47" s="296"/>
    </row>
    <row r="48" spans="2:17">
      <c r="B48" s="296"/>
      <c r="C48" s="296"/>
      <c r="D48" s="296"/>
      <c r="E48" s="296"/>
      <c r="F48" s="296"/>
      <c r="G48" s="296"/>
      <c r="H48" s="296"/>
      <c r="I48" s="296"/>
      <c r="J48" s="296"/>
      <c r="K48" s="296"/>
      <c r="L48" s="296"/>
      <c r="M48" s="296"/>
      <c r="N48" s="296"/>
      <c r="O48" s="296"/>
      <c r="P48" s="296"/>
      <c r="Q48" s="296"/>
    </row>
    <row r="49" spans="2:17">
      <c r="B49" s="296"/>
      <c r="C49" s="296"/>
      <c r="D49" s="296"/>
      <c r="E49" s="296"/>
      <c r="F49" s="296"/>
      <c r="G49" s="296"/>
      <c r="H49" s="296"/>
      <c r="I49" s="296"/>
      <c r="J49" s="296" t="s">
        <v>133</v>
      </c>
      <c r="K49" s="296"/>
      <c r="L49" s="296"/>
      <c r="M49" s="296"/>
      <c r="N49" s="296"/>
      <c r="O49" s="296"/>
      <c r="P49" s="296"/>
      <c r="Q49" s="296"/>
    </row>
    <row r="50" spans="2:17">
      <c r="B50" s="296"/>
      <c r="C50" s="296"/>
      <c r="D50" s="296"/>
      <c r="E50" s="296"/>
      <c r="F50" s="296"/>
      <c r="G50" s="296"/>
      <c r="H50" s="296"/>
      <c r="I50" s="296"/>
      <c r="J50" s="296"/>
      <c r="K50" s="296"/>
      <c r="L50" s="296"/>
      <c r="M50" s="296"/>
      <c r="N50" s="296"/>
      <c r="O50" s="296"/>
      <c r="P50" s="296"/>
      <c r="Q50" s="296"/>
    </row>
    <row r="51" spans="2:17">
      <c r="B51" s="296"/>
      <c r="C51" s="296"/>
      <c r="D51" s="296"/>
      <c r="E51" s="296"/>
      <c r="F51" s="296"/>
      <c r="G51" s="296"/>
      <c r="H51" s="296"/>
      <c r="I51" s="296"/>
      <c r="J51" s="296"/>
      <c r="K51" s="296"/>
      <c r="L51" s="296"/>
      <c r="M51" s="296"/>
      <c r="N51" s="296"/>
      <c r="O51" s="296"/>
      <c r="P51" s="296"/>
      <c r="Q51" s="296"/>
    </row>
  </sheetData>
  <sheetProtection sheet="1" objects="1" scenarios="1" selectLockedCells="1"/>
  <mergeCells count="8">
    <mergeCell ref="D18:F18"/>
    <mergeCell ref="C19:Q21"/>
    <mergeCell ref="B31:Q35"/>
    <mergeCell ref="D46:F46"/>
    <mergeCell ref="J11:K11"/>
    <mergeCell ref="D13:K13"/>
    <mergeCell ref="H14:P14"/>
    <mergeCell ref="D15:P15"/>
  </mergeCells>
  <pageMargins left="0.7" right="0.7" top="0.75" bottom="0.75" header="0.3" footer="0.3"/>
  <pageSetup paperSize="9" scale="31"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L37"/>
  <sheetViews>
    <sheetView rightToLeft="1" view="pageBreakPreview" zoomScale="85" zoomScaleNormal="100" zoomScaleSheetLayoutView="85" workbookViewId="0">
      <selection activeCell="I32" sqref="I32"/>
    </sheetView>
  </sheetViews>
  <sheetFormatPr defaultColWidth="9.140625" defaultRowHeight="12.75"/>
  <cols>
    <col min="1" max="1" width="5.140625" style="46" customWidth="1"/>
    <col min="2" max="2" width="71.85546875" style="46" customWidth="1"/>
    <col min="3" max="3" width="5" style="46" bestFit="1" customWidth="1"/>
    <col min="4" max="4" width="6.5703125" style="46" bestFit="1" customWidth="1"/>
    <col min="5" max="5" width="7.140625" style="46" customWidth="1"/>
    <col min="6" max="6" width="15.42578125" style="46" customWidth="1"/>
    <col min="7" max="16384" width="9.140625" style="46"/>
  </cols>
  <sheetData>
    <row r="1" spans="2:6" ht="6.6" customHeight="1"/>
    <row r="2" spans="2:6" ht="15" customHeight="1">
      <c r="B2" s="120" t="s">
        <v>77</v>
      </c>
      <c r="E2" s="73">
        <v>0</v>
      </c>
    </row>
    <row r="3" spans="2:6" ht="17.45" customHeight="1" thickBot="1">
      <c r="B3" s="121" t="s">
        <v>208</v>
      </c>
    </row>
    <row r="4" spans="2:6" ht="18.75">
      <c r="B4" s="763" t="s">
        <v>207</v>
      </c>
      <c r="C4" s="764"/>
      <c r="D4" s="764"/>
      <c r="E4" s="764"/>
      <c r="F4" s="734"/>
    </row>
    <row r="5" spans="2:6" ht="19.5" thickBot="1">
      <c r="B5" s="765" t="s">
        <v>78</v>
      </c>
      <c r="C5" s="766"/>
      <c r="D5" s="766"/>
      <c r="E5" s="766"/>
      <c r="F5" s="735"/>
    </row>
    <row r="6" spans="2:6" ht="15" customHeight="1" thickBot="1">
      <c r="B6" s="75" t="s">
        <v>79</v>
      </c>
      <c r="C6" s="767" t="s">
        <v>210</v>
      </c>
      <c r="D6" s="768"/>
      <c r="E6" s="768"/>
      <c r="F6" s="769"/>
    </row>
    <row r="7" spans="2:6" ht="15" customHeight="1" thickBot="1">
      <c r="B7" s="75" t="s">
        <v>80</v>
      </c>
      <c r="C7" s="748" t="s">
        <v>81</v>
      </c>
      <c r="D7" s="749"/>
      <c r="E7" s="749"/>
      <c r="F7" s="750"/>
    </row>
    <row r="8" spans="2:6" ht="15" customHeight="1" thickBot="1">
      <c r="B8" s="76" t="s">
        <v>82</v>
      </c>
      <c r="C8" s="770">
        <f>عقد!I21</f>
        <v>0.21</v>
      </c>
      <c r="D8" s="771"/>
      <c r="E8" s="77" t="s">
        <v>83</v>
      </c>
      <c r="F8" s="78" t="s">
        <v>84</v>
      </c>
    </row>
    <row r="9" spans="2:6" ht="15" customHeight="1">
      <c r="B9" s="79" t="s">
        <v>85</v>
      </c>
      <c r="C9" s="751">
        <f ca="1">C8-C11</f>
        <v>-2249.79</v>
      </c>
      <c r="D9" s="752"/>
      <c r="E9" s="755" t="s">
        <v>83</v>
      </c>
      <c r="F9" s="746"/>
    </row>
    <row r="10" spans="2:6" ht="15" customHeight="1" thickBot="1">
      <c r="B10" s="80" t="s">
        <v>86</v>
      </c>
      <c r="C10" s="753"/>
      <c r="D10" s="754"/>
      <c r="E10" s="756"/>
      <c r="F10" s="739"/>
    </row>
    <row r="11" spans="2:6" ht="15" customHeight="1">
      <c r="B11" s="79" t="s">
        <v>87</v>
      </c>
      <c r="C11" s="751">
        <f ca="1">IFERROR(VLOOKUP(عقد!M1,تفصيلي!$B$6:$AW$205,22,FALSE),"")</f>
        <v>2250</v>
      </c>
      <c r="D11" s="752"/>
      <c r="E11" s="755" t="s">
        <v>83</v>
      </c>
      <c r="F11" s="736" t="s">
        <v>84</v>
      </c>
    </row>
    <row r="12" spans="2:6" ht="15" customHeight="1" thickBot="1">
      <c r="B12" s="80" t="s">
        <v>88</v>
      </c>
      <c r="C12" s="753"/>
      <c r="D12" s="754"/>
      <c r="E12" s="756"/>
      <c r="F12" s="737"/>
    </row>
    <row r="13" spans="2:6" ht="15" customHeight="1" thickBot="1">
      <c r="B13" s="728" t="s">
        <v>89</v>
      </c>
      <c r="C13" s="729"/>
      <c r="D13" s="729"/>
      <c r="E13" s="730"/>
      <c r="F13" s="81"/>
    </row>
    <row r="14" spans="2:6" ht="15" customHeight="1" thickBot="1">
      <c r="B14" s="75" t="s">
        <v>90</v>
      </c>
      <c r="C14" s="748"/>
      <c r="D14" s="749"/>
      <c r="E14" s="750"/>
      <c r="F14" s="746"/>
    </row>
    <row r="15" spans="2:6" ht="15" customHeight="1" thickBot="1">
      <c r="B15" s="75" t="s">
        <v>91</v>
      </c>
      <c r="C15" s="748"/>
      <c r="D15" s="749"/>
      <c r="E15" s="750"/>
      <c r="F15" s="747"/>
    </row>
    <row r="16" spans="2:6" ht="15" customHeight="1">
      <c r="B16" s="83" t="s">
        <v>92</v>
      </c>
      <c r="C16" s="757"/>
      <c r="D16" s="758"/>
      <c r="E16" s="759"/>
      <c r="F16" s="747"/>
    </row>
    <row r="17" spans="2:12" ht="15" customHeight="1" thickBot="1">
      <c r="B17" s="80" t="s">
        <v>93</v>
      </c>
      <c r="C17" s="760"/>
      <c r="D17" s="761"/>
      <c r="E17" s="762"/>
      <c r="F17" s="747"/>
    </row>
    <row r="18" spans="2:12" ht="15" customHeight="1">
      <c r="B18" s="83" t="s">
        <v>94</v>
      </c>
      <c r="C18" s="757"/>
      <c r="D18" s="758"/>
      <c r="E18" s="759"/>
      <c r="F18" s="747"/>
    </row>
    <row r="19" spans="2:12" ht="15" customHeight="1" thickBot="1">
      <c r="B19" s="80" t="s">
        <v>95</v>
      </c>
      <c r="C19" s="760"/>
      <c r="D19" s="761"/>
      <c r="E19" s="762"/>
      <c r="F19" s="747"/>
    </row>
    <row r="20" spans="2:12" ht="15" customHeight="1">
      <c r="B20" s="84" t="s">
        <v>96</v>
      </c>
      <c r="C20" s="757"/>
      <c r="D20" s="758"/>
      <c r="E20" s="759"/>
      <c r="F20" s="747"/>
    </row>
    <row r="21" spans="2:12" ht="15" customHeight="1" thickBot="1">
      <c r="B21" s="85" t="s">
        <v>97</v>
      </c>
      <c r="C21" s="760"/>
      <c r="D21" s="761"/>
      <c r="E21" s="762"/>
      <c r="F21" s="739"/>
    </row>
    <row r="22" spans="2:12" ht="15.6" customHeight="1" thickBot="1">
      <c r="B22" s="728" t="s">
        <v>98</v>
      </c>
      <c r="C22" s="729"/>
      <c r="D22" s="729"/>
      <c r="E22" s="730"/>
      <c r="F22" s="81"/>
    </row>
    <row r="23" spans="2:12" ht="15.6" customHeight="1">
      <c r="B23" s="84" t="s">
        <v>99</v>
      </c>
      <c r="C23" s="740" t="s">
        <v>209</v>
      </c>
      <c r="D23" s="741"/>
      <c r="E23" s="742"/>
      <c r="F23" s="746"/>
      <c r="H23" s="86"/>
    </row>
    <row r="24" spans="2:12" ht="15.6" customHeight="1" thickBot="1">
      <c r="B24" s="80" t="s">
        <v>100</v>
      </c>
      <c r="C24" s="743"/>
      <c r="D24" s="744"/>
      <c r="E24" s="745"/>
      <c r="F24" s="747"/>
      <c r="H24" s="86"/>
    </row>
    <row r="25" spans="2:12" ht="15.6" customHeight="1" thickBot="1">
      <c r="B25" s="76" t="s">
        <v>101</v>
      </c>
      <c r="C25" s="748"/>
      <c r="D25" s="749"/>
      <c r="E25" s="750"/>
      <c r="F25" s="747"/>
      <c r="H25" s="87"/>
      <c r="I25" s="87"/>
      <c r="J25" s="87"/>
    </row>
    <row r="26" spans="2:12" ht="15.6" customHeight="1" thickBot="1">
      <c r="B26" s="88" t="s">
        <v>102</v>
      </c>
      <c r="C26" s="748"/>
      <c r="D26" s="749"/>
      <c r="E26" s="750"/>
      <c r="F26" s="747"/>
      <c r="H26" s="89"/>
      <c r="I26" s="89"/>
      <c r="J26" s="89"/>
    </row>
    <row r="27" spans="2:12" ht="15.6" customHeight="1" thickBot="1">
      <c r="B27" s="76" t="s">
        <v>103</v>
      </c>
      <c r="C27" s="748"/>
      <c r="D27" s="749"/>
      <c r="E27" s="750"/>
      <c r="F27" s="739"/>
    </row>
    <row r="28" spans="2:12" ht="15.6" customHeight="1" thickBot="1">
      <c r="B28" s="728" t="s">
        <v>104</v>
      </c>
      <c r="C28" s="729"/>
      <c r="D28" s="729"/>
      <c r="E28" s="730"/>
      <c r="F28" s="90">
        <f>SUM(C23:E27)</f>
        <v>0</v>
      </c>
      <c r="H28" s="89"/>
      <c r="I28" s="89"/>
      <c r="J28" s="89"/>
    </row>
    <row r="29" spans="2:12" ht="15.6" customHeight="1" thickBot="1">
      <c r="B29" s="731" t="s">
        <v>105</v>
      </c>
      <c r="C29" s="732"/>
      <c r="D29" s="732"/>
      <c r="E29" s="733"/>
      <c r="F29" s="122">
        <v>2.1999999999999999E-2</v>
      </c>
      <c r="I29" s="91"/>
      <c r="J29" s="87"/>
      <c r="L29" s="87"/>
    </row>
    <row r="30" spans="2:12" ht="15.6" customHeight="1" thickBot="1">
      <c r="B30" s="725" t="s">
        <v>106</v>
      </c>
      <c r="C30" s="726"/>
      <c r="D30" s="726"/>
      <c r="E30" s="727"/>
      <c r="F30" s="81" t="s">
        <v>658</v>
      </c>
    </row>
    <row r="31" spans="2:12" ht="15.6" customHeight="1">
      <c r="B31" s="92" t="s">
        <v>107</v>
      </c>
      <c r="C31" s="734" t="s">
        <v>108</v>
      </c>
      <c r="D31" s="93" t="s">
        <v>109</v>
      </c>
      <c r="E31" s="736" t="s">
        <v>110</v>
      </c>
      <c r="F31" s="738"/>
    </row>
    <row r="32" spans="2:12" ht="15.6" customHeight="1" thickBot="1">
      <c r="B32" s="92" t="s">
        <v>111</v>
      </c>
      <c r="C32" s="735"/>
      <c r="D32" s="74" t="s">
        <v>112</v>
      </c>
      <c r="E32" s="737"/>
      <c r="F32" s="739"/>
      <c r="H32" s="46" t="s">
        <v>113</v>
      </c>
      <c r="I32" s="46" t="s">
        <v>114</v>
      </c>
      <c r="J32" s="46" t="s">
        <v>115</v>
      </c>
    </row>
    <row r="33" spans="2:10" ht="15.6" customHeight="1" thickBot="1">
      <c r="B33" s="94"/>
      <c r="C33" s="82">
        <v>0</v>
      </c>
      <c r="D33" s="74">
        <v>0</v>
      </c>
      <c r="E33" s="123">
        <f ca="1">C11</f>
        <v>2250</v>
      </c>
      <c r="F33" s="122">
        <f ca="1">E33</f>
        <v>2250</v>
      </c>
      <c r="H33" s="46" t="s">
        <v>658</v>
      </c>
      <c r="I33" s="46" t="s">
        <v>658</v>
      </c>
      <c r="J33" s="46" t="s">
        <v>658</v>
      </c>
    </row>
    <row r="34" spans="2:10" ht="15.6" customHeight="1" thickBot="1">
      <c r="B34" s="725" t="s">
        <v>116</v>
      </c>
      <c r="C34" s="726"/>
      <c r="D34" s="726"/>
      <c r="E34" s="727"/>
      <c r="F34" s="124"/>
    </row>
    <row r="36" spans="2:10">
      <c r="B36" s="95" t="s">
        <v>117</v>
      </c>
      <c r="C36" s="95" t="s">
        <v>118</v>
      </c>
      <c r="D36" s="95"/>
      <c r="E36" s="95"/>
      <c r="F36" s="95" t="s">
        <v>119</v>
      </c>
    </row>
    <row r="37" spans="2:10">
      <c r="B37" s="47" t="s">
        <v>658</v>
      </c>
    </row>
  </sheetData>
  <mergeCells count="31">
    <mergeCell ref="C9:D10"/>
    <mergeCell ref="E9:E10"/>
    <mergeCell ref="F9:F10"/>
    <mergeCell ref="B4:F4"/>
    <mergeCell ref="B5:F5"/>
    <mergeCell ref="C6:F6"/>
    <mergeCell ref="C7:F7"/>
    <mergeCell ref="C8:D8"/>
    <mergeCell ref="C11:D12"/>
    <mergeCell ref="E11:E12"/>
    <mergeCell ref="F11:F12"/>
    <mergeCell ref="B13:E13"/>
    <mergeCell ref="C14:E14"/>
    <mergeCell ref="F14:F21"/>
    <mergeCell ref="C15:E15"/>
    <mergeCell ref="C16:E17"/>
    <mergeCell ref="C18:E19"/>
    <mergeCell ref="C20:E21"/>
    <mergeCell ref="F31:F32"/>
    <mergeCell ref="B22:E22"/>
    <mergeCell ref="C23:E24"/>
    <mergeCell ref="F23:F27"/>
    <mergeCell ref="C25:E25"/>
    <mergeCell ref="C26:E26"/>
    <mergeCell ref="C27:E27"/>
    <mergeCell ref="B34:E34"/>
    <mergeCell ref="B28:E28"/>
    <mergeCell ref="B29:E29"/>
    <mergeCell ref="B30:E30"/>
    <mergeCell ref="C31:C32"/>
    <mergeCell ref="E31:E32"/>
  </mergeCells>
  <pageMargins left="0.7" right="0.7" top="0.75" bottom="0.75" header="0.3" footer="0.3"/>
  <pageSetup paperSize="9" scale="80" orientation="portrait" r:id="rId1"/>
  <colBreaks count="1" manualBreakCount="1">
    <brk id="6" max="1048575" man="1"/>
  </col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4:I5075"/>
  <sheetViews>
    <sheetView rightToLeft="1" tabSelected="1" topLeftCell="A4" zoomScaleNormal="100" workbookViewId="0">
      <pane xSplit="1" ySplit="1" topLeftCell="B880" activePane="bottomRight" state="frozen"/>
      <selection activeCell="A4" sqref="A4"/>
      <selection pane="topRight" activeCell="B4" sqref="B4"/>
      <selection pane="bottomLeft" activeCell="A5" sqref="A5"/>
      <selection pane="bottomRight" activeCell="D976" sqref="D976"/>
    </sheetView>
  </sheetViews>
  <sheetFormatPr defaultColWidth="8.85546875" defaultRowHeight="15"/>
  <cols>
    <col min="1" max="2" width="19.7109375" style="562" customWidth="1"/>
    <col min="3" max="3" width="15.7109375" style="562" customWidth="1"/>
    <col min="4" max="6" width="17.42578125" style="562" customWidth="1"/>
    <col min="7" max="7" width="16.7109375" style="562" customWidth="1"/>
    <col min="8" max="8" width="20.140625" style="562" customWidth="1"/>
    <col min="9" max="9" width="8.85546875" style="556"/>
    <col min="10" max="16384" width="8.85546875" style="555"/>
  </cols>
  <sheetData>
    <row r="4" spans="1:9">
      <c r="A4" s="562" t="s">
        <v>48</v>
      </c>
      <c r="B4" s="562" t="s">
        <v>16</v>
      </c>
      <c r="C4" s="562" t="s">
        <v>17</v>
      </c>
      <c r="D4" s="562" t="s">
        <v>61</v>
      </c>
      <c r="E4" s="562" t="s">
        <v>653</v>
      </c>
      <c r="F4" s="562" t="s">
        <v>19</v>
      </c>
      <c r="G4" s="562" t="s">
        <v>62</v>
      </c>
      <c r="H4" s="562" t="s">
        <v>46</v>
      </c>
      <c r="I4" s="556" t="s">
        <v>654</v>
      </c>
    </row>
    <row r="5" spans="1:9">
      <c r="A5" s="563" t="s">
        <v>642</v>
      </c>
      <c r="B5" s="563">
        <v>6000</v>
      </c>
      <c r="C5" s="564">
        <v>4</v>
      </c>
      <c r="D5" s="564">
        <v>0.21</v>
      </c>
      <c r="E5" s="564">
        <v>424</v>
      </c>
      <c r="F5" s="564">
        <v>6424</v>
      </c>
      <c r="G5" s="564">
        <v>60</v>
      </c>
      <c r="H5" s="564">
        <v>1591</v>
      </c>
      <c r="I5" s="557" t="str">
        <f t="shared" ref="I5:I67" si="0">IF(((H5*C5)+G5)=F5,"GooD","لالالالالالالا")</f>
        <v>GooD</v>
      </c>
    </row>
    <row r="6" spans="1:9">
      <c r="A6" s="563" t="s">
        <v>642</v>
      </c>
      <c r="B6" s="563">
        <v>6000</v>
      </c>
      <c r="C6" s="564">
        <v>6</v>
      </c>
      <c r="D6" s="564">
        <v>0.21</v>
      </c>
      <c r="E6" s="564">
        <v>636</v>
      </c>
      <c r="F6" s="564">
        <v>6636</v>
      </c>
      <c r="G6" s="564">
        <v>90</v>
      </c>
      <c r="H6" s="564">
        <v>1091</v>
      </c>
      <c r="I6" s="557" t="str">
        <f t="shared" si="0"/>
        <v>GooD</v>
      </c>
    </row>
    <row r="7" spans="1:9">
      <c r="A7" s="563" t="s">
        <v>642</v>
      </c>
      <c r="B7" s="563">
        <v>6000</v>
      </c>
      <c r="C7" s="564">
        <v>8</v>
      </c>
      <c r="D7" s="564">
        <v>0.21</v>
      </c>
      <c r="E7" s="564">
        <v>848</v>
      </c>
      <c r="F7" s="564">
        <v>6848</v>
      </c>
      <c r="G7" s="564">
        <v>120</v>
      </c>
      <c r="H7" s="564">
        <v>841</v>
      </c>
      <c r="I7" s="557" t="str">
        <f t="shared" si="0"/>
        <v>GooD</v>
      </c>
    </row>
    <row r="8" spans="1:9" ht="15.75" thickBot="1">
      <c r="A8" s="565" t="s">
        <v>642</v>
      </c>
      <c r="B8" s="565">
        <v>6000</v>
      </c>
      <c r="C8" s="566">
        <v>10</v>
      </c>
      <c r="D8" s="566">
        <v>0.21</v>
      </c>
      <c r="E8" s="566">
        <v>1060</v>
      </c>
      <c r="F8" s="566">
        <v>7060</v>
      </c>
      <c r="G8" s="566">
        <v>150</v>
      </c>
      <c r="H8" s="566">
        <v>691</v>
      </c>
      <c r="I8" s="558" t="str">
        <f t="shared" si="0"/>
        <v>GooD</v>
      </c>
    </row>
    <row r="9" spans="1:9" ht="15.75" thickTop="1">
      <c r="A9" s="567" t="s">
        <v>642</v>
      </c>
      <c r="B9" s="567">
        <v>6000</v>
      </c>
      <c r="C9" s="568">
        <v>12</v>
      </c>
      <c r="D9" s="568">
        <v>0.21</v>
      </c>
      <c r="E9" s="568">
        <v>1272</v>
      </c>
      <c r="F9" s="568">
        <v>7272</v>
      </c>
      <c r="G9" s="568">
        <v>180</v>
      </c>
      <c r="H9" s="568">
        <v>591</v>
      </c>
      <c r="I9" s="559" t="str">
        <f t="shared" si="0"/>
        <v>GooD</v>
      </c>
    </row>
    <row r="10" spans="1:9">
      <c r="A10" s="563" t="s">
        <v>642</v>
      </c>
      <c r="B10" s="563">
        <v>6500</v>
      </c>
      <c r="C10" s="564">
        <v>4</v>
      </c>
      <c r="D10" s="564">
        <v>0.21</v>
      </c>
      <c r="E10" s="564">
        <v>457</v>
      </c>
      <c r="F10" s="564">
        <v>6957</v>
      </c>
      <c r="G10" s="564">
        <v>65</v>
      </c>
      <c r="H10" s="564">
        <v>1723</v>
      </c>
      <c r="I10" s="557" t="str">
        <f t="shared" si="0"/>
        <v>GooD</v>
      </c>
    </row>
    <row r="11" spans="1:9">
      <c r="A11" s="563" t="s">
        <v>642</v>
      </c>
      <c r="B11" s="563">
        <v>6500</v>
      </c>
      <c r="C11" s="564">
        <v>6</v>
      </c>
      <c r="D11" s="564">
        <v>0.21</v>
      </c>
      <c r="E11" s="564">
        <v>684</v>
      </c>
      <c r="F11" s="564">
        <v>7184</v>
      </c>
      <c r="G11" s="564">
        <v>98</v>
      </c>
      <c r="H11" s="564">
        <v>1181</v>
      </c>
      <c r="I11" s="557" t="str">
        <f t="shared" si="0"/>
        <v>GooD</v>
      </c>
    </row>
    <row r="12" spans="1:9">
      <c r="A12" s="563" t="s">
        <v>642</v>
      </c>
      <c r="B12" s="563">
        <v>6500</v>
      </c>
      <c r="C12" s="564">
        <v>8</v>
      </c>
      <c r="D12" s="564">
        <v>0.21</v>
      </c>
      <c r="E12" s="564">
        <v>918</v>
      </c>
      <c r="F12" s="564">
        <v>7418</v>
      </c>
      <c r="G12" s="564">
        <v>130</v>
      </c>
      <c r="H12" s="564">
        <v>911</v>
      </c>
      <c r="I12" s="557" t="str">
        <f t="shared" si="0"/>
        <v>GooD</v>
      </c>
    </row>
    <row r="13" spans="1:9" ht="15.75" thickBot="1">
      <c r="A13" s="565" t="s">
        <v>642</v>
      </c>
      <c r="B13" s="565">
        <v>6500</v>
      </c>
      <c r="C13" s="566">
        <v>10</v>
      </c>
      <c r="D13" s="566">
        <v>0.21</v>
      </c>
      <c r="E13" s="566">
        <v>1143</v>
      </c>
      <c r="F13" s="566">
        <v>7643</v>
      </c>
      <c r="G13" s="566">
        <v>163</v>
      </c>
      <c r="H13" s="566">
        <v>748</v>
      </c>
      <c r="I13" s="558" t="str">
        <f t="shared" si="0"/>
        <v>GooD</v>
      </c>
    </row>
    <row r="14" spans="1:9" ht="15.75" thickTop="1">
      <c r="A14" s="567" t="s">
        <v>642</v>
      </c>
      <c r="B14" s="567">
        <v>6500</v>
      </c>
      <c r="C14" s="568">
        <v>12</v>
      </c>
      <c r="D14" s="568">
        <v>0.21</v>
      </c>
      <c r="E14" s="568">
        <v>1375</v>
      </c>
      <c r="F14" s="568">
        <v>7875</v>
      </c>
      <c r="G14" s="568">
        <v>195</v>
      </c>
      <c r="H14" s="568">
        <v>640</v>
      </c>
      <c r="I14" s="559" t="str">
        <f t="shared" si="0"/>
        <v>GooD</v>
      </c>
    </row>
    <row r="15" spans="1:9">
      <c r="A15" s="563" t="s">
        <v>642</v>
      </c>
      <c r="B15" s="563">
        <v>7000</v>
      </c>
      <c r="C15" s="564">
        <v>4</v>
      </c>
      <c r="D15" s="564">
        <v>0.21</v>
      </c>
      <c r="E15" s="564">
        <v>494</v>
      </c>
      <c r="F15" s="564">
        <v>7494</v>
      </c>
      <c r="G15" s="564">
        <v>70</v>
      </c>
      <c r="H15" s="564">
        <v>1856</v>
      </c>
      <c r="I15" s="557" t="str">
        <f t="shared" si="0"/>
        <v>GooD</v>
      </c>
    </row>
    <row r="16" spans="1:9">
      <c r="A16" s="563" t="s">
        <v>642</v>
      </c>
      <c r="B16" s="563">
        <v>7000</v>
      </c>
      <c r="C16" s="564">
        <v>6</v>
      </c>
      <c r="D16" s="564">
        <v>0.21</v>
      </c>
      <c r="E16" s="564">
        <v>737</v>
      </c>
      <c r="F16" s="564">
        <v>7737</v>
      </c>
      <c r="G16" s="564">
        <v>105</v>
      </c>
      <c r="H16" s="564">
        <v>1272</v>
      </c>
      <c r="I16" s="557" t="str">
        <f t="shared" si="0"/>
        <v>GooD</v>
      </c>
    </row>
    <row r="17" spans="1:9">
      <c r="A17" s="563" t="s">
        <v>642</v>
      </c>
      <c r="B17" s="563">
        <v>7000</v>
      </c>
      <c r="C17" s="564">
        <v>8</v>
      </c>
      <c r="D17" s="564">
        <v>0.21</v>
      </c>
      <c r="E17" s="564">
        <v>988</v>
      </c>
      <c r="F17" s="564">
        <v>7988</v>
      </c>
      <c r="G17" s="564">
        <v>140</v>
      </c>
      <c r="H17" s="564">
        <v>981</v>
      </c>
      <c r="I17" s="557" t="str">
        <f t="shared" si="0"/>
        <v>GooD</v>
      </c>
    </row>
    <row r="18" spans="1:9" ht="15.75" thickBot="1">
      <c r="A18" s="565" t="s">
        <v>642</v>
      </c>
      <c r="B18" s="565">
        <v>7000</v>
      </c>
      <c r="C18" s="566">
        <v>10</v>
      </c>
      <c r="D18" s="566">
        <v>0.21</v>
      </c>
      <c r="E18" s="566">
        <v>1235</v>
      </c>
      <c r="F18" s="566">
        <v>8235</v>
      </c>
      <c r="G18" s="566">
        <v>175</v>
      </c>
      <c r="H18" s="566">
        <v>806</v>
      </c>
      <c r="I18" s="558" t="str">
        <f t="shared" si="0"/>
        <v>GooD</v>
      </c>
    </row>
    <row r="19" spans="1:9" ht="15.75" thickTop="1">
      <c r="A19" s="567" t="s">
        <v>642</v>
      </c>
      <c r="B19" s="567">
        <v>7000</v>
      </c>
      <c r="C19" s="568">
        <v>12</v>
      </c>
      <c r="D19" s="568">
        <v>0.21</v>
      </c>
      <c r="E19" s="568">
        <v>1478</v>
      </c>
      <c r="F19" s="568">
        <v>8478</v>
      </c>
      <c r="G19" s="568">
        <v>210</v>
      </c>
      <c r="H19" s="568">
        <v>689</v>
      </c>
      <c r="I19" s="559" t="str">
        <f t="shared" si="0"/>
        <v>GooD</v>
      </c>
    </row>
    <row r="20" spans="1:9">
      <c r="A20" s="563" t="s">
        <v>642</v>
      </c>
      <c r="B20" s="563">
        <v>7500</v>
      </c>
      <c r="C20" s="564">
        <v>4</v>
      </c>
      <c r="D20" s="564">
        <v>0.21</v>
      </c>
      <c r="E20" s="564">
        <v>527</v>
      </c>
      <c r="F20" s="564">
        <v>8027</v>
      </c>
      <c r="G20" s="564">
        <v>75</v>
      </c>
      <c r="H20" s="564">
        <v>1988</v>
      </c>
      <c r="I20" s="557" t="str">
        <f t="shared" si="0"/>
        <v>GooD</v>
      </c>
    </row>
    <row r="21" spans="1:9">
      <c r="A21" s="563" t="s">
        <v>642</v>
      </c>
      <c r="B21" s="563">
        <v>7500</v>
      </c>
      <c r="C21" s="564">
        <v>6</v>
      </c>
      <c r="D21" s="564">
        <v>0.21</v>
      </c>
      <c r="E21" s="564">
        <v>791</v>
      </c>
      <c r="F21" s="564">
        <v>8291</v>
      </c>
      <c r="G21" s="564">
        <v>113</v>
      </c>
      <c r="H21" s="564">
        <v>1363</v>
      </c>
      <c r="I21" s="557" t="str">
        <f t="shared" si="0"/>
        <v>GooD</v>
      </c>
    </row>
    <row r="22" spans="1:9">
      <c r="A22" s="563" t="s">
        <v>642</v>
      </c>
      <c r="B22" s="563">
        <v>7500</v>
      </c>
      <c r="C22" s="564">
        <v>8</v>
      </c>
      <c r="D22" s="564">
        <v>0.21</v>
      </c>
      <c r="E22" s="564">
        <v>1058</v>
      </c>
      <c r="F22" s="564">
        <v>8558</v>
      </c>
      <c r="G22" s="564">
        <v>150</v>
      </c>
      <c r="H22" s="564">
        <v>1051</v>
      </c>
      <c r="I22" s="557" t="str">
        <f t="shared" si="0"/>
        <v>GooD</v>
      </c>
    </row>
    <row r="23" spans="1:9" ht="15.75" thickBot="1">
      <c r="A23" s="565" t="s">
        <v>642</v>
      </c>
      <c r="B23" s="565">
        <v>7500</v>
      </c>
      <c r="C23" s="566">
        <v>10</v>
      </c>
      <c r="D23" s="566">
        <v>0.21</v>
      </c>
      <c r="E23" s="566">
        <v>1318</v>
      </c>
      <c r="F23" s="566">
        <v>8818</v>
      </c>
      <c r="G23" s="566">
        <v>188</v>
      </c>
      <c r="H23" s="566">
        <v>863</v>
      </c>
      <c r="I23" s="558" t="str">
        <f t="shared" si="0"/>
        <v>GooD</v>
      </c>
    </row>
    <row r="24" spans="1:9" ht="15.75" thickTop="1">
      <c r="A24" s="567" t="s">
        <v>642</v>
      </c>
      <c r="B24" s="567">
        <v>7500</v>
      </c>
      <c r="C24" s="568">
        <v>12</v>
      </c>
      <c r="D24" s="568">
        <v>0.21</v>
      </c>
      <c r="E24" s="568">
        <v>1581</v>
      </c>
      <c r="F24" s="568">
        <v>9081</v>
      </c>
      <c r="G24" s="568">
        <v>225</v>
      </c>
      <c r="H24" s="568">
        <v>738</v>
      </c>
      <c r="I24" s="559" t="str">
        <f t="shared" si="0"/>
        <v>GooD</v>
      </c>
    </row>
    <row r="25" spans="1:9">
      <c r="A25" s="563" t="s">
        <v>642</v>
      </c>
      <c r="B25" s="563">
        <v>8000</v>
      </c>
      <c r="C25" s="564">
        <v>4</v>
      </c>
      <c r="D25" s="564">
        <v>0.21</v>
      </c>
      <c r="E25" s="564">
        <v>564</v>
      </c>
      <c r="F25" s="564">
        <v>8564</v>
      </c>
      <c r="G25" s="564">
        <v>80</v>
      </c>
      <c r="H25" s="564">
        <v>2121</v>
      </c>
      <c r="I25" s="557" t="str">
        <f t="shared" si="0"/>
        <v>GooD</v>
      </c>
    </row>
    <row r="26" spans="1:9">
      <c r="A26" s="563" t="s">
        <v>642</v>
      </c>
      <c r="B26" s="563">
        <v>8000</v>
      </c>
      <c r="C26" s="564">
        <v>6</v>
      </c>
      <c r="D26" s="564">
        <v>0.21</v>
      </c>
      <c r="E26" s="564">
        <v>844</v>
      </c>
      <c r="F26" s="564">
        <v>8844</v>
      </c>
      <c r="G26" s="564">
        <v>120</v>
      </c>
      <c r="H26" s="564">
        <v>1454</v>
      </c>
      <c r="I26" s="557" t="str">
        <f t="shared" si="0"/>
        <v>GooD</v>
      </c>
    </row>
    <row r="27" spans="1:9">
      <c r="A27" s="563" t="s">
        <v>642</v>
      </c>
      <c r="B27" s="563">
        <v>8000</v>
      </c>
      <c r="C27" s="564">
        <v>8</v>
      </c>
      <c r="D27" s="564">
        <v>0.21</v>
      </c>
      <c r="E27" s="564">
        <v>1128</v>
      </c>
      <c r="F27" s="564">
        <v>9128</v>
      </c>
      <c r="G27" s="564">
        <v>160</v>
      </c>
      <c r="H27" s="564">
        <v>1121</v>
      </c>
      <c r="I27" s="557" t="str">
        <f t="shared" si="0"/>
        <v>GooD</v>
      </c>
    </row>
    <row r="28" spans="1:9" ht="15.75" thickBot="1">
      <c r="A28" s="565" t="s">
        <v>642</v>
      </c>
      <c r="B28" s="565">
        <v>8000</v>
      </c>
      <c r="C28" s="566">
        <v>10</v>
      </c>
      <c r="D28" s="566">
        <v>0.21</v>
      </c>
      <c r="E28" s="566">
        <v>1410</v>
      </c>
      <c r="F28" s="566">
        <v>9410</v>
      </c>
      <c r="G28" s="566">
        <v>200</v>
      </c>
      <c r="H28" s="566">
        <v>921</v>
      </c>
      <c r="I28" s="558" t="str">
        <f t="shared" si="0"/>
        <v>GooD</v>
      </c>
    </row>
    <row r="29" spans="1:9" ht="15.75" thickTop="1">
      <c r="A29" s="567" t="s">
        <v>642</v>
      </c>
      <c r="B29" s="567">
        <v>8000</v>
      </c>
      <c r="C29" s="568">
        <v>12</v>
      </c>
      <c r="D29" s="568">
        <v>0.21</v>
      </c>
      <c r="E29" s="568">
        <v>1684</v>
      </c>
      <c r="F29" s="568">
        <v>9684</v>
      </c>
      <c r="G29" s="568">
        <v>240</v>
      </c>
      <c r="H29" s="568">
        <v>787</v>
      </c>
      <c r="I29" s="559" t="str">
        <f t="shared" si="0"/>
        <v>GooD</v>
      </c>
    </row>
    <row r="30" spans="1:9">
      <c r="A30" s="563" t="s">
        <v>642</v>
      </c>
      <c r="B30" s="563">
        <v>8500</v>
      </c>
      <c r="C30" s="564">
        <v>4</v>
      </c>
      <c r="D30" s="564">
        <v>0.21</v>
      </c>
      <c r="E30" s="564">
        <v>597</v>
      </c>
      <c r="F30" s="564">
        <v>9097</v>
      </c>
      <c r="G30" s="564">
        <v>85</v>
      </c>
      <c r="H30" s="564">
        <v>2253</v>
      </c>
      <c r="I30" s="557" t="str">
        <f t="shared" si="0"/>
        <v>GooD</v>
      </c>
    </row>
    <row r="31" spans="1:9">
      <c r="A31" s="563" t="s">
        <v>642</v>
      </c>
      <c r="B31" s="563">
        <v>8500</v>
      </c>
      <c r="C31" s="564">
        <v>6</v>
      </c>
      <c r="D31" s="564">
        <v>0.21</v>
      </c>
      <c r="E31" s="564">
        <v>898</v>
      </c>
      <c r="F31" s="564">
        <v>9398</v>
      </c>
      <c r="G31" s="564">
        <v>128</v>
      </c>
      <c r="H31" s="564">
        <v>1545</v>
      </c>
      <c r="I31" s="557" t="str">
        <f t="shared" si="0"/>
        <v>GooD</v>
      </c>
    </row>
    <row r="32" spans="1:9">
      <c r="A32" s="563" t="s">
        <v>642</v>
      </c>
      <c r="B32" s="563">
        <v>8500</v>
      </c>
      <c r="C32" s="564">
        <v>8</v>
      </c>
      <c r="D32" s="564">
        <v>0.21</v>
      </c>
      <c r="E32" s="564">
        <v>1198</v>
      </c>
      <c r="F32" s="564">
        <v>9698</v>
      </c>
      <c r="G32" s="564">
        <v>170</v>
      </c>
      <c r="H32" s="564">
        <v>1191</v>
      </c>
      <c r="I32" s="557" t="str">
        <f t="shared" si="0"/>
        <v>GooD</v>
      </c>
    </row>
    <row r="33" spans="1:9" ht="15.75" thickBot="1">
      <c r="A33" s="565" t="s">
        <v>642</v>
      </c>
      <c r="B33" s="565">
        <v>8500</v>
      </c>
      <c r="C33" s="566">
        <v>10</v>
      </c>
      <c r="D33" s="566">
        <v>0.21</v>
      </c>
      <c r="E33" s="566">
        <v>1493</v>
      </c>
      <c r="F33" s="566">
        <v>9993</v>
      </c>
      <c r="G33" s="566">
        <v>213</v>
      </c>
      <c r="H33" s="566">
        <v>978</v>
      </c>
      <c r="I33" s="558" t="str">
        <f t="shared" si="0"/>
        <v>GooD</v>
      </c>
    </row>
    <row r="34" spans="1:9" ht="15.75" thickTop="1">
      <c r="A34" s="567" t="s">
        <v>642</v>
      </c>
      <c r="B34" s="567">
        <v>8500</v>
      </c>
      <c r="C34" s="568">
        <v>12</v>
      </c>
      <c r="D34" s="568">
        <v>0.21</v>
      </c>
      <c r="E34" s="568">
        <v>1787</v>
      </c>
      <c r="F34" s="568">
        <v>10287</v>
      </c>
      <c r="G34" s="568">
        <v>255</v>
      </c>
      <c r="H34" s="568">
        <v>836</v>
      </c>
      <c r="I34" s="559" t="str">
        <f t="shared" si="0"/>
        <v>GooD</v>
      </c>
    </row>
    <row r="35" spans="1:9">
      <c r="A35" s="563" t="s">
        <v>642</v>
      </c>
      <c r="B35" s="563">
        <v>9000</v>
      </c>
      <c r="C35" s="564">
        <v>4</v>
      </c>
      <c r="D35" s="564">
        <v>0.21</v>
      </c>
      <c r="E35" s="564">
        <v>634</v>
      </c>
      <c r="F35" s="564">
        <v>9634</v>
      </c>
      <c r="G35" s="564">
        <v>90</v>
      </c>
      <c r="H35" s="564">
        <v>2386</v>
      </c>
      <c r="I35" s="557" t="str">
        <f t="shared" si="0"/>
        <v>GooD</v>
      </c>
    </row>
    <row r="36" spans="1:9">
      <c r="A36" s="563" t="s">
        <v>642</v>
      </c>
      <c r="B36" s="563">
        <v>9000</v>
      </c>
      <c r="C36" s="564">
        <v>6</v>
      </c>
      <c r="D36" s="564">
        <v>0.21</v>
      </c>
      <c r="E36" s="564">
        <v>951</v>
      </c>
      <c r="F36" s="564">
        <v>9951</v>
      </c>
      <c r="G36" s="564">
        <v>135</v>
      </c>
      <c r="H36" s="564">
        <v>1636</v>
      </c>
      <c r="I36" s="557" t="str">
        <f t="shared" si="0"/>
        <v>GooD</v>
      </c>
    </row>
    <row r="37" spans="1:9">
      <c r="A37" s="563" t="s">
        <v>642</v>
      </c>
      <c r="B37" s="563">
        <v>9000</v>
      </c>
      <c r="C37" s="564">
        <v>8</v>
      </c>
      <c r="D37" s="564">
        <v>0.21</v>
      </c>
      <c r="E37" s="564">
        <v>1268</v>
      </c>
      <c r="F37" s="564">
        <v>10268</v>
      </c>
      <c r="G37" s="564">
        <v>180</v>
      </c>
      <c r="H37" s="564">
        <v>1261</v>
      </c>
      <c r="I37" s="557" t="str">
        <f t="shared" si="0"/>
        <v>GooD</v>
      </c>
    </row>
    <row r="38" spans="1:9" ht="15.75" thickBot="1">
      <c r="A38" s="565" t="s">
        <v>642</v>
      </c>
      <c r="B38" s="565">
        <v>9000</v>
      </c>
      <c r="C38" s="566">
        <v>10</v>
      </c>
      <c r="D38" s="566">
        <v>0.21</v>
      </c>
      <c r="E38" s="566">
        <v>1585</v>
      </c>
      <c r="F38" s="566">
        <v>10585</v>
      </c>
      <c r="G38" s="566">
        <v>225</v>
      </c>
      <c r="H38" s="566">
        <v>1036</v>
      </c>
      <c r="I38" s="558" t="str">
        <f t="shared" si="0"/>
        <v>GooD</v>
      </c>
    </row>
    <row r="39" spans="1:9" ht="15.75" thickTop="1">
      <c r="A39" s="567" t="s">
        <v>642</v>
      </c>
      <c r="B39" s="567">
        <v>9000</v>
      </c>
      <c r="C39" s="568">
        <v>12</v>
      </c>
      <c r="D39" s="568">
        <v>0.21</v>
      </c>
      <c r="E39" s="568">
        <v>1902</v>
      </c>
      <c r="F39" s="568">
        <v>10902</v>
      </c>
      <c r="G39" s="568">
        <v>270</v>
      </c>
      <c r="H39" s="568">
        <v>886</v>
      </c>
      <c r="I39" s="559" t="str">
        <f t="shared" si="0"/>
        <v>GooD</v>
      </c>
    </row>
    <row r="40" spans="1:9">
      <c r="A40" s="563" t="s">
        <v>642</v>
      </c>
      <c r="B40" s="563">
        <v>9500</v>
      </c>
      <c r="C40" s="564">
        <v>4</v>
      </c>
      <c r="D40" s="564">
        <v>0.21</v>
      </c>
      <c r="E40" s="564">
        <v>667</v>
      </c>
      <c r="F40" s="564">
        <v>10167</v>
      </c>
      <c r="G40" s="564">
        <v>95</v>
      </c>
      <c r="H40" s="564">
        <v>2518</v>
      </c>
      <c r="I40" s="557" t="str">
        <f t="shared" si="0"/>
        <v>GooD</v>
      </c>
    </row>
    <row r="41" spans="1:9">
      <c r="A41" s="563" t="s">
        <v>642</v>
      </c>
      <c r="B41" s="563">
        <v>9500</v>
      </c>
      <c r="C41" s="564">
        <v>6</v>
      </c>
      <c r="D41" s="564">
        <v>0.21</v>
      </c>
      <c r="E41" s="564">
        <v>999</v>
      </c>
      <c r="F41" s="564">
        <v>10499</v>
      </c>
      <c r="G41" s="564">
        <v>143</v>
      </c>
      <c r="H41" s="564">
        <v>1726</v>
      </c>
      <c r="I41" s="557" t="str">
        <f t="shared" si="0"/>
        <v>GooD</v>
      </c>
    </row>
    <row r="42" spans="1:9">
      <c r="A42" s="563" t="s">
        <v>642</v>
      </c>
      <c r="B42" s="563">
        <v>9500</v>
      </c>
      <c r="C42" s="564">
        <v>8</v>
      </c>
      <c r="D42" s="564">
        <v>0.21</v>
      </c>
      <c r="E42" s="564">
        <v>1338</v>
      </c>
      <c r="F42" s="564">
        <v>10838</v>
      </c>
      <c r="G42" s="564">
        <v>190</v>
      </c>
      <c r="H42" s="564">
        <v>1331</v>
      </c>
      <c r="I42" s="557" t="str">
        <f t="shared" si="0"/>
        <v>GooD</v>
      </c>
    </row>
    <row r="43" spans="1:9" ht="15.75" thickBot="1">
      <c r="A43" s="565" t="s">
        <v>642</v>
      </c>
      <c r="B43" s="565">
        <v>9500</v>
      </c>
      <c r="C43" s="566">
        <v>10</v>
      </c>
      <c r="D43" s="566">
        <v>0.21</v>
      </c>
      <c r="E43" s="566">
        <v>1668</v>
      </c>
      <c r="F43" s="566">
        <v>11168</v>
      </c>
      <c r="G43" s="566">
        <v>238</v>
      </c>
      <c r="H43" s="566">
        <v>1093</v>
      </c>
      <c r="I43" s="558" t="str">
        <f t="shared" si="0"/>
        <v>GooD</v>
      </c>
    </row>
    <row r="44" spans="1:9" ht="15.75" thickTop="1">
      <c r="A44" s="567" t="s">
        <v>642</v>
      </c>
      <c r="B44" s="567">
        <v>9500</v>
      </c>
      <c r="C44" s="568">
        <v>12</v>
      </c>
      <c r="D44" s="568">
        <v>0.21</v>
      </c>
      <c r="E44" s="568">
        <v>2005</v>
      </c>
      <c r="F44" s="568">
        <v>11505</v>
      </c>
      <c r="G44" s="568">
        <v>285</v>
      </c>
      <c r="H44" s="568">
        <v>935</v>
      </c>
      <c r="I44" s="559" t="str">
        <f t="shared" si="0"/>
        <v>GooD</v>
      </c>
    </row>
    <row r="45" spans="1:9">
      <c r="A45" s="563" t="s">
        <v>642</v>
      </c>
      <c r="B45" s="563">
        <v>10000</v>
      </c>
      <c r="C45" s="564">
        <v>4</v>
      </c>
      <c r="D45" s="564">
        <v>0.21</v>
      </c>
      <c r="E45" s="564">
        <v>704</v>
      </c>
      <c r="F45" s="564">
        <v>10704</v>
      </c>
      <c r="G45" s="564">
        <v>100</v>
      </c>
      <c r="H45" s="564">
        <v>2651</v>
      </c>
      <c r="I45" s="557" t="str">
        <f t="shared" si="0"/>
        <v>GooD</v>
      </c>
    </row>
    <row r="46" spans="1:9">
      <c r="A46" s="563" t="s">
        <v>642</v>
      </c>
      <c r="B46" s="563">
        <v>10000</v>
      </c>
      <c r="C46" s="564">
        <v>6</v>
      </c>
      <c r="D46" s="564">
        <v>0.21</v>
      </c>
      <c r="E46" s="564">
        <v>1052</v>
      </c>
      <c r="F46" s="564">
        <v>11052</v>
      </c>
      <c r="G46" s="564">
        <v>150</v>
      </c>
      <c r="H46" s="564">
        <v>1817</v>
      </c>
      <c r="I46" s="557" t="str">
        <f t="shared" si="0"/>
        <v>GooD</v>
      </c>
    </row>
    <row r="47" spans="1:9">
      <c r="A47" s="563" t="s">
        <v>642</v>
      </c>
      <c r="B47" s="563">
        <v>10000</v>
      </c>
      <c r="C47" s="564">
        <v>8</v>
      </c>
      <c r="D47" s="564">
        <v>0.21</v>
      </c>
      <c r="E47" s="564">
        <v>1408</v>
      </c>
      <c r="F47" s="564">
        <v>11408</v>
      </c>
      <c r="G47" s="564">
        <v>200</v>
      </c>
      <c r="H47" s="564">
        <v>1401</v>
      </c>
      <c r="I47" s="557" t="str">
        <f t="shared" si="0"/>
        <v>GooD</v>
      </c>
    </row>
    <row r="48" spans="1:9" ht="15.75" thickBot="1">
      <c r="A48" s="565" t="s">
        <v>642</v>
      </c>
      <c r="B48" s="565">
        <v>10000</v>
      </c>
      <c r="C48" s="566">
        <v>10</v>
      </c>
      <c r="D48" s="566">
        <v>0.21</v>
      </c>
      <c r="E48" s="566">
        <v>1760</v>
      </c>
      <c r="F48" s="566">
        <v>11760</v>
      </c>
      <c r="G48" s="566">
        <v>250</v>
      </c>
      <c r="H48" s="566">
        <v>1151</v>
      </c>
      <c r="I48" s="558" t="str">
        <f t="shared" si="0"/>
        <v>GooD</v>
      </c>
    </row>
    <row r="49" spans="1:9" ht="15.75" thickTop="1">
      <c r="A49" s="567" t="s">
        <v>642</v>
      </c>
      <c r="B49" s="567">
        <v>10000</v>
      </c>
      <c r="C49" s="568">
        <v>12</v>
      </c>
      <c r="D49" s="568">
        <v>0.21</v>
      </c>
      <c r="E49" s="568">
        <v>2108</v>
      </c>
      <c r="F49" s="568">
        <v>12108</v>
      </c>
      <c r="G49" s="568">
        <v>300</v>
      </c>
      <c r="H49" s="568">
        <v>984</v>
      </c>
      <c r="I49" s="559" t="str">
        <f t="shared" si="0"/>
        <v>GooD</v>
      </c>
    </row>
    <row r="50" spans="1:9">
      <c r="A50" s="563" t="s">
        <v>642</v>
      </c>
      <c r="B50" s="563">
        <v>10500</v>
      </c>
      <c r="C50" s="564">
        <v>4</v>
      </c>
      <c r="D50" s="564">
        <v>0.21</v>
      </c>
      <c r="E50" s="564">
        <v>737</v>
      </c>
      <c r="F50" s="564">
        <v>11237</v>
      </c>
      <c r="G50" s="564">
        <v>105</v>
      </c>
      <c r="H50" s="564">
        <v>2783</v>
      </c>
      <c r="I50" s="557" t="str">
        <f t="shared" si="0"/>
        <v>GooD</v>
      </c>
    </row>
    <row r="51" spans="1:9">
      <c r="A51" s="563" t="s">
        <v>642</v>
      </c>
      <c r="B51" s="563">
        <v>10500</v>
      </c>
      <c r="C51" s="564">
        <v>6</v>
      </c>
      <c r="D51" s="564">
        <v>0.21</v>
      </c>
      <c r="E51" s="564">
        <v>1106</v>
      </c>
      <c r="F51" s="564">
        <v>11606</v>
      </c>
      <c r="G51" s="564">
        <v>158</v>
      </c>
      <c r="H51" s="564">
        <v>1908</v>
      </c>
      <c r="I51" s="557" t="str">
        <f t="shared" si="0"/>
        <v>GooD</v>
      </c>
    </row>
    <row r="52" spans="1:9">
      <c r="A52" s="563" t="s">
        <v>642</v>
      </c>
      <c r="B52" s="563">
        <v>10500</v>
      </c>
      <c r="C52" s="564">
        <v>8</v>
      </c>
      <c r="D52" s="564">
        <v>0.21</v>
      </c>
      <c r="E52" s="564">
        <v>1478</v>
      </c>
      <c r="F52" s="564">
        <v>11978</v>
      </c>
      <c r="G52" s="564">
        <v>210</v>
      </c>
      <c r="H52" s="564">
        <v>1471</v>
      </c>
      <c r="I52" s="557" t="str">
        <f t="shared" si="0"/>
        <v>GooD</v>
      </c>
    </row>
    <row r="53" spans="1:9" ht="15.75" thickBot="1">
      <c r="A53" s="565" t="s">
        <v>642</v>
      </c>
      <c r="B53" s="565">
        <v>10500</v>
      </c>
      <c r="C53" s="566">
        <v>10</v>
      </c>
      <c r="D53" s="566">
        <v>0.21</v>
      </c>
      <c r="E53" s="566">
        <v>1843</v>
      </c>
      <c r="F53" s="566">
        <v>12343</v>
      </c>
      <c r="G53" s="566">
        <v>263</v>
      </c>
      <c r="H53" s="566">
        <v>1208</v>
      </c>
      <c r="I53" s="558" t="str">
        <f t="shared" si="0"/>
        <v>GooD</v>
      </c>
    </row>
    <row r="54" spans="1:9" ht="15.75" thickTop="1">
      <c r="A54" s="567" t="s">
        <v>642</v>
      </c>
      <c r="B54" s="567">
        <v>10500</v>
      </c>
      <c r="C54" s="568">
        <v>12</v>
      </c>
      <c r="D54" s="568">
        <v>0.21</v>
      </c>
      <c r="E54" s="568">
        <v>2211</v>
      </c>
      <c r="F54" s="568">
        <v>12711</v>
      </c>
      <c r="G54" s="568">
        <v>315</v>
      </c>
      <c r="H54" s="568">
        <v>1033</v>
      </c>
      <c r="I54" s="559" t="str">
        <f t="shared" si="0"/>
        <v>GooD</v>
      </c>
    </row>
    <row r="55" spans="1:9">
      <c r="A55" s="563" t="s">
        <v>642</v>
      </c>
      <c r="B55" s="563">
        <v>11000</v>
      </c>
      <c r="C55" s="564">
        <v>4</v>
      </c>
      <c r="D55" s="564">
        <v>0.21</v>
      </c>
      <c r="E55" s="564">
        <v>774</v>
      </c>
      <c r="F55" s="564">
        <v>11774</v>
      </c>
      <c r="G55" s="564">
        <v>110</v>
      </c>
      <c r="H55" s="564">
        <v>2916</v>
      </c>
      <c r="I55" s="557" t="str">
        <f t="shared" si="0"/>
        <v>GooD</v>
      </c>
    </row>
    <row r="56" spans="1:9">
      <c r="A56" s="563" t="s">
        <v>642</v>
      </c>
      <c r="B56" s="563">
        <v>11000</v>
      </c>
      <c r="C56" s="564">
        <v>6</v>
      </c>
      <c r="D56" s="564">
        <v>0.21</v>
      </c>
      <c r="E56" s="564">
        <v>1159</v>
      </c>
      <c r="F56" s="564">
        <v>12159</v>
      </c>
      <c r="G56" s="564">
        <v>165</v>
      </c>
      <c r="H56" s="564">
        <v>1999</v>
      </c>
      <c r="I56" s="557" t="str">
        <f t="shared" si="0"/>
        <v>GooD</v>
      </c>
    </row>
    <row r="57" spans="1:9">
      <c r="A57" s="563" t="s">
        <v>642</v>
      </c>
      <c r="B57" s="563">
        <v>11000</v>
      </c>
      <c r="C57" s="564">
        <v>8</v>
      </c>
      <c r="D57" s="564">
        <v>0.21</v>
      </c>
      <c r="E57" s="564">
        <v>1548</v>
      </c>
      <c r="F57" s="564">
        <v>12548</v>
      </c>
      <c r="G57" s="564">
        <v>220</v>
      </c>
      <c r="H57" s="564">
        <v>1541</v>
      </c>
      <c r="I57" s="557" t="str">
        <f t="shared" si="0"/>
        <v>GooD</v>
      </c>
    </row>
    <row r="58" spans="1:9" ht="15.75" thickBot="1">
      <c r="A58" s="565" t="s">
        <v>642</v>
      </c>
      <c r="B58" s="565">
        <v>11000</v>
      </c>
      <c r="C58" s="566">
        <v>10</v>
      </c>
      <c r="D58" s="566">
        <v>0.21</v>
      </c>
      <c r="E58" s="566">
        <v>1935</v>
      </c>
      <c r="F58" s="566">
        <v>12935</v>
      </c>
      <c r="G58" s="566">
        <v>275</v>
      </c>
      <c r="H58" s="566">
        <v>1266</v>
      </c>
      <c r="I58" s="558" t="str">
        <f t="shared" si="0"/>
        <v>GooD</v>
      </c>
    </row>
    <row r="59" spans="1:9" ht="15.75" thickTop="1">
      <c r="A59" s="567" t="s">
        <v>642</v>
      </c>
      <c r="B59" s="567">
        <v>11000</v>
      </c>
      <c r="C59" s="568">
        <v>12</v>
      </c>
      <c r="D59" s="568">
        <v>0.21</v>
      </c>
      <c r="E59" s="568">
        <v>2314</v>
      </c>
      <c r="F59" s="568">
        <v>13314</v>
      </c>
      <c r="G59" s="568">
        <v>330</v>
      </c>
      <c r="H59" s="568">
        <v>1082</v>
      </c>
      <c r="I59" s="559" t="str">
        <f t="shared" si="0"/>
        <v>GooD</v>
      </c>
    </row>
    <row r="60" spans="1:9">
      <c r="A60" s="563" t="s">
        <v>642</v>
      </c>
      <c r="B60" s="563">
        <v>11500</v>
      </c>
      <c r="C60" s="564">
        <v>4</v>
      </c>
      <c r="D60" s="564">
        <v>0.21</v>
      </c>
      <c r="E60" s="564">
        <v>807</v>
      </c>
      <c r="F60" s="564">
        <v>12307</v>
      </c>
      <c r="G60" s="564">
        <v>115</v>
      </c>
      <c r="H60" s="564">
        <v>3048</v>
      </c>
      <c r="I60" s="557" t="str">
        <f t="shared" si="0"/>
        <v>GooD</v>
      </c>
    </row>
    <row r="61" spans="1:9">
      <c r="A61" s="563" t="s">
        <v>642</v>
      </c>
      <c r="B61" s="563">
        <v>11500</v>
      </c>
      <c r="C61" s="564">
        <v>6</v>
      </c>
      <c r="D61" s="564">
        <v>0.21</v>
      </c>
      <c r="E61" s="564">
        <v>1213</v>
      </c>
      <c r="F61" s="564">
        <v>12713</v>
      </c>
      <c r="G61" s="564">
        <v>173</v>
      </c>
      <c r="H61" s="564">
        <v>2090</v>
      </c>
      <c r="I61" s="557" t="str">
        <f t="shared" si="0"/>
        <v>GooD</v>
      </c>
    </row>
    <row r="62" spans="1:9">
      <c r="A62" s="563" t="s">
        <v>642</v>
      </c>
      <c r="B62" s="563">
        <v>11500</v>
      </c>
      <c r="C62" s="564">
        <v>8</v>
      </c>
      <c r="D62" s="564">
        <v>0.21</v>
      </c>
      <c r="E62" s="564">
        <v>1618</v>
      </c>
      <c r="F62" s="564">
        <v>13118</v>
      </c>
      <c r="G62" s="564">
        <v>230</v>
      </c>
      <c r="H62" s="564">
        <v>1611</v>
      </c>
      <c r="I62" s="557" t="str">
        <f t="shared" si="0"/>
        <v>GooD</v>
      </c>
    </row>
    <row r="63" spans="1:9" ht="15.75" thickBot="1">
      <c r="A63" s="565" t="s">
        <v>642</v>
      </c>
      <c r="B63" s="565">
        <v>11500</v>
      </c>
      <c r="C63" s="566">
        <v>10</v>
      </c>
      <c r="D63" s="566">
        <v>0.21</v>
      </c>
      <c r="E63" s="566">
        <v>2018</v>
      </c>
      <c r="F63" s="566">
        <v>13518</v>
      </c>
      <c r="G63" s="566">
        <v>288</v>
      </c>
      <c r="H63" s="566">
        <v>1323</v>
      </c>
      <c r="I63" s="558" t="str">
        <f t="shared" si="0"/>
        <v>GooD</v>
      </c>
    </row>
    <row r="64" spans="1:9" ht="15.75" thickTop="1">
      <c r="A64" s="567" t="s">
        <v>642</v>
      </c>
      <c r="B64" s="567">
        <v>11500</v>
      </c>
      <c r="C64" s="568">
        <v>12</v>
      </c>
      <c r="D64" s="568">
        <v>0.21</v>
      </c>
      <c r="E64" s="568">
        <v>2417</v>
      </c>
      <c r="F64" s="568">
        <v>13917</v>
      </c>
      <c r="G64" s="568">
        <v>345</v>
      </c>
      <c r="H64" s="568">
        <v>1131</v>
      </c>
      <c r="I64" s="559" t="str">
        <f t="shared" si="0"/>
        <v>GooD</v>
      </c>
    </row>
    <row r="65" spans="1:9">
      <c r="A65" s="563" t="s">
        <v>642</v>
      </c>
      <c r="B65" s="563">
        <v>12000</v>
      </c>
      <c r="C65" s="564">
        <v>4</v>
      </c>
      <c r="D65" s="564">
        <v>0.21</v>
      </c>
      <c r="E65" s="564">
        <v>844</v>
      </c>
      <c r="F65" s="564">
        <v>12844</v>
      </c>
      <c r="G65" s="564">
        <v>120</v>
      </c>
      <c r="H65" s="564">
        <v>3181</v>
      </c>
      <c r="I65" s="557" t="str">
        <f t="shared" si="0"/>
        <v>GooD</v>
      </c>
    </row>
    <row r="66" spans="1:9">
      <c r="A66" s="563" t="s">
        <v>642</v>
      </c>
      <c r="B66" s="563">
        <v>12000</v>
      </c>
      <c r="C66" s="564">
        <v>6</v>
      </c>
      <c r="D66" s="564">
        <v>0.21</v>
      </c>
      <c r="E66" s="564">
        <v>1266</v>
      </c>
      <c r="F66" s="564">
        <v>13266</v>
      </c>
      <c r="G66" s="564">
        <v>180</v>
      </c>
      <c r="H66" s="564">
        <v>2181</v>
      </c>
      <c r="I66" s="557" t="str">
        <f t="shared" si="0"/>
        <v>GooD</v>
      </c>
    </row>
    <row r="67" spans="1:9">
      <c r="A67" s="563" t="s">
        <v>642</v>
      </c>
      <c r="B67" s="563">
        <v>12000</v>
      </c>
      <c r="C67" s="564">
        <v>8</v>
      </c>
      <c r="D67" s="564">
        <v>0.21</v>
      </c>
      <c r="E67" s="564">
        <v>1688</v>
      </c>
      <c r="F67" s="564">
        <v>13688</v>
      </c>
      <c r="G67" s="564">
        <v>240</v>
      </c>
      <c r="H67" s="564">
        <v>1681</v>
      </c>
      <c r="I67" s="557" t="str">
        <f t="shared" si="0"/>
        <v>GooD</v>
      </c>
    </row>
    <row r="68" spans="1:9" ht="15.75" thickBot="1">
      <c r="A68" s="565" t="s">
        <v>642</v>
      </c>
      <c r="B68" s="565">
        <v>12000</v>
      </c>
      <c r="C68" s="566">
        <v>10</v>
      </c>
      <c r="D68" s="566">
        <v>0.21</v>
      </c>
      <c r="E68" s="566">
        <v>2110</v>
      </c>
      <c r="F68" s="566">
        <v>14110</v>
      </c>
      <c r="G68" s="566">
        <v>300</v>
      </c>
      <c r="H68" s="566">
        <v>1381</v>
      </c>
      <c r="I68" s="558" t="str">
        <f t="shared" ref="I68:I132" si="1">IF(((H68*C68)+G68)=F68,"GooD","لالالالالالالا")</f>
        <v>GooD</v>
      </c>
    </row>
    <row r="69" spans="1:9" ht="15.75" thickTop="1">
      <c r="A69" s="567" t="s">
        <v>642</v>
      </c>
      <c r="B69" s="567">
        <v>12000</v>
      </c>
      <c r="C69" s="568">
        <v>12</v>
      </c>
      <c r="D69" s="568">
        <v>0.21</v>
      </c>
      <c r="E69" s="568">
        <v>2532</v>
      </c>
      <c r="F69" s="568">
        <v>14532</v>
      </c>
      <c r="G69" s="568">
        <v>360</v>
      </c>
      <c r="H69" s="568">
        <v>1181</v>
      </c>
      <c r="I69" s="559" t="str">
        <f t="shared" si="1"/>
        <v>GooD</v>
      </c>
    </row>
    <row r="70" spans="1:9">
      <c r="A70" s="563" t="s">
        <v>642</v>
      </c>
      <c r="B70" s="563">
        <v>12500</v>
      </c>
      <c r="C70" s="564">
        <v>4</v>
      </c>
      <c r="D70" s="564">
        <v>0.21</v>
      </c>
      <c r="E70" s="564">
        <v>877</v>
      </c>
      <c r="F70" s="564">
        <v>13377</v>
      </c>
      <c r="G70" s="564">
        <v>125</v>
      </c>
      <c r="H70" s="564">
        <v>3313</v>
      </c>
      <c r="I70" s="557" t="str">
        <f t="shared" si="1"/>
        <v>GooD</v>
      </c>
    </row>
    <row r="71" spans="1:9">
      <c r="A71" s="563" t="s">
        <v>642</v>
      </c>
      <c r="B71" s="563">
        <v>12500</v>
      </c>
      <c r="C71" s="564">
        <v>6</v>
      </c>
      <c r="D71" s="564">
        <v>0.21</v>
      </c>
      <c r="E71" s="564">
        <v>1314</v>
      </c>
      <c r="F71" s="564">
        <v>13814</v>
      </c>
      <c r="G71" s="564">
        <v>188</v>
      </c>
      <c r="H71" s="564">
        <v>2271</v>
      </c>
      <c r="I71" s="557" t="str">
        <f t="shared" si="1"/>
        <v>GooD</v>
      </c>
    </row>
    <row r="72" spans="1:9">
      <c r="A72" s="563" t="s">
        <v>642</v>
      </c>
      <c r="B72" s="563">
        <v>12500</v>
      </c>
      <c r="C72" s="564">
        <v>8</v>
      </c>
      <c r="D72" s="564">
        <v>0.21</v>
      </c>
      <c r="E72" s="564">
        <v>1758</v>
      </c>
      <c r="F72" s="564">
        <v>14258</v>
      </c>
      <c r="G72" s="564">
        <v>250</v>
      </c>
      <c r="H72" s="564">
        <v>1751</v>
      </c>
      <c r="I72" s="557" t="str">
        <f t="shared" si="1"/>
        <v>GooD</v>
      </c>
    </row>
    <row r="73" spans="1:9" ht="15.75" thickBot="1">
      <c r="A73" s="565" t="s">
        <v>642</v>
      </c>
      <c r="B73" s="565">
        <v>12500</v>
      </c>
      <c r="C73" s="566">
        <v>10</v>
      </c>
      <c r="D73" s="566">
        <v>0.21</v>
      </c>
      <c r="E73" s="566">
        <v>2193</v>
      </c>
      <c r="F73" s="566">
        <v>14693</v>
      </c>
      <c r="G73" s="566">
        <v>313</v>
      </c>
      <c r="H73" s="566">
        <v>1438</v>
      </c>
      <c r="I73" s="558" t="str">
        <f t="shared" si="1"/>
        <v>GooD</v>
      </c>
    </row>
    <row r="74" spans="1:9" ht="15.75" thickTop="1">
      <c r="A74" s="567" t="s">
        <v>642</v>
      </c>
      <c r="B74" s="567">
        <v>12500</v>
      </c>
      <c r="C74" s="568">
        <v>12</v>
      </c>
      <c r="D74" s="568">
        <v>0.21</v>
      </c>
      <c r="E74" s="568">
        <v>2635</v>
      </c>
      <c r="F74" s="568">
        <v>15135</v>
      </c>
      <c r="G74" s="568">
        <v>375</v>
      </c>
      <c r="H74" s="568">
        <v>1230</v>
      </c>
      <c r="I74" s="559" t="str">
        <f t="shared" si="1"/>
        <v>GooD</v>
      </c>
    </row>
    <row r="75" spans="1:9">
      <c r="A75" s="563" t="s">
        <v>642</v>
      </c>
      <c r="B75" s="563">
        <v>13000</v>
      </c>
      <c r="C75" s="564">
        <v>4</v>
      </c>
      <c r="D75" s="564">
        <v>0.21</v>
      </c>
      <c r="E75" s="564">
        <v>914</v>
      </c>
      <c r="F75" s="564">
        <v>13914</v>
      </c>
      <c r="G75" s="564">
        <v>130</v>
      </c>
      <c r="H75" s="564">
        <v>3446</v>
      </c>
      <c r="I75" s="557" t="str">
        <f t="shared" si="1"/>
        <v>GooD</v>
      </c>
    </row>
    <row r="76" spans="1:9">
      <c r="A76" s="563" t="s">
        <v>642</v>
      </c>
      <c r="B76" s="563">
        <v>13000</v>
      </c>
      <c r="C76" s="564">
        <v>6</v>
      </c>
      <c r="D76" s="564">
        <v>0.21</v>
      </c>
      <c r="E76" s="564">
        <v>1367</v>
      </c>
      <c r="F76" s="564">
        <v>14367</v>
      </c>
      <c r="G76" s="564">
        <v>195</v>
      </c>
      <c r="H76" s="564">
        <v>2362</v>
      </c>
      <c r="I76" s="557" t="str">
        <f t="shared" si="1"/>
        <v>GooD</v>
      </c>
    </row>
    <row r="77" spans="1:9">
      <c r="A77" s="563" t="s">
        <v>642</v>
      </c>
      <c r="B77" s="563">
        <v>13000</v>
      </c>
      <c r="C77" s="564">
        <v>8</v>
      </c>
      <c r="D77" s="564">
        <v>0.21</v>
      </c>
      <c r="E77" s="564">
        <v>1828</v>
      </c>
      <c r="F77" s="564">
        <v>14828</v>
      </c>
      <c r="G77" s="564">
        <v>260</v>
      </c>
      <c r="H77" s="564">
        <v>1821</v>
      </c>
      <c r="I77" s="557" t="str">
        <f t="shared" si="1"/>
        <v>GooD</v>
      </c>
    </row>
    <row r="78" spans="1:9" ht="15.75" thickBot="1">
      <c r="A78" s="565" t="s">
        <v>642</v>
      </c>
      <c r="B78" s="565">
        <v>13000</v>
      </c>
      <c r="C78" s="566">
        <v>10</v>
      </c>
      <c r="D78" s="566">
        <v>0.21</v>
      </c>
      <c r="E78" s="566">
        <v>2285</v>
      </c>
      <c r="F78" s="566">
        <v>15285</v>
      </c>
      <c r="G78" s="566">
        <v>325</v>
      </c>
      <c r="H78" s="566">
        <v>1496</v>
      </c>
      <c r="I78" s="558" t="str">
        <f t="shared" si="1"/>
        <v>GooD</v>
      </c>
    </row>
    <row r="79" spans="1:9" ht="15.75" thickTop="1">
      <c r="A79" s="567" t="s">
        <v>642</v>
      </c>
      <c r="B79" s="567">
        <v>13000</v>
      </c>
      <c r="C79" s="568">
        <v>12</v>
      </c>
      <c r="D79" s="568">
        <v>0.21</v>
      </c>
      <c r="E79" s="568">
        <v>2738</v>
      </c>
      <c r="F79" s="568">
        <v>15738</v>
      </c>
      <c r="G79" s="568">
        <v>390</v>
      </c>
      <c r="H79" s="568">
        <v>1279</v>
      </c>
      <c r="I79" s="559" t="str">
        <f t="shared" si="1"/>
        <v>GooD</v>
      </c>
    </row>
    <row r="80" spans="1:9">
      <c r="A80" s="563" t="s">
        <v>642</v>
      </c>
      <c r="B80" s="563">
        <v>13500</v>
      </c>
      <c r="C80" s="564">
        <v>4</v>
      </c>
      <c r="D80" s="564">
        <v>0.21</v>
      </c>
      <c r="E80" s="564">
        <v>947</v>
      </c>
      <c r="F80" s="564">
        <v>14447</v>
      </c>
      <c r="G80" s="564">
        <v>135</v>
      </c>
      <c r="H80" s="564">
        <v>3578</v>
      </c>
      <c r="I80" s="557" t="str">
        <f t="shared" si="1"/>
        <v>GooD</v>
      </c>
    </row>
    <row r="81" spans="1:9">
      <c r="A81" s="563" t="s">
        <v>642</v>
      </c>
      <c r="B81" s="563">
        <v>13500</v>
      </c>
      <c r="C81" s="564">
        <v>6</v>
      </c>
      <c r="D81" s="564">
        <v>0.21</v>
      </c>
      <c r="E81" s="564">
        <v>1421</v>
      </c>
      <c r="F81" s="564">
        <v>14921</v>
      </c>
      <c r="G81" s="564">
        <v>203</v>
      </c>
      <c r="H81" s="564">
        <v>2453</v>
      </c>
      <c r="I81" s="557" t="str">
        <f t="shared" si="1"/>
        <v>GooD</v>
      </c>
    </row>
    <row r="82" spans="1:9">
      <c r="A82" s="563" t="s">
        <v>642</v>
      </c>
      <c r="B82" s="563">
        <v>13500</v>
      </c>
      <c r="C82" s="564">
        <v>8</v>
      </c>
      <c r="D82" s="564">
        <v>0.21</v>
      </c>
      <c r="E82" s="564">
        <v>1898</v>
      </c>
      <c r="F82" s="564">
        <v>15398</v>
      </c>
      <c r="G82" s="564">
        <v>270</v>
      </c>
      <c r="H82" s="564">
        <v>1891</v>
      </c>
      <c r="I82" s="557" t="str">
        <f t="shared" si="1"/>
        <v>GooD</v>
      </c>
    </row>
    <row r="83" spans="1:9" ht="15.75" thickBot="1">
      <c r="A83" s="565" t="s">
        <v>642</v>
      </c>
      <c r="B83" s="565">
        <v>13500</v>
      </c>
      <c r="C83" s="566">
        <v>10</v>
      </c>
      <c r="D83" s="566">
        <v>0.21</v>
      </c>
      <c r="E83" s="566">
        <v>2368</v>
      </c>
      <c r="F83" s="566">
        <v>15868</v>
      </c>
      <c r="G83" s="566">
        <v>338</v>
      </c>
      <c r="H83" s="566">
        <v>1553</v>
      </c>
      <c r="I83" s="558" t="str">
        <f t="shared" si="1"/>
        <v>GooD</v>
      </c>
    </row>
    <row r="84" spans="1:9" ht="15.75" thickTop="1">
      <c r="A84" s="567" t="s">
        <v>642</v>
      </c>
      <c r="B84" s="567">
        <v>13500</v>
      </c>
      <c r="C84" s="568">
        <v>12</v>
      </c>
      <c r="D84" s="568">
        <v>0.21</v>
      </c>
      <c r="E84" s="568">
        <v>2841</v>
      </c>
      <c r="F84" s="568">
        <v>16341</v>
      </c>
      <c r="G84" s="568">
        <v>405</v>
      </c>
      <c r="H84" s="568">
        <v>1328</v>
      </c>
      <c r="I84" s="559" t="str">
        <f t="shared" si="1"/>
        <v>GooD</v>
      </c>
    </row>
    <row r="85" spans="1:9">
      <c r="A85" s="563" t="s">
        <v>642</v>
      </c>
      <c r="B85" s="563">
        <v>14000</v>
      </c>
      <c r="C85" s="564">
        <v>4</v>
      </c>
      <c r="D85" s="564">
        <v>0.21</v>
      </c>
      <c r="E85" s="564">
        <v>984</v>
      </c>
      <c r="F85" s="564">
        <v>14984</v>
      </c>
      <c r="G85" s="564">
        <v>140</v>
      </c>
      <c r="H85" s="564">
        <v>3711</v>
      </c>
      <c r="I85" s="557" t="str">
        <f t="shared" si="1"/>
        <v>GooD</v>
      </c>
    </row>
    <row r="86" spans="1:9">
      <c r="A86" s="563" t="s">
        <v>642</v>
      </c>
      <c r="B86" s="563">
        <v>14000</v>
      </c>
      <c r="C86" s="564">
        <v>6</v>
      </c>
      <c r="D86" s="564">
        <v>0.21</v>
      </c>
      <c r="E86" s="564">
        <v>1474</v>
      </c>
      <c r="F86" s="564">
        <v>15474</v>
      </c>
      <c r="G86" s="564">
        <v>210</v>
      </c>
      <c r="H86" s="564">
        <v>2544</v>
      </c>
      <c r="I86" s="557" t="str">
        <f t="shared" si="1"/>
        <v>GooD</v>
      </c>
    </row>
    <row r="87" spans="1:9">
      <c r="A87" s="563" t="s">
        <v>642</v>
      </c>
      <c r="B87" s="563">
        <v>14000</v>
      </c>
      <c r="C87" s="564">
        <v>8</v>
      </c>
      <c r="D87" s="564">
        <v>0.21</v>
      </c>
      <c r="E87" s="564">
        <v>1968</v>
      </c>
      <c r="F87" s="564">
        <v>15968</v>
      </c>
      <c r="G87" s="564">
        <v>280</v>
      </c>
      <c r="H87" s="564">
        <v>1961</v>
      </c>
      <c r="I87" s="557" t="str">
        <f t="shared" si="1"/>
        <v>GooD</v>
      </c>
    </row>
    <row r="88" spans="1:9" ht="15.75" thickBot="1">
      <c r="A88" s="565" t="s">
        <v>642</v>
      </c>
      <c r="B88" s="565">
        <v>14000</v>
      </c>
      <c r="C88" s="566">
        <v>10</v>
      </c>
      <c r="D88" s="566">
        <v>0.21</v>
      </c>
      <c r="E88" s="566">
        <v>2460</v>
      </c>
      <c r="F88" s="566">
        <v>16460</v>
      </c>
      <c r="G88" s="566">
        <v>350</v>
      </c>
      <c r="H88" s="566">
        <v>1611</v>
      </c>
      <c r="I88" s="558" t="str">
        <f t="shared" si="1"/>
        <v>GooD</v>
      </c>
    </row>
    <row r="89" spans="1:9" ht="15.75" thickTop="1">
      <c r="A89" s="567" t="s">
        <v>642</v>
      </c>
      <c r="B89" s="567">
        <v>14000</v>
      </c>
      <c r="C89" s="568">
        <v>12</v>
      </c>
      <c r="D89" s="568">
        <v>0.21</v>
      </c>
      <c r="E89" s="568">
        <v>2944</v>
      </c>
      <c r="F89" s="568">
        <v>16944</v>
      </c>
      <c r="G89" s="568">
        <v>420</v>
      </c>
      <c r="H89" s="568">
        <v>1377</v>
      </c>
      <c r="I89" s="559" t="str">
        <f t="shared" si="1"/>
        <v>GooD</v>
      </c>
    </row>
    <row r="90" spans="1:9">
      <c r="A90" s="563" t="s">
        <v>642</v>
      </c>
      <c r="B90" s="563">
        <v>14500</v>
      </c>
      <c r="C90" s="564">
        <v>6</v>
      </c>
      <c r="D90" s="564">
        <v>0.21</v>
      </c>
      <c r="E90" s="564">
        <v>1528</v>
      </c>
      <c r="F90" s="564">
        <v>16028</v>
      </c>
      <c r="G90" s="564">
        <v>218</v>
      </c>
      <c r="H90" s="564">
        <v>2635</v>
      </c>
      <c r="I90" s="557" t="str">
        <f t="shared" si="1"/>
        <v>GooD</v>
      </c>
    </row>
    <row r="91" spans="1:9">
      <c r="A91" s="563" t="s">
        <v>642</v>
      </c>
      <c r="B91" s="563">
        <v>14500</v>
      </c>
      <c r="C91" s="564">
        <v>8</v>
      </c>
      <c r="D91" s="564">
        <v>0.21</v>
      </c>
      <c r="E91" s="564">
        <v>2038</v>
      </c>
      <c r="F91" s="564">
        <v>16538</v>
      </c>
      <c r="G91" s="564">
        <v>290</v>
      </c>
      <c r="H91" s="564">
        <v>2031</v>
      </c>
      <c r="I91" s="557" t="str">
        <f t="shared" si="1"/>
        <v>GooD</v>
      </c>
    </row>
    <row r="92" spans="1:9">
      <c r="A92" s="563" t="s">
        <v>642</v>
      </c>
      <c r="B92" s="563">
        <v>14500</v>
      </c>
      <c r="C92" s="564">
        <v>10</v>
      </c>
      <c r="D92" s="564">
        <v>0.21</v>
      </c>
      <c r="E92" s="564">
        <v>2543</v>
      </c>
      <c r="F92" s="564">
        <v>17043</v>
      </c>
      <c r="G92" s="564">
        <v>363</v>
      </c>
      <c r="H92" s="564">
        <v>1668</v>
      </c>
      <c r="I92" s="557" t="str">
        <f t="shared" si="1"/>
        <v>GooD</v>
      </c>
    </row>
    <row r="93" spans="1:9" ht="15.75" thickBot="1">
      <c r="A93" s="565" t="s">
        <v>642</v>
      </c>
      <c r="B93" s="565">
        <v>14500</v>
      </c>
      <c r="C93" s="566">
        <v>12</v>
      </c>
      <c r="D93" s="566">
        <v>0.21</v>
      </c>
      <c r="E93" s="566">
        <v>3047</v>
      </c>
      <c r="F93" s="566">
        <v>17547</v>
      </c>
      <c r="G93" s="566">
        <v>435</v>
      </c>
      <c r="H93" s="566">
        <v>1426</v>
      </c>
      <c r="I93" s="558" t="str">
        <f t="shared" si="1"/>
        <v>GooD</v>
      </c>
    </row>
    <row r="94" spans="1:9" ht="15.75" thickTop="1">
      <c r="A94" s="567" t="s">
        <v>642</v>
      </c>
      <c r="B94" s="567">
        <v>14500</v>
      </c>
      <c r="C94" s="568">
        <v>14</v>
      </c>
      <c r="D94" s="568">
        <v>0.21</v>
      </c>
      <c r="E94" s="568">
        <v>3564</v>
      </c>
      <c r="F94" s="568">
        <v>18064</v>
      </c>
      <c r="G94" s="568">
        <v>508</v>
      </c>
      <c r="H94" s="568">
        <v>1254</v>
      </c>
      <c r="I94" s="559" t="str">
        <f t="shared" si="1"/>
        <v>GooD</v>
      </c>
    </row>
    <row r="95" spans="1:9">
      <c r="A95" s="563" t="s">
        <v>642</v>
      </c>
      <c r="B95" s="563">
        <v>14500</v>
      </c>
      <c r="C95" s="564">
        <v>16</v>
      </c>
      <c r="D95" s="564">
        <v>0.21</v>
      </c>
      <c r="E95" s="564">
        <v>4064</v>
      </c>
      <c r="F95" s="564">
        <v>18564</v>
      </c>
      <c r="G95" s="564">
        <v>580</v>
      </c>
      <c r="H95" s="564">
        <v>1124</v>
      </c>
      <c r="I95" s="557" t="str">
        <f t="shared" si="1"/>
        <v>GooD</v>
      </c>
    </row>
    <row r="96" spans="1:9">
      <c r="A96" s="563" t="s">
        <v>642</v>
      </c>
      <c r="B96" s="563">
        <v>14500</v>
      </c>
      <c r="C96" s="564">
        <v>18</v>
      </c>
      <c r="D96" s="564">
        <v>0.21</v>
      </c>
      <c r="E96" s="564">
        <v>4585</v>
      </c>
      <c r="F96" s="564">
        <v>19085</v>
      </c>
      <c r="G96" s="564">
        <v>653</v>
      </c>
      <c r="H96" s="564">
        <v>1024</v>
      </c>
      <c r="I96" s="557" t="str">
        <f t="shared" si="1"/>
        <v>GooD</v>
      </c>
    </row>
    <row r="97" spans="1:9">
      <c r="A97" s="563" t="s">
        <v>642</v>
      </c>
      <c r="B97" s="563">
        <v>15000</v>
      </c>
      <c r="C97" s="564">
        <v>6</v>
      </c>
      <c r="D97" s="564">
        <v>0.21</v>
      </c>
      <c r="E97" s="564">
        <v>1581</v>
      </c>
      <c r="F97" s="564">
        <v>16581</v>
      </c>
      <c r="G97" s="564">
        <v>225</v>
      </c>
      <c r="H97" s="564">
        <v>2726</v>
      </c>
      <c r="I97" s="557" t="str">
        <f t="shared" si="1"/>
        <v>GooD</v>
      </c>
    </row>
    <row r="98" spans="1:9" ht="15.75" thickBot="1">
      <c r="A98" s="565" t="s">
        <v>642</v>
      </c>
      <c r="B98" s="565">
        <v>15000</v>
      </c>
      <c r="C98" s="566">
        <v>8</v>
      </c>
      <c r="D98" s="566">
        <v>0.21</v>
      </c>
      <c r="E98" s="566">
        <v>2108</v>
      </c>
      <c r="F98" s="566">
        <v>17108</v>
      </c>
      <c r="G98" s="566">
        <v>300</v>
      </c>
      <c r="H98" s="566">
        <v>2101</v>
      </c>
      <c r="I98" s="558" t="str">
        <f t="shared" si="1"/>
        <v>GooD</v>
      </c>
    </row>
    <row r="99" spans="1:9" ht="15.75" thickTop="1">
      <c r="A99" s="567" t="s">
        <v>642</v>
      </c>
      <c r="B99" s="567">
        <v>15000</v>
      </c>
      <c r="C99" s="568">
        <v>10</v>
      </c>
      <c r="D99" s="568">
        <v>0.21</v>
      </c>
      <c r="E99" s="568">
        <v>2635</v>
      </c>
      <c r="F99" s="568">
        <v>17635</v>
      </c>
      <c r="G99" s="568">
        <v>375</v>
      </c>
      <c r="H99" s="568">
        <v>1726</v>
      </c>
      <c r="I99" s="559" t="str">
        <f t="shared" si="1"/>
        <v>GooD</v>
      </c>
    </row>
    <row r="100" spans="1:9">
      <c r="A100" s="563" t="s">
        <v>642</v>
      </c>
      <c r="B100" s="563">
        <v>15000</v>
      </c>
      <c r="C100" s="564">
        <v>12</v>
      </c>
      <c r="D100" s="564">
        <v>0.21</v>
      </c>
      <c r="E100" s="564">
        <v>3162</v>
      </c>
      <c r="F100" s="564">
        <v>18162</v>
      </c>
      <c r="G100" s="564">
        <v>450</v>
      </c>
      <c r="H100" s="564">
        <v>1476</v>
      </c>
      <c r="I100" s="557" t="str">
        <f t="shared" si="1"/>
        <v>GooD</v>
      </c>
    </row>
    <row r="101" spans="1:9">
      <c r="A101" s="563" t="s">
        <v>642</v>
      </c>
      <c r="B101" s="563">
        <v>15000</v>
      </c>
      <c r="C101" s="564">
        <v>14</v>
      </c>
      <c r="D101" s="564">
        <v>0.21</v>
      </c>
      <c r="E101" s="564">
        <v>3683</v>
      </c>
      <c r="F101" s="564">
        <v>18683</v>
      </c>
      <c r="G101" s="564">
        <v>525</v>
      </c>
      <c r="H101" s="564">
        <v>1297</v>
      </c>
      <c r="I101" s="557" t="str">
        <f t="shared" si="1"/>
        <v>GooD</v>
      </c>
    </row>
    <row r="102" spans="1:9">
      <c r="A102" s="563" t="s">
        <v>642</v>
      </c>
      <c r="B102" s="563">
        <v>15000</v>
      </c>
      <c r="C102" s="564">
        <v>16</v>
      </c>
      <c r="D102" s="564">
        <v>0.21</v>
      </c>
      <c r="E102" s="564">
        <v>4208</v>
      </c>
      <c r="F102" s="564">
        <v>19208</v>
      </c>
      <c r="G102" s="564">
        <v>600</v>
      </c>
      <c r="H102" s="564">
        <v>1163</v>
      </c>
      <c r="I102" s="557" t="str">
        <f t="shared" si="1"/>
        <v>GooD</v>
      </c>
    </row>
    <row r="103" spans="1:9" ht="15.75" thickBot="1">
      <c r="A103" s="565" t="s">
        <v>642</v>
      </c>
      <c r="B103" s="565">
        <v>15000</v>
      </c>
      <c r="C103" s="566">
        <v>18</v>
      </c>
      <c r="D103" s="566">
        <v>0.21</v>
      </c>
      <c r="E103" s="566">
        <v>4737</v>
      </c>
      <c r="F103" s="566">
        <v>19737</v>
      </c>
      <c r="G103" s="566">
        <v>675</v>
      </c>
      <c r="H103" s="566">
        <v>1059</v>
      </c>
      <c r="I103" s="558" t="str">
        <f t="shared" si="1"/>
        <v>GooD</v>
      </c>
    </row>
    <row r="104" spans="1:9" ht="15.75" thickTop="1">
      <c r="A104" s="567" t="s">
        <v>642</v>
      </c>
      <c r="B104" s="567">
        <v>15500</v>
      </c>
      <c r="C104" s="568">
        <v>6</v>
      </c>
      <c r="D104" s="568">
        <v>0.21</v>
      </c>
      <c r="E104" s="568">
        <v>1629</v>
      </c>
      <c r="F104" s="568">
        <v>17129</v>
      </c>
      <c r="G104" s="568">
        <v>233</v>
      </c>
      <c r="H104" s="568">
        <v>2816</v>
      </c>
      <c r="I104" s="559" t="str">
        <f t="shared" si="1"/>
        <v>GooD</v>
      </c>
    </row>
    <row r="105" spans="1:9">
      <c r="A105" s="563" t="s">
        <v>642</v>
      </c>
      <c r="B105" s="563">
        <v>15500</v>
      </c>
      <c r="C105" s="564">
        <v>8</v>
      </c>
      <c r="D105" s="564">
        <v>0.21</v>
      </c>
      <c r="E105" s="564">
        <v>2178</v>
      </c>
      <c r="F105" s="564">
        <v>17678</v>
      </c>
      <c r="G105" s="564">
        <v>310</v>
      </c>
      <c r="H105" s="564">
        <v>2171</v>
      </c>
      <c r="I105" s="557" t="str">
        <f t="shared" si="1"/>
        <v>GooD</v>
      </c>
    </row>
    <row r="106" spans="1:9">
      <c r="A106" s="563" t="s">
        <v>642</v>
      </c>
      <c r="B106" s="563">
        <v>15500</v>
      </c>
      <c r="C106" s="564">
        <v>10</v>
      </c>
      <c r="D106" s="564">
        <v>0.21</v>
      </c>
      <c r="E106" s="564">
        <v>2718</v>
      </c>
      <c r="F106" s="564">
        <v>18218</v>
      </c>
      <c r="G106" s="564">
        <v>388</v>
      </c>
      <c r="H106" s="564">
        <v>1783</v>
      </c>
      <c r="I106" s="557" t="str">
        <f t="shared" si="1"/>
        <v>GooD</v>
      </c>
    </row>
    <row r="107" spans="1:9">
      <c r="A107" s="563" t="s">
        <v>642</v>
      </c>
      <c r="B107" s="563">
        <v>15500</v>
      </c>
      <c r="C107" s="564">
        <v>12</v>
      </c>
      <c r="D107" s="564">
        <v>0.21</v>
      </c>
      <c r="E107" s="564">
        <v>3265</v>
      </c>
      <c r="F107" s="564">
        <v>18765</v>
      </c>
      <c r="G107" s="564">
        <v>465</v>
      </c>
      <c r="H107" s="564">
        <v>1525</v>
      </c>
      <c r="I107" s="557" t="str">
        <f t="shared" si="1"/>
        <v>GooD</v>
      </c>
    </row>
    <row r="108" spans="1:9" ht="15.75" thickBot="1">
      <c r="A108" s="565" t="s">
        <v>642</v>
      </c>
      <c r="B108" s="565">
        <v>15500</v>
      </c>
      <c r="C108" s="566">
        <v>14</v>
      </c>
      <c r="D108" s="566">
        <v>0.21</v>
      </c>
      <c r="E108" s="566">
        <v>3803</v>
      </c>
      <c r="F108" s="566">
        <v>19303</v>
      </c>
      <c r="G108" s="566">
        <v>543</v>
      </c>
      <c r="H108" s="566">
        <v>1340</v>
      </c>
      <c r="I108" s="558" t="str">
        <f t="shared" si="1"/>
        <v>GooD</v>
      </c>
    </row>
    <row r="109" spans="1:9" ht="15.75" thickTop="1">
      <c r="A109" s="567" t="s">
        <v>642</v>
      </c>
      <c r="B109" s="567">
        <v>15500</v>
      </c>
      <c r="C109" s="568">
        <v>16</v>
      </c>
      <c r="D109" s="568">
        <v>0.21</v>
      </c>
      <c r="E109" s="568">
        <v>4352</v>
      </c>
      <c r="F109" s="568">
        <v>19852</v>
      </c>
      <c r="G109" s="568">
        <v>620</v>
      </c>
      <c r="H109" s="568">
        <v>1202</v>
      </c>
      <c r="I109" s="559" t="str">
        <f t="shared" si="1"/>
        <v>GooD</v>
      </c>
    </row>
    <row r="110" spans="1:9">
      <c r="A110" s="563" t="s">
        <v>642</v>
      </c>
      <c r="B110" s="563">
        <v>15500</v>
      </c>
      <c r="C110" s="564">
        <v>18</v>
      </c>
      <c r="D110" s="564">
        <v>0.21</v>
      </c>
      <c r="E110" s="564">
        <v>4890</v>
      </c>
      <c r="F110" s="564">
        <v>20390</v>
      </c>
      <c r="G110" s="564">
        <v>698</v>
      </c>
      <c r="H110" s="564">
        <v>1094</v>
      </c>
      <c r="I110" s="557" t="str">
        <f t="shared" si="1"/>
        <v>GooD</v>
      </c>
    </row>
    <row r="111" spans="1:9">
      <c r="A111" s="563" t="s">
        <v>642</v>
      </c>
      <c r="B111" s="563">
        <v>16000</v>
      </c>
      <c r="C111" s="564">
        <v>6</v>
      </c>
      <c r="D111" s="564">
        <v>0.21</v>
      </c>
      <c r="E111" s="564">
        <v>1682</v>
      </c>
      <c r="F111" s="564">
        <v>17682</v>
      </c>
      <c r="G111" s="564">
        <v>240</v>
      </c>
      <c r="H111" s="564">
        <v>2907</v>
      </c>
      <c r="I111" s="557" t="str">
        <f t="shared" si="1"/>
        <v>GooD</v>
      </c>
    </row>
    <row r="112" spans="1:9">
      <c r="A112" s="563" t="s">
        <v>642</v>
      </c>
      <c r="B112" s="563">
        <v>16000</v>
      </c>
      <c r="C112" s="564">
        <v>8</v>
      </c>
      <c r="D112" s="564">
        <v>0.21</v>
      </c>
      <c r="E112" s="564">
        <v>2248</v>
      </c>
      <c r="F112" s="564">
        <v>18248</v>
      </c>
      <c r="G112" s="564">
        <v>320</v>
      </c>
      <c r="H112" s="564">
        <v>2241</v>
      </c>
      <c r="I112" s="557" t="str">
        <f t="shared" si="1"/>
        <v>GooD</v>
      </c>
    </row>
    <row r="113" spans="1:9" ht="15.75" thickBot="1">
      <c r="A113" s="565" t="s">
        <v>642</v>
      </c>
      <c r="B113" s="565">
        <v>16000</v>
      </c>
      <c r="C113" s="566">
        <v>10</v>
      </c>
      <c r="D113" s="566">
        <v>0.21</v>
      </c>
      <c r="E113" s="566">
        <v>2810</v>
      </c>
      <c r="F113" s="566">
        <v>18810</v>
      </c>
      <c r="G113" s="566">
        <v>400</v>
      </c>
      <c r="H113" s="566">
        <v>1841</v>
      </c>
      <c r="I113" s="558" t="str">
        <f t="shared" si="1"/>
        <v>GooD</v>
      </c>
    </row>
    <row r="114" spans="1:9" ht="15.75" thickTop="1">
      <c r="A114" s="567" t="s">
        <v>642</v>
      </c>
      <c r="B114" s="567">
        <v>16000</v>
      </c>
      <c r="C114" s="568">
        <v>12</v>
      </c>
      <c r="D114" s="568">
        <v>0.21</v>
      </c>
      <c r="E114" s="568">
        <v>3368</v>
      </c>
      <c r="F114" s="568">
        <v>19368</v>
      </c>
      <c r="G114" s="568">
        <v>480</v>
      </c>
      <c r="H114" s="568">
        <v>1574</v>
      </c>
      <c r="I114" s="559" t="str">
        <f t="shared" si="1"/>
        <v>GooD</v>
      </c>
    </row>
    <row r="115" spans="1:9">
      <c r="A115" s="563" t="s">
        <v>642</v>
      </c>
      <c r="B115" s="563">
        <v>16000</v>
      </c>
      <c r="C115" s="564">
        <v>14</v>
      </c>
      <c r="D115" s="564">
        <v>0.21</v>
      </c>
      <c r="E115" s="564">
        <v>3922</v>
      </c>
      <c r="F115" s="564">
        <v>19922</v>
      </c>
      <c r="G115" s="564">
        <v>560</v>
      </c>
      <c r="H115" s="564">
        <v>1383</v>
      </c>
      <c r="I115" s="557" t="str">
        <f t="shared" si="1"/>
        <v>GooD</v>
      </c>
    </row>
    <row r="116" spans="1:9">
      <c r="A116" s="563" t="s">
        <v>642</v>
      </c>
      <c r="B116" s="563">
        <v>16000</v>
      </c>
      <c r="C116" s="564">
        <v>16</v>
      </c>
      <c r="D116" s="564">
        <v>0.21</v>
      </c>
      <c r="E116" s="564">
        <v>4496</v>
      </c>
      <c r="F116" s="564">
        <v>20496</v>
      </c>
      <c r="G116" s="564">
        <v>640</v>
      </c>
      <c r="H116" s="564">
        <v>1241</v>
      </c>
      <c r="I116" s="557" t="str">
        <f t="shared" si="1"/>
        <v>GooD</v>
      </c>
    </row>
    <row r="117" spans="1:9">
      <c r="A117" s="563" t="s">
        <v>642</v>
      </c>
      <c r="B117" s="563">
        <v>16000</v>
      </c>
      <c r="C117" s="564">
        <v>18</v>
      </c>
      <c r="D117" s="564">
        <v>0.21</v>
      </c>
      <c r="E117" s="564">
        <v>5042</v>
      </c>
      <c r="F117" s="564">
        <v>21042</v>
      </c>
      <c r="G117" s="564">
        <v>720</v>
      </c>
      <c r="H117" s="564">
        <v>1129</v>
      </c>
      <c r="I117" s="557" t="str">
        <f t="shared" si="1"/>
        <v>GooD</v>
      </c>
    </row>
    <row r="118" spans="1:9" ht="15.75" thickBot="1">
      <c r="A118" s="565" t="s">
        <v>642</v>
      </c>
      <c r="B118" s="565">
        <v>16500</v>
      </c>
      <c r="C118" s="566">
        <v>6</v>
      </c>
      <c r="D118" s="566">
        <v>0.21</v>
      </c>
      <c r="E118" s="566">
        <v>1736</v>
      </c>
      <c r="F118" s="566">
        <v>18236</v>
      </c>
      <c r="G118" s="566">
        <v>248</v>
      </c>
      <c r="H118" s="566">
        <v>2998</v>
      </c>
      <c r="I118" s="558" t="str">
        <f t="shared" si="1"/>
        <v>GooD</v>
      </c>
    </row>
    <row r="119" spans="1:9" ht="15.75" thickTop="1">
      <c r="A119" s="567" t="s">
        <v>642</v>
      </c>
      <c r="B119" s="567">
        <v>16500</v>
      </c>
      <c r="C119" s="568">
        <v>8</v>
      </c>
      <c r="D119" s="568">
        <v>0.21</v>
      </c>
      <c r="E119" s="568">
        <v>2318</v>
      </c>
      <c r="F119" s="568">
        <v>18818</v>
      </c>
      <c r="G119" s="568">
        <v>330</v>
      </c>
      <c r="H119" s="568">
        <v>2311</v>
      </c>
      <c r="I119" s="559" t="str">
        <f t="shared" si="1"/>
        <v>GooD</v>
      </c>
    </row>
    <row r="120" spans="1:9">
      <c r="A120" s="563" t="s">
        <v>642</v>
      </c>
      <c r="B120" s="563">
        <v>16500</v>
      </c>
      <c r="C120" s="564">
        <v>10</v>
      </c>
      <c r="D120" s="564">
        <v>0.21</v>
      </c>
      <c r="E120" s="564">
        <v>2893</v>
      </c>
      <c r="F120" s="564">
        <v>19393</v>
      </c>
      <c r="G120" s="564">
        <v>413</v>
      </c>
      <c r="H120" s="564">
        <v>1898</v>
      </c>
      <c r="I120" s="557" t="str">
        <f t="shared" si="1"/>
        <v>GooD</v>
      </c>
    </row>
    <row r="121" spans="1:9">
      <c r="A121" s="563" t="s">
        <v>642</v>
      </c>
      <c r="B121" s="563">
        <v>16500</v>
      </c>
      <c r="C121" s="564">
        <v>12</v>
      </c>
      <c r="D121" s="564">
        <v>0.21</v>
      </c>
      <c r="E121" s="564">
        <v>3471</v>
      </c>
      <c r="F121" s="564">
        <v>19971</v>
      </c>
      <c r="G121" s="564">
        <v>495</v>
      </c>
      <c r="H121" s="564">
        <v>1623</v>
      </c>
      <c r="I121" s="557" t="str">
        <f t="shared" si="1"/>
        <v>GooD</v>
      </c>
    </row>
    <row r="122" spans="1:9">
      <c r="A122" s="563" t="s">
        <v>642</v>
      </c>
      <c r="B122" s="563">
        <v>16500</v>
      </c>
      <c r="C122" s="564">
        <v>14</v>
      </c>
      <c r="D122" s="564">
        <v>0.21</v>
      </c>
      <c r="E122" s="564">
        <v>4056</v>
      </c>
      <c r="F122" s="564">
        <v>20556</v>
      </c>
      <c r="G122" s="564">
        <v>578</v>
      </c>
      <c r="H122" s="564">
        <v>1427</v>
      </c>
      <c r="I122" s="557" t="str">
        <f t="shared" si="1"/>
        <v>GooD</v>
      </c>
    </row>
    <row r="123" spans="1:9" ht="15.75" thickBot="1">
      <c r="A123" s="565" t="s">
        <v>642</v>
      </c>
      <c r="B123" s="565">
        <v>16500</v>
      </c>
      <c r="C123" s="566">
        <v>16</v>
      </c>
      <c r="D123" s="566">
        <v>0.21</v>
      </c>
      <c r="E123" s="566">
        <v>4624</v>
      </c>
      <c r="F123" s="566">
        <v>21124</v>
      </c>
      <c r="G123" s="566">
        <v>660</v>
      </c>
      <c r="H123" s="566">
        <v>1279</v>
      </c>
      <c r="I123" s="558" t="str">
        <f t="shared" si="1"/>
        <v>GooD</v>
      </c>
    </row>
    <row r="124" spans="1:9" ht="15.75" thickTop="1">
      <c r="A124" s="567" t="s">
        <v>642</v>
      </c>
      <c r="B124" s="567">
        <v>16500</v>
      </c>
      <c r="C124" s="568">
        <v>18</v>
      </c>
      <c r="D124" s="568">
        <v>0.21</v>
      </c>
      <c r="E124" s="568">
        <v>5213</v>
      </c>
      <c r="F124" s="568">
        <v>21713</v>
      </c>
      <c r="G124" s="568">
        <v>743</v>
      </c>
      <c r="H124" s="568">
        <v>1165</v>
      </c>
      <c r="I124" s="559" t="str">
        <f t="shared" si="1"/>
        <v>GooD</v>
      </c>
    </row>
    <row r="125" spans="1:9">
      <c r="A125" s="563" t="s">
        <v>642</v>
      </c>
      <c r="B125" s="563">
        <v>17000</v>
      </c>
      <c r="C125" s="564">
        <v>6</v>
      </c>
      <c r="D125" s="564">
        <v>0.21</v>
      </c>
      <c r="E125" s="564">
        <v>1789</v>
      </c>
      <c r="F125" s="564">
        <v>18789</v>
      </c>
      <c r="G125" s="564">
        <v>255</v>
      </c>
      <c r="H125" s="564">
        <v>3089</v>
      </c>
      <c r="I125" s="557" t="str">
        <f t="shared" si="1"/>
        <v>GooD</v>
      </c>
    </row>
    <row r="126" spans="1:9">
      <c r="A126" s="563" t="s">
        <v>642</v>
      </c>
      <c r="B126" s="563">
        <v>17000</v>
      </c>
      <c r="C126" s="564">
        <v>8</v>
      </c>
      <c r="D126" s="564">
        <v>0.21</v>
      </c>
      <c r="E126" s="564">
        <v>2388</v>
      </c>
      <c r="F126" s="564">
        <v>19388</v>
      </c>
      <c r="G126" s="564">
        <v>340</v>
      </c>
      <c r="H126" s="564">
        <v>2381</v>
      </c>
      <c r="I126" s="557" t="str">
        <f t="shared" si="1"/>
        <v>GooD</v>
      </c>
    </row>
    <row r="127" spans="1:9">
      <c r="A127" s="563" t="s">
        <v>642</v>
      </c>
      <c r="B127" s="563">
        <v>17000</v>
      </c>
      <c r="C127" s="564">
        <v>10</v>
      </c>
      <c r="D127" s="564">
        <v>0.21</v>
      </c>
      <c r="E127" s="564">
        <v>2985</v>
      </c>
      <c r="F127" s="564">
        <v>19985</v>
      </c>
      <c r="G127" s="564">
        <v>425</v>
      </c>
      <c r="H127" s="564">
        <v>1956</v>
      </c>
      <c r="I127" s="557" t="str">
        <f t="shared" si="1"/>
        <v>GooD</v>
      </c>
    </row>
    <row r="128" spans="1:9" ht="15.75" thickBot="1">
      <c r="A128" s="565" t="s">
        <v>642</v>
      </c>
      <c r="B128" s="565">
        <v>17000</v>
      </c>
      <c r="C128" s="566">
        <v>12</v>
      </c>
      <c r="D128" s="566">
        <v>0.21</v>
      </c>
      <c r="E128" s="566">
        <v>3574</v>
      </c>
      <c r="F128" s="566">
        <v>20574</v>
      </c>
      <c r="G128" s="566">
        <v>510</v>
      </c>
      <c r="H128" s="566">
        <v>1672</v>
      </c>
      <c r="I128" s="558" t="str">
        <f t="shared" si="1"/>
        <v>GooD</v>
      </c>
    </row>
    <row r="129" spans="1:9" ht="15.75" thickTop="1">
      <c r="A129" s="567" t="s">
        <v>642</v>
      </c>
      <c r="B129" s="567">
        <v>17000</v>
      </c>
      <c r="C129" s="568">
        <v>14</v>
      </c>
      <c r="D129" s="568">
        <v>0.21</v>
      </c>
      <c r="E129" s="568">
        <v>4175</v>
      </c>
      <c r="F129" s="568">
        <v>21175</v>
      </c>
      <c r="G129" s="568">
        <v>595</v>
      </c>
      <c r="H129" s="568">
        <v>1470</v>
      </c>
      <c r="I129" s="559" t="str">
        <f t="shared" si="1"/>
        <v>GooD</v>
      </c>
    </row>
    <row r="130" spans="1:9">
      <c r="A130" s="563" t="s">
        <v>642</v>
      </c>
      <c r="B130" s="563">
        <v>17000</v>
      </c>
      <c r="C130" s="564">
        <v>16</v>
      </c>
      <c r="D130" s="564">
        <v>0.21</v>
      </c>
      <c r="E130" s="564">
        <v>4768</v>
      </c>
      <c r="F130" s="564">
        <v>21768</v>
      </c>
      <c r="G130" s="564">
        <v>680</v>
      </c>
      <c r="H130" s="564">
        <v>1318</v>
      </c>
      <c r="I130" s="557" t="str">
        <f t="shared" si="1"/>
        <v>GooD</v>
      </c>
    </row>
    <row r="131" spans="1:9">
      <c r="A131" s="563" t="s">
        <v>642</v>
      </c>
      <c r="B131" s="563">
        <v>17000</v>
      </c>
      <c r="C131" s="564">
        <v>18</v>
      </c>
      <c r="D131" s="564">
        <v>0.21</v>
      </c>
      <c r="E131" s="564">
        <v>5365</v>
      </c>
      <c r="F131" s="564">
        <v>22365</v>
      </c>
      <c r="G131" s="564">
        <v>765</v>
      </c>
      <c r="H131" s="564">
        <v>1200</v>
      </c>
      <c r="I131" s="557" t="str">
        <f t="shared" si="1"/>
        <v>GooD</v>
      </c>
    </row>
    <row r="132" spans="1:9">
      <c r="A132" s="563" t="s">
        <v>642</v>
      </c>
      <c r="B132" s="563">
        <v>17500</v>
      </c>
      <c r="C132" s="564">
        <v>6</v>
      </c>
      <c r="D132" s="564">
        <v>0.21</v>
      </c>
      <c r="E132" s="564">
        <v>1843</v>
      </c>
      <c r="F132" s="564">
        <v>19343</v>
      </c>
      <c r="G132" s="564">
        <v>263</v>
      </c>
      <c r="H132" s="564">
        <v>3180</v>
      </c>
      <c r="I132" s="557" t="str">
        <f t="shared" si="1"/>
        <v>GooD</v>
      </c>
    </row>
    <row r="133" spans="1:9" ht="15.75" thickBot="1">
      <c r="A133" s="565" t="s">
        <v>642</v>
      </c>
      <c r="B133" s="565">
        <v>17500</v>
      </c>
      <c r="C133" s="566">
        <v>8</v>
      </c>
      <c r="D133" s="566">
        <v>0.21</v>
      </c>
      <c r="E133" s="566">
        <v>2458</v>
      </c>
      <c r="F133" s="566">
        <v>19958</v>
      </c>
      <c r="G133" s="566">
        <v>350</v>
      </c>
      <c r="H133" s="566">
        <v>2451</v>
      </c>
      <c r="I133" s="558" t="str">
        <f t="shared" ref="I133:I198" si="2">IF(((H133*C133)+G133)=F133,"GooD","لالالالالالالا")</f>
        <v>GooD</v>
      </c>
    </row>
    <row r="134" spans="1:9" ht="15.75" thickTop="1">
      <c r="A134" s="567" t="s">
        <v>642</v>
      </c>
      <c r="B134" s="567">
        <v>17500</v>
      </c>
      <c r="C134" s="568">
        <v>10</v>
      </c>
      <c r="D134" s="568">
        <v>0.21</v>
      </c>
      <c r="E134" s="568">
        <v>3068</v>
      </c>
      <c r="F134" s="568">
        <v>20568</v>
      </c>
      <c r="G134" s="568">
        <v>438</v>
      </c>
      <c r="H134" s="568">
        <v>2013</v>
      </c>
      <c r="I134" s="559" t="str">
        <f t="shared" si="2"/>
        <v>GooD</v>
      </c>
    </row>
    <row r="135" spans="1:9">
      <c r="A135" s="563" t="s">
        <v>642</v>
      </c>
      <c r="B135" s="563">
        <v>17500</v>
      </c>
      <c r="C135" s="564">
        <v>12</v>
      </c>
      <c r="D135" s="564">
        <v>0.21</v>
      </c>
      <c r="E135" s="564">
        <v>3677</v>
      </c>
      <c r="F135" s="564">
        <v>21177</v>
      </c>
      <c r="G135" s="564">
        <v>525</v>
      </c>
      <c r="H135" s="564">
        <v>1721</v>
      </c>
      <c r="I135" s="557" t="str">
        <f t="shared" si="2"/>
        <v>GooD</v>
      </c>
    </row>
    <row r="136" spans="1:9">
      <c r="A136" s="563" t="s">
        <v>642</v>
      </c>
      <c r="B136" s="563">
        <v>17500</v>
      </c>
      <c r="C136" s="564">
        <v>14</v>
      </c>
      <c r="D136" s="564">
        <v>0.21</v>
      </c>
      <c r="E136" s="564">
        <v>4295</v>
      </c>
      <c r="F136" s="564">
        <v>21795</v>
      </c>
      <c r="G136" s="564">
        <v>613</v>
      </c>
      <c r="H136" s="564">
        <v>1513</v>
      </c>
      <c r="I136" s="557" t="str">
        <f t="shared" si="2"/>
        <v>GooD</v>
      </c>
    </row>
    <row r="137" spans="1:9">
      <c r="A137" s="563" t="s">
        <v>642</v>
      </c>
      <c r="B137" s="563">
        <v>17500</v>
      </c>
      <c r="C137" s="564">
        <v>16</v>
      </c>
      <c r="D137" s="564">
        <v>0.21</v>
      </c>
      <c r="E137" s="564">
        <v>4912</v>
      </c>
      <c r="F137" s="564">
        <v>22412</v>
      </c>
      <c r="G137" s="564">
        <v>700</v>
      </c>
      <c r="H137" s="564">
        <v>1357</v>
      </c>
      <c r="I137" s="557" t="str">
        <f t="shared" si="2"/>
        <v>GooD</v>
      </c>
    </row>
    <row r="138" spans="1:9" ht="15.75" thickBot="1">
      <c r="A138" s="565" t="s">
        <v>642</v>
      </c>
      <c r="B138" s="565">
        <v>17500</v>
      </c>
      <c r="C138" s="566">
        <v>18</v>
      </c>
      <c r="D138" s="566">
        <v>0.21</v>
      </c>
      <c r="E138" s="566">
        <v>5518</v>
      </c>
      <c r="F138" s="566">
        <v>23018</v>
      </c>
      <c r="G138" s="566">
        <v>788</v>
      </c>
      <c r="H138" s="566">
        <v>1235</v>
      </c>
      <c r="I138" s="558" t="str">
        <f t="shared" si="2"/>
        <v>GooD</v>
      </c>
    </row>
    <row r="139" spans="1:9" ht="15.75" thickTop="1">
      <c r="A139" s="567" t="s">
        <v>642</v>
      </c>
      <c r="B139" s="567">
        <v>18000</v>
      </c>
      <c r="C139" s="568">
        <v>6</v>
      </c>
      <c r="D139" s="568">
        <v>0.21</v>
      </c>
      <c r="E139" s="568">
        <v>1896</v>
      </c>
      <c r="F139" s="568">
        <v>19896</v>
      </c>
      <c r="G139" s="568">
        <v>270</v>
      </c>
      <c r="H139" s="568">
        <v>3271</v>
      </c>
      <c r="I139" s="559" t="str">
        <f t="shared" si="2"/>
        <v>GooD</v>
      </c>
    </row>
    <row r="140" spans="1:9">
      <c r="A140" s="563" t="s">
        <v>642</v>
      </c>
      <c r="B140" s="563">
        <v>18000</v>
      </c>
      <c r="C140" s="564">
        <v>8</v>
      </c>
      <c r="D140" s="564">
        <v>0.21</v>
      </c>
      <c r="E140" s="564">
        <v>2528</v>
      </c>
      <c r="F140" s="564">
        <v>20528</v>
      </c>
      <c r="G140" s="564">
        <v>360</v>
      </c>
      <c r="H140" s="564">
        <v>2521</v>
      </c>
      <c r="I140" s="557" t="str">
        <f t="shared" si="2"/>
        <v>GooD</v>
      </c>
    </row>
    <row r="141" spans="1:9">
      <c r="A141" s="563" t="s">
        <v>642</v>
      </c>
      <c r="B141" s="563">
        <v>18000</v>
      </c>
      <c r="C141" s="564">
        <v>10</v>
      </c>
      <c r="D141" s="564">
        <v>0.21</v>
      </c>
      <c r="E141" s="564">
        <v>3160</v>
      </c>
      <c r="F141" s="564">
        <v>21160</v>
      </c>
      <c r="G141" s="564">
        <v>450</v>
      </c>
      <c r="H141" s="564">
        <v>2071</v>
      </c>
      <c r="I141" s="557" t="str">
        <f t="shared" si="2"/>
        <v>GooD</v>
      </c>
    </row>
    <row r="142" spans="1:9">
      <c r="A142" s="563" t="s">
        <v>642</v>
      </c>
      <c r="B142" s="563">
        <v>18000</v>
      </c>
      <c r="C142" s="564">
        <v>12</v>
      </c>
      <c r="D142" s="564">
        <v>0.21</v>
      </c>
      <c r="E142" s="564">
        <v>3792</v>
      </c>
      <c r="F142" s="564">
        <v>21792</v>
      </c>
      <c r="G142" s="564">
        <v>540</v>
      </c>
      <c r="H142" s="564">
        <v>1771</v>
      </c>
      <c r="I142" s="557" t="str">
        <f t="shared" si="2"/>
        <v>GooD</v>
      </c>
    </row>
    <row r="143" spans="1:9" ht="15.75" thickBot="1">
      <c r="A143" s="565" t="s">
        <v>642</v>
      </c>
      <c r="B143" s="565">
        <v>18000</v>
      </c>
      <c r="C143" s="566">
        <v>14</v>
      </c>
      <c r="D143" s="566">
        <v>0.21</v>
      </c>
      <c r="E143" s="566">
        <v>4414</v>
      </c>
      <c r="F143" s="566">
        <v>22414</v>
      </c>
      <c r="G143" s="566">
        <v>630</v>
      </c>
      <c r="H143" s="566">
        <v>1556</v>
      </c>
      <c r="I143" s="558" t="str">
        <f t="shared" si="2"/>
        <v>GooD</v>
      </c>
    </row>
    <row r="144" spans="1:9" ht="15.75" thickTop="1">
      <c r="A144" s="567" t="s">
        <v>642</v>
      </c>
      <c r="B144" s="567">
        <v>18000</v>
      </c>
      <c r="C144" s="568">
        <v>16</v>
      </c>
      <c r="D144" s="568">
        <v>0.21</v>
      </c>
      <c r="E144" s="568">
        <v>5056</v>
      </c>
      <c r="F144" s="568">
        <v>23056</v>
      </c>
      <c r="G144" s="568">
        <v>720</v>
      </c>
      <c r="H144" s="568">
        <v>1396</v>
      </c>
      <c r="I144" s="559" t="str">
        <f t="shared" si="2"/>
        <v>GooD</v>
      </c>
    </row>
    <row r="145" spans="1:9">
      <c r="A145" s="563" t="s">
        <v>642</v>
      </c>
      <c r="B145" s="563">
        <v>18000</v>
      </c>
      <c r="C145" s="564">
        <v>18</v>
      </c>
      <c r="D145" s="564">
        <v>0.21</v>
      </c>
      <c r="E145" s="564">
        <v>5688</v>
      </c>
      <c r="F145" s="564">
        <v>23688</v>
      </c>
      <c r="G145" s="564">
        <v>810</v>
      </c>
      <c r="H145" s="564">
        <v>1271</v>
      </c>
      <c r="I145" s="557" t="str">
        <f t="shared" si="2"/>
        <v>GooD</v>
      </c>
    </row>
    <row r="146" spans="1:9">
      <c r="A146" s="563" t="s">
        <v>642</v>
      </c>
      <c r="B146" s="563">
        <v>18500</v>
      </c>
      <c r="C146" s="564">
        <v>6</v>
      </c>
      <c r="D146" s="564">
        <v>0.21</v>
      </c>
      <c r="E146" s="564">
        <v>1944</v>
      </c>
      <c r="F146" s="564">
        <v>20444</v>
      </c>
      <c r="G146" s="564">
        <v>278</v>
      </c>
      <c r="H146" s="564">
        <v>3361</v>
      </c>
      <c r="I146" s="557" t="str">
        <f t="shared" si="2"/>
        <v>GooD</v>
      </c>
    </row>
    <row r="147" spans="1:9">
      <c r="A147" s="563" t="s">
        <v>642</v>
      </c>
      <c r="B147" s="563">
        <v>18500</v>
      </c>
      <c r="C147" s="564">
        <v>8</v>
      </c>
      <c r="D147" s="564">
        <v>0.21</v>
      </c>
      <c r="E147" s="564">
        <v>2598</v>
      </c>
      <c r="F147" s="564">
        <v>21098</v>
      </c>
      <c r="G147" s="564">
        <v>370</v>
      </c>
      <c r="H147" s="564">
        <v>2591</v>
      </c>
      <c r="I147" s="557" t="str">
        <f t="shared" si="2"/>
        <v>GooD</v>
      </c>
    </row>
    <row r="148" spans="1:9">
      <c r="A148" s="563" t="s">
        <v>642</v>
      </c>
      <c r="B148" s="563">
        <v>18500</v>
      </c>
      <c r="C148" s="564">
        <v>10</v>
      </c>
      <c r="D148" s="564">
        <v>0.21</v>
      </c>
      <c r="E148" s="564">
        <v>3243</v>
      </c>
      <c r="F148" s="564">
        <v>21743</v>
      </c>
      <c r="G148" s="564">
        <v>463</v>
      </c>
      <c r="H148" s="564">
        <v>2128</v>
      </c>
      <c r="I148" s="557" t="str">
        <f t="shared" si="2"/>
        <v>GooD</v>
      </c>
    </row>
    <row r="149" spans="1:9">
      <c r="A149" s="563" t="s">
        <v>642</v>
      </c>
      <c r="B149" s="563">
        <v>18500</v>
      </c>
      <c r="C149" s="564">
        <v>12</v>
      </c>
      <c r="D149" s="564">
        <v>0.21</v>
      </c>
      <c r="E149" s="564">
        <v>3895</v>
      </c>
      <c r="F149" s="564">
        <v>22395</v>
      </c>
      <c r="G149" s="564">
        <v>555</v>
      </c>
      <c r="H149" s="564">
        <v>1820</v>
      </c>
      <c r="I149" s="557" t="str">
        <f t="shared" si="2"/>
        <v>GooD</v>
      </c>
    </row>
    <row r="150" spans="1:9" ht="15.75" thickBot="1">
      <c r="A150" s="565" t="s">
        <v>642</v>
      </c>
      <c r="B150" s="565">
        <v>18500</v>
      </c>
      <c r="C150" s="566">
        <v>14</v>
      </c>
      <c r="D150" s="566">
        <v>0.21</v>
      </c>
      <c r="E150" s="566">
        <v>4534</v>
      </c>
      <c r="F150" s="566">
        <v>23034</v>
      </c>
      <c r="G150" s="566">
        <v>648</v>
      </c>
      <c r="H150" s="566">
        <v>1599</v>
      </c>
      <c r="I150" s="558" t="str">
        <f t="shared" si="2"/>
        <v>GooD</v>
      </c>
    </row>
    <row r="151" spans="1:9" ht="15.75" thickTop="1">
      <c r="A151" s="567" t="s">
        <v>642</v>
      </c>
      <c r="B151" s="567">
        <v>18500</v>
      </c>
      <c r="C151" s="568">
        <v>16</v>
      </c>
      <c r="D151" s="568">
        <v>0.21</v>
      </c>
      <c r="E151" s="568">
        <v>5184</v>
      </c>
      <c r="F151" s="568">
        <v>23684</v>
      </c>
      <c r="G151" s="568">
        <v>740</v>
      </c>
      <c r="H151" s="568">
        <v>1434</v>
      </c>
      <c r="I151" s="559" t="str">
        <f t="shared" si="2"/>
        <v>GooD</v>
      </c>
    </row>
    <row r="152" spans="1:9">
      <c r="A152" s="563" t="s">
        <v>642</v>
      </c>
      <c r="B152" s="563">
        <v>18500</v>
      </c>
      <c r="C152" s="564">
        <v>18</v>
      </c>
      <c r="D152" s="564">
        <v>0.21</v>
      </c>
      <c r="E152" s="564">
        <v>5841</v>
      </c>
      <c r="F152" s="564">
        <v>24341</v>
      </c>
      <c r="G152" s="564">
        <v>833</v>
      </c>
      <c r="H152" s="564">
        <v>1306</v>
      </c>
      <c r="I152" s="557" t="str">
        <f t="shared" si="2"/>
        <v>GooD</v>
      </c>
    </row>
    <row r="153" spans="1:9" ht="15.75" thickBot="1">
      <c r="A153" s="565" t="s">
        <v>642</v>
      </c>
      <c r="B153" s="565">
        <v>19000</v>
      </c>
      <c r="C153" s="566">
        <v>6</v>
      </c>
      <c r="D153" s="566">
        <v>0.21</v>
      </c>
      <c r="E153" s="566">
        <v>1997</v>
      </c>
      <c r="F153" s="566">
        <v>20997</v>
      </c>
      <c r="G153" s="566">
        <v>285</v>
      </c>
      <c r="H153" s="566">
        <v>3452</v>
      </c>
      <c r="I153" s="558" t="str">
        <f t="shared" si="2"/>
        <v>GooD</v>
      </c>
    </row>
    <row r="154" spans="1:9" ht="15.75" thickTop="1">
      <c r="A154" s="567" t="s">
        <v>642</v>
      </c>
      <c r="B154" s="567">
        <v>19000</v>
      </c>
      <c r="C154" s="568">
        <v>8</v>
      </c>
      <c r="D154" s="568">
        <v>0.21</v>
      </c>
      <c r="E154" s="568">
        <v>2668</v>
      </c>
      <c r="F154" s="568">
        <v>21668</v>
      </c>
      <c r="G154" s="568">
        <v>380</v>
      </c>
      <c r="H154" s="568">
        <v>2661</v>
      </c>
      <c r="I154" s="559" t="str">
        <f t="shared" si="2"/>
        <v>GooD</v>
      </c>
    </row>
    <row r="155" spans="1:9">
      <c r="A155" s="563" t="s">
        <v>642</v>
      </c>
      <c r="B155" s="563">
        <v>19000</v>
      </c>
      <c r="C155" s="564">
        <v>10</v>
      </c>
      <c r="D155" s="564">
        <v>0.21</v>
      </c>
      <c r="E155" s="564">
        <v>3335</v>
      </c>
      <c r="F155" s="564">
        <v>22335</v>
      </c>
      <c r="G155" s="564">
        <v>475</v>
      </c>
      <c r="H155" s="564">
        <v>2186</v>
      </c>
      <c r="I155" s="557" t="str">
        <f t="shared" si="2"/>
        <v>GooD</v>
      </c>
    </row>
    <row r="156" spans="1:9" ht="15.75" thickBot="1">
      <c r="A156" s="565" t="s">
        <v>642</v>
      </c>
      <c r="B156" s="565">
        <v>19000</v>
      </c>
      <c r="C156" s="566">
        <v>12</v>
      </c>
      <c r="D156" s="566">
        <v>0.21</v>
      </c>
      <c r="E156" s="566">
        <v>3998</v>
      </c>
      <c r="F156" s="566">
        <v>22998</v>
      </c>
      <c r="G156" s="566">
        <v>570</v>
      </c>
      <c r="H156" s="566">
        <v>1869</v>
      </c>
      <c r="I156" s="558" t="str">
        <f t="shared" si="2"/>
        <v>GooD</v>
      </c>
    </row>
    <row r="157" spans="1:9" ht="15.75" thickTop="1">
      <c r="A157" s="567" t="s">
        <v>642</v>
      </c>
      <c r="B157" s="567">
        <v>19000</v>
      </c>
      <c r="C157" s="568">
        <v>14</v>
      </c>
      <c r="D157" s="568">
        <v>0.21</v>
      </c>
      <c r="E157" s="568">
        <v>4667</v>
      </c>
      <c r="F157" s="568">
        <v>23667</v>
      </c>
      <c r="G157" s="568">
        <v>665</v>
      </c>
      <c r="H157" s="568">
        <v>1643</v>
      </c>
      <c r="I157" s="559" t="str">
        <f t="shared" si="2"/>
        <v>GooD</v>
      </c>
    </row>
    <row r="158" spans="1:9">
      <c r="A158" s="563" t="s">
        <v>642</v>
      </c>
      <c r="B158" s="563">
        <v>19000</v>
      </c>
      <c r="C158" s="564">
        <v>16</v>
      </c>
      <c r="D158" s="564">
        <v>0.21</v>
      </c>
      <c r="E158" s="564">
        <v>5328</v>
      </c>
      <c r="F158" s="564">
        <v>24328</v>
      </c>
      <c r="G158" s="564">
        <v>760</v>
      </c>
      <c r="H158" s="564">
        <v>1473</v>
      </c>
      <c r="I158" s="557" t="str">
        <f t="shared" si="2"/>
        <v>GooD</v>
      </c>
    </row>
    <row r="159" spans="1:9" ht="15.75" thickBot="1">
      <c r="A159" s="565" t="s">
        <v>642</v>
      </c>
      <c r="B159" s="565">
        <v>19000</v>
      </c>
      <c r="C159" s="566">
        <v>18</v>
      </c>
      <c r="D159" s="566">
        <v>0.21</v>
      </c>
      <c r="E159" s="566">
        <v>5993</v>
      </c>
      <c r="F159" s="566">
        <v>24993</v>
      </c>
      <c r="G159" s="566">
        <v>855</v>
      </c>
      <c r="H159" s="566">
        <v>1341</v>
      </c>
      <c r="I159" s="558" t="str">
        <f t="shared" si="2"/>
        <v>GooD</v>
      </c>
    </row>
    <row r="160" spans="1:9" ht="15.75" thickTop="1">
      <c r="A160" s="567" t="s">
        <v>642</v>
      </c>
      <c r="B160" s="567">
        <v>19500</v>
      </c>
      <c r="C160" s="568">
        <v>6</v>
      </c>
      <c r="D160" s="568">
        <v>0.21</v>
      </c>
      <c r="E160" s="568">
        <v>2051</v>
      </c>
      <c r="F160" s="568">
        <v>21551</v>
      </c>
      <c r="G160" s="568">
        <v>293</v>
      </c>
      <c r="H160" s="568">
        <v>3543</v>
      </c>
      <c r="I160" s="559" t="str">
        <f t="shared" si="2"/>
        <v>GooD</v>
      </c>
    </row>
    <row r="161" spans="1:9">
      <c r="A161" s="563" t="s">
        <v>642</v>
      </c>
      <c r="B161" s="563">
        <v>19500</v>
      </c>
      <c r="C161" s="564">
        <v>8</v>
      </c>
      <c r="D161" s="564">
        <v>0.21</v>
      </c>
      <c r="E161" s="564">
        <v>2738</v>
      </c>
      <c r="F161" s="564">
        <v>22238</v>
      </c>
      <c r="G161" s="564">
        <v>390</v>
      </c>
      <c r="H161" s="564">
        <v>2731</v>
      </c>
      <c r="I161" s="557" t="str">
        <f t="shared" si="2"/>
        <v>GooD</v>
      </c>
    </row>
    <row r="162" spans="1:9" ht="15.75" thickBot="1">
      <c r="A162" s="565" t="s">
        <v>642</v>
      </c>
      <c r="B162" s="565">
        <v>19500</v>
      </c>
      <c r="C162" s="566">
        <v>10</v>
      </c>
      <c r="D162" s="566">
        <v>0.21</v>
      </c>
      <c r="E162" s="566">
        <v>3418</v>
      </c>
      <c r="F162" s="566">
        <v>22918</v>
      </c>
      <c r="G162" s="566">
        <v>488</v>
      </c>
      <c r="H162" s="566">
        <v>2243</v>
      </c>
      <c r="I162" s="558" t="str">
        <f t="shared" si="2"/>
        <v>GooD</v>
      </c>
    </row>
    <row r="163" spans="1:9" ht="15.75" thickTop="1">
      <c r="A163" s="567" t="s">
        <v>642</v>
      </c>
      <c r="B163" s="567">
        <v>19500</v>
      </c>
      <c r="C163" s="568">
        <v>12</v>
      </c>
      <c r="D163" s="568">
        <v>0.21</v>
      </c>
      <c r="E163" s="568">
        <v>4101</v>
      </c>
      <c r="F163" s="568">
        <v>23601</v>
      </c>
      <c r="G163" s="568">
        <v>585</v>
      </c>
      <c r="H163" s="568">
        <v>1918</v>
      </c>
      <c r="I163" s="559" t="str">
        <f t="shared" si="2"/>
        <v>GooD</v>
      </c>
    </row>
    <row r="164" spans="1:9">
      <c r="A164" s="563" t="s">
        <v>642</v>
      </c>
      <c r="B164" s="563">
        <v>19500</v>
      </c>
      <c r="C164" s="564">
        <v>14</v>
      </c>
      <c r="D164" s="564">
        <v>0.21</v>
      </c>
      <c r="E164" s="564">
        <v>4787</v>
      </c>
      <c r="F164" s="564">
        <v>24287</v>
      </c>
      <c r="G164" s="564">
        <v>683</v>
      </c>
      <c r="H164" s="564">
        <v>1686</v>
      </c>
      <c r="I164" s="557" t="str">
        <f t="shared" si="2"/>
        <v>GooD</v>
      </c>
    </row>
    <row r="165" spans="1:9" ht="15.75" thickBot="1">
      <c r="A165" s="565" t="s">
        <v>642</v>
      </c>
      <c r="B165" s="565">
        <v>19500</v>
      </c>
      <c r="C165" s="566">
        <v>16</v>
      </c>
      <c r="D165" s="566">
        <v>0.21</v>
      </c>
      <c r="E165" s="566">
        <v>5472</v>
      </c>
      <c r="F165" s="566">
        <v>24972</v>
      </c>
      <c r="G165" s="566">
        <v>780</v>
      </c>
      <c r="H165" s="566">
        <v>1512</v>
      </c>
      <c r="I165" s="558" t="str">
        <f t="shared" si="2"/>
        <v>GooD</v>
      </c>
    </row>
    <row r="166" spans="1:9" ht="15.75" thickTop="1">
      <c r="A166" s="567" t="s">
        <v>642</v>
      </c>
      <c r="B166" s="567">
        <v>19500</v>
      </c>
      <c r="C166" s="568">
        <v>18</v>
      </c>
      <c r="D166" s="568">
        <v>0.21</v>
      </c>
      <c r="E166" s="568">
        <v>6146</v>
      </c>
      <c r="F166" s="568">
        <v>25646</v>
      </c>
      <c r="G166" s="568">
        <v>878</v>
      </c>
      <c r="H166" s="568">
        <v>1376</v>
      </c>
      <c r="I166" s="559" t="str">
        <f t="shared" si="2"/>
        <v>GooD</v>
      </c>
    </row>
    <row r="167" spans="1:9">
      <c r="A167" s="563" t="s">
        <v>642</v>
      </c>
      <c r="B167" s="563">
        <v>20000</v>
      </c>
      <c r="C167" s="564">
        <v>6</v>
      </c>
      <c r="D167" s="564">
        <v>0.21</v>
      </c>
      <c r="E167" s="564">
        <v>2104</v>
      </c>
      <c r="F167" s="564">
        <v>22104</v>
      </c>
      <c r="G167" s="564">
        <v>300</v>
      </c>
      <c r="H167" s="564">
        <v>3634</v>
      </c>
      <c r="I167" s="557" t="str">
        <f t="shared" si="2"/>
        <v>GooD</v>
      </c>
    </row>
    <row r="168" spans="1:9" ht="15.75" thickBot="1">
      <c r="A168" s="565" t="s">
        <v>642</v>
      </c>
      <c r="B168" s="565">
        <v>20000</v>
      </c>
      <c r="C168" s="566">
        <v>8</v>
      </c>
      <c r="D168" s="566">
        <v>0.21</v>
      </c>
      <c r="E168" s="566">
        <v>2808</v>
      </c>
      <c r="F168" s="566">
        <v>22808</v>
      </c>
      <c r="G168" s="566">
        <v>400</v>
      </c>
      <c r="H168" s="566">
        <v>2801</v>
      </c>
      <c r="I168" s="558" t="str">
        <f t="shared" si="2"/>
        <v>GooD</v>
      </c>
    </row>
    <row r="169" spans="1:9" ht="15.75" thickTop="1">
      <c r="A169" s="567" t="s">
        <v>642</v>
      </c>
      <c r="B169" s="567">
        <v>20000</v>
      </c>
      <c r="C169" s="568">
        <v>10</v>
      </c>
      <c r="D169" s="568">
        <v>0.21</v>
      </c>
      <c r="E169" s="568">
        <v>3510</v>
      </c>
      <c r="F169" s="568">
        <v>23510</v>
      </c>
      <c r="G169" s="568">
        <v>500</v>
      </c>
      <c r="H169" s="568">
        <v>2301</v>
      </c>
      <c r="I169" s="559" t="str">
        <f t="shared" si="2"/>
        <v>GooD</v>
      </c>
    </row>
    <row r="170" spans="1:9">
      <c r="A170" s="563" t="s">
        <v>642</v>
      </c>
      <c r="B170" s="563">
        <v>20000</v>
      </c>
      <c r="C170" s="564">
        <v>12</v>
      </c>
      <c r="D170" s="564">
        <v>0.21</v>
      </c>
      <c r="E170" s="564">
        <v>4204</v>
      </c>
      <c r="F170" s="564">
        <v>24204</v>
      </c>
      <c r="G170" s="564">
        <v>600</v>
      </c>
      <c r="H170" s="564">
        <v>1967</v>
      </c>
      <c r="I170" s="557" t="str">
        <f t="shared" si="2"/>
        <v>GooD</v>
      </c>
    </row>
    <row r="171" spans="1:9" ht="15.75" thickBot="1">
      <c r="A171" s="565" t="s">
        <v>642</v>
      </c>
      <c r="B171" s="565">
        <v>20000</v>
      </c>
      <c r="C171" s="566">
        <v>14</v>
      </c>
      <c r="D171" s="566">
        <v>0.21</v>
      </c>
      <c r="E171" s="566">
        <v>4906</v>
      </c>
      <c r="F171" s="566">
        <v>24906</v>
      </c>
      <c r="G171" s="566">
        <v>700</v>
      </c>
      <c r="H171" s="566">
        <v>1729</v>
      </c>
      <c r="I171" s="558" t="str">
        <f t="shared" si="2"/>
        <v>GooD</v>
      </c>
    </row>
    <row r="172" spans="1:9" ht="15.75" thickTop="1">
      <c r="A172" s="567" t="s">
        <v>642</v>
      </c>
      <c r="B172" s="567">
        <v>20000</v>
      </c>
      <c r="C172" s="568">
        <v>16</v>
      </c>
      <c r="D172" s="568">
        <v>0.21</v>
      </c>
      <c r="E172" s="568">
        <v>5616</v>
      </c>
      <c r="F172" s="568">
        <v>25616</v>
      </c>
      <c r="G172" s="568">
        <v>800</v>
      </c>
      <c r="H172" s="568">
        <v>1551</v>
      </c>
      <c r="I172" s="559" t="str">
        <f t="shared" si="2"/>
        <v>GooD</v>
      </c>
    </row>
    <row r="173" spans="1:9">
      <c r="A173" s="563" t="s">
        <v>642</v>
      </c>
      <c r="B173" s="563">
        <v>20000</v>
      </c>
      <c r="C173" s="564">
        <v>18</v>
      </c>
      <c r="D173" s="564">
        <v>0.21</v>
      </c>
      <c r="E173" s="564">
        <v>6316</v>
      </c>
      <c r="F173" s="564">
        <v>26316</v>
      </c>
      <c r="G173" s="564">
        <v>900</v>
      </c>
      <c r="H173" s="564">
        <v>1412</v>
      </c>
      <c r="I173" s="557" t="str">
        <f t="shared" si="2"/>
        <v>GooD</v>
      </c>
    </row>
    <row r="174" spans="1:9" ht="15.75" thickBot="1">
      <c r="A174" s="565" t="s">
        <v>642</v>
      </c>
      <c r="B174" s="565">
        <v>20000</v>
      </c>
      <c r="C174" s="566">
        <v>20</v>
      </c>
      <c r="D174" s="566">
        <v>0.21</v>
      </c>
      <c r="E174" s="566">
        <v>7020</v>
      </c>
      <c r="F174" s="566">
        <v>27020</v>
      </c>
      <c r="G174" s="566">
        <v>1000</v>
      </c>
      <c r="H174" s="566">
        <v>1301</v>
      </c>
      <c r="I174" s="558" t="str">
        <f t="shared" si="2"/>
        <v>GooD</v>
      </c>
    </row>
    <row r="175" spans="1:9" ht="15.75" thickTop="1">
      <c r="A175" s="567" t="s">
        <v>642</v>
      </c>
      <c r="B175" s="567">
        <v>20000</v>
      </c>
      <c r="C175" s="568">
        <v>22</v>
      </c>
      <c r="D175" s="568">
        <v>0.21</v>
      </c>
      <c r="E175" s="568">
        <v>7720</v>
      </c>
      <c r="F175" s="568">
        <v>27720</v>
      </c>
      <c r="G175" s="568">
        <v>1100</v>
      </c>
      <c r="H175" s="568">
        <v>1210</v>
      </c>
      <c r="I175" s="559" t="str">
        <f t="shared" si="2"/>
        <v>GooD</v>
      </c>
    </row>
    <row r="176" spans="1:9">
      <c r="A176" s="563" t="s">
        <v>642</v>
      </c>
      <c r="B176" s="563">
        <v>20000</v>
      </c>
      <c r="C176" s="564">
        <v>24</v>
      </c>
      <c r="D176" s="564">
        <v>0.21</v>
      </c>
      <c r="E176" s="564">
        <v>8416</v>
      </c>
      <c r="F176" s="564">
        <v>28416</v>
      </c>
      <c r="G176" s="564">
        <v>1200</v>
      </c>
      <c r="H176" s="564">
        <v>1134</v>
      </c>
      <c r="I176" s="557" t="str">
        <f t="shared" si="2"/>
        <v>GooD</v>
      </c>
    </row>
    <row r="177" spans="1:9" ht="15.75" thickBot="1">
      <c r="A177" s="565" t="s">
        <v>642</v>
      </c>
      <c r="B177" s="565">
        <v>21000</v>
      </c>
      <c r="C177" s="566">
        <v>6</v>
      </c>
      <c r="D177" s="566">
        <v>0.21</v>
      </c>
      <c r="E177" s="566">
        <v>2211</v>
      </c>
      <c r="F177" s="566">
        <v>23211</v>
      </c>
      <c r="G177" s="566">
        <v>315</v>
      </c>
      <c r="H177" s="566">
        <v>3816</v>
      </c>
      <c r="I177" s="558" t="str">
        <f t="shared" si="2"/>
        <v>GooD</v>
      </c>
    </row>
    <row r="178" spans="1:9" ht="15.75" thickTop="1">
      <c r="A178" s="567" t="s">
        <v>642</v>
      </c>
      <c r="B178" s="567">
        <v>21000</v>
      </c>
      <c r="C178" s="568">
        <v>8</v>
      </c>
      <c r="D178" s="568">
        <v>0.21</v>
      </c>
      <c r="E178" s="568">
        <v>2948</v>
      </c>
      <c r="F178" s="568">
        <v>23948</v>
      </c>
      <c r="G178" s="568">
        <v>420</v>
      </c>
      <c r="H178" s="568">
        <v>2941</v>
      </c>
      <c r="I178" s="559" t="str">
        <f t="shared" si="2"/>
        <v>GooD</v>
      </c>
    </row>
    <row r="179" spans="1:9">
      <c r="A179" s="563" t="s">
        <v>642</v>
      </c>
      <c r="B179" s="563">
        <v>21000</v>
      </c>
      <c r="C179" s="564">
        <v>10</v>
      </c>
      <c r="D179" s="564">
        <v>0.21</v>
      </c>
      <c r="E179" s="564">
        <v>3685</v>
      </c>
      <c r="F179" s="564">
        <v>24685</v>
      </c>
      <c r="G179" s="564">
        <v>525</v>
      </c>
      <c r="H179" s="564">
        <v>2416</v>
      </c>
      <c r="I179" s="557" t="str">
        <f t="shared" si="2"/>
        <v>GooD</v>
      </c>
    </row>
    <row r="180" spans="1:9" ht="15.75" thickBot="1">
      <c r="A180" s="565" t="s">
        <v>642</v>
      </c>
      <c r="B180" s="565">
        <v>21000</v>
      </c>
      <c r="C180" s="566">
        <v>12</v>
      </c>
      <c r="D180" s="566">
        <v>0.21</v>
      </c>
      <c r="E180" s="566">
        <v>4422</v>
      </c>
      <c r="F180" s="566">
        <v>25422</v>
      </c>
      <c r="G180" s="566">
        <v>630</v>
      </c>
      <c r="H180" s="566">
        <v>2066</v>
      </c>
      <c r="I180" s="558" t="str">
        <f t="shared" si="2"/>
        <v>GooD</v>
      </c>
    </row>
    <row r="181" spans="1:9" ht="15.75" thickTop="1">
      <c r="A181" s="567" t="s">
        <v>642</v>
      </c>
      <c r="B181" s="567">
        <v>21000</v>
      </c>
      <c r="C181" s="568">
        <v>14</v>
      </c>
      <c r="D181" s="568">
        <v>0.21</v>
      </c>
      <c r="E181" s="568">
        <v>5159</v>
      </c>
      <c r="F181" s="568">
        <v>26159</v>
      </c>
      <c r="G181" s="568">
        <v>735</v>
      </c>
      <c r="H181" s="568">
        <v>1816</v>
      </c>
      <c r="I181" s="559" t="str">
        <f t="shared" si="2"/>
        <v>GooD</v>
      </c>
    </row>
    <row r="182" spans="1:9">
      <c r="A182" s="563" t="s">
        <v>642</v>
      </c>
      <c r="B182" s="563">
        <v>21000</v>
      </c>
      <c r="C182" s="564">
        <v>16</v>
      </c>
      <c r="D182" s="564">
        <v>0.21</v>
      </c>
      <c r="E182" s="564">
        <v>5888</v>
      </c>
      <c r="F182" s="564">
        <v>26888</v>
      </c>
      <c r="G182" s="564">
        <v>840</v>
      </c>
      <c r="H182" s="564">
        <v>1628</v>
      </c>
      <c r="I182" s="557" t="str">
        <f t="shared" si="2"/>
        <v>GooD</v>
      </c>
    </row>
    <row r="183" spans="1:9" ht="15.75" thickBot="1">
      <c r="A183" s="565" t="s">
        <v>642</v>
      </c>
      <c r="B183" s="565">
        <v>21000</v>
      </c>
      <c r="C183" s="566">
        <v>18</v>
      </c>
      <c r="D183" s="566">
        <v>0.21</v>
      </c>
      <c r="E183" s="566">
        <v>6621</v>
      </c>
      <c r="F183" s="566">
        <v>27621</v>
      </c>
      <c r="G183" s="566">
        <v>945</v>
      </c>
      <c r="H183" s="566">
        <v>1482</v>
      </c>
      <c r="I183" s="558" t="str">
        <f t="shared" si="2"/>
        <v>GooD</v>
      </c>
    </row>
    <row r="184" spans="1:9" ht="15.75" thickTop="1">
      <c r="A184" s="567" t="s">
        <v>642</v>
      </c>
      <c r="B184" s="567">
        <v>21000</v>
      </c>
      <c r="C184" s="568">
        <v>20</v>
      </c>
      <c r="D184" s="568">
        <v>0.21</v>
      </c>
      <c r="E184" s="568">
        <v>7370</v>
      </c>
      <c r="F184" s="568">
        <v>28370</v>
      </c>
      <c r="G184" s="568">
        <v>1050</v>
      </c>
      <c r="H184" s="568">
        <v>1366</v>
      </c>
      <c r="I184" s="559" t="str">
        <f t="shared" si="2"/>
        <v>GooD</v>
      </c>
    </row>
    <row r="185" spans="1:9">
      <c r="A185" s="563" t="s">
        <v>642</v>
      </c>
      <c r="B185" s="563">
        <v>21000</v>
      </c>
      <c r="C185" s="564">
        <v>22</v>
      </c>
      <c r="D185" s="564">
        <v>0.21</v>
      </c>
      <c r="E185" s="564">
        <v>8095</v>
      </c>
      <c r="F185" s="564">
        <v>29095</v>
      </c>
      <c r="G185" s="564">
        <v>1155</v>
      </c>
      <c r="H185" s="564">
        <v>1270</v>
      </c>
      <c r="I185" s="557" t="str">
        <f t="shared" si="2"/>
        <v>GooD</v>
      </c>
    </row>
    <row r="186" spans="1:9" ht="15.75" thickBot="1">
      <c r="A186" s="565" t="s">
        <v>642</v>
      </c>
      <c r="B186" s="565">
        <v>21000</v>
      </c>
      <c r="C186" s="566">
        <v>24</v>
      </c>
      <c r="D186" s="566">
        <v>0.21</v>
      </c>
      <c r="E186" s="566">
        <v>8844</v>
      </c>
      <c r="F186" s="566">
        <v>29844</v>
      </c>
      <c r="G186" s="566">
        <v>1260</v>
      </c>
      <c r="H186" s="566">
        <v>1191</v>
      </c>
      <c r="I186" s="558" t="str">
        <f t="shared" si="2"/>
        <v>GooD</v>
      </c>
    </row>
    <row r="187" spans="1:9" ht="15.75" thickTop="1">
      <c r="A187" s="567" t="s">
        <v>642</v>
      </c>
      <c r="B187" s="567">
        <v>22000</v>
      </c>
      <c r="C187" s="568">
        <v>6</v>
      </c>
      <c r="D187" s="568">
        <v>0.21</v>
      </c>
      <c r="E187" s="568">
        <v>2312</v>
      </c>
      <c r="F187" s="568">
        <v>24312</v>
      </c>
      <c r="G187" s="568">
        <v>330</v>
      </c>
      <c r="H187" s="568">
        <v>3997</v>
      </c>
      <c r="I187" s="559" t="str">
        <f t="shared" si="2"/>
        <v>GooD</v>
      </c>
    </row>
    <row r="188" spans="1:9">
      <c r="A188" s="563" t="s">
        <v>642</v>
      </c>
      <c r="B188" s="563">
        <v>22000</v>
      </c>
      <c r="C188" s="564">
        <v>8</v>
      </c>
      <c r="D188" s="564">
        <v>0.21</v>
      </c>
      <c r="E188" s="564">
        <v>3088</v>
      </c>
      <c r="F188" s="564">
        <v>25088</v>
      </c>
      <c r="G188" s="564">
        <v>440</v>
      </c>
      <c r="H188" s="564">
        <v>3081</v>
      </c>
      <c r="I188" s="557" t="str">
        <f t="shared" si="2"/>
        <v>GooD</v>
      </c>
    </row>
    <row r="189" spans="1:9" ht="15.75" thickBot="1">
      <c r="A189" s="565" t="s">
        <v>642</v>
      </c>
      <c r="B189" s="565">
        <v>22000</v>
      </c>
      <c r="C189" s="566">
        <v>10</v>
      </c>
      <c r="D189" s="566">
        <v>0.21</v>
      </c>
      <c r="E189" s="566">
        <v>3860</v>
      </c>
      <c r="F189" s="566">
        <v>25860</v>
      </c>
      <c r="G189" s="566">
        <v>550</v>
      </c>
      <c r="H189" s="566">
        <v>2531</v>
      </c>
      <c r="I189" s="558" t="str">
        <f t="shared" si="2"/>
        <v>GooD</v>
      </c>
    </row>
    <row r="190" spans="1:9" ht="15.75" thickTop="1">
      <c r="A190" s="567" t="s">
        <v>642</v>
      </c>
      <c r="B190" s="567">
        <v>22000</v>
      </c>
      <c r="C190" s="568">
        <v>12</v>
      </c>
      <c r="D190" s="568">
        <v>0.21</v>
      </c>
      <c r="E190" s="568">
        <v>4628</v>
      </c>
      <c r="F190" s="568">
        <v>26628</v>
      </c>
      <c r="G190" s="568">
        <v>660</v>
      </c>
      <c r="H190" s="568">
        <v>2164</v>
      </c>
      <c r="I190" s="559" t="str">
        <f t="shared" si="2"/>
        <v>GooD</v>
      </c>
    </row>
    <row r="191" spans="1:9">
      <c r="A191" s="563" t="s">
        <v>642</v>
      </c>
      <c r="B191" s="563">
        <v>22000</v>
      </c>
      <c r="C191" s="564">
        <v>14</v>
      </c>
      <c r="D191" s="564">
        <v>0.21</v>
      </c>
      <c r="E191" s="564">
        <v>5398</v>
      </c>
      <c r="F191" s="564">
        <v>27398</v>
      </c>
      <c r="G191" s="564">
        <v>770</v>
      </c>
      <c r="H191" s="564">
        <v>1902</v>
      </c>
      <c r="I191" s="557" t="str">
        <f t="shared" si="2"/>
        <v>GooD</v>
      </c>
    </row>
    <row r="192" spans="1:9" ht="15.75" thickBot="1">
      <c r="A192" s="565" t="s">
        <v>642</v>
      </c>
      <c r="B192" s="565">
        <v>22000</v>
      </c>
      <c r="C192" s="566">
        <v>16</v>
      </c>
      <c r="D192" s="566">
        <v>0.21</v>
      </c>
      <c r="E192" s="566">
        <v>6176</v>
      </c>
      <c r="F192" s="566">
        <v>28176</v>
      </c>
      <c r="G192" s="566">
        <v>880</v>
      </c>
      <c r="H192" s="566">
        <v>1706</v>
      </c>
      <c r="I192" s="558" t="str">
        <f t="shared" si="2"/>
        <v>GooD</v>
      </c>
    </row>
    <row r="193" spans="1:9" ht="15.75" thickTop="1">
      <c r="A193" s="567" t="s">
        <v>642</v>
      </c>
      <c r="B193" s="567">
        <v>22000</v>
      </c>
      <c r="C193" s="568">
        <v>18</v>
      </c>
      <c r="D193" s="568">
        <v>0.21</v>
      </c>
      <c r="E193" s="568">
        <v>6944</v>
      </c>
      <c r="F193" s="568">
        <v>28944</v>
      </c>
      <c r="G193" s="568">
        <v>990</v>
      </c>
      <c r="H193" s="568">
        <v>1553</v>
      </c>
      <c r="I193" s="559" t="str">
        <f t="shared" si="2"/>
        <v>GooD</v>
      </c>
    </row>
    <row r="194" spans="1:9">
      <c r="A194" s="563" t="s">
        <v>642</v>
      </c>
      <c r="B194" s="563">
        <v>22000</v>
      </c>
      <c r="C194" s="564">
        <v>20</v>
      </c>
      <c r="D194" s="564">
        <v>0.21</v>
      </c>
      <c r="E194" s="564">
        <v>7720</v>
      </c>
      <c r="F194" s="564">
        <v>29720</v>
      </c>
      <c r="G194" s="564">
        <v>1100</v>
      </c>
      <c r="H194" s="564">
        <v>1431</v>
      </c>
      <c r="I194" s="557" t="str">
        <f t="shared" si="2"/>
        <v>GooD</v>
      </c>
    </row>
    <row r="195" spans="1:9" ht="15.75" thickBot="1">
      <c r="A195" s="565" t="s">
        <v>642</v>
      </c>
      <c r="B195" s="565">
        <v>22000</v>
      </c>
      <c r="C195" s="566">
        <v>22</v>
      </c>
      <c r="D195" s="566">
        <v>0.21</v>
      </c>
      <c r="E195" s="566">
        <v>8492</v>
      </c>
      <c r="F195" s="566">
        <v>30492</v>
      </c>
      <c r="G195" s="566">
        <v>1210</v>
      </c>
      <c r="H195" s="566">
        <v>1331</v>
      </c>
      <c r="I195" s="558" t="str">
        <f t="shared" si="2"/>
        <v>GooD</v>
      </c>
    </row>
    <row r="196" spans="1:9" ht="15.75" thickTop="1">
      <c r="A196" s="567" t="s">
        <v>642</v>
      </c>
      <c r="B196" s="567">
        <v>22000</v>
      </c>
      <c r="C196" s="568">
        <v>24</v>
      </c>
      <c r="D196" s="568">
        <v>0.21</v>
      </c>
      <c r="E196" s="568">
        <v>9248</v>
      </c>
      <c r="F196" s="568">
        <v>31248</v>
      </c>
      <c r="G196" s="568">
        <v>1320</v>
      </c>
      <c r="H196" s="568">
        <v>1247</v>
      </c>
      <c r="I196" s="559" t="str">
        <f t="shared" si="2"/>
        <v>GooD</v>
      </c>
    </row>
    <row r="197" spans="1:9">
      <c r="A197" s="563" t="s">
        <v>642</v>
      </c>
      <c r="B197" s="563">
        <v>23000</v>
      </c>
      <c r="C197" s="564">
        <v>6</v>
      </c>
      <c r="D197" s="564">
        <v>0.21</v>
      </c>
      <c r="E197" s="564">
        <v>2419</v>
      </c>
      <c r="F197" s="564">
        <v>25419</v>
      </c>
      <c r="G197" s="564">
        <v>345</v>
      </c>
      <c r="H197" s="564">
        <v>4179</v>
      </c>
      <c r="I197" s="557" t="str">
        <f t="shared" si="2"/>
        <v>GooD</v>
      </c>
    </row>
    <row r="198" spans="1:9" ht="15.75" thickBot="1">
      <c r="A198" s="565" t="s">
        <v>642</v>
      </c>
      <c r="B198" s="565">
        <v>23000</v>
      </c>
      <c r="C198" s="566">
        <v>8</v>
      </c>
      <c r="D198" s="566">
        <v>0.21</v>
      </c>
      <c r="E198" s="566">
        <v>3228</v>
      </c>
      <c r="F198" s="566">
        <v>26228</v>
      </c>
      <c r="G198" s="566">
        <v>460</v>
      </c>
      <c r="H198" s="566">
        <v>3221</v>
      </c>
      <c r="I198" s="558" t="str">
        <f t="shared" si="2"/>
        <v>GooD</v>
      </c>
    </row>
    <row r="199" spans="1:9" ht="15.75" thickTop="1">
      <c r="A199" s="567" t="s">
        <v>642</v>
      </c>
      <c r="B199" s="567">
        <v>23000</v>
      </c>
      <c r="C199" s="568">
        <v>10</v>
      </c>
      <c r="D199" s="568">
        <v>0.21</v>
      </c>
      <c r="E199" s="568">
        <v>4035</v>
      </c>
      <c r="F199" s="568">
        <v>27035</v>
      </c>
      <c r="G199" s="568">
        <v>575</v>
      </c>
      <c r="H199" s="568">
        <v>2646</v>
      </c>
      <c r="I199" s="559" t="str">
        <f t="shared" ref="I199:I262" si="3">IF(((H199*C199)+G199)=F199,"GooD","لالالالالالالا")</f>
        <v>GooD</v>
      </c>
    </row>
    <row r="200" spans="1:9">
      <c r="A200" s="563" t="s">
        <v>642</v>
      </c>
      <c r="B200" s="563">
        <v>23000</v>
      </c>
      <c r="C200" s="564">
        <v>12</v>
      </c>
      <c r="D200" s="564">
        <v>0.21</v>
      </c>
      <c r="E200" s="564">
        <v>4834</v>
      </c>
      <c r="F200" s="564">
        <v>27834</v>
      </c>
      <c r="G200" s="564">
        <v>690</v>
      </c>
      <c r="H200" s="564">
        <v>2262</v>
      </c>
      <c r="I200" s="557" t="str">
        <f t="shared" si="3"/>
        <v>GooD</v>
      </c>
    </row>
    <row r="201" spans="1:9" ht="15.75" thickBot="1">
      <c r="A201" s="565" t="s">
        <v>642</v>
      </c>
      <c r="B201" s="565">
        <v>23000</v>
      </c>
      <c r="C201" s="566">
        <v>14</v>
      </c>
      <c r="D201" s="566">
        <v>0.21</v>
      </c>
      <c r="E201" s="566">
        <v>5637</v>
      </c>
      <c r="F201" s="566">
        <v>28637</v>
      </c>
      <c r="G201" s="566">
        <v>805</v>
      </c>
      <c r="H201" s="566">
        <v>1988</v>
      </c>
      <c r="I201" s="558" t="str">
        <f t="shared" si="3"/>
        <v>GooD</v>
      </c>
    </row>
    <row r="202" spans="1:9" ht="15.75" thickTop="1">
      <c r="A202" s="567" t="s">
        <v>642</v>
      </c>
      <c r="B202" s="567">
        <v>23000</v>
      </c>
      <c r="C202" s="568">
        <v>16</v>
      </c>
      <c r="D202" s="568">
        <v>0.21</v>
      </c>
      <c r="E202" s="568">
        <v>6448</v>
      </c>
      <c r="F202" s="568">
        <v>29448</v>
      </c>
      <c r="G202" s="568">
        <v>920</v>
      </c>
      <c r="H202" s="568">
        <v>1783</v>
      </c>
      <c r="I202" s="559" t="str">
        <f t="shared" si="3"/>
        <v>GooD</v>
      </c>
    </row>
    <row r="203" spans="1:9">
      <c r="A203" s="563" t="s">
        <v>642</v>
      </c>
      <c r="B203" s="563">
        <v>23000</v>
      </c>
      <c r="C203" s="564">
        <v>18</v>
      </c>
      <c r="D203" s="564">
        <v>0.21</v>
      </c>
      <c r="E203" s="564">
        <v>7249</v>
      </c>
      <c r="F203" s="564">
        <v>30249</v>
      </c>
      <c r="G203" s="564">
        <v>1035</v>
      </c>
      <c r="H203" s="564">
        <v>1623</v>
      </c>
      <c r="I203" s="557" t="str">
        <f t="shared" si="3"/>
        <v>GooD</v>
      </c>
    </row>
    <row r="204" spans="1:9" ht="15.75" thickBot="1">
      <c r="A204" s="565" t="s">
        <v>642</v>
      </c>
      <c r="B204" s="565">
        <v>23000</v>
      </c>
      <c r="C204" s="566">
        <v>20</v>
      </c>
      <c r="D204" s="566">
        <v>0.21</v>
      </c>
      <c r="E204" s="566">
        <v>8070</v>
      </c>
      <c r="F204" s="566">
        <v>31070</v>
      </c>
      <c r="G204" s="566">
        <v>1150</v>
      </c>
      <c r="H204" s="566">
        <v>1496</v>
      </c>
      <c r="I204" s="558" t="str">
        <f t="shared" si="3"/>
        <v>GooD</v>
      </c>
    </row>
    <row r="205" spans="1:9" ht="15.75" thickTop="1">
      <c r="A205" s="567" t="s">
        <v>642</v>
      </c>
      <c r="B205" s="567">
        <v>23000</v>
      </c>
      <c r="C205" s="568">
        <v>22</v>
      </c>
      <c r="D205" s="568">
        <v>0.21</v>
      </c>
      <c r="E205" s="568">
        <v>8867</v>
      </c>
      <c r="F205" s="568">
        <v>31867</v>
      </c>
      <c r="G205" s="568">
        <v>1265</v>
      </c>
      <c r="H205" s="568">
        <v>1391</v>
      </c>
      <c r="I205" s="559" t="str">
        <f t="shared" si="3"/>
        <v>GooD</v>
      </c>
    </row>
    <row r="206" spans="1:9">
      <c r="A206" s="563" t="s">
        <v>642</v>
      </c>
      <c r="B206" s="563">
        <v>23000</v>
      </c>
      <c r="C206" s="564">
        <v>24</v>
      </c>
      <c r="D206" s="564">
        <v>0.21</v>
      </c>
      <c r="E206" s="564">
        <v>9676</v>
      </c>
      <c r="F206" s="564">
        <v>32676</v>
      </c>
      <c r="G206" s="564">
        <v>1380</v>
      </c>
      <c r="H206" s="564">
        <v>1304</v>
      </c>
      <c r="I206" s="557" t="str">
        <f t="shared" si="3"/>
        <v>GooD</v>
      </c>
    </row>
    <row r="207" spans="1:9" ht="15.75" thickBot="1">
      <c r="A207" s="565" t="s">
        <v>642</v>
      </c>
      <c r="B207" s="565">
        <v>24000</v>
      </c>
      <c r="C207" s="566">
        <v>6</v>
      </c>
      <c r="D207" s="566">
        <v>0.21</v>
      </c>
      <c r="E207" s="566">
        <v>2526</v>
      </c>
      <c r="F207" s="566">
        <v>26526</v>
      </c>
      <c r="G207" s="566">
        <v>360</v>
      </c>
      <c r="H207" s="566">
        <v>4361</v>
      </c>
      <c r="I207" s="558" t="str">
        <f t="shared" si="3"/>
        <v>GooD</v>
      </c>
    </row>
    <row r="208" spans="1:9" ht="15.75" thickTop="1">
      <c r="A208" s="567" t="s">
        <v>642</v>
      </c>
      <c r="B208" s="567">
        <v>24000</v>
      </c>
      <c r="C208" s="568">
        <v>8</v>
      </c>
      <c r="D208" s="568">
        <v>0.21</v>
      </c>
      <c r="E208" s="568">
        <v>3368</v>
      </c>
      <c r="F208" s="568">
        <v>27368</v>
      </c>
      <c r="G208" s="568">
        <v>480</v>
      </c>
      <c r="H208" s="568">
        <v>3361</v>
      </c>
      <c r="I208" s="559" t="str">
        <f t="shared" si="3"/>
        <v>GooD</v>
      </c>
    </row>
    <row r="209" spans="1:9">
      <c r="A209" s="563" t="s">
        <v>642</v>
      </c>
      <c r="B209" s="563">
        <v>24000</v>
      </c>
      <c r="C209" s="564">
        <v>10</v>
      </c>
      <c r="D209" s="564">
        <v>0.21</v>
      </c>
      <c r="E209" s="564">
        <v>4210</v>
      </c>
      <c r="F209" s="564">
        <v>28210</v>
      </c>
      <c r="G209" s="564">
        <v>600</v>
      </c>
      <c r="H209" s="564">
        <v>2761</v>
      </c>
      <c r="I209" s="557" t="str">
        <f t="shared" si="3"/>
        <v>GooD</v>
      </c>
    </row>
    <row r="210" spans="1:9" ht="15.75" thickBot="1">
      <c r="A210" s="565" t="s">
        <v>642</v>
      </c>
      <c r="B210" s="565">
        <v>24000</v>
      </c>
      <c r="C210" s="566">
        <v>12</v>
      </c>
      <c r="D210" s="566">
        <v>0.21</v>
      </c>
      <c r="E210" s="566">
        <v>5052</v>
      </c>
      <c r="F210" s="566">
        <v>29052</v>
      </c>
      <c r="G210" s="566">
        <v>720</v>
      </c>
      <c r="H210" s="566">
        <v>2361</v>
      </c>
      <c r="I210" s="558" t="str">
        <f t="shared" si="3"/>
        <v>GooD</v>
      </c>
    </row>
    <row r="211" spans="1:9" ht="15.75" thickTop="1">
      <c r="A211" s="567" t="s">
        <v>642</v>
      </c>
      <c r="B211" s="567">
        <v>24000</v>
      </c>
      <c r="C211" s="568">
        <v>14</v>
      </c>
      <c r="D211" s="568">
        <v>0.21</v>
      </c>
      <c r="E211" s="568">
        <v>5890</v>
      </c>
      <c r="F211" s="568">
        <v>29890</v>
      </c>
      <c r="G211" s="568">
        <v>840</v>
      </c>
      <c r="H211" s="568">
        <v>2075</v>
      </c>
      <c r="I211" s="559" t="str">
        <f t="shared" si="3"/>
        <v>GooD</v>
      </c>
    </row>
    <row r="212" spans="1:9">
      <c r="A212" s="563" t="s">
        <v>642</v>
      </c>
      <c r="B212" s="563">
        <v>24000</v>
      </c>
      <c r="C212" s="564">
        <v>16</v>
      </c>
      <c r="D212" s="564">
        <v>0.21</v>
      </c>
      <c r="E212" s="564">
        <v>6736</v>
      </c>
      <c r="F212" s="564">
        <v>30736</v>
      </c>
      <c r="G212" s="564">
        <v>960</v>
      </c>
      <c r="H212" s="564">
        <v>1861</v>
      </c>
      <c r="I212" s="557" t="str">
        <f t="shared" si="3"/>
        <v>GooD</v>
      </c>
    </row>
    <row r="213" spans="1:9" ht="15.75" thickBot="1">
      <c r="A213" s="565" t="s">
        <v>642</v>
      </c>
      <c r="B213" s="565">
        <v>24000</v>
      </c>
      <c r="C213" s="566">
        <v>18</v>
      </c>
      <c r="D213" s="566">
        <v>0.21</v>
      </c>
      <c r="E213" s="566">
        <v>7572</v>
      </c>
      <c r="F213" s="566">
        <v>31572</v>
      </c>
      <c r="G213" s="566">
        <v>1080</v>
      </c>
      <c r="H213" s="566">
        <v>1694</v>
      </c>
      <c r="I213" s="558" t="str">
        <f t="shared" si="3"/>
        <v>GooD</v>
      </c>
    </row>
    <row r="214" spans="1:9" ht="15.75" thickTop="1">
      <c r="A214" s="567" t="s">
        <v>642</v>
      </c>
      <c r="B214" s="567">
        <v>24000</v>
      </c>
      <c r="C214" s="568">
        <v>20</v>
      </c>
      <c r="D214" s="568">
        <v>0.21</v>
      </c>
      <c r="E214" s="568">
        <v>8420</v>
      </c>
      <c r="F214" s="568">
        <v>32420</v>
      </c>
      <c r="G214" s="568">
        <v>1200</v>
      </c>
      <c r="H214" s="568">
        <v>1561</v>
      </c>
      <c r="I214" s="559" t="str">
        <f t="shared" si="3"/>
        <v>GooD</v>
      </c>
    </row>
    <row r="215" spans="1:9">
      <c r="A215" s="563" t="s">
        <v>642</v>
      </c>
      <c r="B215" s="563">
        <v>24000</v>
      </c>
      <c r="C215" s="564">
        <v>22</v>
      </c>
      <c r="D215" s="564">
        <v>0.21</v>
      </c>
      <c r="E215" s="564">
        <v>9242</v>
      </c>
      <c r="F215" s="564">
        <v>33242</v>
      </c>
      <c r="G215" s="564">
        <v>1320</v>
      </c>
      <c r="H215" s="564">
        <v>1451</v>
      </c>
      <c r="I215" s="557" t="str">
        <f t="shared" si="3"/>
        <v>GooD</v>
      </c>
    </row>
    <row r="216" spans="1:9" ht="15.75" thickBot="1">
      <c r="A216" s="565" t="s">
        <v>642</v>
      </c>
      <c r="B216" s="565">
        <v>24000</v>
      </c>
      <c r="C216" s="566">
        <v>24</v>
      </c>
      <c r="D216" s="566">
        <v>0.21</v>
      </c>
      <c r="E216" s="566">
        <v>10104</v>
      </c>
      <c r="F216" s="566">
        <v>34104</v>
      </c>
      <c r="G216" s="566">
        <v>1440</v>
      </c>
      <c r="H216" s="566">
        <v>1361</v>
      </c>
      <c r="I216" s="558" t="str">
        <f t="shared" si="3"/>
        <v>GooD</v>
      </c>
    </row>
    <row r="217" spans="1:9" ht="15.75" thickTop="1">
      <c r="A217" s="567" t="s">
        <v>642</v>
      </c>
      <c r="B217" s="567">
        <v>25000</v>
      </c>
      <c r="C217" s="568">
        <v>6</v>
      </c>
      <c r="D217" s="568">
        <v>0.21</v>
      </c>
      <c r="E217" s="568">
        <v>2627</v>
      </c>
      <c r="F217" s="568">
        <v>27627</v>
      </c>
      <c r="G217" s="568">
        <v>375</v>
      </c>
      <c r="H217" s="568">
        <v>4542</v>
      </c>
      <c r="I217" s="559" t="str">
        <f t="shared" si="3"/>
        <v>GooD</v>
      </c>
    </row>
    <row r="218" spans="1:9">
      <c r="A218" s="563" t="s">
        <v>642</v>
      </c>
      <c r="B218" s="563">
        <v>25000</v>
      </c>
      <c r="C218" s="564">
        <v>8</v>
      </c>
      <c r="D218" s="564">
        <v>0.21</v>
      </c>
      <c r="E218" s="564">
        <v>3508</v>
      </c>
      <c r="F218" s="564">
        <v>28508</v>
      </c>
      <c r="G218" s="564">
        <v>500</v>
      </c>
      <c r="H218" s="564">
        <v>3501</v>
      </c>
      <c r="I218" s="557" t="str">
        <f t="shared" si="3"/>
        <v>GooD</v>
      </c>
    </row>
    <row r="219" spans="1:9" ht="15.75" thickBot="1">
      <c r="A219" s="565" t="s">
        <v>642</v>
      </c>
      <c r="B219" s="565">
        <v>25000</v>
      </c>
      <c r="C219" s="566">
        <v>10</v>
      </c>
      <c r="D219" s="566">
        <v>0.21</v>
      </c>
      <c r="E219" s="566">
        <v>4385</v>
      </c>
      <c r="F219" s="566">
        <v>29385</v>
      </c>
      <c r="G219" s="566">
        <v>625</v>
      </c>
      <c r="H219" s="566">
        <v>2876</v>
      </c>
      <c r="I219" s="558" t="str">
        <f t="shared" si="3"/>
        <v>GooD</v>
      </c>
    </row>
    <row r="220" spans="1:9" ht="15.75" thickTop="1">
      <c r="A220" s="567" t="s">
        <v>642</v>
      </c>
      <c r="B220" s="567">
        <v>25000</v>
      </c>
      <c r="C220" s="568">
        <v>12</v>
      </c>
      <c r="D220" s="568">
        <v>0.21</v>
      </c>
      <c r="E220" s="568">
        <v>5258</v>
      </c>
      <c r="F220" s="568">
        <v>30258</v>
      </c>
      <c r="G220" s="568">
        <v>750</v>
      </c>
      <c r="H220" s="568">
        <v>2459</v>
      </c>
      <c r="I220" s="559" t="str">
        <f t="shared" si="3"/>
        <v>GooD</v>
      </c>
    </row>
    <row r="221" spans="1:9">
      <c r="A221" s="563" t="s">
        <v>642</v>
      </c>
      <c r="B221" s="563">
        <v>25000</v>
      </c>
      <c r="C221" s="564">
        <v>14</v>
      </c>
      <c r="D221" s="564">
        <v>0.21</v>
      </c>
      <c r="E221" s="564">
        <v>6129</v>
      </c>
      <c r="F221" s="564">
        <v>31129</v>
      </c>
      <c r="G221" s="564">
        <v>875</v>
      </c>
      <c r="H221" s="564">
        <v>2161</v>
      </c>
      <c r="I221" s="557" t="str">
        <f t="shared" si="3"/>
        <v>GooD</v>
      </c>
    </row>
    <row r="222" spans="1:9" ht="15.75" thickBot="1">
      <c r="A222" s="565" t="s">
        <v>642</v>
      </c>
      <c r="B222" s="565">
        <v>25000</v>
      </c>
      <c r="C222" s="566">
        <v>16</v>
      </c>
      <c r="D222" s="566">
        <v>0.21</v>
      </c>
      <c r="E222" s="566">
        <v>7008</v>
      </c>
      <c r="F222" s="566">
        <v>32008</v>
      </c>
      <c r="G222" s="566">
        <v>1000</v>
      </c>
      <c r="H222" s="566">
        <v>1938</v>
      </c>
      <c r="I222" s="558" t="str">
        <f t="shared" si="3"/>
        <v>GooD</v>
      </c>
    </row>
    <row r="223" spans="1:9" ht="15.75" thickTop="1">
      <c r="A223" s="567" t="s">
        <v>642</v>
      </c>
      <c r="B223" s="567">
        <v>25000</v>
      </c>
      <c r="C223" s="568">
        <v>18</v>
      </c>
      <c r="D223" s="568">
        <v>0.21</v>
      </c>
      <c r="E223" s="568">
        <v>7877</v>
      </c>
      <c r="F223" s="568">
        <v>32877</v>
      </c>
      <c r="G223" s="568">
        <v>1125</v>
      </c>
      <c r="H223" s="568">
        <v>1764</v>
      </c>
      <c r="I223" s="559" t="str">
        <f t="shared" si="3"/>
        <v>GooD</v>
      </c>
    </row>
    <row r="224" spans="1:9">
      <c r="A224" s="563" t="s">
        <v>642</v>
      </c>
      <c r="B224" s="563">
        <v>25000</v>
      </c>
      <c r="C224" s="564">
        <v>20</v>
      </c>
      <c r="D224" s="564">
        <v>0.21</v>
      </c>
      <c r="E224" s="564">
        <v>8770</v>
      </c>
      <c r="F224" s="564">
        <v>33770</v>
      </c>
      <c r="G224" s="564">
        <v>1250</v>
      </c>
      <c r="H224" s="564">
        <v>1626</v>
      </c>
      <c r="I224" s="557" t="str">
        <f t="shared" si="3"/>
        <v>GooD</v>
      </c>
    </row>
    <row r="225" spans="1:9" ht="15.75" thickBot="1">
      <c r="A225" s="565" t="s">
        <v>642</v>
      </c>
      <c r="B225" s="565">
        <v>25000</v>
      </c>
      <c r="C225" s="566">
        <v>22</v>
      </c>
      <c r="D225" s="566">
        <v>0.21</v>
      </c>
      <c r="E225" s="566">
        <v>9639</v>
      </c>
      <c r="F225" s="566">
        <v>34639</v>
      </c>
      <c r="G225" s="566">
        <v>1375</v>
      </c>
      <c r="H225" s="566">
        <v>1512</v>
      </c>
      <c r="I225" s="558" t="str">
        <f t="shared" si="3"/>
        <v>GooD</v>
      </c>
    </row>
    <row r="226" spans="1:9" ht="15.75" thickTop="1">
      <c r="A226" s="567" t="s">
        <v>642</v>
      </c>
      <c r="B226" s="567">
        <v>25000</v>
      </c>
      <c r="C226" s="568">
        <v>24</v>
      </c>
      <c r="D226" s="568">
        <v>0.21</v>
      </c>
      <c r="E226" s="568">
        <v>10508</v>
      </c>
      <c r="F226" s="568">
        <v>35508</v>
      </c>
      <c r="G226" s="568">
        <v>1500</v>
      </c>
      <c r="H226" s="568">
        <v>1417</v>
      </c>
      <c r="I226" s="559" t="str">
        <f t="shared" si="3"/>
        <v>GooD</v>
      </c>
    </row>
    <row r="227" spans="1:9">
      <c r="A227" s="563" t="s">
        <v>642</v>
      </c>
      <c r="B227" s="563">
        <v>26000</v>
      </c>
      <c r="C227" s="564">
        <v>6</v>
      </c>
      <c r="D227" s="564">
        <v>0.21</v>
      </c>
      <c r="E227" s="564">
        <v>2734</v>
      </c>
      <c r="F227" s="564">
        <v>28734</v>
      </c>
      <c r="G227" s="564">
        <v>390</v>
      </c>
      <c r="H227" s="564">
        <v>4724</v>
      </c>
      <c r="I227" s="557" t="str">
        <f t="shared" si="3"/>
        <v>GooD</v>
      </c>
    </row>
    <row r="228" spans="1:9" ht="15.75" thickBot="1">
      <c r="A228" s="565" t="s">
        <v>642</v>
      </c>
      <c r="B228" s="565">
        <v>26000</v>
      </c>
      <c r="C228" s="566">
        <v>8</v>
      </c>
      <c r="D228" s="566">
        <v>0.21</v>
      </c>
      <c r="E228" s="566">
        <v>3648</v>
      </c>
      <c r="F228" s="566">
        <v>29648</v>
      </c>
      <c r="G228" s="566">
        <v>520</v>
      </c>
      <c r="H228" s="566">
        <v>3641</v>
      </c>
      <c r="I228" s="558" t="str">
        <f t="shared" si="3"/>
        <v>GooD</v>
      </c>
    </row>
    <row r="229" spans="1:9" ht="15.75" thickTop="1">
      <c r="A229" s="567" t="s">
        <v>642</v>
      </c>
      <c r="B229" s="567">
        <v>26000</v>
      </c>
      <c r="C229" s="568">
        <v>10</v>
      </c>
      <c r="D229" s="568">
        <v>0.21</v>
      </c>
      <c r="E229" s="568">
        <v>4560</v>
      </c>
      <c r="F229" s="568">
        <v>30560</v>
      </c>
      <c r="G229" s="568">
        <v>650</v>
      </c>
      <c r="H229" s="568">
        <v>2991</v>
      </c>
      <c r="I229" s="559" t="str">
        <f t="shared" si="3"/>
        <v>GooD</v>
      </c>
    </row>
    <row r="230" spans="1:9">
      <c r="A230" s="563" t="s">
        <v>642</v>
      </c>
      <c r="B230" s="563">
        <v>26000</v>
      </c>
      <c r="C230" s="564">
        <v>12</v>
      </c>
      <c r="D230" s="564">
        <v>0.21</v>
      </c>
      <c r="E230" s="564">
        <v>5464</v>
      </c>
      <c r="F230" s="564">
        <v>31464</v>
      </c>
      <c r="G230" s="564">
        <v>780</v>
      </c>
      <c r="H230" s="564">
        <v>2557</v>
      </c>
      <c r="I230" s="557" t="str">
        <f t="shared" si="3"/>
        <v>GooD</v>
      </c>
    </row>
    <row r="231" spans="1:9" ht="15.75" thickBot="1">
      <c r="A231" s="565" t="s">
        <v>642</v>
      </c>
      <c r="B231" s="565">
        <v>26000</v>
      </c>
      <c r="C231" s="566">
        <v>14</v>
      </c>
      <c r="D231" s="566">
        <v>0.21</v>
      </c>
      <c r="E231" s="566">
        <v>6382</v>
      </c>
      <c r="F231" s="566">
        <v>32382</v>
      </c>
      <c r="G231" s="566">
        <v>910</v>
      </c>
      <c r="H231" s="566">
        <v>2248</v>
      </c>
      <c r="I231" s="558" t="str">
        <f t="shared" si="3"/>
        <v>GooD</v>
      </c>
    </row>
    <row r="232" spans="1:9" ht="15.75" thickTop="1">
      <c r="A232" s="567" t="s">
        <v>642</v>
      </c>
      <c r="B232" s="567">
        <v>26000</v>
      </c>
      <c r="C232" s="568">
        <v>16</v>
      </c>
      <c r="D232" s="568">
        <v>0.21</v>
      </c>
      <c r="E232" s="568">
        <v>7296</v>
      </c>
      <c r="F232" s="568">
        <v>33296</v>
      </c>
      <c r="G232" s="568">
        <v>1040</v>
      </c>
      <c r="H232" s="568">
        <v>2016</v>
      </c>
      <c r="I232" s="559" t="str">
        <f t="shared" si="3"/>
        <v>GooD</v>
      </c>
    </row>
    <row r="233" spans="1:9">
      <c r="A233" s="563" t="s">
        <v>642</v>
      </c>
      <c r="B233" s="563">
        <v>26000</v>
      </c>
      <c r="C233" s="564">
        <v>18</v>
      </c>
      <c r="D233" s="564">
        <v>0.21</v>
      </c>
      <c r="E233" s="564">
        <v>8200</v>
      </c>
      <c r="F233" s="564">
        <v>34200</v>
      </c>
      <c r="G233" s="564">
        <v>1170</v>
      </c>
      <c r="H233" s="564">
        <v>1835</v>
      </c>
      <c r="I233" s="557" t="str">
        <f t="shared" si="3"/>
        <v>GooD</v>
      </c>
    </row>
    <row r="234" spans="1:9" ht="15.75" thickBot="1">
      <c r="A234" s="565" t="s">
        <v>642</v>
      </c>
      <c r="B234" s="565">
        <v>26000</v>
      </c>
      <c r="C234" s="566">
        <v>20</v>
      </c>
      <c r="D234" s="566">
        <v>0.21</v>
      </c>
      <c r="E234" s="566">
        <v>9120</v>
      </c>
      <c r="F234" s="566">
        <v>35120</v>
      </c>
      <c r="G234" s="566">
        <v>1300</v>
      </c>
      <c r="H234" s="566">
        <v>1691</v>
      </c>
      <c r="I234" s="558" t="str">
        <f t="shared" si="3"/>
        <v>GooD</v>
      </c>
    </row>
    <row r="235" spans="1:9" ht="15.75" thickTop="1">
      <c r="A235" s="567" t="s">
        <v>642</v>
      </c>
      <c r="B235" s="567">
        <v>26000</v>
      </c>
      <c r="C235" s="568">
        <v>22</v>
      </c>
      <c r="D235" s="568">
        <v>0.21</v>
      </c>
      <c r="E235" s="568">
        <v>10014</v>
      </c>
      <c r="F235" s="568">
        <v>36014</v>
      </c>
      <c r="G235" s="568">
        <v>1430</v>
      </c>
      <c r="H235" s="568">
        <v>1572</v>
      </c>
      <c r="I235" s="559" t="str">
        <f t="shared" si="3"/>
        <v>GooD</v>
      </c>
    </row>
    <row r="236" spans="1:9">
      <c r="A236" s="563" t="s">
        <v>642</v>
      </c>
      <c r="B236" s="563">
        <v>26000</v>
      </c>
      <c r="C236" s="564">
        <v>24</v>
      </c>
      <c r="D236" s="564">
        <v>0.21</v>
      </c>
      <c r="E236" s="564">
        <v>10936</v>
      </c>
      <c r="F236" s="564">
        <v>36936</v>
      </c>
      <c r="G236" s="564">
        <v>1560</v>
      </c>
      <c r="H236" s="564">
        <v>1474</v>
      </c>
      <c r="I236" s="557" t="str">
        <f t="shared" si="3"/>
        <v>GooD</v>
      </c>
    </row>
    <row r="237" spans="1:9" ht="15.75" thickBot="1">
      <c r="A237" s="565" t="s">
        <v>642</v>
      </c>
      <c r="B237" s="565">
        <v>27000</v>
      </c>
      <c r="C237" s="566">
        <v>6</v>
      </c>
      <c r="D237" s="566">
        <v>0.21</v>
      </c>
      <c r="E237" s="566">
        <v>2841</v>
      </c>
      <c r="F237" s="566">
        <v>29841</v>
      </c>
      <c r="G237" s="566">
        <v>405</v>
      </c>
      <c r="H237" s="566">
        <v>4906</v>
      </c>
      <c r="I237" s="558" t="str">
        <f t="shared" si="3"/>
        <v>GooD</v>
      </c>
    </row>
    <row r="238" spans="1:9" ht="15.75" thickTop="1">
      <c r="A238" s="567" t="s">
        <v>642</v>
      </c>
      <c r="B238" s="567">
        <v>27000</v>
      </c>
      <c r="C238" s="568">
        <v>8</v>
      </c>
      <c r="D238" s="568">
        <v>0.21</v>
      </c>
      <c r="E238" s="568">
        <v>3788</v>
      </c>
      <c r="F238" s="568">
        <v>30788</v>
      </c>
      <c r="G238" s="568">
        <v>540</v>
      </c>
      <c r="H238" s="568">
        <v>3781</v>
      </c>
      <c r="I238" s="559" t="str">
        <f t="shared" si="3"/>
        <v>GooD</v>
      </c>
    </row>
    <row r="239" spans="1:9">
      <c r="A239" s="563" t="s">
        <v>642</v>
      </c>
      <c r="B239" s="563">
        <v>27000</v>
      </c>
      <c r="C239" s="564">
        <v>10</v>
      </c>
      <c r="D239" s="564">
        <v>0.21</v>
      </c>
      <c r="E239" s="564">
        <v>4735</v>
      </c>
      <c r="F239" s="564">
        <v>31735</v>
      </c>
      <c r="G239" s="564">
        <v>675</v>
      </c>
      <c r="H239" s="564">
        <v>3106</v>
      </c>
      <c r="I239" s="557" t="str">
        <f t="shared" si="3"/>
        <v>GooD</v>
      </c>
    </row>
    <row r="240" spans="1:9" ht="15.75" thickBot="1">
      <c r="A240" s="565" t="s">
        <v>642</v>
      </c>
      <c r="B240" s="565">
        <v>27000</v>
      </c>
      <c r="C240" s="566">
        <v>12</v>
      </c>
      <c r="D240" s="566">
        <v>0.21</v>
      </c>
      <c r="E240" s="566">
        <v>5682</v>
      </c>
      <c r="F240" s="566">
        <v>32682</v>
      </c>
      <c r="G240" s="566">
        <v>810</v>
      </c>
      <c r="H240" s="566">
        <v>2656</v>
      </c>
      <c r="I240" s="558" t="str">
        <f t="shared" si="3"/>
        <v>GooD</v>
      </c>
    </row>
    <row r="241" spans="1:9" ht="15.75" thickTop="1">
      <c r="A241" s="569" t="s">
        <v>642</v>
      </c>
      <c r="B241" s="569">
        <v>27000</v>
      </c>
      <c r="C241" s="570">
        <v>14</v>
      </c>
      <c r="D241" s="570">
        <v>0.21</v>
      </c>
      <c r="E241" s="570">
        <v>6621</v>
      </c>
      <c r="F241" s="570">
        <v>33621</v>
      </c>
      <c r="G241" s="570">
        <v>945</v>
      </c>
      <c r="H241" s="570">
        <v>2334</v>
      </c>
      <c r="I241" s="560" t="str">
        <f t="shared" si="3"/>
        <v>GooD</v>
      </c>
    </row>
    <row r="242" spans="1:9">
      <c r="A242" s="563" t="s">
        <v>642</v>
      </c>
      <c r="B242" s="563">
        <v>27000</v>
      </c>
      <c r="C242" s="564">
        <v>16</v>
      </c>
      <c r="D242" s="564">
        <v>0.21</v>
      </c>
      <c r="E242" s="564">
        <v>7568</v>
      </c>
      <c r="F242" s="564">
        <v>34568</v>
      </c>
      <c r="G242" s="564">
        <v>1080</v>
      </c>
      <c r="H242" s="564">
        <v>2093</v>
      </c>
      <c r="I242" s="557" t="str">
        <f t="shared" si="3"/>
        <v>GooD</v>
      </c>
    </row>
    <row r="243" spans="1:9">
      <c r="A243" s="563" t="s">
        <v>642</v>
      </c>
      <c r="B243" s="563">
        <v>27000</v>
      </c>
      <c r="C243" s="564">
        <v>18</v>
      </c>
      <c r="D243" s="564">
        <v>0.21</v>
      </c>
      <c r="E243" s="564">
        <v>8523</v>
      </c>
      <c r="F243" s="564">
        <v>35523</v>
      </c>
      <c r="G243" s="564">
        <v>1215</v>
      </c>
      <c r="H243" s="564">
        <v>1906</v>
      </c>
      <c r="I243" s="557" t="str">
        <f t="shared" si="3"/>
        <v>GooD</v>
      </c>
    </row>
    <row r="244" spans="1:9">
      <c r="A244" s="563" t="s">
        <v>642</v>
      </c>
      <c r="B244" s="563">
        <v>27000</v>
      </c>
      <c r="C244" s="564">
        <v>20</v>
      </c>
      <c r="D244" s="564">
        <v>0.21</v>
      </c>
      <c r="E244" s="564">
        <v>9470</v>
      </c>
      <c r="F244" s="564">
        <v>36470</v>
      </c>
      <c r="G244" s="564">
        <v>1350</v>
      </c>
      <c r="H244" s="564">
        <v>1756</v>
      </c>
      <c r="I244" s="557" t="str">
        <f t="shared" si="3"/>
        <v>GooD</v>
      </c>
    </row>
    <row r="245" spans="1:9" ht="15.75" thickBot="1">
      <c r="A245" s="565" t="s">
        <v>642</v>
      </c>
      <c r="B245" s="565">
        <v>27000</v>
      </c>
      <c r="C245" s="566">
        <v>22</v>
      </c>
      <c r="D245" s="566">
        <v>0.21</v>
      </c>
      <c r="E245" s="566">
        <v>10411</v>
      </c>
      <c r="F245" s="566">
        <v>37411</v>
      </c>
      <c r="G245" s="566">
        <v>1485</v>
      </c>
      <c r="H245" s="566">
        <v>1633</v>
      </c>
      <c r="I245" s="558" t="str">
        <f t="shared" si="3"/>
        <v>GooD</v>
      </c>
    </row>
    <row r="246" spans="1:9" ht="15.75" thickTop="1">
      <c r="A246" s="567" t="s">
        <v>642</v>
      </c>
      <c r="B246" s="567">
        <v>27000</v>
      </c>
      <c r="C246" s="568">
        <v>24</v>
      </c>
      <c r="D246" s="568">
        <v>0.21</v>
      </c>
      <c r="E246" s="568">
        <v>11364</v>
      </c>
      <c r="F246" s="568">
        <v>38364</v>
      </c>
      <c r="G246" s="568">
        <v>1620</v>
      </c>
      <c r="H246" s="568">
        <v>1531</v>
      </c>
      <c r="I246" s="559" t="str">
        <f t="shared" si="3"/>
        <v>GooD</v>
      </c>
    </row>
    <row r="247" spans="1:9">
      <c r="A247" s="563" t="s">
        <v>642</v>
      </c>
      <c r="B247" s="563">
        <v>28000</v>
      </c>
      <c r="C247" s="564">
        <v>6</v>
      </c>
      <c r="D247" s="564">
        <v>0.21</v>
      </c>
      <c r="E247" s="564">
        <v>2942</v>
      </c>
      <c r="F247" s="564">
        <v>30942</v>
      </c>
      <c r="G247" s="564">
        <v>420</v>
      </c>
      <c r="H247" s="564">
        <v>5087</v>
      </c>
      <c r="I247" s="557" t="str">
        <f t="shared" si="3"/>
        <v>GooD</v>
      </c>
    </row>
    <row r="248" spans="1:9">
      <c r="A248" s="563" t="s">
        <v>642</v>
      </c>
      <c r="B248" s="563">
        <v>28000</v>
      </c>
      <c r="C248" s="564">
        <v>8</v>
      </c>
      <c r="D248" s="564">
        <v>0.21</v>
      </c>
      <c r="E248" s="564">
        <v>3928</v>
      </c>
      <c r="F248" s="564">
        <v>31928</v>
      </c>
      <c r="G248" s="564">
        <v>560</v>
      </c>
      <c r="H248" s="564">
        <v>3921</v>
      </c>
      <c r="I248" s="557" t="str">
        <f t="shared" si="3"/>
        <v>GooD</v>
      </c>
    </row>
    <row r="249" spans="1:9">
      <c r="A249" s="563" t="s">
        <v>642</v>
      </c>
      <c r="B249" s="563">
        <v>28000</v>
      </c>
      <c r="C249" s="564">
        <v>10</v>
      </c>
      <c r="D249" s="564">
        <v>0.21</v>
      </c>
      <c r="E249" s="564">
        <v>4910</v>
      </c>
      <c r="F249" s="564">
        <v>32910</v>
      </c>
      <c r="G249" s="564">
        <v>700</v>
      </c>
      <c r="H249" s="564">
        <v>3221</v>
      </c>
      <c r="I249" s="557" t="str">
        <f t="shared" si="3"/>
        <v>GooD</v>
      </c>
    </row>
    <row r="250" spans="1:9" ht="15.75" thickBot="1">
      <c r="A250" s="565" t="s">
        <v>642</v>
      </c>
      <c r="B250" s="565">
        <v>28000</v>
      </c>
      <c r="C250" s="566">
        <v>12</v>
      </c>
      <c r="D250" s="566">
        <v>0.21</v>
      </c>
      <c r="E250" s="566">
        <v>5888</v>
      </c>
      <c r="F250" s="566">
        <v>33888</v>
      </c>
      <c r="G250" s="566">
        <v>840</v>
      </c>
      <c r="H250" s="566">
        <v>2754</v>
      </c>
      <c r="I250" s="558" t="str">
        <f t="shared" si="3"/>
        <v>GooD</v>
      </c>
    </row>
    <row r="251" spans="1:9" ht="15.75" thickTop="1">
      <c r="A251" s="567" t="s">
        <v>642</v>
      </c>
      <c r="B251" s="567">
        <v>28000</v>
      </c>
      <c r="C251" s="568">
        <v>14</v>
      </c>
      <c r="D251" s="568">
        <v>0.21</v>
      </c>
      <c r="E251" s="568">
        <v>6874</v>
      </c>
      <c r="F251" s="568">
        <v>34874</v>
      </c>
      <c r="G251" s="568">
        <v>980</v>
      </c>
      <c r="H251" s="568">
        <v>2421</v>
      </c>
      <c r="I251" s="559" t="str">
        <f t="shared" si="3"/>
        <v>GooD</v>
      </c>
    </row>
    <row r="252" spans="1:9">
      <c r="A252" s="563" t="s">
        <v>642</v>
      </c>
      <c r="B252" s="563">
        <v>28000</v>
      </c>
      <c r="C252" s="564">
        <v>16</v>
      </c>
      <c r="D252" s="564">
        <v>0.21</v>
      </c>
      <c r="E252" s="564">
        <v>7856</v>
      </c>
      <c r="F252" s="564">
        <v>35856</v>
      </c>
      <c r="G252" s="564">
        <v>1120</v>
      </c>
      <c r="H252" s="564">
        <v>2171</v>
      </c>
      <c r="I252" s="557" t="str">
        <f t="shared" si="3"/>
        <v>GooD</v>
      </c>
    </row>
    <row r="253" spans="1:9">
      <c r="A253" s="563" t="s">
        <v>642</v>
      </c>
      <c r="B253" s="563">
        <v>28000</v>
      </c>
      <c r="C253" s="564">
        <v>18</v>
      </c>
      <c r="D253" s="564">
        <v>0.21</v>
      </c>
      <c r="E253" s="564">
        <v>8828</v>
      </c>
      <c r="F253" s="564">
        <v>36828</v>
      </c>
      <c r="G253" s="564">
        <v>1260</v>
      </c>
      <c r="H253" s="564">
        <v>1976</v>
      </c>
      <c r="I253" s="557" t="str">
        <f t="shared" si="3"/>
        <v>GooD</v>
      </c>
    </row>
    <row r="254" spans="1:9">
      <c r="A254" s="563" t="s">
        <v>642</v>
      </c>
      <c r="B254" s="563">
        <v>28000</v>
      </c>
      <c r="C254" s="564">
        <v>20</v>
      </c>
      <c r="D254" s="564">
        <v>0.21</v>
      </c>
      <c r="E254" s="564">
        <v>9820</v>
      </c>
      <c r="F254" s="564">
        <v>37820</v>
      </c>
      <c r="G254" s="564">
        <v>1400</v>
      </c>
      <c r="H254" s="564">
        <v>1821</v>
      </c>
      <c r="I254" s="557" t="str">
        <f t="shared" si="3"/>
        <v>GooD</v>
      </c>
    </row>
    <row r="255" spans="1:9" ht="15.75" thickBot="1">
      <c r="A255" s="565" t="s">
        <v>642</v>
      </c>
      <c r="B255" s="565">
        <v>28000</v>
      </c>
      <c r="C255" s="566">
        <v>22</v>
      </c>
      <c r="D255" s="566">
        <v>0.21</v>
      </c>
      <c r="E255" s="566">
        <v>10786</v>
      </c>
      <c r="F255" s="566">
        <v>38786</v>
      </c>
      <c r="G255" s="566">
        <v>1540</v>
      </c>
      <c r="H255" s="566">
        <v>1693</v>
      </c>
      <c r="I255" s="558" t="str">
        <f t="shared" si="3"/>
        <v>GooD</v>
      </c>
    </row>
    <row r="256" spans="1:9" ht="15.75" thickTop="1">
      <c r="A256" s="567" t="s">
        <v>642</v>
      </c>
      <c r="B256" s="567">
        <v>28000</v>
      </c>
      <c r="C256" s="568">
        <v>24</v>
      </c>
      <c r="D256" s="568">
        <v>0.21</v>
      </c>
      <c r="E256" s="568">
        <v>11768</v>
      </c>
      <c r="F256" s="568">
        <v>39768</v>
      </c>
      <c r="G256" s="568">
        <v>1680</v>
      </c>
      <c r="H256" s="568">
        <v>1587</v>
      </c>
      <c r="I256" s="559" t="str">
        <f t="shared" si="3"/>
        <v>GooD</v>
      </c>
    </row>
    <row r="257" spans="1:9">
      <c r="A257" s="563" t="s">
        <v>642</v>
      </c>
      <c r="B257" s="563">
        <v>29000</v>
      </c>
      <c r="C257" s="564">
        <v>6</v>
      </c>
      <c r="D257" s="564">
        <v>0.21</v>
      </c>
      <c r="E257" s="564">
        <v>3049</v>
      </c>
      <c r="F257" s="564">
        <v>32049</v>
      </c>
      <c r="G257" s="564">
        <v>435</v>
      </c>
      <c r="H257" s="564">
        <v>5269</v>
      </c>
      <c r="I257" s="557" t="str">
        <f t="shared" si="3"/>
        <v>GooD</v>
      </c>
    </row>
    <row r="258" spans="1:9">
      <c r="A258" s="563" t="s">
        <v>642</v>
      </c>
      <c r="B258" s="563">
        <v>29000</v>
      </c>
      <c r="C258" s="564">
        <v>8</v>
      </c>
      <c r="D258" s="564">
        <v>0.21</v>
      </c>
      <c r="E258" s="564">
        <v>4068</v>
      </c>
      <c r="F258" s="564">
        <v>33068</v>
      </c>
      <c r="G258" s="564">
        <v>580</v>
      </c>
      <c r="H258" s="564">
        <v>4061</v>
      </c>
      <c r="I258" s="557" t="str">
        <f t="shared" si="3"/>
        <v>GooD</v>
      </c>
    </row>
    <row r="259" spans="1:9">
      <c r="A259" s="563" t="s">
        <v>642</v>
      </c>
      <c r="B259" s="563">
        <v>29000</v>
      </c>
      <c r="C259" s="564">
        <v>10</v>
      </c>
      <c r="D259" s="564">
        <v>0.21</v>
      </c>
      <c r="E259" s="564">
        <v>5085</v>
      </c>
      <c r="F259" s="564">
        <v>34085</v>
      </c>
      <c r="G259" s="564">
        <v>725</v>
      </c>
      <c r="H259" s="564">
        <v>3336</v>
      </c>
      <c r="I259" s="557" t="str">
        <f t="shared" si="3"/>
        <v>GooD</v>
      </c>
    </row>
    <row r="260" spans="1:9" ht="15.75" thickBot="1">
      <c r="A260" s="565" t="s">
        <v>642</v>
      </c>
      <c r="B260" s="565">
        <v>29000</v>
      </c>
      <c r="C260" s="566">
        <v>12</v>
      </c>
      <c r="D260" s="566">
        <v>0.21</v>
      </c>
      <c r="E260" s="566">
        <v>6094</v>
      </c>
      <c r="F260" s="566">
        <v>35094</v>
      </c>
      <c r="G260" s="566">
        <v>870</v>
      </c>
      <c r="H260" s="566">
        <v>2852</v>
      </c>
      <c r="I260" s="558" t="str">
        <f t="shared" si="3"/>
        <v>GooD</v>
      </c>
    </row>
    <row r="261" spans="1:9" ht="15.75" thickTop="1">
      <c r="A261" s="567" t="s">
        <v>642</v>
      </c>
      <c r="B261" s="567">
        <v>29000</v>
      </c>
      <c r="C261" s="568">
        <v>14</v>
      </c>
      <c r="D261" s="568">
        <v>0.21</v>
      </c>
      <c r="E261" s="568">
        <v>7113</v>
      </c>
      <c r="F261" s="568">
        <v>36113</v>
      </c>
      <c r="G261" s="568">
        <v>1015</v>
      </c>
      <c r="H261" s="568">
        <v>2507</v>
      </c>
      <c r="I261" s="559" t="str">
        <f t="shared" si="3"/>
        <v>GooD</v>
      </c>
    </row>
    <row r="262" spans="1:9">
      <c r="A262" s="563" t="s">
        <v>642</v>
      </c>
      <c r="B262" s="563">
        <v>29000</v>
      </c>
      <c r="C262" s="564">
        <v>16</v>
      </c>
      <c r="D262" s="564">
        <v>0.21</v>
      </c>
      <c r="E262" s="564">
        <v>8128</v>
      </c>
      <c r="F262" s="564">
        <v>37128</v>
      </c>
      <c r="G262" s="564">
        <v>1160</v>
      </c>
      <c r="H262" s="564">
        <v>2248</v>
      </c>
      <c r="I262" s="557" t="str">
        <f t="shared" si="3"/>
        <v>GooD</v>
      </c>
    </row>
    <row r="263" spans="1:9">
      <c r="A263" s="563" t="s">
        <v>642</v>
      </c>
      <c r="B263" s="563">
        <v>29000</v>
      </c>
      <c r="C263" s="564">
        <v>18</v>
      </c>
      <c r="D263" s="564">
        <v>0.21</v>
      </c>
      <c r="E263" s="564">
        <v>9151</v>
      </c>
      <c r="F263" s="564">
        <v>38151</v>
      </c>
      <c r="G263" s="564">
        <v>1305</v>
      </c>
      <c r="H263" s="564">
        <v>2047</v>
      </c>
      <c r="I263" s="557" t="str">
        <f t="shared" ref="I263:I326" si="4">IF(((H263*C263)+G263)=F263,"GooD","لالالالالالالا")</f>
        <v>GooD</v>
      </c>
    </row>
    <row r="264" spans="1:9">
      <c r="A264" s="563" t="s">
        <v>642</v>
      </c>
      <c r="B264" s="563">
        <v>29000</v>
      </c>
      <c r="C264" s="564">
        <v>20</v>
      </c>
      <c r="D264" s="564">
        <v>0.21</v>
      </c>
      <c r="E264" s="564">
        <v>10170</v>
      </c>
      <c r="F264" s="564">
        <v>39170</v>
      </c>
      <c r="G264" s="564">
        <v>1450</v>
      </c>
      <c r="H264" s="564">
        <v>1886</v>
      </c>
      <c r="I264" s="557" t="str">
        <f t="shared" si="4"/>
        <v>GooD</v>
      </c>
    </row>
    <row r="265" spans="1:9" ht="15.75" thickBot="1">
      <c r="A265" s="565" t="s">
        <v>642</v>
      </c>
      <c r="B265" s="565">
        <v>29000</v>
      </c>
      <c r="C265" s="566">
        <v>22</v>
      </c>
      <c r="D265" s="566">
        <v>0.21</v>
      </c>
      <c r="E265" s="566">
        <v>11183</v>
      </c>
      <c r="F265" s="566">
        <v>40183</v>
      </c>
      <c r="G265" s="566">
        <v>1595</v>
      </c>
      <c r="H265" s="566">
        <v>1754</v>
      </c>
      <c r="I265" s="558" t="str">
        <f t="shared" si="4"/>
        <v>GooD</v>
      </c>
    </row>
    <row r="266" spans="1:9" ht="15.75" thickTop="1">
      <c r="A266" s="567" t="s">
        <v>642</v>
      </c>
      <c r="B266" s="567">
        <v>29000</v>
      </c>
      <c r="C266" s="568">
        <v>24</v>
      </c>
      <c r="D266" s="568">
        <v>0.21</v>
      </c>
      <c r="E266" s="568">
        <v>12196</v>
      </c>
      <c r="F266" s="568">
        <v>41196</v>
      </c>
      <c r="G266" s="568">
        <v>1740</v>
      </c>
      <c r="H266" s="568">
        <v>1644</v>
      </c>
      <c r="I266" s="559" t="str">
        <f t="shared" si="4"/>
        <v>GooD</v>
      </c>
    </row>
    <row r="267" spans="1:9">
      <c r="A267" s="563" t="s">
        <v>642</v>
      </c>
      <c r="B267" s="563">
        <v>30000</v>
      </c>
      <c r="C267" s="564">
        <v>6</v>
      </c>
      <c r="D267" s="564">
        <v>0.21</v>
      </c>
      <c r="E267" s="564">
        <v>3156</v>
      </c>
      <c r="F267" s="564">
        <v>33156</v>
      </c>
      <c r="G267" s="564">
        <v>450</v>
      </c>
      <c r="H267" s="564">
        <v>5451</v>
      </c>
      <c r="I267" s="557" t="str">
        <f t="shared" si="4"/>
        <v>GooD</v>
      </c>
    </row>
    <row r="268" spans="1:9">
      <c r="A268" s="563" t="s">
        <v>642</v>
      </c>
      <c r="B268" s="563">
        <v>30000</v>
      </c>
      <c r="C268" s="564">
        <v>8</v>
      </c>
      <c r="D268" s="564">
        <v>0.21</v>
      </c>
      <c r="E268" s="564">
        <v>4208</v>
      </c>
      <c r="F268" s="564">
        <v>34208</v>
      </c>
      <c r="G268" s="564">
        <v>600</v>
      </c>
      <c r="H268" s="564">
        <v>4201</v>
      </c>
      <c r="I268" s="557" t="str">
        <f t="shared" si="4"/>
        <v>GooD</v>
      </c>
    </row>
    <row r="269" spans="1:9">
      <c r="A269" s="563" t="s">
        <v>642</v>
      </c>
      <c r="B269" s="563">
        <v>30000</v>
      </c>
      <c r="C269" s="564">
        <v>10</v>
      </c>
      <c r="D269" s="564">
        <v>0.21</v>
      </c>
      <c r="E269" s="564">
        <v>5260</v>
      </c>
      <c r="F269" s="564">
        <v>35260</v>
      </c>
      <c r="G269" s="564">
        <v>750</v>
      </c>
      <c r="H269" s="564">
        <v>3451</v>
      </c>
      <c r="I269" s="557" t="str">
        <f t="shared" si="4"/>
        <v>GooD</v>
      </c>
    </row>
    <row r="270" spans="1:9" ht="15.75" thickBot="1">
      <c r="A270" s="565" t="s">
        <v>642</v>
      </c>
      <c r="B270" s="565">
        <v>30000</v>
      </c>
      <c r="C270" s="566">
        <v>12</v>
      </c>
      <c r="D270" s="566">
        <v>0.21</v>
      </c>
      <c r="E270" s="566">
        <v>6312</v>
      </c>
      <c r="F270" s="566">
        <v>36312</v>
      </c>
      <c r="G270" s="566">
        <v>900</v>
      </c>
      <c r="H270" s="566">
        <v>2951</v>
      </c>
      <c r="I270" s="558" t="str">
        <f t="shared" si="4"/>
        <v>GooD</v>
      </c>
    </row>
    <row r="271" spans="1:9" ht="15.75" thickTop="1">
      <c r="A271" s="567" t="s">
        <v>642</v>
      </c>
      <c r="B271" s="567">
        <v>30000</v>
      </c>
      <c r="C271" s="568">
        <v>14</v>
      </c>
      <c r="D271" s="568">
        <v>0.21</v>
      </c>
      <c r="E271" s="568">
        <v>7352</v>
      </c>
      <c r="F271" s="568">
        <v>37352</v>
      </c>
      <c r="G271" s="568">
        <v>1050</v>
      </c>
      <c r="H271" s="568">
        <v>2593</v>
      </c>
      <c r="I271" s="559" t="str">
        <f t="shared" si="4"/>
        <v>GooD</v>
      </c>
    </row>
    <row r="272" spans="1:9">
      <c r="A272" s="563" t="s">
        <v>642</v>
      </c>
      <c r="B272" s="563">
        <v>30000</v>
      </c>
      <c r="C272" s="564">
        <v>16</v>
      </c>
      <c r="D272" s="564">
        <v>0.21</v>
      </c>
      <c r="E272" s="564">
        <v>8416</v>
      </c>
      <c r="F272" s="564">
        <v>38416</v>
      </c>
      <c r="G272" s="564">
        <v>1200</v>
      </c>
      <c r="H272" s="564">
        <v>2326</v>
      </c>
      <c r="I272" s="557" t="str">
        <f t="shared" si="4"/>
        <v>GooD</v>
      </c>
    </row>
    <row r="273" spans="1:9">
      <c r="A273" s="563" t="s">
        <v>642</v>
      </c>
      <c r="B273" s="563">
        <v>30000</v>
      </c>
      <c r="C273" s="564">
        <v>18</v>
      </c>
      <c r="D273" s="564">
        <v>0.21</v>
      </c>
      <c r="E273" s="564">
        <v>9456</v>
      </c>
      <c r="F273" s="564">
        <v>39456</v>
      </c>
      <c r="G273" s="564">
        <v>1350</v>
      </c>
      <c r="H273" s="564">
        <v>2117</v>
      </c>
      <c r="I273" s="557" t="str">
        <f t="shared" si="4"/>
        <v>GooD</v>
      </c>
    </row>
    <row r="274" spans="1:9">
      <c r="A274" s="563" t="s">
        <v>642</v>
      </c>
      <c r="B274" s="563">
        <v>30000</v>
      </c>
      <c r="C274" s="564">
        <v>20</v>
      </c>
      <c r="D274" s="564">
        <v>0.21</v>
      </c>
      <c r="E274" s="564">
        <v>10520</v>
      </c>
      <c r="F274" s="564">
        <v>40520</v>
      </c>
      <c r="G274" s="564">
        <v>1500</v>
      </c>
      <c r="H274" s="564">
        <v>1951</v>
      </c>
      <c r="I274" s="557" t="str">
        <f t="shared" si="4"/>
        <v>GooD</v>
      </c>
    </row>
    <row r="275" spans="1:9" ht="15.75" thickBot="1">
      <c r="A275" s="565" t="s">
        <v>642</v>
      </c>
      <c r="B275" s="565">
        <v>30000</v>
      </c>
      <c r="C275" s="566">
        <v>22</v>
      </c>
      <c r="D275" s="566">
        <v>0.21</v>
      </c>
      <c r="E275" s="566">
        <v>11558</v>
      </c>
      <c r="F275" s="566">
        <v>41558</v>
      </c>
      <c r="G275" s="566">
        <v>1650</v>
      </c>
      <c r="H275" s="566">
        <v>1814</v>
      </c>
      <c r="I275" s="558" t="str">
        <f t="shared" si="4"/>
        <v>GooD</v>
      </c>
    </row>
    <row r="276" spans="1:9" ht="15.75" thickTop="1">
      <c r="A276" s="567" t="s">
        <v>642</v>
      </c>
      <c r="B276" s="567">
        <v>30000</v>
      </c>
      <c r="C276" s="568">
        <v>24</v>
      </c>
      <c r="D276" s="568">
        <v>0.21</v>
      </c>
      <c r="E276" s="568">
        <v>12624</v>
      </c>
      <c r="F276" s="568">
        <v>42624</v>
      </c>
      <c r="G276" s="568">
        <v>1800</v>
      </c>
      <c r="H276" s="568">
        <v>1701</v>
      </c>
      <c r="I276" s="559" t="str">
        <f t="shared" si="4"/>
        <v>GooD</v>
      </c>
    </row>
    <row r="277" spans="1:9">
      <c r="A277" s="563" t="s">
        <v>642</v>
      </c>
      <c r="B277" s="563">
        <v>31000</v>
      </c>
      <c r="C277" s="564">
        <v>6</v>
      </c>
      <c r="D277" s="564">
        <v>0.21</v>
      </c>
      <c r="E277" s="564">
        <v>3257</v>
      </c>
      <c r="F277" s="564">
        <v>34257</v>
      </c>
      <c r="G277" s="564">
        <v>465</v>
      </c>
      <c r="H277" s="564">
        <v>5632</v>
      </c>
      <c r="I277" s="557" t="str">
        <f t="shared" si="4"/>
        <v>GooD</v>
      </c>
    </row>
    <row r="278" spans="1:9">
      <c r="A278" s="563" t="s">
        <v>642</v>
      </c>
      <c r="B278" s="563">
        <v>31000</v>
      </c>
      <c r="C278" s="564">
        <v>8</v>
      </c>
      <c r="D278" s="564">
        <v>0.21</v>
      </c>
      <c r="E278" s="564">
        <v>4348</v>
      </c>
      <c r="F278" s="564">
        <v>35348</v>
      </c>
      <c r="G278" s="564">
        <v>620</v>
      </c>
      <c r="H278" s="564">
        <v>4341</v>
      </c>
      <c r="I278" s="557" t="str">
        <f t="shared" si="4"/>
        <v>GooD</v>
      </c>
    </row>
    <row r="279" spans="1:9">
      <c r="A279" s="563" t="s">
        <v>642</v>
      </c>
      <c r="B279" s="563">
        <v>31000</v>
      </c>
      <c r="C279" s="564">
        <v>10</v>
      </c>
      <c r="D279" s="564">
        <v>0.21</v>
      </c>
      <c r="E279" s="564">
        <v>5435</v>
      </c>
      <c r="F279" s="564">
        <v>36435</v>
      </c>
      <c r="G279" s="564">
        <v>775</v>
      </c>
      <c r="H279" s="564">
        <v>3566</v>
      </c>
      <c r="I279" s="557" t="str">
        <f t="shared" si="4"/>
        <v>GooD</v>
      </c>
    </row>
    <row r="280" spans="1:9" ht="15.75" thickBot="1">
      <c r="A280" s="565" t="s">
        <v>642</v>
      </c>
      <c r="B280" s="565">
        <v>31000</v>
      </c>
      <c r="C280" s="566">
        <v>12</v>
      </c>
      <c r="D280" s="566">
        <v>0.21</v>
      </c>
      <c r="E280" s="566">
        <v>6518</v>
      </c>
      <c r="F280" s="566">
        <v>37518</v>
      </c>
      <c r="G280" s="566">
        <v>930</v>
      </c>
      <c r="H280" s="566">
        <v>3049</v>
      </c>
      <c r="I280" s="558" t="str">
        <f t="shared" si="4"/>
        <v>GooD</v>
      </c>
    </row>
    <row r="281" spans="1:9" ht="15.75" thickTop="1">
      <c r="A281" s="567" t="s">
        <v>642</v>
      </c>
      <c r="B281" s="567">
        <v>31000</v>
      </c>
      <c r="C281" s="568">
        <v>14</v>
      </c>
      <c r="D281" s="568">
        <v>0.21</v>
      </c>
      <c r="E281" s="568">
        <v>7605</v>
      </c>
      <c r="F281" s="568">
        <v>38605</v>
      </c>
      <c r="G281" s="568">
        <v>1085</v>
      </c>
      <c r="H281" s="568">
        <v>2680</v>
      </c>
      <c r="I281" s="559" t="str">
        <f t="shared" si="4"/>
        <v>GooD</v>
      </c>
    </row>
    <row r="282" spans="1:9">
      <c r="A282" s="563" t="s">
        <v>642</v>
      </c>
      <c r="B282" s="563">
        <v>31000</v>
      </c>
      <c r="C282" s="564">
        <v>16</v>
      </c>
      <c r="D282" s="564">
        <v>0.21</v>
      </c>
      <c r="E282" s="564">
        <v>8688</v>
      </c>
      <c r="F282" s="564">
        <v>39688</v>
      </c>
      <c r="G282" s="564">
        <v>1240</v>
      </c>
      <c r="H282" s="564">
        <v>2403</v>
      </c>
      <c r="I282" s="557" t="str">
        <f t="shared" si="4"/>
        <v>GooD</v>
      </c>
    </row>
    <row r="283" spans="1:9">
      <c r="A283" s="563" t="s">
        <v>642</v>
      </c>
      <c r="B283" s="563">
        <v>31000</v>
      </c>
      <c r="C283" s="564">
        <v>18</v>
      </c>
      <c r="D283" s="564">
        <v>0.21</v>
      </c>
      <c r="E283" s="564">
        <v>9779</v>
      </c>
      <c r="F283" s="564">
        <v>40779</v>
      </c>
      <c r="G283" s="564">
        <v>1395</v>
      </c>
      <c r="H283" s="564">
        <v>2188</v>
      </c>
      <c r="I283" s="557" t="str">
        <f t="shared" si="4"/>
        <v>GooD</v>
      </c>
    </row>
    <row r="284" spans="1:9">
      <c r="A284" s="563" t="s">
        <v>642</v>
      </c>
      <c r="B284" s="563">
        <v>31000</v>
      </c>
      <c r="C284" s="564">
        <v>20</v>
      </c>
      <c r="D284" s="564">
        <v>0.21</v>
      </c>
      <c r="E284" s="564">
        <v>10870</v>
      </c>
      <c r="F284" s="564">
        <v>41870</v>
      </c>
      <c r="G284" s="564">
        <v>1550</v>
      </c>
      <c r="H284" s="564">
        <v>2016</v>
      </c>
      <c r="I284" s="557" t="str">
        <f t="shared" si="4"/>
        <v>GooD</v>
      </c>
    </row>
    <row r="285" spans="1:9" ht="15.75" thickBot="1">
      <c r="A285" s="565" t="s">
        <v>642</v>
      </c>
      <c r="B285" s="565">
        <v>31000</v>
      </c>
      <c r="C285" s="566">
        <v>22</v>
      </c>
      <c r="D285" s="566">
        <v>0.21</v>
      </c>
      <c r="E285" s="566">
        <v>11955</v>
      </c>
      <c r="F285" s="566">
        <v>42955</v>
      </c>
      <c r="G285" s="566">
        <v>1705</v>
      </c>
      <c r="H285" s="566">
        <v>1875</v>
      </c>
      <c r="I285" s="558" t="str">
        <f t="shared" si="4"/>
        <v>GooD</v>
      </c>
    </row>
    <row r="286" spans="1:9" ht="15.75" thickTop="1">
      <c r="A286" s="567" t="s">
        <v>642</v>
      </c>
      <c r="B286" s="567">
        <v>31000</v>
      </c>
      <c r="C286" s="568">
        <v>24</v>
      </c>
      <c r="D286" s="568">
        <v>0.21</v>
      </c>
      <c r="E286" s="568">
        <v>13028</v>
      </c>
      <c r="F286" s="568">
        <v>44028</v>
      </c>
      <c r="G286" s="568">
        <v>1860</v>
      </c>
      <c r="H286" s="568">
        <v>1757</v>
      </c>
      <c r="I286" s="559" t="str">
        <f t="shared" si="4"/>
        <v>GooD</v>
      </c>
    </row>
    <row r="287" spans="1:9">
      <c r="A287" s="563" t="s">
        <v>642</v>
      </c>
      <c r="B287" s="563">
        <v>32000</v>
      </c>
      <c r="C287" s="564">
        <v>6</v>
      </c>
      <c r="D287" s="564">
        <v>0.21</v>
      </c>
      <c r="E287" s="564">
        <v>3364</v>
      </c>
      <c r="F287" s="564">
        <v>35364</v>
      </c>
      <c r="G287" s="564">
        <v>480</v>
      </c>
      <c r="H287" s="564">
        <v>5814</v>
      </c>
      <c r="I287" s="557" t="str">
        <f t="shared" si="4"/>
        <v>GooD</v>
      </c>
    </row>
    <row r="288" spans="1:9">
      <c r="A288" s="563" t="s">
        <v>642</v>
      </c>
      <c r="B288" s="563">
        <v>32000</v>
      </c>
      <c r="C288" s="564">
        <v>8</v>
      </c>
      <c r="D288" s="564">
        <v>0.21</v>
      </c>
      <c r="E288" s="564">
        <v>4488</v>
      </c>
      <c r="F288" s="564">
        <v>36488</v>
      </c>
      <c r="G288" s="564">
        <v>640</v>
      </c>
      <c r="H288" s="564">
        <v>4481</v>
      </c>
      <c r="I288" s="557" t="str">
        <f t="shared" si="4"/>
        <v>GooD</v>
      </c>
    </row>
    <row r="289" spans="1:9">
      <c r="A289" s="563" t="s">
        <v>642</v>
      </c>
      <c r="B289" s="563">
        <v>32000</v>
      </c>
      <c r="C289" s="564">
        <v>10</v>
      </c>
      <c r="D289" s="564">
        <v>0.21</v>
      </c>
      <c r="E289" s="564">
        <v>5610</v>
      </c>
      <c r="F289" s="564">
        <v>37610</v>
      </c>
      <c r="G289" s="564">
        <v>800</v>
      </c>
      <c r="H289" s="564">
        <v>3681</v>
      </c>
      <c r="I289" s="557" t="str">
        <f t="shared" si="4"/>
        <v>GooD</v>
      </c>
    </row>
    <row r="290" spans="1:9" ht="15.75" thickBot="1">
      <c r="A290" s="565" t="s">
        <v>642</v>
      </c>
      <c r="B290" s="565">
        <v>32000</v>
      </c>
      <c r="C290" s="566">
        <v>12</v>
      </c>
      <c r="D290" s="566">
        <v>0.21</v>
      </c>
      <c r="E290" s="566">
        <v>6724</v>
      </c>
      <c r="F290" s="566">
        <v>38724</v>
      </c>
      <c r="G290" s="566">
        <v>960</v>
      </c>
      <c r="H290" s="566">
        <v>3147</v>
      </c>
      <c r="I290" s="558" t="str">
        <f t="shared" si="4"/>
        <v>GooD</v>
      </c>
    </row>
    <row r="291" spans="1:9" ht="15.75" thickTop="1">
      <c r="A291" s="567" t="s">
        <v>642</v>
      </c>
      <c r="B291" s="567">
        <v>32000</v>
      </c>
      <c r="C291" s="568">
        <v>14</v>
      </c>
      <c r="D291" s="568">
        <v>0.21</v>
      </c>
      <c r="E291" s="568">
        <v>7844</v>
      </c>
      <c r="F291" s="568">
        <v>39844</v>
      </c>
      <c r="G291" s="568">
        <v>1120</v>
      </c>
      <c r="H291" s="568">
        <v>2766</v>
      </c>
      <c r="I291" s="559" t="str">
        <f t="shared" si="4"/>
        <v>GooD</v>
      </c>
    </row>
    <row r="292" spans="1:9">
      <c r="A292" s="563" t="s">
        <v>642</v>
      </c>
      <c r="B292" s="563">
        <v>32000</v>
      </c>
      <c r="C292" s="564">
        <v>16</v>
      </c>
      <c r="D292" s="564">
        <v>0.21</v>
      </c>
      <c r="E292" s="564">
        <v>8976</v>
      </c>
      <c r="F292" s="564">
        <v>40976</v>
      </c>
      <c r="G292" s="564">
        <v>1280</v>
      </c>
      <c r="H292" s="564">
        <v>2481</v>
      </c>
      <c r="I292" s="557" t="str">
        <f t="shared" si="4"/>
        <v>GooD</v>
      </c>
    </row>
    <row r="293" spans="1:9">
      <c r="A293" s="563" t="s">
        <v>642</v>
      </c>
      <c r="B293" s="563">
        <v>32000</v>
      </c>
      <c r="C293" s="564">
        <v>18</v>
      </c>
      <c r="D293" s="564">
        <v>0.21</v>
      </c>
      <c r="E293" s="564">
        <v>10084</v>
      </c>
      <c r="F293" s="564">
        <v>42084</v>
      </c>
      <c r="G293" s="564">
        <v>1440</v>
      </c>
      <c r="H293" s="564">
        <v>2258</v>
      </c>
      <c r="I293" s="557" t="str">
        <f t="shared" si="4"/>
        <v>GooD</v>
      </c>
    </row>
    <row r="294" spans="1:9">
      <c r="A294" s="563" t="s">
        <v>642</v>
      </c>
      <c r="B294" s="563">
        <v>32000</v>
      </c>
      <c r="C294" s="564">
        <v>20</v>
      </c>
      <c r="D294" s="564">
        <v>0.21</v>
      </c>
      <c r="E294" s="564">
        <v>11220</v>
      </c>
      <c r="F294" s="564">
        <v>43220</v>
      </c>
      <c r="G294" s="564">
        <v>1600</v>
      </c>
      <c r="H294" s="564">
        <v>2081</v>
      </c>
      <c r="I294" s="557" t="str">
        <f t="shared" si="4"/>
        <v>GooD</v>
      </c>
    </row>
    <row r="295" spans="1:9" ht="15.75" thickBot="1">
      <c r="A295" s="565" t="s">
        <v>642</v>
      </c>
      <c r="B295" s="565">
        <v>32000</v>
      </c>
      <c r="C295" s="566">
        <v>22</v>
      </c>
      <c r="D295" s="566">
        <v>0.21</v>
      </c>
      <c r="E295" s="566">
        <v>12330</v>
      </c>
      <c r="F295" s="566">
        <v>44330</v>
      </c>
      <c r="G295" s="566">
        <v>1760</v>
      </c>
      <c r="H295" s="566">
        <v>1935</v>
      </c>
      <c r="I295" s="558" t="str">
        <f t="shared" si="4"/>
        <v>GooD</v>
      </c>
    </row>
    <row r="296" spans="1:9" ht="15.75" thickTop="1">
      <c r="A296" s="567" t="s">
        <v>642</v>
      </c>
      <c r="B296" s="567">
        <v>32000</v>
      </c>
      <c r="C296" s="568">
        <v>24</v>
      </c>
      <c r="D296" s="568">
        <v>0.21</v>
      </c>
      <c r="E296" s="568">
        <v>13456</v>
      </c>
      <c r="F296" s="568">
        <v>45456</v>
      </c>
      <c r="G296" s="568">
        <v>1920</v>
      </c>
      <c r="H296" s="568">
        <v>1814</v>
      </c>
      <c r="I296" s="559" t="str">
        <f t="shared" si="4"/>
        <v>GooD</v>
      </c>
    </row>
    <row r="297" spans="1:9">
      <c r="A297" s="563" t="s">
        <v>642</v>
      </c>
      <c r="B297" s="563">
        <v>33000</v>
      </c>
      <c r="C297" s="564">
        <v>6</v>
      </c>
      <c r="D297" s="564">
        <v>0.21</v>
      </c>
      <c r="E297" s="564">
        <v>3471</v>
      </c>
      <c r="F297" s="564">
        <v>36471</v>
      </c>
      <c r="G297" s="564">
        <v>495</v>
      </c>
      <c r="H297" s="564">
        <v>5996</v>
      </c>
      <c r="I297" s="557" t="str">
        <f t="shared" si="4"/>
        <v>GooD</v>
      </c>
    </row>
    <row r="298" spans="1:9">
      <c r="A298" s="563" t="s">
        <v>642</v>
      </c>
      <c r="B298" s="563">
        <v>33000</v>
      </c>
      <c r="C298" s="564">
        <v>8</v>
      </c>
      <c r="D298" s="564">
        <v>0.21</v>
      </c>
      <c r="E298" s="564">
        <v>4628</v>
      </c>
      <c r="F298" s="564">
        <v>37628</v>
      </c>
      <c r="G298" s="564">
        <v>660</v>
      </c>
      <c r="H298" s="564">
        <v>4621</v>
      </c>
      <c r="I298" s="557" t="str">
        <f t="shared" si="4"/>
        <v>GooD</v>
      </c>
    </row>
    <row r="299" spans="1:9">
      <c r="A299" s="563" t="s">
        <v>642</v>
      </c>
      <c r="B299" s="563">
        <v>33000</v>
      </c>
      <c r="C299" s="564">
        <v>10</v>
      </c>
      <c r="D299" s="564">
        <v>0.21</v>
      </c>
      <c r="E299" s="564">
        <v>5785</v>
      </c>
      <c r="F299" s="564">
        <v>38785</v>
      </c>
      <c r="G299" s="564">
        <v>825</v>
      </c>
      <c r="H299" s="564">
        <v>3796</v>
      </c>
      <c r="I299" s="557" t="str">
        <f t="shared" si="4"/>
        <v>GooD</v>
      </c>
    </row>
    <row r="300" spans="1:9" ht="15.75" thickBot="1">
      <c r="A300" s="565" t="s">
        <v>642</v>
      </c>
      <c r="B300" s="565">
        <v>33000</v>
      </c>
      <c r="C300" s="566">
        <v>12</v>
      </c>
      <c r="D300" s="566">
        <v>0.21</v>
      </c>
      <c r="E300" s="566">
        <v>6942</v>
      </c>
      <c r="F300" s="566">
        <v>39942</v>
      </c>
      <c r="G300" s="566">
        <v>990</v>
      </c>
      <c r="H300" s="566">
        <v>3246</v>
      </c>
      <c r="I300" s="558" t="str">
        <f t="shared" si="4"/>
        <v>GooD</v>
      </c>
    </row>
    <row r="301" spans="1:9" ht="15.75" thickTop="1">
      <c r="A301" s="567" t="s">
        <v>642</v>
      </c>
      <c r="B301" s="567">
        <v>33000</v>
      </c>
      <c r="C301" s="568">
        <v>14</v>
      </c>
      <c r="D301" s="568">
        <v>0.21</v>
      </c>
      <c r="E301" s="568">
        <v>8097</v>
      </c>
      <c r="F301" s="568">
        <v>41097</v>
      </c>
      <c r="G301" s="568">
        <v>1155</v>
      </c>
      <c r="H301" s="568">
        <v>2853</v>
      </c>
      <c r="I301" s="559" t="str">
        <f t="shared" si="4"/>
        <v>GooD</v>
      </c>
    </row>
    <row r="302" spans="1:9">
      <c r="A302" s="563" t="s">
        <v>642</v>
      </c>
      <c r="B302" s="563">
        <v>33000</v>
      </c>
      <c r="C302" s="564">
        <v>16</v>
      </c>
      <c r="D302" s="564">
        <v>0.21</v>
      </c>
      <c r="E302" s="564">
        <v>9248</v>
      </c>
      <c r="F302" s="564">
        <v>42248</v>
      </c>
      <c r="G302" s="564">
        <v>1320</v>
      </c>
      <c r="H302" s="564">
        <v>2558</v>
      </c>
      <c r="I302" s="557" t="str">
        <f t="shared" si="4"/>
        <v>GooD</v>
      </c>
    </row>
    <row r="303" spans="1:9">
      <c r="A303" s="563" t="s">
        <v>642</v>
      </c>
      <c r="B303" s="563">
        <v>33000</v>
      </c>
      <c r="C303" s="564">
        <v>18</v>
      </c>
      <c r="D303" s="564">
        <v>0.21</v>
      </c>
      <c r="E303" s="564">
        <v>10407</v>
      </c>
      <c r="F303" s="564">
        <v>43407</v>
      </c>
      <c r="G303" s="564">
        <v>1485</v>
      </c>
      <c r="H303" s="564">
        <v>2329</v>
      </c>
      <c r="I303" s="557" t="str">
        <f t="shared" si="4"/>
        <v>GooD</v>
      </c>
    </row>
    <row r="304" spans="1:9">
      <c r="A304" s="563" t="s">
        <v>642</v>
      </c>
      <c r="B304" s="563">
        <v>33000</v>
      </c>
      <c r="C304" s="564">
        <v>20</v>
      </c>
      <c r="D304" s="564">
        <v>0.21</v>
      </c>
      <c r="E304" s="564">
        <v>11570</v>
      </c>
      <c r="F304" s="564">
        <v>44570</v>
      </c>
      <c r="G304" s="564">
        <v>1650</v>
      </c>
      <c r="H304" s="564">
        <v>2146</v>
      </c>
      <c r="I304" s="557" t="str">
        <f t="shared" si="4"/>
        <v>GooD</v>
      </c>
    </row>
    <row r="305" spans="1:9" ht="15.75" thickBot="1">
      <c r="A305" s="565" t="s">
        <v>642</v>
      </c>
      <c r="B305" s="565">
        <v>33000</v>
      </c>
      <c r="C305" s="566">
        <v>22</v>
      </c>
      <c r="D305" s="566">
        <v>0.21</v>
      </c>
      <c r="E305" s="566">
        <v>12727</v>
      </c>
      <c r="F305" s="566">
        <v>45727</v>
      </c>
      <c r="G305" s="566">
        <v>1815</v>
      </c>
      <c r="H305" s="566">
        <v>1996</v>
      </c>
      <c r="I305" s="558" t="str">
        <f t="shared" si="4"/>
        <v>GooD</v>
      </c>
    </row>
    <row r="306" spans="1:9" ht="15.75" thickTop="1">
      <c r="A306" s="567" t="s">
        <v>642</v>
      </c>
      <c r="B306" s="567">
        <v>33000</v>
      </c>
      <c r="C306" s="568">
        <v>24</v>
      </c>
      <c r="D306" s="568">
        <v>0.21</v>
      </c>
      <c r="E306" s="568">
        <v>13884</v>
      </c>
      <c r="F306" s="568">
        <v>46884</v>
      </c>
      <c r="G306" s="568">
        <v>1980</v>
      </c>
      <c r="H306" s="568">
        <v>1871</v>
      </c>
      <c r="I306" s="559" t="str">
        <f t="shared" si="4"/>
        <v>GooD</v>
      </c>
    </row>
    <row r="307" spans="1:9">
      <c r="A307" s="563" t="s">
        <v>642</v>
      </c>
      <c r="B307" s="563">
        <v>34000</v>
      </c>
      <c r="C307" s="564">
        <v>6</v>
      </c>
      <c r="D307" s="564">
        <v>0.21</v>
      </c>
      <c r="E307" s="564">
        <v>3572</v>
      </c>
      <c r="F307" s="564">
        <v>37572</v>
      </c>
      <c r="G307" s="564">
        <v>510</v>
      </c>
      <c r="H307" s="564">
        <v>6177</v>
      </c>
      <c r="I307" s="557" t="str">
        <f t="shared" si="4"/>
        <v>GooD</v>
      </c>
    </row>
    <row r="308" spans="1:9">
      <c r="A308" s="563" t="s">
        <v>642</v>
      </c>
      <c r="B308" s="563">
        <v>34000</v>
      </c>
      <c r="C308" s="564">
        <v>8</v>
      </c>
      <c r="D308" s="564">
        <v>0.21</v>
      </c>
      <c r="E308" s="564">
        <v>4768</v>
      </c>
      <c r="F308" s="564">
        <v>38768</v>
      </c>
      <c r="G308" s="564">
        <v>680</v>
      </c>
      <c r="H308" s="564">
        <v>4761</v>
      </c>
      <c r="I308" s="557" t="str">
        <f t="shared" si="4"/>
        <v>GooD</v>
      </c>
    </row>
    <row r="309" spans="1:9">
      <c r="A309" s="563" t="s">
        <v>642</v>
      </c>
      <c r="B309" s="563">
        <v>34000</v>
      </c>
      <c r="C309" s="564">
        <v>10</v>
      </c>
      <c r="D309" s="564">
        <v>0.21</v>
      </c>
      <c r="E309" s="564">
        <v>5960</v>
      </c>
      <c r="F309" s="564">
        <v>39960</v>
      </c>
      <c r="G309" s="564">
        <v>850</v>
      </c>
      <c r="H309" s="564">
        <v>3911</v>
      </c>
      <c r="I309" s="557" t="str">
        <f t="shared" si="4"/>
        <v>GooD</v>
      </c>
    </row>
    <row r="310" spans="1:9" ht="15.75" thickBot="1">
      <c r="A310" s="565" t="s">
        <v>642</v>
      </c>
      <c r="B310" s="565">
        <v>34000</v>
      </c>
      <c r="C310" s="566">
        <v>12</v>
      </c>
      <c r="D310" s="566">
        <v>0.21</v>
      </c>
      <c r="E310" s="566">
        <v>7148</v>
      </c>
      <c r="F310" s="566">
        <v>41148</v>
      </c>
      <c r="G310" s="566">
        <v>1020</v>
      </c>
      <c r="H310" s="566">
        <v>3344</v>
      </c>
      <c r="I310" s="558" t="str">
        <f t="shared" si="4"/>
        <v>GooD</v>
      </c>
    </row>
    <row r="311" spans="1:9" ht="15.75" thickTop="1">
      <c r="A311" s="567" t="s">
        <v>642</v>
      </c>
      <c r="B311" s="567">
        <v>34000</v>
      </c>
      <c r="C311" s="568">
        <v>14</v>
      </c>
      <c r="D311" s="568">
        <v>0.21</v>
      </c>
      <c r="E311" s="568">
        <v>8336</v>
      </c>
      <c r="F311" s="568">
        <v>42336</v>
      </c>
      <c r="G311" s="568">
        <v>1190</v>
      </c>
      <c r="H311" s="568">
        <v>2939</v>
      </c>
      <c r="I311" s="559" t="str">
        <f t="shared" si="4"/>
        <v>GooD</v>
      </c>
    </row>
    <row r="312" spans="1:9">
      <c r="A312" s="563" t="s">
        <v>642</v>
      </c>
      <c r="B312" s="563">
        <v>34000</v>
      </c>
      <c r="C312" s="564">
        <v>16</v>
      </c>
      <c r="D312" s="564">
        <v>0.21</v>
      </c>
      <c r="E312" s="564">
        <v>9536</v>
      </c>
      <c r="F312" s="564">
        <v>43536</v>
      </c>
      <c r="G312" s="564">
        <v>1360</v>
      </c>
      <c r="H312" s="564">
        <v>2636</v>
      </c>
      <c r="I312" s="557" t="str">
        <f t="shared" si="4"/>
        <v>GooD</v>
      </c>
    </row>
    <row r="313" spans="1:9">
      <c r="A313" s="563" t="s">
        <v>642</v>
      </c>
      <c r="B313" s="563">
        <v>34000</v>
      </c>
      <c r="C313" s="564">
        <v>18</v>
      </c>
      <c r="D313" s="564">
        <v>0.21</v>
      </c>
      <c r="E313" s="564">
        <v>10712</v>
      </c>
      <c r="F313" s="564">
        <v>44712</v>
      </c>
      <c r="G313" s="564">
        <v>1530</v>
      </c>
      <c r="H313" s="564">
        <v>2399</v>
      </c>
      <c r="I313" s="557" t="str">
        <f t="shared" si="4"/>
        <v>GooD</v>
      </c>
    </row>
    <row r="314" spans="1:9">
      <c r="A314" s="563" t="s">
        <v>642</v>
      </c>
      <c r="B314" s="563">
        <v>34000</v>
      </c>
      <c r="C314" s="564">
        <v>20</v>
      </c>
      <c r="D314" s="564">
        <v>0.21</v>
      </c>
      <c r="E314" s="564">
        <v>11920</v>
      </c>
      <c r="F314" s="564">
        <v>45920</v>
      </c>
      <c r="G314" s="564">
        <v>1700</v>
      </c>
      <c r="H314" s="564">
        <v>2211</v>
      </c>
      <c r="I314" s="557" t="str">
        <f t="shared" si="4"/>
        <v>GooD</v>
      </c>
    </row>
    <row r="315" spans="1:9" ht="15.75" thickBot="1">
      <c r="A315" s="565" t="s">
        <v>642</v>
      </c>
      <c r="B315" s="565">
        <v>34000</v>
      </c>
      <c r="C315" s="566">
        <v>22</v>
      </c>
      <c r="D315" s="566">
        <v>0.21</v>
      </c>
      <c r="E315" s="566">
        <v>13102</v>
      </c>
      <c r="F315" s="566">
        <v>47102</v>
      </c>
      <c r="G315" s="566">
        <v>1870</v>
      </c>
      <c r="H315" s="566">
        <v>2056</v>
      </c>
      <c r="I315" s="558" t="str">
        <f t="shared" si="4"/>
        <v>GooD</v>
      </c>
    </row>
    <row r="316" spans="1:9" ht="15.75" thickTop="1">
      <c r="A316" s="567" t="s">
        <v>642</v>
      </c>
      <c r="B316" s="567">
        <v>34000</v>
      </c>
      <c r="C316" s="568">
        <v>24</v>
      </c>
      <c r="D316" s="568">
        <v>0.21</v>
      </c>
      <c r="E316" s="568">
        <v>14288</v>
      </c>
      <c r="F316" s="568">
        <v>48288</v>
      </c>
      <c r="G316" s="568">
        <v>2040</v>
      </c>
      <c r="H316" s="568">
        <v>1927</v>
      </c>
      <c r="I316" s="559" t="str">
        <f t="shared" si="4"/>
        <v>GooD</v>
      </c>
    </row>
    <row r="317" spans="1:9">
      <c r="A317" s="563" t="s">
        <v>642</v>
      </c>
      <c r="B317" s="563">
        <v>35000</v>
      </c>
      <c r="C317" s="564">
        <v>6</v>
      </c>
      <c r="D317" s="564">
        <v>0.21</v>
      </c>
      <c r="E317" s="564">
        <v>3679</v>
      </c>
      <c r="F317" s="564">
        <v>38679</v>
      </c>
      <c r="G317" s="564">
        <v>525</v>
      </c>
      <c r="H317" s="564">
        <v>6359</v>
      </c>
      <c r="I317" s="557" t="str">
        <f t="shared" si="4"/>
        <v>GooD</v>
      </c>
    </row>
    <row r="318" spans="1:9">
      <c r="A318" s="563" t="s">
        <v>642</v>
      </c>
      <c r="B318" s="563">
        <v>35000</v>
      </c>
      <c r="C318" s="564">
        <v>8</v>
      </c>
      <c r="D318" s="564">
        <v>0.21</v>
      </c>
      <c r="E318" s="564">
        <v>4908</v>
      </c>
      <c r="F318" s="564">
        <v>39908</v>
      </c>
      <c r="G318" s="564">
        <v>700</v>
      </c>
      <c r="H318" s="564">
        <v>4901</v>
      </c>
      <c r="I318" s="557" t="str">
        <f t="shared" si="4"/>
        <v>GooD</v>
      </c>
    </row>
    <row r="319" spans="1:9">
      <c r="A319" s="563" t="s">
        <v>642</v>
      </c>
      <c r="B319" s="563">
        <v>35000</v>
      </c>
      <c r="C319" s="564">
        <v>10</v>
      </c>
      <c r="D319" s="564">
        <v>0.21</v>
      </c>
      <c r="E319" s="564">
        <v>6135</v>
      </c>
      <c r="F319" s="564">
        <v>41135</v>
      </c>
      <c r="G319" s="564">
        <v>875</v>
      </c>
      <c r="H319" s="564">
        <v>4026</v>
      </c>
      <c r="I319" s="557" t="str">
        <f t="shared" si="4"/>
        <v>GooD</v>
      </c>
    </row>
    <row r="320" spans="1:9" ht="15.75" thickBot="1">
      <c r="A320" s="565" t="s">
        <v>642</v>
      </c>
      <c r="B320" s="565">
        <v>35000</v>
      </c>
      <c r="C320" s="566">
        <v>12</v>
      </c>
      <c r="D320" s="566">
        <v>0.21</v>
      </c>
      <c r="E320" s="566">
        <v>7354</v>
      </c>
      <c r="F320" s="566">
        <v>42354</v>
      </c>
      <c r="G320" s="566">
        <v>1050</v>
      </c>
      <c r="H320" s="566">
        <v>3442</v>
      </c>
      <c r="I320" s="558" t="str">
        <f t="shared" si="4"/>
        <v>GooD</v>
      </c>
    </row>
    <row r="321" spans="1:9" ht="15.75" thickTop="1">
      <c r="A321" s="567" t="s">
        <v>642</v>
      </c>
      <c r="B321" s="567">
        <v>35000</v>
      </c>
      <c r="C321" s="568">
        <v>14</v>
      </c>
      <c r="D321" s="568">
        <v>0.21</v>
      </c>
      <c r="E321" s="568">
        <v>8589</v>
      </c>
      <c r="F321" s="568">
        <v>43589</v>
      </c>
      <c r="G321" s="568">
        <v>1225</v>
      </c>
      <c r="H321" s="568">
        <v>3026</v>
      </c>
      <c r="I321" s="559" t="str">
        <f t="shared" si="4"/>
        <v>GooD</v>
      </c>
    </row>
    <row r="322" spans="1:9">
      <c r="A322" s="563" t="s">
        <v>642</v>
      </c>
      <c r="B322" s="563">
        <v>35000</v>
      </c>
      <c r="C322" s="564">
        <v>16</v>
      </c>
      <c r="D322" s="564">
        <v>0.21</v>
      </c>
      <c r="E322" s="564">
        <v>9808</v>
      </c>
      <c r="F322" s="564">
        <v>44808</v>
      </c>
      <c r="G322" s="564">
        <v>1400</v>
      </c>
      <c r="H322" s="564">
        <v>2713</v>
      </c>
      <c r="I322" s="557" t="str">
        <f t="shared" si="4"/>
        <v>GooD</v>
      </c>
    </row>
    <row r="323" spans="1:9">
      <c r="A323" s="563" t="s">
        <v>642</v>
      </c>
      <c r="B323" s="563">
        <v>35000</v>
      </c>
      <c r="C323" s="564">
        <v>18</v>
      </c>
      <c r="D323" s="564">
        <v>0.21</v>
      </c>
      <c r="E323" s="564">
        <v>11035</v>
      </c>
      <c r="F323" s="564">
        <v>46035</v>
      </c>
      <c r="G323" s="564">
        <v>1575</v>
      </c>
      <c r="H323" s="564">
        <v>2470</v>
      </c>
      <c r="I323" s="557" t="str">
        <f t="shared" si="4"/>
        <v>GooD</v>
      </c>
    </row>
    <row r="324" spans="1:9">
      <c r="A324" s="563" t="s">
        <v>642</v>
      </c>
      <c r="B324" s="563">
        <v>35000</v>
      </c>
      <c r="C324" s="564">
        <v>20</v>
      </c>
      <c r="D324" s="564">
        <v>0.21</v>
      </c>
      <c r="E324" s="564">
        <v>12270</v>
      </c>
      <c r="F324" s="564">
        <v>47270</v>
      </c>
      <c r="G324" s="564">
        <v>1750</v>
      </c>
      <c r="H324" s="564">
        <v>2276</v>
      </c>
      <c r="I324" s="557" t="str">
        <f t="shared" si="4"/>
        <v>GooD</v>
      </c>
    </row>
    <row r="325" spans="1:9" ht="15.75" thickBot="1">
      <c r="A325" s="565" t="s">
        <v>642</v>
      </c>
      <c r="B325" s="565">
        <v>35000</v>
      </c>
      <c r="C325" s="566">
        <v>22</v>
      </c>
      <c r="D325" s="566">
        <v>0.21</v>
      </c>
      <c r="E325" s="566">
        <v>13477</v>
      </c>
      <c r="F325" s="566">
        <v>48477</v>
      </c>
      <c r="G325" s="566">
        <v>1925</v>
      </c>
      <c r="H325" s="566">
        <v>2116</v>
      </c>
      <c r="I325" s="558" t="str">
        <f t="shared" si="4"/>
        <v>GooD</v>
      </c>
    </row>
    <row r="326" spans="1:9" ht="15.75" thickTop="1">
      <c r="A326" s="567" t="s">
        <v>642</v>
      </c>
      <c r="B326" s="567">
        <v>35000</v>
      </c>
      <c r="C326" s="568">
        <v>24</v>
      </c>
      <c r="D326" s="568">
        <v>0.21</v>
      </c>
      <c r="E326" s="568">
        <v>14716</v>
      </c>
      <c r="F326" s="568">
        <v>49716</v>
      </c>
      <c r="G326" s="568">
        <v>2100</v>
      </c>
      <c r="H326" s="568">
        <v>1984</v>
      </c>
      <c r="I326" s="559" t="str">
        <f t="shared" si="4"/>
        <v>GooD</v>
      </c>
    </row>
    <row r="327" spans="1:9">
      <c r="A327" s="563" t="s">
        <v>642</v>
      </c>
      <c r="B327" s="563">
        <v>36000</v>
      </c>
      <c r="C327" s="564">
        <v>6</v>
      </c>
      <c r="D327" s="564">
        <v>0.21</v>
      </c>
      <c r="E327" s="564">
        <v>3786</v>
      </c>
      <c r="F327" s="564">
        <v>39786</v>
      </c>
      <c r="G327" s="564">
        <v>540</v>
      </c>
      <c r="H327" s="564">
        <v>6541</v>
      </c>
      <c r="I327" s="557" t="str">
        <f t="shared" ref="I327:I391" si="5">IF(((H327*C327)+G327)=F327,"GooD","لالالالالالالا")</f>
        <v>GooD</v>
      </c>
    </row>
    <row r="328" spans="1:9">
      <c r="A328" s="563" t="s">
        <v>642</v>
      </c>
      <c r="B328" s="563">
        <v>36000</v>
      </c>
      <c r="C328" s="564">
        <v>8</v>
      </c>
      <c r="D328" s="564">
        <v>0.21</v>
      </c>
      <c r="E328" s="564">
        <v>5048</v>
      </c>
      <c r="F328" s="564">
        <v>41048</v>
      </c>
      <c r="G328" s="564">
        <v>720</v>
      </c>
      <c r="H328" s="564">
        <v>5041</v>
      </c>
      <c r="I328" s="557" t="str">
        <f t="shared" si="5"/>
        <v>GooD</v>
      </c>
    </row>
    <row r="329" spans="1:9">
      <c r="A329" s="563" t="s">
        <v>642</v>
      </c>
      <c r="B329" s="563">
        <v>36000</v>
      </c>
      <c r="C329" s="564">
        <v>10</v>
      </c>
      <c r="D329" s="564">
        <v>0.21</v>
      </c>
      <c r="E329" s="564">
        <v>6310</v>
      </c>
      <c r="F329" s="564">
        <v>42310</v>
      </c>
      <c r="G329" s="564">
        <v>900</v>
      </c>
      <c r="H329" s="564">
        <v>4141</v>
      </c>
      <c r="I329" s="557" t="str">
        <f t="shared" si="5"/>
        <v>GooD</v>
      </c>
    </row>
    <row r="330" spans="1:9" ht="15.75" thickBot="1">
      <c r="A330" s="565" t="s">
        <v>642</v>
      </c>
      <c r="B330" s="565">
        <v>36000</v>
      </c>
      <c r="C330" s="566">
        <v>12</v>
      </c>
      <c r="D330" s="566">
        <v>0.21</v>
      </c>
      <c r="E330" s="566">
        <v>7572</v>
      </c>
      <c r="F330" s="566">
        <v>43572</v>
      </c>
      <c r="G330" s="566">
        <v>1080</v>
      </c>
      <c r="H330" s="566">
        <v>3541</v>
      </c>
      <c r="I330" s="558" t="str">
        <f t="shared" si="5"/>
        <v>GooD</v>
      </c>
    </row>
    <row r="331" spans="1:9" ht="15.75" thickTop="1">
      <c r="A331" s="567" t="s">
        <v>642</v>
      </c>
      <c r="B331" s="567">
        <v>36000</v>
      </c>
      <c r="C331" s="568">
        <v>14</v>
      </c>
      <c r="D331" s="568">
        <v>0.21</v>
      </c>
      <c r="E331" s="568">
        <v>8828</v>
      </c>
      <c r="F331" s="568">
        <v>44828</v>
      </c>
      <c r="G331" s="568">
        <v>1260</v>
      </c>
      <c r="H331" s="568">
        <v>3112</v>
      </c>
      <c r="I331" s="559" t="str">
        <f t="shared" si="5"/>
        <v>GooD</v>
      </c>
    </row>
    <row r="332" spans="1:9">
      <c r="A332" s="563" t="s">
        <v>642</v>
      </c>
      <c r="B332" s="563">
        <v>36000</v>
      </c>
      <c r="C332" s="564">
        <v>16</v>
      </c>
      <c r="D332" s="564">
        <v>0.21</v>
      </c>
      <c r="E332" s="564">
        <v>10096</v>
      </c>
      <c r="F332" s="564">
        <v>46096</v>
      </c>
      <c r="G332" s="564">
        <v>1440</v>
      </c>
      <c r="H332" s="564">
        <v>2791</v>
      </c>
      <c r="I332" s="557" t="str">
        <f t="shared" si="5"/>
        <v>GooD</v>
      </c>
    </row>
    <row r="333" spans="1:9">
      <c r="A333" s="563" t="s">
        <v>642</v>
      </c>
      <c r="B333" s="563">
        <v>36000</v>
      </c>
      <c r="C333" s="564">
        <v>18</v>
      </c>
      <c r="D333" s="564">
        <v>0.21</v>
      </c>
      <c r="E333" s="564">
        <v>11358</v>
      </c>
      <c r="F333" s="564">
        <v>47358</v>
      </c>
      <c r="G333" s="564">
        <v>1620</v>
      </c>
      <c r="H333" s="564">
        <v>2541</v>
      </c>
      <c r="I333" s="557" t="str">
        <f t="shared" si="5"/>
        <v>GooD</v>
      </c>
    </row>
    <row r="334" spans="1:9">
      <c r="A334" s="563" t="s">
        <v>642</v>
      </c>
      <c r="B334" s="563">
        <v>36000</v>
      </c>
      <c r="C334" s="564">
        <v>20</v>
      </c>
      <c r="D334" s="564">
        <v>0.21</v>
      </c>
      <c r="E334" s="564">
        <v>12620</v>
      </c>
      <c r="F334" s="564">
        <v>48620</v>
      </c>
      <c r="G334" s="564">
        <v>1800</v>
      </c>
      <c r="H334" s="564">
        <v>2341</v>
      </c>
      <c r="I334" s="557" t="str">
        <f t="shared" si="5"/>
        <v>GooD</v>
      </c>
    </row>
    <row r="335" spans="1:9" ht="15.75" thickBot="1">
      <c r="A335" s="565" t="s">
        <v>642</v>
      </c>
      <c r="B335" s="565">
        <v>36000</v>
      </c>
      <c r="C335" s="566">
        <v>22</v>
      </c>
      <c r="D335" s="566">
        <v>0.21</v>
      </c>
      <c r="E335" s="566">
        <v>13874</v>
      </c>
      <c r="F335" s="566">
        <v>49874</v>
      </c>
      <c r="G335" s="566">
        <v>1980</v>
      </c>
      <c r="H335" s="566">
        <v>2177</v>
      </c>
      <c r="I335" s="558" t="str">
        <f t="shared" si="5"/>
        <v>GooD</v>
      </c>
    </row>
    <row r="336" spans="1:9" ht="15.75" thickTop="1">
      <c r="A336" s="567" t="s">
        <v>642</v>
      </c>
      <c r="B336" s="567">
        <v>36000</v>
      </c>
      <c r="C336" s="568">
        <v>24</v>
      </c>
      <c r="D336" s="568">
        <v>0.21</v>
      </c>
      <c r="E336" s="568">
        <v>15144</v>
      </c>
      <c r="F336" s="568">
        <v>51144</v>
      </c>
      <c r="G336" s="568">
        <v>2160</v>
      </c>
      <c r="H336" s="568">
        <v>2041</v>
      </c>
      <c r="I336" s="559" t="str">
        <f t="shared" si="5"/>
        <v>GooD</v>
      </c>
    </row>
    <row r="337" spans="1:9">
      <c r="A337" s="563" t="s">
        <v>642</v>
      </c>
      <c r="B337" s="563">
        <v>37000</v>
      </c>
      <c r="C337" s="564">
        <v>6</v>
      </c>
      <c r="D337" s="564">
        <v>0.21</v>
      </c>
      <c r="E337" s="564">
        <v>3887</v>
      </c>
      <c r="F337" s="564">
        <v>40887</v>
      </c>
      <c r="G337" s="564">
        <v>555</v>
      </c>
      <c r="H337" s="564">
        <v>6722</v>
      </c>
      <c r="I337" s="557" t="str">
        <f t="shared" si="5"/>
        <v>GooD</v>
      </c>
    </row>
    <row r="338" spans="1:9">
      <c r="A338" s="563" t="s">
        <v>642</v>
      </c>
      <c r="B338" s="563">
        <v>37000</v>
      </c>
      <c r="C338" s="564">
        <v>8</v>
      </c>
      <c r="D338" s="564">
        <v>0.21</v>
      </c>
      <c r="E338" s="564">
        <v>5188</v>
      </c>
      <c r="F338" s="564">
        <v>42188</v>
      </c>
      <c r="G338" s="564">
        <v>740</v>
      </c>
      <c r="H338" s="564">
        <v>5181</v>
      </c>
      <c r="I338" s="557" t="str">
        <f t="shared" si="5"/>
        <v>GooD</v>
      </c>
    </row>
    <row r="339" spans="1:9">
      <c r="A339" s="563" t="s">
        <v>642</v>
      </c>
      <c r="B339" s="563">
        <v>37000</v>
      </c>
      <c r="C339" s="564">
        <v>10</v>
      </c>
      <c r="D339" s="564">
        <v>0.21</v>
      </c>
      <c r="E339" s="564">
        <v>6485</v>
      </c>
      <c r="F339" s="564">
        <v>43485</v>
      </c>
      <c r="G339" s="564">
        <v>925</v>
      </c>
      <c r="H339" s="564">
        <v>4256</v>
      </c>
      <c r="I339" s="557" t="str">
        <f t="shared" si="5"/>
        <v>GooD</v>
      </c>
    </row>
    <row r="340" spans="1:9" ht="15.75" thickBot="1">
      <c r="A340" s="565" t="s">
        <v>642</v>
      </c>
      <c r="B340" s="565">
        <v>37000</v>
      </c>
      <c r="C340" s="566">
        <v>12</v>
      </c>
      <c r="D340" s="566">
        <v>0.21</v>
      </c>
      <c r="E340" s="566">
        <v>7778</v>
      </c>
      <c r="F340" s="566">
        <v>44778</v>
      </c>
      <c r="G340" s="566">
        <v>1110</v>
      </c>
      <c r="H340" s="566">
        <v>3639</v>
      </c>
      <c r="I340" s="558" t="str">
        <f t="shared" si="5"/>
        <v>GooD</v>
      </c>
    </row>
    <row r="341" spans="1:9" ht="15.75" thickTop="1">
      <c r="A341" s="567" t="s">
        <v>642</v>
      </c>
      <c r="B341" s="567">
        <v>37000</v>
      </c>
      <c r="C341" s="568">
        <v>14</v>
      </c>
      <c r="D341" s="568">
        <v>0.21</v>
      </c>
      <c r="E341" s="568">
        <v>9067</v>
      </c>
      <c r="F341" s="568">
        <v>46067</v>
      </c>
      <c r="G341" s="568">
        <v>1295</v>
      </c>
      <c r="H341" s="568">
        <v>3198</v>
      </c>
      <c r="I341" s="559" t="str">
        <f t="shared" si="5"/>
        <v>GooD</v>
      </c>
    </row>
    <row r="342" spans="1:9">
      <c r="A342" s="563" t="s">
        <v>642</v>
      </c>
      <c r="B342" s="563">
        <v>37000</v>
      </c>
      <c r="C342" s="564">
        <v>16</v>
      </c>
      <c r="D342" s="564">
        <v>0.21</v>
      </c>
      <c r="E342" s="564">
        <v>10368</v>
      </c>
      <c r="F342" s="564">
        <v>47368</v>
      </c>
      <c r="G342" s="564">
        <v>1480</v>
      </c>
      <c r="H342" s="564">
        <v>2868</v>
      </c>
      <c r="I342" s="557" t="str">
        <f t="shared" si="5"/>
        <v>GooD</v>
      </c>
    </row>
    <row r="343" spans="1:9">
      <c r="A343" s="563" t="s">
        <v>642</v>
      </c>
      <c r="B343" s="563">
        <v>37000</v>
      </c>
      <c r="C343" s="564">
        <v>18</v>
      </c>
      <c r="D343" s="564">
        <v>0.21</v>
      </c>
      <c r="E343" s="564">
        <v>11663</v>
      </c>
      <c r="F343" s="564">
        <v>48663</v>
      </c>
      <c r="G343" s="564">
        <v>1665</v>
      </c>
      <c r="H343" s="564">
        <v>2611</v>
      </c>
      <c r="I343" s="557" t="str">
        <f t="shared" si="5"/>
        <v>GooD</v>
      </c>
    </row>
    <row r="344" spans="1:9">
      <c r="A344" s="563" t="s">
        <v>642</v>
      </c>
      <c r="B344" s="563">
        <v>37000</v>
      </c>
      <c r="C344" s="564">
        <v>20</v>
      </c>
      <c r="D344" s="564">
        <v>0.21</v>
      </c>
      <c r="E344" s="564">
        <v>12970</v>
      </c>
      <c r="F344" s="564">
        <v>49970</v>
      </c>
      <c r="G344" s="564">
        <v>1850</v>
      </c>
      <c r="H344" s="564">
        <v>2406</v>
      </c>
      <c r="I344" s="557" t="str">
        <f t="shared" si="5"/>
        <v>GooD</v>
      </c>
    </row>
    <row r="345" spans="1:9" ht="15.75" thickBot="1">
      <c r="A345" s="565" t="s">
        <v>642</v>
      </c>
      <c r="B345" s="565">
        <v>37000</v>
      </c>
      <c r="C345" s="566">
        <v>22</v>
      </c>
      <c r="D345" s="566">
        <v>0.21</v>
      </c>
      <c r="E345" s="566">
        <v>14249</v>
      </c>
      <c r="F345" s="566">
        <v>51249</v>
      </c>
      <c r="G345" s="566">
        <v>2035</v>
      </c>
      <c r="H345" s="566">
        <v>2237</v>
      </c>
      <c r="I345" s="558" t="str">
        <f t="shared" si="5"/>
        <v>GooD</v>
      </c>
    </row>
    <row r="346" spans="1:9" ht="15.75" thickTop="1">
      <c r="A346" s="567" t="s">
        <v>642</v>
      </c>
      <c r="B346" s="567">
        <v>37000</v>
      </c>
      <c r="C346" s="568">
        <v>24</v>
      </c>
      <c r="D346" s="568">
        <v>0.21</v>
      </c>
      <c r="E346" s="568">
        <v>15548</v>
      </c>
      <c r="F346" s="568">
        <v>52548</v>
      </c>
      <c r="G346" s="568">
        <v>2220</v>
      </c>
      <c r="H346" s="568">
        <v>2097</v>
      </c>
      <c r="I346" s="559" t="str">
        <f t="shared" si="5"/>
        <v>GooD</v>
      </c>
    </row>
    <row r="347" spans="1:9">
      <c r="A347" s="563" t="s">
        <v>642</v>
      </c>
      <c r="B347" s="563">
        <v>38000</v>
      </c>
      <c r="C347" s="564">
        <v>6</v>
      </c>
      <c r="D347" s="564">
        <v>0.21</v>
      </c>
      <c r="E347" s="564">
        <v>3994</v>
      </c>
      <c r="F347" s="564">
        <v>41994</v>
      </c>
      <c r="G347" s="564">
        <v>570</v>
      </c>
      <c r="H347" s="564">
        <v>6904</v>
      </c>
      <c r="I347" s="557" t="str">
        <f t="shared" si="5"/>
        <v>GooD</v>
      </c>
    </row>
    <row r="348" spans="1:9">
      <c r="A348" s="563" t="s">
        <v>642</v>
      </c>
      <c r="B348" s="563">
        <v>38000</v>
      </c>
      <c r="C348" s="564">
        <v>8</v>
      </c>
      <c r="D348" s="564">
        <v>0.21</v>
      </c>
      <c r="E348" s="564">
        <v>5328</v>
      </c>
      <c r="F348" s="564">
        <v>43328</v>
      </c>
      <c r="G348" s="564">
        <v>760</v>
      </c>
      <c r="H348" s="564">
        <v>5321</v>
      </c>
      <c r="I348" s="557" t="str">
        <f t="shared" si="5"/>
        <v>GooD</v>
      </c>
    </row>
    <row r="349" spans="1:9">
      <c r="A349" s="563" t="s">
        <v>642</v>
      </c>
      <c r="B349" s="563">
        <v>38000</v>
      </c>
      <c r="C349" s="564">
        <v>10</v>
      </c>
      <c r="D349" s="564">
        <v>0.21</v>
      </c>
      <c r="E349" s="564">
        <v>6660</v>
      </c>
      <c r="F349" s="564">
        <v>44660</v>
      </c>
      <c r="G349" s="564">
        <v>950</v>
      </c>
      <c r="H349" s="564">
        <v>4371</v>
      </c>
      <c r="I349" s="557" t="str">
        <f t="shared" si="5"/>
        <v>GooD</v>
      </c>
    </row>
    <row r="350" spans="1:9" ht="15.75" thickBot="1">
      <c r="A350" s="565" t="s">
        <v>642</v>
      </c>
      <c r="B350" s="565">
        <v>38000</v>
      </c>
      <c r="C350" s="566">
        <v>12</v>
      </c>
      <c r="D350" s="566">
        <v>0.21</v>
      </c>
      <c r="E350" s="566">
        <v>7984</v>
      </c>
      <c r="F350" s="566">
        <v>45984</v>
      </c>
      <c r="G350" s="566">
        <v>1140</v>
      </c>
      <c r="H350" s="566">
        <v>3737</v>
      </c>
      <c r="I350" s="558" t="str">
        <f t="shared" si="5"/>
        <v>GooD</v>
      </c>
    </row>
    <row r="351" spans="1:9" ht="15.75" thickTop="1">
      <c r="A351" s="567" t="s">
        <v>642</v>
      </c>
      <c r="B351" s="567">
        <v>38000</v>
      </c>
      <c r="C351" s="568">
        <v>14</v>
      </c>
      <c r="D351" s="568">
        <v>0.21</v>
      </c>
      <c r="E351" s="568">
        <v>9320</v>
      </c>
      <c r="F351" s="568">
        <v>47320</v>
      </c>
      <c r="G351" s="568">
        <v>1330</v>
      </c>
      <c r="H351" s="568">
        <v>3285</v>
      </c>
      <c r="I351" s="559" t="str">
        <f t="shared" si="5"/>
        <v>GooD</v>
      </c>
    </row>
    <row r="352" spans="1:9">
      <c r="A352" s="563" t="s">
        <v>642</v>
      </c>
      <c r="B352" s="563">
        <v>38000</v>
      </c>
      <c r="C352" s="564">
        <v>16</v>
      </c>
      <c r="D352" s="564">
        <v>0.21</v>
      </c>
      <c r="E352" s="564">
        <v>10656</v>
      </c>
      <c r="F352" s="564">
        <v>48656</v>
      </c>
      <c r="G352" s="564">
        <v>1520</v>
      </c>
      <c r="H352" s="564">
        <v>2946</v>
      </c>
      <c r="I352" s="557" t="str">
        <f t="shared" si="5"/>
        <v>GooD</v>
      </c>
    </row>
    <row r="353" spans="1:9">
      <c r="A353" s="563" t="s">
        <v>642</v>
      </c>
      <c r="B353" s="563">
        <v>38000</v>
      </c>
      <c r="C353" s="564">
        <v>18</v>
      </c>
      <c r="D353" s="564">
        <v>0.21</v>
      </c>
      <c r="E353" s="564">
        <v>11986</v>
      </c>
      <c r="F353" s="564">
        <v>49986</v>
      </c>
      <c r="G353" s="564">
        <v>1710</v>
      </c>
      <c r="H353" s="564">
        <v>2682</v>
      </c>
      <c r="I353" s="557" t="str">
        <f t="shared" si="5"/>
        <v>GooD</v>
      </c>
    </row>
    <row r="354" spans="1:9">
      <c r="A354" s="563" t="s">
        <v>642</v>
      </c>
      <c r="B354" s="563">
        <v>38000</v>
      </c>
      <c r="C354" s="564">
        <v>20</v>
      </c>
      <c r="D354" s="564">
        <v>0.21</v>
      </c>
      <c r="E354" s="564">
        <v>13320</v>
      </c>
      <c r="F354" s="564">
        <v>51320</v>
      </c>
      <c r="G354" s="564">
        <v>1900</v>
      </c>
      <c r="H354" s="564">
        <v>2471</v>
      </c>
      <c r="I354" s="557" t="str">
        <f t="shared" si="5"/>
        <v>GooD</v>
      </c>
    </row>
    <row r="355" spans="1:9" ht="15.75" thickBot="1">
      <c r="A355" s="565" t="s">
        <v>642</v>
      </c>
      <c r="B355" s="565">
        <v>38000</v>
      </c>
      <c r="C355" s="566">
        <v>22</v>
      </c>
      <c r="D355" s="566">
        <v>0.21</v>
      </c>
      <c r="E355" s="566">
        <v>14646</v>
      </c>
      <c r="F355" s="566">
        <v>52646</v>
      </c>
      <c r="G355" s="566">
        <v>2090</v>
      </c>
      <c r="H355" s="566">
        <v>2298</v>
      </c>
      <c r="I355" s="558" t="str">
        <f t="shared" si="5"/>
        <v>GooD</v>
      </c>
    </row>
    <row r="356" spans="1:9" ht="15.75" thickTop="1">
      <c r="A356" s="567" t="s">
        <v>642</v>
      </c>
      <c r="B356" s="567">
        <v>38000</v>
      </c>
      <c r="C356" s="568">
        <v>24</v>
      </c>
      <c r="D356" s="568">
        <v>0.21</v>
      </c>
      <c r="E356" s="568">
        <v>15976</v>
      </c>
      <c r="F356" s="568">
        <v>53976</v>
      </c>
      <c r="G356" s="568">
        <v>2280</v>
      </c>
      <c r="H356" s="568">
        <v>2154</v>
      </c>
      <c r="I356" s="559" t="str">
        <f t="shared" si="5"/>
        <v>GooD</v>
      </c>
    </row>
    <row r="357" spans="1:9">
      <c r="A357" s="563" t="s">
        <v>642</v>
      </c>
      <c r="B357" s="563">
        <v>39000</v>
      </c>
      <c r="C357" s="564">
        <v>6</v>
      </c>
      <c r="D357" s="564">
        <v>0.21</v>
      </c>
      <c r="E357" s="564">
        <v>4101</v>
      </c>
      <c r="F357" s="564">
        <v>43101</v>
      </c>
      <c r="G357" s="564">
        <v>585</v>
      </c>
      <c r="H357" s="564">
        <v>7086</v>
      </c>
      <c r="I357" s="557" t="str">
        <f t="shared" si="5"/>
        <v>GooD</v>
      </c>
    </row>
    <row r="358" spans="1:9">
      <c r="A358" s="563" t="s">
        <v>642</v>
      </c>
      <c r="B358" s="563">
        <v>39000</v>
      </c>
      <c r="C358" s="564">
        <v>8</v>
      </c>
      <c r="D358" s="564">
        <v>0.21</v>
      </c>
      <c r="E358" s="564">
        <v>5468</v>
      </c>
      <c r="F358" s="564">
        <v>44468</v>
      </c>
      <c r="G358" s="564">
        <v>780</v>
      </c>
      <c r="H358" s="564">
        <v>5461</v>
      </c>
      <c r="I358" s="557" t="str">
        <f t="shared" si="5"/>
        <v>GooD</v>
      </c>
    </row>
    <row r="359" spans="1:9">
      <c r="A359" s="563" t="s">
        <v>642</v>
      </c>
      <c r="B359" s="563">
        <v>39000</v>
      </c>
      <c r="C359" s="564">
        <v>10</v>
      </c>
      <c r="D359" s="564">
        <v>0.21</v>
      </c>
      <c r="E359" s="564">
        <v>6835</v>
      </c>
      <c r="F359" s="564">
        <v>45835</v>
      </c>
      <c r="G359" s="564">
        <v>975</v>
      </c>
      <c r="H359" s="564">
        <v>4486</v>
      </c>
      <c r="I359" s="557" t="str">
        <f t="shared" si="5"/>
        <v>GooD</v>
      </c>
    </row>
    <row r="360" spans="1:9" ht="15.75" thickBot="1">
      <c r="A360" s="565" t="s">
        <v>642</v>
      </c>
      <c r="B360" s="565">
        <v>39000</v>
      </c>
      <c r="C360" s="566">
        <v>12</v>
      </c>
      <c r="D360" s="566">
        <v>0.21</v>
      </c>
      <c r="E360" s="566">
        <v>8202</v>
      </c>
      <c r="F360" s="566">
        <v>47202</v>
      </c>
      <c r="G360" s="566">
        <v>1170</v>
      </c>
      <c r="H360" s="566">
        <v>3836</v>
      </c>
      <c r="I360" s="558" t="str">
        <f t="shared" si="5"/>
        <v>GooD</v>
      </c>
    </row>
    <row r="361" spans="1:9" ht="15.75" thickTop="1">
      <c r="A361" s="567" t="s">
        <v>642</v>
      </c>
      <c r="B361" s="567">
        <v>39000</v>
      </c>
      <c r="C361" s="568">
        <v>14</v>
      </c>
      <c r="D361" s="568">
        <v>0.21</v>
      </c>
      <c r="E361" s="568">
        <v>9559</v>
      </c>
      <c r="F361" s="568">
        <v>48559</v>
      </c>
      <c r="G361" s="568">
        <v>1365</v>
      </c>
      <c r="H361" s="568">
        <v>3371</v>
      </c>
      <c r="I361" s="559" t="str">
        <f t="shared" si="5"/>
        <v>GooD</v>
      </c>
    </row>
    <row r="362" spans="1:9">
      <c r="A362" s="563" t="s">
        <v>642</v>
      </c>
      <c r="B362" s="563">
        <v>39000</v>
      </c>
      <c r="C362" s="564">
        <v>16</v>
      </c>
      <c r="D362" s="564">
        <v>0.21</v>
      </c>
      <c r="E362" s="564">
        <v>10928</v>
      </c>
      <c r="F362" s="564">
        <v>49928</v>
      </c>
      <c r="G362" s="564">
        <v>1560</v>
      </c>
      <c r="H362" s="564">
        <v>3023</v>
      </c>
      <c r="I362" s="557" t="str">
        <f t="shared" si="5"/>
        <v>GooD</v>
      </c>
    </row>
    <row r="363" spans="1:9">
      <c r="A363" s="563" t="s">
        <v>642</v>
      </c>
      <c r="B363" s="563">
        <v>39000</v>
      </c>
      <c r="C363" s="564">
        <v>18</v>
      </c>
      <c r="D363" s="564">
        <v>0.21</v>
      </c>
      <c r="E363" s="564">
        <v>12291</v>
      </c>
      <c r="F363" s="564">
        <v>51291</v>
      </c>
      <c r="G363" s="564">
        <v>1755</v>
      </c>
      <c r="H363" s="564">
        <v>2752</v>
      </c>
      <c r="I363" s="557" t="str">
        <f t="shared" si="5"/>
        <v>GooD</v>
      </c>
    </row>
    <row r="364" spans="1:9">
      <c r="A364" s="563" t="s">
        <v>642</v>
      </c>
      <c r="B364" s="563">
        <v>39000</v>
      </c>
      <c r="C364" s="564">
        <v>20</v>
      </c>
      <c r="D364" s="564">
        <v>0.21</v>
      </c>
      <c r="E364" s="564">
        <v>13670</v>
      </c>
      <c r="F364" s="564">
        <v>52670</v>
      </c>
      <c r="G364" s="564">
        <v>1950</v>
      </c>
      <c r="H364" s="564">
        <v>2536</v>
      </c>
      <c r="I364" s="557" t="str">
        <f t="shared" si="5"/>
        <v>GooD</v>
      </c>
    </row>
    <row r="365" spans="1:9" ht="15.75" thickBot="1">
      <c r="A365" s="565" t="s">
        <v>642</v>
      </c>
      <c r="B365" s="565">
        <v>39000</v>
      </c>
      <c r="C365" s="566">
        <v>22</v>
      </c>
      <c r="D365" s="566">
        <v>0.21</v>
      </c>
      <c r="E365" s="566">
        <v>15021</v>
      </c>
      <c r="F365" s="566">
        <v>54021</v>
      </c>
      <c r="G365" s="566">
        <v>2145</v>
      </c>
      <c r="H365" s="566">
        <v>2358</v>
      </c>
      <c r="I365" s="558" t="str">
        <f t="shared" si="5"/>
        <v>GooD</v>
      </c>
    </row>
    <row r="366" spans="1:9" ht="15.75" thickTop="1">
      <c r="A366" s="567" t="s">
        <v>642</v>
      </c>
      <c r="B366" s="567">
        <v>39000</v>
      </c>
      <c r="C366" s="568">
        <v>24</v>
      </c>
      <c r="D366" s="568">
        <v>0.21</v>
      </c>
      <c r="E366" s="568">
        <v>16404</v>
      </c>
      <c r="F366" s="568">
        <v>55404</v>
      </c>
      <c r="G366" s="568">
        <v>2340</v>
      </c>
      <c r="H366" s="568">
        <v>2211</v>
      </c>
      <c r="I366" s="559" t="str">
        <f t="shared" si="5"/>
        <v>GooD</v>
      </c>
    </row>
    <row r="367" spans="1:9">
      <c r="A367" s="563" t="s">
        <v>642</v>
      </c>
      <c r="B367" s="563">
        <v>40000</v>
      </c>
      <c r="C367" s="564">
        <v>6</v>
      </c>
      <c r="D367" s="564">
        <v>0.21</v>
      </c>
      <c r="E367" s="564">
        <v>4202</v>
      </c>
      <c r="F367" s="564">
        <v>44202</v>
      </c>
      <c r="G367" s="564">
        <v>600</v>
      </c>
      <c r="H367" s="564">
        <v>7267</v>
      </c>
      <c r="I367" s="557" t="str">
        <f t="shared" si="5"/>
        <v>GooD</v>
      </c>
    </row>
    <row r="368" spans="1:9">
      <c r="A368" s="563" t="s">
        <v>642</v>
      </c>
      <c r="B368" s="563">
        <v>40000</v>
      </c>
      <c r="C368" s="564">
        <v>8</v>
      </c>
      <c r="D368" s="564">
        <v>0.21</v>
      </c>
      <c r="E368" s="564">
        <v>5608</v>
      </c>
      <c r="F368" s="564">
        <v>45608</v>
      </c>
      <c r="G368" s="564">
        <v>800</v>
      </c>
      <c r="H368" s="564">
        <v>5601</v>
      </c>
      <c r="I368" s="557" t="str">
        <f t="shared" si="5"/>
        <v>GooD</v>
      </c>
    </row>
    <row r="369" spans="1:9">
      <c r="A369" s="563" t="s">
        <v>642</v>
      </c>
      <c r="B369" s="563">
        <v>40000</v>
      </c>
      <c r="C369" s="564">
        <v>10</v>
      </c>
      <c r="D369" s="564">
        <v>0.21</v>
      </c>
      <c r="E369" s="564">
        <v>7010</v>
      </c>
      <c r="F369" s="564">
        <v>47010</v>
      </c>
      <c r="G369" s="564">
        <v>1000</v>
      </c>
      <c r="H369" s="564">
        <v>4601</v>
      </c>
      <c r="I369" s="557" t="str">
        <f t="shared" si="5"/>
        <v>GooD</v>
      </c>
    </row>
    <row r="370" spans="1:9" ht="15.75" thickBot="1">
      <c r="A370" s="565" t="s">
        <v>642</v>
      </c>
      <c r="B370" s="565">
        <v>40000</v>
      </c>
      <c r="C370" s="566">
        <v>12</v>
      </c>
      <c r="D370" s="566">
        <v>0.21</v>
      </c>
      <c r="E370" s="566">
        <v>8408</v>
      </c>
      <c r="F370" s="566">
        <v>48408</v>
      </c>
      <c r="G370" s="566">
        <v>1200</v>
      </c>
      <c r="H370" s="566">
        <v>3934</v>
      </c>
      <c r="I370" s="558" t="str">
        <f t="shared" si="5"/>
        <v>GooD</v>
      </c>
    </row>
    <row r="371" spans="1:9" ht="15.75" thickTop="1">
      <c r="A371" s="567" t="s">
        <v>642</v>
      </c>
      <c r="B371" s="567">
        <v>40000</v>
      </c>
      <c r="C371" s="568">
        <v>14</v>
      </c>
      <c r="D371" s="568">
        <v>0.21</v>
      </c>
      <c r="E371" s="568">
        <v>9812</v>
      </c>
      <c r="F371" s="568">
        <v>49812</v>
      </c>
      <c r="G371" s="568">
        <v>1400</v>
      </c>
      <c r="H371" s="568">
        <v>3458</v>
      </c>
      <c r="I371" s="559" t="str">
        <f t="shared" si="5"/>
        <v>GooD</v>
      </c>
    </row>
    <row r="372" spans="1:9">
      <c r="A372" s="563" t="s">
        <v>642</v>
      </c>
      <c r="B372" s="563">
        <v>40000</v>
      </c>
      <c r="C372" s="564">
        <v>16</v>
      </c>
      <c r="D372" s="564">
        <v>0.21</v>
      </c>
      <c r="E372" s="564">
        <v>11216</v>
      </c>
      <c r="F372" s="564">
        <v>51216</v>
      </c>
      <c r="G372" s="564">
        <v>1600</v>
      </c>
      <c r="H372" s="564">
        <v>3101</v>
      </c>
      <c r="I372" s="557" t="str">
        <f t="shared" si="5"/>
        <v>GooD</v>
      </c>
    </row>
    <row r="373" spans="1:9">
      <c r="A373" s="563" t="s">
        <v>642</v>
      </c>
      <c r="B373" s="563">
        <v>40000</v>
      </c>
      <c r="C373" s="564">
        <v>18</v>
      </c>
      <c r="D373" s="564">
        <v>0.21</v>
      </c>
      <c r="E373" s="564">
        <v>12614</v>
      </c>
      <c r="F373" s="564">
        <v>52614</v>
      </c>
      <c r="G373" s="564">
        <v>1800</v>
      </c>
      <c r="H373" s="564">
        <v>2823</v>
      </c>
      <c r="I373" s="557" t="str">
        <f t="shared" si="5"/>
        <v>GooD</v>
      </c>
    </row>
    <row r="374" spans="1:9">
      <c r="A374" s="563" t="s">
        <v>642</v>
      </c>
      <c r="B374" s="563">
        <v>40000</v>
      </c>
      <c r="C374" s="564">
        <v>20</v>
      </c>
      <c r="D374" s="564">
        <v>0.21</v>
      </c>
      <c r="E374" s="564">
        <v>14020</v>
      </c>
      <c r="F374" s="564">
        <v>54020</v>
      </c>
      <c r="G374" s="564">
        <v>2000</v>
      </c>
      <c r="H374" s="564">
        <v>2601</v>
      </c>
      <c r="I374" s="557" t="str">
        <f t="shared" si="5"/>
        <v>GooD</v>
      </c>
    </row>
    <row r="375" spans="1:9" ht="15.75" thickBot="1">
      <c r="A375" s="565" t="s">
        <v>642</v>
      </c>
      <c r="B375" s="565">
        <v>40000</v>
      </c>
      <c r="C375" s="566">
        <v>22</v>
      </c>
      <c r="D375" s="566">
        <v>0.21</v>
      </c>
      <c r="E375" s="566">
        <v>15418</v>
      </c>
      <c r="F375" s="566">
        <v>55418</v>
      </c>
      <c r="G375" s="566">
        <v>2200</v>
      </c>
      <c r="H375" s="566">
        <v>2419</v>
      </c>
      <c r="I375" s="558" t="str">
        <f t="shared" si="5"/>
        <v>GooD</v>
      </c>
    </row>
    <row r="376" spans="1:9" ht="15.75" thickTop="1">
      <c r="A376" s="567" t="s">
        <v>642</v>
      </c>
      <c r="B376" s="567">
        <v>40000</v>
      </c>
      <c r="C376" s="568">
        <v>24</v>
      </c>
      <c r="D376" s="568">
        <v>0.21</v>
      </c>
      <c r="E376" s="568">
        <v>16808</v>
      </c>
      <c r="F376" s="568">
        <v>56808</v>
      </c>
      <c r="G376" s="568">
        <v>2400</v>
      </c>
      <c r="H376" s="568">
        <v>2267</v>
      </c>
      <c r="I376" s="559" t="str">
        <f t="shared" si="5"/>
        <v>GooD</v>
      </c>
    </row>
    <row r="377" spans="1:9">
      <c r="A377" s="563" t="s">
        <v>642</v>
      </c>
      <c r="B377" s="563">
        <v>41000</v>
      </c>
      <c r="C377" s="564">
        <v>6</v>
      </c>
      <c r="D377" s="564">
        <v>0.21</v>
      </c>
      <c r="E377" s="564">
        <v>4309</v>
      </c>
      <c r="F377" s="564">
        <v>45309</v>
      </c>
      <c r="G377" s="564">
        <v>615</v>
      </c>
      <c r="H377" s="564">
        <v>7449</v>
      </c>
      <c r="I377" s="557" t="str">
        <f t="shared" si="5"/>
        <v>GooD</v>
      </c>
    </row>
    <row r="378" spans="1:9">
      <c r="A378" s="563" t="s">
        <v>642</v>
      </c>
      <c r="B378" s="563">
        <v>41000</v>
      </c>
      <c r="C378" s="564">
        <v>8</v>
      </c>
      <c r="D378" s="564">
        <v>0.21</v>
      </c>
      <c r="E378" s="564">
        <v>5748</v>
      </c>
      <c r="F378" s="564">
        <v>46748</v>
      </c>
      <c r="G378" s="564">
        <v>820</v>
      </c>
      <c r="H378" s="564">
        <v>5741</v>
      </c>
      <c r="I378" s="557" t="str">
        <f t="shared" si="5"/>
        <v>GooD</v>
      </c>
    </row>
    <row r="379" spans="1:9">
      <c r="A379" s="563" t="s">
        <v>642</v>
      </c>
      <c r="B379" s="563">
        <v>41000</v>
      </c>
      <c r="C379" s="564">
        <v>10</v>
      </c>
      <c r="D379" s="564">
        <v>0.21</v>
      </c>
      <c r="E379" s="564">
        <v>7185</v>
      </c>
      <c r="F379" s="564">
        <v>48185</v>
      </c>
      <c r="G379" s="564">
        <v>1025</v>
      </c>
      <c r="H379" s="564">
        <v>4716</v>
      </c>
      <c r="I379" s="557" t="str">
        <f t="shared" si="5"/>
        <v>GooD</v>
      </c>
    </row>
    <row r="380" spans="1:9" ht="15.75" thickBot="1">
      <c r="A380" s="565" t="s">
        <v>642</v>
      </c>
      <c r="B380" s="565">
        <v>41000</v>
      </c>
      <c r="C380" s="566">
        <v>12</v>
      </c>
      <c r="D380" s="566">
        <v>0.21</v>
      </c>
      <c r="E380" s="566">
        <v>8614</v>
      </c>
      <c r="F380" s="566">
        <v>49614</v>
      </c>
      <c r="G380" s="566">
        <v>1230</v>
      </c>
      <c r="H380" s="566">
        <v>4032</v>
      </c>
      <c r="I380" s="558" t="str">
        <f t="shared" si="5"/>
        <v>GooD</v>
      </c>
    </row>
    <row r="381" spans="1:9" ht="15.75" thickTop="1">
      <c r="A381" s="567" t="s">
        <v>642</v>
      </c>
      <c r="B381" s="567">
        <v>41000</v>
      </c>
      <c r="C381" s="568">
        <v>14</v>
      </c>
      <c r="D381" s="568">
        <v>0.21</v>
      </c>
      <c r="E381" s="568">
        <v>10051</v>
      </c>
      <c r="F381" s="568">
        <v>51051</v>
      </c>
      <c r="G381" s="568">
        <v>1435</v>
      </c>
      <c r="H381" s="568">
        <v>3544</v>
      </c>
      <c r="I381" s="559" t="str">
        <f t="shared" si="5"/>
        <v>GooD</v>
      </c>
    </row>
    <row r="382" spans="1:9">
      <c r="A382" s="563" t="s">
        <v>642</v>
      </c>
      <c r="B382" s="563">
        <v>41000</v>
      </c>
      <c r="C382" s="564">
        <v>16</v>
      </c>
      <c r="D382" s="564">
        <v>0.21</v>
      </c>
      <c r="E382" s="564">
        <v>11488</v>
      </c>
      <c r="F382" s="564">
        <v>52488</v>
      </c>
      <c r="G382" s="564">
        <v>1640</v>
      </c>
      <c r="H382" s="564">
        <v>3178</v>
      </c>
      <c r="I382" s="557" t="str">
        <f t="shared" si="5"/>
        <v>GooD</v>
      </c>
    </row>
    <row r="383" spans="1:9">
      <c r="A383" s="563" t="s">
        <v>642</v>
      </c>
      <c r="B383" s="563">
        <v>41000</v>
      </c>
      <c r="C383" s="564">
        <v>18</v>
      </c>
      <c r="D383" s="564">
        <v>0.21</v>
      </c>
      <c r="E383" s="564">
        <v>12919</v>
      </c>
      <c r="F383" s="564">
        <v>53919</v>
      </c>
      <c r="G383" s="564">
        <v>1845</v>
      </c>
      <c r="H383" s="564">
        <v>2893</v>
      </c>
      <c r="I383" s="557" t="str">
        <f t="shared" si="5"/>
        <v>GooD</v>
      </c>
    </row>
    <row r="384" spans="1:9">
      <c r="A384" s="563" t="s">
        <v>642</v>
      </c>
      <c r="B384" s="563">
        <v>41000</v>
      </c>
      <c r="C384" s="564">
        <v>20</v>
      </c>
      <c r="D384" s="564">
        <v>0.21</v>
      </c>
      <c r="E384" s="564">
        <v>14370</v>
      </c>
      <c r="F384" s="564">
        <v>55370</v>
      </c>
      <c r="G384" s="564">
        <v>2050</v>
      </c>
      <c r="H384" s="564">
        <v>2666</v>
      </c>
      <c r="I384" s="557" t="str">
        <f t="shared" si="5"/>
        <v>GooD</v>
      </c>
    </row>
    <row r="385" spans="1:9">
      <c r="A385" s="563" t="s">
        <v>642</v>
      </c>
      <c r="B385" s="563">
        <v>41000</v>
      </c>
      <c r="C385" s="564">
        <v>22</v>
      </c>
      <c r="D385" s="564">
        <v>0.21</v>
      </c>
      <c r="E385" s="564">
        <v>15793</v>
      </c>
      <c r="F385" s="564">
        <v>56793</v>
      </c>
      <c r="G385" s="564">
        <v>2255</v>
      </c>
      <c r="H385" s="564">
        <v>2479</v>
      </c>
      <c r="I385" s="557" t="str">
        <f t="shared" si="5"/>
        <v>GooD</v>
      </c>
    </row>
    <row r="386" spans="1:9">
      <c r="A386" s="563" t="s">
        <v>642</v>
      </c>
      <c r="B386" s="563">
        <v>41000</v>
      </c>
      <c r="C386" s="564">
        <v>24</v>
      </c>
      <c r="D386" s="564">
        <v>0.21</v>
      </c>
      <c r="E386" s="564">
        <v>17236</v>
      </c>
      <c r="F386" s="564">
        <v>58236</v>
      </c>
      <c r="G386" s="564">
        <v>2460</v>
      </c>
      <c r="H386" s="564">
        <v>2324</v>
      </c>
      <c r="I386" s="557" t="str">
        <f t="shared" si="5"/>
        <v>GooD</v>
      </c>
    </row>
    <row r="387" spans="1:9" ht="15.75" thickBot="1">
      <c r="A387" s="565" t="s">
        <v>642</v>
      </c>
      <c r="B387" s="565">
        <v>42000</v>
      </c>
      <c r="C387" s="566">
        <v>6</v>
      </c>
      <c r="D387" s="566">
        <v>0.21</v>
      </c>
      <c r="E387" s="566">
        <v>4416</v>
      </c>
      <c r="F387" s="566">
        <v>46416</v>
      </c>
      <c r="G387" s="566">
        <v>630</v>
      </c>
      <c r="H387" s="566">
        <v>7631</v>
      </c>
      <c r="I387" s="558" t="str">
        <f t="shared" si="5"/>
        <v>GooD</v>
      </c>
    </row>
    <row r="388" spans="1:9" ht="15.75" thickTop="1">
      <c r="A388" s="567" t="s">
        <v>642</v>
      </c>
      <c r="B388" s="567">
        <v>42000</v>
      </c>
      <c r="C388" s="568">
        <v>8</v>
      </c>
      <c r="D388" s="568">
        <v>0.21</v>
      </c>
      <c r="E388" s="568">
        <v>5888</v>
      </c>
      <c r="F388" s="568">
        <v>47888</v>
      </c>
      <c r="G388" s="568">
        <v>840</v>
      </c>
      <c r="H388" s="568">
        <v>5881</v>
      </c>
      <c r="I388" s="559" t="str">
        <f t="shared" si="5"/>
        <v>GooD</v>
      </c>
    </row>
    <row r="389" spans="1:9">
      <c r="A389" s="563" t="s">
        <v>642</v>
      </c>
      <c r="B389" s="563">
        <v>42000</v>
      </c>
      <c r="C389" s="564">
        <v>10</v>
      </c>
      <c r="D389" s="564">
        <v>0.21</v>
      </c>
      <c r="E389" s="564">
        <v>7360</v>
      </c>
      <c r="F389" s="564">
        <v>49360</v>
      </c>
      <c r="G389" s="564">
        <v>1050</v>
      </c>
      <c r="H389" s="564">
        <v>4831</v>
      </c>
      <c r="I389" s="557" t="str">
        <f t="shared" si="5"/>
        <v>GooD</v>
      </c>
    </row>
    <row r="390" spans="1:9" ht="15.75" thickBot="1">
      <c r="A390" s="565" t="s">
        <v>642</v>
      </c>
      <c r="B390" s="565">
        <v>42000</v>
      </c>
      <c r="C390" s="566">
        <v>12</v>
      </c>
      <c r="D390" s="566">
        <v>0.21</v>
      </c>
      <c r="E390" s="566">
        <v>8832</v>
      </c>
      <c r="F390" s="566">
        <v>50832</v>
      </c>
      <c r="G390" s="566">
        <v>1260</v>
      </c>
      <c r="H390" s="566">
        <v>4131</v>
      </c>
      <c r="I390" s="558" t="str">
        <f t="shared" si="5"/>
        <v>GooD</v>
      </c>
    </row>
    <row r="391" spans="1:9" ht="15.75" thickTop="1">
      <c r="A391" s="567" t="s">
        <v>642</v>
      </c>
      <c r="B391" s="567">
        <v>42000</v>
      </c>
      <c r="C391" s="568">
        <v>14</v>
      </c>
      <c r="D391" s="568">
        <v>0.21</v>
      </c>
      <c r="E391" s="568">
        <v>10304</v>
      </c>
      <c r="F391" s="568">
        <v>52304</v>
      </c>
      <c r="G391" s="568">
        <v>1470</v>
      </c>
      <c r="H391" s="568">
        <v>3631</v>
      </c>
      <c r="I391" s="559" t="str">
        <f t="shared" si="5"/>
        <v>GooD</v>
      </c>
    </row>
    <row r="392" spans="1:9">
      <c r="A392" s="563" t="s">
        <v>642</v>
      </c>
      <c r="B392" s="563">
        <v>42000</v>
      </c>
      <c r="C392" s="564">
        <v>16</v>
      </c>
      <c r="D392" s="564">
        <v>0.21</v>
      </c>
      <c r="E392" s="564">
        <v>11776</v>
      </c>
      <c r="F392" s="564">
        <v>53776</v>
      </c>
      <c r="G392" s="564">
        <v>1680</v>
      </c>
      <c r="H392" s="564">
        <v>3256</v>
      </c>
      <c r="I392" s="557" t="str">
        <f t="shared" ref="I392:I457" si="6">IF(((H392*C392)+G392)=F392,"GooD","لالالالالالالا")</f>
        <v>GooD</v>
      </c>
    </row>
    <row r="393" spans="1:9" ht="15.75" thickBot="1">
      <c r="A393" s="565" t="s">
        <v>642</v>
      </c>
      <c r="B393" s="565">
        <v>42000</v>
      </c>
      <c r="C393" s="566">
        <v>18</v>
      </c>
      <c r="D393" s="566">
        <v>0.21</v>
      </c>
      <c r="E393" s="566">
        <v>13242</v>
      </c>
      <c r="F393" s="566">
        <v>55242</v>
      </c>
      <c r="G393" s="566">
        <v>1890</v>
      </c>
      <c r="H393" s="566">
        <v>2964</v>
      </c>
      <c r="I393" s="558" t="str">
        <f t="shared" si="6"/>
        <v>GooD</v>
      </c>
    </row>
    <row r="394" spans="1:9" ht="15.75" thickTop="1">
      <c r="A394" s="567" t="s">
        <v>642</v>
      </c>
      <c r="B394" s="567">
        <v>42000</v>
      </c>
      <c r="C394" s="568">
        <v>20</v>
      </c>
      <c r="D394" s="568">
        <v>0.21</v>
      </c>
      <c r="E394" s="568">
        <v>14720</v>
      </c>
      <c r="F394" s="568">
        <v>56720</v>
      </c>
      <c r="G394" s="568">
        <v>2100</v>
      </c>
      <c r="H394" s="568">
        <v>2731</v>
      </c>
      <c r="I394" s="559" t="str">
        <f t="shared" si="6"/>
        <v>GooD</v>
      </c>
    </row>
    <row r="395" spans="1:9">
      <c r="A395" s="563" t="s">
        <v>642</v>
      </c>
      <c r="B395" s="563">
        <v>42000</v>
      </c>
      <c r="C395" s="564">
        <v>22</v>
      </c>
      <c r="D395" s="564">
        <v>0.21</v>
      </c>
      <c r="E395" s="564">
        <v>16190</v>
      </c>
      <c r="F395" s="564">
        <v>58190</v>
      </c>
      <c r="G395" s="564">
        <v>2310</v>
      </c>
      <c r="H395" s="564">
        <v>2540</v>
      </c>
      <c r="I395" s="557" t="str">
        <f t="shared" si="6"/>
        <v>GooD</v>
      </c>
    </row>
    <row r="396" spans="1:9" ht="15.75" thickBot="1">
      <c r="A396" s="565" t="s">
        <v>642</v>
      </c>
      <c r="B396" s="565">
        <v>42000</v>
      </c>
      <c r="C396" s="566">
        <v>24</v>
      </c>
      <c r="D396" s="566">
        <v>0.21</v>
      </c>
      <c r="E396" s="566">
        <v>17664</v>
      </c>
      <c r="F396" s="566">
        <v>59664</v>
      </c>
      <c r="G396" s="566">
        <v>2520</v>
      </c>
      <c r="H396" s="566">
        <v>2381</v>
      </c>
      <c r="I396" s="558" t="str">
        <f t="shared" si="6"/>
        <v>GooD</v>
      </c>
    </row>
    <row r="397" spans="1:9" ht="15.75" thickTop="1">
      <c r="A397" s="567" t="s">
        <v>642</v>
      </c>
      <c r="B397" s="567">
        <v>43000</v>
      </c>
      <c r="C397" s="568">
        <v>6</v>
      </c>
      <c r="D397" s="568">
        <v>0.21</v>
      </c>
      <c r="E397" s="568">
        <v>4517</v>
      </c>
      <c r="F397" s="568">
        <v>47517</v>
      </c>
      <c r="G397" s="568">
        <v>645</v>
      </c>
      <c r="H397" s="568">
        <v>7812</v>
      </c>
      <c r="I397" s="559" t="str">
        <f t="shared" si="6"/>
        <v>GooD</v>
      </c>
    </row>
    <row r="398" spans="1:9">
      <c r="A398" s="563" t="s">
        <v>642</v>
      </c>
      <c r="B398" s="563">
        <v>43000</v>
      </c>
      <c r="C398" s="564">
        <v>8</v>
      </c>
      <c r="D398" s="564">
        <v>0.21</v>
      </c>
      <c r="E398" s="564">
        <v>6028</v>
      </c>
      <c r="F398" s="564">
        <v>49028</v>
      </c>
      <c r="G398" s="564">
        <v>860</v>
      </c>
      <c r="H398" s="564">
        <v>6021</v>
      </c>
      <c r="I398" s="557" t="str">
        <f t="shared" si="6"/>
        <v>GooD</v>
      </c>
    </row>
    <row r="399" spans="1:9" ht="15.75" thickBot="1">
      <c r="A399" s="565" t="s">
        <v>642</v>
      </c>
      <c r="B399" s="565">
        <v>43000</v>
      </c>
      <c r="C399" s="566">
        <v>10</v>
      </c>
      <c r="D399" s="566">
        <v>0.21</v>
      </c>
      <c r="E399" s="566">
        <v>7535</v>
      </c>
      <c r="F399" s="566">
        <v>50535</v>
      </c>
      <c r="G399" s="566">
        <v>1075</v>
      </c>
      <c r="H399" s="566">
        <v>4946</v>
      </c>
      <c r="I399" s="558" t="str">
        <f t="shared" si="6"/>
        <v>GooD</v>
      </c>
    </row>
    <row r="400" spans="1:9" ht="15.75" thickTop="1">
      <c r="A400" s="567" t="s">
        <v>642</v>
      </c>
      <c r="B400" s="567">
        <v>43000</v>
      </c>
      <c r="C400" s="568">
        <v>12</v>
      </c>
      <c r="D400" s="568">
        <v>0.21</v>
      </c>
      <c r="E400" s="568">
        <v>9038</v>
      </c>
      <c r="F400" s="568">
        <v>52038</v>
      </c>
      <c r="G400" s="568">
        <v>1290</v>
      </c>
      <c r="H400" s="568">
        <v>4229</v>
      </c>
      <c r="I400" s="559" t="str">
        <f t="shared" si="6"/>
        <v>GooD</v>
      </c>
    </row>
    <row r="401" spans="1:9">
      <c r="A401" s="563" t="s">
        <v>642</v>
      </c>
      <c r="B401" s="563">
        <v>43000</v>
      </c>
      <c r="C401" s="564">
        <v>14</v>
      </c>
      <c r="D401" s="564">
        <v>0.21</v>
      </c>
      <c r="E401" s="564">
        <v>10543</v>
      </c>
      <c r="F401" s="564">
        <v>53543</v>
      </c>
      <c r="G401" s="564">
        <v>1505</v>
      </c>
      <c r="H401" s="564">
        <v>3717</v>
      </c>
      <c r="I401" s="557" t="str">
        <f t="shared" si="6"/>
        <v>GooD</v>
      </c>
    </row>
    <row r="402" spans="1:9" ht="15.75" thickBot="1">
      <c r="A402" s="565" t="s">
        <v>642</v>
      </c>
      <c r="B402" s="565">
        <v>43000</v>
      </c>
      <c r="C402" s="566">
        <v>16</v>
      </c>
      <c r="D402" s="566">
        <v>0.21</v>
      </c>
      <c r="E402" s="566">
        <v>12048</v>
      </c>
      <c r="F402" s="566">
        <v>55048</v>
      </c>
      <c r="G402" s="566">
        <v>1720</v>
      </c>
      <c r="H402" s="566">
        <v>3333</v>
      </c>
      <c r="I402" s="558" t="str">
        <f t="shared" si="6"/>
        <v>GooD</v>
      </c>
    </row>
    <row r="403" spans="1:9" ht="15.75" thickTop="1">
      <c r="A403" s="567" t="s">
        <v>642</v>
      </c>
      <c r="B403" s="567">
        <v>43000</v>
      </c>
      <c r="C403" s="568">
        <v>18</v>
      </c>
      <c r="D403" s="568">
        <v>0.21</v>
      </c>
      <c r="E403" s="568">
        <v>13547</v>
      </c>
      <c r="F403" s="568">
        <v>56547</v>
      </c>
      <c r="G403" s="568">
        <v>1935</v>
      </c>
      <c r="H403" s="568">
        <v>3034</v>
      </c>
      <c r="I403" s="559" t="str">
        <f t="shared" si="6"/>
        <v>GooD</v>
      </c>
    </row>
    <row r="404" spans="1:9">
      <c r="A404" s="563" t="s">
        <v>642</v>
      </c>
      <c r="B404" s="563">
        <v>43000</v>
      </c>
      <c r="C404" s="564">
        <v>20</v>
      </c>
      <c r="D404" s="564">
        <v>0.21</v>
      </c>
      <c r="E404" s="564">
        <v>15070</v>
      </c>
      <c r="F404" s="564">
        <v>58070</v>
      </c>
      <c r="G404" s="564">
        <v>2150</v>
      </c>
      <c r="H404" s="564">
        <v>2796</v>
      </c>
      <c r="I404" s="557" t="str">
        <f t="shared" si="6"/>
        <v>GooD</v>
      </c>
    </row>
    <row r="405" spans="1:9" ht="15.75" thickBot="1">
      <c r="A405" s="565" t="s">
        <v>642</v>
      </c>
      <c r="B405" s="565">
        <v>43000</v>
      </c>
      <c r="C405" s="566">
        <v>22</v>
      </c>
      <c r="D405" s="566">
        <v>0.21</v>
      </c>
      <c r="E405" s="566">
        <v>16565</v>
      </c>
      <c r="F405" s="566">
        <v>59565</v>
      </c>
      <c r="G405" s="566">
        <v>2365</v>
      </c>
      <c r="H405" s="566">
        <v>2600</v>
      </c>
      <c r="I405" s="558" t="str">
        <f t="shared" si="6"/>
        <v>GooD</v>
      </c>
    </row>
    <row r="406" spans="1:9" ht="15.75" thickTop="1">
      <c r="A406" s="567" t="s">
        <v>642</v>
      </c>
      <c r="B406" s="567">
        <v>43000</v>
      </c>
      <c r="C406" s="568">
        <v>24</v>
      </c>
      <c r="D406" s="568">
        <v>0.21</v>
      </c>
      <c r="E406" s="568">
        <v>18068</v>
      </c>
      <c r="F406" s="568">
        <v>61068</v>
      </c>
      <c r="G406" s="568">
        <v>2580</v>
      </c>
      <c r="H406" s="568">
        <v>2437</v>
      </c>
      <c r="I406" s="559" t="str">
        <f t="shared" si="6"/>
        <v>GooD</v>
      </c>
    </row>
    <row r="407" spans="1:9">
      <c r="A407" s="563" t="s">
        <v>642</v>
      </c>
      <c r="B407" s="563">
        <v>44000</v>
      </c>
      <c r="C407" s="564">
        <v>6</v>
      </c>
      <c r="D407" s="564">
        <v>0.21</v>
      </c>
      <c r="E407" s="564">
        <v>4624</v>
      </c>
      <c r="F407" s="564">
        <v>48624</v>
      </c>
      <c r="G407" s="564">
        <v>660</v>
      </c>
      <c r="H407" s="564">
        <v>7994</v>
      </c>
      <c r="I407" s="557" t="str">
        <f t="shared" si="6"/>
        <v>GooD</v>
      </c>
    </row>
    <row r="408" spans="1:9" ht="15.75" thickBot="1">
      <c r="A408" s="565" t="s">
        <v>642</v>
      </c>
      <c r="B408" s="565">
        <v>44000</v>
      </c>
      <c r="C408" s="566">
        <v>8</v>
      </c>
      <c r="D408" s="566">
        <v>0.21</v>
      </c>
      <c r="E408" s="566">
        <v>6168</v>
      </c>
      <c r="F408" s="566">
        <v>50168</v>
      </c>
      <c r="G408" s="566">
        <v>880</v>
      </c>
      <c r="H408" s="566">
        <v>6161</v>
      </c>
      <c r="I408" s="558" t="str">
        <f t="shared" si="6"/>
        <v>GooD</v>
      </c>
    </row>
    <row r="409" spans="1:9" ht="15.75" thickTop="1">
      <c r="A409" s="567" t="s">
        <v>642</v>
      </c>
      <c r="B409" s="567">
        <v>44000</v>
      </c>
      <c r="C409" s="568">
        <v>10</v>
      </c>
      <c r="D409" s="568">
        <v>0.21</v>
      </c>
      <c r="E409" s="568">
        <v>7710</v>
      </c>
      <c r="F409" s="568">
        <v>51710</v>
      </c>
      <c r="G409" s="568">
        <v>1100</v>
      </c>
      <c r="H409" s="568">
        <v>5061</v>
      </c>
      <c r="I409" s="559" t="str">
        <f t="shared" si="6"/>
        <v>GooD</v>
      </c>
    </row>
    <row r="410" spans="1:9">
      <c r="A410" s="563" t="s">
        <v>642</v>
      </c>
      <c r="B410" s="563">
        <v>44000</v>
      </c>
      <c r="C410" s="564">
        <v>12</v>
      </c>
      <c r="D410" s="564">
        <v>0.21</v>
      </c>
      <c r="E410" s="564">
        <v>9244</v>
      </c>
      <c r="F410" s="564">
        <v>53244</v>
      </c>
      <c r="G410" s="564">
        <v>1320</v>
      </c>
      <c r="H410" s="564">
        <v>4327</v>
      </c>
      <c r="I410" s="557" t="str">
        <f t="shared" si="6"/>
        <v>GooD</v>
      </c>
    </row>
    <row r="411" spans="1:9" ht="15.75" thickBot="1">
      <c r="A411" s="565" t="s">
        <v>642</v>
      </c>
      <c r="B411" s="565">
        <v>44000</v>
      </c>
      <c r="C411" s="566">
        <v>14</v>
      </c>
      <c r="D411" s="566">
        <v>0.21</v>
      </c>
      <c r="E411" s="566">
        <v>10782</v>
      </c>
      <c r="F411" s="566">
        <v>54782</v>
      </c>
      <c r="G411" s="566">
        <v>1540</v>
      </c>
      <c r="H411" s="566">
        <v>3803</v>
      </c>
      <c r="I411" s="558" t="str">
        <f t="shared" si="6"/>
        <v>GooD</v>
      </c>
    </row>
    <row r="412" spans="1:9" ht="15.75" thickTop="1">
      <c r="A412" s="567" t="s">
        <v>642</v>
      </c>
      <c r="B412" s="567">
        <v>44000</v>
      </c>
      <c r="C412" s="568">
        <v>16</v>
      </c>
      <c r="D412" s="568">
        <v>0.21</v>
      </c>
      <c r="E412" s="568">
        <v>12336</v>
      </c>
      <c r="F412" s="568">
        <v>56336</v>
      </c>
      <c r="G412" s="568">
        <v>1760</v>
      </c>
      <c r="H412" s="568">
        <v>3411</v>
      </c>
      <c r="I412" s="559" t="str">
        <f t="shared" si="6"/>
        <v>GooD</v>
      </c>
    </row>
    <row r="413" spans="1:9">
      <c r="A413" s="563" t="s">
        <v>642</v>
      </c>
      <c r="B413" s="563">
        <v>44000</v>
      </c>
      <c r="C413" s="564">
        <v>18</v>
      </c>
      <c r="D413" s="564">
        <v>0.21</v>
      </c>
      <c r="E413" s="564">
        <v>13870</v>
      </c>
      <c r="F413" s="564">
        <v>57870</v>
      </c>
      <c r="G413" s="564">
        <v>1980</v>
      </c>
      <c r="H413" s="564">
        <v>3105</v>
      </c>
      <c r="I413" s="557" t="str">
        <f t="shared" si="6"/>
        <v>GooD</v>
      </c>
    </row>
    <row r="414" spans="1:9" ht="15.75" thickBot="1">
      <c r="A414" s="565" t="s">
        <v>642</v>
      </c>
      <c r="B414" s="565">
        <v>44000</v>
      </c>
      <c r="C414" s="566">
        <v>20</v>
      </c>
      <c r="D414" s="566">
        <v>0.21</v>
      </c>
      <c r="E414" s="566">
        <v>15420</v>
      </c>
      <c r="F414" s="566">
        <v>59420</v>
      </c>
      <c r="G414" s="566">
        <v>2200</v>
      </c>
      <c r="H414" s="566">
        <v>2861</v>
      </c>
      <c r="I414" s="558" t="str">
        <f t="shared" si="6"/>
        <v>GooD</v>
      </c>
    </row>
    <row r="415" spans="1:9" ht="15.75" thickTop="1">
      <c r="A415" s="567" t="s">
        <v>642</v>
      </c>
      <c r="B415" s="567">
        <v>44000</v>
      </c>
      <c r="C415" s="568">
        <v>22</v>
      </c>
      <c r="D415" s="568">
        <v>0.21</v>
      </c>
      <c r="E415" s="568">
        <v>16962</v>
      </c>
      <c r="F415" s="568">
        <v>60962</v>
      </c>
      <c r="G415" s="568">
        <v>2420</v>
      </c>
      <c r="H415" s="568">
        <v>2661</v>
      </c>
      <c r="I415" s="559" t="str">
        <f t="shared" si="6"/>
        <v>GooD</v>
      </c>
    </row>
    <row r="416" spans="1:9">
      <c r="A416" s="563" t="s">
        <v>642</v>
      </c>
      <c r="B416" s="563">
        <v>44000</v>
      </c>
      <c r="C416" s="564">
        <v>24</v>
      </c>
      <c r="D416" s="564">
        <v>0.21</v>
      </c>
      <c r="E416" s="564">
        <v>18496</v>
      </c>
      <c r="F416" s="564">
        <v>62496</v>
      </c>
      <c r="G416" s="564">
        <v>2640</v>
      </c>
      <c r="H416" s="564">
        <v>2494</v>
      </c>
      <c r="I416" s="557" t="str">
        <f t="shared" si="6"/>
        <v>GooD</v>
      </c>
    </row>
    <row r="417" spans="1:9" ht="15.75" thickBot="1">
      <c r="A417" s="565" t="s">
        <v>642</v>
      </c>
      <c r="B417" s="565">
        <v>45000</v>
      </c>
      <c r="C417" s="566">
        <v>6</v>
      </c>
      <c r="D417" s="566">
        <v>0.21</v>
      </c>
      <c r="E417" s="566">
        <v>4731</v>
      </c>
      <c r="F417" s="566">
        <v>49731</v>
      </c>
      <c r="G417" s="566">
        <v>675</v>
      </c>
      <c r="H417" s="566">
        <v>8176</v>
      </c>
      <c r="I417" s="558" t="str">
        <f t="shared" si="6"/>
        <v>GooD</v>
      </c>
    </row>
    <row r="418" spans="1:9" ht="15.75" thickTop="1">
      <c r="A418" s="567" t="s">
        <v>642</v>
      </c>
      <c r="B418" s="567">
        <v>45000</v>
      </c>
      <c r="C418" s="568">
        <v>8</v>
      </c>
      <c r="D418" s="568">
        <v>0.21</v>
      </c>
      <c r="E418" s="568">
        <v>6308</v>
      </c>
      <c r="F418" s="568">
        <v>51308</v>
      </c>
      <c r="G418" s="568">
        <v>900</v>
      </c>
      <c r="H418" s="568">
        <v>6301</v>
      </c>
      <c r="I418" s="559" t="str">
        <f t="shared" si="6"/>
        <v>GooD</v>
      </c>
    </row>
    <row r="419" spans="1:9">
      <c r="A419" s="563" t="s">
        <v>642</v>
      </c>
      <c r="B419" s="563">
        <v>45000</v>
      </c>
      <c r="C419" s="564">
        <v>10</v>
      </c>
      <c r="D419" s="564">
        <v>0.21</v>
      </c>
      <c r="E419" s="564">
        <v>7885</v>
      </c>
      <c r="F419" s="564">
        <v>52885</v>
      </c>
      <c r="G419" s="564">
        <v>1125</v>
      </c>
      <c r="H419" s="564">
        <v>5176</v>
      </c>
      <c r="I419" s="557" t="str">
        <f t="shared" si="6"/>
        <v>GooD</v>
      </c>
    </row>
    <row r="420" spans="1:9" ht="15.75" thickBot="1">
      <c r="A420" s="565" t="s">
        <v>642</v>
      </c>
      <c r="B420" s="565">
        <v>45000</v>
      </c>
      <c r="C420" s="566">
        <v>12</v>
      </c>
      <c r="D420" s="566">
        <v>0.21</v>
      </c>
      <c r="E420" s="566">
        <v>9462</v>
      </c>
      <c r="F420" s="566">
        <v>54462</v>
      </c>
      <c r="G420" s="566">
        <v>1350</v>
      </c>
      <c r="H420" s="566">
        <v>4426</v>
      </c>
      <c r="I420" s="558" t="str">
        <f t="shared" si="6"/>
        <v>GooD</v>
      </c>
    </row>
    <row r="421" spans="1:9" ht="15.75" thickTop="1">
      <c r="A421" s="567" t="s">
        <v>642</v>
      </c>
      <c r="B421" s="567">
        <v>45000</v>
      </c>
      <c r="C421" s="568">
        <v>14</v>
      </c>
      <c r="D421" s="568">
        <v>0.21</v>
      </c>
      <c r="E421" s="568">
        <v>11035</v>
      </c>
      <c r="F421" s="568">
        <v>56035</v>
      </c>
      <c r="G421" s="568">
        <v>1575</v>
      </c>
      <c r="H421" s="568">
        <v>3890</v>
      </c>
      <c r="I421" s="559" t="str">
        <f t="shared" si="6"/>
        <v>GooD</v>
      </c>
    </row>
    <row r="422" spans="1:9">
      <c r="A422" s="563" t="s">
        <v>642</v>
      </c>
      <c r="B422" s="563">
        <v>45000</v>
      </c>
      <c r="C422" s="564">
        <v>16</v>
      </c>
      <c r="D422" s="564">
        <v>0.21</v>
      </c>
      <c r="E422" s="564">
        <v>12608</v>
      </c>
      <c r="F422" s="564">
        <v>57608</v>
      </c>
      <c r="G422" s="564">
        <v>1800</v>
      </c>
      <c r="H422" s="564">
        <v>3488</v>
      </c>
      <c r="I422" s="557" t="str">
        <f t="shared" si="6"/>
        <v>GooD</v>
      </c>
    </row>
    <row r="423" spans="1:9" ht="15.75" thickBot="1">
      <c r="A423" s="565" t="s">
        <v>642</v>
      </c>
      <c r="B423" s="565">
        <v>45000</v>
      </c>
      <c r="C423" s="566">
        <v>18</v>
      </c>
      <c r="D423" s="566">
        <v>0.21</v>
      </c>
      <c r="E423" s="566">
        <v>14193</v>
      </c>
      <c r="F423" s="566">
        <v>59193</v>
      </c>
      <c r="G423" s="566">
        <v>2025</v>
      </c>
      <c r="H423" s="566">
        <v>3176</v>
      </c>
      <c r="I423" s="558" t="str">
        <f t="shared" si="6"/>
        <v>GooD</v>
      </c>
    </row>
    <row r="424" spans="1:9" ht="15.75" thickTop="1">
      <c r="A424" s="567" t="s">
        <v>642</v>
      </c>
      <c r="B424" s="567">
        <v>45000</v>
      </c>
      <c r="C424" s="568">
        <v>20</v>
      </c>
      <c r="D424" s="568">
        <v>0.21</v>
      </c>
      <c r="E424" s="568">
        <v>15770</v>
      </c>
      <c r="F424" s="568">
        <v>60770</v>
      </c>
      <c r="G424" s="568">
        <v>2250</v>
      </c>
      <c r="H424" s="568">
        <v>2926</v>
      </c>
      <c r="I424" s="559" t="str">
        <f t="shared" si="6"/>
        <v>GooD</v>
      </c>
    </row>
    <row r="425" spans="1:9">
      <c r="A425" s="563" t="s">
        <v>642</v>
      </c>
      <c r="B425" s="563">
        <v>45000</v>
      </c>
      <c r="C425" s="564">
        <v>22</v>
      </c>
      <c r="D425" s="564">
        <v>0.21</v>
      </c>
      <c r="E425" s="564">
        <v>17337</v>
      </c>
      <c r="F425" s="564">
        <v>62337</v>
      </c>
      <c r="G425" s="564">
        <v>2475</v>
      </c>
      <c r="H425" s="564">
        <v>2721</v>
      </c>
      <c r="I425" s="557" t="str">
        <f t="shared" si="6"/>
        <v>GooD</v>
      </c>
    </row>
    <row r="426" spans="1:9" ht="15.75" thickBot="1">
      <c r="A426" s="565" t="s">
        <v>642</v>
      </c>
      <c r="B426" s="565">
        <v>45000</v>
      </c>
      <c r="C426" s="566">
        <v>24</v>
      </c>
      <c r="D426" s="566">
        <v>0.21</v>
      </c>
      <c r="E426" s="566">
        <v>18924</v>
      </c>
      <c r="F426" s="566">
        <v>63924</v>
      </c>
      <c r="G426" s="566">
        <v>2700</v>
      </c>
      <c r="H426" s="566">
        <v>2551</v>
      </c>
      <c r="I426" s="558" t="str">
        <f t="shared" si="6"/>
        <v>GooD</v>
      </c>
    </row>
    <row r="427" spans="1:9" ht="15.75" thickTop="1">
      <c r="A427" s="567" t="s">
        <v>642</v>
      </c>
      <c r="B427" s="567">
        <v>46000</v>
      </c>
      <c r="C427" s="568">
        <v>6</v>
      </c>
      <c r="D427" s="568">
        <v>0.21</v>
      </c>
      <c r="E427" s="568">
        <v>4832</v>
      </c>
      <c r="F427" s="568">
        <v>50832</v>
      </c>
      <c r="G427" s="568">
        <v>690</v>
      </c>
      <c r="H427" s="568">
        <v>8357</v>
      </c>
      <c r="I427" s="559" t="str">
        <f t="shared" si="6"/>
        <v>GooD</v>
      </c>
    </row>
    <row r="428" spans="1:9">
      <c r="A428" s="563" t="s">
        <v>642</v>
      </c>
      <c r="B428" s="563">
        <v>46000</v>
      </c>
      <c r="C428" s="564">
        <v>8</v>
      </c>
      <c r="D428" s="564">
        <v>0.21</v>
      </c>
      <c r="E428" s="564">
        <v>6448</v>
      </c>
      <c r="F428" s="564">
        <v>52448</v>
      </c>
      <c r="G428" s="564">
        <v>920</v>
      </c>
      <c r="H428" s="564">
        <v>6441</v>
      </c>
      <c r="I428" s="557" t="str">
        <f t="shared" si="6"/>
        <v>GooD</v>
      </c>
    </row>
    <row r="429" spans="1:9" ht="15.75" thickBot="1">
      <c r="A429" s="565" t="s">
        <v>642</v>
      </c>
      <c r="B429" s="565">
        <v>46000</v>
      </c>
      <c r="C429" s="566">
        <v>10</v>
      </c>
      <c r="D429" s="566">
        <v>0.21</v>
      </c>
      <c r="E429" s="566">
        <v>8060</v>
      </c>
      <c r="F429" s="566">
        <v>54060</v>
      </c>
      <c r="G429" s="566">
        <v>1150</v>
      </c>
      <c r="H429" s="566">
        <v>5291</v>
      </c>
      <c r="I429" s="558" t="str">
        <f t="shared" si="6"/>
        <v>GooD</v>
      </c>
    </row>
    <row r="430" spans="1:9" ht="15.75" thickTop="1">
      <c r="A430" s="567" t="s">
        <v>642</v>
      </c>
      <c r="B430" s="567">
        <v>46000</v>
      </c>
      <c r="C430" s="568">
        <v>12</v>
      </c>
      <c r="D430" s="568">
        <v>0.21</v>
      </c>
      <c r="E430" s="568">
        <v>9668</v>
      </c>
      <c r="F430" s="568">
        <v>55668</v>
      </c>
      <c r="G430" s="568">
        <v>1380</v>
      </c>
      <c r="H430" s="568">
        <v>4524</v>
      </c>
      <c r="I430" s="559" t="str">
        <f t="shared" si="6"/>
        <v>GooD</v>
      </c>
    </row>
    <row r="431" spans="1:9">
      <c r="A431" s="563" t="s">
        <v>642</v>
      </c>
      <c r="B431" s="563">
        <v>46000</v>
      </c>
      <c r="C431" s="564">
        <v>14</v>
      </c>
      <c r="D431" s="564">
        <v>0.21</v>
      </c>
      <c r="E431" s="564">
        <v>11274</v>
      </c>
      <c r="F431" s="564">
        <v>57274</v>
      </c>
      <c r="G431" s="564">
        <v>1610</v>
      </c>
      <c r="H431" s="564">
        <v>3976</v>
      </c>
      <c r="I431" s="557" t="str">
        <f t="shared" si="6"/>
        <v>GooD</v>
      </c>
    </row>
    <row r="432" spans="1:9" ht="15.75" thickBot="1">
      <c r="A432" s="565" t="s">
        <v>642</v>
      </c>
      <c r="B432" s="565">
        <v>46000</v>
      </c>
      <c r="C432" s="566">
        <v>16</v>
      </c>
      <c r="D432" s="566">
        <v>0.21</v>
      </c>
      <c r="E432" s="566">
        <v>12896</v>
      </c>
      <c r="F432" s="566">
        <v>58896</v>
      </c>
      <c r="G432" s="566">
        <v>1840</v>
      </c>
      <c r="H432" s="566">
        <v>3566</v>
      </c>
      <c r="I432" s="558" t="str">
        <f t="shared" si="6"/>
        <v>GooD</v>
      </c>
    </row>
    <row r="433" spans="1:9" ht="15.75" thickTop="1">
      <c r="A433" s="567" t="s">
        <v>642</v>
      </c>
      <c r="B433" s="567">
        <v>46000</v>
      </c>
      <c r="C433" s="568">
        <v>18</v>
      </c>
      <c r="D433" s="568">
        <v>0.21</v>
      </c>
      <c r="E433" s="568">
        <v>14498</v>
      </c>
      <c r="F433" s="568">
        <v>60498</v>
      </c>
      <c r="G433" s="568">
        <v>2070</v>
      </c>
      <c r="H433" s="568">
        <v>3246</v>
      </c>
      <c r="I433" s="559" t="str">
        <f t="shared" si="6"/>
        <v>GooD</v>
      </c>
    </row>
    <row r="434" spans="1:9">
      <c r="A434" s="563" t="s">
        <v>642</v>
      </c>
      <c r="B434" s="563">
        <v>46000</v>
      </c>
      <c r="C434" s="564">
        <v>20</v>
      </c>
      <c r="D434" s="564">
        <v>0.21</v>
      </c>
      <c r="E434" s="564">
        <v>16120</v>
      </c>
      <c r="F434" s="564">
        <v>62120</v>
      </c>
      <c r="G434" s="564">
        <v>2300</v>
      </c>
      <c r="H434" s="564">
        <v>2991</v>
      </c>
      <c r="I434" s="557" t="str">
        <f t="shared" si="6"/>
        <v>GooD</v>
      </c>
    </row>
    <row r="435" spans="1:9" ht="15.75" thickBot="1">
      <c r="A435" s="565" t="s">
        <v>642</v>
      </c>
      <c r="B435" s="565">
        <v>46000</v>
      </c>
      <c r="C435" s="566">
        <v>22</v>
      </c>
      <c r="D435" s="566">
        <v>0.21</v>
      </c>
      <c r="E435" s="566">
        <v>17712</v>
      </c>
      <c r="F435" s="566">
        <v>63712</v>
      </c>
      <c r="G435" s="566">
        <v>2530</v>
      </c>
      <c r="H435" s="566">
        <v>2781</v>
      </c>
      <c r="I435" s="558" t="str">
        <f t="shared" si="6"/>
        <v>GooD</v>
      </c>
    </row>
    <row r="436" spans="1:9" ht="15.75" thickTop="1">
      <c r="A436" s="567" t="s">
        <v>642</v>
      </c>
      <c r="B436" s="567">
        <v>46000</v>
      </c>
      <c r="C436" s="568">
        <v>24</v>
      </c>
      <c r="D436" s="568">
        <v>0.21</v>
      </c>
      <c r="E436" s="568">
        <v>19328</v>
      </c>
      <c r="F436" s="568">
        <v>65328</v>
      </c>
      <c r="G436" s="568">
        <v>2760</v>
      </c>
      <c r="H436" s="568">
        <v>2607</v>
      </c>
      <c r="I436" s="559" t="str">
        <f t="shared" si="6"/>
        <v>GooD</v>
      </c>
    </row>
    <row r="437" spans="1:9">
      <c r="A437" s="563" t="s">
        <v>642</v>
      </c>
      <c r="B437" s="563">
        <v>47000</v>
      </c>
      <c r="C437" s="564">
        <v>6</v>
      </c>
      <c r="D437" s="564">
        <v>0.21</v>
      </c>
      <c r="E437" s="564">
        <v>4939</v>
      </c>
      <c r="F437" s="564">
        <v>51939</v>
      </c>
      <c r="G437" s="564">
        <v>705</v>
      </c>
      <c r="H437" s="564">
        <v>8539</v>
      </c>
      <c r="I437" s="557" t="str">
        <f t="shared" si="6"/>
        <v>GooD</v>
      </c>
    </row>
    <row r="438" spans="1:9" ht="15.75" thickBot="1">
      <c r="A438" s="565" t="s">
        <v>642</v>
      </c>
      <c r="B438" s="565">
        <v>47000</v>
      </c>
      <c r="C438" s="566">
        <v>8</v>
      </c>
      <c r="D438" s="566">
        <v>0.21</v>
      </c>
      <c r="E438" s="566">
        <v>6588</v>
      </c>
      <c r="F438" s="566">
        <v>53588</v>
      </c>
      <c r="G438" s="566">
        <v>940</v>
      </c>
      <c r="H438" s="566">
        <v>6581</v>
      </c>
      <c r="I438" s="558" t="str">
        <f t="shared" si="6"/>
        <v>GooD</v>
      </c>
    </row>
    <row r="439" spans="1:9" ht="15.75" thickTop="1">
      <c r="A439" s="567" t="s">
        <v>642</v>
      </c>
      <c r="B439" s="567">
        <v>47000</v>
      </c>
      <c r="C439" s="568">
        <v>10</v>
      </c>
      <c r="D439" s="568">
        <v>0.21</v>
      </c>
      <c r="E439" s="568">
        <v>8235</v>
      </c>
      <c r="F439" s="568">
        <v>55235</v>
      </c>
      <c r="G439" s="568">
        <v>1175</v>
      </c>
      <c r="H439" s="568">
        <v>5406</v>
      </c>
      <c r="I439" s="559" t="str">
        <f t="shared" si="6"/>
        <v>GooD</v>
      </c>
    </row>
    <row r="440" spans="1:9">
      <c r="A440" s="563" t="s">
        <v>642</v>
      </c>
      <c r="B440" s="563">
        <v>47000</v>
      </c>
      <c r="C440" s="564">
        <v>12</v>
      </c>
      <c r="D440" s="564">
        <v>0.21</v>
      </c>
      <c r="E440" s="564">
        <v>9874</v>
      </c>
      <c r="F440" s="564">
        <v>56874</v>
      </c>
      <c r="G440" s="564">
        <v>1410</v>
      </c>
      <c r="H440" s="564">
        <v>4622</v>
      </c>
      <c r="I440" s="557" t="str">
        <f t="shared" si="6"/>
        <v>GooD</v>
      </c>
    </row>
    <row r="441" spans="1:9" ht="15.75" thickBot="1">
      <c r="A441" s="565" t="s">
        <v>642</v>
      </c>
      <c r="B441" s="565">
        <v>47000</v>
      </c>
      <c r="C441" s="566">
        <v>14</v>
      </c>
      <c r="D441" s="566">
        <v>0.21</v>
      </c>
      <c r="E441" s="566">
        <v>11527</v>
      </c>
      <c r="F441" s="566">
        <v>58527</v>
      </c>
      <c r="G441" s="566">
        <v>1645</v>
      </c>
      <c r="H441" s="566">
        <v>4063</v>
      </c>
      <c r="I441" s="558" t="str">
        <f t="shared" si="6"/>
        <v>GooD</v>
      </c>
    </row>
    <row r="442" spans="1:9" ht="15.75" thickTop="1">
      <c r="A442" s="567" t="s">
        <v>642</v>
      </c>
      <c r="B442" s="567">
        <v>47000</v>
      </c>
      <c r="C442" s="568">
        <v>16</v>
      </c>
      <c r="D442" s="568">
        <v>0.21</v>
      </c>
      <c r="E442" s="568">
        <v>13168</v>
      </c>
      <c r="F442" s="568">
        <v>60168</v>
      </c>
      <c r="G442" s="568">
        <v>1880</v>
      </c>
      <c r="H442" s="568">
        <v>3643</v>
      </c>
      <c r="I442" s="559" t="str">
        <f t="shared" si="6"/>
        <v>GooD</v>
      </c>
    </row>
    <row r="443" spans="1:9">
      <c r="A443" s="563" t="s">
        <v>642</v>
      </c>
      <c r="B443" s="563">
        <v>47000</v>
      </c>
      <c r="C443" s="564">
        <v>18</v>
      </c>
      <c r="D443" s="564">
        <v>0.21</v>
      </c>
      <c r="E443" s="564">
        <v>14821</v>
      </c>
      <c r="F443" s="564">
        <v>61821</v>
      </c>
      <c r="G443" s="564">
        <v>2115</v>
      </c>
      <c r="H443" s="564">
        <v>3317</v>
      </c>
      <c r="I443" s="557" t="str">
        <f t="shared" si="6"/>
        <v>GooD</v>
      </c>
    </row>
    <row r="444" spans="1:9" ht="15.75" thickBot="1">
      <c r="A444" s="565" t="s">
        <v>642</v>
      </c>
      <c r="B444" s="565">
        <v>47000</v>
      </c>
      <c r="C444" s="566">
        <v>20</v>
      </c>
      <c r="D444" s="566">
        <v>0.21</v>
      </c>
      <c r="E444" s="566">
        <v>16470</v>
      </c>
      <c r="F444" s="566">
        <v>63470</v>
      </c>
      <c r="G444" s="566">
        <v>2350</v>
      </c>
      <c r="H444" s="566">
        <v>3056</v>
      </c>
      <c r="I444" s="558" t="str">
        <f t="shared" si="6"/>
        <v>GooD</v>
      </c>
    </row>
    <row r="445" spans="1:9" ht="15.75" thickTop="1">
      <c r="A445" s="567" t="s">
        <v>642</v>
      </c>
      <c r="B445" s="567">
        <v>47000</v>
      </c>
      <c r="C445" s="568">
        <v>22</v>
      </c>
      <c r="D445" s="568">
        <v>0.21</v>
      </c>
      <c r="E445" s="568">
        <v>18109</v>
      </c>
      <c r="F445" s="568">
        <v>65109</v>
      </c>
      <c r="G445" s="568">
        <v>2585</v>
      </c>
      <c r="H445" s="568">
        <v>2842</v>
      </c>
      <c r="I445" s="559" t="str">
        <f t="shared" si="6"/>
        <v>GooD</v>
      </c>
    </row>
    <row r="446" spans="1:9">
      <c r="A446" s="563" t="s">
        <v>642</v>
      </c>
      <c r="B446" s="563">
        <v>47000</v>
      </c>
      <c r="C446" s="564">
        <v>24</v>
      </c>
      <c r="D446" s="564">
        <v>0.21</v>
      </c>
      <c r="E446" s="564">
        <v>19756</v>
      </c>
      <c r="F446" s="564">
        <v>66756</v>
      </c>
      <c r="G446" s="564">
        <v>2820</v>
      </c>
      <c r="H446" s="564">
        <v>2664</v>
      </c>
      <c r="I446" s="557" t="str">
        <f t="shared" si="6"/>
        <v>GooD</v>
      </c>
    </row>
    <row r="447" spans="1:9" ht="15.75" thickBot="1">
      <c r="A447" s="565" t="s">
        <v>642</v>
      </c>
      <c r="B447" s="565">
        <v>48000</v>
      </c>
      <c r="C447" s="566">
        <v>6</v>
      </c>
      <c r="D447" s="566">
        <v>0.21</v>
      </c>
      <c r="E447" s="566">
        <v>5046</v>
      </c>
      <c r="F447" s="566">
        <v>53046</v>
      </c>
      <c r="G447" s="566">
        <v>720</v>
      </c>
      <c r="H447" s="566">
        <v>8721</v>
      </c>
      <c r="I447" s="558" t="str">
        <f t="shared" si="6"/>
        <v>GooD</v>
      </c>
    </row>
    <row r="448" spans="1:9" ht="15.75" thickTop="1">
      <c r="A448" s="567" t="s">
        <v>642</v>
      </c>
      <c r="B448" s="567">
        <v>48000</v>
      </c>
      <c r="C448" s="568">
        <v>8</v>
      </c>
      <c r="D448" s="568">
        <v>0.21</v>
      </c>
      <c r="E448" s="568">
        <v>6728</v>
      </c>
      <c r="F448" s="568">
        <v>54728</v>
      </c>
      <c r="G448" s="568">
        <v>960</v>
      </c>
      <c r="H448" s="568">
        <v>6721</v>
      </c>
      <c r="I448" s="559" t="str">
        <f t="shared" si="6"/>
        <v>GooD</v>
      </c>
    </row>
    <row r="449" spans="1:9">
      <c r="A449" s="563" t="s">
        <v>642</v>
      </c>
      <c r="B449" s="563">
        <v>48000</v>
      </c>
      <c r="C449" s="564">
        <v>10</v>
      </c>
      <c r="D449" s="564">
        <v>0.21</v>
      </c>
      <c r="E449" s="564">
        <v>8410</v>
      </c>
      <c r="F449" s="564">
        <v>56410</v>
      </c>
      <c r="G449" s="564">
        <v>1200</v>
      </c>
      <c r="H449" s="564">
        <v>5521</v>
      </c>
      <c r="I449" s="557" t="str">
        <f t="shared" si="6"/>
        <v>GooD</v>
      </c>
    </row>
    <row r="450" spans="1:9" ht="15.75" thickBot="1">
      <c r="A450" s="565" t="s">
        <v>642</v>
      </c>
      <c r="B450" s="565">
        <v>48000</v>
      </c>
      <c r="C450" s="566">
        <v>12</v>
      </c>
      <c r="D450" s="566">
        <v>0.21</v>
      </c>
      <c r="E450" s="566">
        <v>10092</v>
      </c>
      <c r="F450" s="566">
        <v>58092</v>
      </c>
      <c r="G450" s="566">
        <v>1440</v>
      </c>
      <c r="H450" s="566">
        <v>4721</v>
      </c>
      <c r="I450" s="558" t="str">
        <f t="shared" si="6"/>
        <v>GooD</v>
      </c>
    </row>
    <row r="451" spans="1:9" ht="15.75" thickTop="1">
      <c r="A451" s="567" t="s">
        <v>642</v>
      </c>
      <c r="B451" s="567">
        <v>48000</v>
      </c>
      <c r="C451" s="568">
        <v>14</v>
      </c>
      <c r="D451" s="568">
        <v>0.21</v>
      </c>
      <c r="E451" s="568">
        <v>11766</v>
      </c>
      <c r="F451" s="568">
        <v>59766</v>
      </c>
      <c r="G451" s="568">
        <v>1680</v>
      </c>
      <c r="H451" s="568">
        <v>4149</v>
      </c>
      <c r="I451" s="559" t="str">
        <f t="shared" si="6"/>
        <v>GooD</v>
      </c>
    </row>
    <row r="452" spans="1:9">
      <c r="A452" s="563" t="s">
        <v>642</v>
      </c>
      <c r="B452" s="563">
        <v>48000</v>
      </c>
      <c r="C452" s="564">
        <v>16</v>
      </c>
      <c r="D452" s="564">
        <v>0.21</v>
      </c>
      <c r="E452" s="564">
        <v>13456</v>
      </c>
      <c r="F452" s="564">
        <v>61456</v>
      </c>
      <c r="G452" s="564">
        <v>1920</v>
      </c>
      <c r="H452" s="564">
        <v>3721</v>
      </c>
      <c r="I452" s="557" t="str">
        <f t="shared" si="6"/>
        <v>GooD</v>
      </c>
    </row>
    <row r="453" spans="1:9" ht="15.75" thickBot="1">
      <c r="A453" s="565" t="s">
        <v>642</v>
      </c>
      <c r="B453" s="565">
        <v>48000</v>
      </c>
      <c r="C453" s="566">
        <v>18</v>
      </c>
      <c r="D453" s="566">
        <v>0.21</v>
      </c>
      <c r="E453" s="566">
        <v>15126</v>
      </c>
      <c r="F453" s="566">
        <v>63126</v>
      </c>
      <c r="G453" s="566">
        <v>2160</v>
      </c>
      <c r="H453" s="566">
        <v>3387</v>
      </c>
      <c r="I453" s="558" t="str">
        <f t="shared" si="6"/>
        <v>GooD</v>
      </c>
    </row>
    <row r="454" spans="1:9" ht="15.75" thickTop="1">
      <c r="A454" s="567" t="s">
        <v>642</v>
      </c>
      <c r="B454" s="567">
        <v>48000</v>
      </c>
      <c r="C454" s="568">
        <v>20</v>
      </c>
      <c r="D454" s="568">
        <v>0.21</v>
      </c>
      <c r="E454" s="568">
        <v>16820</v>
      </c>
      <c r="F454" s="568">
        <v>64820</v>
      </c>
      <c r="G454" s="568">
        <v>2400</v>
      </c>
      <c r="H454" s="568">
        <v>3121</v>
      </c>
      <c r="I454" s="559" t="str">
        <f t="shared" si="6"/>
        <v>GooD</v>
      </c>
    </row>
    <row r="455" spans="1:9">
      <c r="A455" s="563" t="s">
        <v>642</v>
      </c>
      <c r="B455" s="563">
        <v>48000</v>
      </c>
      <c r="C455" s="564">
        <v>22</v>
      </c>
      <c r="D455" s="564">
        <v>0.21</v>
      </c>
      <c r="E455" s="564">
        <v>18484</v>
      </c>
      <c r="F455" s="564">
        <v>66484</v>
      </c>
      <c r="G455" s="564">
        <v>2640</v>
      </c>
      <c r="H455" s="564">
        <v>2902</v>
      </c>
      <c r="I455" s="557" t="str">
        <f t="shared" si="6"/>
        <v>GooD</v>
      </c>
    </row>
    <row r="456" spans="1:9" ht="15.75" thickBot="1">
      <c r="A456" s="565" t="s">
        <v>642</v>
      </c>
      <c r="B456" s="565">
        <v>48000</v>
      </c>
      <c r="C456" s="566">
        <v>24</v>
      </c>
      <c r="D456" s="566">
        <v>0.21</v>
      </c>
      <c r="E456" s="566">
        <v>20184</v>
      </c>
      <c r="F456" s="566">
        <v>68184</v>
      </c>
      <c r="G456" s="566">
        <v>2880</v>
      </c>
      <c r="H456" s="566">
        <v>2721</v>
      </c>
      <c r="I456" s="558" t="str">
        <f t="shared" si="6"/>
        <v>GooD</v>
      </c>
    </row>
    <row r="457" spans="1:9" ht="15.75" thickTop="1">
      <c r="A457" s="567" t="s">
        <v>642</v>
      </c>
      <c r="B457" s="567">
        <v>49000</v>
      </c>
      <c r="C457" s="568">
        <v>6</v>
      </c>
      <c r="D457" s="568">
        <v>0.21</v>
      </c>
      <c r="E457" s="568">
        <v>5147</v>
      </c>
      <c r="F457" s="568">
        <v>54147</v>
      </c>
      <c r="G457" s="568">
        <v>735</v>
      </c>
      <c r="H457" s="568">
        <v>8902</v>
      </c>
      <c r="I457" s="559" t="str">
        <f t="shared" si="6"/>
        <v>GooD</v>
      </c>
    </row>
    <row r="458" spans="1:9">
      <c r="A458" s="563" t="s">
        <v>642</v>
      </c>
      <c r="B458" s="563">
        <v>49000</v>
      </c>
      <c r="C458" s="564">
        <v>8</v>
      </c>
      <c r="D458" s="564">
        <v>0.21</v>
      </c>
      <c r="E458" s="564">
        <v>6868</v>
      </c>
      <c r="F458" s="564">
        <v>55868</v>
      </c>
      <c r="G458" s="564">
        <v>980</v>
      </c>
      <c r="H458" s="564">
        <v>6861</v>
      </c>
      <c r="I458" s="557" t="str">
        <f t="shared" ref="I458:I521" si="7">IF(((H458*C458)+G458)=F458,"GooD","لالالالالالالا")</f>
        <v>GooD</v>
      </c>
    </row>
    <row r="459" spans="1:9" ht="15.75" thickBot="1">
      <c r="A459" s="565" t="s">
        <v>642</v>
      </c>
      <c r="B459" s="565">
        <v>49000</v>
      </c>
      <c r="C459" s="566">
        <v>10</v>
      </c>
      <c r="D459" s="566">
        <v>0.21</v>
      </c>
      <c r="E459" s="566">
        <v>8585</v>
      </c>
      <c r="F459" s="566">
        <v>57585</v>
      </c>
      <c r="G459" s="566">
        <v>1225</v>
      </c>
      <c r="H459" s="566">
        <v>5636</v>
      </c>
      <c r="I459" s="558" t="str">
        <f t="shared" si="7"/>
        <v>GooD</v>
      </c>
    </row>
    <row r="460" spans="1:9" ht="15.75" thickTop="1">
      <c r="A460" s="567" t="s">
        <v>642</v>
      </c>
      <c r="B460" s="567">
        <v>49000</v>
      </c>
      <c r="C460" s="568">
        <v>12</v>
      </c>
      <c r="D460" s="568">
        <v>0.21</v>
      </c>
      <c r="E460" s="568">
        <v>10298</v>
      </c>
      <c r="F460" s="568">
        <v>59298</v>
      </c>
      <c r="G460" s="568">
        <v>1470</v>
      </c>
      <c r="H460" s="568">
        <v>4819</v>
      </c>
      <c r="I460" s="559" t="str">
        <f t="shared" si="7"/>
        <v>GooD</v>
      </c>
    </row>
    <row r="461" spans="1:9">
      <c r="A461" s="563" t="s">
        <v>642</v>
      </c>
      <c r="B461" s="563">
        <v>49000</v>
      </c>
      <c r="C461" s="564">
        <v>14</v>
      </c>
      <c r="D461" s="564">
        <v>0.21</v>
      </c>
      <c r="E461" s="564">
        <v>12019</v>
      </c>
      <c r="F461" s="564">
        <v>61019</v>
      </c>
      <c r="G461" s="564">
        <v>1715</v>
      </c>
      <c r="H461" s="564">
        <v>4236</v>
      </c>
      <c r="I461" s="557" t="str">
        <f t="shared" si="7"/>
        <v>GooD</v>
      </c>
    </row>
    <row r="462" spans="1:9" ht="15.75" thickBot="1">
      <c r="A462" s="565" t="s">
        <v>642</v>
      </c>
      <c r="B462" s="565">
        <v>49000</v>
      </c>
      <c r="C462" s="566">
        <v>16</v>
      </c>
      <c r="D462" s="566">
        <v>0.21</v>
      </c>
      <c r="E462" s="566">
        <v>13728</v>
      </c>
      <c r="F462" s="566">
        <v>62728</v>
      </c>
      <c r="G462" s="566">
        <v>1960</v>
      </c>
      <c r="H462" s="566">
        <v>3798</v>
      </c>
      <c r="I462" s="558" t="str">
        <f t="shared" si="7"/>
        <v>GooD</v>
      </c>
    </row>
    <row r="463" spans="1:9" ht="15.75" thickTop="1">
      <c r="A463" s="567" t="s">
        <v>642</v>
      </c>
      <c r="B463" s="567">
        <v>49000</v>
      </c>
      <c r="C463" s="568">
        <v>18</v>
      </c>
      <c r="D463" s="568">
        <v>0.21</v>
      </c>
      <c r="E463" s="568">
        <v>15449</v>
      </c>
      <c r="F463" s="568">
        <v>64449</v>
      </c>
      <c r="G463" s="568">
        <v>2205</v>
      </c>
      <c r="H463" s="568">
        <v>3458</v>
      </c>
      <c r="I463" s="559" t="str">
        <f t="shared" si="7"/>
        <v>GooD</v>
      </c>
    </row>
    <row r="464" spans="1:9">
      <c r="A464" s="563" t="s">
        <v>642</v>
      </c>
      <c r="B464" s="563">
        <v>49000</v>
      </c>
      <c r="C464" s="564">
        <v>20</v>
      </c>
      <c r="D464" s="564">
        <v>0.21</v>
      </c>
      <c r="E464" s="564">
        <v>17170</v>
      </c>
      <c r="F464" s="564">
        <v>66170</v>
      </c>
      <c r="G464" s="564">
        <v>2450</v>
      </c>
      <c r="H464" s="564">
        <v>3186</v>
      </c>
      <c r="I464" s="557" t="str">
        <f t="shared" si="7"/>
        <v>GooD</v>
      </c>
    </row>
    <row r="465" spans="1:9" ht="15.75" thickBot="1">
      <c r="A465" s="565" t="s">
        <v>642</v>
      </c>
      <c r="B465" s="565">
        <v>49000</v>
      </c>
      <c r="C465" s="566">
        <v>22</v>
      </c>
      <c r="D465" s="566">
        <v>0.21</v>
      </c>
      <c r="E465" s="566">
        <v>18881</v>
      </c>
      <c r="F465" s="566">
        <v>67881</v>
      </c>
      <c r="G465" s="566">
        <v>2695</v>
      </c>
      <c r="H465" s="566">
        <v>2963</v>
      </c>
      <c r="I465" s="558" t="str">
        <f t="shared" si="7"/>
        <v>GooD</v>
      </c>
    </row>
    <row r="466" spans="1:9" ht="15.75" thickTop="1">
      <c r="A466" s="567" t="s">
        <v>642</v>
      </c>
      <c r="B466" s="567">
        <v>49000</v>
      </c>
      <c r="C466" s="568">
        <v>24</v>
      </c>
      <c r="D466" s="568">
        <v>0.21</v>
      </c>
      <c r="E466" s="568">
        <v>20588</v>
      </c>
      <c r="F466" s="568">
        <v>69588</v>
      </c>
      <c r="G466" s="568">
        <v>2940</v>
      </c>
      <c r="H466" s="568">
        <v>2777</v>
      </c>
      <c r="I466" s="559" t="str">
        <f t="shared" si="7"/>
        <v>GooD</v>
      </c>
    </row>
    <row r="467" spans="1:9">
      <c r="A467" s="563" t="s">
        <v>642</v>
      </c>
      <c r="B467" s="563">
        <v>50000</v>
      </c>
      <c r="C467" s="564">
        <v>6</v>
      </c>
      <c r="D467" s="564">
        <v>0.21</v>
      </c>
      <c r="E467" s="564">
        <v>5254</v>
      </c>
      <c r="F467" s="564">
        <v>55254</v>
      </c>
      <c r="G467" s="564">
        <v>750</v>
      </c>
      <c r="H467" s="564">
        <v>9084</v>
      </c>
      <c r="I467" s="557" t="str">
        <f t="shared" si="7"/>
        <v>GooD</v>
      </c>
    </row>
    <row r="468" spans="1:9" ht="15.75" thickBot="1">
      <c r="A468" s="565" t="s">
        <v>642</v>
      </c>
      <c r="B468" s="565">
        <v>50000</v>
      </c>
      <c r="C468" s="566">
        <v>8</v>
      </c>
      <c r="D468" s="566">
        <v>0.21</v>
      </c>
      <c r="E468" s="566">
        <v>7008</v>
      </c>
      <c r="F468" s="566">
        <v>57008</v>
      </c>
      <c r="G468" s="566">
        <v>1000</v>
      </c>
      <c r="H468" s="566">
        <v>7001</v>
      </c>
      <c r="I468" s="558" t="str">
        <f t="shared" si="7"/>
        <v>GooD</v>
      </c>
    </row>
    <row r="469" spans="1:9" ht="15.75" thickTop="1">
      <c r="A469" s="567" t="s">
        <v>642</v>
      </c>
      <c r="B469" s="567">
        <v>50000</v>
      </c>
      <c r="C469" s="568">
        <v>10</v>
      </c>
      <c r="D469" s="568">
        <v>0.21</v>
      </c>
      <c r="E469" s="568">
        <v>8760</v>
      </c>
      <c r="F469" s="568">
        <v>58760</v>
      </c>
      <c r="G469" s="568">
        <v>1250</v>
      </c>
      <c r="H469" s="568">
        <v>5751</v>
      </c>
      <c r="I469" s="559" t="str">
        <f t="shared" si="7"/>
        <v>GooD</v>
      </c>
    </row>
    <row r="470" spans="1:9">
      <c r="A470" s="563" t="s">
        <v>642</v>
      </c>
      <c r="B470" s="563">
        <v>50000</v>
      </c>
      <c r="C470" s="564">
        <v>12</v>
      </c>
      <c r="D470" s="564">
        <v>0.21</v>
      </c>
      <c r="E470" s="564">
        <v>10504</v>
      </c>
      <c r="F470" s="564">
        <v>60504</v>
      </c>
      <c r="G470" s="564">
        <v>1500</v>
      </c>
      <c r="H470" s="564">
        <v>4917</v>
      </c>
      <c r="I470" s="557" t="str">
        <f t="shared" si="7"/>
        <v>GooD</v>
      </c>
    </row>
    <row r="471" spans="1:9" ht="15.75" thickBot="1">
      <c r="A471" s="565" t="s">
        <v>642</v>
      </c>
      <c r="B471" s="565">
        <v>50000</v>
      </c>
      <c r="C471" s="566">
        <v>14</v>
      </c>
      <c r="D471" s="566">
        <v>0.21</v>
      </c>
      <c r="E471" s="566">
        <v>12258</v>
      </c>
      <c r="F471" s="566">
        <v>62258</v>
      </c>
      <c r="G471" s="566">
        <v>1750</v>
      </c>
      <c r="H471" s="566">
        <v>4322</v>
      </c>
      <c r="I471" s="558" t="str">
        <f t="shared" si="7"/>
        <v>GooD</v>
      </c>
    </row>
    <row r="472" spans="1:9" ht="15.75" thickTop="1">
      <c r="A472" s="567" t="s">
        <v>642</v>
      </c>
      <c r="B472" s="567">
        <v>50000</v>
      </c>
      <c r="C472" s="568">
        <v>16</v>
      </c>
      <c r="D472" s="568">
        <v>0.21</v>
      </c>
      <c r="E472" s="568">
        <v>14016</v>
      </c>
      <c r="F472" s="568">
        <v>64016</v>
      </c>
      <c r="G472" s="568">
        <v>2000</v>
      </c>
      <c r="H472" s="568">
        <v>3876</v>
      </c>
      <c r="I472" s="559" t="str">
        <f t="shared" si="7"/>
        <v>GooD</v>
      </c>
    </row>
    <row r="473" spans="1:9">
      <c r="A473" s="563" t="s">
        <v>642</v>
      </c>
      <c r="B473" s="563">
        <v>50000</v>
      </c>
      <c r="C473" s="564">
        <v>18</v>
      </c>
      <c r="D473" s="564">
        <v>0.21</v>
      </c>
      <c r="E473" s="564">
        <v>15754</v>
      </c>
      <c r="F473" s="564">
        <v>65754</v>
      </c>
      <c r="G473" s="564">
        <v>2250</v>
      </c>
      <c r="H473" s="564">
        <v>3528</v>
      </c>
      <c r="I473" s="557" t="str">
        <f t="shared" si="7"/>
        <v>GooD</v>
      </c>
    </row>
    <row r="474" spans="1:9" ht="15.75" thickBot="1">
      <c r="A474" s="565" t="s">
        <v>642</v>
      </c>
      <c r="B474" s="565">
        <v>50000</v>
      </c>
      <c r="C474" s="566">
        <v>20</v>
      </c>
      <c r="D474" s="566">
        <v>0.21</v>
      </c>
      <c r="E474" s="566">
        <v>17520</v>
      </c>
      <c r="F474" s="566">
        <v>67520</v>
      </c>
      <c r="G474" s="566">
        <v>2500</v>
      </c>
      <c r="H474" s="566">
        <v>3251</v>
      </c>
      <c r="I474" s="558" t="str">
        <f t="shared" si="7"/>
        <v>GooD</v>
      </c>
    </row>
    <row r="475" spans="1:9" ht="15.75" thickTop="1">
      <c r="A475" s="567" t="s">
        <v>642</v>
      </c>
      <c r="B475" s="567">
        <v>50000</v>
      </c>
      <c r="C475" s="568">
        <v>22</v>
      </c>
      <c r="D475" s="568">
        <v>0.21</v>
      </c>
      <c r="E475" s="568">
        <v>19256</v>
      </c>
      <c r="F475" s="568">
        <v>69256</v>
      </c>
      <c r="G475" s="568">
        <v>2750</v>
      </c>
      <c r="H475" s="568">
        <v>3023</v>
      </c>
      <c r="I475" s="559" t="str">
        <f t="shared" si="7"/>
        <v>GooD</v>
      </c>
    </row>
    <row r="476" spans="1:9">
      <c r="A476" s="563" t="s">
        <v>642</v>
      </c>
      <c r="B476" s="563">
        <v>50000</v>
      </c>
      <c r="C476" s="564">
        <v>24</v>
      </c>
      <c r="D476" s="564">
        <v>0.21</v>
      </c>
      <c r="E476" s="564">
        <v>21016</v>
      </c>
      <c r="F476" s="564">
        <v>71016</v>
      </c>
      <c r="G476" s="564">
        <v>3000</v>
      </c>
      <c r="H476" s="564">
        <v>2834</v>
      </c>
      <c r="I476" s="557" t="str">
        <f t="shared" si="7"/>
        <v>GooD</v>
      </c>
    </row>
    <row r="477" spans="1:9" ht="15.75" thickBot="1">
      <c r="A477" s="565" t="s">
        <v>655</v>
      </c>
      <c r="B477" s="565">
        <v>6000</v>
      </c>
      <c r="C477" s="566">
        <v>4</v>
      </c>
      <c r="D477" s="566">
        <v>0.21</v>
      </c>
      <c r="E477" s="566">
        <v>424</v>
      </c>
      <c r="F477" s="566">
        <v>6424</v>
      </c>
      <c r="G477" s="566">
        <v>60</v>
      </c>
      <c r="H477" s="566">
        <v>1591</v>
      </c>
      <c r="I477" s="558" t="str">
        <f t="shared" si="7"/>
        <v>GooD</v>
      </c>
    </row>
    <row r="478" spans="1:9" ht="15.75" thickTop="1">
      <c r="A478" s="567" t="s">
        <v>655</v>
      </c>
      <c r="B478" s="567">
        <v>6000</v>
      </c>
      <c r="C478" s="568">
        <v>6</v>
      </c>
      <c r="D478" s="568">
        <v>0.21</v>
      </c>
      <c r="E478" s="568">
        <v>636</v>
      </c>
      <c r="F478" s="568">
        <v>6636</v>
      </c>
      <c r="G478" s="568">
        <v>90</v>
      </c>
      <c r="H478" s="568">
        <v>1091</v>
      </c>
      <c r="I478" s="559" t="str">
        <f t="shared" si="7"/>
        <v>GooD</v>
      </c>
    </row>
    <row r="479" spans="1:9">
      <c r="A479" s="563" t="s">
        <v>655</v>
      </c>
      <c r="B479" s="563">
        <v>6000</v>
      </c>
      <c r="C479" s="564">
        <v>8</v>
      </c>
      <c r="D479" s="564">
        <v>0.21</v>
      </c>
      <c r="E479" s="564">
        <v>848</v>
      </c>
      <c r="F479" s="564">
        <v>6848</v>
      </c>
      <c r="G479" s="564">
        <v>120</v>
      </c>
      <c r="H479" s="564">
        <v>841</v>
      </c>
      <c r="I479" s="557" t="str">
        <f t="shared" si="7"/>
        <v>GooD</v>
      </c>
    </row>
    <row r="480" spans="1:9">
      <c r="A480" s="563" t="s">
        <v>655</v>
      </c>
      <c r="B480" s="563">
        <v>6000</v>
      </c>
      <c r="C480" s="564">
        <v>10</v>
      </c>
      <c r="D480" s="564">
        <v>0.21</v>
      </c>
      <c r="E480" s="564">
        <v>1060</v>
      </c>
      <c r="F480" s="564">
        <v>7060</v>
      </c>
      <c r="G480" s="564">
        <v>150</v>
      </c>
      <c r="H480" s="564">
        <v>691</v>
      </c>
      <c r="I480" s="557" t="str">
        <f t="shared" si="7"/>
        <v>GooD</v>
      </c>
    </row>
    <row r="481" spans="1:9">
      <c r="A481" s="563" t="s">
        <v>655</v>
      </c>
      <c r="B481" s="563">
        <v>6000</v>
      </c>
      <c r="C481" s="564">
        <v>12</v>
      </c>
      <c r="D481" s="564">
        <v>0.21</v>
      </c>
      <c r="E481" s="564">
        <v>1272</v>
      </c>
      <c r="F481" s="564">
        <v>7272</v>
      </c>
      <c r="G481" s="564">
        <v>180</v>
      </c>
      <c r="H481" s="564">
        <v>591</v>
      </c>
      <c r="I481" s="557" t="str">
        <f t="shared" si="7"/>
        <v>GooD</v>
      </c>
    </row>
    <row r="482" spans="1:9" ht="15.75" thickBot="1">
      <c r="A482" s="565" t="s">
        <v>655</v>
      </c>
      <c r="B482" s="565">
        <v>6500</v>
      </c>
      <c r="C482" s="566">
        <v>4</v>
      </c>
      <c r="D482" s="566">
        <v>0.21</v>
      </c>
      <c r="E482" s="566">
        <v>457</v>
      </c>
      <c r="F482" s="566">
        <v>6957</v>
      </c>
      <c r="G482" s="566">
        <v>65</v>
      </c>
      <c r="H482" s="566">
        <v>1723</v>
      </c>
      <c r="I482" s="558" t="str">
        <f t="shared" si="7"/>
        <v>GooD</v>
      </c>
    </row>
    <row r="483" spans="1:9" ht="15.75" thickTop="1">
      <c r="A483" s="567" t="s">
        <v>655</v>
      </c>
      <c r="B483" s="567">
        <v>6500</v>
      </c>
      <c r="C483" s="568">
        <v>6</v>
      </c>
      <c r="D483" s="568">
        <v>0.21</v>
      </c>
      <c r="E483" s="568">
        <v>684</v>
      </c>
      <c r="F483" s="568">
        <v>7184</v>
      </c>
      <c r="G483" s="568">
        <v>98</v>
      </c>
      <c r="H483" s="568">
        <v>1181</v>
      </c>
      <c r="I483" s="559" t="str">
        <f t="shared" si="7"/>
        <v>GooD</v>
      </c>
    </row>
    <row r="484" spans="1:9">
      <c r="A484" s="563" t="s">
        <v>655</v>
      </c>
      <c r="B484" s="563">
        <v>6500</v>
      </c>
      <c r="C484" s="564">
        <v>8</v>
      </c>
      <c r="D484" s="564">
        <v>0.21</v>
      </c>
      <c r="E484" s="564">
        <v>918</v>
      </c>
      <c r="F484" s="564">
        <v>7418</v>
      </c>
      <c r="G484" s="564">
        <v>130</v>
      </c>
      <c r="H484" s="564">
        <v>911</v>
      </c>
      <c r="I484" s="557" t="str">
        <f t="shared" si="7"/>
        <v>GooD</v>
      </c>
    </row>
    <row r="485" spans="1:9">
      <c r="A485" s="563" t="s">
        <v>655</v>
      </c>
      <c r="B485" s="563">
        <v>6500</v>
      </c>
      <c r="C485" s="564">
        <v>10</v>
      </c>
      <c r="D485" s="564">
        <v>0.21</v>
      </c>
      <c r="E485" s="564">
        <v>1143</v>
      </c>
      <c r="F485" s="564">
        <v>7643</v>
      </c>
      <c r="G485" s="564">
        <v>163</v>
      </c>
      <c r="H485" s="564">
        <v>748</v>
      </c>
      <c r="I485" s="557" t="str">
        <f t="shared" si="7"/>
        <v>GooD</v>
      </c>
    </row>
    <row r="486" spans="1:9">
      <c r="A486" s="563" t="s">
        <v>655</v>
      </c>
      <c r="B486" s="563">
        <v>6500</v>
      </c>
      <c r="C486" s="564">
        <v>12</v>
      </c>
      <c r="D486" s="564">
        <v>0.21</v>
      </c>
      <c r="E486" s="564">
        <v>1375</v>
      </c>
      <c r="F486" s="564">
        <v>7875</v>
      </c>
      <c r="G486" s="564">
        <v>195</v>
      </c>
      <c r="H486" s="564">
        <v>640</v>
      </c>
      <c r="I486" s="557" t="str">
        <f t="shared" si="7"/>
        <v>GooD</v>
      </c>
    </row>
    <row r="487" spans="1:9" ht="15.75" thickBot="1">
      <c r="A487" s="565" t="s">
        <v>655</v>
      </c>
      <c r="B487" s="565">
        <v>7000</v>
      </c>
      <c r="C487" s="566">
        <v>4</v>
      </c>
      <c r="D487" s="566">
        <v>0.21</v>
      </c>
      <c r="E487" s="566">
        <v>494</v>
      </c>
      <c r="F487" s="566">
        <v>7494</v>
      </c>
      <c r="G487" s="566">
        <v>70</v>
      </c>
      <c r="H487" s="566">
        <v>1856</v>
      </c>
      <c r="I487" s="558" t="str">
        <f t="shared" si="7"/>
        <v>GooD</v>
      </c>
    </row>
    <row r="488" spans="1:9" ht="15.75" thickTop="1">
      <c r="A488" s="567" t="s">
        <v>655</v>
      </c>
      <c r="B488" s="567">
        <v>7000</v>
      </c>
      <c r="C488" s="568">
        <v>6</v>
      </c>
      <c r="D488" s="568">
        <v>0.21</v>
      </c>
      <c r="E488" s="568">
        <v>737</v>
      </c>
      <c r="F488" s="568">
        <v>7737</v>
      </c>
      <c r="G488" s="568">
        <v>105</v>
      </c>
      <c r="H488" s="568">
        <v>1272</v>
      </c>
      <c r="I488" s="559" t="str">
        <f t="shared" si="7"/>
        <v>GooD</v>
      </c>
    </row>
    <row r="489" spans="1:9">
      <c r="A489" s="563" t="s">
        <v>655</v>
      </c>
      <c r="B489" s="563">
        <v>7000</v>
      </c>
      <c r="C489" s="564">
        <v>8</v>
      </c>
      <c r="D489" s="564">
        <v>0.21</v>
      </c>
      <c r="E489" s="564">
        <v>988</v>
      </c>
      <c r="F489" s="564">
        <v>7988</v>
      </c>
      <c r="G489" s="564">
        <v>140</v>
      </c>
      <c r="H489" s="564">
        <v>981</v>
      </c>
      <c r="I489" s="557" t="str">
        <f t="shared" si="7"/>
        <v>GooD</v>
      </c>
    </row>
    <row r="490" spans="1:9">
      <c r="A490" s="563" t="s">
        <v>655</v>
      </c>
      <c r="B490" s="563">
        <v>7000</v>
      </c>
      <c r="C490" s="564">
        <v>10</v>
      </c>
      <c r="D490" s="564">
        <v>0.21</v>
      </c>
      <c r="E490" s="564">
        <v>1235</v>
      </c>
      <c r="F490" s="564">
        <v>8235</v>
      </c>
      <c r="G490" s="564">
        <v>175</v>
      </c>
      <c r="H490" s="564">
        <v>806</v>
      </c>
      <c r="I490" s="557" t="str">
        <f t="shared" si="7"/>
        <v>GooD</v>
      </c>
    </row>
    <row r="491" spans="1:9">
      <c r="A491" s="563" t="s">
        <v>655</v>
      </c>
      <c r="B491" s="563">
        <v>7000</v>
      </c>
      <c r="C491" s="564">
        <v>12</v>
      </c>
      <c r="D491" s="564">
        <v>0.21</v>
      </c>
      <c r="E491" s="564">
        <v>1478</v>
      </c>
      <c r="F491" s="564">
        <v>8478</v>
      </c>
      <c r="G491" s="564">
        <v>210</v>
      </c>
      <c r="H491" s="564">
        <v>689</v>
      </c>
      <c r="I491" s="557" t="str">
        <f t="shared" si="7"/>
        <v>GooD</v>
      </c>
    </row>
    <row r="492" spans="1:9" ht="15.75" thickBot="1">
      <c r="A492" s="565" t="s">
        <v>655</v>
      </c>
      <c r="B492" s="565">
        <v>7500</v>
      </c>
      <c r="C492" s="566">
        <v>4</v>
      </c>
      <c r="D492" s="566">
        <v>0.21</v>
      </c>
      <c r="E492" s="566">
        <v>527</v>
      </c>
      <c r="F492" s="566">
        <v>8027</v>
      </c>
      <c r="G492" s="566">
        <v>75</v>
      </c>
      <c r="H492" s="566">
        <v>1988</v>
      </c>
      <c r="I492" s="558" t="str">
        <f t="shared" si="7"/>
        <v>GooD</v>
      </c>
    </row>
    <row r="493" spans="1:9" ht="15.75" thickTop="1">
      <c r="A493" s="567" t="s">
        <v>655</v>
      </c>
      <c r="B493" s="567">
        <v>7500</v>
      </c>
      <c r="C493" s="568">
        <v>6</v>
      </c>
      <c r="D493" s="568">
        <v>0.21</v>
      </c>
      <c r="E493" s="568">
        <v>791</v>
      </c>
      <c r="F493" s="568">
        <v>8291</v>
      </c>
      <c r="G493" s="568">
        <v>113</v>
      </c>
      <c r="H493" s="568">
        <v>1363</v>
      </c>
      <c r="I493" s="559" t="str">
        <f t="shared" si="7"/>
        <v>GooD</v>
      </c>
    </row>
    <row r="494" spans="1:9">
      <c r="A494" s="563" t="s">
        <v>655</v>
      </c>
      <c r="B494" s="563">
        <v>7500</v>
      </c>
      <c r="C494" s="564">
        <v>8</v>
      </c>
      <c r="D494" s="564">
        <v>0.21</v>
      </c>
      <c r="E494" s="564">
        <v>1058</v>
      </c>
      <c r="F494" s="564">
        <v>8558</v>
      </c>
      <c r="G494" s="564">
        <v>150</v>
      </c>
      <c r="H494" s="564">
        <v>1051</v>
      </c>
      <c r="I494" s="557" t="str">
        <f t="shared" si="7"/>
        <v>GooD</v>
      </c>
    </row>
    <row r="495" spans="1:9">
      <c r="A495" s="563" t="s">
        <v>655</v>
      </c>
      <c r="B495" s="563">
        <v>7500</v>
      </c>
      <c r="C495" s="564">
        <v>10</v>
      </c>
      <c r="D495" s="564">
        <v>0.21</v>
      </c>
      <c r="E495" s="564">
        <v>1318</v>
      </c>
      <c r="F495" s="564">
        <v>8818</v>
      </c>
      <c r="G495" s="564">
        <v>188</v>
      </c>
      <c r="H495" s="564">
        <v>863</v>
      </c>
      <c r="I495" s="557" t="str">
        <f t="shared" si="7"/>
        <v>GooD</v>
      </c>
    </row>
    <row r="496" spans="1:9">
      <c r="A496" s="563" t="s">
        <v>655</v>
      </c>
      <c r="B496" s="563">
        <v>7500</v>
      </c>
      <c r="C496" s="564">
        <v>12</v>
      </c>
      <c r="D496" s="564">
        <v>0.21</v>
      </c>
      <c r="E496" s="564">
        <v>1581</v>
      </c>
      <c r="F496" s="564">
        <v>9081</v>
      </c>
      <c r="G496" s="564">
        <v>225</v>
      </c>
      <c r="H496" s="564">
        <v>738</v>
      </c>
      <c r="I496" s="557" t="str">
        <f t="shared" si="7"/>
        <v>GooD</v>
      </c>
    </row>
    <row r="497" spans="1:9" ht="15.75" thickBot="1">
      <c r="A497" s="565" t="s">
        <v>655</v>
      </c>
      <c r="B497" s="565">
        <v>8000</v>
      </c>
      <c r="C497" s="566">
        <v>4</v>
      </c>
      <c r="D497" s="566">
        <v>0.21</v>
      </c>
      <c r="E497" s="566">
        <v>564</v>
      </c>
      <c r="F497" s="566">
        <v>8564</v>
      </c>
      <c r="G497" s="566">
        <v>80</v>
      </c>
      <c r="H497" s="566">
        <v>2121</v>
      </c>
      <c r="I497" s="558" t="str">
        <f t="shared" si="7"/>
        <v>GooD</v>
      </c>
    </row>
    <row r="498" spans="1:9" ht="15.75" thickTop="1">
      <c r="A498" s="567" t="s">
        <v>655</v>
      </c>
      <c r="B498" s="567">
        <v>8000</v>
      </c>
      <c r="C498" s="568">
        <v>6</v>
      </c>
      <c r="D498" s="568">
        <v>0.21</v>
      </c>
      <c r="E498" s="568">
        <v>844</v>
      </c>
      <c r="F498" s="568">
        <v>8844</v>
      </c>
      <c r="G498" s="568">
        <v>120</v>
      </c>
      <c r="H498" s="568">
        <v>1454</v>
      </c>
      <c r="I498" s="559" t="str">
        <f t="shared" si="7"/>
        <v>GooD</v>
      </c>
    </row>
    <row r="499" spans="1:9">
      <c r="A499" s="563" t="s">
        <v>655</v>
      </c>
      <c r="B499" s="563">
        <v>8000</v>
      </c>
      <c r="C499" s="564">
        <v>8</v>
      </c>
      <c r="D499" s="564">
        <v>0.21</v>
      </c>
      <c r="E499" s="564">
        <v>1128</v>
      </c>
      <c r="F499" s="564">
        <v>9128</v>
      </c>
      <c r="G499" s="564">
        <v>160</v>
      </c>
      <c r="H499" s="564">
        <v>1121</v>
      </c>
      <c r="I499" s="557" t="str">
        <f t="shared" si="7"/>
        <v>GooD</v>
      </c>
    </row>
    <row r="500" spans="1:9">
      <c r="A500" s="563" t="s">
        <v>655</v>
      </c>
      <c r="B500" s="563">
        <v>8000</v>
      </c>
      <c r="C500" s="564">
        <v>10</v>
      </c>
      <c r="D500" s="564">
        <v>0.21</v>
      </c>
      <c r="E500" s="564">
        <v>1410</v>
      </c>
      <c r="F500" s="564">
        <v>9410</v>
      </c>
      <c r="G500" s="564">
        <v>200</v>
      </c>
      <c r="H500" s="564">
        <v>921</v>
      </c>
      <c r="I500" s="557" t="str">
        <f t="shared" si="7"/>
        <v>GooD</v>
      </c>
    </row>
    <row r="501" spans="1:9">
      <c r="A501" s="563" t="s">
        <v>655</v>
      </c>
      <c r="B501" s="563">
        <v>8000</v>
      </c>
      <c r="C501" s="564">
        <v>12</v>
      </c>
      <c r="D501" s="564">
        <v>0.21</v>
      </c>
      <c r="E501" s="564">
        <v>1684</v>
      </c>
      <c r="F501" s="564">
        <v>9684</v>
      </c>
      <c r="G501" s="564">
        <v>240</v>
      </c>
      <c r="H501" s="564">
        <v>787</v>
      </c>
      <c r="I501" s="557" t="str">
        <f t="shared" si="7"/>
        <v>GooD</v>
      </c>
    </row>
    <row r="502" spans="1:9" ht="15.75" thickBot="1">
      <c r="A502" s="565" t="s">
        <v>655</v>
      </c>
      <c r="B502" s="565">
        <v>8500</v>
      </c>
      <c r="C502" s="566">
        <v>4</v>
      </c>
      <c r="D502" s="566">
        <v>0.21</v>
      </c>
      <c r="E502" s="566">
        <v>597</v>
      </c>
      <c r="F502" s="566">
        <v>9097</v>
      </c>
      <c r="G502" s="566">
        <v>85</v>
      </c>
      <c r="H502" s="566">
        <v>2253</v>
      </c>
      <c r="I502" s="558" t="str">
        <f t="shared" si="7"/>
        <v>GooD</v>
      </c>
    </row>
    <row r="503" spans="1:9" ht="15.75" thickTop="1">
      <c r="A503" s="567" t="s">
        <v>655</v>
      </c>
      <c r="B503" s="567">
        <v>8500</v>
      </c>
      <c r="C503" s="568">
        <v>6</v>
      </c>
      <c r="D503" s="568">
        <v>0.21</v>
      </c>
      <c r="E503" s="568">
        <v>898</v>
      </c>
      <c r="F503" s="568">
        <v>9398</v>
      </c>
      <c r="G503" s="568">
        <v>128</v>
      </c>
      <c r="H503" s="568">
        <v>1545</v>
      </c>
      <c r="I503" s="559" t="str">
        <f t="shared" si="7"/>
        <v>GooD</v>
      </c>
    </row>
    <row r="504" spans="1:9">
      <c r="A504" s="563" t="s">
        <v>655</v>
      </c>
      <c r="B504" s="563">
        <v>8500</v>
      </c>
      <c r="C504" s="564">
        <v>8</v>
      </c>
      <c r="D504" s="564">
        <v>0.21</v>
      </c>
      <c r="E504" s="564">
        <v>1198</v>
      </c>
      <c r="F504" s="564">
        <v>9698</v>
      </c>
      <c r="G504" s="564">
        <v>170</v>
      </c>
      <c r="H504" s="564">
        <v>1191</v>
      </c>
      <c r="I504" s="557" t="str">
        <f t="shared" si="7"/>
        <v>GooD</v>
      </c>
    </row>
    <row r="505" spans="1:9">
      <c r="A505" s="563" t="s">
        <v>655</v>
      </c>
      <c r="B505" s="563">
        <v>8500</v>
      </c>
      <c r="C505" s="564">
        <v>10</v>
      </c>
      <c r="D505" s="564">
        <v>0.21</v>
      </c>
      <c r="E505" s="564">
        <v>1493</v>
      </c>
      <c r="F505" s="564">
        <v>9993</v>
      </c>
      <c r="G505" s="564">
        <v>213</v>
      </c>
      <c r="H505" s="564">
        <v>978</v>
      </c>
      <c r="I505" s="557" t="str">
        <f t="shared" si="7"/>
        <v>GooD</v>
      </c>
    </row>
    <row r="506" spans="1:9">
      <c r="A506" s="563" t="s">
        <v>655</v>
      </c>
      <c r="B506" s="563">
        <v>8500</v>
      </c>
      <c r="C506" s="564">
        <v>12</v>
      </c>
      <c r="D506" s="564">
        <v>0.21</v>
      </c>
      <c r="E506" s="564">
        <v>1787</v>
      </c>
      <c r="F506" s="564">
        <v>10287</v>
      </c>
      <c r="G506" s="564">
        <v>255</v>
      </c>
      <c r="H506" s="564">
        <v>836</v>
      </c>
      <c r="I506" s="557" t="str">
        <f t="shared" si="7"/>
        <v>GooD</v>
      </c>
    </row>
    <row r="507" spans="1:9" ht="15.75" thickBot="1">
      <c r="A507" s="565" t="s">
        <v>655</v>
      </c>
      <c r="B507" s="565">
        <v>9000</v>
      </c>
      <c r="C507" s="566">
        <v>4</v>
      </c>
      <c r="D507" s="566">
        <v>0.21</v>
      </c>
      <c r="E507" s="566">
        <v>634</v>
      </c>
      <c r="F507" s="566">
        <v>9634</v>
      </c>
      <c r="G507" s="566">
        <v>90</v>
      </c>
      <c r="H507" s="566">
        <v>2386</v>
      </c>
      <c r="I507" s="558" t="str">
        <f t="shared" si="7"/>
        <v>GooD</v>
      </c>
    </row>
    <row r="508" spans="1:9" ht="15.75" thickTop="1">
      <c r="A508" s="567" t="s">
        <v>655</v>
      </c>
      <c r="B508" s="567">
        <v>9000</v>
      </c>
      <c r="C508" s="568">
        <v>6</v>
      </c>
      <c r="D508" s="568">
        <v>0.21</v>
      </c>
      <c r="E508" s="568">
        <v>951</v>
      </c>
      <c r="F508" s="568">
        <v>9951</v>
      </c>
      <c r="G508" s="568">
        <v>135</v>
      </c>
      <c r="H508" s="568">
        <v>1636</v>
      </c>
      <c r="I508" s="559" t="str">
        <f t="shared" si="7"/>
        <v>GooD</v>
      </c>
    </row>
    <row r="509" spans="1:9">
      <c r="A509" s="563" t="s">
        <v>655</v>
      </c>
      <c r="B509" s="563">
        <v>9000</v>
      </c>
      <c r="C509" s="564">
        <v>8</v>
      </c>
      <c r="D509" s="564">
        <v>0.21</v>
      </c>
      <c r="E509" s="564">
        <v>1268</v>
      </c>
      <c r="F509" s="564">
        <v>10268</v>
      </c>
      <c r="G509" s="564">
        <v>180</v>
      </c>
      <c r="H509" s="564">
        <v>1261</v>
      </c>
      <c r="I509" s="557" t="str">
        <f t="shared" si="7"/>
        <v>GooD</v>
      </c>
    </row>
    <row r="510" spans="1:9">
      <c r="A510" s="563" t="s">
        <v>655</v>
      </c>
      <c r="B510" s="563">
        <v>9000</v>
      </c>
      <c r="C510" s="564">
        <v>10</v>
      </c>
      <c r="D510" s="564">
        <v>0.21</v>
      </c>
      <c r="E510" s="564">
        <v>1585</v>
      </c>
      <c r="F510" s="564">
        <v>10585</v>
      </c>
      <c r="G510" s="564">
        <v>225</v>
      </c>
      <c r="H510" s="564">
        <v>1036</v>
      </c>
      <c r="I510" s="557" t="str">
        <f t="shared" si="7"/>
        <v>GooD</v>
      </c>
    </row>
    <row r="511" spans="1:9">
      <c r="A511" s="563" t="s">
        <v>655</v>
      </c>
      <c r="B511" s="563">
        <v>9000</v>
      </c>
      <c r="C511" s="564">
        <v>12</v>
      </c>
      <c r="D511" s="564">
        <v>0.21</v>
      </c>
      <c r="E511" s="564">
        <v>1902</v>
      </c>
      <c r="F511" s="564">
        <v>10902</v>
      </c>
      <c r="G511" s="564">
        <v>270</v>
      </c>
      <c r="H511" s="564">
        <v>886</v>
      </c>
      <c r="I511" s="557" t="str">
        <f t="shared" si="7"/>
        <v>GooD</v>
      </c>
    </row>
    <row r="512" spans="1:9" ht="15.75" thickBot="1">
      <c r="A512" s="565" t="s">
        <v>655</v>
      </c>
      <c r="B512" s="565">
        <v>9500</v>
      </c>
      <c r="C512" s="566">
        <v>4</v>
      </c>
      <c r="D512" s="566">
        <v>0.21</v>
      </c>
      <c r="E512" s="566">
        <v>667</v>
      </c>
      <c r="F512" s="566">
        <v>10167</v>
      </c>
      <c r="G512" s="566">
        <v>95</v>
      </c>
      <c r="H512" s="566">
        <v>2518</v>
      </c>
      <c r="I512" s="558" t="str">
        <f t="shared" si="7"/>
        <v>GooD</v>
      </c>
    </row>
    <row r="513" spans="1:9" ht="15.75" thickTop="1">
      <c r="A513" s="567" t="s">
        <v>655</v>
      </c>
      <c r="B513" s="567">
        <v>9500</v>
      </c>
      <c r="C513" s="568">
        <v>6</v>
      </c>
      <c r="D513" s="568">
        <v>0.21</v>
      </c>
      <c r="E513" s="568">
        <v>999</v>
      </c>
      <c r="F513" s="568">
        <v>10499</v>
      </c>
      <c r="G513" s="568">
        <v>143</v>
      </c>
      <c r="H513" s="568">
        <v>1726</v>
      </c>
      <c r="I513" s="559" t="str">
        <f t="shared" si="7"/>
        <v>GooD</v>
      </c>
    </row>
    <row r="514" spans="1:9">
      <c r="A514" s="563" t="s">
        <v>655</v>
      </c>
      <c r="B514" s="563">
        <v>9500</v>
      </c>
      <c r="C514" s="564">
        <v>8</v>
      </c>
      <c r="D514" s="564">
        <v>0.21</v>
      </c>
      <c r="E514" s="564">
        <v>1338</v>
      </c>
      <c r="F514" s="564">
        <v>10838</v>
      </c>
      <c r="G514" s="564">
        <v>190</v>
      </c>
      <c r="H514" s="564">
        <v>1331</v>
      </c>
      <c r="I514" s="557" t="str">
        <f t="shared" si="7"/>
        <v>GooD</v>
      </c>
    </row>
    <row r="515" spans="1:9">
      <c r="A515" s="563" t="s">
        <v>655</v>
      </c>
      <c r="B515" s="563">
        <v>9500</v>
      </c>
      <c r="C515" s="564">
        <v>10</v>
      </c>
      <c r="D515" s="564">
        <v>0.21</v>
      </c>
      <c r="E515" s="564">
        <v>1668</v>
      </c>
      <c r="F515" s="564">
        <v>11168</v>
      </c>
      <c r="G515" s="564">
        <v>238</v>
      </c>
      <c r="H515" s="564">
        <v>1093</v>
      </c>
      <c r="I515" s="557" t="str">
        <f t="shared" si="7"/>
        <v>GooD</v>
      </c>
    </row>
    <row r="516" spans="1:9">
      <c r="A516" s="563" t="s">
        <v>655</v>
      </c>
      <c r="B516" s="563">
        <v>9500</v>
      </c>
      <c r="C516" s="564">
        <v>12</v>
      </c>
      <c r="D516" s="564">
        <v>0.21</v>
      </c>
      <c r="E516" s="564">
        <v>2005</v>
      </c>
      <c r="F516" s="564">
        <v>11505</v>
      </c>
      <c r="G516" s="564">
        <v>285</v>
      </c>
      <c r="H516" s="564">
        <v>935</v>
      </c>
      <c r="I516" s="557" t="str">
        <f t="shared" si="7"/>
        <v>GooD</v>
      </c>
    </row>
    <row r="517" spans="1:9" ht="15.75" thickBot="1">
      <c r="A517" s="565" t="s">
        <v>655</v>
      </c>
      <c r="B517" s="565">
        <v>10000</v>
      </c>
      <c r="C517" s="566">
        <v>4</v>
      </c>
      <c r="D517" s="566">
        <v>0.21</v>
      </c>
      <c r="E517" s="566">
        <v>704</v>
      </c>
      <c r="F517" s="566">
        <v>10704</v>
      </c>
      <c r="G517" s="566">
        <v>100</v>
      </c>
      <c r="H517" s="566">
        <v>2651</v>
      </c>
      <c r="I517" s="558" t="str">
        <f t="shared" si="7"/>
        <v>GooD</v>
      </c>
    </row>
    <row r="518" spans="1:9" ht="15.75" thickTop="1">
      <c r="A518" s="567" t="s">
        <v>655</v>
      </c>
      <c r="B518" s="567">
        <v>10000</v>
      </c>
      <c r="C518" s="568">
        <v>6</v>
      </c>
      <c r="D518" s="568">
        <v>0.21</v>
      </c>
      <c r="E518" s="568">
        <v>1052</v>
      </c>
      <c r="F518" s="568">
        <v>11052</v>
      </c>
      <c r="G518" s="568">
        <v>150</v>
      </c>
      <c r="H518" s="568">
        <v>1817</v>
      </c>
      <c r="I518" s="559" t="str">
        <f t="shared" si="7"/>
        <v>GooD</v>
      </c>
    </row>
    <row r="519" spans="1:9">
      <c r="A519" s="563" t="s">
        <v>655</v>
      </c>
      <c r="B519" s="563">
        <v>10000</v>
      </c>
      <c r="C519" s="564">
        <v>8</v>
      </c>
      <c r="D519" s="564">
        <v>0.21</v>
      </c>
      <c r="E519" s="564">
        <v>1408</v>
      </c>
      <c r="F519" s="564">
        <v>11408</v>
      </c>
      <c r="G519" s="564">
        <v>200</v>
      </c>
      <c r="H519" s="564">
        <v>1401</v>
      </c>
      <c r="I519" s="557" t="str">
        <f t="shared" si="7"/>
        <v>GooD</v>
      </c>
    </row>
    <row r="520" spans="1:9">
      <c r="A520" s="563" t="s">
        <v>655</v>
      </c>
      <c r="B520" s="563">
        <v>10000</v>
      </c>
      <c r="C520" s="564">
        <v>10</v>
      </c>
      <c r="D520" s="564">
        <v>0.21</v>
      </c>
      <c r="E520" s="564">
        <v>1760</v>
      </c>
      <c r="F520" s="564">
        <v>11760</v>
      </c>
      <c r="G520" s="564">
        <v>250</v>
      </c>
      <c r="H520" s="564">
        <v>1151</v>
      </c>
      <c r="I520" s="557" t="str">
        <f t="shared" si="7"/>
        <v>GooD</v>
      </c>
    </row>
    <row r="521" spans="1:9">
      <c r="A521" s="563" t="s">
        <v>655</v>
      </c>
      <c r="B521" s="563">
        <v>10000</v>
      </c>
      <c r="C521" s="564">
        <v>12</v>
      </c>
      <c r="D521" s="564">
        <v>0.21</v>
      </c>
      <c r="E521" s="564">
        <v>2108</v>
      </c>
      <c r="F521" s="564">
        <v>12108</v>
      </c>
      <c r="G521" s="564">
        <v>300</v>
      </c>
      <c r="H521" s="564">
        <v>984</v>
      </c>
      <c r="I521" s="557" t="str">
        <f t="shared" si="7"/>
        <v>GooD</v>
      </c>
    </row>
    <row r="522" spans="1:9" ht="15.75" thickBot="1">
      <c r="A522" s="565" t="s">
        <v>655</v>
      </c>
      <c r="B522" s="565">
        <v>10500</v>
      </c>
      <c r="C522" s="566">
        <v>4</v>
      </c>
      <c r="D522" s="566">
        <v>0.21</v>
      </c>
      <c r="E522" s="566">
        <v>737</v>
      </c>
      <c r="F522" s="566">
        <v>11237</v>
      </c>
      <c r="G522" s="566">
        <v>105</v>
      </c>
      <c r="H522" s="566">
        <v>2783</v>
      </c>
      <c r="I522" s="558" t="str">
        <f t="shared" ref="I522:I585" si="8">IF(((H522*C522)+G522)=F522,"GooD","لالالالالالالا")</f>
        <v>GooD</v>
      </c>
    </row>
    <row r="523" spans="1:9" ht="15.75" thickTop="1">
      <c r="A523" s="567" t="s">
        <v>655</v>
      </c>
      <c r="B523" s="567">
        <v>10500</v>
      </c>
      <c r="C523" s="568">
        <v>6</v>
      </c>
      <c r="D523" s="568">
        <v>0.21</v>
      </c>
      <c r="E523" s="568">
        <v>1106</v>
      </c>
      <c r="F523" s="568">
        <v>11606</v>
      </c>
      <c r="G523" s="568">
        <v>158</v>
      </c>
      <c r="H523" s="568">
        <v>1908</v>
      </c>
      <c r="I523" s="559" t="str">
        <f t="shared" si="8"/>
        <v>GooD</v>
      </c>
    </row>
    <row r="524" spans="1:9">
      <c r="A524" s="563" t="s">
        <v>655</v>
      </c>
      <c r="B524" s="563">
        <v>10500</v>
      </c>
      <c r="C524" s="564">
        <v>8</v>
      </c>
      <c r="D524" s="564">
        <v>0.21</v>
      </c>
      <c r="E524" s="564">
        <v>1478</v>
      </c>
      <c r="F524" s="564">
        <v>11978</v>
      </c>
      <c r="G524" s="564">
        <v>210</v>
      </c>
      <c r="H524" s="564">
        <v>1471</v>
      </c>
      <c r="I524" s="557" t="str">
        <f t="shared" si="8"/>
        <v>GooD</v>
      </c>
    </row>
    <row r="525" spans="1:9">
      <c r="A525" s="563" t="s">
        <v>655</v>
      </c>
      <c r="B525" s="563">
        <v>10500</v>
      </c>
      <c r="C525" s="564">
        <v>10</v>
      </c>
      <c r="D525" s="564">
        <v>0.21</v>
      </c>
      <c r="E525" s="564">
        <v>1843</v>
      </c>
      <c r="F525" s="564">
        <v>12343</v>
      </c>
      <c r="G525" s="564">
        <v>263</v>
      </c>
      <c r="H525" s="564">
        <v>1208</v>
      </c>
      <c r="I525" s="557" t="str">
        <f t="shared" si="8"/>
        <v>GooD</v>
      </c>
    </row>
    <row r="526" spans="1:9">
      <c r="A526" s="563" t="s">
        <v>655</v>
      </c>
      <c r="B526" s="563">
        <v>10500</v>
      </c>
      <c r="C526" s="564">
        <v>12</v>
      </c>
      <c r="D526" s="564">
        <v>0.21</v>
      </c>
      <c r="E526" s="564">
        <v>2211</v>
      </c>
      <c r="F526" s="564">
        <v>12711</v>
      </c>
      <c r="G526" s="564">
        <v>315</v>
      </c>
      <c r="H526" s="564">
        <v>1033</v>
      </c>
      <c r="I526" s="557" t="str">
        <f t="shared" si="8"/>
        <v>GooD</v>
      </c>
    </row>
    <row r="527" spans="1:9" ht="15.75" thickBot="1">
      <c r="A527" s="565" t="s">
        <v>655</v>
      </c>
      <c r="B527" s="565">
        <v>11000</v>
      </c>
      <c r="C527" s="566">
        <v>4</v>
      </c>
      <c r="D527" s="566">
        <v>0.21</v>
      </c>
      <c r="E527" s="566">
        <v>774</v>
      </c>
      <c r="F527" s="566">
        <v>11774</v>
      </c>
      <c r="G527" s="566">
        <v>110</v>
      </c>
      <c r="H527" s="566">
        <v>2916</v>
      </c>
      <c r="I527" s="558" t="str">
        <f t="shared" si="8"/>
        <v>GooD</v>
      </c>
    </row>
    <row r="528" spans="1:9" ht="15.75" thickTop="1">
      <c r="A528" s="567" t="s">
        <v>655</v>
      </c>
      <c r="B528" s="567">
        <v>11000</v>
      </c>
      <c r="C528" s="568">
        <v>6</v>
      </c>
      <c r="D528" s="568">
        <v>0.21</v>
      </c>
      <c r="E528" s="568">
        <v>1159</v>
      </c>
      <c r="F528" s="568">
        <v>12159</v>
      </c>
      <c r="G528" s="568">
        <v>165</v>
      </c>
      <c r="H528" s="568">
        <v>1999</v>
      </c>
      <c r="I528" s="559" t="str">
        <f t="shared" si="8"/>
        <v>GooD</v>
      </c>
    </row>
    <row r="529" spans="1:9">
      <c r="A529" s="563" t="s">
        <v>655</v>
      </c>
      <c r="B529" s="563">
        <v>11000</v>
      </c>
      <c r="C529" s="564">
        <v>8</v>
      </c>
      <c r="D529" s="564">
        <v>0.21</v>
      </c>
      <c r="E529" s="564">
        <v>1548</v>
      </c>
      <c r="F529" s="564">
        <v>12548</v>
      </c>
      <c r="G529" s="564">
        <v>220</v>
      </c>
      <c r="H529" s="564">
        <v>1541</v>
      </c>
      <c r="I529" s="557" t="str">
        <f t="shared" si="8"/>
        <v>GooD</v>
      </c>
    </row>
    <row r="530" spans="1:9">
      <c r="A530" s="563" t="s">
        <v>655</v>
      </c>
      <c r="B530" s="563">
        <v>11000</v>
      </c>
      <c r="C530" s="564">
        <v>10</v>
      </c>
      <c r="D530" s="564">
        <v>0.21</v>
      </c>
      <c r="E530" s="564">
        <v>1935</v>
      </c>
      <c r="F530" s="564">
        <v>12935</v>
      </c>
      <c r="G530" s="564">
        <v>275</v>
      </c>
      <c r="H530" s="564">
        <v>1266</v>
      </c>
      <c r="I530" s="557" t="str">
        <f t="shared" si="8"/>
        <v>GooD</v>
      </c>
    </row>
    <row r="531" spans="1:9">
      <c r="A531" s="563" t="s">
        <v>655</v>
      </c>
      <c r="B531" s="563">
        <v>11000</v>
      </c>
      <c r="C531" s="564">
        <v>12</v>
      </c>
      <c r="D531" s="564">
        <v>0.21</v>
      </c>
      <c r="E531" s="564">
        <v>2314</v>
      </c>
      <c r="F531" s="564">
        <v>13314</v>
      </c>
      <c r="G531" s="564">
        <v>330</v>
      </c>
      <c r="H531" s="564">
        <v>1082</v>
      </c>
      <c r="I531" s="557" t="str">
        <f t="shared" si="8"/>
        <v>GooD</v>
      </c>
    </row>
    <row r="532" spans="1:9" ht="15.75" thickBot="1">
      <c r="A532" s="565" t="s">
        <v>655</v>
      </c>
      <c r="B532" s="565">
        <v>11500</v>
      </c>
      <c r="C532" s="566">
        <v>4</v>
      </c>
      <c r="D532" s="566">
        <v>0.21</v>
      </c>
      <c r="E532" s="566">
        <v>807</v>
      </c>
      <c r="F532" s="566">
        <v>12307</v>
      </c>
      <c r="G532" s="566">
        <v>115</v>
      </c>
      <c r="H532" s="566">
        <v>3048</v>
      </c>
      <c r="I532" s="558" t="str">
        <f t="shared" si="8"/>
        <v>GooD</v>
      </c>
    </row>
    <row r="533" spans="1:9" ht="15.75" thickTop="1">
      <c r="A533" s="567" t="s">
        <v>655</v>
      </c>
      <c r="B533" s="567">
        <v>11500</v>
      </c>
      <c r="C533" s="568">
        <v>6</v>
      </c>
      <c r="D533" s="568">
        <v>0.21</v>
      </c>
      <c r="E533" s="568">
        <v>1213</v>
      </c>
      <c r="F533" s="568">
        <v>12713</v>
      </c>
      <c r="G533" s="568">
        <v>173</v>
      </c>
      <c r="H533" s="568">
        <v>2090</v>
      </c>
      <c r="I533" s="559" t="str">
        <f t="shared" si="8"/>
        <v>GooD</v>
      </c>
    </row>
    <row r="534" spans="1:9">
      <c r="A534" s="563" t="s">
        <v>655</v>
      </c>
      <c r="B534" s="563">
        <v>11500</v>
      </c>
      <c r="C534" s="564">
        <v>8</v>
      </c>
      <c r="D534" s="564">
        <v>0.21</v>
      </c>
      <c r="E534" s="564">
        <v>1618</v>
      </c>
      <c r="F534" s="564">
        <v>13118</v>
      </c>
      <c r="G534" s="564">
        <v>230</v>
      </c>
      <c r="H534" s="564">
        <v>1611</v>
      </c>
      <c r="I534" s="557" t="str">
        <f t="shared" si="8"/>
        <v>GooD</v>
      </c>
    </row>
    <row r="535" spans="1:9">
      <c r="A535" s="563" t="s">
        <v>655</v>
      </c>
      <c r="B535" s="563">
        <v>11500</v>
      </c>
      <c r="C535" s="564">
        <v>10</v>
      </c>
      <c r="D535" s="564">
        <v>0.21</v>
      </c>
      <c r="E535" s="564">
        <v>2018</v>
      </c>
      <c r="F535" s="564">
        <v>13518</v>
      </c>
      <c r="G535" s="564">
        <v>288</v>
      </c>
      <c r="H535" s="564">
        <v>1323</v>
      </c>
      <c r="I535" s="557" t="str">
        <f t="shared" si="8"/>
        <v>GooD</v>
      </c>
    </row>
    <row r="536" spans="1:9">
      <c r="A536" s="563" t="s">
        <v>655</v>
      </c>
      <c r="B536" s="563">
        <v>11500</v>
      </c>
      <c r="C536" s="564">
        <v>12</v>
      </c>
      <c r="D536" s="564">
        <v>0.21</v>
      </c>
      <c r="E536" s="564">
        <v>2417</v>
      </c>
      <c r="F536" s="564">
        <v>13917</v>
      </c>
      <c r="G536" s="564">
        <v>345</v>
      </c>
      <c r="H536" s="564">
        <v>1131</v>
      </c>
      <c r="I536" s="557" t="str">
        <f t="shared" si="8"/>
        <v>GooD</v>
      </c>
    </row>
    <row r="537" spans="1:9" ht="15.75" thickBot="1">
      <c r="A537" s="565" t="s">
        <v>655</v>
      </c>
      <c r="B537" s="565">
        <v>12000</v>
      </c>
      <c r="C537" s="566">
        <v>4</v>
      </c>
      <c r="D537" s="566">
        <v>0.21</v>
      </c>
      <c r="E537" s="566">
        <v>844</v>
      </c>
      <c r="F537" s="566">
        <v>12844</v>
      </c>
      <c r="G537" s="566">
        <v>120</v>
      </c>
      <c r="H537" s="566">
        <v>3181</v>
      </c>
      <c r="I537" s="558" t="str">
        <f t="shared" si="8"/>
        <v>GooD</v>
      </c>
    </row>
    <row r="538" spans="1:9" ht="15.75" thickTop="1">
      <c r="A538" s="567" t="s">
        <v>655</v>
      </c>
      <c r="B538" s="567">
        <v>12000</v>
      </c>
      <c r="C538" s="568">
        <v>6</v>
      </c>
      <c r="D538" s="568">
        <v>0.21</v>
      </c>
      <c r="E538" s="568">
        <v>1266</v>
      </c>
      <c r="F538" s="568">
        <v>13266</v>
      </c>
      <c r="G538" s="568">
        <v>180</v>
      </c>
      <c r="H538" s="568">
        <v>2181</v>
      </c>
      <c r="I538" s="559" t="str">
        <f t="shared" si="8"/>
        <v>GooD</v>
      </c>
    </row>
    <row r="539" spans="1:9">
      <c r="A539" s="563" t="s">
        <v>655</v>
      </c>
      <c r="B539" s="563">
        <v>12000</v>
      </c>
      <c r="C539" s="564">
        <v>8</v>
      </c>
      <c r="D539" s="564">
        <v>0.21</v>
      </c>
      <c r="E539" s="564">
        <v>1688</v>
      </c>
      <c r="F539" s="564">
        <v>13688</v>
      </c>
      <c r="G539" s="564">
        <v>240</v>
      </c>
      <c r="H539" s="564">
        <v>1681</v>
      </c>
      <c r="I539" s="557" t="str">
        <f t="shared" si="8"/>
        <v>GooD</v>
      </c>
    </row>
    <row r="540" spans="1:9">
      <c r="A540" s="563" t="s">
        <v>655</v>
      </c>
      <c r="B540" s="563">
        <v>12000</v>
      </c>
      <c r="C540" s="564">
        <v>10</v>
      </c>
      <c r="D540" s="564">
        <v>0.21</v>
      </c>
      <c r="E540" s="564">
        <v>2110</v>
      </c>
      <c r="F540" s="564">
        <v>14110</v>
      </c>
      <c r="G540" s="564">
        <v>300</v>
      </c>
      <c r="H540" s="564">
        <v>1381</v>
      </c>
      <c r="I540" s="557" t="str">
        <f t="shared" si="8"/>
        <v>GooD</v>
      </c>
    </row>
    <row r="541" spans="1:9">
      <c r="A541" s="563" t="s">
        <v>655</v>
      </c>
      <c r="B541" s="563">
        <v>12000</v>
      </c>
      <c r="C541" s="564">
        <v>12</v>
      </c>
      <c r="D541" s="564">
        <v>0.21</v>
      </c>
      <c r="E541" s="564">
        <v>2532</v>
      </c>
      <c r="F541" s="564">
        <v>14532</v>
      </c>
      <c r="G541" s="564">
        <v>360</v>
      </c>
      <c r="H541" s="564">
        <v>1181</v>
      </c>
      <c r="I541" s="557" t="str">
        <f t="shared" si="8"/>
        <v>GooD</v>
      </c>
    </row>
    <row r="542" spans="1:9" ht="15.75" thickBot="1">
      <c r="A542" s="565" t="s">
        <v>655</v>
      </c>
      <c r="B542" s="565">
        <v>12500</v>
      </c>
      <c r="C542" s="566">
        <v>4</v>
      </c>
      <c r="D542" s="566">
        <v>0.21</v>
      </c>
      <c r="E542" s="566">
        <v>877</v>
      </c>
      <c r="F542" s="566">
        <v>13377</v>
      </c>
      <c r="G542" s="566">
        <v>125</v>
      </c>
      <c r="H542" s="566">
        <v>3313</v>
      </c>
      <c r="I542" s="558" t="str">
        <f t="shared" si="8"/>
        <v>GooD</v>
      </c>
    </row>
    <row r="543" spans="1:9" ht="15.75" thickTop="1">
      <c r="A543" s="567" t="s">
        <v>655</v>
      </c>
      <c r="B543" s="567">
        <v>12500</v>
      </c>
      <c r="C543" s="568">
        <v>6</v>
      </c>
      <c r="D543" s="568">
        <v>0.21</v>
      </c>
      <c r="E543" s="568">
        <v>1314</v>
      </c>
      <c r="F543" s="568">
        <v>13814</v>
      </c>
      <c r="G543" s="568">
        <v>188</v>
      </c>
      <c r="H543" s="568">
        <v>2271</v>
      </c>
      <c r="I543" s="559" t="str">
        <f t="shared" si="8"/>
        <v>GooD</v>
      </c>
    </row>
    <row r="544" spans="1:9">
      <c r="A544" s="563" t="s">
        <v>655</v>
      </c>
      <c r="B544" s="563">
        <v>12500</v>
      </c>
      <c r="C544" s="564">
        <v>8</v>
      </c>
      <c r="D544" s="564">
        <v>0.21</v>
      </c>
      <c r="E544" s="564">
        <v>1758</v>
      </c>
      <c r="F544" s="564">
        <v>14258</v>
      </c>
      <c r="G544" s="564">
        <v>250</v>
      </c>
      <c r="H544" s="564">
        <v>1751</v>
      </c>
      <c r="I544" s="557" t="str">
        <f t="shared" si="8"/>
        <v>GooD</v>
      </c>
    </row>
    <row r="545" spans="1:9">
      <c r="A545" s="563" t="s">
        <v>655</v>
      </c>
      <c r="B545" s="563">
        <v>12500</v>
      </c>
      <c r="C545" s="564">
        <v>10</v>
      </c>
      <c r="D545" s="564">
        <v>0.21</v>
      </c>
      <c r="E545" s="564">
        <v>2193</v>
      </c>
      <c r="F545" s="564">
        <v>14693</v>
      </c>
      <c r="G545" s="564">
        <v>313</v>
      </c>
      <c r="H545" s="564">
        <v>1438</v>
      </c>
      <c r="I545" s="557" t="str">
        <f t="shared" si="8"/>
        <v>GooD</v>
      </c>
    </row>
    <row r="546" spans="1:9">
      <c r="A546" s="563" t="s">
        <v>655</v>
      </c>
      <c r="B546" s="563">
        <v>12500</v>
      </c>
      <c r="C546" s="564">
        <v>12</v>
      </c>
      <c r="D546" s="564">
        <v>0.21</v>
      </c>
      <c r="E546" s="564">
        <v>2635</v>
      </c>
      <c r="F546" s="564">
        <v>15135</v>
      </c>
      <c r="G546" s="564">
        <v>375</v>
      </c>
      <c r="H546" s="564">
        <v>1230</v>
      </c>
      <c r="I546" s="557" t="str">
        <f t="shared" si="8"/>
        <v>GooD</v>
      </c>
    </row>
    <row r="547" spans="1:9" ht="15.75" thickBot="1">
      <c r="A547" s="565" t="s">
        <v>655</v>
      </c>
      <c r="B547" s="565">
        <v>13000</v>
      </c>
      <c r="C547" s="566">
        <v>4</v>
      </c>
      <c r="D547" s="566">
        <v>0.21</v>
      </c>
      <c r="E547" s="566">
        <v>914</v>
      </c>
      <c r="F547" s="566">
        <v>13914</v>
      </c>
      <c r="G547" s="566">
        <v>130</v>
      </c>
      <c r="H547" s="566">
        <v>3446</v>
      </c>
      <c r="I547" s="558" t="str">
        <f t="shared" si="8"/>
        <v>GooD</v>
      </c>
    </row>
    <row r="548" spans="1:9" ht="15.75" thickTop="1">
      <c r="A548" s="567" t="s">
        <v>655</v>
      </c>
      <c r="B548" s="567">
        <v>13000</v>
      </c>
      <c r="C548" s="568">
        <v>6</v>
      </c>
      <c r="D548" s="568">
        <v>0.21</v>
      </c>
      <c r="E548" s="568">
        <v>1367</v>
      </c>
      <c r="F548" s="568">
        <v>14367</v>
      </c>
      <c r="G548" s="568">
        <v>195</v>
      </c>
      <c r="H548" s="568">
        <v>2362</v>
      </c>
      <c r="I548" s="559" t="str">
        <f t="shared" si="8"/>
        <v>GooD</v>
      </c>
    </row>
    <row r="549" spans="1:9">
      <c r="A549" s="563" t="s">
        <v>655</v>
      </c>
      <c r="B549" s="563">
        <v>13000</v>
      </c>
      <c r="C549" s="564">
        <v>8</v>
      </c>
      <c r="D549" s="564">
        <v>0.21</v>
      </c>
      <c r="E549" s="564">
        <v>1828</v>
      </c>
      <c r="F549" s="564">
        <v>14828</v>
      </c>
      <c r="G549" s="564">
        <v>260</v>
      </c>
      <c r="H549" s="564">
        <v>1821</v>
      </c>
      <c r="I549" s="557" t="str">
        <f t="shared" si="8"/>
        <v>GooD</v>
      </c>
    </row>
    <row r="550" spans="1:9">
      <c r="A550" s="563" t="s">
        <v>655</v>
      </c>
      <c r="B550" s="563">
        <v>13000</v>
      </c>
      <c r="C550" s="564">
        <v>10</v>
      </c>
      <c r="D550" s="564">
        <v>0.21</v>
      </c>
      <c r="E550" s="564">
        <v>2285</v>
      </c>
      <c r="F550" s="564">
        <v>15285</v>
      </c>
      <c r="G550" s="564">
        <v>325</v>
      </c>
      <c r="H550" s="564">
        <v>1496</v>
      </c>
      <c r="I550" s="557" t="str">
        <f t="shared" si="8"/>
        <v>GooD</v>
      </c>
    </row>
    <row r="551" spans="1:9">
      <c r="A551" s="563" t="s">
        <v>655</v>
      </c>
      <c r="B551" s="563">
        <v>13000</v>
      </c>
      <c r="C551" s="564">
        <v>12</v>
      </c>
      <c r="D551" s="564">
        <v>0.21</v>
      </c>
      <c r="E551" s="564">
        <v>2738</v>
      </c>
      <c r="F551" s="564">
        <v>15738</v>
      </c>
      <c r="G551" s="564">
        <v>390</v>
      </c>
      <c r="H551" s="564">
        <v>1279</v>
      </c>
      <c r="I551" s="557" t="str">
        <f t="shared" si="8"/>
        <v>GooD</v>
      </c>
    </row>
    <row r="552" spans="1:9" ht="15.75" thickBot="1">
      <c r="A552" s="565" t="s">
        <v>655</v>
      </c>
      <c r="B552" s="565">
        <v>13500</v>
      </c>
      <c r="C552" s="566">
        <v>4</v>
      </c>
      <c r="D552" s="566">
        <v>0.21</v>
      </c>
      <c r="E552" s="566">
        <v>947</v>
      </c>
      <c r="F552" s="566">
        <v>14447</v>
      </c>
      <c r="G552" s="566">
        <v>135</v>
      </c>
      <c r="H552" s="566">
        <v>3578</v>
      </c>
      <c r="I552" s="558" t="str">
        <f t="shared" si="8"/>
        <v>GooD</v>
      </c>
    </row>
    <row r="553" spans="1:9" ht="15.75" thickTop="1">
      <c r="A553" s="567" t="s">
        <v>655</v>
      </c>
      <c r="B553" s="567">
        <v>13500</v>
      </c>
      <c r="C553" s="568">
        <v>6</v>
      </c>
      <c r="D553" s="568">
        <v>0.21</v>
      </c>
      <c r="E553" s="568">
        <v>1421</v>
      </c>
      <c r="F553" s="568">
        <v>14921</v>
      </c>
      <c r="G553" s="568">
        <v>203</v>
      </c>
      <c r="H553" s="568">
        <v>2453</v>
      </c>
      <c r="I553" s="559" t="str">
        <f t="shared" si="8"/>
        <v>GooD</v>
      </c>
    </row>
    <row r="554" spans="1:9">
      <c r="A554" s="563" t="s">
        <v>655</v>
      </c>
      <c r="B554" s="563">
        <v>13500</v>
      </c>
      <c r="C554" s="564">
        <v>8</v>
      </c>
      <c r="D554" s="564">
        <v>0.21</v>
      </c>
      <c r="E554" s="564">
        <v>1898</v>
      </c>
      <c r="F554" s="564">
        <v>15398</v>
      </c>
      <c r="G554" s="564">
        <v>270</v>
      </c>
      <c r="H554" s="564">
        <v>1891</v>
      </c>
      <c r="I554" s="557" t="str">
        <f t="shared" si="8"/>
        <v>GooD</v>
      </c>
    </row>
    <row r="555" spans="1:9">
      <c r="A555" s="563" t="s">
        <v>655</v>
      </c>
      <c r="B555" s="563">
        <v>13500</v>
      </c>
      <c r="C555" s="564">
        <v>10</v>
      </c>
      <c r="D555" s="564">
        <v>0.21</v>
      </c>
      <c r="E555" s="564">
        <v>2368</v>
      </c>
      <c r="F555" s="564">
        <v>15868</v>
      </c>
      <c r="G555" s="564">
        <v>338</v>
      </c>
      <c r="H555" s="564">
        <v>1553</v>
      </c>
      <c r="I555" s="557" t="str">
        <f t="shared" si="8"/>
        <v>GooD</v>
      </c>
    </row>
    <row r="556" spans="1:9">
      <c r="A556" s="563" t="s">
        <v>655</v>
      </c>
      <c r="B556" s="563">
        <v>13500</v>
      </c>
      <c r="C556" s="564">
        <v>12</v>
      </c>
      <c r="D556" s="564">
        <v>0.21</v>
      </c>
      <c r="E556" s="564">
        <v>2841</v>
      </c>
      <c r="F556" s="564">
        <v>16341</v>
      </c>
      <c r="G556" s="564">
        <v>405</v>
      </c>
      <c r="H556" s="564">
        <v>1328</v>
      </c>
      <c r="I556" s="557" t="str">
        <f t="shared" si="8"/>
        <v>GooD</v>
      </c>
    </row>
    <row r="557" spans="1:9" ht="15.75" thickBot="1">
      <c r="A557" s="565" t="s">
        <v>655</v>
      </c>
      <c r="B557" s="565">
        <v>14000</v>
      </c>
      <c r="C557" s="566">
        <v>4</v>
      </c>
      <c r="D557" s="566">
        <v>0.21</v>
      </c>
      <c r="E557" s="566">
        <v>984</v>
      </c>
      <c r="F557" s="566">
        <v>14984</v>
      </c>
      <c r="G557" s="566">
        <v>140</v>
      </c>
      <c r="H557" s="566">
        <v>3711</v>
      </c>
      <c r="I557" s="558" t="str">
        <f t="shared" si="8"/>
        <v>GooD</v>
      </c>
    </row>
    <row r="558" spans="1:9" ht="15.75" thickTop="1">
      <c r="A558" s="567" t="s">
        <v>655</v>
      </c>
      <c r="B558" s="567">
        <v>14000</v>
      </c>
      <c r="C558" s="568">
        <v>6</v>
      </c>
      <c r="D558" s="568">
        <v>0.21</v>
      </c>
      <c r="E558" s="568">
        <v>1474</v>
      </c>
      <c r="F558" s="568">
        <v>15474</v>
      </c>
      <c r="G558" s="568">
        <v>210</v>
      </c>
      <c r="H558" s="568">
        <v>2544</v>
      </c>
      <c r="I558" s="559" t="str">
        <f t="shared" si="8"/>
        <v>GooD</v>
      </c>
    </row>
    <row r="559" spans="1:9">
      <c r="A559" s="563" t="s">
        <v>655</v>
      </c>
      <c r="B559" s="563">
        <v>14000</v>
      </c>
      <c r="C559" s="564">
        <v>8</v>
      </c>
      <c r="D559" s="564">
        <v>0.21</v>
      </c>
      <c r="E559" s="564">
        <v>1968</v>
      </c>
      <c r="F559" s="564">
        <v>15968</v>
      </c>
      <c r="G559" s="564">
        <v>280</v>
      </c>
      <c r="H559" s="564">
        <v>1961</v>
      </c>
      <c r="I559" s="557" t="str">
        <f t="shared" si="8"/>
        <v>GooD</v>
      </c>
    </row>
    <row r="560" spans="1:9">
      <c r="A560" s="563" t="s">
        <v>655</v>
      </c>
      <c r="B560" s="563">
        <v>14000</v>
      </c>
      <c r="C560" s="564">
        <v>10</v>
      </c>
      <c r="D560" s="564">
        <v>0.21</v>
      </c>
      <c r="E560" s="564">
        <v>2460</v>
      </c>
      <c r="F560" s="564">
        <v>16460</v>
      </c>
      <c r="G560" s="564">
        <v>350</v>
      </c>
      <c r="H560" s="564">
        <v>1611</v>
      </c>
      <c r="I560" s="557" t="str">
        <f t="shared" si="8"/>
        <v>GooD</v>
      </c>
    </row>
    <row r="561" spans="1:9">
      <c r="A561" s="563" t="s">
        <v>655</v>
      </c>
      <c r="B561" s="563">
        <v>14000</v>
      </c>
      <c r="C561" s="564">
        <v>12</v>
      </c>
      <c r="D561" s="564">
        <v>0.21</v>
      </c>
      <c r="E561" s="564">
        <v>2944</v>
      </c>
      <c r="F561" s="564">
        <v>16944</v>
      </c>
      <c r="G561" s="564">
        <v>420</v>
      </c>
      <c r="H561" s="564">
        <v>1377</v>
      </c>
      <c r="I561" s="557" t="str">
        <f t="shared" si="8"/>
        <v>GooD</v>
      </c>
    </row>
    <row r="562" spans="1:9" ht="15.75" thickBot="1">
      <c r="A562" s="565" t="s">
        <v>655</v>
      </c>
      <c r="B562" s="565">
        <v>14500</v>
      </c>
      <c r="C562" s="566">
        <v>6</v>
      </c>
      <c r="D562" s="566">
        <v>0.21</v>
      </c>
      <c r="E562" s="566">
        <v>1528</v>
      </c>
      <c r="F562" s="566">
        <v>16028</v>
      </c>
      <c r="G562" s="566">
        <v>218</v>
      </c>
      <c r="H562" s="566">
        <v>2635</v>
      </c>
      <c r="I562" s="558" t="str">
        <f t="shared" si="8"/>
        <v>GooD</v>
      </c>
    </row>
    <row r="563" spans="1:9" ht="15.75" thickTop="1">
      <c r="A563" s="567" t="s">
        <v>655</v>
      </c>
      <c r="B563" s="567">
        <v>14500</v>
      </c>
      <c r="C563" s="568">
        <v>8</v>
      </c>
      <c r="D563" s="568">
        <v>0.21</v>
      </c>
      <c r="E563" s="568">
        <v>2038</v>
      </c>
      <c r="F563" s="568">
        <v>16538</v>
      </c>
      <c r="G563" s="568">
        <v>290</v>
      </c>
      <c r="H563" s="568">
        <v>2031</v>
      </c>
      <c r="I563" s="559" t="str">
        <f t="shared" si="8"/>
        <v>GooD</v>
      </c>
    </row>
    <row r="564" spans="1:9">
      <c r="A564" s="563" t="s">
        <v>655</v>
      </c>
      <c r="B564" s="563">
        <v>14500</v>
      </c>
      <c r="C564" s="564">
        <v>10</v>
      </c>
      <c r="D564" s="564">
        <v>0.21</v>
      </c>
      <c r="E564" s="564">
        <v>2543</v>
      </c>
      <c r="F564" s="564">
        <v>17043</v>
      </c>
      <c r="G564" s="564">
        <v>363</v>
      </c>
      <c r="H564" s="564">
        <v>1668</v>
      </c>
      <c r="I564" s="557" t="str">
        <f t="shared" si="8"/>
        <v>GooD</v>
      </c>
    </row>
    <row r="565" spans="1:9">
      <c r="A565" s="563" t="s">
        <v>655</v>
      </c>
      <c r="B565" s="563">
        <v>14500</v>
      </c>
      <c r="C565" s="564">
        <v>12</v>
      </c>
      <c r="D565" s="564">
        <v>0.21</v>
      </c>
      <c r="E565" s="564">
        <v>3047</v>
      </c>
      <c r="F565" s="564">
        <v>17547</v>
      </c>
      <c r="G565" s="564">
        <v>435</v>
      </c>
      <c r="H565" s="564">
        <v>1426</v>
      </c>
      <c r="I565" s="557" t="str">
        <f t="shared" si="8"/>
        <v>GooD</v>
      </c>
    </row>
    <row r="566" spans="1:9">
      <c r="A566" s="563" t="s">
        <v>655</v>
      </c>
      <c r="B566" s="563">
        <v>14500</v>
      </c>
      <c r="C566" s="564">
        <v>14</v>
      </c>
      <c r="D566" s="564">
        <v>0.21</v>
      </c>
      <c r="E566" s="564">
        <v>3564</v>
      </c>
      <c r="F566" s="564">
        <v>18064</v>
      </c>
      <c r="G566" s="564">
        <v>508</v>
      </c>
      <c r="H566" s="564">
        <v>1254</v>
      </c>
      <c r="I566" s="557" t="str">
        <f t="shared" si="8"/>
        <v>GooD</v>
      </c>
    </row>
    <row r="567" spans="1:9" ht="15.75" thickBot="1">
      <c r="A567" s="565" t="s">
        <v>655</v>
      </c>
      <c r="B567" s="565">
        <v>14500</v>
      </c>
      <c r="C567" s="566">
        <v>16</v>
      </c>
      <c r="D567" s="566">
        <v>0.21</v>
      </c>
      <c r="E567" s="566">
        <v>4064</v>
      </c>
      <c r="F567" s="566">
        <v>18564</v>
      </c>
      <c r="G567" s="566">
        <v>580</v>
      </c>
      <c r="H567" s="566">
        <v>1124</v>
      </c>
      <c r="I567" s="558" t="str">
        <f t="shared" si="8"/>
        <v>GooD</v>
      </c>
    </row>
    <row r="568" spans="1:9" ht="15.75" thickTop="1">
      <c r="A568" s="567" t="s">
        <v>655</v>
      </c>
      <c r="B568" s="567">
        <v>14500</v>
      </c>
      <c r="C568" s="568">
        <v>18</v>
      </c>
      <c r="D568" s="568">
        <v>0.21</v>
      </c>
      <c r="E568" s="568">
        <v>4585</v>
      </c>
      <c r="F568" s="568">
        <v>19085</v>
      </c>
      <c r="G568" s="568">
        <v>653</v>
      </c>
      <c r="H568" s="568">
        <v>1024</v>
      </c>
      <c r="I568" s="559" t="str">
        <f t="shared" si="8"/>
        <v>GooD</v>
      </c>
    </row>
    <row r="569" spans="1:9">
      <c r="A569" s="563" t="s">
        <v>655</v>
      </c>
      <c r="B569" s="563">
        <v>15000</v>
      </c>
      <c r="C569" s="564">
        <v>6</v>
      </c>
      <c r="D569" s="564">
        <v>0.21</v>
      </c>
      <c r="E569" s="564">
        <v>1581</v>
      </c>
      <c r="F569" s="564">
        <v>16581</v>
      </c>
      <c r="G569" s="564">
        <v>225</v>
      </c>
      <c r="H569" s="564">
        <v>2726</v>
      </c>
      <c r="I569" s="557" t="str">
        <f t="shared" si="8"/>
        <v>GooD</v>
      </c>
    </row>
    <row r="570" spans="1:9">
      <c r="A570" s="563" t="s">
        <v>655</v>
      </c>
      <c r="B570" s="563">
        <v>15000</v>
      </c>
      <c r="C570" s="564">
        <v>8</v>
      </c>
      <c r="D570" s="564">
        <v>0.21</v>
      </c>
      <c r="E570" s="564">
        <v>2108</v>
      </c>
      <c r="F570" s="564">
        <v>17108</v>
      </c>
      <c r="G570" s="564">
        <v>300</v>
      </c>
      <c r="H570" s="564">
        <v>2101</v>
      </c>
      <c r="I570" s="557" t="str">
        <f t="shared" si="8"/>
        <v>GooD</v>
      </c>
    </row>
    <row r="571" spans="1:9">
      <c r="A571" s="563" t="s">
        <v>655</v>
      </c>
      <c r="B571" s="563">
        <v>15000</v>
      </c>
      <c r="C571" s="564">
        <v>10</v>
      </c>
      <c r="D571" s="564">
        <v>0.21</v>
      </c>
      <c r="E571" s="564">
        <v>2635</v>
      </c>
      <c r="F571" s="564">
        <v>17635</v>
      </c>
      <c r="G571" s="564">
        <v>375</v>
      </c>
      <c r="H571" s="564">
        <v>1726</v>
      </c>
      <c r="I571" s="557" t="str">
        <f t="shared" si="8"/>
        <v>GooD</v>
      </c>
    </row>
    <row r="572" spans="1:9" ht="15.75" thickBot="1">
      <c r="A572" s="565" t="s">
        <v>655</v>
      </c>
      <c r="B572" s="565">
        <v>15000</v>
      </c>
      <c r="C572" s="566">
        <v>12</v>
      </c>
      <c r="D572" s="566">
        <v>0.21</v>
      </c>
      <c r="E572" s="566">
        <v>3162</v>
      </c>
      <c r="F572" s="566">
        <v>18162</v>
      </c>
      <c r="G572" s="566">
        <v>450</v>
      </c>
      <c r="H572" s="566">
        <v>1476</v>
      </c>
      <c r="I572" s="558" t="str">
        <f t="shared" si="8"/>
        <v>GooD</v>
      </c>
    </row>
    <row r="573" spans="1:9" ht="15.75" thickTop="1">
      <c r="A573" s="567" t="s">
        <v>655</v>
      </c>
      <c r="B573" s="567">
        <v>15000</v>
      </c>
      <c r="C573" s="568">
        <v>14</v>
      </c>
      <c r="D573" s="568">
        <v>0.21</v>
      </c>
      <c r="E573" s="568">
        <v>3683</v>
      </c>
      <c r="F573" s="568">
        <v>18683</v>
      </c>
      <c r="G573" s="568">
        <v>525</v>
      </c>
      <c r="H573" s="568">
        <v>1297</v>
      </c>
      <c r="I573" s="559" t="str">
        <f t="shared" si="8"/>
        <v>GooD</v>
      </c>
    </row>
    <row r="574" spans="1:9">
      <c r="A574" s="563" t="s">
        <v>655</v>
      </c>
      <c r="B574" s="563">
        <v>15000</v>
      </c>
      <c r="C574" s="564">
        <v>16</v>
      </c>
      <c r="D574" s="564">
        <v>0.21</v>
      </c>
      <c r="E574" s="564">
        <v>4208</v>
      </c>
      <c r="F574" s="564">
        <v>19208</v>
      </c>
      <c r="G574" s="564">
        <v>600</v>
      </c>
      <c r="H574" s="564">
        <v>1163</v>
      </c>
      <c r="I574" s="557" t="str">
        <f t="shared" si="8"/>
        <v>GooD</v>
      </c>
    </row>
    <row r="575" spans="1:9">
      <c r="A575" s="563" t="s">
        <v>655</v>
      </c>
      <c r="B575" s="563">
        <v>15000</v>
      </c>
      <c r="C575" s="564">
        <v>18</v>
      </c>
      <c r="D575" s="564">
        <v>0.21</v>
      </c>
      <c r="E575" s="564">
        <v>4737</v>
      </c>
      <c r="F575" s="564">
        <v>19737</v>
      </c>
      <c r="G575" s="564">
        <v>675</v>
      </c>
      <c r="H575" s="564">
        <v>1059</v>
      </c>
      <c r="I575" s="557" t="str">
        <f t="shared" si="8"/>
        <v>GooD</v>
      </c>
    </row>
    <row r="576" spans="1:9">
      <c r="A576" s="563" t="s">
        <v>655</v>
      </c>
      <c r="B576" s="563">
        <v>15500</v>
      </c>
      <c r="C576" s="564">
        <v>6</v>
      </c>
      <c r="D576" s="564">
        <v>0.21</v>
      </c>
      <c r="E576" s="564">
        <v>1629</v>
      </c>
      <c r="F576" s="564">
        <v>17129</v>
      </c>
      <c r="G576" s="564">
        <v>233</v>
      </c>
      <c r="H576" s="564">
        <v>2816</v>
      </c>
      <c r="I576" s="557" t="str">
        <f t="shared" si="8"/>
        <v>GooD</v>
      </c>
    </row>
    <row r="577" spans="1:9" ht="15.75" thickBot="1">
      <c r="A577" s="565" t="s">
        <v>655</v>
      </c>
      <c r="B577" s="565">
        <v>15500</v>
      </c>
      <c r="C577" s="566">
        <v>8</v>
      </c>
      <c r="D577" s="566">
        <v>0.21</v>
      </c>
      <c r="E577" s="566">
        <v>2178</v>
      </c>
      <c r="F577" s="566">
        <v>17678</v>
      </c>
      <c r="G577" s="566">
        <v>310</v>
      </c>
      <c r="H577" s="566">
        <v>2171</v>
      </c>
      <c r="I577" s="558" t="str">
        <f t="shared" si="8"/>
        <v>GooD</v>
      </c>
    </row>
    <row r="578" spans="1:9" ht="15.75" thickTop="1">
      <c r="A578" s="567" t="s">
        <v>655</v>
      </c>
      <c r="B578" s="567">
        <v>15500</v>
      </c>
      <c r="C578" s="568">
        <v>10</v>
      </c>
      <c r="D578" s="568">
        <v>0.21</v>
      </c>
      <c r="E578" s="568">
        <v>2718</v>
      </c>
      <c r="F578" s="568">
        <v>18218</v>
      </c>
      <c r="G578" s="568">
        <v>388</v>
      </c>
      <c r="H578" s="568">
        <v>1783</v>
      </c>
      <c r="I578" s="559" t="str">
        <f t="shared" si="8"/>
        <v>GooD</v>
      </c>
    </row>
    <row r="579" spans="1:9">
      <c r="A579" s="563" t="s">
        <v>655</v>
      </c>
      <c r="B579" s="563">
        <v>15500</v>
      </c>
      <c r="C579" s="564">
        <v>12</v>
      </c>
      <c r="D579" s="564">
        <v>0.21</v>
      </c>
      <c r="E579" s="564">
        <v>3265</v>
      </c>
      <c r="F579" s="564">
        <v>18765</v>
      </c>
      <c r="G579" s="564">
        <v>465</v>
      </c>
      <c r="H579" s="564">
        <v>1525</v>
      </c>
      <c r="I579" s="557" t="str">
        <f t="shared" si="8"/>
        <v>GooD</v>
      </c>
    </row>
    <row r="580" spans="1:9">
      <c r="A580" s="563" t="s">
        <v>655</v>
      </c>
      <c r="B580" s="563">
        <v>15500</v>
      </c>
      <c r="C580" s="564">
        <v>14</v>
      </c>
      <c r="D580" s="564">
        <v>0.21</v>
      </c>
      <c r="E580" s="564">
        <v>3803</v>
      </c>
      <c r="F580" s="564">
        <v>19303</v>
      </c>
      <c r="G580" s="564">
        <v>543</v>
      </c>
      <c r="H580" s="564">
        <v>1340</v>
      </c>
      <c r="I580" s="557" t="str">
        <f t="shared" si="8"/>
        <v>GooD</v>
      </c>
    </row>
    <row r="581" spans="1:9">
      <c r="A581" s="563" t="s">
        <v>655</v>
      </c>
      <c r="B581" s="563">
        <v>15500</v>
      </c>
      <c r="C581" s="564">
        <v>16</v>
      </c>
      <c r="D581" s="564">
        <v>0.21</v>
      </c>
      <c r="E581" s="564">
        <v>4352</v>
      </c>
      <c r="F581" s="564">
        <v>19852</v>
      </c>
      <c r="G581" s="564">
        <v>620</v>
      </c>
      <c r="H581" s="564">
        <v>1202</v>
      </c>
      <c r="I581" s="557" t="str">
        <f t="shared" si="8"/>
        <v>GooD</v>
      </c>
    </row>
    <row r="582" spans="1:9" ht="15.75" thickBot="1">
      <c r="A582" s="565" t="s">
        <v>655</v>
      </c>
      <c r="B582" s="565">
        <v>15500</v>
      </c>
      <c r="C582" s="566">
        <v>18</v>
      </c>
      <c r="D582" s="566">
        <v>0.21</v>
      </c>
      <c r="E582" s="566">
        <v>4890</v>
      </c>
      <c r="F582" s="566">
        <v>20390</v>
      </c>
      <c r="G582" s="566">
        <v>698</v>
      </c>
      <c r="H582" s="566">
        <v>1094</v>
      </c>
      <c r="I582" s="558" t="str">
        <f t="shared" si="8"/>
        <v>GooD</v>
      </c>
    </row>
    <row r="583" spans="1:9" ht="15.75" thickTop="1">
      <c r="A583" s="567" t="s">
        <v>655</v>
      </c>
      <c r="B583" s="567">
        <v>16000</v>
      </c>
      <c r="C583" s="568">
        <v>6</v>
      </c>
      <c r="D583" s="568">
        <v>0.21</v>
      </c>
      <c r="E583" s="568">
        <v>1682</v>
      </c>
      <c r="F583" s="568">
        <v>17682</v>
      </c>
      <c r="G583" s="568">
        <v>240</v>
      </c>
      <c r="H583" s="568">
        <v>2907</v>
      </c>
      <c r="I583" s="559" t="str">
        <f t="shared" si="8"/>
        <v>GooD</v>
      </c>
    </row>
    <row r="584" spans="1:9">
      <c r="A584" s="563" t="s">
        <v>655</v>
      </c>
      <c r="B584" s="563">
        <v>16000</v>
      </c>
      <c r="C584" s="564">
        <v>8</v>
      </c>
      <c r="D584" s="564">
        <v>0.21</v>
      </c>
      <c r="E584" s="564">
        <v>2248</v>
      </c>
      <c r="F584" s="564">
        <v>18248</v>
      </c>
      <c r="G584" s="564">
        <v>320</v>
      </c>
      <c r="H584" s="564">
        <v>2241</v>
      </c>
      <c r="I584" s="557" t="str">
        <f t="shared" si="8"/>
        <v>GooD</v>
      </c>
    </row>
    <row r="585" spans="1:9">
      <c r="A585" s="563" t="s">
        <v>655</v>
      </c>
      <c r="B585" s="563">
        <v>16000</v>
      </c>
      <c r="C585" s="564">
        <v>10</v>
      </c>
      <c r="D585" s="564">
        <v>0.21</v>
      </c>
      <c r="E585" s="564">
        <v>2810</v>
      </c>
      <c r="F585" s="564">
        <v>18810</v>
      </c>
      <c r="G585" s="564">
        <v>400</v>
      </c>
      <c r="H585" s="564">
        <v>1841</v>
      </c>
      <c r="I585" s="557" t="str">
        <f t="shared" si="8"/>
        <v>GooD</v>
      </c>
    </row>
    <row r="586" spans="1:9">
      <c r="A586" s="563" t="s">
        <v>655</v>
      </c>
      <c r="B586" s="563">
        <v>16000</v>
      </c>
      <c r="C586" s="564">
        <v>12</v>
      </c>
      <c r="D586" s="564">
        <v>0.21</v>
      </c>
      <c r="E586" s="564">
        <v>3368</v>
      </c>
      <c r="F586" s="564">
        <v>19368</v>
      </c>
      <c r="G586" s="564">
        <v>480</v>
      </c>
      <c r="H586" s="564">
        <v>1574</v>
      </c>
      <c r="I586" s="557" t="str">
        <f t="shared" ref="I586:I650" si="9">IF(((H586*C586)+G586)=F586,"GooD","لالالالالالالا")</f>
        <v>GooD</v>
      </c>
    </row>
    <row r="587" spans="1:9" ht="15.75" thickBot="1">
      <c r="A587" s="565" t="s">
        <v>655</v>
      </c>
      <c r="B587" s="565">
        <v>16000</v>
      </c>
      <c r="C587" s="566">
        <v>14</v>
      </c>
      <c r="D587" s="566">
        <v>0.21</v>
      </c>
      <c r="E587" s="566">
        <v>3922</v>
      </c>
      <c r="F587" s="566">
        <v>19922</v>
      </c>
      <c r="G587" s="566">
        <v>560</v>
      </c>
      <c r="H587" s="566">
        <v>1383</v>
      </c>
      <c r="I587" s="558" t="str">
        <f t="shared" si="9"/>
        <v>GooD</v>
      </c>
    </row>
    <row r="588" spans="1:9" ht="15.75" thickTop="1">
      <c r="A588" s="567" t="s">
        <v>655</v>
      </c>
      <c r="B588" s="567">
        <v>16000</v>
      </c>
      <c r="C588" s="568">
        <v>16</v>
      </c>
      <c r="D588" s="568">
        <v>0.21</v>
      </c>
      <c r="E588" s="568">
        <v>4496</v>
      </c>
      <c r="F588" s="568">
        <v>20496</v>
      </c>
      <c r="G588" s="568">
        <v>640</v>
      </c>
      <c r="H588" s="568">
        <v>1241</v>
      </c>
      <c r="I588" s="559" t="str">
        <f t="shared" si="9"/>
        <v>GooD</v>
      </c>
    </row>
    <row r="589" spans="1:9">
      <c r="A589" s="563" t="s">
        <v>655</v>
      </c>
      <c r="B589" s="563">
        <v>16000</v>
      </c>
      <c r="C589" s="564">
        <v>18</v>
      </c>
      <c r="D589" s="564">
        <v>0.21</v>
      </c>
      <c r="E589" s="564">
        <v>5042</v>
      </c>
      <c r="F589" s="564">
        <v>21042</v>
      </c>
      <c r="G589" s="564">
        <v>720</v>
      </c>
      <c r="H589" s="564">
        <v>1129</v>
      </c>
      <c r="I589" s="557" t="str">
        <f t="shared" si="9"/>
        <v>GooD</v>
      </c>
    </row>
    <row r="590" spans="1:9">
      <c r="A590" s="563" t="s">
        <v>655</v>
      </c>
      <c r="B590" s="563">
        <v>16500</v>
      </c>
      <c r="C590" s="564">
        <v>6</v>
      </c>
      <c r="D590" s="564">
        <v>0.21</v>
      </c>
      <c r="E590" s="564">
        <v>1736</v>
      </c>
      <c r="F590" s="564">
        <v>18236</v>
      </c>
      <c r="G590" s="564">
        <v>248</v>
      </c>
      <c r="H590" s="564">
        <v>2998</v>
      </c>
      <c r="I590" s="557" t="str">
        <f t="shared" si="9"/>
        <v>GooD</v>
      </c>
    </row>
    <row r="591" spans="1:9">
      <c r="A591" s="563" t="s">
        <v>655</v>
      </c>
      <c r="B591" s="563">
        <v>16500</v>
      </c>
      <c r="C591" s="564">
        <v>8</v>
      </c>
      <c r="D591" s="564">
        <v>0.21</v>
      </c>
      <c r="E591" s="564">
        <v>2318</v>
      </c>
      <c r="F591" s="564">
        <v>18818</v>
      </c>
      <c r="G591" s="564">
        <v>330</v>
      </c>
      <c r="H591" s="564">
        <v>2311</v>
      </c>
      <c r="I591" s="557" t="str">
        <f t="shared" si="9"/>
        <v>GooD</v>
      </c>
    </row>
    <row r="592" spans="1:9" ht="15.75" thickBot="1">
      <c r="A592" s="565" t="s">
        <v>655</v>
      </c>
      <c r="B592" s="565">
        <v>16500</v>
      </c>
      <c r="C592" s="566">
        <v>10</v>
      </c>
      <c r="D592" s="566">
        <v>0.21</v>
      </c>
      <c r="E592" s="566">
        <v>2893</v>
      </c>
      <c r="F592" s="566">
        <v>19393</v>
      </c>
      <c r="G592" s="566">
        <v>413</v>
      </c>
      <c r="H592" s="566">
        <v>1898</v>
      </c>
      <c r="I592" s="558" t="str">
        <f t="shared" si="9"/>
        <v>GooD</v>
      </c>
    </row>
    <row r="593" spans="1:9" ht="15.75" thickTop="1">
      <c r="A593" s="567" t="s">
        <v>655</v>
      </c>
      <c r="B593" s="567">
        <v>16500</v>
      </c>
      <c r="C593" s="568">
        <v>12</v>
      </c>
      <c r="D593" s="568">
        <v>0.21</v>
      </c>
      <c r="E593" s="568">
        <v>3471</v>
      </c>
      <c r="F593" s="568">
        <v>19971</v>
      </c>
      <c r="G593" s="568">
        <v>495</v>
      </c>
      <c r="H593" s="568">
        <v>1623</v>
      </c>
      <c r="I593" s="559" t="str">
        <f t="shared" si="9"/>
        <v>GooD</v>
      </c>
    </row>
    <row r="594" spans="1:9">
      <c r="A594" s="563" t="s">
        <v>655</v>
      </c>
      <c r="B594" s="563">
        <v>16500</v>
      </c>
      <c r="C594" s="564">
        <v>14</v>
      </c>
      <c r="D594" s="564">
        <v>0.21</v>
      </c>
      <c r="E594" s="564">
        <v>4056</v>
      </c>
      <c r="F594" s="564">
        <v>20556</v>
      </c>
      <c r="G594" s="564">
        <v>578</v>
      </c>
      <c r="H594" s="564">
        <v>1427</v>
      </c>
      <c r="I594" s="557" t="str">
        <f t="shared" si="9"/>
        <v>GooD</v>
      </c>
    </row>
    <row r="595" spans="1:9">
      <c r="A595" s="563" t="s">
        <v>655</v>
      </c>
      <c r="B595" s="563">
        <v>16500</v>
      </c>
      <c r="C595" s="564">
        <v>16</v>
      </c>
      <c r="D595" s="564">
        <v>0.21</v>
      </c>
      <c r="E595" s="564">
        <v>4624</v>
      </c>
      <c r="F595" s="564">
        <v>21124</v>
      </c>
      <c r="G595" s="564">
        <v>660</v>
      </c>
      <c r="H595" s="564">
        <v>1279</v>
      </c>
      <c r="I595" s="557" t="str">
        <f t="shared" si="9"/>
        <v>GooD</v>
      </c>
    </row>
    <row r="596" spans="1:9">
      <c r="A596" s="563" t="s">
        <v>655</v>
      </c>
      <c r="B596" s="563">
        <v>16500</v>
      </c>
      <c r="C596" s="564">
        <v>18</v>
      </c>
      <c r="D596" s="564">
        <v>0.21</v>
      </c>
      <c r="E596" s="564">
        <v>5213</v>
      </c>
      <c r="F596" s="564">
        <v>21713</v>
      </c>
      <c r="G596" s="564">
        <v>743</v>
      </c>
      <c r="H596" s="564">
        <v>1165</v>
      </c>
      <c r="I596" s="557" t="str">
        <f t="shared" si="9"/>
        <v>GooD</v>
      </c>
    </row>
    <row r="597" spans="1:9" ht="15.75" thickBot="1">
      <c r="A597" s="565" t="s">
        <v>655</v>
      </c>
      <c r="B597" s="565">
        <v>17000</v>
      </c>
      <c r="C597" s="566">
        <v>6</v>
      </c>
      <c r="D597" s="566">
        <v>0.21</v>
      </c>
      <c r="E597" s="566">
        <v>1789</v>
      </c>
      <c r="F597" s="566">
        <v>18789</v>
      </c>
      <c r="G597" s="566">
        <v>255</v>
      </c>
      <c r="H597" s="566">
        <v>3089</v>
      </c>
      <c r="I597" s="558" t="str">
        <f t="shared" si="9"/>
        <v>GooD</v>
      </c>
    </row>
    <row r="598" spans="1:9" ht="15.75" thickTop="1">
      <c r="A598" s="567" t="s">
        <v>655</v>
      </c>
      <c r="B598" s="567">
        <v>17000</v>
      </c>
      <c r="C598" s="568">
        <v>8</v>
      </c>
      <c r="D598" s="568">
        <v>0.21</v>
      </c>
      <c r="E598" s="568">
        <v>2388</v>
      </c>
      <c r="F598" s="568">
        <v>19388</v>
      </c>
      <c r="G598" s="568">
        <v>340</v>
      </c>
      <c r="H598" s="568">
        <v>2381</v>
      </c>
      <c r="I598" s="559" t="str">
        <f t="shared" si="9"/>
        <v>GooD</v>
      </c>
    </row>
    <row r="599" spans="1:9">
      <c r="A599" s="563" t="s">
        <v>655</v>
      </c>
      <c r="B599" s="563">
        <v>17000</v>
      </c>
      <c r="C599" s="564">
        <v>10</v>
      </c>
      <c r="D599" s="564">
        <v>0.21</v>
      </c>
      <c r="E599" s="564">
        <v>2985</v>
      </c>
      <c r="F599" s="564">
        <v>19985</v>
      </c>
      <c r="G599" s="564">
        <v>425</v>
      </c>
      <c r="H599" s="564">
        <v>1956</v>
      </c>
      <c r="I599" s="557" t="str">
        <f t="shared" si="9"/>
        <v>GooD</v>
      </c>
    </row>
    <row r="600" spans="1:9">
      <c r="A600" s="563" t="s">
        <v>655</v>
      </c>
      <c r="B600" s="563">
        <v>17000</v>
      </c>
      <c r="C600" s="564">
        <v>12</v>
      </c>
      <c r="D600" s="564">
        <v>0.21</v>
      </c>
      <c r="E600" s="564">
        <v>3574</v>
      </c>
      <c r="F600" s="564">
        <v>20574</v>
      </c>
      <c r="G600" s="564">
        <v>510</v>
      </c>
      <c r="H600" s="564">
        <v>1672</v>
      </c>
      <c r="I600" s="557" t="str">
        <f t="shared" si="9"/>
        <v>GooD</v>
      </c>
    </row>
    <row r="601" spans="1:9">
      <c r="A601" s="563" t="s">
        <v>655</v>
      </c>
      <c r="B601" s="563">
        <v>17000</v>
      </c>
      <c r="C601" s="564">
        <v>14</v>
      </c>
      <c r="D601" s="564">
        <v>0.21</v>
      </c>
      <c r="E601" s="564">
        <v>4175</v>
      </c>
      <c r="F601" s="564">
        <v>21175</v>
      </c>
      <c r="G601" s="564">
        <v>595</v>
      </c>
      <c r="H601" s="564">
        <v>1470</v>
      </c>
      <c r="I601" s="557" t="str">
        <f t="shared" si="9"/>
        <v>GooD</v>
      </c>
    </row>
    <row r="602" spans="1:9" ht="15.75" thickBot="1">
      <c r="A602" s="565" t="s">
        <v>655</v>
      </c>
      <c r="B602" s="565">
        <v>17000</v>
      </c>
      <c r="C602" s="566">
        <v>16</v>
      </c>
      <c r="D602" s="566">
        <v>0.21</v>
      </c>
      <c r="E602" s="566">
        <v>4768</v>
      </c>
      <c r="F602" s="566">
        <v>21768</v>
      </c>
      <c r="G602" s="566">
        <v>680</v>
      </c>
      <c r="H602" s="566">
        <v>1318</v>
      </c>
      <c r="I602" s="558" t="str">
        <f t="shared" si="9"/>
        <v>GooD</v>
      </c>
    </row>
    <row r="603" spans="1:9" ht="15.75" thickTop="1">
      <c r="A603" s="567" t="s">
        <v>655</v>
      </c>
      <c r="B603" s="567">
        <v>17000</v>
      </c>
      <c r="C603" s="568">
        <v>18</v>
      </c>
      <c r="D603" s="568">
        <v>0.21</v>
      </c>
      <c r="E603" s="568">
        <v>5365</v>
      </c>
      <c r="F603" s="568">
        <v>22365</v>
      </c>
      <c r="G603" s="568">
        <v>765</v>
      </c>
      <c r="H603" s="568">
        <v>1200</v>
      </c>
      <c r="I603" s="559" t="str">
        <f t="shared" si="9"/>
        <v>GooD</v>
      </c>
    </row>
    <row r="604" spans="1:9">
      <c r="A604" s="563" t="s">
        <v>655</v>
      </c>
      <c r="B604" s="563">
        <v>17500</v>
      </c>
      <c r="C604" s="564">
        <v>6</v>
      </c>
      <c r="D604" s="564">
        <v>0.21</v>
      </c>
      <c r="E604" s="564">
        <v>1843</v>
      </c>
      <c r="F604" s="564">
        <v>19343</v>
      </c>
      <c r="G604" s="564">
        <v>263</v>
      </c>
      <c r="H604" s="564">
        <v>3180</v>
      </c>
      <c r="I604" s="557" t="str">
        <f t="shared" si="9"/>
        <v>GooD</v>
      </c>
    </row>
    <row r="605" spans="1:9">
      <c r="A605" s="563" t="s">
        <v>655</v>
      </c>
      <c r="B605" s="563">
        <v>17500</v>
      </c>
      <c r="C605" s="564">
        <v>8</v>
      </c>
      <c r="D605" s="564">
        <v>0.21</v>
      </c>
      <c r="E605" s="564">
        <v>2458</v>
      </c>
      <c r="F605" s="564">
        <v>19958</v>
      </c>
      <c r="G605" s="564">
        <v>350</v>
      </c>
      <c r="H605" s="564">
        <v>2451</v>
      </c>
      <c r="I605" s="557" t="str">
        <f t="shared" si="9"/>
        <v>GooD</v>
      </c>
    </row>
    <row r="606" spans="1:9">
      <c r="A606" s="563" t="s">
        <v>655</v>
      </c>
      <c r="B606" s="563">
        <v>17500</v>
      </c>
      <c r="C606" s="564">
        <v>10</v>
      </c>
      <c r="D606" s="564">
        <v>0.21</v>
      </c>
      <c r="E606" s="564">
        <v>3068</v>
      </c>
      <c r="F606" s="564">
        <v>20568</v>
      </c>
      <c r="G606" s="564">
        <v>438</v>
      </c>
      <c r="H606" s="564">
        <v>2013</v>
      </c>
      <c r="I606" s="557" t="str">
        <f t="shared" si="9"/>
        <v>GooD</v>
      </c>
    </row>
    <row r="607" spans="1:9" ht="15.75" thickBot="1">
      <c r="A607" s="565" t="s">
        <v>655</v>
      </c>
      <c r="B607" s="565">
        <v>17500</v>
      </c>
      <c r="C607" s="566">
        <v>12</v>
      </c>
      <c r="D607" s="566">
        <v>0.21</v>
      </c>
      <c r="E607" s="566">
        <v>3677</v>
      </c>
      <c r="F607" s="566">
        <v>21177</v>
      </c>
      <c r="G607" s="566">
        <v>525</v>
      </c>
      <c r="H607" s="566">
        <v>1721</v>
      </c>
      <c r="I607" s="558" t="str">
        <f t="shared" si="9"/>
        <v>GooD</v>
      </c>
    </row>
    <row r="608" spans="1:9" ht="15.75" thickTop="1">
      <c r="A608" s="567" t="s">
        <v>655</v>
      </c>
      <c r="B608" s="567">
        <v>17500</v>
      </c>
      <c r="C608" s="568">
        <v>14</v>
      </c>
      <c r="D608" s="568">
        <v>0.21</v>
      </c>
      <c r="E608" s="568">
        <v>4295</v>
      </c>
      <c r="F608" s="568">
        <v>21795</v>
      </c>
      <c r="G608" s="568">
        <v>613</v>
      </c>
      <c r="H608" s="568">
        <v>1513</v>
      </c>
      <c r="I608" s="559" t="str">
        <f t="shared" si="9"/>
        <v>GooD</v>
      </c>
    </row>
    <row r="609" spans="1:9">
      <c r="A609" s="563" t="s">
        <v>655</v>
      </c>
      <c r="B609" s="563">
        <v>17500</v>
      </c>
      <c r="C609" s="564">
        <v>16</v>
      </c>
      <c r="D609" s="564">
        <v>0.21</v>
      </c>
      <c r="E609" s="564">
        <v>4912</v>
      </c>
      <c r="F609" s="564">
        <v>22412</v>
      </c>
      <c r="G609" s="564">
        <v>700</v>
      </c>
      <c r="H609" s="564">
        <v>1357</v>
      </c>
      <c r="I609" s="557" t="str">
        <f t="shared" si="9"/>
        <v>GooD</v>
      </c>
    </row>
    <row r="610" spans="1:9">
      <c r="A610" s="563" t="s">
        <v>655</v>
      </c>
      <c r="B610" s="563">
        <v>17500</v>
      </c>
      <c r="C610" s="564">
        <v>18</v>
      </c>
      <c r="D610" s="564">
        <v>0.21</v>
      </c>
      <c r="E610" s="564">
        <v>5518</v>
      </c>
      <c r="F610" s="564">
        <v>23018</v>
      </c>
      <c r="G610" s="564">
        <v>788</v>
      </c>
      <c r="H610" s="564">
        <v>1235</v>
      </c>
      <c r="I610" s="557" t="str">
        <f t="shared" si="9"/>
        <v>GooD</v>
      </c>
    </row>
    <row r="611" spans="1:9">
      <c r="A611" s="563" t="s">
        <v>655</v>
      </c>
      <c r="B611" s="563">
        <v>18000</v>
      </c>
      <c r="C611" s="564">
        <v>6</v>
      </c>
      <c r="D611" s="564">
        <v>0.21</v>
      </c>
      <c r="E611" s="564">
        <v>1896</v>
      </c>
      <c r="F611" s="564">
        <v>19896</v>
      </c>
      <c r="G611" s="564">
        <v>270</v>
      </c>
      <c r="H611" s="564">
        <v>3271</v>
      </c>
      <c r="I611" s="557" t="str">
        <f t="shared" si="9"/>
        <v>GooD</v>
      </c>
    </row>
    <row r="612" spans="1:9" ht="15.75" thickBot="1">
      <c r="A612" s="565" t="s">
        <v>655</v>
      </c>
      <c r="B612" s="565">
        <v>18000</v>
      </c>
      <c r="C612" s="566">
        <v>8</v>
      </c>
      <c r="D612" s="566">
        <v>0.21</v>
      </c>
      <c r="E612" s="566">
        <v>2528</v>
      </c>
      <c r="F612" s="566">
        <v>20528</v>
      </c>
      <c r="G612" s="566">
        <v>360</v>
      </c>
      <c r="H612" s="566">
        <v>2521</v>
      </c>
      <c r="I612" s="558" t="str">
        <f t="shared" si="9"/>
        <v>GooD</v>
      </c>
    </row>
    <row r="613" spans="1:9" ht="15.75" thickTop="1">
      <c r="A613" s="567" t="s">
        <v>655</v>
      </c>
      <c r="B613" s="567">
        <v>18000</v>
      </c>
      <c r="C613" s="568">
        <v>10</v>
      </c>
      <c r="D613" s="568">
        <v>0.21</v>
      </c>
      <c r="E613" s="568">
        <v>3160</v>
      </c>
      <c r="F613" s="568">
        <v>21160</v>
      </c>
      <c r="G613" s="568">
        <v>450</v>
      </c>
      <c r="H613" s="568">
        <v>2071</v>
      </c>
      <c r="I613" s="559" t="str">
        <f t="shared" si="9"/>
        <v>GooD</v>
      </c>
    </row>
    <row r="614" spans="1:9">
      <c r="A614" s="563" t="s">
        <v>655</v>
      </c>
      <c r="B614" s="563">
        <v>18000</v>
      </c>
      <c r="C614" s="564">
        <v>12</v>
      </c>
      <c r="D614" s="564">
        <v>0.21</v>
      </c>
      <c r="E614" s="564">
        <v>3792</v>
      </c>
      <c r="F614" s="564">
        <v>21792</v>
      </c>
      <c r="G614" s="564">
        <v>540</v>
      </c>
      <c r="H614" s="564">
        <v>1771</v>
      </c>
      <c r="I614" s="557" t="str">
        <f t="shared" si="9"/>
        <v>GooD</v>
      </c>
    </row>
    <row r="615" spans="1:9">
      <c r="A615" s="563" t="s">
        <v>655</v>
      </c>
      <c r="B615" s="563">
        <v>18000</v>
      </c>
      <c r="C615" s="564">
        <v>14</v>
      </c>
      <c r="D615" s="564">
        <v>0.21</v>
      </c>
      <c r="E615" s="564">
        <v>4414</v>
      </c>
      <c r="F615" s="564">
        <v>22414</v>
      </c>
      <c r="G615" s="564">
        <v>630</v>
      </c>
      <c r="H615" s="564">
        <v>1556</v>
      </c>
      <c r="I615" s="557" t="str">
        <f t="shared" si="9"/>
        <v>GooD</v>
      </c>
    </row>
    <row r="616" spans="1:9">
      <c r="A616" s="563" t="s">
        <v>655</v>
      </c>
      <c r="B616" s="563">
        <v>18000</v>
      </c>
      <c r="C616" s="564">
        <v>16</v>
      </c>
      <c r="D616" s="564">
        <v>0.21</v>
      </c>
      <c r="E616" s="564">
        <v>5056</v>
      </c>
      <c r="F616" s="564">
        <v>23056</v>
      </c>
      <c r="G616" s="564">
        <v>720</v>
      </c>
      <c r="H616" s="564">
        <v>1396</v>
      </c>
      <c r="I616" s="557" t="str">
        <f t="shared" si="9"/>
        <v>GooD</v>
      </c>
    </row>
    <row r="617" spans="1:9" ht="15.75" thickBot="1">
      <c r="A617" s="565" t="s">
        <v>655</v>
      </c>
      <c r="B617" s="565">
        <v>18000</v>
      </c>
      <c r="C617" s="566">
        <v>18</v>
      </c>
      <c r="D617" s="566">
        <v>0.21</v>
      </c>
      <c r="E617" s="566">
        <v>5688</v>
      </c>
      <c r="F617" s="566">
        <v>23688</v>
      </c>
      <c r="G617" s="566">
        <v>810</v>
      </c>
      <c r="H617" s="566">
        <v>1271</v>
      </c>
      <c r="I617" s="558" t="str">
        <f t="shared" si="9"/>
        <v>GooD</v>
      </c>
    </row>
    <row r="618" spans="1:9" ht="15.75" thickTop="1">
      <c r="A618" s="567" t="s">
        <v>655</v>
      </c>
      <c r="B618" s="567">
        <v>18500</v>
      </c>
      <c r="C618" s="568">
        <v>6</v>
      </c>
      <c r="D618" s="568">
        <v>0.21</v>
      </c>
      <c r="E618" s="568">
        <v>1944</v>
      </c>
      <c r="F618" s="568">
        <v>20444</v>
      </c>
      <c r="G618" s="568">
        <v>278</v>
      </c>
      <c r="H618" s="568">
        <v>3361</v>
      </c>
      <c r="I618" s="559" t="str">
        <f t="shared" si="9"/>
        <v>GooD</v>
      </c>
    </row>
    <row r="619" spans="1:9">
      <c r="A619" s="563" t="s">
        <v>655</v>
      </c>
      <c r="B619" s="563">
        <v>18500</v>
      </c>
      <c r="C619" s="564">
        <v>8</v>
      </c>
      <c r="D619" s="564">
        <v>0.21</v>
      </c>
      <c r="E619" s="564">
        <v>2598</v>
      </c>
      <c r="F619" s="564">
        <v>21098</v>
      </c>
      <c r="G619" s="564">
        <v>370</v>
      </c>
      <c r="H619" s="564">
        <v>2591</v>
      </c>
      <c r="I619" s="557" t="str">
        <f t="shared" si="9"/>
        <v>GooD</v>
      </c>
    </row>
    <row r="620" spans="1:9">
      <c r="A620" s="563" t="s">
        <v>655</v>
      </c>
      <c r="B620" s="563">
        <v>18500</v>
      </c>
      <c r="C620" s="564">
        <v>10</v>
      </c>
      <c r="D620" s="564">
        <v>0.21</v>
      </c>
      <c r="E620" s="564">
        <v>3243</v>
      </c>
      <c r="F620" s="564">
        <v>21743</v>
      </c>
      <c r="G620" s="564">
        <v>463</v>
      </c>
      <c r="H620" s="564">
        <v>2128</v>
      </c>
      <c r="I620" s="557" t="str">
        <f t="shared" si="9"/>
        <v>GooD</v>
      </c>
    </row>
    <row r="621" spans="1:9">
      <c r="A621" s="563" t="s">
        <v>655</v>
      </c>
      <c r="B621" s="563">
        <v>18500</v>
      </c>
      <c r="C621" s="564">
        <v>12</v>
      </c>
      <c r="D621" s="564">
        <v>0.21</v>
      </c>
      <c r="E621" s="564">
        <v>3895</v>
      </c>
      <c r="F621" s="564">
        <v>22395</v>
      </c>
      <c r="G621" s="564">
        <v>555</v>
      </c>
      <c r="H621" s="564">
        <v>1820</v>
      </c>
      <c r="I621" s="557" t="str">
        <f t="shared" si="9"/>
        <v>GooD</v>
      </c>
    </row>
    <row r="622" spans="1:9">
      <c r="A622" s="563" t="s">
        <v>655</v>
      </c>
      <c r="B622" s="563">
        <v>18500</v>
      </c>
      <c r="C622" s="564">
        <v>14</v>
      </c>
      <c r="D622" s="564">
        <v>0.21</v>
      </c>
      <c r="E622" s="564">
        <v>4534</v>
      </c>
      <c r="F622" s="564">
        <v>23034</v>
      </c>
      <c r="G622" s="564">
        <v>648</v>
      </c>
      <c r="H622" s="564">
        <v>1599</v>
      </c>
      <c r="I622" s="557" t="str">
        <f t="shared" si="9"/>
        <v>GooD</v>
      </c>
    </row>
    <row r="623" spans="1:9">
      <c r="A623" s="563" t="s">
        <v>655</v>
      </c>
      <c r="B623" s="563">
        <v>18500</v>
      </c>
      <c r="C623" s="564">
        <v>16</v>
      </c>
      <c r="D623" s="564">
        <v>0.21</v>
      </c>
      <c r="E623" s="564">
        <v>5184</v>
      </c>
      <c r="F623" s="564">
        <v>23684</v>
      </c>
      <c r="G623" s="564">
        <v>740</v>
      </c>
      <c r="H623" s="564">
        <v>1434</v>
      </c>
      <c r="I623" s="557" t="str">
        <f t="shared" si="9"/>
        <v>GooD</v>
      </c>
    </row>
    <row r="624" spans="1:9" ht="15.75" thickBot="1">
      <c r="A624" s="565" t="s">
        <v>655</v>
      </c>
      <c r="B624" s="565">
        <v>18500</v>
      </c>
      <c r="C624" s="566">
        <v>18</v>
      </c>
      <c r="D624" s="566">
        <v>0.21</v>
      </c>
      <c r="E624" s="566">
        <v>5841</v>
      </c>
      <c r="F624" s="566">
        <v>24341</v>
      </c>
      <c r="G624" s="566">
        <v>833</v>
      </c>
      <c r="H624" s="566">
        <v>1306</v>
      </c>
      <c r="I624" s="558" t="str">
        <f t="shared" si="9"/>
        <v>GooD</v>
      </c>
    </row>
    <row r="625" spans="1:9" ht="15.75" thickTop="1">
      <c r="A625" s="567" t="s">
        <v>655</v>
      </c>
      <c r="B625" s="567">
        <v>19000</v>
      </c>
      <c r="C625" s="568">
        <v>6</v>
      </c>
      <c r="D625" s="568">
        <v>0.21</v>
      </c>
      <c r="E625" s="568">
        <v>1997</v>
      </c>
      <c r="F625" s="568">
        <v>20997</v>
      </c>
      <c r="G625" s="568">
        <v>285</v>
      </c>
      <c r="H625" s="568">
        <v>3452</v>
      </c>
      <c r="I625" s="559" t="str">
        <f t="shared" si="9"/>
        <v>GooD</v>
      </c>
    </row>
    <row r="626" spans="1:9">
      <c r="A626" s="563" t="s">
        <v>655</v>
      </c>
      <c r="B626" s="563">
        <v>19000</v>
      </c>
      <c r="C626" s="564">
        <v>8</v>
      </c>
      <c r="D626" s="564">
        <v>0.21</v>
      </c>
      <c r="E626" s="564">
        <v>2668</v>
      </c>
      <c r="F626" s="564">
        <v>21668</v>
      </c>
      <c r="G626" s="564">
        <v>380</v>
      </c>
      <c r="H626" s="564">
        <v>2661</v>
      </c>
      <c r="I626" s="557" t="str">
        <f t="shared" si="9"/>
        <v>GooD</v>
      </c>
    </row>
    <row r="627" spans="1:9" ht="15.75" thickBot="1">
      <c r="A627" s="565" t="s">
        <v>655</v>
      </c>
      <c r="B627" s="565">
        <v>19000</v>
      </c>
      <c r="C627" s="566">
        <v>10</v>
      </c>
      <c r="D627" s="566">
        <v>0.21</v>
      </c>
      <c r="E627" s="566">
        <v>3335</v>
      </c>
      <c r="F627" s="566">
        <v>22335</v>
      </c>
      <c r="G627" s="566">
        <v>475</v>
      </c>
      <c r="H627" s="566">
        <v>2186</v>
      </c>
      <c r="I627" s="558" t="str">
        <f t="shared" si="9"/>
        <v>GooD</v>
      </c>
    </row>
    <row r="628" spans="1:9" ht="15.75" thickTop="1">
      <c r="A628" s="567" t="s">
        <v>655</v>
      </c>
      <c r="B628" s="567">
        <v>19000</v>
      </c>
      <c r="C628" s="568">
        <v>12</v>
      </c>
      <c r="D628" s="568">
        <v>0.21</v>
      </c>
      <c r="E628" s="568">
        <v>3998</v>
      </c>
      <c r="F628" s="568">
        <v>22998</v>
      </c>
      <c r="G628" s="568">
        <v>570</v>
      </c>
      <c r="H628" s="568">
        <v>1869</v>
      </c>
      <c r="I628" s="559" t="str">
        <f t="shared" si="9"/>
        <v>GooD</v>
      </c>
    </row>
    <row r="629" spans="1:9">
      <c r="A629" s="563" t="s">
        <v>655</v>
      </c>
      <c r="B629" s="563">
        <v>19000</v>
      </c>
      <c r="C629" s="564">
        <v>14</v>
      </c>
      <c r="D629" s="564">
        <v>0.21</v>
      </c>
      <c r="E629" s="564">
        <v>4667</v>
      </c>
      <c r="F629" s="564">
        <v>23667</v>
      </c>
      <c r="G629" s="564">
        <v>665</v>
      </c>
      <c r="H629" s="564">
        <v>1643</v>
      </c>
      <c r="I629" s="557" t="str">
        <f t="shared" si="9"/>
        <v>GooD</v>
      </c>
    </row>
    <row r="630" spans="1:9" ht="15.75" thickBot="1">
      <c r="A630" s="565" t="s">
        <v>655</v>
      </c>
      <c r="B630" s="565">
        <v>19000</v>
      </c>
      <c r="C630" s="566">
        <v>16</v>
      </c>
      <c r="D630" s="566">
        <v>0.21</v>
      </c>
      <c r="E630" s="566">
        <v>5328</v>
      </c>
      <c r="F630" s="566">
        <v>24328</v>
      </c>
      <c r="G630" s="566">
        <v>760</v>
      </c>
      <c r="H630" s="566">
        <v>1473</v>
      </c>
      <c r="I630" s="558" t="str">
        <f t="shared" si="9"/>
        <v>GooD</v>
      </c>
    </row>
    <row r="631" spans="1:9" ht="15.75" thickTop="1">
      <c r="A631" s="567" t="s">
        <v>655</v>
      </c>
      <c r="B631" s="567">
        <v>19000</v>
      </c>
      <c r="C631" s="568">
        <v>18</v>
      </c>
      <c r="D631" s="568">
        <v>0.21</v>
      </c>
      <c r="E631" s="568">
        <v>5993</v>
      </c>
      <c r="F631" s="568">
        <v>24993</v>
      </c>
      <c r="G631" s="568">
        <v>855</v>
      </c>
      <c r="H631" s="568">
        <v>1341</v>
      </c>
      <c r="I631" s="559" t="str">
        <f t="shared" si="9"/>
        <v>GooD</v>
      </c>
    </row>
    <row r="632" spans="1:9">
      <c r="A632" s="563" t="s">
        <v>655</v>
      </c>
      <c r="B632" s="563">
        <v>19500</v>
      </c>
      <c r="C632" s="564">
        <v>6</v>
      </c>
      <c r="D632" s="564">
        <v>0.21</v>
      </c>
      <c r="E632" s="564">
        <v>2051</v>
      </c>
      <c r="F632" s="564">
        <v>21551</v>
      </c>
      <c r="G632" s="564">
        <v>293</v>
      </c>
      <c r="H632" s="564">
        <v>3543</v>
      </c>
      <c r="I632" s="557" t="str">
        <f t="shared" si="9"/>
        <v>GooD</v>
      </c>
    </row>
    <row r="633" spans="1:9" ht="15.75" thickBot="1">
      <c r="A633" s="565" t="s">
        <v>655</v>
      </c>
      <c r="B633" s="565">
        <v>19500</v>
      </c>
      <c r="C633" s="566">
        <v>8</v>
      </c>
      <c r="D633" s="566">
        <v>0.21</v>
      </c>
      <c r="E633" s="566">
        <v>2738</v>
      </c>
      <c r="F633" s="566">
        <v>22238</v>
      </c>
      <c r="G633" s="566">
        <v>390</v>
      </c>
      <c r="H633" s="566">
        <v>2731</v>
      </c>
      <c r="I633" s="558" t="str">
        <f t="shared" si="9"/>
        <v>GooD</v>
      </c>
    </row>
    <row r="634" spans="1:9" ht="15.75" thickTop="1">
      <c r="A634" s="567" t="s">
        <v>655</v>
      </c>
      <c r="B634" s="567">
        <v>19500</v>
      </c>
      <c r="C634" s="568">
        <v>10</v>
      </c>
      <c r="D634" s="568">
        <v>0.21</v>
      </c>
      <c r="E634" s="568">
        <v>3418</v>
      </c>
      <c r="F634" s="568">
        <v>22918</v>
      </c>
      <c r="G634" s="568">
        <v>488</v>
      </c>
      <c r="H634" s="568">
        <v>2243</v>
      </c>
      <c r="I634" s="559" t="str">
        <f t="shared" si="9"/>
        <v>GooD</v>
      </c>
    </row>
    <row r="635" spans="1:9">
      <c r="A635" s="563" t="s">
        <v>655</v>
      </c>
      <c r="B635" s="563">
        <v>19500</v>
      </c>
      <c r="C635" s="564">
        <v>12</v>
      </c>
      <c r="D635" s="564">
        <v>0.21</v>
      </c>
      <c r="E635" s="564">
        <v>4101</v>
      </c>
      <c r="F635" s="564">
        <v>23601</v>
      </c>
      <c r="G635" s="564">
        <v>585</v>
      </c>
      <c r="H635" s="564">
        <v>1918</v>
      </c>
      <c r="I635" s="557" t="str">
        <f t="shared" si="9"/>
        <v>GooD</v>
      </c>
    </row>
    <row r="636" spans="1:9" ht="15.75" thickBot="1">
      <c r="A636" s="565" t="s">
        <v>655</v>
      </c>
      <c r="B636" s="565">
        <v>19500</v>
      </c>
      <c r="C636" s="566">
        <v>14</v>
      </c>
      <c r="D636" s="566">
        <v>0.21</v>
      </c>
      <c r="E636" s="566">
        <v>4787</v>
      </c>
      <c r="F636" s="566">
        <v>24287</v>
      </c>
      <c r="G636" s="566">
        <v>683</v>
      </c>
      <c r="H636" s="566">
        <v>1686</v>
      </c>
      <c r="I636" s="558" t="str">
        <f t="shared" si="9"/>
        <v>GooD</v>
      </c>
    </row>
    <row r="637" spans="1:9" ht="15.75" thickTop="1">
      <c r="A637" s="567" t="s">
        <v>655</v>
      </c>
      <c r="B637" s="567">
        <v>19500</v>
      </c>
      <c r="C637" s="568">
        <v>16</v>
      </c>
      <c r="D637" s="568">
        <v>0.21</v>
      </c>
      <c r="E637" s="568">
        <v>5472</v>
      </c>
      <c r="F637" s="568">
        <v>24972</v>
      </c>
      <c r="G637" s="568">
        <v>780</v>
      </c>
      <c r="H637" s="568">
        <v>1512</v>
      </c>
      <c r="I637" s="559" t="str">
        <f t="shared" si="9"/>
        <v>GooD</v>
      </c>
    </row>
    <row r="638" spans="1:9">
      <c r="A638" s="563" t="s">
        <v>655</v>
      </c>
      <c r="B638" s="563">
        <v>19500</v>
      </c>
      <c r="C638" s="564">
        <v>18</v>
      </c>
      <c r="D638" s="564">
        <v>0.21</v>
      </c>
      <c r="E638" s="564">
        <v>6146</v>
      </c>
      <c r="F638" s="564">
        <v>25646</v>
      </c>
      <c r="G638" s="564">
        <v>878</v>
      </c>
      <c r="H638" s="564">
        <v>1376</v>
      </c>
      <c r="I638" s="557" t="str">
        <f t="shared" si="9"/>
        <v>GooD</v>
      </c>
    </row>
    <row r="639" spans="1:9" ht="15.75" thickBot="1">
      <c r="A639" s="565" t="s">
        <v>655</v>
      </c>
      <c r="B639" s="565">
        <v>20000</v>
      </c>
      <c r="C639" s="566">
        <v>6</v>
      </c>
      <c r="D639" s="566">
        <v>0.21</v>
      </c>
      <c r="E639" s="566">
        <v>2104</v>
      </c>
      <c r="F639" s="566">
        <v>22104</v>
      </c>
      <c r="G639" s="566">
        <v>300</v>
      </c>
      <c r="H639" s="566">
        <v>3634</v>
      </c>
      <c r="I639" s="558" t="str">
        <f t="shared" si="9"/>
        <v>GooD</v>
      </c>
    </row>
    <row r="640" spans="1:9" ht="15.75" thickTop="1">
      <c r="A640" s="567" t="s">
        <v>655</v>
      </c>
      <c r="B640" s="567">
        <v>20000</v>
      </c>
      <c r="C640" s="568">
        <v>8</v>
      </c>
      <c r="D640" s="568">
        <v>0.21</v>
      </c>
      <c r="E640" s="568">
        <v>2808</v>
      </c>
      <c r="F640" s="568">
        <v>22808</v>
      </c>
      <c r="G640" s="568">
        <v>400</v>
      </c>
      <c r="H640" s="568">
        <v>2801</v>
      </c>
      <c r="I640" s="559" t="str">
        <f t="shared" si="9"/>
        <v>GooD</v>
      </c>
    </row>
    <row r="641" spans="1:9">
      <c r="A641" s="563" t="s">
        <v>655</v>
      </c>
      <c r="B641" s="563">
        <v>20000</v>
      </c>
      <c r="C641" s="564">
        <v>10</v>
      </c>
      <c r="D641" s="564">
        <v>0.21</v>
      </c>
      <c r="E641" s="564">
        <v>3510</v>
      </c>
      <c r="F641" s="564">
        <v>23510</v>
      </c>
      <c r="G641" s="564">
        <v>500</v>
      </c>
      <c r="H641" s="564">
        <v>2301</v>
      </c>
      <c r="I641" s="557" t="str">
        <f t="shared" si="9"/>
        <v>GooD</v>
      </c>
    </row>
    <row r="642" spans="1:9" ht="15.75" thickBot="1">
      <c r="A642" s="565" t="s">
        <v>655</v>
      </c>
      <c r="B642" s="565">
        <v>20000</v>
      </c>
      <c r="C642" s="566">
        <v>12</v>
      </c>
      <c r="D642" s="566">
        <v>0.21</v>
      </c>
      <c r="E642" s="566">
        <v>4204</v>
      </c>
      <c r="F642" s="566">
        <v>24204</v>
      </c>
      <c r="G642" s="566">
        <v>600</v>
      </c>
      <c r="H642" s="566">
        <v>1967</v>
      </c>
      <c r="I642" s="558" t="str">
        <f t="shared" si="9"/>
        <v>GooD</v>
      </c>
    </row>
    <row r="643" spans="1:9" ht="15.75" thickTop="1">
      <c r="A643" s="567" t="s">
        <v>655</v>
      </c>
      <c r="B643" s="567">
        <v>20000</v>
      </c>
      <c r="C643" s="568">
        <v>14</v>
      </c>
      <c r="D643" s="568">
        <v>0.21</v>
      </c>
      <c r="E643" s="568">
        <v>4906</v>
      </c>
      <c r="F643" s="568">
        <v>24906</v>
      </c>
      <c r="G643" s="568">
        <v>700</v>
      </c>
      <c r="H643" s="568">
        <v>1729</v>
      </c>
      <c r="I643" s="559" t="str">
        <f t="shared" si="9"/>
        <v>GooD</v>
      </c>
    </row>
    <row r="644" spans="1:9">
      <c r="A644" s="563" t="s">
        <v>655</v>
      </c>
      <c r="B644" s="563">
        <v>20000</v>
      </c>
      <c r="C644" s="564">
        <v>16</v>
      </c>
      <c r="D644" s="564">
        <v>0.21</v>
      </c>
      <c r="E644" s="564">
        <v>5616</v>
      </c>
      <c r="F644" s="564">
        <v>25616</v>
      </c>
      <c r="G644" s="564">
        <v>800</v>
      </c>
      <c r="H644" s="564">
        <v>1551</v>
      </c>
      <c r="I644" s="557" t="str">
        <f t="shared" si="9"/>
        <v>GooD</v>
      </c>
    </row>
    <row r="645" spans="1:9" ht="15.75" thickBot="1">
      <c r="A645" s="565" t="s">
        <v>655</v>
      </c>
      <c r="B645" s="565">
        <v>20000</v>
      </c>
      <c r="C645" s="566">
        <v>18</v>
      </c>
      <c r="D645" s="566">
        <v>0.21</v>
      </c>
      <c r="E645" s="566">
        <v>6316</v>
      </c>
      <c r="F645" s="566">
        <v>26316</v>
      </c>
      <c r="G645" s="566">
        <v>900</v>
      </c>
      <c r="H645" s="566">
        <v>1412</v>
      </c>
      <c r="I645" s="558" t="str">
        <f t="shared" si="9"/>
        <v>GooD</v>
      </c>
    </row>
    <row r="646" spans="1:9" ht="15.75" thickTop="1">
      <c r="A646" s="567" t="s">
        <v>655</v>
      </c>
      <c r="B646" s="567">
        <v>20000</v>
      </c>
      <c r="C646" s="568">
        <v>20</v>
      </c>
      <c r="D646" s="568">
        <v>0.21</v>
      </c>
      <c r="E646" s="568">
        <v>7020</v>
      </c>
      <c r="F646" s="568">
        <v>27020</v>
      </c>
      <c r="G646" s="568">
        <v>1000</v>
      </c>
      <c r="H646" s="568">
        <v>1301</v>
      </c>
      <c r="I646" s="559" t="str">
        <f t="shared" si="9"/>
        <v>GooD</v>
      </c>
    </row>
    <row r="647" spans="1:9">
      <c r="A647" s="563" t="s">
        <v>655</v>
      </c>
      <c r="B647" s="563">
        <v>20000</v>
      </c>
      <c r="C647" s="564">
        <v>22</v>
      </c>
      <c r="D647" s="564">
        <v>0.21</v>
      </c>
      <c r="E647" s="564">
        <v>7720</v>
      </c>
      <c r="F647" s="564">
        <v>27720</v>
      </c>
      <c r="G647" s="564">
        <v>1100</v>
      </c>
      <c r="H647" s="564">
        <v>1210</v>
      </c>
      <c r="I647" s="557" t="str">
        <f t="shared" si="9"/>
        <v>GooD</v>
      </c>
    </row>
    <row r="648" spans="1:9" ht="15.75" thickBot="1">
      <c r="A648" s="565" t="s">
        <v>655</v>
      </c>
      <c r="B648" s="565">
        <v>20000</v>
      </c>
      <c r="C648" s="566">
        <v>24</v>
      </c>
      <c r="D648" s="566">
        <v>0.21</v>
      </c>
      <c r="E648" s="566">
        <v>8416</v>
      </c>
      <c r="F648" s="566">
        <v>28416</v>
      </c>
      <c r="G648" s="566">
        <v>1200</v>
      </c>
      <c r="H648" s="566">
        <v>1134</v>
      </c>
      <c r="I648" s="558" t="str">
        <f t="shared" si="9"/>
        <v>GooD</v>
      </c>
    </row>
    <row r="649" spans="1:9" ht="15.75" thickTop="1">
      <c r="A649" s="567" t="s">
        <v>655</v>
      </c>
      <c r="B649" s="567">
        <v>21000</v>
      </c>
      <c r="C649" s="568">
        <v>6</v>
      </c>
      <c r="D649" s="568">
        <v>0.21</v>
      </c>
      <c r="E649" s="568">
        <v>2211</v>
      </c>
      <c r="F649" s="568">
        <v>23211</v>
      </c>
      <c r="G649" s="568">
        <v>315</v>
      </c>
      <c r="H649" s="568">
        <v>3816</v>
      </c>
      <c r="I649" s="559" t="str">
        <f t="shared" si="9"/>
        <v>GooD</v>
      </c>
    </row>
    <row r="650" spans="1:9">
      <c r="A650" s="563" t="s">
        <v>655</v>
      </c>
      <c r="B650" s="563">
        <v>21000</v>
      </c>
      <c r="C650" s="564">
        <v>8</v>
      </c>
      <c r="D650" s="564">
        <v>0.21</v>
      </c>
      <c r="E650" s="564">
        <v>2948</v>
      </c>
      <c r="F650" s="564">
        <v>23948</v>
      </c>
      <c r="G650" s="564">
        <v>420</v>
      </c>
      <c r="H650" s="564">
        <v>2941</v>
      </c>
      <c r="I650" s="557" t="str">
        <f t="shared" si="9"/>
        <v>GooD</v>
      </c>
    </row>
    <row r="651" spans="1:9" ht="15.75" thickBot="1">
      <c r="A651" s="565" t="s">
        <v>655</v>
      </c>
      <c r="B651" s="565">
        <v>21000</v>
      </c>
      <c r="C651" s="566">
        <v>10</v>
      </c>
      <c r="D651" s="566">
        <v>0.21</v>
      </c>
      <c r="E651" s="566">
        <v>3685</v>
      </c>
      <c r="F651" s="566">
        <v>24685</v>
      </c>
      <c r="G651" s="566">
        <v>525</v>
      </c>
      <c r="H651" s="566">
        <v>2416</v>
      </c>
      <c r="I651" s="558" t="str">
        <f t="shared" ref="I651:I716" si="10">IF(((H651*C651)+G651)=F651,"GooD","لالالالالالالا")</f>
        <v>GooD</v>
      </c>
    </row>
    <row r="652" spans="1:9" ht="15.75" thickTop="1">
      <c r="A652" s="567" t="s">
        <v>655</v>
      </c>
      <c r="B652" s="567">
        <v>21000</v>
      </c>
      <c r="C652" s="568">
        <v>12</v>
      </c>
      <c r="D652" s="568">
        <v>0.21</v>
      </c>
      <c r="E652" s="568">
        <v>4422</v>
      </c>
      <c r="F652" s="568">
        <v>25422</v>
      </c>
      <c r="G652" s="568">
        <v>630</v>
      </c>
      <c r="H652" s="568">
        <v>2066</v>
      </c>
      <c r="I652" s="559" t="str">
        <f t="shared" si="10"/>
        <v>GooD</v>
      </c>
    </row>
    <row r="653" spans="1:9">
      <c r="A653" s="563" t="s">
        <v>655</v>
      </c>
      <c r="B653" s="563">
        <v>21000</v>
      </c>
      <c r="C653" s="564">
        <v>14</v>
      </c>
      <c r="D653" s="564">
        <v>0.21</v>
      </c>
      <c r="E653" s="564">
        <v>5159</v>
      </c>
      <c r="F653" s="564">
        <v>26159</v>
      </c>
      <c r="G653" s="564">
        <v>735</v>
      </c>
      <c r="H653" s="564">
        <v>1816</v>
      </c>
      <c r="I653" s="557" t="str">
        <f t="shared" si="10"/>
        <v>GooD</v>
      </c>
    </row>
    <row r="654" spans="1:9" ht="15.75" thickBot="1">
      <c r="A654" s="565" t="s">
        <v>655</v>
      </c>
      <c r="B654" s="565">
        <v>21000</v>
      </c>
      <c r="C654" s="566">
        <v>16</v>
      </c>
      <c r="D654" s="566">
        <v>0.21</v>
      </c>
      <c r="E654" s="566">
        <v>5888</v>
      </c>
      <c r="F654" s="566">
        <v>26888</v>
      </c>
      <c r="G654" s="566">
        <v>840</v>
      </c>
      <c r="H654" s="566">
        <v>1628</v>
      </c>
      <c r="I654" s="558" t="str">
        <f t="shared" si="10"/>
        <v>GooD</v>
      </c>
    </row>
    <row r="655" spans="1:9" ht="15.75" thickTop="1">
      <c r="A655" s="567" t="s">
        <v>655</v>
      </c>
      <c r="B655" s="567">
        <v>21000</v>
      </c>
      <c r="C655" s="568">
        <v>18</v>
      </c>
      <c r="D655" s="568">
        <v>0.21</v>
      </c>
      <c r="E655" s="568">
        <v>6621</v>
      </c>
      <c r="F655" s="568">
        <v>27621</v>
      </c>
      <c r="G655" s="568">
        <v>945</v>
      </c>
      <c r="H655" s="568">
        <v>1482</v>
      </c>
      <c r="I655" s="559" t="str">
        <f t="shared" si="10"/>
        <v>GooD</v>
      </c>
    </row>
    <row r="656" spans="1:9">
      <c r="A656" s="563" t="s">
        <v>655</v>
      </c>
      <c r="B656" s="563">
        <v>21000</v>
      </c>
      <c r="C656" s="564">
        <v>20</v>
      </c>
      <c r="D656" s="564">
        <v>0.21</v>
      </c>
      <c r="E656" s="564">
        <v>7370</v>
      </c>
      <c r="F656" s="564">
        <v>28370</v>
      </c>
      <c r="G656" s="564">
        <v>1050</v>
      </c>
      <c r="H656" s="564">
        <v>1366</v>
      </c>
      <c r="I656" s="557" t="str">
        <f t="shared" si="10"/>
        <v>GooD</v>
      </c>
    </row>
    <row r="657" spans="1:9" ht="15.75" thickBot="1">
      <c r="A657" s="565" t="s">
        <v>655</v>
      </c>
      <c r="B657" s="565">
        <v>21000</v>
      </c>
      <c r="C657" s="566">
        <v>22</v>
      </c>
      <c r="D657" s="566">
        <v>0.21</v>
      </c>
      <c r="E657" s="566">
        <v>8095</v>
      </c>
      <c r="F657" s="566">
        <v>29095</v>
      </c>
      <c r="G657" s="566">
        <v>1155</v>
      </c>
      <c r="H657" s="566">
        <v>1270</v>
      </c>
      <c r="I657" s="558" t="str">
        <f t="shared" si="10"/>
        <v>GooD</v>
      </c>
    </row>
    <row r="658" spans="1:9" ht="15.75" thickTop="1">
      <c r="A658" s="567" t="s">
        <v>655</v>
      </c>
      <c r="B658" s="567">
        <v>21000</v>
      </c>
      <c r="C658" s="568">
        <v>24</v>
      </c>
      <c r="D658" s="568">
        <v>0.21</v>
      </c>
      <c r="E658" s="568">
        <v>8844</v>
      </c>
      <c r="F658" s="568">
        <v>29844</v>
      </c>
      <c r="G658" s="568">
        <v>1260</v>
      </c>
      <c r="H658" s="568">
        <v>1191</v>
      </c>
      <c r="I658" s="559" t="str">
        <f t="shared" si="10"/>
        <v>GooD</v>
      </c>
    </row>
    <row r="659" spans="1:9">
      <c r="A659" s="563" t="s">
        <v>655</v>
      </c>
      <c r="B659" s="563">
        <v>22000</v>
      </c>
      <c r="C659" s="564">
        <v>6</v>
      </c>
      <c r="D659" s="564">
        <v>0.21</v>
      </c>
      <c r="E659" s="564">
        <v>2312</v>
      </c>
      <c r="F659" s="564">
        <v>24312</v>
      </c>
      <c r="G659" s="564">
        <v>330</v>
      </c>
      <c r="H659" s="564">
        <v>3997</v>
      </c>
      <c r="I659" s="557" t="str">
        <f t="shared" si="10"/>
        <v>GooD</v>
      </c>
    </row>
    <row r="660" spans="1:9" ht="15.75" thickBot="1">
      <c r="A660" s="565" t="s">
        <v>655</v>
      </c>
      <c r="B660" s="565">
        <v>22000</v>
      </c>
      <c r="C660" s="566">
        <v>8</v>
      </c>
      <c r="D660" s="566">
        <v>0.21</v>
      </c>
      <c r="E660" s="566">
        <v>3088</v>
      </c>
      <c r="F660" s="566">
        <v>25088</v>
      </c>
      <c r="G660" s="566">
        <v>440</v>
      </c>
      <c r="H660" s="566">
        <v>3081</v>
      </c>
      <c r="I660" s="558" t="str">
        <f t="shared" si="10"/>
        <v>GooD</v>
      </c>
    </row>
    <row r="661" spans="1:9" ht="15.75" thickTop="1">
      <c r="A661" s="567" t="s">
        <v>655</v>
      </c>
      <c r="B661" s="567">
        <v>22000</v>
      </c>
      <c r="C661" s="568">
        <v>10</v>
      </c>
      <c r="D661" s="568">
        <v>0.21</v>
      </c>
      <c r="E661" s="568">
        <v>3860</v>
      </c>
      <c r="F661" s="568">
        <v>25860</v>
      </c>
      <c r="G661" s="568">
        <v>550</v>
      </c>
      <c r="H661" s="568">
        <v>2531</v>
      </c>
      <c r="I661" s="559" t="str">
        <f t="shared" si="10"/>
        <v>GooD</v>
      </c>
    </row>
    <row r="662" spans="1:9">
      <c r="A662" s="563" t="s">
        <v>655</v>
      </c>
      <c r="B662" s="563">
        <v>22000</v>
      </c>
      <c r="C662" s="564">
        <v>12</v>
      </c>
      <c r="D662" s="564">
        <v>0.21</v>
      </c>
      <c r="E662" s="564">
        <v>4628</v>
      </c>
      <c r="F662" s="564">
        <v>26628</v>
      </c>
      <c r="G662" s="564">
        <v>660</v>
      </c>
      <c r="H662" s="564">
        <v>2164</v>
      </c>
      <c r="I662" s="557" t="str">
        <f t="shared" si="10"/>
        <v>GooD</v>
      </c>
    </row>
    <row r="663" spans="1:9" ht="15.75" thickBot="1">
      <c r="A663" s="565" t="s">
        <v>655</v>
      </c>
      <c r="B663" s="565">
        <v>22000</v>
      </c>
      <c r="C663" s="566">
        <v>14</v>
      </c>
      <c r="D663" s="566">
        <v>0.21</v>
      </c>
      <c r="E663" s="566">
        <v>5398</v>
      </c>
      <c r="F663" s="566">
        <v>27398</v>
      </c>
      <c r="G663" s="566">
        <v>770</v>
      </c>
      <c r="H663" s="566">
        <v>1902</v>
      </c>
      <c r="I663" s="558" t="str">
        <f t="shared" si="10"/>
        <v>GooD</v>
      </c>
    </row>
    <row r="664" spans="1:9" ht="15.75" thickTop="1">
      <c r="A664" s="567" t="s">
        <v>655</v>
      </c>
      <c r="B664" s="567">
        <v>22000</v>
      </c>
      <c r="C664" s="568">
        <v>16</v>
      </c>
      <c r="D664" s="568">
        <v>0.21</v>
      </c>
      <c r="E664" s="568">
        <v>6176</v>
      </c>
      <c r="F664" s="568">
        <v>28176</v>
      </c>
      <c r="G664" s="568">
        <v>880</v>
      </c>
      <c r="H664" s="568">
        <v>1706</v>
      </c>
      <c r="I664" s="559" t="str">
        <f t="shared" si="10"/>
        <v>GooD</v>
      </c>
    </row>
    <row r="665" spans="1:9">
      <c r="A665" s="563" t="s">
        <v>655</v>
      </c>
      <c r="B665" s="563">
        <v>22000</v>
      </c>
      <c r="C665" s="564">
        <v>18</v>
      </c>
      <c r="D665" s="564">
        <v>0.21</v>
      </c>
      <c r="E665" s="564">
        <v>6944</v>
      </c>
      <c r="F665" s="564">
        <v>28944</v>
      </c>
      <c r="G665" s="564">
        <v>990</v>
      </c>
      <c r="H665" s="564">
        <v>1553</v>
      </c>
      <c r="I665" s="557" t="str">
        <f t="shared" si="10"/>
        <v>GooD</v>
      </c>
    </row>
    <row r="666" spans="1:9" ht="15.75" thickBot="1">
      <c r="A666" s="565" t="s">
        <v>655</v>
      </c>
      <c r="B666" s="565">
        <v>22000</v>
      </c>
      <c r="C666" s="566">
        <v>20</v>
      </c>
      <c r="D666" s="566">
        <v>0.21</v>
      </c>
      <c r="E666" s="566">
        <v>7720</v>
      </c>
      <c r="F666" s="566">
        <v>29720</v>
      </c>
      <c r="G666" s="566">
        <v>1100</v>
      </c>
      <c r="H666" s="566">
        <v>1431</v>
      </c>
      <c r="I666" s="558" t="str">
        <f t="shared" si="10"/>
        <v>GooD</v>
      </c>
    </row>
    <row r="667" spans="1:9" ht="15.75" thickTop="1">
      <c r="A667" s="567" t="s">
        <v>655</v>
      </c>
      <c r="B667" s="567">
        <v>22000</v>
      </c>
      <c r="C667" s="568">
        <v>22</v>
      </c>
      <c r="D667" s="568">
        <v>0.21</v>
      </c>
      <c r="E667" s="568">
        <v>8492</v>
      </c>
      <c r="F667" s="568">
        <v>30492</v>
      </c>
      <c r="G667" s="568">
        <v>1210</v>
      </c>
      <c r="H667" s="568">
        <v>1331</v>
      </c>
      <c r="I667" s="559" t="str">
        <f t="shared" si="10"/>
        <v>GooD</v>
      </c>
    </row>
    <row r="668" spans="1:9">
      <c r="A668" s="563" t="s">
        <v>655</v>
      </c>
      <c r="B668" s="563">
        <v>22000</v>
      </c>
      <c r="C668" s="564">
        <v>24</v>
      </c>
      <c r="D668" s="564">
        <v>0.21</v>
      </c>
      <c r="E668" s="564">
        <v>9248</v>
      </c>
      <c r="F668" s="564">
        <v>31248</v>
      </c>
      <c r="G668" s="564">
        <v>1320</v>
      </c>
      <c r="H668" s="564">
        <v>1247</v>
      </c>
      <c r="I668" s="557" t="str">
        <f t="shared" si="10"/>
        <v>GooD</v>
      </c>
    </row>
    <row r="669" spans="1:9" ht="15.75" thickBot="1">
      <c r="A669" s="565" t="s">
        <v>655</v>
      </c>
      <c r="B669" s="565">
        <v>23000</v>
      </c>
      <c r="C669" s="566">
        <v>6</v>
      </c>
      <c r="D669" s="566">
        <v>0.21</v>
      </c>
      <c r="E669" s="566">
        <v>2419</v>
      </c>
      <c r="F669" s="566">
        <v>25419</v>
      </c>
      <c r="G669" s="566">
        <v>345</v>
      </c>
      <c r="H669" s="566">
        <v>4179</v>
      </c>
      <c r="I669" s="558" t="str">
        <f t="shared" si="10"/>
        <v>GooD</v>
      </c>
    </row>
    <row r="670" spans="1:9" ht="15.75" thickTop="1">
      <c r="A670" s="567" t="s">
        <v>655</v>
      </c>
      <c r="B670" s="567">
        <v>23000</v>
      </c>
      <c r="C670" s="568">
        <v>8</v>
      </c>
      <c r="D670" s="568">
        <v>0.21</v>
      </c>
      <c r="E670" s="568">
        <v>3228</v>
      </c>
      <c r="F670" s="568">
        <v>26228</v>
      </c>
      <c r="G670" s="568">
        <v>460</v>
      </c>
      <c r="H670" s="568">
        <v>3221</v>
      </c>
      <c r="I670" s="559" t="str">
        <f t="shared" si="10"/>
        <v>GooD</v>
      </c>
    </row>
    <row r="671" spans="1:9">
      <c r="A671" s="563" t="s">
        <v>655</v>
      </c>
      <c r="B671" s="563">
        <v>23000</v>
      </c>
      <c r="C671" s="564">
        <v>10</v>
      </c>
      <c r="D671" s="564">
        <v>0.21</v>
      </c>
      <c r="E671" s="564">
        <v>4035</v>
      </c>
      <c r="F671" s="564">
        <v>27035</v>
      </c>
      <c r="G671" s="564">
        <v>575</v>
      </c>
      <c r="H671" s="564">
        <v>2646</v>
      </c>
      <c r="I671" s="557" t="str">
        <f t="shared" si="10"/>
        <v>GooD</v>
      </c>
    </row>
    <row r="672" spans="1:9" ht="15.75" thickBot="1">
      <c r="A672" s="565" t="s">
        <v>655</v>
      </c>
      <c r="B672" s="565">
        <v>23000</v>
      </c>
      <c r="C672" s="566">
        <v>12</v>
      </c>
      <c r="D672" s="566">
        <v>0.21</v>
      </c>
      <c r="E672" s="566">
        <v>4834</v>
      </c>
      <c r="F672" s="566">
        <v>27834</v>
      </c>
      <c r="G672" s="566">
        <v>690</v>
      </c>
      <c r="H672" s="566">
        <v>2262</v>
      </c>
      <c r="I672" s="558" t="str">
        <f t="shared" si="10"/>
        <v>GooD</v>
      </c>
    </row>
    <row r="673" spans="1:9" ht="15.75" thickTop="1">
      <c r="A673" s="567" t="s">
        <v>655</v>
      </c>
      <c r="B673" s="567">
        <v>23000</v>
      </c>
      <c r="C673" s="568">
        <v>14</v>
      </c>
      <c r="D673" s="568">
        <v>0.21</v>
      </c>
      <c r="E673" s="568">
        <v>5637</v>
      </c>
      <c r="F673" s="568">
        <v>28637</v>
      </c>
      <c r="G673" s="568">
        <v>805</v>
      </c>
      <c r="H673" s="568">
        <v>1988</v>
      </c>
      <c r="I673" s="559" t="str">
        <f t="shared" si="10"/>
        <v>GooD</v>
      </c>
    </row>
    <row r="674" spans="1:9">
      <c r="A674" s="563" t="s">
        <v>655</v>
      </c>
      <c r="B674" s="563">
        <v>23000</v>
      </c>
      <c r="C674" s="564">
        <v>16</v>
      </c>
      <c r="D674" s="564">
        <v>0.21</v>
      </c>
      <c r="E674" s="564">
        <v>6448</v>
      </c>
      <c r="F674" s="564">
        <v>29448</v>
      </c>
      <c r="G674" s="564">
        <v>920</v>
      </c>
      <c r="H674" s="564">
        <v>1783</v>
      </c>
      <c r="I674" s="557" t="str">
        <f t="shared" si="10"/>
        <v>GooD</v>
      </c>
    </row>
    <row r="675" spans="1:9" ht="15.75" thickBot="1">
      <c r="A675" s="565" t="s">
        <v>655</v>
      </c>
      <c r="B675" s="565">
        <v>23000</v>
      </c>
      <c r="C675" s="566">
        <v>18</v>
      </c>
      <c r="D675" s="566">
        <v>0.21</v>
      </c>
      <c r="E675" s="566">
        <v>7249</v>
      </c>
      <c r="F675" s="566">
        <v>30249</v>
      </c>
      <c r="G675" s="566">
        <v>1035</v>
      </c>
      <c r="H675" s="566">
        <v>1623</v>
      </c>
      <c r="I675" s="558" t="str">
        <f t="shared" si="10"/>
        <v>GooD</v>
      </c>
    </row>
    <row r="676" spans="1:9" ht="15.75" thickTop="1">
      <c r="A676" s="567" t="s">
        <v>655</v>
      </c>
      <c r="B676" s="567">
        <v>23000</v>
      </c>
      <c r="C676" s="568">
        <v>20</v>
      </c>
      <c r="D676" s="568">
        <v>0.21</v>
      </c>
      <c r="E676" s="568">
        <v>8070</v>
      </c>
      <c r="F676" s="568">
        <v>31070</v>
      </c>
      <c r="G676" s="568">
        <v>1150</v>
      </c>
      <c r="H676" s="568">
        <v>1496</v>
      </c>
      <c r="I676" s="559" t="str">
        <f t="shared" si="10"/>
        <v>GooD</v>
      </c>
    </row>
    <row r="677" spans="1:9">
      <c r="A677" s="563" t="s">
        <v>655</v>
      </c>
      <c r="B677" s="563">
        <v>23000</v>
      </c>
      <c r="C677" s="564">
        <v>22</v>
      </c>
      <c r="D677" s="564">
        <v>0.21</v>
      </c>
      <c r="E677" s="564">
        <v>8867</v>
      </c>
      <c r="F677" s="564">
        <v>31867</v>
      </c>
      <c r="G677" s="564">
        <v>1265</v>
      </c>
      <c r="H677" s="564">
        <v>1391</v>
      </c>
      <c r="I677" s="557" t="str">
        <f t="shared" si="10"/>
        <v>GooD</v>
      </c>
    </row>
    <row r="678" spans="1:9" ht="15.75" thickBot="1">
      <c r="A678" s="565" t="s">
        <v>655</v>
      </c>
      <c r="B678" s="565">
        <v>23000</v>
      </c>
      <c r="C678" s="566">
        <v>24</v>
      </c>
      <c r="D678" s="566">
        <v>0.21</v>
      </c>
      <c r="E678" s="566">
        <v>9676</v>
      </c>
      <c r="F678" s="566">
        <v>32676</v>
      </c>
      <c r="G678" s="566">
        <v>1380</v>
      </c>
      <c r="H678" s="566">
        <v>1304</v>
      </c>
      <c r="I678" s="558" t="str">
        <f t="shared" si="10"/>
        <v>GooD</v>
      </c>
    </row>
    <row r="679" spans="1:9" ht="15.75" thickTop="1">
      <c r="A679" s="567" t="s">
        <v>655</v>
      </c>
      <c r="B679" s="567">
        <v>24000</v>
      </c>
      <c r="C679" s="568">
        <v>6</v>
      </c>
      <c r="D679" s="568">
        <v>0.21</v>
      </c>
      <c r="E679" s="568">
        <v>2526</v>
      </c>
      <c r="F679" s="568">
        <v>26526</v>
      </c>
      <c r="G679" s="568">
        <v>360</v>
      </c>
      <c r="H679" s="568">
        <v>4361</v>
      </c>
      <c r="I679" s="559" t="str">
        <f t="shared" si="10"/>
        <v>GooD</v>
      </c>
    </row>
    <row r="680" spans="1:9">
      <c r="A680" s="563" t="s">
        <v>655</v>
      </c>
      <c r="B680" s="563">
        <v>24000</v>
      </c>
      <c r="C680" s="564">
        <v>8</v>
      </c>
      <c r="D680" s="564">
        <v>0.21</v>
      </c>
      <c r="E680" s="564">
        <v>3368</v>
      </c>
      <c r="F680" s="564">
        <v>27368</v>
      </c>
      <c r="G680" s="564">
        <v>480</v>
      </c>
      <c r="H680" s="564">
        <v>3361</v>
      </c>
      <c r="I680" s="557" t="str">
        <f t="shared" si="10"/>
        <v>GooD</v>
      </c>
    </row>
    <row r="681" spans="1:9" ht="15.75" thickBot="1">
      <c r="A681" s="565" t="s">
        <v>655</v>
      </c>
      <c r="B681" s="565">
        <v>24000</v>
      </c>
      <c r="C681" s="566">
        <v>10</v>
      </c>
      <c r="D681" s="566">
        <v>0.21</v>
      </c>
      <c r="E681" s="566">
        <v>4210</v>
      </c>
      <c r="F681" s="566">
        <v>28210</v>
      </c>
      <c r="G681" s="566">
        <v>600</v>
      </c>
      <c r="H681" s="566">
        <v>2761</v>
      </c>
      <c r="I681" s="558" t="str">
        <f t="shared" si="10"/>
        <v>GooD</v>
      </c>
    </row>
    <row r="682" spans="1:9" ht="15.75" thickTop="1">
      <c r="A682" s="567" t="s">
        <v>655</v>
      </c>
      <c r="B682" s="567">
        <v>24000</v>
      </c>
      <c r="C682" s="568">
        <v>12</v>
      </c>
      <c r="D682" s="568">
        <v>0.21</v>
      </c>
      <c r="E682" s="568">
        <v>5052</v>
      </c>
      <c r="F682" s="568">
        <v>29052</v>
      </c>
      <c r="G682" s="568">
        <v>720</v>
      </c>
      <c r="H682" s="568">
        <v>2361</v>
      </c>
      <c r="I682" s="559" t="str">
        <f t="shared" si="10"/>
        <v>GooD</v>
      </c>
    </row>
    <row r="683" spans="1:9">
      <c r="A683" s="563" t="s">
        <v>655</v>
      </c>
      <c r="B683" s="563">
        <v>24000</v>
      </c>
      <c r="C683" s="564">
        <v>14</v>
      </c>
      <c r="D683" s="564">
        <v>0.21</v>
      </c>
      <c r="E683" s="564">
        <v>5890</v>
      </c>
      <c r="F683" s="564">
        <v>29890</v>
      </c>
      <c r="G683" s="564">
        <v>840</v>
      </c>
      <c r="H683" s="564">
        <v>2075</v>
      </c>
      <c r="I683" s="557" t="str">
        <f t="shared" si="10"/>
        <v>GooD</v>
      </c>
    </row>
    <row r="684" spans="1:9" ht="15.75" thickBot="1">
      <c r="A684" s="565" t="s">
        <v>655</v>
      </c>
      <c r="B684" s="565">
        <v>24000</v>
      </c>
      <c r="C684" s="566">
        <v>16</v>
      </c>
      <c r="D684" s="566">
        <v>0.21</v>
      </c>
      <c r="E684" s="566">
        <v>6736</v>
      </c>
      <c r="F684" s="566">
        <v>30736</v>
      </c>
      <c r="G684" s="566">
        <v>960</v>
      </c>
      <c r="H684" s="566">
        <v>1861</v>
      </c>
      <c r="I684" s="558" t="str">
        <f t="shared" si="10"/>
        <v>GooD</v>
      </c>
    </row>
    <row r="685" spans="1:9" ht="15.75" thickTop="1">
      <c r="A685" s="567" t="s">
        <v>655</v>
      </c>
      <c r="B685" s="567">
        <v>24000</v>
      </c>
      <c r="C685" s="568">
        <v>18</v>
      </c>
      <c r="D685" s="568">
        <v>0.21</v>
      </c>
      <c r="E685" s="568">
        <v>7572</v>
      </c>
      <c r="F685" s="568">
        <v>31572</v>
      </c>
      <c r="G685" s="568">
        <v>1080</v>
      </c>
      <c r="H685" s="568">
        <v>1694</v>
      </c>
      <c r="I685" s="559" t="str">
        <f t="shared" si="10"/>
        <v>GooD</v>
      </c>
    </row>
    <row r="686" spans="1:9">
      <c r="A686" s="563" t="s">
        <v>655</v>
      </c>
      <c r="B686" s="563">
        <v>24000</v>
      </c>
      <c r="C686" s="564">
        <v>20</v>
      </c>
      <c r="D686" s="564">
        <v>0.21</v>
      </c>
      <c r="E686" s="564">
        <v>8420</v>
      </c>
      <c r="F686" s="564">
        <v>32420</v>
      </c>
      <c r="G686" s="564">
        <v>1200</v>
      </c>
      <c r="H686" s="564">
        <v>1561</v>
      </c>
      <c r="I686" s="557" t="str">
        <f t="shared" si="10"/>
        <v>GooD</v>
      </c>
    </row>
    <row r="687" spans="1:9" ht="15.75" thickBot="1">
      <c r="A687" s="565" t="s">
        <v>655</v>
      </c>
      <c r="B687" s="565">
        <v>24000</v>
      </c>
      <c r="C687" s="566">
        <v>22</v>
      </c>
      <c r="D687" s="566">
        <v>0.21</v>
      </c>
      <c r="E687" s="566">
        <v>9242</v>
      </c>
      <c r="F687" s="566">
        <v>33242</v>
      </c>
      <c r="G687" s="566">
        <v>1320</v>
      </c>
      <c r="H687" s="566">
        <v>1451</v>
      </c>
      <c r="I687" s="558" t="str">
        <f t="shared" si="10"/>
        <v>GooD</v>
      </c>
    </row>
    <row r="688" spans="1:9" ht="15.75" thickTop="1">
      <c r="A688" s="567" t="s">
        <v>655</v>
      </c>
      <c r="B688" s="567">
        <v>24000</v>
      </c>
      <c r="C688" s="568">
        <v>24</v>
      </c>
      <c r="D688" s="568">
        <v>0.21</v>
      </c>
      <c r="E688" s="568">
        <v>10104</v>
      </c>
      <c r="F688" s="568">
        <v>34104</v>
      </c>
      <c r="G688" s="568">
        <v>1440</v>
      </c>
      <c r="H688" s="568">
        <v>1361</v>
      </c>
      <c r="I688" s="559" t="str">
        <f t="shared" si="10"/>
        <v>GooD</v>
      </c>
    </row>
    <row r="689" spans="1:9">
      <c r="A689" s="563" t="s">
        <v>655</v>
      </c>
      <c r="B689" s="563">
        <v>25000</v>
      </c>
      <c r="C689" s="564">
        <v>6</v>
      </c>
      <c r="D689" s="564">
        <v>0.21</v>
      </c>
      <c r="E689" s="564">
        <v>2627</v>
      </c>
      <c r="F689" s="564">
        <v>27627</v>
      </c>
      <c r="G689" s="564">
        <v>375</v>
      </c>
      <c r="H689" s="564">
        <v>4542</v>
      </c>
      <c r="I689" s="557" t="str">
        <f t="shared" si="10"/>
        <v>GooD</v>
      </c>
    </row>
    <row r="690" spans="1:9" ht="15.75" thickBot="1">
      <c r="A690" s="565" t="s">
        <v>655</v>
      </c>
      <c r="B690" s="565">
        <v>25000</v>
      </c>
      <c r="C690" s="566">
        <v>8</v>
      </c>
      <c r="D690" s="566">
        <v>0.21</v>
      </c>
      <c r="E690" s="566">
        <v>3508</v>
      </c>
      <c r="F690" s="566">
        <v>28508</v>
      </c>
      <c r="G690" s="566">
        <v>500</v>
      </c>
      <c r="H690" s="566">
        <v>3501</v>
      </c>
      <c r="I690" s="558" t="str">
        <f t="shared" si="10"/>
        <v>GooD</v>
      </c>
    </row>
    <row r="691" spans="1:9" ht="15.75" thickTop="1">
      <c r="A691" s="567" t="s">
        <v>655</v>
      </c>
      <c r="B691" s="567">
        <v>25000</v>
      </c>
      <c r="C691" s="568">
        <v>10</v>
      </c>
      <c r="D691" s="568">
        <v>0.21</v>
      </c>
      <c r="E691" s="568">
        <v>4385</v>
      </c>
      <c r="F691" s="568">
        <v>29385</v>
      </c>
      <c r="G691" s="568">
        <v>625</v>
      </c>
      <c r="H691" s="568">
        <v>2876</v>
      </c>
      <c r="I691" s="559" t="str">
        <f t="shared" si="10"/>
        <v>GooD</v>
      </c>
    </row>
    <row r="692" spans="1:9">
      <c r="A692" s="563" t="s">
        <v>655</v>
      </c>
      <c r="B692" s="563">
        <v>25000</v>
      </c>
      <c r="C692" s="564">
        <v>12</v>
      </c>
      <c r="D692" s="564">
        <v>0.21</v>
      </c>
      <c r="E692" s="564">
        <v>5258</v>
      </c>
      <c r="F692" s="564">
        <v>30258</v>
      </c>
      <c r="G692" s="564">
        <v>750</v>
      </c>
      <c r="H692" s="564">
        <v>2459</v>
      </c>
      <c r="I692" s="557" t="str">
        <f t="shared" si="10"/>
        <v>GooD</v>
      </c>
    </row>
    <row r="693" spans="1:9" ht="15.75" thickBot="1">
      <c r="A693" s="565" t="s">
        <v>655</v>
      </c>
      <c r="B693" s="565">
        <v>25000</v>
      </c>
      <c r="C693" s="566">
        <v>14</v>
      </c>
      <c r="D693" s="566">
        <v>0.21</v>
      </c>
      <c r="E693" s="566">
        <v>6129</v>
      </c>
      <c r="F693" s="566">
        <v>31129</v>
      </c>
      <c r="G693" s="566">
        <v>875</v>
      </c>
      <c r="H693" s="566">
        <v>2161</v>
      </c>
      <c r="I693" s="558" t="str">
        <f t="shared" si="10"/>
        <v>GooD</v>
      </c>
    </row>
    <row r="694" spans="1:9" ht="15.75" thickTop="1">
      <c r="A694" s="567" t="s">
        <v>655</v>
      </c>
      <c r="B694" s="567">
        <v>25000</v>
      </c>
      <c r="C694" s="568">
        <v>16</v>
      </c>
      <c r="D694" s="568">
        <v>0.21</v>
      </c>
      <c r="E694" s="568">
        <v>7008</v>
      </c>
      <c r="F694" s="568">
        <v>32008</v>
      </c>
      <c r="G694" s="568">
        <v>1000</v>
      </c>
      <c r="H694" s="568">
        <v>1938</v>
      </c>
      <c r="I694" s="559" t="str">
        <f t="shared" si="10"/>
        <v>GooD</v>
      </c>
    </row>
    <row r="695" spans="1:9">
      <c r="A695" s="563" t="s">
        <v>655</v>
      </c>
      <c r="B695" s="563">
        <v>25000</v>
      </c>
      <c r="C695" s="564">
        <v>18</v>
      </c>
      <c r="D695" s="564">
        <v>0.21</v>
      </c>
      <c r="E695" s="564">
        <v>7877</v>
      </c>
      <c r="F695" s="564">
        <v>32877</v>
      </c>
      <c r="G695" s="564">
        <v>1125</v>
      </c>
      <c r="H695" s="564">
        <v>1764</v>
      </c>
      <c r="I695" s="557" t="str">
        <f t="shared" si="10"/>
        <v>GooD</v>
      </c>
    </row>
    <row r="696" spans="1:9" ht="15.75" thickBot="1">
      <c r="A696" s="565" t="s">
        <v>655</v>
      </c>
      <c r="B696" s="565">
        <v>25000</v>
      </c>
      <c r="C696" s="566">
        <v>20</v>
      </c>
      <c r="D696" s="566">
        <v>0.21</v>
      </c>
      <c r="E696" s="566">
        <v>8770</v>
      </c>
      <c r="F696" s="566">
        <v>33770</v>
      </c>
      <c r="G696" s="566">
        <v>1250</v>
      </c>
      <c r="H696" s="566">
        <v>1626</v>
      </c>
      <c r="I696" s="558" t="str">
        <f t="shared" si="10"/>
        <v>GooD</v>
      </c>
    </row>
    <row r="697" spans="1:9" ht="15.75" thickTop="1">
      <c r="A697" s="567" t="s">
        <v>655</v>
      </c>
      <c r="B697" s="567">
        <v>25000</v>
      </c>
      <c r="C697" s="568">
        <v>22</v>
      </c>
      <c r="D697" s="568">
        <v>0.21</v>
      </c>
      <c r="E697" s="568">
        <v>9639</v>
      </c>
      <c r="F697" s="568">
        <v>34639</v>
      </c>
      <c r="G697" s="568">
        <v>1375</v>
      </c>
      <c r="H697" s="568">
        <v>1512</v>
      </c>
      <c r="I697" s="559" t="str">
        <f t="shared" si="10"/>
        <v>GooD</v>
      </c>
    </row>
    <row r="698" spans="1:9">
      <c r="A698" s="563" t="s">
        <v>655</v>
      </c>
      <c r="B698" s="563">
        <v>25000</v>
      </c>
      <c r="C698" s="564">
        <v>24</v>
      </c>
      <c r="D698" s="564">
        <v>0.21</v>
      </c>
      <c r="E698" s="564">
        <v>10508</v>
      </c>
      <c r="F698" s="564">
        <v>35508</v>
      </c>
      <c r="G698" s="564">
        <v>1500</v>
      </c>
      <c r="H698" s="564">
        <v>1417</v>
      </c>
      <c r="I698" s="557" t="str">
        <f t="shared" si="10"/>
        <v>GooD</v>
      </c>
    </row>
    <row r="699" spans="1:9" ht="15.75" thickBot="1">
      <c r="A699" s="565" t="s">
        <v>655</v>
      </c>
      <c r="B699" s="565">
        <v>26000</v>
      </c>
      <c r="C699" s="566">
        <v>6</v>
      </c>
      <c r="D699" s="566">
        <v>0.21</v>
      </c>
      <c r="E699" s="566">
        <v>2734</v>
      </c>
      <c r="F699" s="566">
        <v>28734</v>
      </c>
      <c r="G699" s="566">
        <v>390</v>
      </c>
      <c r="H699" s="566">
        <v>4724</v>
      </c>
      <c r="I699" s="558" t="str">
        <f t="shared" si="10"/>
        <v>GooD</v>
      </c>
    </row>
    <row r="700" spans="1:9" ht="15.75" thickTop="1">
      <c r="A700" s="567" t="s">
        <v>655</v>
      </c>
      <c r="B700" s="567">
        <v>26000</v>
      </c>
      <c r="C700" s="568">
        <v>8</v>
      </c>
      <c r="D700" s="568">
        <v>0.21</v>
      </c>
      <c r="E700" s="568">
        <v>3648</v>
      </c>
      <c r="F700" s="568">
        <v>29648</v>
      </c>
      <c r="G700" s="568">
        <v>520</v>
      </c>
      <c r="H700" s="568">
        <v>3641</v>
      </c>
      <c r="I700" s="559" t="str">
        <f t="shared" si="10"/>
        <v>GooD</v>
      </c>
    </row>
    <row r="701" spans="1:9">
      <c r="A701" s="563" t="s">
        <v>655</v>
      </c>
      <c r="B701" s="563">
        <v>26000</v>
      </c>
      <c r="C701" s="564">
        <v>10</v>
      </c>
      <c r="D701" s="564">
        <v>0.21</v>
      </c>
      <c r="E701" s="564">
        <v>4560</v>
      </c>
      <c r="F701" s="564">
        <v>30560</v>
      </c>
      <c r="G701" s="564">
        <v>650</v>
      </c>
      <c r="H701" s="564">
        <v>2991</v>
      </c>
      <c r="I701" s="557" t="str">
        <f t="shared" si="10"/>
        <v>GooD</v>
      </c>
    </row>
    <row r="702" spans="1:9" ht="15.75" thickBot="1">
      <c r="A702" s="565" t="s">
        <v>655</v>
      </c>
      <c r="B702" s="565">
        <v>26000</v>
      </c>
      <c r="C702" s="566">
        <v>12</v>
      </c>
      <c r="D702" s="566">
        <v>0.21</v>
      </c>
      <c r="E702" s="566">
        <v>5464</v>
      </c>
      <c r="F702" s="566">
        <v>31464</v>
      </c>
      <c r="G702" s="566">
        <v>780</v>
      </c>
      <c r="H702" s="566">
        <v>2557</v>
      </c>
      <c r="I702" s="558" t="str">
        <f t="shared" si="10"/>
        <v>GooD</v>
      </c>
    </row>
    <row r="703" spans="1:9" ht="15.75" thickTop="1">
      <c r="A703" s="567" t="s">
        <v>655</v>
      </c>
      <c r="B703" s="567">
        <v>26000</v>
      </c>
      <c r="C703" s="568">
        <v>14</v>
      </c>
      <c r="D703" s="568">
        <v>0.21</v>
      </c>
      <c r="E703" s="568">
        <v>6382</v>
      </c>
      <c r="F703" s="568">
        <v>32382</v>
      </c>
      <c r="G703" s="568">
        <v>910</v>
      </c>
      <c r="H703" s="568">
        <v>2248</v>
      </c>
      <c r="I703" s="559" t="str">
        <f t="shared" si="10"/>
        <v>GooD</v>
      </c>
    </row>
    <row r="704" spans="1:9">
      <c r="A704" s="563" t="s">
        <v>655</v>
      </c>
      <c r="B704" s="563">
        <v>26000</v>
      </c>
      <c r="C704" s="564">
        <v>16</v>
      </c>
      <c r="D704" s="564">
        <v>0.21</v>
      </c>
      <c r="E704" s="564">
        <v>7296</v>
      </c>
      <c r="F704" s="564">
        <v>33296</v>
      </c>
      <c r="G704" s="564">
        <v>1040</v>
      </c>
      <c r="H704" s="564">
        <v>2016</v>
      </c>
      <c r="I704" s="557" t="str">
        <f t="shared" si="10"/>
        <v>GooD</v>
      </c>
    </row>
    <row r="705" spans="1:9" ht="15.75" thickBot="1">
      <c r="A705" s="565" t="s">
        <v>655</v>
      </c>
      <c r="B705" s="565">
        <v>26000</v>
      </c>
      <c r="C705" s="566">
        <v>18</v>
      </c>
      <c r="D705" s="566">
        <v>0.21</v>
      </c>
      <c r="E705" s="566">
        <v>8200</v>
      </c>
      <c r="F705" s="566">
        <v>34200</v>
      </c>
      <c r="G705" s="566">
        <v>1170</v>
      </c>
      <c r="H705" s="566">
        <v>1835</v>
      </c>
      <c r="I705" s="558" t="str">
        <f t="shared" si="10"/>
        <v>GooD</v>
      </c>
    </row>
    <row r="706" spans="1:9" ht="15.75" thickTop="1">
      <c r="A706" s="567" t="s">
        <v>655</v>
      </c>
      <c r="B706" s="567">
        <v>26000</v>
      </c>
      <c r="C706" s="568">
        <v>20</v>
      </c>
      <c r="D706" s="568">
        <v>0.21</v>
      </c>
      <c r="E706" s="568">
        <v>9120</v>
      </c>
      <c r="F706" s="568">
        <v>35120</v>
      </c>
      <c r="G706" s="568">
        <v>1300</v>
      </c>
      <c r="H706" s="568">
        <v>1691</v>
      </c>
      <c r="I706" s="559" t="str">
        <f t="shared" si="10"/>
        <v>GooD</v>
      </c>
    </row>
    <row r="707" spans="1:9">
      <c r="A707" s="563" t="s">
        <v>655</v>
      </c>
      <c r="B707" s="563">
        <v>26000</v>
      </c>
      <c r="C707" s="564">
        <v>22</v>
      </c>
      <c r="D707" s="564">
        <v>0.21</v>
      </c>
      <c r="E707" s="564">
        <v>10014</v>
      </c>
      <c r="F707" s="564">
        <v>36014</v>
      </c>
      <c r="G707" s="564">
        <v>1430</v>
      </c>
      <c r="H707" s="564">
        <v>1572</v>
      </c>
      <c r="I707" s="557" t="str">
        <f t="shared" si="10"/>
        <v>GooD</v>
      </c>
    </row>
    <row r="708" spans="1:9" ht="15.75" thickBot="1">
      <c r="A708" s="565" t="s">
        <v>655</v>
      </c>
      <c r="B708" s="565">
        <v>26000</v>
      </c>
      <c r="C708" s="566">
        <v>24</v>
      </c>
      <c r="D708" s="566">
        <v>0.21</v>
      </c>
      <c r="E708" s="566">
        <v>10936</v>
      </c>
      <c r="F708" s="566">
        <v>36936</v>
      </c>
      <c r="G708" s="566">
        <v>1560</v>
      </c>
      <c r="H708" s="566">
        <v>1474</v>
      </c>
      <c r="I708" s="558" t="str">
        <f t="shared" si="10"/>
        <v>GooD</v>
      </c>
    </row>
    <row r="709" spans="1:9" ht="15.75" thickTop="1">
      <c r="A709" s="567" t="s">
        <v>655</v>
      </c>
      <c r="B709" s="567">
        <v>27000</v>
      </c>
      <c r="C709" s="568">
        <v>6</v>
      </c>
      <c r="D709" s="568">
        <v>0.21</v>
      </c>
      <c r="E709" s="568">
        <v>2841</v>
      </c>
      <c r="F709" s="568">
        <v>29841</v>
      </c>
      <c r="G709" s="568">
        <v>405</v>
      </c>
      <c r="H709" s="568">
        <v>4906</v>
      </c>
      <c r="I709" s="559" t="str">
        <f t="shared" si="10"/>
        <v>GooD</v>
      </c>
    </row>
    <row r="710" spans="1:9">
      <c r="A710" s="563" t="s">
        <v>655</v>
      </c>
      <c r="B710" s="563">
        <v>27000</v>
      </c>
      <c r="C710" s="564">
        <v>8</v>
      </c>
      <c r="D710" s="564">
        <v>0.21</v>
      </c>
      <c r="E710" s="564">
        <v>3788</v>
      </c>
      <c r="F710" s="564">
        <v>30788</v>
      </c>
      <c r="G710" s="564">
        <v>540</v>
      </c>
      <c r="H710" s="564">
        <v>3781</v>
      </c>
      <c r="I710" s="557" t="str">
        <f t="shared" si="10"/>
        <v>GooD</v>
      </c>
    </row>
    <row r="711" spans="1:9" ht="15.75" thickBot="1">
      <c r="A711" s="565" t="s">
        <v>655</v>
      </c>
      <c r="B711" s="565">
        <v>27000</v>
      </c>
      <c r="C711" s="566">
        <v>10</v>
      </c>
      <c r="D711" s="566">
        <v>0.21</v>
      </c>
      <c r="E711" s="566">
        <v>4735</v>
      </c>
      <c r="F711" s="566">
        <v>31735</v>
      </c>
      <c r="G711" s="566">
        <v>675</v>
      </c>
      <c r="H711" s="566">
        <v>3106</v>
      </c>
      <c r="I711" s="558" t="str">
        <f t="shared" si="10"/>
        <v>GooD</v>
      </c>
    </row>
    <row r="712" spans="1:9" ht="15.75" thickTop="1">
      <c r="A712" s="567" t="s">
        <v>655</v>
      </c>
      <c r="B712" s="567">
        <v>27000</v>
      </c>
      <c r="C712" s="568">
        <v>12</v>
      </c>
      <c r="D712" s="568">
        <v>0.21</v>
      </c>
      <c r="E712" s="568">
        <v>5682</v>
      </c>
      <c r="F712" s="568">
        <v>32682</v>
      </c>
      <c r="G712" s="568">
        <v>810</v>
      </c>
      <c r="H712" s="568">
        <v>2656</v>
      </c>
      <c r="I712" s="559" t="str">
        <f t="shared" si="10"/>
        <v>GooD</v>
      </c>
    </row>
    <row r="713" spans="1:9">
      <c r="A713" s="563" t="s">
        <v>655</v>
      </c>
      <c r="B713" s="563">
        <v>27000</v>
      </c>
      <c r="C713" s="564">
        <v>14</v>
      </c>
      <c r="D713" s="564">
        <v>0.21</v>
      </c>
      <c r="E713" s="564">
        <v>6621</v>
      </c>
      <c r="F713" s="564">
        <v>33621</v>
      </c>
      <c r="G713" s="564">
        <v>945</v>
      </c>
      <c r="H713" s="564">
        <v>2334</v>
      </c>
      <c r="I713" s="557" t="str">
        <f t="shared" si="10"/>
        <v>GooD</v>
      </c>
    </row>
    <row r="714" spans="1:9" ht="15.75" thickBot="1">
      <c r="A714" s="565" t="s">
        <v>655</v>
      </c>
      <c r="B714" s="565">
        <v>27000</v>
      </c>
      <c r="C714" s="566">
        <v>16</v>
      </c>
      <c r="D714" s="566">
        <v>0.21</v>
      </c>
      <c r="E714" s="566">
        <v>7568</v>
      </c>
      <c r="F714" s="566">
        <v>34568</v>
      </c>
      <c r="G714" s="566">
        <v>1080</v>
      </c>
      <c r="H714" s="566">
        <v>2093</v>
      </c>
      <c r="I714" s="558" t="str">
        <f t="shared" si="10"/>
        <v>GooD</v>
      </c>
    </row>
    <row r="715" spans="1:9" ht="15.75" thickTop="1">
      <c r="A715" s="567" t="s">
        <v>655</v>
      </c>
      <c r="B715" s="567">
        <v>27000</v>
      </c>
      <c r="C715" s="568">
        <v>18</v>
      </c>
      <c r="D715" s="568">
        <v>0.21</v>
      </c>
      <c r="E715" s="568">
        <v>8523</v>
      </c>
      <c r="F715" s="568">
        <v>35523</v>
      </c>
      <c r="G715" s="568">
        <v>1215</v>
      </c>
      <c r="H715" s="568">
        <v>1906</v>
      </c>
      <c r="I715" s="559" t="str">
        <f t="shared" si="10"/>
        <v>GooD</v>
      </c>
    </row>
    <row r="716" spans="1:9">
      <c r="A716" s="563" t="s">
        <v>655</v>
      </c>
      <c r="B716" s="563">
        <v>27000</v>
      </c>
      <c r="C716" s="564">
        <v>20</v>
      </c>
      <c r="D716" s="564">
        <v>0.21</v>
      </c>
      <c r="E716" s="564">
        <v>9470</v>
      </c>
      <c r="F716" s="564">
        <v>36470</v>
      </c>
      <c r="G716" s="564">
        <v>1350</v>
      </c>
      <c r="H716" s="564">
        <v>1756</v>
      </c>
      <c r="I716" s="557" t="str">
        <f t="shared" si="10"/>
        <v>GooD</v>
      </c>
    </row>
    <row r="717" spans="1:9">
      <c r="A717" s="563" t="s">
        <v>655</v>
      </c>
      <c r="B717" s="563">
        <v>27000</v>
      </c>
      <c r="C717" s="564">
        <v>22</v>
      </c>
      <c r="D717" s="564">
        <v>0.21</v>
      </c>
      <c r="E717" s="564">
        <v>10411</v>
      </c>
      <c r="F717" s="564">
        <v>37411</v>
      </c>
      <c r="G717" s="564">
        <v>1485</v>
      </c>
      <c r="H717" s="564">
        <v>1633</v>
      </c>
      <c r="I717" s="557" t="str">
        <f t="shared" ref="I717:I780" si="11">IF(((H717*C717)+G717)=F717,"GooD","لالالالالالالا")</f>
        <v>GooD</v>
      </c>
    </row>
    <row r="718" spans="1:9">
      <c r="A718" s="563" t="s">
        <v>655</v>
      </c>
      <c r="B718" s="563">
        <v>27000</v>
      </c>
      <c r="C718" s="564">
        <v>24</v>
      </c>
      <c r="D718" s="564">
        <v>0.21</v>
      </c>
      <c r="E718" s="564">
        <v>11364</v>
      </c>
      <c r="F718" s="564">
        <v>38364</v>
      </c>
      <c r="G718" s="564">
        <v>1620</v>
      </c>
      <c r="H718" s="564">
        <v>1531</v>
      </c>
      <c r="I718" s="557" t="str">
        <f t="shared" si="11"/>
        <v>GooD</v>
      </c>
    </row>
    <row r="719" spans="1:9" ht="15.75" thickBot="1">
      <c r="A719" s="565" t="s">
        <v>655</v>
      </c>
      <c r="B719" s="565">
        <v>28000</v>
      </c>
      <c r="C719" s="566">
        <v>6</v>
      </c>
      <c r="D719" s="566">
        <v>0.21</v>
      </c>
      <c r="E719" s="566">
        <v>2942</v>
      </c>
      <c r="F719" s="566">
        <v>30942</v>
      </c>
      <c r="G719" s="566">
        <v>420</v>
      </c>
      <c r="H719" s="566">
        <v>5087</v>
      </c>
      <c r="I719" s="558" t="str">
        <f t="shared" si="11"/>
        <v>GooD</v>
      </c>
    </row>
    <row r="720" spans="1:9" ht="15.75" thickTop="1">
      <c r="A720" s="567" t="s">
        <v>655</v>
      </c>
      <c r="B720" s="567">
        <v>28000</v>
      </c>
      <c r="C720" s="568">
        <v>8</v>
      </c>
      <c r="D720" s="568">
        <v>0.21</v>
      </c>
      <c r="E720" s="568">
        <v>3928</v>
      </c>
      <c r="F720" s="568">
        <v>31928</v>
      </c>
      <c r="G720" s="568">
        <v>560</v>
      </c>
      <c r="H720" s="568">
        <v>3921</v>
      </c>
      <c r="I720" s="559" t="str">
        <f t="shared" si="11"/>
        <v>GooD</v>
      </c>
    </row>
    <row r="721" spans="1:9">
      <c r="A721" s="563" t="s">
        <v>655</v>
      </c>
      <c r="B721" s="563">
        <v>28000</v>
      </c>
      <c r="C721" s="564">
        <v>10</v>
      </c>
      <c r="D721" s="564">
        <v>0.21</v>
      </c>
      <c r="E721" s="564">
        <v>4910</v>
      </c>
      <c r="F721" s="564">
        <v>32910</v>
      </c>
      <c r="G721" s="564">
        <v>700</v>
      </c>
      <c r="H721" s="564">
        <v>3221</v>
      </c>
      <c r="I721" s="557" t="str">
        <f t="shared" si="11"/>
        <v>GooD</v>
      </c>
    </row>
    <row r="722" spans="1:9">
      <c r="A722" s="563" t="s">
        <v>655</v>
      </c>
      <c r="B722" s="563">
        <v>28000</v>
      </c>
      <c r="C722" s="564">
        <v>12</v>
      </c>
      <c r="D722" s="564">
        <v>0.21</v>
      </c>
      <c r="E722" s="564">
        <v>5888</v>
      </c>
      <c r="F722" s="564">
        <v>33888</v>
      </c>
      <c r="G722" s="564">
        <v>840</v>
      </c>
      <c r="H722" s="564">
        <v>2754</v>
      </c>
      <c r="I722" s="557" t="str">
        <f t="shared" si="11"/>
        <v>GooD</v>
      </c>
    </row>
    <row r="723" spans="1:9">
      <c r="A723" s="563" t="s">
        <v>655</v>
      </c>
      <c r="B723" s="563">
        <v>28000</v>
      </c>
      <c r="C723" s="564">
        <v>14</v>
      </c>
      <c r="D723" s="564">
        <v>0.21</v>
      </c>
      <c r="E723" s="564">
        <v>6874</v>
      </c>
      <c r="F723" s="564">
        <v>34874</v>
      </c>
      <c r="G723" s="564">
        <v>980</v>
      </c>
      <c r="H723" s="564">
        <v>2421</v>
      </c>
      <c r="I723" s="557" t="str">
        <f t="shared" si="11"/>
        <v>GooD</v>
      </c>
    </row>
    <row r="724" spans="1:9" ht="15.75" thickBot="1">
      <c r="A724" s="565" t="s">
        <v>655</v>
      </c>
      <c r="B724" s="565">
        <v>28000</v>
      </c>
      <c r="C724" s="566">
        <v>16</v>
      </c>
      <c r="D724" s="566">
        <v>0.21</v>
      </c>
      <c r="E724" s="566">
        <v>7856</v>
      </c>
      <c r="F724" s="566">
        <v>35856</v>
      </c>
      <c r="G724" s="566">
        <v>1120</v>
      </c>
      <c r="H724" s="566">
        <v>2171</v>
      </c>
      <c r="I724" s="558" t="str">
        <f t="shared" si="11"/>
        <v>GooD</v>
      </c>
    </row>
    <row r="725" spans="1:9" ht="15.75" thickTop="1">
      <c r="A725" s="567" t="s">
        <v>655</v>
      </c>
      <c r="B725" s="567">
        <v>28000</v>
      </c>
      <c r="C725" s="568">
        <v>18</v>
      </c>
      <c r="D725" s="568">
        <v>0.21</v>
      </c>
      <c r="E725" s="568">
        <v>8828</v>
      </c>
      <c r="F725" s="568">
        <v>36828</v>
      </c>
      <c r="G725" s="568">
        <v>1260</v>
      </c>
      <c r="H725" s="568">
        <v>1976</v>
      </c>
      <c r="I725" s="559" t="str">
        <f t="shared" si="11"/>
        <v>GooD</v>
      </c>
    </row>
    <row r="726" spans="1:9">
      <c r="A726" s="563" t="s">
        <v>655</v>
      </c>
      <c r="B726" s="563">
        <v>28000</v>
      </c>
      <c r="C726" s="564">
        <v>20</v>
      </c>
      <c r="D726" s="564">
        <v>0.21</v>
      </c>
      <c r="E726" s="564">
        <v>9820</v>
      </c>
      <c r="F726" s="564">
        <v>37820</v>
      </c>
      <c r="G726" s="564">
        <v>1400</v>
      </c>
      <c r="H726" s="564">
        <v>1821</v>
      </c>
      <c r="I726" s="557" t="str">
        <f t="shared" si="11"/>
        <v>GooD</v>
      </c>
    </row>
    <row r="727" spans="1:9">
      <c r="A727" s="563" t="s">
        <v>655</v>
      </c>
      <c r="B727" s="563">
        <v>28000</v>
      </c>
      <c r="C727" s="564">
        <v>22</v>
      </c>
      <c r="D727" s="564">
        <v>0.21</v>
      </c>
      <c r="E727" s="564">
        <v>10786</v>
      </c>
      <c r="F727" s="564">
        <v>38786</v>
      </c>
      <c r="G727" s="564">
        <v>1540</v>
      </c>
      <c r="H727" s="564">
        <v>1693</v>
      </c>
      <c r="I727" s="557" t="str">
        <f t="shared" si="11"/>
        <v>GooD</v>
      </c>
    </row>
    <row r="728" spans="1:9">
      <c r="A728" s="563" t="s">
        <v>655</v>
      </c>
      <c r="B728" s="563">
        <v>28000</v>
      </c>
      <c r="C728" s="564">
        <v>24</v>
      </c>
      <c r="D728" s="564">
        <v>0.21</v>
      </c>
      <c r="E728" s="564">
        <v>11768</v>
      </c>
      <c r="F728" s="564">
        <v>39768</v>
      </c>
      <c r="G728" s="564">
        <v>1680</v>
      </c>
      <c r="H728" s="564">
        <v>1587</v>
      </c>
      <c r="I728" s="557" t="str">
        <f t="shared" si="11"/>
        <v>GooD</v>
      </c>
    </row>
    <row r="729" spans="1:9" ht="15.75" thickBot="1">
      <c r="A729" s="565" t="s">
        <v>655</v>
      </c>
      <c r="B729" s="565">
        <v>29000</v>
      </c>
      <c r="C729" s="566">
        <v>6</v>
      </c>
      <c r="D729" s="566">
        <v>0.21</v>
      </c>
      <c r="E729" s="566">
        <v>3049</v>
      </c>
      <c r="F729" s="566">
        <v>32049</v>
      </c>
      <c r="G729" s="566">
        <v>435</v>
      </c>
      <c r="H729" s="566">
        <v>5269</v>
      </c>
      <c r="I729" s="558" t="str">
        <f t="shared" si="11"/>
        <v>GooD</v>
      </c>
    </row>
    <row r="730" spans="1:9" ht="15.75" thickTop="1">
      <c r="A730" s="567" t="s">
        <v>655</v>
      </c>
      <c r="B730" s="567">
        <v>29000</v>
      </c>
      <c r="C730" s="568">
        <v>8</v>
      </c>
      <c r="D730" s="568">
        <v>0.21</v>
      </c>
      <c r="E730" s="568">
        <v>4068</v>
      </c>
      <c r="F730" s="568">
        <v>33068</v>
      </c>
      <c r="G730" s="568">
        <v>580</v>
      </c>
      <c r="H730" s="568">
        <v>4061</v>
      </c>
      <c r="I730" s="559" t="str">
        <f t="shared" si="11"/>
        <v>GooD</v>
      </c>
    </row>
    <row r="731" spans="1:9">
      <c r="A731" s="563" t="s">
        <v>655</v>
      </c>
      <c r="B731" s="563">
        <v>29000</v>
      </c>
      <c r="C731" s="564">
        <v>10</v>
      </c>
      <c r="D731" s="564">
        <v>0.21</v>
      </c>
      <c r="E731" s="564">
        <v>5085</v>
      </c>
      <c r="F731" s="564">
        <v>34085</v>
      </c>
      <c r="G731" s="564">
        <v>725</v>
      </c>
      <c r="H731" s="564">
        <v>3336</v>
      </c>
      <c r="I731" s="557" t="str">
        <f t="shared" si="11"/>
        <v>GooD</v>
      </c>
    </row>
    <row r="732" spans="1:9">
      <c r="A732" s="563" t="s">
        <v>655</v>
      </c>
      <c r="B732" s="563">
        <v>29000</v>
      </c>
      <c r="C732" s="564">
        <v>12</v>
      </c>
      <c r="D732" s="564">
        <v>0.21</v>
      </c>
      <c r="E732" s="564">
        <v>6094</v>
      </c>
      <c r="F732" s="564">
        <v>35094</v>
      </c>
      <c r="G732" s="564">
        <v>870</v>
      </c>
      <c r="H732" s="564">
        <v>2852</v>
      </c>
      <c r="I732" s="557" t="str">
        <f t="shared" si="11"/>
        <v>GooD</v>
      </c>
    </row>
    <row r="733" spans="1:9">
      <c r="A733" s="563" t="s">
        <v>655</v>
      </c>
      <c r="B733" s="563">
        <v>29000</v>
      </c>
      <c r="C733" s="564">
        <v>14</v>
      </c>
      <c r="D733" s="564">
        <v>0.21</v>
      </c>
      <c r="E733" s="564">
        <v>7113</v>
      </c>
      <c r="F733" s="564">
        <v>36113</v>
      </c>
      <c r="G733" s="564">
        <v>1015</v>
      </c>
      <c r="H733" s="564">
        <v>2507</v>
      </c>
      <c r="I733" s="557" t="str">
        <f t="shared" si="11"/>
        <v>GooD</v>
      </c>
    </row>
    <row r="734" spans="1:9" ht="15.75" thickBot="1">
      <c r="A734" s="565" t="s">
        <v>655</v>
      </c>
      <c r="B734" s="565">
        <v>29000</v>
      </c>
      <c r="C734" s="566">
        <v>16</v>
      </c>
      <c r="D734" s="566">
        <v>0.21</v>
      </c>
      <c r="E734" s="566">
        <v>8128</v>
      </c>
      <c r="F734" s="566">
        <v>37128</v>
      </c>
      <c r="G734" s="566">
        <v>1160</v>
      </c>
      <c r="H734" s="566">
        <v>2248</v>
      </c>
      <c r="I734" s="558" t="str">
        <f t="shared" si="11"/>
        <v>GooD</v>
      </c>
    </row>
    <row r="735" spans="1:9" ht="15.75" thickTop="1">
      <c r="A735" s="567" t="s">
        <v>655</v>
      </c>
      <c r="B735" s="567">
        <v>29000</v>
      </c>
      <c r="C735" s="568">
        <v>18</v>
      </c>
      <c r="D735" s="568">
        <v>0.21</v>
      </c>
      <c r="E735" s="568">
        <v>9151</v>
      </c>
      <c r="F735" s="568">
        <v>38151</v>
      </c>
      <c r="G735" s="568">
        <v>1305</v>
      </c>
      <c r="H735" s="568">
        <v>2047</v>
      </c>
      <c r="I735" s="559" t="str">
        <f t="shared" si="11"/>
        <v>GooD</v>
      </c>
    </row>
    <row r="736" spans="1:9">
      <c r="A736" s="563" t="s">
        <v>655</v>
      </c>
      <c r="B736" s="563">
        <v>29000</v>
      </c>
      <c r="C736" s="564">
        <v>20</v>
      </c>
      <c r="D736" s="564">
        <v>0.21</v>
      </c>
      <c r="E736" s="564">
        <v>10170</v>
      </c>
      <c r="F736" s="564">
        <v>39170</v>
      </c>
      <c r="G736" s="564">
        <v>1450</v>
      </c>
      <c r="H736" s="564">
        <v>1886</v>
      </c>
      <c r="I736" s="557" t="str">
        <f t="shared" si="11"/>
        <v>GooD</v>
      </c>
    </row>
    <row r="737" spans="1:9">
      <c r="A737" s="563" t="s">
        <v>655</v>
      </c>
      <c r="B737" s="563">
        <v>29000</v>
      </c>
      <c r="C737" s="564">
        <v>22</v>
      </c>
      <c r="D737" s="564">
        <v>0.21</v>
      </c>
      <c r="E737" s="564">
        <v>11183</v>
      </c>
      <c r="F737" s="564">
        <v>40183</v>
      </c>
      <c r="G737" s="564">
        <v>1595</v>
      </c>
      <c r="H737" s="564">
        <v>1754</v>
      </c>
      <c r="I737" s="557" t="str">
        <f t="shared" si="11"/>
        <v>GooD</v>
      </c>
    </row>
    <row r="738" spans="1:9">
      <c r="A738" s="563" t="s">
        <v>655</v>
      </c>
      <c r="B738" s="563">
        <v>29000</v>
      </c>
      <c r="C738" s="564">
        <v>24</v>
      </c>
      <c r="D738" s="564">
        <v>0.21</v>
      </c>
      <c r="E738" s="564">
        <v>12196</v>
      </c>
      <c r="F738" s="564">
        <v>41196</v>
      </c>
      <c r="G738" s="564">
        <v>1740</v>
      </c>
      <c r="H738" s="564">
        <v>1644</v>
      </c>
      <c r="I738" s="557" t="str">
        <f t="shared" si="11"/>
        <v>GooD</v>
      </c>
    </row>
    <row r="739" spans="1:9" ht="15.75" thickBot="1">
      <c r="A739" s="565" t="s">
        <v>655</v>
      </c>
      <c r="B739" s="565">
        <v>30000</v>
      </c>
      <c r="C739" s="566">
        <v>6</v>
      </c>
      <c r="D739" s="566">
        <v>0.21</v>
      </c>
      <c r="E739" s="566">
        <v>3156</v>
      </c>
      <c r="F739" s="566">
        <v>33156</v>
      </c>
      <c r="G739" s="566">
        <v>450</v>
      </c>
      <c r="H739" s="566">
        <v>5451</v>
      </c>
      <c r="I739" s="558" t="str">
        <f t="shared" si="11"/>
        <v>GooD</v>
      </c>
    </row>
    <row r="740" spans="1:9" ht="15.75" thickTop="1">
      <c r="A740" s="567" t="s">
        <v>655</v>
      </c>
      <c r="B740" s="567">
        <v>30000</v>
      </c>
      <c r="C740" s="568">
        <v>8</v>
      </c>
      <c r="D740" s="568">
        <v>0.21</v>
      </c>
      <c r="E740" s="568">
        <v>4208</v>
      </c>
      <c r="F740" s="568">
        <v>34208</v>
      </c>
      <c r="G740" s="568">
        <v>600</v>
      </c>
      <c r="H740" s="568">
        <v>4201</v>
      </c>
      <c r="I740" s="559" t="str">
        <f t="shared" si="11"/>
        <v>GooD</v>
      </c>
    </row>
    <row r="741" spans="1:9">
      <c r="A741" s="563" t="s">
        <v>655</v>
      </c>
      <c r="B741" s="563">
        <v>30000</v>
      </c>
      <c r="C741" s="564">
        <v>10</v>
      </c>
      <c r="D741" s="564">
        <v>0.21</v>
      </c>
      <c r="E741" s="564">
        <v>5260</v>
      </c>
      <c r="F741" s="564">
        <v>35260</v>
      </c>
      <c r="G741" s="564">
        <v>750</v>
      </c>
      <c r="H741" s="564">
        <v>3451</v>
      </c>
      <c r="I741" s="557" t="str">
        <f t="shared" si="11"/>
        <v>GooD</v>
      </c>
    </row>
    <row r="742" spans="1:9">
      <c r="A742" s="563" t="s">
        <v>655</v>
      </c>
      <c r="B742" s="563">
        <v>30000</v>
      </c>
      <c r="C742" s="564">
        <v>12</v>
      </c>
      <c r="D742" s="564">
        <v>0.21</v>
      </c>
      <c r="E742" s="564">
        <v>6312</v>
      </c>
      <c r="F742" s="564">
        <v>36312</v>
      </c>
      <c r="G742" s="564">
        <v>900</v>
      </c>
      <c r="H742" s="564">
        <v>2951</v>
      </c>
      <c r="I742" s="557" t="str">
        <f t="shared" si="11"/>
        <v>GooD</v>
      </c>
    </row>
    <row r="743" spans="1:9">
      <c r="A743" s="563" t="s">
        <v>655</v>
      </c>
      <c r="B743" s="563">
        <v>30000</v>
      </c>
      <c r="C743" s="564">
        <v>14</v>
      </c>
      <c r="D743" s="564">
        <v>0.21</v>
      </c>
      <c r="E743" s="564">
        <v>7352</v>
      </c>
      <c r="F743" s="564">
        <v>37352</v>
      </c>
      <c r="G743" s="564">
        <v>1050</v>
      </c>
      <c r="H743" s="564">
        <v>2593</v>
      </c>
      <c r="I743" s="557" t="str">
        <f t="shared" si="11"/>
        <v>GooD</v>
      </c>
    </row>
    <row r="744" spans="1:9" ht="15.75" thickBot="1">
      <c r="A744" s="565" t="s">
        <v>655</v>
      </c>
      <c r="B744" s="565">
        <v>30000</v>
      </c>
      <c r="C744" s="566">
        <v>16</v>
      </c>
      <c r="D744" s="566">
        <v>0.21</v>
      </c>
      <c r="E744" s="566">
        <v>8416</v>
      </c>
      <c r="F744" s="566">
        <v>38416</v>
      </c>
      <c r="G744" s="566">
        <v>1200</v>
      </c>
      <c r="H744" s="566">
        <v>2326</v>
      </c>
      <c r="I744" s="558" t="str">
        <f t="shared" si="11"/>
        <v>GooD</v>
      </c>
    </row>
    <row r="745" spans="1:9" ht="15.75" thickTop="1">
      <c r="A745" s="567" t="s">
        <v>655</v>
      </c>
      <c r="B745" s="567">
        <v>30000</v>
      </c>
      <c r="C745" s="568">
        <v>18</v>
      </c>
      <c r="D745" s="568">
        <v>0.21</v>
      </c>
      <c r="E745" s="568">
        <v>9456</v>
      </c>
      <c r="F745" s="568">
        <v>39456</v>
      </c>
      <c r="G745" s="568">
        <v>1350</v>
      </c>
      <c r="H745" s="568">
        <v>2117</v>
      </c>
      <c r="I745" s="559" t="str">
        <f t="shared" si="11"/>
        <v>GooD</v>
      </c>
    </row>
    <row r="746" spans="1:9">
      <c r="A746" s="563" t="s">
        <v>655</v>
      </c>
      <c r="B746" s="563">
        <v>30000</v>
      </c>
      <c r="C746" s="564">
        <v>20</v>
      </c>
      <c r="D746" s="564">
        <v>0.21</v>
      </c>
      <c r="E746" s="564">
        <v>10520</v>
      </c>
      <c r="F746" s="564">
        <v>40520</v>
      </c>
      <c r="G746" s="564">
        <v>1500</v>
      </c>
      <c r="H746" s="564">
        <v>1951</v>
      </c>
      <c r="I746" s="557" t="str">
        <f t="shared" si="11"/>
        <v>GooD</v>
      </c>
    </row>
    <row r="747" spans="1:9">
      <c r="A747" s="563" t="s">
        <v>655</v>
      </c>
      <c r="B747" s="563">
        <v>30000</v>
      </c>
      <c r="C747" s="564">
        <v>22</v>
      </c>
      <c r="D747" s="564">
        <v>0.21</v>
      </c>
      <c r="E747" s="564">
        <v>11558</v>
      </c>
      <c r="F747" s="564">
        <v>41558</v>
      </c>
      <c r="G747" s="564">
        <v>1650</v>
      </c>
      <c r="H747" s="564">
        <v>1814</v>
      </c>
      <c r="I747" s="557" t="str">
        <f t="shared" si="11"/>
        <v>GooD</v>
      </c>
    </row>
    <row r="748" spans="1:9">
      <c r="A748" s="563" t="s">
        <v>655</v>
      </c>
      <c r="B748" s="563">
        <v>30000</v>
      </c>
      <c r="C748" s="564">
        <v>24</v>
      </c>
      <c r="D748" s="564">
        <v>0.21</v>
      </c>
      <c r="E748" s="564">
        <v>12624</v>
      </c>
      <c r="F748" s="564">
        <v>42624</v>
      </c>
      <c r="G748" s="564">
        <v>1800</v>
      </c>
      <c r="H748" s="564">
        <v>1701</v>
      </c>
      <c r="I748" s="557" t="str">
        <f t="shared" si="11"/>
        <v>GooD</v>
      </c>
    </row>
    <row r="749" spans="1:9" ht="15.75" thickBot="1">
      <c r="A749" s="565" t="s">
        <v>655</v>
      </c>
      <c r="B749" s="565">
        <v>31000</v>
      </c>
      <c r="C749" s="566">
        <v>6</v>
      </c>
      <c r="D749" s="566">
        <v>0.21</v>
      </c>
      <c r="E749" s="566">
        <v>3257</v>
      </c>
      <c r="F749" s="566">
        <v>34257</v>
      </c>
      <c r="G749" s="566">
        <v>465</v>
      </c>
      <c r="H749" s="566">
        <v>5632</v>
      </c>
      <c r="I749" s="558" t="str">
        <f t="shared" si="11"/>
        <v>GooD</v>
      </c>
    </row>
    <row r="750" spans="1:9" ht="15.75" thickTop="1">
      <c r="A750" s="567" t="s">
        <v>655</v>
      </c>
      <c r="B750" s="567">
        <v>31000</v>
      </c>
      <c r="C750" s="568">
        <v>8</v>
      </c>
      <c r="D750" s="568">
        <v>0.21</v>
      </c>
      <c r="E750" s="568">
        <v>4348</v>
      </c>
      <c r="F750" s="568">
        <v>35348</v>
      </c>
      <c r="G750" s="568">
        <v>620</v>
      </c>
      <c r="H750" s="568">
        <v>4341</v>
      </c>
      <c r="I750" s="559" t="str">
        <f t="shared" si="11"/>
        <v>GooD</v>
      </c>
    </row>
    <row r="751" spans="1:9">
      <c r="A751" s="563" t="s">
        <v>655</v>
      </c>
      <c r="B751" s="563">
        <v>31000</v>
      </c>
      <c r="C751" s="564">
        <v>10</v>
      </c>
      <c r="D751" s="564">
        <v>0.21</v>
      </c>
      <c r="E751" s="564">
        <v>5435</v>
      </c>
      <c r="F751" s="564">
        <v>36435</v>
      </c>
      <c r="G751" s="564">
        <v>775</v>
      </c>
      <c r="H751" s="564">
        <v>3566</v>
      </c>
      <c r="I751" s="557" t="str">
        <f t="shared" si="11"/>
        <v>GooD</v>
      </c>
    </row>
    <row r="752" spans="1:9">
      <c r="A752" s="563" t="s">
        <v>655</v>
      </c>
      <c r="B752" s="563">
        <v>31000</v>
      </c>
      <c r="C752" s="564">
        <v>12</v>
      </c>
      <c r="D752" s="564">
        <v>0.21</v>
      </c>
      <c r="E752" s="564">
        <v>6518</v>
      </c>
      <c r="F752" s="564">
        <v>37518</v>
      </c>
      <c r="G752" s="564">
        <v>930</v>
      </c>
      <c r="H752" s="564">
        <v>3049</v>
      </c>
      <c r="I752" s="557" t="str">
        <f t="shared" si="11"/>
        <v>GooD</v>
      </c>
    </row>
    <row r="753" spans="1:9">
      <c r="A753" s="563" t="s">
        <v>655</v>
      </c>
      <c r="B753" s="563">
        <v>31000</v>
      </c>
      <c r="C753" s="564">
        <v>14</v>
      </c>
      <c r="D753" s="564">
        <v>0.21</v>
      </c>
      <c r="E753" s="564">
        <v>7605</v>
      </c>
      <c r="F753" s="564">
        <v>38605</v>
      </c>
      <c r="G753" s="564">
        <v>1085</v>
      </c>
      <c r="H753" s="564">
        <v>2680</v>
      </c>
      <c r="I753" s="557" t="str">
        <f t="shared" si="11"/>
        <v>GooD</v>
      </c>
    </row>
    <row r="754" spans="1:9" ht="15.75" thickBot="1">
      <c r="A754" s="565" t="s">
        <v>655</v>
      </c>
      <c r="B754" s="565">
        <v>31000</v>
      </c>
      <c r="C754" s="566">
        <v>16</v>
      </c>
      <c r="D754" s="566">
        <v>0.21</v>
      </c>
      <c r="E754" s="566">
        <v>8688</v>
      </c>
      <c r="F754" s="566">
        <v>39688</v>
      </c>
      <c r="G754" s="566">
        <v>1240</v>
      </c>
      <c r="H754" s="566">
        <v>2403</v>
      </c>
      <c r="I754" s="558" t="str">
        <f t="shared" si="11"/>
        <v>GooD</v>
      </c>
    </row>
    <row r="755" spans="1:9" ht="15.75" thickTop="1">
      <c r="A755" s="567" t="s">
        <v>655</v>
      </c>
      <c r="B755" s="567">
        <v>31000</v>
      </c>
      <c r="C755" s="568">
        <v>18</v>
      </c>
      <c r="D755" s="568">
        <v>0.21</v>
      </c>
      <c r="E755" s="568">
        <v>9779</v>
      </c>
      <c r="F755" s="568">
        <v>40779</v>
      </c>
      <c r="G755" s="568">
        <v>1395</v>
      </c>
      <c r="H755" s="568">
        <v>2188</v>
      </c>
      <c r="I755" s="559" t="str">
        <f t="shared" si="11"/>
        <v>GooD</v>
      </c>
    </row>
    <row r="756" spans="1:9">
      <c r="A756" s="563" t="s">
        <v>655</v>
      </c>
      <c r="B756" s="563">
        <v>31000</v>
      </c>
      <c r="C756" s="564">
        <v>20</v>
      </c>
      <c r="D756" s="564">
        <v>0.21</v>
      </c>
      <c r="E756" s="564">
        <v>10870</v>
      </c>
      <c r="F756" s="564">
        <v>41870</v>
      </c>
      <c r="G756" s="564">
        <v>1550</v>
      </c>
      <c r="H756" s="564">
        <v>2016</v>
      </c>
      <c r="I756" s="557" t="str">
        <f t="shared" si="11"/>
        <v>GooD</v>
      </c>
    </row>
    <row r="757" spans="1:9">
      <c r="A757" s="563" t="s">
        <v>655</v>
      </c>
      <c r="B757" s="563">
        <v>31000</v>
      </c>
      <c r="C757" s="564">
        <v>22</v>
      </c>
      <c r="D757" s="564">
        <v>0.21</v>
      </c>
      <c r="E757" s="564">
        <v>11955</v>
      </c>
      <c r="F757" s="564">
        <v>42955</v>
      </c>
      <c r="G757" s="564">
        <v>1705</v>
      </c>
      <c r="H757" s="564">
        <v>1875</v>
      </c>
      <c r="I757" s="557" t="str">
        <f t="shared" si="11"/>
        <v>GooD</v>
      </c>
    </row>
    <row r="758" spans="1:9">
      <c r="A758" s="563" t="s">
        <v>655</v>
      </c>
      <c r="B758" s="563">
        <v>31000</v>
      </c>
      <c r="C758" s="564">
        <v>24</v>
      </c>
      <c r="D758" s="564">
        <v>0.21</v>
      </c>
      <c r="E758" s="564">
        <v>13028</v>
      </c>
      <c r="F758" s="564">
        <v>44028</v>
      </c>
      <c r="G758" s="564">
        <v>1860</v>
      </c>
      <c r="H758" s="564">
        <v>1757</v>
      </c>
      <c r="I758" s="557" t="str">
        <f t="shared" si="11"/>
        <v>GooD</v>
      </c>
    </row>
    <row r="759" spans="1:9" ht="15.75" thickBot="1">
      <c r="A759" s="565" t="s">
        <v>655</v>
      </c>
      <c r="B759" s="565">
        <v>32000</v>
      </c>
      <c r="C759" s="566">
        <v>6</v>
      </c>
      <c r="D759" s="566">
        <v>0.21</v>
      </c>
      <c r="E759" s="566">
        <v>3364</v>
      </c>
      <c r="F759" s="566">
        <v>35364</v>
      </c>
      <c r="G759" s="566">
        <v>480</v>
      </c>
      <c r="H759" s="566">
        <v>5814</v>
      </c>
      <c r="I759" s="558" t="str">
        <f t="shared" si="11"/>
        <v>GooD</v>
      </c>
    </row>
    <row r="760" spans="1:9" ht="15.75" thickTop="1">
      <c r="A760" s="567" t="s">
        <v>655</v>
      </c>
      <c r="B760" s="567">
        <v>32000</v>
      </c>
      <c r="C760" s="568">
        <v>8</v>
      </c>
      <c r="D760" s="568">
        <v>0.21</v>
      </c>
      <c r="E760" s="568">
        <v>4488</v>
      </c>
      <c r="F760" s="568">
        <v>36488</v>
      </c>
      <c r="G760" s="568">
        <v>640</v>
      </c>
      <c r="H760" s="568">
        <v>4481</v>
      </c>
      <c r="I760" s="559" t="str">
        <f t="shared" si="11"/>
        <v>GooD</v>
      </c>
    </row>
    <row r="761" spans="1:9">
      <c r="A761" s="563" t="s">
        <v>655</v>
      </c>
      <c r="B761" s="563">
        <v>32000</v>
      </c>
      <c r="C761" s="564">
        <v>10</v>
      </c>
      <c r="D761" s="564">
        <v>0.21</v>
      </c>
      <c r="E761" s="564">
        <v>5610</v>
      </c>
      <c r="F761" s="564">
        <v>37610</v>
      </c>
      <c r="G761" s="564">
        <v>800</v>
      </c>
      <c r="H761" s="564">
        <v>3681</v>
      </c>
      <c r="I761" s="557" t="str">
        <f t="shared" si="11"/>
        <v>GooD</v>
      </c>
    </row>
    <row r="762" spans="1:9">
      <c r="A762" s="563" t="s">
        <v>655</v>
      </c>
      <c r="B762" s="563">
        <v>32000</v>
      </c>
      <c r="C762" s="564">
        <v>12</v>
      </c>
      <c r="D762" s="564">
        <v>0.21</v>
      </c>
      <c r="E762" s="564">
        <v>6724</v>
      </c>
      <c r="F762" s="564">
        <v>38724</v>
      </c>
      <c r="G762" s="564">
        <v>960</v>
      </c>
      <c r="H762" s="564">
        <v>3147</v>
      </c>
      <c r="I762" s="557" t="str">
        <f t="shared" si="11"/>
        <v>GooD</v>
      </c>
    </row>
    <row r="763" spans="1:9">
      <c r="A763" s="563" t="s">
        <v>655</v>
      </c>
      <c r="B763" s="563">
        <v>32000</v>
      </c>
      <c r="C763" s="564">
        <v>14</v>
      </c>
      <c r="D763" s="564">
        <v>0.21</v>
      </c>
      <c r="E763" s="564">
        <v>7844</v>
      </c>
      <c r="F763" s="564">
        <v>39844</v>
      </c>
      <c r="G763" s="564">
        <v>1120</v>
      </c>
      <c r="H763" s="564">
        <v>2766</v>
      </c>
      <c r="I763" s="557" t="str">
        <f t="shared" si="11"/>
        <v>GooD</v>
      </c>
    </row>
    <row r="764" spans="1:9" ht="15.75" thickBot="1">
      <c r="A764" s="565" t="s">
        <v>655</v>
      </c>
      <c r="B764" s="565">
        <v>32000</v>
      </c>
      <c r="C764" s="566">
        <v>16</v>
      </c>
      <c r="D764" s="566">
        <v>0.21</v>
      </c>
      <c r="E764" s="566">
        <v>8976</v>
      </c>
      <c r="F764" s="566">
        <v>40976</v>
      </c>
      <c r="G764" s="566">
        <v>1280</v>
      </c>
      <c r="H764" s="566">
        <v>2481</v>
      </c>
      <c r="I764" s="558" t="str">
        <f t="shared" si="11"/>
        <v>GooD</v>
      </c>
    </row>
    <row r="765" spans="1:9" ht="15.75" thickTop="1">
      <c r="A765" s="567" t="s">
        <v>655</v>
      </c>
      <c r="B765" s="567">
        <v>32000</v>
      </c>
      <c r="C765" s="568">
        <v>18</v>
      </c>
      <c r="D765" s="568">
        <v>0.21</v>
      </c>
      <c r="E765" s="568">
        <v>10084</v>
      </c>
      <c r="F765" s="568">
        <v>42084</v>
      </c>
      <c r="G765" s="568">
        <v>1440</v>
      </c>
      <c r="H765" s="568">
        <v>2258</v>
      </c>
      <c r="I765" s="559" t="str">
        <f t="shared" si="11"/>
        <v>GooD</v>
      </c>
    </row>
    <row r="766" spans="1:9">
      <c r="A766" s="563" t="s">
        <v>655</v>
      </c>
      <c r="B766" s="563">
        <v>32000</v>
      </c>
      <c r="C766" s="564">
        <v>20</v>
      </c>
      <c r="D766" s="564">
        <v>0.21</v>
      </c>
      <c r="E766" s="564">
        <v>11220</v>
      </c>
      <c r="F766" s="564">
        <v>43220</v>
      </c>
      <c r="G766" s="564">
        <v>1600</v>
      </c>
      <c r="H766" s="564">
        <v>2081</v>
      </c>
      <c r="I766" s="557" t="str">
        <f t="shared" si="11"/>
        <v>GooD</v>
      </c>
    </row>
    <row r="767" spans="1:9">
      <c r="A767" s="563" t="s">
        <v>655</v>
      </c>
      <c r="B767" s="563">
        <v>32000</v>
      </c>
      <c r="C767" s="564">
        <v>22</v>
      </c>
      <c r="D767" s="564">
        <v>0.21</v>
      </c>
      <c r="E767" s="564">
        <v>12330</v>
      </c>
      <c r="F767" s="564">
        <v>44330</v>
      </c>
      <c r="G767" s="564">
        <v>1760</v>
      </c>
      <c r="H767" s="564">
        <v>1935</v>
      </c>
      <c r="I767" s="557" t="str">
        <f t="shared" si="11"/>
        <v>GooD</v>
      </c>
    </row>
    <row r="768" spans="1:9">
      <c r="A768" s="563" t="s">
        <v>655</v>
      </c>
      <c r="B768" s="563">
        <v>32000</v>
      </c>
      <c r="C768" s="564">
        <v>24</v>
      </c>
      <c r="D768" s="564">
        <v>0.21</v>
      </c>
      <c r="E768" s="564">
        <v>13456</v>
      </c>
      <c r="F768" s="564">
        <v>45456</v>
      </c>
      <c r="G768" s="564">
        <v>1920</v>
      </c>
      <c r="H768" s="564">
        <v>1814</v>
      </c>
      <c r="I768" s="557" t="str">
        <f t="shared" si="11"/>
        <v>GooD</v>
      </c>
    </row>
    <row r="769" spans="1:9" ht="15.75" thickBot="1">
      <c r="A769" s="565" t="s">
        <v>655</v>
      </c>
      <c r="B769" s="565">
        <v>33000</v>
      </c>
      <c r="C769" s="566">
        <v>6</v>
      </c>
      <c r="D769" s="566">
        <v>0.21</v>
      </c>
      <c r="E769" s="566">
        <v>3471</v>
      </c>
      <c r="F769" s="566">
        <v>36471</v>
      </c>
      <c r="G769" s="566">
        <v>495</v>
      </c>
      <c r="H769" s="566">
        <v>5996</v>
      </c>
      <c r="I769" s="558" t="str">
        <f t="shared" si="11"/>
        <v>GooD</v>
      </c>
    </row>
    <row r="770" spans="1:9" ht="15.75" thickTop="1">
      <c r="A770" s="567" t="s">
        <v>655</v>
      </c>
      <c r="B770" s="567">
        <v>33000</v>
      </c>
      <c r="C770" s="568">
        <v>8</v>
      </c>
      <c r="D770" s="568">
        <v>0.21</v>
      </c>
      <c r="E770" s="568">
        <v>4628</v>
      </c>
      <c r="F770" s="568">
        <v>37628</v>
      </c>
      <c r="G770" s="568">
        <v>660</v>
      </c>
      <c r="H770" s="568">
        <v>4621</v>
      </c>
      <c r="I770" s="559" t="str">
        <f t="shared" si="11"/>
        <v>GooD</v>
      </c>
    </row>
    <row r="771" spans="1:9">
      <c r="A771" s="563" t="s">
        <v>655</v>
      </c>
      <c r="B771" s="563">
        <v>33000</v>
      </c>
      <c r="C771" s="564">
        <v>10</v>
      </c>
      <c r="D771" s="564">
        <v>0.21</v>
      </c>
      <c r="E771" s="564">
        <v>5785</v>
      </c>
      <c r="F771" s="564">
        <v>38785</v>
      </c>
      <c r="G771" s="564">
        <v>825</v>
      </c>
      <c r="H771" s="564">
        <v>3796</v>
      </c>
      <c r="I771" s="557" t="str">
        <f t="shared" si="11"/>
        <v>GooD</v>
      </c>
    </row>
    <row r="772" spans="1:9">
      <c r="A772" s="563" t="s">
        <v>655</v>
      </c>
      <c r="B772" s="563">
        <v>33000</v>
      </c>
      <c r="C772" s="564">
        <v>12</v>
      </c>
      <c r="D772" s="564">
        <v>0.21</v>
      </c>
      <c r="E772" s="564">
        <v>6942</v>
      </c>
      <c r="F772" s="564">
        <v>39942</v>
      </c>
      <c r="G772" s="564">
        <v>990</v>
      </c>
      <c r="H772" s="564">
        <v>3246</v>
      </c>
      <c r="I772" s="557" t="str">
        <f t="shared" si="11"/>
        <v>GooD</v>
      </c>
    </row>
    <row r="773" spans="1:9">
      <c r="A773" s="563" t="s">
        <v>655</v>
      </c>
      <c r="B773" s="563">
        <v>33000</v>
      </c>
      <c r="C773" s="564">
        <v>14</v>
      </c>
      <c r="D773" s="564">
        <v>0.21</v>
      </c>
      <c r="E773" s="564">
        <v>8097</v>
      </c>
      <c r="F773" s="564">
        <v>41097</v>
      </c>
      <c r="G773" s="564">
        <v>1155</v>
      </c>
      <c r="H773" s="564">
        <v>2853</v>
      </c>
      <c r="I773" s="557" t="str">
        <f t="shared" si="11"/>
        <v>GooD</v>
      </c>
    </row>
    <row r="774" spans="1:9" ht="15.75" thickBot="1">
      <c r="A774" s="565" t="s">
        <v>655</v>
      </c>
      <c r="B774" s="565">
        <v>33000</v>
      </c>
      <c r="C774" s="566">
        <v>16</v>
      </c>
      <c r="D774" s="566">
        <v>0.21</v>
      </c>
      <c r="E774" s="566">
        <v>9248</v>
      </c>
      <c r="F774" s="566">
        <v>42248</v>
      </c>
      <c r="G774" s="566">
        <v>1320</v>
      </c>
      <c r="H774" s="566">
        <v>2558</v>
      </c>
      <c r="I774" s="558" t="str">
        <f t="shared" si="11"/>
        <v>GooD</v>
      </c>
    </row>
    <row r="775" spans="1:9" ht="15.75" thickTop="1">
      <c r="A775" s="567" t="s">
        <v>655</v>
      </c>
      <c r="B775" s="567">
        <v>33000</v>
      </c>
      <c r="C775" s="568">
        <v>18</v>
      </c>
      <c r="D775" s="568">
        <v>0.21</v>
      </c>
      <c r="E775" s="568">
        <v>10407</v>
      </c>
      <c r="F775" s="568">
        <v>43407</v>
      </c>
      <c r="G775" s="568">
        <v>1485</v>
      </c>
      <c r="H775" s="568">
        <v>2329</v>
      </c>
      <c r="I775" s="559" t="str">
        <f t="shared" si="11"/>
        <v>GooD</v>
      </c>
    </row>
    <row r="776" spans="1:9">
      <c r="A776" s="563" t="s">
        <v>655</v>
      </c>
      <c r="B776" s="563">
        <v>33000</v>
      </c>
      <c r="C776" s="564">
        <v>20</v>
      </c>
      <c r="D776" s="564">
        <v>0.21</v>
      </c>
      <c r="E776" s="564">
        <v>11570</v>
      </c>
      <c r="F776" s="564">
        <v>44570</v>
      </c>
      <c r="G776" s="564">
        <v>1650</v>
      </c>
      <c r="H776" s="564">
        <v>2146</v>
      </c>
      <c r="I776" s="557" t="str">
        <f t="shared" si="11"/>
        <v>GooD</v>
      </c>
    </row>
    <row r="777" spans="1:9">
      <c r="A777" s="563" t="s">
        <v>655</v>
      </c>
      <c r="B777" s="563">
        <v>33000</v>
      </c>
      <c r="C777" s="564">
        <v>22</v>
      </c>
      <c r="D777" s="564">
        <v>0.21</v>
      </c>
      <c r="E777" s="564">
        <v>12727</v>
      </c>
      <c r="F777" s="564">
        <v>45727</v>
      </c>
      <c r="G777" s="564">
        <v>1815</v>
      </c>
      <c r="H777" s="564">
        <v>1996</v>
      </c>
      <c r="I777" s="557" t="str">
        <f t="shared" si="11"/>
        <v>GooD</v>
      </c>
    </row>
    <row r="778" spans="1:9">
      <c r="A778" s="563" t="s">
        <v>655</v>
      </c>
      <c r="B778" s="563">
        <v>33000</v>
      </c>
      <c r="C778" s="564">
        <v>24</v>
      </c>
      <c r="D778" s="564">
        <v>0.21</v>
      </c>
      <c r="E778" s="564">
        <v>13884</v>
      </c>
      <c r="F778" s="564">
        <v>46884</v>
      </c>
      <c r="G778" s="564">
        <v>1980</v>
      </c>
      <c r="H778" s="564">
        <v>1871</v>
      </c>
      <c r="I778" s="557" t="str">
        <f t="shared" si="11"/>
        <v>GooD</v>
      </c>
    </row>
    <row r="779" spans="1:9" ht="15.75" thickBot="1">
      <c r="A779" s="565" t="s">
        <v>655</v>
      </c>
      <c r="B779" s="565">
        <v>34000</v>
      </c>
      <c r="C779" s="566">
        <v>6</v>
      </c>
      <c r="D779" s="566">
        <v>0.21</v>
      </c>
      <c r="E779" s="566">
        <v>3572</v>
      </c>
      <c r="F779" s="566">
        <v>37572</v>
      </c>
      <c r="G779" s="566">
        <v>510</v>
      </c>
      <c r="H779" s="566">
        <v>6177</v>
      </c>
      <c r="I779" s="558" t="str">
        <f t="shared" si="11"/>
        <v>GooD</v>
      </c>
    </row>
    <row r="780" spans="1:9" ht="15.75" thickTop="1">
      <c r="A780" s="567" t="s">
        <v>655</v>
      </c>
      <c r="B780" s="567">
        <v>34000</v>
      </c>
      <c r="C780" s="568">
        <v>8</v>
      </c>
      <c r="D780" s="568">
        <v>0.21</v>
      </c>
      <c r="E780" s="568">
        <v>4768</v>
      </c>
      <c r="F780" s="568">
        <v>38768</v>
      </c>
      <c r="G780" s="568">
        <v>680</v>
      </c>
      <c r="H780" s="568">
        <v>4761</v>
      </c>
      <c r="I780" s="559" t="str">
        <f t="shared" si="11"/>
        <v>GooD</v>
      </c>
    </row>
    <row r="781" spans="1:9">
      <c r="A781" s="563" t="s">
        <v>655</v>
      </c>
      <c r="B781" s="563">
        <v>34000</v>
      </c>
      <c r="C781" s="564">
        <v>10</v>
      </c>
      <c r="D781" s="564">
        <v>0.21</v>
      </c>
      <c r="E781" s="564">
        <v>5960</v>
      </c>
      <c r="F781" s="564">
        <v>39960</v>
      </c>
      <c r="G781" s="564">
        <v>850</v>
      </c>
      <c r="H781" s="564">
        <v>3911</v>
      </c>
      <c r="I781" s="557" t="str">
        <f t="shared" ref="I781:I845" si="12">IF(((H781*C781)+G781)=F781,"GooD","لالالالالالالا")</f>
        <v>GooD</v>
      </c>
    </row>
    <row r="782" spans="1:9">
      <c r="A782" s="563" t="s">
        <v>655</v>
      </c>
      <c r="B782" s="563">
        <v>34000</v>
      </c>
      <c r="C782" s="564">
        <v>12</v>
      </c>
      <c r="D782" s="564">
        <v>0.21</v>
      </c>
      <c r="E782" s="564">
        <v>7148</v>
      </c>
      <c r="F782" s="564">
        <v>41148</v>
      </c>
      <c r="G782" s="564">
        <v>1020</v>
      </c>
      <c r="H782" s="564">
        <v>3344</v>
      </c>
      <c r="I782" s="557" t="str">
        <f t="shared" si="12"/>
        <v>GooD</v>
      </c>
    </row>
    <row r="783" spans="1:9">
      <c r="A783" s="563" t="s">
        <v>655</v>
      </c>
      <c r="B783" s="563">
        <v>34000</v>
      </c>
      <c r="C783" s="564">
        <v>14</v>
      </c>
      <c r="D783" s="564">
        <v>0.21</v>
      </c>
      <c r="E783" s="564">
        <v>8336</v>
      </c>
      <c r="F783" s="564">
        <v>42336</v>
      </c>
      <c r="G783" s="564">
        <v>1190</v>
      </c>
      <c r="H783" s="564">
        <v>2939</v>
      </c>
      <c r="I783" s="557" t="str">
        <f t="shared" si="12"/>
        <v>GooD</v>
      </c>
    </row>
    <row r="784" spans="1:9" ht="15.75" thickBot="1">
      <c r="A784" s="565" t="s">
        <v>655</v>
      </c>
      <c r="B784" s="565">
        <v>34000</v>
      </c>
      <c r="C784" s="566">
        <v>16</v>
      </c>
      <c r="D784" s="566">
        <v>0.21</v>
      </c>
      <c r="E784" s="566">
        <v>9536</v>
      </c>
      <c r="F784" s="566">
        <v>43536</v>
      </c>
      <c r="G784" s="566">
        <v>1360</v>
      </c>
      <c r="H784" s="566">
        <v>2636</v>
      </c>
      <c r="I784" s="558" t="str">
        <f t="shared" si="12"/>
        <v>GooD</v>
      </c>
    </row>
    <row r="785" spans="1:9" ht="15.75" thickTop="1">
      <c r="A785" s="567" t="s">
        <v>655</v>
      </c>
      <c r="B785" s="567">
        <v>34000</v>
      </c>
      <c r="C785" s="568">
        <v>18</v>
      </c>
      <c r="D785" s="568">
        <v>0.21</v>
      </c>
      <c r="E785" s="568">
        <v>10712</v>
      </c>
      <c r="F785" s="568">
        <v>44712</v>
      </c>
      <c r="G785" s="568">
        <v>1530</v>
      </c>
      <c r="H785" s="568">
        <v>2399</v>
      </c>
      <c r="I785" s="559" t="str">
        <f t="shared" si="12"/>
        <v>GooD</v>
      </c>
    </row>
    <row r="786" spans="1:9">
      <c r="A786" s="563" t="s">
        <v>655</v>
      </c>
      <c r="B786" s="563">
        <v>34000</v>
      </c>
      <c r="C786" s="564">
        <v>20</v>
      </c>
      <c r="D786" s="564">
        <v>0.21</v>
      </c>
      <c r="E786" s="564">
        <v>11920</v>
      </c>
      <c r="F786" s="564">
        <v>45920</v>
      </c>
      <c r="G786" s="564">
        <v>1700</v>
      </c>
      <c r="H786" s="564">
        <v>2211</v>
      </c>
      <c r="I786" s="557" t="str">
        <f t="shared" si="12"/>
        <v>GooD</v>
      </c>
    </row>
    <row r="787" spans="1:9">
      <c r="A787" s="563" t="s">
        <v>655</v>
      </c>
      <c r="B787" s="563">
        <v>34000</v>
      </c>
      <c r="C787" s="564">
        <v>22</v>
      </c>
      <c r="D787" s="564">
        <v>0.21</v>
      </c>
      <c r="E787" s="564">
        <v>13102</v>
      </c>
      <c r="F787" s="564">
        <v>47102</v>
      </c>
      <c r="G787" s="564">
        <v>1870</v>
      </c>
      <c r="H787" s="564">
        <v>2056</v>
      </c>
      <c r="I787" s="557" t="str">
        <f t="shared" si="12"/>
        <v>GooD</v>
      </c>
    </row>
    <row r="788" spans="1:9">
      <c r="A788" s="563" t="s">
        <v>655</v>
      </c>
      <c r="B788" s="563">
        <v>34000</v>
      </c>
      <c r="C788" s="564">
        <v>24</v>
      </c>
      <c r="D788" s="564">
        <v>0.21</v>
      </c>
      <c r="E788" s="564">
        <v>14288</v>
      </c>
      <c r="F788" s="564">
        <v>48288</v>
      </c>
      <c r="G788" s="564">
        <v>2040</v>
      </c>
      <c r="H788" s="564">
        <v>1927</v>
      </c>
      <c r="I788" s="557" t="str">
        <f t="shared" si="12"/>
        <v>GooD</v>
      </c>
    </row>
    <row r="789" spans="1:9" ht="15.75" thickBot="1">
      <c r="A789" s="565" t="s">
        <v>655</v>
      </c>
      <c r="B789" s="565">
        <v>35000</v>
      </c>
      <c r="C789" s="566">
        <v>6</v>
      </c>
      <c r="D789" s="566">
        <v>0.21</v>
      </c>
      <c r="E789" s="566">
        <v>3679</v>
      </c>
      <c r="F789" s="566">
        <v>38679</v>
      </c>
      <c r="G789" s="566">
        <v>525</v>
      </c>
      <c r="H789" s="566">
        <v>6359</v>
      </c>
      <c r="I789" s="558" t="str">
        <f t="shared" si="12"/>
        <v>GooD</v>
      </c>
    </row>
    <row r="790" spans="1:9" ht="15.75" thickTop="1">
      <c r="A790" s="567" t="s">
        <v>655</v>
      </c>
      <c r="B790" s="567">
        <v>35000</v>
      </c>
      <c r="C790" s="568">
        <v>8</v>
      </c>
      <c r="D790" s="568">
        <v>0.21</v>
      </c>
      <c r="E790" s="568">
        <v>4908</v>
      </c>
      <c r="F790" s="568">
        <v>39908</v>
      </c>
      <c r="G790" s="568">
        <v>700</v>
      </c>
      <c r="H790" s="568">
        <v>4901</v>
      </c>
      <c r="I790" s="559" t="str">
        <f t="shared" si="12"/>
        <v>GooD</v>
      </c>
    </row>
    <row r="791" spans="1:9">
      <c r="A791" s="563" t="s">
        <v>655</v>
      </c>
      <c r="B791" s="563">
        <v>35000</v>
      </c>
      <c r="C791" s="564">
        <v>10</v>
      </c>
      <c r="D791" s="564">
        <v>0.21</v>
      </c>
      <c r="E791" s="564">
        <v>6135</v>
      </c>
      <c r="F791" s="564">
        <v>41135</v>
      </c>
      <c r="G791" s="564">
        <v>875</v>
      </c>
      <c r="H791" s="564">
        <v>4026</v>
      </c>
      <c r="I791" s="557" t="str">
        <f t="shared" si="12"/>
        <v>GooD</v>
      </c>
    </row>
    <row r="792" spans="1:9">
      <c r="A792" s="563" t="s">
        <v>655</v>
      </c>
      <c r="B792" s="563">
        <v>35000</v>
      </c>
      <c r="C792" s="564">
        <v>12</v>
      </c>
      <c r="D792" s="564">
        <v>0.21</v>
      </c>
      <c r="E792" s="564">
        <v>7354</v>
      </c>
      <c r="F792" s="564">
        <v>42354</v>
      </c>
      <c r="G792" s="564">
        <v>1050</v>
      </c>
      <c r="H792" s="564">
        <v>3442</v>
      </c>
      <c r="I792" s="557" t="str">
        <f t="shared" si="12"/>
        <v>GooD</v>
      </c>
    </row>
    <row r="793" spans="1:9">
      <c r="A793" s="563" t="s">
        <v>655</v>
      </c>
      <c r="B793" s="563">
        <v>35000</v>
      </c>
      <c r="C793" s="564">
        <v>14</v>
      </c>
      <c r="D793" s="564">
        <v>0.21</v>
      </c>
      <c r="E793" s="564">
        <v>8589</v>
      </c>
      <c r="F793" s="564">
        <v>43589</v>
      </c>
      <c r="G793" s="564">
        <v>1225</v>
      </c>
      <c r="H793" s="564">
        <v>3026</v>
      </c>
      <c r="I793" s="557" t="str">
        <f t="shared" si="12"/>
        <v>GooD</v>
      </c>
    </row>
    <row r="794" spans="1:9" ht="15.75" thickBot="1">
      <c r="A794" s="565" t="s">
        <v>655</v>
      </c>
      <c r="B794" s="565">
        <v>35000</v>
      </c>
      <c r="C794" s="566">
        <v>16</v>
      </c>
      <c r="D794" s="566">
        <v>0.21</v>
      </c>
      <c r="E794" s="566">
        <v>9808</v>
      </c>
      <c r="F794" s="566">
        <v>44808</v>
      </c>
      <c r="G794" s="566">
        <v>1400</v>
      </c>
      <c r="H794" s="566">
        <v>2713</v>
      </c>
      <c r="I794" s="558" t="str">
        <f t="shared" si="12"/>
        <v>GooD</v>
      </c>
    </row>
    <row r="795" spans="1:9" ht="15.75" thickTop="1">
      <c r="A795" s="567" t="s">
        <v>655</v>
      </c>
      <c r="B795" s="567">
        <v>35000</v>
      </c>
      <c r="C795" s="568">
        <v>18</v>
      </c>
      <c r="D795" s="568">
        <v>0.21</v>
      </c>
      <c r="E795" s="568">
        <v>11035</v>
      </c>
      <c r="F795" s="568">
        <v>46035</v>
      </c>
      <c r="G795" s="568">
        <v>1575</v>
      </c>
      <c r="H795" s="568">
        <v>2470</v>
      </c>
      <c r="I795" s="559" t="str">
        <f t="shared" si="12"/>
        <v>GooD</v>
      </c>
    </row>
    <row r="796" spans="1:9">
      <c r="A796" s="563" t="s">
        <v>655</v>
      </c>
      <c r="B796" s="563">
        <v>35000</v>
      </c>
      <c r="C796" s="564">
        <v>20</v>
      </c>
      <c r="D796" s="564">
        <v>0.21</v>
      </c>
      <c r="E796" s="564">
        <v>12270</v>
      </c>
      <c r="F796" s="564">
        <v>47270</v>
      </c>
      <c r="G796" s="564">
        <v>1750</v>
      </c>
      <c r="H796" s="564">
        <v>2276</v>
      </c>
      <c r="I796" s="557" t="str">
        <f t="shared" si="12"/>
        <v>GooD</v>
      </c>
    </row>
    <row r="797" spans="1:9">
      <c r="A797" s="563" t="s">
        <v>655</v>
      </c>
      <c r="B797" s="563">
        <v>35000</v>
      </c>
      <c r="C797" s="564">
        <v>22</v>
      </c>
      <c r="D797" s="564">
        <v>0.21</v>
      </c>
      <c r="E797" s="564">
        <v>13477</v>
      </c>
      <c r="F797" s="564">
        <v>48477</v>
      </c>
      <c r="G797" s="564">
        <v>1925</v>
      </c>
      <c r="H797" s="564">
        <v>2116</v>
      </c>
      <c r="I797" s="557" t="str">
        <f t="shared" si="12"/>
        <v>GooD</v>
      </c>
    </row>
    <row r="798" spans="1:9">
      <c r="A798" s="563" t="s">
        <v>655</v>
      </c>
      <c r="B798" s="563">
        <v>35000</v>
      </c>
      <c r="C798" s="564">
        <v>24</v>
      </c>
      <c r="D798" s="564">
        <v>0.21</v>
      </c>
      <c r="E798" s="564">
        <v>14716</v>
      </c>
      <c r="F798" s="564">
        <v>49716</v>
      </c>
      <c r="G798" s="564">
        <v>2100</v>
      </c>
      <c r="H798" s="564">
        <v>1984</v>
      </c>
      <c r="I798" s="557" t="str">
        <f t="shared" si="12"/>
        <v>GooD</v>
      </c>
    </row>
    <row r="799" spans="1:9" ht="15.75" thickBot="1">
      <c r="A799" s="565" t="s">
        <v>655</v>
      </c>
      <c r="B799" s="565">
        <v>36000</v>
      </c>
      <c r="C799" s="566">
        <v>6</v>
      </c>
      <c r="D799" s="566">
        <v>0.21</v>
      </c>
      <c r="E799" s="566">
        <v>3786</v>
      </c>
      <c r="F799" s="566">
        <v>39786</v>
      </c>
      <c r="G799" s="566">
        <v>540</v>
      </c>
      <c r="H799" s="566">
        <v>6541</v>
      </c>
      <c r="I799" s="558" t="str">
        <f t="shared" si="12"/>
        <v>GooD</v>
      </c>
    </row>
    <row r="800" spans="1:9" ht="15.75" thickTop="1">
      <c r="A800" s="567" t="s">
        <v>655</v>
      </c>
      <c r="B800" s="567">
        <v>36000</v>
      </c>
      <c r="C800" s="568">
        <v>8</v>
      </c>
      <c r="D800" s="568">
        <v>0.21</v>
      </c>
      <c r="E800" s="568">
        <v>5048</v>
      </c>
      <c r="F800" s="568">
        <v>41048</v>
      </c>
      <c r="G800" s="568">
        <v>720</v>
      </c>
      <c r="H800" s="568">
        <v>5041</v>
      </c>
      <c r="I800" s="559" t="str">
        <f t="shared" si="12"/>
        <v>GooD</v>
      </c>
    </row>
    <row r="801" spans="1:9">
      <c r="A801" s="563" t="s">
        <v>655</v>
      </c>
      <c r="B801" s="563">
        <v>36000</v>
      </c>
      <c r="C801" s="564">
        <v>10</v>
      </c>
      <c r="D801" s="564">
        <v>0.21</v>
      </c>
      <c r="E801" s="564">
        <v>6310</v>
      </c>
      <c r="F801" s="564">
        <v>42310</v>
      </c>
      <c r="G801" s="564">
        <v>900</v>
      </c>
      <c r="H801" s="564">
        <v>4141</v>
      </c>
      <c r="I801" s="557" t="str">
        <f t="shared" si="12"/>
        <v>GooD</v>
      </c>
    </row>
    <row r="802" spans="1:9">
      <c r="A802" s="563" t="s">
        <v>655</v>
      </c>
      <c r="B802" s="563">
        <v>36000</v>
      </c>
      <c r="C802" s="564">
        <v>12</v>
      </c>
      <c r="D802" s="564">
        <v>0.21</v>
      </c>
      <c r="E802" s="564">
        <v>7572</v>
      </c>
      <c r="F802" s="564">
        <v>43572</v>
      </c>
      <c r="G802" s="564">
        <v>1080</v>
      </c>
      <c r="H802" s="564">
        <v>3541</v>
      </c>
      <c r="I802" s="557" t="str">
        <f t="shared" si="12"/>
        <v>GooD</v>
      </c>
    </row>
    <row r="803" spans="1:9">
      <c r="A803" s="563" t="s">
        <v>655</v>
      </c>
      <c r="B803" s="563">
        <v>36000</v>
      </c>
      <c r="C803" s="564">
        <v>14</v>
      </c>
      <c r="D803" s="564">
        <v>0.21</v>
      </c>
      <c r="E803" s="564">
        <v>8828</v>
      </c>
      <c r="F803" s="564">
        <v>44828</v>
      </c>
      <c r="G803" s="564">
        <v>1260</v>
      </c>
      <c r="H803" s="564">
        <v>3112</v>
      </c>
      <c r="I803" s="557" t="str">
        <f t="shared" si="12"/>
        <v>GooD</v>
      </c>
    </row>
    <row r="804" spans="1:9" ht="15.75" thickBot="1">
      <c r="A804" s="565" t="s">
        <v>655</v>
      </c>
      <c r="B804" s="565">
        <v>36000</v>
      </c>
      <c r="C804" s="566">
        <v>16</v>
      </c>
      <c r="D804" s="566">
        <v>0.21</v>
      </c>
      <c r="E804" s="566">
        <v>10096</v>
      </c>
      <c r="F804" s="566">
        <v>46096</v>
      </c>
      <c r="G804" s="566">
        <v>1440</v>
      </c>
      <c r="H804" s="566">
        <v>2791</v>
      </c>
      <c r="I804" s="558" t="str">
        <f t="shared" si="12"/>
        <v>GooD</v>
      </c>
    </row>
    <row r="805" spans="1:9" ht="15.75" thickTop="1">
      <c r="A805" s="567" t="s">
        <v>655</v>
      </c>
      <c r="B805" s="567">
        <v>36000</v>
      </c>
      <c r="C805" s="568">
        <v>18</v>
      </c>
      <c r="D805" s="568">
        <v>0.21</v>
      </c>
      <c r="E805" s="568">
        <v>11358</v>
      </c>
      <c r="F805" s="568">
        <v>47358</v>
      </c>
      <c r="G805" s="568">
        <v>1620</v>
      </c>
      <c r="H805" s="568">
        <v>2541</v>
      </c>
      <c r="I805" s="559" t="str">
        <f t="shared" si="12"/>
        <v>GooD</v>
      </c>
    </row>
    <row r="806" spans="1:9">
      <c r="A806" s="563" t="s">
        <v>655</v>
      </c>
      <c r="B806" s="563">
        <v>36000</v>
      </c>
      <c r="C806" s="564">
        <v>20</v>
      </c>
      <c r="D806" s="564">
        <v>0.21</v>
      </c>
      <c r="E806" s="564">
        <v>12620</v>
      </c>
      <c r="F806" s="564">
        <v>48620</v>
      </c>
      <c r="G806" s="564">
        <v>1800</v>
      </c>
      <c r="H806" s="564">
        <v>2341</v>
      </c>
      <c r="I806" s="557" t="str">
        <f t="shared" si="12"/>
        <v>GooD</v>
      </c>
    </row>
    <row r="807" spans="1:9">
      <c r="A807" s="563" t="s">
        <v>655</v>
      </c>
      <c r="B807" s="563">
        <v>36000</v>
      </c>
      <c r="C807" s="564">
        <v>22</v>
      </c>
      <c r="D807" s="564">
        <v>0.21</v>
      </c>
      <c r="E807" s="564">
        <v>13874</v>
      </c>
      <c r="F807" s="564">
        <v>49874</v>
      </c>
      <c r="G807" s="564">
        <v>1980</v>
      </c>
      <c r="H807" s="564">
        <v>2177</v>
      </c>
      <c r="I807" s="557" t="str">
        <f t="shared" si="12"/>
        <v>GooD</v>
      </c>
    </row>
    <row r="808" spans="1:9">
      <c r="A808" s="563" t="s">
        <v>655</v>
      </c>
      <c r="B808" s="563">
        <v>36000</v>
      </c>
      <c r="C808" s="564">
        <v>24</v>
      </c>
      <c r="D808" s="564">
        <v>0.21</v>
      </c>
      <c r="E808" s="564">
        <v>15144</v>
      </c>
      <c r="F808" s="564">
        <v>51144</v>
      </c>
      <c r="G808" s="564">
        <v>2160</v>
      </c>
      <c r="H808" s="564">
        <v>2041</v>
      </c>
      <c r="I808" s="557" t="str">
        <f t="shared" si="12"/>
        <v>GooD</v>
      </c>
    </row>
    <row r="809" spans="1:9" ht="15.75" thickBot="1">
      <c r="A809" s="565" t="s">
        <v>655</v>
      </c>
      <c r="B809" s="565">
        <v>37000</v>
      </c>
      <c r="C809" s="566">
        <v>6</v>
      </c>
      <c r="D809" s="566">
        <v>0.21</v>
      </c>
      <c r="E809" s="566">
        <v>3887</v>
      </c>
      <c r="F809" s="566">
        <v>40887</v>
      </c>
      <c r="G809" s="566">
        <v>555</v>
      </c>
      <c r="H809" s="566">
        <v>6722</v>
      </c>
      <c r="I809" s="558" t="str">
        <f t="shared" si="12"/>
        <v>GooD</v>
      </c>
    </row>
    <row r="810" spans="1:9" ht="15.75" thickTop="1">
      <c r="A810" s="567" t="s">
        <v>655</v>
      </c>
      <c r="B810" s="567">
        <v>37000</v>
      </c>
      <c r="C810" s="568">
        <v>8</v>
      </c>
      <c r="D810" s="568">
        <v>0.21</v>
      </c>
      <c r="E810" s="568">
        <v>5188</v>
      </c>
      <c r="F810" s="568">
        <v>42188</v>
      </c>
      <c r="G810" s="568">
        <v>740</v>
      </c>
      <c r="H810" s="568">
        <v>5181</v>
      </c>
      <c r="I810" s="559" t="str">
        <f t="shared" si="12"/>
        <v>GooD</v>
      </c>
    </row>
    <row r="811" spans="1:9">
      <c r="A811" s="563" t="s">
        <v>655</v>
      </c>
      <c r="B811" s="563">
        <v>37000</v>
      </c>
      <c r="C811" s="564">
        <v>10</v>
      </c>
      <c r="D811" s="564">
        <v>0.21</v>
      </c>
      <c r="E811" s="564">
        <v>6485</v>
      </c>
      <c r="F811" s="564">
        <v>43485</v>
      </c>
      <c r="G811" s="564">
        <v>925</v>
      </c>
      <c r="H811" s="564">
        <v>4256</v>
      </c>
      <c r="I811" s="557" t="str">
        <f t="shared" si="12"/>
        <v>GooD</v>
      </c>
    </row>
    <row r="812" spans="1:9">
      <c r="A812" s="563" t="s">
        <v>655</v>
      </c>
      <c r="B812" s="563">
        <v>37000</v>
      </c>
      <c r="C812" s="564">
        <v>12</v>
      </c>
      <c r="D812" s="564">
        <v>0.21</v>
      </c>
      <c r="E812" s="564">
        <v>7778</v>
      </c>
      <c r="F812" s="564">
        <v>44778</v>
      </c>
      <c r="G812" s="564">
        <v>1110</v>
      </c>
      <c r="H812" s="564">
        <v>3639</v>
      </c>
      <c r="I812" s="557" t="str">
        <f t="shared" si="12"/>
        <v>GooD</v>
      </c>
    </row>
    <row r="813" spans="1:9">
      <c r="A813" s="563" t="s">
        <v>655</v>
      </c>
      <c r="B813" s="563">
        <v>37000</v>
      </c>
      <c r="C813" s="564">
        <v>14</v>
      </c>
      <c r="D813" s="564">
        <v>0.21</v>
      </c>
      <c r="E813" s="564">
        <v>9067</v>
      </c>
      <c r="F813" s="564">
        <v>46067</v>
      </c>
      <c r="G813" s="564">
        <v>1295</v>
      </c>
      <c r="H813" s="564">
        <v>3198</v>
      </c>
      <c r="I813" s="557" t="str">
        <f t="shared" si="12"/>
        <v>GooD</v>
      </c>
    </row>
    <row r="814" spans="1:9" ht="15.75" thickBot="1">
      <c r="A814" s="565" t="s">
        <v>655</v>
      </c>
      <c r="B814" s="565">
        <v>37000</v>
      </c>
      <c r="C814" s="566">
        <v>16</v>
      </c>
      <c r="D814" s="566">
        <v>0.21</v>
      </c>
      <c r="E814" s="566">
        <v>10368</v>
      </c>
      <c r="F814" s="566">
        <v>47368</v>
      </c>
      <c r="G814" s="566">
        <v>1480</v>
      </c>
      <c r="H814" s="566">
        <v>2868</v>
      </c>
      <c r="I814" s="558" t="str">
        <f t="shared" si="12"/>
        <v>GooD</v>
      </c>
    </row>
    <row r="815" spans="1:9" ht="15.75" thickTop="1">
      <c r="A815" s="567" t="s">
        <v>655</v>
      </c>
      <c r="B815" s="567">
        <v>37000</v>
      </c>
      <c r="C815" s="568">
        <v>18</v>
      </c>
      <c r="D815" s="568">
        <v>0.21</v>
      </c>
      <c r="E815" s="568">
        <v>11663</v>
      </c>
      <c r="F815" s="568">
        <v>48663</v>
      </c>
      <c r="G815" s="568">
        <v>1665</v>
      </c>
      <c r="H815" s="568">
        <v>2611</v>
      </c>
      <c r="I815" s="559" t="str">
        <f t="shared" si="12"/>
        <v>GooD</v>
      </c>
    </row>
    <row r="816" spans="1:9">
      <c r="A816" s="563" t="s">
        <v>655</v>
      </c>
      <c r="B816" s="563">
        <v>37000</v>
      </c>
      <c r="C816" s="564">
        <v>20</v>
      </c>
      <c r="D816" s="564">
        <v>0.21</v>
      </c>
      <c r="E816" s="564">
        <v>12970</v>
      </c>
      <c r="F816" s="564">
        <v>49970</v>
      </c>
      <c r="G816" s="564">
        <v>1850</v>
      </c>
      <c r="H816" s="564">
        <v>2406</v>
      </c>
      <c r="I816" s="557" t="str">
        <f t="shared" si="12"/>
        <v>GooD</v>
      </c>
    </row>
    <row r="817" spans="1:9">
      <c r="A817" s="563" t="s">
        <v>655</v>
      </c>
      <c r="B817" s="563">
        <v>37000</v>
      </c>
      <c r="C817" s="564">
        <v>22</v>
      </c>
      <c r="D817" s="564">
        <v>0.21</v>
      </c>
      <c r="E817" s="564">
        <v>14249</v>
      </c>
      <c r="F817" s="564">
        <v>51249</v>
      </c>
      <c r="G817" s="564">
        <v>2035</v>
      </c>
      <c r="H817" s="564">
        <v>2237</v>
      </c>
      <c r="I817" s="557" t="str">
        <f t="shared" si="12"/>
        <v>GooD</v>
      </c>
    </row>
    <row r="818" spans="1:9">
      <c r="A818" s="563" t="s">
        <v>655</v>
      </c>
      <c r="B818" s="563">
        <v>37000</v>
      </c>
      <c r="C818" s="564">
        <v>24</v>
      </c>
      <c r="D818" s="564">
        <v>0.21</v>
      </c>
      <c r="E818" s="564">
        <v>15548</v>
      </c>
      <c r="F818" s="564">
        <v>52548</v>
      </c>
      <c r="G818" s="564">
        <v>2220</v>
      </c>
      <c r="H818" s="564">
        <v>2097</v>
      </c>
      <c r="I818" s="557" t="str">
        <f t="shared" si="12"/>
        <v>GooD</v>
      </c>
    </row>
    <row r="819" spans="1:9" ht="15.75" thickBot="1">
      <c r="A819" s="565" t="s">
        <v>655</v>
      </c>
      <c r="B819" s="565">
        <v>38000</v>
      </c>
      <c r="C819" s="566">
        <v>6</v>
      </c>
      <c r="D819" s="566">
        <v>0.21</v>
      </c>
      <c r="E819" s="566">
        <v>3994</v>
      </c>
      <c r="F819" s="566">
        <v>41994</v>
      </c>
      <c r="G819" s="566">
        <v>570</v>
      </c>
      <c r="H819" s="566">
        <v>6904</v>
      </c>
      <c r="I819" s="558" t="str">
        <f t="shared" si="12"/>
        <v>GooD</v>
      </c>
    </row>
    <row r="820" spans="1:9" ht="15.75" thickTop="1">
      <c r="A820" s="567" t="s">
        <v>655</v>
      </c>
      <c r="B820" s="567">
        <v>38000</v>
      </c>
      <c r="C820" s="568">
        <v>8</v>
      </c>
      <c r="D820" s="568">
        <v>0.21</v>
      </c>
      <c r="E820" s="568">
        <v>5328</v>
      </c>
      <c r="F820" s="568">
        <v>43328</v>
      </c>
      <c r="G820" s="568">
        <v>760</v>
      </c>
      <c r="H820" s="568">
        <v>5321</v>
      </c>
      <c r="I820" s="559" t="str">
        <f t="shared" si="12"/>
        <v>GooD</v>
      </c>
    </row>
    <row r="821" spans="1:9">
      <c r="A821" s="563" t="s">
        <v>655</v>
      </c>
      <c r="B821" s="563">
        <v>38000</v>
      </c>
      <c r="C821" s="564">
        <v>10</v>
      </c>
      <c r="D821" s="564">
        <v>0.21</v>
      </c>
      <c r="E821" s="564">
        <v>6660</v>
      </c>
      <c r="F821" s="564">
        <v>44660</v>
      </c>
      <c r="G821" s="564">
        <v>950</v>
      </c>
      <c r="H821" s="564">
        <v>4371</v>
      </c>
      <c r="I821" s="557" t="str">
        <f t="shared" si="12"/>
        <v>GooD</v>
      </c>
    </row>
    <row r="822" spans="1:9">
      <c r="A822" s="563" t="s">
        <v>655</v>
      </c>
      <c r="B822" s="563">
        <v>38000</v>
      </c>
      <c r="C822" s="564">
        <v>12</v>
      </c>
      <c r="D822" s="564">
        <v>0.21</v>
      </c>
      <c r="E822" s="564">
        <v>7984</v>
      </c>
      <c r="F822" s="564">
        <v>45984</v>
      </c>
      <c r="G822" s="564">
        <v>1140</v>
      </c>
      <c r="H822" s="564">
        <v>3737</v>
      </c>
      <c r="I822" s="557" t="str">
        <f t="shared" si="12"/>
        <v>GooD</v>
      </c>
    </row>
    <row r="823" spans="1:9">
      <c r="A823" s="563" t="s">
        <v>655</v>
      </c>
      <c r="B823" s="563">
        <v>38000</v>
      </c>
      <c r="C823" s="564">
        <v>14</v>
      </c>
      <c r="D823" s="564">
        <v>0.21</v>
      </c>
      <c r="E823" s="564">
        <v>9320</v>
      </c>
      <c r="F823" s="564">
        <v>47320</v>
      </c>
      <c r="G823" s="564">
        <v>1330</v>
      </c>
      <c r="H823" s="564">
        <v>3285</v>
      </c>
      <c r="I823" s="557" t="str">
        <f t="shared" si="12"/>
        <v>GooD</v>
      </c>
    </row>
    <row r="824" spans="1:9" ht="15.75" thickBot="1">
      <c r="A824" s="565" t="s">
        <v>655</v>
      </c>
      <c r="B824" s="565">
        <v>38000</v>
      </c>
      <c r="C824" s="566">
        <v>16</v>
      </c>
      <c r="D824" s="566">
        <v>0.21</v>
      </c>
      <c r="E824" s="566">
        <v>10656</v>
      </c>
      <c r="F824" s="566">
        <v>48656</v>
      </c>
      <c r="G824" s="566">
        <v>1520</v>
      </c>
      <c r="H824" s="566">
        <v>2946</v>
      </c>
      <c r="I824" s="558" t="str">
        <f t="shared" si="12"/>
        <v>GooD</v>
      </c>
    </row>
    <row r="825" spans="1:9" ht="15.75" thickTop="1">
      <c r="A825" s="567" t="s">
        <v>655</v>
      </c>
      <c r="B825" s="567">
        <v>38000</v>
      </c>
      <c r="C825" s="568">
        <v>18</v>
      </c>
      <c r="D825" s="568">
        <v>0.21</v>
      </c>
      <c r="E825" s="568">
        <v>11986</v>
      </c>
      <c r="F825" s="568">
        <v>49986</v>
      </c>
      <c r="G825" s="568">
        <v>1710</v>
      </c>
      <c r="H825" s="568">
        <v>2682</v>
      </c>
      <c r="I825" s="559" t="str">
        <f t="shared" si="12"/>
        <v>GooD</v>
      </c>
    </row>
    <row r="826" spans="1:9">
      <c r="A826" s="563" t="s">
        <v>655</v>
      </c>
      <c r="B826" s="563">
        <v>38000</v>
      </c>
      <c r="C826" s="564">
        <v>20</v>
      </c>
      <c r="D826" s="564">
        <v>0.21</v>
      </c>
      <c r="E826" s="564">
        <v>13320</v>
      </c>
      <c r="F826" s="564">
        <v>51320</v>
      </c>
      <c r="G826" s="564">
        <v>1900</v>
      </c>
      <c r="H826" s="564">
        <v>2471</v>
      </c>
      <c r="I826" s="557" t="str">
        <f t="shared" si="12"/>
        <v>GooD</v>
      </c>
    </row>
    <row r="827" spans="1:9">
      <c r="A827" s="563" t="s">
        <v>655</v>
      </c>
      <c r="B827" s="563">
        <v>38000</v>
      </c>
      <c r="C827" s="564">
        <v>22</v>
      </c>
      <c r="D827" s="564">
        <v>0.21</v>
      </c>
      <c r="E827" s="564">
        <v>14646</v>
      </c>
      <c r="F827" s="564">
        <v>52646</v>
      </c>
      <c r="G827" s="564">
        <v>2090</v>
      </c>
      <c r="H827" s="564">
        <v>2298</v>
      </c>
      <c r="I827" s="557" t="str">
        <f t="shared" si="12"/>
        <v>GooD</v>
      </c>
    </row>
    <row r="828" spans="1:9">
      <c r="A828" s="563" t="s">
        <v>655</v>
      </c>
      <c r="B828" s="563">
        <v>38000</v>
      </c>
      <c r="C828" s="564">
        <v>24</v>
      </c>
      <c r="D828" s="564">
        <v>0.21</v>
      </c>
      <c r="E828" s="564">
        <v>15976</v>
      </c>
      <c r="F828" s="564">
        <v>53976</v>
      </c>
      <c r="G828" s="564">
        <v>2280</v>
      </c>
      <c r="H828" s="564">
        <v>2154</v>
      </c>
      <c r="I828" s="557" t="str">
        <f t="shared" si="12"/>
        <v>GooD</v>
      </c>
    </row>
    <row r="829" spans="1:9" ht="15.75" thickBot="1">
      <c r="A829" s="565" t="s">
        <v>655</v>
      </c>
      <c r="B829" s="565">
        <v>39000</v>
      </c>
      <c r="C829" s="566">
        <v>6</v>
      </c>
      <c r="D829" s="566">
        <v>0.21</v>
      </c>
      <c r="E829" s="566">
        <v>4101</v>
      </c>
      <c r="F829" s="566">
        <v>43101</v>
      </c>
      <c r="G829" s="566">
        <v>585</v>
      </c>
      <c r="H829" s="566">
        <v>7086</v>
      </c>
      <c r="I829" s="558" t="str">
        <f t="shared" si="12"/>
        <v>GooD</v>
      </c>
    </row>
    <row r="830" spans="1:9" ht="15.75" thickTop="1">
      <c r="A830" s="567" t="s">
        <v>655</v>
      </c>
      <c r="B830" s="567">
        <v>39000</v>
      </c>
      <c r="C830" s="568">
        <v>8</v>
      </c>
      <c r="D830" s="568">
        <v>0.21</v>
      </c>
      <c r="E830" s="568">
        <v>5468</v>
      </c>
      <c r="F830" s="568">
        <v>44468</v>
      </c>
      <c r="G830" s="568">
        <v>780</v>
      </c>
      <c r="H830" s="568">
        <v>5461</v>
      </c>
      <c r="I830" s="559" t="str">
        <f t="shared" si="12"/>
        <v>GooD</v>
      </c>
    </row>
    <row r="831" spans="1:9">
      <c r="A831" s="563" t="s">
        <v>655</v>
      </c>
      <c r="B831" s="563">
        <v>39000</v>
      </c>
      <c r="C831" s="564">
        <v>10</v>
      </c>
      <c r="D831" s="564">
        <v>0.21</v>
      </c>
      <c r="E831" s="564">
        <v>6835</v>
      </c>
      <c r="F831" s="564">
        <v>45835</v>
      </c>
      <c r="G831" s="564">
        <v>975</v>
      </c>
      <c r="H831" s="564">
        <v>4486</v>
      </c>
      <c r="I831" s="557" t="str">
        <f t="shared" si="12"/>
        <v>GooD</v>
      </c>
    </row>
    <row r="832" spans="1:9">
      <c r="A832" s="563" t="s">
        <v>655</v>
      </c>
      <c r="B832" s="563">
        <v>39000</v>
      </c>
      <c r="C832" s="564">
        <v>12</v>
      </c>
      <c r="D832" s="564">
        <v>0.21</v>
      </c>
      <c r="E832" s="564">
        <v>8202</v>
      </c>
      <c r="F832" s="564">
        <v>47202</v>
      </c>
      <c r="G832" s="564">
        <v>1170</v>
      </c>
      <c r="H832" s="564">
        <v>3836</v>
      </c>
      <c r="I832" s="557" t="str">
        <f t="shared" si="12"/>
        <v>GooD</v>
      </c>
    </row>
    <row r="833" spans="1:9">
      <c r="A833" s="563" t="s">
        <v>655</v>
      </c>
      <c r="B833" s="563">
        <v>39000</v>
      </c>
      <c r="C833" s="564">
        <v>14</v>
      </c>
      <c r="D833" s="564">
        <v>0.21</v>
      </c>
      <c r="E833" s="564">
        <v>9559</v>
      </c>
      <c r="F833" s="564">
        <v>48559</v>
      </c>
      <c r="G833" s="564">
        <v>1365</v>
      </c>
      <c r="H833" s="564">
        <v>3371</v>
      </c>
      <c r="I833" s="557" t="str">
        <f t="shared" si="12"/>
        <v>GooD</v>
      </c>
    </row>
    <row r="834" spans="1:9" ht="15.75" thickBot="1">
      <c r="A834" s="565" t="s">
        <v>655</v>
      </c>
      <c r="B834" s="565">
        <v>39000</v>
      </c>
      <c r="C834" s="566">
        <v>16</v>
      </c>
      <c r="D834" s="566">
        <v>0.21</v>
      </c>
      <c r="E834" s="566">
        <v>10928</v>
      </c>
      <c r="F834" s="566">
        <v>49928</v>
      </c>
      <c r="G834" s="566">
        <v>1560</v>
      </c>
      <c r="H834" s="566">
        <v>3023</v>
      </c>
      <c r="I834" s="558" t="str">
        <f t="shared" si="12"/>
        <v>GooD</v>
      </c>
    </row>
    <row r="835" spans="1:9" ht="15.75" thickTop="1">
      <c r="A835" s="567" t="s">
        <v>655</v>
      </c>
      <c r="B835" s="567">
        <v>39000</v>
      </c>
      <c r="C835" s="568">
        <v>18</v>
      </c>
      <c r="D835" s="568">
        <v>0.21</v>
      </c>
      <c r="E835" s="568">
        <v>12291</v>
      </c>
      <c r="F835" s="568">
        <v>51291</v>
      </c>
      <c r="G835" s="568">
        <v>1755</v>
      </c>
      <c r="H835" s="568">
        <v>2752</v>
      </c>
      <c r="I835" s="559" t="str">
        <f t="shared" si="12"/>
        <v>GooD</v>
      </c>
    </row>
    <row r="836" spans="1:9">
      <c r="A836" s="563" t="s">
        <v>655</v>
      </c>
      <c r="B836" s="563">
        <v>39000</v>
      </c>
      <c r="C836" s="564">
        <v>20</v>
      </c>
      <c r="D836" s="564">
        <v>0.21</v>
      </c>
      <c r="E836" s="564">
        <v>13670</v>
      </c>
      <c r="F836" s="564">
        <v>52670</v>
      </c>
      <c r="G836" s="564">
        <v>1950</v>
      </c>
      <c r="H836" s="564">
        <v>2536</v>
      </c>
      <c r="I836" s="557" t="str">
        <f t="shared" si="12"/>
        <v>GooD</v>
      </c>
    </row>
    <row r="837" spans="1:9">
      <c r="A837" s="563" t="s">
        <v>655</v>
      </c>
      <c r="B837" s="563">
        <v>39000</v>
      </c>
      <c r="C837" s="564">
        <v>22</v>
      </c>
      <c r="D837" s="564">
        <v>0.21</v>
      </c>
      <c r="E837" s="564">
        <v>15021</v>
      </c>
      <c r="F837" s="564">
        <v>54021</v>
      </c>
      <c r="G837" s="564">
        <v>2145</v>
      </c>
      <c r="H837" s="564">
        <v>2358</v>
      </c>
      <c r="I837" s="557" t="str">
        <f t="shared" si="12"/>
        <v>GooD</v>
      </c>
    </row>
    <row r="838" spans="1:9">
      <c r="A838" s="563" t="s">
        <v>655</v>
      </c>
      <c r="B838" s="563">
        <v>39000</v>
      </c>
      <c r="C838" s="564">
        <v>24</v>
      </c>
      <c r="D838" s="564">
        <v>0.21</v>
      </c>
      <c r="E838" s="564">
        <v>16404</v>
      </c>
      <c r="F838" s="564">
        <v>55404</v>
      </c>
      <c r="G838" s="564">
        <v>2340</v>
      </c>
      <c r="H838" s="564">
        <v>2211</v>
      </c>
      <c r="I838" s="557" t="str">
        <f t="shared" si="12"/>
        <v>GooD</v>
      </c>
    </row>
    <row r="839" spans="1:9" ht="15.75" thickBot="1">
      <c r="A839" s="565" t="s">
        <v>655</v>
      </c>
      <c r="B839" s="565">
        <v>40000</v>
      </c>
      <c r="C839" s="566">
        <v>6</v>
      </c>
      <c r="D839" s="566">
        <v>0.21</v>
      </c>
      <c r="E839" s="566">
        <v>4202</v>
      </c>
      <c r="F839" s="566">
        <v>44202</v>
      </c>
      <c r="G839" s="566">
        <v>600</v>
      </c>
      <c r="H839" s="566">
        <v>7267</v>
      </c>
      <c r="I839" s="558" t="str">
        <f t="shared" si="12"/>
        <v>GooD</v>
      </c>
    </row>
    <row r="840" spans="1:9" ht="15.75" thickTop="1">
      <c r="A840" s="567" t="s">
        <v>655</v>
      </c>
      <c r="B840" s="567">
        <v>40000</v>
      </c>
      <c r="C840" s="568">
        <v>8</v>
      </c>
      <c r="D840" s="568">
        <v>0.21</v>
      </c>
      <c r="E840" s="568">
        <v>5608</v>
      </c>
      <c r="F840" s="568">
        <v>45608</v>
      </c>
      <c r="G840" s="568">
        <v>800</v>
      </c>
      <c r="H840" s="568">
        <v>5601</v>
      </c>
      <c r="I840" s="559" t="str">
        <f t="shared" si="12"/>
        <v>GooD</v>
      </c>
    </row>
    <row r="841" spans="1:9">
      <c r="A841" s="563" t="s">
        <v>655</v>
      </c>
      <c r="B841" s="563">
        <v>40000</v>
      </c>
      <c r="C841" s="564">
        <v>10</v>
      </c>
      <c r="D841" s="564">
        <v>0.21</v>
      </c>
      <c r="E841" s="564">
        <v>7010</v>
      </c>
      <c r="F841" s="564">
        <v>47010</v>
      </c>
      <c r="G841" s="564">
        <v>1000</v>
      </c>
      <c r="H841" s="564">
        <v>4601</v>
      </c>
      <c r="I841" s="557" t="str">
        <f t="shared" si="12"/>
        <v>GooD</v>
      </c>
    </row>
    <row r="842" spans="1:9">
      <c r="A842" s="563" t="s">
        <v>655</v>
      </c>
      <c r="B842" s="563">
        <v>40000</v>
      </c>
      <c r="C842" s="564">
        <v>12</v>
      </c>
      <c r="D842" s="564">
        <v>0.21</v>
      </c>
      <c r="E842" s="564">
        <v>8408</v>
      </c>
      <c r="F842" s="564">
        <v>48408</v>
      </c>
      <c r="G842" s="564">
        <v>1200</v>
      </c>
      <c r="H842" s="564">
        <v>3934</v>
      </c>
      <c r="I842" s="557" t="str">
        <f t="shared" si="12"/>
        <v>GooD</v>
      </c>
    </row>
    <row r="843" spans="1:9">
      <c r="A843" s="563" t="s">
        <v>655</v>
      </c>
      <c r="B843" s="563">
        <v>40000</v>
      </c>
      <c r="C843" s="564">
        <v>14</v>
      </c>
      <c r="D843" s="564">
        <v>0.21</v>
      </c>
      <c r="E843" s="564">
        <v>9812</v>
      </c>
      <c r="F843" s="564">
        <v>49812</v>
      </c>
      <c r="G843" s="564">
        <v>1400</v>
      </c>
      <c r="H843" s="564">
        <v>3458</v>
      </c>
      <c r="I843" s="557" t="str">
        <f t="shared" si="12"/>
        <v>GooD</v>
      </c>
    </row>
    <row r="844" spans="1:9" ht="15.75" thickBot="1">
      <c r="A844" s="565" t="s">
        <v>655</v>
      </c>
      <c r="B844" s="565">
        <v>40000</v>
      </c>
      <c r="C844" s="566">
        <v>16</v>
      </c>
      <c r="D844" s="566">
        <v>0.21</v>
      </c>
      <c r="E844" s="566">
        <v>11216</v>
      </c>
      <c r="F844" s="566">
        <v>51216</v>
      </c>
      <c r="G844" s="566">
        <v>1600</v>
      </c>
      <c r="H844" s="566">
        <v>3101</v>
      </c>
      <c r="I844" s="558" t="str">
        <f t="shared" si="12"/>
        <v>GooD</v>
      </c>
    </row>
    <row r="845" spans="1:9" ht="15.75" thickTop="1">
      <c r="A845" s="567" t="s">
        <v>655</v>
      </c>
      <c r="B845" s="567">
        <v>40000</v>
      </c>
      <c r="C845" s="568">
        <v>18</v>
      </c>
      <c r="D845" s="568">
        <v>0.21</v>
      </c>
      <c r="E845" s="568">
        <v>12614</v>
      </c>
      <c r="F845" s="568">
        <v>52614</v>
      </c>
      <c r="G845" s="568">
        <v>1800</v>
      </c>
      <c r="H845" s="568">
        <v>2823</v>
      </c>
      <c r="I845" s="559" t="str">
        <f t="shared" si="12"/>
        <v>GooD</v>
      </c>
    </row>
    <row r="846" spans="1:9">
      <c r="A846" s="563" t="s">
        <v>655</v>
      </c>
      <c r="B846" s="563">
        <v>40000</v>
      </c>
      <c r="C846" s="564">
        <v>20</v>
      </c>
      <c r="D846" s="564">
        <v>0.21</v>
      </c>
      <c r="E846" s="564">
        <v>14020</v>
      </c>
      <c r="F846" s="564">
        <v>54020</v>
      </c>
      <c r="G846" s="564">
        <v>2000</v>
      </c>
      <c r="H846" s="564">
        <v>2601</v>
      </c>
      <c r="I846" s="557" t="str">
        <f t="shared" ref="I846:I911" si="13">IF(((H846*C846)+G846)=F846,"GooD","لالالالالالالا")</f>
        <v>GooD</v>
      </c>
    </row>
    <row r="847" spans="1:9">
      <c r="A847" s="563" t="s">
        <v>655</v>
      </c>
      <c r="B847" s="563">
        <v>40000</v>
      </c>
      <c r="C847" s="564">
        <v>22</v>
      </c>
      <c r="D847" s="564">
        <v>0.21</v>
      </c>
      <c r="E847" s="564">
        <v>15418</v>
      </c>
      <c r="F847" s="564">
        <v>55418</v>
      </c>
      <c r="G847" s="564">
        <v>2200</v>
      </c>
      <c r="H847" s="564">
        <v>2419</v>
      </c>
      <c r="I847" s="557" t="str">
        <f t="shared" si="13"/>
        <v>GooD</v>
      </c>
    </row>
    <row r="848" spans="1:9">
      <c r="A848" s="563" t="s">
        <v>655</v>
      </c>
      <c r="B848" s="563">
        <v>40000</v>
      </c>
      <c r="C848" s="564">
        <v>24</v>
      </c>
      <c r="D848" s="564">
        <v>0.21</v>
      </c>
      <c r="E848" s="564">
        <v>16808</v>
      </c>
      <c r="F848" s="564">
        <v>56808</v>
      </c>
      <c r="G848" s="564">
        <v>2400</v>
      </c>
      <c r="H848" s="564">
        <v>2267</v>
      </c>
      <c r="I848" s="557" t="str">
        <f t="shared" si="13"/>
        <v>GooD</v>
      </c>
    </row>
    <row r="849" spans="1:9" ht="15.75" thickBot="1">
      <c r="A849" s="565" t="s">
        <v>655</v>
      </c>
      <c r="B849" s="565">
        <v>41000</v>
      </c>
      <c r="C849" s="566">
        <v>6</v>
      </c>
      <c r="D849" s="566">
        <v>0.21</v>
      </c>
      <c r="E849" s="566">
        <v>4309</v>
      </c>
      <c r="F849" s="566">
        <v>45309</v>
      </c>
      <c r="G849" s="566">
        <v>615</v>
      </c>
      <c r="H849" s="566">
        <v>7449</v>
      </c>
      <c r="I849" s="558" t="str">
        <f t="shared" si="13"/>
        <v>GooD</v>
      </c>
    </row>
    <row r="850" spans="1:9" ht="15.75" thickTop="1">
      <c r="A850" s="567" t="s">
        <v>655</v>
      </c>
      <c r="B850" s="567">
        <v>41000</v>
      </c>
      <c r="C850" s="568">
        <v>8</v>
      </c>
      <c r="D850" s="568">
        <v>0.21</v>
      </c>
      <c r="E850" s="568">
        <v>5748</v>
      </c>
      <c r="F850" s="568">
        <v>46748</v>
      </c>
      <c r="G850" s="568">
        <v>820</v>
      </c>
      <c r="H850" s="568">
        <v>5741</v>
      </c>
      <c r="I850" s="559" t="str">
        <f t="shared" si="13"/>
        <v>GooD</v>
      </c>
    </row>
    <row r="851" spans="1:9">
      <c r="A851" s="563" t="s">
        <v>655</v>
      </c>
      <c r="B851" s="563">
        <v>41000</v>
      </c>
      <c r="C851" s="564">
        <v>10</v>
      </c>
      <c r="D851" s="564">
        <v>0.21</v>
      </c>
      <c r="E851" s="564">
        <v>7185</v>
      </c>
      <c r="F851" s="564">
        <v>48185</v>
      </c>
      <c r="G851" s="564">
        <v>1025</v>
      </c>
      <c r="H851" s="564">
        <v>4716</v>
      </c>
      <c r="I851" s="557" t="str">
        <f t="shared" si="13"/>
        <v>GooD</v>
      </c>
    </row>
    <row r="852" spans="1:9">
      <c r="A852" s="563" t="s">
        <v>655</v>
      </c>
      <c r="B852" s="563">
        <v>41000</v>
      </c>
      <c r="C852" s="564">
        <v>12</v>
      </c>
      <c r="D852" s="564">
        <v>0.21</v>
      </c>
      <c r="E852" s="564">
        <v>8614</v>
      </c>
      <c r="F852" s="564">
        <v>49614</v>
      </c>
      <c r="G852" s="564">
        <v>1230</v>
      </c>
      <c r="H852" s="564">
        <v>4032</v>
      </c>
      <c r="I852" s="557" t="str">
        <f t="shared" si="13"/>
        <v>GooD</v>
      </c>
    </row>
    <row r="853" spans="1:9">
      <c r="A853" s="563" t="s">
        <v>655</v>
      </c>
      <c r="B853" s="563">
        <v>41000</v>
      </c>
      <c r="C853" s="564">
        <v>14</v>
      </c>
      <c r="D853" s="564">
        <v>0.21</v>
      </c>
      <c r="E853" s="564">
        <v>10051</v>
      </c>
      <c r="F853" s="564">
        <v>51051</v>
      </c>
      <c r="G853" s="564">
        <v>1435</v>
      </c>
      <c r="H853" s="564">
        <v>3544</v>
      </c>
      <c r="I853" s="557" t="str">
        <f t="shared" si="13"/>
        <v>GooD</v>
      </c>
    </row>
    <row r="854" spans="1:9" ht="15.75" thickBot="1">
      <c r="A854" s="565" t="s">
        <v>655</v>
      </c>
      <c r="B854" s="565">
        <v>41000</v>
      </c>
      <c r="C854" s="566">
        <v>16</v>
      </c>
      <c r="D854" s="566">
        <v>0.21</v>
      </c>
      <c r="E854" s="566">
        <v>11488</v>
      </c>
      <c r="F854" s="566">
        <v>52488</v>
      </c>
      <c r="G854" s="566">
        <v>1640</v>
      </c>
      <c r="H854" s="566">
        <v>3178</v>
      </c>
      <c r="I854" s="558" t="str">
        <f t="shared" si="13"/>
        <v>GooD</v>
      </c>
    </row>
    <row r="855" spans="1:9" ht="15.75" thickTop="1">
      <c r="A855" s="567" t="s">
        <v>655</v>
      </c>
      <c r="B855" s="567">
        <v>41000</v>
      </c>
      <c r="C855" s="568">
        <v>18</v>
      </c>
      <c r="D855" s="568">
        <v>0.21</v>
      </c>
      <c r="E855" s="568">
        <v>12919</v>
      </c>
      <c r="F855" s="568">
        <v>53919</v>
      </c>
      <c r="G855" s="568">
        <v>1845</v>
      </c>
      <c r="H855" s="568">
        <v>2893</v>
      </c>
      <c r="I855" s="559" t="str">
        <f t="shared" si="13"/>
        <v>GooD</v>
      </c>
    </row>
    <row r="856" spans="1:9">
      <c r="A856" s="563" t="s">
        <v>655</v>
      </c>
      <c r="B856" s="563">
        <v>41000</v>
      </c>
      <c r="C856" s="564">
        <v>20</v>
      </c>
      <c r="D856" s="564">
        <v>0.21</v>
      </c>
      <c r="E856" s="564">
        <v>14370</v>
      </c>
      <c r="F856" s="564">
        <v>55370</v>
      </c>
      <c r="G856" s="564">
        <v>2050</v>
      </c>
      <c r="H856" s="564">
        <v>2666</v>
      </c>
      <c r="I856" s="557" t="str">
        <f t="shared" si="13"/>
        <v>GooD</v>
      </c>
    </row>
    <row r="857" spans="1:9">
      <c r="A857" s="563" t="s">
        <v>655</v>
      </c>
      <c r="B857" s="563">
        <v>41000</v>
      </c>
      <c r="C857" s="564">
        <v>22</v>
      </c>
      <c r="D857" s="564">
        <v>0.21</v>
      </c>
      <c r="E857" s="564">
        <v>15793</v>
      </c>
      <c r="F857" s="564">
        <v>56793</v>
      </c>
      <c r="G857" s="564">
        <v>2255</v>
      </c>
      <c r="H857" s="564">
        <v>2479</v>
      </c>
      <c r="I857" s="557" t="str">
        <f t="shared" si="13"/>
        <v>GooD</v>
      </c>
    </row>
    <row r="858" spans="1:9">
      <c r="A858" s="563" t="s">
        <v>655</v>
      </c>
      <c r="B858" s="563">
        <v>41000</v>
      </c>
      <c r="C858" s="564">
        <v>24</v>
      </c>
      <c r="D858" s="564">
        <v>0.21</v>
      </c>
      <c r="E858" s="564">
        <v>17236</v>
      </c>
      <c r="F858" s="564">
        <v>58236</v>
      </c>
      <c r="G858" s="564">
        <v>2460</v>
      </c>
      <c r="H858" s="564">
        <v>2324</v>
      </c>
      <c r="I858" s="557" t="str">
        <f t="shared" si="13"/>
        <v>GooD</v>
      </c>
    </row>
    <row r="859" spans="1:9">
      <c r="A859" s="563" t="s">
        <v>655</v>
      </c>
      <c r="B859" s="563">
        <v>42000</v>
      </c>
      <c r="C859" s="564">
        <v>6</v>
      </c>
      <c r="D859" s="564">
        <v>0.21</v>
      </c>
      <c r="E859" s="564">
        <v>4416</v>
      </c>
      <c r="F859" s="564">
        <v>46416</v>
      </c>
      <c r="G859" s="564">
        <v>630</v>
      </c>
      <c r="H859" s="564">
        <v>7631</v>
      </c>
      <c r="I859" s="557" t="str">
        <f t="shared" si="13"/>
        <v>GooD</v>
      </c>
    </row>
    <row r="860" spans="1:9">
      <c r="A860" s="563" t="s">
        <v>655</v>
      </c>
      <c r="B860" s="563">
        <v>42000</v>
      </c>
      <c r="C860" s="564">
        <v>8</v>
      </c>
      <c r="D860" s="564">
        <v>0.21</v>
      </c>
      <c r="E860" s="564">
        <v>5888</v>
      </c>
      <c r="F860" s="564">
        <v>47888</v>
      </c>
      <c r="G860" s="564">
        <v>840</v>
      </c>
      <c r="H860" s="564">
        <v>5881</v>
      </c>
      <c r="I860" s="557" t="str">
        <f t="shared" si="13"/>
        <v>GooD</v>
      </c>
    </row>
    <row r="861" spans="1:9" ht="15.75" thickBot="1">
      <c r="A861" s="565" t="s">
        <v>655</v>
      </c>
      <c r="B861" s="565">
        <v>42000</v>
      </c>
      <c r="C861" s="566">
        <v>10</v>
      </c>
      <c r="D861" s="566">
        <v>0.21</v>
      </c>
      <c r="E861" s="566">
        <v>7360</v>
      </c>
      <c r="F861" s="566">
        <v>49360</v>
      </c>
      <c r="G861" s="566">
        <v>1050</v>
      </c>
      <c r="H861" s="566">
        <v>4831</v>
      </c>
      <c r="I861" s="558" t="str">
        <f t="shared" si="13"/>
        <v>GooD</v>
      </c>
    </row>
    <row r="862" spans="1:9" ht="15.75" thickTop="1">
      <c r="A862" s="567" t="s">
        <v>655</v>
      </c>
      <c r="B862" s="567">
        <v>42000</v>
      </c>
      <c r="C862" s="568">
        <v>12</v>
      </c>
      <c r="D862" s="568">
        <v>0.21</v>
      </c>
      <c r="E862" s="568">
        <v>8832</v>
      </c>
      <c r="F862" s="568">
        <v>50832</v>
      </c>
      <c r="G862" s="568">
        <v>1260</v>
      </c>
      <c r="H862" s="568">
        <v>4131</v>
      </c>
      <c r="I862" s="559" t="str">
        <f t="shared" si="13"/>
        <v>GooD</v>
      </c>
    </row>
    <row r="863" spans="1:9">
      <c r="A863" s="563" t="s">
        <v>655</v>
      </c>
      <c r="B863" s="563">
        <v>42000</v>
      </c>
      <c r="C863" s="564">
        <v>14</v>
      </c>
      <c r="D863" s="564">
        <v>0.21</v>
      </c>
      <c r="E863" s="564">
        <v>10304</v>
      </c>
      <c r="F863" s="564">
        <v>52304</v>
      </c>
      <c r="G863" s="564">
        <v>1470</v>
      </c>
      <c r="H863" s="564">
        <v>3631</v>
      </c>
      <c r="I863" s="557" t="str">
        <f t="shared" si="13"/>
        <v>GooD</v>
      </c>
    </row>
    <row r="864" spans="1:9" ht="15.75" thickBot="1">
      <c r="A864" s="565" t="s">
        <v>655</v>
      </c>
      <c r="B864" s="565">
        <v>42000</v>
      </c>
      <c r="C864" s="566">
        <v>16</v>
      </c>
      <c r="D864" s="566">
        <v>0.21</v>
      </c>
      <c r="E864" s="566">
        <v>11776</v>
      </c>
      <c r="F864" s="566">
        <v>53776</v>
      </c>
      <c r="G864" s="566">
        <v>1680</v>
      </c>
      <c r="H864" s="566">
        <v>3256</v>
      </c>
      <c r="I864" s="558" t="str">
        <f t="shared" si="13"/>
        <v>GooD</v>
      </c>
    </row>
    <row r="865" spans="1:9" ht="15.75" thickTop="1">
      <c r="A865" s="567" t="s">
        <v>655</v>
      </c>
      <c r="B865" s="567">
        <v>42000</v>
      </c>
      <c r="C865" s="568">
        <v>18</v>
      </c>
      <c r="D865" s="568">
        <v>0.21</v>
      </c>
      <c r="E865" s="568">
        <v>13242</v>
      </c>
      <c r="F865" s="568">
        <v>55242</v>
      </c>
      <c r="G865" s="568">
        <v>1890</v>
      </c>
      <c r="H865" s="568">
        <v>2964</v>
      </c>
      <c r="I865" s="559" t="str">
        <f t="shared" si="13"/>
        <v>GooD</v>
      </c>
    </row>
    <row r="866" spans="1:9">
      <c r="A866" s="563" t="s">
        <v>655</v>
      </c>
      <c r="B866" s="563">
        <v>42000</v>
      </c>
      <c r="C866" s="564">
        <v>20</v>
      </c>
      <c r="D866" s="564">
        <v>0.21</v>
      </c>
      <c r="E866" s="564">
        <v>14720</v>
      </c>
      <c r="F866" s="564">
        <v>56720</v>
      </c>
      <c r="G866" s="564">
        <v>2100</v>
      </c>
      <c r="H866" s="564">
        <v>2731</v>
      </c>
      <c r="I866" s="557" t="str">
        <f t="shared" si="13"/>
        <v>GooD</v>
      </c>
    </row>
    <row r="867" spans="1:9" ht="15.75" thickBot="1">
      <c r="A867" s="565" t="s">
        <v>655</v>
      </c>
      <c r="B867" s="565">
        <v>42000</v>
      </c>
      <c r="C867" s="566">
        <v>22</v>
      </c>
      <c r="D867" s="566">
        <v>0.21</v>
      </c>
      <c r="E867" s="566">
        <v>16190</v>
      </c>
      <c r="F867" s="566">
        <v>58190</v>
      </c>
      <c r="G867" s="566">
        <v>2310</v>
      </c>
      <c r="H867" s="566">
        <v>2540</v>
      </c>
      <c r="I867" s="558" t="str">
        <f t="shared" si="13"/>
        <v>GooD</v>
      </c>
    </row>
    <row r="868" spans="1:9" ht="15.75" thickTop="1">
      <c r="A868" s="567" t="s">
        <v>655</v>
      </c>
      <c r="B868" s="567">
        <v>42000</v>
      </c>
      <c r="C868" s="568">
        <v>24</v>
      </c>
      <c r="D868" s="568">
        <v>0.21</v>
      </c>
      <c r="E868" s="568">
        <v>17664</v>
      </c>
      <c r="F868" s="568">
        <v>59664</v>
      </c>
      <c r="G868" s="568">
        <v>2520</v>
      </c>
      <c r="H868" s="568">
        <v>2381</v>
      </c>
      <c r="I868" s="559" t="str">
        <f t="shared" si="13"/>
        <v>GooD</v>
      </c>
    </row>
    <row r="869" spans="1:9">
      <c r="A869" s="563" t="s">
        <v>655</v>
      </c>
      <c r="B869" s="563">
        <v>43000</v>
      </c>
      <c r="C869" s="564">
        <v>6</v>
      </c>
      <c r="D869" s="564">
        <v>0.21</v>
      </c>
      <c r="E869" s="564">
        <v>4517</v>
      </c>
      <c r="F869" s="564">
        <v>47517</v>
      </c>
      <c r="G869" s="564">
        <v>645</v>
      </c>
      <c r="H869" s="564">
        <v>7812</v>
      </c>
      <c r="I869" s="557" t="str">
        <f t="shared" si="13"/>
        <v>GooD</v>
      </c>
    </row>
    <row r="870" spans="1:9" ht="15.75" thickBot="1">
      <c r="A870" s="565" t="s">
        <v>655</v>
      </c>
      <c r="B870" s="565">
        <v>43000</v>
      </c>
      <c r="C870" s="566">
        <v>8</v>
      </c>
      <c r="D870" s="566">
        <v>0.21</v>
      </c>
      <c r="E870" s="566">
        <v>6028</v>
      </c>
      <c r="F870" s="566">
        <v>49028</v>
      </c>
      <c r="G870" s="566">
        <v>860</v>
      </c>
      <c r="H870" s="566">
        <v>6021</v>
      </c>
      <c r="I870" s="558" t="str">
        <f t="shared" si="13"/>
        <v>GooD</v>
      </c>
    </row>
    <row r="871" spans="1:9" ht="15.75" thickTop="1">
      <c r="A871" s="567" t="s">
        <v>655</v>
      </c>
      <c r="B871" s="567">
        <v>43000</v>
      </c>
      <c r="C871" s="568">
        <v>10</v>
      </c>
      <c r="D871" s="568">
        <v>0.21</v>
      </c>
      <c r="E871" s="568">
        <v>7535</v>
      </c>
      <c r="F871" s="568">
        <v>50535</v>
      </c>
      <c r="G871" s="568">
        <v>1075</v>
      </c>
      <c r="H871" s="568">
        <v>4946</v>
      </c>
      <c r="I871" s="559" t="str">
        <f t="shared" si="13"/>
        <v>GooD</v>
      </c>
    </row>
    <row r="872" spans="1:9">
      <c r="A872" s="563" t="s">
        <v>655</v>
      </c>
      <c r="B872" s="563">
        <v>43000</v>
      </c>
      <c r="C872" s="564">
        <v>12</v>
      </c>
      <c r="D872" s="564">
        <v>0.21</v>
      </c>
      <c r="E872" s="564">
        <v>9038</v>
      </c>
      <c r="F872" s="564">
        <v>52038</v>
      </c>
      <c r="G872" s="564">
        <v>1290</v>
      </c>
      <c r="H872" s="564">
        <v>4229</v>
      </c>
      <c r="I872" s="557" t="str">
        <f t="shared" si="13"/>
        <v>GooD</v>
      </c>
    </row>
    <row r="873" spans="1:9" ht="15.75" thickBot="1">
      <c r="A873" s="565" t="s">
        <v>655</v>
      </c>
      <c r="B873" s="565">
        <v>43000</v>
      </c>
      <c r="C873" s="566">
        <v>14</v>
      </c>
      <c r="D873" s="566">
        <v>0.21</v>
      </c>
      <c r="E873" s="566">
        <v>10543</v>
      </c>
      <c r="F873" s="566">
        <v>53543</v>
      </c>
      <c r="G873" s="566">
        <v>1505</v>
      </c>
      <c r="H873" s="566">
        <v>3717</v>
      </c>
      <c r="I873" s="558" t="str">
        <f t="shared" si="13"/>
        <v>GooD</v>
      </c>
    </row>
    <row r="874" spans="1:9" ht="15.75" thickTop="1">
      <c r="A874" s="567" t="s">
        <v>655</v>
      </c>
      <c r="B874" s="567">
        <v>43000</v>
      </c>
      <c r="C874" s="568">
        <v>16</v>
      </c>
      <c r="D874" s="568">
        <v>0.21</v>
      </c>
      <c r="E874" s="568">
        <v>12048</v>
      </c>
      <c r="F874" s="568">
        <v>55048</v>
      </c>
      <c r="G874" s="568">
        <v>1720</v>
      </c>
      <c r="H874" s="568">
        <v>3333</v>
      </c>
      <c r="I874" s="559" t="str">
        <f t="shared" si="13"/>
        <v>GooD</v>
      </c>
    </row>
    <row r="875" spans="1:9">
      <c r="A875" s="563" t="s">
        <v>655</v>
      </c>
      <c r="B875" s="563">
        <v>43000</v>
      </c>
      <c r="C875" s="564">
        <v>18</v>
      </c>
      <c r="D875" s="564">
        <v>0.21</v>
      </c>
      <c r="E875" s="564">
        <v>13547</v>
      </c>
      <c r="F875" s="564">
        <v>56547</v>
      </c>
      <c r="G875" s="564">
        <v>1935</v>
      </c>
      <c r="H875" s="564">
        <v>3034</v>
      </c>
      <c r="I875" s="557" t="str">
        <f t="shared" si="13"/>
        <v>GooD</v>
      </c>
    </row>
    <row r="876" spans="1:9" ht="15.75" thickBot="1">
      <c r="A876" s="565" t="s">
        <v>655</v>
      </c>
      <c r="B876" s="565">
        <v>43000</v>
      </c>
      <c r="C876" s="566">
        <v>20</v>
      </c>
      <c r="D876" s="566">
        <v>0.21</v>
      </c>
      <c r="E876" s="566">
        <v>15070</v>
      </c>
      <c r="F876" s="566">
        <v>58070</v>
      </c>
      <c r="G876" s="566">
        <v>2150</v>
      </c>
      <c r="H876" s="566">
        <v>2796</v>
      </c>
      <c r="I876" s="558" t="str">
        <f t="shared" si="13"/>
        <v>GooD</v>
      </c>
    </row>
    <row r="877" spans="1:9" ht="15.75" thickTop="1">
      <c r="A877" s="567" t="s">
        <v>655</v>
      </c>
      <c r="B877" s="567">
        <v>43000</v>
      </c>
      <c r="C877" s="568">
        <v>22</v>
      </c>
      <c r="D877" s="568">
        <v>0.21</v>
      </c>
      <c r="E877" s="568">
        <v>16565</v>
      </c>
      <c r="F877" s="568">
        <v>59565</v>
      </c>
      <c r="G877" s="568">
        <v>2365</v>
      </c>
      <c r="H877" s="568">
        <v>2600</v>
      </c>
      <c r="I877" s="559" t="str">
        <f t="shared" si="13"/>
        <v>GooD</v>
      </c>
    </row>
    <row r="878" spans="1:9">
      <c r="A878" s="563" t="s">
        <v>655</v>
      </c>
      <c r="B878" s="563">
        <v>43000</v>
      </c>
      <c r="C878" s="564">
        <v>24</v>
      </c>
      <c r="D878" s="564">
        <v>0.21</v>
      </c>
      <c r="E878" s="564">
        <v>18068</v>
      </c>
      <c r="F878" s="564">
        <v>61068</v>
      </c>
      <c r="G878" s="564">
        <v>2580</v>
      </c>
      <c r="H878" s="564">
        <v>2437</v>
      </c>
      <c r="I878" s="557" t="str">
        <f t="shared" si="13"/>
        <v>GooD</v>
      </c>
    </row>
    <row r="879" spans="1:9" ht="15.75" thickBot="1">
      <c r="A879" s="565" t="s">
        <v>655</v>
      </c>
      <c r="B879" s="565">
        <v>44000</v>
      </c>
      <c r="C879" s="566">
        <v>6</v>
      </c>
      <c r="D879" s="566">
        <v>0.21</v>
      </c>
      <c r="E879" s="566">
        <v>4624</v>
      </c>
      <c r="F879" s="566">
        <v>48624</v>
      </c>
      <c r="G879" s="566">
        <v>660</v>
      </c>
      <c r="H879" s="566">
        <v>7994</v>
      </c>
      <c r="I879" s="558" t="str">
        <f t="shared" si="13"/>
        <v>GooD</v>
      </c>
    </row>
    <row r="880" spans="1:9" ht="15.75" thickTop="1">
      <c r="A880" s="567" t="s">
        <v>655</v>
      </c>
      <c r="B880" s="567">
        <v>44000</v>
      </c>
      <c r="C880" s="568">
        <v>8</v>
      </c>
      <c r="D880" s="568">
        <v>0.21</v>
      </c>
      <c r="E880" s="568">
        <v>6168</v>
      </c>
      <c r="F880" s="568">
        <v>50168</v>
      </c>
      <c r="G880" s="568">
        <v>880</v>
      </c>
      <c r="H880" s="568">
        <v>6161</v>
      </c>
      <c r="I880" s="559" t="str">
        <f t="shared" si="13"/>
        <v>GooD</v>
      </c>
    </row>
    <row r="881" spans="1:9">
      <c r="A881" s="563" t="s">
        <v>655</v>
      </c>
      <c r="B881" s="563">
        <v>44000</v>
      </c>
      <c r="C881" s="564">
        <v>10</v>
      </c>
      <c r="D881" s="564">
        <v>0.21</v>
      </c>
      <c r="E881" s="564">
        <v>7710</v>
      </c>
      <c r="F881" s="564">
        <v>51710</v>
      </c>
      <c r="G881" s="564">
        <v>1100</v>
      </c>
      <c r="H881" s="564">
        <v>5061</v>
      </c>
      <c r="I881" s="557" t="str">
        <f t="shared" si="13"/>
        <v>GooD</v>
      </c>
    </row>
    <row r="882" spans="1:9" ht="15.75" thickBot="1">
      <c r="A882" s="565" t="s">
        <v>655</v>
      </c>
      <c r="B882" s="565">
        <v>44000</v>
      </c>
      <c r="C882" s="566">
        <v>12</v>
      </c>
      <c r="D882" s="566">
        <v>0.21</v>
      </c>
      <c r="E882" s="566">
        <v>9244</v>
      </c>
      <c r="F882" s="566">
        <v>53244</v>
      </c>
      <c r="G882" s="566">
        <v>1320</v>
      </c>
      <c r="H882" s="566">
        <v>4327</v>
      </c>
      <c r="I882" s="558" t="str">
        <f t="shared" si="13"/>
        <v>GooD</v>
      </c>
    </row>
    <row r="883" spans="1:9" ht="15.75" thickTop="1">
      <c r="A883" s="567" t="s">
        <v>655</v>
      </c>
      <c r="B883" s="567">
        <v>44000</v>
      </c>
      <c r="C883" s="568">
        <v>14</v>
      </c>
      <c r="D883" s="568">
        <v>0.21</v>
      </c>
      <c r="E883" s="568">
        <v>10782</v>
      </c>
      <c r="F883" s="568">
        <v>54782</v>
      </c>
      <c r="G883" s="568">
        <v>1540</v>
      </c>
      <c r="H883" s="568">
        <v>3803</v>
      </c>
      <c r="I883" s="559" t="str">
        <f t="shared" si="13"/>
        <v>GooD</v>
      </c>
    </row>
    <row r="884" spans="1:9">
      <c r="A884" s="563" t="s">
        <v>655</v>
      </c>
      <c r="B884" s="563">
        <v>44000</v>
      </c>
      <c r="C884" s="564">
        <v>16</v>
      </c>
      <c r="D884" s="564">
        <v>0.21</v>
      </c>
      <c r="E884" s="564">
        <v>12336</v>
      </c>
      <c r="F884" s="564">
        <v>56336</v>
      </c>
      <c r="G884" s="564">
        <v>1760</v>
      </c>
      <c r="H884" s="564">
        <v>3411</v>
      </c>
      <c r="I884" s="557" t="str">
        <f t="shared" si="13"/>
        <v>GooD</v>
      </c>
    </row>
    <row r="885" spans="1:9" ht="15.75" thickBot="1">
      <c r="A885" s="565" t="s">
        <v>655</v>
      </c>
      <c r="B885" s="565">
        <v>44000</v>
      </c>
      <c r="C885" s="566">
        <v>18</v>
      </c>
      <c r="D885" s="566">
        <v>0.21</v>
      </c>
      <c r="E885" s="566">
        <v>13870</v>
      </c>
      <c r="F885" s="566">
        <v>57870</v>
      </c>
      <c r="G885" s="566">
        <v>1980</v>
      </c>
      <c r="H885" s="566">
        <v>3105</v>
      </c>
      <c r="I885" s="558" t="str">
        <f t="shared" si="13"/>
        <v>GooD</v>
      </c>
    </row>
    <row r="886" spans="1:9" ht="15.75" thickTop="1">
      <c r="A886" s="567" t="s">
        <v>655</v>
      </c>
      <c r="B886" s="567">
        <v>44000</v>
      </c>
      <c r="C886" s="568">
        <v>20</v>
      </c>
      <c r="D886" s="568">
        <v>0.21</v>
      </c>
      <c r="E886" s="568">
        <v>15420</v>
      </c>
      <c r="F886" s="568">
        <v>59420</v>
      </c>
      <c r="G886" s="568">
        <v>2200</v>
      </c>
      <c r="H886" s="568">
        <v>2861</v>
      </c>
      <c r="I886" s="559" t="str">
        <f t="shared" si="13"/>
        <v>GooD</v>
      </c>
    </row>
    <row r="887" spans="1:9">
      <c r="A887" s="563" t="s">
        <v>655</v>
      </c>
      <c r="B887" s="563">
        <v>44000</v>
      </c>
      <c r="C887" s="564">
        <v>22</v>
      </c>
      <c r="D887" s="564">
        <v>0.21</v>
      </c>
      <c r="E887" s="564">
        <v>16962</v>
      </c>
      <c r="F887" s="564">
        <v>60962</v>
      </c>
      <c r="G887" s="564">
        <v>2420</v>
      </c>
      <c r="H887" s="564">
        <v>2661</v>
      </c>
      <c r="I887" s="557" t="str">
        <f t="shared" si="13"/>
        <v>GooD</v>
      </c>
    </row>
    <row r="888" spans="1:9" ht="15.75" thickBot="1">
      <c r="A888" s="565" t="s">
        <v>655</v>
      </c>
      <c r="B888" s="565">
        <v>44000</v>
      </c>
      <c r="C888" s="566">
        <v>24</v>
      </c>
      <c r="D888" s="566">
        <v>0.21</v>
      </c>
      <c r="E888" s="566">
        <v>18496</v>
      </c>
      <c r="F888" s="566">
        <v>62496</v>
      </c>
      <c r="G888" s="566">
        <v>2640</v>
      </c>
      <c r="H888" s="566">
        <v>2494</v>
      </c>
      <c r="I888" s="558" t="str">
        <f t="shared" si="13"/>
        <v>GooD</v>
      </c>
    </row>
    <row r="889" spans="1:9" ht="15.75" thickTop="1">
      <c r="A889" s="567" t="s">
        <v>655</v>
      </c>
      <c r="B889" s="567">
        <v>45000</v>
      </c>
      <c r="C889" s="568">
        <v>6</v>
      </c>
      <c r="D889" s="568">
        <v>0.21</v>
      </c>
      <c r="E889" s="568">
        <v>4731</v>
      </c>
      <c r="F889" s="568">
        <v>49731</v>
      </c>
      <c r="G889" s="568">
        <v>675</v>
      </c>
      <c r="H889" s="568">
        <v>8176</v>
      </c>
      <c r="I889" s="559" t="str">
        <f t="shared" si="13"/>
        <v>GooD</v>
      </c>
    </row>
    <row r="890" spans="1:9">
      <c r="A890" s="563" t="s">
        <v>655</v>
      </c>
      <c r="B890" s="563">
        <v>45000</v>
      </c>
      <c r="C890" s="564">
        <v>8</v>
      </c>
      <c r="D890" s="564">
        <v>0.21</v>
      </c>
      <c r="E890" s="564">
        <v>6308</v>
      </c>
      <c r="F890" s="564">
        <v>51308</v>
      </c>
      <c r="G890" s="564">
        <v>900</v>
      </c>
      <c r="H890" s="564">
        <v>6301</v>
      </c>
      <c r="I890" s="557" t="str">
        <f t="shared" si="13"/>
        <v>GooD</v>
      </c>
    </row>
    <row r="891" spans="1:9" ht="15.75" thickBot="1">
      <c r="A891" s="565" t="s">
        <v>655</v>
      </c>
      <c r="B891" s="565">
        <v>45000</v>
      </c>
      <c r="C891" s="566">
        <v>10</v>
      </c>
      <c r="D891" s="566">
        <v>0.21</v>
      </c>
      <c r="E891" s="566">
        <v>7885</v>
      </c>
      <c r="F891" s="566">
        <v>52885</v>
      </c>
      <c r="G891" s="566">
        <v>1125</v>
      </c>
      <c r="H891" s="566">
        <v>5176</v>
      </c>
      <c r="I891" s="558" t="str">
        <f t="shared" si="13"/>
        <v>GooD</v>
      </c>
    </row>
    <row r="892" spans="1:9" ht="15.75" thickTop="1">
      <c r="A892" s="567" t="s">
        <v>655</v>
      </c>
      <c r="B892" s="567">
        <v>45000</v>
      </c>
      <c r="C892" s="568">
        <v>12</v>
      </c>
      <c r="D892" s="568">
        <v>0.21</v>
      </c>
      <c r="E892" s="568">
        <v>9462</v>
      </c>
      <c r="F892" s="568">
        <v>54462</v>
      </c>
      <c r="G892" s="568">
        <v>1350</v>
      </c>
      <c r="H892" s="568">
        <v>4426</v>
      </c>
      <c r="I892" s="559" t="str">
        <f t="shared" si="13"/>
        <v>GooD</v>
      </c>
    </row>
    <row r="893" spans="1:9">
      <c r="A893" s="563" t="s">
        <v>655</v>
      </c>
      <c r="B893" s="563">
        <v>45000</v>
      </c>
      <c r="C893" s="564">
        <v>14</v>
      </c>
      <c r="D893" s="564">
        <v>0.21</v>
      </c>
      <c r="E893" s="564">
        <v>11035</v>
      </c>
      <c r="F893" s="564">
        <v>56035</v>
      </c>
      <c r="G893" s="564">
        <v>1575</v>
      </c>
      <c r="H893" s="564">
        <v>3890</v>
      </c>
      <c r="I893" s="557" t="str">
        <f t="shared" si="13"/>
        <v>GooD</v>
      </c>
    </row>
    <row r="894" spans="1:9" ht="15.75" thickBot="1">
      <c r="A894" s="565" t="s">
        <v>655</v>
      </c>
      <c r="B894" s="565">
        <v>45000</v>
      </c>
      <c r="C894" s="566">
        <v>16</v>
      </c>
      <c r="D894" s="566">
        <v>0.21</v>
      </c>
      <c r="E894" s="566">
        <v>12608</v>
      </c>
      <c r="F894" s="566">
        <v>57608</v>
      </c>
      <c r="G894" s="566">
        <v>1800</v>
      </c>
      <c r="H894" s="566">
        <v>3488</v>
      </c>
      <c r="I894" s="558" t="str">
        <f t="shared" si="13"/>
        <v>GooD</v>
      </c>
    </row>
    <row r="895" spans="1:9" ht="15.75" thickTop="1">
      <c r="A895" s="567" t="s">
        <v>655</v>
      </c>
      <c r="B895" s="567">
        <v>45000</v>
      </c>
      <c r="C895" s="568">
        <v>18</v>
      </c>
      <c r="D895" s="568">
        <v>0.21</v>
      </c>
      <c r="E895" s="568">
        <v>14193</v>
      </c>
      <c r="F895" s="568">
        <v>59193</v>
      </c>
      <c r="G895" s="568">
        <v>2025</v>
      </c>
      <c r="H895" s="568">
        <v>3176</v>
      </c>
      <c r="I895" s="559" t="str">
        <f t="shared" si="13"/>
        <v>GooD</v>
      </c>
    </row>
    <row r="896" spans="1:9">
      <c r="A896" s="563" t="s">
        <v>655</v>
      </c>
      <c r="B896" s="563">
        <v>45000</v>
      </c>
      <c r="C896" s="564">
        <v>20</v>
      </c>
      <c r="D896" s="564">
        <v>0.21</v>
      </c>
      <c r="E896" s="564">
        <v>15770</v>
      </c>
      <c r="F896" s="564">
        <v>60770</v>
      </c>
      <c r="G896" s="564">
        <v>2250</v>
      </c>
      <c r="H896" s="564">
        <v>2926</v>
      </c>
      <c r="I896" s="557" t="str">
        <f t="shared" si="13"/>
        <v>GooD</v>
      </c>
    </row>
    <row r="897" spans="1:9" ht="15.75" thickBot="1">
      <c r="A897" s="565" t="s">
        <v>655</v>
      </c>
      <c r="B897" s="565">
        <v>45000</v>
      </c>
      <c r="C897" s="566">
        <v>22</v>
      </c>
      <c r="D897" s="566">
        <v>0.21</v>
      </c>
      <c r="E897" s="566">
        <v>17337</v>
      </c>
      <c r="F897" s="566">
        <v>62337</v>
      </c>
      <c r="G897" s="566">
        <v>2475</v>
      </c>
      <c r="H897" s="566">
        <v>2721</v>
      </c>
      <c r="I897" s="558" t="str">
        <f t="shared" si="13"/>
        <v>GooD</v>
      </c>
    </row>
    <row r="898" spans="1:9" ht="15.75" thickTop="1">
      <c r="A898" s="567" t="s">
        <v>655</v>
      </c>
      <c r="B898" s="567">
        <v>45000</v>
      </c>
      <c r="C898" s="568">
        <v>24</v>
      </c>
      <c r="D898" s="568">
        <v>0.21</v>
      </c>
      <c r="E898" s="568">
        <v>18924</v>
      </c>
      <c r="F898" s="568">
        <v>63924</v>
      </c>
      <c r="G898" s="568">
        <v>2700</v>
      </c>
      <c r="H898" s="568">
        <v>2551</v>
      </c>
      <c r="I898" s="559" t="str">
        <f t="shared" si="13"/>
        <v>GooD</v>
      </c>
    </row>
    <row r="899" spans="1:9">
      <c r="A899" s="563" t="s">
        <v>655</v>
      </c>
      <c r="B899" s="563">
        <v>46000</v>
      </c>
      <c r="C899" s="564">
        <v>6</v>
      </c>
      <c r="D899" s="564">
        <v>0.21</v>
      </c>
      <c r="E899" s="564">
        <v>4832</v>
      </c>
      <c r="F899" s="564">
        <v>50832</v>
      </c>
      <c r="G899" s="564">
        <v>690</v>
      </c>
      <c r="H899" s="564">
        <v>8357</v>
      </c>
      <c r="I899" s="557" t="str">
        <f t="shared" si="13"/>
        <v>GooD</v>
      </c>
    </row>
    <row r="900" spans="1:9" ht="15.75" thickBot="1">
      <c r="A900" s="565" t="s">
        <v>655</v>
      </c>
      <c r="B900" s="565">
        <v>46000</v>
      </c>
      <c r="C900" s="566">
        <v>8</v>
      </c>
      <c r="D900" s="566">
        <v>0.21</v>
      </c>
      <c r="E900" s="566">
        <v>6448</v>
      </c>
      <c r="F900" s="566">
        <v>52448</v>
      </c>
      <c r="G900" s="566">
        <v>920</v>
      </c>
      <c r="H900" s="566">
        <v>6441</v>
      </c>
      <c r="I900" s="558" t="str">
        <f t="shared" si="13"/>
        <v>GooD</v>
      </c>
    </row>
    <row r="901" spans="1:9" ht="15.75" thickTop="1">
      <c r="A901" s="567" t="s">
        <v>655</v>
      </c>
      <c r="B901" s="567">
        <v>46000</v>
      </c>
      <c r="C901" s="568">
        <v>10</v>
      </c>
      <c r="D901" s="568">
        <v>0.21</v>
      </c>
      <c r="E901" s="568">
        <v>8060</v>
      </c>
      <c r="F901" s="568">
        <v>54060</v>
      </c>
      <c r="G901" s="568">
        <v>1150</v>
      </c>
      <c r="H901" s="568">
        <v>5291</v>
      </c>
      <c r="I901" s="559" t="str">
        <f t="shared" si="13"/>
        <v>GooD</v>
      </c>
    </row>
    <row r="902" spans="1:9">
      <c r="A902" s="563" t="s">
        <v>655</v>
      </c>
      <c r="B902" s="563">
        <v>46000</v>
      </c>
      <c r="C902" s="564">
        <v>12</v>
      </c>
      <c r="D902" s="564">
        <v>0.21</v>
      </c>
      <c r="E902" s="564">
        <v>9668</v>
      </c>
      <c r="F902" s="564">
        <v>55668</v>
      </c>
      <c r="G902" s="564">
        <v>1380</v>
      </c>
      <c r="H902" s="564">
        <v>4524</v>
      </c>
      <c r="I902" s="557" t="str">
        <f t="shared" si="13"/>
        <v>GooD</v>
      </c>
    </row>
    <row r="903" spans="1:9" ht="15.75" thickBot="1">
      <c r="A903" s="565" t="s">
        <v>655</v>
      </c>
      <c r="B903" s="565">
        <v>46000</v>
      </c>
      <c r="C903" s="566">
        <v>14</v>
      </c>
      <c r="D903" s="566">
        <v>0.21</v>
      </c>
      <c r="E903" s="566">
        <v>11274</v>
      </c>
      <c r="F903" s="566">
        <v>57274</v>
      </c>
      <c r="G903" s="566">
        <v>1610</v>
      </c>
      <c r="H903" s="566">
        <v>3976</v>
      </c>
      <c r="I903" s="558" t="str">
        <f t="shared" si="13"/>
        <v>GooD</v>
      </c>
    </row>
    <row r="904" spans="1:9" ht="15.75" thickTop="1">
      <c r="A904" s="567" t="s">
        <v>655</v>
      </c>
      <c r="B904" s="567">
        <v>46000</v>
      </c>
      <c r="C904" s="568">
        <v>16</v>
      </c>
      <c r="D904" s="568">
        <v>0.21</v>
      </c>
      <c r="E904" s="568">
        <v>12896</v>
      </c>
      <c r="F904" s="568">
        <v>58896</v>
      </c>
      <c r="G904" s="568">
        <v>1840</v>
      </c>
      <c r="H904" s="568">
        <v>3566</v>
      </c>
      <c r="I904" s="559" t="str">
        <f t="shared" si="13"/>
        <v>GooD</v>
      </c>
    </row>
    <row r="905" spans="1:9">
      <c r="A905" s="563" t="s">
        <v>655</v>
      </c>
      <c r="B905" s="563">
        <v>46000</v>
      </c>
      <c r="C905" s="564">
        <v>18</v>
      </c>
      <c r="D905" s="564">
        <v>0.21</v>
      </c>
      <c r="E905" s="564">
        <v>14498</v>
      </c>
      <c r="F905" s="564">
        <v>60498</v>
      </c>
      <c r="G905" s="564">
        <v>2070</v>
      </c>
      <c r="H905" s="564">
        <v>3246</v>
      </c>
      <c r="I905" s="557" t="str">
        <f t="shared" si="13"/>
        <v>GooD</v>
      </c>
    </row>
    <row r="906" spans="1:9" ht="15.75" thickBot="1">
      <c r="A906" s="565" t="s">
        <v>655</v>
      </c>
      <c r="B906" s="565">
        <v>46000</v>
      </c>
      <c r="C906" s="566">
        <v>20</v>
      </c>
      <c r="D906" s="566">
        <v>0.21</v>
      </c>
      <c r="E906" s="566">
        <v>16120</v>
      </c>
      <c r="F906" s="566">
        <v>62120</v>
      </c>
      <c r="G906" s="566">
        <v>2300</v>
      </c>
      <c r="H906" s="566">
        <v>2991</v>
      </c>
      <c r="I906" s="558" t="str">
        <f t="shared" si="13"/>
        <v>GooD</v>
      </c>
    </row>
    <row r="907" spans="1:9" ht="15.75" thickTop="1">
      <c r="A907" s="567" t="s">
        <v>655</v>
      </c>
      <c r="B907" s="567">
        <v>46000</v>
      </c>
      <c r="C907" s="568">
        <v>22</v>
      </c>
      <c r="D907" s="568">
        <v>0.21</v>
      </c>
      <c r="E907" s="568">
        <v>17712</v>
      </c>
      <c r="F907" s="568">
        <v>63712</v>
      </c>
      <c r="G907" s="568">
        <v>2530</v>
      </c>
      <c r="H907" s="568">
        <v>2781</v>
      </c>
      <c r="I907" s="559" t="str">
        <f t="shared" si="13"/>
        <v>GooD</v>
      </c>
    </row>
    <row r="908" spans="1:9">
      <c r="A908" s="563" t="s">
        <v>655</v>
      </c>
      <c r="B908" s="563">
        <v>46000</v>
      </c>
      <c r="C908" s="564">
        <v>24</v>
      </c>
      <c r="D908" s="564">
        <v>0.21</v>
      </c>
      <c r="E908" s="564">
        <v>19328</v>
      </c>
      <c r="F908" s="564">
        <v>65328</v>
      </c>
      <c r="G908" s="564">
        <v>2760</v>
      </c>
      <c r="H908" s="564">
        <v>2607</v>
      </c>
      <c r="I908" s="557" t="str">
        <f t="shared" si="13"/>
        <v>GooD</v>
      </c>
    </row>
    <row r="909" spans="1:9" ht="15.75" thickBot="1">
      <c r="A909" s="565" t="s">
        <v>655</v>
      </c>
      <c r="B909" s="565">
        <v>47000</v>
      </c>
      <c r="C909" s="566">
        <v>6</v>
      </c>
      <c r="D909" s="566">
        <v>0.21</v>
      </c>
      <c r="E909" s="566">
        <v>4939</v>
      </c>
      <c r="F909" s="566">
        <v>51939</v>
      </c>
      <c r="G909" s="566">
        <v>705</v>
      </c>
      <c r="H909" s="566">
        <v>8539</v>
      </c>
      <c r="I909" s="558" t="str">
        <f t="shared" si="13"/>
        <v>GooD</v>
      </c>
    </row>
    <row r="910" spans="1:9" ht="15.75" thickTop="1">
      <c r="A910" s="567" t="s">
        <v>655</v>
      </c>
      <c r="B910" s="567">
        <v>47000</v>
      </c>
      <c r="C910" s="568">
        <v>8</v>
      </c>
      <c r="D910" s="568">
        <v>0.21</v>
      </c>
      <c r="E910" s="568">
        <v>6588</v>
      </c>
      <c r="F910" s="568">
        <v>53588</v>
      </c>
      <c r="G910" s="568">
        <v>940</v>
      </c>
      <c r="H910" s="568">
        <v>6581</v>
      </c>
      <c r="I910" s="559" t="str">
        <f t="shared" si="13"/>
        <v>GooD</v>
      </c>
    </row>
    <row r="911" spans="1:9">
      <c r="A911" s="563" t="s">
        <v>655</v>
      </c>
      <c r="B911" s="563">
        <v>47000</v>
      </c>
      <c r="C911" s="564">
        <v>10</v>
      </c>
      <c r="D911" s="564">
        <v>0.21</v>
      </c>
      <c r="E911" s="564">
        <v>8235</v>
      </c>
      <c r="F911" s="564">
        <v>55235</v>
      </c>
      <c r="G911" s="564">
        <v>1175</v>
      </c>
      <c r="H911" s="564">
        <v>5406</v>
      </c>
      <c r="I911" s="557" t="str">
        <f t="shared" si="13"/>
        <v>GooD</v>
      </c>
    </row>
    <row r="912" spans="1:9" ht="15.75" thickBot="1">
      <c r="A912" s="565" t="s">
        <v>655</v>
      </c>
      <c r="B912" s="565">
        <v>47000</v>
      </c>
      <c r="C912" s="566">
        <v>12</v>
      </c>
      <c r="D912" s="566">
        <v>0.21</v>
      </c>
      <c r="E912" s="566">
        <v>9874</v>
      </c>
      <c r="F912" s="566">
        <v>56874</v>
      </c>
      <c r="G912" s="566">
        <v>1410</v>
      </c>
      <c r="H912" s="566">
        <v>4622</v>
      </c>
      <c r="I912" s="558" t="str">
        <f t="shared" ref="I912:I975" si="14">IF(((H912*C912)+G912)=F912,"GooD","لالالالالالالا")</f>
        <v>GooD</v>
      </c>
    </row>
    <row r="913" spans="1:9" ht="15.75" thickTop="1">
      <c r="A913" s="567" t="s">
        <v>655</v>
      </c>
      <c r="B913" s="567">
        <v>47000</v>
      </c>
      <c r="C913" s="568">
        <v>14</v>
      </c>
      <c r="D913" s="568">
        <v>0.21</v>
      </c>
      <c r="E913" s="568">
        <v>11527</v>
      </c>
      <c r="F913" s="568">
        <v>58527</v>
      </c>
      <c r="G913" s="568">
        <v>1645</v>
      </c>
      <c r="H913" s="568">
        <v>4063</v>
      </c>
      <c r="I913" s="559" t="str">
        <f t="shared" si="14"/>
        <v>GooD</v>
      </c>
    </row>
    <row r="914" spans="1:9">
      <c r="A914" s="563" t="s">
        <v>655</v>
      </c>
      <c r="B914" s="563">
        <v>47000</v>
      </c>
      <c r="C914" s="564">
        <v>16</v>
      </c>
      <c r="D914" s="564">
        <v>0.21</v>
      </c>
      <c r="E914" s="564">
        <v>13168</v>
      </c>
      <c r="F914" s="564">
        <v>60168</v>
      </c>
      <c r="G914" s="564">
        <v>1880</v>
      </c>
      <c r="H914" s="564">
        <v>3643</v>
      </c>
      <c r="I914" s="557" t="str">
        <f t="shared" si="14"/>
        <v>GooD</v>
      </c>
    </row>
    <row r="915" spans="1:9" ht="15.75" thickBot="1">
      <c r="A915" s="565" t="s">
        <v>655</v>
      </c>
      <c r="B915" s="565">
        <v>47000</v>
      </c>
      <c r="C915" s="566">
        <v>18</v>
      </c>
      <c r="D915" s="566">
        <v>0.21</v>
      </c>
      <c r="E915" s="566">
        <v>14821</v>
      </c>
      <c r="F915" s="566">
        <v>61821</v>
      </c>
      <c r="G915" s="566">
        <v>2115</v>
      </c>
      <c r="H915" s="566">
        <v>3317</v>
      </c>
      <c r="I915" s="558" t="str">
        <f t="shared" si="14"/>
        <v>GooD</v>
      </c>
    </row>
    <row r="916" spans="1:9" ht="15.75" thickTop="1">
      <c r="A916" s="567" t="s">
        <v>655</v>
      </c>
      <c r="B916" s="567">
        <v>47000</v>
      </c>
      <c r="C916" s="568">
        <v>20</v>
      </c>
      <c r="D916" s="568">
        <v>0.21</v>
      </c>
      <c r="E916" s="568">
        <v>16470</v>
      </c>
      <c r="F916" s="568">
        <v>63470</v>
      </c>
      <c r="G916" s="568">
        <v>2350</v>
      </c>
      <c r="H916" s="568">
        <v>3056</v>
      </c>
      <c r="I916" s="559" t="str">
        <f t="shared" si="14"/>
        <v>GooD</v>
      </c>
    </row>
    <row r="917" spans="1:9">
      <c r="A917" s="563" t="s">
        <v>655</v>
      </c>
      <c r="B917" s="563">
        <v>47000</v>
      </c>
      <c r="C917" s="564">
        <v>22</v>
      </c>
      <c r="D917" s="564">
        <v>0.21</v>
      </c>
      <c r="E917" s="564">
        <v>18109</v>
      </c>
      <c r="F917" s="564">
        <v>65109</v>
      </c>
      <c r="G917" s="564">
        <v>2585</v>
      </c>
      <c r="H917" s="564">
        <v>2842</v>
      </c>
      <c r="I917" s="557" t="str">
        <f t="shared" si="14"/>
        <v>GooD</v>
      </c>
    </row>
    <row r="918" spans="1:9" ht="15.75" thickBot="1">
      <c r="A918" s="565" t="s">
        <v>655</v>
      </c>
      <c r="B918" s="565">
        <v>47000</v>
      </c>
      <c r="C918" s="566">
        <v>24</v>
      </c>
      <c r="D918" s="566">
        <v>0.21</v>
      </c>
      <c r="E918" s="566">
        <v>19756</v>
      </c>
      <c r="F918" s="566">
        <v>66756</v>
      </c>
      <c r="G918" s="566">
        <v>2820</v>
      </c>
      <c r="H918" s="566">
        <v>2664</v>
      </c>
      <c r="I918" s="558" t="str">
        <f t="shared" si="14"/>
        <v>GooD</v>
      </c>
    </row>
    <row r="919" spans="1:9" ht="15.75" thickTop="1">
      <c r="A919" s="567" t="s">
        <v>655</v>
      </c>
      <c r="B919" s="567">
        <v>48000</v>
      </c>
      <c r="C919" s="568">
        <v>6</v>
      </c>
      <c r="D919" s="568">
        <v>0.21</v>
      </c>
      <c r="E919" s="568">
        <v>5046</v>
      </c>
      <c r="F919" s="568">
        <v>53046</v>
      </c>
      <c r="G919" s="568">
        <v>720</v>
      </c>
      <c r="H919" s="568">
        <v>8721</v>
      </c>
      <c r="I919" s="559" t="str">
        <f t="shared" si="14"/>
        <v>GooD</v>
      </c>
    </row>
    <row r="920" spans="1:9">
      <c r="A920" s="563" t="s">
        <v>655</v>
      </c>
      <c r="B920" s="563">
        <v>48000</v>
      </c>
      <c r="C920" s="564">
        <v>8</v>
      </c>
      <c r="D920" s="564">
        <v>0.21</v>
      </c>
      <c r="E920" s="564">
        <v>6728</v>
      </c>
      <c r="F920" s="564">
        <v>54728</v>
      </c>
      <c r="G920" s="564">
        <v>960</v>
      </c>
      <c r="H920" s="564">
        <v>6721</v>
      </c>
      <c r="I920" s="557" t="str">
        <f t="shared" si="14"/>
        <v>GooD</v>
      </c>
    </row>
    <row r="921" spans="1:9" ht="15.75" thickBot="1">
      <c r="A921" s="565" t="s">
        <v>655</v>
      </c>
      <c r="B921" s="565">
        <v>48000</v>
      </c>
      <c r="C921" s="566">
        <v>10</v>
      </c>
      <c r="D921" s="566">
        <v>0.21</v>
      </c>
      <c r="E921" s="566">
        <v>8410</v>
      </c>
      <c r="F921" s="566">
        <v>56410</v>
      </c>
      <c r="G921" s="566">
        <v>1200</v>
      </c>
      <c r="H921" s="566">
        <v>5521</v>
      </c>
      <c r="I921" s="558" t="str">
        <f t="shared" si="14"/>
        <v>GooD</v>
      </c>
    </row>
    <row r="922" spans="1:9" ht="15.75" thickTop="1">
      <c r="A922" s="567" t="s">
        <v>655</v>
      </c>
      <c r="B922" s="567">
        <v>48000</v>
      </c>
      <c r="C922" s="568">
        <v>12</v>
      </c>
      <c r="D922" s="568">
        <v>0.21</v>
      </c>
      <c r="E922" s="568">
        <v>10092</v>
      </c>
      <c r="F922" s="568">
        <v>58092</v>
      </c>
      <c r="G922" s="568">
        <v>1440</v>
      </c>
      <c r="H922" s="568">
        <v>4721</v>
      </c>
      <c r="I922" s="559" t="str">
        <f t="shared" si="14"/>
        <v>GooD</v>
      </c>
    </row>
    <row r="923" spans="1:9">
      <c r="A923" s="563" t="s">
        <v>655</v>
      </c>
      <c r="B923" s="563">
        <v>48000</v>
      </c>
      <c r="C923" s="564">
        <v>14</v>
      </c>
      <c r="D923" s="564">
        <v>0.21</v>
      </c>
      <c r="E923" s="564">
        <v>11766</v>
      </c>
      <c r="F923" s="564">
        <v>59766</v>
      </c>
      <c r="G923" s="564">
        <v>1680</v>
      </c>
      <c r="H923" s="564">
        <v>4149</v>
      </c>
      <c r="I923" s="557" t="str">
        <f t="shared" si="14"/>
        <v>GooD</v>
      </c>
    </row>
    <row r="924" spans="1:9" ht="15.75" thickBot="1">
      <c r="A924" s="565" t="s">
        <v>655</v>
      </c>
      <c r="B924" s="565">
        <v>48000</v>
      </c>
      <c r="C924" s="566">
        <v>16</v>
      </c>
      <c r="D924" s="566">
        <v>0.21</v>
      </c>
      <c r="E924" s="566">
        <v>13456</v>
      </c>
      <c r="F924" s="566">
        <v>61456</v>
      </c>
      <c r="G924" s="566">
        <v>1920</v>
      </c>
      <c r="H924" s="566">
        <v>3721</v>
      </c>
      <c r="I924" s="558" t="str">
        <f t="shared" si="14"/>
        <v>GooD</v>
      </c>
    </row>
    <row r="925" spans="1:9" ht="15.75" thickTop="1">
      <c r="A925" s="567" t="s">
        <v>655</v>
      </c>
      <c r="B925" s="567">
        <v>48000</v>
      </c>
      <c r="C925" s="568">
        <v>18</v>
      </c>
      <c r="D925" s="568">
        <v>0.21</v>
      </c>
      <c r="E925" s="568">
        <v>15126</v>
      </c>
      <c r="F925" s="568">
        <v>63126</v>
      </c>
      <c r="G925" s="568">
        <v>2160</v>
      </c>
      <c r="H925" s="568">
        <v>3387</v>
      </c>
      <c r="I925" s="559" t="str">
        <f t="shared" si="14"/>
        <v>GooD</v>
      </c>
    </row>
    <row r="926" spans="1:9">
      <c r="A926" s="563" t="s">
        <v>655</v>
      </c>
      <c r="B926" s="563">
        <v>48000</v>
      </c>
      <c r="C926" s="564">
        <v>20</v>
      </c>
      <c r="D926" s="564">
        <v>0.21</v>
      </c>
      <c r="E926" s="564">
        <v>16820</v>
      </c>
      <c r="F926" s="564">
        <v>64820</v>
      </c>
      <c r="G926" s="564">
        <v>2400</v>
      </c>
      <c r="H926" s="564">
        <v>3121</v>
      </c>
      <c r="I926" s="557" t="str">
        <f t="shared" si="14"/>
        <v>GooD</v>
      </c>
    </row>
    <row r="927" spans="1:9" ht="15.75" thickBot="1">
      <c r="A927" s="565" t="s">
        <v>655</v>
      </c>
      <c r="B927" s="565">
        <v>48000</v>
      </c>
      <c r="C927" s="566">
        <v>22</v>
      </c>
      <c r="D927" s="566">
        <v>0.21</v>
      </c>
      <c r="E927" s="566">
        <v>18484</v>
      </c>
      <c r="F927" s="566">
        <v>66484</v>
      </c>
      <c r="G927" s="566">
        <v>2640</v>
      </c>
      <c r="H927" s="566">
        <v>2902</v>
      </c>
      <c r="I927" s="558" t="str">
        <f t="shared" si="14"/>
        <v>GooD</v>
      </c>
    </row>
    <row r="928" spans="1:9" ht="15.75" thickTop="1">
      <c r="A928" s="567" t="s">
        <v>655</v>
      </c>
      <c r="B928" s="567">
        <v>48000</v>
      </c>
      <c r="C928" s="568">
        <v>24</v>
      </c>
      <c r="D928" s="568">
        <v>0.21</v>
      </c>
      <c r="E928" s="568">
        <v>20184</v>
      </c>
      <c r="F928" s="568">
        <v>68184</v>
      </c>
      <c r="G928" s="568">
        <v>2880</v>
      </c>
      <c r="H928" s="568">
        <v>2721</v>
      </c>
      <c r="I928" s="559" t="str">
        <f t="shared" si="14"/>
        <v>GooD</v>
      </c>
    </row>
    <row r="929" spans="1:9">
      <c r="A929" s="563" t="s">
        <v>655</v>
      </c>
      <c r="B929" s="563">
        <v>49000</v>
      </c>
      <c r="C929" s="564">
        <v>6</v>
      </c>
      <c r="D929" s="564">
        <v>0.21</v>
      </c>
      <c r="E929" s="564">
        <v>5147</v>
      </c>
      <c r="F929" s="564">
        <v>54147</v>
      </c>
      <c r="G929" s="564">
        <v>735</v>
      </c>
      <c r="H929" s="564">
        <v>8902</v>
      </c>
      <c r="I929" s="557" t="str">
        <f t="shared" si="14"/>
        <v>GooD</v>
      </c>
    </row>
    <row r="930" spans="1:9" ht="15.75" thickBot="1">
      <c r="A930" s="565" t="s">
        <v>655</v>
      </c>
      <c r="B930" s="565">
        <v>49000</v>
      </c>
      <c r="C930" s="566">
        <v>8</v>
      </c>
      <c r="D930" s="566">
        <v>0.21</v>
      </c>
      <c r="E930" s="566">
        <v>6868</v>
      </c>
      <c r="F930" s="566">
        <v>55868</v>
      </c>
      <c r="G930" s="566">
        <v>980</v>
      </c>
      <c r="H930" s="566">
        <v>6861</v>
      </c>
      <c r="I930" s="558" t="str">
        <f t="shared" si="14"/>
        <v>GooD</v>
      </c>
    </row>
    <row r="931" spans="1:9" ht="15.75" thickTop="1">
      <c r="A931" s="567" t="s">
        <v>655</v>
      </c>
      <c r="B931" s="567">
        <v>49000</v>
      </c>
      <c r="C931" s="568">
        <v>10</v>
      </c>
      <c r="D931" s="568">
        <v>0.21</v>
      </c>
      <c r="E931" s="568">
        <v>8585</v>
      </c>
      <c r="F931" s="568">
        <v>57585</v>
      </c>
      <c r="G931" s="568">
        <v>1225</v>
      </c>
      <c r="H931" s="568">
        <v>5636</v>
      </c>
      <c r="I931" s="559" t="str">
        <f t="shared" si="14"/>
        <v>GooD</v>
      </c>
    </row>
    <row r="932" spans="1:9">
      <c r="A932" s="563" t="s">
        <v>655</v>
      </c>
      <c r="B932" s="563">
        <v>49000</v>
      </c>
      <c r="C932" s="564">
        <v>12</v>
      </c>
      <c r="D932" s="564">
        <v>0.21</v>
      </c>
      <c r="E932" s="564">
        <v>10298</v>
      </c>
      <c r="F932" s="564">
        <v>59298</v>
      </c>
      <c r="G932" s="564">
        <v>1470</v>
      </c>
      <c r="H932" s="564">
        <v>4819</v>
      </c>
      <c r="I932" s="557" t="str">
        <f t="shared" si="14"/>
        <v>GooD</v>
      </c>
    </row>
    <row r="933" spans="1:9" ht="15.75" thickBot="1">
      <c r="A933" s="565" t="s">
        <v>655</v>
      </c>
      <c r="B933" s="565">
        <v>49000</v>
      </c>
      <c r="C933" s="566">
        <v>14</v>
      </c>
      <c r="D933" s="566">
        <v>0.21</v>
      </c>
      <c r="E933" s="566">
        <v>12019</v>
      </c>
      <c r="F933" s="566">
        <v>61019</v>
      </c>
      <c r="G933" s="566">
        <v>1715</v>
      </c>
      <c r="H933" s="566">
        <v>4236</v>
      </c>
      <c r="I933" s="558" t="str">
        <f t="shared" si="14"/>
        <v>GooD</v>
      </c>
    </row>
    <row r="934" spans="1:9" ht="15.75" thickTop="1">
      <c r="A934" s="567" t="s">
        <v>655</v>
      </c>
      <c r="B934" s="567">
        <v>49000</v>
      </c>
      <c r="C934" s="568">
        <v>16</v>
      </c>
      <c r="D934" s="568">
        <v>0.21</v>
      </c>
      <c r="E934" s="568">
        <v>13728</v>
      </c>
      <c r="F934" s="568">
        <v>62728</v>
      </c>
      <c r="G934" s="568">
        <v>1960</v>
      </c>
      <c r="H934" s="568">
        <v>3798</v>
      </c>
      <c r="I934" s="559" t="str">
        <f t="shared" si="14"/>
        <v>GooD</v>
      </c>
    </row>
    <row r="935" spans="1:9">
      <c r="A935" s="563" t="s">
        <v>655</v>
      </c>
      <c r="B935" s="563">
        <v>49000</v>
      </c>
      <c r="C935" s="564">
        <v>18</v>
      </c>
      <c r="D935" s="564">
        <v>0.21</v>
      </c>
      <c r="E935" s="564">
        <v>15449</v>
      </c>
      <c r="F935" s="564">
        <v>64449</v>
      </c>
      <c r="G935" s="564">
        <v>2205</v>
      </c>
      <c r="H935" s="564">
        <v>3458</v>
      </c>
      <c r="I935" s="557" t="str">
        <f t="shared" si="14"/>
        <v>GooD</v>
      </c>
    </row>
    <row r="936" spans="1:9" ht="15.75" thickBot="1">
      <c r="A936" s="565" t="s">
        <v>655</v>
      </c>
      <c r="B936" s="565">
        <v>49000</v>
      </c>
      <c r="C936" s="566">
        <v>20</v>
      </c>
      <c r="D936" s="566">
        <v>0.21</v>
      </c>
      <c r="E936" s="566">
        <v>17170</v>
      </c>
      <c r="F936" s="566">
        <v>66170</v>
      </c>
      <c r="G936" s="566">
        <v>2450</v>
      </c>
      <c r="H936" s="566">
        <v>3186</v>
      </c>
      <c r="I936" s="558" t="str">
        <f t="shared" si="14"/>
        <v>GooD</v>
      </c>
    </row>
    <row r="937" spans="1:9" ht="15.75" thickTop="1">
      <c r="A937" s="567" t="s">
        <v>655</v>
      </c>
      <c r="B937" s="567">
        <v>49000</v>
      </c>
      <c r="C937" s="568">
        <v>22</v>
      </c>
      <c r="D937" s="568">
        <v>0.21</v>
      </c>
      <c r="E937" s="568">
        <v>18881</v>
      </c>
      <c r="F937" s="568">
        <v>67881</v>
      </c>
      <c r="G937" s="568">
        <v>2695</v>
      </c>
      <c r="H937" s="568">
        <v>2963</v>
      </c>
      <c r="I937" s="559" t="str">
        <f t="shared" si="14"/>
        <v>GooD</v>
      </c>
    </row>
    <row r="938" spans="1:9">
      <c r="A938" s="563" t="s">
        <v>655</v>
      </c>
      <c r="B938" s="563">
        <v>49000</v>
      </c>
      <c r="C938" s="564">
        <v>24</v>
      </c>
      <c r="D938" s="564">
        <v>0.21</v>
      </c>
      <c r="E938" s="564">
        <v>20588</v>
      </c>
      <c r="F938" s="564">
        <v>69588</v>
      </c>
      <c r="G938" s="564">
        <v>2940</v>
      </c>
      <c r="H938" s="564">
        <v>2777</v>
      </c>
      <c r="I938" s="557" t="str">
        <f t="shared" si="14"/>
        <v>GooD</v>
      </c>
    </row>
    <row r="939" spans="1:9" ht="15.75" thickBot="1">
      <c r="A939" s="565" t="s">
        <v>655</v>
      </c>
      <c r="B939" s="565">
        <v>50000</v>
      </c>
      <c r="C939" s="566">
        <v>6</v>
      </c>
      <c r="D939" s="566">
        <v>0.21</v>
      </c>
      <c r="E939" s="566">
        <v>5254</v>
      </c>
      <c r="F939" s="566">
        <v>55254</v>
      </c>
      <c r="G939" s="566">
        <v>750</v>
      </c>
      <c r="H939" s="566">
        <v>9084</v>
      </c>
      <c r="I939" s="558" t="str">
        <f t="shared" si="14"/>
        <v>GooD</v>
      </c>
    </row>
    <row r="940" spans="1:9" ht="15.75" thickTop="1">
      <c r="A940" s="567" t="s">
        <v>655</v>
      </c>
      <c r="B940" s="567">
        <v>50000</v>
      </c>
      <c r="C940" s="568">
        <v>8</v>
      </c>
      <c r="D940" s="568">
        <v>0.21</v>
      </c>
      <c r="E940" s="568">
        <v>7008</v>
      </c>
      <c r="F940" s="568">
        <v>57008</v>
      </c>
      <c r="G940" s="568">
        <v>1000</v>
      </c>
      <c r="H940" s="568">
        <v>7001</v>
      </c>
      <c r="I940" s="559" t="str">
        <f t="shared" si="14"/>
        <v>GooD</v>
      </c>
    </row>
    <row r="941" spans="1:9">
      <c r="A941" s="563" t="s">
        <v>655</v>
      </c>
      <c r="B941" s="563">
        <v>50000</v>
      </c>
      <c r="C941" s="564">
        <v>10</v>
      </c>
      <c r="D941" s="564">
        <v>0.21</v>
      </c>
      <c r="E941" s="564">
        <v>8760</v>
      </c>
      <c r="F941" s="564">
        <v>58760</v>
      </c>
      <c r="G941" s="564">
        <v>1250</v>
      </c>
      <c r="H941" s="564">
        <v>5751</v>
      </c>
      <c r="I941" s="557" t="str">
        <f t="shared" si="14"/>
        <v>GooD</v>
      </c>
    </row>
    <row r="942" spans="1:9" ht="15.75" thickBot="1">
      <c r="A942" s="565" t="s">
        <v>655</v>
      </c>
      <c r="B942" s="565">
        <v>50000</v>
      </c>
      <c r="C942" s="566">
        <v>12</v>
      </c>
      <c r="D942" s="566">
        <v>0.21</v>
      </c>
      <c r="E942" s="566">
        <v>10504</v>
      </c>
      <c r="F942" s="566">
        <v>60504</v>
      </c>
      <c r="G942" s="566">
        <v>1500</v>
      </c>
      <c r="H942" s="566">
        <v>4917</v>
      </c>
      <c r="I942" s="558" t="str">
        <f t="shared" si="14"/>
        <v>GooD</v>
      </c>
    </row>
    <row r="943" spans="1:9" ht="15.75" thickTop="1">
      <c r="A943" s="567" t="s">
        <v>655</v>
      </c>
      <c r="B943" s="567">
        <v>50000</v>
      </c>
      <c r="C943" s="568">
        <v>14</v>
      </c>
      <c r="D943" s="568">
        <v>0.21</v>
      </c>
      <c r="E943" s="568">
        <v>12258</v>
      </c>
      <c r="F943" s="568">
        <v>62258</v>
      </c>
      <c r="G943" s="568">
        <v>1750</v>
      </c>
      <c r="H943" s="568">
        <v>4322</v>
      </c>
      <c r="I943" s="559" t="str">
        <f t="shared" si="14"/>
        <v>GooD</v>
      </c>
    </row>
    <row r="944" spans="1:9">
      <c r="A944" s="563" t="s">
        <v>655</v>
      </c>
      <c r="B944" s="563">
        <v>50000</v>
      </c>
      <c r="C944" s="564">
        <v>16</v>
      </c>
      <c r="D944" s="564">
        <v>0.21</v>
      </c>
      <c r="E944" s="564">
        <v>14016</v>
      </c>
      <c r="F944" s="564">
        <v>64016</v>
      </c>
      <c r="G944" s="564">
        <v>2000</v>
      </c>
      <c r="H944" s="564">
        <v>3876</v>
      </c>
      <c r="I944" s="557" t="str">
        <f t="shared" si="14"/>
        <v>GooD</v>
      </c>
    </row>
    <row r="945" spans="1:9" ht="15.75" thickBot="1">
      <c r="A945" s="565" t="s">
        <v>655</v>
      </c>
      <c r="B945" s="565">
        <v>50000</v>
      </c>
      <c r="C945" s="566">
        <v>18</v>
      </c>
      <c r="D945" s="566">
        <v>0.21</v>
      </c>
      <c r="E945" s="566">
        <v>15754</v>
      </c>
      <c r="F945" s="566">
        <v>65754</v>
      </c>
      <c r="G945" s="566">
        <v>2250</v>
      </c>
      <c r="H945" s="566">
        <v>3528</v>
      </c>
      <c r="I945" s="558" t="str">
        <f t="shared" si="14"/>
        <v>GooD</v>
      </c>
    </row>
    <row r="946" spans="1:9" ht="15.75" thickTop="1">
      <c r="A946" s="567" t="s">
        <v>655</v>
      </c>
      <c r="B946" s="567">
        <v>50000</v>
      </c>
      <c r="C946" s="568">
        <v>20</v>
      </c>
      <c r="D946" s="568">
        <v>0.21</v>
      </c>
      <c r="E946" s="568">
        <v>17520</v>
      </c>
      <c r="F946" s="568">
        <v>67520</v>
      </c>
      <c r="G946" s="568">
        <v>2500</v>
      </c>
      <c r="H946" s="568">
        <v>3251</v>
      </c>
      <c r="I946" s="559" t="str">
        <f t="shared" si="14"/>
        <v>GooD</v>
      </c>
    </row>
    <row r="947" spans="1:9">
      <c r="A947" s="563" t="s">
        <v>655</v>
      </c>
      <c r="B947" s="563">
        <v>50000</v>
      </c>
      <c r="C947" s="564">
        <v>22</v>
      </c>
      <c r="D947" s="564">
        <v>0.21</v>
      </c>
      <c r="E947" s="564">
        <v>19256</v>
      </c>
      <c r="F947" s="564">
        <v>69256</v>
      </c>
      <c r="G947" s="564">
        <v>2750</v>
      </c>
      <c r="H947" s="564">
        <v>3023</v>
      </c>
      <c r="I947" s="557" t="str">
        <f t="shared" si="14"/>
        <v>GooD</v>
      </c>
    </row>
    <row r="948" spans="1:9" ht="15.75" thickBot="1">
      <c r="A948" s="565" t="s">
        <v>655</v>
      </c>
      <c r="B948" s="565">
        <v>50000</v>
      </c>
      <c r="C948" s="566">
        <v>24</v>
      </c>
      <c r="D948" s="566">
        <v>0.21</v>
      </c>
      <c r="E948" s="566">
        <v>21016</v>
      </c>
      <c r="F948" s="566">
        <v>71016</v>
      </c>
      <c r="G948" s="566">
        <v>3000</v>
      </c>
      <c r="H948" s="566">
        <v>2834</v>
      </c>
      <c r="I948" s="558" t="str">
        <f t="shared" si="14"/>
        <v>GooD</v>
      </c>
    </row>
    <row r="949" spans="1:9" ht="15.75" thickTop="1">
      <c r="A949" s="567" t="s">
        <v>643</v>
      </c>
      <c r="B949" s="567">
        <v>6000</v>
      </c>
      <c r="C949" s="568">
        <v>4</v>
      </c>
      <c r="D949" s="568">
        <v>0.21</v>
      </c>
      <c r="E949" s="568">
        <v>424</v>
      </c>
      <c r="F949" s="568">
        <v>6424</v>
      </c>
      <c r="G949" s="568">
        <v>60</v>
      </c>
      <c r="H949" s="568">
        <v>1591</v>
      </c>
      <c r="I949" s="559" t="str">
        <f t="shared" si="14"/>
        <v>GooD</v>
      </c>
    </row>
    <row r="950" spans="1:9">
      <c r="A950" s="563" t="s">
        <v>643</v>
      </c>
      <c r="B950" s="563">
        <v>6000</v>
      </c>
      <c r="C950" s="564">
        <v>6</v>
      </c>
      <c r="D950" s="564">
        <v>0.21</v>
      </c>
      <c r="E950" s="564">
        <v>636</v>
      </c>
      <c r="F950" s="564">
        <v>6636</v>
      </c>
      <c r="G950" s="564">
        <v>90</v>
      </c>
      <c r="H950" s="564">
        <v>1091</v>
      </c>
      <c r="I950" s="557" t="str">
        <f t="shared" si="14"/>
        <v>GooD</v>
      </c>
    </row>
    <row r="951" spans="1:9" ht="15.75" thickBot="1">
      <c r="A951" s="565" t="s">
        <v>643</v>
      </c>
      <c r="B951" s="565">
        <v>6000</v>
      </c>
      <c r="C951" s="566">
        <v>8</v>
      </c>
      <c r="D951" s="566">
        <v>0.21</v>
      </c>
      <c r="E951" s="566">
        <v>848</v>
      </c>
      <c r="F951" s="566">
        <v>6848</v>
      </c>
      <c r="G951" s="566">
        <v>120</v>
      </c>
      <c r="H951" s="566">
        <v>841</v>
      </c>
      <c r="I951" s="558" t="str">
        <f t="shared" si="14"/>
        <v>GooD</v>
      </c>
    </row>
    <row r="952" spans="1:9" ht="15.75" thickTop="1">
      <c r="A952" s="567" t="s">
        <v>643</v>
      </c>
      <c r="B952" s="567">
        <v>6000</v>
      </c>
      <c r="C952" s="568">
        <v>10</v>
      </c>
      <c r="D952" s="568">
        <v>0.21</v>
      </c>
      <c r="E952" s="568">
        <v>1060</v>
      </c>
      <c r="F952" s="568">
        <v>7060</v>
      </c>
      <c r="G952" s="568">
        <v>150</v>
      </c>
      <c r="H952" s="568">
        <v>691</v>
      </c>
      <c r="I952" s="559" t="str">
        <f t="shared" si="14"/>
        <v>GooD</v>
      </c>
    </row>
    <row r="953" spans="1:9">
      <c r="A953" s="563" t="s">
        <v>643</v>
      </c>
      <c r="B953" s="563">
        <v>6000</v>
      </c>
      <c r="C953" s="564">
        <v>12</v>
      </c>
      <c r="D953" s="564">
        <v>0.21</v>
      </c>
      <c r="E953" s="564">
        <v>1272</v>
      </c>
      <c r="F953" s="564">
        <v>7272</v>
      </c>
      <c r="G953" s="564">
        <v>180</v>
      </c>
      <c r="H953" s="564">
        <v>591</v>
      </c>
      <c r="I953" s="557" t="str">
        <f t="shared" si="14"/>
        <v>GooD</v>
      </c>
    </row>
    <row r="954" spans="1:9">
      <c r="A954" s="563" t="s">
        <v>643</v>
      </c>
      <c r="B954" s="563">
        <v>6500</v>
      </c>
      <c r="C954" s="564">
        <v>4</v>
      </c>
      <c r="D954" s="564">
        <v>0.21</v>
      </c>
      <c r="E954" s="564">
        <v>457</v>
      </c>
      <c r="F954" s="564">
        <v>6957</v>
      </c>
      <c r="G954" s="564">
        <v>65</v>
      </c>
      <c r="H954" s="564">
        <v>1723</v>
      </c>
      <c r="I954" s="557" t="str">
        <f t="shared" si="14"/>
        <v>GooD</v>
      </c>
    </row>
    <row r="955" spans="1:9">
      <c r="A955" s="563" t="s">
        <v>643</v>
      </c>
      <c r="B955" s="563">
        <v>6500</v>
      </c>
      <c r="C955" s="564">
        <v>6</v>
      </c>
      <c r="D955" s="564">
        <v>0.21</v>
      </c>
      <c r="E955" s="564">
        <v>684</v>
      </c>
      <c r="F955" s="564">
        <v>7184</v>
      </c>
      <c r="G955" s="564">
        <v>98</v>
      </c>
      <c r="H955" s="564">
        <v>1181</v>
      </c>
      <c r="I955" s="557" t="str">
        <f t="shared" si="14"/>
        <v>GooD</v>
      </c>
    </row>
    <row r="956" spans="1:9" ht="15.75" thickBot="1">
      <c r="A956" s="565" t="s">
        <v>643</v>
      </c>
      <c r="B956" s="565">
        <v>6500</v>
      </c>
      <c r="C956" s="566">
        <v>8</v>
      </c>
      <c r="D956" s="566">
        <v>0.21</v>
      </c>
      <c r="E956" s="566">
        <v>918</v>
      </c>
      <c r="F956" s="566">
        <v>7418</v>
      </c>
      <c r="G956" s="566">
        <v>130</v>
      </c>
      <c r="H956" s="566">
        <v>911</v>
      </c>
      <c r="I956" s="558" t="str">
        <f t="shared" si="14"/>
        <v>GooD</v>
      </c>
    </row>
    <row r="957" spans="1:9" ht="15.75" thickTop="1">
      <c r="A957" s="567" t="s">
        <v>643</v>
      </c>
      <c r="B957" s="567">
        <v>6500</v>
      </c>
      <c r="C957" s="568">
        <v>10</v>
      </c>
      <c r="D957" s="568">
        <v>0.21</v>
      </c>
      <c r="E957" s="568">
        <v>1143</v>
      </c>
      <c r="F957" s="568">
        <v>7643</v>
      </c>
      <c r="G957" s="568">
        <v>163</v>
      </c>
      <c r="H957" s="568">
        <v>748</v>
      </c>
      <c r="I957" s="559" t="str">
        <f t="shared" si="14"/>
        <v>GooD</v>
      </c>
    </row>
    <row r="958" spans="1:9">
      <c r="A958" s="563" t="s">
        <v>643</v>
      </c>
      <c r="B958" s="563">
        <v>6500</v>
      </c>
      <c r="C958" s="564">
        <v>12</v>
      </c>
      <c r="D958" s="564">
        <v>0.21</v>
      </c>
      <c r="E958" s="564">
        <v>1375</v>
      </c>
      <c r="F958" s="564">
        <v>7875</v>
      </c>
      <c r="G958" s="564">
        <v>195</v>
      </c>
      <c r="H958" s="564">
        <v>640</v>
      </c>
      <c r="I958" s="557" t="str">
        <f t="shared" si="14"/>
        <v>GooD</v>
      </c>
    </row>
    <row r="959" spans="1:9">
      <c r="A959" s="563" t="s">
        <v>643</v>
      </c>
      <c r="B959" s="563">
        <v>7000</v>
      </c>
      <c r="C959" s="564">
        <v>4</v>
      </c>
      <c r="D959" s="564">
        <v>0.21</v>
      </c>
      <c r="E959" s="564">
        <v>494</v>
      </c>
      <c r="F959" s="564">
        <v>7494</v>
      </c>
      <c r="G959" s="564">
        <v>70</v>
      </c>
      <c r="H959" s="564">
        <v>1856</v>
      </c>
      <c r="I959" s="557" t="str">
        <f t="shared" si="14"/>
        <v>GooD</v>
      </c>
    </row>
    <row r="960" spans="1:9">
      <c r="A960" s="563" t="s">
        <v>643</v>
      </c>
      <c r="B960" s="563">
        <v>7000</v>
      </c>
      <c r="C960" s="564">
        <v>6</v>
      </c>
      <c r="D960" s="564">
        <v>0.21</v>
      </c>
      <c r="E960" s="564">
        <v>737</v>
      </c>
      <c r="F960" s="564">
        <v>7737</v>
      </c>
      <c r="G960" s="564">
        <v>105</v>
      </c>
      <c r="H960" s="564">
        <v>1272</v>
      </c>
      <c r="I960" s="557" t="str">
        <f t="shared" si="14"/>
        <v>GooD</v>
      </c>
    </row>
    <row r="961" spans="1:9" ht="15.75" thickBot="1">
      <c r="A961" s="565" t="s">
        <v>643</v>
      </c>
      <c r="B961" s="565">
        <v>7000</v>
      </c>
      <c r="C961" s="566">
        <v>8</v>
      </c>
      <c r="D961" s="566">
        <v>0.21</v>
      </c>
      <c r="E961" s="566">
        <v>988</v>
      </c>
      <c r="F961" s="566">
        <v>7988</v>
      </c>
      <c r="G961" s="566">
        <v>140</v>
      </c>
      <c r="H961" s="566">
        <v>981</v>
      </c>
      <c r="I961" s="558" t="str">
        <f t="shared" si="14"/>
        <v>GooD</v>
      </c>
    </row>
    <row r="962" spans="1:9" ht="15.75" thickTop="1">
      <c r="A962" s="567" t="s">
        <v>643</v>
      </c>
      <c r="B962" s="567">
        <v>7000</v>
      </c>
      <c r="C962" s="568">
        <v>10</v>
      </c>
      <c r="D962" s="568">
        <v>0.21</v>
      </c>
      <c r="E962" s="568">
        <v>1235</v>
      </c>
      <c r="F962" s="568">
        <v>8235</v>
      </c>
      <c r="G962" s="568">
        <v>175</v>
      </c>
      <c r="H962" s="568">
        <v>806</v>
      </c>
      <c r="I962" s="559" t="str">
        <f t="shared" si="14"/>
        <v>GooD</v>
      </c>
    </row>
    <row r="963" spans="1:9">
      <c r="A963" s="563" t="s">
        <v>643</v>
      </c>
      <c r="B963" s="563">
        <v>7000</v>
      </c>
      <c r="C963" s="564">
        <v>12</v>
      </c>
      <c r="D963" s="564">
        <v>0.21</v>
      </c>
      <c r="E963" s="564">
        <v>1478</v>
      </c>
      <c r="F963" s="564">
        <v>8478</v>
      </c>
      <c r="G963" s="564">
        <v>210</v>
      </c>
      <c r="H963" s="564">
        <v>689</v>
      </c>
      <c r="I963" s="557" t="str">
        <f t="shared" si="14"/>
        <v>GooD</v>
      </c>
    </row>
    <row r="964" spans="1:9">
      <c r="A964" s="563" t="s">
        <v>643</v>
      </c>
      <c r="B964" s="563">
        <v>7500</v>
      </c>
      <c r="C964" s="564">
        <v>4</v>
      </c>
      <c r="D964" s="564">
        <v>0.21</v>
      </c>
      <c r="E964" s="564">
        <v>527</v>
      </c>
      <c r="F964" s="564">
        <v>8027</v>
      </c>
      <c r="G964" s="564">
        <v>75</v>
      </c>
      <c r="H964" s="564">
        <v>1988</v>
      </c>
      <c r="I964" s="557" t="str">
        <f t="shared" si="14"/>
        <v>GooD</v>
      </c>
    </row>
    <row r="965" spans="1:9">
      <c r="A965" s="563" t="s">
        <v>643</v>
      </c>
      <c r="B965" s="563">
        <v>7500</v>
      </c>
      <c r="C965" s="564">
        <v>6</v>
      </c>
      <c r="D965" s="564">
        <v>0.21</v>
      </c>
      <c r="E965" s="564">
        <v>791</v>
      </c>
      <c r="F965" s="564">
        <v>8291</v>
      </c>
      <c r="G965" s="564">
        <v>113</v>
      </c>
      <c r="H965" s="564">
        <v>1363</v>
      </c>
      <c r="I965" s="557" t="str">
        <f t="shared" si="14"/>
        <v>GooD</v>
      </c>
    </row>
    <row r="966" spans="1:9" ht="15.75" thickBot="1">
      <c r="A966" s="565" t="s">
        <v>643</v>
      </c>
      <c r="B966" s="565">
        <v>7500</v>
      </c>
      <c r="C966" s="566">
        <v>8</v>
      </c>
      <c r="D966" s="566">
        <v>0.21</v>
      </c>
      <c r="E966" s="566">
        <v>1058</v>
      </c>
      <c r="F966" s="566">
        <v>8558</v>
      </c>
      <c r="G966" s="566">
        <v>150</v>
      </c>
      <c r="H966" s="566">
        <v>1051</v>
      </c>
      <c r="I966" s="558" t="str">
        <f t="shared" si="14"/>
        <v>GooD</v>
      </c>
    </row>
    <row r="967" spans="1:9" ht="15.75" thickTop="1">
      <c r="A967" s="567" t="s">
        <v>643</v>
      </c>
      <c r="B967" s="567">
        <v>7500</v>
      </c>
      <c r="C967" s="568">
        <v>10</v>
      </c>
      <c r="D967" s="568">
        <v>0.21</v>
      </c>
      <c r="E967" s="568">
        <v>1318</v>
      </c>
      <c r="F967" s="568">
        <v>8818</v>
      </c>
      <c r="G967" s="568">
        <v>188</v>
      </c>
      <c r="H967" s="568">
        <v>863</v>
      </c>
      <c r="I967" s="559" t="str">
        <f t="shared" si="14"/>
        <v>GooD</v>
      </c>
    </row>
    <row r="968" spans="1:9">
      <c r="A968" s="563" t="s">
        <v>643</v>
      </c>
      <c r="B968" s="563">
        <v>7500</v>
      </c>
      <c r="C968" s="564">
        <v>12</v>
      </c>
      <c r="D968" s="564">
        <v>0.21</v>
      </c>
      <c r="E968" s="564">
        <v>1581</v>
      </c>
      <c r="F968" s="564">
        <v>9081</v>
      </c>
      <c r="G968" s="564">
        <v>225</v>
      </c>
      <c r="H968" s="564">
        <v>738</v>
      </c>
      <c r="I968" s="557" t="str">
        <f t="shared" si="14"/>
        <v>GooD</v>
      </c>
    </row>
    <row r="969" spans="1:9">
      <c r="A969" s="563" t="s">
        <v>643</v>
      </c>
      <c r="B969" s="563">
        <v>8000</v>
      </c>
      <c r="C969" s="564">
        <v>4</v>
      </c>
      <c r="D969" s="564">
        <v>0.21</v>
      </c>
      <c r="E969" s="564">
        <v>564</v>
      </c>
      <c r="F969" s="564">
        <v>8564</v>
      </c>
      <c r="G969" s="564">
        <v>80</v>
      </c>
      <c r="H969" s="564">
        <v>2121</v>
      </c>
      <c r="I969" s="557" t="str">
        <f t="shared" si="14"/>
        <v>GooD</v>
      </c>
    </row>
    <row r="970" spans="1:9">
      <c r="A970" s="563" t="s">
        <v>643</v>
      </c>
      <c r="B970" s="563">
        <v>8000</v>
      </c>
      <c r="C970" s="564">
        <v>6</v>
      </c>
      <c r="D970" s="564">
        <v>0.21</v>
      </c>
      <c r="E970" s="564">
        <v>844</v>
      </c>
      <c r="F970" s="564">
        <v>8844</v>
      </c>
      <c r="G970" s="564">
        <v>120</v>
      </c>
      <c r="H970" s="564">
        <v>1454</v>
      </c>
      <c r="I970" s="557" t="str">
        <f t="shared" si="14"/>
        <v>GooD</v>
      </c>
    </row>
    <row r="971" spans="1:9" ht="15.75" thickBot="1">
      <c r="A971" s="565" t="s">
        <v>643</v>
      </c>
      <c r="B971" s="565">
        <v>8000</v>
      </c>
      <c r="C971" s="566">
        <v>8</v>
      </c>
      <c r="D971" s="566">
        <v>0.21</v>
      </c>
      <c r="E971" s="566">
        <v>1128</v>
      </c>
      <c r="F971" s="566">
        <v>9128</v>
      </c>
      <c r="G971" s="566">
        <v>160</v>
      </c>
      <c r="H971" s="566">
        <v>1121</v>
      </c>
      <c r="I971" s="558" t="str">
        <f t="shared" si="14"/>
        <v>GooD</v>
      </c>
    </row>
    <row r="972" spans="1:9" ht="15.75" thickTop="1">
      <c r="A972" s="567" t="s">
        <v>643</v>
      </c>
      <c r="B972" s="567">
        <v>8000</v>
      </c>
      <c r="C972" s="568">
        <v>10</v>
      </c>
      <c r="D972" s="568">
        <v>0.21</v>
      </c>
      <c r="E972" s="568">
        <v>1410</v>
      </c>
      <c r="F972" s="568">
        <v>9410</v>
      </c>
      <c r="G972" s="568">
        <v>200</v>
      </c>
      <c r="H972" s="568">
        <v>921</v>
      </c>
      <c r="I972" s="559" t="str">
        <f t="shared" si="14"/>
        <v>GooD</v>
      </c>
    </row>
    <row r="973" spans="1:9">
      <c r="A973" s="563" t="s">
        <v>643</v>
      </c>
      <c r="B973" s="563">
        <v>8000</v>
      </c>
      <c r="C973" s="564">
        <v>12</v>
      </c>
      <c r="D973" s="564">
        <v>0.21</v>
      </c>
      <c r="E973" s="564">
        <v>1684</v>
      </c>
      <c r="F973" s="564">
        <v>9684</v>
      </c>
      <c r="G973" s="564">
        <v>240</v>
      </c>
      <c r="H973" s="564">
        <v>787</v>
      </c>
      <c r="I973" s="557" t="str">
        <f t="shared" si="14"/>
        <v>GooD</v>
      </c>
    </row>
    <row r="974" spans="1:9">
      <c r="A974" s="563" t="s">
        <v>643</v>
      </c>
      <c r="B974" s="563">
        <v>8500</v>
      </c>
      <c r="C974" s="564">
        <v>4</v>
      </c>
      <c r="D974" s="564">
        <v>0.21</v>
      </c>
      <c r="E974" s="564">
        <v>597</v>
      </c>
      <c r="F974" s="564">
        <v>9097</v>
      </c>
      <c r="G974" s="564">
        <v>85</v>
      </c>
      <c r="H974" s="564">
        <v>2253</v>
      </c>
      <c r="I974" s="557" t="str">
        <f t="shared" si="14"/>
        <v>GooD</v>
      </c>
    </row>
    <row r="975" spans="1:9">
      <c r="A975" s="563" t="s">
        <v>643</v>
      </c>
      <c r="B975" s="563">
        <v>8500</v>
      </c>
      <c r="C975" s="564">
        <v>6</v>
      </c>
      <c r="D975" s="564">
        <v>0.21</v>
      </c>
      <c r="E975" s="564">
        <v>898</v>
      </c>
      <c r="F975" s="564">
        <v>9398</v>
      </c>
      <c r="G975" s="564">
        <v>128</v>
      </c>
      <c r="H975" s="564">
        <v>1545</v>
      </c>
      <c r="I975" s="557" t="str">
        <f t="shared" si="14"/>
        <v>GooD</v>
      </c>
    </row>
    <row r="976" spans="1:9" ht="15.75" thickBot="1">
      <c r="A976" s="565" t="s">
        <v>643</v>
      </c>
      <c r="B976" s="565">
        <v>8500</v>
      </c>
      <c r="C976" s="566">
        <v>8</v>
      </c>
      <c r="D976" s="566">
        <v>0.21</v>
      </c>
      <c r="E976" s="566">
        <v>1198</v>
      </c>
      <c r="F976" s="566">
        <v>9698</v>
      </c>
      <c r="G976" s="566">
        <v>170</v>
      </c>
      <c r="H976" s="566">
        <v>1191</v>
      </c>
      <c r="I976" s="558" t="str">
        <f t="shared" ref="I976:I1039" si="15">IF(((H976*C976)+G976)=F976,"GooD","لالالالالالالا")</f>
        <v>GooD</v>
      </c>
    </row>
    <row r="977" spans="1:9" ht="15.75" thickTop="1">
      <c r="A977" s="567" t="s">
        <v>643</v>
      </c>
      <c r="B977" s="567">
        <v>8500</v>
      </c>
      <c r="C977" s="568">
        <v>10</v>
      </c>
      <c r="D977" s="568">
        <v>0.21</v>
      </c>
      <c r="E977" s="568">
        <v>1493</v>
      </c>
      <c r="F977" s="568">
        <v>9993</v>
      </c>
      <c r="G977" s="568">
        <v>213</v>
      </c>
      <c r="H977" s="568">
        <v>978</v>
      </c>
      <c r="I977" s="559" t="str">
        <f t="shared" si="15"/>
        <v>GooD</v>
      </c>
    </row>
    <row r="978" spans="1:9">
      <c r="A978" s="563" t="s">
        <v>643</v>
      </c>
      <c r="B978" s="563">
        <v>8500</v>
      </c>
      <c r="C978" s="564">
        <v>12</v>
      </c>
      <c r="D978" s="564">
        <v>0.21</v>
      </c>
      <c r="E978" s="564">
        <v>1787</v>
      </c>
      <c r="F978" s="564">
        <v>10287</v>
      </c>
      <c r="G978" s="564">
        <v>255</v>
      </c>
      <c r="H978" s="564">
        <v>836</v>
      </c>
      <c r="I978" s="557" t="str">
        <f t="shared" si="15"/>
        <v>GooD</v>
      </c>
    </row>
    <row r="979" spans="1:9">
      <c r="A979" s="563" t="s">
        <v>643</v>
      </c>
      <c r="B979" s="563">
        <v>9000</v>
      </c>
      <c r="C979" s="564">
        <v>4</v>
      </c>
      <c r="D979" s="564">
        <v>0.21</v>
      </c>
      <c r="E979" s="564">
        <v>634</v>
      </c>
      <c r="F979" s="564">
        <v>9634</v>
      </c>
      <c r="G979" s="564">
        <v>90</v>
      </c>
      <c r="H979" s="564">
        <v>2386</v>
      </c>
      <c r="I979" s="557" t="str">
        <f t="shared" si="15"/>
        <v>GooD</v>
      </c>
    </row>
    <row r="980" spans="1:9">
      <c r="A980" s="563" t="s">
        <v>643</v>
      </c>
      <c r="B980" s="563">
        <v>9000</v>
      </c>
      <c r="C980" s="564">
        <v>6</v>
      </c>
      <c r="D980" s="564">
        <v>0.21</v>
      </c>
      <c r="E980" s="564">
        <v>951</v>
      </c>
      <c r="F980" s="564">
        <v>9951</v>
      </c>
      <c r="G980" s="564">
        <v>135</v>
      </c>
      <c r="H980" s="564">
        <v>1636</v>
      </c>
      <c r="I980" s="557" t="str">
        <f t="shared" si="15"/>
        <v>GooD</v>
      </c>
    </row>
    <row r="981" spans="1:9" ht="15.75" thickBot="1">
      <c r="A981" s="565" t="s">
        <v>643</v>
      </c>
      <c r="B981" s="565">
        <v>9000</v>
      </c>
      <c r="C981" s="566">
        <v>8</v>
      </c>
      <c r="D981" s="566">
        <v>0.21</v>
      </c>
      <c r="E981" s="566">
        <v>1268</v>
      </c>
      <c r="F981" s="566">
        <v>10268</v>
      </c>
      <c r="G981" s="566">
        <v>180</v>
      </c>
      <c r="H981" s="566">
        <v>1261</v>
      </c>
      <c r="I981" s="558" t="str">
        <f t="shared" si="15"/>
        <v>GooD</v>
      </c>
    </row>
    <row r="982" spans="1:9" ht="15.75" thickTop="1">
      <c r="A982" s="567" t="s">
        <v>643</v>
      </c>
      <c r="B982" s="567">
        <v>9000</v>
      </c>
      <c r="C982" s="568">
        <v>10</v>
      </c>
      <c r="D982" s="568">
        <v>0.21</v>
      </c>
      <c r="E982" s="568">
        <v>1585</v>
      </c>
      <c r="F982" s="568">
        <v>10585</v>
      </c>
      <c r="G982" s="568">
        <v>225</v>
      </c>
      <c r="H982" s="568">
        <v>1036</v>
      </c>
      <c r="I982" s="559" t="str">
        <f t="shared" si="15"/>
        <v>GooD</v>
      </c>
    </row>
    <row r="983" spans="1:9">
      <c r="A983" s="563" t="s">
        <v>643</v>
      </c>
      <c r="B983" s="563">
        <v>9000</v>
      </c>
      <c r="C983" s="564">
        <v>12</v>
      </c>
      <c r="D983" s="564">
        <v>0.21</v>
      </c>
      <c r="E983" s="564">
        <v>1902</v>
      </c>
      <c r="F983" s="564">
        <v>10902</v>
      </c>
      <c r="G983" s="564">
        <v>270</v>
      </c>
      <c r="H983" s="564">
        <v>886</v>
      </c>
      <c r="I983" s="557" t="str">
        <f t="shared" si="15"/>
        <v>GooD</v>
      </c>
    </row>
    <row r="984" spans="1:9">
      <c r="A984" s="563" t="s">
        <v>643</v>
      </c>
      <c r="B984" s="563">
        <v>9500</v>
      </c>
      <c r="C984" s="564">
        <v>4</v>
      </c>
      <c r="D984" s="564">
        <v>0.21</v>
      </c>
      <c r="E984" s="564">
        <v>667</v>
      </c>
      <c r="F984" s="564">
        <v>10167</v>
      </c>
      <c r="G984" s="564">
        <v>95</v>
      </c>
      <c r="H984" s="564">
        <v>2518</v>
      </c>
      <c r="I984" s="557" t="str">
        <f t="shared" si="15"/>
        <v>GooD</v>
      </c>
    </row>
    <row r="985" spans="1:9">
      <c r="A985" s="563" t="s">
        <v>643</v>
      </c>
      <c r="B985" s="563">
        <v>9500</v>
      </c>
      <c r="C985" s="564">
        <v>6</v>
      </c>
      <c r="D985" s="564">
        <v>0.21</v>
      </c>
      <c r="E985" s="564">
        <v>999</v>
      </c>
      <c r="F985" s="564">
        <v>10499</v>
      </c>
      <c r="G985" s="564">
        <v>143</v>
      </c>
      <c r="H985" s="564">
        <v>1726</v>
      </c>
      <c r="I985" s="557" t="str">
        <f t="shared" si="15"/>
        <v>GooD</v>
      </c>
    </row>
    <row r="986" spans="1:9" ht="15.75" thickBot="1">
      <c r="A986" s="565" t="s">
        <v>643</v>
      </c>
      <c r="B986" s="565">
        <v>9500</v>
      </c>
      <c r="C986" s="566">
        <v>8</v>
      </c>
      <c r="D986" s="566">
        <v>0.21</v>
      </c>
      <c r="E986" s="566">
        <v>1338</v>
      </c>
      <c r="F986" s="566">
        <v>10838</v>
      </c>
      <c r="G986" s="566">
        <v>190</v>
      </c>
      <c r="H986" s="566">
        <v>1331</v>
      </c>
      <c r="I986" s="558" t="str">
        <f t="shared" si="15"/>
        <v>GooD</v>
      </c>
    </row>
    <row r="987" spans="1:9" ht="15.75" thickTop="1">
      <c r="A987" s="567" t="s">
        <v>643</v>
      </c>
      <c r="B987" s="567">
        <v>9500</v>
      </c>
      <c r="C987" s="568">
        <v>10</v>
      </c>
      <c r="D987" s="568">
        <v>0.21</v>
      </c>
      <c r="E987" s="568">
        <v>1668</v>
      </c>
      <c r="F987" s="568">
        <v>11168</v>
      </c>
      <c r="G987" s="568">
        <v>238</v>
      </c>
      <c r="H987" s="568">
        <v>1093</v>
      </c>
      <c r="I987" s="559" t="str">
        <f t="shared" si="15"/>
        <v>GooD</v>
      </c>
    </row>
    <row r="988" spans="1:9">
      <c r="A988" s="563" t="s">
        <v>643</v>
      </c>
      <c r="B988" s="563">
        <v>9500</v>
      </c>
      <c r="C988" s="564">
        <v>12</v>
      </c>
      <c r="D988" s="564">
        <v>0.21</v>
      </c>
      <c r="E988" s="564">
        <v>2005</v>
      </c>
      <c r="F988" s="564">
        <v>11505</v>
      </c>
      <c r="G988" s="564">
        <v>285</v>
      </c>
      <c r="H988" s="564">
        <v>935</v>
      </c>
      <c r="I988" s="557" t="str">
        <f t="shared" si="15"/>
        <v>GooD</v>
      </c>
    </row>
    <row r="989" spans="1:9">
      <c r="A989" s="563" t="s">
        <v>643</v>
      </c>
      <c r="B989" s="563">
        <v>10000</v>
      </c>
      <c r="C989" s="564">
        <v>4</v>
      </c>
      <c r="D989" s="564">
        <v>0.21</v>
      </c>
      <c r="E989" s="564">
        <v>704</v>
      </c>
      <c r="F989" s="564">
        <v>10704</v>
      </c>
      <c r="G989" s="564">
        <v>100</v>
      </c>
      <c r="H989" s="564">
        <v>2651</v>
      </c>
      <c r="I989" s="557" t="str">
        <f t="shared" si="15"/>
        <v>GooD</v>
      </c>
    </row>
    <row r="990" spans="1:9">
      <c r="A990" s="563" t="s">
        <v>643</v>
      </c>
      <c r="B990" s="563">
        <v>10000</v>
      </c>
      <c r="C990" s="564">
        <v>6</v>
      </c>
      <c r="D990" s="564">
        <v>0.21</v>
      </c>
      <c r="E990" s="564">
        <v>1052</v>
      </c>
      <c r="F990" s="564">
        <v>11052</v>
      </c>
      <c r="G990" s="564">
        <v>150</v>
      </c>
      <c r="H990" s="564">
        <v>1817</v>
      </c>
      <c r="I990" s="557" t="str">
        <f t="shared" si="15"/>
        <v>GooD</v>
      </c>
    </row>
    <row r="991" spans="1:9" ht="15.75" thickBot="1">
      <c r="A991" s="565" t="s">
        <v>643</v>
      </c>
      <c r="B991" s="565">
        <v>10000</v>
      </c>
      <c r="C991" s="566">
        <v>8</v>
      </c>
      <c r="D991" s="566">
        <v>0.21</v>
      </c>
      <c r="E991" s="566">
        <v>1408</v>
      </c>
      <c r="F991" s="566">
        <v>11408</v>
      </c>
      <c r="G991" s="566">
        <v>200</v>
      </c>
      <c r="H991" s="566">
        <v>1401</v>
      </c>
      <c r="I991" s="558" t="str">
        <f t="shared" si="15"/>
        <v>GooD</v>
      </c>
    </row>
    <row r="992" spans="1:9" ht="15.75" thickTop="1">
      <c r="A992" s="567" t="s">
        <v>643</v>
      </c>
      <c r="B992" s="567">
        <v>10000</v>
      </c>
      <c r="C992" s="568">
        <v>10</v>
      </c>
      <c r="D992" s="568">
        <v>0.21</v>
      </c>
      <c r="E992" s="568">
        <v>1760</v>
      </c>
      <c r="F992" s="568">
        <v>11760</v>
      </c>
      <c r="G992" s="568">
        <v>250</v>
      </c>
      <c r="H992" s="568">
        <v>1151</v>
      </c>
      <c r="I992" s="559" t="str">
        <f t="shared" si="15"/>
        <v>GooD</v>
      </c>
    </row>
    <row r="993" spans="1:9">
      <c r="A993" s="563" t="s">
        <v>643</v>
      </c>
      <c r="B993" s="563">
        <v>10000</v>
      </c>
      <c r="C993" s="564">
        <v>12</v>
      </c>
      <c r="D993" s="564">
        <v>0.21</v>
      </c>
      <c r="E993" s="564">
        <v>2108</v>
      </c>
      <c r="F993" s="564">
        <v>12108</v>
      </c>
      <c r="G993" s="564">
        <v>300</v>
      </c>
      <c r="H993" s="564">
        <v>984</v>
      </c>
      <c r="I993" s="557" t="str">
        <f t="shared" si="15"/>
        <v>GooD</v>
      </c>
    </row>
    <row r="994" spans="1:9">
      <c r="A994" s="563" t="s">
        <v>643</v>
      </c>
      <c r="B994" s="563">
        <v>10500</v>
      </c>
      <c r="C994" s="564">
        <v>4</v>
      </c>
      <c r="D994" s="564">
        <v>0.21</v>
      </c>
      <c r="E994" s="564">
        <v>737</v>
      </c>
      <c r="F994" s="564">
        <v>11237</v>
      </c>
      <c r="G994" s="564">
        <v>105</v>
      </c>
      <c r="H994" s="564">
        <v>2783</v>
      </c>
      <c r="I994" s="557" t="str">
        <f t="shared" si="15"/>
        <v>GooD</v>
      </c>
    </row>
    <row r="995" spans="1:9">
      <c r="A995" s="563" t="s">
        <v>643</v>
      </c>
      <c r="B995" s="563">
        <v>10500</v>
      </c>
      <c r="C995" s="564">
        <v>6</v>
      </c>
      <c r="D995" s="564">
        <v>0.21</v>
      </c>
      <c r="E995" s="564">
        <v>1106</v>
      </c>
      <c r="F995" s="564">
        <v>11606</v>
      </c>
      <c r="G995" s="564">
        <v>158</v>
      </c>
      <c r="H995" s="564">
        <v>1908</v>
      </c>
      <c r="I995" s="557" t="str">
        <f t="shared" si="15"/>
        <v>GooD</v>
      </c>
    </row>
    <row r="996" spans="1:9" ht="15.75" thickBot="1">
      <c r="A996" s="565" t="s">
        <v>643</v>
      </c>
      <c r="B996" s="565">
        <v>10500</v>
      </c>
      <c r="C996" s="566">
        <v>8</v>
      </c>
      <c r="D996" s="566">
        <v>0.21</v>
      </c>
      <c r="E996" s="566">
        <v>1478</v>
      </c>
      <c r="F996" s="566">
        <v>11978</v>
      </c>
      <c r="G996" s="566">
        <v>210</v>
      </c>
      <c r="H996" s="566">
        <v>1471</v>
      </c>
      <c r="I996" s="558" t="str">
        <f t="shared" si="15"/>
        <v>GooD</v>
      </c>
    </row>
    <row r="997" spans="1:9" ht="15.75" thickTop="1">
      <c r="A997" s="567" t="s">
        <v>643</v>
      </c>
      <c r="B997" s="567">
        <v>10500</v>
      </c>
      <c r="C997" s="568">
        <v>10</v>
      </c>
      <c r="D997" s="568">
        <v>0.21</v>
      </c>
      <c r="E997" s="568">
        <v>1843</v>
      </c>
      <c r="F997" s="568">
        <v>12343</v>
      </c>
      <c r="G997" s="568">
        <v>263</v>
      </c>
      <c r="H997" s="568">
        <v>1208</v>
      </c>
      <c r="I997" s="559" t="str">
        <f t="shared" si="15"/>
        <v>GooD</v>
      </c>
    </row>
    <row r="998" spans="1:9">
      <c r="A998" s="563" t="s">
        <v>643</v>
      </c>
      <c r="B998" s="563">
        <v>10500</v>
      </c>
      <c r="C998" s="564">
        <v>12</v>
      </c>
      <c r="D998" s="564">
        <v>0.21</v>
      </c>
      <c r="E998" s="564">
        <v>2211</v>
      </c>
      <c r="F998" s="564">
        <v>12711</v>
      </c>
      <c r="G998" s="564">
        <v>315</v>
      </c>
      <c r="H998" s="564">
        <v>1033</v>
      </c>
      <c r="I998" s="557" t="str">
        <f t="shared" si="15"/>
        <v>GooD</v>
      </c>
    </row>
    <row r="999" spans="1:9">
      <c r="A999" s="563" t="s">
        <v>643</v>
      </c>
      <c r="B999" s="563">
        <v>11000</v>
      </c>
      <c r="C999" s="564">
        <v>4</v>
      </c>
      <c r="D999" s="564">
        <v>0.21</v>
      </c>
      <c r="E999" s="564">
        <v>774</v>
      </c>
      <c r="F999" s="564">
        <v>11774</v>
      </c>
      <c r="G999" s="564">
        <v>110</v>
      </c>
      <c r="H999" s="564">
        <v>2916</v>
      </c>
      <c r="I999" s="557" t="str">
        <f t="shared" si="15"/>
        <v>GooD</v>
      </c>
    </row>
    <row r="1000" spans="1:9">
      <c r="A1000" s="563" t="s">
        <v>643</v>
      </c>
      <c r="B1000" s="563">
        <v>11000</v>
      </c>
      <c r="C1000" s="564">
        <v>6</v>
      </c>
      <c r="D1000" s="564">
        <v>0.21</v>
      </c>
      <c r="E1000" s="564">
        <v>1159</v>
      </c>
      <c r="F1000" s="564">
        <v>12159</v>
      </c>
      <c r="G1000" s="564">
        <v>165</v>
      </c>
      <c r="H1000" s="564">
        <v>1999</v>
      </c>
      <c r="I1000" s="557" t="str">
        <f t="shared" si="15"/>
        <v>GooD</v>
      </c>
    </row>
    <row r="1001" spans="1:9" ht="15.75" thickBot="1">
      <c r="A1001" s="565" t="s">
        <v>643</v>
      </c>
      <c r="B1001" s="565">
        <v>11000</v>
      </c>
      <c r="C1001" s="566">
        <v>8</v>
      </c>
      <c r="D1001" s="566">
        <v>0.21</v>
      </c>
      <c r="E1001" s="566">
        <v>1548</v>
      </c>
      <c r="F1001" s="566">
        <v>12548</v>
      </c>
      <c r="G1001" s="566">
        <v>220</v>
      </c>
      <c r="H1001" s="566">
        <v>1541</v>
      </c>
      <c r="I1001" s="558" t="str">
        <f t="shared" si="15"/>
        <v>GooD</v>
      </c>
    </row>
    <row r="1002" spans="1:9" ht="15.75" thickTop="1">
      <c r="A1002" s="567" t="s">
        <v>643</v>
      </c>
      <c r="B1002" s="567">
        <v>11000</v>
      </c>
      <c r="C1002" s="568">
        <v>10</v>
      </c>
      <c r="D1002" s="568">
        <v>0.21</v>
      </c>
      <c r="E1002" s="568">
        <v>1935</v>
      </c>
      <c r="F1002" s="568">
        <v>12935</v>
      </c>
      <c r="G1002" s="568">
        <v>275</v>
      </c>
      <c r="H1002" s="568">
        <v>1266</v>
      </c>
      <c r="I1002" s="559" t="str">
        <f t="shared" si="15"/>
        <v>GooD</v>
      </c>
    </row>
    <row r="1003" spans="1:9">
      <c r="A1003" s="563" t="s">
        <v>643</v>
      </c>
      <c r="B1003" s="563">
        <v>11000</v>
      </c>
      <c r="C1003" s="564">
        <v>12</v>
      </c>
      <c r="D1003" s="564">
        <v>0.21</v>
      </c>
      <c r="E1003" s="564">
        <v>2314</v>
      </c>
      <c r="F1003" s="564">
        <v>13314</v>
      </c>
      <c r="G1003" s="564">
        <v>330</v>
      </c>
      <c r="H1003" s="564">
        <v>1082</v>
      </c>
      <c r="I1003" s="557" t="str">
        <f t="shared" si="15"/>
        <v>GooD</v>
      </c>
    </row>
    <row r="1004" spans="1:9">
      <c r="A1004" s="563" t="s">
        <v>643</v>
      </c>
      <c r="B1004" s="563">
        <v>11500</v>
      </c>
      <c r="C1004" s="564">
        <v>4</v>
      </c>
      <c r="D1004" s="564">
        <v>0.21</v>
      </c>
      <c r="E1004" s="564">
        <v>807</v>
      </c>
      <c r="F1004" s="564">
        <v>12307</v>
      </c>
      <c r="G1004" s="564">
        <v>115</v>
      </c>
      <c r="H1004" s="564">
        <v>3048</v>
      </c>
      <c r="I1004" s="557" t="str">
        <f t="shared" si="15"/>
        <v>GooD</v>
      </c>
    </row>
    <row r="1005" spans="1:9">
      <c r="A1005" s="563" t="s">
        <v>643</v>
      </c>
      <c r="B1005" s="563">
        <v>11500</v>
      </c>
      <c r="C1005" s="564">
        <v>6</v>
      </c>
      <c r="D1005" s="564">
        <v>0.21</v>
      </c>
      <c r="E1005" s="564">
        <v>1213</v>
      </c>
      <c r="F1005" s="564">
        <v>12713</v>
      </c>
      <c r="G1005" s="564">
        <v>173</v>
      </c>
      <c r="H1005" s="564">
        <v>2090</v>
      </c>
      <c r="I1005" s="557" t="str">
        <f t="shared" si="15"/>
        <v>GooD</v>
      </c>
    </row>
    <row r="1006" spans="1:9" ht="15.75" thickBot="1">
      <c r="A1006" s="565" t="s">
        <v>643</v>
      </c>
      <c r="B1006" s="565">
        <v>11500</v>
      </c>
      <c r="C1006" s="566">
        <v>8</v>
      </c>
      <c r="D1006" s="566">
        <v>0.21</v>
      </c>
      <c r="E1006" s="566">
        <v>1618</v>
      </c>
      <c r="F1006" s="566">
        <v>13118</v>
      </c>
      <c r="G1006" s="566">
        <v>230</v>
      </c>
      <c r="H1006" s="566">
        <v>1611</v>
      </c>
      <c r="I1006" s="558" t="str">
        <f t="shared" si="15"/>
        <v>GooD</v>
      </c>
    </row>
    <row r="1007" spans="1:9" ht="15.75" thickTop="1">
      <c r="A1007" s="567" t="s">
        <v>643</v>
      </c>
      <c r="B1007" s="567">
        <v>11500</v>
      </c>
      <c r="C1007" s="568">
        <v>10</v>
      </c>
      <c r="D1007" s="568">
        <v>0.21</v>
      </c>
      <c r="E1007" s="568">
        <v>2018</v>
      </c>
      <c r="F1007" s="568">
        <v>13518</v>
      </c>
      <c r="G1007" s="568">
        <v>288</v>
      </c>
      <c r="H1007" s="568">
        <v>1323</v>
      </c>
      <c r="I1007" s="559" t="str">
        <f t="shared" si="15"/>
        <v>GooD</v>
      </c>
    </row>
    <row r="1008" spans="1:9">
      <c r="A1008" s="563" t="s">
        <v>643</v>
      </c>
      <c r="B1008" s="563">
        <v>11500</v>
      </c>
      <c r="C1008" s="564">
        <v>12</v>
      </c>
      <c r="D1008" s="564">
        <v>0.21</v>
      </c>
      <c r="E1008" s="564">
        <v>2417</v>
      </c>
      <c r="F1008" s="564">
        <v>13917</v>
      </c>
      <c r="G1008" s="564">
        <v>345</v>
      </c>
      <c r="H1008" s="564">
        <v>1131</v>
      </c>
      <c r="I1008" s="557" t="str">
        <f t="shared" si="15"/>
        <v>GooD</v>
      </c>
    </row>
    <row r="1009" spans="1:9">
      <c r="A1009" s="563" t="s">
        <v>643</v>
      </c>
      <c r="B1009" s="563">
        <v>12000</v>
      </c>
      <c r="C1009" s="564">
        <v>4</v>
      </c>
      <c r="D1009" s="564">
        <v>0.21</v>
      </c>
      <c r="E1009" s="564">
        <v>844</v>
      </c>
      <c r="F1009" s="564">
        <v>12844</v>
      </c>
      <c r="G1009" s="564">
        <v>120</v>
      </c>
      <c r="H1009" s="564">
        <v>3181</v>
      </c>
      <c r="I1009" s="557" t="str">
        <f t="shared" si="15"/>
        <v>GooD</v>
      </c>
    </row>
    <row r="1010" spans="1:9">
      <c r="A1010" s="563" t="s">
        <v>643</v>
      </c>
      <c r="B1010" s="563">
        <v>12000</v>
      </c>
      <c r="C1010" s="564">
        <v>6</v>
      </c>
      <c r="D1010" s="564">
        <v>0.21</v>
      </c>
      <c r="E1010" s="564">
        <v>1266</v>
      </c>
      <c r="F1010" s="564">
        <v>13266</v>
      </c>
      <c r="G1010" s="564">
        <v>180</v>
      </c>
      <c r="H1010" s="564">
        <v>2181</v>
      </c>
      <c r="I1010" s="557" t="str">
        <f t="shared" si="15"/>
        <v>GooD</v>
      </c>
    </row>
    <row r="1011" spans="1:9" ht="15.75" thickBot="1">
      <c r="A1011" s="565" t="s">
        <v>643</v>
      </c>
      <c r="B1011" s="565">
        <v>12000</v>
      </c>
      <c r="C1011" s="566">
        <v>8</v>
      </c>
      <c r="D1011" s="566">
        <v>0.21</v>
      </c>
      <c r="E1011" s="566">
        <v>1688</v>
      </c>
      <c r="F1011" s="566">
        <v>13688</v>
      </c>
      <c r="G1011" s="566">
        <v>240</v>
      </c>
      <c r="H1011" s="566">
        <v>1681</v>
      </c>
      <c r="I1011" s="558" t="str">
        <f t="shared" si="15"/>
        <v>GooD</v>
      </c>
    </row>
    <row r="1012" spans="1:9" ht="15.75" thickTop="1">
      <c r="A1012" s="567" t="s">
        <v>643</v>
      </c>
      <c r="B1012" s="567">
        <v>12000</v>
      </c>
      <c r="C1012" s="568">
        <v>10</v>
      </c>
      <c r="D1012" s="568">
        <v>0.21</v>
      </c>
      <c r="E1012" s="568">
        <v>2110</v>
      </c>
      <c r="F1012" s="568">
        <v>14110</v>
      </c>
      <c r="G1012" s="568">
        <v>300</v>
      </c>
      <c r="H1012" s="568">
        <v>1381</v>
      </c>
      <c r="I1012" s="559" t="str">
        <f t="shared" si="15"/>
        <v>GooD</v>
      </c>
    </row>
    <row r="1013" spans="1:9">
      <c r="A1013" s="563" t="s">
        <v>643</v>
      </c>
      <c r="B1013" s="563">
        <v>12000</v>
      </c>
      <c r="C1013" s="564">
        <v>12</v>
      </c>
      <c r="D1013" s="564">
        <v>0.21</v>
      </c>
      <c r="E1013" s="564">
        <v>2532</v>
      </c>
      <c r="F1013" s="564">
        <v>14532</v>
      </c>
      <c r="G1013" s="564">
        <v>360</v>
      </c>
      <c r="H1013" s="564">
        <v>1181</v>
      </c>
      <c r="I1013" s="557" t="str">
        <f t="shared" si="15"/>
        <v>GooD</v>
      </c>
    </row>
    <row r="1014" spans="1:9">
      <c r="A1014" s="563" t="s">
        <v>643</v>
      </c>
      <c r="B1014" s="563">
        <v>12500</v>
      </c>
      <c r="C1014" s="564">
        <v>4</v>
      </c>
      <c r="D1014" s="564">
        <v>0.21</v>
      </c>
      <c r="E1014" s="564">
        <v>877</v>
      </c>
      <c r="F1014" s="564">
        <v>13377</v>
      </c>
      <c r="G1014" s="564">
        <v>125</v>
      </c>
      <c r="H1014" s="564">
        <v>3313</v>
      </c>
      <c r="I1014" s="557" t="str">
        <f t="shared" si="15"/>
        <v>GooD</v>
      </c>
    </row>
    <row r="1015" spans="1:9">
      <c r="A1015" s="563" t="s">
        <v>643</v>
      </c>
      <c r="B1015" s="563">
        <v>12500</v>
      </c>
      <c r="C1015" s="564">
        <v>6</v>
      </c>
      <c r="D1015" s="564">
        <v>0.21</v>
      </c>
      <c r="E1015" s="564">
        <v>1314</v>
      </c>
      <c r="F1015" s="564">
        <v>13814</v>
      </c>
      <c r="G1015" s="564">
        <v>188</v>
      </c>
      <c r="H1015" s="564">
        <v>2271</v>
      </c>
      <c r="I1015" s="557" t="str">
        <f t="shared" si="15"/>
        <v>GooD</v>
      </c>
    </row>
    <row r="1016" spans="1:9" ht="15.75" thickBot="1">
      <c r="A1016" s="565" t="s">
        <v>643</v>
      </c>
      <c r="B1016" s="565">
        <v>12500</v>
      </c>
      <c r="C1016" s="566">
        <v>8</v>
      </c>
      <c r="D1016" s="566">
        <v>0.21</v>
      </c>
      <c r="E1016" s="566">
        <v>1758</v>
      </c>
      <c r="F1016" s="566">
        <v>14258</v>
      </c>
      <c r="G1016" s="566">
        <v>250</v>
      </c>
      <c r="H1016" s="566">
        <v>1751</v>
      </c>
      <c r="I1016" s="558" t="str">
        <f t="shared" si="15"/>
        <v>GooD</v>
      </c>
    </row>
    <row r="1017" spans="1:9" ht="15.75" thickTop="1">
      <c r="A1017" s="567" t="s">
        <v>643</v>
      </c>
      <c r="B1017" s="567">
        <v>12500</v>
      </c>
      <c r="C1017" s="568">
        <v>10</v>
      </c>
      <c r="D1017" s="568">
        <v>0.21</v>
      </c>
      <c r="E1017" s="568">
        <v>2193</v>
      </c>
      <c r="F1017" s="568">
        <v>14693</v>
      </c>
      <c r="G1017" s="568">
        <v>313</v>
      </c>
      <c r="H1017" s="568">
        <v>1438</v>
      </c>
      <c r="I1017" s="559" t="str">
        <f t="shared" si="15"/>
        <v>GooD</v>
      </c>
    </row>
    <row r="1018" spans="1:9">
      <c r="A1018" s="563" t="s">
        <v>643</v>
      </c>
      <c r="B1018" s="563">
        <v>12500</v>
      </c>
      <c r="C1018" s="564">
        <v>12</v>
      </c>
      <c r="D1018" s="564">
        <v>0.21</v>
      </c>
      <c r="E1018" s="564">
        <v>2635</v>
      </c>
      <c r="F1018" s="564">
        <v>15135</v>
      </c>
      <c r="G1018" s="564">
        <v>375</v>
      </c>
      <c r="H1018" s="564">
        <v>1230</v>
      </c>
      <c r="I1018" s="557" t="str">
        <f t="shared" si="15"/>
        <v>GooD</v>
      </c>
    </row>
    <row r="1019" spans="1:9">
      <c r="A1019" s="563" t="s">
        <v>643</v>
      </c>
      <c r="B1019" s="563">
        <v>13000</v>
      </c>
      <c r="C1019" s="564">
        <v>4</v>
      </c>
      <c r="D1019" s="564">
        <v>0.21</v>
      </c>
      <c r="E1019" s="564">
        <v>914</v>
      </c>
      <c r="F1019" s="564">
        <v>13914</v>
      </c>
      <c r="G1019" s="564">
        <v>130</v>
      </c>
      <c r="H1019" s="564">
        <v>3446</v>
      </c>
      <c r="I1019" s="557" t="str">
        <f t="shared" si="15"/>
        <v>GooD</v>
      </c>
    </row>
    <row r="1020" spans="1:9">
      <c r="A1020" s="563" t="s">
        <v>643</v>
      </c>
      <c r="B1020" s="563">
        <v>13000</v>
      </c>
      <c r="C1020" s="564">
        <v>6</v>
      </c>
      <c r="D1020" s="564">
        <v>0.21</v>
      </c>
      <c r="E1020" s="564">
        <v>1367</v>
      </c>
      <c r="F1020" s="564">
        <v>14367</v>
      </c>
      <c r="G1020" s="564">
        <v>195</v>
      </c>
      <c r="H1020" s="564">
        <v>2362</v>
      </c>
      <c r="I1020" s="557" t="str">
        <f t="shared" si="15"/>
        <v>GooD</v>
      </c>
    </row>
    <row r="1021" spans="1:9" ht="15.75" thickBot="1">
      <c r="A1021" s="565" t="s">
        <v>643</v>
      </c>
      <c r="B1021" s="565">
        <v>13000</v>
      </c>
      <c r="C1021" s="566">
        <v>8</v>
      </c>
      <c r="D1021" s="566">
        <v>0.21</v>
      </c>
      <c r="E1021" s="566">
        <v>1828</v>
      </c>
      <c r="F1021" s="566">
        <v>14828</v>
      </c>
      <c r="G1021" s="566">
        <v>260</v>
      </c>
      <c r="H1021" s="566">
        <v>1821</v>
      </c>
      <c r="I1021" s="558" t="str">
        <f t="shared" si="15"/>
        <v>GooD</v>
      </c>
    </row>
    <row r="1022" spans="1:9" ht="15.75" thickTop="1">
      <c r="A1022" s="567" t="s">
        <v>643</v>
      </c>
      <c r="B1022" s="567">
        <v>13000</v>
      </c>
      <c r="C1022" s="568">
        <v>10</v>
      </c>
      <c r="D1022" s="568">
        <v>0.21</v>
      </c>
      <c r="E1022" s="568">
        <v>2285</v>
      </c>
      <c r="F1022" s="568">
        <v>15285</v>
      </c>
      <c r="G1022" s="568">
        <v>325</v>
      </c>
      <c r="H1022" s="568">
        <v>1496</v>
      </c>
      <c r="I1022" s="559" t="str">
        <f t="shared" si="15"/>
        <v>GooD</v>
      </c>
    </row>
    <row r="1023" spans="1:9">
      <c r="A1023" s="563" t="s">
        <v>643</v>
      </c>
      <c r="B1023" s="563">
        <v>13000</v>
      </c>
      <c r="C1023" s="564">
        <v>12</v>
      </c>
      <c r="D1023" s="564">
        <v>0.21</v>
      </c>
      <c r="E1023" s="564">
        <v>2738</v>
      </c>
      <c r="F1023" s="564">
        <v>15738</v>
      </c>
      <c r="G1023" s="564">
        <v>390</v>
      </c>
      <c r="H1023" s="564">
        <v>1279</v>
      </c>
      <c r="I1023" s="557" t="str">
        <f t="shared" si="15"/>
        <v>GooD</v>
      </c>
    </row>
    <row r="1024" spans="1:9">
      <c r="A1024" s="563" t="s">
        <v>643</v>
      </c>
      <c r="B1024" s="563">
        <v>13500</v>
      </c>
      <c r="C1024" s="564">
        <v>4</v>
      </c>
      <c r="D1024" s="564">
        <v>0.21</v>
      </c>
      <c r="E1024" s="564">
        <v>947</v>
      </c>
      <c r="F1024" s="564">
        <v>14447</v>
      </c>
      <c r="G1024" s="564">
        <v>135</v>
      </c>
      <c r="H1024" s="564">
        <v>3578</v>
      </c>
      <c r="I1024" s="557" t="str">
        <f t="shared" si="15"/>
        <v>GooD</v>
      </c>
    </row>
    <row r="1025" spans="1:9">
      <c r="A1025" s="563" t="s">
        <v>643</v>
      </c>
      <c r="B1025" s="563">
        <v>13500</v>
      </c>
      <c r="C1025" s="564">
        <v>6</v>
      </c>
      <c r="D1025" s="564">
        <v>0.21</v>
      </c>
      <c r="E1025" s="564">
        <v>1421</v>
      </c>
      <c r="F1025" s="564">
        <v>14921</v>
      </c>
      <c r="G1025" s="564">
        <v>203</v>
      </c>
      <c r="H1025" s="564">
        <v>2453</v>
      </c>
      <c r="I1025" s="557" t="str">
        <f t="shared" si="15"/>
        <v>GooD</v>
      </c>
    </row>
    <row r="1026" spans="1:9" ht="15.75" thickBot="1">
      <c r="A1026" s="565" t="s">
        <v>643</v>
      </c>
      <c r="B1026" s="565">
        <v>13500</v>
      </c>
      <c r="C1026" s="566">
        <v>8</v>
      </c>
      <c r="D1026" s="566">
        <v>0.21</v>
      </c>
      <c r="E1026" s="566">
        <v>1898</v>
      </c>
      <c r="F1026" s="566">
        <v>15398</v>
      </c>
      <c r="G1026" s="566">
        <v>270</v>
      </c>
      <c r="H1026" s="566">
        <v>1891</v>
      </c>
      <c r="I1026" s="558" t="str">
        <f t="shared" si="15"/>
        <v>GooD</v>
      </c>
    </row>
    <row r="1027" spans="1:9" ht="15.75" thickTop="1">
      <c r="A1027" s="567" t="s">
        <v>643</v>
      </c>
      <c r="B1027" s="567">
        <v>13500</v>
      </c>
      <c r="C1027" s="568">
        <v>10</v>
      </c>
      <c r="D1027" s="568">
        <v>0.21</v>
      </c>
      <c r="E1027" s="568">
        <v>2368</v>
      </c>
      <c r="F1027" s="568">
        <v>15868</v>
      </c>
      <c r="G1027" s="568">
        <v>338</v>
      </c>
      <c r="H1027" s="568">
        <v>1553</v>
      </c>
      <c r="I1027" s="559" t="str">
        <f t="shared" si="15"/>
        <v>GooD</v>
      </c>
    </row>
    <row r="1028" spans="1:9">
      <c r="A1028" s="563" t="s">
        <v>643</v>
      </c>
      <c r="B1028" s="563">
        <v>13500</v>
      </c>
      <c r="C1028" s="564">
        <v>12</v>
      </c>
      <c r="D1028" s="564">
        <v>0.21</v>
      </c>
      <c r="E1028" s="564">
        <v>2841</v>
      </c>
      <c r="F1028" s="564">
        <v>16341</v>
      </c>
      <c r="G1028" s="564">
        <v>405</v>
      </c>
      <c r="H1028" s="564">
        <v>1328</v>
      </c>
      <c r="I1028" s="557" t="str">
        <f t="shared" si="15"/>
        <v>GooD</v>
      </c>
    </row>
    <row r="1029" spans="1:9">
      <c r="A1029" s="563" t="s">
        <v>643</v>
      </c>
      <c r="B1029" s="563">
        <v>14000</v>
      </c>
      <c r="C1029" s="564">
        <v>4</v>
      </c>
      <c r="D1029" s="564">
        <v>0.21</v>
      </c>
      <c r="E1029" s="564">
        <v>984</v>
      </c>
      <c r="F1029" s="564">
        <v>14984</v>
      </c>
      <c r="G1029" s="564">
        <v>140</v>
      </c>
      <c r="H1029" s="564">
        <v>3711</v>
      </c>
      <c r="I1029" s="557" t="str">
        <f t="shared" si="15"/>
        <v>GooD</v>
      </c>
    </row>
    <row r="1030" spans="1:9">
      <c r="A1030" s="563" t="s">
        <v>643</v>
      </c>
      <c r="B1030" s="563">
        <v>14000</v>
      </c>
      <c r="C1030" s="564">
        <v>6</v>
      </c>
      <c r="D1030" s="564">
        <v>0.21</v>
      </c>
      <c r="E1030" s="564">
        <v>1474</v>
      </c>
      <c r="F1030" s="564">
        <v>15474</v>
      </c>
      <c r="G1030" s="564">
        <v>210</v>
      </c>
      <c r="H1030" s="564">
        <v>2544</v>
      </c>
      <c r="I1030" s="557" t="str">
        <f t="shared" si="15"/>
        <v>GooD</v>
      </c>
    </row>
    <row r="1031" spans="1:9" ht="15.75" thickBot="1">
      <c r="A1031" s="565" t="s">
        <v>643</v>
      </c>
      <c r="B1031" s="565">
        <v>14000</v>
      </c>
      <c r="C1031" s="566">
        <v>8</v>
      </c>
      <c r="D1031" s="566">
        <v>0.21</v>
      </c>
      <c r="E1031" s="566">
        <v>1968</v>
      </c>
      <c r="F1031" s="566">
        <v>15968</v>
      </c>
      <c r="G1031" s="566">
        <v>280</v>
      </c>
      <c r="H1031" s="566">
        <v>1961</v>
      </c>
      <c r="I1031" s="558" t="str">
        <f t="shared" si="15"/>
        <v>GooD</v>
      </c>
    </row>
    <row r="1032" spans="1:9" ht="15.75" thickTop="1">
      <c r="A1032" s="567" t="s">
        <v>643</v>
      </c>
      <c r="B1032" s="567">
        <v>14000</v>
      </c>
      <c r="C1032" s="568">
        <v>10</v>
      </c>
      <c r="D1032" s="568">
        <v>0.21</v>
      </c>
      <c r="E1032" s="568">
        <v>2460</v>
      </c>
      <c r="F1032" s="568">
        <v>16460</v>
      </c>
      <c r="G1032" s="568">
        <v>350</v>
      </c>
      <c r="H1032" s="568">
        <v>1611</v>
      </c>
      <c r="I1032" s="559" t="str">
        <f t="shared" si="15"/>
        <v>GooD</v>
      </c>
    </row>
    <row r="1033" spans="1:9">
      <c r="A1033" s="563" t="s">
        <v>643</v>
      </c>
      <c r="B1033" s="563">
        <v>14000</v>
      </c>
      <c r="C1033" s="564">
        <v>12</v>
      </c>
      <c r="D1033" s="564">
        <v>0.21</v>
      </c>
      <c r="E1033" s="564">
        <v>2944</v>
      </c>
      <c r="F1033" s="564">
        <v>16944</v>
      </c>
      <c r="G1033" s="564">
        <v>420</v>
      </c>
      <c r="H1033" s="564">
        <v>1377</v>
      </c>
      <c r="I1033" s="557" t="str">
        <f t="shared" si="15"/>
        <v>GooD</v>
      </c>
    </row>
    <row r="1034" spans="1:9">
      <c r="A1034" s="563" t="s">
        <v>643</v>
      </c>
      <c r="B1034" s="563">
        <v>14500</v>
      </c>
      <c r="C1034" s="564">
        <v>6</v>
      </c>
      <c r="D1034" s="564">
        <v>0.21</v>
      </c>
      <c r="E1034" s="564">
        <v>1528</v>
      </c>
      <c r="F1034" s="564">
        <v>16028</v>
      </c>
      <c r="G1034" s="564">
        <v>218</v>
      </c>
      <c r="H1034" s="564">
        <v>2635</v>
      </c>
      <c r="I1034" s="557" t="str">
        <f t="shared" si="15"/>
        <v>GooD</v>
      </c>
    </row>
    <row r="1035" spans="1:9">
      <c r="A1035" s="563" t="s">
        <v>643</v>
      </c>
      <c r="B1035" s="563">
        <v>14500</v>
      </c>
      <c r="C1035" s="564">
        <v>8</v>
      </c>
      <c r="D1035" s="564">
        <v>0.21</v>
      </c>
      <c r="E1035" s="564">
        <v>2038</v>
      </c>
      <c r="F1035" s="564">
        <v>16538</v>
      </c>
      <c r="G1035" s="564">
        <v>290</v>
      </c>
      <c r="H1035" s="564">
        <v>2031</v>
      </c>
      <c r="I1035" s="557" t="str">
        <f t="shared" si="15"/>
        <v>GooD</v>
      </c>
    </row>
    <row r="1036" spans="1:9" ht="15.75" thickBot="1">
      <c r="A1036" s="565" t="s">
        <v>643</v>
      </c>
      <c r="B1036" s="565">
        <v>14500</v>
      </c>
      <c r="C1036" s="566">
        <v>10</v>
      </c>
      <c r="D1036" s="566">
        <v>0.21</v>
      </c>
      <c r="E1036" s="566">
        <v>2543</v>
      </c>
      <c r="F1036" s="566">
        <v>17043</v>
      </c>
      <c r="G1036" s="566">
        <v>363</v>
      </c>
      <c r="H1036" s="566">
        <v>1668</v>
      </c>
      <c r="I1036" s="558" t="str">
        <f t="shared" si="15"/>
        <v>GooD</v>
      </c>
    </row>
    <row r="1037" spans="1:9" ht="15.75" thickTop="1">
      <c r="A1037" s="567" t="s">
        <v>643</v>
      </c>
      <c r="B1037" s="567">
        <v>14500</v>
      </c>
      <c r="C1037" s="568">
        <v>12</v>
      </c>
      <c r="D1037" s="568">
        <v>0.21</v>
      </c>
      <c r="E1037" s="568">
        <v>3047</v>
      </c>
      <c r="F1037" s="568">
        <v>17547</v>
      </c>
      <c r="G1037" s="568">
        <v>435</v>
      </c>
      <c r="H1037" s="568">
        <v>1426</v>
      </c>
      <c r="I1037" s="559" t="str">
        <f t="shared" si="15"/>
        <v>GooD</v>
      </c>
    </row>
    <row r="1038" spans="1:9">
      <c r="A1038" s="563" t="s">
        <v>643</v>
      </c>
      <c r="B1038" s="563">
        <v>14500</v>
      </c>
      <c r="C1038" s="564">
        <v>14</v>
      </c>
      <c r="D1038" s="564">
        <v>0.21</v>
      </c>
      <c r="E1038" s="564">
        <v>3564</v>
      </c>
      <c r="F1038" s="564">
        <v>18064</v>
      </c>
      <c r="G1038" s="564">
        <v>508</v>
      </c>
      <c r="H1038" s="564">
        <v>1254</v>
      </c>
      <c r="I1038" s="557" t="str">
        <f t="shared" si="15"/>
        <v>GooD</v>
      </c>
    </row>
    <row r="1039" spans="1:9">
      <c r="A1039" s="563" t="s">
        <v>643</v>
      </c>
      <c r="B1039" s="563">
        <v>14500</v>
      </c>
      <c r="C1039" s="564">
        <v>16</v>
      </c>
      <c r="D1039" s="564">
        <v>0.21</v>
      </c>
      <c r="E1039" s="564">
        <v>4064</v>
      </c>
      <c r="F1039" s="564">
        <v>18564</v>
      </c>
      <c r="G1039" s="564">
        <v>580</v>
      </c>
      <c r="H1039" s="564">
        <v>1124</v>
      </c>
      <c r="I1039" s="557" t="str">
        <f t="shared" si="15"/>
        <v>GooD</v>
      </c>
    </row>
    <row r="1040" spans="1:9">
      <c r="A1040" s="563" t="s">
        <v>643</v>
      </c>
      <c r="B1040" s="563">
        <v>14500</v>
      </c>
      <c r="C1040" s="564">
        <v>18</v>
      </c>
      <c r="D1040" s="564">
        <v>0.21</v>
      </c>
      <c r="E1040" s="564">
        <v>4585</v>
      </c>
      <c r="F1040" s="564">
        <v>19085</v>
      </c>
      <c r="G1040" s="564">
        <v>653</v>
      </c>
      <c r="H1040" s="564">
        <v>1024</v>
      </c>
      <c r="I1040" s="557" t="str">
        <f t="shared" ref="I1040:I1104" si="16">IF(((H1040*C1040)+G1040)=F1040,"GooD","لالالالالالالا")</f>
        <v>GooD</v>
      </c>
    </row>
    <row r="1041" spans="1:9" ht="15.75" thickBot="1">
      <c r="A1041" s="565" t="s">
        <v>643</v>
      </c>
      <c r="B1041" s="565">
        <v>15000</v>
      </c>
      <c r="C1041" s="566">
        <v>6</v>
      </c>
      <c r="D1041" s="566">
        <v>0.21</v>
      </c>
      <c r="E1041" s="566">
        <v>1581</v>
      </c>
      <c r="F1041" s="566">
        <v>16581</v>
      </c>
      <c r="G1041" s="566">
        <v>225</v>
      </c>
      <c r="H1041" s="566">
        <v>2726</v>
      </c>
      <c r="I1041" s="558" t="str">
        <f t="shared" si="16"/>
        <v>GooD</v>
      </c>
    </row>
    <row r="1042" spans="1:9" ht="15.75" thickTop="1">
      <c r="A1042" s="567" t="s">
        <v>643</v>
      </c>
      <c r="B1042" s="567">
        <v>15000</v>
      </c>
      <c r="C1042" s="568">
        <v>8</v>
      </c>
      <c r="D1042" s="568">
        <v>0.21</v>
      </c>
      <c r="E1042" s="568">
        <v>2108</v>
      </c>
      <c r="F1042" s="568">
        <v>17108</v>
      </c>
      <c r="G1042" s="568">
        <v>300</v>
      </c>
      <c r="H1042" s="568">
        <v>2101</v>
      </c>
      <c r="I1042" s="559" t="str">
        <f t="shared" si="16"/>
        <v>GooD</v>
      </c>
    </row>
    <row r="1043" spans="1:9">
      <c r="A1043" s="563" t="s">
        <v>643</v>
      </c>
      <c r="B1043" s="563">
        <v>15000</v>
      </c>
      <c r="C1043" s="564">
        <v>10</v>
      </c>
      <c r="D1043" s="564">
        <v>0.21</v>
      </c>
      <c r="E1043" s="564">
        <v>2635</v>
      </c>
      <c r="F1043" s="564">
        <v>17635</v>
      </c>
      <c r="G1043" s="564">
        <v>375</v>
      </c>
      <c r="H1043" s="564">
        <v>1726</v>
      </c>
      <c r="I1043" s="557" t="str">
        <f t="shared" si="16"/>
        <v>GooD</v>
      </c>
    </row>
    <row r="1044" spans="1:9">
      <c r="A1044" s="563" t="s">
        <v>643</v>
      </c>
      <c r="B1044" s="563">
        <v>15000</v>
      </c>
      <c r="C1044" s="564">
        <v>12</v>
      </c>
      <c r="D1044" s="564">
        <v>0.21</v>
      </c>
      <c r="E1044" s="564">
        <v>3162</v>
      </c>
      <c r="F1044" s="564">
        <v>18162</v>
      </c>
      <c r="G1044" s="564">
        <v>450</v>
      </c>
      <c r="H1044" s="564">
        <v>1476</v>
      </c>
      <c r="I1044" s="557" t="str">
        <f t="shared" si="16"/>
        <v>GooD</v>
      </c>
    </row>
    <row r="1045" spans="1:9">
      <c r="A1045" s="563" t="s">
        <v>643</v>
      </c>
      <c r="B1045" s="563">
        <v>15000</v>
      </c>
      <c r="C1045" s="564">
        <v>14</v>
      </c>
      <c r="D1045" s="564">
        <v>0.21</v>
      </c>
      <c r="E1045" s="564">
        <v>3683</v>
      </c>
      <c r="F1045" s="564">
        <v>18683</v>
      </c>
      <c r="G1045" s="564">
        <v>525</v>
      </c>
      <c r="H1045" s="564">
        <v>1297</v>
      </c>
      <c r="I1045" s="557" t="str">
        <f t="shared" si="16"/>
        <v>GooD</v>
      </c>
    </row>
    <row r="1046" spans="1:9" ht="15.75" thickBot="1">
      <c r="A1046" s="565" t="s">
        <v>643</v>
      </c>
      <c r="B1046" s="565">
        <v>15000</v>
      </c>
      <c r="C1046" s="566">
        <v>16</v>
      </c>
      <c r="D1046" s="566">
        <v>0.21</v>
      </c>
      <c r="E1046" s="566">
        <v>4208</v>
      </c>
      <c r="F1046" s="566">
        <v>19208</v>
      </c>
      <c r="G1046" s="566">
        <v>600</v>
      </c>
      <c r="H1046" s="566">
        <v>1163</v>
      </c>
      <c r="I1046" s="558" t="str">
        <f t="shared" si="16"/>
        <v>GooD</v>
      </c>
    </row>
    <row r="1047" spans="1:9" ht="15.75" thickTop="1">
      <c r="A1047" s="567" t="s">
        <v>643</v>
      </c>
      <c r="B1047" s="567">
        <v>15000</v>
      </c>
      <c r="C1047" s="568">
        <v>18</v>
      </c>
      <c r="D1047" s="568">
        <v>0.21</v>
      </c>
      <c r="E1047" s="568">
        <v>4737</v>
      </c>
      <c r="F1047" s="568">
        <v>19737</v>
      </c>
      <c r="G1047" s="568">
        <v>675</v>
      </c>
      <c r="H1047" s="568">
        <v>1059</v>
      </c>
      <c r="I1047" s="559" t="str">
        <f t="shared" si="16"/>
        <v>GooD</v>
      </c>
    </row>
    <row r="1048" spans="1:9">
      <c r="A1048" s="563" t="s">
        <v>643</v>
      </c>
      <c r="B1048" s="563">
        <v>15500</v>
      </c>
      <c r="C1048" s="564">
        <v>6</v>
      </c>
      <c r="D1048" s="564">
        <v>0.21</v>
      </c>
      <c r="E1048" s="564">
        <v>1629</v>
      </c>
      <c r="F1048" s="564">
        <v>17129</v>
      </c>
      <c r="G1048" s="564">
        <v>233</v>
      </c>
      <c r="H1048" s="564">
        <v>2816</v>
      </c>
      <c r="I1048" s="557" t="str">
        <f t="shared" si="16"/>
        <v>GooD</v>
      </c>
    </row>
    <row r="1049" spans="1:9">
      <c r="A1049" s="563" t="s">
        <v>643</v>
      </c>
      <c r="B1049" s="563">
        <v>15500</v>
      </c>
      <c r="C1049" s="564">
        <v>8</v>
      </c>
      <c r="D1049" s="564">
        <v>0.21</v>
      </c>
      <c r="E1049" s="564">
        <v>2178</v>
      </c>
      <c r="F1049" s="564">
        <v>17678</v>
      </c>
      <c r="G1049" s="564">
        <v>310</v>
      </c>
      <c r="H1049" s="564">
        <v>2171</v>
      </c>
      <c r="I1049" s="557" t="str">
        <f t="shared" si="16"/>
        <v>GooD</v>
      </c>
    </row>
    <row r="1050" spans="1:9">
      <c r="A1050" s="563" t="s">
        <v>643</v>
      </c>
      <c r="B1050" s="563">
        <v>15500</v>
      </c>
      <c r="C1050" s="564">
        <v>10</v>
      </c>
      <c r="D1050" s="564">
        <v>0.21</v>
      </c>
      <c r="E1050" s="564">
        <v>2718</v>
      </c>
      <c r="F1050" s="564">
        <v>18218</v>
      </c>
      <c r="G1050" s="564">
        <v>388</v>
      </c>
      <c r="H1050" s="564">
        <v>1783</v>
      </c>
      <c r="I1050" s="557" t="str">
        <f t="shared" si="16"/>
        <v>GooD</v>
      </c>
    </row>
    <row r="1051" spans="1:9" ht="15.75" thickBot="1">
      <c r="A1051" s="565" t="s">
        <v>643</v>
      </c>
      <c r="B1051" s="565">
        <v>15500</v>
      </c>
      <c r="C1051" s="566">
        <v>12</v>
      </c>
      <c r="D1051" s="566">
        <v>0.21</v>
      </c>
      <c r="E1051" s="566">
        <v>3265</v>
      </c>
      <c r="F1051" s="566">
        <v>18765</v>
      </c>
      <c r="G1051" s="566">
        <v>465</v>
      </c>
      <c r="H1051" s="566">
        <v>1525</v>
      </c>
      <c r="I1051" s="558" t="str">
        <f t="shared" si="16"/>
        <v>GooD</v>
      </c>
    </row>
    <row r="1052" spans="1:9" ht="15.75" thickTop="1">
      <c r="A1052" s="567" t="s">
        <v>643</v>
      </c>
      <c r="B1052" s="567">
        <v>15500</v>
      </c>
      <c r="C1052" s="568">
        <v>14</v>
      </c>
      <c r="D1052" s="568">
        <v>0.21</v>
      </c>
      <c r="E1052" s="568">
        <v>3803</v>
      </c>
      <c r="F1052" s="568">
        <v>19303</v>
      </c>
      <c r="G1052" s="568">
        <v>543</v>
      </c>
      <c r="H1052" s="568">
        <v>1340</v>
      </c>
      <c r="I1052" s="559" t="str">
        <f t="shared" si="16"/>
        <v>GooD</v>
      </c>
    </row>
    <row r="1053" spans="1:9">
      <c r="A1053" s="563" t="s">
        <v>643</v>
      </c>
      <c r="B1053" s="563">
        <v>15500</v>
      </c>
      <c r="C1053" s="564">
        <v>16</v>
      </c>
      <c r="D1053" s="564">
        <v>0.21</v>
      </c>
      <c r="E1053" s="564">
        <v>4352</v>
      </c>
      <c r="F1053" s="564">
        <v>19852</v>
      </c>
      <c r="G1053" s="564">
        <v>620</v>
      </c>
      <c r="H1053" s="564">
        <v>1202</v>
      </c>
      <c r="I1053" s="557" t="str">
        <f t="shared" si="16"/>
        <v>GooD</v>
      </c>
    </row>
    <row r="1054" spans="1:9">
      <c r="A1054" s="563" t="s">
        <v>643</v>
      </c>
      <c r="B1054" s="563">
        <v>15500</v>
      </c>
      <c r="C1054" s="564">
        <v>18</v>
      </c>
      <c r="D1054" s="564">
        <v>0.21</v>
      </c>
      <c r="E1054" s="564">
        <v>4890</v>
      </c>
      <c r="F1054" s="564">
        <v>20390</v>
      </c>
      <c r="G1054" s="564">
        <v>698</v>
      </c>
      <c r="H1054" s="564">
        <v>1094</v>
      </c>
      <c r="I1054" s="557" t="str">
        <f t="shared" si="16"/>
        <v>GooD</v>
      </c>
    </row>
    <row r="1055" spans="1:9">
      <c r="A1055" s="563" t="s">
        <v>643</v>
      </c>
      <c r="B1055" s="563">
        <v>16000</v>
      </c>
      <c r="C1055" s="564">
        <v>6</v>
      </c>
      <c r="D1055" s="564">
        <v>0.21</v>
      </c>
      <c r="E1055" s="564">
        <v>1682</v>
      </c>
      <c r="F1055" s="564">
        <v>17682</v>
      </c>
      <c r="G1055" s="564">
        <v>240</v>
      </c>
      <c r="H1055" s="564">
        <v>2907</v>
      </c>
      <c r="I1055" s="557" t="str">
        <f t="shared" si="16"/>
        <v>GooD</v>
      </c>
    </row>
    <row r="1056" spans="1:9" ht="15.75" thickBot="1">
      <c r="A1056" s="565" t="s">
        <v>643</v>
      </c>
      <c r="B1056" s="565">
        <v>16000</v>
      </c>
      <c r="C1056" s="566">
        <v>8</v>
      </c>
      <c r="D1056" s="566">
        <v>0.21</v>
      </c>
      <c r="E1056" s="566">
        <v>2248</v>
      </c>
      <c r="F1056" s="566">
        <v>18248</v>
      </c>
      <c r="G1056" s="566">
        <v>320</v>
      </c>
      <c r="H1056" s="566">
        <v>2241</v>
      </c>
      <c r="I1056" s="558" t="str">
        <f t="shared" si="16"/>
        <v>GooD</v>
      </c>
    </row>
    <row r="1057" spans="1:9" ht="15.75" thickTop="1">
      <c r="A1057" s="567" t="s">
        <v>643</v>
      </c>
      <c r="B1057" s="567">
        <v>16000</v>
      </c>
      <c r="C1057" s="568">
        <v>10</v>
      </c>
      <c r="D1057" s="568">
        <v>0.21</v>
      </c>
      <c r="E1057" s="568">
        <v>2810</v>
      </c>
      <c r="F1057" s="568">
        <v>18810</v>
      </c>
      <c r="G1057" s="568">
        <v>400</v>
      </c>
      <c r="H1057" s="568">
        <v>1841</v>
      </c>
      <c r="I1057" s="559" t="str">
        <f t="shared" si="16"/>
        <v>GooD</v>
      </c>
    </row>
    <row r="1058" spans="1:9">
      <c r="A1058" s="563" t="s">
        <v>643</v>
      </c>
      <c r="B1058" s="563">
        <v>16000</v>
      </c>
      <c r="C1058" s="564">
        <v>12</v>
      </c>
      <c r="D1058" s="564">
        <v>0.21</v>
      </c>
      <c r="E1058" s="564">
        <v>3368</v>
      </c>
      <c r="F1058" s="564">
        <v>19368</v>
      </c>
      <c r="G1058" s="564">
        <v>480</v>
      </c>
      <c r="H1058" s="564">
        <v>1574</v>
      </c>
      <c r="I1058" s="557" t="str">
        <f t="shared" si="16"/>
        <v>GooD</v>
      </c>
    </row>
    <row r="1059" spans="1:9">
      <c r="A1059" s="563" t="s">
        <v>643</v>
      </c>
      <c r="B1059" s="563">
        <v>16000</v>
      </c>
      <c r="C1059" s="564">
        <v>14</v>
      </c>
      <c r="D1059" s="564">
        <v>0.21</v>
      </c>
      <c r="E1059" s="564">
        <v>3922</v>
      </c>
      <c r="F1059" s="564">
        <v>19922</v>
      </c>
      <c r="G1059" s="564">
        <v>560</v>
      </c>
      <c r="H1059" s="564">
        <v>1383</v>
      </c>
      <c r="I1059" s="557" t="str">
        <f t="shared" si="16"/>
        <v>GooD</v>
      </c>
    </row>
    <row r="1060" spans="1:9">
      <c r="A1060" s="563" t="s">
        <v>643</v>
      </c>
      <c r="B1060" s="563">
        <v>16000</v>
      </c>
      <c r="C1060" s="564">
        <v>16</v>
      </c>
      <c r="D1060" s="564">
        <v>0.21</v>
      </c>
      <c r="E1060" s="564">
        <v>4496</v>
      </c>
      <c r="F1060" s="564">
        <v>20496</v>
      </c>
      <c r="G1060" s="564">
        <v>640</v>
      </c>
      <c r="H1060" s="564">
        <v>1241</v>
      </c>
      <c r="I1060" s="557" t="str">
        <f t="shared" si="16"/>
        <v>GooD</v>
      </c>
    </row>
    <row r="1061" spans="1:9" ht="15.75" thickBot="1">
      <c r="A1061" s="565" t="s">
        <v>643</v>
      </c>
      <c r="B1061" s="565">
        <v>16000</v>
      </c>
      <c r="C1061" s="566">
        <v>18</v>
      </c>
      <c r="D1061" s="566">
        <v>0.21</v>
      </c>
      <c r="E1061" s="566">
        <v>5042</v>
      </c>
      <c r="F1061" s="566">
        <v>21042</v>
      </c>
      <c r="G1061" s="566">
        <v>720</v>
      </c>
      <c r="H1061" s="566">
        <v>1129</v>
      </c>
      <c r="I1061" s="558" t="str">
        <f t="shared" si="16"/>
        <v>GooD</v>
      </c>
    </row>
    <row r="1062" spans="1:9" ht="15.75" thickTop="1">
      <c r="A1062" s="567" t="s">
        <v>643</v>
      </c>
      <c r="B1062" s="567">
        <v>16500</v>
      </c>
      <c r="C1062" s="568">
        <v>6</v>
      </c>
      <c r="D1062" s="568">
        <v>0.21</v>
      </c>
      <c r="E1062" s="568">
        <v>1736</v>
      </c>
      <c r="F1062" s="568">
        <v>18236</v>
      </c>
      <c r="G1062" s="568">
        <v>248</v>
      </c>
      <c r="H1062" s="568">
        <v>2998</v>
      </c>
      <c r="I1062" s="559" t="str">
        <f t="shared" si="16"/>
        <v>GooD</v>
      </c>
    </row>
    <row r="1063" spans="1:9">
      <c r="A1063" s="563" t="s">
        <v>643</v>
      </c>
      <c r="B1063" s="563">
        <v>16500</v>
      </c>
      <c r="C1063" s="564">
        <v>8</v>
      </c>
      <c r="D1063" s="564">
        <v>0.21</v>
      </c>
      <c r="E1063" s="564">
        <v>2318</v>
      </c>
      <c r="F1063" s="564">
        <v>18818</v>
      </c>
      <c r="G1063" s="564">
        <v>330</v>
      </c>
      <c r="H1063" s="564">
        <v>2311</v>
      </c>
      <c r="I1063" s="557" t="str">
        <f t="shared" si="16"/>
        <v>GooD</v>
      </c>
    </row>
    <row r="1064" spans="1:9">
      <c r="A1064" s="563" t="s">
        <v>643</v>
      </c>
      <c r="B1064" s="563">
        <v>16500</v>
      </c>
      <c r="C1064" s="564">
        <v>10</v>
      </c>
      <c r="D1064" s="564">
        <v>0.21</v>
      </c>
      <c r="E1064" s="564">
        <v>2893</v>
      </c>
      <c r="F1064" s="564">
        <v>19393</v>
      </c>
      <c r="G1064" s="564">
        <v>413</v>
      </c>
      <c r="H1064" s="564">
        <v>1898</v>
      </c>
      <c r="I1064" s="557" t="str">
        <f t="shared" si="16"/>
        <v>GooD</v>
      </c>
    </row>
    <row r="1065" spans="1:9">
      <c r="A1065" s="563" t="s">
        <v>643</v>
      </c>
      <c r="B1065" s="563">
        <v>16500</v>
      </c>
      <c r="C1065" s="564">
        <v>12</v>
      </c>
      <c r="D1065" s="564">
        <v>0.21</v>
      </c>
      <c r="E1065" s="564">
        <v>3471</v>
      </c>
      <c r="F1065" s="564">
        <v>19971</v>
      </c>
      <c r="G1065" s="564">
        <v>495</v>
      </c>
      <c r="H1065" s="564">
        <v>1623</v>
      </c>
      <c r="I1065" s="557" t="str">
        <f t="shared" si="16"/>
        <v>GooD</v>
      </c>
    </row>
    <row r="1066" spans="1:9" ht="15.75" thickBot="1">
      <c r="A1066" s="565" t="s">
        <v>643</v>
      </c>
      <c r="B1066" s="565">
        <v>16500</v>
      </c>
      <c r="C1066" s="566">
        <v>14</v>
      </c>
      <c r="D1066" s="566">
        <v>0.21</v>
      </c>
      <c r="E1066" s="566">
        <v>4056</v>
      </c>
      <c r="F1066" s="566">
        <v>20556</v>
      </c>
      <c r="G1066" s="566">
        <v>578</v>
      </c>
      <c r="H1066" s="566">
        <v>1427</v>
      </c>
      <c r="I1066" s="558" t="str">
        <f t="shared" si="16"/>
        <v>GooD</v>
      </c>
    </row>
    <row r="1067" spans="1:9" ht="15.75" thickTop="1">
      <c r="A1067" s="567" t="s">
        <v>643</v>
      </c>
      <c r="B1067" s="567">
        <v>16500</v>
      </c>
      <c r="C1067" s="568">
        <v>16</v>
      </c>
      <c r="D1067" s="568">
        <v>0.21</v>
      </c>
      <c r="E1067" s="568">
        <v>4624</v>
      </c>
      <c r="F1067" s="568">
        <v>21124</v>
      </c>
      <c r="G1067" s="568">
        <v>660</v>
      </c>
      <c r="H1067" s="568">
        <v>1279</v>
      </c>
      <c r="I1067" s="559" t="str">
        <f t="shared" si="16"/>
        <v>GooD</v>
      </c>
    </row>
    <row r="1068" spans="1:9">
      <c r="A1068" s="563" t="s">
        <v>643</v>
      </c>
      <c r="B1068" s="563">
        <v>16500</v>
      </c>
      <c r="C1068" s="564">
        <v>18</v>
      </c>
      <c r="D1068" s="564">
        <v>0.21</v>
      </c>
      <c r="E1068" s="564">
        <v>5213</v>
      </c>
      <c r="F1068" s="564">
        <v>21713</v>
      </c>
      <c r="G1068" s="564">
        <v>743</v>
      </c>
      <c r="H1068" s="564">
        <v>1165</v>
      </c>
      <c r="I1068" s="557" t="str">
        <f t="shared" si="16"/>
        <v>GooD</v>
      </c>
    </row>
    <row r="1069" spans="1:9">
      <c r="A1069" s="563" t="s">
        <v>643</v>
      </c>
      <c r="B1069" s="563">
        <v>17000</v>
      </c>
      <c r="C1069" s="564">
        <v>6</v>
      </c>
      <c r="D1069" s="564">
        <v>0.21</v>
      </c>
      <c r="E1069" s="564">
        <v>1789</v>
      </c>
      <c r="F1069" s="564">
        <v>18789</v>
      </c>
      <c r="G1069" s="564">
        <v>255</v>
      </c>
      <c r="H1069" s="564">
        <v>3089</v>
      </c>
      <c r="I1069" s="557" t="str">
        <f t="shared" si="16"/>
        <v>GooD</v>
      </c>
    </row>
    <row r="1070" spans="1:9">
      <c r="A1070" s="563" t="s">
        <v>643</v>
      </c>
      <c r="B1070" s="563">
        <v>17000</v>
      </c>
      <c r="C1070" s="564">
        <v>8</v>
      </c>
      <c r="D1070" s="564">
        <v>0.21</v>
      </c>
      <c r="E1070" s="564">
        <v>2388</v>
      </c>
      <c r="F1070" s="564">
        <v>19388</v>
      </c>
      <c r="G1070" s="564">
        <v>340</v>
      </c>
      <c r="H1070" s="564">
        <v>2381</v>
      </c>
      <c r="I1070" s="557" t="str">
        <f t="shared" si="16"/>
        <v>GooD</v>
      </c>
    </row>
    <row r="1071" spans="1:9" ht="15.75" thickBot="1">
      <c r="A1071" s="565" t="s">
        <v>643</v>
      </c>
      <c r="B1071" s="565">
        <v>17000</v>
      </c>
      <c r="C1071" s="566">
        <v>10</v>
      </c>
      <c r="D1071" s="566">
        <v>0.21</v>
      </c>
      <c r="E1071" s="566">
        <v>2985</v>
      </c>
      <c r="F1071" s="566">
        <v>19985</v>
      </c>
      <c r="G1071" s="566">
        <v>425</v>
      </c>
      <c r="H1071" s="566">
        <v>1956</v>
      </c>
      <c r="I1071" s="558" t="str">
        <f t="shared" si="16"/>
        <v>GooD</v>
      </c>
    </row>
    <row r="1072" spans="1:9" ht="15.75" thickTop="1">
      <c r="A1072" s="567" t="s">
        <v>643</v>
      </c>
      <c r="B1072" s="567">
        <v>17000</v>
      </c>
      <c r="C1072" s="568">
        <v>12</v>
      </c>
      <c r="D1072" s="568">
        <v>0.21</v>
      </c>
      <c r="E1072" s="568">
        <v>3574</v>
      </c>
      <c r="F1072" s="568">
        <v>20574</v>
      </c>
      <c r="G1072" s="568">
        <v>510</v>
      </c>
      <c r="H1072" s="568">
        <v>1672</v>
      </c>
      <c r="I1072" s="559" t="str">
        <f t="shared" si="16"/>
        <v>GooD</v>
      </c>
    </row>
    <row r="1073" spans="1:9">
      <c r="A1073" s="563" t="s">
        <v>643</v>
      </c>
      <c r="B1073" s="563">
        <v>17000</v>
      </c>
      <c r="C1073" s="564">
        <v>14</v>
      </c>
      <c r="D1073" s="564">
        <v>0.21</v>
      </c>
      <c r="E1073" s="564">
        <v>4175</v>
      </c>
      <c r="F1073" s="564">
        <v>21175</v>
      </c>
      <c r="G1073" s="564">
        <v>595</v>
      </c>
      <c r="H1073" s="564">
        <v>1470</v>
      </c>
      <c r="I1073" s="557" t="str">
        <f t="shared" si="16"/>
        <v>GooD</v>
      </c>
    </row>
    <row r="1074" spans="1:9">
      <c r="A1074" s="563" t="s">
        <v>643</v>
      </c>
      <c r="B1074" s="563">
        <v>17000</v>
      </c>
      <c r="C1074" s="564">
        <v>16</v>
      </c>
      <c r="D1074" s="564">
        <v>0.21</v>
      </c>
      <c r="E1074" s="564">
        <v>4768</v>
      </c>
      <c r="F1074" s="564">
        <v>21768</v>
      </c>
      <c r="G1074" s="564">
        <v>680</v>
      </c>
      <c r="H1074" s="564">
        <v>1318</v>
      </c>
      <c r="I1074" s="557" t="str">
        <f t="shared" si="16"/>
        <v>GooD</v>
      </c>
    </row>
    <row r="1075" spans="1:9">
      <c r="A1075" s="563" t="s">
        <v>643</v>
      </c>
      <c r="B1075" s="563">
        <v>17000</v>
      </c>
      <c r="C1075" s="564">
        <v>18</v>
      </c>
      <c r="D1075" s="564">
        <v>0.21</v>
      </c>
      <c r="E1075" s="564">
        <v>5365</v>
      </c>
      <c r="F1075" s="564">
        <v>22365</v>
      </c>
      <c r="G1075" s="564">
        <v>765</v>
      </c>
      <c r="H1075" s="564">
        <v>1200</v>
      </c>
      <c r="I1075" s="557" t="str">
        <f t="shared" si="16"/>
        <v>GooD</v>
      </c>
    </row>
    <row r="1076" spans="1:9" ht="15.75" thickBot="1">
      <c r="A1076" s="565" t="s">
        <v>643</v>
      </c>
      <c r="B1076" s="565">
        <v>17500</v>
      </c>
      <c r="C1076" s="566">
        <v>6</v>
      </c>
      <c r="D1076" s="566">
        <v>0.21</v>
      </c>
      <c r="E1076" s="566">
        <v>1843</v>
      </c>
      <c r="F1076" s="566">
        <v>19343</v>
      </c>
      <c r="G1076" s="566">
        <v>263</v>
      </c>
      <c r="H1076" s="566">
        <v>3180</v>
      </c>
      <c r="I1076" s="558" t="str">
        <f t="shared" si="16"/>
        <v>GooD</v>
      </c>
    </row>
    <row r="1077" spans="1:9" ht="15.75" thickTop="1">
      <c r="A1077" s="567" t="s">
        <v>643</v>
      </c>
      <c r="B1077" s="567">
        <v>17500</v>
      </c>
      <c r="C1077" s="568">
        <v>8</v>
      </c>
      <c r="D1077" s="568">
        <v>0.21</v>
      </c>
      <c r="E1077" s="568">
        <v>2458</v>
      </c>
      <c r="F1077" s="568">
        <v>19958</v>
      </c>
      <c r="G1077" s="568">
        <v>350</v>
      </c>
      <c r="H1077" s="568">
        <v>2451</v>
      </c>
      <c r="I1077" s="559" t="str">
        <f t="shared" si="16"/>
        <v>GooD</v>
      </c>
    </row>
    <row r="1078" spans="1:9">
      <c r="A1078" s="563" t="s">
        <v>643</v>
      </c>
      <c r="B1078" s="563">
        <v>17500</v>
      </c>
      <c r="C1078" s="564">
        <v>10</v>
      </c>
      <c r="D1078" s="564">
        <v>0.21</v>
      </c>
      <c r="E1078" s="564">
        <v>3068</v>
      </c>
      <c r="F1078" s="564">
        <v>20568</v>
      </c>
      <c r="G1078" s="564">
        <v>438</v>
      </c>
      <c r="H1078" s="564">
        <v>2013</v>
      </c>
      <c r="I1078" s="557" t="str">
        <f t="shared" si="16"/>
        <v>GooD</v>
      </c>
    </row>
    <row r="1079" spans="1:9">
      <c r="A1079" s="563" t="s">
        <v>643</v>
      </c>
      <c r="B1079" s="563">
        <v>17500</v>
      </c>
      <c r="C1079" s="564">
        <v>12</v>
      </c>
      <c r="D1079" s="564">
        <v>0.21</v>
      </c>
      <c r="E1079" s="564">
        <v>3677</v>
      </c>
      <c r="F1079" s="564">
        <v>21177</v>
      </c>
      <c r="G1079" s="564">
        <v>525</v>
      </c>
      <c r="H1079" s="564">
        <v>1721</v>
      </c>
      <c r="I1079" s="557" t="str">
        <f t="shared" si="16"/>
        <v>GooD</v>
      </c>
    </row>
    <row r="1080" spans="1:9">
      <c r="A1080" s="563" t="s">
        <v>643</v>
      </c>
      <c r="B1080" s="563">
        <v>17500</v>
      </c>
      <c r="C1080" s="564">
        <v>14</v>
      </c>
      <c r="D1080" s="564">
        <v>0.21</v>
      </c>
      <c r="E1080" s="564">
        <v>4295</v>
      </c>
      <c r="F1080" s="564">
        <v>21795</v>
      </c>
      <c r="G1080" s="564">
        <v>613</v>
      </c>
      <c r="H1080" s="564">
        <v>1513</v>
      </c>
      <c r="I1080" s="557" t="str">
        <f t="shared" si="16"/>
        <v>GooD</v>
      </c>
    </row>
    <row r="1081" spans="1:9" ht="15.75" thickBot="1">
      <c r="A1081" s="565" t="s">
        <v>643</v>
      </c>
      <c r="B1081" s="565">
        <v>17500</v>
      </c>
      <c r="C1081" s="566">
        <v>16</v>
      </c>
      <c r="D1081" s="566">
        <v>0.21</v>
      </c>
      <c r="E1081" s="566">
        <v>4912</v>
      </c>
      <c r="F1081" s="566">
        <v>22412</v>
      </c>
      <c r="G1081" s="566">
        <v>700</v>
      </c>
      <c r="H1081" s="566">
        <v>1357</v>
      </c>
      <c r="I1081" s="558" t="str">
        <f t="shared" si="16"/>
        <v>GooD</v>
      </c>
    </row>
    <row r="1082" spans="1:9" ht="15.75" thickTop="1">
      <c r="A1082" s="567" t="s">
        <v>643</v>
      </c>
      <c r="B1082" s="567">
        <v>17500</v>
      </c>
      <c r="C1082" s="568">
        <v>18</v>
      </c>
      <c r="D1082" s="568">
        <v>0.21</v>
      </c>
      <c r="E1082" s="568">
        <v>5518</v>
      </c>
      <c r="F1082" s="568">
        <v>23018</v>
      </c>
      <c r="G1082" s="568">
        <v>788</v>
      </c>
      <c r="H1082" s="568">
        <v>1235</v>
      </c>
      <c r="I1082" s="559" t="str">
        <f t="shared" si="16"/>
        <v>GooD</v>
      </c>
    </row>
    <row r="1083" spans="1:9">
      <c r="A1083" s="563" t="s">
        <v>643</v>
      </c>
      <c r="B1083" s="563">
        <v>18000</v>
      </c>
      <c r="C1083" s="564">
        <v>6</v>
      </c>
      <c r="D1083" s="564">
        <v>0.21</v>
      </c>
      <c r="E1083" s="564">
        <v>1896</v>
      </c>
      <c r="F1083" s="564">
        <v>19896</v>
      </c>
      <c r="G1083" s="564">
        <v>270</v>
      </c>
      <c r="H1083" s="564">
        <v>3271</v>
      </c>
      <c r="I1083" s="557" t="str">
        <f t="shared" si="16"/>
        <v>GooD</v>
      </c>
    </row>
    <row r="1084" spans="1:9">
      <c r="A1084" s="563" t="s">
        <v>643</v>
      </c>
      <c r="B1084" s="563">
        <v>18000</v>
      </c>
      <c r="C1084" s="564">
        <v>8</v>
      </c>
      <c r="D1084" s="564">
        <v>0.21</v>
      </c>
      <c r="E1084" s="564">
        <v>2528</v>
      </c>
      <c r="F1084" s="564">
        <v>20528</v>
      </c>
      <c r="G1084" s="564">
        <v>360</v>
      </c>
      <c r="H1084" s="564">
        <v>2521</v>
      </c>
      <c r="I1084" s="557" t="str">
        <f t="shared" si="16"/>
        <v>GooD</v>
      </c>
    </row>
    <row r="1085" spans="1:9">
      <c r="A1085" s="563" t="s">
        <v>643</v>
      </c>
      <c r="B1085" s="563">
        <v>18000</v>
      </c>
      <c r="C1085" s="564">
        <v>10</v>
      </c>
      <c r="D1085" s="564">
        <v>0.21</v>
      </c>
      <c r="E1085" s="564">
        <v>3160</v>
      </c>
      <c r="F1085" s="564">
        <v>21160</v>
      </c>
      <c r="G1085" s="564">
        <v>450</v>
      </c>
      <c r="H1085" s="564">
        <v>2071</v>
      </c>
      <c r="I1085" s="557" t="str">
        <f t="shared" si="16"/>
        <v>GooD</v>
      </c>
    </row>
    <row r="1086" spans="1:9" ht="15.75" thickBot="1">
      <c r="A1086" s="565" t="s">
        <v>643</v>
      </c>
      <c r="B1086" s="565">
        <v>18000</v>
      </c>
      <c r="C1086" s="566">
        <v>12</v>
      </c>
      <c r="D1086" s="566">
        <v>0.21</v>
      </c>
      <c r="E1086" s="566">
        <v>3792</v>
      </c>
      <c r="F1086" s="566">
        <v>21792</v>
      </c>
      <c r="G1086" s="566">
        <v>540</v>
      </c>
      <c r="H1086" s="566">
        <v>1771</v>
      </c>
      <c r="I1086" s="558" t="str">
        <f t="shared" si="16"/>
        <v>GooD</v>
      </c>
    </row>
    <row r="1087" spans="1:9" ht="15.75" thickTop="1">
      <c r="A1087" s="567" t="s">
        <v>643</v>
      </c>
      <c r="B1087" s="567">
        <v>18000</v>
      </c>
      <c r="C1087" s="568">
        <v>14</v>
      </c>
      <c r="D1087" s="568">
        <v>0.21</v>
      </c>
      <c r="E1087" s="568">
        <v>4414</v>
      </c>
      <c r="F1087" s="568">
        <v>22414</v>
      </c>
      <c r="G1087" s="568">
        <v>630</v>
      </c>
      <c r="H1087" s="568">
        <v>1556</v>
      </c>
      <c r="I1087" s="559" t="str">
        <f t="shared" si="16"/>
        <v>GooD</v>
      </c>
    </row>
    <row r="1088" spans="1:9">
      <c r="A1088" s="563" t="s">
        <v>643</v>
      </c>
      <c r="B1088" s="563">
        <v>18000</v>
      </c>
      <c r="C1088" s="564">
        <v>16</v>
      </c>
      <c r="D1088" s="564">
        <v>0.21</v>
      </c>
      <c r="E1088" s="564">
        <v>5056</v>
      </c>
      <c r="F1088" s="564">
        <v>23056</v>
      </c>
      <c r="G1088" s="564">
        <v>720</v>
      </c>
      <c r="H1088" s="564">
        <v>1396</v>
      </c>
      <c r="I1088" s="557" t="str">
        <f t="shared" si="16"/>
        <v>GooD</v>
      </c>
    </row>
    <row r="1089" spans="1:9">
      <c r="A1089" s="563" t="s">
        <v>643</v>
      </c>
      <c r="B1089" s="563">
        <v>18000</v>
      </c>
      <c r="C1089" s="564">
        <v>18</v>
      </c>
      <c r="D1089" s="564">
        <v>0.21</v>
      </c>
      <c r="E1089" s="564">
        <v>5688</v>
      </c>
      <c r="F1089" s="564">
        <v>23688</v>
      </c>
      <c r="G1089" s="564">
        <v>810</v>
      </c>
      <c r="H1089" s="564">
        <v>1271</v>
      </c>
      <c r="I1089" s="557" t="str">
        <f t="shared" si="16"/>
        <v>GooD</v>
      </c>
    </row>
    <row r="1090" spans="1:9">
      <c r="A1090" s="563" t="s">
        <v>643</v>
      </c>
      <c r="B1090" s="563">
        <v>18500</v>
      </c>
      <c r="C1090" s="564">
        <v>6</v>
      </c>
      <c r="D1090" s="564">
        <v>0.21</v>
      </c>
      <c r="E1090" s="564">
        <v>1944</v>
      </c>
      <c r="F1090" s="564">
        <v>20444</v>
      </c>
      <c r="G1090" s="564">
        <v>278</v>
      </c>
      <c r="H1090" s="564">
        <v>3361</v>
      </c>
      <c r="I1090" s="557" t="str">
        <f t="shared" si="16"/>
        <v>GooD</v>
      </c>
    </row>
    <row r="1091" spans="1:9" ht="15.75" thickBot="1">
      <c r="A1091" s="565" t="s">
        <v>643</v>
      </c>
      <c r="B1091" s="565">
        <v>18500</v>
      </c>
      <c r="C1091" s="566">
        <v>8</v>
      </c>
      <c r="D1091" s="566">
        <v>0.21</v>
      </c>
      <c r="E1091" s="566">
        <v>2598</v>
      </c>
      <c r="F1091" s="566">
        <v>21098</v>
      </c>
      <c r="G1091" s="566">
        <v>370</v>
      </c>
      <c r="H1091" s="566">
        <v>2591</v>
      </c>
      <c r="I1091" s="558" t="str">
        <f t="shared" si="16"/>
        <v>GooD</v>
      </c>
    </row>
    <row r="1092" spans="1:9" ht="15.75" thickTop="1">
      <c r="A1092" s="567" t="s">
        <v>643</v>
      </c>
      <c r="B1092" s="567">
        <v>18500</v>
      </c>
      <c r="C1092" s="568">
        <v>10</v>
      </c>
      <c r="D1092" s="568">
        <v>0.21</v>
      </c>
      <c r="E1092" s="568">
        <v>3243</v>
      </c>
      <c r="F1092" s="568">
        <v>21743</v>
      </c>
      <c r="G1092" s="568">
        <v>463</v>
      </c>
      <c r="H1092" s="568">
        <v>2128</v>
      </c>
      <c r="I1092" s="559" t="str">
        <f t="shared" si="16"/>
        <v>GooD</v>
      </c>
    </row>
    <row r="1093" spans="1:9">
      <c r="A1093" s="563" t="s">
        <v>643</v>
      </c>
      <c r="B1093" s="563">
        <v>18500</v>
      </c>
      <c r="C1093" s="564">
        <v>12</v>
      </c>
      <c r="D1093" s="564">
        <v>0.21</v>
      </c>
      <c r="E1093" s="564">
        <v>3895</v>
      </c>
      <c r="F1093" s="564">
        <v>22395</v>
      </c>
      <c r="G1093" s="564">
        <v>555</v>
      </c>
      <c r="H1093" s="564">
        <v>1820</v>
      </c>
      <c r="I1093" s="557" t="str">
        <f t="shared" si="16"/>
        <v>GooD</v>
      </c>
    </row>
    <row r="1094" spans="1:9">
      <c r="A1094" s="563" t="s">
        <v>643</v>
      </c>
      <c r="B1094" s="563">
        <v>18500</v>
      </c>
      <c r="C1094" s="564">
        <v>14</v>
      </c>
      <c r="D1094" s="564">
        <v>0.21</v>
      </c>
      <c r="E1094" s="564">
        <v>4534</v>
      </c>
      <c r="F1094" s="564">
        <v>23034</v>
      </c>
      <c r="G1094" s="564">
        <v>648</v>
      </c>
      <c r="H1094" s="564">
        <v>1599</v>
      </c>
      <c r="I1094" s="557" t="str">
        <f t="shared" si="16"/>
        <v>GooD</v>
      </c>
    </row>
    <row r="1095" spans="1:9">
      <c r="A1095" s="563" t="s">
        <v>643</v>
      </c>
      <c r="B1095" s="563">
        <v>18500</v>
      </c>
      <c r="C1095" s="564">
        <v>16</v>
      </c>
      <c r="D1095" s="564">
        <v>0.21</v>
      </c>
      <c r="E1095" s="564">
        <v>5184</v>
      </c>
      <c r="F1095" s="564">
        <v>23684</v>
      </c>
      <c r="G1095" s="564">
        <v>740</v>
      </c>
      <c r="H1095" s="564">
        <v>1434</v>
      </c>
      <c r="I1095" s="557" t="str">
        <f t="shared" si="16"/>
        <v>GooD</v>
      </c>
    </row>
    <row r="1096" spans="1:9">
      <c r="A1096" s="563" t="s">
        <v>643</v>
      </c>
      <c r="B1096" s="563">
        <v>18500</v>
      </c>
      <c r="C1096" s="564">
        <v>18</v>
      </c>
      <c r="D1096" s="564">
        <v>0.21</v>
      </c>
      <c r="E1096" s="564">
        <v>5841</v>
      </c>
      <c r="F1096" s="564">
        <v>24341</v>
      </c>
      <c r="G1096" s="564">
        <v>833</v>
      </c>
      <c r="H1096" s="564">
        <v>1306</v>
      </c>
      <c r="I1096" s="557" t="str">
        <f t="shared" si="16"/>
        <v>GooD</v>
      </c>
    </row>
    <row r="1097" spans="1:9">
      <c r="A1097" s="563" t="s">
        <v>643</v>
      </c>
      <c r="B1097" s="563">
        <v>19000</v>
      </c>
      <c r="C1097" s="564">
        <v>6</v>
      </c>
      <c r="D1097" s="564">
        <v>0.21</v>
      </c>
      <c r="E1097" s="564">
        <v>1997</v>
      </c>
      <c r="F1097" s="564">
        <v>20997</v>
      </c>
      <c r="G1097" s="564">
        <v>285</v>
      </c>
      <c r="H1097" s="564">
        <v>3452</v>
      </c>
      <c r="I1097" s="557" t="str">
        <f t="shared" si="16"/>
        <v>GooD</v>
      </c>
    </row>
    <row r="1098" spans="1:9" ht="15.75" thickBot="1">
      <c r="A1098" s="565" t="s">
        <v>643</v>
      </c>
      <c r="B1098" s="565">
        <v>19000</v>
      </c>
      <c r="C1098" s="566">
        <v>8</v>
      </c>
      <c r="D1098" s="566">
        <v>0.21</v>
      </c>
      <c r="E1098" s="566">
        <v>2668</v>
      </c>
      <c r="F1098" s="566">
        <v>21668</v>
      </c>
      <c r="G1098" s="566">
        <v>380</v>
      </c>
      <c r="H1098" s="566">
        <v>2661</v>
      </c>
      <c r="I1098" s="558" t="str">
        <f t="shared" si="16"/>
        <v>GooD</v>
      </c>
    </row>
    <row r="1099" spans="1:9" ht="15.75" thickTop="1">
      <c r="A1099" s="567" t="s">
        <v>643</v>
      </c>
      <c r="B1099" s="567">
        <v>19000</v>
      </c>
      <c r="C1099" s="568">
        <v>10</v>
      </c>
      <c r="D1099" s="568">
        <v>0.21</v>
      </c>
      <c r="E1099" s="568">
        <v>3335</v>
      </c>
      <c r="F1099" s="568">
        <v>22335</v>
      </c>
      <c r="G1099" s="568">
        <v>475</v>
      </c>
      <c r="H1099" s="568">
        <v>2186</v>
      </c>
      <c r="I1099" s="559" t="str">
        <f t="shared" si="16"/>
        <v>GooD</v>
      </c>
    </row>
    <row r="1100" spans="1:9">
      <c r="A1100" s="563" t="s">
        <v>643</v>
      </c>
      <c r="B1100" s="563">
        <v>19000</v>
      </c>
      <c r="C1100" s="564">
        <v>12</v>
      </c>
      <c r="D1100" s="564">
        <v>0.21</v>
      </c>
      <c r="E1100" s="564">
        <v>3998</v>
      </c>
      <c r="F1100" s="564">
        <v>22998</v>
      </c>
      <c r="G1100" s="564">
        <v>570</v>
      </c>
      <c r="H1100" s="564">
        <v>1869</v>
      </c>
      <c r="I1100" s="557" t="str">
        <f t="shared" si="16"/>
        <v>GooD</v>
      </c>
    </row>
    <row r="1101" spans="1:9" ht="15.75" thickBot="1">
      <c r="A1101" s="565" t="s">
        <v>643</v>
      </c>
      <c r="B1101" s="565">
        <v>19000</v>
      </c>
      <c r="C1101" s="566">
        <v>14</v>
      </c>
      <c r="D1101" s="566">
        <v>0.21</v>
      </c>
      <c r="E1101" s="566">
        <v>4667</v>
      </c>
      <c r="F1101" s="566">
        <v>23667</v>
      </c>
      <c r="G1101" s="566">
        <v>665</v>
      </c>
      <c r="H1101" s="566">
        <v>1643</v>
      </c>
      <c r="I1101" s="558" t="str">
        <f t="shared" si="16"/>
        <v>GooD</v>
      </c>
    </row>
    <row r="1102" spans="1:9" ht="15.75" thickTop="1">
      <c r="A1102" s="567" t="s">
        <v>643</v>
      </c>
      <c r="B1102" s="567">
        <v>19000</v>
      </c>
      <c r="C1102" s="568">
        <v>16</v>
      </c>
      <c r="D1102" s="568">
        <v>0.21</v>
      </c>
      <c r="E1102" s="568">
        <v>5328</v>
      </c>
      <c r="F1102" s="568">
        <v>24328</v>
      </c>
      <c r="G1102" s="568">
        <v>760</v>
      </c>
      <c r="H1102" s="568">
        <v>1473</v>
      </c>
      <c r="I1102" s="559" t="str">
        <f t="shared" si="16"/>
        <v>GooD</v>
      </c>
    </row>
    <row r="1103" spans="1:9">
      <c r="A1103" s="563" t="s">
        <v>643</v>
      </c>
      <c r="B1103" s="563">
        <v>19000</v>
      </c>
      <c r="C1103" s="564">
        <v>18</v>
      </c>
      <c r="D1103" s="564">
        <v>0.21</v>
      </c>
      <c r="E1103" s="564">
        <v>5993</v>
      </c>
      <c r="F1103" s="564">
        <v>24993</v>
      </c>
      <c r="G1103" s="564">
        <v>855</v>
      </c>
      <c r="H1103" s="564">
        <v>1341</v>
      </c>
      <c r="I1103" s="557" t="str">
        <f t="shared" si="16"/>
        <v>GooD</v>
      </c>
    </row>
    <row r="1104" spans="1:9" ht="15.75" thickBot="1">
      <c r="A1104" s="565" t="s">
        <v>643</v>
      </c>
      <c r="B1104" s="565">
        <v>19500</v>
      </c>
      <c r="C1104" s="566">
        <v>6</v>
      </c>
      <c r="D1104" s="566">
        <v>0.21</v>
      </c>
      <c r="E1104" s="566">
        <v>2051</v>
      </c>
      <c r="F1104" s="566">
        <v>21551</v>
      </c>
      <c r="G1104" s="566">
        <v>293</v>
      </c>
      <c r="H1104" s="566">
        <v>3543</v>
      </c>
      <c r="I1104" s="558" t="str">
        <f t="shared" si="16"/>
        <v>GooD</v>
      </c>
    </row>
    <row r="1105" spans="1:9" ht="15.75" thickTop="1">
      <c r="A1105" s="567" t="s">
        <v>643</v>
      </c>
      <c r="B1105" s="567">
        <v>19500</v>
      </c>
      <c r="C1105" s="568">
        <v>8</v>
      </c>
      <c r="D1105" s="568">
        <v>0.21</v>
      </c>
      <c r="E1105" s="568">
        <v>2738</v>
      </c>
      <c r="F1105" s="568">
        <v>22238</v>
      </c>
      <c r="G1105" s="568">
        <v>390</v>
      </c>
      <c r="H1105" s="568">
        <v>2731</v>
      </c>
      <c r="I1105" s="559" t="str">
        <f t="shared" ref="I1105:I1170" si="17">IF(((H1105*C1105)+G1105)=F1105,"GooD","لالالالالالالا")</f>
        <v>GooD</v>
      </c>
    </row>
    <row r="1106" spans="1:9">
      <c r="A1106" s="563" t="s">
        <v>643</v>
      </c>
      <c r="B1106" s="563">
        <v>19500</v>
      </c>
      <c r="C1106" s="564">
        <v>10</v>
      </c>
      <c r="D1106" s="564">
        <v>0.21</v>
      </c>
      <c r="E1106" s="564">
        <v>3418</v>
      </c>
      <c r="F1106" s="564">
        <v>22918</v>
      </c>
      <c r="G1106" s="564">
        <v>488</v>
      </c>
      <c r="H1106" s="564">
        <v>2243</v>
      </c>
      <c r="I1106" s="557" t="str">
        <f t="shared" si="17"/>
        <v>GooD</v>
      </c>
    </row>
    <row r="1107" spans="1:9" ht="15.75" thickBot="1">
      <c r="A1107" s="565" t="s">
        <v>643</v>
      </c>
      <c r="B1107" s="565">
        <v>19500</v>
      </c>
      <c r="C1107" s="566">
        <v>12</v>
      </c>
      <c r="D1107" s="566">
        <v>0.21</v>
      </c>
      <c r="E1107" s="566">
        <v>4101</v>
      </c>
      <c r="F1107" s="566">
        <v>23601</v>
      </c>
      <c r="G1107" s="566">
        <v>585</v>
      </c>
      <c r="H1107" s="566">
        <v>1918</v>
      </c>
      <c r="I1107" s="558" t="str">
        <f t="shared" si="17"/>
        <v>GooD</v>
      </c>
    </row>
    <row r="1108" spans="1:9" ht="15.75" thickTop="1">
      <c r="A1108" s="567" t="s">
        <v>643</v>
      </c>
      <c r="B1108" s="567">
        <v>19500</v>
      </c>
      <c r="C1108" s="568">
        <v>14</v>
      </c>
      <c r="D1108" s="568">
        <v>0.21</v>
      </c>
      <c r="E1108" s="568">
        <v>4787</v>
      </c>
      <c r="F1108" s="568">
        <v>24287</v>
      </c>
      <c r="G1108" s="568">
        <v>683</v>
      </c>
      <c r="H1108" s="568">
        <v>1686</v>
      </c>
      <c r="I1108" s="559" t="str">
        <f t="shared" si="17"/>
        <v>GooD</v>
      </c>
    </row>
    <row r="1109" spans="1:9">
      <c r="A1109" s="563" t="s">
        <v>643</v>
      </c>
      <c r="B1109" s="563">
        <v>19500</v>
      </c>
      <c r="C1109" s="564">
        <v>16</v>
      </c>
      <c r="D1109" s="564">
        <v>0.21</v>
      </c>
      <c r="E1109" s="564">
        <v>5472</v>
      </c>
      <c r="F1109" s="564">
        <v>24972</v>
      </c>
      <c r="G1109" s="564">
        <v>780</v>
      </c>
      <c r="H1109" s="564">
        <v>1512</v>
      </c>
      <c r="I1109" s="557" t="str">
        <f t="shared" si="17"/>
        <v>GooD</v>
      </c>
    </row>
    <row r="1110" spans="1:9" ht="15.75" thickBot="1">
      <c r="A1110" s="565" t="s">
        <v>643</v>
      </c>
      <c r="B1110" s="565">
        <v>19500</v>
      </c>
      <c r="C1110" s="566">
        <v>18</v>
      </c>
      <c r="D1110" s="566">
        <v>0.21</v>
      </c>
      <c r="E1110" s="566">
        <v>6146</v>
      </c>
      <c r="F1110" s="566">
        <v>25646</v>
      </c>
      <c r="G1110" s="566">
        <v>878</v>
      </c>
      <c r="H1110" s="566">
        <v>1376</v>
      </c>
      <c r="I1110" s="558" t="str">
        <f t="shared" si="17"/>
        <v>GooD</v>
      </c>
    </row>
    <row r="1111" spans="1:9" ht="15.75" thickTop="1">
      <c r="A1111" s="567" t="s">
        <v>643</v>
      </c>
      <c r="B1111" s="567">
        <v>20000</v>
      </c>
      <c r="C1111" s="568">
        <v>6</v>
      </c>
      <c r="D1111" s="568">
        <v>0.21</v>
      </c>
      <c r="E1111" s="568">
        <v>2104</v>
      </c>
      <c r="F1111" s="568">
        <v>22104</v>
      </c>
      <c r="G1111" s="568">
        <v>300</v>
      </c>
      <c r="H1111" s="568">
        <v>3634</v>
      </c>
      <c r="I1111" s="559" t="str">
        <f t="shared" si="17"/>
        <v>GooD</v>
      </c>
    </row>
    <row r="1112" spans="1:9">
      <c r="A1112" s="563" t="s">
        <v>643</v>
      </c>
      <c r="B1112" s="563">
        <v>20000</v>
      </c>
      <c r="C1112" s="564">
        <v>8</v>
      </c>
      <c r="D1112" s="564">
        <v>0.21</v>
      </c>
      <c r="E1112" s="564">
        <v>2808</v>
      </c>
      <c r="F1112" s="564">
        <v>22808</v>
      </c>
      <c r="G1112" s="564">
        <v>400</v>
      </c>
      <c r="H1112" s="564">
        <v>2801</v>
      </c>
      <c r="I1112" s="557" t="str">
        <f t="shared" si="17"/>
        <v>GooD</v>
      </c>
    </row>
    <row r="1113" spans="1:9" ht="15.75" thickBot="1">
      <c r="A1113" s="565" t="s">
        <v>643</v>
      </c>
      <c r="B1113" s="565">
        <v>20000</v>
      </c>
      <c r="C1113" s="566">
        <v>10</v>
      </c>
      <c r="D1113" s="566">
        <v>0.21</v>
      </c>
      <c r="E1113" s="566">
        <v>3510</v>
      </c>
      <c r="F1113" s="566">
        <v>23510</v>
      </c>
      <c r="G1113" s="566">
        <v>500</v>
      </c>
      <c r="H1113" s="566">
        <v>2301</v>
      </c>
      <c r="I1113" s="558" t="str">
        <f t="shared" si="17"/>
        <v>GooD</v>
      </c>
    </row>
    <row r="1114" spans="1:9" ht="15.75" thickTop="1">
      <c r="A1114" s="567" t="s">
        <v>643</v>
      </c>
      <c r="B1114" s="567">
        <v>20000</v>
      </c>
      <c r="C1114" s="568">
        <v>12</v>
      </c>
      <c r="D1114" s="568">
        <v>0.21</v>
      </c>
      <c r="E1114" s="568">
        <v>4204</v>
      </c>
      <c r="F1114" s="568">
        <v>24204</v>
      </c>
      <c r="G1114" s="568">
        <v>600</v>
      </c>
      <c r="H1114" s="568">
        <v>1967</v>
      </c>
      <c r="I1114" s="559" t="str">
        <f t="shared" si="17"/>
        <v>GooD</v>
      </c>
    </row>
    <row r="1115" spans="1:9">
      <c r="A1115" s="563" t="s">
        <v>643</v>
      </c>
      <c r="B1115" s="563">
        <v>20000</v>
      </c>
      <c r="C1115" s="564">
        <v>14</v>
      </c>
      <c r="D1115" s="564">
        <v>0.21</v>
      </c>
      <c r="E1115" s="564">
        <v>4906</v>
      </c>
      <c r="F1115" s="564">
        <v>24906</v>
      </c>
      <c r="G1115" s="564">
        <v>700</v>
      </c>
      <c r="H1115" s="564">
        <v>1729</v>
      </c>
      <c r="I1115" s="557" t="str">
        <f t="shared" si="17"/>
        <v>GooD</v>
      </c>
    </row>
    <row r="1116" spans="1:9" ht="15.75" thickBot="1">
      <c r="A1116" s="565" t="s">
        <v>643</v>
      </c>
      <c r="B1116" s="565">
        <v>20000</v>
      </c>
      <c r="C1116" s="566">
        <v>16</v>
      </c>
      <c r="D1116" s="566">
        <v>0.21</v>
      </c>
      <c r="E1116" s="566">
        <v>5616</v>
      </c>
      <c r="F1116" s="566">
        <v>25616</v>
      </c>
      <c r="G1116" s="566">
        <v>800</v>
      </c>
      <c r="H1116" s="566">
        <v>1551</v>
      </c>
      <c r="I1116" s="558" t="str">
        <f t="shared" si="17"/>
        <v>GooD</v>
      </c>
    </row>
    <row r="1117" spans="1:9" ht="15.75" thickTop="1">
      <c r="A1117" s="567" t="s">
        <v>643</v>
      </c>
      <c r="B1117" s="567">
        <v>20000</v>
      </c>
      <c r="C1117" s="568">
        <v>18</v>
      </c>
      <c r="D1117" s="568">
        <v>0.21</v>
      </c>
      <c r="E1117" s="568">
        <v>6316</v>
      </c>
      <c r="F1117" s="568">
        <v>26316</v>
      </c>
      <c r="G1117" s="568">
        <v>900</v>
      </c>
      <c r="H1117" s="568">
        <v>1412</v>
      </c>
      <c r="I1117" s="559" t="str">
        <f t="shared" si="17"/>
        <v>GooD</v>
      </c>
    </row>
    <row r="1118" spans="1:9">
      <c r="A1118" s="563" t="s">
        <v>643</v>
      </c>
      <c r="B1118" s="563">
        <v>20000</v>
      </c>
      <c r="C1118" s="564">
        <v>20</v>
      </c>
      <c r="D1118" s="564">
        <v>0.21</v>
      </c>
      <c r="E1118" s="564">
        <v>7020</v>
      </c>
      <c r="F1118" s="564">
        <v>27020</v>
      </c>
      <c r="G1118" s="564">
        <v>1000</v>
      </c>
      <c r="H1118" s="564">
        <v>1301</v>
      </c>
      <c r="I1118" s="557" t="str">
        <f t="shared" si="17"/>
        <v>GooD</v>
      </c>
    </row>
    <row r="1119" spans="1:9" ht="15.75" thickBot="1">
      <c r="A1119" s="565" t="s">
        <v>643</v>
      </c>
      <c r="B1119" s="565">
        <v>20000</v>
      </c>
      <c r="C1119" s="566">
        <v>22</v>
      </c>
      <c r="D1119" s="566">
        <v>0.21</v>
      </c>
      <c r="E1119" s="566">
        <v>7720</v>
      </c>
      <c r="F1119" s="566">
        <v>27720</v>
      </c>
      <c r="G1119" s="566">
        <v>1100</v>
      </c>
      <c r="H1119" s="566">
        <v>1210</v>
      </c>
      <c r="I1119" s="558" t="str">
        <f t="shared" si="17"/>
        <v>GooD</v>
      </c>
    </row>
    <row r="1120" spans="1:9" ht="15.75" thickTop="1">
      <c r="A1120" s="567" t="s">
        <v>643</v>
      </c>
      <c r="B1120" s="567">
        <v>20000</v>
      </c>
      <c r="C1120" s="568">
        <v>24</v>
      </c>
      <c r="D1120" s="568">
        <v>0.21</v>
      </c>
      <c r="E1120" s="568">
        <v>8416</v>
      </c>
      <c r="F1120" s="568">
        <v>28416</v>
      </c>
      <c r="G1120" s="568">
        <v>1200</v>
      </c>
      <c r="H1120" s="568">
        <v>1134</v>
      </c>
      <c r="I1120" s="559" t="str">
        <f t="shared" si="17"/>
        <v>GooD</v>
      </c>
    </row>
    <row r="1121" spans="1:9">
      <c r="A1121" s="563" t="s">
        <v>643</v>
      </c>
      <c r="B1121" s="563">
        <v>21000</v>
      </c>
      <c r="C1121" s="564">
        <v>6</v>
      </c>
      <c r="D1121" s="564">
        <v>0.21</v>
      </c>
      <c r="E1121" s="564">
        <v>2211</v>
      </c>
      <c r="F1121" s="564">
        <v>23211</v>
      </c>
      <c r="G1121" s="564">
        <v>315</v>
      </c>
      <c r="H1121" s="564">
        <v>3816</v>
      </c>
      <c r="I1121" s="557" t="str">
        <f t="shared" si="17"/>
        <v>GooD</v>
      </c>
    </row>
    <row r="1122" spans="1:9" ht="15.75" thickBot="1">
      <c r="A1122" s="565" t="s">
        <v>643</v>
      </c>
      <c r="B1122" s="565">
        <v>21000</v>
      </c>
      <c r="C1122" s="566">
        <v>8</v>
      </c>
      <c r="D1122" s="566">
        <v>0.21</v>
      </c>
      <c r="E1122" s="566">
        <v>2948</v>
      </c>
      <c r="F1122" s="566">
        <v>23948</v>
      </c>
      <c r="G1122" s="566">
        <v>420</v>
      </c>
      <c r="H1122" s="566">
        <v>2941</v>
      </c>
      <c r="I1122" s="558" t="str">
        <f t="shared" si="17"/>
        <v>GooD</v>
      </c>
    </row>
    <row r="1123" spans="1:9" ht="15.75" thickTop="1">
      <c r="A1123" s="567" t="s">
        <v>643</v>
      </c>
      <c r="B1123" s="567">
        <v>21000</v>
      </c>
      <c r="C1123" s="568">
        <v>10</v>
      </c>
      <c r="D1123" s="568">
        <v>0.21</v>
      </c>
      <c r="E1123" s="568">
        <v>3685</v>
      </c>
      <c r="F1123" s="568">
        <v>24685</v>
      </c>
      <c r="G1123" s="568">
        <v>525</v>
      </c>
      <c r="H1123" s="568">
        <v>2416</v>
      </c>
      <c r="I1123" s="559" t="str">
        <f t="shared" si="17"/>
        <v>GooD</v>
      </c>
    </row>
    <row r="1124" spans="1:9">
      <c r="A1124" s="563" t="s">
        <v>643</v>
      </c>
      <c r="B1124" s="563">
        <v>21000</v>
      </c>
      <c r="C1124" s="564">
        <v>12</v>
      </c>
      <c r="D1124" s="564">
        <v>0.21</v>
      </c>
      <c r="E1124" s="564">
        <v>4422</v>
      </c>
      <c r="F1124" s="564">
        <v>25422</v>
      </c>
      <c r="G1124" s="564">
        <v>630</v>
      </c>
      <c r="H1124" s="564">
        <v>2066</v>
      </c>
      <c r="I1124" s="557" t="str">
        <f t="shared" si="17"/>
        <v>GooD</v>
      </c>
    </row>
    <row r="1125" spans="1:9" ht="15.75" thickBot="1">
      <c r="A1125" s="565" t="s">
        <v>643</v>
      </c>
      <c r="B1125" s="565">
        <v>21000</v>
      </c>
      <c r="C1125" s="566">
        <v>14</v>
      </c>
      <c r="D1125" s="566">
        <v>0.21</v>
      </c>
      <c r="E1125" s="566">
        <v>5159</v>
      </c>
      <c r="F1125" s="566">
        <v>26159</v>
      </c>
      <c r="G1125" s="566">
        <v>735</v>
      </c>
      <c r="H1125" s="566">
        <v>1816</v>
      </c>
      <c r="I1125" s="558" t="str">
        <f t="shared" si="17"/>
        <v>GooD</v>
      </c>
    </row>
    <row r="1126" spans="1:9" ht="15.75" thickTop="1">
      <c r="A1126" s="567" t="s">
        <v>643</v>
      </c>
      <c r="B1126" s="567">
        <v>21000</v>
      </c>
      <c r="C1126" s="568">
        <v>16</v>
      </c>
      <c r="D1126" s="568">
        <v>0.21</v>
      </c>
      <c r="E1126" s="568">
        <v>5888</v>
      </c>
      <c r="F1126" s="568">
        <v>26888</v>
      </c>
      <c r="G1126" s="568">
        <v>840</v>
      </c>
      <c r="H1126" s="568">
        <v>1628</v>
      </c>
      <c r="I1126" s="559" t="str">
        <f t="shared" si="17"/>
        <v>GooD</v>
      </c>
    </row>
    <row r="1127" spans="1:9">
      <c r="A1127" s="563" t="s">
        <v>643</v>
      </c>
      <c r="B1127" s="563">
        <v>21000</v>
      </c>
      <c r="C1127" s="564">
        <v>18</v>
      </c>
      <c r="D1127" s="564">
        <v>0.21</v>
      </c>
      <c r="E1127" s="564">
        <v>6621</v>
      </c>
      <c r="F1127" s="564">
        <v>27621</v>
      </c>
      <c r="G1127" s="564">
        <v>945</v>
      </c>
      <c r="H1127" s="564">
        <v>1482</v>
      </c>
      <c r="I1127" s="557" t="str">
        <f t="shared" si="17"/>
        <v>GooD</v>
      </c>
    </row>
    <row r="1128" spans="1:9" ht="15.75" thickBot="1">
      <c r="A1128" s="565" t="s">
        <v>643</v>
      </c>
      <c r="B1128" s="565">
        <v>21000</v>
      </c>
      <c r="C1128" s="566">
        <v>20</v>
      </c>
      <c r="D1128" s="566">
        <v>0.21</v>
      </c>
      <c r="E1128" s="566">
        <v>7370</v>
      </c>
      <c r="F1128" s="566">
        <v>28370</v>
      </c>
      <c r="G1128" s="566">
        <v>1050</v>
      </c>
      <c r="H1128" s="566">
        <v>1366</v>
      </c>
      <c r="I1128" s="558" t="str">
        <f t="shared" si="17"/>
        <v>GooD</v>
      </c>
    </row>
    <row r="1129" spans="1:9" ht="15.75" thickTop="1">
      <c r="A1129" s="567" t="s">
        <v>643</v>
      </c>
      <c r="B1129" s="567">
        <v>21000</v>
      </c>
      <c r="C1129" s="568">
        <v>22</v>
      </c>
      <c r="D1129" s="568">
        <v>0.21</v>
      </c>
      <c r="E1129" s="568">
        <v>8095</v>
      </c>
      <c r="F1129" s="568">
        <v>29095</v>
      </c>
      <c r="G1129" s="568">
        <v>1155</v>
      </c>
      <c r="H1129" s="568">
        <v>1270</v>
      </c>
      <c r="I1129" s="559" t="str">
        <f t="shared" si="17"/>
        <v>GooD</v>
      </c>
    </row>
    <row r="1130" spans="1:9">
      <c r="A1130" s="563" t="s">
        <v>643</v>
      </c>
      <c r="B1130" s="563">
        <v>21000</v>
      </c>
      <c r="C1130" s="564">
        <v>24</v>
      </c>
      <c r="D1130" s="564">
        <v>0.21</v>
      </c>
      <c r="E1130" s="564">
        <v>8844</v>
      </c>
      <c r="F1130" s="564">
        <v>29844</v>
      </c>
      <c r="G1130" s="564">
        <v>1260</v>
      </c>
      <c r="H1130" s="564">
        <v>1191</v>
      </c>
      <c r="I1130" s="557" t="str">
        <f t="shared" si="17"/>
        <v>GooD</v>
      </c>
    </row>
    <row r="1131" spans="1:9" ht="15.75" thickBot="1">
      <c r="A1131" s="565" t="s">
        <v>643</v>
      </c>
      <c r="B1131" s="565">
        <v>22000</v>
      </c>
      <c r="C1131" s="566">
        <v>6</v>
      </c>
      <c r="D1131" s="566">
        <v>0.21</v>
      </c>
      <c r="E1131" s="566">
        <v>2312</v>
      </c>
      <c r="F1131" s="566">
        <v>24312</v>
      </c>
      <c r="G1131" s="566">
        <v>330</v>
      </c>
      <c r="H1131" s="566">
        <v>3997</v>
      </c>
      <c r="I1131" s="558" t="str">
        <f t="shared" si="17"/>
        <v>GooD</v>
      </c>
    </row>
    <row r="1132" spans="1:9" ht="15.75" thickTop="1">
      <c r="A1132" s="567" t="s">
        <v>643</v>
      </c>
      <c r="B1132" s="567">
        <v>22000</v>
      </c>
      <c r="C1132" s="568">
        <v>8</v>
      </c>
      <c r="D1132" s="568">
        <v>0.21</v>
      </c>
      <c r="E1132" s="568">
        <v>3088</v>
      </c>
      <c r="F1132" s="568">
        <v>25088</v>
      </c>
      <c r="G1132" s="568">
        <v>440</v>
      </c>
      <c r="H1132" s="568">
        <v>3081</v>
      </c>
      <c r="I1132" s="559" t="str">
        <f t="shared" si="17"/>
        <v>GooD</v>
      </c>
    </row>
    <row r="1133" spans="1:9">
      <c r="A1133" s="563" t="s">
        <v>643</v>
      </c>
      <c r="B1133" s="563">
        <v>22000</v>
      </c>
      <c r="C1133" s="564">
        <v>10</v>
      </c>
      <c r="D1133" s="564">
        <v>0.21</v>
      </c>
      <c r="E1133" s="564">
        <v>3860</v>
      </c>
      <c r="F1133" s="564">
        <v>25860</v>
      </c>
      <c r="G1133" s="564">
        <v>550</v>
      </c>
      <c r="H1133" s="564">
        <v>2531</v>
      </c>
      <c r="I1133" s="557" t="str">
        <f t="shared" si="17"/>
        <v>GooD</v>
      </c>
    </row>
    <row r="1134" spans="1:9" ht="15.75" thickBot="1">
      <c r="A1134" s="565" t="s">
        <v>643</v>
      </c>
      <c r="B1134" s="565">
        <v>22000</v>
      </c>
      <c r="C1134" s="566">
        <v>12</v>
      </c>
      <c r="D1134" s="566">
        <v>0.21</v>
      </c>
      <c r="E1134" s="566">
        <v>4628</v>
      </c>
      <c r="F1134" s="566">
        <v>26628</v>
      </c>
      <c r="G1134" s="566">
        <v>660</v>
      </c>
      <c r="H1134" s="566">
        <v>2164</v>
      </c>
      <c r="I1134" s="558" t="str">
        <f t="shared" si="17"/>
        <v>GooD</v>
      </c>
    </row>
    <row r="1135" spans="1:9" ht="15.75" thickTop="1">
      <c r="A1135" s="567" t="s">
        <v>643</v>
      </c>
      <c r="B1135" s="567">
        <v>22000</v>
      </c>
      <c r="C1135" s="568">
        <v>14</v>
      </c>
      <c r="D1135" s="568">
        <v>0.21</v>
      </c>
      <c r="E1135" s="568">
        <v>5398</v>
      </c>
      <c r="F1135" s="568">
        <v>27398</v>
      </c>
      <c r="G1135" s="568">
        <v>770</v>
      </c>
      <c r="H1135" s="568">
        <v>1902</v>
      </c>
      <c r="I1135" s="559" t="str">
        <f t="shared" si="17"/>
        <v>GooD</v>
      </c>
    </row>
    <row r="1136" spans="1:9">
      <c r="A1136" s="563" t="s">
        <v>643</v>
      </c>
      <c r="B1136" s="563">
        <v>22000</v>
      </c>
      <c r="C1136" s="564">
        <v>16</v>
      </c>
      <c r="D1136" s="564">
        <v>0.21</v>
      </c>
      <c r="E1136" s="564">
        <v>6176</v>
      </c>
      <c r="F1136" s="564">
        <v>28176</v>
      </c>
      <c r="G1136" s="564">
        <v>880</v>
      </c>
      <c r="H1136" s="564">
        <v>1706</v>
      </c>
      <c r="I1136" s="557" t="str">
        <f t="shared" si="17"/>
        <v>GooD</v>
      </c>
    </row>
    <row r="1137" spans="1:9" ht="15.75" thickBot="1">
      <c r="A1137" s="565" t="s">
        <v>643</v>
      </c>
      <c r="B1137" s="565">
        <v>22000</v>
      </c>
      <c r="C1137" s="566">
        <v>18</v>
      </c>
      <c r="D1137" s="566">
        <v>0.21</v>
      </c>
      <c r="E1137" s="566">
        <v>6944</v>
      </c>
      <c r="F1137" s="566">
        <v>28944</v>
      </c>
      <c r="G1137" s="566">
        <v>990</v>
      </c>
      <c r="H1137" s="566">
        <v>1553</v>
      </c>
      <c r="I1137" s="558" t="str">
        <f t="shared" si="17"/>
        <v>GooD</v>
      </c>
    </row>
    <row r="1138" spans="1:9" ht="15.75" thickTop="1">
      <c r="A1138" s="567" t="s">
        <v>643</v>
      </c>
      <c r="B1138" s="567">
        <v>22000</v>
      </c>
      <c r="C1138" s="568">
        <v>20</v>
      </c>
      <c r="D1138" s="568">
        <v>0.21</v>
      </c>
      <c r="E1138" s="568">
        <v>7720</v>
      </c>
      <c r="F1138" s="568">
        <v>29720</v>
      </c>
      <c r="G1138" s="568">
        <v>1100</v>
      </c>
      <c r="H1138" s="568">
        <v>1431</v>
      </c>
      <c r="I1138" s="559" t="str">
        <f t="shared" si="17"/>
        <v>GooD</v>
      </c>
    </row>
    <row r="1139" spans="1:9">
      <c r="A1139" s="563" t="s">
        <v>643</v>
      </c>
      <c r="B1139" s="563">
        <v>22000</v>
      </c>
      <c r="C1139" s="564">
        <v>22</v>
      </c>
      <c r="D1139" s="564">
        <v>0.21</v>
      </c>
      <c r="E1139" s="564">
        <v>8492</v>
      </c>
      <c r="F1139" s="564">
        <v>30492</v>
      </c>
      <c r="G1139" s="564">
        <v>1210</v>
      </c>
      <c r="H1139" s="564">
        <v>1331</v>
      </c>
      <c r="I1139" s="557" t="str">
        <f t="shared" si="17"/>
        <v>GooD</v>
      </c>
    </row>
    <row r="1140" spans="1:9" ht="15.75" thickBot="1">
      <c r="A1140" s="565" t="s">
        <v>643</v>
      </c>
      <c r="B1140" s="565">
        <v>22000</v>
      </c>
      <c r="C1140" s="566">
        <v>24</v>
      </c>
      <c r="D1140" s="566">
        <v>0.21</v>
      </c>
      <c r="E1140" s="566">
        <v>9248</v>
      </c>
      <c r="F1140" s="566">
        <v>31248</v>
      </c>
      <c r="G1140" s="566">
        <v>1320</v>
      </c>
      <c r="H1140" s="566">
        <v>1247</v>
      </c>
      <c r="I1140" s="558" t="str">
        <f t="shared" si="17"/>
        <v>GooD</v>
      </c>
    </row>
    <row r="1141" spans="1:9" ht="15.75" thickTop="1">
      <c r="A1141" s="567" t="s">
        <v>643</v>
      </c>
      <c r="B1141" s="567">
        <v>23000</v>
      </c>
      <c r="C1141" s="568">
        <v>6</v>
      </c>
      <c r="D1141" s="568">
        <v>0.21</v>
      </c>
      <c r="E1141" s="568">
        <v>2419</v>
      </c>
      <c r="F1141" s="568">
        <v>25419</v>
      </c>
      <c r="G1141" s="568">
        <v>345</v>
      </c>
      <c r="H1141" s="568">
        <v>4179</v>
      </c>
      <c r="I1141" s="559" t="str">
        <f t="shared" si="17"/>
        <v>GooD</v>
      </c>
    </row>
    <row r="1142" spans="1:9">
      <c r="A1142" s="563" t="s">
        <v>643</v>
      </c>
      <c r="B1142" s="563">
        <v>23000</v>
      </c>
      <c r="C1142" s="564">
        <v>8</v>
      </c>
      <c r="D1142" s="564">
        <v>0.21</v>
      </c>
      <c r="E1142" s="564">
        <v>3228</v>
      </c>
      <c r="F1142" s="564">
        <v>26228</v>
      </c>
      <c r="G1142" s="564">
        <v>460</v>
      </c>
      <c r="H1142" s="564">
        <v>3221</v>
      </c>
      <c r="I1142" s="557" t="str">
        <f t="shared" si="17"/>
        <v>GooD</v>
      </c>
    </row>
    <row r="1143" spans="1:9" ht="15.75" thickBot="1">
      <c r="A1143" s="565" t="s">
        <v>643</v>
      </c>
      <c r="B1143" s="565">
        <v>23000</v>
      </c>
      <c r="C1143" s="566">
        <v>10</v>
      </c>
      <c r="D1143" s="566">
        <v>0.21</v>
      </c>
      <c r="E1143" s="566">
        <v>4035</v>
      </c>
      <c r="F1143" s="566">
        <v>27035</v>
      </c>
      <c r="G1143" s="566">
        <v>575</v>
      </c>
      <c r="H1143" s="566">
        <v>2646</v>
      </c>
      <c r="I1143" s="558" t="str">
        <f t="shared" si="17"/>
        <v>GooD</v>
      </c>
    </row>
    <row r="1144" spans="1:9" ht="15.75" thickTop="1">
      <c r="A1144" s="567" t="s">
        <v>643</v>
      </c>
      <c r="B1144" s="567">
        <v>23000</v>
      </c>
      <c r="C1144" s="568">
        <v>12</v>
      </c>
      <c r="D1144" s="568">
        <v>0.21</v>
      </c>
      <c r="E1144" s="568">
        <v>4834</v>
      </c>
      <c r="F1144" s="568">
        <v>27834</v>
      </c>
      <c r="G1144" s="568">
        <v>690</v>
      </c>
      <c r="H1144" s="568">
        <v>2262</v>
      </c>
      <c r="I1144" s="559" t="str">
        <f t="shared" si="17"/>
        <v>GooD</v>
      </c>
    </row>
    <row r="1145" spans="1:9">
      <c r="A1145" s="563" t="s">
        <v>643</v>
      </c>
      <c r="B1145" s="563">
        <v>23000</v>
      </c>
      <c r="C1145" s="564">
        <v>14</v>
      </c>
      <c r="D1145" s="564">
        <v>0.21</v>
      </c>
      <c r="E1145" s="564">
        <v>5637</v>
      </c>
      <c r="F1145" s="564">
        <v>28637</v>
      </c>
      <c r="G1145" s="564">
        <v>805</v>
      </c>
      <c r="H1145" s="564">
        <v>1988</v>
      </c>
      <c r="I1145" s="557" t="str">
        <f t="shared" si="17"/>
        <v>GooD</v>
      </c>
    </row>
    <row r="1146" spans="1:9" ht="15.75" thickBot="1">
      <c r="A1146" s="565" t="s">
        <v>643</v>
      </c>
      <c r="B1146" s="565">
        <v>23000</v>
      </c>
      <c r="C1146" s="566">
        <v>16</v>
      </c>
      <c r="D1146" s="566">
        <v>0.21</v>
      </c>
      <c r="E1146" s="566">
        <v>6448</v>
      </c>
      <c r="F1146" s="566">
        <v>29448</v>
      </c>
      <c r="G1146" s="566">
        <v>920</v>
      </c>
      <c r="H1146" s="566">
        <v>1783</v>
      </c>
      <c r="I1146" s="558" t="str">
        <f t="shared" si="17"/>
        <v>GooD</v>
      </c>
    </row>
    <row r="1147" spans="1:9" ht="15.75" thickTop="1">
      <c r="A1147" s="567" t="s">
        <v>643</v>
      </c>
      <c r="B1147" s="567">
        <v>23000</v>
      </c>
      <c r="C1147" s="568">
        <v>18</v>
      </c>
      <c r="D1147" s="568">
        <v>0.21</v>
      </c>
      <c r="E1147" s="568">
        <v>7249</v>
      </c>
      <c r="F1147" s="568">
        <v>30249</v>
      </c>
      <c r="G1147" s="568">
        <v>1035</v>
      </c>
      <c r="H1147" s="568">
        <v>1623</v>
      </c>
      <c r="I1147" s="559" t="str">
        <f t="shared" si="17"/>
        <v>GooD</v>
      </c>
    </row>
    <row r="1148" spans="1:9">
      <c r="A1148" s="563" t="s">
        <v>643</v>
      </c>
      <c r="B1148" s="563">
        <v>23000</v>
      </c>
      <c r="C1148" s="564">
        <v>20</v>
      </c>
      <c r="D1148" s="564">
        <v>0.21</v>
      </c>
      <c r="E1148" s="564">
        <v>8070</v>
      </c>
      <c r="F1148" s="564">
        <v>31070</v>
      </c>
      <c r="G1148" s="564">
        <v>1150</v>
      </c>
      <c r="H1148" s="564">
        <v>1496</v>
      </c>
      <c r="I1148" s="557" t="str">
        <f t="shared" si="17"/>
        <v>GooD</v>
      </c>
    </row>
    <row r="1149" spans="1:9" ht="15.75" thickBot="1">
      <c r="A1149" s="565" t="s">
        <v>643</v>
      </c>
      <c r="B1149" s="565">
        <v>23000</v>
      </c>
      <c r="C1149" s="566">
        <v>22</v>
      </c>
      <c r="D1149" s="566">
        <v>0.21</v>
      </c>
      <c r="E1149" s="566">
        <v>8867</v>
      </c>
      <c r="F1149" s="566">
        <v>31867</v>
      </c>
      <c r="G1149" s="566">
        <v>1265</v>
      </c>
      <c r="H1149" s="566">
        <v>1391</v>
      </c>
      <c r="I1149" s="558" t="str">
        <f t="shared" si="17"/>
        <v>GooD</v>
      </c>
    </row>
    <row r="1150" spans="1:9" ht="15.75" thickTop="1">
      <c r="A1150" s="567" t="s">
        <v>643</v>
      </c>
      <c r="B1150" s="567">
        <v>23000</v>
      </c>
      <c r="C1150" s="568">
        <v>24</v>
      </c>
      <c r="D1150" s="568">
        <v>0.21</v>
      </c>
      <c r="E1150" s="568">
        <v>9676</v>
      </c>
      <c r="F1150" s="568">
        <v>32676</v>
      </c>
      <c r="G1150" s="568">
        <v>1380</v>
      </c>
      <c r="H1150" s="568">
        <v>1304</v>
      </c>
      <c r="I1150" s="559" t="str">
        <f t="shared" si="17"/>
        <v>GooD</v>
      </c>
    </row>
    <row r="1151" spans="1:9">
      <c r="A1151" s="563" t="s">
        <v>643</v>
      </c>
      <c r="B1151" s="563">
        <v>24000</v>
      </c>
      <c r="C1151" s="564">
        <v>6</v>
      </c>
      <c r="D1151" s="564">
        <v>0.21</v>
      </c>
      <c r="E1151" s="564">
        <v>2526</v>
      </c>
      <c r="F1151" s="564">
        <v>26526</v>
      </c>
      <c r="G1151" s="564">
        <v>360</v>
      </c>
      <c r="H1151" s="564">
        <v>4361</v>
      </c>
      <c r="I1151" s="557" t="str">
        <f t="shared" si="17"/>
        <v>GooD</v>
      </c>
    </row>
    <row r="1152" spans="1:9" ht="15.75" thickBot="1">
      <c r="A1152" s="565" t="s">
        <v>643</v>
      </c>
      <c r="B1152" s="565">
        <v>24000</v>
      </c>
      <c r="C1152" s="566">
        <v>8</v>
      </c>
      <c r="D1152" s="566">
        <v>0.21</v>
      </c>
      <c r="E1152" s="566">
        <v>3368</v>
      </c>
      <c r="F1152" s="566">
        <v>27368</v>
      </c>
      <c r="G1152" s="566">
        <v>480</v>
      </c>
      <c r="H1152" s="566">
        <v>3361</v>
      </c>
      <c r="I1152" s="558" t="str">
        <f t="shared" si="17"/>
        <v>GooD</v>
      </c>
    </row>
    <row r="1153" spans="1:9" ht="15.75" thickTop="1">
      <c r="A1153" s="567" t="s">
        <v>643</v>
      </c>
      <c r="B1153" s="567">
        <v>24000</v>
      </c>
      <c r="C1153" s="568">
        <v>10</v>
      </c>
      <c r="D1153" s="568">
        <v>0.21</v>
      </c>
      <c r="E1153" s="568">
        <v>4210</v>
      </c>
      <c r="F1153" s="568">
        <v>28210</v>
      </c>
      <c r="G1153" s="568">
        <v>600</v>
      </c>
      <c r="H1153" s="568">
        <v>2761</v>
      </c>
      <c r="I1153" s="559" t="str">
        <f t="shared" si="17"/>
        <v>GooD</v>
      </c>
    </row>
    <row r="1154" spans="1:9">
      <c r="A1154" s="563" t="s">
        <v>643</v>
      </c>
      <c r="B1154" s="563">
        <v>24000</v>
      </c>
      <c r="C1154" s="564">
        <v>12</v>
      </c>
      <c r="D1154" s="564">
        <v>0.21</v>
      </c>
      <c r="E1154" s="564">
        <v>5052</v>
      </c>
      <c r="F1154" s="564">
        <v>29052</v>
      </c>
      <c r="G1154" s="564">
        <v>720</v>
      </c>
      <c r="H1154" s="564">
        <v>2361</v>
      </c>
      <c r="I1154" s="557" t="str">
        <f t="shared" si="17"/>
        <v>GooD</v>
      </c>
    </row>
    <row r="1155" spans="1:9" ht="15.75" thickBot="1">
      <c r="A1155" s="565" t="s">
        <v>643</v>
      </c>
      <c r="B1155" s="565">
        <v>24000</v>
      </c>
      <c r="C1155" s="566">
        <v>14</v>
      </c>
      <c r="D1155" s="566">
        <v>0.21</v>
      </c>
      <c r="E1155" s="566">
        <v>5890</v>
      </c>
      <c r="F1155" s="566">
        <v>29890</v>
      </c>
      <c r="G1155" s="566">
        <v>840</v>
      </c>
      <c r="H1155" s="566">
        <v>2075</v>
      </c>
      <c r="I1155" s="558" t="str">
        <f t="shared" si="17"/>
        <v>GooD</v>
      </c>
    </row>
    <row r="1156" spans="1:9" ht="15.75" thickTop="1">
      <c r="A1156" s="567" t="s">
        <v>643</v>
      </c>
      <c r="B1156" s="567">
        <v>24000</v>
      </c>
      <c r="C1156" s="568">
        <v>16</v>
      </c>
      <c r="D1156" s="568">
        <v>0.21</v>
      </c>
      <c r="E1156" s="568">
        <v>6736</v>
      </c>
      <c r="F1156" s="568">
        <v>30736</v>
      </c>
      <c r="G1156" s="568">
        <v>960</v>
      </c>
      <c r="H1156" s="568">
        <v>1861</v>
      </c>
      <c r="I1156" s="559" t="str">
        <f t="shared" si="17"/>
        <v>GooD</v>
      </c>
    </row>
    <row r="1157" spans="1:9">
      <c r="A1157" s="563" t="s">
        <v>643</v>
      </c>
      <c r="B1157" s="563">
        <v>24000</v>
      </c>
      <c r="C1157" s="564">
        <v>18</v>
      </c>
      <c r="D1157" s="564">
        <v>0.21</v>
      </c>
      <c r="E1157" s="564">
        <v>7572</v>
      </c>
      <c r="F1157" s="564">
        <v>31572</v>
      </c>
      <c r="G1157" s="564">
        <v>1080</v>
      </c>
      <c r="H1157" s="564">
        <v>1694</v>
      </c>
      <c r="I1157" s="557" t="str">
        <f t="shared" si="17"/>
        <v>GooD</v>
      </c>
    </row>
    <row r="1158" spans="1:9" ht="15.75" thickBot="1">
      <c r="A1158" s="565" t="s">
        <v>643</v>
      </c>
      <c r="B1158" s="565">
        <v>24000</v>
      </c>
      <c r="C1158" s="566">
        <v>20</v>
      </c>
      <c r="D1158" s="566">
        <v>0.21</v>
      </c>
      <c r="E1158" s="566">
        <v>8420</v>
      </c>
      <c r="F1158" s="566">
        <v>32420</v>
      </c>
      <c r="G1158" s="566">
        <v>1200</v>
      </c>
      <c r="H1158" s="566">
        <v>1561</v>
      </c>
      <c r="I1158" s="558" t="str">
        <f t="shared" si="17"/>
        <v>GooD</v>
      </c>
    </row>
    <row r="1159" spans="1:9" ht="15.75" thickTop="1">
      <c r="A1159" s="567" t="s">
        <v>643</v>
      </c>
      <c r="B1159" s="567">
        <v>24000</v>
      </c>
      <c r="C1159" s="568">
        <v>22</v>
      </c>
      <c r="D1159" s="568">
        <v>0.21</v>
      </c>
      <c r="E1159" s="568">
        <v>9242</v>
      </c>
      <c r="F1159" s="568">
        <v>33242</v>
      </c>
      <c r="G1159" s="568">
        <v>1320</v>
      </c>
      <c r="H1159" s="568">
        <v>1451</v>
      </c>
      <c r="I1159" s="559" t="str">
        <f t="shared" si="17"/>
        <v>GooD</v>
      </c>
    </row>
    <row r="1160" spans="1:9">
      <c r="A1160" s="563" t="s">
        <v>643</v>
      </c>
      <c r="B1160" s="563">
        <v>24000</v>
      </c>
      <c r="C1160" s="564">
        <v>24</v>
      </c>
      <c r="D1160" s="564">
        <v>0.21</v>
      </c>
      <c r="E1160" s="564">
        <v>10104</v>
      </c>
      <c r="F1160" s="564">
        <v>34104</v>
      </c>
      <c r="G1160" s="564">
        <v>1440</v>
      </c>
      <c r="H1160" s="564">
        <v>1361</v>
      </c>
      <c r="I1160" s="557" t="str">
        <f t="shared" si="17"/>
        <v>GooD</v>
      </c>
    </row>
    <row r="1161" spans="1:9" ht="15.75" thickBot="1">
      <c r="A1161" s="565" t="s">
        <v>643</v>
      </c>
      <c r="B1161" s="565">
        <v>25000</v>
      </c>
      <c r="C1161" s="566">
        <v>6</v>
      </c>
      <c r="D1161" s="566">
        <v>0.21</v>
      </c>
      <c r="E1161" s="566">
        <v>2627</v>
      </c>
      <c r="F1161" s="566">
        <v>27627</v>
      </c>
      <c r="G1161" s="566">
        <v>375</v>
      </c>
      <c r="H1161" s="566">
        <v>4542</v>
      </c>
      <c r="I1161" s="558" t="str">
        <f t="shared" si="17"/>
        <v>GooD</v>
      </c>
    </row>
    <row r="1162" spans="1:9" ht="15.75" thickTop="1">
      <c r="A1162" s="567" t="s">
        <v>643</v>
      </c>
      <c r="B1162" s="567">
        <v>25000</v>
      </c>
      <c r="C1162" s="568">
        <v>8</v>
      </c>
      <c r="D1162" s="568">
        <v>0.21</v>
      </c>
      <c r="E1162" s="568">
        <v>3508</v>
      </c>
      <c r="F1162" s="568">
        <v>28508</v>
      </c>
      <c r="G1162" s="568">
        <v>500</v>
      </c>
      <c r="H1162" s="568">
        <v>3501</v>
      </c>
      <c r="I1162" s="559" t="str">
        <f t="shared" si="17"/>
        <v>GooD</v>
      </c>
    </row>
    <row r="1163" spans="1:9">
      <c r="A1163" s="563" t="s">
        <v>643</v>
      </c>
      <c r="B1163" s="563">
        <v>25000</v>
      </c>
      <c r="C1163" s="564">
        <v>10</v>
      </c>
      <c r="D1163" s="564">
        <v>0.21</v>
      </c>
      <c r="E1163" s="564">
        <v>4385</v>
      </c>
      <c r="F1163" s="564">
        <v>29385</v>
      </c>
      <c r="G1163" s="564">
        <v>625</v>
      </c>
      <c r="H1163" s="564">
        <v>2876</v>
      </c>
      <c r="I1163" s="557" t="str">
        <f t="shared" si="17"/>
        <v>GooD</v>
      </c>
    </row>
    <row r="1164" spans="1:9" ht="15.75" thickBot="1">
      <c r="A1164" s="565" t="s">
        <v>643</v>
      </c>
      <c r="B1164" s="565">
        <v>25000</v>
      </c>
      <c r="C1164" s="566">
        <v>12</v>
      </c>
      <c r="D1164" s="566">
        <v>0.21</v>
      </c>
      <c r="E1164" s="566">
        <v>5258</v>
      </c>
      <c r="F1164" s="566">
        <v>30258</v>
      </c>
      <c r="G1164" s="566">
        <v>750</v>
      </c>
      <c r="H1164" s="566">
        <v>2459</v>
      </c>
      <c r="I1164" s="558" t="str">
        <f t="shared" si="17"/>
        <v>GooD</v>
      </c>
    </row>
    <row r="1165" spans="1:9" ht="15.75" thickTop="1">
      <c r="A1165" s="567" t="s">
        <v>643</v>
      </c>
      <c r="B1165" s="567">
        <v>25000</v>
      </c>
      <c r="C1165" s="568">
        <v>14</v>
      </c>
      <c r="D1165" s="568">
        <v>0.21</v>
      </c>
      <c r="E1165" s="568">
        <v>6129</v>
      </c>
      <c r="F1165" s="568">
        <v>31129</v>
      </c>
      <c r="G1165" s="568">
        <v>875</v>
      </c>
      <c r="H1165" s="568">
        <v>2161</v>
      </c>
      <c r="I1165" s="559" t="str">
        <f t="shared" si="17"/>
        <v>GooD</v>
      </c>
    </row>
    <row r="1166" spans="1:9">
      <c r="A1166" s="563" t="s">
        <v>643</v>
      </c>
      <c r="B1166" s="563">
        <v>25000</v>
      </c>
      <c r="C1166" s="564">
        <v>16</v>
      </c>
      <c r="D1166" s="564">
        <v>0.21</v>
      </c>
      <c r="E1166" s="564">
        <v>7008</v>
      </c>
      <c r="F1166" s="564">
        <v>32008</v>
      </c>
      <c r="G1166" s="564">
        <v>1000</v>
      </c>
      <c r="H1166" s="564">
        <v>1938</v>
      </c>
      <c r="I1166" s="557" t="str">
        <f t="shared" si="17"/>
        <v>GooD</v>
      </c>
    </row>
    <row r="1167" spans="1:9" ht="15.75" thickBot="1">
      <c r="A1167" s="565" t="s">
        <v>643</v>
      </c>
      <c r="B1167" s="565">
        <v>25000</v>
      </c>
      <c r="C1167" s="566">
        <v>18</v>
      </c>
      <c r="D1167" s="566">
        <v>0.21</v>
      </c>
      <c r="E1167" s="566">
        <v>7877</v>
      </c>
      <c r="F1167" s="566">
        <v>32877</v>
      </c>
      <c r="G1167" s="566">
        <v>1125</v>
      </c>
      <c r="H1167" s="566">
        <v>1764</v>
      </c>
      <c r="I1167" s="558" t="str">
        <f t="shared" si="17"/>
        <v>GooD</v>
      </c>
    </row>
    <row r="1168" spans="1:9" ht="15.75" thickTop="1">
      <c r="A1168" s="567" t="s">
        <v>643</v>
      </c>
      <c r="B1168" s="567">
        <v>25000</v>
      </c>
      <c r="C1168" s="568">
        <v>20</v>
      </c>
      <c r="D1168" s="568">
        <v>0.21</v>
      </c>
      <c r="E1168" s="568">
        <v>8770</v>
      </c>
      <c r="F1168" s="568">
        <v>33770</v>
      </c>
      <c r="G1168" s="568">
        <v>1250</v>
      </c>
      <c r="H1168" s="568">
        <v>1626</v>
      </c>
      <c r="I1168" s="559" t="str">
        <f t="shared" si="17"/>
        <v>GooD</v>
      </c>
    </row>
    <row r="1169" spans="1:9">
      <c r="A1169" s="563" t="s">
        <v>643</v>
      </c>
      <c r="B1169" s="563">
        <v>25000</v>
      </c>
      <c r="C1169" s="564">
        <v>22</v>
      </c>
      <c r="D1169" s="564">
        <v>0.21</v>
      </c>
      <c r="E1169" s="564">
        <v>9639</v>
      </c>
      <c r="F1169" s="564">
        <v>34639</v>
      </c>
      <c r="G1169" s="564">
        <v>1375</v>
      </c>
      <c r="H1169" s="564">
        <v>1512</v>
      </c>
      <c r="I1169" s="557" t="str">
        <f t="shared" si="17"/>
        <v>GooD</v>
      </c>
    </row>
    <row r="1170" spans="1:9" ht="15.75" thickBot="1">
      <c r="A1170" s="565" t="s">
        <v>643</v>
      </c>
      <c r="B1170" s="565">
        <v>25000</v>
      </c>
      <c r="C1170" s="566">
        <v>24</v>
      </c>
      <c r="D1170" s="566">
        <v>0.21</v>
      </c>
      <c r="E1170" s="566">
        <v>10508</v>
      </c>
      <c r="F1170" s="566">
        <v>35508</v>
      </c>
      <c r="G1170" s="566">
        <v>1500</v>
      </c>
      <c r="H1170" s="566">
        <v>1417</v>
      </c>
      <c r="I1170" s="558" t="str">
        <f t="shared" si="17"/>
        <v>GooD</v>
      </c>
    </row>
    <row r="1171" spans="1:9" ht="15.75" thickTop="1">
      <c r="A1171" s="567" t="s">
        <v>643</v>
      </c>
      <c r="B1171" s="567">
        <v>26000</v>
      </c>
      <c r="C1171" s="568">
        <v>6</v>
      </c>
      <c r="D1171" s="568">
        <v>0.21</v>
      </c>
      <c r="E1171" s="568">
        <v>2734</v>
      </c>
      <c r="F1171" s="568">
        <v>28734</v>
      </c>
      <c r="G1171" s="568">
        <v>390</v>
      </c>
      <c r="H1171" s="568">
        <v>4724</v>
      </c>
      <c r="I1171" s="559" t="str">
        <f t="shared" ref="I1171:I1234" si="18">IF(((H1171*C1171)+G1171)=F1171,"GooD","لالالالالالالا")</f>
        <v>GooD</v>
      </c>
    </row>
    <row r="1172" spans="1:9">
      <c r="A1172" s="563" t="s">
        <v>643</v>
      </c>
      <c r="B1172" s="563">
        <v>26000</v>
      </c>
      <c r="C1172" s="564">
        <v>8</v>
      </c>
      <c r="D1172" s="564">
        <v>0.21</v>
      </c>
      <c r="E1172" s="564">
        <v>3648</v>
      </c>
      <c r="F1172" s="564">
        <v>29648</v>
      </c>
      <c r="G1172" s="564">
        <v>520</v>
      </c>
      <c r="H1172" s="564">
        <v>3641</v>
      </c>
      <c r="I1172" s="557" t="str">
        <f t="shared" si="18"/>
        <v>GooD</v>
      </c>
    </row>
    <row r="1173" spans="1:9" ht="15.75" thickBot="1">
      <c r="A1173" s="565" t="s">
        <v>643</v>
      </c>
      <c r="B1173" s="565">
        <v>26000</v>
      </c>
      <c r="C1173" s="566">
        <v>10</v>
      </c>
      <c r="D1173" s="566">
        <v>0.21</v>
      </c>
      <c r="E1173" s="566">
        <v>4560</v>
      </c>
      <c r="F1173" s="566">
        <v>30560</v>
      </c>
      <c r="G1173" s="566">
        <v>650</v>
      </c>
      <c r="H1173" s="566">
        <v>2991</v>
      </c>
      <c r="I1173" s="558" t="str">
        <f t="shared" si="18"/>
        <v>GooD</v>
      </c>
    </row>
    <row r="1174" spans="1:9" ht="15.75" thickTop="1">
      <c r="A1174" s="567" t="s">
        <v>643</v>
      </c>
      <c r="B1174" s="567">
        <v>26000</v>
      </c>
      <c r="C1174" s="568">
        <v>12</v>
      </c>
      <c r="D1174" s="568">
        <v>0.21</v>
      </c>
      <c r="E1174" s="568">
        <v>5464</v>
      </c>
      <c r="F1174" s="568">
        <v>31464</v>
      </c>
      <c r="G1174" s="568">
        <v>780</v>
      </c>
      <c r="H1174" s="568">
        <v>2557</v>
      </c>
      <c r="I1174" s="559" t="str">
        <f t="shared" si="18"/>
        <v>GooD</v>
      </c>
    </row>
    <row r="1175" spans="1:9">
      <c r="A1175" s="563" t="s">
        <v>643</v>
      </c>
      <c r="B1175" s="563">
        <v>26000</v>
      </c>
      <c r="C1175" s="564">
        <v>14</v>
      </c>
      <c r="D1175" s="564">
        <v>0.21</v>
      </c>
      <c r="E1175" s="564">
        <v>6382</v>
      </c>
      <c r="F1175" s="564">
        <v>32382</v>
      </c>
      <c r="G1175" s="564">
        <v>910</v>
      </c>
      <c r="H1175" s="564">
        <v>2248</v>
      </c>
      <c r="I1175" s="557" t="str">
        <f t="shared" si="18"/>
        <v>GooD</v>
      </c>
    </row>
    <row r="1176" spans="1:9" ht="15.75" thickBot="1">
      <c r="A1176" s="565" t="s">
        <v>643</v>
      </c>
      <c r="B1176" s="565">
        <v>26000</v>
      </c>
      <c r="C1176" s="566">
        <v>16</v>
      </c>
      <c r="D1176" s="566">
        <v>0.21</v>
      </c>
      <c r="E1176" s="566">
        <v>7296</v>
      </c>
      <c r="F1176" s="566">
        <v>33296</v>
      </c>
      <c r="G1176" s="566">
        <v>1040</v>
      </c>
      <c r="H1176" s="566">
        <v>2016</v>
      </c>
      <c r="I1176" s="558" t="str">
        <f t="shared" si="18"/>
        <v>GooD</v>
      </c>
    </row>
    <row r="1177" spans="1:9" ht="15.75" thickTop="1">
      <c r="A1177" s="567" t="s">
        <v>643</v>
      </c>
      <c r="B1177" s="567">
        <v>26000</v>
      </c>
      <c r="C1177" s="568">
        <v>18</v>
      </c>
      <c r="D1177" s="568">
        <v>0.21</v>
      </c>
      <c r="E1177" s="568">
        <v>8200</v>
      </c>
      <c r="F1177" s="568">
        <v>34200</v>
      </c>
      <c r="G1177" s="568">
        <v>1170</v>
      </c>
      <c r="H1177" s="568">
        <v>1835</v>
      </c>
      <c r="I1177" s="559" t="str">
        <f t="shared" si="18"/>
        <v>GooD</v>
      </c>
    </row>
    <row r="1178" spans="1:9">
      <c r="A1178" s="563" t="s">
        <v>643</v>
      </c>
      <c r="B1178" s="563">
        <v>26000</v>
      </c>
      <c r="C1178" s="564">
        <v>20</v>
      </c>
      <c r="D1178" s="564">
        <v>0.21</v>
      </c>
      <c r="E1178" s="564">
        <v>9120</v>
      </c>
      <c r="F1178" s="564">
        <v>35120</v>
      </c>
      <c r="G1178" s="564">
        <v>1300</v>
      </c>
      <c r="H1178" s="564">
        <v>1691</v>
      </c>
      <c r="I1178" s="557" t="str">
        <f t="shared" si="18"/>
        <v>GooD</v>
      </c>
    </row>
    <row r="1179" spans="1:9" ht="15.75" thickBot="1">
      <c r="A1179" s="565" t="s">
        <v>643</v>
      </c>
      <c r="B1179" s="565">
        <v>26000</v>
      </c>
      <c r="C1179" s="566">
        <v>22</v>
      </c>
      <c r="D1179" s="566">
        <v>0.21</v>
      </c>
      <c r="E1179" s="566">
        <v>10014</v>
      </c>
      <c r="F1179" s="566">
        <v>36014</v>
      </c>
      <c r="G1179" s="566">
        <v>1430</v>
      </c>
      <c r="H1179" s="566">
        <v>1572</v>
      </c>
      <c r="I1179" s="558" t="str">
        <f t="shared" si="18"/>
        <v>GooD</v>
      </c>
    </row>
    <row r="1180" spans="1:9" ht="15.75" thickTop="1">
      <c r="A1180" s="567" t="s">
        <v>643</v>
      </c>
      <c r="B1180" s="567">
        <v>26000</v>
      </c>
      <c r="C1180" s="568">
        <v>24</v>
      </c>
      <c r="D1180" s="568">
        <v>0.21</v>
      </c>
      <c r="E1180" s="568">
        <v>10936</v>
      </c>
      <c r="F1180" s="568">
        <v>36936</v>
      </c>
      <c r="G1180" s="568">
        <v>1560</v>
      </c>
      <c r="H1180" s="568">
        <v>1474</v>
      </c>
      <c r="I1180" s="559" t="str">
        <f t="shared" si="18"/>
        <v>GooD</v>
      </c>
    </row>
    <row r="1181" spans="1:9">
      <c r="A1181" s="563" t="s">
        <v>643</v>
      </c>
      <c r="B1181" s="563">
        <v>27000</v>
      </c>
      <c r="C1181" s="564">
        <v>6</v>
      </c>
      <c r="D1181" s="564">
        <v>0.21</v>
      </c>
      <c r="E1181" s="564">
        <v>2841</v>
      </c>
      <c r="F1181" s="564">
        <v>29841</v>
      </c>
      <c r="G1181" s="564">
        <v>405</v>
      </c>
      <c r="H1181" s="564">
        <v>4906</v>
      </c>
      <c r="I1181" s="557" t="str">
        <f t="shared" si="18"/>
        <v>GooD</v>
      </c>
    </row>
    <row r="1182" spans="1:9" ht="15.75" thickBot="1">
      <c r="A1182" s="565" t="s">
        <v>643</v>
      </c>
      <c r="B1182" s="565">
        <v>27000</v>
      </c>
      <c r="C1182" s="566">
        <v>8</v>
      </c>
      <c r="D1182" s="566">
        <v>0.21</v>
      </c>
      <c r="E1182" s="566">
        <v>3788</v>
      </c>
      <c r="F1182" s="566">
        <v>30788</v>
      </c>
      <c r="G1182" s="566">
        <v>540</v>
      </c>
      <c r="H1182" s="566">
        <v>3781</v>
      </c>
      <c r="I1182" s="558" t="str">
        <f t="shared" si="18"/>
        <v>GooD</v>
      </c>
    </row>
    <row r="1183" spans="1:9" ht="15.75" thickTop="1">
      <c r="A1183" s="567" t="s">
        <v>643</v>
      </c>
      <c r="B1183" s="567">
        <v>27000</v>
      </c>
      <c r="C1183" s="568">
        <v>10</v>
      </c>
      <c r="D1183" s="568">
        <v>0.21</v>
      </c>
      <c r="E1183" s="568">
        <v>4735</v>
      </c>
      <c r="F1183" s="568">
        <v>31735</v>
      </c>
      <c r="G1183" s="568">
        <v>675</v>
      </c>
      <c r="H1183" s="568">
        <v>3106</v>
      </c>
      <c r="I1183" s="559" t="str">
        <f t="shared" si="18"/>
        <v>GooD</v>
      </c>
    </row>
    <row r="1184" spans="1:9">
      <c r="A1184" s="563" t="s">
        <v>643</v>
      </c>
      <c r="B1184" s="563">
        <v>27000</v>
      </c>
      <c r="C1184" s="564">
        <v>12</v>
      </c>
      <c r="D1184" s="564">
        <v>0.21</v>
      </c>
      <c r="E1184" s="564">
        <v>5682</v>
      </c>
      <c r="F1184" s="564">
        <v>32682</v>
      </c>
      <c r="G1184" s="564">
        <v>810</v>
      </c>
      <c r="H1184" s="564">
        <v>2656</v>
      </c>
      <c r="I1184" s="557" t="str">
        <f t="shared" si="18"/>
        <v>GooD</v>
      </c>
    </row>
    <row r="1185" spans="1:9" ht="15.75" thickBot="1">
      <c r="A1185" s="565" t="s">
        <v>643</v>
      </c>
      <c r="B1185" s="565">
        <v>27000</v>
      </c>
      <c r="C1185" s="566">
        <v>14</v>
      </c>
      <c r="D1185" s="566">
        <v>0.21</v>
      </c>
      <c r="E1185" s="566">
        <v>6621</v>
      </c>
      <c r="F1185" s="566">
        <v>33621</v>
      </c>
      <c r="G1185" s="566">
        <v>945</v>
      </c>
      <c r="H1185" s="566">
        <v>2334</v>
      </c>
      <c r="I1185" s="558" t="str">
        <f t="shared" si="18"/>
        <v>GooD</v>
      </c>
    </row>
    <row r="1186" spans="1:9" ht="15.75" thickTop="1">
      <c r="A1186" s="567" t="s">
        <v>643</v>
      </c>
      <c r="B1186" s="567">
        <v>27000</v>
      </c>
      <c r="C1186" s="568">
        <v>16</v>
      </c>
      <c r="D1186" s="568">
        <v>0.21</v>
      </c>
      <c r="E1186" s="568">
        <v>7568</v>
      </c>
      <c r="F1186" s="568">
        <v>34568</v>
      </c>
      <c r="G1186" s="568">
        <v>1080</v>
      </c>
      <c r="H1186" s="568">
        <v>2093</v>
      </c>
      <c r="I1186" s="559" t="str">
        <f t="shared" si="18"/>
        <v>GooD</v>
      </c>
    </row>
    <row r="1187" spans="1:9">
      <c r="A1187" s="563" t="s">
        <v>643</v>
      </c>
      <c r="B1187" s="563">
        <v>27000</v>
      </c>
      <c r="C1187" s="564">
        <v>18</v>
      </c>
      <c r="D1187" s="564">
        <v>0.21</v>
      </c>
      <c r="E1187" s="564">
        <v>8523</v>
      </c>
      <c r="F1187" s="564">
        <v>35523</v>
      </c>
      <c r="G1187" s="564">
        <v>1215</v>
      </c>
      <c r="H1187" s="564">
        <v>1906</v>
      </c>
      <c r="I1187" s="557" t="str">
        <f t="shared" si="18"/>
        <v>GooD</v>
      </c>
    </row>
    <row r="1188" spans="1:9" ht="15.75" thickBot="1">
      <c r="A1188" s="565" t="s">
        <v>643</v>
      </c>
      <c r="B1188" s="565">
        <v>27000</v>
      </c>
      <c r="C1188" s="566">
        <v>20</v>
      </c>
      <c r="D1188" s="566">
        <v>0.21</v>
      </c>
      <c r="E1188" s="566">
        <v>9470</v>
      </c>
      <c r="F1188" s="566">
        <v>36470</v>
      </c>
      <c r="G1188" s="566">
        <v>1350</v>
      </c>
      <c r="H1188" s="566">
        <v>1756</v>
      </c>
      <c r="I1188" s="558" t="str">
        <f t="shared" si="18"/>
        <v>GooD</v>
      </c>
    </row>
    <row r="1189" spans="1:9" ht="15.75" thickTop="1">
      <c r="A1189" s="567" t="s">
        <v>643</v>
      </c>
      <c r="B1189" s="567">
        <v>27000</v>
      </c>
      <c r="C1189" s="568">
        <v>22</v>
      </c>
      <c r="D1189" s="568">
        <v>0.21</v>
      </c>
      <c r="E1189" s="568">
        <v>10411</v>
      </c>
      <c r="F1189" s="568">
        <v>37411</v>
      </c>
      <c r="G1189" s="568">
        <v>1485</v>
      </c>
      <c r="H1189" s="568">
        <v>1633</v>
      </c>
      <c r="I1189" s="559" t="str">
        <f t="shared" si="18"/>
        <v>GooD</v>
      </c>
    </row>
    <row r="1190" spans="1:9">
      <c r="A1190" s="563" t="s">
        <v>643</v>
      </c>
      <c r="B1190" s="563">
        <v>27000</v>
      </c>
      <c r="C1190" s="564">
        <v>24</v>
      </c>
      <c r="D1190" s="564">
        <v>0.21</v>
      </c>
      <c r="E1190" s="564">
        <v>11364</v>
      </c>
      <c r="F1190" s="564">
        <v>38364</v>
      </c>
      <c r="G1190" s="564">
        <v>1620</v>
      </c>
      <c r="H1190" s="564">
        <v>1531</v>
      </c>
      <c r="I1190" s="557" t="str">
        <f t="shared" si="18"/>
        <v>GooD</v>
      </c>
    </row>
    <row r="1191" spans="1:9">
      <c r="A1191" s="563" t="s">
        <v>643</v>
      </c>
      <c r="B1191" s="563">
        <v>28000</v>
      </c>
      <c r="C1191" s="564">
        <v>6</v>
      </c>
      <c r="D1191" s="564">
        <v>0.21</v>
      </c>
      <c r="E1191" s="564">
        <v>2942</v>
      </c>
      <c r="F1191" s="564">
        <v>30942</v>
      </c>
      <c r="G1191" s="564">
        <v>420</v>
      </c>
      <c r="H1191" s="564">
        <v>5087</v>
      </c>
      <c r="I1191" s="557" t="str">
        <f t="shared" si="18"/>
        <v>GooD</v>
      </c>
    </row>
    <row r="1192" spans="1:9">
      <c r="A1192" s="563" t="s">
        <v>643</v>
      </c>
      <c r="B1192" s="563">
        <v>28000</v>
      </c>
      <c r="C1192" s="564">
        <v>8</v>
      </c>
      <c r="D1192" s="564">
        <v>0.21</v>
      </c>
      <c r="E1192" s="564">
        <v>3928</v>
      </c>
      <c r="F1192" s="564">
        <v>31928</v>
      </c>
      <c r="G1192" s="564">
        <v>560</v>
      </c>
      <c r="H1192" s="564">
        <v>3921</v>
      </c>
      <c r="I1192" s="557" t="str">
        <f t="shared" si="18"/>
        <v>GooD</v>
      </c>
    </row>
    <row r="1193" spans="1:9" ht="15.75" thickBot="1">
      <c r="A1193" s="565" t="s">
        <v>643</v>
      </c>
      <c r="B1193" s="565">
        <v>28000</v>
      </c>
      <c r="C1193" s="566">
        <v>10</v>
      </c>
      <c r="D1193" s="566">
        <v>0.21</v>
      </c>
      <c r="E1193" s="566">
        <v>4910</v>
      </c>
      <c r="F1193" s="566">
        <v>32910</v>
      </c>
      <c r="G1193" s="566">
        <v>700</v>
      </c>
      <c r="H1193" s="566">
        <v>3221</v>
      </c>
      <c r="I1193" s="558" t="str">
        <f t="shared" si="18"/>
        <v>GooD</v>
      </c>
    </row>
    <row r="1194" spans="1:9" ht="15.75" thickTop="1">
      <c r="A1194" s="567" t="s">
        <v>643</v>
      </c>
      <c r="B1194" s="567">
        <v>28000</v>
      </c>
      <c r="C1194" s="568">
        <v>12</v>
      </c>
      <c r="D1194" s="568">
        <v>0.21</v>
      </c>
      <c r="E1194" s="568">
        <v>5888</v>
      </c>
      <c r="F1194" s="568">
        <v>33888</v>
      </c>
      <c r="G1194" s="568">
        <v>840</v>
      </c>
      <c r="H1194" s="568">
        <v>2754</v>
      </c>
      <c r="I1194" s="559" t="str">
        <f t="shared" si="18"/>
        <v>GooD</v>
      </c>
    </row>
    <row r="1195" spans="1:9">
      <c r="A1195" s="563" t="s">
        <v>643</v>
      </c>
      <c r="B1195" s="563">
        <v>28000</v>
      </c>
      <c r="C1195" s="564">
        <v>14</v>
      </c>
      <c r="D1195" s="564">
        <v>0.21</v>
      </c>
      <c r="E1195" s="564">
        <v>6874</v>
      </c>
      <c r="F1195" s="564">
        <v>34874</v>
      </c>
      <c r="G1195" s="564">
        <v>980</v>
      </c>
      <c r="H1195" s="564">
        <v>2421</v>
      </c>
      <c r="I1195" s="557" t="str">
        <f t="shared" si="18"/>
        <v>GooD</v>
      </c>
    </row>
    <row r="1196" spans="1:9">
      <c r="A1196" s="563" t="s">
        <v>643</v>
      </c>
      <c r="B1196" s="563">
        <v>28000</v>
      </c>
      <c r="C1196" s="564">
        <v>16</v>
      </c>
      <c r="D1196" s="564">
        <v>0.21</v>
      </c>
      <c r="E1196" s="564">
        <v>7856</v>
      </c>
      <c r="F1196" s="564">
        <v>35856</v>
      </c>
      <c r="G1196" s="564">
        <v>1120</v>
      </c>
      <c r="H1196" s="564">
        <v>2171</v>
      </c>
      <c r="I1196" s="557" t="str">
        <f t="shared" si="18"/>
        <v>GooD</v>
      </c>
    </row>
    <row r="1197" spans="1:9">
      <c r="A1197" s="563" t="s">
        <v>643</v>
      </c>
      <c r="B1197" s="563">
        <v>28000</v>
      </c>
      <c r="C1197" s="564">
        <v>18</v>
      </c>
      <c r="D1197" s="564">
        <v>0.21</v>
      </c>
      <c r="E1197" s="564">
        <v>8828</v>
      </c>
      <c r="F1197" s="564">
        <v>36828</v>
      </c>
      <c r="G1197" s="564">
        <v>1260</v>
      </c>
      <c r="H1197" s="564">
        <v>1976</v>
      </c>
      <c r="I1197" s="557" t="str">
        <f t="shared" si="18"/>
        <v>GooD</v>
      </c>
    </row>
    <row r="1198" spans="1:9" ht="15.75" thickBot="1">
      <c r="A1198" s="565" t="s">
        <v>643</v>
      </c>
      <c r="B1198" s="565">
        <v>28000</v>
      </c>
      <c r="C1198" s="566">
        <v>20</v>
      </c>
      <c r="D1198" s="566">
        <v>0.21</v>
      </c>
      <c r="E1198" s="566">
        <v>9820</v>
      </c>
      <c r="F1198" s="566">
        <v>37820</v>
      </c>
      <c r="G1198" s="566">
        <v>1400</v>
      </c>
      <c r="H1198" s="566">
        <v>1821</v>
      </c>
      <c r="I1198" s="558" t="str">
        <f t="shared" si="18"/>
        <v>GooD</v>
      </c>
    </row>
    <row r="1199" spans="1:9" ht="15.75" thickTop="1">
      <c r="A1199" s="567" t="s">
        <v>643</v>
      </c>
      <c r="B1199" s="567">
        <v>28000</v>
      </c>
      <c r="C1199" s="568">
        <v>22</v>
      </c>
      <c r="D1199" s="568">
        <v>0.21</v>
      </c>
      <c r="E1199" s="568">
        <v>10786</v>
      </c>
      <c r="F1199" s="568">
        <v>38786</v>
      </c>
      <c r="G1199" s="568">
        <v>1540</v>
      </c>
      <c r="H1199" s="568">
        <v>1693</v>
      </c>
      <c r="I1199" s="559" t="str">
        <f t="shared" si="18"/>
        <v>GooD</v>
      </c>
    </row>
    <row r="1200" spans="1:9">
      <c r="A1200" s="563" t="s">
        <v>643</v>
      </c>
      <c r="B1200" s="563">
        <v>28000</v>
      </c>
      <c r="C1200" s="564">
        <v>24</v>
      </c>
      <c r="D1200" s="564">
        <v>0.21</v>
      </c>
      <c r="E1200" s="564">
        <v>11768</v>
      </c>
      <c r="F1200" s="564">
        <v>39768</v>
      </c>
      <c r="G1200" s="564">
        <v>1680</v>
      </c>
      <c r="H1200" s="564">
        <v>1587</v>
      </c>
      <c r="I1200" s="557" t="str">
        <f t="shared" si="18"/>
        <v>GooD</v>
      </c>
    </row>
    <row r="1201" spans="1:9">
      <c r="A1201" s="563" t="s">
        <v>643</v>
      </c>
      <c r="B1201" s="563">
        <v>29000</v>
      </c>
      <c r="C1201" s="564">
        <v>6</v>
      </c>
      <c r="D1201" s="564">
        <v>0.21</v>
      </c>
      <c r="E1201" s="564">
        <v>3049</v>
      </c>
      <c r="F1201" s="564">
        <v>32049</v>
      </c>
      <c r="G1201" s="564">
        <v>435</v>
      </c>
      <c r="H1201" s="564">
        <v>5269</v>
      </c>
      <c r="I1201" s="557" t="str">
        <f t="shared" si="18"/>
        <v>GooD</v>
      </c>
    </row>
    <row r="1202" spans="1:9">
      <c r="A1202" s="563" t="s">
        <v>643</v>
      </c>
      <c r="B1202" s="563">
        <v>29000</v>
      </c>
      <c r="C1202" s="564">
        <v>8</v>
      </c>
      <c r="D1202" s="564">
        <v>0.21</v>
      </c>
      <c r="E1202" s="564">
        <v>4068</v>
      </c>
      <c r="F1202" s="564">
        <v>33068</v>
      </c>
      <c r="G1202" s="564">
        <v>580</v>
      </c>
      <c r="H1202" s="564">
        <v>4061</v>
      </c>
      <c r="I1202" s="557" t="str">
        <f t="shared" si="18"/>
        <v>GooD</v>
      </c>
    </row>
    <row r="1203" spans="1:9" ht="15.75" thickBot="1">
      <c r="A1203" s="565" t="s">
        <v>643</v>
      </c>
      <c r="B1203" s="565">
        <v>29000</v>
      </c>
      <c r="C1203" s="566">
        <v>10</v>
      </c>
      <c r="D1203" s="566">
        <v>0.21</v>
      </c>
      <c r="E1203" s="566">
        <v>5085</v>
      </c>
      <c r="F1203" s="566">
        <v>34085</v>
      </c>
      <c r="G1203" s="566">
        <v>725</v>
      </c>
      <c r="H1203" s="566">
        <v>3336</v>
      </c>
      <c r="I1203" s="558" t="str">
        <f t="shared" si="18"/>
        <v>GooD</v>
      </c>
    </row>
    <row r="1204" spans="1:9" ht="15.75" thickTop="1">
      <c r="A1204" s="567" t="s">
        <v>643</v>
      </c>
      <c r="B1204" s="567">
        <v>29000</v>
      </c>
      <c r="C1204" s="568">
        <v>12</v>
      </c>
      <c r="D1204" s="568">
        <v>0.21</v>
      </c>
      <c r="E1204" s="568">
        <v>6094</v>
      </c>
      <c r="F1204" s="568">
        <v>35094</v>
      </c>
      <c r="G1204" s="568">
        <v>870</v>
      </c>
      <c r="H1204" s="568">
        <v>2852</v>
      </c>
      <c r="I1204" s="559" t="str">
        <f t="shared" si="18"/>
        <v>GooD</v>
      </c>
    </row>
    <row r="1205" spans="1:9">
      <c r="A1205" s="563" t="s">
        <v>643</v>
      </c>
      <c r="B1205" s="563">
        <v>29000</v>
      </c>
      <c r="C1205" s="564">
        <v>14</v>
      </c>
      <c r="D1205" s="564">
        <v>0.21</v>
      </c>
      <c r="E1205" s="564">
        <v>7113</v>
      </c>
      <c r="F1205" s="564">
        <v>36113</v>
      </c>
      <c r="G1205" s="564">
        <v>1015</v>
      </c>
      <c r="H1205" s="564">
        <v>2507</v>
      </c>
      <c r="I1205" s="557" t="str">
        <f t="shared" si="18"/>
        <v>GooD</v>
      </c>
    </row>
    <row r="1206" spans="1:9">
      <c r="A1206" s="563" t="s">
        <v>643</v>
      </c>
      <c r="B1206" s="563">
        <v>29000</v>
      </c>
      <c r="C1206" s="564">
        <v>16</v>
      </c>
      <c r="D1206" s="564">
        <v>0.21</v>
      </c>
      <c r="E1206" s="564">
        <v>8128</v>
      </c>
      <c r="F1206" s="564">
        <v>37128</v>
      </c>
      <c r="G1206" s="564">
        <v>1160</v>
      </c>
      <c r="H1206" s="564">
        <v>2248</v>
      </c>
      <c r="I1206" s="557" t="str">
        <f t="shared" si="18"/>
        <v>GooD</v>
      </c>
    </row>
    <row r="1207" spans="1:9">
      <c r="A1207" s="563" t="s">
        <v>643</v>
      </c>
      <c r="B1207" s="563">
        <v>29000</v>
      </c>
      <c r="C1207" s="564">
        <v>18</v>
      </c>
      <c r="D1207" s="564">
        <v>0.21</v>
      </c>
      <c r="E1207" s="564">
        <v>9151</v>
      </c>
      <c r="F1207" s="564">
        <v>38151</v>
      </c>
      <c r="G1207" s="564">
        <v>1305</v>
      </c>
      <c r="H1207" s="564">
        <v>2047</v>
      </c>
      <c r="I1207" s="557" t="str">
        <f t="shared" si="18"/>
        <v>GooD</v>
      </c>
    </row>
    <row r="1208" spans="1:9" ht="15.75" thickBot="1">
      <c r="A1208" s="565" t="s">
        <v>643</v>
      </c>
      <c r="B1208" s="565">
        <v>29000</v>
      </c>
      <c r="C1208" s="566">
        <v>20</v>
      </c>
      <c r="D1208" s="566">
        <v>0.21</v>
      </c>
      <c r="E1208" s="566">
        <v>10170</v>
      </c>
      <c r="F1208" s="566">
        <v>39170</v>
      </c>
      <c r="G1208" s="566">
        <v>1450</v>
      </c>
      <c r="H1208" s="566">
        <v>1886</v>
      </c>
      <c r="I1208" s="558" t="str">
        <f t="shared" si="18"/>
        <v>GooD</v>
      </c>
    </row>
    <row r="1209" spans="1:9" ht="15.75" thickTop="1">
      <c r="A1209" s="567" t="s">
        <v>643</v>
      </c>
      <c r="B1209" s="567">
        <v>29000</v>
      </c>
      <c r="C1209" s="568">
        <v>22</v>
      </c>
      <c r="D1209" s="568">
        <v>0.21</v>
      </c>
      <c r="E1209" s="568">
        <v>11183</v>
      </c>
      <c r="F1209" s="568">
        <v>40183</v>
      </c>
      <c r="G1209" s="568">
        <v>1595</v>
      </c>
      <c r="H1209" s="568">
        <v>1754</v>
      </c>
      <c r="I1209" s="559" t="str">
        <f t="shared" si="18"/>
        <v>GooD</v>
      </c>
    </row>
    <row r="1210" spans="1:9">
      <c r="A1210" s="563" t="s">
        <v>643</v>
      </c>
      <c r="B1210" s="563">
        <v>29000</v>
      </c>
      <c r="C1210" s="564">
        <v>24</v>
      </c>
      <c r="D1210" s="564">
        <v>0.21</v>
      </c>
      <c r="E1210" s="564">
        <v>12196</v>
      </c>
      <c r="F1210" s="564">
        <v>41196</v>
      </c>
      <c r="G1210" s="564">
        <v>1740</v>
      </c>
      <c r="H1210" s="564">
        <v>1644</v>
      </c>
      <c r="I1210" s="557" t="str">
        <f t="shared" si="18"/>
        <v>GooD</v>
      </c>
    </row>
    <row r="1211" spans="1:9">
      <c r="A1211" s="563" t="s">
        <v>643</v>
      </c>
      <c r="B1211" s="563">
        <v>30000</v>
      </c>
      <c r="C1211" s="564">
        <v>6</v>
      </c>
      <c r="D1211" s="564">
        <v>0.21</v>
      </c>
      <c r="E1211" s="564">
        <v>3156</v>
      </c>
      <c r="F1211" s="564">
        <v>33156</v>
      </c>
      <c r="G1211" s="564">
        <v>450</v>
      </c>
      <c r="H1211" s="564">
        <v>5451</v>
      </c>
      <c r="I1211" s="557" t="str">
        <f t="shared" si="18"/>
        <v>GooD</v>
      </c>
    </row>
    <row r="1212" spans="1:9">
      <c r="A1212" s="563" t="s">
        <v>643</v>
      </c>
      <c r="B1212" s="563">
        <v>30000</v>
      </c>
      <c r="C1212" s="564">
        <v>8</v>
      </c>
      <c r="D1212" s="564">
        <v>0.21</v>
      </c>
      <c r="E1212" s="564">
        <v>4208</v>
      </c>
      <c r="F1212" s="564">
        <v>34208</v>
      </c>
      <c r="G1212" s="564">
        <v>600</v>
      </c>
      <c r="H1212" s="564">
        <v>4201</v>
      </c>
      <c r="I1212" s="557" t="str">
        <f t="shared" si="18"/>
        <v>GooD</v>
      </c>
    </row>
    <row r="1213" spans="1:9" ht="15.75" thickBot="1">
      <c r="A1213" s="565" t="s">
        <v>643</v>
      </c>
      <c r="B1213" s="565">
        <v>30000</v>
      </c>
      <c r="C1213" s="566">
        <v>10</v>
      </c>
      <c r="D1213" s="566">
        <v>0.21</v>
      </c>
      <c r="E1213" s="566">
        <v>5260</v>
      </c>
      <c r="F1213" s="566">
        <v>35260</v>
      </c>
      <c r="G1213" s="566">
        <v>750</v>
      </c>
      <c r="H1213" s="566">
        <v>3451</v>
      </c>
      <c r="I1213" s="558" t="str">
        <f t="shared" si="18"/>
        <v>GooD</v>
      </c>
    </row>
    <row r="1214" spans="1:9" ht="15.75" thickTop="1">
      <c r="A1214" s="567" t="s">
        <v>643</v>
      </c>
      <c r="B1214" s="567">
        <v>30000</v>
      </c>
      <c r="C1214" s="568">
        <v>12</v>
      </c>
      <c r="D1214" s="568">
        <v>0.21</v>
      </c>
      <c r="E1214" s="568">
        <v>6312</v>
      </c>
      <c r="F1214" s="568">
        <v>36312</v>
      </c>
      <c r="G1214" s="568">
        <v>900</v>
      </c>
      <c r="H1214" s="568">
        <v>2951</v>
      </c>
      <c r="I1214" s="559" t="str">
        <f t="shared" si="18"/>
        <v>GooD</v>
      </c>
    </row>
    <row r="1215" spans="1:9">
      <c r="A1215" s="563" t="s">
        <v>643</v>
      </c>
      <c r="B1215" s="563">
        <v>30000</v>
      </c>
      <c r="C1215" s="564">
        <v>14</v>
      </c>
      <c r="D1215" s="564">
        <v>0.21</v>
      </c>
      <c r="E1215" s="564">
        <v>7352</v>
      </c>
      <c r="F1215" s="564">
        <v>37352</v>
      </c>
      <c r="G1215" s="564">
        <v>1050</v>
      </c>
      <c r="H1215" s="564">
        <v>2593</v>
      </c>
      <c r="I1215" s="557" t="str">
        <f t="shared" si="18"/>
        <v>GooD</v>
      </c>
    </row>
    <row r="1216" spans="1:9">
      <c r="A1216" s="563" t="s">
        <v>643</v>
      </c>
      <c r="B1216" s="563">
        <v>30000</v>
      </c>
      <c r="C1216" s="564">
        <v>16</v>
      </c>
      <c r="D1216" s="564">
        <v>0.21</v>
      </c>
      <c r="E1216" s="564">
        <v>8416</v>
      </c>
      <c r="F1216" s="564">
        <v>38416</v>
      </c>
      <c r="G1216" s="564">
        <v>1200</v>
      </c>
      <c r="H1216" s="564">
        <v>2326</v>
      </c>
      <c r="I1216" s="557" t="str">
        <f t="shared" si="18"/>
        <v>GooD</v>
      </c>
    </row>
    <row r="1217" spans="1:9">
      <c r="A1217" s="563" t="s">
        <v>643</v>
      </c>
      <c r="B1217" s="563">
        <v>30000</v>
      </c>
      <c r="C1217" s="564">
        <v>18</v>
      </c>
      <c r="D1217" s="564">
        <v>0.21</v>
      </c>
      <c r="E1217" s="564">
        <v>9456</v>
      </c>
      <c r="F1217" s="564">
        <v>39456</v>
      </c>
      <c r="G1217" s="564">
        <v>1350</v>
      </c>
      <c r="H1217" s="564">
        <v>2117</v>
      </c>
      <c r="I1217" s="557" t="str">
        <f t="shared" si="18"/>
        <v>GooD</v>
      </c>
    </row>
    <row r="1218" spans="1:9" ht="15.75" thickBot="1">
      <c r="A1218" s="565" t="s">
        <v>643</v>
      </c>
      <c r="B1218" s="565">
        <v>30000</v>
      </c>
      <c r="C1218" s="566">
        <v>20</v>
      </c>
      <c r="D1218" s="566">
        <v>0.21</v>
      </c>
      <c r="E1218" s="566">
        <v>10520</v>
      </c>
      <c r="F1218" s="566">
        <v>40520</v>
      </c>
      <c r="G1218" s="566">
        <v>1500</v>
      </c>
      <c r="H1218" s="566">
        <v>1951</v>
      </c>
      <c r="I1218" s="558" t="str">
        <f t="shared" si="18"/>
        <v>GooD</v>
      </c>
    </row>
    <row r="1219" spans="1:9" ht="15.75" thickTop="1">
      <c r="A1219" s="567" t="s">
        <v>643</v>
      </c>
      <c r="B1219" s="567">
        <v>30000</v>
      </c>
      <c r="C1219" s="568">
        <v>22</v>
      </c>
      <c r="D1219" s="568">
        <v>0.21</v>
      </c>
      <c r="E1219" s="568">
        <v>11558</v>
      </c>
      <c r="F1219" s="568">
        <v>41558</v>
      </c>
      <c r="G1219" s="568">
        <v>1650</v>
      </c>
      <c r="H1219" s="568">
        <v>1814</v>
      </c>
      <c r="I1219" s="559" t="str">
        <f t="shared" si="18"/>
        <v>GooD</v>
      </c>
    </row>
    <row r="1220" spans="1:9">
      <c r="A1220" s="563" t="s">
        <v>643</v>
      </c>
      <c r="B1220" s="563">
        <v>30000</v>
      </c>
      <c r="C1220" s="564">
        <v>24</v>
      </c>
      <c r="D1220" s="564">
        <v>0.21</v>
      </c>
      <c r="E1220" s="564">
        <v>12624</v>
      </c>
      <c r="F1220" s="564">
        <v>42624</v>
      </c>
      <c r="G1220" s="564">
        <v>1800</v>
      </c>
      <c r="H1220" s="564">
        <v>1701</v>
      </c>
      <c r="I1220" s="557" t="str">
        <f t="shared" si="18"/>
        <v>GooD</v>
      </c>
    </row>
    <row r="1221" spans="1:9">
      <c r="A1221" s="563" t="s">
        <v>643</v>
      </c>
      <c r="B1221" s="563">
        <v>31000</v>
      </c>
      <c r="C1221" s="564">
        <v>6</v>
      </c>
      <c r="D1221" s="564">
        <v>0.21</v>
      </c>
      <c r="E1221" s="564">
        <v>3257</v>
      </c>
      <c r="F1221" s="564">
        <v>34257</v>
      </c>
      <c r="G1221" s="564">
        <v>465</v>
      </c>
      <c r="H1221" s="564">
        <v>5632</v>
      </c>
      <c r="I1221" s="557" t="str">
        <f t="shared" si="18"/>
        <v>GooD</v>
      </c>
    </row>
    <row r="1222" spans="1:9">
      <c r="A1222" s="563" t="s">
        <v>643</v>
      </c>
      <c r="B1222" s="563">
        <v>31000</v>
      </c>
      <c r="C1222" s="564">
        <v>8</v>
      </c>
      <c r="D1222" s="564">
        <v>0.21</v>
      </c>
      <c r="E1222" s="564">
        <v>4348</v>
      </c>
      <c r="F1222" s="564">
        <v>35348</v>
      </c>
      <c r="G1222" s="564">
        <v>620</v>
      </c>
      <c r="H1222" s="564">
        <v>4341</v>
      </c>
      <c r="I1222" s="557" t="str">
        <f t="shared" si="18"/>
        <v>GooD</v>
      </c>
    </row>
    <row r="1223" spans="1:9" ht="15.75" thickBot="1">
      <c r="A1223" s="565" t="s">
        <v>643</v>
      </c>
      <c r="B1223" s="565">
        <v>31000</v>
      </c>
      <c r="C1223" s="566">
        <v>10</v>
      </c>
      <c r="D1223" s="566">
        <v>0.21</v>
      </c>
      <c r="E1223" s="566">
        <v>5435</v>
      </c>
      <c r="F1223" s="566">
        <v>36435</v>
      </c>
      <c r="G1223" s="566">
        <v>775</v>
      </c>
      <c r="H1223" s="566">
        <v>3566</v>
      </c>
      <c r="I1223" s="558" t="str">
        <f t="shared" si="18"/>
        <v>GooD</v>
      </c>
    </row>
    <row r="1224" spans="1:9" ht="15.75" thickTop="1">
      <c r="A1224" s="567" t="s">
        <v>643</v>
      </c>
      <c r="B1224" s="567">
        <v>31000</v>
      </c>
      <c r="C1224" s="568">
        <v>12</v>
      </c>
      <c r="D1224" s="568">
        <v>0.21</v>
      </c>
      <c r="E1224" s="568">
        <v>6518</v>
      </c>
      <c r="F1224" s="568">
        <v>37518</v>
      </c>
      <c r="G1224" s="568">
        <v>930</v>
      </c>
      <c r="H1224" s="568">
        <v>3049</v>
      </c>
      <c r="I1224" s="559" t="str">
        <f t="shared" si="18"/>
        <v>GooD</v>
      </c>
    </row>
    <row r="1225" spans="1:9">
      <c r="A1225" s="563" t="s">
        <v>643</v>
      </c>
      <c r="B1225" s="563">
        <v>31000</v>
      </c>
      <c r="C1225" s="564">
        <v>14</v>
      </c>
      <c r="D1225" s="564">
        <v>0.21</v>
      </c>
      <c r="E1225" s="564">
        <v>7605</v>
      </c>
      <c r="F1225" s="564">
        <v>38605</v>
      </c>
      <c r="G1225" s="564">
        <v>1085</v>
      </c>
      <c r="H1225" s="564">
        <v>2680</v>
      </c>
      <c r="I1225" s="557" t="str">
        <f t="shared" si="18"/>
        <v>GooD</v>
      </c>
    </row>
    <row r="1226" spans="1:9">
      <c r="A1226" s="563" t="s">
        <v>643</v>
      </c>
      <c r="B1226" s="563">
        <v>31000</v>
      </c>
      <c r="C1226" s="564">
        <v>16</v>
      </c>
      <c r="D1226" s="564">
        <v>0.21</v>
      </c>
      <c r="E1226" s="564">
        <v>8688</v>
      </c>
      <c r="F1226" s="564">
        <v>39688</v>
      </c>
      <c r="G1226" s="564">
        <v>1240</v>
      </c>
      <c r="H1226" s="564">
        <v>2403</v>
      </c>
      <c r="I1226" s="557" t="str">
        <f t="shared" si="18"/>
        <v>GooD</v>
      </c>
    </row>
    <row r="1227" spans="1:9">
      <c r="A1227" s="563" t="s">
        <v>643</v>
      </c>
      <c r="B1227" s="563">
        <v>31000</v>
      </c>
      <c r="C1227" s="564">
        <v>18</v>
      </c>
      <c r="D1227" s="564">
        <v>0.21</v>
      </c>
      <c r="E1227" s="564">
        <v>9779</v>
      </c>
      <c r="F1227" s="564">
        <v>40779</v>
      </c>
      <c r="G1227" s="564">
        <v>1395</v>
      </c>
      <c r="H1227" s="564">
        <v>2188</v>
      </c>
      <c r="I1227" s="557" t="str">
        <f t="shared" si="18"/>
        <v>GooD</v>
      </c>
    </row>
    <row r="1228" spans="1:9" ht="15.75" thickBot="1">
      <c r="A1228" s="565" t="s">
        <v>643</v>
      </c>
      <c r="B1228" s="565">
        <v>31000</v>
      </c>
      <c r="C1228" s="566">
        <v>20</v>
      </c>
      <c r="D1228" s="566">
        <v>0.21</v>
      </c>
      <c r="E1228" s="566">
        <v>10870</v>
      </c>
      <c r="F1228" s="566">
        <v>41870</v>
      </c>
      <c r="G1228" s="566">
        <v>1550</v>
      </c>
      <c r="H1228" s="566">
        <v>2016</v>
      </c>
      <c r="I1228" s="558" t="str">
        <f t="shared" si="18"/>
        <v>GooD</v>
      </c>
    </row>
    <row r="1229" spans="1:9" ht="15.75" thickTop="1">
      <c r="A1229" s="567" t="s">
        <v>643</v>
      </c>
      <c r="B1229" s="567">
        <v>31000</v>
      </c>
      <c r="C1229" s="568">
        <v>22</v>
      </c>
      <c r="D1229" s="568">
        <v>0.21</v>
      </c>
      <c r="E1229" s="568">
        <v>11955</v>
      </c>
      <c r="F1229" s="568">
        <v>42955</v>
      </c>
      <c r="G1229" s="568">
        <v>1705</v>
      </c>
      <c r="H1229" s="568">
        <v>1875</v>
      </c>
      <c r="I1229" s="559" t="str">
        <f t="shared" si="18"/>
        <v>GooD</v>
      </c>
    </row>
    <row r="1230" spans="1:9">
      <c r="A1230" s="563" t="s">
        <v>643</v>
      </c>
      <c r="B1230" s="563">
        <v>31000</v>
      </c>
      <c r="C1230" s="564">
        <v>24</v>
      </c>
      <c r="D1230" s="564">
        <v>0.21</v>
      </c>
      <c r="E1230" s="564">
        <v>13028</v>
      </c>
      <c r="F1230" s="564">
        <v>44028</v>
      </c>
      <c r="G1230" s="564">
        <v>1860</v>
      </c>
      <c r="H1230" s="564">
        <v>1757</v>
      </c>
      <c r="I1230" s="557" t="str">
        <f t="shared" si="18"/>
        <v>GooD</v>
      </c>
    </row>
    <row r="1231" spans="1:9">
      <c r="A1231" s="563" t="s">
        <v>643</v>
      </c>
      <c r="B1231" s="563">
        <v>32000</v>
      </c>
      <c r="C1231" s="564">
        <v>6</v>
      </c>
      <c r="D1231" s="564">
        <v>0.21</v>
      </c>
      <c r="E1231" s="564">
        <v>3364</v>
      </c>
      <c r="F1231" s="564">
        <v>35364</v>
      </c>
      <c r="G1231" s="564">
        <v>480</v>
      </c>
      <c r="H1231" s="564">
        <v>5814</v>
      </c>
      <c r="I1231" s="557" t="str">
        <f t="shared" si="18"/>
        <v>GooD</v>
      </c>
    </row>
    <row r="1232" spans="1:9">
      <c r="A1232" s="563" t="s">
        <v>643</v>
      </c>
      <c r="B1232" s="563">
        <v>32000</v>
      </c>
      <c r="C1232" s="564">
        <v>8</v>
      </c>
      <c r="D1232" s="564">
        <v>0.21</v>
      </c>
      <c r="E1232" s="564">
        <v>4488</v>
      </c>
      <c r="F1232" s="564">
        <v>36488</v>
      </c>
      <c r="G1232" s="564">
        <v>640</v>
      </c>
      <c r="H1232" s="564">
        <v>4481</v>
      </c>
      <c r="I1232" s="557" t="str">
        <f t="shared" si="18"/>
        <v>GooD</v>
      </c>
    </row>
    <row r="1233" spans="1:9" ht="15.75" thickBot="1">
      <c r="A1233" s="565" t="s">
        <v>643</v>
      </c>
      <c r="B1233" s="565">
        <v>32000</v>
      </c>
      <c r="C1233" s="566">
        <v>10</v>
      </c>
      <c r="D1233" s="566">
        <v>0.21</v>
      </c>
      <c r="E1233" s="566">
        <v>5610</v>
      </c>
      <c r="F1233" s="566">
        <v>37610</v>
      </c>
      <c r="G1233" s="566">
        <v>800</v>
      </c>
      <c r="H1233" s="566">
        <v>3681</v>
      </c>
      <c r="I1233" s="558" t="str">
        <f t="shared" si="18"/>
        <v>GooD</v>
      </c>
    </row>
    <row r="1234" spans="1:9" ht="15.75" thickTop="1">
      <c r="A1234" s="567" t="s">
        <v>643</v>
      </c>
      <c r="B1234" s="567">
        <v>32000</v>
      </c>
      <c r="C1234" s="568">
        <v>12</v>
      </c>
      <c r="D1234" s="568">
        <v>0.21</v>
      </c>
      <c r="E1234" s="568">
        <v>6724</v>
      </c>
      <c r="F1234" s="568">
        <v>38724</v>
      </c>
      <c r="G1234" s="568">
        <v>960</v>
      </c>
      <c r="H1234" s="568">
        <v>3147</v>
      </c>
      <c r="I1234" s="559" t="str">
        <f t="shared" si="18"/>
        <v>GooD</v>
      </c>
    </row>
    <row r="1235" spans="1:9">
      <c r="A1235" s="563" t="s">
        <v>643</v>
      </c>
      <c r="B1235" s="563">
        <v>32000</v>
      </c>
      <c r="C1235" s="564">
        <v>14</v>
      </c>
      <c r="D1235" s="564">
        <v>0.21</v>
      </c>
      <c r="E1235" s="564">
        <v>7844</v>
      </c>
      <c r="F1235" s="564">
        <v>39844</v>
      </c>
      <c r="G1235" s="564">
        <v>1120</v>
      </c>
      <c r="H1235" s="564">
        <v>2766</v>
      </c>
      <c r="I1235" s="557" t="str">
        <f t="shared" ref="I1235:I1338" si="19">IF(((H1235*C1235)+G1235)=F1235,"GooD","لالالالالالالا")</f>
        <v>GooD</v>
      </c>
    </row>
    <row r="1236" spans="1:9">
      <c r="A1236" s="563" t="s">
        <v>643</v>
      </c>
      <c r="B1236" s="563">
        <v>32000</v>
      </c>
      <c r="C1236" s="564">
        <v>16</v>
      </c>
      <c r="D1236" s="564">
        <v>0.21</v>
      </c>
      <c r="E1236" s="564">
        <v>8976</v>
      </c>
      <c r="F1236" s="564">
        <v>40976</v>
      </c>
      <c r="G1236" s="564">
        <v>1280</v>
      </c>
      <c r="H1236" s="564">
        <v>2481</v>
      </c>
      <c r="I1236" s="557" t="str">
        <f t="shared" si="19"/>
        <v>GooD</v>
      </c>
    </row>
    <row r="1237" spans="1:9">
      <c r="A1237" s="563" t="s">
        <v>643</v>
      </c>
      <c r="B1237" s="563">
        <v>32000</v>
      </c>
      <c r="C1237" s="564">
        <v>18</v>
      </c>
      <c r="D1237" s="564">
        <v>0.21</v>
      </c>
      <c r="E1237" s="564">
        <v>10084</v>
      </c>
      <c r="F1237" s="564">
        <v>42084</v>
      </c>
      <c r="G1237" s="564">
        <v>1440</v>
      </c>
      <c r="H1237" s="564">
        <v>2258</v>
      </c>
      <c r="I1237" s="557" t="str">
        <f t="shared" si="19"/>
        <v>GooD</v>
      </c>
    </row>
    <row r="1238" spans="1:9" ht="15.75" thickBot="1">
      <c r="A1238" s="565" t="s">
        <v>643</v>
      </c>
      <c r="B1238" s="565">
        <v>32000</v>
      </c>
      <c r="C1238" s="566">
        <v>20</v>
      </c>
      <c r="D1238" s="566">
        <v>0.21</v>
      </c>
      <c r="E1238" s="566">
        <v>11220</v>
      </c>
      <c r="F1238" s="566">
        <v>43220</v>
      </c>
      <c r="G1238" s="566">
        <v>1600</v>
      </c>
      <c r="H1238" s="566">
        <v>2081</v>
      </c>
      <c r="I1238" s="558" t="str">
        <f t="shared" si="19"/>
        <v>GooD</v>
      </c>
    </row>
    <row r="1239" spans="1:9" ht="15.75" thickTop="1">
      <c r="A1239" s="567" t="s">
        <v>643</v>
      </c>
      <c r="B1239" s="567">
        <v>32000</v>
      </c>
      <c r="C1239" s="568">
        <v>22</v>
      </c>
      <c r="D1239" s="568">
        <v>0.21</v>
      </c>
      <c r="E1239" s="568">
        <v>12330</v>
      </c>
      <c r="F1239" s="568">
        <v>44330</v>
      </c>
      <c r="G1239" s="568">
        <v>1760</v>
      </c>
      <c r="H1239" s="568">
        <v>1935</v>
      </c>
      <c r="I1239" s="559" t="str">
        <f t="shared" si="19"/>
        <v>GooD</v>
      </c>
    </row>
    <row r="1240" spans="1:9">
      <c r="A1240" s="563" t="s">
        <v>643</v>
      </c>
      <c r="B1240" s="563">
        <v>32000</v>
      </c>
      <c r="C1240" s="564">
        <v>24</v>
      </c>
      <c r="D1240" s="564">
        <v>0.21</v>
      </c>
      <c r="E1240" s="564">
        <v>13456</v>
      </c>
      <c r="F1240" s="564">
        <v>45456</v>
      </c>
      <c r="G1240" s="564">
        <v>1920</v>
      </c>
      <c r="H1240" s="564">
        <v>1814</v>
      </c>
      <c r="I1240" s="557" t="str">
        <f t="shared" si="19"/>
        <v>GooD</v>
      </c>
    </row>
    <row r="1241" spans="1:9">
      <c r="A1241" s="563" t="s">
        <v>643</v>
      </c>
      <c r="B1241" s="563">
        <v>33000</v>
      </c>
      <c r="C1241" s="564">
        <v>6</v>
      </c>
      <c r="D1241" s="564">
        <v>0.21</v>
      </c>
      <c r="E1241" s="564">
        <v>3471</v>
      </c>
      <c r="F1241" s="564">
        <v>36471</v>
      </c>
      <c r="G1241" s="564">
        <v>495</v>
      </c>
      <c r="H1241" s="564">
        <v>5996</v>
      </c>
      <c r="I1241" s="557" t="str">
        <f t="shared" si="19"/>
        <v>GooD</v>
      </c>
    </row>
    <row r="1242" spans="1:9">
      <c r="A1242" s="563" t="s">
        <v>643</v>
      </c>
      <c r="B1242" s="563">
        <v>33000</v>
      </c>
      <c r="C1242" s="564">
        <v>8</v>
      </c>
      <c r="D1242" s="564">
        <v>0.21</v>
      </c>
      <c r="E1242" s="564">
        <v>4628</v>
      </c>
      <c r="F1242" s="564">
        <v>37628</v>
      </c>
      <c r="G1242" s="564">
        <v>660</v>
      </c>
      <c r="H1242" s="564">
        <v>4621</v>
      </c>
      <c r="I1242" s="557" t="str">
        <f t="shared" si="19"/>
        <v>GooD</v>
      </c>
    </row>
    <row r="1243" spans="1:9" ht="15.75" thickBot="1">
      <c r="A1243" s="565" t="s">
        <v>643</v>
      </c>
      <c r="B1243" s="565">
        <v>33000</v>
      </c>
      <c r="C1243" s="566">
        <v>10</v>
      </c>
      <c r="D1243" s="566">
        <v>0.21</v>
      </c>
      <c r="E1243" s="566">
        <v>5785</v>
      </c>
      <c r="F1243" s="566">
        <v>38785</v>
      </c>
      <c r="G1243" s="566">
        <v>825</v>
      </c>
      <c r="H1243" s="566">
        <v>3796</v>
      </c>
      <c r="I1243" s="558" t="str">
        <f t="shared" si="19"/>
        <v>GooD</v>
      </c>
    </row>
    <row r="1244" spans="1:9" ht="15.75" thickTop="1">
      <c r="A1244" s="567" t="s">
        <v>643</v>
      </c>
      <c r="B1244" s="567">
        <v>33000</v>
      </c>
      <c r="C1244" s="568">
        <v>12</v>
      </c>
      <c r="D1244" s="568">
        <v>0.21</v>
      </c>
      <c r="E1244" s="568">
        <v>6942</v>
      </c>
      <c r="F1244" s="568">
        <v>39942</v>
      </c>
      <c r="G1244" s="568">
        <v>990</v>
      </c>
      <c r="H1244" s="568">
        <v>3246</v>
      </c>
      <c r="I1244" s="559" t="str">
        <f t="shared" si="19"/>
        <v>GooD</v>
      </c>
    </row>
    <row r="1245" spans="1:9">
      <c r="A1245" s="563" t="s">
        <v>643</v>
      </c>
      <c r="B1245" s="563">
        <v>33000</v>
      </c>
      <c r="C1245" s="564">
        <v>14</v>
      </c>
      <c r="D1245" s="564">
        <v>0.21</v>
      </c>
      <c r="E1245" s="564">
        <v>8097</v>
      </c>
      <c r="F1245" s="564">
        <v>41097</v>
      </c>
      <c r="G1245" s="564">
        <v>1155</v>
      </c>
      <c r="H1245" s="564">
        <v>2853</v>
      </c>
      <c r="I1245" s="557" t="str">
        <f t="shared" si="19"/>
        <v>GooD</v>
      </c>
    </row>
    <row r="1246" spans="1:9">
      <c r="A1246" s="563" t="s">
        <v>643</v>
      </c>
      <c r="B1246" s="563">
        <v>33000</v>
      </c>
      <c r="C1246" s="564">
        <v>16</v>
      </c>
      <c r="D1246" s="564">
        <v>0.21</v>
      </c>
      <c r="E1246" s="564">
        <v>9248</v>
      </c>
      <c r="F1246" s="564">
        <v>42248</v>
      </c>
      <c r="G1246" s="564">
        <v>1320</v>
      </c>
      <c r="H1246" s="564">
        <v>2558</v>
      </c>
      <c r="I1246" s="557" t="str">
        <f t="shared" si="19"/>
        <v>GooD</v>
      </c>
    </row>
    <row r="1247" spans="1:9">
      <c r="A1247" s="563" t="s">
        <v>643</v>
      </c>
      <c r="B1247" s="563">
        <v>33000</v>
      </c>
      <c r="C1247" s="564">
        <v>18</v>
      </c>
      <c r="D1247" s="564">
        <v>0.21</v>
      </c>
      <c r="E1247" s="564">
        <v>10407</v>
      </c>
      <c r="F1247" s="564">
        <v>43407</v>
      </c>
      <c r="G1247" s="564">
        <v>1485</v>
      </c>
      <c r="H1247" s="564">
        <v>2329</v>
      </c>
      <c r="I1247" s="557" t="str">
        <f t="shared" si="19"/>
        <v>GooD</v>
      </c>
    </row>
    <row r="1248" spans="1:9" ht="15.75" thickBot="1">
      <c r="A1248" s="565" t="s">
        <v>643</v>
      </c>
      <c r="B1248" s="565">
        <v>33000</v>
      </c>
      <c r="C1248" s="566">
        <v>20</v>
      </c>
      <c r="D1248" s="566">
        <v>0.21</v>
      </c>
      <c r="E1248" s="566">
        <v>11570</v>
      </c>
      <c r="F1248" s="566">
        <v>44570</v>
      </c>
      <c r="G1248" s="566">
        <v>1650</v>
      </c>
      <c r="H1248" s="566">
        <v>2146</v>
      </c>
      <c r="I1248" s="558" t="str">
        <f t="shared" si="19"/>
        <v>GooD</v>
      </c>
    </row>
    <row r="1249" spans="1:9" ht="15.75" thickTop="1">
      <c r="A1249" s="567" t="s">
        <v>643</v>
      </c>
      <c r="B1249" s="567">
        <v>33000</v>
      </c>
      <c r="C1249" s="568">
        <v>22</v>
      </c>
      <c r="D1249" s="568">
        <v>0.21</v>
      </c>
      <c r="E1249" s="568">
        <v>12727</v>
      </c>
      <c r="F1249" s="568">
        <v>45727</v>
      </c>
      <c r="G1249" s="568">
        <v>1815</v>
      </c>
      <c r="H1249" s="568">
        <v>1996</v>
      </c>
      <c r="I1249" s="559" t="str">
        <f t="shared" si="19"/>
        <v>GooD</v>
      </c>
    </row>
    <row r="1250" spans="1:9">
      <c r="A1250" s="563" t="s">
        <v>643</v>
      </c>
      <c r="B1250" s="563">
        <v>33000</v>
      </c>
      <c r="C1250" s="564">
        <v>24</v>
      </c>
      <c r="D1250" s="564">
        <v>0.21</v>
      </c>
      <c r="E1250" s="564">
        <v>13884</v>
      </c>
      <c r="F1250" s="564">
        <v>46884</v>
      </c>
      <c r="G1250" s="564">
        <v>1980</v>
      </c>
      <c r="H1250" s="564">
        <v>1871</v>
      </c>
      <c r="I1250" s="557" t="str">
        <f t="shared" si="19"/>
        <v>GooD</v>
      </c>
    </row>
    <row r="1251" spans="1:9">
      <c r="A1251" s="563" t="s">
        <v>643</v>
      </c>
      <c r="B1251" s="563">
        <v>34000</v>
      </c>
      <c r="C1251" s="564">
        <v>6</v>
      </c>
      <c r="D1251" s="564">
        <v>0.21</v>
      </c>
      <c r="E1251" s="564">
        <v>3572</v>
      </c>
      <c r="F1251" s="564">
        <v>37572</v>
      </c>
      <c r="G1251" s="564">
        <v>510</v>
      </c>
      <c r="H1251" s="564">
        <v>6177</v>
      </c>
      <c r="I1251" s="557" t="str">
        <f t="shared" si="19"/>
        <v>GooD</v>
      </c>
    </row>
    <row r="1252" spans="1:9">
      <c r="A1252" s="563" t="s">
        <v>643</v>
      </c>
      <c r="B1252" s="563">
        <v>34000</v>
      </c>
      <c r="C1252" s="564">
        <v>8</v>
      </c>
      <c r="D1252" s="564">
        <v>0.21</v>
      </c>
      <c r="E1252" s="564">
        <v>4768</v>
      </c>
      <c r="F1252" s="564">
        <v>38768</v>
      </c>
      <c r="G1252" s="564">
        <v>680</v>
      </c>
      <c r="H1252" s="564">
        <v>4761</v>
      </c>
      <c r="I1252" s="557" t="str">
        <f t="shared" si="19"/>
        <v>GooD</v>
      </c>
    </row>
    <row r="1253" spans="1:9" ht="15.75" thickBot="1">
      <c r="A1253" s="565" t="s">
        <v>643</v>
      </c>
      <c r="B1253" s="565">
        <v>34000</v>
      </c>
      <c r="C1253" s="566">
        <v>10</v>
      </c>
      <c r="D1253" s="566">
        <v>0.21</v>
      </c>
      <c r="E1253" s="566">
        <v>5960</v>
      </c>
      <c r="F1253" s="566">
        <v>39960</v>
      </c>
      <c r="G1253" s="566">
        <v>850</v>
      </c>
      <c r="H1253" s="566">
        <v>3911</v>
      </c>
      <c r="I1253" s="558" t="str">
        <f t="shared" si="19"/>
        <v>GooD</v>
      </c>
    </row>
    <row r="1254" spans="1:9" ht="15.75" thickTop="1">
      <c r="A1254" s="567" t="s">
        <v>643</v>
      </c>
      <c r="B1254" s="567">
        <v>34000</v>
      </c>
      <c r="C1254" s="568">
        <v>12</v>
      </c>
      <c r="D1254" s="568">
        <v>0.21</v>
      </c>
      <c r="E1254" s="568">
        <v>7148</v>
      </c>
      <c r="F1254" s="568">
        <v>41148</v>
      </c>
      <c r="G1254" s="568">
        <v>1020</v>
      </c>
      <c r="H1254" s="568">
        <v>3344</v>
      </c>
      <c r="I1254" s="559" t="str">
        <f t="shared" si="19"/>
        <v>GooD</v>
      </c>
    </row>
    <row r="1255" spans="1:9">
      <c r="A1255" s="563" t="s">
        <v>643</v>
      </c>
      <c r="B1255" s="563">
        <v>34000</v>
      </c>
      <c r="C1255" s="564">
        <v>14</v>
      </c>
      <c r="D1255" s="564">
        <v>0.21</v>
      </c>
      <c r="E1255" s="564">
        <v>8336</v>
      </c>
      <c r="F1255" s="564">
        <v>42336</v>
      </c>
      <c r="G1255" s="564">
        <v>1190</v>
      </c>
      <c r="H1255" s="564">
        <v>2939</v>
      </c>
      <c r="I1255" s="557" t="str">
        <f t="shared" si="19"/>
        <v>GooD</v>
      </c>
    </row>
    <row r="1256" spans="1:9">
      <c r="A1256" s="563" t="s">
        <v>643</v>
      </c>
      <c r="B1256" s="563">
        <v>34000</v>
      </c>
      <c r="C1256" s="564">
        <v>16</v>
      </c>
      <c r="D1256" s="564">
        <v>0.21</v>
      </c>
      <c r="E1256" s="564">
        <v>9536</v>
      </c>
      <c r="F1256" s="564">
        <v>43536</v>
      </c>
      <c r="G1256" s="564">
        <v>1360</v>
      </c>
      <c r="H1256" s="564">
        <v>2636</v>
      </c>
      <c r="I1256" s="557" t="str">
        <f t="shared" si="19"/>
        <v>GooD</v>
      </c>
    </row>
    <row r="1257" spans="1:9">
      <c r="A1257" s="563" t="s">
        <v>643</v>
      </c>
      <c r="B1257" s="563">
        <v>34000</v>
      </c>
      <c r="C1257" s="564">
        <v>18</v>
      </c>
      <c r="D1257" s="564">
        <v>0.21</v>
      </c>
      <c r="E1257" s="564">
        <v>10712</v>
      </c>
      <c r="F1257" s="564">
        <v>44712</v>
      </c>
      <c r="G1257" s="564">
        <v>1530</v>
      </c>
      <c r="H1257" s="564">
        <v>2399</v>
      </c>
      <c r="I1257" s="557" t="str">
        <f t="shared" si="19"/>
        <v>GooD</v>
      </c>
    </row>
    <row r="1258" spans="1:9" ht="15.75" thickBot="1">
      <c r="A1258" s="565" t="s">
        <v>643</v>
      </c>
      <c r="B1258" s="565">
        <v>34000</v>
      </c>
      <c r="C1258" s="566">
        <v>20</v>
      </c>
      <c r="D1258" s="566">
        <v>0.21</v>
      </c>
      <c r="E1258" s="566">
        <v>11920</v>
      </c>
      <c r="F1258" s="566">
        <v>45920</v>
      </c>
      <c r="G1258" s="566">
        <v>1700</v>
      </c>
      <c r="H1258" s="566">
        <v>2211</v>
      </c>
      <c r="I1258" s="558" t="str">
        <f t="shared" si="19"/>
        <v>GooD</v>
      </c>
    </row>
    <row r="1259" spans="1:9" ht="15.75" thickTop="1">
      <c r="A1259" s="567" t="s">
        <v>643</v>
      </c>
      <c r="B1259" s="567">
        <v>34000</v>
      </c>
      <c r="C1259" s="568">
        <v>22</v>
      </c>
      <c r="D1259" s="568">
        <v>0.21</v>
      </c>
      <c r="E1259" s="568">
        <v>13102</v>
      </c>
      <c r="F1259" s="568">
        <v>47102</v>
      </c>
      <c r="G1259" s="568">
        <v>1870</v>
      </c>
      <c r="H1259" s="568">
        <v>2056</v>
      </c>
      <c r="I1259" s="559" t="str">
        <f t="shared" si="19"/>
        <v>GooD</v>
      </c>
    </row>
    <row r="1260" spans="1:9">
      <c r="A1260" s="563" t="s">
        <v>643</v>
      </c>
      <c r="B1260" s="563">
        <v>34000</v>
      </c>
      <c r="C1260" s="564">
        <v>24</v>
      </c>
      <c r="D1260" s="564">
        <v>0.21</v>
      </c>
      <c r="E1260" s="564">
        <v>14288</v>
      </c>
      <c r="F1260" s="564">
        <v>48288</v>
      </c>
      <c r="G1260" s="564">
        <v>2040</v>
      </c>
      <c r="H1260" s="564">
        <v>1927</v>
      </c>
      <c r="I1260" s="557" t="str">
        <f t="shared" si="19"/>
        <v>GooD</v>
      </c>
    </row>
    <row r="1261" spans="1:9">
      <c r="A1261" s="563" t="s">
        <v>643</v>
      </c>
      <c r="B1261" s="563">
        <v>35000</v>
      </c>
      <c r="C1261" s="564">
        <v>6</v>
      </c>
      <c r="D1261" s="564">
        <v>0.21</v>
      </c>
      <c r="E1261" s="564">
        <v>3679</v>
      </c>
      <c r="F1261" s="564">
        <v>38679</v>
      </c>
      <c r="G1261" s="564">
        <v>525</v>
      </c>
      <c r="H1261" s="564">
        <v>6359</v>
      </c>
      <c r="I1261" s="557" t="str">
        <f t="shared" si="19"/>
        <v>GooD</v>
      </c>
    </row>
    <row r="1262" spans="1:9">
      <c r="A1262" s="563" t="s">
        <v>643</v>
      </c>
      <c r="B1262" s="563">
        <v>35000</v>
      </c>
      <c r="C1262" s="564">
        <v>8</v>
      </c>
      <c r="D1262" s="564">
        <v>0.21</v>
      </c>
      <c r="E1262" s="564">
        <v>4908</v>
      </c>
      <c r="F1262" s="564">
        <v>39908</v>
      </c>
      <c r="G1262" s="564">
        <v>700</v>
      </c>
      <c r="H1262" s="564">
        <v>4901</v>
      </c>
      <c r="I1262" s="557" t="str">
        <f t="shared" si="19"/>
        <v>GooD</v>
      </c>
    </row>
    <row r="1263" spans="1:9" ht="15.75" thickBot="1">
      <c r="A1263" s="565" t="s">
        <v>643</v>
      </c>
      <c r="B1263" s="565">
        <v>35000</v>
      </c>
      <c r="C1263" s="566">
        <v>10</v>
      </c>
      <c r="D1263" s="566">
        <v>0.21</v>
      </c>
      <c r="E1263" s="566">
        <v>6135</v>
      </c>
      <c r="F1263" s="566">
        <v>41135</v>
      </c>
      <c r="G1263" s="566">
        <v>875</v>
      </c>
      <c r="H1263" s="566">
        <v>4026</v>
      </c>
      <c r="I1263" s="558" t="str">
        <f t="shared" si="19"/>
        <v>GooD</v>
      </c>
    </row>
    <row r="1264" spans="1:9" ht="15.75" thickTop="1">
      <c r="A1264" s="567" t="s">
        <v>643</v>
      </c>
      <c r="B1264" s="567">
        <v>35000</v>
      </c>
      <c r="C1264" s="568">
        <v>12</v>
      </c>
      <c r="D1264" s="568">
        <v>0.21</v>
      </c>
      <c r="E1264" s="568">
        <v>7354</v>
      </c>
      <c r="F1264" s="568">
        <v>42354</v>
      </c>
      <c r="G1264" s="568">
        <v>1050</v>
      </c>
      <c r="H1264" s="568">
        <v>3442</v>
      </c>
      <c r="I1264" s="559" t="str">
        <f t="shared" si="19"/>
        <v>GooD</v>
      </c>
    </row>
    <row r="1265" spans="1:9">
      <c r="A1265" s="563" t="s">
        <v>643</v>
      </c>
      <c r="B1265" s="563">
        <v>35000</v>
      </c>
      <c r="C1265" s="564">
        <v>14</v>
      </c>
      <c r="D1265" s="564">
        <v>0.21</v>
      </c>
      <c r="E1265" s="564">
        <v>8589</v>
      </c>
      <c r="F1265" s="564">
        <v>43589</v>
      </c>
      <c r="G1265" s="564">
        <v>1225</v>
      </c>
      <c r="H1265" s="564">
        <v>3026</v>
      </c>
      <c r="I1265" s="557" t="str">
        <f t="shared" si="19"/>
        <v>GooD</v>
      </c>
    </row>
    <row r="1266" spans="1:9">
      <c r="A1266" s="563" t="s">
        <v>643</v>
      </c>
      <c r="B1266" s="563">
        <v>35000</v>
      </c>
      <c r="C1266" s="564">
        <v>16</v>
      </c>
      <c r="D1266" s="564">
        <v>0.21</v>
      </c>
      <c r="E1266" s="564">
        <v>9808</v>
      </c>
      <c r="F1266" s="564">
        <v>44808</v>
      </c>
      <c r="G1266" s="564">
        <v>1400</v>
      </c>
      <c r="H1266" s="564">
        <v>2713</v>
      </c>
      <c r="I1266" s="557" t="str">
        <f t="shared" si="19"/>
        <v>GooD</v>
      </c>
    </row>
    <row r="1267" spans="1:9">
      <c r="A1267" s="563" t="s">
        <v>643</v>
      </c>
      <c r="B1267" s="563">
        <v>35000</v>
      </c>
      <c r="C1267" s="564">
        <v>18</v>
      </c>
      <c r="D1267" s="564">
        <v>0.21</v>
      </c>
      <c r="E1267" s="564">
        <v>11035</v>
      </c>
      <c r="F1267" s="564">
        <v>46035</v>
      </c>
      <c r="G1267" s="564">
        <v>1575</v>
      </c>
      <c r="H1267" s="564">
        <v>2470</v>
      </c>
      <c r="I1267" s="557" t="str">
        <f t="shared" si="19"/>
        <v>GooD</v>
      </c>
    </row>
    <row r="1268" spans="1:9" ht="15.75" thickBot="1">
      <c r="A1268" s="565" t="s">
        <v>643</v>
      </c>
      <c r="B1268" s="565">
        <v>35000</v>
      </c>
      <c r="C1268" s="566">
        <v>20</v>
      </c>
      <c r="D1268" s="566">
        <v>0.21</v>
      </c>
      <c r="E1268" s="566">
        <v>12270</v>
      </c>
      <c r="F1268" s="566">
        <v>47270</v>
      </c>
      <c r="G1268" s="566">
        <v>1750</v>
      </c>
      <c r="H1268" s="566">
        <v>2276</v>
      </c>
      <c r="I1268" s="558" t="str">
        <f t="shared" si="19"/>
        <v>GooD</v>
      </c>
    </row>
    <row r="1269" spans="1:9" ht="15.75" thickTop="1">
      <c r="A1269" s="567" t="s">
        <v>643</v>
      </c>
      <c r="B1269" s="567">
        <v>35000</v>
      </c>
      <c r="C1269" s="568">
        <v>22</v>
      </c>
      <c r="D1269" s="568">
        <v>0.21</v>
      </c>
      <c r="E1269" s="568">
        <v>13477</v>
      </c>
      <c r="F1269" s="568">
        <v>48477</v>
      </c>
      <c r="G1269" s="568">
        <v>1925</v>
      </c>
      <c r="H1269" s="568">
        <v>2116</v>
      </c>
      <c r="I1269" s="559" t="str">
        <f t="shared" si="19"/>
        <v>GooD</v>
      </c>
    </row>
    <row r="1270" spans="1:9">
      <c r="A1270" s="563" t="s">
        <v>643</v>
      </c>
      <c r="B1270" s="563">
        <v>35000</v>
      </c>
      <c r="C1270" s="564">
        <v>24</v>
      </c>
      <c r="D1270" s="564">
        <v>0.21</v>
      </c>
      <c r="E1270" s="564">
        <v>14716</v>
      </c>
      <c r="F1270" s="564">
        <v>49716</v>
      </c>
      <c r="G1270" s="564">
        <v>2100</v>
      </c>
      <c r="H1270" s="564">
        <v>1984</v>
      </c>
      <c r="I1270" s="557" t="str">
        <f t="shared" si="19"/>
        <v>GooD</v>
      </c>
    </row>
    <row r="1271" spans="1:9">
      <c r="A1271" s="563" t="s">
        <v>643</v>
      </c>
      <c r="B1271" s="563">
        <v>36000</v>
      </c>
      <c r="C1271" s="564">
        <v>6</v>
      </c>
      <c r="D1271" s="564">
        <v>0.21</v>
      </c>
      <c r="E1271" s="564">
        <v>3786</v>
      </c>
      <c r="F1271" s="564">
        <v>39786</v>
      </c>
      <c r="G1271" s="564">
        <v>540</v>
      </c>
      <c r="H1271" s="564">
        <v>6541</v>
      </c>
      <c r="I1271" s="557" t="str">
        <f t="shared" si="19"/>
        <v>GooD</v>
      </c>
    </row>
    <row r="1272" spans="1:9">
      <c r="A1272" s="563" t="s">
        <v>643</v>
      </c>
      <c r="B1272" s="563">
        <v>36000</v>
      </c>
      <c r="C1272" s="564">
        <v>8</v>
      </c>
      <c r="D1272" s="564">
        <v>0.21</v>
      </c>
      <c r="E1272" s="564">
        <v>5048</v>
      </c>
      <c r="F1272" s="564">
        <v>41048</v>
      </c>
      <c r="G1272" s="564">
        <v>720</v>
      </c>
      <c r="H1272" s="564">
        <v>5041</v>
      </c>
      <c r="I1272" s="557" t="str">
        <f t="shared" si="19"/>
        <v>GooD</v>
      </c>
    </row>
    <row r="1273" spans="1:9" ht="15.75" thickBot="1">
      <c r="A1273" s="565" t="s">
        <v>643</v>
      </c>
      <c r="B1273" s="565">
        <v>36000</v>
      </c>
      <c r="C1273" s="566">
        <v>10</v>
      </c>
      <c r="D1273" s="566">
        <v>0.21</v>
      </c>
      <c r="E1273" s="566">
        <v>6310</v>
      </c>
      <c r="F1273" s="566">
        <v>42310</v>
      </c>
      <c r="G1273" s="566">
        <v>900</v>
      </c>
      <c r="H1273" s="566">
        <v>4141</v>
      </c>
      <c r="I1273" s="558" t="str">
        <f t="shared" si="19"/>
        <v>GooD</v>
      </c>
    </row>
    <row r="1274" spans="1:9" ht="15.75" thickTop="1">
      <c r="A1274" s="567" t="s">
        <v>643</v>
      </c>
      <c r="B1274" s="567">
        <v>36000</v>
      </c>
      <c r="C1274" s="568">
        <v>12</v>
      </c>
      <c r="D1274" s="568">
        <v>0.21</v>
      </c>
      <c r="E1274" s="568">
        <v>7572</v>
      </c>
      <c r="F1274" s="568">
        <v>43572</v>
      </c>
      <c r="G1274" s="568">
        <v>1080</v>
      </c>
      <c r="H1274" s="568">
        <v>3541</v>
      </c>
      <c r="I1274" s="559" t="str">
        <f t="shared" si="19"/>
        <v>GooD</v>
      </c>
    </row>
    <row r="1275" spans="1:9">
      <c r="A1275" s="563" t="s">
        <v>643</v>
      </c>
      <c r="B1275" s="563">
        <v>36000</v>
      </c>
      <c r="C1275" s="564">
        <v>14</v>
      </c>
      <c r="D1275" s="564">
        <v>0.21</v>
      </c>
      <c r="E1275" s="564">
        <v>8828</v>
      </c>
      <c r="F1275" s="564">
        <v>44828</v>
      </c>
      <c r="G1275" s="564">
        <v>1260</v>
      </c>
      <c r="H1275" s="564">
        <v>3112</v>
      </c>
      <c r="I1275" s="557" t="str">
        <f t="shared" si="19"/>
        <v>GooD</v>
      </c>
    </row>
    <row r="1276" spans="1:9">
      <c r="A1276" s="563" t="s">
        <v>643</v>
      </c>
      <c r="B1276" s="563">
        <v>36000</v>
      </c>
      <c r="C1276" s="564">
        <v>16</v>
      </c>
      <c r="D1276" s="564">
        <v>0.21</v>
      </c>
      <c r="E1276" s="564">
        <v>10096</v>
      </c>
      <c r="F1276" s="564">
        <v>46096</v>
      </c>
      <c r="G1276" s="564">
        <v>1440</v>
      </c>
      <c r="H1276" s="564">
        <v>2791</v>
      </c>
      <c r="I1276" s="557" t="str">
        <f t="shared" si="19"/>
        <v>GooD</v>
      </c>
    </row>
    <row r="1277" spans="1:9">
      <c r="A1277" s="563" t="s">
        <v>643</v>
      </c>
      <c r="B1277" s="563">
        <v>36000</v>
      </c>
      <c r="C1277" s="564">
        <v>18</v>
      </c>
      <c r="D1277" s="564">
        <v>0.21</v>
      </c>
      <c r="E1277" s="564">
        <v>11358</v>
      </c>
      <c r="F1277" s="564">
        <v>47358</v>
      </c>
      <c r="G1277" s="564">
        <v>1620</v>
      </c>
      <c r="H1277" s="564">
        <v>2541</v>
      </c>
      <c r="I1277" s="557" t="str">
        <f t="shared" si="19"/>
        <v>GooD</v>
      </c>
    </row>
    <row r="1278" spans="1:9" ht="15.75" thickBot="1">
      <c r="A1278" s="565" t="s">
        <v>643</v>
      </c>
      <c r="B1278" s="565">
        <v>36000</v>
      </c>
      <c r="C1278" s="566">
        <v>20</v>
      </c>
      <c r="D1278" s="566">
        <v>0.21</v>
      </c>
      <c r="E1278" s="566">
        <v>12620</v>
      </c>
      <c r="F1278" s="566">
        <v>48620</v>
      </c>
      <c r="G1278" s="566">
        <v>1800</v>
      </c>
      <c r="H1278" s="566">
        <v>2341</v>
      </c>
      <c r="I1278" s="558" t="str">
        <f t="shared" si="19"/>
        <v>GooD</v>
      </c>
    </row>
    <row r="1279" spans="1:9" ht="15.75" thickTop="1">
      <c r="A1279" s="567" t="s">
        <v>643</v>
      </c>
      <c r="B1279" s="567">
        <v>36000</v>
      </c>
      <c r="C1279" s="568">
        <v>22</v>
      </c>
      <c r="D1279" s="568">
        <v>0.21</v>
      </c>
      <c r="E1279" s="568">
        <v>13874</v>
      </c>
      <c r="F1279" s="568">
        <v>49874</v>
      </c>
      <c r="G1279" s="568">
        <v>1980</v>
      </c>
      <c r="H1279" s="568">
        <v>2177</v>
      </c>
      <c r="I1279" s="559" t="str">
        <f t="shared" si="19"/>
        <v>GooD</v>
      </c>
    </row>
    <row r="1280" spans="1:9">
      <c r="A1280" s="563" t="s">
        <v>643</v>
      </c>
      <c r="B1280" s="563">
        <v>36000</v>
      </c>
      <c r="C1280" s="564">
        <v>24</v>
      </c>
      <c r="D1280" s="564">
        <v>0.21</v>
      </c>
      <c r="E1280" s="564">
        <v>15144</v>
      </c>
      <c r="F1280" s="564">
        <v>51144</v>
      </c>
      <c r="G1280" s="564">
        <v>2160</v>
      </c>
      <c r="H1280" s="564">
        <v>2041</v>
      </c>
      <c r="I1280" s="557" t="str">
        <f t="shared" si="19"/>
        <v>GooD</v>
      </c>
    </row>
    <row r="1281" spans="1:9">
      <c r="A1281" s="563" t="s">
        <v>643</v>
      </c>
      <c r="B1281" s="563">
        <v>37000</v>
      </c>
      <c r="C1281" s="564">
        <v>6</v>
      </c>
      <c r="D1281" s="564">
        <v>0.21</v>
      </c>
      <c r="E1281" s="564">
        <v>3887</v>
      </c>
      <c r="F1281" s="564">
        <v>40887</v>
      </c>
      <c r="G1281" s="564">
        <v>555</v>
      </c>
      <c r="H1281" s="564">
        <v>6722</v>
      </c>
      <c r="I1281" s="557" t="str">
        <f t="shared" si="19"/>
        <v>GooD</v>
      </c>
    </row>
    <row r="1282" spans="1:9">
      <c r="A1282" s="563" t="s">
        <v>643</v>
      </c>
      <c r="B1282" s="563">
        <v>37000</v>
      </c>
      <c r="C1282" s="564">
        <v>8</v>
      </c>
      <c r="D1282" s="564">
        <v>0.21</v>
      </c>
      <c r="E1282" s="564">
        <v>5188</v>
      </c>
      <c r="F1282" s="564">
        <v>42188</v>
      </c>
      <c r="G1282" s="564">
        <v>740</v>
      </c>
      <c r="H1282" s="564">
        <v>5181</v>
      </c>
      <c r="I1282" s="557" t="str">
        <f t="shared" si="19"/>
        <v>GooD</v>
      </c>
    </row>
    <row r="1283" spans="1:9" ht="15.75" thickBot="1">
      <c r="A1283" s="565" t="s">
        <v>643</v>
      </c>
      <c r="B1283" s="565">
        <v>37000</v>
      </c>
      <c r="C1283" s="566">
        <v>10</v>
      </c>
      <c r="D1283" s="566">
        <v>0.21</v>
      </c>
      <c r="E1283" s="566">
        <v>6485</v>
      </c>
      <c r="F1283" s="566">
        <v>43485</v>
      </c>
      <c r="G1283" s="566">
        <v>925</v>
      </c>
      <c r="H1283" s="566">
        <v>4256</v>
      </c>
      <c r="I1283" s="558" t="str">
        <f t="shared" si="19"/>
        <v>GooD</v>
      </c>
    </row>
    <row r="1284" spans="1:9" ht="15.75" thickTop="1">
      <c r="A1284" s="567" t="s">
        <v>643</v>
      </c>
      <c r="B1284" s="567">
        <v>37000</v>
      </c>
      <c r="C1284" s="568">
        <v>12</v>
      </c>
      <c r="D1284" s="568">
        <v>0.21</v>
      </c>
      <c r="E1284" s="568">
        <v>7778</v>
      </c>
      <c r="F1284" s="568">
        <v>44778</v>
      </c>
      <c r="G1284" s="568">
        <v>1110</v>
      </c>
      <c r="H1284" s="568">
        <v>3639</v>
      </c>
      <c r="I1284" s="559" t="str">
        <f t="shared" si="19"/>
        <v>GooD</v>
      </c>
    </row>
    <row r="1285" spans="1:9">
      <c r="A1285" s="563" t="s">
        <v>643</v>
      </c>
      <c r="B1285" s="563">
        <v>37000</v>
      </c>
      <c r="C1285" s="564">
        <v>14</v>
      </c>
      <c r="D1285" s="564">
        <v>0.21</v>
      </c>
      <c r="E1285" s="564">
        <v>9067</v>
      </c>
      <c r="F1285" s="564">
        <v>46067</v>
      </c>
      <c r="G1285" s="564">
        <v>1295</v>
      </c>
      <c r="H1285" s="564">
        <v>3198</v>
      </c>
      <c r="I1285" s="557" t="str">
        <f t="shared" si="19"/>
        <v>GooD</v>
      </c>
    </row>
    <row r="1286" spans="1:9">
      <c r="A1286" s="563" t="s">
        <v>643</v>
      </c>
      <c r="B1286" s="563">
        <v>37000</v>
      </c>
      <c r="C1286" s="564">
        <v>16</v>
      </c>
      <c r="D1286" s="564">
        <v>0.21</v>
      </c>
      <c r="E1286" s="564">
        <v>10368</v>
      </c>
      <c r="F1286" s="564">
        <v>47368</v>
      </c>
      <c r="G1286" s="564">
        <v>1480</v>
      </c>
      <c r="H1286" s="564">
        <v>2868</v>
      </c>
      <c r="I1286" s="557" t="str">
        <f t="shared" si="19"/>
        <v>GooD</v>
      </c>
    </row>
    <row r="1287" spans="1:9">
      <c r="A1287" s="563" t="s">
        <v>643</v>
      </c>
      <c r="B1287" s="563">
        <v>37000</v>
      </c>
      <c r="C1287" s="564">
        <v>18</v>
      </c>
      <c r="D1287" s="564">
        <v>0.21</v>
      </c>
      <c r="E1287" s="564">
        <v>11663</v>
      </c>
      <c r="F1287" s="564">
        <v>48663</v>
      </c>
      <c r="G1287" s="564">
        <v>1665</v>
      </c>
      <c r="H1287" s="564">
        <v>2611</v>
      </c>
      <c r="I1287" s="557" t="str">
        <f t="shared" si="19"/>
        <v>GooD</v>
      </c>
    </row>
    <row r="1288" spans="1:9" ht="15.75" thickBot="1">
      <c r="A1288" s="565" t="s">
        <v>643</v>
      </c>
      <c r="B1288" s="565">
        <v>37000</v>
      </c>
      <c r="C1288" s="566">
        <v>20</v>
      </c>
      <c r="D1288" s="566">
        <v>0.21</v>
      </c>
      <c r="E1288" s="566">
        <v>12970</v>
      </c>
      <c r="F1288" s="566">
        <v>49970</v>
      </c>
      <c r="G1288" s="566">
        <v>1850</v>
      </c>
      <c r="H1288" s="566">
        <v>2406</v>
      </c>
      <c r="I1288" s="558" t="str">
        <f t="shared" si="19"/>
        <v>GooD</v>
      </c>
    </row>
    <row r="1289" spans="1:9" ht="15.75" thickTop="1">
      <c r="A1289" s="567" t="s">
        <v>643</v>
      </c>
      <c r="B1289" s="567">
        <v>37000</v>
      </c>
      <c r="C1289" s="568">
        <v>22</v>
      </c>
      <c r="D1289" s="568">
        <v>0.21</v>
      </c>
      <c r="E1289" s="568">
        <v>14249</v>
      </c>
      <c r="F1289" s="568">
        <v>51249</v>
      </c>
      <c r="G1289" s="568">
        <v>2035</v>
      </c>
      <c r="H1289" s="568">
        <v>2237</v>
      </c>
      <c r="I1289" s="559" t="str">
        <f t="shared" si="19"/>
        <v>GooD</v>
      </c>
    </row>
    <row r="1290" spans="1:9">
      <c r="A1290" s="563" t="s">
        <v>643</v>
      </c>
      <c r="B1290" s="563">
        <v>37000</v>
      </c>
      <c r="C1290" s="564">
        <v>24</v>
      </c>
      <c r="D1290" s="564">
        <v>0.21</v>
      </c>
      <c r="E1290" s="564">
        <v>15548</v>
      </c>
      <c r="F1290" s="564">
        <v>52548</v>
      </c>
      <c r="G1290" s="564">
        <v>2220</v>
      </c>
      <c r="H1290" s="564">
        <v>2097</v>
      </c>
      <c r="I1290" s="557" t="str">
        <f t="shared" si="19"/>
        <v>GooD</v>
      </c>
    </row>
    <row r="1291" spans="1:9">
      <c r="A1291" s="563" t="s">
        <v>643</v>
      </c>
      <c r="B1291" s="563">
        <v>38000</v>
      </c>
      <c r="C1291" s="564">
        <v>6</v>
      </c>
      <c r="D1291" s="564">
        <v>0.21</v>
      </c>
      <c r="E1291" s="564">
        <v>3994</v>
      </c>
      <c r="F1291" s="564">
        <v>41994</v>
      </c>
      <c r="G1291" s="564">
        <v>570</v>
      </c>
      <c r="H1291" s="564">
        <v>6904</v>
      </c>
      <c r="I1291" s="557" t="str">
        <f t="shared" si="19"/>
        <v>GooD</v>
      </c>
    </row>
    <row r="1292" spans="1:9">
      <c r="A1292" s="563" t="s">
        <v>643</v>
      </c>
      <c r="B1292" s="563">
        <v>38000</v>
      </c>
      <c r="C1292" s="564">
        <v>8</v>
      </c>
      <c r="D1292" s="564">
        <v>0.21</v>
      </c>
      <c r="E1292" s="564">
        <v>5328</v>
      </c>
      <c r="F1292" s="564">
        <v>43328</v>
      </c>
      <c r="G1292" s="564">
        <v>760</v>
      </c>
      <c r="H1292" s="564">
        <v>5321</v>
      </c>
      <c r="I1292" s="557" t="str">
        <f t="shared" si="19"/>
        <v>GooD</v>
      </c>
    </row>
    <row r="1293" spans="1:9" ht="15.75" thickBot="1">
      <c r="A1293" s="565" t="s">
        <v>643</v>
      </c>
      <c r="B1293" s="565">
        <v>38000</v>
      </c>
      <c r="C1293" s="566">
        <v>10</v>
      </c>
      <c r="D1293" s="566">
        <v>0.21</v>
      </c>
      <c r="E1293" s="566">
        <v>6660</v>
      </c>
      <c r="F1293" s="566">
        <v>44660</v>
      </c>
      <c r="G1293" s="566">
        <v>950</v>
      </c>
      <c r="H1293" s="566">
        <v>4371</v>
      </c>
      <c r="I1293" s="558" t="str">
        <f t="shared" si="19"/>
        <v>GooD</v>
      </c>
    </row>
    <row r="1294" spans="1:9" ht="15.75" thickTop="1">
      <c r="A1294" s="567" t="s">
        <v>643</v>
      </c>
      <c r="B1294" s="567">
        <v>38000</v>
      </c>
      <c r="C1294" s="568">
        <v>12</v>
      </c>
      <c r="D1294" s="568">
        <v>0.21</v>
      </c>
      <c r="E1294" s="568">
        <v>7984</v>
      </c>
      <c r="F1294" s="568">
        <v>45984</v>
      </c>
      <c r="G1294" s="568">
        <v>1140</v>
      </c>
      <c r="H1294" s="568">
        <v>3737</v>
      </c>
      <c r="I1294" s="559" t="str">
        <f t="shared" si="19"/>
        <v>GooD</v>
      </c>
    </row>
    <row r="1295" spans="1:9">
      <c r="A1295" s="563" t="s">
        <v>643</v>
      </c>
      <c r="B1295" s="563">
        <v>38000</v>
      </c>
      <c r="C1295" s="564">
        <v>14</v>
      </c>
      <c r="D1295" s="564">
        <v>0.21</v>
      </c>
      <c r="E1295" s="564">
        <v>9320</v>
      </c>
      <c r="F1295" s="564">
        <v>47320</v>
      </c>
      <c r="G1295" s="564">
        <v>1330</v>
      </c>
      <c r="H1295" s="564">
        <v>3285</v>
      </c>
      <c r="I1295" s="557" t="str">
        <f t="shared" si="19"/>
        <v>GooD</v>
      </c>
    </row>
    <row r="1296" spans="1:9">
      <c r="A1296" s="563" t="s">
        <v>643</v>
      </c>
      <c r="B1296" s="563">
        <v>38000</v>
      </c>
      <c r="C1296" s="564">
        <v>16</v>
      </c>
      <c r="D1296" s="564">
        <v>0.21</v>
      </c>
      <c r="E1296" s="564">
        <v>10656</v>
      </c>
      <c r="F1296" s="564">
        <v>48656</v>
      </c>
      <c r="G1296" s="564">
        <v>1520</v>
      </c>
      <c r="H1296" s="564">
        <v>2946</v>
      </c>
      <c r="I1296" s="557" t="str">
        <f t="shared" si="19"/>
        <v>GooD</v>
      </c>
    </row>
    <row r="1297" spans="1:9">
      <c r="A1297" s="563" t="s">
        <v>643</v>
      </c>
      <c r="B1297" s="563">
        <v>38000</v>
      </c>
      <c r="C1297" s="564">
        <v>18</v>
      </c>
      <c r="D1297" s="564">
        <v>0.21</v>
      </c>
      <c r="E1297" s="564">
        <v>11986</v>
      </c>
      <c r="F1297" s="564">
        <v>49986</v>
      </c>
      <c r="G1297" s="564">
        <v>1710</v>
      </c>
      <c r="H1297" s="564">
        <v>2682</v>
      </c>
      <c r="I1297" s="557" t="str">
        <f t="shared" si="19"/>
        <v>GooD</v>
      </c>
    </row>
    <row r="1298" spans="1:9" ht="15.75" thickBot="1">
      <c r="A1298" s="565" t="s">
        <v>643</v>
      </c>
      <c r="B1298" s="565">
        <v>38000</v>
      </c>
      <c r="C1298" s="566">
        <v>20</v>
      </c>
      <c r="D1298" s="566">
        <v>0.21</v>
      </c>
      <c r="E1298" s="566">
        <v>13320</v>
      </c>
      <c r="F1298" s="566">
        <v>51320</v>
      </c>
      <c r="G1298" s="566">
        <v>1900</v>
      </c>
      <c r="H1298" s="566">
        <v>2471</v>
      </c>
      <c r="I1298" s="558" t="str">
        <f t="shared" si="19"/>
        <v>GooD</v>
      </c>
    </row>
    <row r="1299" spans="1:9" ht="15.75" thickTop="1">
      <c r="A1299" s="567" t="s">
        <v>643</v>
      </c>
      <c r="B1299" s="567">
        <v>38000</v>
      </c>
      <c r="C1299" s="568">
        <v>22</v>
      </c>
      <c r="D1299" s="568">
        <v>0.21</v>
      </c>
      <c r="E1299" s="568">
        <v>14646</v>
      </c>
      <c r="F1299" s="568">
        <v>52646</v>
      </c>
      <c r="G1299" s="568">
        <v>2090</v>
      </c>
      <c r="H1299" s="568">
        <v>2298</v>
      </c>
      <c r="I1299" s="559" t="str">
        <f t="shared" si="19"/>
        <v>GooD</v>
      </c>
    </row>
    <row r="1300" spans="1:9">
      <c r="A1300" s="563" t="s">
        <v>643</v>
      </c>
      <c r="B1300" s="563">
        <v>38000</v>
      </c>
      <c r="C1300" s="564">
        <v>24</v>
      </c>
      <c r="D1300" s="564">
        <v>0.21</v>
      </c>
      <c r="E1300" s="564">
        <v>15976</v>
      </c>
      <c r="F1300" s="564">
        <v>53976</v>
      </c>
      <c r="G1300" s="564">
        <v>2280</v>
      </c>
      <c r="H1300" s="564">
        <v>2154</v>
      </c>
      <c r="I1300" s="557" t="str">
        <f t="shared" si="19"/>
        <v>GooD</v>
      </c>
    </row>
    <row r="1301" spans="1:9">
      <c r="A1301" s="563" t="s">
        <v>643</v>
      </c>
      <c r="B1301" s="563">
        <v>39000</v>
      </c>
      <c r="C1301" s="564">
        <v>6</v>
      </c>
      <c r="D1301" s="564">
        <v>0.21</v>
      </c>
      <c r="E1301" s="564">
        <v>4101</v>
      </c>
      <c r="F1301" s="564">
        <v>43101</v>
      </c>
      <c r="G1301" s="564">
        <v>585</v>
      </c>
      <c r="H1301" s="564">
        <v>7086</v>
      </c>
      <c r="I1301" s="557" t="str">
        <f t="shared" si="19"/>
        <v>GooD</v>
      </c>
    </row>
    <row r="1302" spans="1:9">
      <c r="A1302" s="563" t="s">
        <v>643</v>
      </c>
      <c r="B1302" s="563">
        <v>39000</v>
      </c>
      <c r="C1302" s="564">
        <v>8</v>
      </c>
      <c r="D1302" s="564">
        <v>0.21</v>
      </c>
      <c r="E1302" s="564">
        <v>5468</v>
      </c>
      <c r="F1302" s="564">
        <v>44468</v>
      </c>
      <c r="G1302" s="564">
        <v>780</v>
      </c>
      <c r="H1302" s="564">
        <v>5461</v>
      </c>
      <c r="I1302" s="557" t="str">
        <f t="shared" si="19"/>
        <v>GooD</v>
      </c>
    </row>
    <row r="1303" spans="1:9" ht="15.75" thickBot="1">
      <c r="A1303" s="565" t="s">
        <v>643</v>
      </c>
      <c r="B1303" s="565">
        <v>39000</v>
      </c>
      <c r="C1303" s="566">
        <v>10</v>
      </c>
      <c r="D1303" s="566">
        <v>0.21</v>
      </c>
      <c r="E1303" s="566">
        <v>6835</v>
      </c>
      <c r="F1303" s="566">
        <v>45835</v>
      </c>
      <c r="G1303" s="566">
        <v>975</v>
      </c>
      <c r="H1303" s="566">
        <v>4486</v>
      </c>
      <c r="I1303" s="558" t="str">
        <f t="shared" si="19"/>
        <v>GooD</v>
      </c>
    </row>
    <row r="1304" spans="1:9" ht="15.75" thickTop="1">
      <c r="A1304" s="567" t="s">
        <v>643</v>
      </c>
      <c r="B1304" s="567">
        <v>39000</v>
      </c>
      <c r="C1304" s="568">
        <v>12</v>
      </c>
      <c r="D1304" s="568">
        <v>0.21</v>
      </c>
      <c r="E1304" s="568">
        <v>8202</v>
      </c>
      <c r="F1304" s="568">
        <v>47202</v>
      </c>
      <c r="G1304" s="568">
        <v>1170</v>
      </c>
      <c r="H1304" s="568">
        <v>3836</v>
      </c>
      <c r="I1304" s="559" t="str">
        <f t="shared" si="19"/>
        <v>GooD</v>
      </c>
    </row>
    <row r="1305" spans="1:9">
      <c r="A1305" s="563" t="s">
        <v>643</v>
      </c>
      <c r="B1305" s="563">
        <v>39000</v>
      </c>
      <c r="C1305" s="564">
        <v>14</v>
      </c>
      <c r="D1305" s="564">
        <v>0.21</v>
      </c>
      <c r="E1305" s="564">
        <v>9559</v>
      </c>
      <c r="F1305" s="564">
        <v>48559</v>
      </c>
      <c r="G1305" s="564">
        <v>1365</v>
      </c>
      <c r="H1305" s="564">
        <v>3371</v>
      </c>
      <c r="I1305" s="557" t="str">
        <f t="shared" si="19"/>
        <v>GooD</v>
      </c>
    </row>
    <row r="1306" spans="1:9">
      <c r="A1306" s="563" t="s">
        <v>643</v>
      </c>
      <c r="B1306" s="563">
        <v>39000</v>
      </c>
      <c r="C1306" s="564">
        <v>16</v>
      </c>
      <c r="D1306" s="564">
        <v>0.21</v>
      </c>
      <c r="E1306" s="564">
        <v>10928</v>
      </c>
      <c r="F1306" s="564">
        <v>49928</v>
      </c>
      <c r="G1306" s="564">
        <v>1560</v>
      </c>
      <c r="H1306" s="564">
        <v>3023</v>
      </c>
      <c r="I1306" s="557" t="str">
        <f t="shared" si="19"/>
        <v>GooD</v>
      </c>
    </row>
    <row r="1307" spans="1:9">
      <c r="A1307" s="563" t="s">
        <v>643</v>
      </c>
      <c r="B1307" s="563">
        <v>39000</v>
      </c>
      <c r="C1307" s="564">
        <v>18</v>
      </c>
      <c r="D1307" s="564">
        <v>0.21</v>
      </c>
      <c r="E1307" s="564">
        <v>12291</v>
      </c>
      <c r="F1307" s="564">
        <v>51291</v>
      </c>
      <c r="G1307" s="564">
        <v>1755</v>
      </c>
      <c r="H1307" s="564">
        <v>2752</v>
      </c>
      <c r="I1307" s="557" t="str">
        <f t="shared" si="19"/>
        <v>GooD</v>
      </c>
    </row>
    <row r="1308" spans="1:9" ht="15.75" thickBot="1">
      <c r="A1308" s="565" t="s">
        <v>643</v>
      </c>
      <c r="B1308" s="565">
        <v>39000</v>
      </c>
      <c r="C1308" s="566">
        <v>20</v>
      </c>
      <c r="D1308" s="566">
        <v>0.21</v>
      </c>
      <c r="E1308" s="566">
        <v>13670</v>
      </c>
      <c r="F1308" s="566">
        <v>52670</v>
      </c>
      <c r="G1308" s="566">
        <v>1950</v>
      </c>
      <c r="H1308" s="566">
        <v>2536</v>
      </c>
      <c r="I1308" s="558" t="str">
        <f t="shared" si="19"/>
        <v>GooD</v>
      </c>
    </row>
    <row r="1309" spans="1:9" ht="15.75" thickTop="1">
      <c r="A1309" s="567" t="s">
        <v>643</v>
      </c>
      <c r="B1309" s="567">
        <v>39000</v>
      </c>
      <c r="C1309" s="568">
        <v>22</v>
      </c>
      <c r="D1309" s="568">
        <v>0.21</v>
      </c>
      <c r="E1309" s="568">
        <v>15021</v>
      </c>
      <c r="F1309" s="568">
        <v>54021</v>
      </c>
      <c r="G1309" s="568">
        <v>2145</v>
      </c>
      <c r="H1309" s="568">
        <v>2358</v>
      </c>
      <c r="I1309" s="559" t="str">
        <f t="shared" si="19"/>
        <v>GooD</v>
      </c>
    </row>
    <row r="1310" spans="1:9">
      <c r="A1310" s="563" t="s">
        <v>643</v>
      </c>
      <c r="B1310" s="563">
        <v>39000</v>
      </c>
      <c r="C1310" s="564">
        <v>24</v>
      </c>
      <c r="D1310" s="564">
        <v>0.21</v>
      </c>
      <c r="E1310" s="564">
        <v>16404</v>
      </c>
      <c r="F1310" s="564">
        <v>55404</v>
      </c>
      <c r="G1310" s="564">
        <v>2340</v>
      </c>
      <c r="H1310" s="564">
        <v>2211</v>
      </c>
      <c r="I1310" s="557" t="str">
        <f t="shared" si="19"/>
        <v>GooD</v>
      </c>
    </row>
    <row r="1311" spans="1:9">
      <c r="A1311" s="563" t="s">
        <v>643</v>
      </c>
      <c r="B1311" s="563">
        <v>40000</v>
      </c>
      <c r="C1311" s="564">
        <v>6</v>
      </c>
      <c r="D1311" s="564">
        <v>0.21</v>
      </c>
      <c r="E1311" s="564">
        <v>4202</v>
      </c>
      <c r="F1311" s="564">
        <v>44202</v>
      </c>
      <c r="G1311" s="564">
        <v>600</v>
      </c>
      <c r="H1311" s="564">
        <v>7267</v>
      </c>
      <c r="I1311" s="557" t="str">
        <f t="shared" si="19"/>
        <v>GooD</v>
      </c>
    </row>
    <row r="1312" spans="1:9">
      <c r="A1312" s="563" t="s">
        <v>643</v>
      </c>
      <c r="B1312" s="563">
        <v>40000</v>
      </c>
      <c r="C1312" s="564">
        <v>8</v>
      </c>
      <c r="D1312" s="564">
        <v>0.21</v>
      </c>
      <c r="E1312" s="564">
        <v>5608</v>
      </c>
      <c r="F1312" s="564">
        <v>45608</v>
      </c>
      <c r="G1312" s="564">
        <v>800</v>
      </c>
      <c r="H1312" s="564">
        <v>5601</v>
      </c>
      <c r="I1312" s="557" t="str">
        <f t="shared" si="19"/>
        <v>GooD</v>
      </c>
    </row>
    <row r="1313" spans="1:9" ht="15.75" thickBot="1">
      <c r="A1313" s="565" t="s">
        <v>643</v>
      </c>
      <c r="B1313" s="565">
        <v>40000</v>
      </c>
      <c r="C1313" s="566">
        <v>10</v>
      </c>
      <c r="D1313" s="566">
        <v>0.21</v>
      </c>
      <c r="E1313" s="566">
        <v>7010</v>
      </c>
      <c r="F1313" s="566">
        <v>47010</v>
      </c>
      <c r="G1313" s="566">
        <v>1000</v>
      </c>
      <c r="H1313" s="566">
        <v>4601</v>
      </c>
      <c r="I1313" s="558" t="str">
        <f t="shared" si="19"/>
        <v>GooD</v>
      </c>
    </row>
    <row r="1314" spans="1:9" ht="15.75" thickTop="1">
      <c r="A1314" s="567" t="s">
        <v>643</v>
      </c>
      <c r="B1314" s="567">
        <v>40000</v>
      </c>
      <c r="C1314" s="568">
        <v>12</v>
      </c>
      <c r="D1314" s="568">
        <v>0.21</v>
      </c>
      <c r="E1314" s="568">
        <v>8408</v>
      </c>
      <c r="F1314" s="568">
        <v>48408</v>
      </c>
      <c r="G1314" s="568">
        <v>1200</v>
      </c>
      <c r="H1314" s="568">
        <v>3934</v>
      </c>
      <c r="I1314" s="559" t="str">
        <f t="shared" si="19"/>
        <v>GooD</v>
      </c>
    </row>
    <row r="1315" spans="1:9">
      <c r="A1315" s="563" t="s">
        <v>643</v>
      </c>
      <c r="B1315" s="563">
        <v>40000</v>
      </c>
      <c r="C1315" s="564">
        <v>14</v>
      </c>
      <c r="D1315" s="564">
        <v>0.21</v>
      </c>
      <c r="E1315" s="564">
        <v>9812</v>
      </c>
      <c r="F1315" s="564">
        <v>49812</v>
      </c>
      <c r="G1315" s="564">
        <v>1400</v>
      </c>
      <c r="H1315" s="564">
        <v>3458</v>
      </c>
      <c r="I1315" s="557" t="str">
        <f t="shared" si="19"/>
        <v>GooD</v>
      </c>
    </row>
    <row r="1316" spans="1:9">
      <c r="A1316" s="563" t="s">
        <v>643</v>
      </c>
      <c r="B1316" s="563">
        <v>40000</v>
      </c>
      <c r="C1316" s="564">
        <v>16</v>
      </c>
      <c r="D1316" s="564">
        <v>0.21</v>
      </c>
      <c r="E1316" s="564">
        <v>11216</v>
      </c>
      <c r="F1316" s="564">
        <v>51216</v>
      </c>
      <c r="G1316" s="564">
        <v>1600</v>
      </c>
      <c r="H1316" s="564">
        <v>3101</v>
      </c>
      <c r="I1316" s="557" t="str">
        <f t="shared" si="19"/>
        <v>GooD</v>
      </c>
    </row>
    <row r="1317" spans="1:9">
      <c r="A1317" s="563" t="s">
        <v>643</v>
      </c>
      <c r="B1317" s="563">
        <v>40000</v>
      </c>
      <c r="C1317" s="564">
        <v>18</v>
      </c>
      <c r="D1317" s="564">
        <v>0.21</v>
      </c>
      <c r="E1317" s="564">
        <v>12614</v>
      </c>
      <c r="F1317" s="564">
        <v>52614</v>
      </c>
      <c r="G1317" s="564">
        <v>1800</v>
      </c>
      <c r="H1317" s="564">
        <v>2823</v>
      </c>
      <c r="I1317" s="557" t="str">
        <f t="shared" si="19"/>
        <v>GooD</v>
      </c>
    </row>
    <row r="1318" spans="1:9" ht="15.75" thickBot="1">
      <c r="A1318" s="565" t="s">
        <v>643</v>
      </c>
      <c r="B1318" s="565">
        <v>40000</v>
      </c>
      <c r="C1318" s="566">
        <v>20</v>
      </c>
      <c r="D1318" s="566">
        <v>0.21</v>
      </c>
      <c r="E1318" s="566">
        <v>14020</v>
      </c>
      <c r="F1318" s="566">
        <v>54020</v>
      </c>
      <c r="G1318" s="566">
        <v>2000</v>
      </c>
      <c r="H1318" s="566">
        <v>2601</v>
      </c>
      <c r="I1318" s="558" t="str">
        <f t="shared" si="19"/>
        <v>GooD</v>
      </c>
    </row>
    <row r="1319" spans="1:9" ht="15.75" thickTop="1">
      <c r="A1319" s="567" t="s">
        <v>643</v>
      </c>
      <c r="B1319" s="567">
        <v>40000</v>
      </c>
      <c r="C1319" s="568">
        <v>22</v>
      </c>
      <c r="D1319" s="568">
        <v>0.21</v>
      </c>
      <c r="E1319" s="568">
        <v>15418</v>
      </c>
      <c r="F1319" s="568">
        <v>55418</v>
      </c>
      <c r="G1319" s="568">
        <v>2200</v>
      </c>
      <c r="H1319" s="568">
        <v>2419</v>
      </c>
      <c r="I1319" s="559" t="str">
        <f t="shared" si="19"/>
        <v>GooD</v>
      </c>
    </row>
    <row r="1320" spans="1:9">
      <c r="A1320" s="563" t="s">
        <v>643</v>
      </c>
      <c r="B1320" s="563">
        <v>40000</v>
      </c>
      <c r="C1320" s="564">
        <v>24</v>
      </c>
      <c r="D1320" s="564">
        <v>0.21</v>
      </c>
      <c r="E1320" s="564">
        <v>16808</v>
      </c>
      <c r="F1320" s="564">
        <v>56808</v>
      </c>
      <c r="G1320" s="564">
        <v>2400</v>
      </c>
      <c r="H1320" s="564">
        <v>2267</v>
      </c>
      <c r="I1320" s="557" t="str">
        <f t="shared" si="19"/>
        <v>GooD</v>
      </c>
    </row>
    <row r="1321" spans="1:9">
      <c r="A1321" s="563" t="s">
        <v>643</v>
      </c>
      <c r="B1321" s="563">
        <v>41000</v>
      </c>
      <c r="C1321" s="564">
        <v>6</v>
      </c>
      <c r="D1321" s="564">
        <v>0.21</v>
      </c>
      <c r="E1321" s="564">
        <v>4309</v>
      </c>
      <c r="F1321" s="564">
        <v>45309</v>
      </c>
      <c r="G1321" s="564">
        <v>615</v>
      </c>
      <c r="H1321" s="564">
        <v>7449</v>
      </c>
      <c r="I1321" s="557" t="str">
        <f t="shared" si="19"/>
        <v>GooD</v>
      </c>
    </row>
    <row r="1322" spans="1:9">
      <c r="A1322" s="563" t="s">
        <v>643</v>
      </c>
      <c r="B1322" s="563">
        <v>41000</v>
      </c>
      <c r="C1322" s="564">
        <v>8</v>
      </c>
      <c r="D1322" s="564">
        <v>0.21</v>
      </c>
      <c r="E1322" s="564">
        <v>5748</v>
      </c>
      <c r="F1322" s="564">
        <v>46748</v>
      </c>
      <c r="G1322" s="564">
        <v>820</v>
      </c>
      <c r="H1322" s="564">
        <v>5741</v>
      </c>
      <c r="I1322" s="557" t="str">
        <f t="shared" si="19"/>
        <v>GooD</v>
      </c>
    </row>
    <row r="1323" spans="1:9" ht="15.75" thickBot="1">
      <c r="A1323" s="565" t="s">
        <v>643</v>
      </c>
      <c r="B1323" s="565">
        <v>41000</v>
      </c>
      <c r="C1323" s="566">
        <v>10</v>
      </c>
      <c r="D1323" s="566">
        <v>0.21</v>
      </c>
      <c r="E1323" s="566">
        <v>7185</v>
      </c>
      <c r="F1323" s="566">
        <v>48185</v>
      </c>
      <c r="G1323" s="566">
        <v>1025</v>
      </c>
      <c r="H1323" s="566">
        <v>4716</v>
      </c>
      <c r="I1323" s="558" t="str">
        <f t="shared" si="19"/>
        <v>GooD</v>
      </c>
    </row>
    <row r="1324" spans="1:9" ht="15.75" thickTop="1">
      <c r="A1324" s="567" t="s">
        <v>643</v>
      </c>
      <c r="B1324" s="567">
        <v>41000</v>
      </c>
      <c r="C1324" s="568">
        <v>12</v>
      </c>
      <c r="D1324" s="568">
        <v>0.21</v>
      </c>
      <c r="E1324" s="568">
        <v>8614</v>
      </c>
      <c r="F1324" s="568">
        <v>49614</v>
      </c>
      <c r="G1324" s="568">
        <v>1230</v>
      </c>
      <c r="H1324" s="568">
        <v>4032</v>
      </c>
      <c r="I1324" s="559" t="str">
        <f t="shared" si="19"/>
        <v>GooD</v>
      </c>
    </row>
    <row r="1325" spans="1:9">
      <c r="A1325" s="563" t="s">
        <v>643</v>
      </c>
      <c r="B1325" s="563">
        <v>41000</v>
      </c>
      <c r="C1325" s="564">
        <v>14</v>
      </c>
      <c r="D1325" s="564">
        <v>0.21</v>
      </c>
      <c r="E1325" s="564">
        <v>10051</v>
      </c>
      <c r="F1325" s="564">
        <v>51051</v>
      </c>
      <c r="G1325" s="564">
        <v>1435</v>
      </c>
      <c r="H1325" s="564">
        <v>3544</v>
      </c>
      <c r="I1325" s="557" t="str">
        <f t="shared" si="19"/>
        <v>GooD</v>
      </c>
    </row>
    <row r="1326" spans="1:9">
      <c r="A1326" s="563" t="s">
        <v>643</v>
      </c>
      <c r="B1326" s="563">
        <v>41000</v>
      </c>
      <c r="C1326" s="564">
        <v>16</v>
      </c>
      <c r="D1326" s="564">
        <v>0.21</v>
      </c>
      <c r="E1326" s="564">
        <v>11488</v>
      </c>
      <c r="F1326" s="564">
        <v>52488</v>
      </c>
      <c r="G1326" s="564">
        <v>1640</v>
      </c>
      <c r="H1326" s="564">
        <v>3178</v>
      </c>
      <c r="I1326" s="557" t="str">
        <f t="shared" si="19"/>
        <v>GooD</v>
      </c>
    </row>
    <row r="1327" spans="1:9">
      <c r="A1327" s="563" t="s">
        <v>643</v>
      </c>
      <c r="B1327" s="563">
        <v>41000</v>
      </c>
      <c r="C1327" s="564">
        <v>18</v>
      </c>
      <c r="D1327" s="564">
        <v>0.21</v>
      </c>
      <c r="E1327" s="564">
        <v>12919</v>
      </c>
      <c r="F1327" s="564">
        <v>53919</v>
      </c>
      <c r="G1327" s="564">
        <v>1845</v>
      </c>
      <c r="H1327" s="564">
        <v>2893</v>
      </c>
      <c r="I1327" s="557" t="str">
        <f t="shared" si="19"/>
        <v>GooD</v>
      </c>
    </row>
    <row r="1328" spans="1:9" ht="15.75" thickBot="1">
      <c r="A1328" s="565" t="s">
        <v>643</v>
      </c>
      <c r="B1328" s="565">
        <v>41000</v>
      </c>
      <c r="C1328" s="566">
        <v>20</v>
      </c>
      <c r="D1328" s="566">
        <v>0.21</v>
      </c>
      <c r="E1328" s="566">
        <v>14370</v>
      </c>
      <c r="F1328" s="566">
        <v>55370</v>
      </c>
      <c r="G1328" s="566">
        <v>2050</v>
      </c>
      <c r="H1328" s="566">
        <v>2666</v>
      </c>
      <c r="I1328" s="558" t="str">
        <f t="shared" si="19"/>
        <v>GooD</v>
      </c>
    </row>
    <row r="1329" spans="1:9" ht="15.75" thickTop="1">
      <c r="A1329" s="567" t="s">
        <v>643</v>
      </c>
      <c r="B1329" s="567">
        <v>41000</v>
      </c>
      <c r="C1329" s="568">
        <v>22</v>
      </c>
      <c r="D1329" s="568">
        <v>0.21</v>
      </c>
      <c r="E1329" s="568">
        <v>15793</v>
      </c>
      <c r="F1329" s="568">
        <v>56793</v>
      </c>
      <c r="G1329" s="568">
        <v>2255</v>
      </c>
      <c r="H1329" s="568">
        <v>2479</v>
      </c>
      <c r="I1329" s="559" t="str">
        <f t="shared" si="19"/>
        <v>GooD</v>
      </c>
    </row>
    <row r="1330" spans="1:9">
      <c r="A1330" s="563" t="s">
        <v>643</v>
      </c>
      <c r="B1330" s="563">
        <v>41000</v>
      </c>
      <c r="C1330" s="564">
        <v>24</v>
      </c>
      <c r="D1330" s="564">
        <v>0.21</v>
      </c>
      <c r="E1330" s="564">
        <v>17236</v>
      </c>
      <c r="F1330" s="564">
        <v>58236</v>
      </c>
      <c r="G1330" s="564">
        <v>2460</v>
      </c>
      <c r="H1330" s="564">
        <v>2324</v>
      </c>
      <c r="I1330" s="557" t="str">
        <f t="shared" si="19"/>
        <v>GooD</v>
      </c>
    </row>
    <row r="1331" spans="1:9">
      <c r="A1331" s="563" t="s">
        <v>643</v>
      </c>
      <c r="B1331" s="563">
        <v>42000</v>
      </c>
      <c r="C1331" s="564">
        <v>6</v>
      </c>
      <c r="D1331" s="564">
        <v>0.21</v>
      </c>
      <c r="E1331" s="564">
        <v>4416</v>
      </c>
      <c r="F1331" s="564">
        <v>46416</v>
      </c>
      <c r="G1331" s="564">
        <v>630</v>
      </c>
      <c r="H1331" s="564">
        <v>7631</v>
      </c>
      <c r="I1331" s="557" t="str">
        <f t="shared" si="19"/>
        <v>GooD</v>
      </c>
    </row>
    <row r="1332" spans="1:9">
      <c r="A1332" s="563" t="s">
        <v>643</v>
      </c>
      <c r="B1332" s="563">
        <v>42000</v>
      </c>
      <c r="C1332" s="564">
        <v>8</v>
      </c>
      <c r="D1332" s="564">
        <v>0.21</v>
      </c>
      <c r="E1332" s="564">
        <v>5888</v>
      </c>
      <c r="F1332" s="564">
        <v>47888</v>
      </c>
      <c r="G1332" s="564">
        <v>840</v>
      </c>
      <c r="H1332" s="564">
        <v>5881</v>
      </c>
      <c r="I1332" s="557" t="str">
        <f t="shared" si="19"/>
        <v>GooD</v>
      </c>
    </row>
    <row r="1333" spans="1:9">
      <c r="A1333" s="563" t="s">
        <v>643</v>
      </c>
      <c r="B1333" s="563">
        <v>42000</v>
      </c>
      <c r="C1333" s="564">
        <v>10</v>
      </c>
      <c r="D1333" s="564">
        <v>0.21</v>
      </c>
      <c r="E1333" s="564">
        <v>7360</v>
      </c>
      <c r="F1333" s="564">
        <v>49360</v>
      </c>
      <c r="G1333" s="564">
        <v>1050</v>
      </c>
      <c r="H1333" s="564">
        <v>4831</v>
      </c>
      <c r="I1333" s="557" t="str">
        <f t="shared" si="19"/>
        <v>GooD</v>
      </c>
    </row>
    <row r="1334" spans="1:9">
      <c r="A1334" s="563" t="s">
        <v>643</v>
      </c>
      <c r="B1334" s="563">
        <v>42000</v>
      </c>
      <c r="C1334" s="564">
        <v>12</v>
      </c>
      <c r="D1334" s="564">
        <v>0.21</v>
      </c>
      <c r="E1334" s="564">
        <v>8832</v>
      </c>
      <c r="F1334" s="564">
        <v>50832</v>
      </c>
      <c r="G1334" s="564">
        <v>1260</v>
      </c>
      <c r="H1334" s="564">
        <v>4131</v>
      </c>
      <c r="I1334" s="557" t="str">
        <f t="shared" si="19"/>
        <v>GooD</v>
      </c>
    </row>
    <row r="1335" spans="1:9" ht="15.75" thickBot="1">
      <c r="A1335" s="565" t="s">
        <v>643</v>
      </c>
      <c r="B1335" s="565">
        <v>42000</v>
      </c>
      <c r="C1335" s="566">
        <v>14</v>
      </c>
      <c r="D1335" s="566">
        <v>0.21</v>
      </c>
      <c r="E1335" s="566">
        <v>10304</v>
      </c>
      <c r="F1335" s="566">
        <v>52304</v>
      </c>
      <c r="G1335" s="566">
        <v>1470</v>
      </c>
      <c r="H1335" s="566">
        <v>3631</v>
      </c>
      <c r="I1335" s="558" t="str">
        <f t="shared" si="19"/>
        <v>GooD</v>
      </c>
    </row>
    <row r="1336" spans="1:9" ht="15.75" thickTop="1">
      <c r="A1336" s="567" t="s">
        <v>643</v>
      </c>
      <c r="B1336" s="567">
        <v>42000</v>
      </c>
      <c r="C1336" s="568">
        <v>16</v>
      </c>
      <c r="D1336" s="568">
        <v>0.21</v>
      </c>
      <c r="E1336" s="568">
        <v>11776</v>
      </c>
      <c r="F1336" s="568">
        <v>53776</v>
      </c>
      <c r="G1336" s="568">
        <v>1680</v>
      </c>
      <c r="H1336" s="568">
        <v>3256</v>
      </c>
      <c r="I1336" s="559" t="str">
        <f t="shared" si="19"/>
        <v>GooD</v>
      </c>
    </row>
    <row r="1337" spans="1:9">
      <c r="A1337" s="563" t="s">
        <v>643</v>
      </c>
      <c r="B1337" s="563">
        <v>42000</v>
      </c>
      <c r="C1337" s="564">
        <v>18</v>
      </c>
      <c r="D1337" s="564">
        <v>0.21</v>
      </c>
      <c r="E1337" s="564">
        <v>13242</v>
      </c>
      <c r="F1337" s="564">
        <v>55242</v>
      </c>
      <c r="G1337" s="564">
        <v>1890</v>
      </c>
      <c r="H1337" s="564">
        <v>2964</v>
      </c>
      <c r="I1337" s="557" t="str">
        <f t="shared" si="19"/>
        <v>GooD</v>
      </c>
    </row>
    <row r="1338" spans="1:9" ht="15.75" thickBot="1">
      <c r="A1338" s="565" t="s">
        <v>643</v>
      </c>
      <c r="B1338" s="565">
        <v>42000</v>
      </c>
      <c r="C1338" s="566">
        <v>20</v>
      </c>
      <c r="D1338" s="566">
        <v>0.21</v>
      </c>
      <c r="E1338" s="566">
        <v>14720</v>
      </c>
      <c r="F1338" s="566">
        <v>56720</v>
      </c>
      <c r="G1338" s="566">
        <v>2100</v>
      </c>
      <c r="H1338" s="566">
        <v>2731</v>
      </c>
      <c r="I1338" s="558" t="str">
        <f t="shared" si="19"/>
        <v>GooD</v>
      </c>
    </row>
    <row r="1339" spans="1:9" ht="15.75" thickTop="1">
      <c r="A1339" s="567" t="s">
        <v>643</v>
      </c>
      <c r="B1339" s="567">
        <v>42000</v>
      </c>
      <c r="C1339" s="568">
        <v>22</v>
      </c>
      <c r="D1339" s="568">
        <v>0.21</v>
      </c>
      <c r="E1339" s="568">
        <v>16190</v>
      </c>
      <c r="F1339" s="568">
        <v>58190</v>
      </c>
      <c r="G1339" s="568">
        <v>2310</v>
      </c>
      <c r="H1339" s="568">
        <v>2540</v>
      </c>
      <c r="I1339" s="559" t="str">
        <f t="shared" ref="I1339:I1404" si="20">IF(((H1339*C1339)+G1339)=F1339,"GooD","لالالالالالالا")</f>
        <v>GooD</v>
      </c>
    </row>
    <row r="1340" spans="1:9">
      <c r="A1340" s="563" t="s">
        <v>643</v>
      </c>
      <c r="B1340" s="563">
        <v>42000</v>
      </c>
      <c r="C1340" s="564">
        <v>24</v>
      </c>
      <c r="D1340" s="564">
        <v>0.21</v>
      </c>
      <c r="E1340" s="564">
        <v>17664</v>
      </c>
      <c r="F1340" s="564">
        <v>59664</v>
      </c>
      <c r="G1340" s="564">
        <v>2520</v>
      </c>
      <c r="H1340" s="564">
        <v>2381</v>
      </c>
      <c r="I1340" s="557" t="str">
        <f t="shared" si="20"/>
        <v>GooD</v>
      </c>
    </row>
    <row r="1341" spans="1:9" ht="15.75" thickBot="1">
      <c r="A1341" s="565" t="s">
        <v>643</v>
      </c>
      <c r="B1341" s="565">
        <v>43000</v>
      </c>
      <c r="C1341" s="566">
        <v>6</v>
      </c>
      <c r="D1341" s="566">
        <v>0.21</v>
      </c>
      <c r="E1341" s="566">
        <v>4517</v>
      </c>
      <c r="F1341" s="566">
        <v>47517</v>
      </c>
      <c r="G1341" s="566">
        <v>645</v>
      </c>
      <c r="H1341" s="566">
        <v>7812</v>
      </c>
      <c r="I1341" s="558" t="str">
        <f t="shared" si="20"/>
        <v>GooD</v>
      </c>
    </row>
    <row r="1342" spans="1:9" ht="15.75" thickTop="1">
      <c r="A1342" s="567" t="s">
        <v>643</v>
      </c>
      <c r="B1342" s="567">
        <v>43000</v>
      </c>
      <c r="C1342" s="568">
        <v>8</v>
      </c>
      <c r="D1342" s="568">
        <v>0.21</v>
      </c>
      <c r="E1342" s="568">
        <v>6028</v>
      </c>
      <c r="F1342" s="568">
        <v>49028</v>
      </c>
      <c r="G1342" s="568">
        <v>860</v>
      </c>
      <c r="H1342" s="568">
        <v>6021</v>
      </c>
      <c r="I1342" s="559" t="str">
        <f t="shared" si="20"/>
        <v>GooD</v>
      </c>
    </row>
    <row r="1343" spans="1:9">
      <c r="A1343" s="563" t="s">
        <v>643</v>
      </c>
      <c r="B1343" s="563">
        <v>43000</v>
      </c>
      <c r="C1343" s="564">
        <v>10</v>
      </c>
      <c r="D1343" s="564">
        <v>0.21</v>
      </c>
      <c r="E1343" s="564">
        <v>7535</v>
      </c>
      <c r="F1343" s="564">
        <v>50535</v>
      </c>
      <c r="G1343" s="564">
        <v>1075</v>
      </c>
      <c r="H1343" s="564">
        <v>4946</v>
      </c>
      <c r="I1343" s="557" t="str">
        <f t="shared" si="20"/>
        <v>GooD</v>
      </c>
    </row>
    <row r="1344" spans="1:9" ht="15.75" thickBot="1">
      <c r="A1344" s="565" t="s">
        <v>643</v>
      </c>
      <c r="B1344" s="565">
        <v>43000</v>
      </c>
      <c r="C1344" s="566">
        <v>12</v>
      </c>
      <c r="D1344" s="566">
        <v>0.21</v>
      </c>
      <c r="E1344" s="566">
        <v>9038</v>
      </c>
      <c r="F1344" s="566">
        <v>52038</v>
      </c>
      <c r="G1344" s="566">
        <v>1290</v>
      </c>
      <c r="H1344" s="566">
        <v>4229</v>
      </c>
      <c r="I1344" s="558" t="str">
        <f t="shared" si="20"/>
        <v>GooD</v>
      </c>
    </row>
    <row r="1345" spans="1:9" ht="15.75" thickTop="1">
      <c r="A1345" s="567" t="s">
        <v>643</v>
      </c>
      <c r="B1345" s="567">
        <v>43000</v>
      </c>
      <c r="C1345" s="568">
        <v>14</v>
      </c>
      <c r="D1345" s="568">
        <v>0.21</v>
      </c>
      <c r="E1345" s="568">
        <v>10543</v>
      </c>
      <c r="F1345" s="568">
        <v>53543</v>
      </c>
      <c r="G1345" s="568">
        <v>1505</v>
      </c>
      <c r="H1345" s="568">
        <v>3717</v>
      </c>
      <c r="I1345" s="559" t="str">
        <f t="shared" si="20"/>
        <v>GooD</v>
      </c>
    </row>
    <row r="1346" spans="1:9">
      <c r="A1346" s="563" t="s">
        <v>643</v>
      </c>
      <c r="B1346" s="563">
        <v>43000</v>
      </c>
      <c r="C1346" s="564">
        <v>16</v>
      </c>
      <c r="D1346" s="564">
        <v>0.21</v>
      </c>
      <c r="E1346" s="564">
        <v>12048</v>
      </c>
      <c r="F1346" s="564">
        <v>55048</v>
      </c>
      <c r="G1346" s="564">
        <v>1720</v>
      </c>
      <c r="H1346" s="564">
        <v>3333</v>
      </c>
      <c r="I1346" s="557" t="str">
        <f t="shared" si="20"/>
        <v>GooD</v>
      </c>
    </row>
    <row r="1347" spans="1:9" ht="15.75" thickBot="1">
      <c r="A1347" s="565" t="s">
        <v>643</v>
      </c>
      <c r="B1347" s="565">
        <v>43000</v>
      </c>
      <c r="C1347" s="566">
        <v>18</v>
      </c>
      <c r="D1347" s="566">
        <v>0.21</v>
      </c>
      <c r="E1347" s="566">
        <v>13547</v>
      </c>
      <c r="F1347" s="566">
        <v>56547</v>
      </c>
      <c r="G1347" s="566">
        <v>1935</v>
      </c>
      <c r="H1347" s="566">
        <v>3034</v>
      </c>
      <c r="I1347" s="558" t="str">
        <f t="shared" si="20"/>
        <v>GooD</v>
      </c>
    </row>
    <row r="1348" spans="1:9" ht="15.75" thickTop="1">
      <c r="A1348" s="567" t="s">
        <v>643</v>
      </c>
      <c r="B1348" s="567">
        <v>43000</v>
      </c>
      <c r="C1348" s="568">
        <v>20</v>
      </c>
      <c r="D1348" s="568">
        <v>0.21</v>
      </c>
      <c r="E1348" s="568">
        <v>15070</v>
      </c>
      <c r="F1348" s="568">
        <v>58070</v>
      </c>
      <c r="G1348" s="568">
        <v>2150</v>
      </c>
      <c r="H1348" s="568">
        <v>2796</v>
      </c>
      <c r="I1348" s="559" t="str">
        <f t="shared" si="20"/>
        <v>GooD</v>
      </c>
    </row>
    <row r="1349" spans="1:9">
      <c r="A1349" s="563" t="s">
        <v>643</v>
      </c>
      <c r="B1349" s="563">
        <v>43000</v>
      </c>
      <c r="C1349" s="564">
        <v>22</v>
      </c>
      <c r="D1349" s="564">
        <v>0.21</v>
      </c>
      <c r="E1349" s="564">
        <v>16565</v>
      </c>
      <c r="F1349" s="564">
        <v>59565</v>
      </c>
      <c r="G1349" s="564">
        <v>2365</v>
      </c>
      <c r="H1349" s="564">
        <v>2600</v>
      </c>
      <c r="I1349" s="557" t="str">
        <f t="shared" si="20"/>
        <v>GooD</v>
      </c>
    </row>
    <row r="1350" spans="1:9" ht="15.75" thickBot="1">
      <c r="A1350" s="565" t="s">
        <v>643</v>
      </c>
      <c r="B1350" s="565">
        <v>43000</v>
      </c>
      <c r="C1350" s="566">
        <v>24</v>
      </c>
      <c r="D1350" s="566">
        <v>0.21</v>
      </c>
      <c r="E1350" s="566">
        <v>18068</v>
      </c>
      <c r="F1350" s="566">
        <v>61068</v>
      </c>
      <c r="G1350" s="566">
        <v>2580</v>
      </c>
      <c r="H1350" s="566">
        <v>2437</v>
      </c>
      <c r="I1350" s="558" t="str">
        <f t="shared" si="20"/>
        <v>GooD</v>
      </c>
    </row>
    <row r="1351" spans="1:9" ht="15.75" thickTop="1">
      <c r="A1351" s="567" t="s">
        <v>643</v>
      </c>
      <c r="B1351" s="567">
        <v>44000</v>
      </c>
      <c r="C1351" s="568">
        <v>6</v>
      </c>
      <c r="D1351" s="568">
        <v>0.21</v>
      </c>
      <c r="E1351" s="568">
        <v>4624</v>
      </c>
      <c r="F1351" s="568">
        <v>48624</v>
      </c>
      <c r="G1351" s="568">
        <v>660</v>
      </c>
      <c r="H1351" s="568">
        <v>7994</v>
      </c>
      <c r="I1351" s="559" t="str">
        <f t="shared" si="20"/>
        <v>GooD</v>
      </c>
    </row>
    <row r="1352" spans="1:9">
      <c r="A1352" s="563" t="s">
        <v>643</v>
      </c>
      <c r="B1352" s="563">
        <v>44000</v>
      </c>
      <c r="C1352" s="564">
        <v>8</v>
      </c>
      <c r="D1352" s="564">
        <v>0.21</v>
      </c>
      <c r="E1352" s="564">
        <v>6168</v>
      </c>
      <c r="F1352" s="564">
        <v>50168</v>
      </c>
      <c r="G1352" s="564">
        <v>880</v>
      </c>
      <c r="H1352" s="564">
        <v>6161</v>
      </c>
      <c r="I1352" s="557" t="str">
        <f t="shared" si="20"/>
        <v>GooD</v>
      </c>
    </row>
    <row r="1353" spans="1:9" ht="15.75" thickBot="1">
      <c r="A1353" s="565" t="s">
        <v>643</v>
      </c>
      <c r="B1353" s="565">
        <v>44000</v>
      </c>
      <c r="C1353" s="566">
        <v>10</v>
      </c>
      <c r="D1353" s="566">
        <v>0.21</v>
      </c>
      <c r="E1353" s="566">
        <v>7710</v>
      </c>
      <c r="F1353" s="566">
        <v>51710</v>
      </c>
      <c r="G1353" s="566">
        <v>1100</v>
      </c>
      <c r="H1353" s="566">
        <v>5061</v>
      </c>
      <c r="I1353" s="558" t="str">
        <f t="shared" si="20"/>
        <v>GooD</v>
      </c>
    </row>
    <row r="1354" spans="1:9" ht="15.75" thickTop="1">
      <c r="A1354" s="567" t="s">
        <v>643</v>
      </c>
      <c r="B1354" s="567">
        <v>44000</v>
      </c>
      <c r="C1354" s="568">
        <v>12</v>
      </c>
      <c r="D1354" s="568">
        <v>0.21</v>
      </c>
      <c r="E1354" s="568">
        <v>9244</v>
      </c>
      <c r="F1354" s="568">
        <v>53244</v>
      </c>
      <c r="G1354" s="568">
        <v>1320</v>
      </c>
      <c r="H1354" s="568">
        <v>4327</v>
      </c>
      <c r="I1354" s="559" t="str">
        <f t="shared" si="20"/>
        <v>GooD</v>
      </c>
    </row>
    <row r="1355" spans="1:9">
      <c r="A1355" s="563" t="s">
        <v>643</v>
      </c>
      <c r="B1355" s="563">
        <v>44000</v>
      </c>
      <c r="C1355" s="564">
        <v>14</v>
      </c>
      <c r="D1355" s="564">
        <v>0.21</v>
      </c>
      <c r="E1355" s="564">
        <v>10782</v>
      </c>
      <c r="F1355" s="564">
        <v>54782</v>
      </c>
      <c r="G1355" s="564">
        <v>1540</v>
      </c>
      <c r="H1355" s="564">
        <v>3803</v>
      </c>
      <c r="I1355" s="557" t="str">
        <f t="shared" si="20"/>
        <v>GooD</v>
      </c>
    </row>
    <row r="1356" spans="1:9" ht="15.75" thickBot="1">
      <c r="A1356" s="565" t="s">
        <v>643</v>
      </c>
      <c r="B1356" s="565">
        <v>44000</v>
      </c>
      <c r="C1356" s="566">
        <v>16</v>
      </c>
      <c r="D1356" s="566">
        <v>0.21</v>
      </c>
      <c r="E1356" s="566">
        <v>12336</v>
      </c>
      <c r="F1356" s="566">
        <v>56336</v>
      </c>
      <c r="G1356" s="566">
        <v>1760</v>
      </c>
      <c r="H1356" s="566">
        <v>3411</v>
      </c>
      <c r="I1356" s="558" t="str">
        <f t="shared" si="20"/>
        <v>GooD</v>
      </c>
    </row>
    <row r="1357" spans="1:9" ht="15.75" thickTop="1">
      <c r="A1357" s="567" t="s">
        <v>643</v>
      </c>
      <c r="B1357" s="567">
        <v>44000</v>
      </c>
      <c r="C1357" s="568">
        <v>18</v>
      </c>
      <c r="D1357" s="568">
        <v>0.21</v>
      </c>
      <c r="E1357" s="568">
        <v>13870</v>
      </c>
      <c r="F1357" s="568">
        <v>57870</v>
      </c>
      <c r="G1357" s="568">
        <v>1980</v>
      </c>
      <c r="H1357" s="568">
        <v>3105</v>
      </c>
      <c r="I1357" s="559" t="str">
        <f t="shared" si="20"/>
        <v>GooD</v>
      </c>
    </row>
    <row r="1358" spans="1:9">
      <c r="A1358" s="563" t="s">
        <v>643</v>
      </c>
      <c r="B1358" s="563">
        <v>44000</v>
      </c>
      <c r="C1358" s="564">
        <v>20</v>
      </c>
      <c r="D1358" s="564">
        <v>0.21</v>
      </c>
      <c r="E1358" s="564">
        <v>15420</v>
      </c>
      <c r="F1358" s="564">
        <v>59420</v>
      </c>
      <c r="G1358" s="564">
        <v>2200</v>
      </c>
      <c r="H1358" s="564">
        <v>2861</v>
      </c>
      <c r="I1358" s="557" t="str">
        <f t="shared" si="20"/>
        <v>GooD</v>
      </c>
    </row>
    <row r="1359" spans="1:9" ht="15.75" thickBot="1">
      <c r="A1359" s="565" t="s">
        <v>643</v>
      </c>
      <c r="B1359" s="565">
        <v>44000</v>
      </c>
      <c r="C1359" s="566">
        <v>22</v>
      </c>
      <c r="D1359" s="566">
        <v>0.21</v>
      </c>
      <c r="E1359" s="566">
        <v>16962</v>
      </c>
      <c r="F1359" s="566">
        <v>60962</v>
      </c>
      <c r="G1359" s="566">
        <v>2420</v>
      </c>
      <c r="H1359" s="566">
        <v>2661</v>
      </c>
      <c r="I1359" s="558" t="str">
        <f t="shared" si="20"/>
        <v>GooD</v>
      </c>
    </row>
    <row r="1360" spans="1:9" ht="15.75" thickTop="1">
      <c r="A1360" s="567" t="s">
        <v>643</v>
      </c>
      <c r="B1360" s="567">
        <v>44000</v>
      </c>
      <c r="C1360" s="568">
        <v>24</v>
      </c>
      <c r="D1360" s="568">
        <v>0.21</v>
      </c>
      <c r="E1360" s="568">
        <v>18496</v>
      </c>
      <c r="F1360" s="568">
        <v>62496</v>
      </c>
      <c r="G1360" s="568">
        <v>2640</v>
      </c>
      <c r="H1360" s="568">
        <v>2494</v>
      </c>
      <c r="I1360" s="559" t="str">
        <f t="shared" si="20"/>
        <v>GooD</v>
      </c>
    </row>
    <row r="1361" spans="1:9">
      <c r="A1361" s="563" t="s">
        <v>643</v>
      </c>
      <c r="B1361" s="563">
        <v>45000</v>
      </c>
      <c r="C1361" s="564">
        <v>6</v>
      </c>
      <c r="D1361" s="564">
        <v>0.21</v>
      </c>
      <c r="E1361" s="564">
        <v>4731</v>
      </c>
      <c r="F1361" s="564">
        <v>49731</v>
      </c>
      <c r="G1361" s="564">
        <v>675</v>
      </c>
      <c r="H1361" s="564">
        <v>8176</v>
      </c>
      <c r="I1361" s="557" t="str">
        <f t="shared" si="20"/>
        <v>GooD</v>
      </c>
    </row>
    <row r="1362" spans="1:9" ht="15.75" thickBot="1">
      <c r="A1362" s="565" t="s">
        <v>643</v>
      </c>
      <c r="B1362" s="565">
        <v>45000</v>
      </c>
      <c r="C1362" s="566">
        <v>8</v>
      </c>
      <c r="D1362" s="566">
        <v>0.21</v>
      </c>
      <c r="E1362" s="566">
        <v>6308</v>
      </c>
      <c r="F1362" s="566">
        <v>51308</v>
      </c>
      <c r="G1362" s="566">
        <v>900</v>
      </c>
      <c r="H1362" s="566">
        <v>6301</v>
      </c>
      <c r="I1362" s="558" t="str">
        <f t="shared" si="20"/>
        <v>GooD</v>
      </c>
    </row>
    <row r="1363" spans="1:9" ht="15.75" thickTop="1">
      <c r="A1363" s="567" t="s">
        <v>643</v>
      </c>
      <c r="B1363" s="567">
        <v>45000</v>
      </c>
      <c r="C1363" s="568">
        <v>10</v>
      </c>
      <c r="D1363" s="568">
        <v>0.21</v>
      </c>
      <c r="E1363" s="568">
        <v>7885</v>
      </c>
      <c r="F1363" s="568">
        <v>52885</v>
      </c>
      <c r="G1363" s="568">
        <v>1125</v>
      </c>
      <c r="H1363" s="568">
        <v>5176</v>
      </c>
      <c r="I1363" s="559" t="str">
        <f t="shared" si="20"/>
        <v>GooD</v>
      </c>
    </row>
    <row r="1364" spans="1:9">
      <c r="A1364" s="563" t="s">
        <v>643</v>
      </c>
      <c r="B1364" s="563">
        <v>45000</v>
      </c>
      <c r="C1364" s="564">
        <v>12</v>
      </c>
      <c r="D1364" s="564">
        <v>0.21</v>
      </c>
      <c r="E1364" s="564">
        <v>9462</v>
      </c>
      <c r="F1364" s="564">
        <v>54462</v>
      </c>
      <c r="G1364" s="564">
        <v>1350</v>
      </c>
      <c r="H1364" s="564">
        <v>4426</v>
      </c>
      <c r="I1364" s="557" t="str">
        <f t="shared" si="20"/>
        <v>GooD</v>
      </c>
    </row>
    <row r="1365" spans="1:9" ht="15.75" thickBot="1">
      <c r="A1365" s="565" t="s">
        <v>643</v>
      </c>
      <c r="B1365" s="565">
        <v>45000</v>
      </c>
      <c r="C1365" s="566">
        <v>14</v>
      </c>
      <c r="D1365" s="566">
        <v>0.21</v>
      </c>
      <c r="E1365" s="566">
        <v>11035</v>
      </c>
      <c r="F1365" s="566">
        <v>56035</v>
      </c>
      <c r="G1365" s="566">
        <v>1575</v>
      </c>
      <c r="H1365" s="566">
        <v>3890</v>
      </c>
      <c r="I1365" s="558" t="str">
        <f t="shared" si="20"/>
        <v>GooD</v>
      </c>
    </row>
    <row r="1366" spans="1:9" ht="15.75" thickTop="1">
      <c r="A1366" s="567" t="s">
        <v>643</v>
      </c>
      <c r="B1366" s="567">
        <v>45000</v>
      </c>
      <c r="C1366" s="568">
        <v>16</v>
      </c>
      <c r="D1366" s="568">
        <v>0.21</v>
      </c>
      <c r="E1366" s="568">
        <v>12608</v>
      </c>
      <c r="F1366" s="568">
        <v>57608</v>
      </c>
      <c r="G1366" s="568">
        <v>1800</v>
      </c>
      <c r="H1366" s="568">
        <v>3488</v>
      </c>
      <c r="I1366" s="559" t="str">
        <f t="shared" si="20"/>
        <v>GooD</v>
      </c>
    </row>
    <row r="1367" spans="1:9">
      <c r="A1367" s="563" t="s">
        <v>643</v>
      </c>
      <c r="B1367" s="563">
        <v>45000</v>
      </c>
      <c r="C1367" s="564">
        <v>18</v>
      </c>
      <c r="D1367" s="564">
        <v>0.21</v>
      </c>
      <c r="E1367" s="564">
        <v>14193</v>
      </c>
      <c r="F1367" s="564">
        <v>59193</v>
      </c>
      <c r="G1367" s="564">
        <v>2025</v>
      </c>
      <c r="H1367" s="564">
        <v>3176</v>
      </c>
      <c r="I1367" s="557" t="str">
        <f t="shared" si="20"/>
        <v>GooD</v>
      </c>
    </row>
    <row r="1368" spans="1:9" ht="15.75" thickBot="1">
      <c r="A1368" s="565" t="s">
        <v>643</v>
      </c>
      <c r="B1368" s="565">
        <v>45000</v>
      </c>
      <c r="C1368" s="566">
        <v>20</v>
      </c>
      <c r="D1368" s="566">
        <v>0.21</v>
      </c>
      <c r="E1368" s="566">
        <v>15770</v>
      </c>
      <c r="F1368" s="566">
        <v>60770</v>
      </c>
      <c r="G1368" s="566">
        <v>2250</v>
      </c>
      <c r="H1368" s="566">
        <v>2926</v>
      </c>
      <c r="I1368" s="558" t="str">
        <f t="shared" si="20"/>
        <v>GooD</v>
      </c>
    </row>
    <row r="1369" spans="1:9" ht="15.75" thickTop="1">
      <c r="A1369" s="567" t="s">
        <v>643</v>
      </c>
      <c r="B1369" s="567">
        <v>45000</v>
      </c>
      <c r="C1369" s="568">
        <v>22</v>
      </c>
      <c r="D1369" s="568">
        <v>0.21</v>
      </c>
      <c r="E1369" s="568">
        <v>17337</v>
      </c>
      <c r="F1369" s="568">
        <v>62337</v>
      </c>
      <c r="G1369" s="568">
        <v>2475</v>
      </c>
      <c r="H1369" s="568">
        <v>2721</v>
      </c>
      <c r="I1369" s="559" t="str">
        <f t="shared" si="20"/>
        <v>GooD</v>
      </c>
    </row>
    <row r="1370" spans="1:9">
      <c r="A1370" s="563" t="s">
        <v>643</v>
      </c>
      <c r="B1370" s="563">
        <v>45000</v>
      </c>
      <c r="C1370" s="564">
        <v>24</v>
      </c>
      <c r="D1370" s="564">
        <v>0.21</v>
      </c>
      <c r="E1370" s="564">
        <v>18924</v>
      </c>
      <c r="F1370" s="564">
        <v>63924</v>
      </c>
      <c r="G1370" s="564">
        <v>2700</v>
      </c>
      <c r="H1370" s="564">
        <v>2551</v>
      </c>
      <c r="I1370" s="557" t="str">
        <f t="shared" si="20"/>
        <v>GooD</v>
      </c>
    </row>
    <row r="1371" spans="1:9" ht="15.75" thickBot="1">
      <c r="A1371" s="565" t="s">
        <v>643</v>
      </c>
      <c r="B1371" s="565">
        <v>46000</v>
      </c>
      <c r="C1371" s="566">
        <v>6</v>
      </c>
      <c r="D1371" s="566">
        <v>0.21</v>
      </c>
      <c r="E1371" s="566">
        <v>4832</v>
      </c>
      <c r="F1371" s="566">
        <v>50832</v>
      </c>
      <c r="G1371" s="566">
        <v>690</v>
      </c>
      <c r="H1371" s="566">
        <v>8357</v>
      </c>
      <c r="I1371" s="558" t="str">
        <f t="shared" si="20"/>
        <v>GooD</v>
      </c>
    </row>
    <row r="1372" spans="1:9" ht="15.75" thickTop="1">
      <c r="A1372" s="567" t="s">
        <v>643</v>
      </c>
      <c r="B1372" s="567">
        <v>46000</v>
      </c>
      <c r="C1372" s="568">
        <v>8</v>
      </c>
      <c r="D1372" s="568">
        <v>0.21</v>
      </c>
      <c r="E1372" s="568">
        <v>6448</v>
      </c>
      <c r="F1372" s="568">
        <v>52448</v>
      </c>
      <c r="G1372" s="568">
        <v>920</v>
      </c>
      <c r="H1372" s="568">
        <v>6441</v>
      </c>
      <c r="I1372" s="559" t="str">
        <f t="shared" si="20"/>
        <v>GooD</v>
      </c>
    </row>
    <row r="1373" spans="1:9">
      <c r="A1373" s="563" t="s">
        <v>643</v>
      </c>
      <c r="B1373" s="563">
        <v>46000</v>
      </c>
      <c r="C1373" s="564">
        <v>10</v>
      </c>
      <c r="D1373" s="564">
        <v>0.21</v>
      </c>
      <c r="E1373" s="564">
        <v>8060</v>
      </c>
      <c r="F1373" s="564">
        <v>54060</v>
      </c>
      <c r="G1373" s="564">
        <v>1150</v>
      </c>
      <c r="H1373" s="564">
        <v>5291</v>
      </c>
      <c r="I1373" s="557" t="str">
        <f t="shared" si="20"/>
        <v>GooD</v>
      </c>
    </row>
    <row r="1374" spans="1:9" ht="15.75" thickBot="1">
      <c r="A1374" s="565" t="s">
        <v>643</v>
      </c>
      <c r="B1374" s="565">
        <v>46000</v>
      </c>
      <c r="C1374" s="566">
        <v>12</v>
      </c>
      <c r="D1374" s="566">
        <v>0.21</v>
      </c>
      <c r="E1374" s="566">
        <v>9668</v>
      </c>
      <c r="F1374" s="566">
        <v>55668</v>
      </c>
      <c r="G1374" s="566">
        <v>1380</v>
      </c>
      <c r="H1374" s="566">
        <v>4524</v>
      </c>
      <c r="I1374" s="558" t="str">
        <f t="shared" si="20"/>
        <v>GooD</v>
      </c>
    </row>
    <row r="1375" spans="1:9" ht="15.75" thickTop="1">
      <c r="A1375" s="567" t="s">
        <v>643</v>
      </c>
      <c r="B1375" s="567">
        <v>46000</v>
      </c>
      <c r="C1375" s="568">
        <v>14</v>
      </c>
      <c r="D1375" s="568">
        <v>0.21</v>
      </c>
      <c r="E1375" s="568">
        <v>11274</v>
      </c>
      <c r="F1375" s="568">
        <v>57274</v>
      </c>
      <c r="G1375" s="568">
        <v>1610</v>
      </c>
      <c r="H1375" s="568">
        <v>3976</v>
      </c>
      <c r="I1375" s="559" t="str">
        <f t="shared" si="20"/>
        <v>GooD</v>
      </c>
    </row>
    <row r="1376" spans="1:9">
      <c r="A1376" s="563" t="s">
        <v>643</v>
      </c>
      <c r="B1376" s="563">
        <v>46000</v>
      </c>
      <c r="C1376" s="564">
        <v>16</v>
      </c>
      <c r="D1376" s="564">
        <v>0.21</v>
      </c>
      <c r="E1376" s="564">
        <v>12896</v>
      </c>
      <c r="F1376" s="564">
        <v>58896</v>
      </c>
      <c r="G1376" s="564">
        <v>1840</v>
      </c>
      <c r="H1376" s="564">
        <v>3566</v>
      </c>
      <c r="I1376" s="557" t="str">
        <f t="shared" si="20"/>
        <v>GooD</v>
      </c>
    </row>
    <row r="1377" spans="1:9" ht="15.75" thickBot="1">
      <c r="A1377" s="565" t="s">
        <v>643</v>
      </c>
      <c r="B1377" s="565">
        <v>46000</v>
      </c>
      <c r="C1377" s="566">
        <v>18</v>
      </c>
      <c r="D1377" s="566">
        <v>0.21</v>
      </c>
      <c r="E1377" s="566">
        <v>14498</v>
      </c>
      <c r="F1377" s="566">
        <v>60498</v>
      </c>
      <c r="G1377" s="566">
        <v>2070</v>
      </c>
      <c r="H1377" s="566">
        <v>3246</v>
      </c>
      <c r="I1377" s="558" t="str">
        <f t="shared" si="20"/>
        <v>GooD</v>
      </c>
    </row>
    <row r="1378" spans="1:9" ht="15.75" thickTop="1">
      <c r="A1378" s="567" t="s">
        <v>643</v>
      </c>
      <c r="B1378" s="567">
        <v>46000</v>
      </c>
      <c r="C1378" s="568">
        <v>20</v>
      </c>
      <c r="D1378" s="568">
        <v>0.21</v>
      </c>
      <c r="E1378" s="568">
        <v>16120</v>
      </c>
      <c r="F1378" s="568">
        <v>62120</v>
      </c>
      <c r="G1378" s="568">
        <v>2300</v>
      </c>
      <c r="H1378" s="568">
        <v>2991</v>
      </c>
      <c r="I1378" s="559" t="str">
        <f t="shared" si="20"/>
        <v>GooD</v>
      </c>
    </row>
    <row r="1379" spans="1:9">
      <c r="A1379" s="563" t="s">
        <v>643</v>
      </c>
      <c r="B1379" s="563">
        <v>46000</v>
      </c>
      <c r="C1379" s="564">
        <v>22</v>
      </c>
      <c r="D1379" s="564">
        <v>0.21</v>
      </c>
      <c r="E1379" s="564">
        <v>17712</v>
      </c>
      <c r="F1379" s="564">
        <v>63712</v>
      </c>
      <c r="G1379" s="564">
        <v>2530</v>
      </c>
      <c r="H1379" s="564">
        <v>2781</v>
      </c>
      <c r="I1379" s="557" t="str">
        <f t="shared" si="20"/>
        <v>GooD</v>
      </c>
    </row>
    <row r="1380" spans="1:9" ht="15.75" thickBot="1">
      <c r="A1380" s="565" t="s">
        <v>643</v>
      </c>
      <c r="B1380" s="565">
        <v>46000</v>
      </c>
      <c r="C1380" s="566">
        <v>24</v>
      </c>
      <c r="D1380" s="566">
        <v>0.21</v>
      </c>
      <c r="E1380" s="566">
        <v>19328</v>
      </c>
      <c r="F1380" s="566">
        <v>65328</v>
      </c>
      <c r="G1380" s="566">
        <v>2760</v>
      </c>
      <c r="H1380" s="566">
        <v>2607</v>
      </c>
      <c r="I1380" s="558" t="str">
        <f t="shared" si="20"/>
        <v>GooD</v>
      </c>
    </row>
    <row r="1381" spans="1:9" ht="15.75" thickTop="1">
      <c r="A1381" s="567" t="s">
        <v>643</v>
      </c>
      <c r="B1381" s="567">
        <v>47000</v>
      </c>
      <c r="C1381" s="568">
        <v>6</v>
      </c>
      <c r="D1381" s="568">
        <v>0.21</v>
      </c>
      <c r="E1381" s="568">
        <v>4939</v>
      </c>
      <c r="F1381" s="568">
        <v>51939</v>
      </c>
      <c r="G1381" s="568">
        <v>705</v>
      </c>
      <c r="H1381" s="568">
        <v>8539</v>
      </c>
      <c r="I1381" s="559" t="str">
        <f t="shared" si="20"/>
        <v>GooD</v>
      </c>
    </row>
    <row r="1382" spans="1:9">
      <c r="A1382" s="563" t="s">
        <v>643</v>
      </c>
      <c r="B1382" s="563">
        <v>47000</v>
      </c>
      <c r="C1382" s="564">
        <v>8</v>
      </c>
      <c r="D1382" s="564">
        <v>0.21</v>
      </c>
      <c r="E1382" s="564">
        <v>6588</v>
      </c>
      <c r="F1382" s="564">
        <v>53588</v>
      </c>
      <c r="G1382" s="564">
        <v>940</v>
      </c>
      <c r="H1382" s="564">
        <v>6581</v>
      </c>
      <c r="I1382" s="557" t="str">
        <f t="shared" si="20"/>
        <v>GooD</v>
      </c>
    </row>
    <row r="1383" spans="1:9" ht="15.75" thickBot="1">
      <c r="A1383" s="565" t="s">
        <v>643</v>
      </c>
      <c r="B1383" s="565">
        <v>47000</v>
      </c>
      <c r="C1383" s="566">
        <v>10</v>
      </c>
      <c r="D1383" s="566">
        <v>0.21</v>
      </c>
      <c r="E1383" s="566">
        <v>8235</v>
      </c>
      <c r="F1383" s="566">
        <v>55235</v>
      </c>
      <c r="G1383" s="566">
        <v>1175</v>
      </c>
      <c r="H1383" s="566">
        <v>5406</v>
      </c>
      <c r="I1383" s="558" t="str">
        <f t="shared" si="20"/>
        <v>GooD</v>
      </c>
    </row>
    <row r="1384" spans="1:9" ht="15.75" thickTop="1">
      <c r="A1384" s="567" t="s">
        <v>643</v>
      </c>
      <c r="B1384" s="567">
        <v>47000</v>
      </c>
      <c r="C1384" s="568">
        <v>12</v>
      </c>
      <c r="D1384" s="568">
        <v>0.21</v>
      </c>
      <c r="E1384" s="568">
        <v>9874</v>
      </c>
      <c r="F1384" s="568">
        <v>56874</v>
      </c>
      <c r="G1384" s="568">
        <v>1410</v>
      </c>
      <c r="H1384" s="568">
        <v>4622</v>
      </c>
      <c r="I1384" s="559" t="str">
        <f t="shared" si="20"/>
        <v>GooD</v>
      </c>
    </row>
    <row r="1385" spans="1:9">
      <c r="A1385" s="563" t="s">
        <v>643</v>
      </c>
      <c r="B1385" s="563">
        <v>47000</v>
      </c>
      <c r="C1385" s="564">
        <v>14</v>
      </c>
      <c r="D1385" s="564">
        <v>0.21</v>
      </c>
      <c r="E1385" s="564">
        <v>11527</v>
      </c>
      <c r="F1385" s="564">
        <v>58527</v>
      </c>
      <c r="G1385" s="564">
        <v>1645</v>
      </c>
      <c r="H1385" s="564">
        <v>4063</v>
      </c>
      <c r="I1385" s="557" t="str">
        <f t="shared" si="20"/>
        <v>GooD</v>
      </c>
    </row>
    <row r="1386" spans="1:9" ht="15.75" thickBot="1">
      <c r="A1386" s="565" t="s">
        <v>643</v>
      </c>
      <c r="B1386" s="565">
        <v>47000</v>
      </c>
      <c r="C1386" s="566">
        <v>16</v>
      </c>
      <c r="D1386" s="566">
        <v>0.21</v>
      </c>
      <c r="E1386" s="566">
        <v>13168</v>
      </c>
      <c r="F1386" s="566">
        <v>60168</v>
      </c>
      <c r="G1386" s="566">
        <v>1880</v>
      </c>
      <c r="H1386" s="566">
        <v>3643</v>
      </c>
      <c r="I1386" s="558" t="str">
        <f t="shared" si="20"/>
        <v>GooD</v>
      </c>
    </row>
    <row r="1387" spans="1:9" ht="15.75" thickTop="1">
      <c r="A1387" s="567" t="s">
        <v>643</v>
      </c>
      <c r="B1387" s="567">
        <v>47000</v>
      </c>
      <c r="C1387" s="568">
        <v>18</v>
      </c>
      <c r="D1387" s="568">
        <v>0.21</v>
      </c>
      <c r="E1387" s="568">
        <v>14821</v>
      </c>
      <c r="F1387" s="568">
        <v>61821</v>
      </c>
      <c r="G1387" s="568">
        <v>2115</v>
      </c>
      <c r="H1387" s="568">
        <v>3317</v>
      </c>
      <c r="I1387" s="559" t="str">
        <f t="shared" si="20"/>
        <v>GooD</v>
      </c>
    </row>
    <row r="1388" spans="1:9">
      <c r="A1388" s="563" t="s">
        <v>643</v>
      </c>
      <c r="B1388" s="563">
        <v>47000</v>
      </c>
      <c r="C1388" s="564">
        <v>20</v>
      </c>
      <c r="D1388" s="564">
        <v>0.21</v>
      </c>
      <c r="E1388" s="564">
        <v>16470</v>
      </c>
      <c r="F1388" s="564">
        <v>63470</v>
      </c>
      <c r="G1388" s="564">
        <v>2350</v>
      </c>
      <c r="H1388" s="564">
        <v>3056</v>
      </c>
      <c r="I1388" s="557" t="str">
        <f t="shared" si="20"/>
        <v>GooD</v>
      </c>
    </row>
    <row r="1389" spans="1:9" ht="15.75" thickBot="1">
      <c r="A1389" s="565" t="s">
        <v>643</v>
      </c>
      <c r="B1389" s="565">
        <v>47000</v>
      </c>
      <c r="C1389" s="566">
        <v>22</v>
      </c>
      <c r="D1389" s="566">
        <v>0.21</v>
      </c>
      <c r="E1389" s="566">
        <v>18109</v>
      </c>
      <c r="F1389" s="566">
        <v>65109</v>
      </c>
      <c r="G1389" s="566">
        <v>2585</v>
      </c>
      <c r="H1389" s="566">
        <v>2842</v>
      </c>
      <c r="I1389" s="558" t="str">
        <f t="shared" si="20"/>
        <v>GooD</v>
      </c>
    </row>
    <row r="1390" spans="1:9" ht="15.75" thickTop="1">
      <c r="A1390" s="567" t="s">
        <v>643</v>
      </c>
      <c r="B1390" s="567">
        <v>47000</v>
      </c>
      <c r="C1390" s="568">
        <v>24</v>
      </c>
      <c r="D1390" s="568">
        <v>0.21</v>
      </c>
      <c r="E1390" s="568">
        <v>19756</v>
      </c>
      <c r="F1390" s="568">
        <v>66756</v>
      </c>
      <c r="G1390" s="568">
        <v>2820</v>
      </c>
      <c r="H1390" s="568">
        <v>2664</v>
      </c>
      <c r="I1390" s="559" t="str">
        <f t="shared" si="20"/>
        <v>GooD</v>
      </c>
    </row>
    <row r="1391" spans="1:9">
      <c r="A1391" s="563" t="s">
        <v>643</v>
      </c>
      <c r="B1391" s="563">
        <v>48000</v>
      </c>
      <c r="C1391" s="564">
        <v>6</v>
      </c>
      <c r="D1391" s="564">
        <v>0.21</v>
      </c>
      <c r="E1391" s="564">
        <v>5046</v>
      </c>
      <c r="F1391" s="564">
        <v>53046</v>
      </c>
      <c r="G1391" s="564">
        <v>720</v>
      </c>
      <c r="H1391" s="564">
        <v>8721</v>
      </c>
      <c r="I1391" s="557" t="str">
        <f t="shared" si="20"/>
        <v>GooD</v>
      </c>
    </row>
    <row r="1392" spans="1:9" ht="15.75" thickBot="1">
      <c r="A1392" s="565" t="s">
        <v>643</v>
      </c>
      <c r="B1392" s="565">
        <v>48000</v>
      </c>
      <c r="C1392" s="566">
        <v>8</v>
      </c>
      <c r="D1392" s="566">
        <v>0.21</v>
      </c>
      <c r="E1392" s="566">
        <v>6728</v>
      </c>
      <c r="F1392" s="566">
        <v>54728</v>
      </c>
      <c r="G1392" s="566">
        <v>960</v>
      </c>
      <c r="H1392" s="566">
        <v>6721</v>
      </c>
      <c r="I1392" s="558" t="str">
        <f t="shared" si="20"/>
        <v>GooD</v>
      </c>
    </row>
    <row r="1393" spans="1:9" ht="15.75" thickTop="1">
      <c r="A1393" s="567" t="s">
        <v>643</v>
      </c>
      <c r="B1393" s="567">
        <v>48000</v>
      </c>
      <c r="C1393" s="568">
        <v>10</v>
      </c>
      <c r="D1393" s="568">
        <v>0.21</v>
      </c>
      <c r="E1393" s="568">
        <v>8410</v>
      </c>
      <c r="F1393" s="568">
        <v>56410</v>
      </c>
      <c r="G1393" s="568">
        <v>1200</v>
      </c>
      <c r="H1393" s="568">
        <v>5521</v>
      </c>
      <c r="I1393" s="559" t="str">
        <f t="shared" si="20"/>
        <v>GooD</v>
      </c>
    </row>
    <row r="1394" spans="1:9">
      <c r="A1394" s="563" t="s">
        <v>643</v>
      </c>
      <c r="B1394" s="563">
        <v>48000</v>
      </c>
      <c r="C1394" s="564">
        <v>12</v>
      </c>
      <c r="D1394" s="564">
        <v>0.21</v>
      </c>
      <c r="E1394" s="564">
        <v>10092</v>
      </c>
      <c r="F1394" s="564">
        <v>58092</v>
      </c>
      <c r="G1394" s="564">
        <v>1440</v>
      </c>
      <c r="H1394" s="564">
        <v>4721</v>
      </c>
      <c r="I1394" s="557" t="str">
        <f t="shared" si="20"/>
        <v>GooD</v>
      </c>
    </row>
    <row r="1395" spans="1:9" ht="15.75" thickBot="1">
      <c r="A1395" s="565" t="s">
        <v>643</v>
      </c>
      <c r="B1395" s="565">
        <v>48000</v>
      </c>
      <c r="C1395" s="566">
        <v>14</v>
      </c>
      <c r="D1395" s="566">
        <v>0.21</v>
      </c>
      <c r="E1395" s="566">
        <v>11766</v>
      </c>
      <c r="F1395" s="566">
        <v>59766</v>
      </c>
      <c r="G1395" s="566">
        <v>1680</v>
      </c>
      <c r="H1395" s="566">
        <v>4149</v>
      </c>
      <c r="I1395" s="558" t="str">
        <f t="shared" si="20"/>
        <v>GooD</v>
      </c>
    </row>
    <row r="1396" spans="1:9" ht="15.75" thickTop="1">
      <c r="A1396" s="567" t="s">
        <v>643</v>
      </c>
      <c r="B1396" s="567">
        <v>48000</v>
      </c>
      <c r="C1396" s="568">
        <v>16</v>
      </c>
      <c r="D1396" s="568">
        <v>0.21</v>
      </c>
      <c r="E1396" s="568">
        <v>13456</v>
      </c>
      <c r="F1396" s="568">
        <v>61456</v>
      </c>
      <c r="G1396" s="568">
        <v>1920</v>
      </c>
      <c r="H1396" s="568">
        <v>3721</v>
      </c>
      <c r="I1396" s="559" t="str">
        <f t="shared" si="20"/>
        <v>GooD</v>
      </c>
    </row>
    <row r="1397" spans="1:9">
      <c r="A1397" s="563" t="s">
        <v>643</v>
      </c>
      <c r="B1397" s="563">
        <v>48000</v>
      </c>
      <c r="C1397" s="564">
        <v>18</v>
      </c>
      <c r="D1397" s="564">
        <v>0.21</v>
      </c>
      <c r="E1397" s="564">
        <v>15126</v>
      </c>
      <c r="F1397" s="564">
        <v>63126</v>
      </c>
      <c r="G1397" s="564">
        <v>2160</v>
      </c>
      <c r="H1397" s="564">
        <v>3387</v>
      </c>
      <c r="I1397" s="557" t="str">
        <f t="shared" si="20"/>
        <v>GooD</v>
      </c>
    </row>
    <row r="1398" spans="1:9" ht="15.75" thickBot="1">
      <c r="A1398" s="565" t="s">
        <v>643</v>
      </c>
      <c r="B1398" s="565">
        <v>48000</v>
      </c>
      <c r="C1398" s="566">
        <v>20</v>
      </c>
      <c r="D1398" s="566">
        <v>0.21</v>
      </c>
      <c r="E1398" s="566">
        <v>16820</v>
      </c>
      <c r="F1398" s="566">
        <v>64820</v>
      </c>
      <c r="G1398" s="566">
        <v>2400</v>
      </c>
      <c r="H1398" s="566">
        <v>3121</v>
      </c>
      <c r="I1398" s="558" t="str">
        <f t="shared" si="20"/>
        <v>GooD</v>
      </c>
    </row>
    <row r="1399" spans="1:9" ht="15.75" thickTop="1">
      <c r="A1399" s="567" t="s">
        <v>643</v>
      </c>
      <c r="B1399" s="567">
        <v>48000</v>
      </c>
      <c r="C1399" s="568">
        <v>22</v>
      </c>
      <c r="D1399" s="568">
        <v>0.21</v>
      </c>
      <c r="E1399" s="568">
        <v>18484</v>
      </c>
      <c r="F1399" s="568">
        <v>66484</v>
      </c>
      <c r="G1399" s="568">
        <v>2640</v>
      </c>
      <c r="H1399" s="568">
        <v>2902</v>
      </c>
      <c r="I1399" s="559" t="str">
        <f t="shared" si="20"/>
        <v>GooD</v>
      </c>
    </row>
    <row r="1400" spans="1:9">
      <c r="A1400" s="563" t="s">
        <v>643</v>
      </c>
      <c r="B1400" s="563">
        <v>48000</v>
      </c>
      <c r="C1400" s="564">
        <v>24</v>
      </c>
      <c r="D1400" s="564">
        <v>0.21</v>
      </c>
      <c r="E1400" s="564">
        <v>20184</v>
      </c>
      <c r="F1400" s="564">
        <v>68184</v>
      </c>
      <c r="G1400" s="564">
        <v>2880</v>
      </c>
      <c r="H1400" s="564">
        <v>2721</v>
      </c>
      <c r="I1400" s="557" t="str">
        <f t="shared" si="20"/>
        <v>GooD</v>
      </c>
    </row>
    <row r="1401" spans="1:9" ht="15.75" thickBot="1">
      <c r="A1401" s="565" t="s">
        <v>643</v>
      </c>
      <c r="B1401" s="565">
        <v>49000</v>
      </c>
      <c r="C1401" s="566">
        <v>6</v>
      </c>
      <c r="D1401" s="566">
        <v>0.21</v>
      </c>
      <c r="E1401" s="566">
        <v>5147</v>
      </c>
      <c r="F1401" s="566">
        <v>54147</v>
      </c>
      <c r="G1401" s="566">
        <v>735</v>
      </c>
      <c r="H1401" s="566">
        <v>8902</v>
      </c>
      <c r="I1401" s="558" t="str">
        <f t="shared" si="20"/>
        <v>GooD</v>
      </c>
    </row>
    <row r="1402" spans="1:9" ht="15.75" thickTop="1">
      <c r="A1402" s="567" t="s">
        <v>643</v>
      </c>
      <c r="B1402" s="567">
        <v>49000</v>
      </c>
      <c r="C1402" s="568">
        <v>8</v>
      </c>
      <c r="D1402" s="568">
        <v>0.21</v>
      </c>
      <c r="E1402" s="568">
        <v>6868</v>
      </c>
      <c r="F1402" s="568">
        <v>55868</v>
      </c>
      <c r="G1402" s="568">
        <v>980</v>
      </c>
      <c r="H1402" s="568">
        <v>6861</v>
      </c>
      <c r="I1402" s="559" t="str">
        <f t="shared" si="20"/>
        <v>GooD</v>
      </c>
    </row>
    <row r="1403" spans="1:9">
      <c r="A1403" s="563" t="s">
        <v>643</v>
      </c>
      <c r="B1403" s="563">
        <v>49000</v>
      </c>
      <c r="C1403" s="564">
        <v>10</v>
      </c>
      <c r="D1403" s="564">
        <v>0.21</v>
      </c>
      <c r="E1403" s="564">
        <v>8585</v>
      </c>
      <c r="F1403" s="564">
        <v>57585</v>
      </c>
      <c r="G1403" s="564">
        <v>1225</v>
      </c>
      <c r="H1403" s="564">
        <v>5636</v>
      </c>
      <c r="I1403" s="557" t="str">
        <f t="shared" si="20"/>
        <v>GooD</v>
      </c>
    </row>
    <row r="1404" spans="1:9" ht="15.75" thickBot="1">
      <c r="A1404" s="565" t="s">
        <v>643</v>
      </c>
      <c r="B1404" s="565">
        <v>49000</v>
      </c>
      <c r="C1404" s="566">
        <v>12</v>
      </c>
      <c r="D1404" s="566">
        <v>0.21</v>
      </c>
      <c r="E1404" s="566">
        <v>10298</v>
      </c>
      <c r="F1404" s="566">
        <v>59298</v>
      </c>
      <c r="G1404" s="566">
        <v>1470</v>
      </c>
      <c r="H1404" s="566">
        <v>4819</v>
      </c>
      <c r="I1404" s="558" t="str">
        <f t="shared" si="20"/>
        <v>GooD</v>
      </c>
    </row>
    <row r="1405" spans="1:9" ht="15.75" thickTop="1">
      <c r="A1405" s="567" t="s">
        <v>643</v>
      </c>
      <c r="B1405" s="567">
        <v>49000</v>
      </c>
      <c r="C1405" s="568">
        <v>14</v>
      </c>
      <c r="D1405" s="568">
        <v>0.21</v>
      </c>
      <c r="E1405" s="568">
        <v>12019</v>
      </c>
      <c r="F1405" s="568">
        <v>61019</v>
      </c>
      <c r="G1405" s="568">
        <v>1715</v>
      </c>
      <c r="H1405" s="568">
        <v>4236</v>
      </c>
      <c r="I1405" s="559" t="str">
        <f t="shared" ref="I1405:I1468" si="21">IF(((H1405*C1405)+G1405)=F1405,"GooD","لالالالالالالا")</f>
        <v>GooD</v>
      </c>
    </row>
    <row r="1406" spans="1:9">
      <c r="A1406" s="563" t="s">
        <v>643</v>
      </c>
      <c r="B1406" s="563">
        <v>49000</v>
      </c>
      <c r="C1406" s="564">
        <v>16</v>
      </c>
      <c r="D1406" s="564">
        <v>0.21</v>
      </c>
      <c r="E1406" s="564">
        <v>13728</v>
      </c>
      <c r="F1406" s="564">
        <v>62728</v>
      </c>
      <c r="G1406" s="564">
        <v>1960</v>
      </c>
      <c r="H1406" s="564">
        <v>3798</v>
      </c>
      <c r="I1406" s="557" t="str">
        <f t="shared" si="21"/>
        <v>GooD</v>
      </c>
    </row>
    <row r="1407" spans="1:9" ht="15.75" thickBot="1">
      <c r="A1407" s="565" t="s">
        <v>643</v>
      </c>
      <c r="B1407" s="565">
        <v>49000</v>
      </c>
      <c r="C1407" s="566">
        <v>18</v>
      </c>
      <c r="D1407" s="566">
        <v>0.21</v>
      </c>
      <c r="E1407" s="566">
        <v>15449</v>
      </c>
      <c r="F1407" s="566">
        <v>64449</v>
      </c>
      <c r="G1407" s="566">
        <v>2205</v>
      </c>
      <c r="H1407" s="566">
        <v>3458</v>
      </c>
      <c r="I1407" s="558" t="str">
        <f t="shared" si="21"/>
        <v>GooD</v>
      </c>
    </row>
    <row r="1408" spans="1:9" ht="15.75" thickTop="1">
      <c r="A1408" s="567" t="s">
        <v>643</v>
      </c>
      <c r="B1408" s="567">
        <v>49000</v>
      </c>
      <c r="C1408" s="568">
        <v>20</v>
      </c>
      <c r="D1408" s="568">
        <v>0.21</v>
      </c>
      <c r="E1408" s="568">
        <v>17170</v>
      </c>
      <c r="F1408" s="568">
        <v>66170</v>
      </c>
      <c r="G1408" s="568">
        <v>2450</v>
      </c>
      <c r="H1408" s="568">
        <v>3186</v>
      </c>
      <c r="I1408" s="559" t="str">
        <f t="shared" si="21"/>
        <v>GooD</v>
      </c>
    </row>
    <row r="1409" spans="1:9">
      <c r="A1409" s="563" t="s">
        <v>643</v>
      </c>
      <c r="B1409" s="563">
        <v>49000</v>
      </c>
      <c r="C1409" s="564">
        <v>22</v>
      </c>
      <c r="D1409" s="564">
        <v>0.21</v>
      </c>
      <c r="E1409" s="564">
        <v>18881</v>
      </c>
      <c r="F1409" s="564">
        <v>67881</v>
      </c>
      <c r="G1409" s="564">
        <v>2695</v>
      </c>
      <c r="H1409" s="564">
        <v>2963</v>
      </c>
      <c r="I1409" s="557" t="str">
        <f t="shared" si="21"/>
        <v>GooD</v>
      </c>
    </row>
    <row r="1410" spans="1:9" ht="15.75" thickBot="1">
      <c r="A1410" s="565" t="s">
        <v>643</v>
      </c>
      <c r="B1410" s="565">
        <v>49000</v>
      </c>
      <c r="C1410" s="566">
        <v>24</v>
      </c>
      <c r="D1410" s="566">
        <v>0.21</v>
      </c>
      <c r="E1410" s="566">
        <v>20588</v>
      </c>
      <c r="F1410" s="566">
        <v>69588</v>
      </c>
      <c r="G1410" s="566">
        <v>2940</v>
      </c>
      <c r="H1410" s="566">
        <v>2777</v>
      </c>
      <c r="I1410" s="558" t="str">
        <f t="shared" si="21"/>
        <v>GooD</v>
      </c>
    </row>
    <row r="1411" spans="1:9" ht="15.75" thickTop="1">
      <c r="A1411" s="567" t="s">
        <v>643</v>
      </c>
      <c r="B1411" s="567">
        <v>50000</v>
      </c>
      <c r="C1411" s="568">
        <v>6</v>
      </c>
      <c r="D1411" s="568">
        <v>0.21</v>
      </c>
      <c r="E1411" s="568">
        <v>5254</v>
      </c>
      <c r="F1411" s="568">
        <v>55254</v>
      </c>
      <c r="G1411" s="568">
        <v>750</v>
      </c>
      <c r="H1411" s="568">
        <v>9084</v>
      </c>
      <c r="I1411" s="559" t="str">
        <f t="shared" si="21"/>
        <v>GooD</v>
      </c>
    </row>
    <row r="1412" spans="1:9">
      <c r="A1412" s="563" t="s">
        <v>643</v>
      </c>
      <c r="B1412" s="563">
        <v>50000</v>
      </c>
      <c r="C1412" s="564">
        <v>8</v>
      </c>
      <c r="D1412" s="564">
        <v>0.21</v>
      </c>
      <c r="E1412" s="564">
        <v>7008</v>
      </c>
      <c r="F1412" s="564">
        <v>57008</v>
      </c>
      <c r="G1412" s="564">
        <v>1000</v>
      </c>
      <c r="H1412" s="564">
        <v>7001</v>
      </c>
      <c r="I1412" s="557" t="str">
        <f t="shared" si="21"/>
        <v>GooD</v>
      </c>
    </row>
    <row r="1413" spans="1:9" ht="15.75" thickBot="1">
      <c r="A1413" s="565" t="s">
        <v>643</v>
      </c>
      <c r="B1413" s="565">
        <v>50000</v>
      </c>
      <c r="C1413" s="566">
        <v>10</v>
      </c>
      <c r="D1413" s="566">
        <v>0.21</v>
      </c>
      <c r="E1413" s="566">
        <v>8760</v>
      </c>
      <c r="F1413" s="566">
        <v>58760</v>
      </c>
      <c r="G1413" s="566">
        <v>1250</v>
      </c>
      <c r="H1413" s="566">
        <v>5751</v>
      </c>
      <c r="I1413" s="558" t="str">
        <f t="shared" si="21"/>
        <v>GooD</v>
      </c>
    </row>
    <row r="1414" spans="1:9" ht="15.75" thickTop="1">
      <c r="A1414" s="567" t="s">
        <v>643</v>
      </c>
      <c r="B1414" s="567">
        <v>50000</v>
      </c>
      <c r="C1414" s="568">
        <v>12</v>
      </c>
      <c r="D1414" s="568">
        <v>0.21</v>
      </c>
      <c r="E1414" s="568">
        <v>10504</v>
      </c>
      <c r="F1414" s="568">
        <v>60504</v>
      </c>
      <c r="G1414" s="568">
        <v>1500</v>
      </c>
      <c r="H1414" s="568">
        <v>4917</v>
      </c>
      <c r="I1414" s="559" t="str">
        <f t="shared" si="21"/>
        <v>GooD</v>
      </c>
    </row>
    <row r="1415" spans="1:9">
      <c r="A1415" s="563" t="s">
        <v>643</v>
      </c>
      <c r="B1415" s="563">
        <v>50000</v>
      </c>
      <c r="C1415" s="564">
        <v>14</v>
      </c>
      <c r="D1415" s="564">
        <v>0.21</v>
      </c>
      <c r="E1415" s="564">
        <v>12258</v>
      </c>
      <c r="F1415" s="564">
        <v>62258</v>
      </c>
      <c r="G1415" s="564">
        <v>1750</v>
      </c>
      <c r="H1415" s="564">
        <v>4322</v>
      </c>
      <c r="I1415" s="557" t="str">
        <f t="shared" si="21"/>
        <v>GooD</v>
      </c>
    </row>
    <row r="1416" spans="1:9" ht="15.75" thickBot="1">
      <c r="A1416" s="565" t="s">
        <v>643</v>
      </c>
      <c r="B1416" s="565">
        <v>50000</v>
      </c>
      <c r="C1416" s="566">
        <v>16</v>
      </c>
      <c r="D1416" s="566">
        <v>0.21</v>
      </c>
      <c r="E1416" s="566">
        <v>14016</v>
      </c>
      <c r="F1416" s="566">
        <v>64016</v>
      </c>
      <c r="G1416" s="566">
        <v>2000</v>
      </c>
      <c r="H1416" s="566">
        <v>3876</v>
      </c>
      <c r="I1416" s="558" t="str">
        <f t="shared" si="21"/>
        <v>GooD</v>
      </c>
    </row>
    <row r="1417" spans="1:9" ht="15.75" thickTop="1">
      <c r="A1417" s="567" t="s">
        <v>643</v>
      </c>
      <c r="B1417" s="567">
        <v>50000</v>
      </c>
      <c r="C1417" s="568">
        <v>18</v>
      </c>
      <c r="D1417" s="568">
        <v>0.21</v>
      </c>
      <c r="E1417" s="568">
        <v>15754</v>
      </c>
      <c r="F1417" s="568">
        <v>65754</v>
      </c>
      <c r="G1417" s="568">
        <v>2250</v>
      </c>
      <c r="H1417" s="568">
        <v>3528</v>
      </c>
      <c r="I1417" s="559" t="str">
        <f t="shared" si="21"/>
        <v>GooD</v>
      </c>
    </row>
    <row r="1418" spans="1:9">
      <c r="A1418" s="563" t="s">
        <v>643</v>
      </c>
      <c r="B1418" s="563">
        <v>50000</v>
      </c>
      <c r="C1418" s="564">
        <v>20</v>
      </c>
      <c r="D1418" s="564">
        <v>0.21</v>
      </c>
      <c r="E1418" s="564">
        <v>17520</v>
      </c>
      <c r="F1418" s="564">
        <v>67520</v>
      </c>
      <c r="G1418" s="564">
        <v>2500</v>
      </c>
      <c r="H1418" s="564">
        <v>3251</v>
      </c>
      <c r="I1418" s="557" t="str">
        <f t="shared" si="21"/>
        <v>GooD</v>
      </c>
    </row>
    <row r="1419" spans="1:9" ht="15.75" thickBot="1">
      <c r="A1419" s="565" t="s">
        <v>643</v>
      </c>
      <c r="B1419" s="565">
        <v>50000</v>
      </c>
      <c r="C1419" s="566">
        <v>22</v>
      </c>
      <c r="D1419" s="566">
        <v>0.21</v>
      </c>
      <c r="E1419" s="566">
        <v>19256</v>
      </c>
      <c r="F1419" s="566">
        <v>69256</v>
      </c>
      <c r="G1419" s="566">
        <v>2750</v>
      </c>
      <c r="H1419" s="566">
        <v>3023</v>
      </c>
      <c r="I1419" s="558" t="str">
        <f t="shared" si="21"/>
        <v>GooD</v>
      </c>
    </row>
    <row r="1420" spans="1:9" ht="15.75" thickTop="1">
      <c r="A1420" s="567" t="s">
        <v>643</v>
      </c>
      <c r="B1420" s="567">
        <v>50000</v>
      </c>
      <c r="C1420" s="568">
        <v>24</v>
      </c>
      <c r="D1420" s="568">
        <v>0.21</v>
      </c>
      <c r="E1420" s="568">
        <v>21016</v>
      </c>
      <c r="F1420" s="568">
        <v>71016</v>
      </c>
      <c r="G1420" s="568">
        <v>3000</v>
      </c>
      <c r="H1420" s="568">
        <v>2834</v>
      </c>
      <c r="I1420" s="559" t="str">
        <f t="shared" si="21"/>
        <v>GooD</v>
      </c>
    </row>
    <row r="1421" spans="1:9">
      <c r="A1421" s="563" t="s">
        <v>646</v>
      </c>
      <c r="B1421" s="563">
        <v>6000</v>
      </c>
      <c r="C1421" s="564">
        <v>4</v>
      </c>
      <c r="D1421" s="564">
        <v>0.21</v>
      </c>
      <c r="E1421" s="564">
        <v>424</v>
      </c>
      <c r="F1421" s="564">
        <v>6424</v>
      </c>
      <c r="G1421" s="564">
        <v>60</v>
      </c>
      <c r="H1421" s="564">
        <v>1591</v>
      </c>
      <c r="I1421" s="557" t="str">
        <f t="shared" si="21"/>
        <v>GooD</v>
      </c>
    </row>
    <row r="1422" spans="1:9" ht="15.75" thickBot="1">
      <c r="A1422" s="565" t="s">
        <v>646</v>
      </c>
      <c r="B1422" s="565">
        <v>6000</v>
      </c>
      <c r="C1422" s="566">
        <v>6</v>
      </c>
      <c r="D1422" s="566">
        <v>0.21</v>
      </c>
      <c r="E1422" s="566">
        <v>636</v>
      </c>
      <c r="F1422" s="566">
        <v>6636</v>
      </c>
      <c r="G1422" s="566">
        <v>90</v>
      </c>
      <c r="H1422" s="566">
        <v>1091</v>
      </c>
      <c r="I1422" s="558" t="str">
        <f t="shared" si="21"/>
        <v>GooD</v>
      </c>
    </row>
    <row r="1423" spans="1:9" ht="15.75" thickTop="1">
      <c r="A1423" s="567" t="s">
        <v>646</v>
      </c>
      <c r="B1423" s="567">
        <v>6000</v>
      </c>
      <c r="C1423" s="568">
        <v>8</v>
      </c>
      <c r="D1423" s="568">
        <v>0.21</v>
      </c>
      <c r="E1423" s="568">
        <v>848</v>
      </c>
      <c r="F1423" s="568">
        <v>6848</v>
      </c>
      <c r="G1423" s="568">
        <v>120</v>
      </c>
      <c r="H1423" s="568">
        <v>841</v>
      </c>
      <c r="I1423" s="559" t="str">
        <f t="shared" si="21"/>
        <v>GooD</v>
      </c>
    </row>
    <row r="1424" spans="1:9">
      <c r="A1424" s="563" t="s">
        <v>646</v>
      </c>
      <c r="B1424" s="563">
        <v>6000</v>
      </c>
      <c r="C1424" s="564">
        <v>10</v>
      </c>
      <c r="D1424" s="564">
        <v>0.21</v>
      </c>
      <c r="E1424" s="564">
        <v>1060</v>
      </c>
      <c r="F1424" s="564">
        <v>7060</v>
      </c>
      <c r="G1424" s="564">
        <v>150</v>
      </c>
      <c r="H1424" s="564">
        <v>691</v>
      </c>
      <c r="I1424" s="557" t="str">
        <f t="shared" si="21"/>
        <v>GooD</v>
      </c>
    </row>
    <row r="1425" spans="1:9" ht="15.75" thickBot="1">
      <c r="A1425" s="565" t="s">
        <v>646</v>
      </c>
      <c r="B1425" s="565">
        <v>6000</v>
      </c>
      <c r="C1425" s="566">
        <v>12</v>
      </c>
      <c r="D1425" s="566">
        <v>0.21</v>
      </c>
      <c r="E1425" s="566">
        <v>1272</v>
      </c>
      <c r="F1425" s="566">
        <v>7272</v>
      </c>
      <c r="G1425" s="566">
        <v>180</v>
      </c>
      <c r="H1425" s="566">
        <v>591</v>
      </c>
      <c r="I1425" s="558" t="str">
        <f t="shared" si="21"/>
        <v>GooD</v>
      </c>
    </row>
    <row r="1426" spans="1:9" ht="15.75" thickTop="1">
      <c r="A1426" s="567" t="s">
        <v>646</v>
      </c>
      <c r="B1426" s="567">
        <v>6500</v>
      </c>
      <c r="C1426" s="568">
        <v>4</v>
      </c>
      <c r="D1426" s="568">
        <v>0.21</v>
      </c>
      <c r="E1426" s="568">
        <v>457</v>
      </c>
      <c r="F1426" s="568">
        <v>6957</v>
      </c>
      <c r="G1426" s="568">
        <v>65</v>
      </c>
      <c r="H1426" s="568">
        <v>1723</v>
      </c>
      <c r="I1426" s="559" t="str">
        <f t="shared" si="21"/>
        <v>GooD</v>
      </c>
    </row>
    <row r="1427" spans="1:9">
      <c r="A1427" s="563" t="s">
        <v>646</v>
      </c>
      <c r="B1427" s="563">
        <v>6500</v>
      </c>
      <c r="C1427" s="564">
        <v>6</v>
      </c>
      <c r="D1427" s="564">
        <v>0.21</v>
      </c>
      <c r="E1427" s="564">
        <v>684</v>
      </c>
      <c r="F1427" s="564">
        <v>7184</v>
      </c>
      <c r="G1427" s="564">
        <v>98</v>
      </c>
      <c r="H1427" s="564">
        <v>1181</v>
      </c>
      <c r="I1427" s="557" t="str">
        <f t="shared" si="21"/>
        <v>GooD</v>
      </c>
    </row>
    <row r="1428" spans="1:9" ht="15.75" thickBot="1">
      <c r="A1428" s="565" t="s">
        <v>646</v>
      </c>
      <c r="B1428" s="565">
        <v>6500</v>
      </c>
      <c r="C1428" s="566">
        <v>8</v>
      </c>
      <c r="D1428" s="566">
        <v>0.21</v>
      </c>
      <c r="E1428" s="566">
        <v>918</v>
      </c>
      <c r="F1428" s="566">
        <v>7418</v>
      </c>
      <c r="G1428" s="566">
        <v>130</v>
      </c>
      <c r="H1428" s="566">
        <v>911</v>
      </c>
      <c r="I1428" s="558" t="str">
        <f t="shared" si="21"/>
        <v>GooD</v>
      </c>
    </row>
    <row r="1429" spans="1:9" ht="15.75" thickTop="1">
      <c r="A1429" s="567" t="s">
        <v>646</v>
      </c>
      <c r="B1429" s="567">
        <v>6500</v>
      </c>
      <c r="C1429" s="568">
        <v>10</v>
      </c>
      <c r="D1429" s="568">
        <v>0.21</v>
      </c>
      <c r="E1429" s="568">
        <v>1143</v>
      </c>
      <c r="F1429" s="568">
        <v>7643</v>
      </c>
      <c r="G1429" s="568">
        <v>163</v>
      </c>
      <c r="H1429" s="568">
        <v>748</v>
      </c>
      <c r="I1429" s="559" t="str">
        <f t="shared" si="21"/>
        <v>GooD</v>
      </c>
    </row>
    <row r="1430" spans="1:9">
      <c r="A1430" s="563" t="s">
        <v>646</v>
      </c>
      <c r="B1430" s="563">
        <v>6500</v>
      </c>
      <c r="C1430" s="564">
        <v>12</v>
      </c>
      <c r="D1430" s="564">
        <v>0.21</v>
      </c>
      <c r="E1430" s="564">
        <v>1375</v>
      </c>
      <c r="F1430" s="564">
        <v>7875</v>
      </c>
      <c r="G1430" s="564">
        <v>195</v>
      </c>
      <c r="H1430" s="564">
        <v>640</v>
      </c>
      <c r="I1430" s="557" t="str">
        <f t="shared" si="21"/>
        <v>GooD</v>
      </c>
    </row>
    <row r="1431" spans="1:9" ht="15.75" thickBot="1">
      <c r="A1431" s="565" t="s">
        <v>646</v>
      </c>
      <c r="B1431" s="565">
        <v>7000</v>
      </c>
      <c r="C1431" s="566">
        <v>4</v>
      </c>
      <c r="D1431" s="566">
        <v>0.21</v>
      </c>
      <c r="E1431" s="566">
        <v>494</v>
      </c>
      <c r="F1431" s="566">
        <v>7494</v>
      </c>
      <c r="G1431" s="566">
        <v>70</v>
      </c>
      <c r="H1431" s="566">
        <v>1856</v>
      </c>
      <c r="I1431" s="558" t="str">
        <f t="shared" si="21"/>
        <v>GooD</v>
      </c>
    </row>
    <row r="1432" spans="1:9" ht="15.75" thickTop="1">
      <c r="A1432" s="567" t="s">
        <v>646</v>
      </c>
      <c r="B1432" s="567">
        <v>7000</v>
      </c>
      <c r="C1432" s="568">
        <v>6</v>
      </c>
      <c r="D1432" s="568">
        <v>0.21</v>
      </c>
      <c r="E1432" s="568">
        <v>737</v>
      </c>
      <c r="F1432" s="568">
        <v>7737</v>
      </c>
      <c r="G1432" s="568">
        <v>105</v>
      </c>
      <c r="H1432" s="568">
        <v>1272</v>
      </c>
      <c r="I1432" s="559" t="str">
        <f t="shared" si="21"/>
        <v>GooD</v>
      </c>
    </row>
    <row r="1433" spans="1:9">
      <c r="A1433" s="563" t="s">
        <v>646</v>
      </c>
      <c r="B1433" s="563">
        <v>7000</v>
      </c>
      <c r="C1433" s="564">
        <v>8</v>
      </c>
      <c r="D1433" s="564">
        <v>0.21</v>
      </c>
      <c r="E1433" s="564">
        <v>988</v>
      </c>
      <c r="F1433" s="564">
        <v>7988</v>
      </c>
      <c r="G1433" s="564">
        <v>140</v>
      </c>
      <c r="H1433" s="564">
        <v>981</v>
      </c>
      <c r="I1433" s="557" t="str">
        <f t="shared" si="21"/>
        <v>GooD</v>
      </c>
    </row>
    <row r="1434" spans="1:9" ht="15.75" thickBot="1">
      <c r="A1434" s="565" t="s">
        <v>646</v>
      </c>
      <c r="B1434" s="565">
        <v>7000</v>
      </c>
      <c r="C1434" s="566">
        <v>10</v>
      </c>
      <c r="D1434" s="566">
        <v>0.21</v>
      </c>
      <c r="E1434" s="566">
        <v>1235</v>
      </c>
      <c r="F1434" s="566">
        <v>8235</v>
      </c>
      <c r="G1434" s="566">
        <v>175</v>
      </c>
      <c r="H1434" s="566">
        <v>806</v>
      </c>
      <c r="I1434" s="558" t="str">
        <f t="shared" si="21"/>
        <v>GooD</v>
      </c>
    </row>
    <row r="1435" spans="1:9" ht="15.75" thickTop="1">
      <c r="A1435" s="567" t="s">
        <v>646</v>
      </c>
      <c r="B1435" s="567">
        <v>7000</v>
      </c>
      <c r="C1435" s="568">
        <v>12</v>
      </c>
      <c r="D1435" s="568">
        <v>0.21</v>
      </c>
      <c r="E1435" s="568">
        <v>1478</v>
      </c>
      <c r="F1435" s="568">
        <v>8478</v>
      </c>
      <c r="G1435" s="568">
        <v>210</v>
      </c>
      <c r="H1435" s="568">
        <v>689</v>
      </c>
      <c r="I1435" s="559" t="str">
        <f t="shared" si="21"/>
        <v>GooD</v>
      </c>
    </row>
    <row r="1436" spans="1:9">
      <c r="A1436" s="563" t="s">
        <v>646</v>
      </c>
      <c r="B1436" s="563">
        <v>7500</v>
      </c>
      <c r="C1436" s="564">
        <v>4</v>
      </c>
      <c r="D1436" s="564">
        <v>0.21</v>
      </c>
      <c r="E1436" s="564">
        <v>527</v>
      </c>
      <c r="F1436" s="564">
        <v>8027</v>
      </c>
      <c r="G1436" s="564">
        <v>75</v>
      </c>
      <c r="H1436" s="564">
        <v>1988</v>
      </c>
      <c r="I1436" s="557" t="str">
        <f t="shared" si="21"/>
        <v>GooD</v>
      </c>
    </row>
    <row r="1437" spans="1:9" ht="15.75" thickBot="1">
      <c r="A1437" s="565" t="s">
        <v>646</v>
      </c>
      <c r="B1437" s="565">
        <v>7500</v>
      </c>
      <c r="C1437" s="566">
        <v>6</v>
      </c>
      <c r="D1437" s="566">
        <v>0.21</v>
      </c>
      <c r="E1437" s="566">
        <v>791</v>
      </c>
      <c r="F1437" s="566">
        <v>8291</v>
      </c>
      <c r="G1437" s="566">
        <v>113</v>
      </c>
      <c r="H1437" s="566">
        <v>1363</v>
      </c>
      <c r="I1437" s="558" t="str">
        <f t="shared" si="21"/>
        <v>GooD</v>
      </c>
    </row>
    <row r="1438" spans="1:9" ht="15.75" thickTop="1">
      <c r="A1438" s="567" t="s">
        <v>646</v>
      </c>
      <c r="B1438" s="567">
        <v>7500</v>
      </c>
      <c r="C1438" s="568">
        <v>8</v>
      </c>
      <c r="D1438" s="568">
        <v>0.21</v>
      </c>
      <c r="E1438" s="568">
        <v>1058</v>
      </c>
      <c r="F1438" s="568">
        <v>8558</v>
      </c>
      <c r="G1438" s="568">
        <v>150</v>
      </c>
      <c r="H1438" s="568">
        <v>1051</v>
      </c>
      <c r="I1438" s="559" t="str">
        <f t="shared" si="21"/>
        <v>GooD</v>
      </c>
    </row>
    <row r="1439" spans="1:9">
      <c r="A1439" s="563" t="s">
        <v>646</v>
      </c>
      <c r="B1439" s="563">
        <v>7500</v>
      </c>
      <c r="C1439" s="564">
        <v>10</v>
      </c>
      <c r="D1439" s="564">
        <v>0.21</v>
      </c>
      <c r="E1439" s="564">
        <v>1318</v>
      </c>
      <c r="F1439" s="564">
        <v>8818</v>
      </c>
      <c r="G1439" s="564">
        <v>188</v>
      </c>
      <c r="H1439" s="564">
        <v>863</v>
      </c>
      <c r="I1439" s="557" t="str">
        <f t="shared" si="21"/>
        <v>GooD</v>
      </c>
    </row>
    <row r="1440" spans="1:9" ht="15.75" thickBot="1">
      <c r="A1440" s="565" t="s">
        <v>646</v>
      </c>
      <c r="B1440" s="565">
        <v>7500</v>
      </c>
      <c r="C1440" s="566">
        <v>12</v>
      </c>
      <c r="D1440" s="566">
        <v>0.21</v>
      </c>
      <c r="E1440" s="566">
        <v>1581</v>
      </c>
      <c r="F1440" s="566">
        <v>9081</v>
      </c>
      <c r="G1440" s="566">
        <v>225</v>
      </c>
      <c r="H1440" s="566">
        <v>738</v>
      </c>
      <c r="I1440" s="558" t="str">
        <f t="shared" si="21"/>
        <v>GooD</v>
      </c>
    </row>
    <row r="1441" spans="1:9" ht="15.75" thickTop="1">
      <c r="A1441" s="567" t="s">
        <v>646</v>
      </c>
      <c r="B1441" s="567">
        <v>8000</v>
      </c>
      <c r="C1441" s="568">
        <v>4</v>
      </c>
      <c r="D1441" s="568">
        <v>0.21</v>
      </c>
      <c r="E1441" s="568">
        <v>564</v>
      </c>
      <c r="F1441" s="568">
        <v>8564</v>
      </c>
      <c r="G1441" s="568">
        <v>80</v>
      </c>
      <c r="H1441" s="568">
        <v>2121</v>
      </c>
      <c r="I1441" s="559" t="str">
        <f t="shared" si="21"/>
        <v>GooD</v>
      </c>
    </row>
    <row r="1442" spans="1:9">
      <c r="A1442" s="563" t="s">
        <v>646</v>
      </c>
      <c r="B1442" s="563">
        <v>8000</v>
      </c>
      <c r="C1442" s="564">
        <v>6</v>
      </c>
      <c r="D1442" s="564">
        <v>0.21</v>
      </c>
      <c r="E1442" s="564">
        <v>844</v>
      </c>
      <c r="F1442" s="564">
        <v>8844</v>
      </c>
      <c r="G1442" s="564">
        <v>120</v>
      </c>
      <c r="H1442" s="564">
        <v>1454</v>
      </c>
      <c r="I1442" s="557" t="str">
        <f t="shared" si="21"/>
        <v>GooD</v>
      </c>
    </row>
    <row r="1443" spans="1:9" ht="15.75" thickBot="1">
      <c r="A1443" s="565" t="s">
        <v>646</v>
      </c>
      <c r="B1443" s="565">
        <v>8000</v>
      </c>
      <c r="C1443" s="566">
        <v>8</v>
      </c>
      <c r="D1443" s="566">
        <v>0.21</v>
      </c>
      <c r="E1443" s="566">
        <v>1128</v>
      </c>
      <c r="F1443" s="566">
        <v>9128</v>
      </c>
      <c r="G1443" s="566">
        <v>160</v>
      </c>
      <c r="H1443" s="566">
        <v>1121</v>
      </c>
      <c r="I1443" s="558" t="str">
        <f t="shared" si="21"/>
        <v>GooD</v>
      </c>
    </row>
    <row r="1444" spans="1:9" ht="15.75" thickTop="1">
      <c r="A1444" s="567" t="s">
        <v>646</v>
      </c>
      <c r="B1444" s="567">
        <v>8000</v>
      </c>
      <c r="C1444" s="568">
        <v>10</v>
      </c>
      <c r="D1444" s="568">
        <v>0.21</v>
      </c>
      <c r="E1444" s="568">
        <v>1410</v>
      </c>
      <c r="F1444" s="568">
        <v>9410</v>
      </c>
      <c r="G1444" s="568">
        <v>200</v>
      </c>
      <c r="H1444" s="568">
        <v>921</v>
      </c>
      <c r="I1444" s="559" t="str">
        <f t="shared" si="21"/>
        <v>GooD</v>
      </c>
    </row>
    <row r="1445" spans="1:9">
      <c r="A1445" s="563" t="s">
        <v>646</v>
      </c>
      <c r="B1445" s="563">
        <v>8000</v>
      </c>
      <c r="C1445" s="564">
        <v>12</v>
      </c>
      <c r="D1445" s="564">
        <v>0.21</v>
      </c>
      <c r="E1445" s="564">
        <v>1684</v>
      </c>
      <c r="F1445" s="564">
        <v>9684</v>
      </c>
      <c r="G1445" s="564">
        <v>240</v>
      </c>
      <c r="H1445" s="564">
        <v>787</v>
      </c>
      <c r="I1445" s="557" t="str">
        <f t="shared" si="21"/>
        <v>GooD</v>
      </c>
    </row>
    <row r="1446" spans="1:9" ht="15.75" thickBot="1">
      <c r="A1446" s="565" t="s">
        <v>646</v>
      </c>
      <c r="B1446" s="565">
        <v>8500</v>
      </c>
      <c r="C1446" s="566">
        <v>4</v>
      </c>
      <c r="D1446" s="566">
        <v>0.21</v>
      </c>
      <c r="E1446" s="566">
        <v>597</v>
      </c>
      <c r="F1446" s="566">
        <v>9097</v>
      </c>
      <c r="G1446" s="566">
        <v>85</v>
      </c>
      <c r="H1446" s="566">
        <v>2253</v>
      </c>
      <c r="I1446" s="558" t="str">
        <f t="shared" si="21"/>
        <v>GooD</v>
      </c>
    </row>
    <row r="1447" spans="1:9" ht="15.75" thickTop="1">
      <c r="A1447" s="567" t="s">
        <v>646</v>
      </c>
      <c r="B1447" s="567">
        <v>8500</v>
      </c>
      <c r="C1447" s="568">
        <v>6</v>
      </c>
      <c r="D1447" s="568">
        <v>0.21</v>
      </c>
      <c r="E1447" s="568">
        <v>898</v>
      </c>
      <c r="F1447" s="568">
        <v>9398</v>
      </c>
      <c r="G1447" s="568">
        <v>128</v>
      </c>
      <c r="H1447" s="568">
        <v>1545</v>
      </c>
      <c r="I1447" s="559" t="str">
        <f t="shared" si="21"/>
        <v>GooD</v>
      </c>
    </row>
    <row r="1448" spans="1:9">
      <c r="A1448" s="563" t="s">
        <v>646</v>
      </c>
      <c r="B1448" s="563">
        <v>8500</v>
      </c>
      <c r="C1448" s="564">
        <v>8</v>
      </c>
      <c r="D1448" s="564">
        <v>0.21</v>
      </c>
      <c r="E1448" s="564">
        <v>1198</v>
      </c>
      <c r="F1448" s="564">
        <v>9698</v>
      </c>
      <c r="G1448" s="564">
        <v>170</v>
      </c>
      <c r="H1448" s="564">
        <v>1191</v>
      </c>
      <c r="I1448" s="557" t="str">
        <f t="shared" si="21"/>
        <v>GooD</v>
      </c>
    </row>
    <row r="1449" spans="1:9" ht="15.75" thickBot="1">
      <c r="A1449" s="565" t="s">
        <v>646</v>
      </c>
      <c r="B1449" s="565">
        <v>8500</v>
      </c>
      <c r="C1449" s="566">
        <v>10</v>
      </c>
      <c r="D1449" s="566">
        <v>0.21</v>
      </c>
      <c r="E1449" s="566">
        <v>1493</v>
      </c>
      <c r="F1449" s="566">
        <v>9993</v>
      </c>
      <c r="G1449" s="566">
        <v>213</v>
      </c>
      <c r="H1449" s="566">
        <v>978</v>
      </c>
      <c r="I1449" s="558" t="str">
        <f t="shared" si="21"/>
        <v>GooD</v>
      </c>
    </row>
    <row r="1450" spans="1:9" ht="15.75" thickTop="1">
      <c r="A1450" s="567" t="s">
        <v>646</v>
      </c>
      <c r="B1450" s="567">
        <v>8500</v>
      </c>
      <c r="C1450" s="568">
        <v>12</v>
      </c>
      <c r="D1450" s="568">
        <v>0.21</v>
      </c>
      <c r="E1450" s="568">
        <v>1787</v>
      </c>
      <c r="F1450" s="568">
        <v>10287</v>
      </c>
      <c r="G1450" s="568">
        <v>255</v>
      </c>
      <c r="H1450" s="568">
        <v>836</v>
      </c>
      <c r="I1450" s="559" t="str">
        <f t="shared" si="21"/>
        <v>GooD</v>
      </c>
    </row>
    <row r="1451" spans="1:9">
      <c r="A1451" s="563" t="s">
        <v>646</v>
      </c>
      <c r="B1451" s="563">
        <v>9000</v>
      </c>
      <c r="C1451" s="564">
        <v>4</v>
      </c>
      <c r="D1451" s="564">
        <v>0.21</v>
      </c>
      <c r="E1451" s="564">
        <v>634</v>
      </c>
      <c r="F1451" s="564">
        <v>9634</v>
      </c>
      <c r="G1451" s="564">
        <v>90</v>
      </c>
      <c r="H1451" s="564">
        <v>2386</v>
      </c>
      <c r="I1451" s="557" t="str">
        <f t="shared" si="21"/>
        <v>GooD</v>
      </c>
    </row>
    <row r="1452" spans="1:9" ht="15.75" thickBot="1">
      <c r="A1452" s="565" t="s">
        <v>646</v>
      </c>
      <c r="B1452" s="565">
        <v>9000</v>
      </c>
      <c r="C1452" s="566">
        <v>6</v>
      </c>
      <c r="D1452" s="566">
        <v>0.21</v>
      </c>
      <c r="E1452" s="566">
        <v>951</v>
      </c>
      <c r="F1452" s="566">
        <v>9951</v>
      </c>
      <c r="G1452" s="566">
        <v>135</v>
      </c>
      <c r="H1452" s="566">
        <v>1636</v>
      </c>
      <c r="I1452" s="558" t="str">
        <f t="shared" si="21"/>
        <v>GooD</v>
      </c>
    </row>
    <row r="1453" spans="1:9" ht="15.75" thickTop="1">
      <c r="A1453" s="567" t="s">
        <v>646</v>
      </c>
      <c r="B1453" s="567">
        <v>9000</v>
      </c>
      <c r="C1453" s="568">
        <v>8</v>
      </c>
      <c r="D1453" s="568">
        <v>0.21</v>
      </c>
      <c r="E1453" s="568">
        <v>1268</v>
      </c>
      <c r="F1453" s="568">
        <v>10268</v>
      </c>
      <c r="G1453" s="568">
        <v>180</v>
      </c>
      <c r="H1453" s="568">
        <v>1261</v>
      </c>
      <c r="I1453" s="559" t="str">
        <f t="shared" si="21"/>
        <v>GooD</v>
      </c>
    </row>
    <row r="1454" spans="1:9">
      <c r="A1454" s="563" t="s">
        <v>646</v>
      </c>
      <c r="B1454" s="563">
        <v>9000</v>
      </c>
      <c r="C1454" s="564">
        <v>10</v>
      </c>
      <c r="D1454" s="564">
        <v>0.21</v>
      </c>
      <c r="E1454" s="564">
        <v>1585</v>
      </c>
      <c r="F1454" s="564">
        <v>10585</v>
      </c>
      <c r="G1454" s="564">
        <v>225</v>
      </c>
      <c r="H1454" s="564">
        <v>1036</v>
      </c>
      <c r="I1454" s="557" t="str">
        <f t="shared" si="21"/>
        <v>GooD</v>
      </c>
    </row>
    <row r="1455" spans="1:9" ht="15.75" thickBot="1">
      <c r="A1455" s="565" t="s">
        <v>646</v>
      </c>
      <c r="B1455" s="565">
        <v>9000</v>
      </c>
      <c r="C1455" s="566">
        <v>12</v>
      </c>
      <c r="D1455" s="566">
        <v>0.21</v>
      </c>
      <c r="E1455" s="566">
        <v>1902</v>
      </c>
      <c r="F1455" s="566">
        <v>10902</v>
      </c>
      <c r="G1455" s="566">
        <v>270</v>
      </c>
      <c r="H1455" s="566">
        <v>886</v>
      </c>
      <c r="I1455" s="558" t="str">
        <f t="shared" si="21"/>
        <v>GooD</v>
      </c>
    </row>
    <row r="1456" spans="1:9" ht="15.75" thickTop="1">
      <c r="A1456" s="567" t="s">
        <v>646</v>
      </c>
      <c r="B1456" s="567">
        <v>9500</v>
      </c>
      <c r="C1456" s="568">
        <v>4</v>
      </c>
      <c r="D1456" s="568">
        <v>0.21</v>
      </c>
      <c r="E1456" s="568">
        <v>667</v>
      </c>
      <c r="F1456" s="568">
        <v>10167</v>
      </c>
      <c r="G1456" s="568">
        <v>95</v>
      </c>
      <c r="H1456" s="568">
        <v>2518</v>
      </c>
      <c r="I1456" s="559" t="str">
        <f t="shared" si="21"/>
        <v>GooD</v>
      </c>
    </row>
    <row r="1457" spans="1:9">
      <c r="A1457" s="563" t="s">
        <v>646</v>
      </c>
      <c r="B1457" s="563">
        <v>9500</v>
      </c>
      <c r="C1457" s="564">
        <v>6</v>
      </c>
      <c r="D1457" s="564">
        <v>0.21</v>
      </c>
      <c r="E1457" s="564">
        <v>999</v>
      </c>
      <c r="F1457" s="564">
        <v>10499</v>
      </c>
      <c r="G1457" s="564">
        <v>143</v>
      </c>
      <c r="H1457" s="564">
        <v>1726</v>
      </c>
      <c r="I1457" s="557" t="str">
        <f t="shared" si="21"/>
        <v>GooD</v>
      </c>
    </row>
    <row r="1458" spans="1:9" ht="15.75" thickBot="1">
      <c r="A1458" s="565" t="s">
        <v>646</v>
      </c>
      <c r="B1458" s="565">
        <v>9500</v>
      </c>
      <c r="C1458" s="566">
        <v>8</v>
      </c>
      <c r="D1458" s="566">
        <v>0.21</v>
      </c>
      <c r="E1458" s="566">
        <v>1338</v>
      </c>
      <c r="F1458" s="566">
        <v>10838</v>
      </c>
      <c r="G1458" s="566">
        <v>190</v>
      </c>
      <c r="H1458" s="566">
        <v>1331</v>
      </c>
      <c r="I1458" s="558" t="str">
        <f t="shared" si="21"/>
        <v>GooD</v>
      </c>
    </row>
    <row r="1459" spans="1:9" ht="15.75" thickTop="1">
      <c r="A1459" s="567" t="s">
        <v>646</v>
      </c>
      <c r="B1459" s="567">
        <v>9500</v>
      </c>
      <c r="C1459" s="568">
        <v>10</v>
      </c>
      <c r="D1459" s="568">
        <v>0.21</v>
      </c>
      <c r="E1459" s="568">
        <v>1668</v>
      </c>
      <c r="F1459" s="568">
        <v>11168</v>
      </c>
      <c r="G1459" s="568">
        <v>238</v>
      </c>
      <c r="H1459" s="568">
        <v>1093</v>
      </c>
      <c r="I1459" s="559" t="str">
        <f t="shared" si="21"/>
        <v>GooD</v>
      </c>
    </row>
    <row r="1460" spans="1:9">
      <c r="A1460" s="563" t="s">
        <v>646</v>
      </c>
      <c r="B1460" s="563">
        <v>9500</v>
      </c>
      <c r="C1460" s="564">
        <v>12</v>
      </c>
      <c r="D1460" s="564">
        <v>0.21</v>
      </c>
      <c r="E1460" s="564">
        <v>2005</v>
      </c>
      <c r="F1460" s="564">
        <v>11505</v>
      </c>
      <c r="G1460" s="564">
        <v>285</v>
      </c>
      <c r="H1460" s="564">
        <v>935</v>
      </c>
      <c r="I1460" s="557" t="str">
        <f t="shared" si="21"/>
        <v>GooD</v>
      </c>
    </row>
    <row r="1461" spans="1:9" ht="15.75" thickBot="1">
      <c r="A1461" s="565" t="s">
        <v>646</v>
      </c>
      <c r="B1461" s="565">
        <v>10000</v>
      </c>
      <c r="C1461" s="566">
        <v>4</v>
      </c>
      <c r="D1461" s="566">
        <v>0.21</v>
      </c>
      <c r="E1461" s="566">
        <v>704</v>
      </c>
      <c r="F1461" s="566">
        <v>10704</v>
      </c>
      <c r="G1461" s="566">
        <v>100</v>
      </c>
      <c r="H1461" s="566">
        <v>2651</v>
      </c>
      <c r="I1461" s="558" t="str">
        <f t="shared" si="21"/>
        <v>GooD</v>
      </c>
    </row>
    <row r="1462" spans="1:9" ht="15.75" thickTop="1">
      <c r="A1462" s="567" t="s">
        <v>646</v>
      </c>
      <c r="B1462" s="567">
        <v>10000</v>
      </c>
      <c r="C1462" s="568">
        <v>6</v>
      </c>
      <c r="D1462" s="568">
        <v>0.21</v>
      </c>
      <c r="E1462" s="568">
        <v>1052</v>
      </c>
      <c r="F1462" s="568">
        <v>11052</v>
      </c>
      <c r="G1462" s="568">
        <v>150</v>
      </c>
      <c r="H1462" s="568">
        <v>1817</v>
      </c>
      <c r="I1462" s="559" t="str">
        <f t="shared" si="21"/>
        <v>GooD</v>
      </c>
    </row>
    <row r="1463" spans="1:9">
      <c r="A1463" s="563" t="s">
        <v>646</v>
      </c>
      <c r="B1463" s="563">
        <v>10000</v>
      </c>
      <c r="C1463" s="564">
        <v>8</v>
      </c>
      <c r="D1463" s="564">
        <v>0.21</v>
      </c>
      <c r="E1463" s="564">
        <v>1408</v>
      </c>
      <c r="F1463" s="564">
        <v>11408</v>
      </c>
      <c r="G1463" s="564">
        <v>200</v>
      </c>
      <c r="H1463" s="564">
        <v>1401</v>
      </c>
      <c r="I1463" s="557" t="str">
        <f t="shared" si="21"/>
        <v>GooD</v>
      </c>
    </row>
    <row r="1464" spans="1:9" ht="15.75" thickBot="1">
      <c r="A1464" s="565" t="s">
        <v>646</v>
      </c>
      <c r="B1464" s="565">
        <v>10000</v>
      </c>
      <c r="C1464" s="566">
        <v>10</v>
      </c>
      <c r="D1464" s="566">
        <v>0.21</v>
      </c>
      <c r="E1464" s="566">
        <v>1760</v>
      </c>
      <c r="F1464" s="566">
        <v>11760</v>
      </c>
      <c r="G1464" s="566">
        <v>250</v>
      </c>
      <c r="H1464" s="566">
        <v>1151</v>
      </c>
      <c r="I1464" s="558" t="str">
        <f t="shared" si="21"/>
        <v>GooD</v>
      </c>
    </row>
    <row r="1465" spans="1:9" ht="15.75" thickTop="1">
      <c r="A1465" s="567" t="s">
        <v>646</v>
      </c>
      <c r="B1465" s="567">
        <v>10000</v>
      </c>
      <c r="C1465" s="568">
        <v>12</v>
      </c>
      <c r="D1465" s="568">
        <v>0.21</v>
      </c>
      <c r="E1465" s="568">
        <v>2108</v>
      </c>
      <c r="F1465" s="568">
        <v>12108</v>
      </c>
      <c r="G1465" s="568">
        <v>300</v>
      </c>
      <c r="H1465" s="568">
        <v>984</v>
      </c>
      <c r="I1465" s="559" t="str">
        <f t="shared" si="21"/>
        <v>GooD</v>
      </c>
    </row>
    <row r="1466" spans="1:9">
      <c r="A1466" s="563" t="s">
        <v>646</v>
      </c>
      <c r="B1466" s="563">
        <v>10500</v>
      </c>
      <c r="C1466" s="564">
        <v>4</v>
      </c>
      <c r="D1466" s="564">
        <v>0.21</v>
      </c>
      <c r="E1466" s="564">
        <v>737</v>
      </c>
      <c r="F1466" s="564">
        <v>11237</v>
      </c>
      <c r="G1466" s="564">
        <v>105</v>
      </c>
      <c r="H1466" s="564">
        <v>2783</v>
      </c>
      <c r="I1466" s="557" t="str">
        <f t="shared" si="21"/>
        <v>GooD</v>
      </c>
    </row>
    <row r="1467" spans="1:9" ht="15.75" thickBot="1">
      <c r="A1467" s="565" t="s">
        <v>646</v>
      </c>
      <c r="B1467" s="565">
        <v>10500</v>
      </c>
      <c r="C1467" s="566">
        <v>6</v>
      </c>
      <c r="D1467" s="566">
        <v>0.21</v>
      </c>
      <c r="E1467" s="566">
        <v>1106</v>
      </c>
      <c r="F1467" s="566">
        <v>11606</v>
      </c>
      <c r="G1467" s="566">
        <v>158</v>
      </c>
      <c r="H1467" s="566">
        <v>1908</v>
      </c>
      <c r="I1467" s="558" t="str">
        <f t="shared" si="21"/>
        <v>GooD</v>
      </c>
    </row>
    <row r="1468" spans="1:9" ht="15.75" thickTop="1">
      <c r="A1468" s="567" t="s">
        <v>646</v>
      </c>
      <c r="B1468" s="567">
        <v>10500</v>
      </c>
      <c r="C1468" s="568">
        <v>8</v>
      </c>
      <c r="D1468" s="568">
        <v>0.21</v>
      </c>
      <c r="E1468" s="568">
        <v>1478</v>
      </c>
      <c r="F1468" s="568">
        <v>11978</v>
      </c>
      <c r="G1468" s="568">
        <v>210</v>
      </c>
      <c r="H1468" s="568">
        <v>1471</v>
      </c>
      <c r="I1468" s="559" t="str">
        <f t="shared" si="21"/>
        <v>GooD</v>
      </c>
    </row>
    <row r="1469" spans="1:9">
      <c r="A1469" s="563" t="s">
        <v>646</v>
      </c>
      <c r="B1469" s="563">
        <v>10500</v>
      </c>
      <c r="C1469" s="564">
        <v>10</v>
      </c>
      <c r="D1469" s="564">
        <v>0.21</v>
      </c>
      <c r="E1469" s="564">
        <v>1843</v>
      </c>
      <c r="F1469" s="564">
        <v>12343</v>
      </c>
      <c r="G1469" s="564">
        <v>263</v>
      </c>
      <c r="H1469" s="564">
        <v>1208</v>
      </c>
      <c r="I1469" s="557" t="str">
        <f t="shared" ref="I1469:I1532" si="22">IF(((H1469*C1469)+G1469)=F1469,"GooD","لالالالالالالا")</f>
        <v>GooD</v>
      </c>
    </row>
    <row r="1470" spans="1:9" ht="15.75" thickBot="1">
      <c r="A1470" s="565" t="s">
        <v>646</v>
      </c>
      <c r="B1470" s="565">
        <v>10500</v>
      </c>
      <c r="C1470" s="566">
        <v>12</v>
      </c>
      <c r="D1470" s="566">
        <v>0.21</v>
      </c>
      <c r="E1470" s="566">
        <v>2211</v>
      </c>
      <c r="F1470" s="566">
        <v>12711</v>
      </c>
      <c r="G1470" s="566">
        <v>315</v>
      </c>
      <c r="H1470" s="566">
        <v>1033</v>
      </c>
      <c r="I1470" s="558" t="str">
        <f t="shared" si="22"/>
        <v>GooD</v>
      </c>
    </row>
    <row r="1471" spans="1:9" ht="15.75" thickTop="1">
      <c r="A1471" s="567" t="s">
        <v>646</v>
      </c>
      <c r="B1471" s="567">
        <v>11000</v>
      </c>
      <c r="C1471" s="568">
        <v>4</v>
      </c>
      <c r="D1471" s="568">
        <v>0.21</v>
      </c>
      <c r="E1471" s="568">
        <v>774</v>
      </c>
      <c r="F1471" s="568">
        <v>11774</v>
      </c>
      <c r="G1471" s="568">
        <v>110</v>
      </c>
      <c r="H1471" s="568">
        <v>2916</v>
      </c>
      <c r="I1471" s="559" t="str">
        <f t="shared" si="22"/>
        <v>GooD</v>
      </c>
    </row>
    <row r="1472" spans="1:9">
      <c r="A1472" s="563" t="s">
        <v>646</v>
      </c>
      <c r="B1472" s="563">
        <v>11000</v>
      </c>
      <c r="C1472" s="564">
        <v>6</v>
      </c>
      <c r="D1472" s="564">
        <v>0.21</v>
      </c>
      <c r="E1472" s="564">
        <v>1159</v>
      </c>
      <c r="F1472" s="564">
        <v>12159</v>
      </c>
      <c r="G1472" s="564">
        <v>165</v>
      </c>
      <c r="H1472" s="564">
        <v>1999</v>
      </c>
      <c r="I1472" s="557" t="str">
        <f t="shared" si="22"/>
        <v>GooD</v>
      </c>
    </row>
    <row r="1473" spans="1:9" ht="15.75" thickBot="1">
      <c r="A1473" s="565" t="s">
        <v>646</v>
      </c>
      <c r="B1473" s="565">
        <v>11000</v>
      </c>
      <c r="C1473" s="566">
        <v>8</v>
      </c>
      <c r="D1473" s="566">
        <v>0.21</v>
      </c>
      <c r="E1473" s="566">
        <v>1548</v>
      </c>
      <c r="F1473" s="566">
        <v>12548</v>
      </c>
      <c r="G1473" s="566">
        <v>220</v>
      </c>
      <c r="H1473" s="566">
        <v>1541</v>
      </c>
      <c r="I1473" s="558" t="str">
        <f t="shared" si="22"/>
        <v>GooD</v>
      </c>
    </row>
    <row r="1474" spans="1:9" ht="15.75" thickTop="1">
      <c r="A1474" s="567" t="s">
        <v>646</v>
      </c>
      <c r="B1474" s="567">
        <v>11000</v>
      </c>
      <c r="C1474" s="568">
        <v>10</v>
      </c>
      <c r="D1474" s="568">
        <v>0.21</v>
      </c>
      <c r="E1474" s="568">
        <v>1935</v>
      </c>
      <c r="F1474" s="568">
        <v>12935</v>
      </c>
      <c r="G1474" s="568">
        <v>275</v>
      </c>
      <c r="H1474" s="568">
        <v>1266</v>
      </c>
      <c r="I1474" s="559" t="str">
        <f t="shared" si="22"/>
        <v>GooD</v>
      </c>
    </row>
    <row r="1475" spans="1:9">
      <c r="A1475" s="563" t="s">
        <v>646</v>
      </c>
      <c r="B1475" s="563">
        <v>11000</v>
      </c>
      <c r="C1475" s="564">
        <v>12</v>
      </c>
      <c r="D1475" s="564">
        <v>0.21</v>
      </c>
      <c r="E1475" s="564">
        <v>2314</v>
      </c>
      <c r="F1475" s="564">
        <v>13314</v>
      </c>
      <c r="G1475" s="564">
        <v>330</v>
      </c>
      <c r="H1475" s="564">
        <v>1082</v>
      </c>
      <c r="I1475" s="557" t="str">
        <f t="shared" si="22"/>
        <v>GooD</v>
      </c>
    </row>
    <row r="1476" spans="1:9" ht="15.75" thickBot="1">
      <c r="A1476" s="565" t="s">
        <v>646</v>
      </c>
      <c r="B1476" s="565">
        <v>11500</v>
      </c>
      <c r="C1476" s="566">
        <v>4</v>
      </c>
      <c r="D1476" s="566">
        <v>0.21</v>
      </c>
      <c r="E1476" s="566">
        <v>807</v>
      </c>
      <c r="F1476" s="566">
        <v>12307</v>
      </c>
      <c r="G1476" s="566">
        <v>115</v>
      </c>
      <c r="H1476" s="566">
        <v>3048</v>
      </c>
      <c r="I1476" s="558" t="str">
        <f t="shared" si="22"/>
        <v>GooD</v>
      </c>
    </row>
    <row r="1477" spans="1:9" ht="15.75" thickTop="1">
      <c r="A1477" s="567" t="s">
        <v>646</v>
      </c>
      <c r="B1477" s="567">
        <v>11500</v>
      </c>
      <c r="C1477" s="568">
        <v>6</v>
      </c>
      <c r="D1477" s="568">
        <v>0.21</v>
      </c>
      <c r="E1477" s="568">
        <v>1213</v>
      </c>
      <c r="F1477" s="568">
        <v>12713</v>
      </c>
      <c r="G1477" s="568">
        <v>173</v>
      </c>
      <c r="H1477" s="568">
        <v>2090</v>
      </c>
      <c r="I1477" s="559" t="str">
        <f t="shared" si="22"/>
        <v>GooD</v>
      </c>
    </row>
    <row r="1478" spans="1:9">
      <c r="A1478" s="563" t="s">
        <v>646</v>
      </c>
      <c r="B1478" s="563">
        <v>11500</v>
      </c>
      <c r="C1478" s="564">
        <v>8</v>
      </c>
      <c r="D1478" s="564">
        <v>0.21</v>
      </c>
      <c r="E1478" s="564">
        <v>1618</v>
      </c>
      <c r="F1478" s="564">
        <v>13118</v>
      </c>
      <c r="G1478" s="564">
        <v>230</v>
      </c>
      <c r="H1478" s="564">
        <v>1611</v>
      </c>
      <c r="I1478" s="557" t="str">
        <f t="shared" si="22"/>
        <v>GooD</v>
      </c>
    </row>
    <row r="1479" spans="1:9" ht="15.75" thickBot="1">
      <c r="A1479" s="565" t="s">
        <v>646</v>
      </c>
      <c r="B1479" s="565">
        <v>11500</v>
      </c>
      <c r="C1479" s="566">
        <v>10</v>
      </c>
      <c r="D1479" s="566">
        <v>0.21</v>
      </c>
      <c r="E1479" s="566">
        <v>2018</v>
      </c>
      <c r="F1479" s="566">
        <v>13518</v>
      </c>
      <c r="G1479" s="566">
        <v>288</v>
      </c>
      <c r="H1479" s="566">
        <v>1323</v>
      </c>
      <c r="I1479" s="558" t="str">
        <f t="shared" si="22"/>
        <v>GooD</v>
      </c>
    </row>
    <row r="1480" spans="1:9" ht="15.75" thickTop="1">
      <c r="A1480" s="567" t="s">
        <v>646</v>
      </c>
      <c r="B1480" s="567">
        <v>11500</v>
      </c>
      <c r="C1480" s="568">
        <v>12</v>
      </c>
      <c r="D1480" s="568">
        <v>0.21</v>
      </c>
      <c r="E1480" s="568">
        <v>2417</v>
      </c>
      <c r="F1480" s="568">
        <v>13917</v>
      </c>
      <c r="G1480" s="568">
        <v>345</v>
      </c>
      <c r="H1480" s="568">
        <v>1131</v>
      </c>
      <c r="I1480" s="559" t="str">
        <f t="shared" si="22"/>
        <v>GooD</v>
      </c>
    </row>
    <row r="1481" spans="1:9">
      <c r="A1481" s="563" t="s">
        <v>646</v>
      </c>
      <c r="B1481" s="563">
        <v>12000</v>
      </c>
      <c r="C1481" s="564">
        <v>4</v>
      </c>
      <c r="D1481" s="564">
        <v>0.21</v>
      </c>
      <c r="E1481" s="564">
        <v>844</v>
      </c>
      <c r="F1481" s="564">
        <v>12844</v>
      </c>
      <c r="G1481" s="564">
        <v>120</v>
      </c>
      <c r="H1481" s="564">
        <v>3181</v>
      </c>
      <c r="I1481" s="557" t="str">
        <f t="shared" si="22"/>
        <v>GooD</v>
      </c>
    </row>
    <row r="1482" spans="1:9" ht="15.75" thickBot="1">
      <c r="A1482" s="565" t="s">
        <v>646</v>
      </c>
      <c r="B1482" s="565">
        <v>12000</v>
      </c>
      <c r="C1482" s="566">
        <v>6</v>
      </c>
      <c r="D1482" s="566">
        <v>0.21</v>
      </c>
      <c r="E1482" s="566">
        <v>1266</v>
      </c>
      <c r="F1482" s="566">
        <v>13266</v>
      </c>
      <c r="G1482" s="566">
        <v>180</v>
      </c>
      <c r="H1482" s="566">
        <v>2181</v>
      </c>
      <c r="I1482" s="558" t="str">
        <f t="shared" si="22"/>
        <v>GooD</v>
      </c>
    </row>
    <row r="1483" spans="1:9" ht="15.75" thickTop="1">
      <c r="A1483" s="567" t="s">
        <v>646</v>
      </c>
      <c r="B1483" s="567">
        <v>12000</v>
      </c>
      <c r="C1483" s="568">
        <v>8</v>
      </c>
      <c r="D1483" s="568">
        <v>0.21</v>
      </c>
      <c r="E1483" s="568">
        <v>1688</v>
      </c>
      <c r="F1483" s="568">
        <v>13688</v>
      </c>
      <c r="G1483" s="568">
        <v>240</v>
      </c>
      <c r="H1483" s="568">
        <v>1681</v>
      </c>
      <c r="I1483" s="559" t="str">
        <f t="shared" si="22"/>
        <v>GooD</v>
      </c>
    </row>
    <row r="1484" spans="1:9">
      <c r="A1484" s="563" t="s">
        <v>646</v>
      </c>
      <c r="B1484" s="563">
        <v>12000</v>
      </c>
      <c r="C1484" s="564">
        <v>10</v>
      </c>
      <c r="D1484" s="564">
        <v>0.21</v>
      </c>
      <c r="E1484" s="564">
        <v>2110</v>
      </c>
      <c r="F1484" s="564">
        <v>14110</v>
      </c>
      <c r="G1484" s="564">
        <v>300</v>
      </c>
      <c r="H1484" s="564">
        <v>1381</v>
      </c>
      <c r="I1484" s="557" t="str">
        <f t="shared" si="22"/>
        <v>GooD</v>
      </c>
    </row>
    <row r="1485" spans="1:9" ht="15.75" thickBot="1">
      <c r="A1485" s="565" t="s">
        <v>646</v>
      </c>
      <c r="B1485" s="565">
        <v>12000</v>
      </c>
      <c r="C1485" s="566">
        <v>12</v>
      </c>
      <c r="D1485" s="566">
        <v>0.21</v>
      </c>
      <c r="E1485" s="566">
        <v>2532</v>
      </c>
      <c r="F1485" s="566">
        <v>14532</v>
      </c>
      <c r="G1485" s="566">
        <v>360</v>
      </c>
      <c r="H1485" s="566">
        <v>1181</v>
      </c>
      <c r="I1485" s="558" t="str">
        <f t="shared" si="22"/>
        <v>GooD</v>
      </c>
    </row>
    <row r="1486" spans="1:9" ht="15.75" thickTop="1">
      <c r="A1486" s="567" t="s">
        <v>646</v>
      </c>
      <c r="B1486" s="567">
        <v>12500</v>
      </c>
      <c r="C1486" s="568">
        <v>4</v>
      </c>
      <c r="D1486" s="568">
        <v>0.21</v>
      </c>
      <c r="E1486" s="568">
        <v>877</v>
      </c>
      <c r="F1486" s="568">
        <v>13377</v>
      </c>
      <c r="G1486" s="568">
        <v>125</v>
      </c>
      <c r="H1486" s="568">
        <v>3313</v>
      </c>
      <c r="I1486" s="559" t="str">
        <f t="shared" si="22"/>
        <v>GooD</v>
      </c>
    </row>
    <row r="1487" spans="1:9">
      <c r="A1487" s="563" t="s">
        <v>646</v>
      </c>
      <c r="B1487" s="563">
        <v>12500</v>
      </c>
      <c r="C1487" s="564">
        <v>6</v>
      </c>
      <c r="D1487" s="564">
        <v>0.21</v>
      </c>
      <c r="E1487" s="564">
        <v>1314</v>
      </c>
      <c r="F1487" s="564">
        <v>13814</v>
      </c>
      <c r="G1487" s="564">
        <v>188</v>
      </c>
      <c r="H1487" s="564">
        <v>2271</v>
      </c>
      <c r="I1487" s="557" t="str">
        <f t="shared" si="22"/>
        <v>GooD</v>
      </c>
    </row>
    <row r="1488" spans="1:9" ht="15.75" thickBot="1">
      <c r="A1488" s="565" t="s">
        <v>646</v>
      </c>
      <c r="B1488" s="565">
        <v>12500</v>
      </c>
      <c r="C1488" s="566">
        <v>8</v>
      </c>
      <c r="D1488" s="566">
        <v>0.21</v>
      </c>
      <c r="E1488" s="566">
        <v>1758</v>
      </c>
      <c r="F1488" s="566">
        <v>14258</v>
      </c>
      <c r="G1488" s="566">
        <v>250</v>
      </c>
      <c r="H1488" s="566">
        <v>1751</v>
      </c>
      <c r="I1488" s="558" t="str">
        <f t="shared" si="22"/>
        <v>GooD</v>
      </c>
    </row>
    <row r="1489" spans="1:9" ht="15.75" thickTop="1">
      <c r="A1489" s="567" t="s">
        <v>646</v>
      </c>
      <c r="B1489" s="567">
        <v>12500</v>
      </c>
      <c r="C1489" s="568">
        <v>10</v>
      </c>
      <c r="D1489" s="568">
        <v>0.21</v>
      </c>
      <c r="E1489" s="568">
        <v>2193</v>
      </c>
      <c r="F1489" s="568">
        <v>14693</v>
      </c>
      <c r="G1489" s="568">
        <v>313</v>
      </c>
      <c r="H1489" s="568">
        <v>1438</v>
      </c>
      <c r="I1489" s="559" t="str">
        <f t="shared" si="22"/>
        <v>GooD</v>
      </c>
    </row>
    <row r="1490" spans="1:9">
      <c r="A1490" s="563" t="s">
        <v>646</v>
      </c>
      <c r="B1490" s="563">
        <v>12500</v>
      </c>
      <c r="C1490" s="564">
        <v>12</v>
      </c>
      <c r="D1490" s="564">
        <v>0.21</v>
      </c>
      <c r="E1490" s="564">
        <v>2635</v>
      </c>
      <c r="F1490" s="564">
        <v>15135</v>
      </c>
      <c r="G1490" s="564">
        <v>375</v>
      </c>
      <c r="H1490" s="564">
        <v>1230</v>
      </c>
      <c r="I1490" s="557" t="str">
        <f t="shared" si="22"/>
        <v>GooD</v>
      </c>
    </row>
    <row r="1491" spans="1:9" ht="15.75" thickBot="1">
      <c r="A1491" s="565" t="s">
        <v>646</v>
      </c>
      <c r="B1491" s="565">
        <v>13000</v>
      </c>
      <c r="C1491" s="566">
        <v>4</v>
      </c>
      <c r="D1491" s="566">
        <v>0.21</v>
      </c>
      <c r="E1491" s="566">
        <v>914</v>
      </c>
      <c r="F1491" s="566">
        <v>13914</v>
      </c>
      <c r="G1491" s="566">
        <v>130</v>
      </c>
      <c r="H1491" s="566">
        <v>3446</v>
      </c>
      <c r="I1491" s="558" t="str">
        <f t="shared" si="22"/>
        <v>GooD</v>
      </c>
    </row>
    <row r="1492" spans="1:9" ht="15.75" thickTop="1">
      <c r="A1492" s="567" t="s">
        <v>646</v>
      </c>
      <c r="B1492" s="567">
        <v>13000</v>
      </c>
      <c r="C1492" s="568">
        <v>6</v>
      </c>
      <c r="D1492" s="568">
        <v>0.21</v>
      </c>
      <c r="E1492" s="568">
        <v>1367</v>
      </c>
      <c r="F1492" s="568">
        <v>14367</v>
      </c>
      <c r="G1492" s="568">
        <v>195</v>
      </c>
      <c r="H1492" s="568">
        <v>2362</v>
      </c>
      <c r="I1492" s="559" t="str">
        <f t="shared" si="22"/>
        <v>GooD</v>
      </c>
    </row>
    <row r="1493" spans="1:9">
      <c r="A1493" s="563" t="s">
        <v>646</v>
      </c>
      <c r="B1493" s="563">
        <v>13000</v>
      </c>
      <c r="C1493" s="564">
        <v>8</v>
      </c>
      <c r="D1493" s="564">
        <v>0.21</v>
      </c>
      <c r="E1493" s="564">
        <v>1828</v>
      </c>
      <c r="F1493" s="564">
        <v>14828</v>
      </c>
      <c r="G1493" s="564">
        <v>260</v>
      </c>
      <c r="H1493" s="564">
        <v>1821</v>
      </c>
      <c r="I1493" s="557" t="str">
        <f t="shared" si="22"/>
        <v>GooD</v>
      </c>
    </row>
    <row r="1494" spans="1:9" ht="15.75" thickBot="1">
      <c r="A1494" s="565" t="s">
        <v>646</v>
      </c>
      <c r="B1494" s="565">
        <v>13000</v>
      </c>
      <c r="C1494" s="566">
        <v>10</v>
      </c>
      <c r="D1494" s="566">
        <v>0.21</v>
      </c>
      <c r="E1494" s="566">
        <v>2285</v>
      </c>
      <c r="F1494" s="566">
        <v>15285</v>
      </c>
      <c r="G1494" s="566">
        <v>325</v>
      </c>
      <c r="H1494" s="566">
        <v>1496</v>
      </c>
      <c r="I1494" s="558" t="str">
        <f t="shared" si="22"/>
        <v>GooD</v>
      </c>
    </row>
    <row r="1495" spans="1:9" ht="15.75" thickTop="1">
      <c r="A1495" s="567" t="s">
        <v>646</v>
      </c>
      <c r="B1495" s="567">
        <v>13000</v>
      </c>
      <c r="C1495" s="568">
        <v>12</v>
      </c>
      <c r="D1495" s="568">
        <v>0.21</v>
      </c>
      <c r="E1495" s="568">
        <v>2738</v>
      </c>
      <c r="F1495" s="568">
        <v>15738</v>
      </c>
      <c r="G1495" s="568">
        <v>390</v>
      </c>
      <c r="H1495" s="568">
        <v>1279</v>
      </c>
      <c r="I1495" s="559" t="str">
        <f t="shared" si="22"/>
        <v>GooD</v>
      </c>
    </row>
    <row r="1496" spans="1:9">
      <c r="A1496" s="563" t="s">
        <v>646</v>
      </c>
      <c r="B1496" s="563">
        <v>13500</v>
      </c>
      <c r="C1496" s="564">
        <v>4</v>
      </c>
      <c r="D1496" s="564">
        <v>0.21</v>
      </c>
      <c r="E1496" s="564">
        <v>947</v>
      </c>
      <c r="F1496" s="564">
        <v>14447</v>
      </c>
      <c r="G1496" s="564">
        <v>135</v>
      </c>
      <c r="H1496" s="564">
        <v>3578</v>
      </c>
      <c r="I1496" s="557" t="str">
        <f t="shared" si="22"/>
        <v>GooD</v>
      </c>
    </row>
    <row r="1497" spans="1:9" ht="15.75" thickBot="1">
      <c r="A1497" s="565" t="s">
        <v>646</v>
      </c>
      <c r="B1497" s="565">
        <v>13500</v>
      </c>
      <c r="C1497" s="566">
        <v>6</v>
      </c>
      <c r="D1497" s="566">
        <v>0.21</v>
      </c>
      <c r="E1497" s="566">
        <v>1421</v>
      </c>
      <c r="F1497" s="566">
        <v>14921</v>
      </c>
      <c r="G1497" s="566">
        <v>203</v>
      </c>
      <c r="H1497" s="566">
        <v>2453</v>
      </c>
      <c r="I1497" s="558" t="str">
        <f t="shared" si="22"/>
        <v>GooD</v>
      </c>
    </row>
    <row r="1498" spans="1:9" ht="15.75" thickTop="1">
      <c r="A1498" s="567" t="s">
        <v>646</v>
      </c>
      <c r="B1498" s="567">
        <v>13500</v>
      </c>
      <c r="C1498" s="568">
        <v>8</v>
      </c>
      <c r="D1498" s="568">
        <v>0.21</v>
      </c>
      <c r="E1498" s="568">
        <v>1898</v>
      </c>
      <c r="F1498" s="568">
        <v>15398</v>
      </c>
      <c r="G1498" s="568">
        <v>270</v>
      </c>
      <c r="H1498" s="568">
        <v>1891</v>
      </c>
      <c r="I1498" s="559" t="str">
        <f t="shared" si="22"/>
        <v>GooD</v>
      </c>
    </row>
    <row r="1499" spans="1:9">
      <c r="A1499" s="563" t="s">
        <v>646</v>
      </c>
      <c r="B1499" s="563">
        <v>13500</v>
      </c>
      <c r="C1499" s="564">
        <v>10</v>
      </c>
      <c r="D1499" s="564">
        <v>0.21</v>
      </c>
      <c r="E1499" s="564">
        <v>2368</v>
      </c>
      <c r="F1499" s="564">
        <v>15868</v>
      </c>
      <c r="G1499" s="564">
        <v>338</v>
      </c>
      <c r="H1499" s="564">
        <v>1553</v>
      </c>
      <c r="I1499" s="557" t="str">
        <f t="shared" si="22"/>
        <v>GooD</v>
      </c>
    </row>
    <row r="1500" spans="1:9" ht="15.75" thickBot="1">
      <c r="A1500" s="565" t="s">
        <v>646</v>
      </c>
      <c r="B1500" s="565">
        <v>13500</v>
      </c>
      <c r="C1500" s="566">
        <v>12</v>
      </c>
      <c r="D1500" s="566">
        <v>0.21</v>
      </c>
      <c r="E1500" s="566">
        <v>2841</v>
      </c>
      <c r="F1500" s="566">
        <v>16341</v>
      </c>
      <c r="G1500" s="566">
        <v>405</v>
      </c>
      <c r="H1500" s="566">
        <v>1328</v>
      </c>
      <c r="I1500" s="558" t="str">
        <f t="shared" si="22"/>
        <v>GooD</v>
      </c>
    </row>
    <row r="1501" spans="1:9" ht="15.75" thickTop="1">
      <c r="A1501" s="567" t="s">
        <v>646</v>
      </c>
      <c r="B1501" s="567">
        <v>14000</v>
      </c>
      <c r="C1501" s="568">
        <v>4</v>
      </c>
      <c r="D1501" s="568">
        <v>0.21</v>
      </c>
      <c r="E1501" s="568">
        <v>984</v>
      </c>
      <c r="F1501" s="568">
        <v>14984</v>
      </c>
      <c r="G1501" s="568">
        <v>140</v>
      </c>
      <c r="H1501" s="568">
        <v>3711</v>
      </c>
      <c r="I1501" s="559" t="str">
        <f t="shared" si="22"/>
        <v>GooD</v>
      </c>
    </row>
    <row r="1502" spans="1:9">
      <c r="A1502" s="563" t="s">
        <v>646</v>
      </c>
      <c r="B1502" s="563">
        <v>14000</v>
      </c>
      <c r="C1502" s="564">
        <v>6</v>
      </c>
      <c r="D1502" s="564">
        <v>0.21</v>
      </c>
      <c r="E1502" s="564">
        <v>1474</v>
      </c>
      <c r="F1502" s="564">
        <v>15474</v>
      </c>
      <c r="G1502" s="564">
        <v>210</v>
      </c>
      <c r="H1502" s="564">
        <v>2544</v>
      </c>
      <c r="I1502" s="557" t="str">
        <f t="shared" si="22"/>
        <v>GooD</v>
      </c>
    </row>
    <row r="1503" spans="1:9" ht="15.75" thickBot="1">
      <c r="A1503" s="565" t="s">
        <v>646</v>
      </c>
      <c r="B1503" s="565">
        <v>14000</v>
      </c>
      <c r="C1503" s="566">
        <v>8</v>
      </c>
      <c r="D1503" s="566">
        <v>0.21</v>
      </c>
      <c r="E1503" s="566">
        <v>1968</v>
      </c>
      <c r="F1503" s="566">
        <v>15968</v>
      </c>
      <c r="G1503" s="566">
        <v>280</v>
      </c>
      <c r="H1503" s="566">
        <v>1961</v>
      </c>
      <c r="I1503" s="558" t="str">
        <f t="shared" si="22"/>
        <v>GooD</v>
      </c>
    </row>
    <row r="1504" spans="1:9" ht="15.75" thickTop="1">
      <c r="A1504" s="567" t="s">
        <v>646</v>
      </c>
      <c r="B1504" s="567">
        <v>14000</v>
      </c>
      <c r="C1504" s="568">
        <v>10</v>
      </c>
      <c r="D1504" s="568">
        <v>0.21</v>
      </c>
      <c r="E1504" s="568">
        <v>2460</v>
      </c>
      <c r="F1504" s="568">
        <v>16460</v>
      </c>
      <c r="G1504" s="568">
        <v>350</v>
      </c>
      <c r="H1504" s="568">
        <v>1611</v>
      </c>
      <c r="I1504" s="559" t="str">
        <f t="shared" si="22"/>
        <v>GooD</v>
      </c>
    </row>
    <row r="1505" spans="1:9">
      <c r="A1505" s="563" t="s">
        <v>646</v>
      </c>
      <c r="B1505" s="563">
        <v>14000</v>
      </c>
      <c r="C1505" s="564">
        <v>12</v>
      </c>
      <c r="D1505" s="564">
        <v>0.21</v>
      </c>
      <c r="E1505" s="564">
        <v>2944</v>
      </c>
      <c r="F1505" s="564">
        <v>16944</v>
      </c>
      <c r="G1505" s="564">
        <v>420</v>
      </c>
      <c r="H1505" s="564">
        <v>1377</v>
      </c>
      <c r="I1505" s="557" t="str">
        <f t="shared" si="22"/>
        <v>GooD</v>
      </c>
    </row>
    <row r="1506" spans="1:9" ht="15.75" thickBot="1">
      <c r="A1506" s="565" t="s">
        <v>646</v>
      </c>
      <c r="B1506" s="565">
        <v>14500</v>
      </c>
      <c r="C1506" s="566">
        <v>6</v>
      </c>
      <c r="D1506" s="566">
        <v>0.21</v>
      </c>
      <c r="E1506" s="566">
        <v>1528</v>
      </c>
      <c r="F1506" s="566">
        <v>16028</v>
      </c>
      <c r="G1506" s="566">
        <v>218</v>
      </c>
      <c r="H1506" s="566">
        <v>2635</v>
      </c>
      <c r="I1506" s="558" t="str">
        <f t="shared" si="22"/>
        <v>GooD</v>
      </c>
    </row>
    <row r="1507" spans="1:9" ht="15.75" thickTop="1">
      <c r="A1507" s="567" t="s">
        <v>646</v>
      </c>
      <c r="B1507" s="567">
        <v>14500</v>
      </c>
      <c r="C1507" s="568">
        <v>8</v>
      </c>
      <c r="D1507" s="568">
        <v>0.21</v>
      </c>
      <c r="E1507" s="568">
        <v>2038</v>
      </c>
      <c r="F1507" s="568">
        <v>16538</v>
      </c>
      <c r="G1507" s="568">
        <v>290</v>
      </c>
      <c r="H1507" s="568">
        <v>2031</v>
      </c>
      <c r="I1507" s="559" t="str">
        <f t="shared" si="22"/>
        <v>GooD</v>
      </c>
    </row>
    <row r="1508" spans="1:9">
      <c r="A1508" s="563" t="s">
        <v>646</v>
      </c>
      <c r="B1508" s="563">
        <v>14500</v>
      </c>
      <c r="C1508" s="564">
        <v>10</v>
      </c>
      <c r="D1508" s="564">
        <v>0.21</v>
      </c>
      <c r="E1508" s="564">
        <v>2543</v>
      </c>
      <c r="F1508" s="564">
        <v>17043</v>
      </c>
      <c r="G1508" s="564">
        <v>363</v>
      </c>
      <c r="H1508" s="564">
        <v>1668</v>
      </c>
      <c r="I1508" s="557" t="str">
        <f t="shared" si="22"/>
        <v>GooD</v>
      </c>
    </row>
    <row r="1509" spans="1:9" ht="15.75" thickBot="1">
      <c r="A1509" s="565" t="s">
        <v>646</v>
      </c>
      <c r="B1509" s="565">
        <v>14500</v>
      </c>
      <c r="C1509" s="566">
        <v>12</v>
      </c>
      <c r="D1509" s="566">
        <v>0.21</v>
      </c>
      <c r="E1509" s="566">
        <v>3047</v>
      </c>
      <c r="F1509" s="566">
        <v>17547</v>
      </c>
      <c r="G1509" s="566">
        <v>435</v>
      </c>
      <c r="H1509" s="566">
        <v>1426</v>
      </c>
      <c r="I1509" s="558" t="str">
        <f t="shared" si="22"/>
        <v>GooD</v>
      </c>
    </row>
    <row r="1510" spans="1:9" ht="15.75" thickTop="1">
      <c r="A1510" s="567" t="s">
        <v>646</v>
      </c>
      <c r="B1510" s="567">
        <v>14500</v>
      </c>
      <c r="C1510" s="568">
        <v>14</v>
      </c>
      <c r="D1510" s="568">
        <v>0.21</v>
      </c>
      <c r="E1510" s="568">
        <v>3564</v>
      </c>
      <c r="F1510" s="568">
        <v>18064</v>
      </c>
      <c r="G1510" s="568">
        <v>508</v>
      </c>
      <c r="H1510" s="568">
        <v>1254</v>
      </c>
      <c r="I1510" s="559" t="str">
        <f t="shared" si="22"/>
        <v>GooD</v>
      </c>
    </row>
    <row r="1511" spans="1:9">
      <c r="A1511" s="563" t="s">
        <v>646</v>
      </c>
      <c r="B1511" s="563">
        <v>14500</v>
      </c>
      <c r="C1511" s="564">
        <v>16</v>
      </c>
      <c r="D1511" s="564">
        <v>0.21</v>
      </c>
      <c r="E1511" s="564">
        <v>4064</v>
      </c>
      <c r="F1511" s="564">
        <v>18564</v>
      </c>
      <c r="G1511" s="564">
        <v>580</v>
      </c>
      <c r="H1511" s="564">
        <v>1124</v>
      </c>
      <c r="I1511" s="557" t="str">
        <f t="shared" si="22"/>
        <v>GooD</v>
      </c>
    </row>
    <row r="1512" spans="1:9" ht="15.75" thickBot="1">
      <c r="A1512" s="565" t="s">
        <v>646</v>
      </c>
      <c r="B1512" s="565">
        <v>14500</v>
      </c>
      <c r="C1512" s="566">
        <v>18</v>
      </c>
      <c r="D1512" s="566">
        <v>0.21</v>
      </c>
      <c r="E1512" s="566">
        <v>4585</v>
      </c>
      <c r="F1512" s="566">
        <v>19085</v>
      </c>
      <c r="G1512" s="566">
        <v>653</v>
      </c>
      <c r="H1512" s="566">
        <v>1024</v>
      </c>
      <c r="I1512" s="558" t="str">
        <f t="shared" si="22"/>
        <v>GooD</v>
      </c>
    </row>
    <row r="1513" spans="1:9" ht="15.75" thickTop="1">
      <c r="A1513" s="567" t="s">
        <v>646</v>
      </c>
      <c r="B1513" s="567">
        <v>15000</v>
      </c>
      <c r="C1513" s="568">
        <v>6</v>
      </c>
      <c r="D1513" s="568">
        <v>0.21</v>
      </c>
      <c r="E1513" s="568">
        <v>1581</v>
      </c>
      <c r="F1513" s="568">
        <v>16581</v>
      </c>
      <c r="G1513" s="568">
        <v>225</v>
      </c>
      <c r="H1513" s="568">
        <v>2726</v>
      </c>
      <c r="I1513" s="559" t="str">
        <f t="shared" si="22"/>
        <v>GooD</v>
      </c>
    </row>
    <row r="1514" spans="1:9">
      <c r="A1514" s="563" t="s">
        <v>646</v>
      </c>
      <c r="B1514" s="563">
        <v>15000</v>
      </c>
      <c r="C1514" s="564">
        <v>8</v>
      </c>
      <c r="D1514" s="564">
        <v>0.21</v>
      </c>
      <c r="E1514" s="564">
        <v>2108</v>
      </c>
      <c r="F1514" s="564">
        <v>17108</v>
      </c>
      <c r="G1514" s="564">
        <v>300</v>
      </c>
      <c r="H1514" s="564">
        <v>2101</v>
      </c>
      <c r="I1514" s="557" t="str">
        <f t="shared" si="22"/>
        <v>GooD</v>
      </c>
    </row>
    <row r="1515" spans="1:9" ht="15.75" thickBot="1">
      <c r="A1515" s="565" t="s">
        <v>646</v>
      </c>
      <c r="B1515" s="565">
        <v>15000</v>
      </c>
      <c r="C1515" s="566">
        <v>10</v>
      </c>
      <c r="D1515" s="566">
        <v>0.21</v>
      </c>
      <c r="E1515" s="566">
        <v>2635</v>
      </c>
      <c r="F1515" s="566">
        <v>17635</v>
      </c>
      <c r="G1515" s="566">
        <v>375</v>
      </c>
      <c r="H1515" s="566">
        <v>1726</v>
      </c>
      <c r="I1515" s="558" t="str">
        <f t="shared" si="22"/>
        <v>GooD</v>
      </c>
    </row>
    <row r="1516" spans="1:9" ht="15.75" thickTop="1">
      <c r="A1516" s="567" t="s">
        <v>646</v>
      </c>
      <c r="B1516" s="567">
        <v>15000</v>
      </c>
      <c r="C1516" s="568">
        <v>12</v>
      </c>
      <c r="D1516" s="568">
        <v>0.21</v>
      </c>
      <c r="E1516" s="568">
        <v>3162</v>
      </c>
      <c r="F1516" s="568">
        <v>18162</v>
      </c>
      <c r="G1516" s="568">
        <v>450</v>
      </c>
      <c r="H1516" s="568">
        <v>1476</v>
      </c>
      <c r="I1516" s="559" t="str">
        <f t="shared" si="22"/>
        <v>GooD</v>
      </c>
    </row>
    <row r="1517" spans="1:9">
      <c r="A1517" s="563" t="s">
        <v>646</v>
      </c>
      <c r="B1517" s="563">
        <v>15000</v>
      </c>
      <c r="C1517" s="564">
        <v>14</v>
      </c>
      <c r="D1517" s="564">
        <v>0.21</v>
      </c>
      <c r="E1517" s="564">
        <v>3683</v>
      </c>
      <c r="F1517" s="564">
        <v>18683</v>
      </c>
      <c r="G1517" s="564">
        <v>525</v>
      </c>
      <c r="H1517" s="564">
        <v>1297</v>
      </c>
      <c r="I1517" s="557" t="str">
        <f t="shared" si="22"/>
        <v>GooD</v>
      </c>
    </row>
    <row r="1518" spans="1:9" ht="15.75" thickBot="1">
      <c r="A1518" s="565" t="s">
        <v>646</v>
      </c>
      <c r="B1518" s="565">
        <v>15000</v>
      </c>
      <c r="C1518" s="566">
        <v>16</v>
      </c>
      <c r="D1518" s="566">
        <v>0.21</v>
      </c>
      <c r="E1518" s="566">
        <v>4208</v>
      </c>
      <c r="F1518" s="566">
        <v>19208</v>
      </c>
      <c r="G1518" s="566">
        <v>600</v>
      </c>
      <c r="H1518" s="566">
        <v>1163</v>
      </c>
      <c r="I1518" s="558" t="str">
        <f t="shared" si="22"/>
        <v>GooD</v>
      </c>
    </row>
    <row r="1519" spans="1:9" ht="15.75" thickTop="1">
      <c r="A1519" s="567" t="s">
        <v>646</v>
      </c>
      <c r="B1519" s="567">
        <v>15000</v>
      </c>
      <c r="C1519" s="568">
        <v>18</v>
      </c>
      <c r="D1519" s="568">
        <v>0.21</v>
      </c>
      <c r="E1519" s="568">
        <v>4737</v>
      </c>
      <c r="F1519" s="568">
        <v>19737</v>
      </c>
      <c r="G1519" s="568">
        <v>675</v>
      </c>
      <c r="H1519" s="568">
        <v>1059</v>
      </c>
      <c r="I1519" s="559" t="str">
        <f t="shared" si="22"/>
        <v>GooD</v>
      </c>
    </row>
    <row r="1520" spans="1:9">
      <c r="A1520" s="563" t="s">
        <v>646</v>
      </c>
      <c r="B1520" s="563">
        <v>15500</v>
      </c>
      <c r="C1520" s="564">
        <v>6</v>
      </c>
      <c r="D1520" s="564">
        <v>0.21</v>
      </c>
      <c r="E1520" s="564">
        <v>1629</v>
      </c>
      <c r="F1520" s="564">
        <v>17129</v>
      </c>
      <c r="G1520" s="564">
        <v>233</v>
      </c>
      <c r="H1520" s="564">
        <v>2816</v>
      </c>
      <c r="I1520" s="557" t="str">
        <f t="shared" si="22"/>
        <v>GooD</v>
      </c>
    </row>
    <row r="1521" spans="1:9" ht="15.75" thickBot="1">
      <c r="A1521" s="565" t="s">
        <v>646</v>
      </c>
      <c r="B1521" s="565">
        <v>15500</v>
      </c>
      <c r="C1521" s="566">
        <v>8</v>
      </c>
      <c r="D1521" s="566">
        <v>0.21</v>
      </c>
      <c r="E1521" s="566">
        <v>2178</v>
      </c>
      <c r="F1521" s="566">
        <v>17678</v>
      </c>
      <c r="G1521" s="566">
        <v>310</v>
      </c>
      <c r="H1521" s="566">
        <v>2171</v>
      </c>
      <c r="I1521" s="558" t="str">
        <f t="shared" si="22"/>
        <v>GooD</v>
      </c>
    </row>
    <row r="1522" spans="1:9" ht="15.75" thickTop="1">
      <c r="A1522" s="567" t="s">
        <v>646</v>
      </c>
      <c r="B1522" s="567">
        <v>15500</v>
      </c>
      <c r="C1522" s="568">
        <v>10</v>
      </c>
      <c r="D1522" s="568">
        <v>0.21</v>
      </c>
      <c r="E1522" s="568">
        <v>2718</v>
      </c>
      <c r="F1522" s="568">
        <v>18218</v>
      </c>
      <c r="G1522" s="568">
        <v>388</v>
      </c>
      <c r="H1522" s="568">
        <v>1783</v>
      </c>
      <c r="I1522" s="559" t="str">
        <f t="shared" si="22"/>
        <v>GooD</v>
      </c>
    </row>
    <row r="1523" spans="1:9">
      <c r="A1523" s="563" t="s">
        <v>646</v>
      </c>
      <c r="B1523" s="563">
        <v>15500</v>
      </c>
      <c r="C1523" s="564">
        <v>12</v>
      </c>
      <c r="D1523" s="564">
        <v>0.21</v>
      </c>
      <c r="E1523" s="564">
        <v>3265</v>
      </c>
      <c r="F1523" s="564">
        <v>18765</v>
      </c>
      <c r="G1523" s="564">
        <v>465</v>
      </c>
      <c r="H1523" s="564">
        <v>1525</v>
      </c>
      <c r="I1523" s="557" t="str">
        <f t="shared" si="22"/>
        <v>GooD</v>
      </c>
    </row>
    <row r="1524" spans="1:9" ht="15.75" thickBot="1">
      <c r="A1524" s="565" t="s">
        <v>646</v>
      </c>
      <c r="B1524" s="565">
        <v>15500</v>
      </c>
      <c r="C1524" s="566">
        <v>14</v>
      </c>
      <c r="D1524" s="566">
        <v>0.21</v>
      </c>
      <c r="E1524" s="566">
        <v>3803</v>
      </c>
      <c r="F1524" s="566">
        <v>19303</v>
      </c>
      <c r="G1524" s="566">
        <v>543</v>
      </c>
      <c r="H1524" s="566">
        <v>1340</v>
      </c>
      <c r="I1524" s="558" t="str">
        <f t="shared" si="22"/>
        <v>GooD</v>
      </c>
    </row>
    <row r="1525" spans="1:9" ht="15.75" thickTop="1">
      <c r="A1525" s="567" t="s">
        <v>646</v>
      </c>
      <c r="B1525" s="567">
        <v>15500</v>
      </c>
      <c r="C1525" s="568">
        <v>16</v>
      </c>
      <c r="D1525" s="568">
        <v>0.21</v>
      </c>
      <c r="E1525" s="568">
        <v>4352</v>
      </c>
      <c r="F1525" s="568">
        <v>19852</v>
      </c>
      <c r="G1525" s="568">
        <v>620</v>
      </c>
      <c r="H1525" s="568">
        <v>1202</v>
      </c>
      <c r="I1525" s="559" t="str">
        <f t="shared" si="22"/>
        <v>GooD</v>
      </c>
    </row>
    <row r="1526" spans="1:9">
      <c r="A1526" s="563" t="s">
        <v>646</v>
      </c>
      <c r="B1526" s="563">
        <v>15500</v>
      </c>
      <c r="C1526" s="564">
        <v>18</v>
      </c>
      <c r="D1526" s="564">
        <v>0.21</v>
      </c>
      <c r="E1526" s="564">
        <v>4890</v>
      </c>
      <c r="F1526" s="564">
        <v>20390</v>
      </c>
      <c r="G1526" s="564">
        <v>698</v>
      </c>
      <c r="H1526" s="564">
        <v>1094</v>
      </c>
      <c r="I1526" s="557" t="str">
        <f t="shared" si="22"/>
        <v>GooD</v>
      </c>
    </row>
    <row r="1527" spans="1:9" ht="15.75" thickBot="1">
      <c r="A1527" s="565" t="s">
        <v>646</v>
      </c>
      <c r="B1527" s="565">
        <v>16000</v>
      </c>
      <c r="C1527" s="566">
        <v>6</v>
      </c>
      <c r="D1527" s="566">
        <v>0.21</v>
      </c>
      <c r="E1527" s="566">
        <v>1682</v>
      </c>
      <c r="F1527" s="566">
        <v>17682</v>
      </c>
      <c r="G1527" s="566">
        <v>240</v>
      </c>
      <c r="H1527" s="566">
        <v>2907</v>
      </c>
      <c r="I1527" s="558" t="str">
        <f t="shared" si="22"/>
        <v>GooD</v>
      </c>
    </row>
    <row r="1528" spans="1:9" ht="15.75" thickTop="1">
      <c r="A1528" s="567" t="s">
        <v>646</v>
      </c>
      <c r="B1528" s="567">
        <v>16000</v>
      </c>
      <c r="C1528" s="568">
        <v>8</v>
      </c>
      <c r="D1528" s="568">
        <v>0.21</v>
      </c>
      <c r="E1528" s="568">
        <v>2248</v>
      </c>
      <c r="F1528" s="568">
        <v>18248</v>
      </c>
      <c r="G1528" s="568">
        <v>320</v>
      </c>
      <c r="H1528" s="568">
        <v>2241</v>
      </c>
      <c r="I1528" s="559" t="str">
        <f t="shared" si="22"/>
        <v>GooD</v>
      </c>
    </row>
    <row r="1529" spans="1:9">
      <c r="A1529" s="563" t="s">
        <v>646</v>
      </c>
      <c r="B1529" s="563">
        <v>16000</v>
      </c>
      <c r="C1529" s="564">
        <v>10</v>
      </c>
      <c r="D1529" s="564">
        <v>0.21</v>
      </c>
      <c r="E1529" s="564">
        <v>2810</v>
      </c>
      <c r="F1529" s="564">
        <v>18810</v>
      </c>
      <c r="G1529" s="564">
        <v>400</v>
      </c>
      <c r="H1529" s="564">
        <v>1841</v>
      </c>
      <c r="I1529" s="557" t="str">
        <f t="shared" si="22"/>
        <v>GooD</v>
      </c>
    </row>
    <row r="1530" spans="1:9" ht="15.75" thickBot="1">
      <c r="A1530" s="565" t="s">
        <v>646</v>
      </c>
      <c r="B1530" s="565">
        <v>16000</v>
      </c>
      <c r="C1530" s="566">
        <v>12</v>
      </c>
      <c r="D1530" s="566">
        <v>0.21</v>
      </c>
      <c r="E1530" s="566">
        <v>3368</v>
      </c>
      <c r="F1530" s="566">
        <v>19368</v>
      </c>
      <c r="G1530" s="566">
        <v>480</v>
      </c>
      <c r="H1530" s="566">
        <v>1574</v>
      </c>
      <c r="I1530" s="558" t="str">
        <f t="shared" si="22"/>
        <v>GooD</v>
      </c>
    </row>
    <row r="1531" spans="1:9" ht="15.75" thickTop="1">
      <c r="A1531" s="567" t="s">
        <v>646</v>
      </c>
      <c r="B1531" s="567">
        <v>16000</v>
      </c>
      <c r="C1531" s="568">
        <v>14</v>
      </c>
      <c r="D1531" s="568">
        <v>0.21</v>
      </c>
      <c r="E1531" s="568">
        <v>3922</v>
      </c>
      <c r="F1531" s="568">
        <v>19922</v>
      </c>
      <c r="G1531" s="568">
        <v>560</v>
      </c>
      <c r="H1531" s="568">
        <v>1383</v>
      </c>
      <c r="I1531" s="559" t="str">
        <f t="shared" si="22"/>
        <v>GooD</v>
      </c>
    </row>
    <row r="1532" spans="1:9">
      <c r="A1532" s="563" t="s">
        <v>646</v>
      </c>
      <c r="B1532" s="563">
        <v>16000</v>
      </c>
      <c r="C1532" s="564">
        <v>16</v>
      </c>
      <c r="D1532" s="564">
        <v>0.21</v>
      </c>
      <c r="E1532" s="564">
        <v>4496</v>
      </c>
      <c r="F1532" s="564">
        <v>20496</v>
      </c>
      <c r="G1532" s="564">
        <v>640</v>
      </c>
      <c r="H1532" s="564">
        <v>1241</v>
      </c>
      <c r="I1532" s="557" t="str">
        <f t="shared" si="22"/>
        <v>GooD</v>
      </c>
    </row>
    <row r="1533" spans="1:9" ht="15.75" thickBot="1">
      <c r="A1533" s="565" t="s">
        <v>646</v>
      </c>
      <c r="B1533" s="565">
        <v>16000</v>
      </c>
      <c r="C1533" s="566">
        <v>18</v>
      </c>
      <c r="D1533" s="566">
        <v>0.21</v>
      </c>
      <c r="E1533" s="566">
        <v>5042</v>
      </c>
      <c r="F1533" s="566">
        <v>21042</v>
      </c>
      <c r="G1533" s="566">
        <v>720</v>
      </c>
      <c r="H1533" s="566">
        <v>1129</v>
      </c>
      <c r="I1533" s="558" t="str">
        <f t="shared" ref="I1533:I1596" si="23">IF(((H1533*C1533)+G1533)=F1533,"GooD","لالالالالالالا")</f>
        <v>GooD</v>
      </c>
    </row>
    <row r="1534" spans="1:9" ht="15.75" thickTop="1">
      <c r="A1534" s="567" t="s">
        <v>646</v>
      </c>
      <c r="B1534" s="567">
        <v>16500</v>
      </c>
      <c r="C1534" s="568">
        <v>6</v>
      </c>
      <c r="D1534" s="568">
        <v>0.21</v>
      </c>
      <c r="E1534" s="568">
        <v>1736</v>
      </c>
      <c r="F1534" s="568">
        <v>18236</v>
      </c>
      <c r="G1534" s="568">
        <v>248</v>
      </c>
      <c r="H1534" s="568">
        <v>2998</v>
      </c>
      <c r="I1534" s="559" t="str">
        <f t="shared" si="23"/>
        <v>GooD</v>
      </c>
    </row>
    <row r="1535" spans="1:9">
      <c r="A1535" s="563" t="s">
        <v>646</v>
      </c>
      <c r="B1535" s="563">
        <v>16500</v>
      </c>
      <c r="C1535" s="564">
        <v>8</v>
      </c>
      <c r="D1535" s="564">
        <v>0.21</v>
      </c>
      <c r="E1535" s="564">
        <v>2318</v>
      </c>
      <c r="F1535" s="564">
        <v>18818</v>
      </c>
      <c r="G1535" s="564">
        <v>330</v>
      </c>
      <c r="H1535" s="564">
        <v>2311</v>
      </c>
      <c r="I1535" s="557" t="str">
        <f t="shared" si="23"/>
        <v>GooD</v>
      </c>
    </row>
    <row r="1536" spans="1:9" ht="15.75" thickBot="1">
      <c r="A1536" s="565" t="s">
        <v>646</v>
      </c>
      <c r="B1536" s="565">
        <v>16500</v>
      </c>
      <c r="C1536" s="566">
        <v>10</v>
      </c>
      <c r="D1536" s="566">
        <v>0.21</v>
      </c>
      <c r="E1536" s="566">
        <v>2893</v>
      </c>
      <c r="F1536" s="566">
        <v>19393</v>
      </c>
      <c r="G1536" s="566">
        <v>413</v>
      </c>
      <c r="H1536" s="566">
        <v>1898</v>
      </c>
      <c r="I1536" s="558" t="str">
        <f t="shared" si="23"/>
        <v>GooD</v>
      </c>
    </row>
    <row r="1537" spans="1:9" ht="15.75" thickTop="1">
      <c r="A1537" s="567" t="s">
        <v>646</v>
      </c>
      <c r="B1537" s="567">
        <v>16500</v>
      </c>
      <c r="C1537" s="568">
        <v>12</v>
      </c>
      <c r="D1537" s="568">
        <v>0.21</v>
      </c>
      <c r="E1537" s="568">
        <v>3471</v>
      </c>
      <c r="F1537" s="568">
        <v>19971</v>
      </c>
      <c r="G1537" s="568">
        <v>495</v>
      </c>
      <c r="H1537" s="568">
        <v>1623</v>
      </c>
      <c r="I1537" s="559" t="str">
        <f t="shared" si="23"/>
        <v>GooD</v>
      </c>
    </row>
    <row r="1538" spans="1:9">
      <c r="A1538" s="563" t="s">
        <v>646</v>
      </c>
      <c r="B1538" s="563">
        <v>16500</v>
      </c>
      <c r="C1538" s="564">
        <v>14</v>
      </c>
      <c r="D1538" s="564">
        <v>0.21</v>
      </c>
      <c r="E1538" s="564">
        <v>4056</v>
      </c>
      <c r="F1538" s="564">
        <v>20556</v>
      </c>
      <c r="G1538" s="564">
        <v>578</v>
      </c>
      <c r="H1538" s="564">
        <v>1427</v>
      </c>
      <c r="I1538" s="557" t="str">
        <f t="shared" si="23"/>
        <v>GooD</v>
      </c>
    </row>
    <row r="1539" spans="1:9" ht="15.75" thickBot="1">
      <c r="A1539" s="565" t="s">
        <v>646</v>
      </c>
      <c r="B1539" s="565">
        <v>16500</v>
      </c>
      <c r="C1539" s="566">
        <v>16</v>
      </c>
      <c r="D1539" s="566">
        <v>0.21</v>
      </c>
      <c r="E1539" s="566">
        <v>4624</v>
      </c>
      <c r="F1539" s="566">
        <v>21124</v>
      </c>
      <c r="G1539" s="566">
        <v>660</v>
      </c>
      <c r="H1539" s="566">
        <v>1279</v>
      </c>
      <c r="I1539" s="558" t="str">
        <f t="shared" si="23"/>
        <v>GooD</v>
      </c>
    </row>
    <row r="1540" spans="1:9" ht="15.75" thickTop="1">
      <c r="A1540" s="567" t="s">
        <v>646</v>
      </c>
      <c r="B1540" s="567">
        <v>16500</v>
      </c>
      <c r="C1540" s="568">
        <v>18</v>
      </c>
      <c r="D1540" s="568">
        <v>0.21</v>
      </c>
      <c r="E1540" s="568">
        <v>5213</v>
      </c>
      <c r="F1540" s="568">
        <v>21713</v>
      </c>
      <c r="G1540" s="568">
        <v>743</v>
      </c>
      <c r="H1540" s="568">
        <v>1165</v>
      </c>
      <c r="I1540" s="559" t="str">
        <f t="shared" si="23"/>
        <v>GooD</v>
      </c>
    </row>
    <row r="1541" spans="1:9">
      <c r="A1541" s="563" t="s">
        <v>646</v>
      </c>
      <c r="B1541" s="563">
        <v>17000</v>
      </c>
      <c r="C1541" s="564">
        <v>6</v>
      </c>
      <c r="D1541" s="564">
        <v>0.21</v>
      </c>
      <c r="E1541" s="564">
        <v>1789</v>
      </c>
      <c r="F1541" s="564">
        <v>18789</v>
      </c>
      <c r="G1541" s="564">
        <v>255</v>
      </c>
      <c r="H1541" s="564">
        <v>3089</v>
      </c>
      <c r="I1541" s="557" t="str">
        <f t="shared" si="23"/>
        <v>GooD</v>
      </c>
    </row>
    <row r="1542" spans="1:9" ht="15.75" thickBot="1">
      <c r="A1542" s="565" t="s">
        <v>646</v>
      </c>
      <c r="B1542" s="565">
        <v>17000</v>
      </c>
      <c r="C1542" s="566">
        <v>8</v>
      </c>
      <c r="D1542" s="566">
        <v>0.21</v>
      </c>
      <c r="E1542" s="566">
        <v>2388</v>
      </c>
      <c r="F1542" s="566">
        <v>19388</v>
      </c>
      <c r="G1542" s="566">
        <v>340</v>
      </c>
      <c r="H1542" s="566">
        <v>2381</v>
      </c>
      <c r="I1542" s="558" t="str">
        <f t="shared" si="23"/>
        <v>GooD</v>
      </c>
    </row>
    <row r="1543" spans="1:9" ht="15.75" thickTop="1">
      <c r="A1543" s="567" t="s">
        <v>646</v>
      </c>
      <c r="B1543" s="567">
        <v>17000</v>
      </c>
      <c r="C1543" s="568">
        <v>10</v>
      </c>
      <c r="D1543" s="568">
        <v>0.21</v>
      </c>
      <c r="E1543" s="568">
        <v>2985</v>
      </c>
      <c r="F1543" s="568">
        <v>19985</v>
      </c>
      <c r="G1543" s="568">
        <v>425</v>
      </c>
      <c r="H1543" s="568">
        <v>1956</v>
      </c>
      <c r="I1543" s="559" t="str">
        <f t="shared" si="23"/>
        <v>GooD</v>
      </c>
    </row>
    <row r="1544" spans="1:9">
      <c r="A1544" s="563" t="s">
        <v>646</v>
      </c>
      <c r="B1544" s="563">
        <v>17000</v>
      </c>
      <c r="C1544" s="564">
        <v>12</v>
      </c>
      <c r="D1544" s="564">
        <v>0.21</v>
      </c>
      <c r="E1544" s="564">
        <v>3574</v>
      </c>
      <c r="F1544" s="564">
        <v>20574</v>
      </c>
      <c r="G1544" s="564">
        <v>510</v>
      </c>
      <c r="H1544" s="564">
        <v>1672</v>
      </c>
      <c r="I1544" s="557" t="str">
        <f t="shared" si="23"/>
        <v>GooD</v>
      </c>
    </row>
    <row r="1545" spans="1:9" ht="15.75" thickBot="1">
      <c r="A1545" s="565" t="s">
        <v>646</v>
      </c>
      <c r="B1545" s="565">
        <v>17000</v>
      </c>
      <c r="C1545" s="566">
        <v>14</v>
      </c>
      <c r="D1545" s="566">
        <v>0.21</v>
      </c>
      <c r="E1545" s="566">
        <v>4175</v>
      </c>
      <c r="F1545" s="566">
        <v>21175</v>
      </c>
      <c r="G1545" s="566">
        <v>595</v>
      </c>
      <c r="H1545" s="566">
        <v>1470</v>
      </c>
      <c r="I1545" s="558" t="str">
        <f t="shared" si="23"/>
        <v>GooD</v>
      </c>
    </row>
    <row r="1546" spans="1:9" ht="15.75" thickTop="1">
      <c r="A1546" s="567" t="s">
        <v>646</v>
      </c>
      <c r="B1546" s="567">
        <v>17000</v>
      </c>
      <c r="C1546" s="568">
        <v>16</v>
      </c>
      <c r="D1546" s="568">
        <v>0.21</v>
      </c>
      <c r="E1546" s="568">
        <v>4768</v>
      </c>
      <c r="F1546" s="568">
        <v>21768</v>
      </c>
      <c r="G1546" s="568">
        <v>680</v>
      </c>
      <c r="H1546" s="568">
        <v>1318</v>
      </c>
      <c r="I1546" s="559" t="str">
        <f t="shared" si="23"/>
        <v>GooD</v>
      </c>
    </row>
    <row r="1547" spans="1:9">
      <c r="A1547" s="563" t="s">
        <v>646</v>
      </c>
      <c r="B1547" s="563">
        <v>17000</v>
      </c>
      <c r="C1547" s="564">
        <v>18</v>
      </c>
      <c r="D1547" s="564">
        <v>0.21</v>
      </c>
      <c r="E1547" s="564">
        <v>5365</v>
      </c>
      <c r="F1547" s="564">
        <v>22365</v>
      </c>
      <c r="G1547" s="564">
        <v>765</v>
      </c>
      <c r="H1547" s="564">
        <v>1200</v>
      </c>
      <c r="I1547" s="557" t="str">
        <f t="shared" si="23"/>
        <v>GooD</v>
      </c>
    </row>
    <row r="1548" spans="1:9" ht="15.75" thickBot="1">
      <c r="A1548" s="565" t="s">
        <v>646</v>
      </c>
      <c r="B1548" s="565">
        <v>17500</v>
      </c>
      <c r="C1548" s="566">
        <v>6</v>
      </c>
      <c r="D1548" s="566">
        <v>0.21</v>
      </c>
      <c r="E1548" s="566">
        <v>1843</v>
      </c>
      <c r="F1548" s="566">
        <v>19343</v>
      </c>
      <c r="G1548" s="566">
        <v>263</v>
      </c>
      <c r="H1548" s="566">
        <v>3180</v>
      </c>
      <c r="I1548" s="558" t="str">
        <f t="shared" si="23"/>
        <v>GooD</v>
      </c>
    </row>
    <row r="1549" spans="1:9" ht="15.75" thickTop="1">
      <c r="A1549" s="567" t="s">
        <v>646</v>
      </c>
      <c r="B1549" s="567">
        <v>17500</v>
      </c>
      <c r="C1549" s="568">
        <v>8</v>
      </c>
      <c r="D1549" s="568">
        <v>0.21</v>
      </c>
      <c r="E1549" s="568">
        <v>2458</v>
      </c>
      <c r="F1549" s="568">
        <v>19958</v>
      </c>
      <c r="G1549" s="568">
        <v>350</v>
      </c>
      <c r="H1549" s="568">
        <v>2451</v>
      </c>
      <c r="I1549" s="559" t="str">
        <f t="shared" si="23"/>
        <v>GooD</v>
      </c>
    </row>
    <row r="1550" spans="1:9">
      <c r="A1550" s="563" t="s">
        <v>646</v>
      </c>
      <c r="B1550" s="563">
        <v>17500</v>
      </c>
      <c r="C1550" s="564">
        <v>10</v>
      </c>
      <c r="D1550" s="564">
        <v>0.21</v>
      </c>
      <c r="E1550" s="564">
        <v>3068</v>
      </c>
      <c r="F1550" s="564">
        <v>20568</v>
      </c>
      <c r="G1550" s="564">
        <v>438</v>
      </c>
      <c r="H1550" s="564">
        <v>2013</v>
      </c>
      <c r="I1550" s="557" t="str">
        <f t="shared" si="23"/>
        <v>GooD</v>
      </c>
    </row>
    <row r="1551" spans="1:9" ht="15.75" thickBot="1">
      <c r="A1551" s="565" t="s">
        <v>646</v>
      </c>
      <c r="B1551" s="565">
        <v>17500</v>
      </c>
      <c r="C1551" s="566">
        <v>12</v>
      </c>
      <c r="D1551" s="566">
        <v>0.21</v>
      </c>
      <c r="E1551" s="566">
        <v>3677</v>
      </c>
      <c r="F1551" s="566">
        <v>21177</v>
      </c>
      <c r="G1551" s="566">
        <v>525</v>
      </c>
      <c r="H1551" s="566">
        <v>1721</v>
      </c>
      <c r="I1551" s="558" t="str">
        <f t="shared" si="23"/>
        <v>GooD</v>
      </c>
    </row>
    <row r="1552" spans="1:9" ht="15.75" thickTop="1">
      <c r="A1552" s="567" t="s">
        <v>646</v>
      </c>
      <c r="B1552" s="567">
        <v>17500</v>
      </c>
      <c r="C1552" s="568">
        <v>14</v>
      </c>
      <c r="D1552" s="568">
        <v>0.21</v>
      </c>
      <c r="E1552" s="568">
        <v>4295</v>
      </c>
      <c r="F1552" s="568">
        <v>21795</v>
      </c>
      <c r="G1552" s="568">
        <v>613</v>
      </c>
      <c r="H1552" s="568">
        <v>1513</v>
      </c>
      <c r="I1552" s="559" t="str">
        <f t="shared" si="23"/>
        <v>GooD</v>
      </c>
    </row>
    <row r="1553" spans="1:9">
      <c r="A1553" s="563" t="s">
        <v>646</v>
      </c>
      <c r="B1553" s="563">
        <v>17500</v>
      </c>
      <c r="C1553" s="564">
        <v>16</v>
      </c>
      <c r="D1553" s="564">
        <v>0.21</v>
      </c>
      <c r="E1553" s="564">
        <v>4912</v>
      </c>
      <c r="F1553" s="564">
        <v>22412</v>
      </c>
      <c r="G1553" s="564">
        <v>700</v>
      </c>
      <c r="H1553" s="564">
        <v>1357</v>
      </c>
      <c r="I1553" s="557" t="str">
        <f t="shared" si="23"/>
        <v>GooD</v>
      </c>
    </row>
    <row r="1554" spans="1:9" ht="15.75" thickBot="1">
      <c r="A1554" s="565" t="s">
        <v>646</v>
      </c>
      <c r="B1554" s="565">
        <v>17500</v>
      </c>
      <c r="C1554" s="566">
        <v>18</v>
      </c>
      <c r="D1554" s="566">
        <v>0.21</v>
      </c>
      <c r="E1554" s="566">
        <v>5518</v>
      </c>
      <c r="F1554" s="566">
        <v>23018</v>
      </c>
      <c r="G1554" s="566">
        <v>788</v>
      </c>
      <c r="H1554" s="566">
        <v>1235</v>
      </c>
      <c r="I1554" s="558" t="str">
        <f t="shared" si="23"/>
        <v>GooD</v>
      </c>
    </row>
    <row r="1555" spans="1:9" ht="15.75" thickTop="1">
      <c r="A1555" s="567" t="s">
        <v>646</v>
      </c>
      <c r="B1555" s="567">
        <v>18000</v>
      </c>
      <c r="C1555" s="568">
        <v>6</v>
      </c>
      <c r="D1555" s="568">
        <v>0.21</v>
      </c>
      <c r="E1555" s="568">
        <v>1896</v>
      </c>
      <c r="F1555" s="568">
        <v>19896</v>
      </c>
      <c r="G1555" s="568">
        <v>270</v>
      </c>
      <c r="H1555" s="568">
        <v>3271</v>
      </c>
      <c r="I1555" s="559" t="str">
        <f t="shared" si="23"/>
        <v>GooD</v>
      </c>
    </row>
    <row r="1556" spans="1:9">
      <c r="A1556" s="563" t="s">
        <v>646</v>
      </c>
      <c r="B1556" s="563">
        <v>18000</v>
      </c>
      <c r="C1556" s="564">
        <v>8</v>
      </c>
      <c r="D1556" s="564">
        <v>0.21</v>
      </c>
      <c r="E1556" s="564">
        <v>2528</v>
      </c>
      <c r="F1556" s="564">
        <v>20528</v>
      </c>
      <c r="G1556" s="564">
        <v>360</v>
      </c>
      <c r="H1556" s="564">
        <v>2521</v>
      </c>
      <c r="I1556" s="557" t="str">
        <f t="shared" si="23"/>
        <v>GooD</v>
      </c>
    </row>
    <row r="1557" spans="1:9" ht="15.75" thickBot="1">
      <c r="A1557" s="565" t="s">
        <v>646</v>
      </c>
      <c r="B1557" s="565">
        <v>18000</v>
      </c>
      <c r="C1557" s="566">
        <v>10</v>
      </c>
      <c r="D1557" s="566">
        <v>0.21</v>
      </c>
      <c r="E1557" s="566">
        <v>3160</v>
      </c>
      <c r="F1557" s="566">
        <v>21160</v>
      </c>
      <c r="G1557" s="566">
        <v>450</v>
      </c>
      <c r="H1557" s="566">
        <v>2071</v>
      </c>
      <c r="I1557" s="558" t="str">
        <f t="shared" si="23"/>
        <v>GooD</v>
      </c>
    </row>
    <row r="1558" spans="1:9" ht="15.75" thickTop="1">
      <c r="A1558" s="567" t="s">
        <v>646</v>
      </c>
      <c r="B1558" s="567">
        <v>18000</v>
      </c>
      <c r="C1558" s="568">
        <v>12</v>
      </c>
      <c r="D1558" s="568">
        <v>0.21</v>
      </c>
      <c r="E1558" s="568">
        <v>3792</v>
      </c>
      <c r="F1558" s="568">
        <v>21792</v>
      </c>
      <c r="G1558" s="568">
        <v>540</v>
      </c>
      <c r="H1558" s="568">
        <v>1771</v>
      </c>
      <c r="I1558" s="559" t="str">
        <f t="shared" si="23"/>
        <v>GooD</v>
      </c>
    </row>
    <row r="1559" spans="1:9">
      <c r="A1559" s="563" t="s">
        <v>646</v>
      </c>
      <c r="B1559" s="563">
        <v>18000</v>
      </c>
      <c r="C1559" s="564">
        <v>14</v>
      </c>
      <c r="D1559" s="564">
        <v>0.21</v>
      </c>
      <c r="E1559" s="564">
        <v>4414</v>
      </c>
      <c r="F1559" s="564">
        <v>22414</v>
      </c>
      <c r="G1559" s="564">
        <v>630</v>
      </c>
      <c r="H1559" s="564">
        <v>1556</v>
      </c>
      <c r="I1559" s="557" t="str">
        <f t="shared" si="23"/>
        <v>GooD</v>
      </c>
    </row>
    <row r="1560" spans="1:9" ht="15.75" thickBot="1">
      <c r="A1560" s="565" t="s">
        <v>646</v>
      </c>
      <c r="B1560" s="565">
        <v>18000</v>
      </c>
      <c r="C1560" s="566">
        <v>16</v>
      </c>
      <c r="D1560" s="566">
        <v>0.21</v>
      </c>
      <c r="E1560" s="566">
        <v>5056</v>
      </c>
      <c r="F1560" s="566">
        <v>23056</v>
      </c>
      <c r="G1560" s="566">
        <v>720</v>
      </c>
      <c r="H1560" s="566">
        <v>1396</v>
      </c>
      <c r="I1560" s="558" t="str">
        <f t="shared" si="23"/>
        <v>GooD</v>
      </c>
    </row>
    <row r="1561" spans="1:9" ht="15.75" thickTop="1">
      <c r="A1561" s="567" t="s">
        <v>646</v>
      </c>
      <c r="B1561" s="567">
        <v>18000</v>
      </c>
      <c r="C1561" s="568">
        <v>18</v>
      </c>
      <c r="D1561" s="568">
        <v>0.21</v>
      </c>
      <c r="E1561" s="568">
        <v>5688</v>
      </c>
      <c r="F1561" s="568">
        <v>23688</v>
      </c>
      <c r="G1561" s="568">
        <v>810</v>
      </c>
      <c r="H1561" s="568">
        <v>1271</v>
      </c>
      <c r="I1561" s="559" t="str">
        <f t="shared" si="23"/>
        <v>GooD</v>
      </c>
    </row>
    <row r="1562" spans="1:9">
      <c r="A1562" s="563" t="s">
        <v>646</v>
      </c>
      <c r="B1562" s="563">
        <v>18500</v>
      </c>
      <c r="C1562" s="564">
        <v>6</v>
      </c>
      <c r="D1562" s="564">
        <v>0.21</v>
      </c>
      <c r="E1562" s="564">
        <v>1944</v>
      </c>
      <c r="F1562" s="564">
        <v>20444</v>
      </c>
      <c r="G1562" s="564">
        <v>278</v>
      </c>
      <c r="H1562" s="564">
        <v>3361</v>
      </c>
      <c r="I1562" s="557" t="str">
        <f t="shared" si="23"/>
        <v>GooD</v>
      </c>
    </row>
    <row r="1563" spans="1:9" ht="15.75" thickBot="1">
      <c r="A1563" s="565" t="s">
        <v>646</v>
      </c>
      <c r="B1563" s="565">
        <v>18500</v>
      </c>
      <c r="C1563" s="566">
        <v>8</v>
      </c>
      <c r="D1563" s="566">
        <v>0.21</v>
      </c>
      <c r="E1563" s="566">
        <v>2598</v>
      </c>
      <c r="F1563" s="566">
        <v>21098</v>
      </c>
      <c r="G1563" s="566">
        <v>370</v>
      </c>
      <c r="H1563" s="566">
        <v>2591</v>
      </c>
      <c r="I1563" s="558" t="str">
        <f t="shared" si="23"/>
        <v>GooD</v>
      </c>
    </row>
    <row r="1564" spans="1:9" ht="15.75" thickTop="1">
      <c r="A1564" s="567" t="s">
        <v>646</v>
      </c>
      <c r="B1564" s="567">
        <v>18500</v>
      </c>
      <c r="C1564" s="568">
        <v>10</v>
      </c>
      <c r="D1564" s="568">
        <v>0.21</v>
      </c>
      <c r="E1564" s="568">
        <v>3243</v>
      </c>
      <c r="F1564" s="568">
        <v>21743</v>
      </c>
      <c r="G1564" s="568">
        <v>463</v>
      </c>
      <c r="H1564" s="568">
        <v>2128</v>
      </c>
      <c r="I1564" s="559" t="str">
        <f t="shared" si="23"/>
        <v>GooD</v>
      </c>
    </row>
    <row r="1565" spans="1:9">
      <c r="A1565" s="563" t="s">
        <v>646</v>
      </c>
      <c r="B1565" s="563">
        <v>18500</v>
      </c>
      <c r="C1565" s="564">
        <v>12</v>
      </c>
      <c r="D1565" s="564">
        <v>0.21</v>
      </c>
      <c r="E1565" s="564">
        <v>3895</v>
      </c>
      <c r="F1565" s="564">
        <v>22395</v>
      </c>
      <c r="G1565" s="564">
        <v>555</v>
      </c>
      <c r="H1565" s="564">
        <v>1820</v>
      </c>
      <c r="I1565" s="557" t="str">
        <f t="shared" si="23"/>
        <v>GooD</v>
      </c>
    </row>
    <row r="1566" spans="1:9" ht="15.75" thickBot="1">
      <c r="A1566" s="565" t="s">
        <v>646</v>
      </c>
      <c r="B1566" s="565">
        <v>18500</v>
      </c>
      <c r="C1566" s="566">
        <v>14</v>
      </c>
      <c r="D1566" s="566">
        <v>0.21</v>
      </c>
      <c r="E1566" s="566">
        <v>4534</v>
      </c>
      <c r="F1566" s="566">
        <v>23034</v>
      </c>
      <c r="G1566" s="566">
        <v>648</v>
      </c>
      <c r="H1566" s="566">
        <v>1599</v>
      </c>
      <c r="I1566" s="558" t="str">
        <f t="shared" si="23"/>
        <v>GooD</v>
      </c>
    </row>
    <row r="1567" spans="1:9" ht="15.75" thickTop="1">
      <c r="A1567" s="567" t="s">
        <v>646</v>
      </c>
      <c r="B1567" s="567">
        <v>18500</v>
      </c>
      <c r="C1567" s="568">
        <v>16</v>
      </c>
      <c r="D1567" s="568">
        <v>0.21</v>
      </c>
      <c r="E1567" s="568">
        <v>5184</v>
      </c>
      <c r="F1567" s="568">
        <v>23684</v>
      </c>
      <c r="G1567" s="568">
        <v>740</v>
      </c>
      <c r="H1567" s="568">
        <v>1434</v>
      </c>
      <c r="I1567" s="559" t="str">
        <f t="shared" si="23"/>
        <v>GooD</v>
      </c>
    </row>
    <row r="1568" spans="1:9">
      <c r="A1568" s="563" t="s">
        <v>646</v>
      </c>
      <c r="B1568" s="563">
        <v>18500</v>
      </c>
      <c r="C1568" s="564">
        <v>18</v>
      </c>
      <c r="D1568" s="564">
        <v>0.21</v>
      </c>
      <c r="E1568" s="564">
        <v>5841</v>
      </c>
      <c r="F1568" s="564">
        <v>24341</v>
      </c>
      <c r="G1568" s="564">
        <v>833</v>
      </c>
      <c r="H1568" s="564">
        <v>1306</v>
      </c>
      <c r="I1568" s="557" t="str">
        <f t="shared" si="23"/>
        <v>GooD</v>
      </c>
    </row>
    <row r="1569" spans="1:9" ht="15.75" thickBot="1">
      <c r="A1569" s="565" t="s">
        <v>646</v>
      </c>
      <c r="B1569" s="565">
        <v>19000</v>
      </c>
      <c r="C1569" s="566">
        <v>6</v>
      </c>
      <c r="D1569" s="566">
        <v>0.21</v>
      </c>
      <c r="E1569" s="566">
        <v>1997</v>
      </c>
      <c r="F1569" s="566">
        <v>20997</v>
      </c>
      <c r="G1569" s="566">
        <v>285</v>
      </c>
      <c r="H1569" s="566">
        <v>3452</v>
      </c>
      <c r="I1569" s="558" t="str">
        <f t="shared" si="23"/>
        <v>GooD</v>
      </c>
    </row>
    <row r="1570" spans="1:9" ht="15.75" thickTop="1">
      <c r="A1570" s="567" t="s">
        <v>646</v>
      </c>
      <c r="B1570" s="567">
        <v>19000</v>
      </c>
      <c r="C1570" s="568">
        <v>8</v>
      </c>
      <c r="D1570" s="568">
        <v>0.21</v>
      </c>
      <c r="E1570" s="568">
        <v>2668</v>
      </c>
      <c r="F1570" s="568">
        <v>21668</v>
      </c>
      <c r="G1570" s="568">
        <v>380</v>
      </c>
      <c r="H1570" s="568">
        <v>2661</v>
      </c>
      <c r="I1570" s="559" t="str">
        <f t="shared" si="23"/>
        <v>GooD</v>
      </c>
    </row>
    <row r="1571" spans="1:9">
      <c r="A1571" s="563" t="s">
        <v>646</v>
      </c>
      <c r="B1571" s="563">
        <v>19000</v>
      </c>
      <c r="C1571" s="564">
        <v>10</v>
      </c>
      <c r="D1571" s="564">
        <v>0.21</v>
      </c>
      <c r="E1571" s="564">
        <v>3335</v>
      </c>
      <c r="F1571" s="564">
        <v>22335</v>
      </c>
      <c r="G1571" s="564">
        <v>475</v>
      </c>
      <c r="H1571" s="564">
        <v>2186</v>
      </c>
      <c r="I1571" s="557" t="str">
        <f t="shared" si="23"/>
        <v>GooD</v>
      </c>
    </row>
    <row r="1572" spans="1:9" ht="15.75" thickBot="1">
      <c r="A1572" s="565" t="s">
        <v>646</v>
      </c>
      <c r="B1572" s="565">
        <v>19000</v>
      </c>
      <c r="C1572" s="566">
        <v>12</v>
      </c>
      <c r="D1572" s="566">
        <v>0.21</v>
      </c>
      <c r="E1572" s="566">
        <v>3998</v>
      </c>
      <c r="F1572" s="566">
        <v>22998</v>
      </c>
      <c r="G1572" s="566">
        <v>570</v>
      </c>
      <c r="H1572" s="566">
        <v>1869</v>
      </c>
      <c r="I1572" s="558" t="str">
        <f t="shared" si="23"/>
        <v>GooD</v>
      </c>
    </row>
    <row r="1573" spans="1:9" ht="15.75" thickTop="1">
      <c r="A1573" s="567" t="s">
        <v>646</v>
      </c>
      <c r="B1573" s="567">
        <v>19000</v>
      </c>
      <c r="C1573" s="568">
        <v>14</v>
      </c>
      <c r="D1573" s="568">
        <v>0.21</v>
      </c>
      <c r="E1573" s="568">
        <v>4667</v>
      </c>
      <c r="F1573" s="568">
        <v>23667</v>
      </c>
      <c r="G1573" s="568">
        <v>665</v>
      </c>
      <c r="H1573" s="568">
        <v>1643</v>
      </c>
      <c r="I1573" s="559" t="str">
        <f t="shared" si="23"/>
        <v>GooD</v>
      </c>
    </row>
    <row r="1574" spans="1:9">
      <c r="A1574" s="563" t="s">
        <v>646</v>
      </c>
      <c r="B1574" s="563">
        <v>19000</v>
      </c>
      <c r="C1574" s="564">
        <v>16</v>
      </c>
      <c r="D1574" s="564">
        <v>0.21</v>
      </c>
      <c r="E1574" s="564">
        <v>5328</v>
      </c>
      <c r="F1574" s="564">
        <v>24328</v>
      </c>
      <c r="G1574" s="564">
        <v>760</v>
      </c>
      <c r="H1574" s="564">
        <v>1473</v>
      </c>
      <c r="I1574" s="557" t="str">
        <f t="shared" si="23"/>
        <v>GooD</v>
      </c>
    </row>
    <row r="1575" spans="1:9" ht="15.75" thickBot="1">
      <c r="A1575" s="565" t="s">
        <v>646</v>
      </c>
      <c r="B1575" s="565">
        <v>19000</v>
      </c>
      <c r="C1575" s="566">
        <v>18</v>
      </c>
      <c r="D1575" s="566">
        <v>0.21</v>
      </c>
      <c r="E1575" s="566">
        <v>5993</v>
      </c>
      <c r="F1575" s="566">
        <v>24993</v>
      </c>
      <c r="G1575" s="566">
        <v>855</v>
      </c>
      <c r="H1575" s="566">
        <v>1341</v>
      </c>
      <c r="I1575" s="558" t="str">
        <f t="shared" si="23"/>
        <v>GooD</v>
      </c>
    </row>
    <row r="1576" spans="1:9" ht="15.75" thickTop="1">
      <c r="A1576" s="567" t="s">
        <v>646</v>
      </c>
      <c r="B1576" s="567">
        <v>19500</v>
      </c>
      <c r="C1576" s="568">
        <v>6</v>
      </c>
      <c r="D1576" s="568">
        <v>0.21</v>
      </c>
      <c r="E1576" s="568">
        <v>2051</v>
      </c>
      <c r="F1576" s="568">
        <v>21551</v>
      </c>
      <c r="G1576" s="568">
        <v>293</v>
      </c>
      <c r="H1576" s="568">
        <v>3543</v>
      </c>
      <c r="I1576" s="559" t="str">
        <f t="shared" si="23"/>
        <v>GooD</v>
      </c>
    </row>
    <row r="1577" spans="1:9">
      <c r="A1577" s="563" t="s">
        <v>646</v>
      </c>
      <c r="B1577" s="563">
        <v>19500</v>
      </c>
      <c r="C1577" s="564">
        <v>8</v>
      </c>
      <c r="D1577" s="564">
        <v>0.21</v>
      </c>
      <c r="E1577" s="564">
        <v>2738</v>
      </c>
      <c r="F1577" s="564">
        <v>22238</v>
      </c>
      <c r="G1577" s="564">
        <v>390</v>
      </c>
      <c r="H1577" s="564">
        <v>2731</v>
      </c>
      <c r="I1577" s="557" t="str">
        <f t="shared" si="23"/>
        <v>GooD</v>
      </c>
    </row>
    <row r="1578" spans="1:9" ht="15.75" thickBot="1">
      <c r="A1578" s="565" t="s">
        <v>646</v>
      </c>
      <c r="B1578" s="565">
        <v>19500</v>
      </c>
      <c r="C1578" s="566">
        <v>10</v>
      </c>
      <c r="D1578" s="566">
        <v>0.21</v>
      </c>
      <c r="E1578" s="566">
        <v>3418</v>
      </c>
      <c r="F1578" s="566">
        <v>22918</v>
      </c>
      <c r="G1578" s="566">
        <v>488</v>
      </c>
      <c r="H1578" s="566">
        <v>2243</v>
      </c>
      <c r="I1578" s="558" t="str">
        <f t="shared" si="23"/>
        <v>GooD</v>
      </c>
    </row>
    <row r="1579" spans="1:9" ht="15.75" thickTop="1">
      <c r="A1579" s="567" t="s">
        <v>646</v>
      </c>
      <c r="B1579" s="567">
        <v>19500</v>
      </c>
      <c r="C1579" s="568">
        <v>12</v>
      </c>
      <c r="D1579" s="568">
        <v>0.21</v>
      </c>
      <c r="E1579" s="568">
        <v>4101</v>
      </c>
      <c r="F1579" s="568">
        <v>23601</v>
      </c>
      <c r="G1579" s="568">
        <v>585</v>
      </c>
      <c r="H1579" s="568">
        <v>1918</v>
      </c>
      <c r="I1579" s="559" t="str">
        <f t="shared" si="23"/>
        <v>GooD</v>
      </c>
    </row>
    <row r="1580" spans="1:9">
      <c r="A1580" s="563" t="s">
        <v>646</v>
      </c>
      <c r="B1580" s="563">
        <v>19500</v>
      </c>
      <c r="C1580" s="564">
        <v>14</v>
      </c>
      <c r="D1580" s="564">
        <v>0.21</v>
      </c>
      <c r="E1580" s="564">
        <v>4787</v>
      </c>
      <c r="F1580" s="564">
        <v>24287</v>
      </c>
      <c r="G1580" s="564">
        <v>683</v>
      </c>
      <c r="H1580" s="564">
        <v>1686</v>
      </c>
      <c r="I1580" s="557" t="str">
        <f t="shared" si="23"/>
        <v>GooD</v>
      </c>
    </row>
    <row r="1581" spans="1:9" ht="15.75" thickBot="1">
      <c r="A1581" s="565" t="s">
        <v>646</v>
      </c>
      <c r="B1581" s="565">
        <v>19500</v>
      </c>
      <c r="C1581" s="566">
        <v>16</v>
      </c>
      <c r="D1581" s="566">
        <v>0.21</v>
      </c>
      <c r="E1581" s="566">
        <v>5472</v>
      </c>
      <c r="F1581" s="566">
        <v>24972</v>
      </c>
      <c r="G1581" s="566">
        <v>780</v>
      </c>
      <c r="H1581" s="566">
        <v>1512</v>
      </c>
      <c r="I1581" s="558" t="str">
        <f t="shared" si="23"/>
        <v>GooD</v>
      </c>
    </row>
    <row r="1582" spans="1:9" ht="15.75" thickTop="1">
      <c r="A1582" s="567" t="s">
        <v>646</v>
      </c>
      <c r="B1582" s="567">
        <v>19500</v>
      </c>
      <c r="C1582" s="568">
        <v>18</v>
      </c>
      <c r="D1582" s="568">
        <v>0.21</v>
      </c>
      <c r="E1582" s="568">
        <v>6146</v>
      </c>
      <c r="F1582" s="568">
        <v>25646</v>
      </c>
      <c r="G1582" s="568">
        <v>878</v>
      </c>
      <c r="H1582" s="568">
        <v>1376</v>
      </c>
      <c r="I1582" s="559" t="str">
        <f t="shared" si="23"/>
        <v>GooD</v>
      </c>
    </row>
    <row r="1583" spans="1:9">
      <c r="A1583" s="563" t="s">
        <v>646</v>
      </c>
      <c r="B1583" s="563">
        <v>20000</v>
      </c>
      <c r="C1583" s="564">
        <v>6</v>
      </c>
      <c r="D1583" s="564">
        <v>0.21</v>
      </c>
      <c r="E1583" s="564">
        <v>2104</v>
      </c>
      <c r="F1583" s="564">
        <v>22104</v>
      </c>
      <c r="G1583" s="564">
        <v>300</v>
      </c>
      <c r="H1583" s="564">
        <v>3634</v>
      </c>
      <c r="I1583" s="557" t="str">
        <f t="shared" si="23"/>
        <v>GooD</v>
      </c>
    </row>
    <row r="1584" spans="1:9" ht="15.75" thickBot="1">
      <c r="A1584" s="565" t="s">
        <v>646</v>
      </c>
      <c r="B1584" s="565">
        <v>20000</v>
      </c>
      <c r="C1584" s="566">
        <v>8</v>
      </c>
      <c r="D1584" s="566">
        <v>0.21</v>
      </c>
      <c r="E1584" s="566">
        <v>2808</v>
      </c>
      <c r="F1584" s="566">
        <v>22808</v>
      </c>
      <c r="G1584" s="566">
        <v>400</v>
      </c>
      <c r="H1584" s="566">
        <v>2801</v>
      </c>
      <c r="I1584" s="558" t="str">
        <f t="shared" si="23"/>
        <v>GooD</v>
      </c>
    </row>
    <row r="1585" spans="1:9" ht="15.75" thickTop="1">
      <c r="A1585" s="567" t="s">
        <v>646</v>
      </c>
      <c r="B1585" s="567">
        <v>20000</v>
      </c>
      <c r="C1585" s="568">
        <v>10</v>
      </c>
      <c r="D1585" s="568">
        <v>0.21</v>
      </c>
      <c r="E1585" s="568">
        <v>3510</v>
      </c>
      <c r="F1585" s="568">
        <v>23510</v>
      </c>
      <c r="G1585" s="568">
        <v>500</v>
      </c>
      <c r="H1585" s="568">
        <v>2301</v>
      </c>
      <c r="I1585" s="559" t="str">
        <f t="shared" si="23"/>
        <v>GooD</v>
      </c>
    </row>
    <row r="1586" spans="1:9">
      <c r="A1586" s="563" t="s">
        <v>646</v>
      </c>
      <c r="B1586" s="563">
        <v>20000</v>
      </c>
      <c r="C1586" s="564">
        <v>12</v>
      </c>
      <c r="D1586" s="564">
        <v>0.21</v>
      </c>
      <c r="E1586" s="564">
        <v>4204</v>
      </c>
      <c r="F1586" s="564">
        <v>24204</v>
      </c>
      <c r="G1586" s="564">
        <v>600</v>
      </c>
      <c r="H1586" s="564">
        <v>1967</v>
      </c>
      <c r="I1586" s="557" t="str">
        <f t="shared" si="23"/>
        <v>GooD</v>
      </c>
    </row>
    <row r="1587" spans="1:9" ht="15.75" thickBot="1">
      <c r="A1587" s="565" t="s">
        <v>646</v>
      </c>
      <c r="B1587" s="565">
        <v>20000</v>
      </c>
      <c r="C1587" s="566">
        <v>14</v>
      </c>
      <c r="D1587" s="566">
        <v>0.21</v>
      </c>
      <c r="E1587" s="566">
        <v>4906</v>
      </c>
      <c r="F1587" s="566">
        <v>24906</v>
      </c>
      <c r="G1587" s="566">
        <v>700</v>
      </c>
      <c r="H1587" s="566">
        <v>1729</v>
      </c>
      <c r="I1587" s="558" t="str">
        <f t="shared" si="23"/>
        <v>GooD</v>
      </c>
    </row>
    <row r="1588" spans="1:9" ht="15.75" thickTop="1">
      <c r="A1588" s="567" t="s">
        <v>646</v>
      </c>
      <c r="B1588" s="567">
        <v>20000</v>
      </c>
      <c r="C1588" s="568">
        <v>16</v>
      </c>
      <c r="D1588" s="568">
        <v>0.21</v>
      </c>
      <c r="E1588" s="568">
        <v>5616</v>
      </c>
      <c r="F1588" s="568">
        <v>25616</v>
      </c>
      <c r="G1588" s="568">
        <v>800</v>
      </c>
      <c r="H1588" s="568">
        <v>1551</v>
      </c>
      <c r="I1588" s="559" t="str">
        <f t="shared" si="23"/>
        <v>GooD</v>
      </c>
    </row>
    <row r="1589" spans="1:9">
      <c r="A1589" s="563" t="s">
        <v>646</v>
      </c>
      <c r="B1589" s="563">
        <v>20000</v>
      </c>
      <c r="C1589" s="564">
        <v>18</v>
      </c>
      <c r="D1589" s="564">
        <v>0.21</v>
      </c>
      <c r="E1589" s="564">
        <v>6316</v>
      </c>
      <c r="F1589" s="564">
        <v>26316</v>
      </c>
      <c r="G1589" s="564">
        <v>900</v>
      </c>
      <c r="H1589" s="564">
        <v>1412</v>
      </c>
      <c r="I1589" s="557" t="str">
        <f t="shared" si="23"/>
        <v>GooD</v>
      </c>
    </row>
    <row r="1590" spans="1:9" ht="15.75" thickBot="1">
      <c r="A1590" s="565" t="s">
        <v>646</v>
      </c>
      <c r="B1590" s="565">
        <v>20000</v>
      </c>
      <c r="C1590" s="566">
        <v>20</v>
      </c>
      <c r="D1590" s="566">
        <v>0.21</v>
      </c>
      <c r="E1590" s="566">
        <v>7020</v>
      </c>
      <c r="F1590" s="566">
        <v>27020</v>
      </c>
      <c r="G1590" s="566">
        <v>1000</v>
      </c>
      <c r="H1590" s="566">
        <v>1301</v>
      </c>
      <c r="I1590" s="558" t="str">
        <f t="shared" si="23"/>
        <v>GooD</v>
      </c>
    </row>
    <row r="1591" spans="1:9" ht="15.75" thickTop="1">
      <c r="A1591" s="567" t="s">
        <v>646</v>
      </c>
      <c r="B1591" s="567">
        <v>20000</v>
      </c>
      <c r="C1591" s="568">
        <v>22</v>
      </c>
      <c r="D1591" s="568">
        <v>0.21</v>
      </c>
      <c r="E1591" s="568">
        <v>7720</v>
      </c>
      <c r="F1591" s="568">
        <v>27720</v>
      </c>
      <c r="G1591" s="568">
        <v>1100</v>
      </c>
      <c r="H1591" s="568">
        <v>1210</v>
      </c>
      <c r="I1591" s="559" t="str">
        <f t="shared" si="23"/>
        <v>GooD</v>
      </c>
    </row>
    <row r="1592" spans="1:9">
      <c r="A1592" s="563" t="s">
        <v>646</v>
      </c>
      <c r="B1592" s="563">
        <v>20000</v>
      </c>
      <c r="C1592" s="564">
        <v>24</v>
      </c>
      <c r="D1592" s="564">
        <v>0.21</v>
      </c>
      <c r="E1592" s="564">
        <v>8416</v>
      </c>
      <c r="F1592" s="564">
        <v>28416</v>
      </c>
      <c r="G1592" s="564">
        <v>1200</v>
      </c>
      <c r="H1592" s="564">
        <v>1134</v>
      </c>
      <c r="I1592" s="557" t="str">
        <f t="shared" si="23"/>
        <v>GooD</v>
      </c>
    </row>
    <row r="1593" spans="1:9" ht="15.75" thickBot="1">
      <c r="A1593" s="565" t="s">
        <v>646</v>
      </c>
      <c r="B1593" s="565">
        <v>21000</v>
      </c>
      <c r="C1593" s="566">
        <v>6</v>
      </c>
      <c r="D1593" s="566">
        <v>0.21</v>
      </c>
      <c r="E1593" s="566">
        <v>2211</v>
      </c>
      <c r="F1593" s="566">
        <v>23211</v>
      </c>
      <c r="G1593" s="566">
        <v>315</v>
      </c>
      <c r="H1593" s="566">
        <v>3816</v>
      </c>
      <c r="I1593" s="558" t="str">
        <f t="shared" si="23"/>
        <v>GooD</v>
      </c>
    </row>
    <row r="1594" spans="1:9" ht="15.75" thickTop="1">
      <c r="A1594" s="567" t="s">
        <v>646</v>
      </c>
      <c r="B1594" s="567">
        <v>21000</v>
      </c>
      <c r="C1594" s="568">
        <v>8</v>
      </c>
      <c r="D1594" s="568">
        <v>0.21</v>
      </c>
      <c r="E1594" s="568">
        <v>2948</v>
      </c>
      <c r="F1594" s="568">
        <v>23948</v>
      </c>
      <c r="G1594" s="568">
        <v>420</v>
      </c>
      <c r="H1594" s="568">
        <v>2941</v>
      </c>
      <c r="I1594" s="559" t="str">
        <f t="shared" si="23"/>
        <v>GooD</v>
      </c>
    </row>
    <row r="1595" spans="1:9">
      <c r="A1595" s="563" t="s">
        <v>646</v>
      </c>
      <c r="B1595" s="563">
        <v>21000</v>
      </c>
      <c r="C1595" s="564">
        <v>10</v>
      </c>
      <c r="D1595" s="564">
        <v>0.21</v>
      </c>
      <c r="E1595" s="564">
        <v>3685</v>
      </c>
      <c r="F1595" s="564">
        <v>24685</v>
      </c>
      <c r="G1595" s="564">
        <v>525</v>
      </c>
      <c r="H1595" s="564">
        <v>2416</v>
      </c>
      <c r="I1595" s="557" t="str">
        <f t="shared" si="23"/>
        <v>GooD</v>
      </c>
    </row>
    <row r="1596" spans="1:9" ht="15.75" thickBot="1">
      <c r="A1596" s="565" t="s">
        <v>646</v>
      </c>
      <c r="B1596" s="565">
        <v>21000</v>
      </c>
      <c r="C1596" s="566">
        <v>12</v>
      </c>
      <c r="D1596" s="566">
        <v>0.21</v>
      </c>
      <c r="E1596" s="566">
        <v>4422</v>
      </c>
      <c r="F1596" s="566">
        <v>25422</v>
      </c>
      <c r="G1596" s="566">
        <v>630</v>
      </c>
      <c r="H1596" s="566">
        <v>2066</v>
      </c>
      <c r="I1596" s="558" t="str">
        <f t="shared" si="23"/>
        <v>GooD</v>
      </c>
    </row>
    <row r="1597" spans="1:9" ht="15.75" thickTop="1">
      <c r="A1597" s="567" t="s">
        <v>646</v>
      </c>
      <c r="B1597" s="567">
        <v>21000</v>
      </c>
      <c r="C1597" s="568">
        <v>14</v>
      </c>
      <c r="D1597" s="568">
        <v>0.21</v>
      </c>
      <c r="E1597" s="568">
        <v>5159</v>
      </c>
      <c r="F1597" s="568">
        <v>26159</v>
      </c>
      <c r="G1597" s="568">
        <v>735</v>
      </c>
      <c r="H1597" s="568">
        <v>1816</v>
      </c>
      <c r="I1597" s="559" t="str">
        <f t="shared" ref="I1597:I1660" si="24">IF(((H1597*C1597)+G1597)=F1597,"GooD","لالالالالالالا")</f>
        <v>GooD</v>
      </c>
    </row>
    <row r="1598" spans="1:9">
      <c r="A1598" s="563" t="s">
        <v>646</v>
      </c>
      <c r="B1598" s="563">
        <v>21000</v>
      </c>
      <c r="C1598" s="564">
        <v>16</v>
      </c>
      <c r="D1598" s="564">
        <v>0.21</v>
      </c>
      <c r="E1598" s="564">
        <v>5888</v>
      </c>
      <c r="F1598" s="564">
        <v>26888</v>
      </c>
      <c r="G1598" s="564">
        <v>840</v>
      </c>
      <c r="H1598" s="564">
        <v>1628</v>
      </c>
      <c r="I1598" s="557" t="str">
        <f t="shared" si="24"/>
        <v>GooD</v>
      </c>
    </row>
    <row r="1599" spans="1:9" ht="15.75" thickBot="1">
      <c r="A1599" s="565" t="s">
        <v>646</v>
      </c>
      <c r="B1599" s="565">
        <v>21000</v>
      </c>
      <c r="C1599" s="566">
        <v>18</v>
      </c>
      <c r="D1599" s="566">
        <v>0.21</v>
      </c>
      <c r="E1599" s="566">
        <v>6621</v>
      </c>
      <c r="F1599" s="566">
        <v>27621</v>
      </c>
      <c r="G1599" s="566">
        <v>945</v>
      </c>
      <c r="H1599" s="566">
        <v>1482</v>
      </c>
      <c r="I1599" s="558" t="str">
        <f t="shared" si="24"/>
        <v>GooD</v>
      </c>
    </row>
    <row r="1600" spans="1:9" ht="15.75" thickTop="1">
      <c r="A1600" s="567" t="s">
        <v>646</v>
      </c>
      <c r="B1600" s="567">
        <v>21000</v>
      </c>
      <c r="C1600" s="568">
        <v>20</v>
      </c>
      <c r="D1600" s="568">
        <v>0.21</v>
      </c>
      <c r="E1600" s="568">
        <v>7370</v>
      </c>
      <c r="F1600" s="568">
        <v>28370</v>
      </c>
      <c r="G1600" s="568">
        <v>1050</v>
      </c>
      <c r="H1600" s="568">
        <v>1366</v>
      </c>
      <c r="I1600" s="559" t="str">
        <f t="shared" si="24"/>
        <v>GooD</v>
      </c>
    </row>
    <row r="1601" spans="1:9">
      <c r="A1601" s="563" t="s">
        <v>646</v>
      </c>
      <c r="B1601" s="563">
        <v>21000</v>
      </c>
      <c r="C1601" s="564">
        <v>22</v>
      </c>
      <c r="D1601" s="564">
        <v>0.21</v>
      </c>
      <c r="E1601" s="564">
        <v>8095</v>
      </c>
      <c r="F1601" s="564">
        <v>29095</v>
      </c>
      <c r="G1601" s="564">
        <v>1155</v>
      </c>
      <c r="H1601" s="564">
        <v>1270</v>
      </c>
      <c r="I1601" s="557" t="str">
        <f t="shared" si="24"/>
        <v>GooD</v>
      </c>
    </row>
    <row r="1602" spans="1:9" ht="15.75" thickBot="1">
      <c r="A1602" s="565" t="s">
        <v>646</v>
      </c>
      <c r="B1602" s="565">
        <v>21000</v>
      </c>
      <c r="C1602" s="566">
        <v>24</v>
      </c>
      <c r="D1602" s="566">
        <v>0.21</v>
      </c>
      <c r="E1602" s="566">
        <v>8844</v>
      </c>
      <c r="F1602" s="566">
        <v>29844</v>
      </c>
      <c r="G1602" s="566">
        <v>1260</v>
      </c>
      <c r="H1602" s="566">
        <v>1191</v>
      </c>
      <c r="I1602" s="558" t="str">
        <f t="shared" si="24"/>
        <v>GooD</v>
      </c>
    </row>
    <row r="1603" spans="1:9" ht="15.75" thickTop="1">
      <c r="A1603" s="567" t="s">
        <v>646</v>
      </c>
      <c r="B1603" s="567">
        <v>22000</v>
      </c>
      <c r="C1603" s="568">
        <v>6</v>
      </c>
      <c r="D1603" s="568">
        <v>0.21</v>
      </c>
      <c r="E1603" s="568">
        <v>2312</v>
      </c>
      <c r="F1603" s="568">
        <v>24312</v>
      </c>
      <c r="G1603" s="568">
        <v>330</v>
      </c>
      <c r="H1603" s="568">
        <v>3997</v>
      </c>
      <c r="I1603" s="559" t="str">
        <f t="shared" si="24"/>
        <v>GooD</v>
      </c>
    </row>
    <row r="1604" spans="1:9">
      <c r="A1604" s="563" t="s">
        <v>646</v>
      </c>
      <c r="B1604" s="563">
        <v>22000</v>
      </c>
      <c r="C1604" s="564">
        <v>8</v>
      </c>
      <c r="D1604" s="564">
        <v>0.21</v>
      </c>
      <c r="E1604" s="564">
        <v>3088</v>
      </c>
      <c r="F1604" s="564">
        <v>25088</v>
      </c>
      <c r="G1604" s="564">
        <v>440</v>
      </c>
      <c r="H1604" s="564">
        <v>3081</v>
      </c>
      <c r="I1604" s="557" t="str">
        <f t="shared" si="24"/>
        <v>GooD</v>
      </c>
    </row>
    <row r="1605" spans="1:9" ht="15.75" thickBot="1">
      <c r="A1605" s="565" t="s">
        <v>646</v>
      </c>
      <c r="B1605" s="565">
        <v>22000</v>
      </c>
      <c r="C1605" s="566">
        <v>10</v>
      </c>
      <c r="D1605" s="566">
        <v>0.21</v>
      </c>
      <c r="E1605" s="566">
        <v>3860</v>
      </c>
      <c r="F1605" s="566">
        <v>25860</v>
      </c>
      <c r="G1605" s="566">
        <v>550</v>
      </c>
      <c r="H1605" s="566">
        <v>2531</v>
      </c>
      <c r="I1605" s="558" t="str">
        <f t="shared" si="24"/>
        <v>GooD</v>
      </c>
    </row>
    <row r="1606" spans="1:9" ht="15.75" thickTop="1">
      <c r="A1606" s="567" t="s">
        <v>646</v>
      </c>
      <c r="B1606" s="567">
        <v>22000</v>
      </c>
      <c r="C1606" s="568">
        <v>12</v>
      </c>
      <c r="D1606" s="568">
        <v>0.21</v>
      </c>
      <c r="E1606" s="568">
        <v>4628</v>
      </c>
      <c r="F1606" s="568">
        <v>26628</v>
      </c>
      <c r="G1606" s="568">
        <v>660</v>
      </c>
      <c r="H1606" s="568">
        <v>2164</v>
      </c>
      <c r="I1606" s="559" t="str">
        <f t="shared" si="24"/>
        <v>GooD</v>
      </c>
    </row>
    <row r="1607" spans="1:9">
      <c r="A1607" s="563" t="s">
        <v>646</v>
      </c>
      <c r="B1607" s="563">
        <v>22000</v>
      </c>
      <c r="C1607" s="564">
        <v>14</v>
      </c>
      <c r="D1607" s="564">
        <v>0.21</v>
      </c>
      <c r="E1607" s="564">
        <v>5398</v>
      </c>
      <c r="F1607" s="564">
        <v>27398</v>
      </c>
      <c r="G1607" s="564">
        <v>770</v>
      </c>
      <c r="H1607" s="564">
        <v>1902</v>
      </c>
      <c r="I1607" s="557" t="str">
        <f t="shared" si="24"/>
        <v>GooD</v>
      </c>
    </row>
    <row r="1608" spans="1:9" ht="15.75" thickBot="1">
      <c r="A1608" s="565" t="s">
        <v>646</v>
      </c>
      <c r="B1608" s="565">
        <v>22000</v>
      </c>
      <c r="C1608" s="566">
        <v>16</v>
      </c>
      <c r="D1608" s="566">
        <v>0.21</v>
      </c>
      <c r="E1608" s="566">
        <v>6176</v>
      </c>
      <c r="F1608" s="566">
        <v>28176</v>
      </c>
      <c r="G1608" s="566">
        <v>880</v>
      </c>
      <c r="H1608" s="566">
        <v>1706</v>
      </c>
      <c r="I1608" s="558" t="str">
        <f t="shared" si="24"/>
        <v>GooD</v>
      </c>
    </row>
    <row r="1609" spans="1:9" ht="15.75" thickTop="1">
      <c r="A1609" s="567" t="s">
        <v>646</v>
      </c>
      <c r="B1609" s="567">
        <v>22000</v>
      </c>
      <c r="C1609" s="568">
        <v>18</v>
      </c>
      <c r="D1609" s="568">
        <v>0.21</v>
      </c>
      <c r="E1609" s="568">
        <v>6944</v>
      </c>
      <c r="F1609" s="568">
        <v>28944</v>
      </c>
      <c r="G1609" s="568">
        <v>990</v>
      </c>
      <c r="H1609" s="568">
        <v>1553</v>
      </c>
      <c r="I1609" s="559" t="str">
        <f t="shared" si="24"/>
        <v>GooD</v>
      </c>
    </row>
    <row r="1610" spans="1:9">
      <c r="A1610" s="563" t="s">
        <v>646</v>
      </c>
      <c r="B1610" s="563">
        <v>22000</v>
      </c>
      <c r="C1610" s="564">
        <v>20</v>
      </c>
      <c r="D1610" s="564">
        <v>0.21</v>
      </c>
      <c r="E1610" s="564">
        <v>7720</v>
      </c>
      <c r="F1610" s="564">
        <v>29720</v>
      </c>
      <c r="G1610" s="564">
        <v>1100</v>
      </c>
      <c r="H1610" s="564">
        <v>1431</v>
      </c>
      <c r="I1610" s="557" t="str">
        <f t="shared" si="24"/>
        <v>GooD</v>
      </c>
    </row>
    <row r="1611" spans="1:9" ht="15.75" thickBot="1">
      <c r="A1611" s="565" t="s">
        <v>646</v>
      </c>
      <c r="B1611" s="565">
        <v>22000</v>
      </c>
      <c r="C1611" s="566">
        <v>22</v>
      </c>
      <c r="D1611" s="566">
        <v>0.21</v>
      </c>
      <c r="E1611" s="566">
        <v>8492</v>
      </c>
      <c r="F1611" s="566">
        <v>30492</v>
      </c>
      <c r="G1611" s="566">
        <v>1210</v>
      </c>
      <c r="H1611" s="566">
        <v>1331</v>
      </c>
      <c r="I1611" s="558" t="str">
        <f t="shared" si="24"/>
        <v>GooD</v>
      </c>
    </row>
    <row r="1612" spans="1:9" ht="15.75" thickTop="1">
      <c r="A1612" s="567" t="s">
        <v>646</v>
      </c>
      <c r="B1612" s="567">
        <v>22000</v>
      </c>
      <c r="C1612" s="568">
        <v>24</v>
      </c>
      <c r="D1612" s="568">
        <v>0.21</v>
      </c>
      <c r="E1612" s="568">
        <v>9248</v>
      </c>
      <c r="F1612" s="568">
        <v>31248</v>
      </c>
      <c r="G1612" s="568">
        <v>1320</v>
      </c>
      <c r="H1612" s="568">
        <v>1247</v>
      </c>
      <c r="I1612" s="559" t="str">
        <f t="shared" si="24"/>
        <v>GooD</v>
      </c>
    </row>
    <row r="1613" spans="1:9">
      <c r="A1613" s="563" t="s">
        <v>646</v>
      </c>
      <c r="B1613" s="563">
        <v>23000</v>
      </c>
      <c r="C1613" s="564">
        <v>6</v>
      </c>
      <c r="D1613" s="564">
        <v>0.21</v>
      </c>
      <c r="E1613" s="564">
        <v>2419</v>
      </c>
      <c r="F1613" s="564">
        <v>25419</v>
      </c>
      <c r="G1613" s="564">
        <v>345</v>
      </c>
      <c r="H1613" s="564">
        <v>4179</v>
      </c>
      <c r="I1613" s="557" t="str">
        <f t="shared" si="24"/>
        <v>GooD</v>
      </c>
    </row>
    <row r="1614" spans="1:9" ht="15.75" thickBot="1">
      <c r="A1614" s="565" t="s">
        <v>646</v>
      </c>
      <c r="B1614" s="565">
        <v>23000</v>
      </c>
      <c r="C1614" s="566">
        <v>8</v>
      </c>
      <c r="D1614" s="566">
        <v>0.21</v>
      </c>
      <c r="E1614" s="566">
        <v>3228</v>
      </c>
      <c r="F1614" s="566">
        <v>26228</v>
      </c>
      <c r="G1614" s="566">
        <v>460</v>
      </c>
      <c r="H1614" s="566">
        <v>3221</v>
      </c>
      <c r="I1614" s="558" t="str">
        <f t="shared" si="24"/>
        <v>GooD</v>
      </c>
    </row>
    <row r="1615" spans="1:9" ht="15.75" thickTop="1">
      <c r="A1615" s="567" t="s">
        <v>646</v>
      </c>
      <c r="B1615" s="567">
        <v>23000</v>
      </c>
      <c r="C1615" s="568">
        <v>10</v>
      </c>
      <c r="D1615" s="568">
        <v>0.21</v>
      </c>
      <c r="E1615" s="568">
        <v>4035</v>
      </c>
      <c r="F1615" s="568">
        <v>27035</v>
      </c>
      <c r="G1615" s="568">
        <v>575</v>
      </c>
      <c r="H1615" s="568">
        <v>2646</v>
      </c>
      <c r="I1615" s="559" t="str">
        <f t="shared" si="24"/>
        <v>GooD</v>
      </c>
    </row>
    <row r="1616" spans="1:9">
      <c r="A1616" s="563" t="s">
        <v>646</v>
      </c>
      <c r="B1616" s="563">
        <v>23000</v>
      </c>
      <c r="C1616" s="564">
        <v>12</v>
      </c>
      <c r="D1616" s="564">
        <v>0.21</v>
      </c>
      <c r="E1616" s="564">
        <v>4834</v>
      </c>
      <c r="F1616" s="564">
        <v>27834</v>
      </c>
      <c r="G1616" s="564">
        <v>690</v>
      </c>
      <c r="H1616" s="564">
        <v>2262</v>
      </c>
      <c r="I1616" s="557" t="str">
        <f t="shared" si="24"/>
        <v>GooD</v>
      </c>
    </row>
    <row r="1617" spans="1:9" ht="15.75" thickBot="1">
      <c r="A1617" s="565" t="s">
        <v>646</v>
      </c>
      <c r="B1617" s="565">
        <v>23000</v>
      </c>
      <c r="C1617" s="566">
        <v>14</v>
      </c>
      <c r="D1617" s="566">
        <v>0.21</v>
      </c>
      <c r="E1617" s="566">
        <v>5637</v>
      </c>
      <c r="F1617" s="566">
        <v>28637</v>
      </c>
      <c r="G1617" s="566">
        <v>805</v>
      </c>
      <c r="H1617" s="566">
        <v>1988</v>
      </c>
      <c r="I1617" s="558" t="str">
        <f t="shared" si="24"/>
        <v>GooD</v>
      </c>
    </row>
    <row r="1618" spans="1:9" ht="15.75" thickTop="1">
      <c r="A1618" s="567" t="s">
        <v>646</v>
      </c>
      <c r="B1618" s="567">
        <v>23000</v>
      </c>
      <c r="C1618" s="568">
        <v>16</v>
      </c>
      <c r="D1618" s="568">
        <v>0.21</v>
      </c>
      <c r="E1618" s="568">
        <v>6448</v>
      </c>
      <c r="F1618" s="568">
        <v>29448</v>
      </c>
      <c r="G1618" s="568">
        <v>920</v>
      </c>
      <c r="H1618" s="568">
        <v>1783</v>
      </c>
      <c r="I1618" s="559" t="str">
        <f t="shared" si="24"/>
        <v>GooD</v>
      </c>
    </row>
    <row r="1619" spans="1:9">
      <c r="A1619" s="563" t="s">
        <v>646</v>
      </c>
      <c r="B1619" s="563">
        <v>23000</v>
      </c>
      <c r="C1619" s="564">
        <v>18</v>
      </c>
      <c r="D1619" s="564">
        <v>0.21</v>
      </c>
      <c r="E1619" s="564">
        <v>7249</v>
      </c>
      <c r="F1619" s="564">
        <v>30249</v>
      </c>
      <c r="G1619" s="564">
        <v>1035</v>
      </c>
      <c r="H1619" s="564">
        <v>1623</v>
      </c>
      <c r="I1619" s="557" t="str">
        <f t="shared" si="24"/>
        <v>GooD</v>
      </c>
    </row>
    <row r="1620" spans="1:9" ht="15.75" thickBot="1">
      <c r="A1620" s="565" t="s">
        <v>646</v>
      </c>
      <c r="B1620" s="565">
        <v>23000</v>
      </c>
      <c r="C1620" s="566">
        <v>20</v>
      </c>
      <c r="D1620" s="566">
        <v>0.21</v>
      </c>
      <c r="E1620" s="566">
        <v>8070</v>
      </c>
      <c r="F1620" s="566">
        <v>31070</v>
      </c>
      <c r="G1620" s="566">
        <v>1150</v>
      </c>
      <c r="H1620" s="566">
        <v>1496</v>
      </c>
      <c r="I1620" s="558" t="str">
        <f t="shared" si="24"/>
        <v>GooD</v>
      </c>
    </row>
    <row r="1621" spans="1:9" ht="15.75" thickTop="1">
      <c r="A1621" s="567" t="s">
        <v>646</v>
      </c>
      <c r="B1621" s="567">
        <v>23000</v>
      </c>
      <c r="C1621" s="568">
        <v>22</v>
      </c>
      <c r="D1621" s="568">
        <v>0.21</v>
      </c>
      <c r="E1621" s="568">
        <v>8867</v>
      </c>
      <c r="F1621" s="568">
        <v>31867</v>
      </c>
      <c r="G1621" s="568">
        <v>1265</v>
      </c>
      <c r="H1621" s="568">
        <v>1391</v>
      </c>
      <c r="I1621" s="559" t="str">
        <f t="shared" si="24"/>
        <v>GooD</v>
      </c>
    </row>
    <row r="1622" spans="1:9">
      <c r="A1622" s="563" t="s">
        <v>646</v>
      </c>
      <c r="B1622" s="563">
        <v>23000</v>
      </c>
      <c r="C1622" s="564">
        <v>24</v>
      </c>
      <c r="D1622" s="564">
        <v>0.21</v>
      </c>
      <c r="E1622" s="564">
        <v>9676</v>
      </c>
      <c r="F1622" s="564">
        <v>32676</v>
      </c>
      <c r="G1622" s="564">
        <v>1380</v>
      </c>
      <c r="H1622" s="564">
        <v>1304</v>
      </c>
      <c r="I1622" s="557" t="str">
        <f t="shared" si="24"/>
        <v>GooD</v>
      </c>
    </row>
    <row r="1623" spans="1:9" ht="15.75" thickBot="1">
      <c r="A1623" s="565" t="s">
        <v>646</v>
      </c>
      <c r="B1623" s="565">
        <v>24000</v>
      </c>
      <c r="C1623" s="566">
        <v>6</v>
      </c>
      <c r="D1623" s="566">
        <v>0.21</v>
      </c>
      <c r="E1623" s="566">
        <v>2526</v>
      </c>
      <c r="F1623" s="566">
        <v>26526</v>
      </c>
      <c r="G1623" s="566">
        <v>360</v>
      </c>
      <c r="H1623" s="566">
        <v>4361</v>
      </c>
      <c r="I1623" s="558" t="str">
        <f t="shared" si="24"/>
        <v>GooD</v>
      </c>
    </row>
    <row r="1624" spans="1:9" ht="15.75" thickTop="1">
      <c r="A1624" s="567" t="s">
        <v>646</v>
      </c>
      <c r="B1624" s="567">
        <v>24000</v>
      </c>
      <c r="C1624" s="568">
        <v>8</v>
      </c>
      <c r="D1624" s="568">
        <v>0.21</v>
      </c>
      <c r="E1624" s="568">
        <v>3368</v>
      </c>
      <c r="F1624" s="568">
        <v>27368</v>
      </c>
      <c r="G1624" s="568">
        <v>480</v>
      </c>
      <c r="H1624" s="568">
        <v>3361</v>
      </c>
      <c r="I1624" s="559" t="str">
        <f t="shared" si="24"/>
        <v>GooD</v>
      </c>
    </row>
    <row r="1625" spans="1:9">
      <c r="A1625" s="563" t="s">
        <v>646</v>
      </c>
      <c r="B1625" s="563">
        <v>24000</v>
      </c>
      <c r="C1625" s="564">
        <v>10</v>
      </c>
      <c r="D1625" s="564">
        <v>0.21</v>
      </c>
      <c r="E1625" s="564">
        <v>4210</v>
      </c>
      <c r="F1625" s="564">
        <v>28210</v>
      </c>
      <c r="G1625" s="564">
        <v>600</v>
      </c>
      <c r="H1625" s="564">
        <v>2761</v>
      </c>
      <c r="I1625" s="557" t="str">
        <f t="shared" si="24"/>
        <v>GooD</v>
      </c>
    </row>
    <row r="1626" spans="1:9" ht="15.75" thickBot="1">
      <c r="A1626" s="565" t="s">
        <v>646</v>
      </c>
      <c r="B1626" s="565">
        <v>24000</v>
      </c>
      <c r="C1626" s="566">
        <v>12</v>
      </c>
      <c r="D1626" s="566">
        <v>0.21</v>
      </c>
      <c r="E1626" s="566">
        <v>5052</v>
      </c>
      <c r="F1626" s="566">
        <v>29052</v>
      </c>
      <c r="G1626" s="566">
        <v>720</v>
      </c>
      <c r="H1626" s="566">
        <v>2361</v>
      </c>
      <c r="I1626" s="558" t="str">
        <f t="shared" si="24"/>
        <v>GooD</v>
      </c>
    </row>
    <row r="1627" spans="1:9" ht="15.75" thickTop="1">
      <c r="A1627" s="567" t="s">
        <v>646</v>
      </c>
      <c r="B1627" s="567">
        <v>24000</v>
      </c>
      <c r="C1627" s="568">
        <v>14</v>
      </c>
      <c r="D1627" s="568">
        <v>0.21</v>
      </c>
      <c r="E1627" s="568">
        <v>5890</v>
      </c>
      <c r="F1627" s="568">
        <v>29890</v>
      </c>
      <c r="G1627" s="568">
        <v>840</v>
      </c>
      <c r="H1627" s="568">
        <v>2075</v>
      </c>
      <c r="I1627" s="559" t="str">
        <f t="shared" si="24"/>
        <v>GooD</v>
      </c>
    </row>
    <row r="1628" spans="1:9">
      <c r="A1628" s="563" t="s">
        <v>646</v>
      </c>
      <c r="B1628" s="563">
        <v>24000</v>
      </c>
      <c r="C1628" s="564">
        <v>16</v>
      </c>
      <c r="D1628" s="564">
        <v>0.21</v>
      </c>
      <c r="E1628" s="564">
        <v>6736</v>
      </c>
      <c r="F1628" s="564">
        <v>30736</v>
      </c>
      <c r="G1628" s="564">
        <v>960</v>
      </c>
      <c r="H1628" s="564">
        <v>1861</v>
      </c>
      <c r="I1628" s="557" t="str">
        <f t="shared" si="24"/>
        <v>GooD</v>
      </c>
    </row>
    <row r="1629" spans="1:9" ht="15.75" thickBot="1">
      <c r="A1629" s="565" t="s">
        <v>646</v>
      </c>
      <c r="B1629" s="565">
        <v>24000</v>
      </c>
      <c r="C1629" s="566">
        <v>18</v>
      </c>
      <c r="D1629" s="566">
        <v>0.21</v>
      </c>
      <c r="E1629" s="566">
        <v>7572</v>
      </c>
      <c r="F1629" s="566">
        <v>31572</v>
      </c>
      <c r="G1629" s="566">
        <v>1080</v>
      </c>
      <c r="H1629" s="566">
        <v>1694</v>
      </c>
      <c r="I1629" s="558" t="str">
        <f t="shared" si="24"/>
        <v>GooD</v>
      </c>
    </row>
    <row r="1630" spans="1:9" ht="15.75" thickTop="1">
      <c r="A1630" s="567" t="s">
        <v>646</v>
      </c>
      <c r="B1630" s="567">
        <v>24000</v>
      </c>
      <c r="C1630" s="568">
        <v>20</v>
      </c>
      <c r="D1630" s="568">
        <v>0.21</v>
      </c>
      <c r="E1630" s="568">
        <v>8420</v>
      </c>
      <c r="F1630" s="568">
        <v>32420</v>
      </c>
      <c r="G1630" s="568">
        <v>1200</v>
      </c>
      <c r="H1630" s="568">
        <v>1561</v>
      </c>
      <c r="I1630" s="559" t="str">
        <f t="shared" si="24"/>
        <v>GooD</v>
      </c>
    </row>
    <row r="1631" spans="1:9">
      <c r="A1631" s="563" t="s">
        <v>646</v>
      </c>
      <c r="B1631" s="563">
        <v>24000</v>
      </c>
      <c r="C1631" s="564">
        <v>22</v>
      </c>
      <c r="D1631" s="564">
        <v>0.21</v>
      </c>
      <c r="E1631" s="564">
        <v>9242</v>
      </c>
      <c r="F1631" s="564">
        <v>33242</v>
      </c>
      <c r="G1631" s="564">
        <v>1320</v>
      </c>
      <c r="H1631" s="564">
        <v>1451</v>
      </c>
      <c r="I1631" s="557" t="str">
        <f t="shared" si="24"/>
        <v>GooD</v>
      </c>
    </row>
    <row r="1632" spans="1:9" ht="15.75" thickBot="1">
      <c r="A1632" s="565" t="s">
        <v>646</v>
      </c>
      <c r="B1632" s="565">
        <v>24000</v>
      </c>
      <c r="C1632" s="566">
        <v>24</v>
      </c>
      <c r="D1632" s="566">
        <v>0.21</v>
      </c>
      <c r="E1632" s="566">
        <v>10104</v>
      </c>
      <c r="F1632" s="566">
        <v>34104</v>
      </c>
      <c r="G1632" s="566">
        <v>1440</v>
      </c>
      <c r="H1632" s="566">
        <v>1361</v>
      </c>
      <c r="I1632" s="558" t="str">
        <f t="shared" si="24"/>
        <v>GooD</v>
      </c>
    </row>
    <row r="1633" spans="1:9" ht="15.75" thickTop="1">
      <c r="A1633" s="567" t="s">
        <v>646</v>
      </c>
      <c r="B1633" s="567">
        <v>25000</v>
      </c>
      <c r="C1633" s="568">
        <v>6</v>
      </c>
      <c r="D1633" s="568">
        <v>0.21</v>
      </c>
      <c r="E1633" s="568">
        <v>2627</v>
      </c>
      <c r="F1633" s="568">
        <v>27627</v>
      </c>
      <c r="G1633" s="568">
        <v>375</v>
      </c>
      <c r="H1633" s="568">
        <v>4542</v>
      </c>
      <c r="I1633" s="559" t="str">
        <f t="shared" si="24"/>
        <v>GooD</v>
      </c>
    </row>
    <row r="1634" spans="1:9">
      <c r="A1634" s="563" t="s">
        <v>646</v>
      </c>
      <c r="B1634" s="563">
        <v>25000</v>
      </c>
      <c r="C1634" s="564">
        <v>8</v>
      </c>
      <c r="D1634" s="564">
        <v>0.21</v>
      </c>
      <c r="E1634" s="564">
        <v>3508</v>
      </c>
      <c r="F1634" s="564">
        <v>28508</v>
      </c>
      <c r="G1634" s="564">
        <v>500</v>
      </c>
      <c r="H1634" s="564">
        <v>3501</v>
      </c>
      <c r="I1634" s="557" t="str">
        <f t="shared" si="24"/>
        <v>GooD</v>
      </c>
    </row>
    <row r="1635" spans="1:9" ht="15.75" thickBot="1">
      <c r="A1635" s="565" t="s">
        <v>646</v>
      </c>
      <c r="B1635" s="565">
        <v>25000</v>
      </c>
      <c r="C1635" s="566">
        <v>10</v>
      </c>
      <c r="D1635" s="566">
        <v>0.21</v>
      </c>
      <c r="E1635" s="566">
        <v>4385</v>
      </c>
      <c r="F1635" s="566">
        <v>29385</v>
      </c>
      <c r="G1635" s="566">
        <v>625</v>
      </c>
      <c r="H1635" s="566">
        <v>2876</v>
      </c>
      <c r="I1635" s="558" t="str">
        <f t="shared" si="24"/>
        <v>GooD</v>
      </c>
    </row>
    <row r="1636" spans="1:9" ht="15.75" thickTop="1">
      <c r="A1636" s="567" t="s">
        <v>646</v>
      </c>
      <c r="B1636" s="567">
        <v>25000</v>
      </c>
      <c r="C1636" s="568">
        <v>12</v>
      </c>
      <c r="D1636" s="568">
        <v>0.21</v>
      </c>
      <c r="E1636" s="568">
        <v>5258</v>
      </c>
      <c r="F1636" s="568">
        <v>30258</v>
      </c>
      <c r="G1636" s="568">
        <v>750</v>
      </c>
      <c r="H1636" s="568">
        <v>2459</v>
      </c>
      <c r="I1636" s="559" t="str">
        <f t="shared" si="24"/>
        <v>GooD</v>
      </c>
    </row>
    <row r="1637" spans="1:9">
      <c r="A1637" s="563" t="s">
        <v>646</v>
      </c>
      <c r="B1637" s="563">
        <v>25000</v>
      </c>
      <c r="C1637" s="564">
        <v>14</v>
      </c>
      <c r="D1637" s="564">
        <v>0.21</v>
      </c>
      <c r="E1637" s="564">
        <v>6129</v>
      </c>
      <c r="F1637" s="564">
        <v>31129</v>
      </c>
      <c r="G1637" s="564">
        <v>875</v>
      </c>
      <c r="H1637" s="564">
        <v>2161</v>
      </c>
      <c r="I1637" s="557" t="str">
        <f t="shared" si="24"/>
        <v>GooD</v>
      </c>
    </row>
    <row r="1638" spans="1:9" ht="15.75" thickBot="1">
      <c r="A1638" s="565" t="s">
        <v>646</v>
      </c>
      <c r="B1638" s="565">
        <v>25000</v>
      </c>
      <c r="C1638" s="566">
        <v>16</v>
      </c>
      <c r="D1638" s="566">
        <v>0.21</v>
      </c>
      <c r="E1638" s="566">
        <v>7008</v>
      </c>
      <c r="F1638" s="566">
        <v>32008</v>
      </c>
      <c r="G1638" s="566">
        <v>1000</v>
      </c>
      <c r="H1638" s="566">
        <v>1938</v>
      </c>
      <c r="I1638" s="558" t="str">
        <f t="shared" si="24"/>
        <v>GooD</v>
      </c>
    </row>
    <row r="1639" spans="1:9" ht="15.75" thickTop="1">
      <c r="A1639" s="567" t="s">
        <v>646</v>
      </c>
      <c r="B1639" s="567">
        <v>25000</v>
      </c>
      <c r="C1639" s="568">
        <v>18</v>
      </c>
      <c r="D1639" s="568">
        <v>0.21</v>
      </c>
      <c r="E1639" s="568">
        <v>7877</v>
      </c>
      <c r="F1639" s="568">
        <v>32877</v>
      </c>
      <c r="G1639" s="568">
        <v>1125</v>
      </c>
      <c r="H1639" s="568">
        <v>1764</v>
      </c>
      <c r="I1639" s="559" t="str">
        <f t="shared" si="24"/>
        <v>GooD</v>
      </c>
    </row>
    <row r="1640" spans="1:9">
      <c r="A1640" s="563" t="s">
        <v>646</v>
      </c>
      <c r="B1640" s="563">
        <v>25000</v>
      </c>
      <c r="C1640" s="564">
        <v>20</v>
      </c>
      <c r="D1640" s="564">
        <v>0.21</v>
      </c>
      <c r="E1640" s="564">
        <v>8770</v>
      </c>
      <c r="F1640" s="564">
        <v>33770</v>
      </c>
      <c r="G1640" s="564">
        <v>1250</v>
      </c>
      <c r="H1640" s="564">
        <v>1626</v>
      </c>
      <c r="I1640" s="557" t="str">
        <f t="shared" si="24"/>
        <v>GooD</v>
      </c>
    </row>
    <row r="1641" spans="1:9" ht="15.75" thickBot="1">
      <c r="A1641" s="565" t="s">
        <v>646</v>
      </c>
      <c r="B1641" s="565">
        <v>25000</v>
      </c>
      <c r="C1641" s="566">
        <v>22</v>
      </c>
      <c r="D1641" s="566">
        <v>0.21</v>
      </c>
      <c r="E1641" s="566">
        <v>9639</v>
      </c>
      <c r="F1641" s="566">
        <v>34639</v>
      </c>
      <c r="G1641" s="566">
        <v>1375</v>
      </c>
      <c r="H1641" s="566">
        <v>1512</v>
      </c>
      <c r="I1641" s="558" t="str">
        <f t="shared" si="24"/>
        <v>GooD</v>
      </c>
    </row>
    <row r="1642" spans="1:9" ht="15.75" thickTop="1">
      <c r="A1642" s="567" t="s">
        <v>646</v>
      </c>
      <c r="B1642" s="567">
        <v>25000</v>
      </c>
      <c r="C1642" s="568">
        <v>24</v>
      </c>
      <c r="D1642" s="568">
        <v>0.21</v>
      </c>
      <c r="E1642" s="568">
        <v>10508</v>
      </c>
      <c r="F1642" s="568">
        <v>35508</v>
      </c>
      <c r="G1642" s="568">
        <v>1500</v>
      </c>
      <c r="H1642" s="568">
        <v>1417</v>
      </c>
      <c r="I1642" s="559" t="str">
        <f t="shared" si="24"/>
        <v>GooD</v>
      </c>
    </row>
    <row r="1643" spans="1:9">
      <c r="A1643" s="563" t="s">
        <v>646</v>
      </c>
      <c r="B1643" s="563">
        <v>26000</v>
      </c>
      <c r="C1643" s="564">
        <v>6</v>
      </c>
      <c r="D1643" s="564">
        <v>0.21</v>
      </c>
      <c r="E1643" s="564">
        <v>2734</v>
      </c>
      <c r="F1643" s="564">
        <v>28734</v>
      </c>
      <c r="G1643" s="564">
        <v>390</v>
      </c>
      <c r="H1643" s="564">
        <v>4724</v>
      </c>
      <c r="I1643" s="557" t="str">
        <f t="shared" si="24"/>
        <v>GooD</v>
      </c>
    </row>
    <row r="1644" spans="1:9" ht="15.75" thickBot="1">
      <c r="A1644" s="565" t="s">
        <v>646</v>
      </c>
      <c r="B1644" s="565">
        <v>26000</v>
      </c>
      <c r="C1644" s="566">
        <v>8</v>
      </c>
      <c r="D1644" s="566">
        <v>0.21</v>
      </c>
      <c r="E1644" s="566">
        <v>3648</v>
      </c>
      <c r="F1644" s="566">
        <v>29648</v>
      </c>
      <c r="G1644" s="566">
        <v>520</v>
      </c>
      <c r="H1644" s="566">
        <v>3641</v>
      </c>
      <c r="I1644" s="558" t="str">
        <f t="shared" si="24"/>
        <v>GooD</v>
      </c>
    </row>
    <row r="1645" spans="1:9" ht="15.75" thickTop="1">
      <c r="A1645" s="567" t="s">
        <v>646</v>
      </c>
      <c r="B1645" s="567">
        <v>26000</v>
      </c>
      <c r="C1645" s="568">
        <v>10</v>
      </c>
      <c r="D1645" s="568">
        <v>0.21</v>
      </c>
      <c r="E1645" s="568">
        <v>4560</v>
      </c>
      <c r="F1645" s="568">
        <v>30560</v>
      </c>
      <c r="G1645" s="568">
        <v>650</v>
      </c>
      <c r="H1645" s="568">
        <v>2991</v>
      </c>
      <c r="I1645" s="559" t="str">
        <f t="shared" si="24"/>
        <v>GooD</v>
      </c>
    </row>
    <row r="1646" spans="1:9">
      <c r="A1646" s="563" t="s">
        <v>646</v>
      </c>
      <c r="B1646" s="563">
        <v>26000</v>
      </c>
      <c r="C1646" s="564">
        <v>12</v>
      </c>
      <c r="D1646" s="564">
        <v>0.21</v>
      </c>
      <c r="E1646" s="564">
        <v>5464</v>
      </c>
      <c r="F1646" s="564">
        <v>31464</v>
      </c>
      <c r="G1646" s="564">
        <v>780</v>
      </c>
      <c r="H1646" s="564">
        <v>2557</v>
      </c>
      <c r="I1646" s="557" t="str">
        <f t="shared" si="24"/>
        <v>GooD</v>
      </c>
    </row>
    <row r="1647" spans="1:9" ht="15.75" thickBot="1">
      <c r="A1647" s="565" t="s">
        <v>646</v>
      </c>
      <c r="B1647" s="565">
        <v>26000</v>
      </c>
      <c r="C1647" s="566">
        <v>14</v>
      </c>
      <c r="D1647" s="566">
        <v>0.21</v>
      </c>
      <c r="E1647" s="566">
        <v>6382</v>
      </c>
      <c r="F1647" s="566">
        <v>32382</v>
      </c>
      <c r="G1647" s="566">
        <v>910</v>
      </c>
      <c r="H1647" s="566">
        <v>2248</v>
      </c>
      <c r="I1647" s="558" t="str">
        <f t="shared" si="24"/>
        <v>GooD</v>
      </c>
    </row>
    <row r="1648" spans="1:9" ht="15.75" thickTop="1">
      <c r="A1648" s="567" t="s">
        <v>646</v>
      </c>
      <c r="B1648" s="567">
        <v>26000</v>
      </c>
      <c r="C1648" s="568">
        <v>16</v>
      </c>
      <c r="D1648" s="568">
        <v>0.21</v>
      </c>
      <c r="E1648" s="568">
        <v>7296</v>
      </c>
      <c r="F1648" s="568">
        <v>33296</v>
      </c>
      <c r="G1648" s="568">
        <v>1040</v>
      </c>
      <c r="H1648" s="568">
        <v>2016</v>
      </c>
      <c r="I1648" s="559" t="str">
        <f t="shared" si="24"/>
        <v>GooD</v>
      </c>
    </row>
    <row r="1649" spans="1:9">
      <c r="A1649" s="563" t="s">
        <v>646</v>
      </c>
      <c r="B1649" s="563">
        <v>26000</v>
      </c>
      <c r="C1649" s="564">
        <v>18</v>
      </c>
      <c r="D1649" s="564">
        <v>0.21</v>
      </c>
      <c r="E1649" s="564">
        <v>8200</v>
      </c>
      <c r="F1649" s="564">
        <v>34200</v>
      </c>
      <c r="G1649" s="564">
        <v>1170</v>
      </c>
      <c r="H1649" s="564">
        <v>1835</v>
      </c>
      <c r="I1649" s="557" t="str">
        <f t="shared" si="24"/>
        <v>GooD</v>
      </c>
    </row>
    <row r="1650" spans="1:9" ht="15.75" thickBot="1">
      <c r="A1650" s="565" t="s">
        <v>646</v>
      </c>
      <c r="B1650" s="565">
        <v>26000</v>
      </c>
      <c r="C1650" s="566">
        <v>20</v>
      </c>
      <c r="D1650" s="566">
        <v>0.21</v>
      </c>
      <c r="E1650" s="566">
        <v>9120</v>
      </c>
      <c r="F1650" s="566">
        <v>35120</v>
      </c>
      <c r="G1650" s="566">
        <v>1300</v>
      </c>
      <c r="H1650" s="566">
        <v>1691</v>
      </c>
      <c r="I1650" s="558" t="str">
        <f t="shared" si="24"/>
        <v>GooD</v>
      </c>
    </row>
    <row r="1651" spans="1:9" ht="15.75" thickTop="1">
      <c r="A1651" s="567" t="s">
        <v>646</v>
      </c>
      <c r="B1651" s="567">
        <v>26000</v>
      </c>
      <c r="C1651" s="568">
        <v>22</v>
      </c>
      <c r="D1651" s="568">
        <v>0.21</v>
      </c>
      <c r="E1651" s="568">
        <v>10014</v>
      </c>
      <c r="F1651" s="568">
        <v>36014</v>
      </c>
      <c r="G1651" s="568">
        <v>1430</v>
      </c>
      <c r="H1651" s="568">
        <v>1572</v>
      </c>
      <c r="I1651" s="559" t="str">
        <f t="shared" si="24"/>
        <v>GooD</v>
      </c>
    </row>
    <row r="1652" spans="1:9">
      <c r="A1652" s="563" t="s">
        <v>646</v>
      </c>
      <c r="B1652" s="563">
        <v>26000</v>
      </c>
      <c r="C1652" s="564">
        <v>24</v>
      </c>
      <c r="D1652" s="564">
        <v>0.21</v>
      </c>
      <c r="E1652" s="564">
        <v>10936</v>
      </c>
      <c r="F1652" s="564">
        <v>36936</v>
      </c>
      <c r="G1652" s="564">
        <v>1560</v>
      </c>
      <c r="H1652" s="564">
        <v>1474</v>
      </c>
      <c r="I1652" s="557" t="str">
        <f t="shared" si="24"/>
        <v>GooD</v>
      </c>
    </row>
    <row r="1653" spans="1:9" ht="15.75" thickBot="1">
      <c r="A1653" s="565" t="s">
        <v>646</v>
      </c>
      <c r="B1653" s="565">
        <v>27000</v>
      </c>
      <c r="C1653" s="566">
        <v>6</v>
      </c>
      <c r="D1653" s="566">
        <v>0.21</v>
      </c>
      <c r="E1653" s="566">
        <v>2841</v>
      </c>
      <c r="F1653" s="566">
        <v>29841</v>
      </c>
      <c r="G1653" s="566">
        <v>405</v>
      </c>
      <c r="H1653" s="566">
        <v>4906</v>
      </c>
      <c r="I1653" s="558" t="str">
        <f t="shared" si="24"/>
        <v>GooD</v>
      </c>
    </row>
    <row r="1654" spans="1:9" ht="15.75" thickTop="1">
      <c r="A1654" s="567" t="s">
        <v>646</v>
      </c>
      <c r="B1654" s="567">
        <v>27000</v>
      </c>
      <c r="C1654" s="568">
        <v>8</v>
      </c>
      <c r="D1654" s="568">
        <v>0.21</v>
      </c>
      <c r="E1654" s="568">
        <v>3788</v>
      </c>
      <c r="F1654" s="568">
        <v>30788</v>
      </c>
      <c r="G1654" s="568">
        <v>540</v>
      </c>
      <c r="H1654" s="568">
        <v>3781</v>
      </c>
      <c r="I1654" s="559" t="str">
        <f t="shared" si="24"/>
        <v>GooD</v>
      </c>
    </row>
    <row r="1655" spans="1:9">
      <c r="A1655" s="563" t="s">
        <v>646</v>
      </c>
      <c r="B1655" s="563">
        <v>27000</v>
      </c>
      <c r="C1655" s="564">
        <v>10</v>
      </c>
      <c r="D1655" s="564">
        <v>0.21</v>
      </c>
      <c r="E1655" s="564">
        <v>4735</v>
      </c>
      <c r="F1655" s="564">
        <v>31735</v>
      </c>
      <c r="G1655" s="564">
        <v>675</v>
      </c>
      <c r="H1655" s="564">
        <v>3106</v>
      </c>
      <c r="I1655" s="557" t="str">
        <f t="shared" si="24"/>
        <v>GooD</v>
      </c>
    </row>
    <row r="1656" spans="1:9" ht="15.75" thickBot="1">
      <c r="A1656" s="565" t="s">
        <v>646</v>
      </c>
      <c r="B1656" s="565">
        <v>27000</v>
      </c>
      <c r="C1656" s="566">
        <v>12</v>
      </c>
      <c r="D1656" s="566">
        <v>0.21</v>
      </c>
      <c r="E1656" s="566">
        <v>5682</v>
      </c>
      <c r="F1656" s="566">
        <v>32682</v>
      </c>
      <c r="G1656" s="566">
        <v>810</v>
      </c>
      <c r="H1656" s="566">
        <v>2656</v>
      </c>
      <c r="I1656" s="558" t="str">
        <f t="shared" si="24"/>
        <v>GooD</v>
      </c>
    </row>
    <row r="1657" spans="1:9" ht="15.75" thickTop="1">
      <c r="A1657" s="567" t="s">
        <v>646</v>
      </c>
      <c r="B1657" s="567">
        <v>27000</v>
      </c>
      <c r="C1657" s="568">
        <v>14</v>
      </c>
      <c r="D1657" s="568">
        <v>0.21</v>
      </c>
      <c r="E1657" s="568">
        <v>6621</v>
      </c>
      <c r="F1657" s="568">
        <v>33621</v>
      </c>
      <c r="G1657" s="568">
        <v>945</v>
      </c>
      <c r="H1657" s="568">
        <v>2334</v>
      </c>
      <c r="I1657" s="559" t="str">
        <f t="shared" si="24"/>
        <v>GooD</v>
      </c>
    </row>
    <row r="1658" spans="1:9">
      <c r="A1658" s="563" t="s">
        <v>646</v>
      </c>
      <c r="B1658" s="563">
        <v>27000</v>
      </c>
      <c r="C1658" s="564">
        <v>16</v>
      </c>
      <c r="D1658" s="564">
        <v>0.21</v>
      </c>
      <c r="E1658" s="564">
        <v>7568</v>
      </c>
      <c r="F1658" s="564">
        <v>34568</v>
      </c>
      <c r="G1658" s="564">
        <v>1080</v>
      </c>
      <c r="H1658" s="564">
        <v>2093</v>
      </c>
      <c r="I1658" s="557" t="str">
        <f t="shared" si="24"/>
        <v>GooD</v>
      </c>
    </row>
    <row r="1659" spans="1:9" ht="15.75" thickBot="1">
      <c r="A1659" s="565" t="s">
        <v>646</v>
      </c>
      <c r="B1659" s="565">
        <v>27000</v>
      </c>
      <c r="C1659" s="566">
        <v>18</v>
      </c>
      <c r="D1659" s="566">
        <v>0.21</v>
      </c>
      <c r="E1659" s="566">
        <v>8523</v>
      </c>
      <c r="F1659" s="566">
        <v>35523</v>
      </c>
      <c r="G1659" s="566">
        <v>1215</v>
      </c>
      <c r="H1659" s="566">
        <v>1906</v>
      </c>
      <c r="I1659" s="558" t="str">
        <f t="shared" si="24"/>
        <v>GooD</v>
      </c>
    </row>
    <row r="1660" spans="1:9" ht="15.75" thickTop="1">
      <c r="A1660" s="567" t="s">
        <v>646</v>
      </c>
      <c r="B1660" s="567">
        <v>27000</v>
      </c>
      <c r="C1660" s="568">
        <v>20</v>
      </c>
      <c r="D1660" s="568">
        <v>0.21</v>
      </c>
      <c r="E1660" s="568">
        <v>9470</v>
      </c>
      <c r="F1660" s="568">
        <v>36470</v>
      </c>
      <c r="G1660" s="568">
        <v>1350</v>
      </c>
      <c r="H1660" s="568">
        <v>1756</v>
      </c>
      <c r="I1660" s="559" t="str">
        <f t="shared" si="24"/>
        <v>GooD</v>
      </c>
    </row>
    <row r="1661" spans="1:9">
      <c r="A1661" s="563" t="s">
        <v>646</v>
      </c>
      <c r="B1661" s="563">
        <v>27000</v>
      </c>
      <c r="C1661" s="564">
        <v>22</v>
      </c>
      <c r="D1661" s="564">
        <v>0.21</v>
      </c>
      <c r="E1661" s="564">
        <v>10411</v>
      </c>
      <c r="F1661" s="564">
        <v>37411</v>
      </c>
      <c r="G1661" s="564">
        <v>1485</v>
      </c>
      <c r="H1661" s="564">
        <v>1633</v>
      </c>
      <c r="I1661" s="557" t="str">
        <f t="shared" ref="I1661:I1724" si="25">IF(((H1661*C1661)+G1661)=F1661,"GooD","لالالالالالالا")</f>
        <v>GooD</v>
      </c>
    </row>
    <row r="1662" spans="1:9" ht="15.75" thickBot="1">
      <c r="A1662" s="565" t="s">
        <v>646</v>
      </c>
      <c r="B1662" s="565">
        <v>27000</v>
      </c>
      <c r="C1662" s="566">
        <v>24</v>
      </c>
      <c r="D1662" s="566">
        <v>0.21</v>
      </c>
      <c r="E1662" s="566">
        <v>11364</v>
      </c>
      <c r="F1662" s="566">
        <v>38364</v>
      </c>
      <c r="G1662" s="566">
        <v>1620</v>
      </c>
      <c r="H1662" s="566">
        <v>1531</v>
      </c>
      <c r="I1662" s="558" t="str">
        <f t="shared" si="25"/>
        <v>GooD</v>
      </c>
    </row>
    <row r="1663" spans="1:9" ht="15.75" thickTop="1">
      <c r="A1663" s="567" t="s">
        <v>646</v>
      </c>
      <c r="B1663" s="567">
        <v>28000</v>
      </c>
      <c r="C1663" s="568">
        <v>6</v>
      </c>
      <c r="D1663" s="568">
        <v>0.21</v>
      </c>
      <c r="E1663" s="568">
        <v>2942</v>
      </c>
      <c r="F1663" s="568">
        <v>30942</v>
      </c>
      <c r="G1663" s="568">
        <v>420</v>
      </c>
      <c r="H1663" s="568">
        <v>5087</v>
      </c>
      <c r="I1663" s="559" t="str">
        <f t="shared" si="25"/>
        <v>GooD</v>
      </c>
    </row>
    <row r="1664" spans="1:9">
      <c r="A1664" s="563" t="s">
        <v>646</v>
      </c>
      <c r="B1664" s="563">
        <v>28000</v>
      </c>
      <c r="C1664" s="564">
        <v>8</v>
      </c>
      <c r="D1664" s="564">
        <v>0.21</v>
      </c>
      <c r="E1664" s="564">
        <v>3928</v>
      </c>
      <c r="F1664" s="564">
        <v>31928</v>
      </c>
      <c r="G1664" s="564">
        <v>560</v>
      </c>
      <c r="H1664" s="564">
        <v>3921</v>
      </c>
      <c r="I1664" s="557" t="str">
        <f t="shared" si="25"/>
        <v>GooD</v>
      </c>
    </row>
    <row r="1665" spans="1:9" ht="15.75" thickBot="1">
      <c r="A1665" s="565" t="s">
        <v>646</v>
      </c>
      <c r="B1665" s="565">
        <v>28000</v>
      </c>
      <c r="C1665" s="566">
        <v>10</v>
      </c>
      <c r="D1665" s="566">
        <v>0.21</v>
      </c>
      <c r="E1665" s="566">
        <v>4910</v>
      </c>
      <c r="F1665" s="566">
        <v>32910</v>
      </c>
      <c r="G1665" s="566">
        <v>700</v>
      </c>
      <c r="H1665" s="566">
        <v>3221</v>
      </c>
      <c r="I1665" s="558" t="str">
        <f t="shared" si="25"/>
        <v>GooD</v>
      </c>
    </row>
    <row r="1666" spans="1:9" ht="15.75" thickTop="1">
      <c r="A1666" s="567" t="s">
        <v>646</v>
      </c>
      <c r="B1666" s="567">
        <v>28000</v>
      </c>
      <c r="C1666" s="568">
        <v>12</v>
      </c>
      <c r="D1666" s="568">
        <v>0.21</v>
      </c>
      <c r="E1666" s="568">
        <v>5888</v>
      </c>
      <c r="F1666" s="568">
        <v>33888</v>
      </c>
      <c r="G1666" s="568">
        <v>840</v>
      </c>
      <c r="H1666" s="568">
        <v>2754</v>
      </c>
      <c r="I1666" s="559" t="str">
        <f t="shared" si="25"/>
        <v>GooD</v>
      </c>
    </row>
    <row r="1667" spans="1:9">
      <c r="A1667" s="563" t="s">
        <v>646</v>
      </c>
      <c r="B1667" s="563">
        <v>28000</v>
      </c>
      <c r="C1667" s="564">
        <v>14</v>
      </c>
      <c r="D1667" s="564">
        <v>0.21</v>
      </c>
      <c r="E1667" s="564">
        <v>6874</v>
      </c>
      <c r="F1667" s="564">
        <v>34874</v>
      </c>
      <c r="G1667" s="564">
        <v>980</v>
      </c>
      <c r="H1667" s="564">
        <v>2421</v>
      </c>
      <c r="I1667" s="557" t="str">
        <f t="shared" si="25"/>
        <v>GooD</v>
      </c>
    </row>
    <row r="1668" spans="1:9" ht="15.75" thickBot="1">
      <c r="A1668" s="565" t="s">
        <v>646</v>
      </c>
      <c r="B1668" s="565">
        <v>28000</v>
      </c>
      <c r="C1668" s="566">
        <v>16</v>
      </c>
      <c r="D1668" s="566">
        <v>0.21</v>
      </c>
      <c r="E1668" s="566">
        <v>7856</v>
      </c>
      <c r="F1668" s="566">
        <v>35856</v>
      </c>
      <c r="G1668" s="566">
        <v>1120</v>
      </c>
      <c r="H1668" s="566">
        <v>2171</v>
      </c>
      <c r="I1668" s="558" t="str">
        <f t="shared" si="25"/>
        <v>GooD</v>
      </c>
    </row>
    <row r="1669" spans="1:9" ht="15.75" thickTop="1">
      <c r="A1669" s="567" t="s">
        <v>646</v>
      </c>
      <c r="B1669" s="567">
        <v>28000</v>
      </c>
      <c r="C1669" s="568">
        <v>18</v>
      </c>
      <c r="D1669" s="568">
        <v>0.21</v>
      </c>
      <c r="E1669" s="568">
        <v>8828</v>
      </c>
      <c r="F1669" s="568">
        <v>36828</v>
      </c>
      <c r="G1669" s="568">
        <v>1260</v>
      </c>
      <c r="H1669" s="568">
        <v>1976</v>
      </c>
      <c r="I1669" s="559" t="str">
        <f t="shared" si="25"/>
        <v>GooD</v>
      </c>
    </row>
    <row r="1670" spans="1:9">
      <c r="A1670" s="563" t="s">
        <v>646</v>
      </c>
      <c r="B1670" s="563">
        <v>28000</v>
      </c>
      <c r="C1670" s="564">
        <v>20</v>
      </c>
      <c r="D1670" s="564">
        <v>0.21</v>
      </c>
      <c r="E1670" s="564">
        <v>9820</v>
      </c>
      <c r="F1670" s="564">
        <v>37820</v>
      </c>
      <c r="G1670" s="564">
        <v>1400</v>
      </c>
      <c r="H1670" s="564">
        <v>1821</v>
      </c>
      <c r="I1670" s="557" t="str">
        <f t="shared" si="25"/>
        <v>GooD</v>
      </c>
    </row>
    <row r="1671" spans="1:9" ht="15.75" thickBot="1">
      <c r="A1671" s="565" t="s">
        <v>646</v>
      </c>
      <c r="B1671" s="565">
        <v>28000</v>
      </c>
      <c r="C1671" s="566">
        <v>22</v>
      </c>
      <c r="D1671" s="566">
        <v>0.21</v>
      </c>
      <c r="E1671" s="566">
        <v>10786</v>
      </c>
      <c r="F1671" s="566">
        <v>38786</v>
      </c>
      <c r="G1671" s="566">
        <v>1540</v>
      </c>
      <c r="H1671" s="566">
        <v>1693</v>
      </c>
      <c r="I1671" s="558" t="str">
        <f t="shared" si="25"/>
        <v>GooD</v>
      </c>
    </row>
    <row r="1672" spans="1:9" ht="15.75" thickTop="1">
      <c r="A1672" s="567" t="s">
        <v>646</v>
      </c>
      <c r="B1672" s="567">
        <v>28000</v>
      </c>
      <c r="C1672" s="568">
        <v>24</v>
      </c>
      <c r="D1672" s="568">
        <v>0.21</v>
      </c>
      <c r="E1672" s="568">
        <v>11768</v>
      </c>
      <c r="F1672" s="568">
        <v>39768</v>
      </c>
      <c r="G1672" s="568">
        <v>1680</v>
      </c>
      <c r="H1672" s="568">
        <v>1587</v>
      </c>
      <c r="I1672" s="559" t="str">
        <f t="shared" si="25"/>
        <v>GooD</v>
      </c>
    </row>
    <row r="1673" spans="1:9">
      <c r="A1673" s="563" t="s">
        <v>646</v>
      </c>
      <c r="B1673" s="563">
        <v>29000</v>
      </c>
      <c r="C1673" s="564">
        <v>6</v>
      </c>
      <c r="D1673" s="564">
        <v>0.21</v>
      </c>
      <c r="E1673" s="564">
        <v>3049</v>
      </c>
      <c r="F1673" s="564">
        <v>32049</v>
      </c>
      <c r="G1673" s="564">
        <v>435</v>
      </c>
      <c r="H1673" s="564">
        <v>5269</v>
      </c>
      <c r="I1673" s="557" t="str">
        <f t="shared" si="25"/>
        <v>GooD</v>
      </c>
    </row>
    <row r="1674" spans="1:9" ht="15.75" thickBot="1">
      <c r="A1674" s="565" t="s">
        <v>646</v>
      </c>
      <c r="B1674" s="565">
        <v>29000</v>
      </c>
      <c r="C1674" s="566">
        <v>8</v>
      </c>
      <c r="D1674" s="566">
        <v>0.21</v>
      </c>
      <c r="E1674" s="566">
        <v>4068</v>
      </c>
      <c r="F1674" s="566">
        <v>33068</v>
      </c>
      <c r="G1674" s="566">
        <v>580</v>
      </c>
      <c r="H1674" s="566">
        <v>4061</v>
      </c>
      <c r="I1674" s="558" t="str">
        <f t="shared" si="25"/>
        <v>GooD</v>
      </c>
    </row>
    <row r="1675" spans="1:9" ht="15.75" thickTop="1">
      <c r="A1675" s="567" t="s">
        <v>646</v>
      </c>
      <c r="B1675" s="567">
        <v>29000</v>
      </c>
      <c r="C1675" s="568">
        <v>10</v>
      </c>
      <c r="D1675" s="568">
        <v>0.21</v>
      </c>
      <c r="E1675" s="568">
        <v>5085</v>
      </c>
      <c r="F1675" s="568">
        <v>34085</v>
      </c>
      <c r="G1675" s="568">
        <v>725</v>
      </c>
      <c r="H1675" s="568">
        <v>3336</v>
      </c>
      <c r="I1675" s="559" t="str">
        <f t="shared" si="25"/>
        <v>GooD</v>
      </c>
    </row>
    <row r="1676" spans="1:9">
      <c r="A1676" s="563" t="s">
        <v>646</v>
      </c>
      <c r="B1676" s="563">
        <v>29000</v>
      </c>
      <c r="C1676" s="564">
        <v>12</v>
      </c>
      <c r="D1676" s="564">
        <v>0.21</v>
      </c>
      <c r="E1676" s="564">
        <v>6094</v>
      </c>
      <c r="F1676" s="564">
        <v>35094</v>
      </c>
      <c r="G1676" s="564">
        <v>870</v>
      </c>
      <c r="H1676" s="564">
        <v>2852</v>
      </c>
      <c r="I1676" s="557" t="str">
        <f t="shared" si="25"/>
        <v>GooD</v>
      </c>
    </row>
    <row r="1677" spans="1:9" ht="15.75" thickBot="1">
      <c r="A1677" s="565" t="s">
        <v>646</v>
      </c>
      <c r="B1677" s="565">
        <v>29000</v>
      </c>
      <c r="C1677" s="566">
        <v>14</v>
      </c>
      <c r="D1677" s="566">
        <v>0.21</v>
      </c>
      <c r="E1677" s="566">
        <v>7113</v>
      </c>
      <c r="F1677" s="566">
        <v>36113</v>
      </c>
      <c r="G1677" s="566">
        <v>1015</v>
      </c>
      <c r="H1677" s="566">
        <v>2507</v>
      </c>
      <c r="I1677" s="558" t="str">
        <f t="shared" si="25"/>
        <v>GooD</v>
      </c>
    </row>
    <row r="1678" spans="1:9" ht="15.75" thickTop="1">
      <c r="A1678" s="567" t="s">
        <v>646</v>
      </c>
      <c r="B1678" s="567">
        <v>29000</v>
      </c>
      <c r="C1678" s="568">
        <v>16</v>
      </c>
      <c r="D1678" s="568">
        <v>0.21</v>
      </c>
      <c r="E1678" s="568">
        <v>8128</v>
      </c>
      <c r="F1678" s="568">
        <v>37128</v>
      </c>
      <c r="G1678" s="568">
        <v>1160</v>
      </c>
      <c r="H1678" s="568">
        <v>2248</v>
      </c>
      <c r="I1678" s="559" t="str">
        <f t="shared" si="25"/>
        <v>GooD</v>
      </c>
    </row>
    <row r="1679" spans="1:9">
      <c r="A1679" s="563" t="s">
        <v>646</v>
      </c>
      <c r="B1679" s="563">
        <v>29000</v>
      </c>
      <c r="C1679" s="564">
        <v>18</v>
      </c>
      <c r="D1679" s="564">
        <v>0.21</v>
      </c>
      <c r="E1679" s="564">
        <v>9151</v>
      </c>
      <c r="F1679" s="564">
        <v>38151</v>
      </c>
      <c r="G1679" s="564">
        <v>1305</v>
      </c>
      <c r="H1679" s="564">
        <v>2047</v>
      </c>
      <c r="I1679" s="557" t="str">
        <f t="shared" si="25"/>
        <v>GooD</v>
      </c>
    </row>
    <row r="1680" spans="1:9" ht="15.75" thickBot="1">
      <c r="A1680" s="565" t="s">
        <v>646</v>
      </c>
      <c r="B1680" s="565">
        <v>29000</v>
      </c>
      <c r="C1680" s="566">
        <v>20</v>
      </c>
      <c r="D1680" s="566">
        <v>0.21</v>
      </c>
      <c r="E1680" s="566">
        <v>10170</v>
      </c>
      <c r="F1680" s="566">
        <v>39170</v>
      </c>
      <c r="G1680" s="566">
        <v>1450</v>
      </c>
      <c r="H1680" s="566">
        <v>1886</v>
      </c>
      <c r="I1680" s="558" t="str">
        <f t="shared" si="25"/>
        <v>GooD</v>
      </c>
    </row>
    <row r="1681" spans="1:9" ht="15.75" thickTop="1">
      <c r="A1681" s="567" t="s">
        <v>646</v>
      </c>
      <c r="B1681" s="567">
        <v>29000</v>
      </c>
      <c r="C1681" s="568">
        <v>22</v>
      </c>
      <c r="D1681" s="568">
        <v>0.21</v>
      </c>
      <c r="E1681" s="568">
        <v>11183</v>
      </c>
      <c r="F1681" s="568">
        <v>40183</v>
      </c>
      <c r="G1681" s="568">
        <v>1595</v>
      </c>
      <c r="H1681" s="568">
        <v>1754</v>
      </c>
      <c r="I1681" s="559" t="str">
        <f t="shared" si="25"/>
        <v>GooD</v>
      </c>
    </row>
    <row r="1682" spans="1:9">
      <c r="A1682" s="563" t="s">
        <v>646</v>
      </c>
      <c r="B1682" s="563">
        <v>29000</v>
      </c>
      <c r="C1682" s="564">
        <v>24</v>
      </c>
      <c r="D1682" s="564">
        <v>0.21</v>
      </c>
      <c r="E1682" s="564">
        <v>12196</v>
      </c>
      <c r="F1682" s="564">
        <v>41196</v>
      </c>
      <c r="G1682" s="564">
        <v>1740</v>
      </c>
      <c r="H1682" s="564">
        <v>1644</v>
      </c>
      <c r="I1682" s="557" t="str">
        <f t="shared" si="25"/>
        <v>GooD</v>
      </c>
    </row>
    <row r="1683" spans="1:9" ht="15.75" thickBot="1">
      <c r="A1683" s="565" t="s">
        <v>646</v>
      </c>
      <c r="B1683" s="565">
        <v>30000</v>
      </c>
      <c r="C1683" s="566">
        <v>6</v>
      </c>
      <c r="D1683" s="566">
        <v>0.21</v>
      </c>
      <c r="E1683" s="566">
        <v>3156</v>
      </c>
      <c r="F1683" s="566">
        <v>33156</v>
      </c>
      <c r="G1683" s="566">
        <v>450</v>
      </c>
      <c r="H1683" s="566">
        <v>5451</v>
      </c>
      <c r="I1683" s="558" t="str">
        <f t="shared" si="25"/>
        <v>GooD</v>
      </c>
    </row>
    <row r="1684" spans="1:9" ht="15.75" thickTop="1">
      <c r="A1684" s="567" t="s">
        <v>646</v>
      </c>
      <c r="B1684" s="567">
        <v>30000</v>
      </c>
      <c r="C1684" s="568">
        <v>8</v>
      </c>
      <c r="D1684" s="568">
        <v>0.21</v>
      </c>
      <c r="E1684" s="568">
        <v>4208</v>
      </c>
      <c r="F1684" s="568">
        <v>34208</v>
      </c>
      <c r="G1684" s="568">
        <v>600</v>
      </c>
      <c r="H1684" s="568">
        <v>4201</v>
      </c>
      <c r="I1684" s="559" t="str">
        <f t="shared" si="25"/>
        <v>GooD</v>
      </c>
    </row>
    <row r="1685" spans="1:9">
      <c r="A1685" s="563" t="s">
        <v>646</v>
      </c>
      <c r="B1685" s="563">
        <v>30000</v>
      </c>
      <c r="C1685" s="564">
        <v>10</v>
      </c>
      <c r="D1685" s="564">
        <v>0.21</v>
      </c>
      <c r="E1685" s="564">
        <v>5260</v>
      </c>
      <c r="F1685" s="564">
        <v>35260</v>
      </c>
      <c r="G1685" s="564">
        <v>750</v>
      </c>
      <c r="H1685" s="564">
        <v>3451</v>
      </c>
      <c r="I1685" s="557" t="str">
        <f t="shared" si="25"/>
        <v>GooD</v>
      </c>
    </row>
    <row r="1686" spans="1:9" ht="15.75" thickBot="1">
      <c r="A1686" s="565" t="s">
        <v>646</v>
      </c>
      <c r="B1686" s="565">
        <v>30000</v>
      </c>
      <c r="C1686" s="566">
        <v>12</v>
      </c>
      <c r="D1686" s="566">
        <v>0.21</v>
      </c>
      <c r="E1686" s="566">
        <v>6312</v>
      </c>
      <c r="F1686" s="566">
        <v>36312</v>
      </c>
      <c r="G1686" s="566">
        <v>900</v>
      </c>
      <c r="H1686" s="566">
        <v>2951</v>
      </c>
      <c r="I1686" s="558" t="str">
        <f t="shared" si="25"/>
        <v>GooD</v>
      </c>
    </row>
    <row r="1687" spans="1:9" ht="15.75" thickTop="1">
      <c r="A1687" s="567" t="s">
        <v>646</v>
      </c>
      <c r="B1687" s="567">
        <v>30000</v>
      </c>
      <c r="C1687" s="568">
        <v>14</v>
      </c>
      <c r="D1687" s="568">
        <v>0.21</v>
      </c>
      <c r="E1687" s="568">
        <v>7352</v>
      </c>
      <c r="F1687" s="568">
        <v>37352</v>
      </c>
      <c r="G1687" s="568">
        <v>1050</v>
      </c>
      <c r="H1687" s="568">
        <v>2593</v>
      </c>
      <c r="I1687" s="559" t="str">
        <f t="shared" si="25"/>
        <v>GooD</v>
      </c>
    </row>
    <row r="1688" spans="1:9">
      <c r="A1688" s="563" t="s">
        <v>646</v>
      </c>
      <c r="B1688" s="563">
        <v>30000</v>
      </c>
      <c r="C1688" s="564">
        <v>16</v>
      </c>
      <c r="D1688" s="564">
        <v>0.21</v>
      </c>
      <c r="E1688" s="564">
        <v>8416</v>
      </c>
      <c r="F1688" s="564">
        <v>38416</v>
      </c>
      <c r="G1688" s="564">
        <v>1200</v>
      </c>
      <c r="H1688" s="564">
        <v>2326</v>
      </c>
      <c r="I1688" s="557" t="str">
        <f t="shared" si="25"/>
        <v>GooD</v>
      </c>
    </row>
    <row r="1689" spans="1:9" ht="15.75" thickBot="1">
      <c r="A1689" s="565" t="s">
        <v>646</v>
      </c>
      <c r="B1689" s="565">
        <v>30000</v>
      </c>
      <c r="C1689" s="566">
        <v>18</v>
      </c>
      <c r="D1689" s="566">
        <v>0.21</v>
      </c>
      <c r="E1689" s="566">
        <v>9456</v>
      </c>
      <c r="F1689" s="566">
        <v>39456</v>
      </c>
      <c r="G1689" s="566">
        <v>1350</v>
      </c>
      <c r="H1689" s="566">
        <v>2117</v>
      </c>
      <c r="I1689" s="558" t="str">
        <f t="shared" si="25"/>
        <v>GooD</v>
      </c>
    </row>
    <row r="1690" spans="1:9" ht="15.75" thickTop="1">
      <c r="A1690" s="567" t="s">
        <v>646</v>
      </c>
      <c r="B1690" s="567">
        <v>30000</v>
      </c>
      <c r="C1690" s="568">
        <v>20</v>
      </c>
      <c r="D1690" s="568">
        <v>0.21</v>
      </c>
      <c r="E1690" s="568">
        <v>10520</v>
      </c>
      <c r="F1690" s="568">
        <v>40520</v>
      </c>
      <c r="G1690" s="568">
        <v>1500</v>
      </c>
      <c r="H1690" s="568">
        <v>1951</v>
      </c>
      <c r="I1690" s="559" t="str">
        <f t="shared" si="25"/>
        <v>GooD</v>
      </c>
    </row>
    <row r="1691" spans="1:9">
      <c r="A1691" s="563" t="s">
        <v>646</v>
      </c>
      <c r="B1691" s="563">
        <v>30000</v>
      </c>
      <c r="C1691" s="564">
        <v>22</v>
      </c>
      <c r="D1691" s="564">
        <v>0.21</v>
      </c>
      <c r="E1691" s="564">
        <v>11558</v>
      </c>
      <c r="F1691" s="564">
        <v>41558</v>
      </c>
      <c r="G1691" s="564">
        <v>1650</v>
      </c>
      <c r="H1691" s="564">
        <v>1814</v>
      </c>
      <c r="I1691" s="557" t="str">
        <f t="shared" si="25"/>
        <v>GooD</v>
      </c>
    </row>
    <row r="1692" spans="1:9" ht="15.75" thickBot="1">
      <c r="A1692" s="565" t="s">
        <v>646</v>
      </c>
      <c r="B1692" s="565">
        <v>30000</v>
      </c>
      <c r="C1692" s="566">
        <v>24</v>
      </c>
      <c r="D1692" s="566">
        <v>0.21</v>
      </c>
      <c r="E1692" s="566">
        <v>12624</v>
      </c>
      <c r="F1692" s="566">
        <v>42624</v>
      </c>
      <c r="G1692" s="566">
        <v>1800</v>
      </c>
      <c r="H1692" s="566">
        <v>1701</v>
      </c>
      <c r="I1692" s="558" t="str">
        <f t="shared" si="25"/>
        <v>GooD</v>
      </c>
    </row>
    <row r="1693" spans="1:9" ht="15.75" thickTop="1">
      <c r="A1693" s="567" t="s">
        <v>646</v>
      </c>
      <c r="B1693" s="567">
        <v>31000</v>
      </c>
      <c r="C1693" s="568">
        <v>6</v>
      </c>
      <c r="D1693" s="568">
        <v>0.21</v>
      </c>
      <c r="E1693" s="568">
        <v>3257</v>
      </c>
      <c r="F1693" s="568">
        <v>34257</v>
      </c>
      <c r="G1693" s="568">
        <v>465</v>
      </c>
      <c r="H1693" s="568">
        <v>5632</v>
      </c>
      <c r="I1693" s="559" t="str">
        <f t="shared" si="25"/>
        <v>GooD</v>
      </c>
    </row>
    <row r="1694" spans="1:9">
      <c r="A1694" s="563" t="s">
        <v>646</v>
      </c>
      <c r="B1694" s="563">
        <v>31000</v>
      </c>
      <c r="C1694" s="564">
        <v>8</v>
      </c>
      <c r="D1694" s="564">
        <v>0.21</v>
      </c>
      <c r="E1694" s="564">
        <v>4348</v>
      </c>
      <c r="F1694" s="564">
        <v>35348</v>
      </c>
      <c r="G1694" s="564">
        <v>620</v>
      </c>
      <c r="H1694" s="564">
        <v>4341</v>
      </c>
      <c r="I1694" s="557" t="str">
        <f t="shared" si="25"/>
        <v>GooD</v>
      </c>
    </row>
    <row r="1695" spans="1:9" ht="15.75" thickBot="1">
      <c r="A1695" s="565" t="s">
        <v>646</v>
      </c>
      <c r="B1695" s="565">
        <v>31000</v>
      </c>
      <c r="C1695" s="566">
        <v>10</v>
      </c>
      <c r="D1695" s="566">
        <v>0.21</v>
      </c>
      <c r="E1695" s="566">
        <v>5435</v>
      </c>
      <c r="F1695" s="566">
        <v>36435</v>
      </c>
      <c r="G1695" s="566">
        <v>775</v>
      </c>
      <c r="H1695" s="566">
        <v>3566</v>
      </c>
      <c r="I1695" s="558" t="str">
        <f t="shared" si="25"/>
        <v>GooD</v>
      </c>
    </row>
    <row r="1696" spans="1:9" ht="15.75" thickTop="1">
      <c r="A1696" s="567" t="s">
        <v>646</v>
      </c>
      <c r="B1696" s="567">
        <v>31000</v>
      </c>
      <c r="C1696" s="568">
        <v>12</v>
      </c>
      <c r="D1696" s="568">
        <v>0.21</v>
      </c>
      <c r="E1696" s="568">
        <v>6518</v>
      </c>
      <c r="F1696" s="568">
        <v>37518</v>
      </c>
      <c r="G1696" s="568">
        <v>930</v>
      </c>
      <c r="H1696" s="568">
        <v>3049</v>
      </c>
      <c r="I1696" s="559" t="str">
        <f t="shared" si="25"/>
        <v>GooD</v>
      </c>
    </row>
    <row r="1697" spans="1:9">
      <c r="A1697" s="563" t="s">
        <v>646</v>
      </c>
      <c r="B1697" s="563">
        <v>31000</v>
      </c>
      <c r="C1697" s="564">
        <v>14</v>
      </c>
      <c r="D1697" s="564">
        <v>0.21</v>
      </c>
      <c r="E1697" s="564">
        <v>7605</v>
      </c>
      <c r="F1697" s="564">
        <v>38605</v>
      </c>
      <c r="G1697" s="564">
        <v>1085</v>
      </c>
      <c r="H1697" s="564">
        <v>2680</v>
      </c>
      <c r="I1697" s="557" t="str">
        <f t="shared" si="25"/>
        <v>GooD</v>
      </c>
    </row>
    <row r="1698" spans="1:9" ht="15.75" thickBot="1">
      <c r="A1698" s="565" t="s">
        <v>646</v>
      </c>
      <c r="B1698" s="565">
        <v>31000</v>
      </c>
      <c r="C1698" s="566">
        <v>16</v>
      </c>
      <c r="D1698" s="566">
        <v>0.21</v>
      </c>
      <c r="E1698" s="566">
        <v>8688</v>
      </c>
      <c r="F1698" s="566">
        <v>39688</v>
      </c>
      <c r="G1698" s="566">
        <v>1240</v>
      </c>
      <c r="H1698" s="566">
        <v>2403</v>
      </c>
      <c r="I1698" s="558" t="str">
        <f t="shared" si="25"/>
        <v>GooD</v>
      </c>
    </row>
    <row r="1699" spans="1:9" ht="15.75" thickTop="1">
      <c r="A1699" s="567" t="s">
        <v>646</v>
      </c>
      <c r="B1699" s="567">
        <v>31000</v>
      </c>
      <c r="C1699" s="568">
        <v>18</v>
      </c>
      <c r="D1699" s="568">
        <v>0.21</v>
      </c>
      <c r="E1699" s="568">
        <v>9779</v>
      </c>
      <c r="F1699" s="568">
        <v>40779</v>
      </c>
      <c r="G1699" s="568">
        <v>1395</v>
      </c>
      <c r="H1699" s="568">
        <v>2188</v>
      </c>
      <c r="I1699" s="559" t="str">
        <f t="shared" si="25"/>
        <v>GooD</v>
      </c>
    </row>
    <row r="1700" spans="1:9">
      <c r="A1700" s="563" t="s">
        <v>646</v>
      </c>
      <c r="B1700" s="563">
        <v>31000</v>
      </c>
      <c r="C1700" s="564">
        <v>20</v>
      </c>
      <c r="D1700" s="564">
        <v>0.21</v>
      </c>
      <c r="E1700" s="564">
        <v>10870</v>
      </c>
      <c r="F1700" s="564">
        <v>41870</v>
      </c>
      <c r="G1700" s="564">
        <v>1550</v>
      </c>
      <c r="H1700" s="564">
        <v>2016</v>
      </c>
      <c r="I1700" s="557" t="str">
        <f t="shared" si="25"/>
        <v>GooD</v>
      </c>
    </row>
    <row r="1701" spans="1:9" ht="15.75" thickBot="1">
      <c r="A1701" s="565" t="s">
        <v>646</v>
      </c>
      <c r="B1701" s="565">
        <v>31000</v>
      </c>
      <c r="C1701" s="566">
        <v>22</v>
      </c>
      <c r="D1701" s="566">
        <v>0.21</v>
      </c>
      <c r="E1701" s="566">
        <v>11955</v>
      </c>
      <c r="F1701" s="566">
        <v>42955</v>
      </c>
      <c r="G1701" s="566">
        <v>1705</v>
      </c>
      <c r="H1701" s="566">
        <v>1875</v>
      </c>
      <c r="I1701" s="558" t="str">
        <f t="shared" si="25"/>
        <v>GooD</v>
      </c>
    </row>
    <row r="1702" spans="1:9" ht="15.75" thickTop="1">
      <c r="A1702" s="567" t="s">
        <v>646</v>
      </c>
      <c r="B1702" s="567">
        <v>31000</v>
      </c>
      <c r="C1702" s="568">
        <v>24</v>
      </c>
      <c r="D1702" s="568">
        <v>0.21</v>
      </c>
      <c r="E1702" s="568">
        <v>13028</v>
      </c>
      <c r="F1702" s="568">
        <v>44028</v>
      </c>
      <c r="G1702" s="568">
        <v>1860</v>
      </c>
      <c r="H1702" s="568">
        <v>1757</v>
      </c>
      <c r="I1702" s="559" t="str">
        <f t="shared" si="25"/>
        <v>GooD</v>
      </c>
    </row>
    <row r="1703" spans="1:9">
      <c r="A1703" s="563" t="s">
        <v>646</v>
      </c>
      <c r="B1703" s="563">
        <v>32000</v>
      </c>
      <c r="C1703" s="564">
        <v>6</v>
      </c>
      <c r="D1703" s="564">
        <v>0.21</v>
      </c>
      <c r="E1703" s="564">
        <v>3364</v>
      </c>
      <c r="F1703" s="564">
        <v>35364</v>
      </c>
      <c r="G1703" s="564">
        <v>480</v>
      </c>
      <c r="H1703" s="564">
        <v>5814</v>
      </c>
      <c r="I1703" s="557" t="str">
        <f t="shared" si="25"/>
        <v>GooD</v>
      </c>
    </row>
    <row r="1704" spans="1:9" ht="15.75" thickBot="1">
      <c r="A1704" s="565" t="s">
        <v>646</v>
      </c>
      <c r="B1704" s="565">
        <v>32000</v>
      </c>
      <c r="C1704" s="566">
        <v>8</v>
      </c>
      <c r="D1704" s="566">
        <v>0.21</v>
      </c>
      <c r="E1704" s="566">
        <v>4488</v>
      </c>
      <c r="F1704" s="566">
        <v>36488</v>
      </c>
      <c r="G1704" s="566">
        <v>640</v>
      </c>
      <c r="H1704" s="566">
        <v>4481</v>
      </c>
      <c r="I1704" s="558" t="str">
        <f t="shared" si="25"/>
        <v>GooD</v>
      </c>
    </row>
    <row r="1705" spans="1:9" ht="15.75" thickTop="1">
      <c r="A1705" s="567" t="s">
        <v>646</v>
      </c>
      <c r="B1705" s="567">
        <v>32000</v>
      </c>
      <c r="C1705" s="568">
        <v>10</v>
      </c>
      <c r="D1705" s="568">
        <v>0.21</v>
      </c>
      <c r="E1705" s="568">
        <v>5610</v>
      </c>
      <c r="F1705" s="568">
        <v>37610</v>
      </c>
      <c r="G1705" s="568">
        <v>800</v>
      </c>
      <c r="H1705" s="568">
        <v>3681</v>
      </c>
      <c r="I1705" s="559" t="str">
        <f t="shared" si="25"/>
        <v>GooD</v>
      </c>
    </row>
    <row r="1706" spans="1:9">
      <c r="A1706" s="563" t="s">
        <v>646</v>
      </c>
      <c r="B1706" s="563">
        <v>32000</v>
      </c>
      <c r="C1706" s="564">
        <v>12</v>
      </c>
      <c r="D1706" s="564">
        <v>0.21</v>
      </c>
      <c r="E1706" s="564">
        <v>6724</v>
      </c>
      <c r="F1706" s="564">
        <v>38724</v>
      </c>
      <c r="G1706" s="564">
        <v>960</v>
      </c>
      <c r="H1706" s="564">
        <v>3147</v>
      </c>
      <c r="I1706" s="557" t="str">
        <f t="shared" si="25"/>
        <v>GooD</v>
      </c>
    </row>
    <row r="1707" spans="1:9" ht="15.75" thickBot="1">
      <c r="A1707" s="565" t="s">
        <v>646</v>
      </c>
      <c r="B1707" s="565">
        <v>32000</v>
      </c>
      <c r="C1707" s="566">
        <v>14</v>
      </c>
      <c r="D1707" s="566">
        <v>0.21</v>
      </c>
      <c r="E1707" s="566">
        <v>7844</v>
      </c>
      <c r="F1707" s="566">
        <v>39844</v>
      </c>
      <c r="G1707" s="566">
        <v>1120</v>
      </c>
      <c r="H1707" s="566">
        <v>2766</v>
      </c>
      <c r="I1707" s="558" t="str">
        <f t="shared" si="25"/>
        <v>GooD</v>
      </c>
    </row>
    <row r="1708" spans="1:9" ht="15.75" thickTop="1">
      <c r="A1708" s="567" t="s">
        <v>646</v>
      </c>
      <c r="B1708" s="567">
        <v>32000</v>
      </c>
      <c r="C1708" s="568">
        <v>16</v>
      </c>
      <c r="D1708" s="568">
        <v>0.21</v>
      </c>
      <c r="E1708" s="568">
        <v>8976</v>
      </c>
      <c r="F1708" s="568">
        <v>40976</v>
      </c>
      <c r="G1708" s="568">
        <v>1280</v>
      </c>
      <c r="H1708" s="568">
        <v>2481</v>
      </c>
      <c r="I1708" s="559" t="str">
        <f t="shared" si="25"/>
        <v>GooD</v>
      </c>
    </row>
    <row r="1709" spans="1:9">
      <c r="A1709" s="563" t="s">
        <v>646</v>
      </c>
      <c r="B1709" s="563">
        <v>32000</v>
      </c>
      <c r="C1709" s="564">
        <v>18</v>
      </c>
      <c r="D1709" s="564">
        <v>0.21</v>
      </c>
      <c r="E1709" s="564">
        <v>10084</v>
      </c>
      <c r="F1709" s="564">
        <v>42084</v>
      </c>
      <c r="G1709" s="564">
        <v>1440</v>
      </c>
      <c r="H1709" s="564">
        <v>2258</v>
      </c>
      <c r="I1709" s="557" t="str">
        <f t="shared" si="25"/>
        <v>GooD</v>
      </c>
    </row>
    <row r="1710" spans="1:9" ht="15.75" thickBot="1">
      <c r="A1710" s="565" t="s">
        <v>646</v>
      </c>
      <c r="B1710" s="565">
        <v>32000</v>
      </c>
      <c r="C1710" s="566">
        <v>20</v>
      </c>
      <c r="D1710" s="566">
        <v>0.21</v>
      </c>
      <c r="E1710" s="566">
        <v>11220</v>
      </c>
      <c r="F1710" s="566">
        <v>43220</v>
      </c>
      <c r="G1710" s="566">
        <v>1600</v>
      </c>
      <c r="H1710" s="566">
        <v>2081</v>
      </c>
      <c r="I1710" s="558" t="str">
        <f t="shared" si="25"/>
        <v>GooD</v>
      </c>
    </row>
    <row r="1711" spans="1:9" ht="15.75" thickTop="1">
      <c r="A1711" s="567" t="s">
        <v>646</v>
      </c>
      <c r="B1711" s="567">
        <v>32000</v>
      </c>
      <c r="C1711" s="568">
        <v>22</v>
      </c>
      <c r="D1711" s="568">
        <v>0.21</v>
      </c>
      <c r="E1711" s="568">
        <v>12330</v>
      </c>
      <c r="F1711" s="568">
        <v>44330</v>
      </c>
      <c r="G1711" s="568">
        <v>1760</v>
      </c>
      <c r="H1711" s="568">
        <v>1935</v>
      </c>
      <c r="I1711" s="559" t="str">
        <f t="shared" si="25"/>
        <v>GooD</v>
      </c>
    </row>
    <row r="1712" spans="1:9">
      <c r="A1712" s="563" t="s">
        <v>646</v>
      </c>
      <c r="B1712" s="563">
        <v>32000</v>
      </c>
      <c r="C1712" s="564">
        <v>24</v>
      </c>
      <c r="D1712" s="564">
        <v>0.21</v>
      </c>
      <c r="E1712" s="564">
        <v>13456</v>
      </c>
      <c r="F1712" s="564">
        <v>45456</v>
      </c>
      <c r="G1712" s="564">
        <v>1920</v>
      </c>
      <c r="H1712" s="564">
        <v>1814</v>
      </c>
      <c r="I1712" s="557" t="str">
        <f t="shared" si="25"/>
        <v>GooD</v>
      </c>
    </row>
    <row r="1713" spans="1:9" ht="15.75" thickBot="1">
      <c r="A1713" s="565" t="s">
        <v>646</v>
      </c>
      <c r="B1713" s="565">
        <v>33000</v>
      </c>
      <c r="C1713" s="566">
        <v>6</v>
      </c>
      <c r="D1713" s="566">
        <v>0.21</v>
      </c>
      <c r="E1713" s="566">
        <v>3471</v>
      </c>
      <c r="F1713" s="566">
        <v>36471</v>
      </c>
      <c r="G1713" s="566">
        <v>495</v>
      </c>
      <c r="H1713" s="566">
        <v>5996</v>
      </c>
      <c r="I1713" s="558" t="str">
        <f t="shared" si="25"/>
        <v>GooD</v>
      </c>
    </row>
    <row r="1714" spans="1:9" ht="15.75" thickTop="1">
      <c r="A1714" s="567" t="s">
        <v>646</v>
      </c>
      <c r="B1714" s="567">
        <v>33000</v>
      </c>
      <c r="C1714" s="568">
        <v>8</v>
      </c>
      <c r="D1714" s="568">
        <v>0.21</v>
      </c>
      <c r="E1714" s="568">
        <v>4628</v>
      </c>
      <c r="F1714" s="568">
        <v>37628</v>
      </c>
      <c r="G1714" s="568">
        <v>660</v>
      </c>
      <c r="H1714" s="568">
        <v>4621</v>
      </c>
      <c r="I1714" s="559" t="str">
        <f t="shared" si="25"/>
        <v>GooD</v>
      </c>
    </row>
    <row r="1715" spans="1:9">
      <c r="A1715" s="563" t="s">
        <v>646</v>
      </c>
      <c r="B1715" s="563">
        <v>33000</v>
      </c>
      <c r="C1715" s="564">
        <v>10</v>
      </c>
      <c r="D1715" s="564">
        <v>0.21</v>
      </c>
      <c r="E1715" s="564">
        <v>5785</v>
      </c>
      <c r="F1715" s="564">
        <v>38785</v>
      </c>
      <c r="G1715" s="564">
        <v>825</v>
      </c>
      <c r="H1715" s="564">
        <v>3796</v>
      </c>
      <c r="I1715" s="557" t="str">
        <f t="shared" si="25"/>
        <v>GooD</v>
      </c>
    </row>
    <row r="1716" spans="1:9" ht="15.75" thickBot="1">
      <c r="A1716" s="565" t="s">
        <v>646</v>
      </c>
      <c r="B1716" s="565">
        <v>33000</v>
      </c>
      <c r="C1716" s="566">
        <v>12</v>
      </c>
      <c r="D1716" s="566">
        <v>0.21</v>
      </c>
      <c r="E1716" s="566">
        <v>6942</v>
      </c>
      <c r="F1716" s="566">
        <v>39942</v>
      </c>
      <c r="G1716" s="566">
        <v>990</v>
      </c>
      <c r="H1716" s="566">
        <v>3246</v>
      </c>
      <c r="I1716" s="558" t="str">
        <f t="shared" si="25"/>
        <v>GooD</v>
      </c>
    </row>
    <row r="1717" spans="1:9" ht="15.75" thickTop="1">
      <c r="A1717" s="567" t="s">
        <v>646</v>
      </c>
      <c r="B1717" s="567">
        <v>33000</v>
      </c>
      <c r="C1717" s="568">
        <v>14</v>
      </c>
      <c r="D1717" s="568">
        <v>0.21</v>
      </c>
      <c r="E1717" s="568">
        <v>8097</v>
      </c>
      <c r="F1717" s="568">
        <v>41097</v>
      </c>
      <c r="G1717" s="568">
        <v>1155</v>
      </c>
      <c r="H1717" s="568">
        <v>2853</v>
      </c>
      <c r="I1717" s="559" t="str">
        <f t="shared" si="25"/>
        <v>GooD</v>
      </c>
    </row>
    <row r="1718" spans="1:9">
      <c r="A1718" s="563" t="s">
        <v>646</v>
      </c>
      <c r="B1718" s="563">
        <v>33000</v>
      </c>
      <c r="C1718" s="564">
        <v>16</v>
      </c>
      <c r="D1718" s="564">
        <v>0.21</v>
      </c>
      <c r="E1718" s="564">
        <v>9248</v>
      </c>
      <c r="F1718" s="564">
        <v>42248</v>
      </c>
      <c r="G1718" s="564">
        <v>1320</v>
      </c>
      <c r="H1718" s="564">
        <v>2558</v>
      </c>
      <c r="I1718" s="557" t="str">
        <f t="shared" si="25"/>
        <v>GooD</v>
      </c>
    </row>
    <row r="1719" spans="1:9" ht="15.75" thickBot="1">
      <c r="A1719" s="565" t="s">
        <v>646</v>
      </c>
      <c r="B1719" s="565">
        <v>33000</v>
      </c>
      <c r="C1719" s="566">
        <v>18</v>
      </c>
      <c r="D1719" s="566">
        <v>0.21</v>
      </c>
      <c r="E1719" s="566">
        <v>10407</v>
      </c>
      <c r="F1719" s="566">
        <v>43407</v>
      </c>
      <c r="G1719" s="566">
        <v>1485</v>
      </c>
      <c r="H1719" s="566">
        <v>2329</v>
      </c>
      <c r="I1719" s="558" t="str">
        <f t="shared" si="25"/>
        <v>GooD</v>
      </c>
    </row>
    <row r="1720" spans="1:9" ht="15.75" thickTop="1">
      <c r="A1720" s="567" t="s">
        <v>646</v>
      </c>
      <c r="B1720" s="567">
        <v>33000</v>
      </c>
      <c r="C1720" s="568">
        <v>20</v>
      </c>
      <c r="D1720" s="568">
        <v>0.21</v>
      </c>
      <c r="E1720" s="568">
        <v>11570</v>
      </c>
      <c r="F1720" s="568">
        <v>44570</v>
      </c>
      <c r="G1720" s="568">
        <v>1650</v>
      </c>
      <c r="H1720" s="568">
        <v>2146</v>
      </c>
      <c r="I1720" s="559" t="str">
        <f t="shared" si="25"/>
        <v>GooD</v>
      </c>
    </row>
    <row r="1721" spans="1:9">
      <c r="A1721" s="563" t="s">
        <v>646</v>
      </c>
      <c r="B1721" s="563">
        <v>33000</v>
      </c>
      <c r="C1721" s="564">
        <v>22</v>
      </c>
      <c r="D1721" s="564">
        <v>0.21</v>
      </c>
      <c r="E1721" s="564">
        <v>12727</v>
      </c>
      <c r="F1721" s="564">
        <v>45727</v>
      </c>
      <c r="G1721" s="564">
        <v>1815</v>
      </c>
      <c r="H1721" s="564">
        <v>1996</v>
      </c>
      <c r="I1721" s="557" t="str">
        <f t="shared" si="25"/>
        <v>GooD</v>
      </c>
    </row>
    <row r="1722" spans="1:9" ht="15.75" thickBot="1">
      <c r="A1722" s="565" t="s">
        <v>646</v>
      </c>
      <c r="B1722" s="565">
        <v>33000</v>
      </c>
      <c r="C1722" s="566">
        <v>24</v>
      </c>
      <c r="D1722" s="566">
        <v>0.21</v>
      </c>
      <c r="E1722" s="566">
        <v>13884</v>
      </c>
      <c r="F1722" s="566">
        <v>46884</v>
      </c>
      <c r="G1722" s="566">
        <v>1980</v>
      </c>
      <c r="H1722" s="566">
        <v>1871</v>
      </c>
      <c r="I1722" s="558" t="str">
        <f t="shared" si="25"/>
        <v>GooD</v>
      </c>
    </row>
    <row r="1723" spans="1:9" ht="15.75" thickTop="1">
      <c r="A1723" s="567" t="s">
        <v>646</v>
      </c>
      <c r="B1723" s="567">
        <v>34000</v>
      </c>
      <c r="C1723" s="568">
        <v>6</v>
      </c>
      <c r="D1723" s="568">
        <v>0.21</v>
      </c>
      <c r="E1723" s="568">
        <v>3572</v>
      </c>
      <c r="F1723" s="568">
        <v>37572</v>
      </c>
      <c r="G1723" s="568">
        <v>510</v>
      </c>
      <c r="H1723" s="568">
        <v>6177</v>
      </c>
      <c r="I1723" s="559" t="str">
        <f t="shared" si="25"/>
        <v>GooD</v>
      </c>
    </row>
    <row r="1724" spans="1:9">
      <c r="A1724" s="563" t="s">
        <v>646</v>
      </c>
      <c r="B1724" s="563">
        <v>34000</v>
      </c>
      <c r="C1724" s="564">
        <v>8</v>
      </c>
      <c r="D1724" s="564">
        <v>0.21</v>
      </c>
      <c r="E1724" s="564">
        <v>4768</v>
      </c>
      <c r="F1724" s="564">
        <v>38768</v>
      </c>
      <c r="G1724" s="564">
        <v>680</v>
      </c>
      <c r="H1724" s="564">
        <v>4761</v>
      </c>
      <c r="I1724" s="557" t="str">
        <f t="shared" si="25"/>
        <v>GooD</v>
      </c>
    </row>
    <row r="1725" spans="1:9" ht="15.75" thickBot="1">
      <c r="A1725" s="565" t="s">
        <v>646</v>
      </c>
      <c r="B1725" s="565">
        <v>34000</v>
      </c>
      <c r="C1725" s="566">
        <v>10</v>
      </c>
      <c r="D1725" s="566">
        <v>0.21</v>
      </c>
      <c r="E1725" s="566">
        <v>5960</v>
      </c>
      <c r="F1725" s="566">
        <v>39960</v>
      </c>
      <c r="G1725" s="566">
        <v>850</v>
      </c>
      <c r="H1725" s="566">
        <v>3911</v>
      </c>
      <c r="I1725" s="558" t="str">
        <f t="shared" ref="I1725:I1788" si="26">IF(((H1725*C1725)+G1725)=F1725,"GooD","لالالالالالالا")</f>
        <v>GooD</v>
      </c>
    </row>
    <row r="1726" spans="1:9" ht="15.75" thickTop="1">
      <c r="A1726" s="567" t="s">
        <v>646</v>
      </c>
      <c r="B1726" s="567">
        <v>34000</v>
      </c>
      <c r="C1726" s="568">
        <v>12</v>
      </c>
      <c r="D1726" s="568">
        <v>0.21</v>
      </c>
      <c r="E1726" s="568">
        <v>7148</v>
      </c>
      <c r="F1726" s="568">
        <v>41148</v>
      </c>
      <c r="G1726" s="568">
        <v>1020</v>
      </c>
      <c r="H1726" s="568">
        <v>3344</v>
      </c>
      <c r="I1726" s="559" t="str">
        <f t="shared" si="26"/>
        <v>GooD</v>
      </c>
    </row>
    <row r="1727" spans="1:9">
      <c r="A1727" s="563" t="s">
        <v>646</v>
      </c>
      <c r="B1727" s="563">
        <v>34000</v>
      </c>
      <c r="C1727" s="564">
        <v>14</v>
      </c>
      <c r="D1727" s="564">
        <v>0.21</v>
      </c>
      <c r="E1727" s="564">
        <v>8336</v>
      </c>
      <c r="F1727" s="564">
        <v>42336</v>
      </c>
      <c r="G1727" s="564">
        <v>1190</v>
      </c>
      <c r="H1727" s="564">
        <v>2939</v>
      </c>
      <c r="I1727" s="557" t="str">
        <f t="shared" si="26"/>
        <v>GooD</v>
      </c>
    </row>
    <row r="1728" spans="1:9" ht="15.75" thickBot="1">
      <c r="A1728" s="565" t="s">
        <v>646</v>
      </c>
      <c r="B1728" s="565">
        <v>34000</v>
      </c>
      <c r="C1728" s="566">
        <v>16</v>
      </c>
      <c r="D1728" s="566">
        <v>0.21</v>
      </c>
      <c r="E1728" s="566">
        <v>9536</v>
      </c>
      <c r="F1728" s="566">
        <v>43536</v>
      </c>
      <c r="G1728" s="566">
        <v>1360</v>
      </c>
      <c r="H1728" s="566">
        <v>2636</v>
      </c>
      <c r="I1728" s="558" t="str">
        <f t="shared" si="26"/>
        <v>GooD</v>
      </c>
    </row>
    <row r="1729" spans="1:9" ht="15.75" thickTop="1">
      <c r="A1729" s="567" t="s">
        <v>646</v>
      </c>
      <c r="B1729" s="567">
        <v>34000</v>
      </c>
      <c r="C1729" s="568">
        <v>18</v>
      </c>
      <c r="D1729" s="568">
        <v>0.21</v>
      </c>
      <c r="E1729" s="568">
        <v>10712</v>
      </c>
      <c r="F1729" s="568">
        <v>44712</v>
      </c>
      <c r="G1729" s="568">
        <v>1530</v>
      </c>
      <c r="H1729" s="568">
        <v>2399</v>
      </c>
      <c r="I1729" s="559" t="str">
        <f t="shared" si="26"/>
        <v>GooD</v>
      </c>
    </row>
    <row r="1730" spans="1:9">
      <c r="A1730" s="563" t="s">
        <v>646</v>
      </c>
      <c r="B1730" s="563">
        <v>34000</v>
      </c>
      <c r="C1730" s="564">
        <v>20</v>
      </c>
      <c r="D1730" s="564">
        <v>0.21</v>
      </c>
      <c r="E1730" s="564">
        <v>11920</v>
      </c>
      <c r="F1730" s="564">
        <v>45920</v>
      </c>
      <c r="G1730" s="564">
        <v>1700</v>
      </c>
      <c r="H1730" s="564">
        <v>2211</v>
      </c>
      <c r="I1730" s="557" t="str">
        <f t="shared" si="26"/>
        <v>GooD</v>
      </c>
    </row>
    <row r="1731" spans="1:9" ht="15.75" thickBot="1">
      <c r="A1731" s="565" t="s">
        <v>646</v>
      </c>
      <c r="B1731" s="565">
        <v>34000</v>
      </c>
      <c r="C1731" s="566">
        <v>22</v>
      </c>
      <c r="D1731" s="566">
        <v>0.21</v>
      </c>
      <c r="E1731" s="566">
        <v>13102</v>
      </c>
      <c r="F1731" s="566">
        <v>47102</v>
      </c>
      <c r="G1731" s="566">
        <v>1870</v>
      </c>
      <c r="H1731" s="566">
        <v>2056</v>
      </c>
      <c r="I1731" s="558" t="str">
        <f t="shared" si="26"/>
        <v>GooD</v>
      </c>
    </row>
    <row r="1732" spans="1:9" ht="15.75" thickTop="1">
      <c r="A1732" s="567" t="s">
        <v>646</v>
      </c>
      <c r="B1732" s="567">
        <v>34000</v>
      </c>
      <c r="C1732" s="568">
        <v>24</v>
      </c>
      <c r="D1732" s="568">
        <v>0.21</v>
      </c>
      <c r="E1732" s="568">
        <v>14288</v>
      </c>
      <c r="F1732" s="568">
        <v>48288</v>
      </c>
      <c r="G1732" s="568">
        <v>2040</v>
      </c>
      <c r="H1732" s="568">
        <v>1927</v>
      </c>
      <c r="I1732" s="559" t="str">
        <f t="shared" si="26"/>
        <v>GooD</v>
      </c>
    </row>
    <row r="1733" spans="1:9">
      <c r="A1733" s="563" t="s">
        <v>646</v>
      </c>
      <c r="B1733" s="563">
        <v>35000</v>
      </c>
      <c r="C1733" s="564">
        <v>6</v>
      </c>
      <c r="D1733" s="564">
        <v>0.21</v>
      </c>
      <c r="E1733" s="564">
        <v>3679</v>
      </c>
      <c r="F1733" s="564">
        <v>38679</v>
      </c>
      <c r="G1733" s="564">
        <v>525</v>
      </c>
      <c r="H1733" s="564">
        <v>6359</v>
      </c>
      <c r="I1733" s="557" t="str">
        <f t="shared" si="26"/>
        <v>GooD</v>
      </c>
    </row>
    <row r="1734" spans="1:9" ht="15.75" thickBot="1">
      <c r="A1734" s="565" t="s">
        <v>646</v>
      </c>
      <c r="B1734" s="565">
        <v>35000</v>
      </c>
      <c r="C1734" s="566">
        <v>8</v>
      </c>
      <c r="D1734" s="566">
        <v>0.21</v>
      </c>
      <c r="E1734" s="566">
        <v>4908</v>
      </c>
      <c r="F1734" s="566">
        <v>39908</v>
      </c>
      <c r="G1734" s="566">
        <v>700</v>
      </c>
      <c r="H1734" s="566">
        <v>4901</v>
      </c>
      <c r="I1734" s="558" t="str">
        <f t="shared" si="26"/>
        <v>GooD</v>
      </c>
    </row>
    <row r="1735" spans="1:9" ht="15.75" thickTop="1">
      <c r="A1735" s="567" t="s">
        <v>646</v>
      </c>
      <c r="B1735" s="567">
        <v>35000</v>
      </c>
      <c r="C1735" s="568">
        <v>10</v>
      </c>
      <c r="D1735" s="568">
        <v>0.21</v>
      </c>
      <c r="E1735" s="568">
        <v>6135</v>
      </c>
      <c r="F1735" s="568">
        <v>41135</v>
      </c>
      <c r="G1735" s="568">
        <v>875</v>
      </c>
      <c r="H1735" s="568">
        <v>4026</v>
      </c>
      <c r="I1735" s="559" t="str">
        <f t="shared" si="26"/>
        <v>GooD</v>
      </c>
    </row>
    <row r="1736" spans="1:9">
      <c r="A1736" s="563" t="s">
        <v>646</v>
      </c>
      <c r="B1736" s="563">
        <v>35000</v>
      </c>
      <c r="C1736" s="564">
        <v>12</v>
      </c>
      <c r="D1736" s="564">
        <v>0.21</v>
      </c>
      <c r="E1736" s="564">
        <v>7354</v>
      </c>
      <c r="F1736" s="564">
        <v>42354</v>
      </c>
      <c r="G1736" s="564">
        <v>1050</v>
      </c>
      <c r="H1736" s="564">
        <v>3442</v>
      </c>
      <c r="I1736" s="557" t="str">
        <f t="shared" si="26"/>
        <v>GooD</v>
      </c>
    </row>
    <row r="1737" spans="1:9" ht="15.75" thickBot="1">
      <c r="A1737" s="565" t="s">
        <v>646</v>
      </c>
      <c r="B1737" s="565">
        <v>35000</v>
      </c>
      <c r="C1737" s="566">
        <v>14</v>
      </c>
      <c r="D1737" s="566">
        <v>0.21</v>
      </c>
      <c r="E1737" s="566">
        <v>8589</v>
      </c>
      <c r="F1737" s="566">
        <v>43589</v>
      </c>
      <c r="G1737" s="566">
        <v>1225</v>
      </c>
      <c r="H1737" s="566">
        <v>3026</v>
      </c>
      <c r="I1737" s="558" t="str">
        <f t="shared" si="26"/>
        <v>GooD</v>
      </c>
    </row>
    <row r="1738" spans="1:9" ht="15.75" thickTop="1">
      <c r="A1738" s="567" t="s">
        <v>646</v>
      </c>
      <c r="B1738" s="567">
        <v>35000</v>
      </c>
      <c r="C1738" s="568">
        <v>16</v>
      </c>
      <c r="D1738" s="568">
        <v>0.21</v>
      </c>
      <c r="E1738" s="568">
        <v>9808</v>
      </c>
      <c r="F1738" s="568">
        <v>44808</v>
      </c>
      <c r="G1738" s="568">
        <v>1400</v>
      </c>
      <c r="H1738" s="568">
        <v>2713</v>
      </c>
      <c r="I1738" s="559" t="str">
        <f t="shared" si="26"/>
        <v>GooD</v>
      </c>
    </row>
    <row r="1739" spans="1:9">
      <c r="A1739" s="563" t="s">
        <v>646</v>
      </c>
      <c r="B1739" s="563">
        <v>35000</v>
      </c>
      <c r="C1739" s="564">
        <v>18</v>
      </c>
      <c r="D1739" s="564">
        <v>0.21</v>
      </c>
      <c r="E1739" s="564">
        <v>11035</v>
      </c>
      <c r="F1739" s="564">
        <v>46035</v>
      </c>
      <c r="G1739" s="564">
        <v>1575</v>
      </c>
      <c r="H1739" s="564">
        <v>2470</v>
      </c>
      <c r="I1739" s="557" t="str">
        <f t="shared" si="26"/>
        <v>GooD</v>
      </c>
    </row>
    <row r="1740" spans="1:9" ht="15.75" thickBot="1">
      <c r="A1740" s="565" t="s">
        <v>646</v>
      </c>
      <c r="B1740" s="565">
        <v>35000</v>
      </c>
      <c r="C1740" s="566">
        <v>20</v>
      </c>
      <c r="D1740" s="566">
        <v>0.21</v>
      </c>
      <c r="E1740" s="566">
        <v>12270</v>
      </c>
      <c r="F1740" s="566">
        <v>47270</v>
      </c>
      <c r="G1740" s="566">
        <v>1750</v>
      </c>
      <c r="H1740" s="566">
        <v>2276</v>
      </c>
      <c r="I1740" s="558" t="str">
        <f t="shared" si="26"/>
        <v>GooD</v>
      </c>
    </row>
    <row r="1741" spans="1:9" ht="15.75" thickTop="1">
      <c r="A1741" s="567" t="s">
        <v>646</v>
      </c>
      <c r="B1741" s="567">
        <v>35000</v>
      </c>
      <c r="C1741" s="568">
        <v>22</v>
      </c>
      <c r="D1741" s="568">
        <v>0.21</v>
      </c>
      <c r="E1741" s="568">
        <v>13477</v>
      </c>
      <c r="F1741" s="568">
        <v>48477</v>
      </c>
      <c r="G1741" s="568">
        <v>1925</v>
      </c>
      <c r="H1741" s="568">
        <v>2116</v>
      </c>
      <c r="I1741" s="559" t="str">
        <f t="shared" si="26"/>
        <v>GooD</v>
      </c>
    </row>
    <row r="1742" spans="1:9">
      <c r="A1742" s="563" t="s">
        <v>646</v>
      </c>
      <c r="B1742" s="563">
        <v>35000</v>
      </c>
      <c r="C1742" s="564">
        <v>24</v>
      </c>
      <c r="D1742" s="564">
        <v>0.21</v>
      </c>
      <c r="E1742" s="564">
        <v>14716</v>
      </c>
      <c r="F1742" s="564">
        <v>49716</v>
      </c>
      <c r="G1742" s="564">
        <v>2100</v>
      </c>
      <c r="H1742" s="564">
        <v>1984</v>
      </c>
      <c r="I1742" s="557" t="str">
        <f t="shared" si="26"/>
        <v>GooD</v>
      </c>
    </row>
    <row r="1743" spans="1:9" ht="15.75" thickBot="1">
      <c r="A1743" s="565" t="s">
        <v>646</v>
      </c>
      <c r="B1743" s="565">
        <v>36000</v>
      </c>
      <c r="C1743" s="566">
        <v>6</v>
      </c>
      <c r="D1743" s="566">
        <v>0.21</v>
      </c>
      <c r="E1743" s="566">
        <v>3786</v>
      </c>
      <c r="F1743" s="566">
        <v>39786</v>
      </c>
      <c r="G1743" s="566">
        <v>540</v>
      </c>
      <c r="H1743" s="566">
        <v>6541</v>
      </c>
      <c r="I1743" s="558" t="str">
        <f t="shared" si="26"/>
        <v>GooD</v>
      </c>
    </row>
    <row r="1744" spans="1:9" ht="15.75" thickTop="1">
      <c r="A1744" s="567" t="s">
        <v>646</v>
      </c>
      <c r="B1744" s="567">
        <v>36000</v>
      </c>
      <c r="C1744" s="568">
        <v>8</v>
      </c>
      <c r="D1744" s="568">
        <v>0.21</v>
      </c>
      <c r="E1744" s="568">
        <v>5048</v>
      </c>
      <c r="F1744" s="568">
        <v>41048</v>
      </c>
      <c r="G1744" s="568">
        <v>720</v>
      </c>
      <c r="H1744" s="568">
        <v>5041</v>
      </c>
      <c r="I1744" s="559" t="str">
        <f t="shared" si="26"/>
        <v>GooD</v>
      </c>
    </row>
    <row r="1745" spans="1:9">
      <c r="A1745" s="563" t="s">
        <v>646</v>
      </c>
      <c r="B1745" s="563">
        <v>36000</v>
      </c>
      <c r="C1745" s="564">
        <v>10</v>
      </c>
      <c r="D1745" s="564">
        <v>0.21</v>
      </c>
      <c r="E1745" s="564">
        <v>6310</v>
      </c>
      <c r="F1745" s="564">
        <v>42310</v>
      </c>
      <c r="G1745" s="564">
        <v>900</v>
      </c>
      <c r="H1745" s="564">
        <v>4141</v>
      </c>
      <c r="I1745" s="557" t="str">
        <f t="shared" si="26"/>
        <v>GooD</v>
      </c>
    </row>
    <row r="1746" spans="1:9" ht="15.75" thickBot="1">
      <c r="A1746" s="565" t="s">
        <v>646</v>
      </c>
      <c r="B1746" s="565">
        <v>36000</v>
      </c>
      <c r="C1746" s="566">
        <v>12</v>
      </c>
      <c r="D1746" s="566">
        <v>0.21</v>
      </c>
      <c r="E1746" s="566">
        <v>7572</v>
      </c>
      <c r="F1746" s="566">
        <v>43572</v>
      </c>
      <c r="G1746" s="566">
        <v>1080</v>
      </c>
      <c r="H1746" s="566">
        <v>3541</v>
      </c>
      <c r="I1746" s="558" t="str">
        <f t="shared" si="26"/>
        <v>GooD</v>
      </c>
    </row>
    <row r="1747" spans="1:9" ht="15.75" thickTop="1">
      <c r="A1747" s="567" t="s">
        <v>646</v>
      </c>
      <c r="B1747" s="567">
        <v>36000</v>
      </c>
      <c r="C1747" s="568">
        <v>14</v>
      </c>
      <c r="D1747" s="568">
        <v>0.21</v>
      </c>
      <c r="E1747" s="568">
        <v>8828</v>
      </c>
      <c r="F1747" s="568">
        <v>44828</v>
      </c>
      <c r="G1747" s="568">
        <v>1260</v>
      </c>
      <c r="H1747" s="568">
        <v>3112</v>
      </c>
      <c r="I1747" s="559" t="str">
        <f t="shared" si="26"/>
        <v>GooD</v>
      </c>
    </row>
    <row r="1748" spans="1:9">
      <c r="A1748" s="563" t="s">
        <v>646</v>
      </c>
      <c r="B1748" s="563">
        <v>36000</v>
      </c>
      <c r="C1748" s="564">
        <v>16</v>
      </c>
      <c r="D1748" s="564">
        <v>0.21</v>
      </c>
      <c r="E1748" s="564">
        <v>10096</v>
      </c>
      <c r="F1748" s="564">
        <v>46096</v>
      </c>
      <c r="G1748" s="564">
        <v>1440</v>
      </c>
      <c r="H1748" s="564">
        <v>2791</v>
      </c>
      <c r="I1748" s="557" t="str">
        <f t="shared" si="26"/>
        <v>GooD</v>
      </c>
    </row>
    <row r="1749" spans="1:9" ht="15.75" thickBot="1">
      <c r="A1749" s="565" t="s">
        <v>646</v>
      </c>
      <c r="B1749" s="565">
        <v>36000</v>
      </c>
      <c r="C1749" s="566">
        <v>18</v>
      </c>
      <c r="D1749" s="566">
        <v>0.21</v>
      </c>
      <c r="E1749" s="566">
        <v>11358</v>
      </c>
      <c r="F1749" s="566">
        <v>47358</v>
      </c>
      <c r="G1749" s="566">
        <v>1620</v>
      </c>
      <c r="H1749" s="566">
        <v>2541</v>
      </c>
      <c r="I1749" s="558" t="str">
        <f t="shared" si="26"/>
        <v>GooD</v>
      </c>
    </row>
    <row r="1750" spans="1:9" ht="15.75" thickTop="1">
      <c r="A1750" s="567" t="s">
        <v>646</v>
      </c>
      <c r="B1750" s="567">
        <v>36000</v>
      </c>
      <c r="C1750" s="568">
        <v>20</v>
      </c>
      <c r="D1750" s="568">
        <v>0.21</v>
      </c>
      <c r="E1750" s="568">
        <v>12620</v>
      </c>
      <c r="F1750" s="568">
        <v>48620</v>
      </c>
      <c r="G1750" s="568">
        <v>1800</v>
      </c>
      <c r="H1750" s="568">
        <v>2341</v>
      </c>
      <c r="I1750" s="559" t="str">
        <f t="shared" si="26"/>
        <v>GooD</v>
      </c>
    </row>
    <row r="1751" spans="1:9">
      <c r="A1751" s="563" t="s">
        <v>646</v>
      </c>
      <c r="B1751" s="563">
        <v>36000</v>
      </c>
      <c r="C1751" s="564">
        <v>22</v>
      </c>
      <c r="D1751" s="564">
        <v>0.21</v>
      </c>
      <c r="E1751" s="564">
        <v>13874</v>
      </c>
      <c r="F1751" s="564">
        <v>49874</v>
      </c>
      <c r="G1751" s="564">
        <v>1980</v>
      </c>
      <c r="H1751" s="564">
        <v>2177</v>
      </c>
      <c r="I1751" s="557" t="str">
        <f t="shared" si="26"/>
        <v>GooD</v>
      </c>
    </row>
    <row r="1752" spans="1:9" ht="15.75" thickBot="1">
      <c r="A1752" s="565" t="s">
        <v>646</v>
      </c>
      <c r="B1752" s="565">
        <v>36000</v>
      </c>
      <c r="C1752" s="566">
        <v>24</v>
      </c>
      <c r="D1752" s="566">
        <v>0.21</v>
      </c>
      <c r="E1752" s="566">
        <v>15144</v>
      </c>
      <c r="F1752" s="566">
        <v>51144</v>
      </c>
      <c r="G1752" s="566">
        <v>2160</v>
      </c>
      <c r="H1752" s="566">
        <v>2041</v>
      </c>
      <c r="I1752" s="558" t="str">
        <f t="shared" si="26"/>
        <v>GooD</v>
      </c>
    </row>
    <row r="1753" spans="1:9" ht="15.75" thickTop="1">
      <c r="A1753" s="567" t="s">
        <v>646</v>
      </c>
      <c r="B1753" s="567">
        <v>37000</v>
      </c>
      <c r="C1753" s="568">
        <v>6</v>
      </c>
      <c r="D1753" s="568">
        <v>0.21</v>
      </c>
      <c r="E1753" s="568">
        <v>3887</v>
      </c>
      <c r="F1753" s="568">
        <v>40887</v>
      </c>
      <c r="G1753" s="568">
        <v>555</v>
      </c>
      <c r="H1753" s="568">
        <v>6722</v>
      </c>
      <c r="I1753" s="559" t="str">
        <f t="shared" si="26"/>
        <v>GooD</v>
      </c>
    </row>
    <row r="1754" spans="1:9">
      <c r="A1754" s="563" t="s">
        <v>646</v>
      </c>
      <c r="B1754" s="563">
        <v>37000</v>
      </c>
      <c r="C1754" s="564">
        <v>8</v>
      </c>
      <c r="D1754" s="564">
        <v>0.21</v>
      </c>
      <c r="E1754" s="564">
        <v>5188</v>
      </c>
      <c r="F1754" s="564">
        <v>42188</v>
      </c>
      <c r="G1754" s="564">
        <v>740</v>
      </c>
      <c r="H1754" s="564">
        <v>5181</v>
      </c>
      <c r="I1754" s="557" t="str">
        <f t="shared" si="26"/>
        <v>GooD</v>
      </c>
    </row>
    <row r="1755" spans="1:9" ht="15.75" thickBot="1">
      <c r="A1755" s="565" t="s">
        <v>646</v>
      </c>
      <c r="B1755" s="565">
        <v>37000</v>
      </c>
      <c r="C1755" s="566">
        <v>10</v>
      </c>
      <c r="D1755" s="566">
        <v>0.21</v>
      </c>
      <c r="E1755" s="566">
        <v>6485</v>
      </c>
      <c r="F1755" s="566">
        <v>43485</v>
      </c>
      <c r="G1755" s="566">
        <v>925</v>
      </c>
      <c r="H1755" s="566">
        <v>4256</v>
      </c>
      <c r="I1755" s="558" t="str">
        <f t="shared" si="26"/>
        <v>GooD</v>
      </c>
    </row>
    <row r="1756" spans="1:9" ht="15.75" thickTop="1">
      <c r="A1756" s="567" t="s">
        <v>646</v>
      </c>
      <c r="B1756" s="567">
        <v>37000</v>
      </c>
      <c r="C1756" s="568">
        <v>12</v>
      </c>
      <c r="D1756" s="568">
        <v>0.21</v>
      </c>
      <c r="E1756" s="568">
        <v>7778</v>
      </c>
      <c r="F1756" s="568">
        <v>44778</v>
      </c>
      <c r="G1756" s="568">
        <v>1110</v>
      </c>
      <c r="H1756" s="568">
        <v>3639</v>
      </c>
      <c r="I1756" s="559" t="str">
        <f t="shared" si="26"/>
        <v>GooD</v>
      </c>
    </row>
    <row r="1757" spans="1:9">
      <c r="A1757" s="563" t="s">
        <v>646</v>
      </c>
      <c r="B1757" s="563">
        <v>37000</v>
      </c>
      <c r="C1757" s="564">
        <v>14</v>
      </c>
      <c r="D1757" s="564">
        <v>0.21</v>
      </c>
      <c r="E1757" s="564">
        <v>9067</v>
      </c>
      <c r="F1757" s="564">
        <v>46067</v>
      </c>
      <c r="G1757" s="564">
        <v>1295</v>
      </c>
      <c r="H1757" s="564">
        <v>3198</v>
      </c>
      <c r="I1757" s="557" t="str">
        <f t="shared" si="26"/>
        <v>GooD</v>
      </c>
    </row>
    <row r="1758" spans="1:9" ht="15.75" thickBot="1">
      <c r="A1758" s="565" t="s">
        <v>646</v>
      </c>
      <c r="B1758" s="565">
        <v>37000</v>
      </c>
      <c r="C1758" s="566">
        <v>16</v>
      </c>
      <c r="D1758" s="566">
        <v>0.21</v>
      </c>
      <c r="E1758" s="566">
        <v>10368</v>
      </c>
      <c r="F1758" s="566">
        <v>47368</v>
      </c>
      <c r="G1758" s="566">
        <v>1480</v>
      </c>
      <c r="H1758" s="566">
        <v>2868</v>
      </c>
      <c r="I1758" s="558" t="str">
        <f t="shared" si="26"/>
        <v>GooD</v>
      </c>
    </row>
    <row r="1759" spans="1:9" ht="15.75" thickTop="1">
      <c r="A1759" s="567" t="s">
        <v>646</v>
      </c>
      <c r="B1759" s="567">
        <v>37000</v>
      </c>
      <c r="C1759" s="568">
        <v>18</v>
      </c>
      <c r="D1759" s="568">
        <v>0.21</v>
      </c>
      <c r="E1759" s="568">
        <v>11663</v>
      </c>
      <c r="F1759" s="568">
        <v>48663</v>
      </c>
      <c r="G1759" s="568">
        <v>1665</v>
      </c>
      <c r="H1759" s="568">
        <v>2611</v>
      </c>
      <c r="I1759" s="559" t="str">
        <f t="shared" si="26"/>
        <v>GooD</v>
      </c>
    </row>
    <row r="1760" spans="1:9">
      <c r="A1760" s="563" t="s">
        <v>646</v>
      </c>
      <c r="B1760" s="563">
        <v>37000</v>
      </c>
      <c r="C1760" s="564">
        <v>20</v>
      </c>
      <c r="D1760" s="564">
        <v>0.21</v>
      </c>
      <c r="E1760" s="564">
        <v>12970</v>
      </c>
      <c r="F1760" s="564">
        <v>49970</v>
      </c>
      <c r="G1760" s="564">
        <v>1850</v>
      </c>
      <c r="H1760" s="564">
        <v>2406</v>
      </c>
      <c r="I1760" s="557" t="str">
        <f t="shared" si="26"/>
        <v>GooD</v>
      </c>
    </row>
    <row r="1761" spans="1:9" ht="15.75" thickBot="1">
      <c r="A1761" s="565" t="s">
        <v>646</v>
      </c>
      <c r="B1761" s="565">
        <v>37000</v>
      </c>
      <c r="C1761" s="566">
        <v>22</v>
      </c>
      <c r="D1761" s="566">
        <v>0.21</v>
      </c>
      <c r="E1761" s="566">
        <v>14249</v>
      </c>
      <c r="F1761" s="566">
        <v>51249</v>
      </c>
      <c r="G1761" s="566">
        <v>2035</v>
      </c>
      <c r="H1761" s="566">
        <v>2237</v>
      </c>
      <c r="I1761" s="558" t="str">
        <f t="shared" si="26"/>
        <v>GooD</v>
      </c>
    </row>
    <row r="1762" spans="1:9" ht="15.75" thickTop="1">
      <c r="A1762" s="567" t="s">
        <v>646</v>
      </c>
      <c r="B1762" s="567">
        <v>37000</v>
      </c>
      <c r="C1762" s="568">
        <v>24</v>
      </c>
      <c r="D1762" s="568">
        <v>0.21</v>
      </c>
      <c r="E1762" s="568">
        <v>15548</v>
      </c>
      <c r="F1762" s="568">
        <v>52548</v>
      </c>
      <c r="G1762" s="568">
        <v>2220</v>
      </c>
      <c r="H1762" s="568">
        <v>2097</v>
      </c>
      <c r="I1762" s="559" t="str">
        <f t="shared" si="26"/>
        <v>GooD</v>
      </c>
    </row>
    <row r="1763" spans="1:9">
      <c r="A1763" s="563" t="s">
        <v>646</v>
      </c>
      <c r="B1763" s="563">
        <v>38000</v>
      </c>
      <c r="C1763" s="564">
        <v>6</v>
      </c>
      <c r="D1763" s="564">
        <v>0.21</v>
      </c>
      <c r="E1763" s="564">
        <v>3994</v>
      </c>
      <c r="F1763" s="564">
        <v>41994</v>
      </c>
      <c r="G1763" s="564">
        <v>570</v>
      </c>
      <c r="H1763" s="564">
        <v>6904</v>
      </c>
      <c r="I1763" s="557" t="str">
        <f t="shared" si="26"/>
        <v>GooD</v>
      </c>
    </row>
    <row r="1764" spans="1:9" ht="15.75" thickBot="1">
      <c r="A1764" s="565" t="s">
        <v>646</v>
      </c>
      <c r="B1764" s="565">
        <v>38000</v>
      </c>
      <c r="C1764" s="566">
        <v>8</v>
      </c>
      <c r="D1764" s="566">
        <v>0.21</v>
      </c>
      <c r="E1764" s="566">
        <v>5328</v>
      </c>
      <c r="F1764" s="566">
        <v>43328</v>
      </c>
      <c r="G1764" s="566">
        <v>760</v>
      </c>
      <c r="H1764" s="566">
        <v>5321</v>
      </c>
      <c r="I1764" s="558" t="str">
        <f t="shared" si="26"/>
        <v>GooD</v>
      </c>
    </row>
    <row r="1765" spans="1:9" ht="15.75" thickTop="1">
      <c r="A1765" s="567" t="s">
        <v>646</v>
      </c>
      <c r="B1765" s="567">
        <v>38000</v>
      </c>
      <c r="C1765" s="568">
        <v>10</v>
      </c>
      <c r="D1765" s="568">
        <v>0.21</v>
      </c>
      <c r="E1765" s="568">
        <v>6660</v>
      </c>
      <c r="F1765" s="568">
        <v>44660</v>
      </c>
      <c r="G1765" s="568">
        <v>950</v>
      </c>
      <c r="H1765" s="568">
        <v>4371</v>
      </c>
      <c r="I1765" s="559" t="str">
        <f t="shared" si="26"/>
        <v>GooD</v>
      </c>
    </row>
    <row r="1766" spans="1:9">
      <c r="A1766" s="563" t="s">
        <v>646</v>
      </c>
      <c r="B1766" s="563">
        <v>38000</v>
      </c>
      <c r="C1766" s="564">
        <v>12</v>
      </c>
      <c r="D1766" s="564">
        <v>0.21</v>
      </c>
      <c r="E1766" s="564">
        <v>7984</v>
      </c>
      <c r="F1766" s="564">
        <v>45984</v>
      </c>
      <c r="G1766" s="564">
        <v>1140</v>
      </c>
      <c r="H1766" s="564">
        <v>3737</v>
      </c>
      <c r="I1766" s="557" t="str">
        <f t="shared" si="26"/>
        <v>GooD</v>
      </c>
    </row>
    <row r="1767" spans="1:9" ht="15.75" thickBot="1">
      <c r="A1767" s="565" t="s">
        <v>646</v>
      </c>
      <c r="B1767" s="565">
        <v>38000</v>
      </c>
      <c r="C1767" s="566">
        <v>14</v>
      </c>
      <c r="D1767" s="566">
        <v>0.21</v>
      </c>
      <c r="E1767" s="566">
        <v>9320</v>
      </c>
      <c r="F1767" s="566">
        <v>47320</v>
      </c>
      <c r="G1767" s="566">
        <v>1330</v>
      </c>
      <c r="H1767" s="566">
        <v>3285</v>
      </c>
      <c r="I1767" s="558" t="str">
        <f t="shared" si="26"/>
        <v>GooD</v>
      </c>
    </row>
    <row r="1768" spans="1:9" ht="15.75" thickTop="1">
      <c r="A1768" s="567" t="s">
        <v>646</v>
      </c>
      <c r="B1768" s="567">
        <v>38000</v>
      </c>
      <c r="C1768" s="568">
        <v>16</v>
      </c>
      <c r="D1768" s="568">
        <v>0.21</v>
      </c>
      <c r="E1768" s="568">
        <v>10656</v>
      </c>
      <c r="F1768" s="568">
        <v>48656</v>
      </c>
      <c r="G1768" s="568">
        <v>1520</v>
      </c>
      <c r="H1768" s="568">
        <v>2946</v>
      </c>
      <c r="I1768" s="559" t="str">
        <f t="shared" si="26"/>
        <v>GooD</v>
      </c>
    </row>
    <row r="1769" spans="1:9">
      <c r="A1769" s="563" t="s">
        <v>646</v>
      </c>
      <c r="B1769" s="563">
        <v>38000</v>
      </c>
      <c r="C1769" s="564">
        <v>18</v>
      </c>
      <c r="D1769" s="564">
        <v>0.21</v>
      </c>
      <c r="E1769" s="564">
        <v>11986</v>
      </c>
      <c r="F1769" s="564">
        <v>49986</v>
      </c>
      <c r="G1769" s="564">
        <v>1710</v>
      </c>
      <c r="H1769" s="564">
        <v>2682</v>
      </c>
      <c r="I1769" s="557" t="str">
        <f t="shared" si="26"/>
        <v>GooD</v>
      </c>
    </row>
    <row r="1770" spans="1:9" ht="15.75" thickBot="1">
      <c r="A1770" s="565" t="s">
        <v>646</v>
      </c>
      <c r="B1770" s="565">
        <v>38000</v>
      </c>
      <c r="C1770" s="566">
        <v>20</v>
      </c>
      <c r="D1770" s="566">
        <v>0.21</v>
      </c>
      <c r="E1770" s="566">
        <v>13320</v>
      </c>
      <c r="F1770" s="566">
        <v>51320</v>
      </c>
      <c r="G1770" s="566">
        <v>1900</v>
      </c>
      <c r="H1770" s="566">
        <v>2471</v>
      </c>
      <c r="I1770" s="558" t="str">
        <f t="shared" si="26"/>
        <v>GooD</v>
      </c>
    </row>
    <row r="1771" spans="1:9" ht="15.75" thickTop="1">
      <c r="A1771" s="567" t="s">
        <v>646</v>
      </c>
      <c r="B1771" s="567">
        <v>38000</v>
      </c>
      <c r="C1771" s="568">
        <v>22</v>
      </c>
      <c r="D1771" s="568">
        <v>0.21</v>
      </c>
      <c r="E1771" s="568">
        <v>14646</v>
      </c>
      <c r="F1771" s="568">
        <v>52646</v>
      </c>
      <c r="G1771" s="568">
        <v>2090</v>
      </c>
      <c r="H1771" s="568">
        <v>2298</v>
      </c>
      <c r="I1771" s="559" t="str">
        <f t="shared" si="26"/>
        <v>GooD</v>
      </c>
    </row>
    <row r="1772" spans="1:9">
      <c r="A1772" s="563" t="s">
        <v>646</v>
      </c>
      <c r="B1772" s="563">
        <v>38000</v>
      </c>
      <c r="C1772" s="564">
        <v>24</v>
      </c>
      <c r="D1772" s="564">
        <v>0.21</v>
      </c>
      <c r="E1772" s="564">
        <v>15976</v>
      </c>
      <c r="F1772" s="564">
        <v>53976</v>
      </c>
      <c r="G1772" s="564">
        <v>2280</v>
      </c>
      <c r="H1772" s="564">
        <v>2154</v>
      </c>
      <c r="I1772" s="557" t="str">
        <f t="shared" si="26"/>
        <v>GooD</v>
      </c>
    </row>
    <row r="1773" spans="1:9" ht="15.75" thickBot="1">
      <c r="A1773" s="565" t="s">
        <v>646</v>
      </c>
      <c r="B1773" s="565">
        <v>39000</v>
      </c>
      <c r="C1773" s="566">
        <v>6</v>
      </c>
      <c r="D1773" s="566">
        <v>0.21</v>
      </c>
      <c r="E1773" s="566">
        <v>4101</v>
      </c>
      <c r="F1773" s="566">
        <v>43101</v>
      </c>
      <c r="G1773" s="566">
        <v>585</v>
      </c>
      <c r="H1773" s="566">
        <v>7086</v>
      </c>
      <c r="I1773" s="558" t="str">
        <f t="shared" si="26"/>
        <v>GooD</v>
      </c>
    </row>
    <row r="1774" spans="1:9" ht="15.75" thickTop="1">
      <c r="A1774" s="567" t="s">
        <v>646</v>
      </c>
      <c r="B1774" s="567">
        <v>39000</v>
      </c>
      <c r="C1774" s="568">
        <v>8</v>
      </c>
      <c r="D1774" s="568">
        <v>0.21</v>
      </c>
      <c r="E1774" s="568">
        <v>5468</v>
      </c>
      <c r="F1774" s="568">
        <v>44468</v>
      </c>
      <c r="G1774" s="568">
        <v>780</v>
      </c>
      <c r="H1774" s="568">
        <v>5461</v>
      </c>
      <c r="I1774" s="559" t="str">
        <f t="shared" si="26"/>
        <v>GooD</v>
      </c>
    </row>
    <row r="1775" spans="1:9">
      <c r="A1775" s="563" t="s">
        <v>646</v>
      </c>
      <c r="B1775" s="563">
        <v>39000</v>
      </c>
      <c r="C1775" s="564">
        <v>10</v>
      </c>
      <c r="D1775" s="564">
        <v>0.21</v>
      </c>
      <c r="E1775" s="564">
        <v>6835</v>
      </c>
      <c r="F1775" s="564">
        <v>45835</v>
      </c>
      <c r="G1775" s="564">
        <v>975</v>
      </c>
      <c r="H1775" s="564">
        <v>4486</v>
      </c>
      <c r="I1775" s="557" t="str">
        <f t="shared" si="26"/>
        <v>GooD</v>
      </c>
    </row>
    <row r="1776" spans="1:9" ht="15.75" thickBot="1">
      <c r="A1776" s="565" t="s">
        <v>646</v>
      </c>
      <c r="B1776" s="565">
        <v>39000</v>
      </c>
      <c r="C1776" s="566">
        <v>12</v>
      </c>
      <c r="D1776" s="566">
        <v>0.21</v>
      </c>
      <c r="E1776" s="566">
        <v>8202</v>
      </c>
      <c r="F1776" s="566">
        <v>47202</v>
      </c>
      <c r="G1776" s="566">
        <v>1170</v>
      </c>
      <c r="H1776" s="566">
        <v>3836</v>
      </c>
      <c r="I1776" s="558" t="str">
        <f t="shared" si="26"/>
        <v>GooD</v>
      </c>
    </row>
    <row r="1777" spans="1:9" ht="15.75" thickTop="1">
      <c r="A1777" s="567" t="s">
        <v>646</v>
      </c>
      <c r="B1777" s="567">
        <v>39000</v>
      </c>
      <c r="C1777" s="568">
        <v>14</v>
      </c>
      <c r="D1777" s="568">
        <v>0.21</v>
      </c>
      <c r="E1777" s="568">
        <v>9559</v>
      </c>
      <c r="F1777" s="568">
        <v>48559</v>
      </c>
      <c r="G1777" s="568">
        <v>1365</v>
      </c>
      <c r="H1777" s="568">
        <v>3371</v>
      </c>
      <c r="I1777" s="559" t="str">
        <f t="shared" si="26"/>
        <v>GooD</v>
      </c>
    </row>
    <row r="1778" spans="1:9">
      <c r="A1778" s="563" t="s">
        <v>646</v>
      </c>
      <c r="B1778" s="563">
        <v>39000</v>
      </c>
      <c r="C1778" s="564">
        <v>16</v>
      </c>
      <c r="D1778" s="564">
        <v>0.21</v>
      </c>
      <c r="E1778" s="564">
        <v>10928</v>
      </c>
      <c r="F1778" s="564">
        <v>49928</v>
      </c>
      <c r="G1778" s="564">
        <v>1560</v>
      </c>
      <c r="H1778" s="564">
        <v>3023</v>
      </c>
      <c r="I1778" s="557" t="str">
        <f t="shared" si="26"/>
        <v>GooD</v>
      </c>
    </row>
    <row r="1779" spans="1:9" ht="15.75" thickBot="1">
      <c r="A1779" s="565" t="s">
        <v>646</v>
      </c>
      <c r="B1779" s="565">
        <v>39000</v>
      </c>
      <c r="C1779" s="566">
        <v>18</v>
      </c>
      <c r="D1779" s="566">
        <v>0.21</v>
      </c>
      <c r="E1779" s="566">
        <v>12291</v>
      </c>
      <c r="F1779" s="566">
        <v>51291</v>
      </c>
      <c r="G1779" s="566">
        <v>1755</v>
      </c>
      <c r="H1779" s="566">
        <v>2752</v>
      </c>
      <c r="I1779" s="558" t="str">
        <f t="shared" si="26"/>
        <v>GooD</v>
      </c>
    </row>
    <row r="1780" spans="1:9" ht="15.75" thickTop="1">
      <c r="A1780" s="567" t="s">
        <v>646</v>
      </c>
      <c r="B1780" s="567">
        <v>39000</v>
      </c>
      <c r="C1780" s="568">
        <v>20</v>
      </c>
      <c r="D1780" s="568">
        <v>0.21</v>
      </c>
      <c r="E1780" s="568">
        <v>13670</v>
      </c>
      <c r="F1780" s="568">
        <v>52670</v>
      </c>
      <c r="G1780" s="568">
        <v>1950</v>
      </c>
      <c r="H1780" s="568">
        <v>2536</v>
      </c>
      <c r="I1780" s="559" t="str">
        <f t="shared" si="26"/>
        <v>GooD</v>
      </c>
    </row>
    <row r="1781" spans="1:9">
      <c r="A1781" s="563" t="s">
        <v>646</v>
      </c>
      <c r="B1781" s="563">
        <v>39000</v>
      </c>
      <c r="C1781" s="564">
        <v>22</v>
      </c>
      <c r="D1781" s="564">
        <v>0.21</v>
      </c>
      <c r="E1781" s="564">
        <v>15021</v>
      </c>
      <c r="F1781" s="564">
        <v>54021</v>
      </c>
      <c r="G1781" s="564">
        <v>2145</v>
      </c>
      <c r="H1781" s="564">
        <v>2358</v>
      </c>
      <c r="I1781" s="557" t="str">
        <f t="shared" si="26"/>
        <v>GooD</v>
      </c>
    </row>
    <row r="1782" spans="1:9" ht="15.75" thickBot="1">
      <c r="A1782" s="565" t="s">
        <v>646</v>
      </c>
      <c r="B1782" s="565">
        <v>39000</v>
      </c>
      <c r="C1782" s="566">
        <v>24</v>
      </c>
      <c r="D1782" s="566">
        <v>0.21</v>
      </c>
      <c r="E1782" s="566">
        <v>16404</v>
      </c>
      <c r="F1782" s="566">
        <v>55404</v>
      </c>
      <c r="G1782" s="566">
        <v>2340</v>
      </c>
      <c r="H1782" s="566">
        <v>2211</v>
      </c>
      <c r="I1782" s="558" t="str">
        <f t="shared" si="26"/>
        <v>GooD</v>
      </c>
    </row>
    <row r="1783" spans="1:9" ht="15.75" thickTop="1">
      <c r="A1783" s="567" t="s">
        <v>646</v>
      </c>
      <c r="B1783" s="567">
        <v>40000</v>
      </c>
      <c r="C1783" s="568">
        <v>6</v>
      </c>
      <c r="D1783" s="568">
        <v>0.21</v>
      </c>
      <c r="E1783" s="568">
        <v>4202</v>
      </c>
      <c r="F1783" s="568">
        <v>44202</v>
      </c>
      <c r="G1783" s="568">
        <v>600</v>
      </c>
      <c r="H1783" s="568">
        <v>7267</v>
      </c>
      <c r="I1783" s="559" t="str">
        <f t="shared" si="26"/>
        <v>GooD</v>
      </c>
    </row>
    <row r="1784" spans="1:9">
      <c r="A1784" s="563" t="s">
        <v>646</v>
      </c>
      <c r="B1784" s="563">
        <v>40000</v>
      </c>
      <c r="C1784" s="564">
        <v>8</v>
      </c>
      <c r="D1784" s="564">
        <v>0.21</v>
      </c>
      <c r="E1784" s="564">
        <v>5608</v>
      </c>
      <c r="F1784" s="564">
        <v>45608</v>
      </c>
      <c r="G1784" s="564">
        <v>800</v>
      </c>
      <c r="H1784" s="564">
        <v>5601</v>
      </c>
      <c r="I1784" s="557" t="str">
        <f t="shared" si="26"/>
        <v>GooD</v>
      </c>
    </row>
    <row r="1785" spans="1:9" ht="15.75" thickBot="1">
      <c r="A1785" s="565" t="s">
        <v>646</v>
      </c>
      <c r="B1785" s="565">
        <v>40000</v>
      </c>
      <c r="C1785" s="566">
        <v>10</v>
      </c>
      <c r="D1785" s="566">
        <v>0.21</v>
      </c>
      <c r="E1785" s="566">
        <v>7010</v>
      </c>
      <c r="F1785" s="566">
        <v>47010</v>
      </c>
      <c r="G1785" s="566">
        <v>1000</v>
      </c>
      <c r="H1785" s="566">
        <v>4601</v>
      </c>
      <c r="I1785" s="558" t="str">
        <f t="shared" si="26"/>
        <v>GooD</v>
      </c>
    </row>
    <row r="1786" spans="1:9" ht="15.75" thickTop="1">
      <c r="A1786" s="567" t="s">
        <v>646</v>
      </c>
      <c r="B1786" s="567">
        <v>40000</v>
      </c>
      <c r="C1786" s="568">
        <v>12</v>
      </c>
      <c r="D1786" s="568">
        <v>0.21</v>
      </c>
      <c r="E1786" s="568">
        <v>8408</v>
      </c>
      <c r="F1786" s="568">
        <v>48408</v>
      </c>
      <c r="G1786" s="568">
        <v>1200</v>
      </c>
      <c r="H1786" s="568">
        <v>3934</v>
      </c>
      <c r="I1786" s="559" t="str">
        <f t="shared" si="26"/>
        <v>GooD</v>
      </c>
    </row>
    <row r="1787" spans="1:9">
      <c r="A1787" s="563" t="s">
        <v>646</v>
      </c>
      <c r="B1787" s="563">
        <v>40000</v>
      </c>
      <c r="C1787" s="564">
        <v>14</v>
      </c>
      <c r="D1787" s="564">
        <v>0.21</v>
      </c>
      <c r="E1787" s="564">
        <v>9812</v>
      </c>
      <c r="F1787" s="564">
        <v>49812</v>
      </c>
      <c r="G1787" s="564">
        <v>1400</v>
      </c>
      <c r="H1787" s="564">
        <v>3458</v>
      </c>
      <c r="I1787" s="557" t="str">
        <f t="shared" si="26"/>
        <v>GooD</v>
      </c>
    </row>
    <row r="1788" spans="1:9" ht="15.75" thickBot="1">
      <c r="A1788" s="565" t="s">
        <v>646</v>
      </c>
      <c r="B1788" s="565">
        <v>40000</v>
      </c>
      <c r="C1788" s="566">
        <v>16</v>
      </c>
      <c r="D1788" s="566">
        <v>0.21</v>
      </c>
      <c r="E1788" s="566">
        <v>11216</v>
      </c>
      <c r="F1788" s="566">
        <v>51216</v>
      </c>
      <c r="G1788" s="566">
        <v>1600</v>
      </c>
      <c r="H1788" s="566">
        <v>3101</v>
      </c>
      <c r="I1788" s="558" t="str">
        <f t="shared" si="26"/>
        <v>GooD</v>
      </c>
    </row>
    <row r="1789" spans="1:9" ht="15.75" thickTop="1">
      <c r="A1789" s="567" t="s">
        <v>646</v>
      </c>
      <c r="B1789" s="567">
        <v>40000</v>
      </c>
      <c r="C1789" s="568">
        <v>18</v>
      </c>
      <c r="D1789" s="568">
        <v>0.21</v>
      </c>
      <c r="E1789" s="568">
        <v>12614</v>
      </c>
      <c r="F1789" s="568">
        <v>52614</v>
      </c>
      <c r="G1789" s="568">
        <v>1800</v>
      </c>
      <c r="H1789" s="568">
        <v>2823</v>
      </c>
      <c r="I1789" s="559" t="str">
        <f t="shared" ref="I1789:I1852" si="27">IF(((H1789*C1789)+G1789)=F1789,"GooD","لالالالالالالا")</f>
        <v>GooD</v>
      </c>
    </row>
    <row r="1790" spans="1:9">
      <c r="A1790" s="563" t="s">
        <v>646</v>
      </c>
      <c r="B1790" s="563">
        <v>40000</v>
      </c>
      <c r="C1790" s="564">
        <v>20</v>
      </c>
      <c r="D1790" s="564">
        <v>0.21</v>
      </c>
      <c r="E1790" s="564">
        <v>14020</v>
      </c>
      <c r="F1790" s="564">
        <v>54020</v>
      </c>
      <c r="G1790" s="564">
        <v>2000</v>
      </c>
      <c r="H1790" s="564">
        <v>2601</v>
      </c>
      <c r="I1790" s="557" t="str">
        <f t="shared" si="27"/>
        <v>GooD</v>
      </c>
    </row>
    <row r="1791" spans="1:9" ht="15.75" thickBot="1">
      <c r="A1791" s="565" t="s">
        <v>646</v>
      </c>
      <c r="B1791" s="565">
        <v>40000</v>
      </c>
      <c r="C1791" s="566">
        <v>22</v>
      </c>
      <c r="D1791" s="566">
        <v>0.21</v>
      </c>
      <c r="E1791" s="566">
        <v>15418</v>
      </c>
      <c r="F1791" s="566">
        <v>55418</v>
      </c>
      <c r="G1791" s="566">
        <v>2200</v>
      </c>
      <c r="H1791" s="566">
        <v>2419</v>
      </c>
      <c r="I1791" s="558" t="str">
        <f t="shared" si="27"/>
        <v>GooD</v>
      </c>
    </row>
    <row r="1792" spans="1:9" ht="15.75" thickTop="1">
      <c r="A1792" s="567" t="s">
        <v>646</v>
      </c>
      <c r="B1792" s="567">
        <v>40000</v>
      </c>
      <c r="C1792" s="568">
        <v>24</v>
      </c>
      <c r="D1792" s="568">
        <v>0.21</v>
      </c>
      <c r="E1792" s="568">
        <v>16808</v>
      </c>
      <c r="F1792" s="568">
        <v>56808</v>
      </c>
      <c r="G1792" s="568">
        <v>2400</v>
      </c>
      <c r="H1792" s="568">
        <v>2267</v>
      </c>
      <c r="I1792" s="559" t="str">
        <f t="shared" si="27"/>
        <v>GooD</v>
      </c>
    </row>
    <row r="1793" spans="1:9">
      <c r="A1793" s="563" t="s">
        <v>646</v>
      </c>
      <c r="B1793" s="563">
        <v>41000</v>
      </c>
      <c r="C1793" s="564">
        <v>6</v>
      </c>
      <c r="D1793" s="564">
        <v>0.21</v>
      </c>
      <c r="E1793" s="564">
        <v>4309</v>
      </c>
      <c r="F1793" s="564">
        <v>45309</v>
      </c>
      <c r="G1793" s="564">
        <v>615</v>
      </c>
      <c r="H1793" s="564">
        <v>7449</v>
      </c>
      <c r="I1793" s="557" t="str">
        <f t="shared" si="27"/>
        <v>GooD</v>
      </c>
    </row>
    <row r="1794" spans="1:9" ht="15.75" thickBot="1">
      <c r="A1794" s="565" t="s">
        <v>646</v>
      </c>
      <c r="B1794" s="565">
        <v>41000</v>
      </c>
      <c r="C1794" s="566">
        <v>8</v>
      </c>
      <c r="D1794" s="566">
        <v>0.21</v>
      </c>
      <c r="E1794" s="566">
        <v>5748</v>
      </c>
      <c r="F1794" s="566">
        <v>46748</v>
      </c>
      <c r="G1794" s="566">
        <v>820</v>
      </c>
      <c r="H1794" s="566">
        <v>5741</v>
      </c>
      <c r="I1794" s="558" t="str">
        <f t="shared" si="27"/>
        <v>GooD</v>
      </c>
    </row>
    <row r="1795" spans="1:9" ht="15.75" thickTop="1">
      <c r="A1795" s="567" t="s">
        <v>646</v>
      </c>
      <c r="B1795" s="567">
        <v>41000</v>
      </c>
      <c r="C1795" s="568">
        <v>10</v>
      </c>
      <c r="D1795" s="568">
        <v>0.21</v>
      </c>
      <c r="E1795" s="568">
        <v>7185</v>
      </c>
      <c r="F1795" s="568">
        <v>48185</v>
      </c>
      <c r="G1795" s="568">
        <v>1025</v>
      </c>
      <c r="H1795" s="568">
        <v>4716</v>
      </c>
      <c r="I1795" s="559" t="str">
        <f t="shared" si="27"/>
        <v>GooD</v>
      </c>
    </row>
    <row r="1796" spans="1:9">
      <c r="A1796" s="563" t="s">
        <v>646</v>
      </c>
      <c r="B1796" s="563">
        <v>41000</v>
      </c>
      <c r="C1796" s="564">
        <v>12</v>
      </c>
      <c r="D1796" s="564">
        <v>0.21</v>
      </c>
      <c r="E1796" s="564">
        <v>8614</v>
      </c>
      <c r="F1796" s="564">
        <v>49614</v>
      </c>
      <c r="G1796" s="564">
        <v>1230</v>
      </c>
      <c r="H1796" s="564">
        <v>4032</v>
      </c>
      <c r="I1796" s="557" t="str">
        <f t="shared" si="27"/>
        <v>GooD</v>
      </c>
    </row>
    <row r="1797" spans="1:9" ht="15.75" thickBot="1">
      <c r="A1797" s="565" t="s">
        <v>646</v>
      </c>
      <c r="B1797" s="565">
        <v>41000</v>
      </c>
      <c r="C1797" s="566">
        <v>14</v>
      </c>
      <c r="D1797" s="566">
        <v>0.21</v>
      </c>
      <c r="E1797" s="566">
        <v>10051</v>
      </c>
      <c r="F1797" s="566">
        <v>51051</v>
      </c>
      <c r="G1797" s="566">
        <v>1435</v>
      </c>
      <c r="H1797" s="566">
        <v>3544</v>
      </c>
      <c r="I1797" s="558" t="str">
        <f t="shared" si="27"/>
        <v>GooD</v>
      </c>
    </row>
    <row r="1798" spans="1:9" ht="15.75" thickTop="1">
      <c r="A1798" s="567" t="s">
        <v>646</v>
      </c>
      <c r="B1798" s="567">
        <v>41000</v>
      </c>
      <c r="C1798" s="568">
        <v>16</v>
      </c>
      <c r="D1798" s="568">
        <v>0.21</v>
      </c>
      <c r="E1798" s="568">
        <v>11488</v>
      </c>
      <c r="F1798" s="568">
        <v>52488</v>
      </c>
      <c r="G1798" s="568">
        <v>1640</v>
      </c>
      <c r="H1798" s="568">
        <v>3178</v>
      </c>
      <c r="I1798" s="559" t="str">
        <f t="shared" si="27"/>
        <v>GooD</v>
      </c>
    </row>
    <row r="1799" spans="1:9">
      <c r="A1799" s="563" t="s">
        <v>646</v>
      </c>
      <c r="B1799" s="563">
        <v>41000</v>
      </c>
      <c r="C1799" s="564">
        <v>18</v>
      </c>
      <c r="D1799" s="564">
        <v>0.21</v>
      </c>
      <c r="E1799" s="564">
        <v>12919</v>
      </c>
      <c r="F1799" s="564">
        <v>53919</v>
      </c>
      <c r="G1799" s="564">
        <v>1845</v>
      </c>
      <c r="H1799" s="564">
        <v>2893</v>
      </c>
      <c r="I1799" s="557" t="str">
        <f t="shared" si="27"/>
        <v>GooD</v>
      </c>
    </row>
    <row r="1800" spans="1:9" ht="15.75" thickBot="1">
      <c r="A1800" s="565" t="s">
        <v>646</v>
      </c>
      <c r="B1800" s="565">
        <v>41000</v>
      </c>
      <c r="C1800" s="566">
        <v>20</v>
      </c>
      <c r="D1800" s="566">
        <v>0.21</v>
      </c>
      <c r="E1800" s="566">
        <v>14370</v>
      </c>
      <c r="F1800" s="566">
        <v>55370</v>
      </c>
      <c r="G1800" s="566">
        <v>2050</v>
      </c>
      <c r="H1800" s="566">
        <v>2666</v>
      </c>
      <c r="I1800" s="558" t="str">
        <f t="shared" si="27"/>
        <v>GooD</v>
      </c>
    </row>
    <row r="1801" spans="1:9" ht="15.75" thickTop="1">
      <c r="A1801" s="567" t="s">
        <v>646</v>
      </c>
      <c r="B1801" s="567">
        <v>41000</v>
      </c>
      <c r="C1801" s="568">
        <v>22</v>
      </c>
      <c r="D1801" s="568">
        <v>0.21</v>
      </c>
      <c r="E1801" s="568">
        <v>15793</v>
      </c>
      <c r="F1801" s="568">
        <v>56793</v>
      </c>
      <c r="G1801" s="568">
        <v>2255</v>
      </c>
      <c r="H1801" s="568">
        <v>2479</v>
      </c>
      <c r="I1801" s="559" t="str">
        <f t="shared" si="27"/>
        <v>GooD</v>
      </c>
    </row>
    <row r="1802" spans="1:9">
      <c r="A1802" s="563" t="s">
        <v>646</v>
      </c>
      <c r="B1802" s="563">
        <v>41000</v>
      </c>
      <c r="C1802" s="564">
        <v>24</v>
      </c>
      <c r="D1802" s="564">
        <v>0.21</v>
      </c>
      <c r="E1802" s="564">
        <v>17236</v>
      </c>
      <c r="F1802" s="564">
        <v>58236</v>
      </c>
      <c r="G1802" s="564">
        <v>2460</v>
      </c>
      <c r="H1802" s="564">
        <v>2324</v>
      </c>
      <c r="I1802" s="557" t="str">
        <f t="shared" si="27"/>
        <v>GooD</v>
      </c>
    </row>
    <row r="1803" spans="1:9" ht="15.75" thickBot="1">
      <c r="A1803" s="565" t="s">
        <v>646</v>
      </c>
      <c r="B1803" s="565">
        <v>42000</v>
      </c>
      <c r="C1803" s="566">
        <v>6</v>
      </c>
      <c r="D1803" s="566">
        <v>0.21</v>
      </c>
      <c r="E1803" s="566">
        <v>4416</v>
      </c>
      <c r="F1803" s="566">
        <v>46416</v>
      </c>
      <c r="G1803" s="566">
        <v>630</v>
      </c>
      <c r="H1803" s="566">
        <v>7631</v>
      </c>
      <c r="I1803" s="558" t="str">
        <f t="shared" si="27"/>
        <v>GooD</v>
      </c>
    </row>
    <row r="1804" spans="1:9" ht="15.75" thickTop="1">
      <c r="A1804" s="567" t="s">
        <v>646</v>
      </c>
      <c r="B1804" s="567">
        <v>42000</v>
      </c>
      <c r="C1804" s="568">
        <v>8</v>
      </c>
      <c r="D1804" s="568">
        <v>0.21</v>
      </c>
      <c r="E1804" s="568">
        <v>5888</v>
      </c>
      <c r="F1804" s="568">
        <v>47888</v>
      </c>
      <c r="G1804" s="568">
        <v>840</v>
      </c>
      <c r="H1804" s="568">
        <v>5881</v>
      </c>
      <c r="I1804" s="559" t="str">
        <f t="shared" si="27"/>
        <v>GooD</v>
      </c>
    </row>
    <row r="1805" spans="1:9">
      <c r="A1805" s="563" t="s">
        <v>646</v>
      </c>
      <c r="B1805" s="563">
        <v>42000</v>
      </c>
      <c r="C1805" s="564">
        <v>10</v>
      </c>
      <c r="D1805" s="564">
        <v>0.21</v>
      </c>
      <c r="E1805" s="564">
        <v>7360</v>
      </c>
      <c r="F1805" s="564">
        <v>49360</v>
      </c>
      <c r="G1805" s="564">
        <v>1050</v>
      </c>
      <c r="H1805" s="564">
        <v>4831</v>
      </c>
      <c r="I1805" s="557" t="str">
        <f t="shared" si="27"/>
        <v>GooD</v>
      </c>
    </row>
    <row r="1806" spans="1:9" ht="15.75" thickBot="1">
      <c r="A1806" s="565" t="s">
        <v>646</v>
      </c>
      <c r="B1806" s="565">
        <v>42000</v>
      </c>
      <c r="C1806" s="566">
        <v>12</v>
      </c>
      <c r="D1806" s="566">
        <v>0.21</v>
      </c>
      <c r="E1806" s="566">
        <v>8832</v>
      </c>
      <c r="F1806" s="566">
        <v>50832</v>
      </c>
      <c r="G1806" s="566">
        <v>1260</v>
      </c>
      <c r="H1806" s="566">
        <v>4131</v>
      </c>
      <c r="I1806" s="558" t="str">
        <f t="shared" si="27"/>
        <v>GooD</v>
      </c>
    </row>
    <row r="1807" spans="1:9" ht="15.75" thickTop="1">
      <c r="A1807" s="567" t="s">
        <v>646</v>
      </c>
      <c r="B1807" s="567">
        <v>42000</v>
      </c>
      <c r="C1807" s="568">
        <v>14</v>
      </c>
      <c r="D1807" s="568">
        <v>0.21</v>
      </c>
      <c r="E1807" s="568">
        <v>10304</v>
      </c>
      <c r="F1807" s="568">
        <v>52304</v>
      </c>
      <c r="G1807" s="568">
        <v>1470</v>
      </c>
      <c r="H1807" s="568">
        <v>3631</v>
      </c>
      <c r="I1807" s="559" t="str">
        <f t="shared" si="27"/>
        <v>GooD</v>
      </c>
    </row>
    <row r="1808" spans="1:9">
      <c r="A1808" s="563" t="s">
        <v>646</v>
      </c>
      <c r="B1808" s="563">
        <v>42000</v>
      </c>
      <c r="C1808" s="564">
        <v>16</v>
      </c>
      <c r="D1808" s="564">
        <v>0.21</v>
      </c>
      <c r="E1808" s="564">
        <v>11776</v>
      </c>
      <c r="F1808" s="564">
        <v>53776</v>
      </c>
      <c r="G1808" s="564">
        <v>1680</v>
      </c>
      <c r="H1808" s="564">
        <v>3256</v>
      </c>
      <c r="I1808" s="557" t="str">
        <f t="shared" si="27"/>
        <v>GooD</v>
      </c>
    </row>
    <row r="1809" spans="1:9" ht="15.75" thickBot="1">
      <c r="A1809" s="565" t="s">
        <v>646</v>
      </c>
      <c r="B1809" s="565">
        <v>42000</v>
      </c>
      <c r="C1809" s="566">
        <v>18</v>
      </c>
      <c r="D1809" s="566">
        <v>0.21</v>
      </c>
      <c r="E1809" s="566">
        <v>13242</v>
      </c>
      <c r="F1809" s="566">
        <v>55242</v>
      </c>
      <c r="G1809" s="566">
        <v>1890</v>
      </c>
      <c r="H1809" s="566">
        <v>2964</v>
      </c>
      <c r="I1809" s="558" t="str">
        <f t="shared" si="27"/>
        <v>GooD</v>
      </c>
    </row>
    <row r="1810" spans="1:9" ht="15.75" thickTop="1">
      <c r="A1810" s="567" t="s">
        <v>646</v>
      </c>
      <c r="B1810" s="567">
        <v>42000</v>
      </c>
      <c r="C1810" s="568">
        <v>20</v>
      </c>
      <c r="D1810" s="568">
        <v>0.21</v>
      </c>
      <c r="E1810" s="568">
        <v>14720</v>
      </c>
      <c r="F1810" s="568">
        <v>56720</v>
      </c>
      <c r="G1810" s="568">
        <v>2100</v>
      </c>
      <c r="H1810" s="568">
        <v>2731</v>
      </c>
      <c r="I1810" s="559" t="str">
        <f t="shared" si="27"/>
        <v>GooD</v>
      </c>
    </row>
    <row r="1811" spans="1:9">
      <c r="A1811" s="563" t="s">
        <v>646</v>
      </c>
      <c r="B1811" s="563">
        <v>42000</v>
      </c>
      <c r="C1811" s="564">
        <v>22</v>
      </c>
      <c r="D1811" s="564">
        <v>0.21</v>
      </c>
      <c r="E1811" s="564">
        <v>16190</v>
      </c>
      <c r="F1811" s="564">
        <v>58190</v>
      </c>
      <c r="G1811" s="564">
        <v>2310</v>
      </c>
      <c r="H1811" s="564">
        <v>2540</v>
      </c>
      <c r="I1811" s="557" t="str">
        <f t="shared" si="27"/>
        <v>GooD</v>
      </c>
    </row>
    <row r="1812" spans="1:9" ht="15.75" thickBot="1">
      <c r="A1812" s="565" t="s">
        <v>646</v>
      </c>
      <c r="B1812" s="565">
        <v>42000</v>
      </c>
      <c r="C1812" s="566">
        <v>24</v>
      </c>
      <c r="D1812" s="566">
        <v>0.21</v>
      </c>
      <c r="E1812" s="566">
        <v>17664</v>
      </c>
      <c r="F1812" s="566">
        <v>59664</v>
      </c>
      <c r="G1812" s="566">
        <v>2520</v>
      </c>
      <c r="H1812" s="566">
        <v>2381</v>
      </c>
      <c r="I1812" s="558" t="str">
        <f t="shared" si="27"/>
        <v>GooD</v>
      </c>
    </row>
    <row r="1813" spans="1:9" ht="15.75" thickTop="1">
      <c r="A1813" s="567" t="s">
        <v>646</v>
      </c>
      <c r="B1813" s="567">
        <v>43000</v>
      </c>
      <c r="C1813" s="568">
        <v>6</v>
      </c>
      <c r="D1813" s="568">
        <v>0.21</v>
      </c>
      <c r="E1813" s="568">
        <v>4517</v>
      </c>
      <c r="F1813" s="568">
        <v>47517</v>
      </c>
      <c r="G1813" s="568">
        <v>645</v>
      </c>
      <c r="H1813" s="568">
        <v>7812</v>
      </c>
      <c r="I1813" s="559" t="str">
        <f t="shared" si="27"/>
        <v>GooD</v>
      </c>
    </row>
    <row r="1814" spans="1:9">
      <c r="A1814" s="563" t="s">
        <v>646</v>
      </c>
      <c r="B1814" s="563">
        <v>43000</v>
      </c>
      <c r="C1814" s="564">
        <v>8</v>
      </c>
      <c r="D1814" s="564">
        <v>0.21</v>
      </c>
      <c r="E1814" s="564">
        <v>6028</v>
      </c>
      <c r="F1814" s="564">
        <v>49028</v>
      </c>
      <c r="G1814" s="564">
        <v>860</v>
      </c>
      <c r="H1814" s="564">
        <v>6021</v>
      </c>
      <c r="I1814" s="557" t="str">
        <f t="shared" si="27"/>
        <v>GooD</v>
      </c>
    </row>
    <row r="1815" spans="1:9" ht="15.75" thickBot="1">
      <c r="A1815" s="565" t="s">
        <v>646</v>
      </c>
      <c r="B1815" s="565">
        <v>43000</v>
      </c>
      <c r="C1815" s="566">
        <v>10</v>
      </c>
      <c r="D1815" s="566">
        <v>0.21</v>
      </c>
      <c r="E1815" s="566">
        <v>7535</v>
      </c>
      <c r="F1815" s="566">
        <v>50535</v>
      </c>
      <c r="G1815" s="566">
        <v>1075</v>
      </c>
      <c r="H1815" s="566">
        <v>4946</v>
      </c>
      <c r="I1815" s="558" t="str">
        <f t="shared" si="27"/>
        <v>GooD</v>
      </c>
    </row>
    <row r="1816" spans="1:9" ht="15.75" thickTop="1">
      <c r="A1816" s="567" t="s">
        <v>646</v>
      </c>
      <c r="B1816" s="567">
        <v>43000</v>
      </c>
      <c r="C1816" s="568">
        <v>12</v>
      </c>
      <c r="D1816" s="568">
        <v>0.21</v>
      </c>
      <c r="E1816" s="568">
        <v>9038</v>
      </c>
      <c r="F1816" s="568">
        <v>52038</v>
      </c>
      <c r="G1816" s="568">
        <v>1290</v>
      </c>
      <c r="H1816" s="568">
        <v>4229</v>
      </c>
      <c r="I1816" s="559" t="str">
        <f t="shared" si="27"/>
        <v>GooD</v>
      </c>
    </row>
    <row r="1817" spans="1:9">
      <c r="A1817" s="563" t="s">
        <v>646</v>
      </c>
      <c r="B1817" s="563">
        <v>43000</v>
      </c>
      <c r="C1817" s="564">
        <v>14</v>
      </c>
      <c r="D1817" s="564">
        <v>0.21</v>
      </c>
      <c r="E1817" s="564">
        <v>10543</v>
      </c>
      <c r="F1817" s="564">
        <v>53543</v>
      </c>
      <c r="G1817" s="564">
        <v>1505</v>
      </c>
      <c r="H1817" s="564">
        <v>3717</v>
      </c>
      <c r="I1817" s="557" t="str">
        <f t="shared" si="27"/>
        <v>GooD</v>
      </c>
    </row>
    <row r="1818" spans="1:9" ht="15.75" thickBot="1">
      <c r="A1818" s="565" t="s">
        <v>646</v>
      </c>
      <c r="B1818" s="565">
        <v>43000</v>
      </c>
      <c r="C1818" s="566">
        <v>16</v>
      </c>
      <c r="D1818" s="566">
        <v>0.21</v>
      </c>
      <c r="E1818" s="566">
        <v>12048</v>
      </c>
      <c r="F1818" s="566">
        <v>55048</v>
      </c>
      <c r="G1818" s="566">
        <v>1720</v>
      </c>
      <c r="H1818" s="566">
        <v>3333</v>
      </c>
      <c r="I1818" s="558" t="str">
        <f t="shared" si="27"/>
        <v>GooD</v>
      </c>
    </row>
    <row r="1819" spans="1:9" ht="15.75" thickTop="1">
      <c r="A1819" s="567" t="s">
        <v>646</v>
      </c>
      <c r="B1819" s="567">
        <v>43000</v>
      </c>
      <c r="C1819" s="568">
        <v>18</v>
      </c>
      <c r="D1819" s="568">
        <v>0.21</v>
      </c>
      <c r="E1819" s="568">
        <v>13547</v>
      </c>
      <c r="F1819" s="568">
        <v>56547</v>
      </c>
      <c r="G1819" s="568">
        <v>1935</v>
      </c>
      <c r="H1819" s="568">
        <v>3034</v>
      </c>
      <c r="I1819" s="559" t="str">
        <f t="shared" si="27"/>
        <v>GooD</v>
      </c>
    </row>
    <row r="1820" spans="1:9">
      <c r="A1820" s="563" t="s">
        <v>646</v>
      </c>
      <c r="B1820" s="563">
        <v>43000</v>
      </c>
      <c r="C1820" s="564">
        <v>20</v>
      </c>
      <c r="D1820" s="564">
        <v>0.21</v>
      </c>
      <c r="E1820" s="564">
        <v>15070</v>
      </c>
      <c r="F1820" s="564">
        <v>58070</v>
      </c>
      <c r="G1820" s="564">
        <v>2150</v>
      </c>
      <c r="H1820" s="564">
        <v>2796</v>
      </c>
      <c r="I1820" s="557" t="str">
        <f t="shared" si="27"/>
        <v>GooD</v>
      </c>
    </row>
    <row r="1821" spans="1:9" ht="15.75" thickBot="1">
      <c r="A1821" s="565" t="s">
        <v>646</v>
      </c>
      <c r="B1821" s="565">
        <v>43000</v>
      </c>
      <c r="C1821" s="566">
        <v>22</v>
      </c>
      <c r="D1821" s="566">
        <v>0.21</v>
      </c>
      <c r="E1821" s="566">
        <v>16565</v>
      </c>
      <c r="F1821" s="566">
        <v>59565</v>
      </c>
      <c r="G1821" s="566">
        <v>2365</v>
      </c>
      <c r="H1821" s="566">
        <v>2600</v>
      </c>
      <c r="I1821" s="558" t="str">
        <f t="shared" si="27"/>
        <v>GooD</v>
      </c>
    </row>
    <row r="1822" spans="1:9" ht="15.75" thickTop="1">
      <c r="A1822" s="567" t="s">
        <v>646</v>
      </c>
      <c r="B1822" s="567">
        <v>43000</v>
      </c>
      <c r="C1822" s="568">
        <v>24</v>
      </c>
      <c r="D1822" s="568">
        <v>0.21</v>
      </c>
      <c r="E1822" s="568">
        <v>18068</v>
      </c>
      <c r="F1822" s="568">
        <v>61068</v>
      </c>
      <c r="G1822" s="568">
        <v>2580</v>
      </c>
      <c r="H1822" s="568">
        <v>2437</v>
      </c>
      <c r="I1822" s="559" t="str">
        <f t="shared" si="27"/>
        <v>GooD</v>
      </c>
    </row>
    <row r="1823" spans="1:9">
      <c r="A1823" s="563" t="s">
        <v>646</v>
      </c>
      <c r="B1823" s="563">
        <v>44000</v>
      </c>
      <c r="C1823" s="564">
        <v>6</v>
      </c>
      <c r="D1823" s="564">
        <v>0.21</v>
      </c>
      <c r="E1823" s="564">
        <v>4624</v>
      </c>
      <c r="F1823" s="564">
        <v>48624</v>
      </c>
      <c r="G1823" s="564">
        <v>660</v>
      </c>
      <c r="H1823" s="564">
        <v>7994</v>
      </c>
      <c r="I1823" s="557" t="str">
        <f t="shared" si="27"/>
        <v>GooD</v>
      </c>
    </row>
    <row r="1824" spans="1:9" ht="15.75" thickBot="1">
      <c r="A1824" s="565" t="s">
        <v>646</v>
      </c>
      <c r="B1824" s="565">
        <v>44000</v>
      </c>
      <c r="C1824" s="566">
        <v>8</v>
      </c>
      <c r="D1824" s="566">
        <v>0.21</v>
      </c>
      <c r="E1824" s="566">
        <v>6168</v>
      </c>
      <c r="F1824" s="566">
        <v>50168</v>
      </c>
      <c r="G1824" s="566">
        <v>880</v>
      </c>
      <c r="H1824" s="566">
        <v>6161</v>
      </c>
      <c r="I1824" s="558" t="str">
        <f t="shared" si="27"/>
        <v>GooD</v>
      </c>
    </row>
    <row r="1825" spans="1:9" ht="15.75" thickTop="1">
      <c r="A1825" s="567" t="s">
        <v>646</v>
      </c>
      <c r="B1825" s="567">
        <v>44000</v>
      </c>
      <c r="C1825" s="568">
        <v>10</v>
      </c>
      <c r="D1825" s="568">
        <v>0.21</v>
      </c>
      <c r="E1825" s="568">
        <v>7710</v>
      </c>
      <c r="F1825" s="568">
        <v>51710</v>
      </c>
      <c r="G1825" s="568">
        <v>1100</v>
      </c>
      <c r="H1825" s="568">
        <v>5061</v>
      </c>
      <c r="I1825" s="559" t="str">
        <f t="shared" si="27"/>
        <v>GooD</v>
      </c>
    </row>
    <row r="1826" spans="1:9">
      <c r="A1826" s="563" t="s">
        <v>646</v>
      </c>
      <c r="B1826" s="563">
        <v>44000</v>
      </c>
      <c r="C1826" s="564">
        <v>12</v>
      </c>
      <c r="D1826" s="564">
        <v>0.21</v>
      </c>
      <c r="E1826" s="564">
        <v>9244</v>
      </c>
      <c r="F1826" s="564">
        <v>53244</v>
      </c>
      <c r="G1826" s="564">
        <v>1320</v>
      </c>
      <c r="H1826" s="564">
        <v>4327</v>
      </c>
      <c r="I1826" s="557" t="str">
        <f t="shared" si="27"/>
        <v>GooD</v>
      </c>
    </row>
    <row r="1827" spans="1:9" ht="15.75" thickBot="1">
      <c r="A1827" s="565" t="s">
        <v>646</v>
      </c>
      <c r="B1827" s="565">
        <v>44000</v>
      </c>
      <c r="C1827" s="566">
        <v>14</v>
      </c>
      <c r="D1827" s="566">
        <v>0.21</v>
      </c>
      <c r="E1827" s="566">
        <v>10782</v>
      </c>
      <c r="F1827" s="566">
        <v>54782</v>
      </c>
      <c r="G1827" s="566">
        <v>1540</v>
      </c>
      <c r="H1827" s="566">
        <v>3803</v>
      </c>
      <c r="I1827" s="558" t="str">
        <f t="shared" si="27"/>
        <v>GooD</v>
      </c>
    </row>
    <row r="1828" spans="1:9" ht="15.75" thickTop="1">
      <c r="A1828" s="567" t="s">
        <v>646</v>
      </c>
      <c r="B1828" s="567">
        <v>44000</v>
      </c>
      <c r="C1828" s="568">
        <v>16</v>
      </c>
      <c r="D1828" s="568">
        <v>0.21</v>
      </c>
      <c r="E1828" s="568">
        <v>12336</v>
      </c>
      <c r="F1828" s="568">
        <v>56336</v>
      </c>
      <c r="G1828" s="568">
        <v>1760</v>
      </c>
      <c r="H1828" s="568">
        <v>3411</v>
      </c>
      <c r="I1828" s="559" t="str">
        <f t="shared" si="27"/>
        <v>GooD</v>
      </c>
    </row>
    <row r="1829" spans="1:9">
      <c r="A1829" s="563" t="s">
        <v>646</v>
      </c>
      <c r="B1829" s="563">
        <v>44000</v>
      </c>
      <c r="C1829" s="564">
        <v>18</v>
      </c>
      <c r="D1829" s="564">
        <v>0.21</v>
      </c>
      <c r="E1829" s="564">
        <v>13870</v>
      </c>
      <c r="F1829" s="564">
        <v>57870</v>
      </c>
      <c r="G1829" s="564">
        <v>1980</v>
      </c>
      <c r="H1829" s="564">
        <v>3105</v>
      </c>
      <c r="I1829" s="557" t="str">
        <f t="shared" si="27"/>
        <v>GooD</v>
      </c>
    </row>
    <row r="1830" spans="1:9" ht="15.75" thickBot="1">
      <c r="A1830" s="565" t="s">
        <v>646</v>
      </c>
      <c r="B1830" s="565">
        <v>44000</v>
      </c>
      <c r="C1830" s="566">
        <v>20</v>
      </c>
      <c r="D1830" s="566">
        <v>0.21</v>
      </c>
      <c r="E1830" s="566">
        <v>15420</v>
      </c>
      <c r="F1830" s="566">
        <v>59420</v>
      </c>
      <c r="G1830" s="566">
        <v>2200</v>
      </c>
      <c r="H1830" s="566">
        <v>2861</v>
      </c>
      <c r="I1830" s="558" t="str">
        <f t="shared" si="27"/>
        <v>GooD</v>
      </c>
    </row>
    <row r="1831" spans="1:9" ht="15.75" thickTop="1">
      <c r="A1831" s="567" t="s">
        <v>646</v>
      </c>
      <c r="B1831" s="567">
        <v>44000</v>
      </c>
      <c r="C1831" s="568">
        <v>22</v>
      </c>
      <c r="D1831" s="568">
        <v>0.21</v>
      </c>
      <c r="E1831" s="568">
        <v>16962</v>
      </c>
      <c r="F1831" s="568">
        <v>60962</v>
      </c>
      <c r="G1831" s="568">
        <v>2420</v>
      </c>
      <c r="H1831" s="568">
        <v>2661</v>
      </c>
      <c r="I1831" s="559" t="str">
        <f t="shared" si="27"/>
        <v>GooD</v>
      </c>
    </row>
    <row r="1832" spans="1:9">
      <c r="A1832" s="563" t="s">
        <v>646</v>
      </c>
      <c r="B1832" s="563">
        <v>44000</v>
      </c>
      <c r="C1832" s="564">
        <v>24</v>
      </c>
      <c r="D1832" s="564">
        <v>0.21</v>
      </c>
      <c r="E1832" s="564">
        <v>18496</v>
      </c>
      <c r="F1832" s="564">
        <v>62496</v>
      </c>
      <c r="G1832" s="564">
        <v>2640</v>
      </c>
      <c r="H1832" s="564">
        <v>2494</v>
      </c>
      <c r="I1832" s="557" t="str">
        <f t="shared" si="27"/>
        <v>GooD</v>
      </c>
    </row>
    <row r="1833" spans="1:9" ht="15.75" thickBot="1">
      <c r="A1833" s="565" t="s">
        <v>646</v>
      </c>
      <c r="B1833" s="565">
        <v>45000</v>
      </c>
      <c r="C1833" s="566">
        <v>6</v>
      </c>
      <c r="D1833" s="566">
        <v>0.21</v>
      </c>
      <c r="E1833" s="566">
        <v>4731</v>
      </c>
      <c r="F1833" s="566">
        <v>49731</v>
      </c>
      <c r="G1833" s="566">
        <v>675</v>
      </c>
      <c r="H1833" s="566">
        <v>8176</v>
      </c>
      <c r="I1833" s="558" t="str">
        <f t="shared" si="27"/>
        <v>GooD</v>
      </c>
    </row>
    <row r="1834" spans="1:9" ht="15.75" thickTop="1">
      <c r="A1834" s="567" t="s">
        <v>646</v>
      </c>
      <c r="B1834" s="567">
        <v>45000</v>
      </c>
      <c r="C1834" s="568">
        <v>8</v>
      </c>
      <c r="D1834" s="568">
        <v>0.21</v>
      </c>
      <c r="E1834" s="568">
        <v>6308</v>
      </c>
      <c r="F1834" s="568">
        <v>51308</v>
      </c>
      <c r="G1834" s="568">
        <v>900</v>
      </c>
      <c r="H1834" s="568">
        <v>6301</v>
      </c>
      <c r="I1834" s="559" t="str">
        <f t="shared" si="27"/>
        <v>GooD</v>
      </c>
    </row>
    <row r="1835" spans="1:9">
      <c r="A1835" s="563" t="s">
        <v>646</v>
      </c>
      <c r="B1835" s="563">
        <v>45000</v>
      </c>
      <c r="C1835" s="564">
        <v>10</v>
      </c>
      <c r="D1835" s="564">
        <v>0.21</v>
      </c>
      <c r="E1835" s="564">
        <v>7885</v>
      </c>
      <c r="F1835" s="564">
        <v>52885</v>
      </c>
      <c r="G1835" s="564">
        <v>1125</v>
      </c>
      <c r="H1835" s="564">
        <v>5176</v>
      </c>
      <c r="I1835" s="557" t="str">
        <f t="shared" si="27"/>
        <v>GooD</v>
      </c>
    </row>
    <row r="1836" spans="1:9" ht="15.75" thickBot="1">
      <c r="A1836" s="565" t="s">
        <v>646</v>
      </c>
      <c r="B1836" s="565">
        <v>45000</v>
      </c>
      <c r="C1836" s="566">
        <v>12</v>
      </c>
      <c r="D1836" s="566">
        <v>0.21</v>
      </c>
      <c r="E1836" s="566">
        <v>9462</v>
      </c>
      <c r="F1836" s="566">
        <v>54462</v>
      </c>
      <c r="G1836" s="566">
        <v>1350</v>
      </c>
      <c r="H1836" s="566">
        <v>4426</v>
      </c>
      <c r="I1836" s="558" t="str">
        <f t="shared" si="27"/>
        <v>GooD</v>
      </c>
    </row>
    <row r="1837" spans="1:9" ht="15.75" thickTop="1">
      <c r="A1837" s="567" t="s">
        <v>646</v>
      </c>
      <c r="B1837" s="567">
        <v>45000</v>
      </c>
      <c r="C1837" s="568">
        <v>14</v>
      </c>
      <c r="D1837" s="568">
        <v>0.21</v>
      </c>
      <c r="E1837" s="568">
        <v>11035</v>
      </c>
      <c r="F1837" s="568">
        <v>56035</v>
      </c>
      <c r="G1837" s="568">
        <v>1575</v>
      </c>
      <c r="H1837" s="568">
        <v>3890</v>
      </c>
      <c r="I1837" s="559" t="str">
        <f t="shared" si="27"/>
        <v>GooD</v>
      </c>
    </row>
    <row r="1838" spans="1:9">
      <c r="A1838" s="563" t="s">
        <v>646</v>
      </c>
      <c r="B1838" s="563">
        <v>45000</v>
      </c>
      <c r="C1838" s="564">
        <v>16</v>
      </c>
      <c r="D1838" s="564">
        <v>0.21</v>
      </c>
      <c r="E1838" s="564">
        <v>12608</v>
      </c>
      <c r="F1838" s="564">
        <v>57608</v>
      </c>
      <c r="G1838" s="564">
        <v>1800</v>
      </c>
      <c r="H1838" s="564">
        <v>3488</v>
      </c>
      <c r="I1838" s="557" t="str">
        <f t="shared" si="27"/>
        <v>GooD</v>
      </c>
    </row>
    <row r="1839" spans="1:9" ht="15.75" thickBot="1">
      <c r="A1839" s="565" t="s">
        <v>646</v>
      </c>
      <c r="B1839" s="565">
        <v>45000</v>
      </c>
      <c r="C1839" s="566">
        <v>18</v>
      </c>
      <c r="D1839" s="566">
        <v>0.21</v>
      </c>
      <c r="E1839" s="566">
        <v>14193</v>
      </c>
      <c r="F1839" s="566">
        <v>59193</v>
      </c>
      <c r="G1839" s="566">
        <v>2025</v>
      </c>
      <c r="H1839" s="566">
        <v>3176</v>
      </c>
      <c r="I1839" s="558" t="str">
        <f t="shared" si="27"/>
        <v>GooD</v>
      </c>
    </row>
    <row r="1840" spans="1:9" ht="15.75" thickTop="1">
      <c r="A1840" s="567" t="s">
        <v>646</v>
      </c>
      <c r="B1840" s="567">
        <v>45000</v>
      </c>
      <c r="C1840" s="568">
        <v>20</v>
      </c>
      <c r="D1840" s="568">
        <v>0.21</v>
      </c>
      <c r="E1840" s="568">
        <v>15770</v>
      </c>
      <c r="F1840" s="568">
        <v>60770</v>
      </c>
      <c r="G1840" s="568">
        <v>2250</v>
      </c>
      <c r="H1840" s="568">
        <v>2926</v>
      </c>
      <c r="I1840" s="559" t="str">
        <f t="shared" si="27"/>
        <v>GooD</v>
      </c>
    </row>
    <row r="1841" spans="1:9">
      <c r="A1841" s="563" t="s">
        <v>646</v>
      </c>
      <c r="B1841" s="563">
        <v>45000</v>
      </c>
      <c r="C1841" s="564">
        <v>22</v>
      </c>
      <c r="D1841" s="564">
        <v>0.21</v>
      </c>
      <c r="E1841" s="564">
        <v>17337</v>
      </c>
      <c r="F1841" s="564">
        <v>62337</v>
      </c>
      <c r="G1841" s="564">
        <v>2475</v>
      </c>
      <c r="H1841" s="564">
        <v>2721</v>
      </c>
      <c r="I1841" s="557" t="str">
        <f t="shared" si="27"/>
        <v>GooD</v>
      </c>
    </row>
    <row r="1842" spans="1:9" ht="15.75" thickBot="1">
      <c r="A1842" s="565" t="s">
        <v>646</v>
      </c>
      <c r="B1842" s="565">
        <v>45000</v>
      </c>
      <c r="C1842" s="566">
        <v>24</v>
      </c>
      <c r="D1842" s="566">
        <v>0.21</v>
      </c>
      <c r="E1842" s="566">
        <v>18924</v>
      </c>
      <c r="F1842" s="566">
        <v>63924</v>
      </c>
      <c r="G1842" s="566">
        <v>2700</v>
      </c>
      <c r="H1842" s="566">
        <v>2551</v>
      </c>
      <c r="I1842" s="558" t="str">
        <f t="shared" si="27"/>
        <v>GooD</v>
      </c>
    </row>
    <row r="1843" spans="1:9" ht="15.75" thickTop="1">
      <c r="A1843" s="567" t="s">
        <v>646</v>
      </c>
      <c r="B1843" s="567">
        <v>46000</v>
      </c>
      <c r="C1843" s="568">
        <v>6</v>
      </c>
      <c r="D1843" s="568">
        <v>0.21</v>
      </c>
      <c r="E1843" s="568">
        <v>4832</v>
      </c>
      <c r="F1843" s="568">
        <v>50832</v>
      </c>
      <c r="G1843" s="568">
        <v>690</v>
      </c>
      <c r="H1843" s="568">
        <v>8357</v>
      </c>
      <c r="I1843" s="559" t="str">
        <f t="shared" si="27"/>
        <v>GooD</v>
      </c>
    </row>
    <row r="1844" spans="1:9">
      <c r="A1844" s="563" t="s">
        <v>646</v>
      </c>
      <c r="B1844" s="563">
        <v>46000</v>
      </c>
      <c r="C1844" s="564">
        <v>8</v>
      </c>
      <c r="D1844" s="564">
        <v>0.21</v>
      </c>
      <c r="E1844" s="564">
        <v>6448</v>
      </c>
      <c r="F1844" s="564">
        <v>52448</v>
      </c>
      <c r="G1844" s="564">
        <v>920</v>
      </c>
      <c r="H1844" s="564">
        <v>6441</v>
      </c>
      <c r="I1844" s="557" t="str">
        <f t="shared" si="27"/>
        <v>GooD</v>
      </c>
    </row>
    <row r="1845" spans="1:9" ht="15.75" thickBot="1">
      <c r="A1845" s="565" t="s">
        <v>646</v>
      </c>
      <c r="B1845" s="565">
        <v>46000</v>
      </c>
      <c r="C1845" s="566">
        <v>10</v>
      </c>
      <c r="D1845" s="566">
        <v>0.21</v>
      </c>
      <c r="E1845" s="566">
        <v>8060</v>
      </c>
      <c r="F1845" s="566">
        <v>54060</v>
      </c>
      <c r="G1845" s="566">
        <v>1150</v>
      </c>
      <c r="H1845" s="566">
        <v>5291</v>
      </c>
      <c r="I1845" s="558" t="str">
        <f t="shared" si="27"/>
        <v>GooD</v>
      </c>
    </row>
    <row r="1846" spans="1:9" ht="15.75" thickTop="1">
      <c r="A1846" s="567" t="s">
        <v>646</v>
      </c>
      <c r="B1846" s="567">
        <v>46000</v>
      </c>
      <c r="C1846" s="568">
        <v>12</v>
      </c>
      <c r="D1846" s="568">
        <v>0.21</v>
      </c>
      <c r="E1846" s="568">
        <v>9668</v>
      </c>
      <c r="F1846" s="568">
        <v>55668</v>
      </c>
      <c r="G1846" s="568">
        <v>1380</v>
      </c>
      <c r="H1846" s="568">
        <v>4524</v>
      </c>
      <c r="I1846" s="559" t="str">
        <f t="shared" si="27"/>
        <v>GooD</v>
      </c>
    </row>
    <row r="1847" spans="1:9">
      <c r="A1847" s="563" t="s">
        <v>646</v>
      </c>
      <c r="B1847" s="563">
        <v>46000</v>
      </c>
      <c r="C1847" s="564">
        <v>14</v>
      </c>
      <c r="D1847" s="564">
        <v>0.21</v>
      </c>
      <c r="E1847" s="564">
        <v>11274</v>
      </c>
      <c r="F1847" s="564">
        <v>57274</v>
      </c>
      <c r="G1847" s="564">
        <v>1610</v>
      </c>
      <c r="H1847" s="564">
        <v>3976</v>
      </c>
      <c r="I1847" s="557" t="str">
        <f t="shared" si="27"/>
        <v>GooD</v>
      </c>
    </row>
    <row r="1848" spans="1:9" ht="15.75" thickBot="1">
      <c r="A1848" s="565" t="s">
        <v>646</v>
      </c>
      <c r="B1848" s="565">
        <v>46000</v>
      </c>
      <c r="C1848" s="566">
        <v>16</v>
      </c>
      <c r="D1848" s="566">
        <v>0.21</v>
      </c>
      <c r="E1848" s="566">
        <v>12896</v>
      </c>
      <c r="F1848" s="566">
        <v>58896</v>
      </c>
      <c r="G1848" s="566">
        <v>1840</v>
      </c>
      <c r="H1848" s="566">
        <v>3566</v>
      </c>
      <c r="I1848" s="558" t="str">
        <f t="shared" si="27"/>
        <v>GooD</v>
      </c>
    </row>
    <row r="1849" spans="1:9" ht="15.75" thickTop="1">
      <c r="A1849" s="567" t="s">
        <v>646</v>
      </c>
      <c r="B1849" s="567">
        <v>46000</v>
      </c>
      <c r="C1849" s="568">
        <v>18</v>
      </c>
      <c r="D1849" s="568">
        <v>0.21</v>
      </c>
      <c r="E1849" s="568">
        <v>14498</v>
      </c>
      <c r="F1849" s="568">
        <v>60498</v>
      </c>
      <c r="G1849" s="568">
        <v>2070</v>
      </c>
      <c r="H1849" s="568">
        <v>3246</v>
      </c>
      <c r="I1849" s="559" t="str">
        <f t="shared" si="27"/>
        <v>GooD</v>
      </c>
    </row>
    <row r="1850" spans="1:9">
      <c r="A1850" s="563" t="s">
        <v>646</v>
      </c>
      <c r="B1850" s="563">
        <v>46000</v>
      </c>
      <c r="C1850" s="564">
        <v>20</v>
      </c>
      <c r="D1850" s="564">
        <v>0.21</v>
      </c>
      <c r="E1850" s="564">
        <v>16120</v>
      </c>
      <c r="F1850" s="564">
        <v>62120</v>
      </c>
      <c r="G1850" s="564">
        <v>2300</v>
      </c>
      <c r="H1850" s="564">
        <v>2991</v>
      </c>
      <c r="I1850" s="557" t="str">
        <f t="shared" si="27"/>
        <v>GooD</v>
      </c>
    </row>
    <row r="1851" spans="1:9" ht="15.75" thickBot="1">
      <c r="A1851" s="565" t="s">
        <v>646</v>
      </c>
      <c r="B1851" s="565">
        <v>46000</v>
      </c>
      <c r="C1851" s="566">
        <v>22</v>
      </c>
      <c r="D1851" s="566">
        <v>0.21</v>
      </c>
      <c r="E1851" s="566">
        <v>17712</v>
      </c>
      <c r="F1851" s="566">
        <v>63712</v>
      </c>
      <c r="G1851" s="566">
        <v>2530</v>
      </c>
      <c r="H1851" s="566">
        <v>2781</v>
      </c>
      <c r="I1851" s="558" t="str">
        <f t="shared" si="27"/>
        <v>GooD</v>
      </c>
    </row>
    <row r="1852" spans="1:9" ht="15.75" thickTop="1">
      <c r="A1852" s="567" t="s">
        <v>646</v>
      </c>
      <c r="B1852" s="567">
        <v>46000</v>
      </c>
      <c r="C1852" s="568">
        <v>24</v>
      </c>
      <c r="D1852" s="568">
        <v>0.21</v>
      </c>
      <c r="E1852" s="568">
        <v>19328</v>
      </c>
      <c r="F1852" s="568">
        <v>65328</v>
      </c>
      <c r="G1852" s="568">
        <v>2760</v>
      </c>
      <c r="H1852" s="568">
        <v>2607</v>
      </c>
      <c r="I1852" s="559" t="str">
        <f t="shared" si="27"/>
        <v>GooD</v>
      </c>
    </row>
    <row r="1853" spans="1:9">
      <c r="A1853" s="563" t="s">
        <v>646</v>
      </c>
      <c r="B1853" s="563">
        <v>47000</v>
      </c>
      <c r="C1853" s="564">
        <v>6</v>
      </c>
      <c r="D1853" s="564">
        <v>0.21</v>
      </c>
      <c r="E1853" s="564">
        <v>4939</v>
      </c>
      <c r="F1853" s="564">
        <v>51939</v>
      </c>
      <c r="G1853" s="564">
        <v>705</v>
      </c>
      <c r="H1853" s="564">
        <v>8539</v>
      </c>
      <c r="I1853" s="557" t="str">
        <f t="shared" ref="I1853:I1916" si="28">IF(((H1853*C1853)+G1853)=F1853,"GooD","لالالالالالالا")</f>
        <v>GooD</v>
      </c>
    </row>
    <row r="1854" spans="1:9" ht="15.75" thickBot="1">
      <c r="A1854" s="565" t="s">
        <v>646</v>
      </c>
      <c r="B1854" s="565">
        <v>47000</v>
      </c>
      <c r="C1854" s="566">
        <v>8</v>
      </c>
      <c r="D1854" s="566">
        <v>0.21</v>
      </c>
      <c r="E1854" s="566">
        <v>6588</v>
      </c>
      <c r="F1854" s="566">
        <v>53588</v>
      </c>
      <c r="G1854" s="566">
        <v>940</v>
      </c>
      <c r="H1854" s="566">
        <v>6581</v>
      </c>
      <c r="I1854" s="558" t="str">
        <f t="shared" si="28"/>
        <v>GooD</v>
      </c>
    </row>
    <row r="1855" spans="1:9" ht="15.75" thickTop="1">
      <c r="A1855" s="567" t="s">
        <v>646</v>
      </c>
      <c r="B1855" s="567">
        <v>47000</v>
      </c>
      <c r="C1855" s="568">
        <v>10</v>
      </c>
      <c r="D1855" s="568">
        <v>0.21</v>
      </c>
      <c r="E1855" s="568">
        <v>8235</v>
      </c>
      <c r="F1855" s="568">
        <v>55235</v>
      </c>
      <c r="G1855" s="568">
        <v>1175</v>
      </c>
      <c r="H1855" s="568">
        <v>5406</v>
      </c>
      <c r="I1855" s="559" t="str">
        <f t="shared" si="28"/>
        <v>GooD</v>
      </c>
    </row>
    <row r="1856" spans="1:9">
      <c r="A1856" s="563" t="s">
        <v>646</v>
      </c>
      <c r="B1856" s="563">
        <v>47000</v>
      </c>
      <c r="C1856" s="564">
        <v>12</v>
      </c>
      <c r="D1856" s="564">
        <v>0.21</v>
      </c>
      <c r="E1856" s="564">
        <v>9874</v>
      </c>
      <c r="F1856" s="564">
        <v>56874</v>
      </c>
      <c r="G1856" s="564">
        <v>1410</v>
      </c>
      <c r="H1856" s="564">
        <v>4622</v>
      </c>
      <c r="I1856" s="557" t="str">
        <f t="shared" si="28"/>
        <v>GooD</v>
      </c>
    </row>
    <row r="1857" spans="1:9" ht="15.75" thickBot="1">
      <c r="A1857" s="565" t="s">
        <v>646</v>
      </c>
      <c r="B1857" s="565">
        <v>47000</v>
      </c>
      <c r="C1857" s="566">
        <v>14</v>
      </c>
      <c r="D1857" s="566">
        <v>0.21</v>
      </c>
      <c r="E1857" s="566">
        <v>11527</v>
      </c>
      <c r="F1857" s="566">
        <v>58527</v>
      </c>
      <c r="G1857" s="566">
        <v>1645</v>
      </c>
      <c r="H1857" s="566">
        <v>4063</v>
      </c>
      <c r="I1857" s="558" t="str">
        <f t="shared" si="28"/>
        <v>GooD</v>
      </c>
    </row>
    <row r="1858" spans="1:9" ht="15.75" thickTop="1">
      <c r="A1858" s="567" t="s">
        <v>646</v>
      </c>
      <c r="B1858" s="567">
        <v>47000</v>
      </c>
      <c r="C1858" s="568">
        <v>16</v>
      </c>
      <c r="D1858" s="568">
        <v>0.21</v>
      </c>
      <c r="E1858" s="568">
        <v>13168</v>
      </c>
      <c r="F1858" s="568">
        <v>60168</v>
      </c>
      <c r="G1858" s="568">
        <v>1880</v>
      </c>
      <c r="H1858" s="568">
        <v>3643</v>
      </c>
      <c r="I1858" s="559" t="str">
        <f t="shared" si="28"/>
        <v>GooD</v>
      </c>
    </row>
    <row r="1859" spans="1:9">
      <c r="A1859" s="563" t="s">
        <v>646</v>
      </c>
      <c r="B1859" s="563">
        <v>47000</v>
      </c>
      <c r="C1859" s="564">
        <v>18</v>
      </c>
      <c r="D1859" s="564">
        <v>0.21</v>
      </c>
      <c r="E1859" s="564">
        <v>14821</v>
      </c>
      <c r="F1859" s="564">
        <v>61821</v>
      </c>
      <c r="G1859" s="564">
        <v>2115</v>
      </c>
      <c r="H1859" s="564">
        <v>3317</v>
      </c>
      <c r="I1859" s="557" t="str">
        <f t="shared" si="28"/>
        <v>GooD</v>
      </c>
    </row>
    <row r="1860" spans="1:9" ht="15.75" thickBot="1">
      <c r="A1860" s="565" t="s">
        <v>646</v>
      </c>
      <c r="B1860" s="565">
        <v>47000</v>
      </c>
      <c r="C1860" s="566">
        <v>20</v>
      </c>
      <c r="D1860" s="566">
        <v>0.21</v>
      </c>
      <c r="E1860" s="566">
        <v>16470</v>
      </c>
      <c r="F1860" s="566">
        <v>63470</v>
      </c>
      <c r="G1860" s="566">
        <v>2350</v>
      </c>
      <c r="H1860" s="566">
        <v>3056</v>
      </c>
      <c r="I1860" s="558" t="str">
        <f t="shared" si="28"/>
        <v>GooD</v>
      </c>
    </row>
    <row r="1861" spans="1:9" ht="15.75" thickTop="1">
      <c r="A1861" s="567" t="s">
        <v>646</v>
      </c>
      <c r="B1861" s="567">
        <v>47000</v>
      </c>
      <c r="C1861" s="568">
        <v>22</v>
      </c>
      <c r="D1861" s="568">
        <v>0.21</v>
      </c>
      <c r="E1861" s="568">
        <v>18109</v>
      </c>
      <c r="F1861" s="568">
        <v>65109</v>
      </c>
      <c r="G1861" s="568">
        <v>2585</v>
      </c>
      <c r="H1861" s="568">
        <v>2842</v>
      </c>
      <c r="I1861" s="559" t="str">
        <f t="shared" si="28"/>
        <v>GooD</v>
      </c>
    </row>
    <row r="1862" spans="1:9">
      <c r="A1862" s="563" t="s">
        <v>646</v>
      </c>
      <c r="B1862" s="563">
        <v>47000</v>
      </c>
      <c r="C1862" s="564">
        <v>24</v>
      </c>
      <c r="D1862" s="564">
        <v>0.21</v>
      </c>
      <c r="E1862" s="564">
        <v>19756</v>
      </c>
      <c r="F1862" s="564">
        <v>66756</v>
      </c>
      <c r="G1862" s="564">
        <v>2820</v>
      </c>
      <c r="H1862" s="564">
        <v>2664</v>
      </c>
      <c r="I1862" s="557" t="str">
        <f t="shared" si="28"/>
        <v>GooD</v>
      </c>
    </row>
    <row r="1863" spans="1:9" ht="15.75" thickBot="1">
      <c r="A1863" s="565" t="s">
        <v>646</v>
      </c>
      <c r="B1863" s="565">
        <v>48000</v>
      </c>
      <c r="C1863" s="566">
        <v>6</v>
      </c>
      <c r="D1863" s="566">
        <v>0.21</v>
      </c>
      <c r="E1863" s="566">
        <v>5046</v>
      </c>
      <c r="F1863" s="566">
        <v>53046</v>
      </c>
      <c r="G1863" s="566">
        <v>720</v>
      </c>
      <c r="H1863" s="566">
        <v>8721</v>
      </c>
      <c r="I1863" s="558" t="str">
        <f t="shared" si="28"/>
        <v>GooD</v>
      </c>
    </row>
    <row r="1864" spans="1:9" ht="15.75" thickTop="1">
      <c r="A1864" s="567" t="s">
        <v>646</v>
      </c>
      <c r="B1864" s="567">
        <v>48000</v>
      </c>
      <c r="C1864" s="568">
        <v>8</v>
      </c>
      <c r="D1864" s="568">
        <v>0.21</v>
      </c>
      <c r="E1864" s="568">
        <v>6728</v>
      </c>
      <c r="F1864" s="568">
        <v>54728</v>
      </c>
      <c r="G1864" s="568">
        <v>960</v>
      </c>
      <c r="H1864" s="568">
        <v>6721</v>
      </c>
      <c r="I1864" s="559" t="str">
        <f t="shared" si="28"/>
        <v>GooD</v>
      </c>
    </row>
    <row r="1865" spans="1:9">
      <c r="A1865" s="563" t="s">
        <v>646</v>
      </c>
      <c r="B1865" s="563">
        <v>48000</v>
      </c>
      <c r="C1865" s="564">
        <v>10</v>
      </c>
      <c r="D1865" s="564">
        <v>0.21</v>
      </c>
      <c r="E1865" s="564">
        <v>8410</v>
      </c>
      <c r="F1865" s="564">
        <v>56410</v>
      </c>
      <c r="G1865" s="564">
        <v>1200</v>
      </c>
      <c r="H1865" s="564">
        <v>5521</v>
      </c>
      <c r="I1865" s="557" t="str">
        <f t="shared" si="28"/>
        <v>GooD</v>
      </c>
    </row>
    <row r="1866" spans="1:9" ht="15.75" thickBot="1">
      <c r="A1866" s="565" t="s">
        <v>646</v>
      </c>
      <c r="B1866" s="565">
        <v>48000</v>
      </c>
      <c r="C1866" s="566">
        <v>12</v>
      </c>
      <c r="D1866" s="566">
        <v>0.21</v>
      </c>
      <c r="E1866" s="566">
        <v>10092</v>
      </c>
      <c r="F1866" s="566">
        <v>58092</v>
      </c>
      <c r="G1866" s="566">
        <v>1440</v>
      </c>
      <c r="H1866" s="566">
        <v>4721</v>
      </c>
      <c r="I1866" s="558" t="str">
        <f t="shared" si="28"/>
        <v>GooD</v>
      </c>
    </row>
    <row r="1867" spans="1:9" ht="15.75" thickTop="1">
      <c r="A1867" s="567" t="s">
        <v>646</v>
      </c>
      <c r="B1867" s="567">
        <v>48000</v>
      </c>
      <c r="C1867" s="568">
        <v>14</v>
      </c>
      <c r="D1867" s="568">
        <v>0.21</v>
      </c>
      <c r="E1867" s="568">
        <v>11766</v>
      </c>
      <c r="F1867" s="568">
        <v>59766</v>
      </c>
      <c r="G1867" s="568">
        <v>1680</v>
      </c>
      <c r="H1867" s="568">
        <v>4149</v>
      </c>
      <c r="I1867" s="559" t="str">
        <f t="shared" si="28"/>
        <v>GooD</v>
      </c>
    </row>
    <row r="1868" spans="1:9">
      <c r="A1868" s="563" t="s">
        <v>646</v>
      </c>
      <c r="B1868" s="563">
        <v>48000</v>
      </c>
      <c r="C1868" s="564">
        <v>16</v>
      </c>
      <c r="D1868" s="564">
        <v>0.21</v>
      </c>
      <c r="E1868" s="564">
        <v>13456</v>
      </c>
      <c r="F1868" s="564">
        <v>61456</v>
      </c>
      <c r="G1868" s="564">
        <v>1920</v>
      </c>
      <c r="H1868" s="564">
        <v>3721</v>
      </c>
      <c r="I1868" s="557" t="str">
        <f t="shared" si="28"/>
        <v>GooD</v>
      </c>
    </row>
    <row r="1869" spans="1:9" ht="15.75" thickBot="1">
      <c r="A1869" s="565" t="s">
        <v>646</v>
      </c>
      <c r="B1869" s="565">
        <v>48000</v>
      </c>
      <c r="C1869" s="566">
        <v>18</v>
      </c>
      <c r="D1869" s="566">
        <v>0.21</v>
      </c>
      <c r="E1869" s="566">
        <v>15126</v>
      </c>
      <c r="F1869" s="566">
        <v>63126</v>
      </c>
      <c r="G1869" s="566">
        <v>2160</v>
      </c>
      <c r="H1869" s="566">
        <v>3387</v>
      </c>
      <c r="I1869" s="558" t="str">
        <f t="shared" si="28"/>
        <v>GooD</v>
      </c>
    </row>
    <row r="1870" spans="1:9" ht="15.75" thickTop="1">
      <c r="A1870" s="567" t="s">
        <v>646</v>
      </c>
      <c r="B1870" s="567">
        <v>48000</v>
      </c>
      <c r="C1870" s="568">
        <v>20</v>
      </c>
      <c r="D1870" s="568">
        <v>0.21</v>
      </c>
      <c r="E1870" s="568">
        <v>16820</v>
      </c>
      <c r="F1870" s="568">
        <v>64820</v>
      </c>
      <c r="G1870" s="568">
        <v>2400</v>
      </c>
      <c r="H1870" s="568">
        <v>3121</v>
      </c>
      <c r="I1870" s="559" t="str">
        <f t="shared" si="28"/>
        <v>GooD</v>
      </c>
    </row>
    <row r="1871" spans="1:9">
      <c r="A1871" s="563" t="s">
        <v>646</v>
      </c>
      <c r="B1871" s="563">
        <v>48000</v>
      </c>
      <c r="C1871" s="564">
        <v>22</v>
      </c>
      <c r="D1871" s="564">
        <v>0.21</v>
      </c>
      <c r="E1871" s="564">
        <v>18484</v>
      </c>
      <c r="F1871" s="564">
        <v>66484</v>
      </c>
      <c r="G1871" s="564">
        <v>2640</v>
      </c>
      <c r="H1871" s="564">
        <v>2902</v>
      </c>
      <c r="I1871" s="557" t="str">
        <f t="shared" si="28"/>
        <v>GooD</v>
      </c>
    </row>
    <row r="1872" spans="1:9" ht="15.75" thickBot="1">
      <c r="A1872" s="565" t="s">
        <v>646</v>
      </c>
      <c r="B1872" s="565">
        <v>48000</v>
      </c>
      <c r="C1872" s="566">
        <v>24</v>
      </c>
      <c r="D1872" s="566">
        <v>0.21</v>
      </c>
      <c r="E1872" s="566">
        <v>20184</v>
      </c>
      <c r="F1872" s="566">
        <v>68184</v>
      </c>
      <c r="G1872" s="566">
        <v>2880</v>
      </c>
      <c r="H1872" s="566">
        <v>2721</v>
      </c>
      <c r="I1872" s="558" t="str">
        <f t="shared" si="28"/>
        <v>GooD</v>
      </c>
    </row>
    <row r="1873" spans="1:9" ht="15.75" thickTop="1">
      <c r="A1873" s="567" t="s">
        <v>646</v>
      </c>
      <c r="B1873" s="567">
        <v>49000</v>
      </c>
      <c r="C1873" s="568">
        <v>6</v>
      </c>
      <c r="D1873" s="568">
        <v>0.21</v>
      </c>
      <c r="E1873" s="568">
        <v>5147</v>
      </c>
      <c r="F1873" s="568">
        <v>54147</v>
      </c>
      <c r="G1873" s="568">
        <v>735</v>
      </c>
      <c r="H1873" s="568">
        <v>8902</v>
      </c>
      <c r="I1873" s="559" t="str">
        <f t="shared" si="28"/>
        <v>GooD</v>
      </c>
    </row>
    <row r="1874" spans="1:9">
      <c r="A1874" s="563" t="s">
        <v>646</v>
      </c>
      <c r="B1874" s="563">
        <v>49000</v>
      </c>
      <c r="C1874" s="564">
        <v>8</v>
      </c>
      <c r="D1874" s="564">
        <v>0.21</v>
      </c>
      <c r="E1874" s="564">
        <v>6868</v>
      </c>
      <c r="F1874" s="564">
        <v>55868</v>
      </c>
      <c r="G1874" s="564">
        <v>980</v>
      </c>
      <c r="H1874" s="564">
        <v>6861</v>
      </c>
      <c r="I1874" s="557" t="str">
        <f t="shared" si="28"/>
        <v>GooD</v>
      </c>
    </row>
    <row r="1875" spans="1:9" ht="15.75" thickBot="1">
      <c r="A1875" s="565" t="s">
        <v>646</v>
      </c>
      <c r="B1875" s="565">
        <v>49000</v>
      </c>
      <c r="C1875" s="566">
        <v>10</v>
      </c>
      <c r="D1875" s="566">
        <v>0.21</v>
      </c>
      <c r="E1875" s="566">
        <v>8585</v>
      </c>
      <c r="F1875" s="566">
        <v>57585</v>
      </c>
      <c r="G1875" s="566">
        <v>1225</v>
      </c>
      <c r="H1875" s="566">
        <v>5636</v>
      </c>
      <c r="I1875" s="558" t="str">
        <f t="shared" si="28"/>
        <v>GooD</v>
      </c>
    </row>
    <row r="1876" spans="1:9" ht="15.75" thickTop="1">
      <c r="A1876" s="567" t="s">
        <v>646</v>
      </c>
      <c r="B1876" s="567">
        <v>49000</v>
      </c>
      <c r="C1876" s="568">
        <v>12</v>
      </c>
      <c r="D1876" s="568">
        <v>0.21</v>
      </c>
      <c r="E1876" s="568">
        <v>10298</v>
      </c>
      <c r="F1876" s="568">
        <v>59298</v>
      </c>
      <c r="G1876" s="568">
        <v>1470</v>
      </c>
      <c r="H1876" s="568">
        <v>4819</v>
      </c>
      <c r="I1876" s="559" t="str">
        <f t="shared" si="28"/>
        <v>GooD</v>
      </c>
    </row>
    <row r="1877" spans="1:9">
      <c r="A1877" s="563" t="s">
        <v>646</v>
      </c>
      <c r="B1877" s="563">
        <v>49000</v>
      </c>
      <c r="C1877" s="564">
        <v>14</v>
      </c>
      <c r="D1877" s="564">
        <v>0.21</v>
      </c>
      <c r="E1877" s="564">
        <v>12019</v>
      </c>
      <c r="F1877" s="564">
        <v>61019</v>
      </c>
      <c r="G1877" s="564">
        <v>1715</v>
      </c>
      <c r="H1877" s="564">
        <v>4236</v>
      </c>
      <c r="I1877" s="557" t="str">
        <f t="shared" si="28"/>
        <v>GooD</v>
      </c>
    </row>
    <row r="1878" spans="1:9" ht="15.75" thickBot="1">
      <c r="A1878" s="565" t="s">
        <v>646</v>
      </c>
      <c r="B1878" s="565">
        <v>49000</v>
      </c>
      <c r="C1878" s="566">
        <v>16</v>
      </c>
      <c r="D1878" s="566">
        <v>0.21</v>
      </c>
      <c r="E1878" s="566">
        <v>13728</v>
      </c>
      <c r="F1878" s="566">
        <v>62728</v>
      </c>
      <c r="G1878" s="566">
        <v>1960</v>
      </c>
      <c r="H1878" s="566">
        <v>3798</v>
      </c>
      <c r="I1878" s="558" t="str">
        <f t="shared" si="28"/>
        <v>GooD</v>
      </c>
    </row>
    <row r="1879" spans="1:9" ht="15.75" thickTop="1">
      <c r="A1879" s="567" t="s">
        <v>646</v>
      </c>
      <c r="B1879" s="567">
        <v>49000</v>
      </c>
      <c r="C1879" s="568">
        <v>18</v>
      </c>
      <c r="D1879" s="568">
        <v>0.21</v>
      </c>
      <c r="E1879" s="568">
        <v>15449</v>
      </c>
      <c r="F1879" s="568">
        <v>64449</v>
      </c>
      <c r="G1879" s="568">
        <v>2205</v>
      </c>
      <c r="H1879" s="568">
        <v>3458</v>
      </c>
      <c r="I1879" s="559" t="str">
        <f t="shared" si="28"/>
        <v>GooD</v>
      </c>
    </row>
    <row r="1880" spans="1:9">
      <c r="A1880" s="563" t="s">
        <v>646</v>
      </c>
      <c r="B1880" s="563">
        <v>49000</v>
      </c>
      <c r="C1880" s="564">
        <v>20</v>
      </c>
      <c r="D1880" s="564">
        <v>0.21</v>
      </c>
      <c r="E1880" s="564">
        <v>17170</v>
      </c>
      <c r="F1880" s="564">
        <v>66170</v>
      </c>
      <c r="G1880" s="564">
        <v>2450</v>
      </c>
      <c r="H1880" s="564">
        <v>3186</v>
      </c>
      <c r="I1880" s="557" t="str">
        <f t="shared" si="28"/>
        <v>GooD</v>
      </c>
    </row>
    <row r="1881" spans="1:9" ht="15.75" thickBot="1">
      <c r="A1881" s="565" t="s">
        <v>646</v>
      </c>
      <c r="B1881" s="565">
        <v>49000</v>
      </c>
      <c r="C1881" s="566">
        <v>22</v>
      </c>
      <c r="D1881" s="566">
        <v>0.21</v>
      </c>
      <c r="E1881" s="566">
        <v>18881</v>
      </c>
      <c r="F1881" s="566">
        <v>67881</v>
      </c>
      <c r="G1881" s="566">
        <v>2695</v>
      </c>
      <c r="H1881" s="566">
        <v>2963</v>
      </c>
      <c r="I1881" s="558" t="str">
        <f t="shared" si="28"/>
        <v>GooD</v>
      </c>
    </row>
    <row r="1882" spans="1:9" ht="15.75" thickTop="1">
      <c r="A1882" s="567" t="s">
        <v>646</v>
      </c>
      <c r="B1882" s="567">
        <v>49000</v>
      </c>
      <c r="C1882" s="568">
        <v>24</v>
      </c>
      <c r="D1882" s="568">
        <v>0.21</v>
      </c>
      <c r="E1882" s="568">
        <v>20588</v>
      </c>
      <c r="F1882" s="568">
        <v>69588</v>
      </c>
      <c r="G1882" s="568">
        <v>2940</v>
      </c>
      <c r="H1882" s="568">
        <v>2777</v>
      </c>
      <c r="I1882" s="559" t="str">
        <f t="shared" si="28"/>
        <v>GooD</v>
      </c>
    </row>
    <row r="1883" spans="1:9">
      <c r="A1883" s="563" t="s">
        <v>646</v>
      </c>
      <c r="B1883" s="563">
        <v>50000</v>
      </c>
      <c r="C1883" s="564">
        <v>6</v>
      </c>
      <c r="D1883" s="564">
        <v>0.21</v>
      </c>
      <c r="E1883" s="564">
        <v>5254</v>
      </c>
      <c r="F1883" s="564">
        <v>55254</v>
      </c>
      <c r="G1883" s="564">
        <v>750</v>
      </c>
      <c r="H1883" s="564">
        <v>9084</v>
      </c>
      <c r="I1883" s="557" t="str">
        <f t="shared" si="28"/>
        <v>GooD</v>
      </c>
    </row>
    <row r="1884" spans="1:9" ht="15.75" thickBot="1">
      <c r="A1884" s="565" t="s">
        <v>646</v>
      </c>
      <c r="B1884" s="565">
        <v>50000</v>
      </c>
      <c r="C1884" s="566">
        <v>8</v>
      </c>
      <c r="D1884" s="566">
        <v>0.21</v>
      </c>
      <c r="E1884" s="566">
        <v>7008</v>
      </c>
      <c r="F1884" s="566">
        <v>57008</v>
      </c>
      <c r="G1884" s="566">
        <v>1000</v>
      </c>
      <c r="H1884" s="566">
        <v>7001</v>
      </c>
      <c r="I1884" s="558" t="str">
        <f t="shared" si="28"/>
        <v>GooD</v>
      </c>
    </row>
    <row r="1885" spans="1:9" ht="15.75" thickTop="1">
      <c r="A1885" s="567" t="s">
        <v>646</v>
      </c>
      <c r="B1885" s="567">
        <v>50000</v>
      </c>
      <c r="C1885" s="568">
        <v>10</v>
      </c>
      <c r="D1885" s="568">
        <v>0.21</v>
      </c>
      <c r="E1885" s="568">
        <v>8760</v>
      </c>
      <c r="F1885" s="568">
        <v>58760</v>
      </c>
      <c r="G1885" s="568">
        <v>1250</v>
      </c>
      <c r="H1885" s="568">
        <v>5751</v>
      </c>
      <c r="I1885" s="559" t="str">
        <f t="shared" si="28"/>
        <v>GooD</v>
      </c>
    </row>
    <row r="1886" spans="1:9">
      <c r="A1886" s="563" t="s">
        <v>646</v>
      </c>
      <c r="B1886" s="563">
        <v>50000</v>
      </c>
      <c r="C1886" s="564">
        <v>12</v>
      </c>
      <c r="D1886" s="564">
        <v>0.21</v>
      </c>
      <c r="E1886" s="564">
        <v>10504</v>
      </c>
      <c r="F1886" s="564">
        <v>60504</v>
      </c>
      <c r="G1886" s="564">
        <v>1500</v>
      </c>
      <c r="H1886" s="564">
        <v>4917</v>
      </c>
      <c r="I1886" s="557" t="str">
        <f t="shared" si="28"/>
        <v>GooD</v>
      </c>
    </row>
    <row r="1887" spans="1:9" ht="15.75" thickBot="1">
      <c r="A1887" s="565" t="s">
        <v>646</v>
      </c>
      <c r="B1887" s="565">
        <v>50000</v>
      </c>
      <c r="C1887" s="566">
        <v>14</v>
      </c>
      <c r="D1887" s="566">
        <v>0.21</v>
      </c>
      <c r="E1887" s="566">
        <v>12258</v>
      </c>
      <c r="F1887" s="566">
        <v>62258</v>
      </c>
      <c r="G1887" s="566">
        <v>1750</v>
      </c>
      <c r="H1887" s="566">
        <v>4322</v>
      </c>
      <c r="I1887" s="558" t="str">
        <f t="shared" si="28"/>
        <v>GooD</v>
      </c>
    </row>
    <row r="1888" spans="1:9" ht="15.75" thickTop="1">
      <c r="A1888" s="567" t="s">
        <v>646</v>
      </c>
      <c r="B1888" s="567">
        <v>50000</v>
      </c>
      <c r="C1888" s="568">
        <v>16</v>
      </c>
      <c r="D1888" s="568">
        <v>0.21</v>
      </c>
      <c r="E1888" s="568">
        <v>14016</v>
      </c>
      <c r="F1888" s="568">
        <v>64016</v>
      </c>
      <c r="G1888" s="568">
        <v>2000</v>
      </c>
      <c r="H1888" s="568">
        <v>3876</v>
      </c>
      <c r="I1888" s="559" t="str">
        <f t="shared" si="28"/>
        <v>GooD</v>
      </c>
    </row>
    <row r="1889" spans="1:9">
      <c r="A1889" s="563" t="s">
        <v>646</v>
      </c>
      <c r="B1889" s="563">
        <v>50000</v>
      </c>
      <c r="C1889" s="564">
        <v>18</v>
      </c>
      <c r="D1889" s="564">
        <v>0.21</v>
      </c>
      <c r="E1889" s="564">
        <v>15754</v>
      </c>
      <c r="F1889" s="564">
        <v>65754</v>
      </c>
      <c r="G1889" s="564">
        <v>2250</v>
      </c>
      <c r="H1889" s="564">
        <v>3528</v>
      </c>
      <c r="I1889" s="557" t="str">
        <f t="shared" si="28"/>
        <v>GooD</v>
      </c>
    </row>
    <row r="1890" spans="1:9" ht="15.75" thickBot="1">
      <c r="A1890" s="565" t="s">
        <v>646</v>
      </c>
      <c r="B1890" s="565">
        <v>50000</v>
      </c>
      <c r="C1890" s="566">
        <v>20</v>
      </c>
      <c r="D1890" s="566">
        <v>0.21</v>
      </c>
      <c r="E1890" s="566">
        <v>17520</v>
      </c>
      <c r="F1890" s="566">
        <v>67520</v>
      </c>
      <c r="G1890" s="566">
        <v>2500</v>
      </c>
      <c r="H1890" s="566">
        <v>3251</v>
      </c>
      <c r="I1890" s="558" t="str">
        <f t="shared" si="28"/>
        <v>GooD</v>
      </c>
    </row>
    <row r="1891" spans="1:9" ht="15.75" thickTop="1">
      <c r="A1891" s="567" t="s">
        <v>646</v>
      </c>
      <c r="B1891" s="567">
        <v>50000</v>
      </c>
      <c r="C1891" s="568">
        <v>22</v>
      </c>
      <c r="D1891" s="568">
        <v>0.21</v>
      </c>
      <c r="E1891" s="568">
        <v>19256</v>
      </c>
      <c r="F1891" s="568">
        <v>69256</v>
      </c>
      <c r="G1891" s="568">
        <v>2750</v>
      </c>
      <c r="H1891" s="568">
        <v>3023</v>
      </c>
      <c r="I1891" s="559" t="str">
        <f t="shared" si="28"/>
        <v>GooD</v>
      </c>
    </row>
    <row r="1892" spans="1:9">
      <c r="A1892" s="563" t="s">
        <v>646</v>
      </c>
      <c r="B1892" s="563">
        <v>50000</v>
      </c>
      <c r="C1892" s="564">
        <v>24</v>
      </c>
      <c r="D1892" s="564">
        <v>0.21</v>
      </c>
      <c r="E1892" s="564">
        <v>21016</v>
      </c>
      <c r="F1892" s="564">
        <v>71016</v>
      </c>
      <c r="G1892" s="564">
        <v>3000</v>
      </c>
      <c r="H1892" s="564">
        <v>2834</v>
      </c>
      <c r="I1892" s="557" t="str">
        <f t="shared" si="28"/>
        <v>GooD</v>
      </c>
    </row>
    <row r="1893" spans="1:9" ht="15.75" thickBot="1">
      <c r="A1893" s="565" t="s">
        <v>639</v>
      </c>
      <c r="B1893" s="565">
        <v>8000</v>
      </c>
      <c r="C1893" s="566">
        <v>4</v>
      </c>
      <c r="D1893" s="566">
        <v>0.31</v>
      </c>
      <c r="E1893" s="566">
        <v>828</v>
      </c>
      <c r="F1893" s="566">
        <v>8828</v>
      </c>
      <c r="G1893" s="566">
        <v>80</v>
      </c>
      <c r="H1893" s="566">
        <v>2187</v>
      </c>
      <c r="I1893" s="558" t="str">
        <f t="shared" si="28"/>
        <v>GooD</v>
      </c>
    </row>
    <row r="1894" spans="1:9" ht="15.75" thickTop="1">
      <c r="A1894" s="567" t="s">
        <v>639</v>
      </c>
      <c r="B1894" s="567">
        <v>8000</v>
      </c>
      <c r="C1894" s="568">
        <v>6</v>
      </c>
      <c r="D1894" s="568">
        <v>0.31</v>
      </c>
      <c r="E1894" s="568">
        <v>1246</v>
      </c>
      <c r="F1894" s="568">
        <v>9246</v>
      </c>
      <c r="G1894" s="568">
        <v>120</v>
      </c>
      <c r="H1894" s="568">
        <v>1521</v>
      </c>
      <c r="I1894" s="559" t="str">
        <f t="shared" si="28"/>
        <v>GooD</v>
      </c>
    </row>
    <row r="1895" spans="1:9">
      <c r="A1895" s="563" t="s">
        <v>639</v>
      </c>
      <c r="B1895" s="563">
        <v>8000</v>
      </c>
      <c r="C1895" s="564">
        <v>8</v>
      </c>
      <c r="D1895" s="564">
        <v>0.31</v>
      </c>
      <c r="E1895" s="564">
        <v>1656</v>
      </c>
      <c r="F1895" s="564">
        <v>9656</v>
      </c>
      <c r="G1895" s="564">
        <v>160</v>
      </c>
      <c r="H1895" s="564">
        <v>1187</v>
      </c>
      <c r="I1895" s="557" t="str">
        <f t="shared" si="28"/>
        <v>GooD</v>
      </c>
    </row>
    <row r="1896" spans="1:9" ht="15.75" thickBot="1">
      <c r="A1896" s="565" t="s">
        <v>639</v>
      </c>
      <c r="B1896" s="565">
        <v>8000</v>
      </c>
      <c r="C1896" s="566">
        <v>10</v>
      </c>
      <c r="D1896" s="566">
        <v>0.31</v>
      </c>
      <c r="E1896" s="566">
        <v>2070</v>
      </c>
      <c r="F1896" s="566">
        <v>10070</v>
      </c>
      <c r="G1896" s="566">
        <v>200</v>
      </c>
      <c r="H1896" s="566">
        <v>987</v>
      </c>
      <c r="I1896" s="558" t="str">
        <f t="shared" si="28"/>
        <v>GooD</v>
      </c>
    </row>
    <row r="1897" spans="1:9" ht="15.75" thickTop="1">
      <c r="A1897" s="567" t="s">
        <v>639</v>
      </c>
      <c r="B1897" s="567">
        <v>8000</v>
      </c>
      <c r="C1897" s="568">
        <v>12</v>
      </c>
      <c r="D1897" s="568">
        <v>0.31</v>
      </c>
      <c r="E1897" s="568">
        <v>2488</v>
      </c>
      <c r="F1897" s="568">
        <v>10488</v>
      </c>
      <c r="G1897" s="568">
        <v>240</v>
      </c>
      <c r="H1897" s="568">
        <v>854</v>
      </c>
      <c r="I1897" s="559" t="str">
        <f t="shared" si="28"/>
        <v>GooD</v>
      </c>
    </row>
    <row r="1898" spans="1:9">
      <c r="A1898" s="563" t="s">
        <v>639</v>
      </c>
      <c r="B1898" s="563">
        <v>8500</v>
      </c>
      <c r="C1898" s="564">
        <v>4</v>
      </c>
      <c r="D1898" s="564">
        <v>0.31</v>
      </c>
      <c r="E1898" s="564">
        <v>881</v>
      </c>
      <c r="F1898" s="564">
        <v>9381</v>
      </c>
      <c r="G1898" s="564">
        <v>85</v>
      </c>
      <c r="H1898" s="564">
        <v>2324</v>
      </c>
      <c r="I1898" s="557" t="str">
        <f t="shared" si="28"/>
        <v>GooD</v>
      </c>
    </row>
    <row r="1899" spans="1:9" ht="15.75" thickBot="1">
      <c r="A1899" s="565" t="s">
        <v>639</v>
      </c>
      <c r="B1899" s="565">
        <v>8500</v>
      </c>
      <c r="C1899" s="566">
        <v>6</v>
      </c>
      <c r="D1899" s="566">
        <v>0.31</v>
      </c>
      <c r="E1899" s="566">
        <v>1324</v>
      </c>
      <c r="F1899" s="566">
        <v>9824</v>
      </c>
      <c r="G1899" s="566">
        <v>128</v>
      </c>
      <c r="H1899" s="566">
        <v>1616</v>
      </c>
      <c r="I1899" s="558" t="str">
        <f t="shared" si="28"/>
        <v>GooD</v>
      </c>
    </row>
    <row r="1900" spans="1:9" ht="15.75" thickTop="1">
      <c r="A1900" s="567" t="s">
        <v>639</v>
      </c>
      <c r="B1900" s="567">
        <v>8500</v>
      </c>
      <c r="C1900" s="568">
        <v>8</v>
      </c>
      <c r="D1900" s="568">
        <v>0.31</v>
      </c>
      <c r="E1900" s="568">
        <v>1758</v>
      </c>
      <c r="F1900" s="568">
        <v>10258</v>
      </c>
      <c r="G1900" s="568">
        <v>170</v>
      </c>
      <c r="H1900" s="568">
        <v>1261</v>
      </c>
      <c r="I1900" s="559" t="str">
        <f t="shared" si="28"/>
        <v>GooD</v>
      </c>
    </row>
    <row r="1901" spans="1:9">
      <c r="A1901" s="563" t="s">
        <v>639</v>
      </c>
      <c r="B1901" s="563">
        <v>8500</v>
      </c>
      <c r="C1901" s="564">
        <v>10</v>
      </c>
      <c r="D1901" s="564">
        <v>0.31</v>
      </c>
      <c r="E1901" s="564">
        <v>2203</v>
      </c>
      <c r="F1901" s="564">
        <v>10703</v>
      </c>
      <c r="G1901" s="564">
        <v>213</v>
      </c>
      <c r="H1901" s="564">
        <v>1049</v>
      </c>
      <c r="I1901" s="557" t="str">
        <f t="shared" si="28"/>
        <v>GooD</v>
      </c>
    </row>
    <row r="1902" spans="1:9" ht="15.75" thickBot="1">
      <c r="A1902" s="565" t="s">
        <v>639</v>
      </c>
      <c r="B1902" s="565">
        <v>8500</v>
      </c>
      <c r="C1902" s="566">
        <v>12</v>
      </c>
      <c r="D1902" s="566">
        <v>0.31</v>
      </c>
      <c r="E1902" s="566">
        <v>2639</v>
      </c>
      <c r="F1902" s="566">
        <v>11139</v>
      </c>
      <c r="G1902" s="566">
        <v>255</v>
      </c>
      <c r="H1902" s="566">
        <v>907</v>
      </c>
      <c r="I1902" s="558" t="str">
        <f t="shared" si="28"/>
        <v>GooD</v>
      </c>
    </row>
    <row r="1903" spans="1:9" ht="15.75" thickTop="1">
      <c r="A1903" s="567" t="s">
        <v>639</v>
      </c>
      <c r="B1903" s="567">
        <v>9000</v>
      </c>
      <c r="C1903" s="568">
        <v>4</v>
      </c>
      <c r="D1903" s="568">
        <v>0.31</v>
      </c>
      <c r="E1903" s="568">
        <v>934</v>
      </c>
      <c r="F1903" s="568">
        <v>9934</v>
      </c>
      <c r="G1903" s="568">
        <v>90</v>
      </c>
      <c r="H1903" s="568">
        <v>2461</v>
      </c>
      <c r="I1903" s="559" t="str">
        <f t="shared" si="28"/>
        <v>GooD</v>
      </c>
    </row>
    <row r="1904" spans="1:9">
      <c r="A1904" s="563" t="s">
        <v>639</v>
      </c>
      <c r="B1904" s="563">
        <v>9000</v>
      </c>
      <c r="C1904" s="564">
        <v>6</v>
      </c>
      <c r="D1904" s="564">
        <v>0.31</v>
      </c>
      <c r="E1904" s="564">
        <v>1401</v>
      </c>
      <c r="F1904" s="564">
        <v>10401</v>
      </c>
      <c r="G1904" s="564">
        <v>135</v>
      </c>
      <c r="H1904" s="564">
        <v>1711</v>
      </c>
      <c r="I1904" s="557" t="str">
        <f t="shared" si="28"/>
        <v>GooD</v>
      </c>
    </row>
    <row r="1905" spans="1:9" ht="15.75" thickBot="1">
      <c r="A1905" s="565" t="s">
        <v>639</v>
      </c>
      <c r="B1905" s="565">
        <v>9000</v>
      </c>
      <c r="C1905" s="566">
        <v>8</v>
      </c>
      <c r="D1905" s="566">
        <v>0.31</v>
      </c>
      <c r="E1905" s="566">
        <v>1868</v>
      </c>
      <c r="F1905" s="566">
        <v>10868</v>
      </c>
      <c r="G1905" s="566">
        <v>180</v>
      </c>
      <c r="H1905" s="566">
        <v>1336</v>
      </c>
      <c r="I1905" s="558" t="str">
        <f t="shared" si="28"/>
        <v>GooD</v>
      </c>
    </row>
    <row r="1906" spans="1:9" ht="15.75" thickTop="1">
      <c r="A1906" s="567" t="s">
        <v>639</v>
      </c>
      <c r="B1906" s="567">
        <v>9000</v>
      </c>
      <c r="C1906" s="568">
        <v>10</v>
      </c>
      <c r="D1906" s="568">
        <v>0.31</v>
      </c>
      <c r="E1906" s="568">
        <v>2335</v>
      </c>
      <c r="F1906" s="568">
        <v>11335</v>
      </c>
      <c r="G1906" s="568">
        <v>225</v>
      </c>
      <c r="H1906" s="568">
        <v>1111</v>
      </c>
      <c r="I1906" s="559" t="str">
        <f t="shared" si="28"/>
        <v>GooD</v>
      </c>
    </row>
    <row r="1907" spans="1:9">
      <c r="A1907" s="563" t="s">
        <v>639</v>
      </c>
      <c r="B1907" s="563">
        <v>9000</v>
      </c>
      <c r="C1907" s="564">
        <v>12</v>
      </c>
      <c r="D1907" s="564">
        <v>0.31</v>
      </c>
      <c r="E1907" s="564">
        <v>2802</v>
      </c>
      <c r="F1907" s="564">
        <v>11802</v>
      </c>
      <c r="G1907" s="564">
        <v>270</v>
      </c>
      <c r="H1907" s="564">
        <v>961</v>
      </c>
      <c r="I1907" s="557" t="str">
        <f t="shared" si="28"/>
        <v>GooD</v>
      </c>
    </row>
    <row r="1908" spans="1:9" ht="15.75" thickBot="1">
      <c r="A1908" s="565" t="s">
        <v>639</v>
      </c>
      <c r="B1908" s="565">
        <v>9500</v>
      </c>
      <c r="C1908" s="566">
        <v>4</v>
      </c>
      <c r="D1908" s="566">
        <v>0.31</v>
      </c>
      <c r="E1908" s="566">
        <v>983</v>
      </c>
      <c r="F1908" s="566">
        <v>10483</v>
      </c>
      <c r="G1908" s="566">
        <v>95</v>
      </c>
      <c r="H1908" s="566">
        <v>2597</v>
      </c>
      <c r="I1908" s="558" t="str">
        <f t="shared" si="28"/>
        <v>GooD</v>
      </c>
    </row>
    <row r="1909" spans="1:9" ht="15.75" thickTop="1">
      <c r="A1909" s="567" t="s">
        <v>639</v>
      </c>
      <c r="B1909" s="567">
        <v>9500</v>
      </c>
      <c r="C1909" s="568">
        <v>6</v>
      </c>
      <c r="D1909" s="568">
        <v>0.31</v>
      </c>
      <c r="E1909" s="568">
        <v>1479</v>
      </c>
      <c r="F1909" s="568">
        <v>10979</v>
      </c>
      <c r="G1909" s="568">
        <v>143</v>
      </c>
      <c r="H1909" s="568">
        <v>1806</v>
      </c>
      <c r="I1909" s="559" t="str">
        <f t="shared" si="28"/>
        <v>GooD</v>
      </c>
    </row>
    <row r="1910" spans="1:9">
      <c r="A1910" s="563" t="s">
        <v>639</v>
      </c>
      <c r="B1910" s="563">
        <v>9500</v>
      </c>
      <c r="C1910" s="564">
        <v>8</v>
      </c>
      <c r="D1910" s="564">
        <v>0.31</v>
      </c>
      <c r="E1910" s="564">
        <v>1970</v>
      </c>
      <c r="F1910" s="564">
        <v>11470</v>
      </c>
      <c r="G1910" s="564">
        <v>190</v>
      </c>
      <c r="H1910" s="564">
        <v>1410</v>
      </c>
      <c r="I1910" s="557" t="str">
        <f t="shared" si="28"/>
        <v>GooD</v>
      </c>
    </row>
    <row r="1911" spans="1:9" ht="15.75" thickBot="1">
      <c r="A1911" s="565" t="s">
        <v>639</v>
      </c>
      <c r="B1911" s="565">
        <v>9500</v>
      </c>
      <c r="C1911" s="566">
        <v>10</v>
      </c>
      <c r="D1911" s="566">
        <v>0.31</v>
      </c>
      <c r="E1911" s="566">
        <v>2458</v>
      </c>
      <c r="F1911" s="566">
        <v>11958</v>
      </c>
      <c r="G1911" s="566">
        <v>238</v>
      </c>
      <c r="H1911" s="566">
        <v>1172</v>
      </c>
      <c r="I1911" s="558" t="str">
        <f t="shared" si="28"/>
        <v>GooD</v>
      </c>
    </row>
    <row r="1912" spans="1:9" ht="15.75" thickTop="1">
      <c r="A1912" s="567" t="s">
        <v>639</v>
      </c>
      <c r="B1912" s="567">
        <v>9500</v>
      </c>
      <c r="C1912" s="568">
        <v>12</v>
      </c>
      <c r="D1912" s="568">
        <v>0.31</v>
      </c>
      <c r="E1912" s="568">
        <v>2953</v>
      </c>
      <c r="F1912" s="568">
        <v>12453</v>
      </c>
      <c r="G1912" s="568">
        <v>285</v>
      </c>
      <c r="H1912" s="568">
        <v>1014</v>
      </c>
      <c r="I1912" s="559" t="str">
        <f t="shared" si="28"/>
        <v>GooD</v>
      </c>
    </row>
    <row r="1913" spans="1:9">
      <c r="A1913" s="563" t="s">
        <v>639</v>
      </c>
      <c r="B1913" s="563">
        <v>10000</v>
      </c>
      <c r="C1913" s="564">
        <v>4</v>
      </c>
      <c r="D1913" s="564">
        <v>0.31</v>
      </c>
      <c r="E1913" s="564">
        <v>1036</v>
      </c>
      <c r="F1913" s="564">
        <v>11036</v>
      </c>
      <c r="G1913" s="564">
        <v>100</v>
      </c>
      <c r="H1913" s="564">
        <v>2734</v>
      </c>
      <c r="I1913" s="557" t="str">
        <f t="shared" si="28"/>
        <v>GooD</v>
      </c>
    </row>
    <row r="1914" spans="1:9" ht="15.75" thickBot="1">
      <c r="A1914" s="565" t="s">
        <v>639</v>
      </c>
      <c r="B1914" s="565">
        <v>10000</v>
      </c>
      <c r="C1914" s="566">
        <v>6</v>
      </c>
      <c r="D1914" s="566">
        <v>0.31</v>
      </c>
      <c r="E1914" s="566">
        <v>1556</v>
      </c>
      <c r="F1914" s="566">
        <v>11556</v>
      </c>
      <c r="G1914" s="566">
        <v>150</v>
      </c>
      <c r="H1914" s="566">
        <v>1901</v>
      </c>
      <c r="I1914" s="558" t="str">
        <f t="shared" si="28"/>
        <v>GooD</v>
      </c>
    </row>
    <row r="1915" spans="1:9" ht="15.75" thickTop="1">
      <c r="A1915" s="567" t="s">
        <v>639</v>
      </c>
      <c r="B1915" s="567">
        <v>10000</v>
      </c>
      <c r="C1915" s="568">
        <v>8</v>
      </c>
      <c r="D1915" s="568">
        <v>0.31</v>
      </c>
      <c r="E1915" s="568">
        <v>2072</v>
      </c>
      <c r="F1915" s="568">
        <v>12072</v>
      </c>
      <c r="G1915" s="568">
        <v>200</v>
      </c>
      <c r="H1915" s="568">
        <v>1484</v>
      </c>
      <c r="I1915" s="559" t="str">
        <f t="shared" si="28"/>
        <v>GooD</v>
      </c>
    </row>
    <row r="1916" spans="1:9">
      <c r="A1916" s="563" t="s">
        <v>639</v>
      </c>
      <c r="B1916" s="563">
        <v>10000</v>
      </c>
      <c r="C1916" s="564">
        <v>10</v>
      </c>
      <c r="D1916" s="564">
        <v>0.31</v>
      </c>
      <c r="E1916" s="564">
        <v>2590</v>
      </c>
      <c r="F1916" s="564">
        <v>12590</v>
      </c>
      <c r="G1916" s="564">
        <v>250</v>
      </c>
      <c r="H1916" s="564">
        <v>1234</v>
      </c>
      <c r="I1916" s="557" t="str">
        <f t="shared" si="28"/>
        <v>GooD</v>
      </c>
    </row>
    <row r="1917" spans="1:9" ht="15.75" thickBot="1">
      <c r="A1917" s="565" t="s">
        <v>639</v>
      </c>
      <c r="B1917" s="565">
        <v>10000</v>
      </c>
      <c r="C1917" s="566">
        <v>12</v>
      </c>
      <c r="D1917" s="566">
        <v>0.31</v>
      </c>
      <c r="E1917" s="566">
        <v>3104</v>
      </c>
      <c r="F1917" s="566">
        <v>13104</v>
      </c>
      <c r="G1917" s="566">
        <v>300</v>
      </c>
      <c r="H1917" s="566">
        <v>1067</v>
      </c>
      <c r="I1917" s="558" t="str">
        <f t="shared" ref="I1917:I1980" si="29">IF(((H1917*C1917)+G1917)=F1917,"GooD","لالالالالالالا")</f>
        <v>GooD</v>
      </c>
    </row>
    <row r="1918" spans="1:9" ht="15.75" thickTop="1">
      <c r="A1918" s="567" t="s">
        <v>639</v>
      </c>
      <c r="B1918" s="567">
        <v>10500</v>
      </c>
      <c r="C1918" s="568">
        <v>4</v>
      </c>
      <c r="D1918" s="568">
        <v>0.31</v>
      </c>
      <c r="E1918" s="568">
        <v>1089</v>
      </c>
      <c r="F1918" s="568">
        <v>11589</v>
      </c>
      <c r="G1918" s="568">
        <v>105</v>
      </c>
      <c r="H1918" s="568">
        <v>2871</v>
      </c>
      <c r="I1918" s="559" t="str">
        <f t="shared" si="29"/>
        <v>GooD</v>
      </c>
    </row>
    <row r="1919" spans="1:9">
      <c r="A1919" s="563" t="s">
        <v>639</v>
      </c>
      <c r="B1919" s="563">
        <v>10500</v>
      </c>
      <c r="C1919" s="564">
        <v>6</v>
      </c>
      <c r="D1919" s="564">
        <v>0.31</v>
      </c>
      <c r="E1919" s="564">
        <v>1634</v>
      </c>
      <c r="F1919" s="564">
        <v>12134</v>
      </c>
      <c r="G1919" s="564">
        <v>158</v>
      </c>
      <c r="H1919" s="564">
        <v>1996</v>
      </c>
      <c r="I1919" s="557" t="str">
        <f t="shared" si="29"/>
        <v>GooD</v>
      </c>
    </row>
    <row r="1920" spans="1:9" ht="15.75" thickBot="1">
      <c r="A1920" s="565" t="s">
        <v>639</v>
      </c>
      <c r="B1920" s="565">
        <v>10500</v>
      </c>
      <c r="C1920" s="566">
        <v>8</v>
      </c>
      <c r="D1920" s="566">
        <v>0.31</v>
      </c>
      <c r="E1920" s="566">
        <v>2174</v>
      </c>
      <c r="F1920" s="566">
        <v>12674</v>
      </c>
      <c r="G1920" s="566">
        <v>210</v>
      </c>
      <c r="H1920" s="566">
        <v>1558</v>
      </c>
      <c r="I1920" s="558" t="str">
        <f t="shared" si="29"/>
        <v>GooD</v>
      </c>
    </row>
    <row r="1921" spans="1:9" ht="15.75" thickTop="1">
      <c r="A1921" s="567" t="s">
        <v>639</v>
      </c>
      <c r="B1921" s="567">
        <v>10500</v>
      </c>
      <c r="C1921" s="568">
        <v>10</v>
      </c>
      <c r="D1921" s="568">
        <v>0.31</v>
      </c>
      <c r="E1921" s="568">
        <v>2723</v>
      </c>
      <c r="F1921" s="568">
        <v>13223</v>
      </c>
      <c r="G1921" s="568">
        <v>263</v>
      </c>
      <c r="H1921" s="568">
        <v>1296</v>
      </c>
      <c r="I1921" s="559" t="str">
        <f t="shared" si="29"/>
        <v>GooD</v>
      </c>
    </row>
    <row r="1922" spans="1:9">
      <c r="A1922" s="563" t="s">
        <v>639</v>
      </c>
      <c r="B1922" s="563">
        <v>10500</v>
      </c>
      <c r="C1922" s="564">
        <v>12</v>
      </c>
      <c r="D1922" s="564">
        <v>0.31</v>
      </c>
      <c r="E1922" s="564">
        <v>3267</v>
      </c>
      <c r="F1922" s="564">
        <v>13767</v>
      </c>
      <c r="G1922" s="564">
        <v>315</v>
      </c>
      <c r="H1922" s="564">
        <v>1121</v>
      </c>
      <c r="I1922" s="557" t="str">
        <f t="shared" si="29"/>
        <v>GooD</v>
      </c>
    </row>
    <row r="1923" spans="1:9" ht="15.75" thickBot="1">
      <c r="A1923" s="565" t="s">
        <v>639</v>
      </c>
      <c r="B1923" s="565">
        <v>11000</v>
      </c>
      <c r="C1923" s="566">
        <v>4</v>
      </c>
      <c r="D1923" s="566">
        <v>0.31</v>
      </c>
      <c r="E1923" s="566">
        <v>1138</v>
      </c>
      <c r="F1923" s="566">
        <v>12138</v>
      </c>
      <c r="G1923" s="566">
        <v>110</v>
      </c>
      <c r="H1923" s="566">
        <v>3007</v>
      </c>
      <c r="I1923" s="558" t="str">
        <f t="shared" si="29"/>
        <v>GooD</v>
      </c>
    </row>
    <row r="1924" spans="1:9" ht="15.75" thickTop="1">
      <c r="A1924" s="567" t="s">
        <v>639</v>
      </c>
      <c r="B1924" s="567">
        <v>11000</v>
      </c>
      <c r="C1924" s="568">
        <v>6</v>
      </c>
      <c r="D1924" s="568">
        <v>0.31</v>
      </c>
      <c r="E1924" s="568">
        <v>1711</v>
      </c>
      <c r="F1924" s="568">
        <v>12711</v>
      </c>
      <c r="G1924" s="568">
        <v>165</v>
      </c>
      <c r="H1924" s="568">
        <v>2091</v>
      </c>
      <c r="I1924" s="559" t="str">
        <f t="shared" si="29"/>
        <v>GooD</v>
      </c>
    </row>
    <row r="1925" spans="1:9">
      <c r="A1925" s="563" t="s">
        <v>639</v>
      </c>
      <c r="B1925" s="563">
        <v>11000</v>
      </c>
      <c r="C1925" s="564">
        <v>8</v>
      </c>
      <c r="D1925" s="564">
        <v>0.31</v>
      </c>
      <c r="E1925" s="564">
        <v>2276</v>
      </c>
      <c r="F1925" s="564">
        <v>13276</v>
      </c>
      <c r="G1925" s="564">
        <v>220</v>
      </c>
      <c r="H1925" s="564">
        <v>1632</v>
      </c>
      <c r="I1925" s="557" t="str">
        <f t="shared" si="29"/>
        <v>GooD</v>
      </c>
    </row>
    <row r="1926" spans="1:9" ht="15.75" thickBot="1">
      <c r="A1926" s="565" t="s">
        <v>639</v>
      </c>
      <c r="B1926" s="565">
        <v>11000</v>
      </c>
      <c r="C1926" s="566">
        <v>10</v>
      </c>
      <c r="D1926" s="566">
        <v>0.31</v>
      </c>
      <c r="E1926" s="566">
        <v>2845</v>
      </c>
      <c r="F1926" s="566">
        <v>13845</v>
      </c>
      <c r="G1926" s="566">
        <v>275</v>
      </c>
      <c r="H1926" s="566">
        <v>1357</v>
      </c>
      <c r="I1926" s="558" t="str">
        <f t="shared" si="29"/>
        <v>GooD</v>
      </c>
    </row>
    <row r="1927" spans="1:9" ht="15.75" thickTop="1">
      <c r="A1927" s="567" t="s">
        <v>639</v>
      </c>
      <c r="B1927" s="567">
        <v>11000</v>
      </c>
      <c r="C1927" s="568">
        <v>12</v>
      </c>
      <c r="D1927" s="568">
        <v>0.31</v>
      </c>
      <c r="E1927" s="568">
        <v>3418</v>
      </c>
      <c r="F1927" s="568">
        <v>14418</v>
      </c>
      <c r="G1927" s="568">
        <v>330</v>
      </c>
      <c r="H1927" s="568">
        <v>1174</v>
      </c>
      <c r="I1927" s="559" t="str">
        <f t="shared" si="29"/>
        <v>GooD</v>
      </c>
    </row>
    <row r="1928" spans="1:9">
      <c r="A1928" s="563" t="s">
        <v>639</v>
      </c>
      <c r="B1928" s="563">
        <v>11500</v>
      </c>
      <c r="C1928" s="564">
        <v>4</v>
      </c>
      <c r="D1928" s="564">
        <v>0.31</v>
      </c>
      <c r="E1928" s="564">
        <v>1191</v>
      </c>
      <c r="F1928" s="564">
        <v>12691</v>
      </c>
      <c r="G1928" s="564">
        <v>115</v>
      </c>
      <c r="H1928" s="564">
        <v>3144</v>
      </c>
      <c r="I1928" s="557" t="str">
        <f t="shared" si="29"/>
        <v>GooD</v>
      </c>
    </row>
    <row r="1929" spans="1:9" ht="15.75" thickBot="1">
      <c r="A1929" s="565" t="s">
        <v>639</v>
      </c>
      <c r="B1929" s="565">
        <v>11500</v>
      </c>
      <c r="C1929" s="566">
        <v>6</v>
      </c>
      <c r="D1929" s="566">
        <v>0.31</v>
      </c>
      <c r="E1929" s="566">
        <v>1789</v>
      </c>
      <c r="F1929" s="566">
        <v>13289</v>
      </c>
      <c r="G1929" s="566">
        <v>173</v>
      </c>
      <c r="H1929" s="566">
        <v>2186</v>
      </c>
      <c r="I1929" s="558" t="str">
        <f t="shared" si="29"/>
        <v>GooD</v>
      </c>
    </row>
    <row r="1930" spans="1:9" ht="15.75" thickTop="1">
      <c r="A1930" s="567" t="s">
        <v>639</v>
      </c>
      <c r="B1930" s="567">
        <v>11500</v>
      </c>
      <c r="C1930" s="568">
        <v>8</v>
      </c>
      <c r="D1930" s="568">
        <v>0.31</v>
      </c>
      <c r="E1930" s="568">
        <v>2378</v>
      </c>
      <c r="F1930" s="568">
        <v>13878</v>
      </c>
      <c r="G1930" s="568">
        <v>230</v>
      </c>
      <c r="H1930" s="568">
        <v>1706</v>
      </c>
      <c r="I1930" s="559" t="str">
        <f t="shared" si="29"/>
        <v>GooD</v>
      </c>
    </row>
    <row r="1931" spans="1:9">
      <c r="A1931" s="563" t="s">
        <v>639</v>
      </c>
      <c r="B1931" s="563">
        <v>11500</v>
      </c>
      <c r="C1931" s="564">
        <v>10</v>
      </c>
      <c r="D1931" s="564">
        <v>0.31</v>
      </c>
      <c r="E1931" s="564">
        <v>2978</v>
      </c>
      <c r="F1931" s="564">
        <v>14478</v>
      </c>
      <c r="G1931" s="564">
        <v>288</v>
      </c>
      <c r="H1931" s="564">
        <v>1419</v>
      </c>
      <c r="I1931" s="557" t="str">
        <f t="shared" si="29"/>
        <v>GooD</v>
      </c>
    </row>
    <row r="1932" spans="1:9" ht="15.75" thickBot="1">
      <c r="A1932" s="565" t="s">
        <v>639</v>
      </c>
      <c r="B1932" s="565">
        <v>11500</v>
      </c>
      <c r="C1932" s="566">
        <v>12</v>
      </c>
      <c r="D1932" s="566">
        <v>0.31</v>
      </c>
      <c r="E1932" s="566">
        <v>3569</v>
      </c>
      <c r="F1932" s="566">
        <v>15069</v>
      </c>
      <c r="G1932" s="566">
        <v>345</v>
      </c>
      <c r="H1932" s="566">
        <v>1227</v>
      </c>
      <c r="I1932" s="558" t="str">
        <f t="shared" si="29"/>
        <v>GooD</v>
      </c>
    </row>
    <row r="1933" spans="1:9" ht="15.75" thickTop="1">
      <c r="A1933" s="567" t="s">
        <v>639</v>
      </c>
      <c r="B1933" s="567">
        <v>12000</v>
      </c>
      <c r="C1933" s="568">
        <v>4</v>
      </c>
      <c r="D1933" s="568">
        <v>0.31</v>
      </c>
      <c r="E1933" s="568">
        <v>1244</v>
      </c>
      <c r="F1933" s="568">
        <v>13244</v>
      </c>
      <c r="G1933" s="568">
        <v>120</v>
      </c>
      <c r="H1933" s="568">
        <v>3281</v>
      </c>
      <c r="I1933" s="559" t="str">
        <f t="shared" si="29"/>
        <v>GooD</v>
      </c>
    </row>
    <row r="1934" spans="1:9">
      <c r="A1934" s="563" t="s">
        <v>639</v>
      </c>
      <c r="B1934" s="563">
        <v>12000</v>
      </c>
      <c r="C1934" s="564">
        <v>6</v>
      </c>
      <c r="D1934" s="564">
        <v>0.31</v>
      </c>
      <c r="E1934" s="564">
        <v>1866</v>
      </c>
      <c r="F1934" s="564">
        <v>13866</v>
      </c>
      <c r="G1934" s="564">
        <v>180</v>
      </c>
      <c r="H1934" s="564">
        <v>2281</v>
      </c>
      <c r="I1934" s="557" t="str">
        <f t="shared" si="29"/>
        <v>GooD</v>
      </c>
    </row>
    <row r="1935" spans="1:9" ht="15.75" thickBot="1">
      <c r="A1935" s="565" t="s">
        <v>639</v>
      </c>
      <c r="B1935" s="565">
        <v>12000</v>
      </c>
      <c r="C1935" s="566">
        <v>8</v>
      </c>
      <c r="D1935" s="566">
        <v>0.31</v>
      </c>
      <c r="E1935" s="566">
        <v>2488</v>
      </c>
      <c r="F1935" s="566">
        <v>14488</v>
      </c>
      <c r="G1935" s="566">
        <v>240</v>
      </c>
      <c r="H1935" s="566">
        <v>1781</v>
      </c>
      <c r="I1935" s="558" t="str">
        <f t="shared" si="29"/>
        <v>GooD</v>
      </c>
    </row>
    <row r="1936" spans="1:9" ht="15.75" thickTop="1">
      <c r="A1936" s="567" t="s">
        <v>639</v>
      </c>
      <c r="B1936" s="567">
        <v>12000</v>
      </c>
      <c r="C1936" s="568">
        <v>10</v>
      </c>
      <c r="D1936" s="568">
        <v>0.31</v>
      </c>
      <c r="E1936" s="568">
        <v>3110</v>
      </c>
      <c r="F1936" s="568">
        <v>15110</v>
      </c>
      <c r="G1936" s="568">
        <v>300</v>
      </c>
      <c r="H1936" s="568">
        <v>1481</v>
      </c>
      <c r="I1936" s="559" t="str">
        <f t="shared" si="29"/>
        <v>GooD</v>
      </c>
    </row>
    <row r="1937" spans="1:9">
      <c r="A1937" s="563" t="s">
        <v>639</v>
      </c>
      <c r="B1937" s="563">
        <v>12000</v>
      </c>
      <c r="C1937" s="564">
        <v>12</v>
      </c>
      <c r="D1937" s="564">
        <v>0.31</v>
      </c>
      <c r="E1937" s="564">
        <v>3732</v>
      </c>
      <c r="F1937" s="564">
        <v>15732</v>
      </c>
      <c r="G1937" s="564">
        <v>360</v>
      </c>
      <c r="H1937" s="564">
        <v>1281</v>
      </c>
      <c r="I1937" s="557" t="str">
        <f t="shared" si="29"/>
        <v>GooD</v>
      </c>
    </row>
    <row r="1938" spans="1:9" ht="15.75" thickBot="1">
      <c r="A1938" s="565" t="s">
        <v>639</v>
      </c>
      <c r="B1938" s="565">
        <v>12500</v>
      </c>
      <c r="C1938" s="566">
        <v>4</v>
      </c>
      <c r="D1938" s="566">
        <v>0.31</v>
      </c>
      <c r="E1938" s="566">
        <v>1293</v>
      </c>
      <c r="F1938" s="566">
        <v>13793</v>
      </c>
      <c r="G1938" s="566">
        <v>125</v>
      </c>
      <c r="H1938" s="566">
        <v>3417</v>
      </c>
      <c r="I1938" s="558" t="str">
        <f t="shared" si="29"/>
        <v>GooD</v>
      </c>
    </row>
    <row r="1939" spans="1:9" ht="15.75" thickTop="1">
      <c r="A1939" s="567" t="s">
        <v>639</v>
      </c>
      <c r="B1939" s="567">
        <v>12500</v>
      </c>
      <c r="C1939" s="568">
        <v>6</v>
      </c>
      <c r="D1939" s="568">
        <v>0.31</v>
      </c>
      <c r="E1939" s="568">
        <v>1944</v>
      </c>
      <c r="F1939" s="568">
        <v>14444</v>
      </c>
      <c r="G1939" s="568">
        <v>188</v>
      </c>
      <c r="H1939" s="568">
        <v>2376</v>
      </c>
      <c r="I1939" s="559" t="str">
        <f t="shared" si="29"/>
        <v>GooD</v>
      </c>
    </row>
    <row r="1940" spans="1:9">
      <c r="A1940" s="563" t="s">
        <v>639</v>
      </c>
      <c r="B1940" s="563">
        <v>12500</v>
      </c>
      <c r="C1940" s="564">
        <v>8</v>
      </c>
      <c r="D1940" s="564">
        <v>0.31</v>
      </c>
      <c r="E1940" s="564">
        <v>2590</v>
      </c>
      <c r="F1940" s="564">
        <v>15090</v>
      </c>
      <c r="G1940" s="564">
        <v>250</v>
      </c>
      <c r="H1940" s="564">
        <v>1855</v>
      </c>
      <c r="I1940" s="557" t="str">
        <f t="shared" si="29"/>
        <v>GooD</v>
      </c>
    </row>
    <row r="1941" spans="1:9" ht="15.75" thickBot="1">
      <c r="A1941" s="565" t="s">
        <v>639</v>
      </c>
      <c r="B1941" s="565">
        <v>12500</v>
      </c>
      <c r="C1941" s="566">
        <v>10</v>
      </c>
      <c r="D1941" s="566">
        <v>0.31</v>
      </c>
      <c r="E1941" s="566">
        <v>3233</v>
      </c>
      <c r="F1941" s="566">
        <v>15733</v>
      </c>
      <c r="G1941" s="566">
        <v>313</v>
      </c>
      <c r="H1941" s="566">
        <v>1542</v>
      </c>
      <c r="I1941" s="558" t="str">
        <f t="shared" si="29"/>
        <v>GooD</v>
      </c>
    </row>
    <row r="1942" spans="1:9" ht="15.75" thickTop="1">
      <c r="A1942" s="567" t="s">
        <v>639</v>
      </c>
      <c r="B1942" s="567">
        <v>12500</v>
      </c>
      <c r="C1942" s="568">
        <v>12</v>
      </c>
      <c r="D1942" s="568">
        <v>0.31</v>
      </c>
      <c r="E1942" s="568">
        <v>3883</v>
      </c>
      <c r="F1942" s="568">
        <v>16383</v>
      </c>
      <c r="G1942" s="568">
        <v>375</v>
      </c>
      <c r="H1942" s="568">
        <v>1334</v>
      </c>
      <c r="I1942" s="559" t="str">
        <f t="shared" si="29"/>
        <v>GooD</v>
      </c>
    </row>
    <row r="1943" spans="1:9">
      <c r="A1943" s="563" t="s">
        <v>639</v>
      </c>
      <c r="B1943" s="563">
        <v>13000</v>
      </c>
      <c r="C1943" s="564">
        <v>4</v>
      </c>
      <c r="D1943" s="564">
        <v>0.31</v>
      </c>
      <c r="E1943" s="564">
        <v>1346</v>
      </c>
      <c r="F1943" s="564">
        <v>14346</v>
      </c>
      <c r="G1943" s="564">
        <v>130</v>
      </c>
      <c r="H1943" s="564">
        <v>3554</v>
      </c>
      <c r="I1943" s="557" t="str">
        <f t="shared" si="29"/>
        <v>GooD</v>
      </c>
    </row>
    <row r="1944" spans="1:9" ht="15.75" thickBot="1">
      <c r="A1944" s="565" t="s">
        <v>639</v>
      </c>
      <c r="B1944" s="565">
        <v>13000</v>
      </c>
      <c r="C1944" s="566">
        <v>6</v>
      </c>
      <c r="D1944" s="566">
        <v>0.31</v>
      </c>
      <c r="E1944" s="566">
        <v>2021</v>
      </c>
      <c r="F1944" s="566">
        <v>15021</v>
      </c>
      <c r="G1944" s="566">
        <v>195</v>
      </c>
      <c r="H1944" s="566">
        <v>2471</v>
      </c>
      <c r="I1944" s="558" t="str">
        <f t="shared" si="29"/>
        <v>GooD</v>
      </c>
    </row>
    <row r="1945" spans="1:9" ht="15.75" thickTop="1">
      <c r="A1945" s="567" t="s">
        <v>639</v>
      </c>
      <c r="B1945" s="567">
        <v>13000</v>
      </c>
      <c r="C1945" s="568">
        <v>8</v>
      </c>
      <c r="D1945" s="568">
        <v>0.31</v>
      </c>
      <c r="E1945" s="568">
        <v>2692</v>
      </c>
      <c r="F1945" s="568">
        <v>15692</v>
      </c>
      <c r="G1945" s="568">
        <v>260</v>
      </c>
      <c r="H1945" s="568">
        <v>1929</v>
      </c>
      <c r="I1945" s="559" t="str">
        <f t="shared" si="29"/>
        <v>GooD</v>
      </c>
    </row>
    <row r="1946" spans="1:9">
      <c r="A1946" s="563" t="s">
        <v>639</v>
      </c>
      <c r="B1946" s="563">
        <v>13000</v>
      </c>
      <c r="C1946" s="564">
        <v>10</v>
      </c>
      <c r="D1946" s="564">
        <v>0.31</v>
      </c>
      <c r="E1946" s="564">
        <v>3365</v>
      </c>
      <c r="F1946" s="564">
        <v>16365</v>
      </c>
      <c r="G1946" s="564">
        <v>325</v>
      </c>
      <c r="H1946" s="564">
        <v>1604</v>
      </c>
      <c r="I1946" s="557" t="str">
        <f t="shared" si="29"/>
        <v>GooD</v>
      </c>
    </row>
    <row r="1947" spans="1:9" ht="15.75" thickBot="1">
      <c r="A1947" s="565" t="s">
        <v>639</v>
      </c>
      <c r="B1947" s="565">
        <v>13000</v>
      </c>
      <c r="C1947" s="566">
        <v>12</v>
      </c>
      <c r="D1947" s="566">
        <v>0.31</v>
      </c>
      <c r="E1947" s="566">
        <v>4034</v>
      </c>
      <c r="F1947" s="566">
        <v>17034</v>
      </c>
      <c r="G1947" s="566">
        <v>390</v>
      </c>
      <c r="H1947" s="566">
        <v>1387</v>
      </c>
      <c r="I1947" s="558" t="str">
        <f t="shared" si="29"/>
        <v>GooD</v>
      </c>
    </row>
    <row r="1948" spans="1:9" ht="15.75" thickTop="1">
      <c r="A1948" s="567" t="s">
        <v>639</v>
      </c>
      <c r="B1948" s="567">
        <v>13500</v>
      </c>
      <c r="C1948" s="568">
        <v>4</v>
      </c>
      <c r="D1948" s="568">
        <v>0.31</v>
      </c>
      <c r="E1948" s="568">
        <v>1399</v>
      </c>
      <c r="F1948" s="568">
        <v>14899</v>
      </c>
      <c r="G1948" s="568">
        <v>135</v>
      </c>
      <c r="H1948" s="568">
        <v>3691</v>
      </c>
      <c r="I1948" s="559" t="str">
        <f t="shared" si="29"/>
        <v>GooD</v>
      </c>
    </row>
    <row r="1949" spans="1:9">
      <c r="A1949" s="563" t="s">
        <v>639</v>
      </c>
      <c r="B1949" s="563">
        <v>13500</v>
      </c>
      <c r="C1949" s="564">
        <v>6</v>
      </c>
      <c r="D1949" s="564">
        <v>0.31</v>
      </c>
      <c r="E1949" s="564">
        <v>2099</v>
      </c>
      <c r="F1949" s="564">
        <v>15599</v>
      </c>
      <c r="G1949" s="564">
        <v>203</v>
      </c>
      <c r="H1949" s="564">
        <v>2566</v>
      </c>
      <c r="I1949" s="557" t="str">
        <f t="shared" si="29"/>
        <v>GooD</v>
      </c>
    </row>
    <row r="1950" spans="1:9" ht="15.75" thickBot="1">
      <c r="A1950" s="565" t="s">
        <v>639</v>
      </c>
      <c r="B1950" s="565">
        <v>13500</v>
      </c>
      <c r="C1950" s="566">
        <v>8</v>
      </c>
      <c r="D1950" s="566">
        <v>0.31</v>
      </c>
      <c r="E1950" s="566">
        <v>2794</v>
      </c>
      <c r="F1950" s="566">
        <v>16294</v>
      </c>
      <c r="G1950" s="566">
        <v>270</v>
      </c>
      <c r="H1950" s="566">
        <v>2003</v>
      </c>
      <c r="I1950" s="558" t="str">
        <f t="shared" si="29"/>
        <v>GooD</v>
      </c>
    </row>
    <row r="1951" spans="1:9" ht="15.75" thickTop="1">
      <c r="A1951" s="567" t="s">
        <v>639</v>
      </c>
      <c r="B1951" s="567">
        <v>13500</v>
      </c>
      <c r="C1951" s="568">
        <v>10</v>
      </c>
      <c r="D1951" s="568">
        <v>0.31</v>
      </c>
      <c r="E1951" s="568">
        <v>3498</v>
      </c>
      <c r="F1951" s="568">
        <v>16998</v>
      </c>
      <c r="G1951" s="568">
        <v>338</v>
      </c>
      <c r="H1951" s="568">
        <v>1666</v>
      </c>
      <c r="I1951" s="559" t="str">
        <f t="shared" si="29"/>
        <v>GooD</v>
      </c>
    </row>
    <row r="1952" spans="1:9">
      <c r="A1952" s="563" t="s">
        <v>639</v>
      </c>
      <c r="B1952" s="563">
        <v>13500</v>
      </c>
      <c r="C1952" s="564">
        <v>12</v>
      </c>
      <c r="D1952" s="564">
        <v>0.31</v>
      </c>
      <c r="E1952" s="564">
        <v>4197</v>
      </c>
      <c r="F1952" s="564">
        <v>17697</v>
      </c>
      <c r="G1952" s="564">
        <v>405</v>
      </c>
      <c r="H1952" s="564">
        <v>1441</v>
      </c>
      <c r="I1952" s="557" t="str">
        <f t="shared" si="29"/>
        <v>GooD</v>
      </c>
    </row>
    <row r="1953" spans="1:9" ht="15.75" thickBot="1">
      <c r="A1953" s="565" t="s">
        <v>639</v>
      </c>
      <c r="B1953" s="565">
        <v>14000</v>
      </c>
      <c r="C1953" s="566">
        <v>4</v>
      </c>
      <c r="D1953" s="566">
        <v>0.31</v>
      </c>
      <c r="E1953" s="566">
        <v>1448</v>
      </c>
      <c r="F1953" s="566">
        <v>15448</v>
      </c>
      <c r="G1953" s="566">
        <v>140</v>
      </c>
      <c r="H1953" s="566">
        <v>3827</v>
      </c>
      <c r="I1953" s="558" t="str">
        <f t="shared" si="29"/>
        <v>GooD</v>
      </c>
    </row>
    <row r="1954" spans="1:9" ht="15.75" thickTop="1">
      <c r="A1954" s="567" t="s">
        <v>639</v>
      </c>
      <c r="B1954" s="567">
        <v>14000</v>
      </c>
      <c r="C1954" s="568">
        <v>6</v>
      </c>
      <c r="D1954" s="568">
        <v>0.31</v>
      </c>
      <c r="E1954" s="568">
        <v>2176</v>
      </c>
      <c r="F1954" s="568">
        <v>16176</v>
      </c>
      <c r="G1954" s="568">
        <v>210</v>
      </c>
      <c r="H1954" s="568">
        <v>2661</v>
      </c>
      <c r="I1954" s="559" t="str">
        <f t="shared" si="29"/>
        <v>GooD</v>
      </c>
    </row>
    <row r="1955" spans="1:9">
      <c r="A1955" s="563" t="s">
        <v>639</v>
      </c>
      <c r="B1955" s="563">
        <v>14000</v>
      </c>
      <c r="C1955" s="564">
        <v>8</v>
      </c>
      <c r="D1955" s="564">
        <v>0.31</v>
      </c>
      <c r="E1955" s="564">
        <v>2896</v>
      </c>
      <c r="F1955" s="564">
        <v>16896</v>
      </c>
      <c r="G1955" s="564">
        <v>280</v>
      </c>
      <c r="H1955" s="564">
        <v>2077</v>
      </c>
      <c r="I1955" s="557" t="str">
        <f t="shared" si="29"/>
        <v>GooD</v>
      </c>
    </row>
    <row r="1956" spans="1:9" ht="15.75" thickBot="1">
      <c r="A1956" s="565" t="s">
        <v>639</v>
      </c>
      <c r="B1956" s="565">
        <v>14000</v>
      </c>
      <c r="C1956" s="566">
        <v>10</v>
      </c>
      <c r="D1956" s="566">
        <v>0.31</v>
      </c>
      <c r="E1956" s="566">
        <v>3620</v>
      </c>
      <c r="F1956" s="566">
        <v>17620</v>
      </c>
      <c r="G1956" s="566">
        <v>350</v>
      </c>
      <c r="H1956" s="566">
        <v>1727</v>
      </c>
      <c r="I1956" s="558" t="str">
        <f t="shared" si="29"/>
        <v>GooD</v>
      </c>
    </row>
    <row r="1957" spans="1:9" ht="15.75" thickTop="1">
      <c r="A1957" s="567" t="s">
        <v>639</v>
      </c>
      <c r="B1957" s="567">
        <v>14000</v>
      </c>
      <c r="C1957" s="568">
        <v>12</v>
      </c>
      <c r="D1957" s="568">
        <v>0.31</v>
      </c>
      <c r="E1957" s="568">
        <v>4348</v>
      </c>
      <c r="F1957" s="568">
        <v>18348</v>
      </c>
      <c r="G1957" s="568">
        <v>420</v>
      </c>
      <c r="H1957" s="568">
        <v>1494</v>
      </c>
      <c r="I1957" s="559" t="str">
        <f t="shared" si="29"/>
        <v>GooD</v>
      </c>
    </row>
    <row r="1958" spans="1:9">
      <c r="A1958" s="563" t="s">
        <v>639</v>
      </c>
      <c r="B1958" s="563">
        <v>14500</v>
      </c>
      <c r="C1958" s="564">
        <v>4</v>
      </c>
      <c r="D1958" s="564">
        <v>0.31</v>
      </c>
      <c r="E1958" s="564">
        <v>1502</v>
      </c>
      <c r="F1958" s="564">
        <v>16002</v>
      </c>
      <c r="G1958" s="564">
        <v>170</v>
      </c>
      <c r="H1958" s="564">
        <v>3958</v>
      </c>
      <c r="I1958" s="557" t="str">
        <f t="shared" si="29"/>
        <v>GooD</v>
      </c>
    </row>
    <row r="1959" spans="1:9" ht="15.75" thickBot="1">
      <c r="A1959" s="565" t="s">
        <v>639</v>
      </c>
      <c r="B1959" s="565">
        <v>14500</v>
      </c>
      <c r="C1959" s="566">
        <v>6</v>
      </c>
      <c r="D1959" s="566">
        <v>0.31</v>
      </c>
      <c r="E1959" s="566">
        <v>2248</v>
      </c>
      <c r="F1959" s="566">
        <v>16748</v>
      </c>
      <c r="G1959" s="566">
        <v>254</v>
      </c>
      <c r="H1959" s="566">
        <v>2749</v>
      </c>
      <c r="I1959" s="558" t="str">
        <f t="shared" si="29"/>
        <v>GooD</v>
      </c>
    </row>
    <row r="1960" spans="1:9" ht="15.75" thickTop="1">
      <c r="A1960" s="567" t="s">
        <v>639</v>
      </c>
      <c r="B1960" s="567">
        <v>14500</v>
      </c>
      <c r="C1960" s="568">
        <v>8</v>
      </c>
      <c r="D1960" s="568">
        <v>0.31</v>
      </c>
      <c r="E1960" s="568">
        <v>2999</v>
      </c>
      <c r="F1960" s="568">
        <v>17499</v>
      </c>
      <c r="G1960" s="568">
        <v>339</v>
      </c>
      <c r="H1960" s="568">
        <v>2145</v>
      </c>
      <c r="I1960" s="559" t="str">
        <f t="shared" si="29"/>
        <v>GooD</v>
      </c>
    </row>
    <row r="1961" spans="1:9">
      <c r="A1961" s="563" t="s">
        <v>639</v>
      </c>
      <c r="B1961" s="563">
        <v>14500</v>
      </c>
      <c r="C1961" s="564">
        <v>10</v>
      </c>
      <c r="D1961" s="564">
        <v>0.31</v>
      </c>
      <c r="E1961" s="564">
        <v>3753</v>
      </c>
      <c r="F1961" s="564">
        <v>18253</v>
      </c>
      <c r="G1961" s="564">
        <v>423</v>
      </c>
      <c r="H1961" s="564">
        <v>1783</v>
      </c>
      <c r="I1961" s="557" t="str">
        <f t="shared" si="29"/>
        <v>GooD</v>
      </c>
    </row>
    <row r="1962" spans="1:9" ht="15.75" thickBot="1">
      <c r="A1962" s="565" t="s">
        <v>639</v>
      </c>
      <c r="B1962" s="565">
        <v>14500</v>
      </c>
      <c r="C1962" s="566">
        <v>12</v>
      </c>
      <c r="D1962" s="566">
        <v>0.31</v>
      </c>
      <c r="E1962" s="566">
        <v>4500</v>
      </c>
      <c r="F1962" s="566">
        <v>19000</v>
      </c>
      <c r="G1962" s="566">
        <v>508</v>
      </c>
      <c r="H1962" s="566">
        <v>1541</v>
      </c>
      <c r="I1962" s="558" t="str">
        <f t="shared" si="29"/>
        <v>GooD</v>
      </c>
    </row>
    <row r="1963" spans="1:9" ht="15.75" thickTop="1">
      <c r="A1963" s="567" t="s">
        <v>639</v>
      </c>
      <c r="B1963" s="567">
        <v>15000</v>
      </c>
      <c r="C1963" s="568">
        <v>4</v>
      </c>
      <c r="D1963" s="568">
        <v>0.31</v>
      </c>
      <c r="E1963" s="568">
        <v>1551</v>
      </c>
      <c r="F1963" s="568">
        <v>16551</v>
      </c>
      <c r="G1963" s="568">
        <v>175</v>
      </c>
      <c r="H1963" s="568">
        <v>4094</v>
      </c>
      <c r="I1963" s="559" t="str">
        <f t="shared" si="29"/>
        <v>GooD</v>
      </c>
    </row>
    <row r="1964" spans="1:9">
      <c r="A1964" s="563" t="s">
        <v>639</v>
      </c>
      <c r="B1964" s="563">
        <v>15000</v>
      </c>
      <c r="C1964" s="564">
        <v>6</v>
      </c>
      <c r="D1964" s="564">
        <v>0.31</v>
      </c>
      <c r="E1964" s="564">
        <v>2327</v>
      </c>
      <c r="F1964" s="564">
        <v>17327</v>
      </c>
      <c r="G1964" s="564">
        <v>263</v>
      </c>
      <c r="H1964" s="564">
        <v>2844</v>
      </c>
      <c r="I1964" s="557" t="str">
        <f t="shared" si="29"/>
        <v>GooD</v>
      </c>
    </row>
    <row r="1965" spans="1:9" ht="15.75" thickBot="1">
      <c r="A1965" s="565" t="s">
        <v>639</v>
      </c>
      <c r="B1965" s="565">
        <v>15000</v>
      </c>
      <c r="C1965" s="566">
        <v>8</v>
      </c>
      <c r="D1965" s="566">
        <v>0.31</v>
      </c>
      <c r="E1965" s="566">
        <v>3102</v>
      </c>
      <c r="F1965" s="566">
        <v>18102</v>
      </c>
      <c r="G1965" s="566">
        <v>350</v>
      </c>
      <c r="H1965" s="566">
        <v>2219</v>
      </c>
      <c r="I1965" s="558" t="str">
        <f t="shared" si="29"/>
        <v>GooD</v>
      </c>
    </row>
    <row r="1966" spans="1:9" ht="15.75" thickTop="1">
      <c r="A1966" s="567" t="s">
        <v>639</v>
      </c>
      <c r="B1966" s="567">
        <v>15000</v>
      </c>
      <c r="C1966" s="568">
        <v>10</v>
      </c>
      <c r="D1966" s="568">
        <v>0.31</v>
      </c>
      <c r="E1966" s="568">
        <v>3878</v>
      </c>
      <c r="F1966" s="568">
        <v>18878</v>
      </c>
      <c r="G1966" s="568">
        <v>438</v>
      </c>
      <c r="H1966" s="568">
        <v>1844</v>
      </c>
      <c r="I1966" s="559" t="str">
        <f t="shared" si="29"/>
        <v>GooD</v>
      </c>
    </row>
    <row r="1967" spans="1:9">
      <c r="A1967" s="563" t="s">
        <v>639</v>
      </c>
      <c r="B1967" s="563">
        <v>15000</v>
      </c>
      <c r="C1967" s="564">
        <v>12</v>
      </c>
      <c r="D1967" s="564">
        <v>0.31</v>
      </c>
      <c r="E1967" s="564">
        <v>4653</v>
      </c>
      <c r="F1967" s="564">
        <v>19653</v>
      </c>
      <c r="G1967" s="564">
        <v>525</v>
      </c>
      <c r="H1967" s="564">
        <v>1594</v>
      </c>
      <c r="I1967" s="557" t="str">
        <f t="shared" si="29"/>
        <v>GooD</v>
      </c>
    </row>
    <row r="1968" spans="1:9" ht="15.75" thickBot="1">
      <c r="A1968" s="565" t="s">
        <v>639</v>
      </c>
      <c r="B1968" s="565">
        <v>15500</v>
      </c>
      <c r="C1968" s="566">
        <v>4</v>
      </c>
      <c r="D1968" s="566">
        <v>0.31</v>
      </c>
      <c r="E1968" s="566">
        <v>1605</v>
      </c>
      <c r="F1968" s="566">
        <v>17105</v>
      </c>
      <c r="G1968" s="566">
        <v>181</v>
      </c>
      <c r="H1968" s="566">
        <v>4231</v>
      </c>
      <c r="I1968" s="558" t="str">
        <f t="shared" si="29"/>
        <v>GooD</v>
      </c>
    </row>
    <row r="1969" spans="1:9" ht="15.75" thickTop="1">
      <c r="A1969" s="567" t="s">
        <v>639</v>
      </c>
      <c r="B1969" s="567">
        <v>15500</v>
      </c>
      <c r="C1969" s="568">
        <v>6</v>
      </c>
      <c r="D1969" s="568">
        <v>0.31</v>
      </c>
      <c r="E1969" s="568">
        <v>2406</v>
      </c>
      <c r="F1969" s="568">
        <v>17906</v>
      </c>
      <c r="G1969" s="568">
        <v>272</v>
      </c>
      <c r="H1969" s="568">
        <v>2939</v>
      </c>
      <c r="I1969" s="559" t="str">
        <f t="shared" si="29"/>
        <v>GooD</v>
      </c>
    </row>
    <row r="1970" spans="1:9">
      <c r="A1970" s="563" t="s">
        <v>639</v>
      </c>
      <c r="B1970" s="563">
        <v>15500</v>
      </c>
      <c r="C1970" s="564">
        <v>8</v>
      </c>
      <c r="D1970" s="564">
        <v>0.31</v>
      </c>
      <c r="E1970" s="564">
        <v>3206</v>
      </c>
      <c r="F1970" s="564">
        <v>18706</v>
      </c>
      <c r="G1970" s="564">
        <v>362</v>
      </c>
      <c r="H1970" s="564">
        <v>2293</v>
      </c>
      <c r="I1970" s="557" t="str">
        <f t="shared" si="29"/>
        <v>GooD</v>
      </c>
    </row>
    <row r="1971" spans="1:9" ht="15.75" thickBot="1">
      <c r="A1971" s="565" t="s">
        <v>639</v>
      </c>
      <c r="B1971" s="565">
        <v>15500</v>
      </c>
      <c r="C1971" s="566">
        <v>10</v>
      </c>
      <c r="D1971" s="566">
        <v>0.31</v>
      </c>
      <c r="E1971" s="566">
        <v>4013</v>
      </c>
      <c r="F1971" s="566">
        <v>19513</v>
      </c>
      <c r="G1971" s="566">
        <v>453</v>
      </c>
      <c r="H1971" s="566">
        <v>1906</v>
      </c>
      <c r="I1971" s="558" t="str">
        <f t="shared" si="29"/>
        <v>GooD</v>
      </c>
    </row>
    <row r="1972" spans="1:9" ht="15.75" thickTop="1">
      <c r="A1972" s="567" t="s">
        <v>639</v>
      </c>
      <c r="B1972" s="567">
        <v>15500</v>
      </c>
      <c r="C1972" s="568">
        <v>12</v>
      </c>
      <c r="D1972" s="568">
        <v>0.31</v>
      </c>
      <c r="E1972" s="568">
        <v>4807</v>
      </c>
      <c r="F1972" s="568">
        <v>20307</v>
      </c>
      <c r="G1972" s="568">
        <v>543</v>
      </c>
      <c r="H1972" s="568">
        <v>1647</v>
      </c>
      <c r="I1972" s="559" t="str">
        <f t="shared" si="29"/>
        <v>GooD</v>
      </c>
    </row>
    <row r="1973" spans="1:9">
      <c r="A1973" s="563" t="s">
        <v>639</v>
      </c>
      <c r="B1973" s="563">
        <v>16000</v>
      </c>
      <c r="C1973" s="564">
        <v>4</v>
      </c>
      <c r="D1973" s="564">
        <v>0.31</v>
      </c>
      <c r="E1973" s="564">
        <v>1655</v>
      </c>
      <c r="F1973" s="564">
        <v>17655</v>
      </c>
      <c r="G1973" s="564">
        <v>187</v>
      </c>
      <c r="H1973" s="564">
        <v>4367</v>
      </c>
      <c r="I1973" s="557" t="str">
        <f t="shared" si="29"/>
        <v>GooD</v>
      </c>
    </row>
    <row r="1974" spans="1:9" ht="15.75" thickBot="1">
      <c r="A1974" s="565" t="s">
        <v>639</v>
      </c>
      <c r="B1974" s="565">
        <v>16000</v>
      </c>
      <c r="C1974" s="566">
        <v>6</v>
      </c>
      <c r="D1974" s="566">
        <v>0.31</v>
      </c>
      <c r="E1974" s="566">
        <v>2484</v>
      </c>
      <c r="F1974" s="566">
        <v>18484</v>
      </c>
      <c r="G1974" s="566">
        <v>280</v>
      </c>
      <c r="H1974" s="566">
        <v>3034</v>
      </c>
      <c r="I1974" s="558" t="str">
        <f t="shared" si="29"/>
        <v>GooD</v>
      </c>
    </row>
    <row r="1975" spans="1:9" ht="15.75" thickTop="1">
      <c r="A1975" s="567" t="s">
        <v>639</v>
      </c>
      <c r="B1975" s="567">
        <v>16000</v>
      </c>
      <c r="C1975" s="568">
        <v>8</v>
      </c>
      <c r="D1975" s="568">
        <v>0.31</v>
      </c>
      <c r="E1975" s="568">
        <v>3310</v>
      </c>
      <c r="F1975" s="568">
        <v>19310</v>
      </c>
      <c r="G1975" s="568">
        <v>374</v>
      </c>
      <c r="H1975" s="568">
        <v>2367</v>
      </c>
      <c r="I1975" s="559" t="str">
        <f t="shared" si="29"/>
        <v>GooD</v>
      </c>
    </row>
    <row r="1976" spans="1:9">
      <c r="A1976" s="563" t="s">
        <v>639</v>
      </c>
      <c r="B1976" s="563">
        <v>16000</v>
      </c>
      <c r="C1976" s="564">
        <v>10</v>
      </c>
      <c r="D1976" s="564">
        <v>0.31</v>
      </c>
      <c r="E1976" s="564">
        <v>4137</v>
      </c>
      <c r="F1976" s="564">
        <v>20137</v>
      </c>
      <c r="G1976" s="564">
        <v>467</v>
      </c>
      <c r="H1976" s="564">
        <v>1967</v>
      </c>
      <c r="I1976" s="557" t="str">
        <f t="shared" si="29"/>
        <v>GooD</v>
      </c>
    </row>
    <row r="1977" spans="1:9" ht="15.75" thickBot="1">
      <c r="A1977" s="565" t="s">
        <v>639</v>
      </c>
      <c r="B1977" s="565">
        <v>16000</v>
      </c>
      <c r="C1977" s="566">
        <v>12</v>
      </c>
      <c r="D1977" s="566">
        <v>0.31</v>
      </c>
      <c r="E1977" s="566">
        <v>4972</v>
      </c>
      <c r="F1977" s="566">
        <v>20972</v>
      </c>
      <c r="G1977" s="566">
        <v>560</v>
      </c>
      <c r="H1977" s="566">
        <v>1701</v>
      </c>
      <c r="I1977" s="558" t="str">
        <f t="shared" si="29"/>
        <v>GooD</v>
      </c>
    </row>
    <row r="1978" spans="1:9" ht="15.75" thickTop="1">
      <c r="A1978" s="567" t="s">
        <v>639</v>
      </c>
      <c r="B1978" s="567">
        <v>16500</v>
      </c>
      <c r="C1978" s="568">
        <v>4</v>
      </c>
      <c r="D1978" s="568">
        <v>0.31</v>
      </c>
      <c r="E1978" s="568">
        <v>1709</v>
      </c>
      <c r="F1978" s="568">
        <v>18209</v>
      </c>
      <c r="G1978" s="568">
        <v>193</v>
      </c>
      <c r="H1978" s="568">
        <v>4504</v>
      </c>
      <c r="I1978" s="559" t="str">
        <f t="shared" si="29"/>
        <v>GooD</v>
      </c>
    </row>
    <row r="1979" spans="1:9">
      <c r="A1979" s="563" t="s">
        <v>639</v>
      </c>
      <c r="B1979" s="563">
        <v>16500</v>
      </c>
      <c r="C1979" s="564">
        <v>6</v>
      </c>
      <c r="D1979" s="564">
        <v>0.31</v>
      </c>
      <c r="E1979" s="564">
        <v>2563</v>
      </c>
      <c r="F1979" s="564">
        <v>19063</v>
      </c>
      <c r="G1979" s="564">
        <v>289</v>
      </c>
      <c r="H1979" s="564">
        <v>3129</v>
      </c>
      <c r="I1979" s="557" t="str">
        <f t="shared" si="29"/>
        <v>GooD</v>
      </c>
    </row>
    <row r="1980" spans="1:9" ht="15.75" thickBot="1">
      <c r="A1980" s="565" t="s">
        <v>639</v>
      </c>
      <c r="B1980" s="565">
        <v>16500</v>
      </c>
      <c r="C1980" s="566">
        <v>8</v>
      </c>
      <c r="D1980" s="566">
        <v>0.31</v>
      </c>
      <c r="E1980" s="566">
        <v>3413</v>
      </c>
      <c r="F1980" s="566">
        <v>19913</v>
      </c>
      <c r="G1980" s="566">
        <v>385</v>
      </c>
      <c r="H1980" s="566">
        <v>2441</v>
      </c>
      <c r="I1980" s="558" t="str">
        <f t="shared" si="29"/>
        <v>GooD</v>
      </c>
    </row>
    <row r="1981" spans="1:9" ht="15.75" thickTop="1">
      <c r="A1981" s="567" t="s">
        <v>639</v>
      </c>
      <c r="B1981" s="567">
        <v>16500</v>
      </c>
      <c r="C1981" s="568">
        <v>10</v>
      </c>
      <c r="D1981" s="568">
        <v>0.31</v>
      </c>
      <c r="E1981" s="568">
        <v>4272</v>
      </c>
      <c r="F1981" s="568">
        <v>20772</v>
      </c>
      <c r="G1981" s="568">
        <v>482</v>
      </c>
      <c r="H1981" s="568">
        <v>2029</v>
      </c>
      <c r="I1981" s="559" t="str">
        <f t="shared" ref="I1981:I2044" si="30">IF(((H1981*C1981)+G1981)=F1981,"GooD","لالالالالالالا")</f>
        <v>GooD</v>
      </c>
    </row>
    <row r="1982" spans="1:9">
      <c r="A1982" s="563" t="s">
        <v>639</v>
      </c>
      <c r="B1982" s="563">
        <v>16500</v>
      </c>
      <c r="C1982" s="564">
        <v>12</v>
      </c>
      <c r="D1982" s="564">
        <v>0.31</v>
      </c>
      <c r="E1982" s="564">
        <v>5126</v>
      </c>
      <c r="F1982" s="564">
        <v>21626</v>
      </c>
      <c r="G1982" s="564">
        <v>578</v>
      </c>
      <c r="H1982" s="564">
        <v>1754</v>
      </c>
      <c r="I1982" s="557" t="str">
        <f t="shared" si="30"/>
        <v>GooD</v>
      </c>
    </row>
    <row r="1983" spans="1:9" ht="15.75" thickBot="1">
      <c r="A1983" s="565" t="s">
        <v>639</v>
      </c>
      <c r="B1983" s="565">
        <v>17000</v>
      </c>
      <c r="C1983" s="566">
        <v>4</v>
      </c>
      <c r="D1983" s="566">
        <v>0.31</v>
      </c>
      <c r="E1983" s="566">
        <v>1759</v>
      </c>
      <c r="F1983" s="566">
        <v>18759</v>
      </c>
      <c r="G1983" s="566">
        <v>199</v>
      </c>
      <c r="H1983" s="566">
        <v>4640</v>
      </c>
      <c r="I1983" s="558" t="str">
        <f t="shared" si="30"/>
        <v>GooD</v>
      </c>
    </row>
    <row r="1984" spans="1:9" ht="15.75" thickTop="1">
      <c r="A1984" s="567" t="s">
        <v>639</v>
      </c>
      <c r="B1984" s="567">
        <v>17000</v>
      </c>
      <c r="C1984" s="568">
        <v>6</v>
      </c>
      <c r="D1984" s="568">
        <v>0.31</v>
      </c>
      <c r="E1984" s="568">
        <v>2636</v>
      </c>
      <c r="F1984" s="568">
        <v>19636</v>
      </c>
      <c r="G1984" s="568">
        <v>298</v>
      </c>
      <c r="H1984" s="568">
        <v>3223</v>
      </c>
      <c r="I1984" s="559" t="str">
        <f t="shared" si="30"/>
        <v>GooD</v>
      </c>
    </row>
    <row r="1985" spans="1:9">
      <c r="A1985" s="563" t="s">
        <v>639</v>
      </c>
      <c r="B1985" s="563">
        <v>17000</v>
      </c>
      <c r="C1985" s="564">
        <v>8</v>
      </c>
      <c r="D1985" s="564">
        <v>0.31</v>
      </c>
      <c r="E1985" s="564">
        <v>3517</v>
      </c>
      <c r="F1985" s="564">
        <v>20517</v>
      </c>
      <c r="G1985" s="564">
        <v>397</v>
      </c>
      <c r="H1985" s="564">
        <v>2515</v>
      </c>
      <c r="I1985" s="557" t="str">
        <f t="shared" si="30"/>
        <v>GooD</v>
      </c>
    </row>
    <row r="1986" spans="1:9" ht="15.75" thickBot="1">
      <c r="A1986" s="565" t="s">
        <v>639</v>
      </c>
      <c r="B1986" s="565">
        <v>17000</v>
      </c>
      <c r="C1986" s="566">
        <v>10</v>
      </c>
      <c r="D1986" s="566">
        <v>0.31</v>
      </c>
      <c r="E1986" s="566">
        <v>4396</v>
      </c>
      <c r="F1986" s="566">
        <v>21396</v>
      </c>
      <c r="G1986" s="566">
        <v>496</v>
      </c>
      <c r="H1986" s="566">
        <v>2090</v>
      </c>
      <c r="I1986" s="558" t="str">
        <f t="shared" si="30"/>
        <v>GooD</v>
      </c>
    </row>
    <row r="1987" spans="1:9" ht="15.75" thickTop="1">
      <c r="A1987" s="567" t="s">
        <v>639</v>
      </c>
      <c r="B1987" s="567">
        <v>17000</v>
      </c>
      <c r="C1987" s="568">
        <v>12</v>
      </c>
      <c r="D1987" s="568">
        <v>0.31</v>
      </c>
      <c r="E1987" s="568">
        <v>5279</v>
      </c>
      <c r="F1987" s="568">
        <v>22279</v>
      </c>
      <c r="G1987" s="568">
        <v>595</v>
      </c>
      <c r="H1987" s="568">
        <v>1807</v>
      </c>
      <c r="I1987" s="559" t="str">
        <f t="shared" si="30"/>
        <v>GooD</v>
      </c>
    </row>
    <row r="1988" spans="1:9">
      <c r="A1988" s="563" t="s">
        <v>639</v>
      </c>
      <c r="B1988" s="563">
        <v>17500</v>
      </c>
      <c r="C1988" s="564">
        <v>4</v>
      </c>
      <c r="D1988" s="564">
        <v>0.31</v>
      </c>
      <c r="E1988" s="564">
        <v>1813</v>
      </c>
      <c r="F1988" s="564">
        <v>19313</v>
      </c>
      <c r="G1988" s="564">
        <v>205</v>
      </c>
      <c r="H1988" s="564">
        <v>4777</v>
      </c>
      <c r="I1988" s="557" t="str">
        <f t="shared" si="30"/>
        <v>GooD</v>
      </c>
    </row>
    <row r="1989" spans="1:9" ht="15.75" thickBot="1">
      <c r="A1989" s="565" t="s">
        <v>639</v>
      </c>
      <c r="B1989" s="565">
        <v>17500</v>
      </c>
      <c r="C1989" s="566">
        <v>6</v>
      </c>
      <c r="D1989" s="566">
        <v>0.31</v>
      </c>
      <c r="E1989" s="566">
        <v>2715</v>
      </c>
      <c r="F1989" s="566">
        <v>20215</v>
      </c>
      <c r="G1989" s="566">
        <v>307</v>
      </c>
      <c r="H1989" s="566">
        <v>3318</v>
      </c>
      <c r="I1989" s="558" t="str">
        <f t="shared" si="30"/>
        <v>GooD</v>
      </c>
    </row>
    <row r="1990" spans="1:9" ht="15.75" thickTop="1">
      <c r="A1990" s="567" t="s">
        <v>639</v>
      </c>
      <c r="B1990" s="567">
        <v>17500</v>
      </c>
      <c r="C1990" s="568">
        <v>8</v>
      </c>
      <c r="D1990" s="568">
        <v>0.31</v>
      </c>
      <c r="E1990" s="568">
        <v>3621</v>
      </c>
      <c r="F1990" s="568">
        <v>21121</v>
      </c>
      <c r="G1990" s="568">
        <v>409</v>
      </c>
      <c r="H1990" s="568">
        <v>2589</v>
      </c>
      <c r="I1990" s="559" t="str">
        <f t="shared" si="30"/>
        <v>GooD</v>
      </c>
    </row>
    <row r="1991" spans="1:9">
      <c r="A1991" s="563" t="s">
        <v>639</v>
      </c>
      <c r="B1991" s="563">
        <v>17500</v>
      </c>
      <c r="C1991" s="564">
        <v>10</v>
      </c>
      <c r="D1991" s="564">
        <v>0.31</v>
      </c>
      <c r="E1991" s="564">
        <v>4531</v>
      </c>
      <c r="F1991" s="564">
        <v>22031</v>
      </c>
      <c r="G1991" s="564">
        <v>511</v>
      </c>
      <c r="H1991" s="564">
        <v>2152</v>
      </c>
      <c r="I1991" s="557" t="str">
        <f t="shared" si="30"/>
        <v>GooD</v>
      </c>
    </row>
    <row r="1992" spans="1:9" ht="15.75" thickBot="1">
      <c r="A1992" s="565" t="s">
        <v>639</v>
      </c>
      <c r="B1992" s="565">
        <v>17500</v>
      </c>
      <c r="C1992" s="566">
        <v>12</v>
      </c>
      <c r="D1992" s="566">
        <v>0.31</v>
      </c>
      <c r="E1992" s="566">
        <v>5433</v>
      </c>
      <c r="F1992" s="566">
        <v>22933</v>
      </c>
      <c r="G1992" s="566">
        <v>613</v>
      </c>
      <c r="H1992" s="566">
        <v>1860</v>
      </c>
      <c r="I1992" s="558" t="str">
        <f t="shared" si="30"/>
        <v>GooD</v>
      </c>
    </row>
    <row r="1993" spans="1:9" ht="15.75" thickTop="1">
      <c r="A1993" s="567" t="s">
        <v>639</v>
      </c>
      <c r="B1993" s="567">
        <v>18000</v>
      </c>
      <c r="C1993" s="568">
        <v>4</v>
      </c>
      <c r="D1993" s="568">
        <v>0.31</v>
      </c>
      <c r="E1993" s="568">
        <v>1862</v>
      </c>
      <c r="F1993" s="568">
        <v>19862</v>
      </c>
      <c r="G1993" s="568">
        <v>210</v>
      </c>
      <c r="H1993" s="568">
        <v>4913</v>
      </c>
      <c r="I1993" s="559" t="str">
        <f t="shared" si="30"/>
        <v>GooD</v>
      </c>
    </row>
    <row r="1994" spans="1:9">
      <c r="A1994" s="563" t="s">
        <v>639</v>
      </c>
      <c r="B1994" s="563">
        <v>18000</v>
      </c>
      <c r="C1994" s="564">
        <v>6</v>
      </c>
      <c r="D1994" s="564">
        <v>0.31</v>
      </c>
      <c r="E1994" s="564">
        <v>2793</v>
      </c>
      <c r="F1994" s="564">
        <v>20793</v>
      </c>
      <c r="G1994" s="564">
        <v>315</v>
      </c>
      <c r="H1994" s="564">
        <v>3413</v>
      </c>
      <c r="I1994" s="557" t="str">
        <f t="shared" si="30"/>
        <v>GooD</v>
      </c>
    </row>
    <row r="1995" spans="1:9" ht="15.75" thickBot="1">
      <c r="A1995" s="565" t="s">
        <v>639</v>
      </c>
      <c r="B1995" s="565">
        <v>18000</v>
      </c>
      <c r="C1995" s="566">
        <v>8</v>
      </c>
      <c r="D1995" s="566">
        <v>0.31</v>
      </c>
      <c r="E1995" s="566">
        <v>3724</v>
      </c>
      <c r="F1995" s="566">
        <v>21724</v>
      </c>
      <c r="G1995" s="566">
        <v>420</v>
      </c>
      <c r="H1995" s="566">
        <v>2663</v>
      </c>
      <c r="I1995" s="558" t="str">
        <f t="shared" si="30"/>
        <v>GooD</v>
      </c>
    </row>
    <row r="1996" spans="1:9" ht="15.75" thickTop="1">
      <c r="A1996" s="567" t="s">
        <v>639</v>
      </c>
      <c r="B1996" s="567">
        <v>18000</v>
      </c>
      <c r="C1996" s="568">
        <v>10</v>
      </c>
      <c r="D1996" s="568">
        <v>0.31</v>
      </c>
      <c r="E1996" s="568">
        <v>4655</v>
      </c>
      <c r="F1996" s="568">
        <v>22655</v>
      </c>
      <c r="G1996" s="568">
        <v>525</v>
      </c>
      <c r="H1996" s="568">
        <v>2213</v>
      </c>
      <c r="I1996" s="559" t="str">
        <f t="shared" si="30"/>
        <v>GooD</v>
      </c>
    </row>
    <row r="1997" spans="1:9">
      <c r="A1997" s="563" t="s">
        <v>639</v>
      </c>
      <c r="B1997" s="563">
        <v>18000</v>
      </c>
      <c r="C1997" s="564">
        <v>12</v>
      </c>
      <c r="D1997" s="564">
        <v>0.31</v>
      </c>
      <c r="E1997" s="564">
        <v>5586</v>
      </c>
      <c r="F1997" s="564">
        <v>23586</v>
      </c>
      <c r="G1997" s="564">
        <v>630</v>
      </c>
      <c r="H1997" s="564">
        <v>1913</v>
      </c>
      <c r="I1997" s="557" t="str">
        <f t="shared" si="30"/>
        <v>GooD</v>
      </c>
    </row>
    <row r="1998" spans="1:9" ht="15.75" thickBot="1">
      <c r="A1998" s="565" t="s">
        <v>639</v>
      </c>
      <c r="B1998" s="565">
        <v>18500</v>
      </c>
      <c r="C1998" s="566">
        <v>4</v>
      </c>
      <c r="D1998" s="566">
        <v>0.31</v>
      </c>
      <c r="E1998" s="566">
        <v>1912</v>
      </c>
      <c r="F1998" s="566">
        <v>20412</v>
      </c>
      <c r="G1998" s="566">
        <v>216</v>
      </c>
      <c r="H1998" s="566">
        <v>5049</v>
      </c>
      <c r="I1998" s="558" t="str">
        <f t="shared" si="30"/>
        <v>GooD</v>
      </c>
    </row>
    <row r="1999" spans="1:9" ht="15.75" thickTop="1">
      <c r="A1999" s="567" t="s">
        <v>639</v>
      </c>
      <c r="B1999" s="567">
        <v>18500</v>
      </c>
      <c r="C1999" s="568">
        <v>6</v>
      </c>
      <c r="D1999" s="568">
        <v>0.31</v>
      </c>
      <c r="E1999" s="568">
        <v>2872</v>
      </c>
      <c r="F1999" s="568">
        <v>21372</v>
      </c>
      <c r="G1999" s="568">
        <v>324</v>
      </c>
      <c r="H1999" s="568">
        <v>3508</v>
      </c>
      <c r="I1999" s="559" t="str">
        <f t="shared" si="30"/>
        <v>GooD</v>
      </c>
    </row>
    <row r="2000" spans="1:9">
      <c r="A2000" s="563" t="s">
        <v>639</v>
      </c>
      <c r="B2000" s="563">
        <v>18500</v>
      </c>
      <c r="C2000" s="564">
        <v>8</v>
      </c>
      <c r="D2000" s="564">
        <v>0.31</v>
      </c>
      <c r="E2000" s="564">
        <v>3828</v>
      </c>
      <c r="F2000" s="564">
        <v>22328</v>
      </c>
      <c r="G2000" s="564">
        <v>432</v>
      </c>
      <c r="H2000" s="564">
        <v>2737</v>
      </c>
      <c r="I2000" s="557" t="str">
        <f t="shared" si="30"/>
        <v>GooD</v>
      </c>
    </row>
    <row r="2001" spans="1:9" ht="15.75" thickBot="1">
      <c r="A2001" s="565" t="s">
        <v>639</v>
      </c>
      <c r="B2001" s="565">
        <v>18500</v>
      </c>
      <c r="C2001" s="566">
        <v>10</v>
      </c>
      <c r="D2001" s="566">
        <v>0.31</v>
      </c>
      <c r="E2001" s="566">
        <v>4780</v>
      </c>
      <c r="F2001" s="566">
        <v>23280</v>
      </c>
      <c r="G2001" s="566">
        <v>540</v>
      </c>
      <c r="H2001" s="566">
        <v>2274</v>
      </c>
      <c r="I2001" s="558" t="str">
        <f t="shared" si="30"/>
        <v>GooD</v>
      </c>
    </row>
    <row r="2002" spans="1:9" ht="15.75" thickTop="1">
      <c r="A2002" s="567" t="s">
        <v>639</v>
      </c>
      <c r="B2002" s="567">
        <v>18500</v>
      </c>
      <c r="C2002" s="568">
        <v>12</v>
      </c>
      <c r="D2002" s="568">
        <v>0.31</v>
      </c>
      <c r="E2002" s="568">
        <v>5740</v>
      </c>
      <c r="F2002" s="568">
        <v>24240</v>
      </c>
      <c r="G2002" s="568">
        <v>648</v>
      </c>
      <c r="H2002" s="568">
        <v>1966</v>
      </c>
      <c r="I2002" s="559" t="str">
        <f t="shared" si="30"/>
        <v>GooD</v>
      </c>
    </row>
    <row r="2003" spans="1:9">
      <c r="A2003" s="563" t="s">
        <v>639</v>
      </c>
      <c r="B2003" s="563">
        <v>19000</v>
      </c>
      <c r="C2003" s="564">
        <v>4</v>
      </c>
      <c r="D2003" s="564">
        <v>0.31</v>
      </c>
      <c r="E2003" s="564">
        <v>1966</v>
      </c>
      <c r="F2003" s="564">
        <v>20966</v>
      </c>
      <c r="G2003" s="564">
        <v>222</v>
      </c>
      <c r="H2003" s="564">
        <v>5186</v>
      </c>
      <c r="I2003" s="557" t="str">
        <f t="shared" si="30"/>
        <v>GooD</v>
      </c>
    </row>
    <row r="2004" spans="1:9" ht="15.75" thickBot="1">
      <c r="A2004" s="565" t="s">
        <v>639</v>
      </c>
      <c r="B2004" s="565">
        <v>19000</v>
      </c>
      <c r="C2004" s="566">
        <v>6</v>
      </c>
      <c r="D2004" s="566">
        <v>0.31</v>
      </c>
      <c r="E2004" s="566">
        <v>2951</v>
      </c>
      <c r="F2004" s="566">
        <v>21951</v>
      </c>
      <c r="G2004" s="566">
        <v>333</v>
      </c>
      <c r="H2004" s="566">
        <v>3603</v>
      </c>
      <c r="I2004" s="558" t="str">
        <f t="shared" si="30"/>
        <v>GooD</v>
      </c>
    </row>
    <row r="2005" spans="1:9" ht="15.75" thickTop="1">
      <c r="A2005" s="567" t="s">
        <v>639</v>
      </c>
      <c r="B2005" s="567">
        <v>19000</v>
      </c>
      <c r="C2005" s="568">
        <v>8</v>
      </c>
      <c r="D2005" s="568">
        <v>0.31</v>
      </c>
      <c r="E2005" s="568">
        <v>3932</v>
      </c>
      <c r="F2005" s="568">
        <v>22932</v>
      </c>
      <c r="G2005" s="568">
        <v>444</v>
      </c>
      <c r="H2005" s="568">
        <v>2811</v>
      </c>
      <c r="I2005" s="559" t="str">
        <f t="shared" si="30"/>
        <v>GooD</v>
      </c>
    </row>
    <row r="2006" spans="1:9">
      <c r="A2006" s="563" t="s">
        <v>639</v>
      </c>
      <c r="B2006" s="563">
        <v>19000</v>
      </c>
      <c r="C2006" s="564">
        <v>10</v>
      </c>
      <c r="D2006" s="564">
        <v>0.31</v>
      </c>
      <c r="E2006" s="564">
        <v>4915</v>
      </c>
      <c r="F2006" s="564">
        <v>23915</v>
      </c>
      <c r="G2006" s="564">
        <v>555</v>
      </c>
      <c r="H2006" s="564">
        <v>2336</v>
      </c>
      <c r="I2006" s="557" t="str">
        <f t="shared" si="30"/>
        <v>GooD</v>
      </c>
    </row>
    <row r="2007" spans="1:9" ht="15.75" thickBot="1">
      <c r="A2007" s="565" t="s">
        <v>639</v>
      </c>
      <c r="B2007" s="565">
        <v>19000</v>
      </c>
      <c r="C2007" s="566">
        <v>12</v>
      </c>
      <c r="D2007" s="566">
        <v>0.31</v>
      </c>
      <c r="E2007" s="566">
        <v>5893</v>
      </c>
      <c r="F2007" s="566">
        <v>24893</v>
      </c>
      <c r="G2007" s="566">
        <v>665</v>
      </c>
      <c r="H2007" s="566">
        <v>2019</v>
      </c>
      <c r="I2007" s="558" t="str">
        <f t="shared" si="30"/>
        <v>GooD</v>
      </c>
    </row>
    <row r="2008" spans="1:9" ht="15.75" thickTop="1">
      <c r="A2008" s="567" t="s">
        <v>639</v>
      </c>
      <c r="B2008" s="567">
        <v>19500</v>
      </c>
      <c r="C2008" s="568">
        <v>4</v>
      </c>
      <c r="D2008" s="568">
        <v>0.31</v>
      </c>
      <c r="E2008" s="568">
        <v>2016</v>
      </c>
      <c r="F2008" s="568">
        <v>21516</v>
      </c>
      <c r="G2008" s="568">
        <v>228</v>
      </c>
      <c r="H2008" s="568">
        <v>5322</v>
      </c>
      <c r="I2008" s="559" t="str">
        <f t="shared" si="30"/>
        <v>GooD</v>
      </c>
    </row>
    <row r="2009" spans="1:9">
      <c r="A2009" s="563" t="s">
        <v>639</v>
      </c>
      <c r="B2009" s="563">
        <v>19500</v>
      </c>
      <c r="C2009" s="564">
        <v>6</v>
      </c>
      <c r="D2009" s="564">
        <v>0.31</v>
      </c>
      <c r="E2009" s="564">
        <v>3024</v>
      </c>
      <c r="F2009" s="564">
        <v>22524</v>
      </c>
      <c r="G2009" s="564">
        <v>342</v>
      </c>
      <c r="H2009" s="564">
        <v>3697</v>
      </c>
      <c r="I2009" s="557" t="str">
        <f t="shared" si="30"/>
        <v>GooD</v>
      </c>
    </row>
    <row r="2010" spans="1:9" ht="15.75" thickBot="1">
      <c r="A2010" s="565" t="s">
        <v>639</v>
      </c>
      <c r="B2010" s="565">
        <v>19500</v>
      </c>
      <c r="C2010" s="566">
        <v>8</v>
      </c>
      <c r="D2010" s="566">
        <v>0.31</v>
      </c>
      <c r="E2010" s="566">
        <v>4035</v>
      </c>
      <c r="F2010" s="566">
        <v>23535</v>
      </c>
      <c r="G2010" s="566">
        <v>455</v>
      </c>
      <c r="H2010" s="566">
        <v>2885</v>
      </c>
      <c r="I2010" s="558" t="str">
        <f t="shared" si="30"/>
        <v>GooD</v>
      </c>
    </row>
    <row r="2011" spans="1:9" ht="15.75" thickTop="1">
      <c r="A2011" s="567" t="s">
        <v>639</v>
      </c>
      <c r="B2011" s="567">
        <v>19500</v>
      </c>
      <c r="C2011" s="568">
        <v>10</v>
      </c>
      <c r="D2011" s="568">
        <v>0.31</v>
      </c>
      <c r="E2011" s="568">
        <v>5039</v>
      </c>
      <c r="F2011" s="568">
        <v>24539</v>
      </c>
      <c r="G2011" s="568">
        <v>569</v>
      </c>
      <c r="H2011" s="568">
        <v>2397</v>
      </c>
      <c r="I2011" s="559" t="str">
        <f t="shared" si="30"/>
        <v>GooD</v>
      </c>
    </row>
    <row r="2012" spans="1:9">
      <c r="A2012" s="563" t="s">
        <v>639</v>
      </c>
      <c r="B2012" s="563">
        <v>19500</v>
      </c>
      <c r="C2012" s="564">
        <v>12</v>
      </c>
      <c r="D2012" s="564">
        <v>0.31</v>
      </c>
      <c r="E2012" s="564">
        <v>6047</v>
      </c>
      <c r="F2012" s="564">
        <v>25547</v>
      </c>
      <c r="G2012" s="564">
        <v>683</v>
      </c>
      <c r="H2012" s="564">
        <v>2072</v>
      </c>
      <c r="I2012" s="557" t="str">
        <f t="shared" si="30"/>
        <v>GooD</v>
      </c>
    </row>
    <row r="2013" spans="1:9" ht="15.75" thickBot="1">
      <c r="A2013" s="565" t="s">
        <v>639</v>
      </c>
      <c r="B2013" s="565">
        <v>20000</v>
      </c>
      <c r="C2013" s="566">
        <v>4</v>
      </c>
      <c r="D2013" s="566">
        <v>0.31</v>
      </c>
      <c r="E2013" s="566">
        <v>2070</v>
      </c>
      <c r="F2013" s="566">
        <v>22070</v>
      </c>
      <c r="G2013" s="566">
        <v>234</v>
      </c>
      <c r="H2013" s="566">
        <v>5459</v>
      </c>
      <c r="I2013" s="558" t="str">
        <f t="shared" si="30"/>
        <v>GooD</v>
      </c>
    </row>
    <row r="2014" spans="1:9" ht="15.75" thickTop="1">
      <c r="A2014" s="567" t="s">
        <v>639</v>
      </c>
      <c r="B2014" s="567">
        <v>20000</v>
      </c>
      <c r="C2014" s="568">
        <v>6</v>
      </c>
      <c r="D2014" s="568">
        <v>0.31</v>
      </c>
      <c r="E2014" s="568">
        <v>3102</v>
      </c>
      <c r="F2014" s="568">
        <v>23102</v>
      </c>
      <c r="G2014" s="568">
        <v>350</v>
      </c>
      <c r="H2014" s="568">
        <v>3792</v>
      </c>
      <c r="I2014" s="559" t="str">
        <f t="shared" si="30"/>
        <v>GooD</v>
      </c>
    </row>
    <row r="2015" spans="1:9">
      <c r="A2015" s="563" t="s">
        <v>639</v>
      </c>
      <c r="B2015" s="563">
        <v>20000</v>
      </c>
      <c r="C2015" s="564">
        <v>8</v>
      </c>
      <c r="D2015" s="564">
        <v>0.31</v>
      </c>
      <c r="E2015" s="564">
        <v>4139</v>
      </c>
      <c r="F2015" s="564">
        <v>24139</v>
      </c>
      <c r="G2015" s="564">
        <v>467</v>
      </c>
      <c r="H2015" s="564">
        <v>2959</v>
      </c>
      <c r="I2015" s="557" t="str">
        <f t="shared" si="30"/>
        <v>GooD</v>
      </c>
    </row>
    <row r="2016" spans="1:9" ht="15.75" thickBot="1">
      <c r="A2016" s="565" t="s">
        <v>639</v>
      </c>
      <c r="B2016" s="565">
        <v>20000</v>
      </c>
      <c r="C2016" s="566">
        <v>10</v>
      </c>
      <c r="D2016" s="566">
        <v>0.31</v>
      </c>
      <c r="E2016" s="566">
        <v>5174</v>
      </c>
      <c r="F2016" s="566">
        <v>25174</v>
      </c>
      <c r="G2016" s="566">
        <v>584</v>
      </c>
      <c r="H2016" s="566">
        <v>2459</v>
      </c>
      <c r="I2016" s="558" t="str">
        <f t="shared" si="30"/>
        <v>GooD</v>
      </c>
    </row>
    <row r="2017" spans="1:9" ht="15.75" thickTop="1">
      <c r="A2017" s="567" t="s">
        <v>639</v>
      </c>
      <c r="B2017" s="567">
        <v>20000</v>
      </c>
      <c r="C2017" s="568">
        <v>12</v>
      </c>
      <c r="D2017" s="568">
        <v>0.31</v>
      </c>
      <c r="E2017" s="568">
        <v>6212</v>
      </c>
      <c r="F2017" s="568">
        <v>26212</v>
      </c>
      <c r="G2017" s="568">
        <v>700</v>
      </c>
      <c r="H2017" s="568">
        <v>2126</v>
      </c>
      <c r="I2017" s="559" t="str">
        <f t="shared" si="30"/>
        <v>GooD</v>
      </c>
    </row>
    <row r="2018" spans="1:9">
      <c r="A2018" s="563" t="s">
        <v>639</v>
      </c>
      <c r="B2018" s="563">
        <v>20000</v>
      </c>
      <c r="C2018" s="564">
        <v>14</v>
      </c>
      <c r="D2018" s="564">
        <v>0.31</v>
      </c>
      <c r="E2018" s="564">
        <v>7235</v>
      </c>
      <c r="F2018" s="564">
        <v>27235</v>
      </c>
      <c r="G2018" s="564">
        <v>817</v>
      </c>
      <c r="H2018" s="564">
        <v>1887</v>
      </c>
      <c r="I2018" s="557" t="str">
        <f t="shared" si="30"/>
        <v>GooD</v>
      </c>
    </row>
    <row r="2019" spans="1:9" ht="15.75" thickBot="1">
      <c r="A2019" s="565" t="s">
        <v>639</v>
      </c>
      <c r="B2019" s="565">
        <v>20000</v>
      </c>
      <c r="C2019" s="566">
        <v>16</v>
      </c>
      <c r="D2019" s="566">
        <v>0.31</v>
      </c>
      <c r="E2019" s="566">
        <v>8278</v>
      </c>
      <c r="F2019" s="566">
        <v>28278</v>
      </c>
      <c r="G2019" s="566">
        <v>934</v>
      </c>
      <c r="H2019" s="566">
        <v>1709</v>
      </c>
      <c r="I2019" s="558" t="str">
        <f t="shared" si="30"/>
        <v>GooD</v>
      </c>
    </row>
    <row r="2020" spans="1:9" ht="15.75" thickTop="1">
      <c r="A2020" s="567" t="s">
        <v>639</v>
      </c>
      <c r="B2020" s="567">
        <v>20000</v>
      </c>
      <c r="C2020" s="568">
        <v>18</v>
      </c>
      <c r="D2020" s="568">
        <v>0.31</v>
      </c>
      <c r="E2020" s="568">
        <v>9310</v>
      </c>
      <c r="F2020" s="568">
        <v>29310</v>
      </c>
      <c r="G2020" s="568">
        <v>1050</v>
      </c>
      <c r="H2020" s="568">
        <v>1570</v>
      </c>
      <c r="I2020" s="559" t="str">
        <f t="shared" si="30"/>
        <v>GooD</v>
      </c>
    </row>
    <row r="2021" spans="1:9">
      <c r="A2021" s="563" t="s">
        <v>639</v>
      </c>
      <c r="B2021" s="563">
        <v>20000</v>
      </c>
      <c r="C2021" s="564">
        <v>20</v>
      </c>
      <c r="D2021" s="564">
        <v>0.31</v>
      </c>
      <c r="E2021" s="564">
        <v>10347</v>
      </c>
      <c r="F2021" s="564">
        <v>30347</v>
      </c>
      <c r="G2021" s="564">
        <v>1167</v>
      </c>
      <c r="H2021" s="564">
        <v>1459</v>
      </c>
      <c r="I2021" s="557" t="str">
        <f t="shared" si="30"/>
        <v>GooD</v>
      </c>
    </row>
    <row r="2022" spans="1:9" ht="15.75" thickBot="1">
      <c r="A2022" s="565" t="s">
        <v>639</v>
      </c>
      <c r="B2022" s="565">
        <v>20000</v>
      </c>
      <c r="C2022" s="566">
        <v>22</v>
      </c>
      <c r="D2022" s="566">
        <v>0.31</v>
      </c>
      <c r="E2022" s="566">
        <v>11380</v>
      </c>
      <c r="F2022" s="566">
        <v>31380</v>
      </c>
      <c r="G2022" s="566">
        <v>1284</v>
      </c>
      <c r="H2022" s="566">
        <v>1368</v>
      </c>
      <c r="I2022" s="558" t="str">
        <f t="shared" si="30"/>
        <v>GooD</v>
      </c>
    </row>
    <row r="2023" spans="1:9" ht="15.75" thickTop="1">
      <c r="A2023" s="567" t="s">
        <v>639</v>
      </c>
      <c r="B2023" s="567">
        <v>20000</v>
      </c>
      <c r="C2023" s="568">
        <v>24</v>
      </c>
      <c r="D2023" s="568">
        <v>0.31</v>
      </c>
      <c r="E2023" s="568">
        <v>12408</v>
      </c>
      <c r="F2023" s="568">
        <v>32408</v>
      </c>
      <c r="G2023" s="568">
        <v>1400</v>
      </c>
      <c r="H2023" s="568">
        <v>1292</v>
      </c>
      <c r="I2023" s="559" t="str">
        <f t="shared" si="30"/>
        <v>GooD</v>
      </c>
    </row>
    <row r="2024" spans="1:9">
      <c r="A2024" s="563" t="s">
        <v>639</v>
      </c>
      <c r="B2024" s="563">
        <v>21000</v>
      </c>
      <c r="C2024" s="564">
        <v>4</v>
      </c>
      <c r="D2024" s="564">
        <v>0.31</v>
      </c>
      <c r="E2024" s="564">
        <v>2173</v>
      </c>
      <c r="F2024" s="564">
        <v>23173</v>
      </c>
      <c r="G2024" s="564">
        <v>245</v>
      </c>
      <c r="H2024" s="564">
        <v>5732</v>
      </c>
      <c r="I2024" s="557" t="str">
        <f t="shared" si="30"/>
        <v>GooD</v>
      </c>
    </row>
    <row r="2025" spans="1:9" ht="15.75" thickBot="1">
      <c r="A2025" s="565" t="s">
        <v>639</v>
      </c>
      <c r="B2025" s="565">
        <v>21000</v>
      </c>
      <c r="C2025" s="566">
        <v>6</v>
      </c>
      <c r="D2025" s="566">
        <v>0.31</v>
      </c>
      <c r="E2025" s="566">
        <v>3260</v>
      </c>
      <c r="F2025" s="566">
        <v>24260</v>
      </c>
      <c r="G2025" s="566">
        <v>368</v>
      </c>
      <c r="H2025" s="566">
        <v>3982</v>
      </c>
      <c r="I2025" s="558" t="str">
        <f t="shared" si="30"/>
        <v>GooD</v>
      </c>
    </row>
    <row r="2026" spans="1:9" ht="15.75" thickTop="1">
      <c r="A2026" s="567" t="s">
        <v>639</v>
      </c>
      <c r="B2026" s="567">
        <v>21000</v>
      </c>
      <c r="C2026" s="568">
        <v>8</v>
      </c>
      <c r="D2026" s="568">
        <v>0.31</v>
      </c>
      <c r="E2026" s="568">
        <v>4346</v>
      </c>
      <c r="F2026" s="568">
        <v>25346</v>
      </c>
      <c r="G2026" s="568">
        <v>490</v>
      </c>
      <c r="H2026" s="568">
        <v>3107</v>
      </c>
      <c r="I2026" s="559" t="str">
        <f t="shared" si="30"/>
        <v>GooD</v>
      </c>
    </row>
    <row r="2027" spans="1:9">
      <c r="A2027" s="563" t="s">
        <v>639</v>
      </c>
      <c r="B2027" s="563">
        <v>21000</v>
      </c>
      <c r="C2027" s="564">
        <v>10</v>
      </c>
      <c r="D2027" s="564">
        <v>0.31</v>
      </c>
      <c r="E2027" s="564">
        <v>5433</v>
      </c>
      <c r="F2027" s="564">
        <v>26433</v>
      </c>
      <c r="G2027" s="564">
        <v>613</v>
      </c>
      <c r="H2027" s="564">
        <v>2582</v>
      </c>
      <c r="I2027" s="557" t="str">
        <f t="shared" si="30"/>
        <v>GooD</v>
      </c>
    </row>
    <row r="2028" spans="1:9">
      <c r="A2028" s="563" t="s">
        <v>639</v>
      </c>
      <c r="B2028" s="563">
        <v>21000</v>
      </c>
      <c r="C2028" s="564">
        <v>12</v>
      </c>
      <c r="D2028" s="564">
        <v>0.31</v>
      </c>
      <c r="E2028" s="564">
        <v>6519</v>
      </c>
      <c r="F2028" s="564">
        <v>27519</v>
      </c>
      <c r="G2028" s="564">
        <v>735</v>
      </c>
      <c r="H2028" s="564">
        <v>2232</v>
      </c>
      <c r="I2028" s="557" t="str">
        <f t="shared" si="30"/>
        <v>GooD</v>
      </c>
    </row>
    <row r="2029" spans="1:9">
      <c r="A2029" s="563" t="s">
        <v>639</v>
      </c>
      <c r="B2029" s="563">
        <v>21000</v>
      </c>
      <c r="C2029" s="564">
        <v>14</v>
      </c>
      <c r="D2029" s="564">
        <v>0.31</v>
      </c>
      <c r="E2029" s="564">
        <v>7606</v>
      </c>
      <c r="F2029" s="564">
        <v>28606</v>
      </c>
      <c r="G2029" s="564">
        <v>858</v>
      </c>
      <c r="H2029" s="564">
        <v>1982</v>
      </c>
      <c r="I2029" s="557" t="str">
        <f t="shared" si="30"/>
        <v>GooD</v>
      </c>
    </row>
    <row r="2030" spans="1:9" ht="15.75" thickBot="1">
      <c r="A2030" s="565" t="s">
        <v>639</v>
      </c>
      <c r="B2030" s="565">
        <v>21000</v>
      </c>
      <c r="C2030" s="566">
        <v>16</v>
      </c>
      <c r="D2030" s="566">
        <v>0.31</v>
      </c>
      <c r="E2030" s="566">
        <v>8684</v>
      </c>
      <c r="F2030" s="566">
        <v>29684</v>
      </c>
      <c r="G2030" s="566">
        <v>980</v>
      </c>
      <c r="H2030" s="566">
        <v>1794</v>
      </c>
      <c r="I2030" s="558" t="str">
        <f t="shared" si="30"/>
        <v>GooD</v>
      </c>
    </row>
    <row r="2031" spans="1:9" ht="15.75" thickTop="1">
      <c r="A2031" s="567" t="s">
        <v>639</v>
      </c>
      <c r="B2031" s="567">
        <v>21000</v>
      </c>
      <c r="C2031" s="568">
        <v>18</v>
      </c>
      <c r="D2031" s="568">
        <v>0.31</v>
      </c>
      <c r="E2031" s="568">
        <v>9767</v>
      </c>
      <c r="F2031" s="568">
        <v>30767</v>
      </c>
      <c r="G2031" s="568">
        <v>1103</v>
      </c>
      <c r="H2031" s="568">
        <v>1648</v>
      </c>
      <c r="I2031" s="559" t="str">
        <f t="shared" si="30"/>
        <v>GooD</v>
      </c>
    </row>
    <row r="2032" spans="1:9">
      <c r="A2032" s="563" t="s">
        <v>639</v>
      </c>
      <c r="B2032" s="563">
        <v>21000</v>
      </c>
      <c r="C2032" s="564">
        <v>20</v>
      </c>
      <c r="D2032" s="564">
        <v>0.31</v>
      </c>
      <c r="E2032" s="564">
        <v>10865</v>
      </c>
      <c r="F2032" s="564">
        <v>31865</v>
      </c>
      <c r="G2032" s="564">
        <v>1225</v>
      </c>
      <c r="H2032" s="564">
        <v>1532</v>
      </c>
      <c r="I2032" s="557" t="str">
        <f t="shared" si="30"/>
        <v>GooD</v>
      </c>
    </row>
    <row r="2033" spans="1:9">
      <c r="A2033" s="563" t="s">
        <v>639</v>
      </c>
      <c r="B2033" s="563">
        <v>21000</v>
      </c>
      <c r="C2033" s="564">
        <v>22</v>
      </c>
      <c r="D2033" s="564">
        <v>0.31</v>
      </c>
      <c r="E2033" s="564">
        <v>11940</v>
      </c>
      <c r="F2033" s="564">
        <v>32940</v>
      </c>
      <c r="G2033" s="564">
        <v>1348</v>
      </c>
      <c r="H2033" s="564">
        <v>1436</v>
      </c>
      <c r="I2033" s="557" t="str">
        <f t="shared" si="30"/>
        <v>GooD</v>
      </c>
    </row>
    <row r="2034" spans="1:9">
      <c r="A2034" s="563" t="s">
        <v>639</v>
      </c>
      <c r="B2034" s="563">
        <v>21000</v>
      </c>
      <c r="C2034" s="564">
        <v>24</v>
      </c>
      <c r="D2034" s="564">
        <v>0.31</v>
      </c>
      <c r="E2034" s="564">
        <v>13038</v>
      </c>
      <c r="F2034" s="564">
        <v>34038</v>
      </c>
      <c r="G2034" s="564">
        <v>1470</v>
      </c>
      <c r="H2034" s="564">
        <v>1357</v>
      </c>
      <c r="I2034" s="557" t="str">
        <f t="shared" si="30"/>
        <v>GooD</v>
      </c>
    </row>
    <row r="2035" spans="1:9" ht="15.75" thickBot="1">
      <c r="A2035" s="565" t="s">
        <v>639</v>
      </c>
      <c r="B2035" s="565">
        <v>22000</v>
      </c>
      <c r="C2035" s="566">
        <v>4</v>
      </c>
      <c r="D2035" s="566">
        <v>0.31</v>
      </c>
      <c r="E2035" s="566">
        <v>2277</v>
      </c>
      <c r="F2035" s="566">
        <v>24277</v>
      </c>
      <c r="G2035" s="566">
        <v>257</v>
      </c>
      <c r="H2035" s="566">
        <v>6005</v>
      </c>
      <c r="I2035" s="558" t="str">
        <f t="shared" si="30"/>
        <v>GooD</v>
      </c>
    </row>
    <row r="2036" spans="1:9" ht="15.75" thickTop="1">
      <c r="A2036" s="567" t="s">
        <v>639</v>
      </c>
      <c r="B2036" s="567">
        <v>22000</v>
      </c>
      <c r="C2036" s="568">
        <v>6</v>
      </c>
      <c r="D2036" s="568">
        <v>0.31</v>
      </c>
      <c r="E2036" s="568">
        <v>3411</v>
      </c>
      <c r="F2036" s="568">
        <v>25411</v>
      </c>
      <c r="G2036" s="568">
        <v>385</v>
      </c>
      <c r="H2036" s="568">
        <v>4171</v>
      </c>
      <c r="I2036" s="559" t="str">
        <f t="shared" si="30"/>
        <v>GooD</v>
      </c>
    </row>
    <row r="2037" spans="1:9">
      <c r="A2037" s="563" t="s">
        <v>639</v>
      </c>
      <c r="B2037" s="563">
        <v>22000</v>
      </c>
      <c r="C2037" s="564">
        <v>8</v>
      </c>
      <c r="D2037" s="564">
        <v>0.31</v>
      </c>
      <c r="E2037" s="564">
        <v>4554</v>
      </c>
      <c r="F2037" s="564">
        <v>26554</v>
      </c>
      <c r="G2037" s="564">
        <v>514</v>
      </c>
      <c r="H2037" s="564">
        <v>3255</v>
      </c>
      <c r="I2037" s="557" t="str">
        <f t="shared" si="30"/>
        <v>GooD</v>
      </c>
    </row>
    <row r="2038" spans="1:9">
      <c r="A2038" s="563" t="s">
        <v>639</v>
      </c>
      <c r="B2038" s="563">
        <v>22000</v>
      </c>
      <c r="C2038" s="564">
        <v>10</v>
      </c>
      <c r="D2038" s="564">
        <v>0.31</v>
      </c>
      <c r="E2038" s="564">
        <v>5692</v>
      </c>
      <c r="F2038" s="564">
        <v>27692</v>
      </c>
      <c r="G2038" s="564">
        <v>642</v>
      </c>
      <c r="H2038" s="564">
        <v>2705</v>
      </c>
      <c r="I2038" s="557" t="str">
        <f t="shared" si="30"/>
        <v>GooD</v>
      </c>
    </row>
    <row r="2039" spans="1:9">
      <c r="A2039" s="563" t="s">
        <v>639</v>
      </c>
      <c r="B2039" s="563">
        <v>22000</v>
      </c>
      <c r="C2039" s="564">
        <v>12</v>
      </c>
      <c r="D2039" s="564">
        <v>0.31</v>
      </c>
      <c r="E2039" s="564">
        <v>6826</v>
      </c>
      <c r="F2039" s="564">
        <v>28826</v>
      </c>
      <c r="G2039" s="564">
        <v>770</v>
      </c>
      <c r="H2039" s="564">
        <v>2338</v>
      </c>
      <c r="I2039" s="557" t="str">
        <f t="shared" si="30"/>
        <v>GooD</v>
      </c>
    </row>
    <row r="2040" spans="1:9" ht="15.75" thickBot="1">
      <c r="A2040" s="565" t="s">
        <v>639</v>
      </c>
      <c r="B2040" s="565">
        <v>22000</v>
      </c>
      <c r="C2040" s="566">
        <v>14</v>
      </c>
      <c r="D2040" s="566">
        <v>0.31</v>
      </c>
      <c r="E2040" s="566">
        <v>7963</v>
      </c>
      <c r="F2040" s="566">
        <v>29963</v>
      </c>
      <c r="G2040" s="566">
        <v>899</v>
      </c>
      <c r="H2040" s="566">
        <v>2076</v>
      </c>
      <c r="I2040" s="558" t="str">
        <f t="shared" si="30"/>
        <v>GooD</v>
      </c>
    </row>
    <row r="2041" spans="1:9" ht="15.75" thickTop="1">
      <c r="A2041" s="567" t="s">
        <v>639</v>
      </c>
      <c r="B2041" s="567">
        <v>22000</v>
      </c>
      <c r="C2041" s="568">
        <v>16</v>
      </c>
      <c r="D2041" s="568">
        <v>0.31</v>
      </c>
      <c r="E2041" s="568">
        <v>9107</v>
      </c>
      <c r="F2041" s="568">
        <v>31107</v>
      </c>
      <c r="G2041" s="568">
        <v>1027</v>
      </c>
      <c r="H2041" s="568">
        <v>1880</v>
      </c>
      <c r="I2041" s="559" t="str">
        <f t="shared" si="30"/>
        <v>GooD</v>
      </c>
    </row>
    <row r="2042" spans="1:9">
      <c r="A2042" s="563" t="s">
        <v>639</v>
      </c>
      <c r="B2042" s="563">
        <v>22000</v>
      </c>
      <c r="C2042" s="564">
        <v>18</v>
      </c>
      <c r="D2042" s="564">
        <v>0.31</v>
      </c>
      <c r="E2042" s="564">
        <v>10241</v>
      </c>
      <c r="F2042" s="564">
        <v>32241</v>
      </c>
      <c r="G2042" s="564">
        <v>1155</v>
      </c>
      <c r="H2042" s="564">
        <v>1727</v>
      </c>
      <c r="I2042" s="557" t="str">
        <f t="shared" si="30"/>
        <v>GooD</v>
      </c>
    </row>
    <row r="2043" spans="1:9">
      <c r="A2043" s="563" t="s">
        <v>639</v>
      </c>
      <c r="B2043" s="563">
        <v>22000</v>
      </c>
      <c r="C2043" s="564">
        <v>20</v>
      </c>
      <c r="D2043" s="564">
        <v>0.31</v>
      </c>
      <c r="E2043" s="564">
        <v>11384</v>
      </c>
      <c r="F2043" s="564">
        <v>33384</v>
      </c>
      <c r="G2043" s="564">
        <v>1284</v>
      </c>
      <c r="H2043" s="564">
        <v>1605</v>
      </c>
      <c r="I2043" s="557" t="str">
        <f t="shared" si="30"/>
        <v>GooD</v>
      </c>
    </row>
    <row r="2044" spans="1:9">
      <c r="A2044" s="563" t="s">
        <v>639</v>
      </c>
      <c r="B2044" s="563">
        <v>22000</v>
      </c>
      <c r="C2044" s="564">
        <v>22</v>
      </c>
      <c r="D2044" s="564">
        <v>0.31</v>
      </c>
      <c r="E2044" s="564">
        <v>12522</v>
      </c>
      <c r="F2044" s="564">
        <v>34522</v>
      </c>
      <c r="G2044" s="564">
        <v>1412</v>
      </c>
      <c r="H2044" s="564">
        <v>1505</v>
      </c>
      <c r="I2044" s="557" t="str">
        <f t="shared" si="30"/>
        <v>GooD</v>
      </c>
    </row>
    <row r="2045" spans="1:9" ht="15.75" thickBot="1">
      <c r="A2045" s="565" t="s">
        <v>639</v>
      </c>
      <c r="B2045" s="565">
        <v>22000</v>
      </c>
      <c r="C2045" s="566">
        <v>24</v>
      </c>
      <c r="D2045" s="566">
        <v>0.31</v>
      </c>
      <c r="E2045" s="566">
        <v>13644</v>
      </c>
      <c r="F2045" s="566">
        <v>35644</v>
      </c>
      <c r="G2045" s="566">
        <v>1540</v>
      </c>
      <c r="H2045" s="566">
        <v>1421</v>
      </c>
      <c r="I2045" s="558" t="str">
        <f t="shared" ref="I2045:I2108" si="31">IF(((H2045*C2045)+G2045)=F2045,"GooD","لالالالالالالا")</f>
        <v>GooD</v>
      </c>
    </row>
    <row r="2046" spans="1:9" ht="15.75" thickTop="1">
      <c r="A2046" s="567" t="s">
        <v>639</v>
      </c>
      <c r="B2046" s="567">
        <v>23000</v>
      </c>
      <c r="C2046" s="568">
        <v>4</v>
      </c>
      <c r="D2046" s="568">
        <v>0.31</v>
      </c>
      <c r="E2046" s="568">
        <v>2381</v>
      </c>
      <c r="F2046" s="568">
        <v>25381</v>
      </c>
      <c r="G2046" s="568">
        <v>269</v>
      </c>
      <c r="H2046" s="568">
        <v>6278</v>
      </c>
      <c r="I2046" s="559" t="str">
        <f t="shared" si="31"/>
        <v>GooD</v>
      </c>
    </row>
    <row r="2047" spans="1:9">
      <c r="A2047" s="563" t="s">
        <v>639</v>
      </c>
      <c r="B2047" s="563">
        <v>23000</v>
      </c>
      <c r="C2047" s="564">
        <v>6</v>
      </c>
      <c r="D2047" s="564">
        <v>0.31</v>
      </c>
      <c r="E2047" s="564">
        <v>3569</v>
      </c>
      <c r="F2047" s="564">
        <v>26569</v>
      </c>
      <c r="G2047" s="564">
        <v>403</v>
      </c>
      <c r="H2047" s="564">
        <v>4361</v>
      </c>
      <c r="I2047" s="557" t="str">
        <f t="shared" si="31"/>
        <v>GooD</v>
      </c>
    </row>
    <row r="2048" spans="1:9">
      <c r="A2048" s="563" t="s">
        <v>639</v>
      </c>
      <c r="B2048" s="563">
        <v>23000</v>
      </c>
      <c r="C2048" s="564">
        <v>8</v>
      </c>
      <c r="D2048" s="564">
        <v>0.31</v>
      </c>
      <c r="E2048" s="564">
        <v>4761</v>
      </c>
      <c r="F2048" s="564">
        <v>27761</v>
      </c>
      <c r="G2048" s="564">
        <v>537</v>
      </c>
      <c r="H2048" s="564">
        <v>3403</v>
      </c>
      <c r="I2048" s="557" t="str">
        <f t="shared" si="31"/>
        <v>GooD</v>
      </c>
    </row>
    <row r="2049" spans="1:9">
      <c r="A2049" s="563" t="s">
        <v>639</v>
      </c>
      <c r="B2049" s="563">
        <v>23000</v>
      </c>
      <c r="C2049" s="564">
        <v>10</v>
      </c>
      <c r="D2049" s="564">
        <v>0.31</v>
      </c>
      <c r="E2049" s="564">
        <v>5951</v>
      </c>
      <c r="F2049" s="564">
        <v>28951</v>
      </c>
      <c r="G2049" s="564">
        <v>671</v>
      </c>
      <c r="H2049" s="564">
        <v>2828</v>
      </c>
      <c r="I2049" s="557" t="str">
        <f t="shared" si="31"/>
        <v>GooD</v>
      </c>
    </row>
    <row r="2050" spans="1:9" ht="15.75" thickBot="1">
      <c r="A2050" s="571" t="s">
        <v>639</v>
      </c>
      <c r="B2050" s="571">
        <v>23000</v>
      </c>
      <c r="C2050" s="572">
        <v>12</v>
      </c>
      <c r="D2050" s="572">
        <v>0.31</v>
      </c>
      <c r="E2050" s="572">
        <v>7133</v>
      </c>
      <c r="F2050" s="572">
        <v>30133</v>
      </c>
      <c r="G2050" s="572">
        <v>805</v>
      </c>
      <c r="H2050" s="572">
        <v>2444</v>
      </c>
      <c r="I2050" s="561" t="str">
        <f t="shared" si="31"/>
        <v>GooD</v>
      </c>
    </row>
    <row r="2051" spans="1:9" ht="15.75" thickTop="1">
      <c r="A2051" s="567" t="s">
        <v>639</v>
      </c>
      <c r="B2051" s="567">
        <v>23000</v>
      </c>
      <c r="C2051" s="568">
        <v>14</v>
      </c>
      <c r="D2051" s="568">
        <v>0.31</v>
      </c>
      <c r="E2051" s="568">
        <v>8320</v>
      </c>
      <c r="F2051" s="568">
        <v>31320</v>
      </c>
      <c r="G2051" s="568">
        <v>940</v>
      </c>
      <c r="H2051" s="568">
        <v>2170</v>
      </c>
      <c r="I2051" s="559" t="str">
        <f t="shared" si="31"/>
        <v>GooD</v>
      </c>
    </row>
    <row r="2052" spans="1:9">
      <c r="A2052" s="563" t="s">
        <v>639</v>
      </c>
      <c r="B2052" s="563">
        <v>23000</v>
      </c>
      <c r="C2052" s="564">
        <v>16</v>
      </c>
      <c r="D2052" s="564">
        <v>0.31</v>
      </c>
      <c r="E2052" s="564">
        <v>9514</v>
      </c>
      <c r="F2052" s="564">
        <v>32514</v>
      </c>
      <c r="G2052" s="564">
        <v>1074</v>
      </c>
      <c r="H2052" s="564">
        <v>1965</v>
      </c>
      <c r="I2052" s="557" t="str">
        <f t="shared" si="31"/>
        <v>GooD</v>
      </c>
    </row>
    <row r="2053" spans="1:9">
      <c r="A2053" s="563" t="s">
        <v>639</v>
      </c>
      <c r="B2053" s="563">
        <v>23000</v>
      </c>
      <c r="C2053" s="564">
        <v>18</v>
      </c>
      <c r="D2053" s="564">
        <v>0.31</v>
      </c>
      <c r="E2053" s="564">
        <v>10698</v>
      </c>
      <c r="F2053" s="564">
        <v>33698</v>
      </c>
      <c r="G2053" s="564">
        <v>1208</v>
      </c>
      <c r="H2053" s="564">
        <v>1805</v>
      </c>
      <c r="I2053" s="557" t="str">
        <f t="shared" si="31"/>
        <v>GooD</v>
      </c>
    </row>
    <row r="2054" spans="1:9">
      <c r="A2054" s="563" t="s">
        <v>639</v>
      </c>
      <c r="B2054" s="563">
        <v>23000</v>
      </c>
      <c r="C2054" s="564">
        <v>20</v>
      </c>
      <c r="D2054" s="564">
        <v>0.31</v>
      </c>
      <c r="E2054" s="564">
        <v>11902</v>
      </c>
      <c r="F2054" s="564">
        <v>34902</v>
      </c>
      <c r="G2054" s="564">
        <v>1342</v>
      </c>
      <c r="H2054" s="564">
        <v>1678</v>
      </c>
      <c r="I2054" s="557" t="str">
        <f t="shared" si="31"/>
        <v>GooD</v>
      </c>
    </row>
    <row r="2055" spans="1:9" ht="15.75" thickBot="1">
      <c r="A2055" s="565" t="s">
        <v>639</v>
      </c>
      <c r="B2055" s="565">
        <v>23000</v>
      </c>
      <c r="C2055" s="566">
        <v>22</v>
      </c>
      <c r="D2055" s="566">
        <v>0.31</v>
      </c>
      <c r="E2055" s="566">
        <v>13082</v>
      </c>
      <c r="F2055" s="566">
        <v>36082</v>
      </c>
      <c r="G2055" s="566">
        <v>1476</v>
      </c>
      <c r="H2055" s="566">
        <v>1573</v>
      </c>
      <c r="I2055" s="558" t="str">
        <f t="shared" si="31"/>
        <v>GooD</v>
      </c>
    </row>
    <row r="2056" spans="1:9" ht="15.75" thickTop="1">
      <c r="A2056" s="567" t="s">
        <v>639</v>
      </c>
      <c r="B2056" s="567">
        <v>23000</v>
      </c>
      <c r="C2056" s="568">
        <v>24</v>
      </c>
      <c r="D2056" s="568">
        <v>0.31</v>
      </c>
      <c r="E2056" s="568">
        <v>14274</v>
      </c>
      <c r="F2056" s="568">
        <v>37274</v>
      </c>
      <c r="G2056" s="568">
        <v>1610</v>
      </c>
      <c r="H2056" s="568">
        <v>1486</v>
      </c>
      <c r="I2056" s="559" t="str">
        <f t="shared" si="31"/>
        <v>GooD</v>
      </c>
    </row>
    <row r="2057" spans="1:9">
      <c r="A2057" s="563" t="s">
        <v>639</v>
      </c>
      <c r="B2057" s="563">
        <v>24000</v>
      </c>
      <c r="C2057" s="564">
        <v>4</v>
      </c>
      <c r="D2057" s="564">
        <v>0.31</v>
      </c>
      <c r="E2057" s="564">
        <v>2484</v>
      </c>
      <c r="F2057" s="564">
        <v>26484</v>
      </c>
      <c r="G2057" s="564">
        <v>280</v>
      </c>
      <c r="H2057" s="564">
        <v>6551</v>
      </c>
      <c r="I2057" s="557" t="str">
        <f t="shared" si="31"/>
        <v>GooD</v>
      </c>
    </row>
    <row r="2058" spans="1:9">
      <c r="A2058" s="563" t="s">
        <v>639</v>
      </c>
      <c r="B2058" s="563">
        <v>24000</v>
      </c>
      <c r="C2058" s="564">
        <v>6</v>
      </c>
      <c r="D2058" s="564">
        <v>0.31</v>
      </c>
      <c r="E2058" s="564">
        <v>3726</v>
      </c>
      <c r="F2058" s="564">
        <v>27726</v>
      </c>
      <c r="G2058" s="564">
        <v>420</v>
      </c>
      <c r="H2058" s="564">
        <v>4551</v>
      </c>
      <c r="I2058" s="557" t="str">
        <f t="shared" si="31"/>
        <v>GooD</v>
      </c>
    </row>
    <row r="2059" spans="1:9">
      <c r="A2059" s="563" t="s">
        <v>639</v>
      </c>
      <c r="B2059" s="563">
        <v>24000</v>
      </c>
      <c r="C2059" s="564">
        <v>8</v>
      </c>
      <c r="D2059" s="564">
        <v>0.31</v>
      </c>
      <c r="E2059" s="564">
        <v>4968</v>
      </c>
      <c r="F2059" s="564">
        <v>28968</v>
      </c>
      <c r="G2059" s="564">
        <v>560</v>
      </c>
      <c r="H2059" s="564">
        <v>3551</v>
      </c>
      <c r="I2059" s="557" t="str">
        <f t="shared" si="31"/>
        <v>GooD</v>
      </c>
    </row>
    <row r="2060" spans="1:9" ht="15.75" thickBot="1">
      <c r="A2060" s="565" t="s">
        <v>639</v>
      </c>
      <c r="B2060" s="565">
        <v>24000</v>
      </c>
      <c r="C2060" s="566">
        <v>10</v>
      </c>
      <c r="D2060" s="566">
        <v>0.31</v>
      </c>
      <c r="E2060" s="566">
        <v>6210</v>
      </c>
      <c r="F2060" s="566">
        <v>30210</v>
      </c>
      <c r="G2060" s="566">
        <v>700</v>
      </c>
      <c r="H2060" s="566">
        <v>2951</v>
      </c>
      <c r="I2060" s="558" t="str">
        <f t="shared" si="31"/>
        <v>GooD</v>
      </c>
    </row>
    <row r="2061" spans="1:9" ht="15.75" thickTop="1">
      <c r="A2061" s="567" t="s">
        <v>639</v>
      </c>
      <c r="B2061" s="567">
        <v>24000</v>
      </c>
      <c r="C2061" s="568">
        <v>12</v>
      </c>
      <c r="D2061" s="568">
        <v>0.31</v>
      </c>
      <c r="E2061" s="568">
        <v>7452</v>
      </c>
      <c r="F2061" s="568">
        <v>31452</v>
      </c>
      <c r="G2061" s="568">
        <v>840</v>
      </c>
      <c r="H2061" s="568">
        <v>2551</v>
      </c>
      <c r="I2061" s="559" t="str">
        <f t="shared" si="31"/>
        <v>GooD</v>
      </c>
    </row>
    <row r="2062" spans="1:9">
      <c r="A2062" s="563" t="s">
        <v>639</v>
      </c>
      <c r="B2062" s="563">
        <v>24000</v>
      </c>
      <c r="C2062" s="564">
        <v>14</v>
      </c>
      <c r="D2062" s="564">
        <v>0.31</v>
      </c>
      <c r="E2062" s="564">
        <v>8690</v>
      </c>
      <c r="F2062" s="564">
        <v>32690</v>
      </c>
      <c r="G2062" s="564">
        <v>980</v>
      </c>
      <c r="H2062" s="564">
        <v>2265</v>
      </c>
      <c r="I2062" s="557" t="str">
        <f t="shared" si="31"/>
        <v>GooD</v>
      </c>
    </row>
    <row r="2063" spans="1:9">
      <c r="A2063" s="563" t="s">
        <v>639</v>
      </c>
      <c r="B2063" s="563">
        <v>24000</v>
      </c>
      <c r="C2063" s="564">
        <v>16</v>
      </c>
      <c r="D2063" s="564">
        <v>0.31</v>
      </c>
      <c r="E2063" s="564">
        <v>9936</v>
      </c>
      <c r="F2063" s="564">
        <v>33936</v>
      </c>
      <c r="G2063" s="564">
        <v>1120</v>
      </c>
      <c r="H2063" s="564">
        <v>2051</v>
      </c>
      <c r="I2063" s="557" t="str">
        <f t="shared" si="31"/>
        <v>GooD</v>
      </c>
    </row>
    <row r="2064" spans="1:9">
      <c r="A2064" s="563" t="s">
        <v>639</v>
      </c>
      <c r="B2064" s="563">
        <v>24000</v>
      </c>
      <c r="C2064" s="564">
        <v>18</v>
      </c>
      <c r="D2064" s="564">
        <v>0.31</v>
      </c>
      <c r="E2064" s="564">
        <v>11172</v>
      </c>
      <c r="F2064" s="564">
        <v>35172</v>
      </c>
      <c r="G2064" s="564">
        <v>1260</v>
      </c>
      <c r="H2064" s="564">
        <v>1884</v>
      </c>
      <c r="I2064" s="557" t="str">
        <f t="shared" si="31"/>
        <v>GooD</v>
      </c>
    </row>
    <row r="2065" spans="1:9" ht="15.75" thickBot="1">
      <c r="A2065" s="565" t="s">
        <v>639</v>
      </c>
      <c r="B2065" s="565">
        <v>24000</v>
      </c>
      <c r="C2065" s="566">
        <v>20</v>
      </c>
      <c r="D2065" s="566">
        <v>0.31</v>
      </c>
      <c r="E2065" s="566">
        <v>12420</v>
      </c>
      <c r="F2065" s="566">
        <v>36420</v>
      </c>
      <c r="G2065" s="566">
        <v>1400</v>
      </c>
      <c r="H2065" s="566">
        <v>1751</v>
      </c>
      <c r="I2065" s="558" t="str">
        <f t="shared" si="31"/>
        <v>GooD</v>
      </c>
    </row>
    <row r="2066" spans="1:9" ht="15.75" thickTop="1">
      <c r="A2066" s="567" t="s">
        <v>639</v>
      </c>
      <c r="B2066" s="567">
        <v>24000</v>
      </c>
      <c r="C2066" s="568">
        <v>22</v>
      </c>
      <c r="D2066" s="568">
        <v>0.31</v>
      </c>
      <c r="E2066" s="568">
        <v>13642</v>
      </c>
      <c r="F2066" s="568">
        <v>37642</v>
      </c>
      <c r="G2066" s="568">
        <v>1540</v>
      </c>
      <c r="H2066" s="568">
        <v>1641</v>
      </c>
      <c r="I2066" s="559" t="str">
        <f t="shared" si="31"/>
        <v>GooD</v>
      </c>
    </row>
    <row r="2067" spans="1:9">
      <c r="A2067" s="563" t="s">
        <v>639</v>
      </c>
      <c r="B2067" s="563">
        <v>24000</v>
      </c>
      <c r="C2067" s="564">
        <v>24</v>
      </c>
      <c r="D2067" s="564">
        <v>0.31</v>
      </c>
      <c r="E2067" s="564">
        <v>14904</v>
      </c>
      <c r="F2067" s="564">
        <v>38904</v>
      </c>
      <c r="G2067" s="564">
        <v>1680</v>
      </c>
      <c r="H2067" s="564">
        <v>1551</v>
      </c>
      <c r="I2067" s="557" t="str">
        <f t="shared" si="31"/>
        <v>GooD</v>
      </c>
    </row>
    <row r="2068" spans="1:9">
      <c r="A2068" s="563" t="s">
        <v>639</v>
      </c>
      <c r="B2068" s="563">
        <v>25000</v>
      </c>
      <c r="C2068" s="564">
        <v>4</v>
      </c>
      <c r="D2068" s="564">
        <v>0.31</v>
      </c>
      <c r="E2068" s="564">
        <v>2584</v>
      </c>
      <c r="F2068" s="564">
        <v>27584</v>
      </c>
      <c r="G2068" s="564">
        <v>292</v>
      </c>
      <c r="H2068" s="564">
        <v>6823</v>
      </c>
      <c r="I2068" s="557" t="str">
        <f t="shared" si="31"/>
        <v>GooD</v>
      </c>
    </row>
    <row r="2069" spans="1:9">
      <c r="A2069" s="563" t="s">
        <v>639</v>
      </c>
      <c r="B2069" s="563">
        <v>25000</v>
      </c>
      <c r="C2069" s="564">
        <v>6</v>
      </c>
      <c r="D2069" s="564">
        <v>0.31</v>
      </c>
      <c r="E2069" s="564">
        <v>3878</v>
      </c>
      <c r="F2069" s="564">
        <v>28878</v>
      </c>
      <c r="G2069" s="564">
        <v>438</v>
      </c>
      <c r="H2069" s="564">
        <v>4740</v>
      </c>
      <c r="I2069" s="557" t="str">
        <f t="shared" si="31"/>
        <v>GooD</v>
      </c>
    </row>
    <row r="2070" spans="1:9" ht="15.75" thickBot="1">
      <c r="A2070" s="565" t="s">
        <v>639</v>
      </c>
      <c r="B2070" s="565">
        <v>25000</v>
      </c>
      <c r="C2070" s="566">
        <v>8</v>
      </c>
      <c r="D2070" s="566">
        <v>0.31</v>
      </c>
      <c r="E2070" s="566">
        <v>5168</v>
      </c>
      <c r="F2070" s="566">
        <v>30168</v>
      </c>
      <c r="G2070" s="566">
        <v>584</v>
      </c>
      <c r="H2070" s="566">
        <v>3698</v>
      </c>
      <c r="I2070" s="558" t="str">
        <f t="shared" si="31"/>
        <v>GooD</v>
      </c>
    </row>
    <row r="2071" spans="1:9" ht="15.75" thickTop="1">
      <c r="A2071" s="567" t="s">
        <v>639</v>
      </c>
      <c r="B2071" s="567">
        <v>25000</v>
      </c>
      <c r="C2071" s="568">
        <v>10</v>
      </c>
      <c r="D2071" s="568">
        <v>0.31</v>
      </c>
      <c r="E2071" s="568">
        <v>6460</v>
      </c>
      <c r="F2071" s="568">
        <v>31460</v>
      </c>
      <c r="G2071" s="568">
        <v>730</v>
      </c>
      <c r="H2071" s="568">
        <v>3073</v>
      </c>
      <c r="I2071" s="559" t="str">
        <f t="shared" si="31"/>
        <v>GooD</v>
      </c>
    </row>
    <row r="2072" spans="1:9">
      <c r="A2072" s="563" t="s">
        <v>639</v>
      </c>
      <c r="B2072" s="563">
        <v>25000</v>
      </c>
      <c r="C2072" s="564">
        <v>12</v>
      </c>
      <c r="D2072" s="564">
        <v>0.31</v>
      </c>
      <c r="E2072" s="564">
        <v>7759</v>
      </c>
      <c r="F2072" s="564">
        <v>32759</v>
      </c>
      <c r="G2072" s="564">
        <v>875</v>
      </c>
      <c r="H2072" s="564">
        <v>2657</v>
      </c>
      <c r="I2072" s="557" t="str">
        <f t="shared" si="31"/>
        <v>GooD</v>
      </c>
    </row>
    <row r="2073" spans="1:9">
      <c r="A2073" s="563" t="s">
        <v>639</v>
      </c>
      <c r="B2073" s="563">
        <v>25000</v>
      </c>
      <c r="C2073" s="564">
        <v>14</v>
      </c>
      <c r="D2073" s="564">
        <v>0.31</v>
      </c>
      <c r="E2073" s="564">
        <v>9047</v>
      </c>
      <c r="F2073" s="564">
        <v>34047</v>
      </c>
      <c r="G2073" s="564">
        <v>1021</v>
      </c>
      <c r="H2073" s="564">
        <v>2359</v>
      </c>
      <c r="I2073" s="557" t="str">
        <f t="shared" si="31"/>
        <v>GooD</v>
      </c>
    </row>
    <row r="2074" spans="1:9">
      <c r="A2074" s="563" t="s">
        <v>639</v>
      </c>
      <c r="B2074" s="563">
        <v>25000</v>
      </c>
      <c r="C2074" s="564">
        <v>16</v>
      </c>
      <c r="D2074" s="564">
        <v>0.31</v>
      </c>
      <c r="E2074" s="564">
        <v>10343</v>
      </c>
      <c r="F2074" s="564">
        <v>35343</v>
      </c>
      <c r="G2074" s="564">
        <v>1167</v>
      </c>
      <c r="H2074" s="564">
        <v>2136</v>
      </c>
      <c r="I2074" s="557" t="str">
        <f t="shared" si="31"/>
        <v>GooD</v>
      </c>
    </row>
    <row r="2075" spans="1:9" ht="15.75" thickBot="1">
      <c r="A2075" s="565" t="s">
        <v>639</v>
      </c>
      <c r="B2075" s="565">
        <v>25000</v>
      </c>
      <c r="C2075" s="566">
        <v>18</v>
      </c>
      <c r="D2075" s="566">
        <v>0.31</v>
      </c>
      <c r="E2075" s="566">
        <v>11629</v>
      </c>
      <c r="F2075" s="566">
        <v>36629</v>
      </c>
      <c r="G2075" s="566">
        <v>1313</v>
      </c>
      <c r="H2075" s="566">
        <v>1962</v>
      </c>
      <c r="I2075" s="558" t="str">
        <f t="shared" si="31"/>
        <v>GooD</v>
      </c>
    </row>
    <row r="2076" spans="1:9" ht="15.75" thickTop="1">
      <c r="A2076" s="567" t="s">
        <v>639</v>
      </c>
      <c r="B2076" s="567">
        <v>25000</v>
      </c>
      <c r="C2076" s="568">
        <v>20</v>
      </c>
      <c r="D2076" s="568">
        <v>0.31</v>
      </c>
      <c r="E2076" s="568">
        <v>12919</v>
      </c>
      <c r="F2076" s="568">
        <v>37919</v>
      </c>
      <c r="G2076" s="568">
        <v>1459</v>
      </c>
      <c r="H2076" s="568">
        <v>1823</v>
      </c>
      <c r="I2076" s="559" t="str">
        <f t="shared" si="31"/>
        <v>GooD</v>
      </c>
    </row>
    <row r="2077" spans="1:9">
      <c r="A2077" s="563" t="s">
        <v>639</v>
      </c>
      <c r="B2077" s="563">
        <v>25000</v>
      </c>
      <c r="C2077" s="564">
        <v>22</v>
      </c>
      <c r="D2077" s="564">
        <v>0.31</v>
      </c>
      <c r="E2077" s="564">
        <v>14225</v>
      </c>
      <c r="F2077" s="564">
        <v>39225</v>
      </c>
      <c r="G2077" s="564">
        <v>1605</v>
      </c>
      <c r="H2077" s="564">
        <v>1710</v>
      </c>
      <c r="I2077" s="557" t="str">
        <f t="shared" si="31"/>
        <v>GooD</v>
      </c>
    </row>
    <row r="2078" spans="1:9">
      <c r="A2078" s="563" t="s">
        <v>639</v>
      </c>
      <c r="B2078" s="563">
        <v>25000</v>
      </c>
      <c r="C2078" s="564">
        <v>24</v>
      </c>
      <c r="D2078" s="564">
        <v>0.31</v>
      </c>
      <c r="E2078" s="564">
        <v>15510</v>
      </c>
      <c r="F2078" s="564">
        <v>40510</v>
      </c>
      <c r="G2078" s="564">
        <v>1750</v>
      </c>
      <c r="H2078" s="564">
        <v>1615</v>
      </c>
      <c r="I2078" s="557" t="str">
        <f t="shared" si="31"/>
        <v>GooD</v>
      </c>
    </row>
    <row r="2079" spans="1:9">
      <c r="A2079" s="563" t="s">
        <v>639</v>
      </c>
      <c r="B2079" s="563">
        <v>26000</v>
      </c>
      <c r="C2079" s="564">
        <v>4</v>
      </c>
      <c r="D2079" s="564">
        <v>0.31</v>
      </c>
      <c r="E2079" s="564">
        <v>2688</v>
      </c>
      <c r="F2079" s="564">
        <v>28688</v>
      </c>
      <c r="G2079" s="564">
        <v>304</v>
      </c>
      <c r="H2079" s="564">
        <v>7096</v>
      </c>
      <c r="I2079" s="557" t="str">
        <f t="shared" si="31"/>
        <v>GooD</v>
      </c>
    </row>
    <row r="2080" spans="1:9" ht="15.75" thickBot="1">
      <c r="A2080" s="565" t="s">
        <v>639</v>
      </c>
      <c r="B2080" s="565">
        <v>26000</v>
      </c>
      <c r="C2080" s="566">
        <v>6</v>
      </c>
      <c r="D2080" s="566">
        <v>0.31</v>
      </c>
      <c r="E2080" s="566">
        <v>4035</v>
      </c>
      <c r="F2080" s="566">
        <v>30035</v>
      </c>
      <c r="G2080" s="566">
        <v>455</v>
      </c>
      <c r="H2080" s="566">
        <v>4930</v>
      </c>
      <c r="I2080" s="558" t="str">
        <f t="shared" si="31"/>
        <v>GooD</v>
      </c>
    </row>
    <row r="2081" spans="1:9" ht="15.75" thickTop="1">
      <c r="A2081" s="567" t="s">
        <v>639</v>
      </c>
      <c r="B2081" s="567">
        <v>26000</v>
      </c>
      <c r="C2081" s="568">
        <v>8</v>
      </c>
      <c r="D2081" s="568">
        <v>0.31</v>
      </c>
      <c r="E2081" s="568">
        <v>5375</v>
      </c>
      <c r="F2081" s="568">
        <v>31375</v>
      </c>
      <c r="G2081" s="568">
        <v>607</v>
      </c>
      <c r="H2081" s="568">
        <v>3846</v>
      </c>
      <c r="I2081" s="559" t="str">
        <f t="shared" si="31"/>
        <v>GooD</v>
      </c>
    </row>
    <row r="2082" spans="1:9">
      <c r="A2082" s="563" t="s">
        <v>639</v>
      </c>
      <c r="B2082" s="563">
        <v>26000</v>
      </c>
      <c r="C2082" s="564">
        <v>10</v>
      </c>
      <c r="D2082" s="564">
        <v>0.31</v>
      </c>
      <c r="E2082" s="564">
        <v>6719</v>
      </c>
      <c r="F2082" s="564">
        <v>32719</v>
      </c>
      <c r="G2082" s="564">
        <v>759</v>
      </c>
      <c r="H2082" s="564">
        <v>3196</v>
      </c>
      <c r="I2082" s="557" t="str">
        <f t="shared" si="31"/>
        <v>GooD</v>
      </c>
    </row>
    <row r="2083" spans="1:9">
      <c r="A2083" s="563" t="s">
        <v>639</v>
      </c>
      <c r="B2083" s="563">
        <v>26000</v>
      </c>
      <c r="C2083" s="564">
        <v>12</v>
      </c>
      <c r="D2083" s="564">
        <v>0.31</v>
      </c>
      <c r="E2083" s="564">
        <v>8066</v>
      </c>
      <c r="F2083" s="564">
        <v>34066</v>
      </c>
      <c r="G2083" s="564">
        <v>910</v>
      </c>
      <c r="H2083" s="564">
        <v>2763</v>
      </c>
      <c r="I2083" s="557" t="str">
        <f t="shared" si="31"/>
        <v>GooD</v>
      </c>
    </row>
    <row r="2084" spans="1:9">
      <c r="A2084" s="563" t="s">
        <v>639</v>
      </c>
      <c r="B2084" s="563">
        <v>26000</v>
      </c>
      <c r="C2084" s="564">
        <v>14</v>
      </c>
      <c r="D2084" s="564">
        <v>0.31</v>
      </c>
      <c r="E2084" s="564">
        <v>9404</v>
      </c>
      <c r="F2084" s="564">
        <v>35404</v>
      </c>
      <c r="G2084" s="564">
        <v>1062</v>
      </c>
      <c r="H2084" s="564">
        <v>2453</v>
      </c>
      <c r="I2084" s="557" t="str">
        <f t="shared" si="31"/>
        <v>GooD</v>
      </c>
    </row>
    <row r="2085" spans="1:9" ht="15.75" thickBot="1">
      <c r="A2085" s="565" t="s">
        <v>639</v>
      </c>
      <c r="B2085" s="565">
        <v>26000</v>
      </c>
      <c r="C2085" s="566">
        <v>16</v>
      </c>
      <c r="D2085" s="566">
        <v>0.31</v>
      </c>
      <c r="E2085" s="566">
        <v>10750</v>
      </c>
      <c r="F2085" s="566">
        <v>36750</v>
      </c>
      <c r="G2085" s="566">
        <v>1214</v>
      </c>
      <c r="H2085" s="566">
        <v>2221</v>
      </c>
      <c r="I2085" s="558" t="str">
        <f t="shared" si="31"/>
        <v>GooD</v>
      </c>
    </row>
    <row r="2086" spans="1:9" ht="15.75" thickTop="1">
      <c r="A2086" s="567" t="s">
        <v>639</v>
      </c>
      <c r="B2086" s="567">
        <v>26000</v>
      </c>
      <c r="C2086" s="568">
        <v>18</v>
      </c>
      <c r="D2086" s="568">
        <v>0.31</v>
      </c>
      <c r="E2086" s="568">
        <v>12103</v>
      </c>
      <c r="F2086" s="568">
        <v>38103</v>
      </c>
      <c r="G2086" s="568">
        <v>1365</v>
      </c>
      <c r="H2086" s="568">
        <v>2041</v>
      </c>
      <c r="I2086" s="559" t="str">
        <f t="shared" si="31"/>
        <v>GooD</v>
      </c>
    </row>
    <row r="2087" spans="1:9">
      <c r="A2087" s="563" t="s">
        <v>639</v>
      </c>
      <c r="B2087" s="563">
        <v>26000</v>
      </c>
      <c r="C2087" s="564">
        <v>20</v>
      </c>
      <c r="D2087" s="564">
        <v>0.31</v>
      </c>
      <c r="E2087" s="564">
        <v>13437</v>
      </c>
      <c r="F2087" s="564">
        <v>39437</v>
      </c>
      <c r="G2087" s="564">
        <v>1517</v>
      </c>
      <c r="H2087" s="564">
        <v>1896</v>
      </c>
      <c r="I2087" s="557" t="str">
        <f t="shared" si="31"/>
        <v>GooD</v>
      </c>
    </row>
    <row r="2088" spans="1:9">
      <c r="A2088" s="563" t="s">
        <v>639</v>
      </c>
      <c r="B2088" s="563">
        <v>26000</v>
      </c>
      <c r="C2088" s="564">
        <v>22</v>
      </c>
      <c r="D2088" s="564">
        <v>0.31</v>
      </c>
      <c r="E2088" s="564">
        <v>14785</v>
      </c>
      <c r="F2088" s="564">
        <v>40785</v>
      </c>
      <c r="G2088" s="564">
        <v>1669</v>
      </c>
      <c r="H2088" s="564">
        <v>1778</v>
      </c>
      <c r="I2088" s="557" t="str">
        <f t="shared" si="31"/>
        <v>GooD</v>
      </c>
    </row>
    <row r="2089" spans="1:9">
      <c r="A2089" s="563" t="s">
        <v>639</v>
      </c>
      <c r="B2089" s="563">
        <v>26000</v>
      </c>
      <c r="C2089" s="564">
        <v>24</v>
      </c>
      <c r="D2089" s="564">
        <v>0.31</v>
      </c>
      <c r="E2089" s="564">
        <v>16140</v>
      </c>
      <c r="F2089" s="564">
        <v>42140</v>
      </c>
      <c r="G2089" s="564">
        <v>1820</v>
      </c>
      <c r="H2089" s="564">
        <v>1680</v>
      </c>
      <c r="I2089" s="557" t="str">
        <f t="shared" si="31"/>
        <v>GooD</v>
      </c>
    </row>
    <row r="2090" spans="1:9" ht="15.75" thickBot="1">
      <c r="A2090" s="565" t="s">
        <v>639</v>
      </c>
      <c r="B2090" s="565">
        <v>27000</v>
      </c>
      <c r="C2090" s="566">
        <v>4</v>
      </c>
      <c r="D2090" s="566">
        <v>0.31</v>
      </c>
      <c r="E2090" s="566">
        <v>2791</v>
      </c>
      <c r="F2090" s="566">
        <v>29791</v>
      </c>
      <c r="G2090" s="566">
        <v>315</v>
      </c>
      <c r="H2090" s="566">
        <v>7369</v>
      </c>
      <c r="I2090" s="558" t="str">
        <f t="shared" si="31"/>
        <v>GooD</v>
      </c>
    </row>
    <row r="2091" spans="1:9" ht="15.75" thickTop="1">
      <c r="A2091" s="567" t="s">
        <v>639</v>
      </c>
      <c r="B2091" s="567">
        <v>27000</v>
      </c>
      <c r="C2091" s="568">
        <v>6</v>
      </c>
      <c r="D2091" s="568">
        <v>0.31</v>
      </c>
      <c r="E2091" s="568">
        <v>4187</v>
      </c>
      <c r="F2091" s="568">
        <v>31187</v>
      </c>
      <c r="G2091" s="568">
        <v>473</v>
      </c>
      <c r="H2091" s="568">
        <v>5119</v>
      </c>
      <c r="I2091" s="559" t="str">
        <f t="shared" si="31"/>
        <v>GooD</v>
      </c>
    </row>
    <row r="2092" spans="1:9">
      <c r="A2092" s="563" t="s">
        <v>639</v>
      </c>
      <c r="B2092" s="563">
        <v>27000</v>
      </c>
      <c r="C2092" s="564">
        <v>8</v>
      </c>
      <c r="D2092" s="564">
        <v>0.31</v>
      </c>
      <c r="E2092" s="564">
        <v>5582</v>
      </c>
      <c r="F2092" s="564">
        <v>32582</v>
      </c>
      <c r="G2092" s="564">
        <v>630</v>
      </c>
      <c r="H2092" s="564">
        <v>3994</v>
      </c>
      <c r="I2092" s="557" t="str">
        <f t="shared" si="31"/>
        <v>GooD</v>
      </c>
    </row>
    <row r="2093" spans="1:9">
      <c r="A2093" s="563" t="s">
        <v>639</v>
      </c>
      <c r="B2093" s="563">
        <v>27000</v>
      </c>
      <c r="C2093" s="564">
        <v>10</v>
      </c>
      <c r="D2093" s="564">
        <v>0.31</v>
      </c>
      <c r="E2093" s="564">
        <v>6978</v>
      </c>
      <c r="F2093" s="564">
        <v>33978</v>
      </c>
      <c r="G2093" s="564">
        <v>788</v>
      </c>
      <c r="H2093" s="564">
        <v>3319</v>
      </c>
      <c r="I2093" s="557" t="str">
        <f t="shared" si="31"/>
        <v>GooD</v>
      </c>
    </row>
    <row r="2094" spans="1:9">
      <c r="A2094" s="563" t="s">
        <v>639</v>
      </c>
      <c r="B2094" s="563">
        <v>27000</v>
      </c>
      <c r="C2094" s="564">
        <v>12</v>
      </c>
      <c r="D2094" s="564">
        <v>0.31</v>
      </c>
      <c r="E2094" s="564">
        <v>8373</v>
      </c>
      <c r="F2094" s="564">
        <v>35373</v>
      </c>
      <c r="G2094" s="564">
        <v>945</v>
      </c>
      <c r="H2094" s="564">
        <v>2869</v>
      </c>
      <c r="I2094" s="557" t="str">
        <f t="shared" si="31"/>
        <v>GooD</v>
      </c>
    </row>
    <row r="2095" spans="1:9" ht="15.75" thickBot="1">
      <c r="A2095" s="565" t="s">
        <v>639</v>
      </c>
      <c r="B2095" s="565">
        <v>27000</v>
      </c>
      <c r="C2095" s="566">
        <v>14</v>
      </c>
      <c r="D2095" s="566">
        <v>0.31</v>
      </c>
      <c r="E2095" s="566">
        <v>9775</v>
      </c>
      <c r="F2095" s="566">
        <v>36775</v>
      </c>
      <c r="G2095" s="566">
        <v>1103</v>
      </c>
      <c r="H2095" s="566">
        <v>2548</v>
      </c>
      <c r="I2095" s="558" t="str">
        <f t="shared" si="31"/>
        <v>GooD</v>
      </c>
    </row>
    <row r="2096" spans="1:9" ht="15.75" thickTop="1">
      <c r="A2096" s="567" t="s">
        <v>639</v>
      </c>
      <c r="B2096" s="567">
        <v>27000</v>
      </c>
      <c r="C2096" s="568">
        <v>16</v>
      </c>
      <c r="D2096" s="568">
        <v>0.31</v>
      </c>
      <c r="E2096" s="568">
        <v>11172</v>
      </c>
      <c r="F2096" s="568">
        <v>38172</v>
      </c>
      <c r="G2096" s="568">
        <v>1260</v>
      </c>
      <c r="H2096" s="568">
        <v>2307</v>
      </c>
      <c r="I2096" s="559" t="str">
        <f t="shared" si="31"/>
        <v>GooD</v>
      </c>
    </row>
    <row r="2097" spans="1:9">
      <c r="A2097" s="563" t="s">
        <v>639</v>
      </c>
      <c r="B2097" s="563">
        <v>27000</v>
      </c>
      <c r="C2097" s="564">
        <v>18</v>
      </c>
      <c r="D2097" s="564">
        <v>0.31</v>
      </c>
      <c r="E2097" s="564">
        <v>12560</v>
      </c>
      <c r="F2097" s="564">
        <v>39560</v>
      </c>
      <c r="G2097" s="564">
        <v>1418</v>
      </c>
      <c r="H2097" s="564">
        <v>2119</v>
      </c>
      <c r="I2097" s="557" t="str">
        <f t="shared" si="31"/>
        <v>GooD</v>
      </c>
    </row>
    <row r="2098" spans="1:9">
      <c r="A2098" s="563" t="s">
        <v>639</v>
      </c>
      <c r="B2098" s="563">
        <v>27000</v>
      </c>
      <c r="C2098" s="564">
        <v>20</v>
      </c>
      <c r="D2098" s="564">
        <v>0.31</v>
      </c>
      <c r="E2098" s="564">
        <v>13955</v>
      </c>
      <c r="F2098" s="564">
        <v>40955</v>
      </c>
      <c r="G2098" s="564">
        <v>1575</v>
      </c>
      <c r="H2098" s="564">
        <v>1969</v>
      </c>
      <c r="I2098" s="557" t="str">
        <f t="shared" si="31"/>
        <v>GooD</v>
      </c>
    </row>
    <row r="2099" spans="1:9">
      <c r="A2099" s="563" t="s">
        <v>639</v>
      </c>
      <c r="B2099" s="563">
        <v>27000</v>
      </c>
      <c r="C2099" s="564">
        <v>22</v>
      </c>
      <c r="D2099" s="564">
        <v>0.31</v>
      </c>
      <c r="E2099" s="564">
        <v>15367</v>
      </c>
      <c r="F2099" s="564">
        <v>42367</v>
      </c>
      <c r="G2099" s="564">
        <v>1733</v>
      </c>
      <c r="H2099" s="564">
        <v>1847</v>
      </c>
      <c r="I2099" s="557" t="str">
        <f t="shared" si="31"/>
        <v>GooD</v>
      </c>
    </row>
    <row r="2100" spans="1:9" ht="15.75" thickBot="1">
      <c r="A2100" s="565" t="s">
        <v>639</v>
      </c>
      <c r="B2100" s="565">
        <v>27000</v>
      </c>
      <c r="C2100" s="566">
        <v>24</v>
      </c>
      <c r="D2100" s="566">
        <v>0.31</v>
      </c>
      <c r="E2100" s="566">
        <v>16746</v>
      </c>
      <c r="F2100" s="566">
        <v>43746</v>
      </c>
      <c r="G2100" s="566">
        <v>1890</v>
      </c>
      <c r="H2100" s="566">
        <v>1744</v>
      </c>
      <c r="I2100" s="558" t="str">
        <f t="shared" si="31"/>
        <v>GooD</v>
      </c>
    </row>
    <row r="2101" spans="1:9" ht="15.75" thickTop="1">
      <c r="A2101" s="567" t="s">
        <v>639</v>
      </c>
      <c r="B2101" s="567">
        <v>28000</v>
      </c>
      <c r="C2101" s="568">
        <v>4</v>
      </c>
      <c r="D2101" s="568">
        <v>0.31</v>
      </c>
      <c r="E2101" s="568">
        <v>2895</v>
      </c>
      <c r="F2101" s="568">
        <v>30895</v>
      </c>
      <c r="G2101" s="568">
        <v>327</v>
      </c>
      <c r="H2101" s="568">
        <v>7642</v>
      </c>
      <c r="I2101" s="559" t="str">
        <f t="shared" si="31"/>
        <v>GooD</v>
      </c>
    </row>
    <row r="2102" spans="1:9">
      <c r="A2102" s="563" t="s">
        <v>639</v>
      </c>
      <c r="B2102" s="563">
        <v>28000</v>
      </c>
      <c r="C2102" s="564">
        <v>6</v>
      </c>
      <c r="D2102" s="564">
        <v>0.31</v>
      </c>
      <c r="E2102" s="564">
        <v>4344</v>
      </c>
      <c r="F2102" s="564">
        <v>32344</v>
      </c>
      <c r="G2102" s="564">
        <v>490</v>
      </c>
      <c r="H2102" s="564">
        <v>5309</v>
      </c>
      <c r="I2102" s="557" t="str">
        <f t="shared" si="31"/>
        <v>GooD</v>
      </c>
    </row>
    <row r="2103" spans="1:9">
      <c r="A2103" s="563" t="s">
        <v>639</v>
      </c>
      <c r="B2103" s="563">
        <v>28000</v>
      </c>
      <c r="C2103" s="564">
        <v>8</v>
      </c>
      <c r="D2103" s="564">
        <v>0.31</v>
      </c>
      <c r="E2103" s="564">
        <v>5790</v>
      </c>
      <c r="F2103" s="564">
        <v>33790</v>
      </c>
      <c r="G2103" s="564">
        <v>654</v>
      </c>
      <c r="H2103" s="564">
        <v>4142</v>
      </c>
      <c r="I2103" s="557" t="str">
        <f t="shared" si="31"/>
        <v>GooD</v>
      </c>
    </row>
    <row r="2104" spans="1:9">
      <c r="A2104" s="563" t="s">
        <v>639</v>
      </c>
      <c r="B2104" s="563">
        <v>28000</v>
      </c>
      <c r="C2104" s="564">
        <v>10</v>
      </c>
      <c r="D2104" s="564">
        <v>0.31</v>
      </c>
      <c r="E2104" s="564">
        <v>7237</v>
      </c>
      <c r="F2104" s="564">
        <v>35237</v>
      </c>
      <c r="G2104" s="564">
        <v>817</v>
      </c>
      <c r="H2104" s="564">
        <v>3442</v>
      </c>
      <c r="I2104" s="557" t="str">
        <f t="shared" si="31"/>
        <v>GooD</v>
      </c>
    </row>
    <row r="2105" spans="1:9" ht="15.75" thickBot="1">
      <c r="A2105" s="565" t="s">
        <v>639</v>
      </c>
      <c r="B2105" s="565">
        <v>28000</v>
      </c>
      <c r="C2105" s="566">
        <v>12</v>
      </c>
      <c r="D2105" s="566">
        <v>0.31</v>
      </c>
      <c r="E2105" s="566">
        <v>8692</v>
      </c>
      <c r="F2105" s="566">
        <v>36692</v>
      </c>
      <c r="G2105" s="566">
        <v>980</v>
      </c>
      <c r="H2105" s="566">
        <v>2976</v>
      </c>
      <c r="I2105" s="558" t="str">
        <f t="shared" si="31"/>
        <v>GooD</v>
      </c>
    </row>
    <row r="2106" spans="1:9" ht="15.75" thickTop="1">
      <c r="A2106" s="567" t="s">
        <v>639</v>
      </c>
      <c r="B2106" s="567">
        <v>28000</v>
      </c>
      <c r="C2106" s="568">
        <v>14</v>
      </c>
      <c r="D2106" s="568">
        <v>0.31</v>
      </c>
      <c r="E2106" s="568">
        <v>10132</v>
      </c>
      <c r="F2106" s="568">
        <v>38132</v>
      </c>
      <c r="G2106" s="568">
        <v>1144</v>
      </c>
      <c r="H2106" s="568">
        <v>2642</v>
      </c>
      <c r="I2106" s="559" t="str">
        <f t="shared" si="31"/>
        <v>GooD</v>
      </c>
    </row>
    <row r="2107" spans="1:9">
      <c r="A2107" s="563" t="s">
        <v>639</v>
      </c>
      <c r="B2107" s="563">
        <v>28000</v>
      </c>
      <c r="C2107" s="564">
        <v>16</v>
      </c>
      <c r="D2107" s="564">
        <v>0.31</v>
      </c>
      <c r="E2107" s="564">
        <v>11579</v>
      </c>
      <c r="F2107" s="564">
        <v>39579</v>
      </c>
      <c r="G2107" s="564">
        <v>1307</v>
      </c>
      <c r="H2107" s="564">
        <v>2392</v>
      </c>
      <c r="I2107" s="557" t="str">
        <f t="shared" si="31"/>
        <v>GooD</v>
      </c>
    </row>
    <row r="2108" spans="1:9">
      <c r="A2108" s="563" t="s">
        <v>639</v>
      </c>
      <c r="B2108" s="563">
        <v>28000</v>
      </c>
      <c r="C2108" s="564">
        <v>18</v>
      </c>
      <c r="D2108" s="564">
        <v>0.31</v>
      </c>
      <c r="E2108" s="564">
        <v>13034</v>
      </c>
      <c r="F2108" s="564">
        <v>41034</v>
      </c>
      <c r="G2108" s="564">
        <v>1470</v>
      </c>
      <c r="H2108" s="564">
        <v>2198</v>
      </c>
      <c r="I2108" s="557" t="str">
        <f t="shared" si="31"/>
        <v>GooD</v>
      </c>
    </row>
    <row r="2109" spans="1:9">
      <c r="A2109" s="563" t="s">
        <v>639</v>
      </c>
      <c r="B2109" s="563">
        <v>28000</v>
      </c>
      <c r="C2109" s="564">
        <v>20</v>
      </c>
      <c r="D2109" s="564">
        <v>0.31</v>
      </c>
      <c r="E2109" s="564">
        <v>14474</v>
      </c>
      <c r="F2109" s="564">
        <v>42474</v>
      </c>
      <c r="G2109" s="564">
        <v>1634</v>
      </c>
      <c r="H2109" s="564">
        <v>2042</v>
      </c>
      <c r="I2109" s="557" t="str">
        <f t="shared" ref="I2109:I2212" si="32">IF(((H2109*C2109)+G2109)=F2109,"GooD","لالالالالالالا")</f>
        <v>GooD</v>
      </c>
    </row>
    <row r="2110" spans="1:9" ht="15.75" thickBot="1">
      <c r="A2110" s="565" t="s">
        <v>639</v>
      </c>
      <c r="B2110" s="565">
        <v>28000</v>
      </c>
      <c r="C2110" s="566">
        <v>22</v>
      </c>
      <c r="D2110" s="566">
        <v>0.31</v>
      </c>
      <c r="E2110" s="566">
        <v>15927</v>
      </c>
      <c r="F2110" s="566">
        <v>43927</v>
      </c>
      <c r="G2110" s="566">
        <v>1797</v>
      </c>
      <c r="H2110" s="566">
        <v>1915</v>
      </c>
      <c r="I2110" s="558" t="str">
        <f t="shared" si="32"/>
        <v>GooD</v>
      </c>
    </row>
    <row r="2111" spans="1:9" ht="15.75" thickTop="1">
      <c r="A2111" s="567" t="s">
        <v>639</v>
      </c>
      <c r="B2111" s="567">
        <v>28000</v>
      </c>
      <c r="C2111" s="568">
        <v>24</v>
      </c>
      <c r="D2111" s="568">
        <v>0.31</v>
      </c>
      <c r="E2111" s="568">
        <v>17376</v>
      </c>
      <c r="F2111" s="568">
        <v>45376</v>
      </c>
      <c r="G2111" s="568">
        <v>1960</v>
      </c>
      <c r="H2111" s="568">
        <v>1809</v>
      </c>
      <c r="I2111" s="559" t="str">
        <f t="shared" si="32"/>
        <v>GooD</v>
      </c>
    </row>
    <row r="2112" spans="1:9">
      <c r="A2112" s="563" t="s">
        <v>639</v>
      </c>
      <c r="B2112" s="563">
        <v>29000</v>
      </c>
      <c r="C2112" s="564">
        <v>4</v>
      </c>
      <c r="D2112" s="564">
        <v>0.31</v>
      </c>
      <c r="E2112" s="564">
        <v>2999</v>
      </c>
      <c r="F2112" s="564">
        <v>31999</v>
      </c>
      <c r="G2112" s="564">
        <v>339</v>
      </c>
      <c r="H2112" s="564">
        <v>7915</v>
      </c>
      <c r="I2112" s="557" t="str">
        <f t="shared" si="32"/>
        <v>GooD</v>
      </c>
    </row>
    <row r="2113" spans="1:9">
      <c r="A2113" s="563" t="s">
        <v>639</v>
      </c>
      <c r="B2113" s="563">
        <v>29000</v>
      </c>
      <c r="C2113" s="564">
        <v>6</v>
      </c>
      <c r="D2113" s="564">
        <v>0.31</v>
      </c>
      <c r="E2113" s="564">
        <v>4496</v>
      </c>
      <c r="F2113" s="564">
        <v>33496</v>
      </c>
      <c r="G2113" s="564">
        <v>508</v>
      </c>
      <c r="H2113" s="564">
        <v>5498</v>
      </c>
      <c r="I2113" s="557" t="str">
        <f t="shared" si="32"/>
        <v>GooD</v>
      </c>
    </row>
    <row r="2114" spans="1:9">
      <c r="A2114" s="563" t="s">
        <v>639</v>
      </c>
      <c r="B2114" s="563">
        <v>29000</v>
      </c>
      <c r="C2114" s="564">
        <v>8</v>
      </c>
      <c r="D2114" s="564">
        <v>0.31</v>
      </c>
      <c r="E2114" s="564">
        <v>5997</v>
      </c>
      <c r="F2114" s="564">
        <v>34997</v>
      </c>
      <c r="G2114" s="564">
        <v>677</v>
      </c>
      <c r="H2114" s="564">
        <v>4290</v>
      </c>
      <c r="I2114" s="557" t="str">
        <f t="shared" si="32"/>
        <v>GooD</v>
      </c>
    </row>
    <row r="2115" spans="1:9" ht="15.75" thickBot="1">
      <c r="A2115" s="565" t="s">
        <v>639</v>
      </c>
      <c r="B2115" s="565">
        <v>29000</v>
      </c>
      <c r="C2115" s="566">
        <v>10</v>
      </c>
      <c r="D2115" s="566">
        <v>0.31</v>
      </c>
      <c r="E2115" s="566">
        <v>7496</v>
      </c>
      <c r="F2115" s="566">
        <v>36496</v>
      </c>
      <c r="G2115" s="566">
        <v>846</v>
      </c>
      <c r="H2115" s="566">
        <v>3565</v>
      </c>
      <c r="I2115" s="558" t="str">
        <f t="shared" si="32"/>
        <v>GooD</v>
      </c>
    </row>
    <row r="2116" spans="1:9" ht="15.75" thickTop="1">
      <c r="A2116" s="567" t="s">
        <v>639</v>
      </c>
      <c r="B2116" s="567">
        <v>29000</v>
      </c>
      <c r="C2116" s="568">
        <v>12</v>
      </c>
      <c r="D2116" s="568">
        <v>0.31</v>
      </c>
      <c r="E2116" s="568">
        <v>8999</v>
      </c>
      <c r="F2116" s="568">
        <v>37999</v>
      </c>
      <c r="G2116" s="568">
        <v>1015</v>
      </c>
      <c r="H2116" s="568">
        <v>3082</v>
      </c>
      <c r="I2116" s="559" t="str">
        <f t="shared" si="32"/>
        <v>GooD</v>
      </c>
    </row>
    <row r="2117" spans="1:9">
      <c r="A2117" s="563" t="s">
        <v>639</v>
      </c>
      <c r="B2117" s="563">
        <v>29000</v>
      </c>
      <c r="C2117" s="564">
        <v>14</v>
      </c>
      <c r="D2117" s="564">
        <v>0.31</v>
      </c>
      <c r="E2117" s="564">
        <v>10503</v>
      </c>
      <c r="F2117" s="564">
        <v>39503</v>
      </c>
      <c r="G2117" s="564">
        <v>1185</v>
      </c>
      <c r="H2117" s="564">
        <v>2737</v>
      </c>
      <c r="I2117" s="557" t="str">
        <f t="shared" si="32"/>
        <v>GooD</v>
      </c>
    </row>
    <row r="2118" spans="1:9">
      <c r="A2118" s="563" t="s">
        <v>639</v>
      </c>
      <c r="B2118" s="563">
        <v>29000</v>
      </c>
      <c r="C2118" s="564">
        <v>16</v>
      </c>
      <c r="D2118" s="564">
        <v>0.31</v>
      </c>
      <c r="E2118" s="564">
        <v>12002</v>
      </c>
      <c r="F2118" s="564">
        <v>41002</v>
      </c>
      <c r="G2118" s="564">
        <v>1354</v>
      </c>
      <c r="H2118" s="564">
        <v>2478</v>
      </c>
      <c r="I2118" s="557" t="str">
        <f t="shared" si="32"/>
        <v>GooD</v>
      </c>
    </row>
    <row r="2119" spans="1:9">
      <c r="A2119" s="563" t="s">
        <v>639</v>
      </c>
      <c r="B2119" s="563">
        <v>29000</v>
      </c>
      <c r="C2119" s="564">
        <v>18</v>
      </c>
      <c r="D2119" s="564">
        <v>0.31</v>
      </c>
      <c r="E2119" s="564">
        <v>13491</v>
      </c>
      <c r="F2119" s="564">
        <v>42491</v>
      </c>
      <c r="G2119" s="564">
        <v>1523</v>
      </c>
      <c r="H2119" s="564">
        <v>2276</v>
      </c>
      <c r="I2119" s="557" t="str">
        <f t="shared" si="32"/>
        <v>GooD</v>
      </c>
    </row>
    <row r="2120" spans="1:9" ht="15.75" thickBot="1">
      <c r="A2120" s="565" t="s">
        <v>639</v>
      </c>
      <c r="B2120" s="565">
        <v>29000</v>
      </c>
      <c r="C2120" s="566">
        <v>20</v>
      </c>
      <c r="D2120" s="566">
        <v>0.31</v>
      </c>
      <c r="E2120" s="566">
        <v>14992</v>
      </c>
      <c r="F2120" s="566">
        <v>43992</v>
      </c>
      <c r="G2120" s="566">
        <v>1692</v>
      </c>
      <c r="H2120" s="566">
        <v>2115</v>
      </c>
      <c r="I2120" s="558" t="str">
        <f t="shared" si="32"/>
        <v>GooD</v>
      </c>
    </row>
    <row r="2121" spans="1:9" ht="15.75" thickTop="1">
      <c r="A2121" s="567" t="s">
        <v>639</v>
      </c>
      <c r="B2121" s="567">
        <v>29000</v>
      </c>
      <c r="C2121" s="568">
        <v>22</v>
      </c>
      <c r="D2121" s="568">
        <v>0.31</v>
      </c>
      <c r="E2121" s="568">
        <v>16487</v>
      </c>
      <c r="F2121" s="568">
        <v>45487</v>
      </c>
      <c r="G2121" s="568">
        <v>1861</v>
      </c>
      <c r="H2121" s="568">
        <v>1983</v>
      </c>
      <c r="I2121" s="559" t="str">
        <f t="shared" si="32"/>
        <v>GooD</v>
      </c>
    </row>
    <row r="2122" spans="1:9">
      <c r="A2122" s="563" t="s">
        <v>639</v>
      </c>
      <c r="B2122" s="563">
        <v>29000</v>
      </c>
      <c r="C2122" s="564">
        <v>24</v>
      </c>
      <c r="D2122" s="564">
        <v>0.31</v>
      </c>
      <c r="E2122" s="564">
        <v>17982</v>
      </c>
      <c r="F2122" s="564">
        <v>46982</v>
      </c>
      <c r="G2122" s="564">
        <v>2030</v>
      </c>
      <c r="H2122" s="564">
        <v>1873</v>
      </c>
      <c r="I2122" s="557" t="str">
        <f t="shared" si="32"/>
        <v>GooD</v>
      </c>
    </row>
    <row r="2123" spans="1:9">
      <c r="A2123" s="563" t="s">
        <v>639</v>
      </c>
      <c r="B2123" s="563">
        <v>30000</v>
      </c>
      <c r="C2123" s="564">
        <v>4</v>
      </c>
      <c r="D2123" s="564">
        <v>0.31</v>
      </c>
      <c r="E2123" s="564">
        <v>3102</v>
      </c>
      <c r="F2123" s="564">
        <v>33102</v>
      </c>
      <c r="G2123" s="564">
        <v>350</v>
      </c>
      <c r="H2123" s="564">
        <v>8188</v>
      </c>
      <c r="I2123" s="557" t="str">
        <f t="shared" si="32"/>
        <v>GooD</v>
      </c>
    </row>
    <row r="2124" spans="1:9">
      <c r="A2124" s="563" t="s">
        <v>639</v>
      </c>
      <c r="B2124" s="563">
        <v>30000</v>
      </c>
      <c r="C2124" s="564">
        <v>6</v>
      </c>
      <c r="D2124" s="564">
        <v>0.31</v>
      </c>
      <c r="E2124" s="564">
        <v>4653</v>
      </c>
      <c r="F2124" s="564">
        <v>34653</v>
      </c>
      <c r="G2124" s="564">
        <v>525</v>
      </c>
      <c r="H2124" s="564">
        <v>5688</v>
      </c>
      <c r="I2124" s="557" t="str">
        <f t="shared" si="32"/>
        <v>GooD</v>
      </c>
    </row>
    <row r="2125" spans="1:9" ht="15.75" thickBot="1">
      <c r="A2125" s="565" t="s">
        <v>639</v>
      </c>
      <c r="B2125" s="565">
        <v>30000</v>
      </c>
      <c r="C2125" s="566">
        <v>8</v>
      </c>
      <c r="D2125" s="566">
        <v>0.31</v>
      </c>
      <c r="E2125" s="566">
        <v>6204</v>
      </c>
      <c r="F2125" s="566">
        <v>36204</v>
      </c>
      <c r="G2125" s="566">
        <v>700</v>
      </c>
      <c r="H2125" s="566">
        <v>4438</v>
      </c>
      <c r="I2125" s="558" t="str">
        <f t="shared" si="32"/>
        <v>GooD</v>
      </c>
    </row>
    <row r="2126" spans="1:9" ht="15.75" thickTop="1">
      <c r="A2126" s="567" t="s">
        <v>639</v>
      </c>
      <c r="B2126" s="567">
        <v>30000</v>
      </c>
      <c r="C2126" s="568">
        <v>10</v>
      </c>
      <c r="D2126" s="568">
        <v>0.31</v>
      </c>
      <c r="E2126" s="568">
        <v>7755</v>
      </c>
      <c r="F2126" s="568">
        <v>37755</v>
      </c>
      <c r="G2126" s="568">
        <v>875</v>
      </c>
      <c r="H2126" s="568">
        <v>3688</v>
      </c>
      <c r="I2126" s="559" t="str">
        <f t="shared" si="32"/>
        <v>GooD</v>
      </c>
    </row>
    <row r="2127" spans="1:9">
      <c r="A2127" s="563" t="s">
        <v>639</v>
      </c>
      <c r="B2127" s="563">
        <v>30000</v>
      </c>
      <c r="C2127" s="564">
        <v>12</v>
      </c>
      <c r="D2127" s="564">
        <v>0.31</v>
      </c>
      <c r="E2127" s="564">
        <v>9306</v>
      </c>
      <c r="F2127" s="564">
        <v>39306</v>
      </c>
      <c r="G2127" s="564">
        <v>1050</v>
      </c>
      <c r="H2127" s="564">
        <v>3188</v>
      </c>
      <c r="I2127" s="557" t="str">
        <f t="shared" si="32"/>
        <v>GooD</v>
      </c>
    </row>
    <row r="2128" spans="1:9">
      <c r="A2128" s="563" t="s">
        <v>639</v>
      </c>
      <c r="B2128" s="563">
        <v>30000</v>
      </c>
      <c r="C2128" s="564">
        <v>14</v>
      </c>
      <c r="D2128" s="564">
        <v>0.31</v>
      </c>
      <c r="E2128" s="564">
        <v>10859</v>
      </c>
      <c r="F2128" s="564">
        <v>40859</v>
      </c>
      <c r="G2128" s="564">
        <v>1225</v>
      </c>
      <c r="H2128" s="564">
        <v>2831</v>
      </c>
      <c r="I2128" s="557" t="str">
        <f t="shared" si="32"/>
        <v>GooD</v>
      </c>
    </row>
    <row r="2129" spans="1:9">
      <c r="A2129" s="563" t="s">
        <v>639</v>
      </c>
      <c r="B2129" s="563">
        <v>30000</v>
      </c>
      <c r="C2129" s="564">
        <v>16</v>
      </c>
      <c r="D2129" s="564">
        <v>0.31</v>
      </c>
      <c r="E2129" s="564">
        <v>12408</v>
      </c>
      <c r="F2129" s="564">
        <v>42408</v>
      </c>
      <c r="G2129" s="564">
        <v>1400</v>
      </c>
      <c r="H2129" s="564">
        <v>2563</v>
      </c>
      <c r="I2129" s="557" t="str">
        <f t="shared" si="32"/>
        <v>GooD</v>
      </c>
    </row>
    <row r="2130" spans="1:9" ht="15.75" thickBot="1">
      <c r="A2130" s="565" t="s">
        <v>639</v>
      </c>
      <c r="B2130" s="565">
        <v>30000</v>
      </c>
      <c r="C2130" s="566">
        <v>18</v>
      </c>
      <c r="D2130" s="566">
        <v>0.31</v>
      </c>
      <c r="E2130" s="566">
        <v>13965</v>
      </c>
      <c r="F2130" s="566">
        <v>43965</v>
      </c>
      <c r="G2130" s="566">
        <v>1575</v>
      </c>
      <c r="H2130" s="566">
        <v>2355</v>
      </c>
      <c r="I2130" s="558" t="str">
        <f t="shared" si="32"/>
        <v>GooD</v>
      </c>
    </row>
    <row r="2131" spans="1:9" ht="15.75" thickTop="1">
      <c r="A2131" s="567" t="s">
        <v>639</v>
      </c>
      <c r="B2131" s="567">
        <v>30000</v>
      </c>
      <c r="C2131" s="568">
        <v>20</v>
      </c>
      <c r="D2131" s="568">
        <v>0.31</v>
      </c>
      <c r="E2131" s="568">
        <v>15510</v>
      </c>
      <c r="F2131" s="568">
        <v>45510</v>
      </c>
      <c r="G2131" s="568">
        <v>1750</v>
      </c>
      <c r="H2131" s="568">
        <v>2188</v>
      </c>
      <c r="I2131" s="559" t="str">
        <f t="shared" si="32"/>
        <v>GooD</v>
      </c>
    </row>
    <row r="2132" spans="1:9">
      <c r="A2132" s="563" t="s">
        <v>639</v>
      </c>
      <c r="B2132" s="563">
        <v>30000</v>
      </c>
      <c r="C2132" s="564">
        <v>22</v>
      </c>
      <c r="D2132" s="564">
        <v>0.31</v>
      </c>
      <c r="E2132" s="564">
        <v>17069</v>
      </c>
      <c r="F2132" s="564">
        <v>47069</v>
      </c>
      <c r="G2132" s="564">
        <v>1925</v>
      </c>
      <c r="H2132" s="564">
        <v>2052</v>
      </c>
      <c r="I2132" s="557" t="str">
        <f t="shared" si="32"/>
        <v>GooD</v>
      </c>
    </row>
    <row r="2133" spans="1:9">
      <c r="A2133" s="563" t="s">
        <v>639</v>
      </c>
      <c r="B2133" s="563">
        <v>30000</v>
      </c>
      <c r="C2133" s="564">
        <v>24</v>
      </c>
      <c r="D2133" s="564">
        <v>0.31</v>
      </c>
      <c r="E2133" s="564">
        <v>18612</v>
      </c>
      <c r="F2133" s="564">
        <v>48612</v>
      </c>
      <c r="G2133" s="564">
        <v>2100</v>
      </c>
      <c r="H2133" s="564">
        <v>1938</v>
      </c>
      <c r="I2133" s="557" t="str">
        <f t="shared" si="32"/>
        <v>GooD</v>
      </c>
    </row>
    <row r="2134" spans="1:9">
      <c r="A2134" s="563" t="s">
        <v>639</v>
      </c>
      <c r="B2134" s="563">
        <v>31000</v>
      </c>
      <c r="C2134" s="564">
        <v>4</v>
      </c>
      <c r="D2134" s="564">
        <v>0.31</v>
      </c>
      <c r="E2134" s="564">
        <v>3206</v>
      </c>
      <c r="F2134" s="564">
        <v>34206</v>
      </c>
      <c r="G2134" s="564">
        <v>362</v>
      </c>
      <c r="H2134" s="564">
        <v>8461</v>
      </c>
      <c r="I2134" s="557" t="str">
        <f t="shared" si="32"/>
        <v>GooD</v>
      </c>
    </row>
    <row r="2135" spans="1:9" ht="15.75" thickBot="1">
      <c r="A2135" s="565" t="s">
        <v>639</v>
      </c>
      <c r="B2135" s="565">
        <v>31000</v>
      </c>
      <c r="C2135" s="566">
        <v>6</v>
      </c>
      <c r="D2135" s="566">
        <v>0.31</v>
      </c>
      <c r="E2135" s="566">
        <v>4811</v>
      </c>
      <c r="F2135" s="566">
        <v>35811</v>
      </c>
      <c r="G2135" s="566">
        <v>543</v>
      </c>
      <c r="H2135" s="566">
        <v>5878</v>
      </c>
      <c r="I2135" s="558" t="str">
        <f t="shared" si="32"/>
        <v>GooD</v>
      </c>
    </row>
    <row r="2136" spans="1:9" ht="15.75" thickTop="1">
      <c r="A2136" s="567" t="s">
        <v>639</v>
      </c>
      <c r="B2136" s="567">
        <v>31000</v>
      </c>
      <c r="C2136" s="568">
        <v>8</v>
      </c>
      <c r="D2136" s="568">
        <v>0.31</v>
      </c>
      <c r="E2136" s="568">
        <v>6412</v>
      </c>
      <c r="F2136" s="568">
        <v>37412</v>
      </c>
      <c r="G2136" s="568">
        <v>724</v>
      </c>
      <c r="H2136" s="568">
        <v>4586</v>
      </c>
      <c r="I2136" s="559" t="str">
        <f t="shared" si="32"/>
        <v>GooD</v>
      </c>
    </row>
    <row r="2137" spans="1:9">
      <c r="A2137" s="563" t="s">
        <v>639</v>
      </c>
      <c r="B2137" s="563">
        <v>31000</v>
      </c>
      <c r="C2137" s="564">
        <v>10</v>
      </c>
      <c r="D2137" s="564">
        <v>0.31</v>
      </c>
      <c r="E2137" s="564">
        <v>8015</v>
      </c>
      <c r="F2137" s="564">
        <v>39015</v>
      </c>
      <c r="G2137" s="564">
        <v>905</v>
      </c>
      <c r="H2137" s="564">
        <v>3811</v>
      </c>
      <c r="I2137" s="557" t="str">
        <f t="shared" si="32"/>
        <v>GooD</v>
      </c>
    </row>
    <row r="2138" spans="1:9">
      <c r="A2138" s="563" t="s">
        <v>639</v>
      </c>
      <c r="B2138" s="563">
        <v>31000</v>
      </c>
      <c r="C2138" s="564">
        <v>12</v>
      </c>
      <c r="D2138" s="564">
        <v>0.31</v>
      </c>
      <c r="E2138" s="564">
        <v>9613</v>
      </c>
      <c r="F2138" s="564">
        <v>40613</v>
      </c>
      <c r="G2138" s="564">
        <v>1085</v>
      </c>
      <c r="H2138" s="564">
        <v>3294</v>
      </c>
      <c r="I2138" s="557" t="str">
        <f t="shared" si="32"/>
        <v>GooD</v>
      </c>
    </row>
    <row r="2139" spans="1:9">
      <c r="A2139" s="563" t="s">
        <v>639</v>
      </c>
      <c r="B2139" s="563">
        <v>31000</v>
      </c>
      <c r="C2139" s="564">
        <v>14</v>
      </c>
      <c r="D2139" s="564">
        <v>0.31</v>
      </c>
      <c r="E2139" s="564">
        <v>11216</v>
      </c>
      <c r="F2139" s="564">
        <v>42216</v>
      </c>
      <c r="G2139" s="564">
        <v>1266</v>
      </c>
      <c r="H2139" s="564">
        <v>2925</v>
      </c>
      <c r="I2139" s="557" t="str">
        <f t="shared" si="32"/>
        <v>GooD</v>
      </c>
    </row>
    <row r="2140" spans="1:9" ht="15.75" thickBot="1">
      <c r="A2140" s="565" t="s">
        <v>639</v>
      </c>
      <c r="B2140" s="565">
        <v>31000</v>
      </c>
      <c r="C2140" s="566">
        <v>16</v>
      </c>
      <c r="D2140" s="566">
        <v>0.31</v>
      </c>
      <c r="E2140" s="566">
        <v>12815</v>
      </c>
      <c r="F2140" s="566">
        <v>43815</v>
      </c>
      <c r="G2140" s="566">
        <v>1447</v>
      </c>
      <c r="H2140" s="566">
        <v>2648</v>
      </c>
      <c r="I2140" s="558" t="str">
        <f t="shared" si="32"/>
        <v>GooD</v>
      </c>
    </row>
    <row r="2141" spans="1:9" ht="15.75" thickTop="1">
      <c r="A2141" s="567" t="s">
        <v>639</v>
      </c>
      <c r="B2141" s="567">
        <v>31000</v>
      </c>
      <c r="C2141" s="568">
        <v>18</v>
      </c>
      <c r="D2141" s="568">
        <v>0.31</v>
      </c>
      <c r="E2141" s="568">
        <v>14422</v>
      </c>
      <c r="F2141" s="568">
        <v>45422</v>
      </c>
      <c r="G2141" s="568">
        <v>1628</v>
      </c>
      <c r="H2141" s="568">
        <v>2433</v>
      </c>
      <c r="I2141" s="559" t="str">
        <f t="shared" si="32"/>
        <v>GooD</v>
      </c>
    </row>
    <row r="2142" spans="1:9">
      <c r="A2142" s="563" t="s">
        <v>639</v>
      </c>
      <c r="B2142" s="563">
        <v>31000</v>
      </c>
      <c r="C2142" s="564">
        <v>20</v>
      </c>
      <c r="D2142" s="564">
        <v>0.31</v>
      </c>
      <c r="E2142" s="564">
        <v>16029</v>
      </c>
      <c r="F2142" s="564">
        <v>47029</v>
      </c>
      <c r="G2142" s="564">
        <v>1809</v>
      </c>
      <c r="H2142" s="564">
        <v>2261</v>
      </c>
      <c r="I2142" s="557" t="str">
        <f t="shared" si="32"/>
        <v>GooD</v>
      </c>
    </row>
    <row r="2143" spans="1:9">
      <c r="A2143" s="563" t="s">
        <v>639</v>
      </c>
      <c r="B2143" s="563">
        <v>31000</v>
      </c>
      <c r="C2143" s="564">
        <v>22</v>
      </c>
      <c r="D2143" s="564">
        <v>0.31</v>
      </c>
      <c r="E2143" s="564">
        <v>17630</v>
      </c>
      <c r="F2143" s="564">
        <v>48630</v>
      </c>
      <c r="G2143" s="564">
        <v>1990</v>
      </c>
      <c r="H2143" s="564">
        <v>2120</v>
      </c>
      <c r="I2143" s="557" t="str">
        <f t="shared" si="32"/>
        <v>GooD</v>
      </c>
    </row>
    <row r="2144" spans="1:9">
      <c r="A2144" s="563" t="s">
        <v>639</v>
      </c>
      <c r="B2144" s="563">
        <v>31000</v>
      </c>
      <c r="C2144" s="564">
        <v>24</v>
      </c>
      <c r="D2144" s="564">
        <v>0.31</v>
      </c>
      <c r="E2144" s="564">
        <v>19242</v>
      </c>
      <c r="F2144" s="564">
        <v>50242</v>
      </c>
      <c r="G2144" s="564">
        <v>2170</v>
      </c>
      <c r="H2144" s="564">
        <v>2003</v>
      </c>
      <c r="I2144" s="557" t="str">
        <f t="shared" si="32"/>
        <v>GooD</v>
      </c>
    </row>
    <row r="2145" spans="1:9" ht="15.75" thickBot="1">
      <c r="A2145" s="565" t="s">
        <v>639</v>
      </c>
      <c r="B2145" s="565">
        <v>32000</v>
      </c>
      <c r="C2145" s="566">
        <v>4</v>
      </c>
      <c r="D2145" s="566">
        <v>0.31</v>
      </c>
      <c r="E2145" s="566">
        <v>3310</v>
      </c>
      <c r="F2145" s="566">
        <v>35310</v>
      </c>
      <c r="G2145" s="566">
        <v>374</v>
      </c>
      <c r="H2145" s="566">
        <v>8734</v>
      </c>
      <c r="I2145" s="558" t="str">
        <f t="shared" si="32"/>
        <v>GooD</v>
      </c>
    </row>
    <row r="2146" spans="1:9" ht="15.75" thickTop="1">
      <c r="A2146" s="567" t="s">
        <v>639</v>
      </c>
      <c r="B2146" s="567">
        <v>32000</v>
      </c>
      <c r="C2146" s="568">
        <v>6</v>
      </c>
      <c r="D2146" s="568">
        <v>0.31</v>
      </c>
      <c r="E2146" s="568">
        <v>4962</v>
      </c>
      <c r="F2146" s="568">
        <v>36962</v>
      </c>
      <c r="G2146" s="568">
        <v>560</v>
      </c>
      <c r="H2146" s="568">
        <v>6067</v>
      </c>
      <c r="I2146" s="559" t="str">
        <f t="shared" si="32"/>
        <v>GooD</v>
      </c>
    </row>
    <row r="2147" spans="1:9">
      <c r="A2147" s="563" t="s">
        <v>639</v>
      </c>
      <c r="B2147" s="563">
        <v>32000</v>
      </c>
      <c r="C2147" s="564">
        <v>8</v>
      </c>
      <c r="D2147" s="564">
        <v>0.31</v>
      </c>
      <c r="E2147" s="564">
        <v>6619</v>
      </c>
      <c r="F2147" s="564">
        <v>38619</v>
      </c>
      <c r="G2147" s="564">
        <v>747</v>
      </c>
      <c r="H2147" s="564">
        <v>4734</v>
      </c>
      <c r="I2147" s="557" t="str">
        <f t="shared" si="32"/>
        <v>GooD</v>
      </c>
    </row>
    <row r="2148" spans="1:9">
      <c r="A2148" s="563" t="s">
        <v>639</v>
      </c>
      <c r="B2148" s="563">
        <v>32000</v>
      </c>
      <c r="C2148" s="564">
        <v>10</v>
      </c>
      <c r="D2148" s="564">
        <v>0.31</v>
      </c>
      <c r="E2148" s="564">
        <v>8274</v>
      </c>
      <c r="F2148" s="564">
        <v>40274</v>
      </c>
      <c r="G2148" s="564">
        <v>934</v>
      </c>
      <c r="H2148" s="564">
        <v>3934</v>
      </c>
      <c r="I2148" s="557" t="str">
        <f t="shared" si="32"/>
        <v>GooD</v>
      </c>
    </row>
    <row r="2149" spans="1:9">
      <c r="A2149" s="563" t="s">
        <v>639</v>
      </c>
      <c r="B2149" s="563">
        <v>32000</v>
      </c>
      <c r="C2149" s="564">
        <v>12</v>
      </c>
      <c r="D2149" s="564">
        <v>0.31</v>
      </c>
      <c r="E2149" s="564">
        <v>9932</v>
      </c>
      <c r="F2149" s="564">
        <v>41932</v>
      </c>
      <c r="G2149" s="564">
        <v>1120</v>
      </c>
      <c r="H2149" s="564">
        <v>3401</v>
      </c>
      <c r="I2149" s="557" t="str">
        <f t="shared" si="32"/>
        <v>GooD</v>
      </c>
    </row>
    <row r="2150" spans="1:9">
      <c r="A2150" s="563" t="s">
        <v>639</v>
      </c>
      <c r="B2150" s="563">
        <v>32000</v>
      </c>
      <c r="C2150" s="564">
        <v>14</v>
      </c>
      <c r="D2150" s="564">
        <v>0.31</v>
      </c>
      <c r="E2150" s="564">
        <v>11587</v>
      </c>
      <c r="F2150" s="564">
        <v>43587</v>
      </c>
      <c r="G2150" s="564">
        <v>1307</v>
      </c>
      <c r="H2150" s="564">
        <v>3020</v>
      </c>
      <c r="I2150" s="557" t="str">
        <f t="shared" si="32"/>
        <v>GooD</v>
      </c>
    </row>
    <row r="2151" spans="1:9">
      <c r="A2151" s="563" t="s">
        <v>639</v>
      </c>
      <c r="B2151" s="563">
        <v>32000</v>
      </c>
      <c r="C2151" s="564">
        <v>16</v>
      </c>
      <c r="D2151" s="564">
        <v>0.31</v>
      </c>
      <c r="E2151" s="564">
        <v>13238</v>
      </c>
      <c r="F2151" s="564">
        <v>45238</v>
      </c>
      <c r="G2151" s="564">
        <v>1494</v>
      </c>
      <c r="H2151" s="564">
        <v>2734</v>
      </c>
      <c r="I2151" s="557" t="str">
        <f t="shared" si="32"/>
        <v>GooD</v>
      </c>
    </row>
    <row r="2152" spans="1:9" ht="15.75" thickBot="1">
      <c r="A2152" s="565" t="s">
        <v>639</v>
      </c>
      <c r="B2152" s="565">
        <v>32000</v>
      </c>
      <c r="C2152" s="566">
        <v>18</v>
      </c>
      <c r="D2152" s="566">
        <v>0.31</v>
      </c>
      <c r="E2152" s="566">
        <v>14896</v>
      </c>
      <c r="F2152" s="566">
        <v>46896</v>
      </c>
      <c r="G2152" s="566">
        <v>1680</v>
      </c>
      <c r="H2152" s="566">
        <v>2512</v>
      </c>
      <c r="I2152" s="558" t="str">
        <f t="shared" si="32"/>
        <v>GooD</v>
      </c>
    </row>
    <row r="2153" spans="1:9" ht="15.75" thickTop="1">
      <c r="A2153" s="567" t="s">
        <v>639</v>
      </c>
      <c r="B2153" s="567">
        <v>32000</v>
      </c>
      <c r="C2153" s="568">
        <v>20</v>
      </c>
      <c r="D2153" s="568">
        <v>0.31</v>
      </c>
      <c r="E2153" s="568">
        <v>16547</v>
      </c>
      <c r="F2153" s="568">
        <v>48547</v>
      </c>
      <c r="G2153" s="568">
        <v>1867</v>
      </c>
      <c r="H2153" s="568">
        <v>2334</v>
      </c>
      <c r="I2153" s="559" t="str">
        <f t="shared" si="32"/>
        <v>GooD</v>
      </c>
    </row>
    <row r="2154" spans="1:9">
      <c r="A2154" s="563" t="s">
        <v>639</v>
      </c>
      <c r="B2154" s="563">
        <v>32000</v>
      </c>
      <c r="C2154" s="564">
        <v>22</v>
      </c>
      <c r="D2154" s="564">
        <v>0.31</v>
      </c>
      <c r="E2154" s="564">
        <v>18190</v>
      </c>
      <c r="F2154" s="564">
        <v>50190</v>
      </c>
      <c r="G2154" s="564">
        <v>2054</v>
      </c>
      <c r="H2154" s="564">
        <v>2188</v>
      </c>
      <c r="I2154" s="557" t="str">
        <f t="shared" si="32"/>
        <v>GooD</v>
      </c>
    </row>
    <row r="2155" spans="1:9" ht="15.75" thickBot="1">
      <c r="A2155" s="565" t="s">
        <v>639</v>
      </c>
      <c r="B2155" s="565">
        <v>32000</v>
      </c>
      <c r="C2155" s="566">
        <v>24</v>
      </c>
      <c r="D2155" s="566">
        <v>0.31</v>
      </c>
      <c r="E2155" s="566">
        <v>19848</v>
      </c>
      <c r="F2155" s="566">
        <v>51848</v>
      </c>
      <c r="G2155" s="566">
        <v>2240</v>
      </c>
      <c r="H2155" s="566">
        <v>2067</v>
      </c>
      <c r="I2155" s="558" t="str">
        <f t="shared" si="32"/>
        <v>GooD</v>
      </c>
    </row>
    <row r="2156" spans="1:9" ht="15.75" thickTop="1">
      <c r="A2156" s="567" t="s">
        <v>639</v>
      </c>
      <c r="B2156" s="567">
        <v>33000</v>
      </c>
      <c r="C2156" s="568">
        <v>4</v>
      </c>
      <c r="D2156" s="568">
        <v>0.31</v>
      </c>
      <c r="E2156" s="568">
        <v>3413</v>
      </c>
      <c r="F2156" s="568">
        <v>36413</v>
      </c>
      <c r="G2156" s="568">
        <v>385</v>
      </c>
      <c r="H2156" s="568">
        <v>9007</v>
      </c>
      <c r="I2156" s="559" t="str">
        <f t="shared" si="32"/>
        <v>GooD</v>
      </c>
    </row>
    <row r="2157" spans="1:9">
      <c r="A2157" s="563" t="s">
        <v>639</v>
      </c>
      <c r="B2157" s="563">
        <v>33000</v>
      </c>
      <c r="C2157" s="564">
        <v>6</v>
      </c>
      <c r="D2157" s="564">
        <v>0.31</v>
      </c>
      <c r="E2157" s="564">
        <v>5120</v>
      </c>
      <c r="F2157" s="564">
        <v>38120</v>
      </c>
      <c r="G2157" s="564">
        <v>578</v>
      </c>
      <c r="H2157" s="564">
        <v>6257</v>
      </c>
      <c r="I2157" s="557" t="str">
        <f t="shared" si="32"/>
        <v>GooD</v>
      </c>
    </row>
    <row r="2158" spans="1:9" ht="15.75" thickBot="1">
      <c r="A2158" s="565" t="s">
        <v>639</v>
      </c>
      <c r="B2158" s="565">
        <v>33000</v>
      </c>
      <c r="C2158" s="566">
        <v>8</v>
      </c>
      <c r="D2158" s="566">
        <v>0.31</v>
      </c>
      <c r="E2158" s="566">
        <v>6826</v>
      </c>
      <c r="F2158" s="566">
        <v>39826</v>
      </c>
      <c r="G2158" s="566">
        <v>770</v>
      </c>
      <c r="H2158" s="566">
        <v>4882</v>
      </c>
      <c r="I2158" s="558" t="str">
        <f t="shared" si="32"/>
        <v>GooD</v>
      </c>
    </row>
    <row r="2159" spans="1:9" ht="15.75" thickTop="1">
      <c r="A2159" s="567" t="s">
        <v>639</v>
      </c>
      <c r="B2159" s="567">
        <v>33000</v>
      </c>
      <c r="C2159" s="568">
        <v>10</v>
      </c>
      <c r="D2159" s="568">
        <v>0.31</v>
      </c>
      <c r="E2159" s="568">
        <v>8533</v>
      </c>
      <c r="F2159" s="568">
        <v>41533</v>
      </c>
      <c r="G2159" s="568">
        <v>963</v>
      </c>
      <c r="H2159" s="568">
        <v>4057</v>
      </c>
      <c r="I2159" s="559" t="str">
        <f t="shared" si="32"/>
        <v>GooD</v>
      </c>
    </row>
    <row r="2160" spans="1:9">
      <c r="A2160" s="563" t="s">
        <v>639</v>
      </c>
      <c r="B2160" s="563">
        <v>33000</v>
      </c>
      <c r="C2160" s="564">
        <v>12</v>
      </c>
      <c r="D2160" s="564">
        <v>0.31</v>
      </c>
      <c r="E2160" s="564">
        <v>10239</v>
      </c>
      <c r="F2160" s="564">
        <v>43239</v>
      </c>
      <c r="G2160" s="564">
        <v>1155</v>
      </c>
      <c r="H2160" s="564">
        <v>3507</v>
      </c>
      <c r="I2160" s="557" t="str">
        <f t="shared" si="32"/>
        <v>GooD</v>
      </c>
    </row>
    <row r="2161" spans="1:9" ht="15.75" thickBot="1">
      <c r="A2161" s="565" t="s">
        <v>639</v>
      </c>
      <c r="B2161" s="565">
        <v>33000</v>
      </c>
      <c r="C2161" s="566">
        <v>14</v>
      </c>
      <c r="D2161" s="566">
        <v>0.31</v>
      </c>
      <c r="E2161" s="566">
        <v>11944</v>
      </c>
      <c r="F2161" s="566">
        <v>44944</v>
      </c>
      <c r="G2161" s="566">
        <v>1348</v>
      </c>
      <c r="H2161" s="566">
        <v>3114</v>
      </c>
      <c r="I2161" s="558" t="str">
        <f t="shared" si="32"/>
        <v>GooD</v>
      </c>
    </row>
    <row r="2162" spans="1:9" ht="15.75" thickTop="1">
      <c r="A2162" s="567" t="s">
        <v>639</v>
      </c>
      <c r="B2162" s="567">
        <v>33000</v>
      </c>
      <c r="C2162" s="568">
        <v>16</v>
      </c>
      <c r="D2162" s="568">
        <v>0.31</v>
      </c>
      <c r="E2162" s="568">
        <v>13644</v>
      </c>
      <c r="F2162" s="568">
        <v>46644</v>
      </c>
      <c r="G2162" s="568">
        <v>1540</v>
      </c>
      <c r="H2162" s="568">
        <v>2819</v>
      </c>
      <c r="I2162" s="559" t="str">
        <f t="shared" si="32"/>
        <v>GooD</v>
      </c>
    </row>
    <row r="2163" spans="1:9">
      <c r="A2163" s="563" t="s">
        <v>639</v>
      </c>
      <c r="B2163" s="563">
        <v>33000</v>
      </c>
      <c r="C2163" s="564">
        <v>18</v>
      </c>
      <c r="D2163" s="564">
        <v>0.31</v>
      </c>
      <c r="E2163" s="564">
        <v>15353</v>
      </c>
      <c r="F2163" s="564">
        <v>48353</v>
      </c>
      <c r="G2163" s="564">
        <v>1733</v>
      </c>
      <c r="H2163" s="564">
        <v>2590</v>
      </c>
      <c r="I2163" s="557" t="str">
        <f t="shared" si="32"/>
        <v>GooD</v>
      </c>
    </row>
    <row r="2164" spans="1:9" ht="15.75" thickBot="1">
      <c r="A2164" s="565" t="s">
        <v>639</v>
      </c>
      <c r="B2164" s="565">
        <v>33000</v>
      </c>
      <c r="C2164" s="566">
        <v>20</v>
      </c>
      <c r="D2164" s="566">
        <v>0.31</v>
      </c>
      <c r="E2164" s="566">
        <v>17065</v>
      </c>
      <c r="F2164" s="566">
        <v>50065</v>
      </c>
      <c r="G2164" s="566">
        <v>1925</v>
      </c>
      <c r="H2164" s="566">
        <v>2407</v>
      </c>
      <c r="I2164" s="558" t="str">
        <f t="shared" si="32"/>
        <v>GooD</v>
      </c>
    </row>
    <row r="2165" spans="1:9" ht="15.75" thickTop="1">
      <c r="A2165" s="567" t="s">
        <v>639</v>
      </c>
      <c r="B2165" s="567">
        <v>33000</v>
      </c>
      <c r="C2165" s="568">
        <v>22</v>
      </c>
      <c r="D2165" s="568">
        <v>0.31</v>
      </c>
      <c r="E2165" s="568">
        <v>18772</v>
      </c>
      <c r="F2165" s="568">
        <v>51772</v>
      </c>
      <c r="G2165" s="568">
        <v>2118</v>
      </c>
      <c r="H2165" s="568">
        <v>2257</v>
      </c>
      <c r="I2165" s="559" t="str">
        <f t="shared" si="32"/>
        <v>GooD</v>
      </c>
    </row>
    <row r="2166" spans="1:9">
      <c r="A2166" s="563" t="s">
        <v>639</v>
      </c>
      <c r="B2166" s="563">
        <v>33000</v>
      </c>
      <c r="C2166" s="564">
        <v>24</v>
      </c>
      <c r="D2166" s="564">
        <v>0.31</v>
      </c>
      <c r="E2166" s="564">
        <v>20478</v>
      </c>
      <c r="F2166" s="564">
        <v>53478</v>
      </c>
      <c r="G2166" s="564">
        <v>2310</v>
      </c>
      <c r="H2166" s="564">
        <v>2132</v>
      </c>
      <c r="I2166" s="557" t="str">
        <f t="shared" si="32"/>
        <v>GooD</v>
      </c>
    </row>
    <row r="2167" spans="1:9" ht="15.75" thickBot="1">
      <c r="A2167" s="565" t="s">
        <v>639</v>
      </c>
      <c r="B2167" s="565">
        <v>34000</v>
      </c>
      <c r="C2167" s="566">
        <v>4</v>
      </c>
      <c r="D2167" s="566">
        <v>0.31</v>
      </c>
      <c r="E2167" s="566">
        <v>3517</v>
      </c>
      <c r="F2167" s="566">
        <v>37517</v>
      </c>
      <c r="G2167" s="566">
        <v>397</v>
      </c>
      <c r="H2167" s="566">
        <v>9280</v>
      </c>
      <c r="I2167" s="558" t="str">
        <f t="shared" si="32"/>
        <v>GooD</v>
      </c>
    </row>
    <row r="2168" spans="1:9" ht="15.75" thickTop="1">
      <c r="A2168" s="567" t="s">
        <v>639</v>
      </c>
      <c r="B2168" s="567">
        <v>34000</v>
      </c>
      <c r="C2168" s="568">
        <v>6</v>
      </c>
      <c r="D2168" s="568">
        <v>0.31</v>
      </c>
      <c r="E2168" s="568">
        <v>5271</v>
      </c>
      <c r="F2168" s="568">
        <v>39271</v>
      </c>
      <c r="G2168" s="568">
        <v>595</v>
      </c>
      <c r="H2168" s="568">
        <v>6446</v>
      </c>
      <c r="I2168" s="559" t="str">
        <f t="shared" si="32"/>
        <v>GooD</v>
      </c>
    </row>
    <row r="2169" spans="1:9">
      <c r="A2169" s="563" t="s">
        <v>639</v>
      </c>
      <c r="B2169" s="563">
        <v>34000</v>
      </c>
      <c r="C2169" s="564">
        <v>8</v>
      </c>
      <c r="D2169" s="564">
        <v>0.31</v>
      </c>
      <c r="E2169" s="564">
        <v>7034</v>
      </c>
      <c r="F2169" s="564">
        <v>41034</v>
      </c>
      <c r="G2169" s="564">
        <v>794</v>
      </c>
      <c r="H2169" s="564">
        <v>5030</v>
      </c>
      <c r="I2169" s="557" t="str">
        <f t="shared" si="32"/>
        <v>GooD</v>
      </c>
    </row>
    <row r="2170" spans="1:9" ht="15.75" thickBot="1">
      <c r="A2170" s="565" t="s">
        <v>639</v>
      </c>
      <c r="B2170" s="565">
        <v>34000</v>
      </c>
      <c r="C2170" s="566">
        <v>10</v>
      </c>
      <c r="D2170" s="566">
        <v>0.31</v>
      </c>
      <c r="E2170" s="566">
        <v>8792</v>
      </c>
      <c r="F2170" s="566">
        <v>42792</v>
      </c>
      <c r="G2170" s="566">
        <v>992</v>
      </c>
      <c r="H2170" s="566">
        <v>4180</v>
      </c>
      <c r="I2170" s="558" t="str">
        <f t="shared" si="32"/>
        <v>GooD</v>
      </c>
    </row>
    <row r="2171" spans="1:9" ht="15.75" thickTop="1">
      <c r="A2171" s="567" t="s">
        <v>639</v>
      </c>
      <c r="B2171" s="567">
        <v>34000</v>
      </c>
      <c r="C2171" s="568">
        <v>12</v>
      </c>
      <c r="D2171" s="568">
        <v>0.31</v>
      </c>
      <c r="E2171" s="568">
        <v>10546</v>
      </c>
      <c r="F2171" s="568">
        <v>44546</v>
      </c>
      <c r="G2171" s="568">
        <v>1190</v>
      </c>
      <c r="H2171" s="568">
        <v>3613</v>
      </c>
      <c r="I2171" s="559" t="str">
        <f t="shared" si="32"/>
        <v>GooD</v>
      </c>
    </row>
    <row r="2172" spans="1:9">
      <c r="A2172" s="563" t="s">
        <v>639</v>
      </c>
      <c r="B2172" s="563">
        <v>34000</v>
      </c>
      <c r="C2172" s="564">
        <v>14</v>
      </c>
      <c r="D2172" s="564">
        <v>0.31</v>
      </c>
      <c r="E2172" s="564">
        <v>12301</v>
      </c>
      <c r="F2172" s="564">
        <v>46301</v>
      </c>
      <c r="G2172" s="564">
        <v>1389</v>
      </c>
      <c r="H2172" s="564">
        <v>3208</v>
      </c>
      <c r="I2172" s="557" t="str">
        <f t="shared" si="32"/>
        <v>GooD</v>
      </c>
    </row>
    <row r="2173" spans="1:9" ht="15.75" thickBot="1">
      <c r="A2173" s="565" t="s">
        <v>639</v>
      </c>
      <c r="B2173" s="565">
        <v>34000</v>
      </c>
      <c r="C2173" s="566">
        <v>16</v>
      </c>
      <c r="D2173" s="566">
        <v>0.31</v>
      </c>
      <c r="E2173" s="566">
        <v>14067</v>
      </c>
      <c r="F2173" s="566">
        <v>48067</v>
      </c>
      <c r="G2173" s="566">
        <v>1587</v>
      </c>
      <c r="H2173" s="566">
        <v>2905</v>
      </c>
      <c r="I2173" s="558" t="str">
        <f t="shared" si="32"/>
        <v>GooD</v>
      </c>
    </row>
    <row r="2174" spans="1:9" ht="15.75" thickTop="1">
      <c r="A2174" s="567" t="s">
        <v>639</v>
      </c>
      <c r="B2174" s="567">
        <v>34000</v>
      </c>
      <c r="C2174" s="568">
        <v>18</v>
      </c>
      <c r="D2174" s="568">
        <v>0.31</v>
      </c>
      <c r="E2174" s="568">
        <v>15827</v>
      </c>
      <c r="F2174" s="568">
        <v>49827</v>
      </c>
      <c r="G2174" s="568">
        <v>1785</v>
      </c>
      <c r="H2174" s="568">
        <v>2669</v>
      </c>
      <c r="I2174" s="559" t="str">
        <f t="shared" si="32"/>
        <v>GooD</v>
      </c>
    </row>
    <row r="2175" spans="1:9">
      <c r="A2175" s="563" t="s">
        <v>639</v>
      </c>
      <c r="B2175" s="563">
        <v>34000</v>
      </c>
      <c r="C2175" s="564">
        <v>20</v>
      </c>
      <c r="D2175" s="564">
        <v>0.31</v>
      </c>
      <c r="E2175" s="564">
        <v>17584</v>
      </c>
      <c r="F2175" s="564">
        <v>51584</v>
      </c>
      <c r="G2175" s="564">
        <v>1984</v>
      </c>
      <c r="H2175" s="564">
        <v>2480</v>
      </c>
      <c r="I2175" s="557" t="str">
        <f t="shared" si="32"/>
        <v>GooD</v>
      </c>
    </row>
    <row r="2176" spans="1:9" ht="15.75" thickBot="1">
      <c r="A2176" s="565" t="s">
        <v>639</v>
      </c>
      <c r="B2176" s="565">
        <v>34000</v>
      </c>
      <c r="C2176" s="566">
        <v>22</v>
      </c>
      <c r="D2176" s="566">
        <v>0.31</v>
      </c>
      <c r="E2176" s="566">
        <v>19332</v>
      </c>
      <c r="F2176" s="566">
        <v>53332</v>
      </c>
      <c r="G2176" s="566">
        <v>2182</v>
      </c>
      <c r="H2176" s="566">
        <v>2325</v>
      </c>
      <c r="I2176" s="558" t="str">
        <f t="shared" si="32"/>
        <v>GooD</v>
      </c>
    </row>
    <row r="2177" spans="1:9" ht="15.75" thickTop="1">
      <c r="A2177" s="567" t="s">
        <v>639</v>
      </c>
      <c r="B2177" s="567">
        <v>34000</v>
      </c>
      <c r="C2177" s="568">
        <v>24</v>
      </c>
      <c r="D2177" s="568">
        <v>0.31</v>
      </c>
      <c r="E2177" s="568">
        <v>21084</v>
      </c>
      <c r="F2177" s="568">
        <v>55084</v>
      </c>
      <c r="G2177" s="568">
        <v>2380</v>
      </c>
      <c r="H2177" s="568">
        <v>2196</v>
      </c>
      <c r="I2177" s="559" t="str">
        <f t="shared" si="32"/>
        <v>GooD</v>
      </c>
    </row>
    <row r="2178" spans="1:9">
      <c r="A2178" s="563" t="s">
        <v>639</v>
      </c>
      <c r="B2178" s="563">
        <v>35000</v>
      </c>
      <c r="C2178" s="564">
        <v>4</v>
      </c>
      <c r="D2178" s="564">
        <v>0.31</v>
      </c>
      <c r="E2178" s="564">
        <v>3621</v>
      </c>
      <c r="F2178" s="564">
        <v>38621</v>
      </c>
      <c r="G2178" s="564">
        <v>409</v>
      </c>
      <c r="H2178" s="564">
        <v>9553</v>
      </c>
      <c r="I2178" s="557" t="str">
        <f t="shared" si="32"/>
        <v>GooD</v>
      </c>
    </row>
    <row r="2179" spans="1:9" ht="15.75" thickBot="1">
      <c r="A2179" s="565" t="s">
        <v>639</v>
      </c>
      <c r="B2179" s="565">
        <v>35000</v>
      </c>
      <c r="C2179" s="566">
        <v>6</v>
      </c>
      <c r="D2179" s="566">
        <v>0.31</v>
      </c>
      <c r="E2179" s="566">
        <v>5429</v>
      </c>
      <c r="F2179" s="566">
        <v>40429</v>
      </c>
      <c r="G2179" s="566">
        <v>613</v>
      </c>
      <c r="H2179" s="566">
        <v>6636</v>
      </c>
      <c r="I2179" s="558" t="str">
        <f t="shared" si="32"/>
        <v>GooD</v>
      </c>
    </row>
    <row r="2180" spans="1:9" ht="15.75" thickTop="1">
      <c r="A2180" s="567" t="s">
        <v>639</v>
      </c>
      <c r="B2180" s="567">
        <v>35000</v>
      </c>
      <c r="C2180" s="568">
        <v>8</v>
      </c>
      <c r="D2180" s="568">
        <v>0.31</v>
      </c>
      <c r="E2180" s="568">
        <v>7241</v>
      </c>
      <c r="F2180" s="568">
        <v>42241</v>
      </c>
      <c r="G2180" s="568">
        <v>817</v>
      </c>
      <c r="H2180" s="568">
        <v>5178</v>
      </c>
      <c r="I2180" s="559" t="str">
        <f t="shared" si="32"/>
        <v>GooD</v>
      </c>
    </row>
    <row r="2181" spans="1:9">
      <c r="A2181" s="563" t="s">
        <v>639</v>
      </c>
      <c r="B2181" s="563">
        <v>35000</v>
      </c>
      <c r="C2181" s="564">
        <v>10</v>
      </c>
      <c r="D2181" s="564">
        <v>0.31</v>
      </c>
      <c r="E2181" s="564">
        <v>9051</v>
      </c>
      <c r="F2181" s="564">
        <v>44051</v>
      </c>
      <c r="G2181" s="564">
        <v>1021</v>
      </c>
      <c r="H2181" s="564">
        <v>4303</v>
      </c>
      <c r="I2181" s="557" t="str">
        <f t="shared" si="32"/>
        <v>GooD</v>
      </c>
    </row>
    <row r="2182" spans="1:9" ht="15.75" thickBot="1">
      <c r="A2182" s="565" t="s">
        <v>639</v>
      </c>
      <c r="B2182" s="565">
        <v>35000</v>
      </c>
      <c r="C2182" s="566">
        <v>12</v>
      </c>
      <c r="D2182" s="566">
        <v>0.31</v>
      </c>
      <c r="E2182" s="566">
        <v>10853</v>
      </c>
      <c r="F2182" s="566">
        <v>45853</v>
      </c>
      <c r="G2182" s="566">
        <v>1225</v>
      </c>
      <c r="H2182" s="566">
        <v>3719</v>
      </c>
      <c r="I2182" s="558" t="str">
        <f t="shared" si="32"/>
        <v>GooD</v>
      </c>
    </row>
    <row r="2183" spans="1:9" ht="15.75" thickTop="1">
      <c r="A2183" s="567" t="s">
        <v>639</v>
      </c>
      <c r="B2183" s="567">
        <v>35000</v>
      </c>
      <c r="C2183" s="568">
        <v>14</v>
      </c>
      <c r="D2183" s="568">
        <v>0.31</v>
      </c>
      <c r="E2183" s="568">
        <v>12672</v>
      </c>
      <c r="F2183" s="568">
        <v>47672</v>
      </c>
      <c r="G2183" s="568">
        <v>1430</v>
      </c>
      <c r="H2183" s="568">
        <v>3303</v>
      </c>
      <c r="I2183" s="559" t="str">
        <f t="shared" si="32"/>
        <v>GooD</v>
      </c>
    </row>
    <row r="2184" spans="1:9">
      <c r="A2184" s="563" t="s">
        <v>639</v>
      </c>
      <c r="B2184" s="563">
        <v>35000</v>
      </c>
      <c r="C2184" s="564">
        <v>16</v>
      </c>
      <c r="D2184" s="564">
        <v>0.31</v>
      </c>
      <c r="E2184" s="564">
        <v>14474</v>
      </c>
      <c r="F2184" s="564">
        <v>49474</v>
      </c>
      <c r="G2184" s="564">
        <v>1634</v>
      </c>
      <c r="H2184" s="564">
        <v>2990</v>
      </c>
      <c r="I2184" s="557" t="str">
        <f t="shared" si="32"/>
        <v>GooD</v>
      </c>
    </row>
    <row r="2185" spans="1:9" ht="15.75" thickBot="1">
      <c r="A2185" s="565" t="s">
        <v>639</v>
      </c>
      <c r="B2185" s="565">
        <v>35000</v>
      </c>
      <c r="C2185" s="566">
        <v>18</v>
      </c>
      <c r="D2185" s="566">
        <v>0.31</v>
      </c>
      <c r="E2185" s="566">
        <v>16284</v>
      </c>
      <c r="F2185" s="566">
        <v>51284</v>
      </c>
      <c r="G2185" s="566">
        <v>1838</v>
      </c>
      <c r="H2185" s="566">
        <v>2747</v>
      </c>
      <c r="I2185" s="558" t="str">
        <f t="shared" si="32"/>
        <v>GooD</v>
      </c>
    </row>
    <row r="2186" spans="1:9" ht="15.75" thickTop="1">
      <c r="A2186" s="567" t="s">
        <v>639</v>
      </c>
      <c r="B2186" s="567">
        <v>35000</v>
      </c>
      <c r="C2186" s="568">
        <v>20</v>
      </c>
      <c r="D2186" s="568">
        <v>0.31</v>
      </c>
      <c r="E2186" s="568">
        <v>18102</v>
      </c>
      <c r="F2186" s="568">
        <v>53102</v>
      </c>
      <c r="G2186" s="568">
        <v>2042</v>
      </c>
      <c r="H2186" s="568">
        <v>2553</v>
      </c>
      <c r="I2186" s="559" t="str">
        <f t="shared" si="32"/>
        <v>GooD</v>
      </c>
    </row>
    <row r="2187" spans="1:9">
      <c r="A2187" s="563" t="s">
        <v>639</v>
      </c>
      <c r="B2187" s="563">
        <v>35000</v>
      </c>
      <c r="C2187" s="564">
        <v>22</v>
      </c>
      <c r="D2187" s="564">
        <v>0.31</v>
      </c>
      <c r="E2187" s="564">
        <v>19892</v>
      </c>
      <c r="F2187" s="564">
        <v>54892</v>
      </c>
      <c r="G2187" s="564">
        <v>2246</v>
      </c>
      <c r="H2187" s="564">
        <v>2393</v>
      </c>
      <c r="I2187" s="557" t="str">
        <f t="shared" si="32"/>
        <v>GooD</v>
      </c>
    </row>
    <row r="2188" spans="1:9" ht="15.75" thickBot="1">
      <c r="A2188" s="565" t="s">
        <v>639</v>
      </c>
      <c r="B2188" s="565">
        <v>35000</v>
      </c>
      <c r="C2188" s="566">
        <v>24</v>
      </c>
      <c r="D2188" s="566">
        <v>0.31</v>
      </c>
      <c r="E2188" s="566">
        <v>21714</v>
      </c>
      <c r="F2188" s="566">
        <v>56714</v>
      </c>
      <c r="G2188" s="566">
        <v>2450</v>
      </c>
      <c r="H2188" s="566">
        <v>2261</v>
      </c>
      <c r="I2188" s="558" t="str">
        <f t="shared" si="32"/>
        <v>GooD</v>
      </c>
    </row>
    <row r="2189" spans="1:9" ht="15.75" thickTop="1">
      <c r="A2189" s="567" t="s">
        <v>639</v>
      </c>
      <c r="B2189" s="567">
        <v>36000</v>
      </c>
      <c r="C2189" s="568">
        <v>4</v>
      </c>
      <c r="D2189" s="568">
        <v>0.31</v>
      </c>
      <c r="E2189" s="568">
        <v>3724</v>
      </c>
      <c r="F2189" s="568">
        <v>39724</v>
      </c>
      <c r="G2189" s="568">
        <v>420</v>
      </c>
      <c r="H2189" s="568">
        <v>9826</v>
      </c>
      <c r="I2189" s="559" t="str">
        <f t="shared" si="32"/>
        <v>GooD</v>
      </c>
    </row>
    <row r="2190" spans="1:9">
      <c r="A2190" s="563" t="s">
        <v>639</v>
      </c>
      <c r="B2190" s="563">
        <v>36000</v>
      </c>
      <c r="C2190" s="564">
        <v>6</v>
      </c>
      <c r="D2190" s="564">
        <v>0.31</v>
      </c>
      <c r="E2190" s="564">
        <v>5586</v>
      </c>
      <c r="F2190" s="564">
        <v>41586</v>
      </c>
      <c r="G2190" s="564">
        <v>630</v>
      </c>
      <c r="H2190" s="564">
        <v>6826</v>
      </c>
      <c r="I2190" s="557" t="str">
        <f t="shared" si="32"/>
        <v>GooD</v>
      </c>
    </row>
    <row r="2191" spans="1:9" ht="15.75" thickBot="1">
      <c r="A2191" s="565" t="s">
        <v>639</v>
      </c>
      <c r="B2191" s="565">
        <v>36000</v>
      </c>
      <c r="C2191" s="566">
        <v>8</v>
      </c>
      <c r="D2191" s="566">
        <v>0.31</v>
      </c>
      <c r="E2191" s="566">
        <v>7448</v>
      </c>
      <c r="F2191" s="566">
        <v>43448</v>
      </c>
      <c r="G2191" s="566">
        <v>840</v>
      </c>
      <c r="H2191" s="566">
        <v>5326</v>
      </c>
      <c r="I2191" s="558" t="str">
        <f t="shared" si="32"/>
        <v>GooD</v>
      </c>
    </row>
    <row r="2192" spans="1:9" ht="15.75" thickTop="1">
      <c r="A2192" s="567" t="s">
        <v>639</v>
      </c>
      <c r="B2192" s="567">
        <v>36000</v>
      </c>
      <c r="C2192" s="568">
        <v>10</v>
      </c>
      <c r="D2192" s="568">
        <v>0.31</v>
      </c>
      <c r="E2192" s="568">
        <v>9310</v>
      </c>
      <c r="F2192" s="568">
        <v>45310</v>
      </c>
      <c r="G2192" s="568">
        <v>1050</v>
      </c>
      <c r="H2192" s="568">
        <v>4426</v>
      </c>
      <c r="I2192" s="559" t="str">
        <f t="shared" si="32"/>
        <v>GooD</v>
      </c>
    </row>
    <row r="2193" spans="1:9">
      <c r="A2193" s="563" t="s">
        <v>639</v>
      </c>
      <c r="B2193" s="563">
        <v>36000</v>
      </c>
      <c r="C2193" s="564">
        <v>12</v>
      </c>
      <c r="D2193" s="564">
        <v>0.31</v>
      </c>
      <c r="E2193" s="564">
        <v>11172</v>
      </c>
      <c r="F2193" s="564">
        <v>47172</v>
      </c>
      <c r="G2193" s="564">
        <v>1260</v>
      </c>
      <c r="H2193" s="564">
        <v>3826</v>
      </c>
      <c r="I2193" s="557" t="str">
        <f t="shared" si="32"/>
        <v>GooD</v>
      </c>
    </row>
    <row r="2194" spans="1:9" ht="15.75" thickBot="1">
      <c r="A2194" s="565" t="s">
        <v>639</v>
      </c>
      <c r="B2194" s="565">
        <v>36000</v>
      </c>
      <c r="C2194" s="566">
        <v>14</v>
      </c>
      <c r="D2194" s="566">
        <v>0.31</v>
      </c>
      <c r="E2194" s="566">
        <v>13028</v>
      </c>
      <c r="F2194" s="566">
        <v>49028</v>
      </c>
      <c r="G2194" s="566">
        <v>1470</v>
      </c>
      <c r="H2194" s="566">
        <v>3397</v>
      </c>
      <c r="I2194" s="558" t="str">
        <f t="shared" si="32"/>
        <v>GooD</v>
      </c>
    </row>
    <row r="2195" spans="1:9" ht="15.75" thickTop="1">
      <c r="A2195" s="567" t="s">
        <v>639</v>
      </c>
      <c r="B2195" s="567">
        <v>36000</v>
      </c>
      <c r="C2195" s="568">
        <v>16</v>
      </c>
      <c r="D2195" s="568">
        <v>0.31</v>
      </c>
      <c r="E2195" s="568">
        <v>14896</v>
      </c>
      <c r="F2195" s="568">
        <v>50896</v>
      </c>
      <c r="G2195" s="568">
        <v>1680</v>
      </c>
      <c r="H2195" s="568">
        <v>3076</v>
      </c>
      <c r="I2195" s="559" t="str">
        <f t="shared" si="32"/>
        <v>GooD</v>
      </c>
    </row>
    <row r="2196" spans="1:9">
      <c r="A2196" s="563" t="s">
        <v>639</v>
      </c>
      <c r="B2196" s="563">
        <v>36000</v>
      </c>
      <c r="C2196" s="564">
        <v>18</v>
      </c>
      <c r="D2196" s="564">
        <v>0.31</v>
      </c>
      <c r="E2196" s="564">
        <v>16758</v>
      </c>
      <c r="F2196" s="564">
        <v>52758</v>
      </c>
      <c r="G2196" s="564">
        <v>1890</v>
      </c>
      <c r="H2196" s="564">
        <v>2826</v>
      </c>
      <c r="I2196" s="557" t="str">
        <f t="shared" si="32"/>
        <v>GooD</v>
      </c>
    </row>
    <row r="2197" spans="1:9" ht="15.75" thickBot="1">
      <c r="A2197" s="565" t="s">
        <v>639</v>
      </c>
      <c r="B2197" s="565">
        <v>36000</v>
      </c>
      <c r="C2197" s="566">
        <v>20</v>
      </c>
      <c r="D2197" s="566">
        <v>0.31</v>
      </c>
      <c r="E2197" s="566">
        <v>18620</v>
      </c>
      <c r="F2197" s="566">
        <v>54620</v>
      </c>
      <c r="G2197" s="566">
        <v>2100</v>
      </c>
      <c r="H2197" s="566">
        <v>2626</v>
      </c>
      <c r="I2197" s="558" t="str">
        <f t="shared" si="32"/>
        <v>GooD</v>
      </c>
    </row>
    <row r="2198" spans="1:9" ht="15.75" thickTop="1">
      <c r="A2198" s="567" t="s">
        <v>639</v>
      </c>
      <c r="B2198" s="567">
        <v>36000</v>
      </c>
      <c r="C2198" s="568">
        <v>22</v>
      </c>
      <c r="D2198" s="568">
        <v>0.31</v>
      </c>
      <c r="E2198" s="568">
        <v>20474</v>
      </c>
      <c r="F2198" s="568">
        <v>56474</v>
      </c>
      <c r="G2198" s="568">
        <v>2310</v>
      </c>
      <c r="H2198" s="568">
        <v>2462</v>
      </c>
      <c r="I2198" s="559" t="str">
        <f t="shared" si="32"/>
        <v>GooD</v>
      </c>
    </row>
    <row r="2199" spans="1:9">
      <c r="A2199" s="563" t="s">
        <v>639</v>
      </c>
      <c r="B2199" s="563">
        <v>36000</v>
      </c>
      <c r="C2199" s="564">
        <v>24</v>
      </c>
      <c r="D2199" s="564">
        <v>0.31</v>
      </c>
      <c r="E2199" s="564">
        <v>22344</v>
      </c>
      <c r="F2199" s="564">
        <v>58344</v>
      </c>
      <c r="G2199" s="564">
        <v>2520</v>
      </c>
      <c r="H2199" s="564">
        <v>2326</v>
      </c>
      <c r="I2199" s="557" t="str">
        <f t="shared" si="32"/>
        <v>GooD</v>
      </c>
    </row>
    <row r="2200" spans="1:9" ht="15.75" thickBot="1">
      <c r="A2200" s="565" t="s">
        <v>639</v>
      </c>
      <c r="B2200" s="565">
        <v>37000</v>
      </c>
      <c r="C2200" s="566">
        <v>4</v>
      </c>
      <c r="D2200" s="566">
        <v>0.31</v>
      </c>
      <c r="E2200" s="566">
        <v>3824</v>
      </c>
      <c r="F2200" s="566">
        <v>40824</v>
      </c>
      <c r="G2200" s="566">
        <v>432</v>
      </c>
      <c r="H2200" s="566">
        <v>10098</v>
      </c>
      <c r="I2200" s="558" t="str">
        <f t="shared" si="32"/>
        <v>GooD</v>
      </c>
    </row>
    <row r="2201" spans="1:9" ht="15.75" thickTop="1">
      <c r="A2201" s="567" t="s">
        <v>639</v>
      </c>
      <c r="B2201" s="567">
        <v>37000</v>
      </c>
      <c r="C2201" s="568">
        <v>6</v>
      </c>
      <c r="D2201" s="568">
        <v>0.31</v>
      </c>
      <c r="E2201" s="568">
        <v>5738</v>
      </c>
      <c r="F2201" s="568">
        <v>42738</v>
      </c>
      <c r="G2201" s="568">
        <v>648</v>
      </c>
      <c r="H2201" s="568">
        <v>7015</v>
      </c>
      <c r="I2201" s="559" t="str">
        <f t="shared" si="32"/>
        <v>GooD</v>
      </c>
    </row>
    <row r="2202" spans="1:9">
      <c r="A2202" s="563" t="s">
        <v>639</v>
      </c>
      <c r="B2202" s="563">
        <v>37000</v>
      </c>
      <c r="C2202" s="564">
        <v>8</v>
      </c>
      <c r="D2202" s="564">
        <v>0.31</v>
      </c>
      <c r="E2202" s="564">
        <v>7648</v>
      </c>
      <c r="F2202" s="564">
        <v>44648</v>
      </c>
      <c r="G2202" s="564">
        <v>864</v>
      </c>
      <c r="H2202" s="564">
        <v>5473</v>
      </c>
      <c r="I2202" s="557" t="str">
        <f t="shared" si="32"/>
        <v>GooD</v>
      </c>
    </row>
    <row r="2203" spans="1:9" ht="15.75" thickBot="1">
      <c r="A2203" s="565" t="s">
        <v>639</v>
      </c>
      <c r="B2203" s="565">
        <v>37000</v>
      </c>
      <c r="C2203" s="566">
        <v>10</v>
      </c>
      <c r="D2203" s="566">
        <v>0.31</v>
      </c>
      <c r="E2203" s="566">
        <v>9560</v>
      </c>
      <c r="F2203" s="566">
        <v>46560</v>
      </c>
      <c r="G2203" s="566">
        <v>1080</v>
      </c>
      <c r="H2203" s="566">
        <v>4548</v>
      </c>
      <c r="I2203" s="558" t="str">
        <f t="shared" si="32"/>
        <v>GooD</v>
      </c>
    </row>
    <row r="2204" spans="1:9" ht="15.75" thickTop="1">
      <c r="A2204" s="567" t="s">
        <v>639</v>
      </c>
      <c r="B2204" s="567">
        <v>37000</v>
      </c>
      <c r="C2204" s="568">
        <v>12</v>
      </c>
      <c r="D2204" s="568">
        <v>0.31</v>
      </c>
      <c r="E2204" s="568">
        <v>11479</v>
      </c>
      <c r="F2204" s="568">
        <v>48479</v>
      </c>
      <c r="G2204" s="568">
        <v>1295</v>
      </c>
      <c r="H2204" s="568">
        <v>3932</v>
      </c>
      <c r="I2204" s="559" t="str">
        <f t="shared" si="32"/>
        <v>GooD</v>
      </c>
    </row>
    <row r="2205" spans="1:9">
      <c r="A2205" s="563" t="s">
        <v>639</v>
      </c>
      <c r="B2205" s="563">
        <v>37000</v>
      </c>
      <c r="C2205" s="564">
        <v>14</v>
      </c>
      <c r="D2205" s="564">
        <v>0.31</v>
      </c>
      <c r="E2205" s="564">
        <v>13385</v>
      </c>
      <c r="F2205" s="564">
        <v>50385</v>
      </c>
      <c r="G2205" s="564">
        <v>1511</v>
      </c>
      <c r="H2205" s="564">
        <v>3491</v>
      </c>
      <c r="I2205" s="557" t="str">
        <f t="shared" si="32"/>
        <v>GooD</v>
      </c>
    </row>
    <row r="2206" spans="1:9" ht="15.75" thickBot="1">
      <c r="A2206" s="565" t="s">
        <v>639</v>
      </c>
      <c r="B2206" s="565">
        <v>37000</v>
      </c>
      <c r="C2206" s="566">
        <v>16</v>
      </c>
      <c r="D2206" s="566">
        <v>0.31</v>
      </c>
      <c r="E2206" s="566">
        <v>15303</v>
      </c>
      <c r="F2206" s="566">
        <v>52303</v>
      </c>
      <c r="G2206" s="566">
        <v>1727</v>
      </c>
      <c r="H2206" s="566">
        <v>3161</v>
      </c>
      <c r="I2206" s="558" t="str">
        <f t="shared" si="32"/>
        <v>GooD</v>
      </c>
    </row>
    <row r="2207" spans="1:9" ht="15.75" thickTop="1">
      <c r="A2207" s="567" t="s">
        <v>639</v>
      </c>
      <c r="B2207" s="567">
        <v>37000</v>
      </c>
      <c r="C2207" s="568">
        <v>18</v>
      </c>
      <c r="D2207" s="568">
        <v>0.31</v>
      </c>
      <c r="E2207" s="568">
        <v>17215</v>
      </c>
      <c r="F2207" s="568">
        <v>54215</v>
      </c>
      <c r="G2207" s="568">
        <v>1943</v>
      </c>
      <c r="H2207" s="568">
        <v>2904</v>
      </c>
      <c r="I2207" s="559" t="str">
        <f t="shared" si="32"/>
        <v>GooD</v>
      </c>
    </row>
    <row r="2208" spans="1:9">
      <c r="A2208" s="563" t="s">
        <v>639</v>
      </c>
      <c r="B2208" s="563">
        <v>37000</v>
      </c>
      <c r="C2208" s="564">
        <v>20</v>
      </c>
      <c r="D2208" s="564">
        <v>0.31</v>
      </c>
      <c r="E2208" s="564">
        <v>19119</v>
      </c>
      <c r="F2208" s="564">
        <v>56119</v>
      </c>
      <c r="G2208" s="564">
        <v>2159</v>
      </c>
      <c r="H2208" s="564">
        <v>2698</v>
      </c>
      <c r="I2208" s="557" t="str">
        <f t="shared" si="32"/>
        <v>GooD</v>
      </c>
    </row>
    <row r="2209" spans="1:9" ht="15.75" thickBot="1">
      <c r="A2209" s="565" t="s">
        <v>639</v>
      </c>
      <c r="B2209" s="565">
        <v>37000</v>
      </c>
      <c r="C2209" s="566">
        <v>22</v>
      </c>
      <c r="D2209" s="566">
        <v>0.31</v>
      </c>
      <c r="E2209" s="566">
        <v>21035</v>
      </c>
      <c r="F2209" s="566">
        <v>58035</v>
      </c>
      <c r="G2209" s="566">
        <v>2375</v>
      </c>
      <c r="H2209" s="566">
        <v>2530</v>
      </c>
      <c r="I2209" s="558" t="str">
        <f t="shared" si="32"/>
        <v>GooD</v>
      </c>
    </row>
    <row r="2210" spans="1:9" ht="15.75" thickTop="1">
      <c r="A2210" s="567" t="s">
        <v>639</v>
      </c>
      <c r="B2210" s="567">
        <v>37000</v>
      </c>
      <c r="C2210" s="568">
        <v>24</v>
      </c>
      <c r="D2210" s="568">
        <v>0.31</v>
      </c>
      <c r="E2210" s="568">
        <v>22950</v>
      </c>
      <c r="F2210" s="568">
        <v>59950</v>
      </c>
      <c r="G2210" s="568">
        <v>2590</v>
      </c>
      <c r="H2210" s="568">
        <v>2390</v>
      </c>
      <c r="I2210" s="559" t="str">
        <f t="shared" si="32"/>
        <v>GooD</v>
      </c>
    </row>
    <row r="2211" spans="1:9">
      <c r="A2211" s="563" t="s">
        <v>639</v>
      </c>
      <c r="B2211" s="563">
        <v>38000</v>
      </c>
      <c r="C2211" s="564">
        <v>4</v>
      </c>
      <c r="D2211" s="564">
        <v>0.31</v>
      </c>
      <c r="E2211" s="564">
        <v>3928</v>
      </c>
      <c r="F2211" s="564">
        <v>41928</v>
      </c>
      <c r="G2211" s="564">
        <v>444</v>
      </c>
      <c r="H2211" s="564">
        <v>10371</v>
      </c>
      <c r="I2211" s="557" t="str">
        <f t="shared" si="32"/>
        <v>GooD</v>
      </c>
    </row>
    <row r="2212" spans="1:9" ht="15.75" thickBot="1">
      <c r="A2212" s="565" t="s">
        <v>639</v>
      </c>
      <c r="B2212" s="565">
        <v>38000</v>
      </c>
      <c r="C2212" s="566">
        <v>6</v>
      </c>
      <c r="D2212" s="566">
        <v>0.31</v>
      </c>
      <c r="E2212" s="566">
        <v>5895</v>
      </c>
      <c r="F2212" s="566">
        <v>43895</v>
      </c>
      <c r="G2212" s="566">
        <v>665</v>
      </c>
      <c r="H2212" s="566">
        <v>7205</v>
      </c>
      <c r="I2212" s="558" t="str">
        <f t="shared" si="32"/>
        <v>GooD</v>
      </c>
    </row>
    <row r="2213" spans="1:9" ht="15.75" thickTop="1">
      <c r="A2213" s="567" t="s">
        <v>639</v>
      </c>
      <c r="B2213" s="567">
        <v>38000</v>
      </c>
      <c r="C2213" s="568">
        <v>8</v>
      </c>
      <c r="D2213" s="568">
        <v>0.31</v>
      </c>
      <c r="E2213" s="568">
        <v>7855</v>
      </c>
      <c r="F2213" s="568">
        <v>45855</v>
      </c>
      <c r="G2213" s="568">
        <v>887</v>
      </c>
      <c r="H2213" s="568">
        <v>5621</v>
      </c>
      <c r="I2213" s="559" t="str">
        <f t="shared" ref="I2213:I2278" si="33">IF(((H2213*C2213)+G2213)=F2213,"GooD","لالالالالالالا")</f>
        <v>GooD</v>
      </c>
    </row>
    <row r="2214" spans="1:9">
      <c r="A2214" s="563" t="s">
        <v>639</v>
      </c>
      <c r="B2214" s="563">
        <v>38000</v>
      </c>
      <c r="C2214" s="564">
        <v>10</v>
      </c>
      <c r="D2214" s="564">
        <v>0.31</v>
      </c>
      <c r="E2214" s="564">
        <v>9819</v>
      </c>
      <c r="F2214" s="564">
        <v>47819</v>
      </c>
      <c r="G2214" s="564">
        <v>1109</v>
      </c>
      <c r="H2214" s="564">
        <v>4671</v>
      </c>
      <c r="I2214" s="557" t="str">
        <f t="shared" si="33"/>
        <v>GooD</v>
      </c>
    </row>
    <row r="2215" spans="1:9" ht="15.75" thickBot="1">
      <c r="A2215" s="565" t="s">
        <v>639</v>
      </c>
      <c r="B2215" s="565">
        <v>38000</v>
      </c>
      <c r="C2215" s="566">
        <v>12</v>
      </c>
      <c r="D2215" s="566">
        <v>0.31</v>
      </c>
      <c r="E2215" s="566">
        <v>11786</v>
      </c>
      <c r="F2215" s="566">
        <v>49786</v>
      </c>
      <c r="G2215" s="566">
        <v>1330</v>
      </c>
      <c r="H2215" s="566">
        <v>4038</v>
      </c>
      <c r="I2215" s="558" t="str">
        <f t="shared" si="33"/>
        <v>GooD</v>
      </c>
    </row>
    <row r="2216" spans="1:9" ht="15.75" thickTop="1">
      <c r="A2216" s="567" t="s">
        <v>639</v>
      </c>
      <c r="B2216" s="567">
        <v>38000</v>
      </c>
      <c r="C2216" s="568">
        <v>14</v>
      </c>
      <c r="D2216" s="568">
        <v>0.31</v>
      </c>
      <c r="E2216" s="568">
        <v>13756</v>
      </c>
      <c r="F2216" s="568">
        <v>51756</v>
      </c>
      <c r="G2216" s="568">
        <v>1552</v>
      </c>
      <c r="H2216" s="568">
        <v>3586</v>
      </c>
      <c r="I2216" s="559" t="str">
        <f t="shared" si="33"/>
        <v>GooD</v>
      </c>
    </row>
    <row r="2217" spans="1:9">
      <c r="A2217" s="563" t="s">
        <v>639</v>
      </c>
      <c r="B2217" s="563">
        <v>38000</v>
      </c>
      <c r="C2217" s="564">
        <v>16</v>
      </c>
      <c r="D2217" s="564">
        <v>0.31</v>
      </c>
      <c r="E2217" s="564">
        <v>15710</v>
      </c>
      <c r="F2217" s="564">
        <v>53710</v>
      </c>
      <c r="G2217" s="564">
        <v>1774</v>
      </c>
      <c r="H2217" s="564">
        <v>3246</v>
      </c>
      <c r="I2217" s="557" t="str">
        <f t="shared" si="33"/>
        <v>GooD</v>
      </c>
    </row>
    <row r="2218" spans="1:9" ht="15.75" thickBot="1">
      <c r="A2218" s="565" t="s">
        <v>639</v>
      </c>
      <c r="B2218" s="565">
        <v>38000</v>
      </c>
      <c r="C2218" s="566">
        <v>18</v>
      </c>
      <c r="D2218" s="566">
        <v>0.31</v>
      </c>
      <c r="E2218" s="566">
        <v>17671</v>
      </c>
      <c r="F2218" s="566">
        <v>55671</v>
      </c>
      <c r="G2218" s="566">
        <v>1995</v>
      </c>
      <c r="H2218" s="566">
        <v>2982</v>
      </c>
      <c r="I2218" s="558" t="str">
        <f t="shared" si="33"/>
        <v>GooD</v>
      </c>
    </row>
    <row r="2219" spans="1:9" ht="15.75" thickTop="1">
      <c r="A2219" s="567" t="s">
        <v>639</v>
      </c>
      <c r="B2219" s="567">
        <v>38000</v>
      </c>
      <c r="C2219" s="568">
        <v>20</v>
      </c>
      <c r="D2219" s="568">
        <v>0.31</v>
      </c>
      <c r="E2219" s="568">
        <v>19637</v>
      </c>
      <c r="F2219" s="568">
        <v>57637</v>
      </c>
      <c r="G2219" s="568">
        <v>2217</v>
      </c>
      <c r="H2219" s="568">
        <v>2771</v>
      </c>
      <c r="I2219" s="559" t="str">
        <f t="shared" si="33"/>
        <v>GooD</v>
      </c>
    </row>
    <row r="2220" spans="1:9">
      <c r="A2220" s="563" t="s">
        <v>639</v>
      </c>
      <c r="B2220" s="563">
        <v>38000</v>
      </c>
      <c r="C2220" s="564">
        <v>22</v>
      </c>
      <c r="D2220" s="564">
        <v>0.31</v>
      </c>
      <c r="E2220" s="564">
        <v>21617</v>
      </c>
      <c r="F2220" s="564">
        <v>59617</v>
      </c>
      <c r="G2220" s="564">
        <v>2439</v>
      </c>
      <c r="H2220" s="564">
        <v>2599</v>
      </c>
      <c r="I2220" s="557" t="str">
        <f t="shared" si="33"/>
        <v>GooD</v>
      </c>
    </row>
    <row r="2221" spans="1:9" ht="15.75" thickBot="1">
      <c r="A2221" s="565" t="s">
        <v>639</v>
      </c>
      <c r="B2221" s="565">
        <v>38000</v>
      </c>
      <c r="C2221" s="566">
        <v>24</v>
      </c>
      <c r="D2221" s="566">
        <v>0.31</v>
      </c>
      <c r="E2221" s="566">
        <v>23580</v>
      </c>
      <c r="F2221" s="566">
        <v>61580</v>
      </c>
      <c r="G2221" s="566">
        <v>2660</v>
      </c>
      <c r="H2221" s="566">
        <v>2455</v>
      </c>
      <c r="I2221" s="558" t="str">
        <f t="shared" si="33"/>
        <v>GooD</v>
      </c>
    </row>
    <row r="2222" spans="1:9" ht="15.75" thickTop="1">
      <c r="A2222" s="567" t="s">
        <v>639</v>
      </c>
      <c r="B2222" s="567">
        <v>39000</v>
      </c>
      <c r="C2222" s="568">
        <v>4</v>
      </c>
      <c r="D2222" s="568">
        <v>0.31</v>
      </c>
      <c r="E2222" s="568">
        <v>4031</v>
      </c>
      <c r="F2222" s="568">
        <v>43031</v>
      </c>
      <c r="G2222" s="568">
        <v>455</v>
      </c>
      <c r="H2222" s="568">
        <v>10644</v>
      </c>
      <c r="I2222" s="559" t="str">
        <f t="shared" si="33"/>
        <v>GooD</v>
      </c>
    </row>
    <row r="2223" spans="1:9">
      <c r="A2223" s="563" t="s">
        <v>639</v>
      </c>
      <c r="B2223" s="563">
        <v>39000</v>
      </c>
      <c r="C2223" s="564">
        <v>6</v>
      </c>
      <c r="D2223" s="564">
        <v>0.31</v>
      </c>
      <c r="E2223" s="564">
        <v>6047</v>
      </c>
      <c r="F2223" s="564">
        <v>45047</v>
      </c>
      <c r="G2223" s="564">
        <v>683</v>
      </c>
      <c r="H2223" s="564">
        <v>7394</v>
      </c>
      <c r="I2223" s="557" t="str">
        <f t="shared" si="33"/>
        <v>GooD</v>
      </c>
    </row>
    <row r="2224" spans="1:9" ht="15.75" thickBot="1">
      <c r="A2224" s="565" t="s">
        <v>639</v>
      </c>
      <c r="B2224" s="565">
        <v>39000</v>
      </c>
      <c r="C2224" s="566">
        <v>8</v>
      </c>
      <c r="D2224" s="566">
        <v>0.31</v>
      </c>
      <c r="E2224" s="566">
        <v>8062</v>
      </c>
      <c r="F2224" s="566">
        <v>47062</v>
      </c>
      <c r="G2224" s="566">
        <v>910</v>
      </c>
      <c r="H2224" s="566">
        <v>5769</v>
      </c>
      <c r="I2224" s="558" t="str">
        <f t="shared" si="33"/>
        <v>GooD</v>
      </c>
    </row>
    <row r="2225" spans="1:9" ht="15.75" thickTop="1">
      <c r="A2225" s="567" t="s">
        <v>639</v>
      </c>
      <c r="B2225" s="567">
        <v>39000</v>
      </c>
      <c r="C2225" s="568">
        <v>10</v>
      </c>
      <c r="D2225" s="568">
        <v>0.31</v>
      </c>
      <c r="E2225" s="568">
        <v>10078</v>
      </c>
      <c r="F2225" s="568">
        <v>49078</v>
      </c>
      <c r="G2225" s="568">
        <v>1138</v>
      </c>
      <c r="H2225" s="568">
        <v>4794</v>
      </c>
      <c r="I2225" s="559" t="str">
        <f t="shared" si="33"/>
        <v>GooD</v>
      </c>
    </row>
    <row r="2226" spans="1:9">
      <c r="A2226" s="563" t="s">
        <v>639</v>
      </c>
      <c r="B2226" s="563">
        <v>39000</v>
      </c>
      <c r="C2226" s="564">
        <v>12</v>
      </c>
      <c r="D2226" s="564">
        <v>0.31</v>
      </c>
      <c r="E2226" s="564">
        <v>12093</v>
      </c>
      <c r="F2226" s="564">
        <v>51093</v>
      </c>
      <c r="G2226" s="564">
        <v>1365</v>
      </c>
      <c r="H2226" s="564">
        <v>4144</v>
      </c>
      <c r="I2226" s="557" t="str">
        <f t="shared" si="33"/>
        <v>GooD</v>
      </c>
    </row>
    <row r="2227" spans="1:9" ht="15.75" thickBot="1">
      <c r="A2227" s="565" t="s">
        <v>639</v>
      </c>
      <c r="B2227" s="565">
        <v>39000</v>
      </c>
      <c r="C2227" s="566">
        <v>14</v>
      </c>
      <c r="D2227" s="566">
        <v>0.31</v>
      </c>
      <c r="E2227" s="566">
        <v>14113</v>
      </c>
      <c r="F2227" s="566">
        <v>53113</v>
      </c>
      <c r="G2227" s="566">
        <v>1593</v>
      </c>
      <c r="H2227" s="566">
        <v>3680</v>
      </c>
      <c r="I2227" s="558" t="str">
        <f t="shared" si="33"/>
        <v>GooD</v>
      </c>
    </row>
    <row r="2228" spans="1:9" ht="15.75" thickTop="1">
      <c r="A2228" s="567" t="s">
        <v>639</v>
      </c>
      <c r="B2228" s="567">
        <v>39000</v>
      </c>
      <c r="C2228" s="568">
        <v>16</v>
      </c>
      <c r="D2228" s="568">
        <v>0.31</v>
      </c>
      <c r="E2228" s="568">
        <v>16132</v>
      </c>
      <c r="F2228" s="568">
        <v>55132</v>
      </c>
      <c r="G2228" s="568">
        <v>1820</v>
      </c>
      <c r="H2228" s="568">
        <v>3332</v>
      </c>
      <c r="I2228" s="559" t="str">
        <f t="shared" si="33"/>
        <v>GooD</v>
      </c>
    </row>
    <row r="2229" spans="1:9">
      <c r="A2229" s="563" t="s">
        <v>639</v>
      </c>
      <c r="B2229" s="563">
        <v>39000</v>
      </c>
      <c r="C2229" s="564">
        <v>18</v>
      </c>
      <c r="D2229" s="564">
        <v>0.31</v>
      </c>
      <c r="E2229" s="564">
        <v>18146</v>
      </c>
      <c r="F2229" s="564">
        <v>57146</v>
      </c>
      <c r="G2229" s="564">
        <v>2048</v>
      </c>
      <c r="H2229" s="564">
        <v>3061</v>
      </c>
      <c r="I2229" s="557" t="str">
        <f t="shared" si="33"/>
        <v>GooD</v>
      </c>
    </row>
    <row r="2230" spans="1:9" ht="15.75" thickBot="1">
      <c r="A2230" s="565" t="s">
        <v>639</v>
      </c>
      <c r="B2230" s="565">
        <v>39000</v>
      </c>
      <c r="C2230" s="566">
        <v>20</v>
      </c>
      <c r="D2230" s="566">
        <v>0.31</v>
      </c>
      <c r="E2230" s="566">
        <v>20155</v>
      </c>
      <c r="F2230" s="566">
        <v>59155</v>
      </c>
      <c r="G2230" s="566">
        <v>2275</v>
      </c>
      <c r="H2230" s="566">
        <v>2844</v>
      </c>
      <c r="I2230" s="558" t="str">
        <f t="shared" si="33"/>
        <v>GooD</v>
      </c>
    </row>
    <row r="2231" spans="1:9" ht="15.75" thickTop="1">
      <c r="A2231" s="567" t="s">
        <v>639</v>
      </c>
      <c r="B2231" s="567">
        <v>39000</v>
      </c>
      <c r="C2231" s="568">
        <v>22</v>
      </c>
      <c r="D2231" s="568">
        <v>0.31</v>
      </c>
      <c r="E2231" s="568">
        <v>22177</v>
      </c>
      <c r="F2231" s="568">
        <v>61177</v>
      </c>
      <c r="G2231" s="568">
        <v>2503</v>
      </c>
      <c r="H2231" s="568">
        <v>2667</v>
      </c>
      <c r="I2231" s="559" t="str">
        <f t="shared" si="33"/>
        <v>GooD</v>
      </c>
    </row>
    <row r="2232" spans="1:9">
      <c r="A2232" s="563" t="s">
        <v>639</v>
      </c>
      <c r="B2232" s="563">
        <v>39000</v>
      </c>
      <c r="C2232" s="564">
        <v>24</v>
      </c>
      <c r="D2232" s="564">
        <v>0.31</v>
      </c>
      <c r="E2232" s="564">
        <v>24186</v>
      </c>
      <c r="F2232" s="564">
        <v>63186</v>
      </c>
      <c r="G2232" s="564">
        <v>2730</v>
      </c>
      <c r="H2232" s="564">
        <v>2519</v>
      </c>
      <c r="I2232" s="557" t="str">
        <f t="shared" si="33"/>
        <v>GooD</v>
      </c>
    </row>
    <row r="2233" spans="1:9" ht="15.75" thickBot="1">
      <c r="A2233" s="565" t="s">
        <v>639</v>
      </c>
      <c r="B2233" s="565">
        <v>40000</v>
      </c>
      <c r="C2233" s="566">
        <v>4</v>
      </c>
      <c r="D2233" s="566">
        <v>0.31</v>
      </c>
      <c r="E2233" s="566">
        <v>4135</v>
      </c>
      <c r="F2233" s="566">
        <v>44135</v>
      </c>
      <c r="G2233" s="566">
        <v>467</v>
      </c>
      <c r="H2233" s="566">
        <v>10917</v>
      </c>
      <c r="I2233" s="558" t="str">
        <f t="shared" si="33"/>
        <v>GooD</v>
      </c>
    </row>
    <row r="2234" spans="1:9" ht="15.75" thickTop="1">
      <c r="A2234" s="567" t="s">
        <v>639</v>
      </c>
      <c r="B2234" s="567">
        <v>40000</v>
      </c>
      <c r="C2234" s="568">
        <v>6</v>
      </c>
      <c r="D2234" s="568">
        <v>0.31</v>
      </c>
      <c r="E2234" s="568">
        <v>6204</v>
      </c>
      <c r="F2234" s="568">
        <v>46204</v>
      </c>
      <c r="G2234" s="568">
        <v>700</v>
      </c>
      <c r="H2234" s="568">
        <v>7584</v>
      </c>
      <c r="I2234" s="559" t="str">
        <f t="shared" si="33"/>
        <v>GooD</v>
      </c>
    </row>
    <row r="2235" spans="1:9">
      <c r="A2235" s="563" t="s">
        <v>639</v>
      </c>
      <c r="B2235" s="563">
        <v>40000</v>
      </c>
      <c r="C2235" s="564">
        <v>8</v>
      </c>
      <c r="D2235" s="564">
        <v>0.31</v>
      </c>
      <c r="E2235" s="564">
        <v>8270</v>
      </c>
      <c r="F2235" s="564">
        <v>48270</v>
      </c>
      <c r="G2235" s="564">
        <v>934</v>
      </c>
      <c r="H2235" s="564">
        <v>5917</v>
      </c>
      <c r="I2235" s="557" t="str">
        <f t="shared" si="33"/>
        <v>GooD</v>
      </c>
    </row>
    <row r="2236" spans="1:9" ht="15.75" thickBot="1">
      <c r="A2236" s="565" t="s">
        <v>639</v>
      </c>
      <c r="B2236" s="565">
        <v>40000</v>
      </c>
      <c r="C2236" s="566">
        <v>10</v>
      </c>
      <c r="D2236" s="566">
        <v>0.31</v>
      </c>
      <c r="E2236" s="566">
        <v>10337</v>
      </c>
      <c r="F2236" s="566">
        <v>50337</v>
      </c>
      <c r="G2236" s="566">
        <v>1167</v>
      </c>
      <c r="H2236" s="566">
        <v>4917</v>
      </c>
      <c r="I2236" s="558" t="str">
        <f t="shared" si="33"/>
        <v>GooD</v>
      </c>
    </row>
    <row r="2237" spans="1:9" ht="15.75" thickTop="1">
      <c r="A2237" s="567" t="s">
        <v>639</v>
      </c>
      <c r="B2237" s="567">
        <v>40000</v>
      </c>
      <c r="C2237" s="568">
        <v>12</v>
      </c>
      <c r="D2237" s="568">
        <v>0.31</v>
      </c>
      <c r="E2237" s="568">
        <v>12412</v>
      </c>
      <c r="F2237" s="568">
        <v>52412</v>
      </c>
      <c r="G2237" s="568">
        <v>1400</v>
      </c>
      <c r="H2237" s="568">
        <v>4251</v>
      </c>
      <c r="I2237" s="559" t="str">
        <f t="shared" si="33"/>
        <v>GooD</v>
      </c>
    </row>
    <row r="2238" spans="1:9">
      <c r="A2238" s="563" t="s">
        <v>639</v>
      </c>
      <c r="B2238" s="563">
        <v>40000</v>
      </c>
      <c r="C2238" s="564">
        <v>14</v>
      </c>
      <c r="D2238" s="564">
        <v>0.31</v>
      </c>
      <c r="E2238" s="564">
        <v>14470</v>
      </c>
      <c r="F2238" s="564">
        <v>54470</v>
      </c>
      <c r="G2238" s="564">
        <v>1634</v>
      </c>
      <c r="H2238" s="564">
        <v>3774</v>
      </c>
      <c r="I2238" s="557" t="str">
        <f t="shared" si="33"/>
        <v>GooD</v>
      </c>
    </row>
    <row r="2239" spans="1:9" ht="15.75" thickBot="1">
      <c r="A2239" s="565" t="s">
        <v>639</v>
      </c>
      <c r="B2239" s="565">
        <v>40000</v>
      </c>
      <c r="C2239" s="566">
        <v>16</v>
      </c>
      <c r="D2239" s="566">
        <v>0.31</v>
      </c>
      <c r="E2239" s="566">
        <v>16539</v>
      </c>
      <c r="F2239" s="566">
        <v>56539</v>
      </c>
      <c r="G2239" s="566">
        <v>1867</v>
      </c>
      <c r="H2239" s="566">
        <v>3417</v>
      </c>
      <c r="I2239" s="558" t="str">
        <f t="shared" si="33"/>
        <v>GooD</v>
      </c>
    </row>
    <row r="2240" spans="1:9" ht="15.75" thickTop="1">
      <c r="A2240" s="567" t="s">
        <v>639</v>
      </c>
      <c r="B2240" s="567">
        <v>40000</v>
      </c>
      <c r="C2240" s="568">
        <v>18</v>
      </c>
      <c r="D2240" s="568">
        <v>0.31</v>
      </c>
      <c r="E2240" s="568">
        <v>18602</v>
      </c>
      <c r="F2240" s="568">
        <v>58602</v>
      </c>
      <c r="G2240" s="568">
        <v>2100</v>
      </c>
      <c r="H2240" s="568">
        <v>3139</v>
      </c>
      <c r="I2240" s="559" t="str">
        <f t="shared" si="33"/>
        <v>GooD</v>
      </c>
    </row>
    <row r="2241" spans="1:9">
      <c r="A2241" s="563" t="s">
        <v>639</v>
      </c>
      <c r="B2241" s="563">
        <v>40000</v>
      </c>
      <c r="C2241" s="564">
        <v>20</v>
      </c>
      <c r="D2241" s="564">
        <v>0.31</v>
      </c>
      <c r="E2241" s="564">
        <v>20674</v>
      </c>
      <c r="F2241" s="564">
        <v>60674</v>
      </c>
      <c r="G2241" s="564">
        <v>2334</v>
      </c>
      <c r="H2241" s="564">
        <v>2917</v>
      </c>
      <c r="I2241" s="557" t="str">
        <f t="shared" si="33"/>
        <v>GooD</v>
      </c>
    </row>
    <row r="2242" spans="1:9" ht="15.75" thickBot="1">
      <c r="A2242" s="565" t="s">
        <v>639</v>
      </c>
      <c r="B2242" s="565">
        <v>40000</v>
      </c>
      <c r="C2242" s="566">
        <v>22</v>
      </c>
      <c r="D2242" s="566">
        <v>0.31</v>
      </c>
      <c r="E2242" s="566">
        <v>22737</v>
      </c>
      <c r="F2242" s="566">
        <v>62737</v>
      </c>
      <c r="G2242" s="566">
        <v>2567</v>
      </c>
      <c r="H2242" s="566">
        <v>2735</v>
      </c>
      <c r="I2242" s="558" t="str">
        <f t="shared" si="33"/>
        <v>GooD</v>
      </c>
    </row>
    <row r="2243" spans="1:9" ht="15.75" thickTop="1">
      <c r="A2243" s="567" t="s">
        <v>639</v>
      </c>
      <c r="B2243" s="567">
        <v>40000</v>
      </c>
      <c r="C2243" s="568">
        <v>24</v>
      </c>
      <c r="D2243" s="568">
        <v>0.31</v>
      </c>
      <c r="E2243" s="568">
        <v>24816</v>
      </c>
      <c r="F2243" s="568">
        <v>64816</v>
      </c>
      <c r="G2243" s="568">
        <v>2800</v>
      </c>
      <c r="H2243" s="568">
        <v>2584</v>
      </c>
      <c r="I2243" s="559" t="str">
        <f t="shared" si="33"/>
        <v>GooD</v>
      </c>
    </row>
    <row r="2244" spans="1:9">
      <c r="A2244" s="563" t="s">
        <v>639</v>
      </c>
      <c r="B2244" s="563">
        <v>41000</v>
      </c>
      <c r="C2244" s="564">
        <v>4</v>
      </c>
      <c r="D2244" s="564">
        <v>0.31</v>
      </c>
      <c r="E2244" s="564">
        <v>4239</v>
      </c>
      <c r="F2244" s="564">
        <v>45239</v>
      </c>
      <c r="G2244" s="564">
        <v>479</v>
      </c>
      <c r="H2244" s="564">
        <v>11190</v>
      </c>
      <c r="I2244" s="557" t="str">
        <f t="shared" si="33"/>
        <v>GooD</v>
      </c>
    </row>
    <row r="2245" spans="1:9" ht="15.75" thickBot="1">
      <c r="A2245" s="565" t="s">
        <v>639</v>
      </c>
      <c r="B2245" s="565">
        <v>41000</v>
      </c>
      <c r="C2245" s="566">
        <v>6</v>
      </c>
      <c r="D2245" s="566">
        <v>0.31</v>
      </c>
      <c r="E2245" s="566">
        <v>6356</v>
      </c>
      <c r="F2245" s="566">
        <v>47356</v>
      </c>
      <c r="G2245" s="566">
        <v>718</v>
      </c>
      <c r="H2245" s="566">
        <v>7773</v>
      </c>
      <c r="I2245" s="558" t="str">
        <f t="shared" si="33"/>
        <v>GooD</v>
      </c>
    </row>
    <row r="2246" spans="1:9" ht="15.75" thickTop="1">
      <c r="A2246" s="567" t="s">
        <v>639</v>
      </c>
      <c r="B2246" s="567">
        <v>41000</v>
      </c>
      <c r="C2246" s="568">
        <v>8</v>
      </c>
      <c r="D2246" s="568">
        <v>0.31</v>
      </c>
      <c r="E2246" s="568">
        <v>8477</v>
      </c>
      <c r="F2246" s="568">
        <v>49477</v>
      </c>
      <c r="G2246" s="568">
        <v>957</v>
      </c>
      <c r="H2246" s="568">
        <v>6065</v>
      </c>
      <c r="I2246" s="559" t="str">
        <f t="shared" si="33"/>
        <v>GooD</v>
      </c>
    </row>
    <row r="2247" spans="1:9">
      <c r="A2247" s="563" t="s">
        <v>639</v>
      </c>
      <c r="B2247" s="563">
        <v>41000</v>
      </c>
      <c r="C2247" s="564">
        <v>10</v>
      </c>
      <c r="D2247" s="564">
        <v>0.31</v>
      </c>
      <c r="E2247" s="564">
        <v>10596</v>
      </c>
      <c r="F2247" s="564">
        <v>51596</v>
      </c>
      <c r="G2247" s="564">
        <v>1196</v>
      </c>
      <c r="H2247" s="564">
        <v>5040</v>
      </c>
      <c r="I2247" s="557" t="str">
        <f t="shared" si="33"/>
        <v>GooD</v>
      </c>
    </row>
    <row r="2248" spans="1:9" ht="15.75" thickBot="1">
      <c r="A2248" s="565" t="s">
        <v>639</v>
      </c>
      <c r="B2248" s="565">
        <v>41000</v>
      </c>
      <c r="C2248" s="566">
        <v>12</v>
      </c>
      <c r="D2248" s="566">
        <v>0.31</v>
      </c>
      <c r="E2248" s="566">
        <v>12719</v>
      </c>
      <c r="F2248" s="566">
        <v>53719</v>
      </c>
      <c r="G2248" s="566">
        <v>1435</v>
      </c>
      <c r="H2248" s="566">
        <v>4357</v>
      </c>
      <c r="I2248" s="558" t="str">
        <f t="shared" si="33"/>
        <v>GooD</v>
      </c>
    </row>
    <row r="2249" spans="1:9" ht="15.75" thickTop="1">
      <c r="A2249" s="567" t="s">
        <v>639</v>
      </c>
      <c r="B2249" s="567">
        <v>41000</v>
      </c>
      <c r="C2249" s="568">
        <v>14</v>
      </c>
      <c r="D2249" s="568">
        <v>0.31</v>
      </c>
      <c r="E2249" s="568">
        <v>14841</v>
      </c>
      <c r="F2249" s="568">
        <v>55841</v>
      </c>
      <c r="G2249" s="568">
        <v>1675</v>
      </c>
      <c r="H2249" s="568">
        <v>3869</v>
      </c>
      <c r="I2249" s="559" t="str">
        <f t="shared" si="33"/>
        <v>GooD</v>
      </c>
    </row>
    <row r="2250" spans="1:9">
      <c r="A2250" s="563" t="s">
        <v>639</v>
      </c>
      <c r="B2250" s="563">
        <v>41000</v>
      </c>
      <c r="C2250" s="564">
        <v>16</v>
      </c>
      <c r="D2250" s="564">
        <v>0.31</v>
      </c>
      <c r="E2250" s="564">
        <v>16962</v>
      </c>
      <c r="F2250" s="564">
        <v>57962</v>
      </c>
      <c r="G2250" s="564">
        <v>1914</v>
      </c>
      <c r="H2250" s="564">
        <v>3503</v>
      </c>
      <c r="I2250" s="557" t="str">
        <f t="shared" si="33"/>
        <v>GooD</v>
      </c>
    </row>
    <row r="2251" spans="1:9" ht="15.75" thickBot="1">
      <c r="A2251" s="565" t="s">
        <v>639</v>
      </c>
      <c r="B2251" s="565">
        <v>41000</v>
      </c>
      <c r="C2251" s="566">
        <v>18</v>
      </c>
      <c r="D2251" s="566">
        <v>0.31</v>
      </c>
      <c r="E2251" s="566">
        <v>19077</v>
      </c>
      <c r="F2251" s="566">
        <v>60077</v>
      </c>
      <c r="G2251" s="566">
        <v>2153</v>
      </c>
      <c r="H2251" s="566">
        <v>3218</v>
      </c>
      <c r="I2251" s="558" t="str">
        <f t="shared" si="33"/>
        <v>GooD</v>
      </c>
    </row>
    <row r="2252" spans="1:9" ht="15.75" thickTop="1">
      <c r="A2252" s="567" t="s">
        <v>639</v>
      </c>
      <c r="B2252" s="567">
        <v>41000</v>
      </c>
      <c r="C2252" s="568">
        <v>20</v>
      </c>
      <c r="D2252" s="568">
        <v>0.31</v>
      </c>
      <c r="E2252" s="568">
        <v>21192</v>
      </c>
      <c r="F2252" s="568">
        <v>62192</v>
      </c>
      <c r="G2252" s="568">
        <v>2392</v>
      </c>
      <c r="H2252" s="568">
        <v>2990</v>
      </c>
      <c r="I2252" s="559" t="str">
        <f t="shared" si="33"/>
        <v>GooD</v>
      </c>
    </row>
    <row r="2253" spans="1:9">
      <c r="A2253" s="563" t="s">
        <v>639</v>
      </c>
      <c r="B2253" s="563">
        <v>41000</v>
      </c>
      <c r="C2253" s="564">
        <v>22</v>
      </c>
      <c r="D2253" s="564">
        <v>0.31</v>
      </c>
      <c r="E2253" s="564">
        <v>23319</v>
      </c>
      <c r="F2253" s="564">
        <v>64319</v>
      </c>
      <c r="G2253" s="564">
        <v>2631</v>
      </c>
      <c r="H2253" s="564">
        <v>2804</v>
      </c>
      <c r="I2253" s="557" t="str">
        <f t="shared" si="33"/>
        <v>GooD</v>
      </c>
    </row>
    <row r="2254" spans="1:9" ht="15.75" thickBot="1">
      <c r="A2254" s="565" t="s">
        <v>639</v>
      </c>
      <c r="B2254" s="565">
        <v>41000</v>
      </c>
      <c r="C2254" s="566">
        <v>24</v>
      </c>
      <c r="D2254" s="566">
        <v>0.31</v>
      </c>
      <c r="E2254" s="566">
        <v>25422</v>
      </c>
      <c r="F2254" s="566">
        <v>66422</v>
      </c>
      <c r="G2254" s="566">
        <v>2870</v>
      </c>
      <c r="H2254" s="566">
        <v>2648</v>
      </c>
      <c r="I2254" s="558" t="str">
        <f t="shared" si="33"/>
        <v>GooD</v>
      </c>
    </row>
    <row r="2255" spans="1:9" ht="15.75" thickTop="1">
      <c r="A2255" s="567" t="s">
        <v>639</v>
      </c>
      <c r="B2255" s="567">
        <v>42000</v>
      </c>
      <c r="C2255" s="568">
        <v>4</v>
      </c>
      <c r="D2255" s="568">
        <v>0.31</v>
      </c>
      <c r="E2255" s="568">
        <v>4342</v>
      </c>
      <c r="F2255" s="568">
        <v>46342</v>
      </c>
      <c r="G2255" s="568">
        <v>490</v>
      </c>
      <c r="H2255" s="568">
        <v>11463</v>
      </c>
      <c r="I2255" s="559" t="str">
        <f t="shared" si="33"/>
        <v>GooD</v>
      </c>
    </row>
    <row r="2256" spans="1:9">
      <c r="A2256" s="563" t="s">
        <v>639</v>
      </c>
      <c r="B2256" s="563">
        <v>42000</v>
      </c>
      <c r="C2256" s="564">
        <v>6</v>
      </c>
      <c r="D2256" s="564">
        <v>0.31</v>
      </c>
      <c r="E2256" s="564">
        <v>6513</v>
      </c>
      <c r="F2256" s="564">
        <v>48513</v>
      </c>
      <c r="G2256" s="564">
        <v>735</v>
      </c>
      <c r="H2256" s="564">
        <v>7963</v>
      </c>
      <c r="I2256" s="557" t="str">
        <f t="shared" si="33"/>
        <v>GooD</v>
      </c>
    </row>
    <row r="2257" spans="1:9" ht="15.75" thickBot="1">
      <c r="A2257" s="565" t="s">
        <v>639</v>
      </c>
      <c r="B2257" s="565">
        <v>42000</v>
      </c>
      <c r="C2257" s="566">
        <v>8</v>
      </c>
      <c r="D2257" s="566">
        <v>0.31</v>
      </c>
      <c r="E2257" s="566">
        <v>8684</v>
      </c>
      <c r="F2257" s="566">
        <v>50684</v>
      </c>
      <c r="G2257" s="566">
        <v>980</v>
      </c>
      <c r="H2257" s="566">
        <v>6213</v>
      </c>
      <c r="I2257" s="558" t="str">
        <f t="shared" si="33"/>
        <v>GooD</v>
      </c>
    </row>
    <row r="2258" spans="1:9" ht="15.75" thickTop="1">
      <c r="A2258" s="567" t="s">
        <v>639</v>
      </c>
      <c r="B2258" s="567">
        <v>42000</v>
      </c>
      <c r="C2258" s="568">
        <v>10</v>
      </c>
      <c r="D2258" s="568">
        <v>0.31</v>
      </c>
      <c r="E2258" s="568">
        <v>10855</v>
      </c>
      <c r="F2258" s="568">
        <v>52855</v>
      </c>
      <c r="G2258" s="568">
        <v>1225</v>
      </c>
      <c r="H2258" s="568">
        <v>5163</v>
      </c>
      <c r="I2258" s="559" t="str">
        <f t="shared" si="33"/>
        <v>GooD</v>
      </c>
    </row>
    <row r="2259" spans="1:9">
      <c r="A2259" s="563" t="s">
        <v>639</v>
      </c>
      <c r="B2259" s="563">
        <v>42000</v>
      </c>
      <c r="C2259" s="564">
        <v>12</v>
      </c>
      <c r="D2259" s="564">
        <v>0.31</v>
      </c>
      <c r="E2259" s="564">
        <v>13026</v>
      </c>
      <c r="F2259" s="564">
        <v>55026</v>
      </c>
      <c r="G2259" s="564">
        <v>1470</v>
      </c>
      <c r="H2259" s="564">
        <v>4463</v>
      </c>
      <c r="I2259" s="557" t="str">
        <f t="shared" si="33"/>
        <v>GooD</v>
      </c>
    </row>
    <row r="2260" spans="1:9" ht="15.75" thickBot="1">
      <c r="A2260" s="565" t="s">
        <v>639</v>
      </c>
      <c r="B2260" s="565">
        <v>42000</v>
      </c>
      <c r="C2260" s="566">
        <v>14</v>
      </c>
      <c r="D2260" s="566">
        <v>0.31</v>
      </c>
      <c r="E2260" s="566">
        <v>15197</v>
      </c>
      <c r="F2260" s="566">
        <v>57197</v>
      </c>
      <c r="G2260" s="566">
        <v>1715</v>
      </c>
      <c r="H2260" s="566">
        <v>3963</v>
      </c>
      <c r="I2260" s="558" t="str">
        <f t="shared" si="33"/>
        <v>GooD</v>
      </c>
    </row>
    <row r="2261" spans="1:9" ht="15.75" thickTop="1">
      <c r="A2261" s="567" t="s">
        <v>639</v>
      </c>
      <c r="B2261" s="567">
        <v>42000</v>
      </c>
      <c r="C2261" s="568">
        <v>16</v>
      </c>
      <c r="D2261" s="568">
        <v>0.31</v>
      </c>
      <c r="E2261" s="568">
        <v>17368</v>
      </c>
      <c r="F2261" s="568">
        <v>59368</v>
      </c>
      <c r="G2261" s="568">
        <v>1960</v>
      </c>
      <c r="H2261" s="568">
        <v>3588</v>
      </c>
      <c r="I2261" s="559" t="str">
        <f t="shared" si="33"/>
        <v>GooD</v>
      </c>
    </row>
    <row r="2262" spans="1:9">
      <c r="A2262" s="563" t="s">
        <v>639</v>
      </c>
      <c r="B2262" s="563">
        <v>42000</v>
      </c>
      <c r="C2262" s="564">
        <v>18</v>
      </c>
      <c r="D2262" s="564">
        <v>0.31</v>
      </c>
      <c r="E2262" s="564">
        <v>19533</v>
      </c>
      <c r="F2262" s="564">
        <v>61533</v>
      </c>
      <c r="G2262" s="564">
        <v>2205</v>
      </c>
      <c r="H2262" s="564">
        <v>3296</v>
      </c>
      <c r="I2262" s="557" t="str">
        <f t="shared" si="33"/>
        <v>GooD</v>
      </c>
    </row>
    <row r="2263" spans="1:9" ht="15.75" thickBot="1">
      <c r="A2263" s="565" t="s">
        <v>639</v>
      </c>
      <c r="B2263" s="565">
        <v>42000</v>
      </c>
      <c r="C2263" s="566">
        <v>20</v>
      </c>
      <c r="D2263" s="566">
        <v>0.31</v>
      </c>
      <c r="E2263" s="566">
        <v>21710</v>
      </c>
      <c r="F2263" s="566">
        <v>63710</v>
      </c>
      <c r="G2263" s="566">
        <v>2450</v>
      </c>
      <c r="H2263" s="566">
        <v>3063</v>
      </c>
      <c r="I2263" s="558" t="str">
        <f t="shared" si="33"/>
        <v>GooD</v>
      </c>
    </row>
    <row r="2264" spans="1:9" ht="15.75" thickTop="1">
      <c r="A2264" s="567" t="s">
        <v>639</v>
      </c>
      <c r="B2264" s="567">
        <v>42000</v>
      </c>
      <c r="C2264" s="568">
        <v>22</v>
      </c>
      <c r="D2264" s="568">
        <v>0.31</v>
      </c>
      <c r="E2264" s="568">
        <v>23879</v>
      </c>
      <c r="F2264" s="568">
        <v>65879</v>
      </c>
      <c r="G2264" s="568">
        <v>2695</v>
      </c>
      <c r="H2264" s="568">
        <v>2872</v>
      </c>
      <c r="I2264" s="559" t="str">
        <f t="shared" si="33"/>
        <v>GooD</v>
      </c>
    </row>
    <row r="2265" spans="1:9">
      <c r="A2265" s="563" t="s">
        <v>639</v>
      </c>
      <c r="B2265" s="563">
        <v>42000</v>
      </c>
      <c r="C2265" s="564">
        <v>24</v>
      </c>
      <c r="D2265" s="564">
        <v>0.31</v>
      </c>
      <c r="E2265" s="564">
        <v>26052</v>
      </c>
      <c r="F2265" s="564">
        <v>68052</v>
      </c>
      <c r="G2265" s="564">
        <v>2940</v>
      </c>
      <c r="H2265" s="564">
        <v>2713</v>
      </c>
      <c r="I2265" s="557" t="str">
        <f t="shared" si="33"/>
        <v>GooD</v>
      </c>
    </row>
    <row r="2266" spans="1:9" ht="15.75" thickBot="1">
      <c r="A2266" s="565" t="s">
        <v>639</v>
      </c>
      <c r="B2266" s="565">
        <v>43000</v>
      </c>
      <c r="C2266" s="566">
        <v>4</v>
      </c>
      <c r="D2266" s="566">
        <v>0.31</v>
      </c>
      <c r="E2266" s="566">
        <v>4446</v>
      </c>
      <c r="F2266" s="566">
        <v>47446</v>
      </c>
      <c r="G2266" s="566">
        <v>502</v>
      </c>
      <c r="H2266" s="566">
        <v>11736</v>
      </c>
      <c r="I2266" s="558" t="str">
        <f t="shared" si="33"/>
        <v>GooD</v>
      </c>
    </row>
    <row r="2267" spans="1:9" ht="15.75" thickTop="1">
      <c r="A2267" s="567" t="s">
        <v>639</v>
      </c>
      <c r="B2267" s="567">
        <v>43000</v>
      </c>
      <c r="C2267" s="568">
        <v>6</v>
      </c>
      <c r="D2267" s="568">
        <v>0.31</v>
      </c>
      <c r="E2267" s="568">
        <v>6671</v>
      </c>
      <c r="F2267" s="568">
        <v>49671</v>
      </c>
      <c r="G2267" s="568">
        <v>753</v>
      </c>
      <c r="H2267" s="568">
        <v>8153</v>
      </c>
      <c r="I2267" s="559" t="str">
        <f t="shared" si="33"/>
        <v>GooD</v>
      </c>
    </row>
    <row r="2268" spans="1:9">
      <c r="A2268" s="563" t="s">
        <v>639</v>
      </c>
      <c r="B2268" s="563">
        <v>43000</v>
      </c>
      <c r="C2268" s="564">
        <v>8</v>
      </c>
      <c r="D2268" s="564">
        <v>0.31</v>
      </c>
      <c r="E2268" s="564">
        <v>8892</v>
      </c>
      <c r="F2268" s="564">
        <v>51892</v>
      </c>
      <c r="G2268" s="564">
        <v>1004</v>
      </c>
      <c r="H2268" s="564">
        <v>6361</v>
      </c>
      <c r="I2268" s="557" t="str">
        <f t="shared" si="33"/>
        <v>GooD</v>
      </c>
    </row>
    <row r="2269" spans="1:9" ht="15.75" thickBot="1">
      <c r="A2269" s="565" t="s">
        <v>639</v>
      </c>
      <c r="B2269" s="565">
        <v>43000</v>
      </c>
      <c r="C2269" s="566">
        <v>10</v>
      </c>
      <c r="D2269" s="566">
        <v>0.31</v>
      </c>
      <c r="E2269" s="566">
        <v>11115</v>
      </c>
      <c r="F2269" s="566">
        <v>54115</v>
      </c>
      <c r="G2269" s="566">
        <v>1255</v>
      </c>
      <c r="H2269" s="566">
        <v>5286</v>
      </c>
      <c r="I2269" s="558" t="str">
        <f t="shared" si="33"/>
        <v>GooD</v>
      </c>
    </row>
    <row r="2270" spans="1:9" ht="15.75" thickTop="1">
      <c r="A2270" s="567" t="s">
        <v>639</v>
      </c>
      <c r="B2270" s="567">
        <v>43000</v>
      </c>
      <c r="C2270" s="568">
        <v>12</v>
      </c>
      <c r="D2270" s="568">
        <v>0.31</v>
      </c>
      <c r="E2270" s="568">
        <v>13333</v>
      </c>
      <c r="F2270" s="568">
        <v>56333</v>
      </c>
      <c r="G2270" s="568">
        <v>1505</v>
      </c>
      <c r="H2270" s="568">
        <v>4569</v>
      </c>
      <c r="I2270" s="559" t="str">
        <f t="shared" si="33"/>
        <v>GooD</v>
      </c>
    </row>
    <row r="2271" spans="1:9">
      <c r="A2271" s="563" t="s">
        <v>639</v>
      </c>
      <c r="B2271" s="563">
        <v>43000</v>
      </c>
      <c r="C2271" s="564">
        <v>14</v>
      </c>
      <c r="D2271" s="564">
        <v>0.31</v>
      </c>
      <c r="E2271" s="564">
        <v>15554</v>
      </c>
      <c r="F2271" s="564">
        <v>58554</v>
      </c>
      <c r="G2271" s="564">
        <v>1756</v>
      </c>
      <c r="H2271" s="564">
        <v>4057</v>
      </c>
      <c r="I2271" s="557" t="str">
        <f t="shared" si="33"/>
        <v>GooD</v>
      </c>
    </row>
    <row r="2272" spans="1:9" ht="15.75" thickBot="1">
      <c r="A2272" s="565" t="s">
        <v>639</v>
      </c>
      <c r="B2272" s="565">
        <v>43000</v>
      </c>
      <c r="C2272" s="566">
        <v>16</v>
      </c>
      <c r="D2272" s="566">
        <v>0.31</v>
      </c>
      <c r="E2272" s="566">
        <v>17775</v>
      </c>
      <c r="F2272" s="566">
        <v>60775</v>
      </c>
      <c r="G2272" s="566">
        <v>2007</v>
      </c>
      <c r="H2272" s="566">
        <v>3673</v>
      </c>
      <c r="I2272" s="558" t="str">
        <f t="shared" si="33"/>
        <v>GooD</v>
      </c>
    </row>
    <row r="2273" spans="1:9" ht="15.75" thickTop="1">
      <c r="A2273" s="567" t="s">
        <v>639</v>
      </c>
      <c r="B2273" s="567">
        <v>43000</v>
      </c>
      <c r="C2273" s="568">
        <v>18</v>
      </c>
      <c r="D2273" s="568">
        <v>0.31</v>
      </c>
      <c r="E2273" s="568">
        <v>20008</v>
      </c>
      <c r="F2273" s="568">
        <v>63008</v>
      </c>
      <c r="G2273" s="568">
        <v>2258</v>
      </c>
      <c r="H2273" s="568">
        <v>3375</v>
      </c>
      <c r="I2273" s="559" t="str">
        <f t="shared" si="33"/>
        <v>GooD</v>
      </c>
    </row>
    <row r="2274" spans="1:9">
      <c r="A2274" s="563" t="s">
        <v>639</v>
      </c>
      <c r="B2274" s="563">
        <v>43000</v>
      </c>
      <c r="C2274" s="564">
        <v>20</v>
      </c>
      <c r="D2274" s="564">
        <v>0.31</v>
      </c>
      <c r="E2274" s="564">
        <v>22229</v>
      </c>
      <c r="F2274" s="564">
        <v>65229</v>
      </c>
      <c r="G2274" s="564">
        <v>2509</v>
      </c>
      <c r="H2274" s="564">
        <v>3136</v>
      </c>
      <c r="I2274" s="557" t="str">
        <f t="shared" si="33"/>
        <v>GooD</v>
      </c>
    </row>
    <row r="2275" spans="1:9" ht="15.75" thickBot="1">
      <c r="A2275" s="565" t="s">
        <v>639</v>
      </c>
      <c r="B2275" s="565">
        <v>43000</v>
      </c>
      <c r="C2275" s="566">
        <v>22</v>
      </c>
      <c r="D2275" s="566">
        <v>0.31</v>
      </c>
      <c r="E2275" s="566">
        <v>24440</v>
      </c>
      <c r="F2275" s="566">
        <v>67440</v>
      </c>
      <c r="G2275" s="566">
        <v>2760</v>
      </c>
      <c r="H2275" s="566">
        <v>2940</v>
      </c>
      <c r="I2275" s="558" t="str">
        <f t="shared" si="33"/>
        <v>GooD</v>
      </c>
    </row>
    <row r="2276" spans="1:9" ht="15.75" thickTop="1">
      <c r="A2276" s="567" t="s">
        <v>639</v>
      </c>
      <c r="B2276" s="567">
        <v>43000</v>
      </c>
      <c r="C2276" s="568">
        <v>24</v>
      </c>
      <c r="D2276" s="568">
        <v>0.31</v>
      </c>
      <c r="E2276" s="568">
        <v>26682</v>
      </c>
      <c r="F2276" s="568">
        <v>69682</v>
      </c>
      <c r="G2276" s="568">
        <v>3010</v>
      </c>
      <c r="H2276" s="568">
        <v>2778</v>
      </c>
      <c r="I2276" s="559" t="str">
        <f t="shared" si="33"/>
        <v>GooD</v>
      </c>
    </row>
    <row r="2277" spans="1:9">
      <c r="A2277" s="563" t="s">
        <v>639</v>
      </c>
      <c r="B2277" s="563">
        <v>44000</v>
      </c>
      <c r="C2277" s="564">
        <v>4</v>
      </c>
      <c r="D2277" s="564">
        <v>0.31</v>
      </c>
      <c r="E2277" s="564">
        <v>4550</v>
      </c>
      <c r="F2277" s="564">
        <v>48550</v>
      </c>
      <c r="G2277" s="564">
        <v>514</v>
      </c>
      <c r="H2277" s="564">
        <v>12009</v>
      </c>
      <c r="I2277" s="557" t="str">
        <f t="shared" si="33"/>
        <v>GooD</v>
      </c>
    </row>
    <row r="2278" spans="1:9" ht="15.75" thickBot="1">
      <c r="A2278" s="565" t="s">
        <v>639</v>
      </c>
      <c r="B2278" s="565">
        <v>44000</v>
      </c>
      <c r="C2278" s="566">
        <v>6</v>
      </c>
      <c r="D2278" s="566">
        <v>0.31</v>
      </c>
      <c r="E2278" s="566">
        <v>6822</v>
      </c>
      <c r="F2278" s="566">
        <v>50822</v>
      </c>
      <c r="G2278" s="566">
        <v>770</v>
      </c>
      <c r="H2278" s="566">
        <v>8342</v>
      </c>
      <c r="I2278" s="558" t="str">
        <f t="shared" si="33"/>
        <v>GooD</v>
      </c>
    </row>
    <row r="2279" spans="1:9" ht="15.75" thickTop="1">
      <c r="A2279" s="567" t="s">
        <v>639</v>
      </c>
      <c r="B2279" s="567">
        <v>44000</v>
      </c>
      <c r="C2279" s="568">
        <v>8</v>
      </c>
      <c r="D2279" s="568">
        <v>0.31</v>
      </c>
      <c r="E2279" s="568">
        <v>9099</v>
      </c>
      <c r="F2279" s="568">
        <v>53099</v>
      </c>
      <c r="G2279" s="568">
        <v>1027</v>
      </c>
      <c r="H2279" s="568">
        <v>6509</v>
      </c>
      <c r="I2279" s="559" t="str">
        <f t="shared" ref="I2279:I2342" si="34">IF(((H2279*C2279)+G2279)=F2279,"GooD","لالالالالالالا")</f>
        <v>GooD</v>
      </c>
    </row>
    <row r="2280" spans="1:9">
      <c r="A2280" s="563" t="s">
        <v>639</v>
      </c>
      <c r="B2280" s="563">
        <v>44000</v>
      </c>
      <c r="C2280" s="564">
        <v>10</v>
      </c>
      <c r="D2280" s="564">
        <v>0.31</v>
      </c>
      <c r="E2280" s="564">
        <v>11374</v>
      </c>
      <c r="F2280" s="564">
        <v>55374</v>
      </c>
      <c r="G2280" s="564">
        <v>1284</v>
      </c>
      <c r="H2280" s="564">
        <v>5409</v>
      </c>
      <c r="I2280" s="557" t="str">
        <f t="shared" si="34"/>
        <v>GooD</v>
      </c>
    </row>
    <row r="2281" spans="1:9" ht="15.75" thickBot="1">
      <c r="A2281" s="565" t="s">
        <v>639</v>
      </c>
      <c r="B2281" s="565">
        <v>44000</v>
      </c>
      <c r="C2281" s="566">
        <v>12</v>
      </c>
      <c r="D2281" s="566">
        <v>0.31</v>
      </c>
      <c r="E2281" s="566">
        <v>13652</v>
      </c>
      <c r="F2281" s="566">
        <v>57652</v>
      </c>
      <c r="G2281" s="566">
        <v>1540</v>
      </c>
      <c r="H2281" s="566">
        <v>4676</v>
      </c>
      <c r="I2281" s="558" t="str">
        <f t="shared" si="34"/>
        <v>GooD</v>
      </c>
    </row>
    <row r="2282" spans="1:9" ht="15.75" thickTop="1">
      <c r="A2282" s="567" t="s">
        <v>639</v>
      </c>
      <c r="B2282" s="567">
        <v>44000</v>
      </c>
      <c r="C2282" s="568">
        <v>14</v>
      </c>
      <c r="D2282" s="568">
        <v>0.31</v>
      </c>
      <c r="E2282" s="568">
        <v>15925</v>
      </c>
      <c r="F2282" s="568">
        <v>59925</v>
      </c>
      <c r="G2282" s="568">
        <v>1797</v>
      </c>
      <c r="H2282" s="568">
        <v>4152</v>
      </c>
      <c r="I2282" s="559" t="str">
        <f t="shared" si="34"/>
        <v>GooD</v>
      </c>
    </row>
    <row r="2283" spans="1:9">
      <c r="A2283" s="563" t="s">
        <v>639</v>
      </c>
      <c r="B2283" s="563">
        <v>44000</v>
      </c>
      <c r="C2283" s="564">
        <v>16</v>
      </c>
      <c r="D2283" s="564">
        <v>0.31</v>
      </c>
      <c r="E2283" s="564">
        <v>18198</v>
      </c>
      <c r="F2283" s="564">
        <v>62198</v>
      </c>
      <c r="G2283" s="564">
        <v>2054</v>
      </c>
      <c r="H2283" s="564">
        <v>3759</v>
      </c>
      <c r="I2283" s="557" t="str">
        <f t="shared" si="34"/>
        <v>GooD</v>
      </c>
    </row>
    <row r="2284" spans="1:9" ht="15.75" thickBot="1">
      <c r="A2284" s="565" t="s">
        <v>639</v>
      </c>
      <c r="B2284" s="565">
        <v>44000</v>
      </c>
      <c r="C2284" s="566">
        <v>18</v>
      </c>
      <c r="D2284" s="566">
        <v>0.31</v>
      </c>
      <c r="E2284" s="566">
        <v>20464</v>
      </c>
      <c r="F2284" s="566">
        <v>64464</v>
      </c>
      <c r="G2284" s="566">
        <v>2310</v>
      </c>
      <c r="H2284" s="566">
        <v>3453</v>
      </c>
      <c r="I2284" s="558" t="str">
        <f t="shared" si="34"/>
        <v>GooD</v>
      </c>
    </row>
    <row r="2285" spans="1:9" ht="15.75" thickTop="1">
      <c r="A2285" s="567" t="s">
        <v>639</v>
      </c>
      <c r="B2285" s="567">
        <v>44000</v>
      </c>
      <c r="C2285" s="568">
        <v>20</v>
      </c>
      <c r="D2285" s="568">
        <v>0.31</v>
      </c>
      <c r="E2285" s="568">
        <v>22747</v>
      </c>
      <c r="F2285" s="568">
        <v>66747</v>
      </c>
      <c r="G2285" s="568">
        <v>2567</v>
      </c>
      <c r="H2285" s="568">
        <v>3209</v>
      </c>
      <c r="I2285" s="559" t="str">
        <f t="shared" si="34"/>
        <v>GooD</v>
      </c>
    </row>
    <row r="2286" spans="1:9">
      <c r="A2286" s="563" t="s">
        <v>639</v>
      </c>
      <c r="B2286" s="563">
        <v>44000</v>
      </c>
      <c r="C2286" s="564">
        <v>22</v>
      </c>
      <c r="D2286" s="564">
        <v>0.31</v>
      </c>
      <c r="E2286" s="564">
        <v>25022</v>
      </c>
      <c r="F2286" s="564">
        <v>69022</v>
      </c>
      <c r="G2286" s="564">
        <v>2824</v>
      </c>
      <c r="H2286" s="564">
        <v>3009</v>
      </c>
      <c r="I2286" s="557" t="str">
        <f t="shared" si="34"/>
        <v>GooD</v>
      </c>
    </row>
    <row r="2287" spans="1:9" ht="15.75" thickBot="1">
      <c r="A2287" s="565" t="s">
        <v>639</v>
      </c>
      <c r="B2287" s="565">
        <v>44000</v>
      </c>
      <c r="C2287" s="566">
        <v>24</v>
      </c>
      <c r="D2287" s="566">
        <v>0.31</v>
      </c>
      <c r="E2287" s="566">
        <v>27288</v>
      </c>
      <c r="F2287" s="566">
        <v>71288</v>
      </c>
      <c r="G2287" s="566">
        <v>3080</v>
      </c>
      <c r="H2287" s="566">
        <v>2842</v>
      </c>
      <c r="I2287" s="558" t="str">
        <f t="shared" si="34"/>
        <v>GooD</v>
      </c>
    </row>
    <row r="2288" spans="1:9" ht="15.75" thickTop="1">
      <c r="A2288" s="567" t="s">
        <v>639</v>
      </c>
      <c r="B2288" s="567">
        <v>45000</v>
      </c>
      <c r="C2288" s="568">
        <v>4</v>
      </c>
      <c r="D2288" s="568">
        <v>0.31</v>
      </c>
      <c r="E2288" s="568">
        <v>4653</v>
      </c>
      <c r="F2288" s="568">
        <v>49653</v>
      </c>
      <c r="G2288" s="568">
        <v>525</v>
      </c>
      <c r="H2288" s="568">
        <v>12282</v>
      </c>
      <c r="I2288" s="559" t="str">
        <f t="shared" si="34"/>
        <v>GooD</v>
      </c>
    </row>
    <row r="2289" spans="1:9">
      <c r="A2289" s="563" t="s">
        <v>639</v>
      </c>
      <c r="B2289" s="563">
        <v>45000</v>
      </c>
      <c r="C2289" s="564">
        <v>6</v>
      </c>
      <c r="D2289" s="564">
        <v>0.31</v>
      </c>
      <c r="E2289" s="564">
        <v>6980</v>
      </c>
      <c r="F2289" s="564">
        <v>51980</v>
      </c>
      <c r="G2289" s="564">
        <v>788</v>
      </c>
      <c r="H2289" s="564">
        <v>8532</v>
      </c>
      <c r="I2289" s="557" t="str">
        <f t="shared" si="34"/>
        <v>GooD</v>
      </c>
    </row>
    <row r="2290" spans="1:9" ht="15.75" thickBot="1">
      <c r="A2290" s="565" t="s">
        <v>639</v>
      </c>
      <c r="B2290" s="565">
        <v>45000</v>
      </c>
      <c r="C2290" s="566">
        <v>8</v>
      </c>
      <c r="D2290" s="566">
        <v>0.31</v>
      </c>
      <c r="E2290" s="566">
        <v>9306</v>
      </c>
      <c r="F2290" s="566">
        <v>54306</v>
      </c>
      <c r="G2290" s="566">
        <v>1050</v>
      </c>
      <c r="H2290" s="566">
        <v>6657</v>
      </c>
      <c r="I2290" s="558" t="str">
        <f t="shared" si="34"/>
        <v>GooD</v>
      </c>
    </row>
    <row r="2291" spans="1:9" ht="15.75" thickTop="1">
      <c r="A2291" s="567" t="s">
        <v>639</v>
      </c>
      <c r="B2291" s="567">
        <v>45000</v>
      </c>
      <c r="C2291" s="568">
        <v>10</v>
      </c>
      <c r="D2291" s="568">
        <v>0.31</v>
      </c>
      <c r="E2291" s="568">
        <v>11633</v>
      </c>
      <c r="F2291" s="568">
        <v>56633</v>
      </c>
      <c r="G2291" s="568">
        <v>1313</v>
      </c>
      <c r="H2291" s="568">
        <v>5532</v>
      </c>
      <c r="I2291" s="559" t="str">
        <f t="shared" si="34"/>
        <v>GooD</v>
      </c>
    </row>
    <row r="2292" spans="1:9">
      <c r="A2292" s="563" t="s">
        <v>639</v>
      </c>
      <c r="B2292" s="563">
        <v>45000</v>
      </c>
      <c r="C2292" s="564">
        <v>12</v>
      </c>
      <c r="D2292" s="564">
        <v>0.31</v>
      </c>
      <c r="E2292" s="564">
        <v>13959</v>
      </c>
      <c r="F2292" s="564">
        <v>58959</v>
      </c>
      <c r="G2292" s="564">
        <v>1575</v>
      </c>
      <c r="H2292" s="564">
        <v>4782</v>
      </c>
      <c r="I2292" s="557" t="str">
        <f t="shared" si="34"/>
        <v>GooD</v>
      </c>
    </row>
    <row r="2293" spans="1:9" ht="15.75" thickBot="1">
      <c r="A2293" s="565" t="s">
        <v>639</v>
      </c>
      <c r="B2293" s="565">
        <v>45000</v>
      </c>
      <c r="C2293" s="566">
        <v>14</v>
      </c>
      <c r="D2293" s="566">
        <v>0.31</v>
      </c>
      <c r="E2293" s="566">
        <v>16282</v>
      </c>
      <c r="F2293" s="566">
        <v>61282</v>
      </c>
      <c r="G2293" s="566">
        <v>1838</v>
      </c>
      <c r="H2293" s="566">
        <v>4246</v>
      </c>
      <c r="I2293" s="558" t="str">
        <f t="shared" si="34"/>
        <v>GooD</v>
      </c>
    </row>
    <row r="2294" spans="1:9" ht="15.75" thickTop="1">
      <c r="A2294" s="567" t="s">
        <v>639</v>
      </c>
      <c r="B2294" s="567">
        <v>45000</v>
      </c>
      <c r="C2294" s="568">
        <v>16</v>
      </c>
      <c r="D2294" s="568">
        <v>0.31</v>
      </c>
      <c r="E2294" s="568">
        <v>18604</v>
      </c>
      <c r="F2294" s="568">
        <v>63604</v>
      </c>
      <c r="G2294" s="568">
        <v>2100</v>
      </c>
      <c r="H2294" s="568">
        <v>3844</v>
      </c>
      <c r="I2294" s="559" t="str">
        <f t="shared" si="34"/>
        <v>GooD</v>
      </c>
    </row>
    <row r="2295" spans="1:9">
      <c r="A2295" s="563" t="s">
        <v>639</v>
      </c>
      <c r="B2295" s="563">
        <v>45000</v>
      </c>
      <c r="C2295" s="564">
        <v>18</v>
      </c>
      <c r="D2295" s="564">
        <v>0.31</v>
      </c>
      <c r="E2295" s="564">
        <v>20939</v>
      </c>
      <c r="F2295" s="564">
        <v>65939</v>
      </c>
      <c r="G2295" s="564">
        <v>2363</v>
      </c>
      <c r="H2295" s="564">
        <v>3532</v>
      </c>
      <c r="I2295" s="557" t="str">
        <f t="shared" si="34"/>
        <v>GooD</v>
      </c>
    </row>
    <row r="2296" spans="1:9" ht="15.75" thickBot="1">
      <c r="A2296" s="565" t="s">
        <v>639</v>
      </c>
      <c r="B2296" s="565">
        <v>45000</v>
      </c>
      <c r="C2296" s="566">
        <v>20</v>
      </c>
      <c r="D2296" s="566">
        <v>0.31</v>
      </c>
      <c r="E2296" s="566">
        <v>23265</v>
      </c>
      <c r="F2296" s="566">
        <v>68265</v>
      </c>
      <c r="G2296" s="566">
        <v>2625</v>
      </c>
      <c r="H2296" s="566">
        <v>3282</v>
      </c>
      <c r="I2296" s="558" t="str">
        <f t="shared" si="34"/>
        <v>GooD</v>
      </c>
    </row>
    <row r="2297" spans="1:9" ht="15.75" thickTop="1">
      <c r="A2297" s="567" t="s">
        <v>639</v>
      </c>
      <c r="B2297" s="567">
        <v>45000</v>
      </c>
      <c r="C2297" s="568">
        <v>22</v>
      </c>
      <c r="D2297" s="568">
        <v>0.31</v>
      </c>
      <c r="E2297" s="568">
        <v>25582</v>
      </c>
      <c r="F2297" s="568">
        <v>70582</v>
      </c>
      <c r="G2297" s="568">
        <v>2888</v>
      </c>
      <c r="H2297" s="568">
        <v>3077</v>
      </c>
      <c r="I2297" s="559" t="str">
        <f t="shared" si="34"/>
        <v>GooD</v>
      </c>
    </row>
    <row r="2298" spans="1:9">
      <c r="A2298" s="563" t="s">
        <v>639</v>
      </c>
      <c r="B2298" s="563">
        <v>45000</v>
      </c>
      <c r="C2298" s="564">
        <v>24</v>
      </c>
      <c r="D2298" s="564">
        <v>0.31</v>
      </c>
      <c r="E2298" s="564">
        <v>27918</v>
      </c>
      <c r="F2298" s="564">
        <v>72918</v>
      </c>
      <c r="G2298" s="564">
        <v>3150</v>
      </c>
      <c r="H2298" s="564">
        <v>2907</v>
      </c>
      <c r="I2298" s="557" t="str">
        <f t="shared" si="34"/>
        <v>GooD</v>
      </c>
    </row>
    <row r="2299" spans="1:9" ht="15.75" thickBot="1">
      <c r="A2299" s="565" t="s">
        <v>639</v>
      </c>
      <c r="B2299" s="565">
        <v>46000</v>
      </c>
      <c r="C2299" s="566">
        <v>4</v>
      </c>
      <c r="D2299" s="566">
        <v>0.31</v>
      </c>
      <c r="E2299" s="566">
        <v>4757</v>
      </c>
      <c r="F2299" s="566">
        <v>50757</v>
      </c>
      <c r="G2299" s="566">
        <v>537</v>
      </c>
      <c r="H2299" s="566">
        <v>12555</v>
      </c>
      <c r="I2299" s="558" t="str">
        <f t="shared" si="34"/>
        <v>GooD</v>
      </c>
    </row>
    <row r="2300" spans="1:9" ht="15.75" thickTop="1">
      <c r="A2300" s="567" t="s">
        <v>639</v>
      </c>
      <c r="B2300" s="567">
        <v>46000</v>
      </c>
      <c r="C2300" s="568">
        <v>6</v>
      </c>
      <c r="D2300" s="568">
        <v>0.31</v>
      </c>
      <c r="E2300" s="568">
        <v>7131</v>
      </c>
      <c r="F2300" s="568">
        <v>53131</v>
      </c>
      <c r="G2300" s="568">
        <v>805</v>
      </c>
      <c r="H2300" s="568">
        <v>8721</v>
      </c>
      <c r="I2300" s="559" t="str">
        <f t="shared" si="34"/>
        <v>GooD</v>
      </c>
    </row>
    <row r="2301" spans="1:9">
      <c r="A2301" s="563" t="s">
        <v>639</v>
      </c>
      <c r="B2301" s="563">
        <v>46000</v>
      </c>
      <c r="C2301" s="564">
        <v>8</v>
      </c>
      <c r="D2301" s="564">
        <v>0.31</v>
      </c>
      <c r="E2301" s="564">
        <v>9514</v>
      </c>
      <c r="F2301" s="564">
        <v>55514</v>
      </c>
      <c r="G2301" s="564">
        <v>1074</v>
      </c>
      <c r="H2301" s="564">
        <v>6805</v>
      </c>
      <c r="I2301" s="557" t="str">
        <f t="shared" si="34"/>
        <v>GooD</v>
      </c>
    </row>
    <row r="2302" spans="1:9" ht="15.75" thickBot="1">
      <c r="A2302" s="565" t="s">
        <v>639</v>
      </c>
      <c r="B2302" s="565">
        <v>46000</v>
      </c>
      <c r="C2302" s="566">
        <v>10</v>
      </c>
      <c r="D2302" s="566">
        <v>0.31</v>
      </c>
      <c r="E2302" s="566">
        <v>11892</v>
      </c>
      <c r="F2302" s="566">
        <v>57892</v>
      </c>
      <c r="G2302" s="566">
        <v>1342</v>
      </c>
      <c r="H2302" s="566">
        <v>5655</v>
      </c>
      <c r="I2302" s="558" t="str">
        <f t="shared" si="34"/>
        <v>GooD</v>
      </c>
    </row>
    <row r="2303" spans="1:9" ht="15.75" thickTop="1">
      <c r="A2303" s="567" t="s">
        <v>639</v>
      </c>
      <c r="B2303" s="567">
        <v>46000</v>
      </c>
      <c r="C2303" s="568">
        <v>12</v>
      </c>
      <c r="D2303" s="568">
        <v>0.31</v>
      </c>
      <c r="E2303" s="568">
        <v>14266</v>
      </c>
      <c r="F2303" s="568">
        <v>60266</v>
      </c>
      <c r="G2303" s="568">
        <v>1610</v>
      </c>
      <c r="H2303" s="568">
        <v>4888</v>
      </c>
      <c r="I2303" s="559" t="str">
        <f t="shared" si="34"/>
        <v>GooD</v>
      </c>
    </row>
    <row r="2304" spans="1:9">
      <c r="A2304" s="563" t="s">
        <v>639</v>
      </c>
      <c r="B2304" s="563">
        <v>46000</v>
      </c>
      <c r="C2304" s="564">
        <v>14</v>
      </c>
      <c r="D2304" s="564">
        <v>0.31</v>
      </c>
      <c r="E2304" s="564">
        <v>16639</v>
      </c>
      <c r="F2304" s="564">
        <v>62639</v>
      </c>
      <c r="G2304" s="564">
        <v>1879</v>
      </c>
      <c r="H2304" s="564">
        <v>4340</v>
      </c>
      <c r="I2304" s="557" t="str">
        <f t="shared" si="34"/>
        <v>GooD</v>
      </c>
    </row>
    <row r="2305" spans="1:9" ht="15.75" thickBot="1">
      <c r="A2305" s="565" t="s">
        <v>639</v>
      </c>
      <c r="B2305" s="565">
        <v>46000</v>
      </c>
      <c r="C2305" s="566">
        <v>16</v>
      </c>
      <c r="D2305" s="566">
        <v>0.31</v>
      </c>
      <c r="E2305" s="566">
        <v>19027</v>
      </c>
      <c r="F2305" s="566">
        <v>65027</v>
      </c>
      <c r="G2305" s="566">
        <v>2147</v>
      </c>
      <c r="H2305" s="566">
        <v>3930</v>
      </c>
      <c r="I2305" s="558" t="str">
        <f t="shared" si="34"/>
        <v>GooD</v>
      </c>
    </row>
    <row r="2306" spans="1:9" ht="15.75" thickTop="1">
      <c r="A2306" s="567" t="s">
        <v>639</v>
      </c>
      <c r="B2306" s="567">
        <v>46000</v>
      </c>
      <c r="C2306" s="568">
        <v>18</v>
      </c>
      <c r="D2306" s="568">
        <v>0.31</v>
      </c>
      <c r="E2306" s="568">
        <v>21395</v>
      </c>
      <c r="F2306" s="568">
        <v>67395</v>
      </c>
      <c r="G2306" s="568">
        <v>2415</v>
      </c>
      <c r="H2306" s="568">
        <v>3610</v>
      </c>
      <c r="I2306" s="559" t="str">
        <f t="shared" si="34"/>
        <v>GooD</v>
      </c>
    </row>
    <row r="2307" spans="1:9">
      <c r="A2307" s="563" t="s">
        <v>639</v>
      </c>
      <c r="B2307" s="563">
        <v>46000</v>
      </c>
      <c r="C2307" s="564">
        <v>20</v>
      </c>
      <c r="D2307" s="564">
        <v>0.31</v>
      </c>
      <c r="E2307" s="564">
        <v>23784</v>
      </c>
      <c r="F2307" s="564">
        <v>69784</v>
      </c>
      <c r="G2307" s="564">
        <v>2684</v>
      </c>
      <c r="H2307" s="564">
        <v>3355</v>
      </c>
      <c r="I2307" s="557" t="str">
        <f t="shared" si="34"/>
        <v>GooD</v>
      </c>
    </row>
    <row r="2308" spans="1:9" ht="15.75" thickBot="1">
      <c r="A2308" s="565" t="s">
        <v>639</v>
      </c>
      <c r="B2308" s="565">
        <v>46000</v>
      </c>
      <c r="C2308" s="566">
        <v>22</v>
      </c>
      <c r="D2308" s="566">
        <v>0.31</v>
      </c>
      <c r="E2308" s="566">
        <v>26164</v>
      </c>
      <c r="F2308" s="566">
        <v>72164</v>
      </c>
      <c r="G2308" s="566">
        <v>2952</v>
      </c>
      <c r="H2308" s="566">
        <v>3146</v>
      </c>
      <c r="I2308" s="558" t="str">
        <f t="shared" si="34"/>
        <v>GooD</v>
      </c>
    </row>
    <row r="2309" spans="1:9" ht="15.75" thickTop="1">
      <c r="A2309" s="567" t="s">
        <v>639</v>
      </c>
      <c r="B2309" s="567">
        <v>46000</v>
      </c>
      <c r="C2309" s="568">
        <v>24</v>
      </c>
      <c r="D2309" s="568">
        <v>0.31</v>
      </c>
      <c r="E2309" s="568">
        <v>28524</v>
      </c>
      <c r="F2309" s="568">
        <v>74524</v>
      </c>
      <c r="G2309" s="568">
        <v>3220</v>
      </c>
      <c r="H2309" s="568">
        <v>2971</v>
      </c>
      <c r="I2309" s="559" t="str">
        <f t="shared" si="34"/>
        <v>GooD</v>
      </c>
    </row>
    <row r="2310" spans="1:9">
      <c r="A2310" s="563" t="s">
        <v>639</v>
      </c>
      <c r="B2310" s="563">
        <v>47000</v>
      </c>
      <c r="C2310" s="564">
        <v>4</v>
      </c>
      <c r="D2310" s="564">
        <v>0.31</v>
      </c>
      <c r="E2310" s="564">
        <v>4861</v>
      </c>
      <c r="F2310" s="564">
        <v>51861</v>
      </c>
      <c r="G2310" s="564">
        <v>549</v>
      </c>
      <c r="H2310" s="564">
        <v>12828</v>
      </c>
      <c r="I2310" s="557" t="str">
        <f t="shared" si="34"/>
        <v>GooD</v>
      </c>
    </row>
    <row r="2311" spans="1:9" ht="15.75" thickBot="1">
      <c r="A2311" s="565" t="s">
        <v>639</v>
      </c>
      <c r="B2311" s="565">
        <v>47000</v>
      </c>
      <c r="C2311" s="566">
        <v>6</v>
      </c>
      <c r="D2311" s="566">
        <v>0.31</v>
      </c>
      <c r="E2311" s="566">
        <v>7289</v>
      </c>
      <c r="F2311" s="566">
        <v>54289</v>
      </c>
      <c r="G2311" s="566">
        <v>823</v>
      </c>
      <c r="H2311" s="566">
        <v>8911</v>
      </c>
      <c r="I2311" s="558" t="str">
        <f t="shared" si="34"/>
        <v>GooD</v>
      </c>
    </row>
    <row r="2312" spans="1:9" ht="15.75" thickTop="1">
      <c r="A2312" s="567" t="s">
        <v>639</v>
      </c>
      <c r="B2312" s="567">
        <v>47000</v>
      </c>
      <c r="C2312" s="568">
        <v>8</v>
      </c>
      <c r="D2312" s="568">
        <v>0.31</v>
      </c>
      <c r="E2312" s="568">
        <v>9721</v>
      </c>
      <c r="F2312" s="568">
        <v>56721</v>
      </c>
      <c r="G2312" s="568">
        <v>1097</v>
      </c>
      <c r="H2312" s="568">
        <v>6953</v>
      </c>
      <c r="I2312" s="559" t="str">
        <f t="shared" si="34"/>
        <v>GooD</v>
      </c>
    </row>
    <row r="2313" spans="1:9">
      <c r="A2313" s="563" t="s">
        <v>639</v>
      </c>
      <c r="B2313" s="563">
        <v>47000</v>
      </c>
      <c r="C2313" s="564">
        <v>10</v>
      </c>
      <c r="D2313" s="564">
        <v>0.31</v>
      </c>
      <c r="E2313" s="564">
        <v>12151</v>
      </c>
      <c r="F2313" s="564">
        <v>59151</v>
      </c>
      <c r="G2313" s="564">
        <v>1371</v>
      </c>
      <c r="H2313" s="564">
        <v>5778</v>
      </c>
      <c r="I2313" s="557" t="str">
        <f t="shared" si="34"/>
        <v>GooD</v>
      </c>
    </row>
    <row r="2314" spans="1:9" ht="15.75" thickBot="1">
      <c r="A2314" s="565" t="s">
        <v>639</v>
      </c>
      <c r="B2314" s="565">
        <v>47000</v>
      </c>
      <c r="C2314" s="566">
        <v>12</v>
      </c>
      <c r="D2314" s="566">
        <v>0.31</v>
      </c>
      <c r="E2314" s="566">
        <v>14573</v>
      </c>
      <c r="F2314" s="566">
        <v>61573</v>
      </c>
      <c r="G2314" s="566">
        <v>1645</v>
      </c>
      <c r="H2314" s="566">
        <v>4994</v>
      </c>
      <c r="I2314" s="558" t="str">
        <f t="shared" si="34"/>
        <v>GooD</v>
      </c>
    </row>
    <row r="2315" spans="1:9" ht="15.75" thickTop="1">
      <c r="A2315" s="567" t="s">
        <v>639</v>
      </c>
      <c r="B2315" s="567">
        <v>47000</v>
      </c>
      <c r="C2315" s="568">
        <v>14</v>
      </c>
      <c r="D2315" s="568">
        <v>0.31</v>
      </c>
      <c r="E2315" s="568">
        <v>17010</v>
      </c>
      <c r="F2315" s="568">
        <v>64010</v>
      </c>
      <c r="G2315" s="568">
        <v>1920</v>
      </c>
      <c r="H2315" s="568">
        <v>4435</v>
      </c>
      <c r="I2315" s="559" t="str">
        <f t="shared" si="34"/>
        <v>GooD</v>
      </c>
    </row>
    <row r="2316" spans="1:9">
      <c r="A2316" s="563" t="s">
        <v>639</v>
      </c>
      <c r="B2316" s="563">
        <v>47000</v>
      </c>
      <c r="C2316" s="564">
        <v>16</v>
      </c>
      <c r="D2316" s="564">
        <v>0.31</v>
      </c>
      <c r="E2316" s="564">
        <v>19434</v>
      </c>
      <c r="F2316" s="564">
        <v>66434</v>
      </c>
      <c r="G2316" s="564">
        <v>2194</v>
      </c>
      <c r="H2316" s="564">
        <v>4015</v>
      </c>
      <c r="I2316" s="557" t="str">
        <f t="shared" si="34"/>
        <v>GooD</v>
      </c>
    </row>
    <row r="2317" spans="1:9" ht="15.75" thickBot="1">
      <c r="A2317" s="565" t="s">
        <v>639</v>
      </c>
      <c r="B2317" s="565">
        <v>47000</v>
      </c>
      <c r="C2317" s="566">
        <v>18</v>
      </c>
      <c r="D2317" s="566">
        <v>0.31</v>
      </c>
      <c r="E2317" s="566">
        <v>21870</v>
      </c>
      <c r="F2317" s="566">
        <v>68870</v>
      </c>
      <c r="G2317" s="566">
        <v>2468</v>
      </c>
      <c r="H2317" s="566">
        <v>3689</v>
      </c>
      <c r="I2317" s="558" t="str">
        <f t="shared" si="34"/>
        <v>GooD</v>
      </c>
    </row>
    <row r="2318" spans="1:9" ht="15.75" thickTop="1">
      <c r="A2318" s="567" t="s">
        <v>639</v>
      </c>
      <c r="B2318" s="567">
        <v>47000</v>
      </c>
      <c r="C2318" s="568">
        <v>20</v>
      </c>
      <c r="D2318" s="568">
        <v>0.31</v>
      </c>
      <c r="E2318" s="568">
        <v>24302</v>
      </c>
      <c r="F2318" s="568">
        <v>71302</v>
      </c>
      <c r="G2318" s="568">
        <v>2742</v>
      </c>
      <c r="H2318" s="568">
        <v>3428</v>
      </c>
      <c r="I2318" s="559" t="str">
        <f t="shared" si="34"/>
        <v>GooD</v>
      </c>
    </row>
    <row r="2319" spans="1:9">
      <c r="A2319" s="563" t="s">
        <v>639</v>
      </c>
      <c r="B2319" s="563">
        <v>47000</v>
      </c>
      <c r="C2319" s="564">
        <v>22</v>
      </c>
      <c r="D2319" s="564">
        <v>0.31</v>
      </c>
      <c r="E2319" s="564">
        <v>26724</v>
      </c>
      <c r="F2319" s="564">
        <v>73724</v>
      </c>
      <c r="G2319" s="564">
        <v>3016</v>
      </c>
      <c r="H2319" s="564">
        <v>3214</v>
      </c>
      <c r="I2319" s="557" t="str">
        <f t="shared" si="34"/>
        <v>GooD</v>
      </c>
    </row>
    <row r="2320" spans="1:9" ht="15.75" thickBot="1">
      <c r="A2320" s="565" t="s">
        <v>639</v>
      </c>
      <c r="B2320" s="565">
        <v>47000</v>
      </c>
      <c r="C2320" s="566">
        <v>24</v>
      </c>
      <c r="D2320" s="566">
        <v>0.31</v>
      </c>
      <c r="E2320" s="566">
        <v>29154</v>
      </c>
      <c r="F2320" s="566">
        <v>76154</v>
      </c>
      <c r="G2320" s="566">
        <v>3290</v>
      </c>
      <c r="H2320" s="566">
        <v>3036</v>
      </c>
      <c r="I2320" s="558" t="str">
        <f t="shared" si="34"/>
        <v>GooD</v>
      </c>
    </row>
    <row r="2321" spans="1:9" ht="15.75" thickTop="1">
      <c r="A2321" s="567" t="s">
        <v>639</v>
      </c>
      <c r="B2321" s="567">
        <v>48000</v>
      </c>
      <c r="C2321" s="568">
        <v>4</v>
      </c>
      <c r="D2321" s="568">
        <v>0.31</v>
      </c>
      <c r="E2321" s="568">
        <v>4964</v>
      </c>
      <c r="F2321" s="568">
        <v>52964</v>
      </c>
      <c r="G2321" s="568">
        <v>560</v>
      </c>
      <c r="H2321" s="568">
        <v>13101</v>
      </c>
      <c r="I2321" s="559" t="str">
        <f t="shared" si="34"/>
        <v>GooD</v>
      </c>
    </row>
    <row r="2322" spans="1:9">
      <c r="A2322" s="563" t="s">
        <v>639</v>
      </c>
      <c r="B2322" s="563">
        <v>48000</v>
      </c>
      <c r="C2322" s="564">
        <v>6</v>
      </c>
      <c r="D2322" s="564">
        <v>0.31</v>
      </c>
      <c r="E2322" s="564">
        <v>7446</v>
      </c>
      <c r="F2322" s="564">
        <v>55446</v>
      </c>
      <c r="G2322" s="564">
        <v>840</v>
      </c>
      <c r="H2322" s="564">
        <v>9101</v>
      </c>
      <c r="I2322" s="557" t="str">
        <f t="shared" si="34"/>
        <v>GooD</v>
      </c>
    </row>
    <row r="2323" spans="1:9" ht="15.75" thickBot="1">
      <c r="A2323" s="565" t="s">
        <v>639</v>
      </c>
      <c r="B2323" s="565">
        <v>48000</v>
      </c>
      <c r="C2323" s="566">
        <v>8</v>
      </c>
      <c r="D2323" s="566">
        <v>0.31</v>
      </c>
      <c r="E2323" s="566">
        <v>9928</v>
      </c>
      <c r="F2323" s="566">
        <v>57928</v>
      </c>
      <c r="G2323" s="566">
        <v>1120</v>
      </c>
      <c r="H2323" s="566">
        <v>7101</v>
      </c>
      <c r="I2323" s="558" t="str">
        <f t="shared" si="34"/>
        <v>GooD</v>
      </c>
    </row>
    <row r="2324" spans="1:9" ht="15.75" thickTop="1">
      <c r="A2324" s="567" t="s">
        <v>639</v>
      </c>
      <c r="B2324" s="567">
        <v>48000</v>
      </c>
      <c r="C2324" s="568">
        <v>10</v>
      </c>
      <c r="D2324" s="568">
        <v>0.31</v>
      </c>
      <c r="E2324" s="568">
        <v>12410</v>
      </c>
      <c r="F2324" s="568">
        <v>60410</v>
      </c>
      <c r="G2324" s="568">
        <v>1400</v>
      </c>
      <c r="H2324" s="568">
        <v>5901</v>
      </c>
      <c r="I2324" s="559" t="str">
        <f t="shared" si="34"/>
        <v>GooD</v>
      </c>
    </row>
    <row r="2325" spans="1:9">
      <c r="A2325" s="563" t="s">
        <v>639</v>
      </c>
      <c r="B2325" s="563">
        <v>48000</v>
      </c>
      <c r="C2325" s="564">
        <v>12</v>
      </c>
      <c r="D2325" s="564">
        <v>0.31</v>
      </c>
      <c r="E2325" s="564">
        <v>14892</v>
      </c>
      <c r="F2325" s="564">
        <v>62892</v>
      </c>
      <c r="G2325" s="564">
        <v>1680</v>
      </c>
      <c r="H2325" s="564">
        <v>5101</v>
      </c>
      <c r="I2325" s="557" t="str">
        <f t="shared" si="34"/>
        <v>GooD</v>
      </c>
    </row>
    <row r="2326" spans="1:9" ht="15.75" thickBot="1">
      <c r="A2326" s="565" t="s">
        <v>639</v>
      </c>
      <c r="B2326" s="565">
        <v>48000</v>
      </c>
      <c r="C2326" s="566">
        <v>14</v>
      </c>
      <c r="D2326" s="566">
        <v>0.31</v>
      </c>
      <c r="E2326" s="566">
        <v>17366</v>
      </c>
      <c r="F2326" s="566">
        <v>65366</v>
      </c>
      <c r="G2326" s="566">
        <v>1960</v>
      </c>
      <c r="H2326" s="566">
        <v>4529</v>
      </c>
      <c r="I2326" s="558" t="str">
        <f t="shared" si="34"/>
        <v>GooD</v>
      </c>
    </row>
    <row r="2327" spans="1:9" ht="15.75" thickTop="1">
      <c r="A2327" s="567" t="s">
        <v>639</v>
      </c>
      <c r="B2327" s="567">
        <v>48000</v>
      </c>
      <c r="C2327" s="568">
        <v>16</v>
      </c>
      <c r="D2327" s="568">
        <v>0.31</v>
      </c>
      <c r="E2327" s="568">
        <v>19856</v>
      </c>
      <c r="F2327" s="568">
        <v>67856</v>
      </c>
      <c r="G2327" s="568">
        <v>2240</v>
      </c>
      <c r="H2327" s="568">
        <v>4101</v>
      </c>
      <c r="I2327" s="559" t="str">
        <f t="shared" si="34"/>
        <v>GooD</v>
      </c>
    </row>
    <row r="2328" spans="1:9">
      <c r="A2328" s="563" t="s">
        <v>639</v>
      </c>
      <c r="B2328" s="563">
        <v>48000</v>
      </c>
      <c r="C2328" s="564">
        <v>18</v>
      </c>
      <c r="D2328" s="564">
        <v>0.31</v>
      </c>
      <c r="E2328" s="564">
        <v>22326</v>
      </c>
      <c r="F2328" s="564">
        <v>70326</v>
      </c>
      <c r="G2328" s="564">
        <v>2520</v>
      </c>
      <c r="H2328" s="564">
        <v>3767</v>
      </c>
      <c r="I2328" s="557" t="str">
        <f t="shared" si="34"/>
        <v>GooD</v>
      </c>
    </row>
    <row r="2329" spans="1:9" ht="15.75" thickBot="1">
      <c r="A2329" s="565" t="s">
        <v>639</v>
      </c>
      <c r="B2329" s="565">
        <v>48000</v>
      </c>
      <c r="C2329" s="566">
        <v>20</v>
      </c>
      <c r="D2329" s="566">
        <v>0.31</v>
      </c>
      <c r="E2329" s="566">
        <v>24820</v>
      </c>
      <c r="F2329" s="566">
        <v>72820</v>
      </c>
      <c r="G2329" s="566">
        <v>2800</v>
      </c>
      <c r="H2329" s="566">
        <v>3501</v>
      </c>
      <c r="I2329" s="558" t="str">
        <f t="shared" si="34"/>
        <v>GooD</v>
      </c>
    </row>
    <row r="2330" spans="1:9" ht="15.75" thickTop="1">
      <c r="A2330" s="567" t="s">
        <v>639</v>
      </c>
      <c r="B2330" s="567">
        <v>48000</v>
      </c>
      <c r="C2330" s="568">
        <v>22</v>
      </c>
      <c r="D2330" s="568">
        <v>0.31</v>
      </c>
      <c r="E2330" s="568">
        <v>27284</v>
      </c>
      <c r="F2330" s="568">
        <v>75284</v>
      </c>
      <c r="G2330" s="568">
        <v>3080</v>
      </c>
      <c r="H2330" s="568">
        <v>3282</v>
      </c>
      <c r="I2330" s="559" t="str">
        <f t="shared" si="34"/>
        <v>GooD</v>
      </c>
    </row>
    <row r="2331" spans="1:9">
      <c r="A2331" s="563" t="s">
        <v>639</v>
      </c>
      <c r="B2331" s="563">
        <v>48000</v>
      </c>
      <c r="C2331" s="564">
        <v>24</v>
      </c>
      <c r="D2331" s="564">
        <v>0.31</v>
      </c>
      <c r="E2331" s="564">
        <v>29784</v>
      </c>
      <c r="F2331" s="564">
        <v>77784</v>
      </c>
      <c r="G2331" s="564">
        <v>3360</v>
      </c>
      <c r="H2331" s="564">
        <v>3101</v>
      </c>
      <c r="I2331" s="557" t="str">
        <f t="shared" si="34"/>
        <v>GooD</v>
      </c>
    </row>
    <row r="2332" spans="1:9" ht="15.75" thickBot="1">
      <c r="A2332" s="565" t="s">
        <v>639</v>
      </c>
      <c r="B2332" s="565">
        <v>49000</v>
      </c>
      <c r="C2332" s="566">
        <v>4</v>
      </c>
      <c r="D2332" s="566">
        <v>0.31</v>
      </c>
      <c r="E2332" s="566">
        <v>5064</v>
      </c>
      <c r="F2332" s="566">
        <v>54064</v>
      </c>
      <c r="G2332" s="566">
        <v>572</v>
      </c>
      <c r="H2332" s="566">
        <v>13373</v>
      </c>
      <c r="I2332" s="558" t="str">
        <f t="shared" si="34"/>
        <v>GooD</v>
      </c>
    </row>
    <row r="2333" spans="1:9" ht="15.75" thickTop="1">
      <c r="A2333" s="567" t="s">
        <v>639</v>
      </c>
      <c r="B2333" s="567">
        <v>49000</v>
      </c>
      <c r="C2333" s="568">
        <v>6</v>
      </c>
      <c r="D2333" s="568">
        <v>0.31</v>
      </c>
      <c r="E2333" s="568">
        <v>7598</v>
      </c>
      <c r="F2333" s="568">
        <v>56598</v>
      </c>
      <c r="G2333" s="568">
        <v>858</v>
      </c>
      <c r="H2333" s="568">
        <v>9290</v>
      </c>
      <c r="I2333" s="559" t="str">
        <f t="shared" si="34"/>
        <v>GooD</v>
      </c>
    </row>
    <row r="2334" spans="1:9">
      <c r="A2334" s="563" t="s">
        <v>639</v>
      </c>
      <c r="B2334" s="563">
        <v>49000</v>
      </c>
      <c r="C2334" s="564">
        <v>8</v>
      </c>
      <c r="D2334" s="564">
        <v>0.31</v>
      </c>
      <c r="E2334" s="564">
        <v>10128</v>
      </c>
      <c r="F2334" s="564">
        <v>59128</v>
      </c>
      <c r="G2334" s="564">
        <v>1144</v>
      </c>
      <c r="H2334" s="564">
        <v>7248</v>
      </c>
      <c r="I2334" s="557" t="str">
        <f t="shared" si="34"/>
        <v>GooD</v>
      </c>
    </row>
    <row r="2335" spans="1:9" ht="15.75" thickBot="1">
      <c r="A2335" s="565" t="s">
        <v>639</v>
      </c>
      <c r="B2335" s="565">
        <v>49000</v>
      </c>
      <c r="C2335" s="566">
        <v>10</v>
      </c>
      <c r="D2335" s="566">
        <v>0.31</v>
      </c>
      <c r="E2335" s="566">
        <v>12660</v>
      </c>
      <c r="F2335" s="566">
        <v>61660</v>
      </c>
      <c r="G2335" s="566">
        <v>1430</v>
      </c>
      <c r="H2335" s="566">
        <v>6023</v>
      </c>
      <c r="I2335" s="558" t="str">
        <f t="shared" si="34"/>
        <v>GooD</v>
      </c>
    </row>
    <row r="2336" spans="1:9" ht="15.75" thickTop="1">
      <c r="A2336" s="567" t="s">
        <v>639</v>
      </c>
      <c r="B2336" s="567">
        <v>49000</v>
      </c>
      <c r="C2336" s="568">
        <v>12</v>
      </c>
      <c r="D2336" s="568">
        <v>0.31</v>
      </c>
      <c r="E2336" s="568">
        <v>15199</v>
      </c>
      <c r="F2336" s="568">
        <v>64199</v>
      </c>
      <c r="G2336" s="568">
        <v>1715</v>
      </c>
      <c r="H2336" s="568">
        <v>5207</v>
      </c>
      <c r="I2336" s="559" t="str">
        <f t="shared" si="34"/>
        <v>GooD</v>
      </c>
    </row>
    <row r="2337" spans="1:9">
      <c r="A2337" s="563" t="s">
        <v>639</v>
      </c>
      <c r="B2337" s="563">
        <v>49000</v>
      </c>
      <c r="C2337" s="564">
        <v>14</v>
      </c>
      <c r="D2337" s="564">
        <v>0.31</v>
      </c>
      <c r="E2337" s="564">
        <v>17723</v>
      </c>
      <c r="F2337" s="564">
        <v>66723</v>
      </c>
      <c r="G2337" s="564">
        <v>2001</v>
      </c>
      <c r="H2337" s="564">
        <v>4623</v>
      </c>
      <c r="I2337" s="557" t="str">
        <f t="shared" si="34"/>
        <v>GooD</v>
      </c>
    </row>
    <row r="2338" spans="1:9" ht="15.75" thickBot="1">
      <c r="A2338" s="565" t="s">
        <v>639</v>
      </c>
      <c r="B2338" s="565">
        <v>49000</v>
      </c>
      <c r="C2338" s="566">
        <v>16</v>
      </c>
      <c r="D2338" s="566">
        <v>0.31</v>
      </c>
      <c r="E2338" s="566">
        <v>20263</v>
      </c>
      <c r="F2338" s="566">
        <v>69263</v>
      </c>
      <c r="G2338" s="566">
        <v>2287</v>
      </c>
      <c r="H2338" s="566">
        <v>4186</v>
      </c>
      <c r="I2338" s="558" t="str">
        <f t="shared" si="34"/>
        <v>GooD</v>
      </c>
    </row>
    <row r="2339" spans="1:9" ht="15.75" thickTop="1">
      <c r="A2339" s="567" t="s">
        <v>639</v>
      </c>
      <c r="B2339" s="567">
        <v>49000</v>
      </c>
      <c r="C2339" s="568">
        <v>18</v>
      </c>
      <c r="D2339" s="568">
        <v>0.31</v>
      </c>
      <c r="E2339" s="568">
        <v>22801</v>
      </c>
      <c r="F2339" s="568">
        <v>71801</v>
      </c>
      <c r="G2339" s="568">
        <v>2573</v>
      </c>
      <c r="H2339" s="568">
        <v>3846</v>
      </c>
      <c r="I2339" s="559" t="str">
        <f t="shared" si="34"/>
        <v>GooD</v>
      </c>
    </row>
    <row r="2340" spans="1:9">
      <c r="A2340" s="563" t="s">
        <v>639</v>
      </c>
      <c r="B2340" s="563">
        <v>49000</v>
      </c>
      <c r="C2340" s="564">
        <v>20</v>
      </c>
      <c r="D2340" s="564">
        <v>0.31</v>
      </c>
      <c r="E2340" s="564">
        <v>25319</v>
      </c>
      <c r="F2340" s="564">
        <v>74319</v>
      </c>
      <c r="G2340" s="564">
        <v>2859</v>
      </c>
      <c r="H2340" s="564">
        <v>3573</v>
      </c>
      <c r="I2340" s="557" t="str">
        <f t="shared" si="34"/>
        <v>GooD</v>
      </c>
    </row>
    <row r="2341" spans="1:9" ht="15.75" thickBot="1">
      <c r="A2341" s="565" t="s">
        <v>639</v>
      </c>
      <c r="B2341" s="565">
        <v>49000</v>
      </c>
      <c r="C2341" s="566">
        <v>22</v>
      </c>
      <c r="D2341" s="566">
        <v>0.31</v>
      </c>
      <c r="E2341" s="566">
        <v>27867</v>
      </c>
      <c r="F2341" s="566">
        <v>76867</v>
      </c>
      <c r="G2341" s="566">
        <v>3145</v>
      </c>
      <c r="H2341" s="566">
        <v>3351</v>
      </c>
      <c r="I2341" s="558" t="str">
        <f t="shared" si="34"/>
        <v>GooD</v>
      </c>
    </row>
    <row r="2342" spans="1:9" ht="15.75" thickTop="1">
      <c r="A2342" s="567" t="s">
        <v>639</v>
      </c>
      <c r="B2342" s="567">
        <v>49000</v>
      </c>
      <c r="C2342" s="568">
        <v>24</v>
      </c>
      <c r="D2342" s="568">
        <v>0.31</v>
      </c>
      <c r="E2342" s="568">
        <v>30390</v>
      </c>
      <c r="F2342" s="568">
        <v>79390</v>
      </c>
      <c r="G2342" s="568">
        <v>3430</v>
      </c>
      <c r="H2342" s="568">
        <v>3165</v>
      </c>
      <c r="I2342" s="559" t="str">
        <f t="shared" si="34"/>
        <v>GooD</v>
      </c>
    </row>
    <row r="2343" spans="1:9">
      <c r="A2343" s="563" t="s">
        <v>639</v>
      </c>
      <c r="B2343" s="563">
        <v>50000</v>
      </c>
      <c r="C2343" s="564">
        <v>4</v>
      </c>
      <c r="D2343" s="564">
        <v>0.31</v>
      </c>
      <c r="E2343" s="564">
        <v>5168</v>
      </c>
      <c r="F2343" s="564">
        <v>55168</v>
      </c>
      <c r="G2343" s="564">
        <v>584</v>
      </c>
      <c r="H2343" s="564">
        <v>13646</v>
      </c>
      <c r="I2343" s="557" t="str">
        <f t="shared" ref="I2343:I2406" si="35">IF(((H2343*C2343)+G2343)=F2343,"GooD","لالالالالالالا")</f>
        <v>GooD</v>
      </c>
    </row>
    <row r="2344" spans="1:9" ht="15.75" thickBot="1">
      <c r="A2344" s="565" t="s">
        <v>639</v>
      </c>
      <c r="B2344" s="565">
        <v>50000</v>
      </c>
      <c r="C2344" s="566">
        <v>6</v>
      </c>
      <c r="D2344" s="566">
        <v>0.31</v>
      </c>
      <c r="E2344" s="566">
        <v>7755</v>
      </c>
      <c r="F2344" s="566">
        <v>57755</v>
      </c>
      <c r="G2344" s="566">
        <v>875</v>
      </c>
      <c r="H2344" s="566">
        <v>9480</v>
      </c>
      <c r="I2344" s="558" t="str">
        <f t="shared" si="35"/>
        <v>GooD</v>
      </c>
    </row>
    <row r="2345" spans="1:9" ht="15.75" thickTop="1">
      <c r="A2345" s="567" t="s">
        <v>639</v>
      </c>
      <c r="B2345" s="567">
        <v>50000</v>
      </c>
      <c r="C2345" s="568">
        <v>8</v>
      </c>
      <c r="D2345" s="568">
        <v>0.31</v>
      </c>
      <c r="E2345" s="568">
        <v>10335</v>
      </c>
      <c r="F2345" s="568">
        <v>60335</v>
      </c>
      <c r="G2345" s="568">
        <v>1167</v>
      </c>
      <c r="H2345" s="568">
        <v>7396</v>
      </c>
      <c r="I2345" s="559" t="str">
        <f t="shared" si="35"/>
        <v>GooD</v>
      </c>
    </row>
    <row r="2346" spans="1:9">
      <c r="A2346" s="563" t="s">
        <v>639</v>
      </c>
      <c r="B2346" s="563">
        <v>50000</v>
      </c>
      <c r="C2346" s="564">
        <v>10</v>
      </c>
      <c r="D2346" s="564">
        <v>0.31</v>
      </c>
      <c r="E2346" s="564">
        <v>12919</v>
      </c>
      <c r="F2346" s="564">
        <v>62919</v>
      </c>
      <c r="G2346" s="564">
        <v>1459</v>
      </c>
      <c r="H2346" s="564">
        <v>6146</v>
      </c>
      <c r="I2346" s="557" t="str">
        <f t="shared" si="35"/>
        <v>GooD</v>
      </c>
    </row>
    <row r="2347" spans="1:9" ht="15.75" thickBot="1">
      <c r="A2347" s="565" t="s">
        <v>639</v>
      </c>
      <c r="B2347" s="565">
        <v>50000</v>
      </c>
      <c r="C2347" s="566">
        <v>12</v>
      </c>
      <c r="D2347" s="566">
        <v>0.31</v>
      </c>
      <c r="E2347" s="566">
        <v>15506</v>
      </c>
      <c r="F2347" s="566">
        <v>65506</v>
      </c>
      <c r="G2347" s="566">
        <v>1750</v>
      </c>
      <c r="H2347" s="566">
        <v>5313</v>
      </c>
      <c r="I2347" s="558" t="str">
        <f t="shared" si="35"/>
        <v>GooD</v>
      </c>
    </row>
    <row r="2348" spans="1:9" ht="15.75" thickTop="1">
      <c r="A2348" s="567" t="s">
        <v>639</v>
      </c>
      <c r="B2348" s="567">
        <v>50000</v>
      </c>
      <c r="C2348" s="568">
        <v>14</v>
      </c>
      <c r="D2348" s="568">
        <v>0.31</v>
      </c>
      <c r="E2348" s="568">
        <v>18094</v>
      </c>
      <c r="F2348" s="568">
        <v>68094</v>
      </c>
      <c r="G2348" s="568">
        <v>2042</v>
      </c>
      <c r="H2348" s="568">
        <v>4718</v>
      </c>
      <c r="I2348" s="559" t="str">
        <f t="shared" si="35"/>
        <v>GooD</v>
      </c>
    </row>
    <row r="2349" spans="1:9">
      <c r="A2349" s="563" t="s">
        <v>639</v>
      </c>
      <c r="B2349" s="563">
        <v>50000</v>
      </c>
      <c r="C2349" s="564">
        <v>16</v>
      </c>
      <c r="D2349" s="564">
        <v>0.31</v>
      </c>
      <c r="E2349" s="564">
        <v>20670</v>
      </c>
      <c r="F2349" s="564">
        <v>70670</v>
      </c>
      <c r="G2349" s="564">
        <v>2334</v>
      </c>
      <c r="H2349" s="564">
        <v>4271</v>
      </c>
      <c r="I2349" s="557" t="str">
        <f t="shared" si="35"/>
        <v>GooD</v>
      </c>
    </row>
    <row r="2350" spans="1:9" ht="15.75" thickBot="1">
      <c r="A2350" s="565" t="s">
        <v>639</v>
      </c>
      <c r="B2350" s="565">
        <v>50000</v>
      </c>
      <c r="C2350" s="566">
        <v>18</v>
      </c>
      <c r="D2350" s="566">
        <v>0.31</v>
      </c>
      <c r="E2350" s="566">
        <v>23257</v>
      </c>
      <c r="F2350" s="566">
        <v>73257</v>
      </c>
      <c r="G2350" s="566">
        <v>2625</v>
      </c>
      <c r="H2350" s="566">
        <v>3924</v>
      </c>
      <c r="I2350" s="558" t="str">
        <f t="shared" si="35"/>
        <v>GooD</v>
      </c>
    </row>
    <row r="2351" spans="1:9" ht="15.75" thickTop="1">
      <c r="A2351" s="567" t="s">
        <v>639</v>
      </c>
      <c r="B2351" s="567">
        <v>50000</v>
      </c>
      <c r="C2351" s="568">
        <v>20</v>
      </c>
      <c r="D2351" s="568">
        <v>0.31</v>
      </c>
      <c r="E2351" s="568">
        <v>25837</v>
      </c>
      <c r="F2351" s="568">
        <v>75837</v>
      </c>
      <c r="G2351" s="568">
        <v>2917</v>
      </c>
      <c r="H2351" s="568">
        <v>3646</v>
      </c>
      <c r="I2351" s="559" t="str">
        <f t="shared" si="35"/>
        <v>GooD</v>
      </c>
    </row>
    <row r="2352" spans="1:9">
      <c r="A2352" s="563" t="s">
        <v>639</v>
      </c>
      <c r="B2352" s="563">
        <v>50000</v>
      </c>
      <c r="C2352" s="564">
        <v>22</v>
      </c>
      <c r="D2352" s="564">
        <v>0.31</v>
      </c>
      <c r="E2352" s="564">
        <v>28427</v>
      </c>
      <c r="F2352" s="564">
        <v>78427</v>
      </c>
      <c r="G2352" s="564">
        <v>3209</v>
      </c>
      <c r="H2352" s="564">
        <v>3419</v>
      </c>
      <c r="I2352" s="557" t="str">
        <f t="shared" si="35"/>
        <v>GooD</v>
      </c>
    </row>
    <row r="2353" spans="1:9" ht="15.75" thickBot="1">
      <c r="A2353" s="565" t="s">
        <v>639</v>
      </c>
      <c r="B2353" s="565">
        <v>50000</v>
      </c>
      <c r="C2353" s="566">
        <v>24</v>
      </c>
      <c r="D2353" s="566">
        <v>0.31</v>
      </c>
      <c r="E2353" s="566">
        <v>31020</v>
      </c>
      <c r="F2353" s="566">
        <v>81020</v>
      </c>
      <c r="G2353" s="566">
        <v>3500</v>
      </c>
      <c r="H2353" s="566">
        <v>3230</v>
      </c>
      <c r="I2353" s="558" t="str">
        <f t="shared" si="35"/>
        <v>GooD</v>
      </c>
    </row>
    <row r="2354" spans="1:9" ht="15.75" thickTop="1">
      <c r="A2354" s="567" t="s">
        <v>640</v>
      </c>
      <c r="B2354" s="567">
        <v>8000</v>
      </c>
      <c r="C2354" s="568">
        <v>4</v>
      </c>
      <c r="D2354" s="568">
        <v>0.31</v>
      </c>
      <c r="E2354" s="568">
        <v>828</v>
      </c>
      <c r="F2354" s="568">
        <v>8828</v>
      </c>
      <c r="G2354" s="568">
        <v>80</v>
      </c>
      <c r="H2354" s="568">
        <v>2187</v>
      </c>
      <c r="I2354" s="559" t="str">
        <f t="shared" si="35"/>
        <v>GooD</v>
      </c>
    </row>
    <row r="2355" spans="1:9">
      <c r="A2355" s="563" t="s">
        <v>640</v>
      </c>
      <c r="B2355" s="563">
        <v>8000</v>
      </c>
      <c r="C2355" s="564">
        <v>6</v>
      </c>
      <c r="D2355" s="564">
        <v>0.31</v>
      </c>
      <c r="E2355" s="564">
        <v>1246</v>
      </c>
      <c r="F2355" s="564">
        <v>9246</v>
      </c>
      <c r="G2355" s="564">
        <v>120</v>
      </c>
      <c r="H2355" s="564">
        <v>1521</v>
      </c>
      <c r="I2355" s="557" t="str">
        <f t="shared" si="35"/>
        <v>GooD</v>
      </c>
    </row>
    <row r="2356" spans="1:9" ht="15.75" thickBot="1">
      <c r="A2356" s="565" t="s">
        <v>640</v>
      </c>
      <c r="B2356" s="565">
        <v>8000</v>
      </c>
      <c r="C2356" s="566">
        <v>8</v>
      </c>
      <c r="D2356" s="566">
        <v>0.31</v>
      </c>
      <c r="E2356" s="566">
        <v>1656</v>
      </c>
      <c r="F2356" s="566">
        <v>9656</v>
      </c>
      <c r="G2356" s="566">
        <v>160</v>
      </c>
      <c r="H2356" s="566">
        <v>1187</v>
      </c>
      <c r="I2356" s="558" t="str">
        <f t="shared" si="35"/>
        <v>GooD</v>
      </c>
    </row>
    <row r="2357" spans="1:9" ht="15.75" thickTop="1">
      <c r="A2357" s="567" t="s">
        <v>640</v>
      </c>
      <c r="B2357" s="567">
        <v>8000</v>
      </c>
      <c r="C2357" s="568">
        <v>10</v>
      </c>
      <c r="D2357" s="568">
        <v>0.31</v>
      </c>
      <c r="E2357" s="568">
        <v>2070</v>
      </c>
      <c r="F2357" s="568">
        <v>10070</v>
      </c>
      <c r="G2357" s="568">
        <v>200</v>
      </c>
      <c r="H2357" s="568">
        <v>987</v>
      </c>
      <c r="I2357" s="559" t="str">
        <f t="shared" si="35"/>
        <v>GooD</v>
      </c>
    </row>
    <row r="2358" spans="1:9">
      <c r="A2358" s="563" t="s">
        <v>640</v>
      </c>
      <c r="B2358" s="563">
        <v>8000</v>
      </c>
      <c r="C2358" s="564">
        <v>12</v>
      </c>
      <c r="D2358" s="564">
        <v>0.31</v>
      </c>
      <c r="E2358" s="564">
        <v>2488</v>
      </c>
      <c r="F2358" s="564">
        <v>10488</v>
      </c>
      <c r="G2358" s="564">
        <v>240</v>
      </c>
      <c r="H2358" s="564">
        <v>854</v>
      </c>
      <c r="I2358" s="557" t="str">
        <f t="shared" si="35"/>
        <v>GooD</v>
      </c>
    </row>
    <row r="2359" spans="1:9" ht="15.75" thickBot="1">
      <c r="A2359" s="565" t="s">
        <v>640</v>
      </c>
      <c r="B2359" s="565">
        <v>8500</v>
      </c>
      <c r="C2359" s="566">
        <v>4</v>
      </c>
      <c r="D2359" s="566">
        <v>0.31</v>
      </c>
      <c r="E2359" s="566">
        <v>881</v>
      </c>
      <c r="F2359" s="566">
        <v>9381</v>
      </c>
      <c r="G2359" s="566">
        <v>85</v>
      </c>
      <c r="H2359" s="566">
        <v>2324</v>
      </c>
      <c r="I2359" s="558" t="str">
        <f t="shared" si="35"/>
        <v>GooD</v>
      </c>
    </row>
    <row r="2360" spans="1:9" ht="15.75" thickTop="1">
      <c r="A2360" s="567" t="s">
        <v>640</v>
      </c>
      <c r="B2360" s="567">
        <v>8500</v>
      </c>
      <c r="C2360" s="568">
        <v>6</v>
      </c>
      <c r="D2360" s="568">
        <v>0.31</v>
      </c>
      <c r="E2360" s="568">
        <v>1324</v>
      </c>
      <c r="F2360" s="568">
        <v>9824</v>
      </c>
      <c r="G2360" s="568">
        <v>128</v>
      </c>
      <c r="H2360" s="568">
        <v>1616</v>
      </c>
      <c r="I2360" s="559" t="str">
        <f t="shared" si="35"/>
        <v>GooD</v>
      </c>
    </row>
    <row r="2361" spans="1:9">
      <c r="A2361" s="563" t="s">
        <v>640</v>
      </c>
      <c r="B2361" s="563">
        <v>8500</v>
      </c>
      <c r="C2361" s="564">
        <v>8</v>
      </c>
      <c r="D2361" s="564">
        <v>0.31</v>
      </c>
      <c r="E2361" s="564">
        <v>1758</v>
      </c>
      <c r="F2361" s="564">
        <v>10258</v>
      </c>
      <c r="G2361" s="564">
        <v>170</v>
      </c>
      <c r="H2361" s="564">
        <v>1261</v>
      </c>
      <c r="I2361" s="557" t="str">
        <f t="shared" si="35"/>
        <v>GooD</v>
      </c>
    </row>
    <row r="2362" spans="1:9" ht="15.75" thickBot="1">
      <c r="A2362" s="565" t="s">
        <v>640</v>
      </c>
      <c r="B2362" s="565">
        <v>8500</v>
      </c>
      <c r="C2362" s="566">
        <v>10</v>
      </c>
      <c r="D2362" s="566">
        <v>0.31</v>
      </c>
      <c r="E2362" s="566">
        <v>2203</v>
      </c>
      <c r="F2362" s="566">
        <v>10703</v>
      </c>
      <c r="G2362" s="566">
        <v>213</v>
      </c>
      <c r="H2362" s="566">
        <v>1049</v>
      </c>
      <c r="I2362" s="558" t="str">
        <f t="shared" si="35"/>
        <v>GooD</v>
      </c>
    </row>
    <row r="2363" spans="1:9" ht="15.75" thickTop="1">
      <c r="A2363" s="567" t="s">
        <v>640</v>
      </c>
      <c r="B2363" s="567">
        <v>8500</v>
      </c>
      <c r="C2363" s="568">
        <v>12</v>
      </c>
      <c r="D2363" s="568">
        <v>0.31</v>
      </c>
      <c r="E2363" s="568">
        <v>2639</v>
      </c>
      <c r="F2363" s="568">
        <v>11139</v>
      </c>
      <c r="G2363" s="568">
        <v>255</v>
      </c>
      <c r="H2363" s="568">
        <v>907</v>
      </c>
      <c r="I2363" s="559" t="str">
        <f t="shared" si="35"/>
        <v>GooD</v>
      </c>
    </row>
    <row r="2364" spans="1:9">
      <c r="A2364" s="563" t="s">
        <v>640</v>
      </c>
      <c r="B2364" s="563">
        <v>9000</v>
      </c>
      <c r="C2364" s="564">
        <v>4</v>
      </c>
      <c r="D2364" s="564">
        <v>0.31</v>
      </c>
      <c r="E2364" s="564">
        <v>934</v>
      </c>
      <c r="F2364" s="564">
        <v>9934</v>
      </c>
      <c r="G2364" s="564">
        <v>90</v>
      </c>
      <c r="H2364" s="564">
        <v>2461</v>
      </c>
      <c r="I2364" s="557" t="str">
        <f t="shared" si="35"/>
        <v>GooD</v>
      </c>
    </row>
    <row r="2365" spans="1:9" ht="15.75" thickBot="1">
      <c r="A2365" s="565" t="s">
        <v>640</v>
      </c>
      <c r="B2365" s="565">
        <v>9000</v>
      </c>
      <c r="C2365" s="566">
        <v>6</v>
      </c>
      <c r="D2365" s="566">
        <v>0.31</v>
      </c>
      <c r="E2365" s="566">
        <v>1401</v>
      </c>
      <c r="F2365" s="566">
        <v>10401</v>
      </c>
      <c r="G2365" s="566">
        <v>135</v>
      </c>
      <c r="H2365" s="566">
        <v>1711</v>
      </c>
      <c r="I2365" s="558" t="str">
        <f t="shared" si="35"/>
        <v>GooD</v>
      </c>
    </row>
    <row r="2366" spans="1:9" ht="15.75" thickTop="1">
      <c r="A2366" s="567" t="s">
        <v>640</v>
      </c>
      <c r="B2366" s="567">
        <v>9000</v>
      </c>
      <c r="C2366" s="568">
        <v>8</v>
      </c>
      <c r="D2366" s="568">
        <v>0.31</v>
      </c>
      <c r="E2366" s="568">
        <v>1868</v>
      </c>
      <c r="F2366" s="568">
        <v>10868</v>
      </c>
      <c r="G2366" s="568">
        <v>180</v>
      </c>
      <c r="H2366" s="568">
        <v>1336</v>
      </c>
      <c r="I2366" s="559" t="str">
        <f t="shared" si="35"/>
        <v>GooD</v>
      </c>
    </row>
    <row r="2367" spans="1:9">
      <c r="A2367" s="563" t="s">
        <v>640</v>
      </c>
      <c r="B2367" s="563">
        <v>9000</v>
      </c>
      <c r="C2367" s="564">
        <v>10</v>
      </c>
      <c r="D2367" s="564">
        <v>0.31</v>
      </c>
      <c r="E2367" s="564">
        <v>2335</v>
      </c>
      <c r="F2367" s="564">
        <v>11335</v>
      </c>
      <c r="G2367" s="564">
        <v>225</v>
      </c>
      <c r="H2367" s="564">
        <v>1111</v>
      </c>
      <c r="I2367" s="557" t="str">
        <f t="shared" si="35"/>
        <v>GooD</v>
      </c>
    </row>
    <row r="2368" spans="1:9" ht="15.75" thickBot="1">
      <c r="A2368" s="565" t="s">
        <v>640</v>
      </c>
      <c r="B2368" s="565">
        <v>9000</v>
      </c>
      <c r="C2368" s="566">
        <v>12</v>
      </c>
      <c r="D2368" s="566">
        <v>0.31</v>
      </c>
      <c r="E2368" s="566">
        <v>2802</v>
      </c>
      <c r="F2368" s="566">
        <v>11802</v>
      </c>
      <c r="G2368" s="566">
        <v>270</v>
      </c>
      <c r="H2368" s="566">
        <v>961</v>
      </c>
      <c r="I2368" s="558" t="str">
        <f t="shared" si="35"/>
        <v>GooD</v>
      </c>
    </row>
    <row r="2369" spans="1:9" ht="15.75" thickTop="1">
      <c r="A2369" s="567" t="s">
        <v>640</v>
      </c>
      <c r="B2369" s="567">
        <v>9500</v>
      </c>
      <c r="C2369" s="568">
        <v>4</v>
      </c>
      <c r="D2369" s="568">
        <v>0.31</v>
      </c>
      <c r="E2369" s="568">
        <v>983</v>
      </c>
      <c r="F2369" s="568">
        <v>10483</v>
      </c>
      <c r="G2369" s="568">
        <v>95</v>
      </c>
      <c r="H2369" s="568">
        <v>2597</v>
      </c>
      <c r="I2369" s="559" t="str">
        <f t="shared" si="35"/>
        <v>GooD</v>
      </c>
    </row>
    <row r="2370" spans="1:9">
      <c r="A2370" s="563" t="s">
        <v>640</v>
      </c>
      <c r="B2370" s="563">
        <v>9500</v>
      </c>
      <c r="C2370" s="564">
        <v>6</v>
      </c>
      <c r="D2370" s="564">
        <v>0.31</v>
      </c>
      <c r="E2370" s="564">
        <v>1479</v>
      </c>
      <c r="F2370" s="564">
        <v>10979</v>
      </c>
      <c r="G2370" s="564">
        <v>143</v>
      </c>
      <c r="H2370" s="564">
        <v>1806</v>
      </c>
      <c r="I2370" s="557" t="str">
        <f t="shared" si="35"/>
        <v>GooD</v>
      </c>
    </row>
    <row r="2371" spans="1:9" ht="15.75" thickBot="1">
      <c r="A2371" s="565" t="s">
        <v>640</v>
      </c>
      <c r="B2371" s="565">
        <v>9500</v>
      </c>
      <c r="C2371" s="566">
        <v>8</v>
      </c>
      <c r="D2371" s="566">
        <v>0.31</v>
      </c>
      <c r="E2371" s="566">
        <v>1970</v>
      </c>
      <c r="F2371" s="566">
        <v>11470</v>
      </c>
      <c r="G2371" s="566">
        <v>190</v>
      </c>
      <c r="H2371" s="566">
        <v>1410</v>
      </c>
      <c r="I2371" s="558" t="str">
        <f t="shared" si="35"/>
        <v>GooD</v>
      </c>
    </row>
    <row r="2372" spans="1:9" ht="15.75" thickTop="1">
      <c r="A2372" s="567" t="s">
        <v>640</v>
      </c>
      <c r="B2372" s="567">
        <v>9500</v>
      </c>
      <c r="C2372" s="568">
        <v>10</v>
      </c>
      <c r="D2372" s="568">
        <v>0.31</v>
      </c>
      <c r="E2372" s="568">
        <v>2458</v>
      </c>
      <c r="F2372" s="568">
        <v>11958</v>
      </c>
      <c r="G2372" s="568">
        <v>238</v>
      </c>
      <c r="H2372" s="568">
        <v>1172</v>
      </c>
      <c r="I2372" s="559" t="str">
        <f t="shared" si="35"/>
        <v>GooD</v>
      </c>
    </row>
    <row r="2373" spans="1:9">
      <c r="A2373" s="563" t="s">
        <v>640</v>
      </c>
      <c r="B2373" s="563">
        <v>9500</v>
      </c>
      <c r="C2373" s="564">
        <v>12</v>
      </c>
      <c r="D2373" s="564">
        <v>0.31</v>
      </c>
      <c r="E2373" s="564">
        <v>2953</v>
      </c>
      <c r="F2373" s="564">
        <v>12453</v>
      </c>
      <c r="G2373" s="564">
        <v>285</v>
      </c>
      <c r="H2373" s="564">
        <v>1014</v>
      </c>
      <c r="I2373" s="557" t="str">
        <f t="shared" si="35"/>
        <v>GooD</v>
      </c>
    </row>
    <row r="2374" spans="1:9" ht="15.75" thickBot="1">
      <c r="A2374" s="565" t="s">
        <v>640</v>
      </c>
      <c r="B2374" s="565">
        <v>10000</v>
      </c>
      <c r="C2374" s="566">
        <v>4</v>
      </c>
      <c r="D2374" s="566">
        <v>0.31</v>
      </c>
      <c r="E2374" s="566">
        <v>1036</v>
      </c>
      <c r="F2374" s="566">
        <v>11036</v>
      </c>
      <c r="G2374" s="566">
        <v>100</v>
      </c>
      <c r="H2374" s="566">
        <v>2734</v>
      </c>
      <c r="I2374" s="558" t="str">
        <f t="shared" si="35"/>
        <v>GooD</v>
      </c>
    </row>
    <row r="2375" spans="1:9" ht="15.75" thickTop="1">
      <c r="A2375" s="567" t="s">
        <v>640</v>
      </c>
      <c r="B2375" s="567">
        <v>10000</v>
      </c>
      <c r="C2375" s="568">
        <v>6</v>
      </c>
      <c r="D2375" s="568">
        <v>0.31</v>
      </c>
      <c r="E2375" s="568">
        <v>1556</v>
      </c>
      <c r="F2375" s="568">
        <v>11556</v>
      </c>
      <c r="G2375" s="568">
        <v>150</v>
      </c>
      <c r="H2375" s="568">
        <v>1901</v>
      </c>
      <c r="I2375" s="559" t="str">
        <f t="shared" si="35"/>
        <v>GooD</v>
      </c>
    </row>
    <row r="2376" spans="1:9">
      <c r="A2376" s="563" t="s">
        <v>640</v>
      </c>
      <c r="B2376" s="563">
        <v>10000</v>
      </c>
      <c r="C2376" s="564">
        <v>8</v>
      </c>
      <c r="D2376" s="564">
        <v>0.31</v>
      </c>
      <c r="E2376" s="564">
        <v>2072</v>
      </c>
      <c r="F2376" s="564">
        <v>12072</v>
      </c>
      <c r="G2376" s="564">
        <v>200</v>
      </c>
      <c r="H2376" s="564">
        <v>1484</v>
      </c>
      <c r="I2376" s="557" t="str">
        <f t="shared" si="35"/>
        <v>GooD</v>
      </c>
    </row>
    <row r="2377" spans="1:9" ht="15.75" thickBot="1">
      <c r="A2377" s="565" t="s">
        <v>640</v>
      </c>
      <c r="B2377" s="565">
        <v>10000</v>
      </c>
      <c r="C2377" s="566">
        <v>10</v>
      </c>
      <c r="D2377" s="566">
        <v>0.31</v>
      </c>
      <c r="E2377" s="566">
        <v>2590</v>
      </c>
      <c r="F2377" s="566">
        <v>12590</v>
      </c>
      <c r="G2377" s="566">
        <v>250</v>
      </c>
      <c r="H2377" s="566">
        <v>1234</v>
      </c>
      <c r="I2377" s="558" t="str">
        <f t="shared" si="35"/>
        <v>GooD</v>
      </c>
    </row>
    <row r="2378" spans="1:9" ht="15.75" thickTop="1">
      <c r="A2378" s="567" t="s">
        <v>640</v>
      </c>
      <c r="B2378" s="567">
        <v>10000</v>
      </c>
      <c r="C2378" s="568">
        <v>12</v>
      </c>
      <c r="D2378" s="568">
        <v>0.31</v>
      </c>
      <c r="E2378" s="568">
        <v>3104</v>
      </c>
      <c r="F2378" s="568">
        <v>13104</v>
      </c>
      <c r="G2378" s="568">
        <v>300</v>
      </c>
      <c r="H2378" s="568">
        <v>1067</v>
      </c>
      <c r="I2378" s="559" t="str">
        <f t="shared" si="35"/>
        <v>GooD</v>
      </c>
    </row>
    <row r="2379" spans="1:9">
      <c r="A2379" s="563" t="s">
        <v>640</v>
      </c>
      <c r="B2379" s="563">
        <v>10500</v>
      </c>
      <c r="C2379" s="564">
        <v>4</v>
      </c>
      <c r="D2379" s="564">
        <v>0.31</v>
      </c>
      <c r="E2379" s="564">
        <v>1089</v>
      </c>
      <c r="F2379" s="564">
        <v>11589</v>
      </c>
      <c r="G2379" s="564">
        <v>105</v>
      </c>
      <c r="H2379" s="564">
        <v>2871</v>
      </c>
      <c r="I2379" s="557" t="str">
        <f t="shared" si="35"/>
        <v>GooD</v>
      </c>
    </row>
    <row r="2380" spans="1:9" ht="15.75" thickBot="1">
      <c r="A2380" s="565" t="s">
        <v>640</v>
      </c>
      <c r="B2380" s="565">
        <v>10500</v>
      </c>
      <c r="C2380" s="566">
        <v>6</v>
      </c>
      <c r="D2380" s="566">
        <v>0.31</v>
      </c>
      <c r="E2380" s="566">
        <v>1634</v>
      </c>
      <c r="F2380" s="566">
        <v>12134</v>
      </c>
      <c r="G2380" s="566">
        <v>158</v>
      </c>
      <c r="H2380" s="566">
        <v>1996</v>
      </c>
      <c r="I2380" s="558" t="str">
        <f t="shared" si="35"/>
        <v>GooD</v>
      </c>
    </row>
    <row r="2381" spans="1:9" ht="15.75" thickTop="1">
      <c r="A2381" s="567" t="s">
        <v>640</v>
      </c>
      <c r="B2381" s="567">
        <v>10500</v>
      </c>
      <c r="C2381" s="568">
        <v>8</v>
      </c>
      <c r="D2381" s="568">
        <v>0.31</v>
      </c>
      <c r="E2381" s="568">
        <v>2174</v>
      </c>
      <c r="F2381" s="568">
        <v>12674</v>
      </c>
      <c r="G2381" s="568">
        <v>210</v>
      </c>
      <c r="H2381" s="568">
        <v>1558</v>
      </c>
      <c r="I2381" s="559" t="str">
        <f t="shared" si="35"/>
        <v>GooD</v>
      </c>
    </row>
    <row r="2382" spans="1:9">
      <c r="A2382" s="563" t="s">
        <v>640</v>
      </c>
      <c r="B2382" s="563">
        <v>10500</v>
      </c>
      <c r="C2382" s="564">
        <v>10</v>
      </c>
      <c r="D2382" s="564">
        <v>0.31</v>
      </c>
      <c r="E2382" s="564">
        <v>2723</v>
      </c>
      <c r="F2382" s="564">
        <v>13223</v>
      </c>
      <c r="G2382" s="564">
        <v>263</v>
      </c>
      <c r="H2382" s="564">
        <v>1296</v>
      </c>
      <c r="I2382" s="557" t="str">
        <f t="shared" si="35"/>
        <v>GooD</v>
      </c>
    </row>
    <row r="2383" spans="1:9" ht="15.75" thickBot="1">
      <c r="A2383" s="565" t="s">
        <v>640</v>
      </c>
      <c r="B2383" s="565">
        <v>10500</v>
      </c>
      <c r="C2383" s="566">
        <v>12</v>
      </c>
      <c r="D2383" s="566">
        <v>0.31</v>
      </c>
      <c r="E2383" s="566">
        <v>3267</v>
      </c>
      <c r="F2383" s="566">
        <v>13767</v>
      </c>
      <c r="G2383" s="566">
        <v>315</v>
      </c>
      <c r="H2383" s="566">
        <v>1121</v>
      </c>
      <c r="I2383" s="558" t="str">
        <f t="shared" si="35"/>
        <v>GooD</v>
      </c>
    </row>
    <row r="2384" spans="1:9" ht="15.75" thickTop="1">
      <c r="A2384" s="567" t="s">
        <v>640</v>
      </c>
      <c r="B2384" s="567">
        <v>11000</v>
      </c>
      <c r="C2384" s="568">
        <v>4</v>
      </c>
      <c r="D2384" s="568">
        <v>0.31</v>
      </c>
      <c r="E2384" s="568">
        <v>1138</v>
      </c>
      <c r="F2384" s="568">
        <v>12138</v>
      </c>
      <c r="G2384" s="568">
        <v>110</v>
      </c>
      <c r="H2384" s="568">
        <v>3007</v>
      </c>
      <c r="I2384" s="559" t="str">
        <f t="shared" si="35"/>
        <v>GooD</v>
      </c>
    </row>
    <row r="2385" spans="1:9">
      <c r="A2385" s="563" t="s">
        <v>640</v>
      </c>
      <c r="B2385" s="563">
        <v>11000</v>
      </c>
      <c r="C2385" s="564">
        <v>6</v>
      </c>
      <c r="D2385" s="564">
        <v>0.31</v>
      </c>
      <c r="E2385" s="564">
        <v>1711</v>
      </c>
      <c r="F2385" s="564">
        <v>12711</v>
      </c>
      <c r="G2385" s="564">
        <v>165</v>
      </c>
      <c r="H2385" s="564">
        <v>2091</v>
      </c>
      <c r="I2385" s="557" t="str">
        <f t="shared" si="35"/>
        <v>GooD</v>
      </c>
    </row>
    <row r="2386" spans="1:9" ht="15.75" thickBot="1">
      <c r="A2386" s="565" t="s">
        <v>640</v>
      </c>
      <c r="B2386" s="565">
        <v>11000</v>
      </c>
      <c r="C2386" s="566">
        <v>8</v>
      </c>
      <c r="D2386" s="566">
        <v>0.31</v>
      </c>
      <c r="E2386" s="566">
        <v>2276</v>
      </c>
      <c r="F2386" s="566">
        <v>13276</v>
      </c>
      <c r="G2386" s="566">
        <v>220</v>
      </c>
      <c r="H2386" s="566">
        <v>1632</v>
      </c>
      <c r="I2386" s="558" t="str">
        <f t="shared" si="35"/>
        <v>GooD</v>
      </c>
    </row>
    <row r="2387" spans="1:9" ht="15.75" thickTop="1">
      <c r="A2387" s="567" t="s">
        <v>640</v>
      </c>
      <c r="B2387" s="567">
        <v>11000</v>
      </c>
      <c r="C2387" s="568">
        <v>10</v>
      </c>
      <c r="D2387" s="568">
        <v>0.31</v>
      </c>
      <c r="E2387" s="568">
        <v>2845</v>
      </c>
      <c r="F2387" s="568">
        <v>13845</v>
      </c>
      <c r="G2387" s="568">
        <v>275</v>
      </c>
      <c r="H2387" s="568">
        <v>1357</v>
      </c>
      <c r="I2387" s="559" t="str">
        <f t="shared" si="35"/>
        <v>GooD</v>
      </c>
    </row>
    <row r="2388" spans="1:9">
      <c r="A2388" s="563" t="s">
        <v>640</v>
      </c>
      <c r="B2388" s="563">
        <v>11000</v>
      </c>
      <c r="C2388" s="564">
        <v>12</v>
      </c>
      <c r="D2388" s="564">
        <v>0.31</v>
      </c>
      <c r="E2388" s="564">
        <v>3418</v>
      </c>
      <c r="F2388" s="564">
        <v>14418</v>
      </c>
      <c r="G2388" s="564">
        <v>330</v>
      </c>
      <c r="H2388" s="564">
        <v>1174</v>
      </c>
      <c r="I2388" s="557" t="str">
        <f t="shared" si="35"/>
        <v>GooD</v>
      </c>
    </row>
    <row r="2389" spans="1:9" ht="15.75" thickBot="1">
      <c r="A2389" s="565" t="s">
        <v>640</v>
      </c>
      <c r="B2389" s="565">
        <v>11500</v>
      </c>
      <c r="C2389" s="566">
        <v>4</v>
      </c>
      <c r="D2389" s="566">
        <v>0.31</v>
      </c>
      <c r="E2389" s="566">
        <v>1191</v>
      </c>
      <c r="F2389" s="566">
        <v>12691</v>
      </c>
      <c r="G2389" s="566">
        <v>115</v>
      </c>
      <c r="H2389" s="566">
        <v>3144</v>
      </c>
      <c r="I2389" s="558" t="str">
        <f t="shared" si="35"/>
        <v>GooD</v>
      </c>
    </row>
    <row r="2390" spans="1:9" ht="15.75" thickTop="1">
      <c r="A2390" s="567" t="s">
        <v>640</v>
      </c>
      <c r="B2390" s="567">
        <v>11500</v>
      </c>
      <c r="C2390" s="568">
        <v>6</v>
      </c>
      <c r="D2390" s="568">
        <v>0.31</v>
      </c>
      <c r="E2390" s="568">
        <v>1789</v>
      </c>
      <c r="F2390" s="568">
        <v>13289</v>
      </c>
      <c r="G2390" s="568">
        <v>173</v>
      </c>
      <c r="H2390" s="568">
        <v>2186</v>
      </c>
      <c r="I2390" s="559" t="str">
        <f t="shared" si="35"/>
        <v>GooD</v>
      </c>
    </row>
    <row r="2391" spans="1:9">
      <c r="A2391" s="563" t="s">
        <v>640</v>
      </c>
      <c r="B2391" s="563">
        <v>11500</v>
      </c>
      <c r="C2391" s="564">
        <v>8</v>
      </c>
      <c r="D2391" s="564">
        <v>0.31</v>
      </c>
      <c r="E2391" s="564">
        <v>2378</v>
      </c>
      <c r="F2391" s="564">
        <v>13878</v>
      </c>
      <c r="G2391" s="564">
        <v>230</v>
      </c>
      <c r="H2391" s="564">
        <v>1706</v>
      </c>
      <c r="I2391" s="557" t="str">
        <f t="shared" si="35"/>
        <v>GooD</v>
      </c>
    </row>
    <row r="2392" spans="1:9" ht="15.75" thickBot="1">
      <c r="A2392" s="565" t="s">
        <v>640</v>
      </c>
      <c r="B2392" s="565">
        <v>11500</v>
      </c>
      <c r="C2392" s="566">
        <v>10</v>
      </c>
      <c r="D2392" s="566">
        <v>0.31</v>
      </c>
      <c r="E2392" s="566">
        <v>2978</v>
      </c>
      <c r="F2392" s="566">
        <v>14478</v>
      </c>
      <c r="G2392" s="566">
        <v>288</v>
      </c>
      <c r="H2392" s="566">
        <v>1419</v>
      </c>
      <c r="I2392" s="558" t="str">
        <f t="shared" si="35"/>
        <v>GooD</v>
      </c>
    </row>
    <row r="2393" spans="1:9" ht="15.75" thickTop="1">
      <c r="A2393" s="567" t="s">
        <v>640</v>
      </c>
      <c r="B2393" s="567">
        <v>11500</v>
      </c>
      <c r="C2393" s="568">
        <v>12</v>
      </c>
      <c r="D2393" s="568">
        <v>0.31</v>
      </c>
      <c r="E2393" s="568">
        <v>3569</v>
      </c>
      <c r="F2393" s="568">
        <v>15069</v>
      </c>
      <c r="G2393" s="568">
        <v>345</v>
      </c>
      <c r="H2393" s="568">
        <v>1227</v>
      </c>
      <c r="I2393" s="559" t="str">
        <f t="shared" si="35"/>
        <v>GooD</v>
      </c>
    </row>
    <row r="2394" spans="1:9">
      <c r="A2394" s="563" t="s">
        <v>640</v>
      </c>
      <c r="B2394" s="563">
        <v>12000</v>
      </c>
      <c r="C2394" s="564">
        <v>4</v>
      </c>
      <c r="D2394" s="564">
        <v>0.31</v>
      </c>
      <c r="E2394" s="564">
        <v>1244</v>
      </c>
      <c r="F2394" s="564">
        <v>13244</v>
      </c>
      <c r="G2394" s="564">
        <v>120</v>
      </c>
      <c r="H2394" s="564">
        <v>3281</v>
      </c>
      <c r="I2394" s="557" t="str">
        <f t="shared" si="35"/>
        <v>GooD</v>
      </c>
    </row>
    <row r="2395" spans="1:9" ht="15.75" thickBot="1">
      <c r="A2395" s="565" t="s">
        <v>640</v>
      </c>
      <c r="B2395" s="565">
        <v>12000</v>
      </c>
      <c r="C2395" s="566">
        <v>6</v>
      </c>
      <c r="D2395" s="566">
        <v>0.31</v>
      </c>
      <c r="E2395" s="566">
        <v>1866</v>
      </c>
      <c r="F2395" s="566">
        <v>13866</v>
      </c>
      <c r="G2395" s="566">
        <v>180</v>
      </c>
      <c r="H2395" s="566">
        <v>2281</v>
      </c>
      <c r="I2395" s="558" t="str">
        <f t="shared" si="35"/>
        <v>GooD</v>
      </c>
    </row>
    <row r="2396" spans="1:9" ht="15.75" thickTop="1">
      <c r="A2396" s="567" t="s">
        <v>640</v>
      </c>
      <c r="B2396" s="567">
        <v>12000</v>
      </c>
      <c r="C2396" s="568">
        <v>8</v>
      </c>
      <c r="D2396" s="568">
        <v>0.31</v>
      </c>
      <c r="E2396" s="568">
        <v>2488</v>
      </c>
      <c r="F2396" s="568">
        <v>14488</v>
      </c>
      <c r="G2396" s="568">
        <v>240</v>
      </c>
      <c r="H2396" s="568">
        <v>1781</v>
      </c>
      <c r="I2396" s="559" t="str">
        <f t="shared" si="35"/>
        <v>GooD</v>
      </c>
    </row>
    <row r="2397" spans="1:9">
      <c r="A2397" s="563" t="s">
        <v>640</v>
      </c>
      <c r="B2397" s="563">
        <v>12000</v>
      </c>
      <c r="C2397" s="564">
        <v>10</v>
      </c>
      <c r="D2397" s="564">
        <v>0.31</v>
      </c>
      <c r="E2397" s="564">
        <v>3110</v>
      </c>
      <c r="F2397" s="564">
        <v>15110</v>
      </c>
      <c r="G2397" s="564">
        <v>300</v>
      </c>
      <c r="H2397" s="564">
        <v>1481</v>
      </c>
      <c r="I2397" s="557" t="str">
        <f t="shared" si="35"/>
        <v>GooD</v>
      </c>
    </row>
    <row r="2398" spans="1:9" ht="15.75" thickBot="1">
      <c r="A2398" s="565" t="s">
        <v>640</v>
      </c>
      <c r="B2398" s="565">
        <v>12000</v>
      </c>
      <c r="C2398" s="566">
        <v>12</v>
      </c>
      <c r="D2398" s="566">
        <v>0.31</v>
      </c>
      <c r="E2398" s="566">
        <v>3732</v>
      </c>
      <c r="F2398" s="566">
        <v>15732</v>
      </c>
      <c r="G2398" s="566">
        <v>360</v>
      </c>
      <c r="H2398" s="566">
        <v>1281</v>
      </c>
      <c r="I2398" s="558" t="str">
        <f t="shared" si="35"/>
        <v>GooD</v>
      </c>
    </row>
    <row r="2399" spans="1:9" ht="15.75" thickTop="1">
      <c r="A2399" s="567" t="s">
        <v>640</v>
      </c>
      <c r="B2399" s="567">
        <v>12500</v>
      </c>
      <c r="C2399" s="568">
        <v>4</v>
      </c>
      <c r="D2399" s="568">
        <v>0.31</v>
      </c>
      <c r="E2399" s="568">
        <v>1293</v>
      </c>
      <c r="F2399" s="568">
        <v>13793</v>
      </c>
      <c r="G2399" s="568">
        <v>125</v>
      </c>
      <c r="H2399" s="568">
        <v>3417</v>
      </c>
      <c r="I2399" s="559" t="str">
        <f t="shared" si="35"/>
        <v>GooD</v>
      </c>
    </row>
    <row r="2400" spans="1:9">
      <c r="A2400" s="563" t="s">
        <v>640</v>
      </c>
      <c r="B2400" s="563">
        <v>12500</v>
      </c>
      <c r="C2400" s="564">
        <v>6</v>
      </c>
      <c r="D2400" s="564">
        <v>0.31</v>
      </c>
      <c r="E2400" s="564">
        <v>1944</v>
      </c>
      <c r="F2400" s="564">
        <v>14444</v>
      </c>
      <c r="G2400" s="564">
        <v>188</v>
      </c>
      <c r="H2400" s="564">
        <v>2376</v>
      </c>
      <c r="I2400" s="557" t="str">
        <f t="shared" si="35"/>
        <v>GooD</v>
      </c>
    </row>
    <row r="2401" spans="1:9" ht="15.75" thickBot="1">
      <c r="A2401" s="565" t="s">
        <v>640</v>
      </c>
      <c r="B2401" s="565">
        <v>12500</v>
      </c>
      <c r="C2401" s="566">
        <v>8</v>
      </c>
      <c r="D2401" s="566">
        <v>0.31</v>
      </c>
      <c r="E2401" s="566">
        <v>2590</v>
      </c>
      <c r="F2401" s="566">
        <v>15090</v>
      </c>
      <c r="G2401" s="566">
        <v>250</v>
      </c>
      <c r="H2401" s="566">
        <v>1855</v>
      </c>
      <c r="I2401" s="558" t="str">
        <f t="shared" si="35"/>
        <v>GooD</v>
      </c>
    </row>
    <row r="2402" spans="1:9" ht="15.75" thickTop="1">
      <c r="A2402" s="567" t="s">
        <v>640</v>
      </c>
      <c r="B2402" s="567">
        <v>12500</v>
      </c>
      <c r="C2402" s="568">
        <v>10</v>
      </c>
      <c r="D2402" s="568">
        <v>0.31</v>
      </c>
      <c r="E2402" s="568">
        <v>3233</v>
      </c>
      <c r="F2402" s="568">
        <v>15733</v>
      </c>
      <c r="G2402" s="568">
        <v>313</v>
      </c>
      <c r="H2402" s="568">
        <v>1542</v>
      </c>
      <c r="I2402" s="559" t="str">
        <f t="shared" si="35"/>
        <v>GooD</v>
      </c>
    </row>
    <row r="2403" spans="1:9">
      <c r="A2403" s="563" t="s">
        <v>640</v>
      </c>
      <c r="B2403" s="563">
        <v>12500</v>
      </c>
      <c r="C2403" s="564">
        <v>12</v>
      </c>
      <c r="D2403" s="564">
        <v>0.31</v>
      </c>
      <c r="E2403" s="564">
        <v>3883</v>
      </c>
      <c r="F2403" s="564">
        <v>16383</v>
      </c>
      <c r="G2403" s="564">
        <v>375</v>
      </c>
      <c r="H2403" s="564">
        <v>1334</v>
      </c>
      <c r="I2403" s="557" t="str">
        <f t="shared" si="35"/>
        <v>GooD</v>
      </c>
    </row>
    <row r="2404" spans="1:9" ht="15.75" thickBot="1">
      <c r="A2404" s="565" t="s">
        <v>640</v>
      </c>
      <c r="B2404" s="565">
        <v>13000</v>
      </c>
      <c r="C2404" s="566">
        <v>4</v>
      </c>
      <c r="D2404" s="566">
        <v>0.31</v>
      </c>
      <c r="E2404" s="566">
        <v>1346</v>
      </c>
      <c r="F2404" s="566">
        <v>14346</v>
      </c>
      <c r="G2404" s="566">
        <v>130</v>
      </c>
      <c r="H2404" s="566">
        <v>3554</v>
      </c>
      <c r="I2404" s="558" t="str">
        <f t="shared" si="35"/>
        <v>GooD</v>
      </c>
    </row>
    <row r="2405" spans="1:9" ht="15.75" thickTop="1">
      <c r="A2405" s="567" t="s">
        <v>640</v>
      </c>
      <c r="B2405" s="567">
        <v>13000</v>
      </c>
      <c r="C2405" s="568">
        <v>6</v>
      </c>
      <c r="D2405" s="568">
        <v>0.31</v>
      </c>
      <c r="E2405" s="568">
        <v>2021</v>
      </c>
      <c r="F2405" s="568">
        <v>15021</v>
      </c>
      <c r="G2405" s="568">
        <v>195</v>
      </c>
      <c r="H2405" s="568">
        <v>2471</v>
      </c>
      <c r="I2405" s="559" t="str">
        <f t="shared" si="35"/>
        <v>GooD</v>
      </c>
    </row>
    <row r="2406" spans="1:9">
      <c r="A2406" s="563" t="s">
        <v>640</v>
      </c>
      <c r="B2406" s="563">
        <v>13000</v>
      </c>
      <c r="C2406" s="564">
        <v>8</v>
      </c>
      <c r="D2406" s="564">
        <v>0.31</v>
      </c>
      <c r="E2406" s="564">
        <v>2692</v>
      </c>
      <c r="F2406" s="564">
        <v>15692</v>
      </c>
      <c r="G2406" s="564">
        <v>260</v>
      </c>
      <c r="H2406" s="564">
        <v>1929</v>
      </c>
      <c r="I2406" s="557" t="str">
        <f t="shared" si="35"/>
        <v>GooD</v>
      </c>
    </row>
    <row r="2407" spans="1:9" ht="15.75" thickBot="1">
      <c r="A2407" s="565" t="s">
        <v>640</v>
      </c>
      <c r="B2407" s="565">
        <v>13000</v>
      </c>
      <c r="C2407" s="566">
        <v>10</v>
      </c>
      <c r="D2407" s="566">
        <v>0.31</v>
      </c>
      <c r="E2407" s="566">
        <v>3365</v>
      </c>
      <c r="F2407" s="566">
        <v>16365</v>
      </c>
      <c r="G2407" s="566">
        <v>325</v>
      </c>
      <c r="H2407" s="566">
        <v>1604</v>
      </c>
      <c r="I2407" s="558" t="str">
        <f t="shared" ref="I2407:I2470" si="36">IF(((H2407*C2407)+G2407)=F2407,"GooD","لالالالالالالا")</f>
        <v>GooD</v>
      </c>
    </row>
    <row r="2408" spans="1:9" ht="15.75" thickTop="1">
      <c r="A2408" s="567" t="s">
        <v>640</v>
      </c>
      <c r="B2408" s="567">
        <v>13000</v>
      </c>
      <c r="C2408" s="568">
        <v>12</v>
      </c>
      <c r="D2408" s="568">
        <v>0.31</v>
      </c>
      <c r="E2408" s="568">
        <v>4034</v>
      </c>
      <c r="F2408" s="568">
        <v>17034</v>
      </c>
      <c r="G2408" s="568">
        <v>390</v>
      </c>
      <c r="H2408" s="568">
        <v>1387</v>
      </c>
      <c r="I2408" s="559" t="str">
        <f t="shared" si="36"/>
        <v>GooD</v>
      </c>
    </row>
    <row r="2409" spans="1:9">
      <c r="A2409" s="563" t="s">
        <v>640</v>
      </c>
      <c r="B2409" s="563">
        <v>13500</v>
      </c>
      <c r="C2409" s="564">
        <v>4</v>
      </c>
      <c r="D2409" s="564">
        <v>0.31</v>
      </c>
      <c r="E2409" s="564">
        <v>1399</v>
      </c>
      <c r="F2409" s="564">
        <v>14899</v>
      </c>
      <c r="G2409" s="564">
        <v>135</v>
      </c>
      <c r="H2409" s="564">
        <v>3691</v>
      </c>
      <c r="I2409" s="557" t="str">
        <f t="shared" si="36"/>
        <v>GooD</v>
      </c>
    </row>
    <row r="2410" spans="1:9" ht="15.75" thickBot="1">
      <c r="A2410" s="565" t="s">
        <v>640</v>
      </c>
      <c r="B2410" s="565">
        <v>13500</v>
      </c>
      <c r="C2410" s="566">
        <v>6</v>
      </c>
      <c r="D2410" s="566">
        <v>0.31</v>
      </c>
      <c r="E2410" s="566">
        <v>2099</v>
      </c>
      <c r="F2410" s="566">
        <v>15599</v>
      </c>
      <c r="G2410" s="566">
        <v>203</v>
      </c>
      <c r="H2410" s="566">
        <v>2566</v>
      </c>
      <c r="I2410" s="558" t="str">
        <f t="shared" si="36"/>
        <v>GooD</v>
      </c>
    </row>
    <row r="2411" spans="1:9" ht="15.75" thickTop="1">
      <c r="A2411" s="567" t="s">
        <v>640</v>
      </c>
      <c r="B2411" s="567">
        <v>13500</v>
      </c>
      <c r="C2411" s="568">
        <v>8</v>
      </c>
      <c r="D2411" s="568">
        <v>0.31</v>
      </c>
      <c r="E2411" s="568">
        <v>2794</v>
      </c>
      <c r="F2411" s="568">
        <v>16294</v>
      </c>
      <c r="G2411" s="568">
        <v>270</v>
      </c>
      <c r="H2411" s="568">
        <v>2003</v>
      </c>
      <c r="I2411" s="559" t="str">
        <f t="shared" si="36"/>
        <v>GooD</v>
      </c>
    </row>
    <row r="2412" spans="1:9">
      <c r="A2412" s="563" t="s">
        <v>640</v>
      </c>
      <c r="B2412" s="563">
        <v>13500</v>
      </c>
      <c r="C2412" s="564">
        <v>10</v>
      </c>
      <c r="D2412" s="564">
        <v>0.31</v>
      </c>
      <c r="E2412" s="564">
        <v>3498</v>
      </c>
      <c r="F2412" s="564">
        <v>16998</v>
      </c>
      <c r="G2412" s="564">
        <v>338</v>
      </c>
      <c r="H2412" s="564">
        <v>1666</v>
      </c>
      <c r="I2412" s="557" t="str">
        <f t="shared" si="36"/>
        <v>GooD</v>
      </c>
    </row>
    <row r="2413" spans="1:9" ht="15.75" thickBot="1">
      <c r="A2413" s="565" t="s">
        <v>640</v>
      </c>
      <c r="B2413" s="565">
        <v>13500</v>
      </c>
      <c r="C2413" s="566">
        <v>12</v>
      </c>
      <c r="D2413" s="566">
        <v>0.31</v>
      </c>
      <c r="E2413" s="566">
        <v>4197</v>
      </c>
      <c r="F2413" s="566">
        <v>17697</v>
      </c>
      <c r="G2413" s="566">
        <v>405</v>
      </c>
      <c r="H2413" s="566">
        <v>1441</v>
      </c>
      <c r="I2413" s="558" t="str">
        <f t="shared" si="36"/>
        <v>GooD</v>
      </c>
    </row>
    <row r="2414" spans="1:9" ht="15.75" thickTop="1">
      <c r="A2414" s="567" t="s">
        <v>640</v>
      </c>
      <c r="B2414" s="567">
        <v>14000</v>
      </c>
      <c r="C2414" s="568">
        <v>4</v>
      </c>
      <c r="D2414" s="568">
        <v>0.31</v>
      </c>
      <c r="E2414" s="568">
        <v>1448</v>
      </c>
      <c r="F2414" s="568">
        <v>15448</v>
      </c>
      <c r="G2414" s="568">
        <v>140</v>
      </c>
      <c r="H2414" s="568">
        <v>3827</v>
      </c>
      <c r="I2414" s="559" t="str">
        <f t="shared" si="36"/>
        <v>GooD</v>
      </c>
    </row>
    <row r="2415" spans="1:9">
      <c r="A2415" s="563" t="s">
        <v>640</v>
      </c>
      <c r="B2415" s="563">
        <v>14000</v>
      </c>
      <c r="C2415" s="564">
        <v>6</v>
      </c>
      <c r="D2415" s="564">
        <v>0.31</v>
      </c>
      <c r="E2415" s="564">
        <v>2176</v>
      </c>
      <c r="F2415" s="564">
        <v>16176</v>
      </c>
      <c r="G2415" s="564">
        <v>210</v>
      </c>
      <c r="H2415" s="564">
        <v>2661</v>
      </c>
      <c r="I2415" s="557" t="str">
        <f t="shared" si="36"/>
        <v>GooD</v>
      </c>
    </row>
    <row r="2416" spans="1:9" ht="15.75" thickBot="1">
      <c r="A2416" s="565" t="s">
        <v>640</v>
      </c>
      <c r="B2416" s="565">
        <v>14000</v>
      </c>
      <c r="C2416" s="566">
        <v>8</v>
      </c>
      <c r="D2416" s="566">
        <v>0.31</v>
      </c>
      <c r="E2416" s="566">
        <v>2896</v>
      </c>
      <c r="F2416" s="566">
        <v>16896</v>
      </c>
      <c r="G2416" s="566">
        <v>280</v>
      </c>
      <c r="H2416" s="566">
        <v>2077</v>
      </c>
      <c r="I2416" s="558" t="str">
        <f t="shared" si="36"/>
        <v>GooD</v>
      </c>
    </row>
    <row r="2417" spans="1:9" ht="15.75" thickTop="1">
      <c r="A2417" s="567" t="s">
        <v>640</v>
      </c>
      <c r="B2417" s="567">
        <v>14000</v>
      </c>
      <c r="C2417" s="568">
        <v>10</v>
      </c>
      <c r="D2417" s="568">
        <v>0.31</v>
      </c>
      <c r="E2417" s="568">
        <v>3620</v>
      </c>
      <c r="F2417" s="568">
        <v>17620</v>
      </c>
      <c r="G2417" s="568">
        <v>350</v>
      </c>
      <c r="H2417" s="568">
        <v>1727</v>
      </c>
      <c r="I2417" s="559" t="str">
        <f t="shared" si="36"/>
        <v>GooD</v>
      </c>
    </row>
    <row r="2418" spans="1:9">
      <c r="A2418" s="563" t="s">
        <v>640</v>
      </c>
      <c r="B2418" s="563">
        <v>14000</v>
      </c>
      <c r="C2418" s="564">
        <v>12</v>
      </c>
      <c r="D2418" s="564">
        <v>0.31</v>
      </c>
      <c r="E2418" s="564">
        <v>4348</v>
      </c>
      <c r="F2418" s="564">
        <v>18348</v>
      </c>
      <c r="G2418" s="564">
        <v>420</v>
      </c>
      <c r="H2418" s="564">
        <v>1494</v>
      </c>
      <c r="I2418" s="557" t="str">
        <f t="shared" si="36"/>
        <v>GooD</v>
      </c>
    </row>
    <row r="2419" spans="1:9" ht="15.75" thickBot="1">
      <c r="A2419" s="565" t="s">
        <v>640</v>
      </c>
      <c r="B2419" s="565">
        <v>14500</v>
      </c>
      <c r="C2419" s="566">
        <v>4</v>
      </c>
      <c r="D2419" s="566">
        <v>0.31</v>
      </c>
      <c r="E2419" s="566">
        <v>1502</v>
      </c>
      <c r="F2419" s="566">
        <v>16002</v>
      </c>
      <c r="G2419" s="566">
        <v>170</v>
      </c>
      <c r="H2419" s="566">
        <v>3958</v>
      </c>
      <c r="I2419" s="558" t="str">
        <f t="shared" si="36"/>
        <v>GooD</v>
      </c>
    </row>
    <row r="2420" spans="1:9" ht="15.75" thickTop="1">
      <c r="A2420" s="567" t="s">
        <v>640</v>
      </c>
      <c r="B2420" s="567">
        <v>14500</v>
      </c>
      <c r="C2420" s="568">
        <v>6</v>
      </c>
      <c r="D2420" s="568">
        <v>0.31</v>
      </c>
      <c r="E2420" s="568">
        <v>2248</v>
      </c>
      <c r="F2420" s="568">
        <v>16748</v>
      </c>
      <c r="G2420" s="568">
        <v>254</v>
      </c>
      <c r="H2420" s="568">
        <v>2749</v>
      </c>
      <c r="I2420" s="559" t="str">
        <f t="shared" si="36"/>
        <v>GooD</v>
      </c>
    </row>
    <row r="2421" spans="1:9">
      <c r="A2421" s="563" t="s">
        <v>640</v>
      </c>
      <c r="B2421" s="563">
        <v>14500</v>
      </c>
      <c r="C2421" s="564">
        <v>8</v>
      </c>
      <c r="D2421" s="564">
        <v>0.31</v>
      </c>
      <c r="E2421" s="564">
        <v>2999</v>
      </c>
      <c r="F2421" s="564">
        <v>17499</v>
      </c>
      <c r="G2421" s="564">
        <v>339</v>
      </c>
      <c r="H2421" s="564">
        <v>2145</v>
      </c>
      <c r="I2421" s="557" t="str">
        <f t="shared" si="36"/>
        <v>GooD</v>
      </c>
    </row>
    <row r="2422" spans="1:9" ht="15.75" thickBot="1">
      <c r="A2422" s="565" t="s">
        <v>640</v>
      </c>
      <c r="B2422" s="565">
        <v>14500</v>
      </c>
      <c r="C2422" s="566">
        <v>10</v>
      </c>
      <c r="D2422" s="566">
        <v>0.31</v>
      </c>
      <c r="E2422" s="566">
        <v>3753</v>
      </c>
      <c r="F2422" s="566">
        <v>18253</v>
      </c>
      <c r="G2422" s="566">
        <v>423</v>
      </c>
      <c r="H2422" s="566">
        <v>1783</v>
      </c>
      <c r="I2422" s="558" t="str">
        <f t="shared" si="36"/>
        <v>GooD</v>
      </c>
    </row>
    <row r="2423" spans="1:9" ht="15.75" thickTop="1">
      <c r="A2423" s="567" t="s">
        <v>640</v>
      </c>
      <c r="B2423" s="567">
        <v>14500</v>
      </c>
      <c r="C2423" s="568">
        <v>12</v>
      </c>
      <c r="D2423" s="568">
        <v>0.31</v>
      </c>
      <c r="E2423" s="568">
        <v>4500</v>
      </c>
      <c r="F2423" s="568">
        <v>19000</v>
      </c>
      <c r="G2423" s="568">
        <v>508</v>
      </c>
      <c r="H2423" s="568">
        <v>1541</v>
      </c>
      <c r="I2423" s="559" t="str">
        <f t="shared" si="36"/>
        <v>GooD</v>
      </c>
    </row>
    <row r="2424" spans="1:9">
      <c r="A2424" s="563" t="s">
        <v>640</v>
      </c>
      <c r="B2424" s="563">
        <v>15000</v>
      </c>
      <c r="C2424" s="564">
        <v>4</v>
      </c>
      <c r="D2424" s="564">
        <v>0.31</v>
      </c>
      <c r="E2424" s="564">
        <v>1551</v>
      </c>
      <c r="F2424" s="564">
        <v>16551</v>
      </c>
      <c r="G2424" s="564">
        <v>175</v>
      </c>
      <c r="H2424" s="564">
        <v>4094</v>
      </c>
      <c r="I2424" s="557" t="str">
        <f t="shared" si="36"/>
        <v>GooD</v>
      </c>
    </row>
    <row r="2425" spans="1:9" ht="15.75" thickBot="1">
      <c r="A2425" s="565" t="s">
        <v>640</v>
      </c>
      <c r="B2425" s="565">
        <v>15000</v>
      </c>
      <c r="C2425" s="566">
        <v>6</v>
      </c>
      <c r="D2425" s="566">
        <v>0.31</v>
      </c>
      <c r="E2425" s="566">
        <v>2327</v>
      </c>
      <c r="F2425" s="566">
        <v>17327</v>
      </c>
      <c r="G2425" s="566">
        <v>263</v>
      </c>
      <c r="H2425" s="566">
        <v>2844</v>
      </c>
      <c r="I2425" s="558" t="str">
        <f t="shared" si="36"/>
        <v>GooD</v>
      </c>
    </row>
    <row r="2426" spans="1:9" ht="15.75" thickTop="1">
      <c r="A2426" s="567" t="s">
        <v>640</v>
      </c>
      <c r="B2426" s="567">
        <v>15000</v>
      </c>
      <c r="C2426" s="568">
        <v>8</v>
      </c>
      <c r="D2426" s="568">
        <v>0.31</v>
      </c>
      <c r="E2426" s="568">
        <v>3102</v>
      </c>
      <c r="F2426" s="568">
        <v>18102</v>
      </c>
      <c r="G2426" s="568">
        <v>350</v>
      </c>
      <c r="H2426" s="568">
        <v>2219</v>
      </c>
      <c r="I2426" s="559" t="str">
        <f t="shared" si="36"/>
        <v>GooD</v>
      </c>
    </row>
    <row r="2427" spans="1:9">
      <c r="A2427" s="563" t="s">
        <v>640</v>
      </c>
      <c r="B2427" s="563">
        <v>15000</v>
      </c>
      <c r="C2427" s="564">
        <v>10</v>
      </c>
      <c r="D2427" s="564">
        <v>0.31</v>
      </c>
      <c r="E2427" s="564">
        <v>3878</v>
      </c>
      <c r="F2427" s="564">
        <v>18878</v>
      </c>
      <c r="G2427" s="564">
        <v>438</v>
      </c>
      <c r="H2427" s="564">
        <v>1844</v>
      </c>
      <c r="I2427" s="557" t="str">
        <f t="shared" si="36"/>
        <v>GooD</v>
      </c>
    </row>
    <row r="2428" spans="1:9" ht="15.75" thickBot="1">
      <c r="A2428" s="565" t="s">
        <v>640</v>
      </c>
      <c r="B2428" s="565">
        <v>15000</v>
      </c>
      <c r="C2428" s="566">
        <v>12</v>
      </c>
      <c r="D2428" s="566">
        <v>0.31</v>
      </c>
      <c r="E2428" s="566">
        <v>4653</v>
      </c>
      <c r="F2428" s="566">
        <v>19653</v>
      </c>
      <c r="G2428" s="566">
        <v>525</v>
      </c>
      <c r="H2428" s="566">
        <v>1594</v>
      </c>
      <c r="I2428" s="558" t="str">
        <f t="shared" si="36"/>
        <v>GooD</v>
      </c>
    </row>
    <row r="2429" spans="1:9" ht="15.75" thickTop="1">
      <c r="A2429" s="567" t="s">
        <v>640</v>
      </c>
      <c r="B2429" s="567">
        <v>15500</v>
      </c>
      <c r="C2429" s="568">
        <v>4</v>
      </c>
      <c r="D2429" s="568">
        <v>0.31</v>
      </c>
      <c r="E2429" s="568">
        <v>1605</v>
      </c>
      <c r="F2429" s="568">
        <v>17105</v>
      </c>
      <c r="G2429" s="568">
        <v>181</v>
      </c>
      <c r="H2429" s="568">
        <v>4231</v>
      </c>
      <c r="I2429" s="559" t="str">
        <f t="shared" si="36"/>
        <v>GooD</v>
      </c>
    </row>
    <row r="2430" spans="1:9">
      <c r="A2430" s="563" t="s">
        <v>640</v>
      </c>
      <c r="B2430" s="563">
        <v>15500</v>
      </c>
      <c r="C2430" s="564">
        <v>6</v>
      </c>
      <c r="D2430" s="564">
        <v>0.31</v>
      </c>
      <c r="E2430" s="564">
        <v>2406</v>
      </c>
      <c r="F2430" s="564">
        <v>17906</v>
      </c>
      <c r="G2430" s="564">
        <v>272</v>
      </c>
      <c r="H2430" s="564">
        <v>2939</v>
      </c>
      <c r="I2430" s="557" t="str">
        <f t="shared" si="36"/>
        <v>GooD</v>
      </c>
    </row>
    <row r="2431" spans="1:9" ht="15.75" thickBot="1">
      <c r="A2431" s="565" t="s">
        <v>640</v>
      </c>
      <c r="B2431" s="565">
        <v>15500</v>
      </c>
      <c r="C2431" s="566">
        <v>8</v>
      </c>
      <c r="D2431" s="566">
        <v>0.31</v>
      </c>
      <c r="E2431" s="566">
        <v>3206</v>
      </c>
      <c r="F2431" s="566">
        <v>18706</v>
      </c>
      <c r="G2431" s="566">
        <v>362</v>
      </c>
      <c r="H2431" s="566">
        <v>2293</v>
      </c>
      <c r="I2431" s="558" t="str">
        <f t="shared" si="36"/>
        <v>GooD</v>
      </c>
    </row>
    <row r="2432" spans="1:9" ht="15.75" thickTop="1">
      <c r="A2432" s="567" t="s">
        <v>640</v>
      </c>
      <c r="B2432" s="567">
        <v>15500</v>
      </c>
      <c r="C2432" s="568">
        <v>10</v>
      </c>
      <c r="D2432" s="568">
        <v>0.31</v>
      </c>
      <c r="E2432" s="568">
        <v>4013</v>
      </c>
      <c r="F2432" s="568">
        <v>19513</v>
      </c>
      <c r="G2432" s="568">
        <v>453</v>
      </c>
      <c r="H2432" s="568">
        <v>1906</v>
      </c>
      <c r="I2432" s="559" t="str">
        <f t="shared" si="36"/>
        <v>GooD</v>
      </c>
    </row>
    <row r="2433" spans="1:9">
      <c r="A2433" s="563" t="s">
        <v>640</v>
      </c>
      <c r="B2433" s="563">
        <v>15500</v>
      </c>
      <c r="C2433" s="564">
        <v>12</v>
      </c>
      <c r="D2433" s="564">
        <v>0.31</v>
      </c>
      <c r="E2433" s="564">
        <v>4807</v>
      </c>
      <c r="F2433" s="564">
        <v>20307</v>
      </c>
      <c r="G2433" s="564">
        <v>543</v>
      </c>
      <c r="H2433" s="564">
        <v>1647</v>
      </c>
      <c r="I2433" s="557" t="str">
        <f t="shared" si="36"/>
        <v>GooD</v>
      </c>
    </row>
    <row r="2434" spans="1:9" ht="15.75" thickBot="1">
      <c r="A2434" s="565" t="s">
        <v>640</v>
      </c>
      <c r="B2434" s="565">
        <v>16000</v>
      </c>
      <c r="C2434" s="566">
        <v>4</v>
      </c>
      <c r="D2434" s="566">
        <v>0.31</v>
      </c>
      <c r="E2434" s="566">
        <v>1655</v>
      </c>
      <c r="F2434" s="566">
        <v>17655</v>
      </c>
      <c r="G2434" s="566">
        <v>187</v>
      </c>
      <c r="H2434" s="566">
        <v>4367</v>
      </c>
      <c r="I2434" s="558" t="str">
        <f t="shared" si="36"/>
        <v>GooD</v>
      </c>
    </row>
    <row r="2435" spans="1:9" ht="15.75" thickTop="1">
      <c r="A2435" s="567" t="s">
        <v>640</v>
      </c>
      <c r="B2435" s="567">
        <v>16000</v>
      </c>
      <c r="C2435" s="568">
        <v>6</v>
      </c>
      <c r="D2435" s="568">
        <v>0.31</v>
      </c>
      <c r="E2435" s="568">
        <v>2484</v>
      </c>
      <c r="F2435" s="568">
        <v>18484</v>
      </c>
      <c r="G2435" s="568">
        <v>280</v>
      </c>
      <c r="H2435" s="568">
        <v>3034</v>
      </c>
      <c r="I2435" s="559" t="str">
        <f t="shared" si="36"/>
        <v>GooD</v>
      </c>
    </row>
    <row r="2436" spans="1:9">
      <c r="A2436" s="563" t="s">
        <v>640</v>
      </c>
      <c r="B2436" s="563">
        <v>16000</v>
      </c>
      <c r="C2436" s="564">
        <v>8</v>
      </c>
      <c r="D2436" s="564">
        <v>0.31</v>
      </c>
      <c r="E2436" s="564">
        <v>3310</v>
      </c>
      <c r="F2436" s="564">
        <v>19310</v>
      </c>
      <c r="G2436" s="564">
        <v>374</v>
      </c>
      <c r="H2436" s="564">
        <v>2367</v>
      </c>
      <c r="I2436" s="557" t="str">
        <f t="shared" si="36"/>
        <v>GooD</v>
      </c>
    </row>
    <row r="2437" spans="1:9" ht="15.75" thickBot="1">
      <c r="A2437" s="565" t="s">
        <v>640</v>
      </c>
      <c r="B2437" s="565">
        <v>16000</v>
      </c>
      <c r="C2437" s="566">
        <v>10</v>
      </c>
      <c r="D2437" s="566">
        <v>0.31</v>
      </c>
      <c r="E2437" s="566">
        <v>4137</v>
      </c>
      <c r="F2437" s="566">
        <v>20137</v>
      </c>
      <c r="G2437" s="566">
        <v>467</v>
      </c>
      <c r="H2437" s="566">
        <v>1967</v>
      </c>
      <c r="I2437" s="558" t="str">
        <f t="shared" si="36"/>
        <v>GooD</v>
      </c>
    </row>
    <row r="2438" spans="1:9" ht="15.75" thickTop="1">
      <c r="A2438" s="567" t="s">
        <v>640</v>
      </c>
      <c r="B2438" s="567">
        <v>16000</v>
      </c>
      <c r="C2438" s="568">
        <v>12</v>
      </c>
      <c r="D2438" s="568">
        <v>0.31</v>
      </c>
      <c r="E2438" s="568">
        <v>4972</v>
      </c>
      <c r="F2438" s="568">
        <v>20972</v>
      </c>
      <c r="G2438" s="568">
        <v>560</v>
      </c>
      <c r="H2438" s="568">
        <v>1701</v>
      </c>
      <c r="I2438" s="559" t="str">
        <f t="shared" si="36"/>
        <v>GooD</v>
      </c>
    </row>
    <row r="2439" spans="1:9">
      <c r="A2439" s="563" t="s">
        <v>640</v>
      </c>
      <c r="B2439" s="563">
        <v>16500</v>
      </c>
      <c r="C2439" s="564">
        <v>4</v>
      </c>
      <c r="D2439" s="564">
        <v>0.31</v>
      </c>
      <c r="E2439" s="564">
        <v>1709</v>
      </c>
      <c r="F2439" s="564">
        <v>18209</v>
      </c>
      <c r="G2439" s="564">
        <v>193</v>
      </c>
      <c r="H2439" s="564">
        <v>4504</v>
      </c>
      <c r="I2439" s="557" t="str">
        <f t="shared" si="36"/>
        <v>GooD</v>
      </c>
    </row>
    <row r="2440" spans="1:9" ht="15.75" thickBot="1">
      <c r="A2440" s="565" t="s">
        <v>640</v>
      </c>
      <c r="B2440" s="565">
        <v>16500</v>
      </c>
      <c r="C2440" s="566">
        <v>6</v>
      </c>
      <c r="D2440" s="566">
        <v>0.31</v>
      </c>
      <c r="E2440" s="566">
        <v>2563</v>
      </c>
      <c r="F2440" s="566">
        <v>19063</v>
      </c>
      <c r="G2440" s="566">
        <v>289</v>
      </c>
      <c r="H2440" s="566">
        <v>3129</v>
      </c>
      <c r="I2440" s="558" t="str">
        <f t="shared" si="36"/>
        <v>GooD</v>
      </c>
    </row>
    <row r="2441" spans="1:9" ht="15.75" thickTop="1">
      <c r="A2441" s="567" t="s">
        <v>640</v>
      </c>
      <c r="B2441" s="567">
        <v>16500</v>
      </c>
      <c r="C2441" s="568">
        <v>8</v>
      </c>
      <c r="D2441" s="568">
        <v>0.31</v>
      </c>
      <c r="E2441" s="568">
        <v>3413</v>
      </c>
      <c r="F2441" s="568">
        <v>19913</v>
      </c>
      <c r="G2441" s="568">
        <v>385</v>
      </c>
      <c r="H2441" s="568">
        <v>2441</v>
      </c>
      <c r="I2441" s="559" t="str">
        <f t="shared" si="36"/>
        <v>GooD</v>
      </c>
    </row>
    <row r="2442" spans="1:9">
      <c r="A2442" s="563" t="s">
        <v>640</v>
      </c>
      <c r="B2442" s="563">
        <v>16500</v>
      </c>
      <c r="C2442" s="564">
        <v>10</v>
      </c>
      <c r="D2442" s="564">
        <v>0.31</v>
      </c>
      <c r="E2442" s="564">
        <v>4272</v>
      </c>
      <c r="F2442" s="564">
        <v>20772</v>
      </c>
      <c r="G2442" s="564">
        <v>482</v>
      </c>
      <c r="H2442" s="564">
        <v>2029</v>
      </c>
      <c r="I2442" s="557" t="str">
        <f t="shared" si="36"/>
        <v>GooD</v>
      </c>
    </row>
    <row r="2443" spans="1:9" ht="15.75" thickBot="1">
      <c r="A2443" s="565" t="s">
        <v>640</v>
      </c>
      <c r="B2443" s="565">
        <v>16500</v>
      </c>
      <c r="C2443" s="566">
        <v>12</v>
      </c>
      <c r="D2443" s="566">
        <v>0.31</v>
      </c>
      <c r="E2443" s="566">
        <v>5126</v>
      </c>
      <c r="F2443" s="566">
        <v>21626</v>
      </c>
      <c r="G2443" s="566">
        <v>578</v>
      </c>
      <c r="H2443" s="566">
        <v>1754</v>
      </c>
      <c r="I2443" s="558" t="str">
        <f t="shared" si="36"/>
        <v>GooD</v>
      </c>
    </row>
    <row r="2444" spans="1:9" ht="15.75" thickTop="1">
      <c r="A2444" s="567" t="s">
        <v>640</v>
      </c>
      <c r="B2444" s="567">
        <v>17000</v>
      </c>
      <c r="C2444" s="568">
        <v>4</v>
      </c>
      <c r="D2444" s="568">
        <v>0.31</v>
      </c>
      <c r="E2444" s="568">
        <v>1759</v>
      </c>
      <c r="F2444" s="568">
        <v>18759</v>
      </c>
      <c r="G2444" s="568">
        <v>199</v>
      </c>
      <c r="H2444" s="568">
        <v>4640</v>
      </c>
      <c r="I2444" s="559" t="str">
        <f t="shared" si="36"/>
        <v>GooD</v>
      </c>
    </row>
    <row r="2445" spans="1:9">
      <c r="A2445" s="563" t="s">
        <v>640</v>
      </c>
      <c r="B2445" s="563">
        <v>17000</v>
      </c>
      <c r="C2445" s="564">
        <v>6</v>
      </c>
      <c r="D2445" s="564">
        <v>0.31</v>
      </c>
      <c r="E2445" s="564">
        <v>2636</v>
      </c>
      <c r="F2445" s="564">
        <v>19636</v>
      </c>
      <c r="G2445" s="564">
        <v>298</v>
      </c>
      <c r="H2445" s="564">
        <v>3223</v>
      </c>
      <c r="I2445" s="557" t="str">
        <f t="shared" si="36"/>
        <v>GooD</v>
      </c>
    </row>
    <row r="2446" spans="1:9" ht="15.75" thickBot="1">
      <c r="A2446" s="565" t="s">
        <v>640</v>
      </c>
      <c r="B2446" s="565">
        <v>17000</v>
      </c>
      <c r="C2446" s="566">
        <v>8</v>
      </c>
      <c r="D2446" s="566">
        <v>0.31</v>
      </c>
      <c r="E2446" s="566">
        <v>3517</v>
      </c>
      <c r="F2446" s="566">
        <v>20517</v>
      </c>
      <c r="G2446" s="566">
        <v>397</v>
      </c>
      <c r="H2446" s="566">
        <v>2515</v>
      </c>
      <c r="I2446" s="558" t="str">
        <f t="shared" si="36"/>
        <v>GooD</v>
      </c>
    </row>
    <row r="2447" spans="1:9" ht="15.75" thickTop="1">
      <c r="A2447" s="567" t="s">
        <v>640</v>
      </c>
      <c r="B2447" s="567">
        <v>17000</v>
      </c>
      <c r="C2447" s="568">
        <v>10</v>
      </c>
      <c r="D2447" s="568">
        <v>0.31</v>
      </c>
      <c r="E2447" s="568">
        <v>4396</v>
      </c>
      <c r="F2447" s="568">
        <v>21396</v>
      </c>
      <c r="G2447" s="568">
        <v>496</v>
      </c>
      <c r="H2447" s="568">
        <v>2090</v>
      </c>
      <c r="I2447" s="559" t="str">
        <f t="shared" si="36"/>
        <v>GooD</v>
      </c>
    </row>
    <row r="2448" spans="1:9">
      <c r="A2448" s="563" t="s">
        <v>640</v>
      </c>
      <c r="B2448" s="563">
        <v>17000</v>
      </c>
      <c r="C2448" s="564">
        <v>12</v>
      </c>
      <c r="D2448" s="564">
        <v>0.31</v>
      </c>
      <c r="E2448" s="564">
        <v>5279</v>
      </c>
      <c r="F2448" s="564">
        <v>22279</v>
      </c>
      <c r="G2448" s="564">
        <v>595</v>
      </c>
      <c r="H2448" s="564">
        <v>1807</v>
      </c>
      <c r="I2448" s="557" t="str">
        <f t="shared" si="36"/>
        <v>GooD</v>
      </c>
    </row>
    <row r="2449" spans="1:9" ht="15.75" thickBot="1">
      <c r="A2449" s="565" t="s">
        <v>640</v>
      </c>
      <c r="B2449" s="565">
        <v>17500</v>
      </c>
      <c r="C2449" s="566">
        <v>4</v>
      </c>
      <c r="D2449" s="566">
        <v>0.31</v>
      </c>
      <c r="E2449" s="566">
        <v>1813</v>
      </c>
      <c r="F2449" s="566">
        <v>19313</v>
      </c>
      <c r="G2449" s="566">
        <v>205</v>
      </c>
      <c r="H2449" s="566">
        <v>4777</v>
      </c>
      <c r="I2449" s="558" t="str">
        <f t="shared" si="36"/>
        <v>GooD</v>
      </c>
    </row>
    <row r="2450" spans="1:9" ht="15.75" thickTop="1">
      <c r="A2450" s="567" t="s">
        <v>640</v>
      </c>
      <c r="B2450" s="567">
        <v>17500</v>
      </c>
      <c r="C2450" s="568">
        <v>6</v>
      </c>
      <c r="D2450" s="568">
        <v>0.31</v>
      </c>
      <c r="E2450" s="568">
        <v>2715</v>
      </c>
      <c r="F2450" s="568">
        <v>20215</v>
      </c>
      <c r="G2450" s="568">
        <v>307</v>
      </c>
      <c r="H2450" s="568">
        <v>3318</v>
      </c>
      <c r="I2450" s="559" t="str">
        <f t="shared" si="36"/>
        <v>GooD</v>
      </c>
    </row>
    <row r="2451" spans="1:9">
      <c r="A2451" s="563" t="s">
        <v>640</v>
      </c>
      <c r="B2451" s="563">
        <v>17500</v>
      </c>
      <c r="C2451" s="564">
        <v>8</v>
      </c>
      <c r="D2451" s="564">
        <v>0.31</v>
      </c>
      <c r="E2451" s="564">
        <v>3621</v>
      </c>
      <c r="F2451" s="564">
        <v>21121</v>
      </c>
      <c r="G2451" s="564">
        <v>409</v>
      </c>
      <c r="H2451" s="564">
        <v>2589</v>
      </c>
      <c r="I2451" s="557" t="str">
        <f t="shared" si="36"/>
        <v>GooD</v>
      </c>
    </row>
    <row r="2452" spans="1:9" ht="15.75" thickBot="1">
      <c r="A2452" s="565" t="s">
        <v>640</v>
      </c>
      <c r="B2452" s="565">
        <v>17500</v>
      </c>
      <c r="C2452" s="566">
        <v>10</v>
      </c>
      <c r="D2452" s="566">
        <v>0.31</v>
      </c>
      <c r="E2452" s="566">
        <v>4531</v>
      </c>
      <c r="F2452" s="566">
        <v>22031</v>
      </c>
      <c r="G2452" s="566">
        <v>511</v>
      </c>
      <c r="H2452" s="566">
        <v>2152</v>
      </c>
      <c r="I2452" s="558" t="str">
        <f t="shared" si="36"/>
        <v>GooD</v>
      </c>
    </row>
    <row r="2453" spans="1:9" ht="15.75" thickTop="1">
      <c r="A2453" s="567" t="s">
        <v>640</v>
      </c>
      <c r="B2453" s="567">
        <v>17500</v>
      </c>
      <c r="C2453" s="568">
        <v>12</v>
      </c>
      <c r="D2453" s="568">
        <v>0.31</v>
      </c>
      <c r="E2453" s="568">
        <v>5433</v>
      </c>
      <c r="F2453" s="568">
        <v>22933</v>
      </c>
      <c r="G2453" s="568">
        <v>613</v>
      </c>
      <c r="H2453" s="568">
        <v>1860</v>
      </c>
      <c r="I2453" s="559" t="str">
        <f t="shared" si="36"/>
        <v>GooD</v>
      </c>
    </row>
    <row r="2454" spans="1:9">
      <c r="A2454" s="563" t="s">
        <v>640</v>
      </c>
      <c r="B2454" s="563">
        <v>18000</v>
      </c>
      <c r="C2454" s="564">
        <v>4</v>
      </c>
      <c r="D2454" s="564">
        <v>0.31</v>
      </c>
      <c r="E2454" s="564">
        <v>1862</v>
      </c>
      <c r="F2454" s="564">
        <v>19862</v>
      </c>
      <c r="G2454" s="564">
        <v>210</v>
      </c>
      <c r="H2454" s="564">
        <v>4913</v>
      </c>
      <c r="I2454" s="557" t="str">
        <f t="shared" si="36"/>
        <v>GooD</v>
      </c>
    </row>
    <row r="2455" spans="1:9" ht="15.75" thickBot="1">
      <c r="A2455" s="565" t="s">
        <v>640</v>
      </c>
      <c r="B2455" s="565">
        <v>18000</v>
      </c>
      <c r="C2455" s="566">
        <v>6</v>
      </c>
      <c r="D2455" s="566">
        <v>0.31</v>
      </c>
      <c r="E2455" s="566">
        <v>2793</v>
      </c>
      <c r="F2455" s="566">
        <v>20793</v>
      </c>
      <c r="G2455" s="566">
        <v>315</v>
      </c>
      <c r="H2455" s="566">
        <v>3413</v>
      </c>
      <c r="I2455" s="558" t="str">
        <f t="shared" si="36"/>
        <v>GooD</v>
      </c>
    </row>
    <row r="2456" spans="1:9" ht="15.75" thickTop="1">
      <c r="A2456" s="567" t="s">
        <v>640</v>
      </c>
      <c r="B2456" s="567">
        <v>18000</v>
      </c>
      <c r="C2456" s="568">
        <v>8</v>
      </c>
      <c r="D2456" s="568">
        <v>0.31</v>
      </c>
      <c r="E2456" s="568">
        <v>3724</v>
      </c>
      <c r="F2456" s="568">
        <v>21724</v>
      </c>
      <c r="G2456" s="568">
        <v>420</v>
      </c>
      <c r="H2456" s="568">
        <v>2663</v>
      </c>
      <c r="I2456" s="559" t="str">
        <f t="shared" si="36"/>
        <v>GooD</v>
      </c>
    </row>
    <row r="2457" spans="1:9">
      <c r="A2457" s="563" t="s">
        <v>640</v>
      </c>
      <c r="B2457" s="563">
        <v>18000</v>
      </c>
      <c r="C2457" s="564">
        <v>10</v>
      </c>
      <c r="D2457" s="564">
        <v>0.31</v>
      </c>
      <c r="E2457" s="564">
        <v>4655</v>
      </c>
      <c r="F2457" s="564">
        <v>22655</v>
      </c>
      <c r="G2457" s="564">
        <v>525</v>
      </c>
      <c r="H2457" s="564">
        <v>2213</v>
      </c>
      <c r="I2457" s="557" t="str">
        <f t="shared" si="36"/>
        <v>GooD</v>
      </c>
    </row>
    <row r="2458" spans="1:9" ht="15.75" thickBot="1">
      <c r="A2458" s="565" t="s">
        <v>640</v>
      </c>
      <c r="B2458" s="565">
        <v>18000</v>
      </c>
      <c r="C2458" s="566">
        <v>12</v>
      </c>
      <c r="D2458" s="566">
        <v>0.31</v>
      </c>
      <c r="E2458" s="566">
        <v>5586</v>
      </c>
      <c r="F2458" s="566">
        <v>23586</v>
      </c>
      <c r="G2458" s="566">
        <v>630</v>
      </c>
      <c r="H2458" s="566">
        <v>1913</v>
      </c>
      <c r="I2458" s="558" t="str">
        <f t="shared" si="36"/>
        <v>GooD</v>
      </c>
    </row>
    <row r="2459" spans="1:9" ht="15.75" thickTop="1">
      <c r="A2459" s="567" t="s">
        <v>640</v>
      </c>
      <c r="B2459" s="567">
        <v>18500</v>
      </c>
      <c r="C2459" s="568">
        <v>4</v>
      </c>
      <c r="D2459" s="568">
        <v>0.31</v>
      </c>
      <c r="E2459" s="568">
        <v>1912</v>
      </c>
      <c r="F2459" s="568">
        <v>20412</v>
      </c>
      <c r="G2459" s="568">
        <v>216</v>
      </c>
      <c r="H2459" s="568">
        <v>5049</v>
      </c>
      <c r="I2459" s="559" t="str">
        <f t="shared" si="36"/>
        <v>GooD</v>
      </c>
    </row>
    <row r="2460" spans="1:9">
      <c r="A2460" s="563" t="s">
        <v>640</v>
      </c>
      <c r="B2460" s="563">
        <v>18500</v>
      </c>
      <c r="C2460" s="564">
        <v>6</v>
      </c>
      <c r="D2460" s="564">
        <v>0.31</v>
      </c>
      <c r="E2460" s="564">
        <v>2872</v>
      </c>
      <c r="F2460" s="564">
        <v>21372</v>
      </c>
      <c r="G2460" s="564">
        <v>324</v>
      </c>
      <c r="H2460" s="564">
        <v>3508</v>
      </c>
      <c r="I2460" s="557" t="str">
        <f t="shared" si="36"/>
        <v>GooD</v>
      </c>
    </row>
    <row r="2461" spans="1:9" ht="15.75" thickBot="1">
      <c r="A2461" s="565" t="s">
        <v>640</v>
      </c>
      <c r="B2461" s="565">
        <v>18500</v>
      </c>
      <c r="C2461" s="566">
        <v>8</v>
      </c>
      <c r="D2461" s="566">
        <v>0.31</v>
      </c>
      <c r="E2461" s="566">
        <v>3828</v>
      </c>
      <c r="F2461" s="566">
        <v>22328</v>
      </c>
      <c r="G2461" s="566">
        <v>432</v>
      </c>
      <c r="H2461" s="566">
        <v>2737</v>
      </c>
      <c r="I2461" s="558" t="str">
        <f t="shared" si="36"/>
        <v>GooD</v>
      </c>
    </row>
    <row r="2462" spans="1:9" ht="15.75" thickTop="1">
      <c r="A2462" s="567" t="s">
        <v>640</v>
      </c>
      <c r="B2462" s="567">
        <v>18500</v>
      </c>
      <c r="C2462" s="568">
        <v>10</v>
      </c>
      <c r="D2462" s="568">
        <v>0.31</v>
      </c>
      <c r="E2462" s="568">
        <v>4780</v>
      </c>
      <c r="F2462" s="568">
        <v>23280</v>
      </c>
      <c r="G2462" s="568">
        <v>540</v>
      </c>
      <c r="H2462" s="568">
        <v>2274</v>
      </c>
      <c r="I2462" s="559" t="str">
        <f t="shared" si="36"/>
        <v>GooD</v>
      </c>
    </row>
    <row r="2463" spans="1:9">
      <c r="A2463" s="563" t="s">
        <v>640</v>
      </c>
      <c r="B2463" s="563">
        <v>18500</v>
      </c>
      <c r="C2463" s="564">
        <v>12</v>
      </c>
      <c r="D2463" s="564">
        <v>0.31</v>
      </c>
      <c r="E2463" s="564">
        <v>5740</v>
      </c>
      <c r="F2463" s="564">
        <v>24240</v>
      </c>
      <c r="G2463" s="564">
        <v>648</v>
      </c>
      <c r="H2463" s="564">
        <v>1966</v>
      </c>
      <c r="I2463" s="557" t="str">
        <f t="shared" si="36"/>
        <v>GooD</v>
      </c>
    </row>
    <row r="2464" spans="1:9" ht="15.75" thickBot="1">
      <c r="A2464" s="565" t="s">
        <v>640</v>
      </c>
      <c r="B2464" s="565">
        <v>19000</v>
      </c>
      <c r="C2464" s="566">
        <v>4</v>
      </c>
      <c r="D2464" s="566">
        <v>0.31</v>
      </c>
      <c r="E2464" s="566">
        <v>1966</v>
      </c>
      <c r="F2464" s="566">
        <v>20966</v>
      </c>
      <c r="G2464" s="566">
        <v>222</v>
      </c>
      <c r="H2464" s="566">
        <v>5186</v>
      </c>
      <c r="I2464" s="558" t="str">
        <f t="shared" si="36"/>
        <v>GooD</v>
      </c>
    </row>
    <row r="2465" spans="1:9" ht="15.75" thickTop="1">
      <c r="A2465" s="567" t="s">
        <v>640</v>
      </c>
      <c r="B2465" s="567">
        <v>19000</v>
      </c>
      <c r="C2465" s="568">
        <v>6</v>
      </c>
      <c r="D2465" s="568">
        <v>0.31</v>
      </c>
      <c r="E2465" s="568">
        <v>2951</v>
      </c>
      <c r="F2465" s="568">
        <v>21951</v>
      </c>
      <c r="G2465" s="568">
        <v>333</v>
      </c>
      <c r="H2465" s="568">
        <v>3603</v>
      </c>
      <c r="I2465" s="559" t="str">
        <f t="shared" si="36"/>
        <v>GooD</v>
      </c>
    </row>
    <row r="2466" spans="1:9">
      <c r="A2466" s="563" t="s">
        <v>640</v>
      </c>
      <c r="B2466" s="563">
        <v>19000</v>
      </c>
      <c r="C2466" s="564">
        <v>8</v>
      </c>
      <c r="D2466" s="564">
        <v>0.31</v>
      </c>
      <c r="E2466" s="564">
        <v>3932</v>
      </c>
      <c r="F2466" s="564">
        <v>22932</v>
      </c>
      <c r="G2466" s="564">
        <v>444</v>
      </c>
      <c r="H2466" s="564">
        <v>2811</v>
      </c>
      <c r="I2466" s="557" t="str">
        <f t="shared" si="36"/>
        <v>GooD</v>
      </c>
    </row>
    <row r="2467" spans="1:9" ht="15.75" thickBot="1">
      <c r="A2467" s="565" t="s">
        <v>640</v>
      </c>
      <c r="B2467" s="565">
        <v>19000</v>
      </c>
      <c r="C2467" s="566">
        <v>10</v>
      </c>
      <c r="D2467" s="566">
        <v>0.31</v>
      </c>
      <c r="E2467" s="566">
        <v>4915</v>
      </c>
      <c r="F2467" s="566">
        <v>23915</v>
      </c>
      <c r="G2467" s="566">
        <v>555</v>
      </c>
      <c r="H2467" s="566">
        <v>2336</v>
      </c>
      <c r="I2467" s="558" t="str">
        <f t="shared" si="36"/>
        <v>GooD</v>
      </c>
    </row>
    <row r="2468" spans="1:9" ht="15.75" thickTop="1">
      <c r="A2468" s="567" t="s">
        <v>640</v>
      </c>
      <c r="B2468" s="567">
        <v>19000</v>
      </c>
      <c r="C2468" s="568">
        <v>12</v>
      </c>
      <c r="D2468" s="568">
        <v>0.31</v>
      </c>
      <c r="E2468" s="568">
        <v>5893</v>
      </c>
      <c r="F2468" s="568">
        <v>24893</v>
      </c>
      <c r="G2468" s="568">
        <v>665</v>
      </c>
      <c r="H2468" s="568">
        <v>2019</v>
      </c>
      <c r="I2468" s="559" t="str">
        <f t="shared" si="36"/>
        <v>GooD</v>
      </c>
    </row>
    <row r="2469" spans="1:9">
      <c r="A2469" s="563" t="s">
        <v>640</v>
      </c>
      <c r="B2469" s="563">
        <v>19500</v>
      </c>
      <c r="C2469" s="564">
        <v>4</v>
      </c>
      <c r="D2469" s="564">
        <v>0.31</v>
      </c>
      <c r="E2469" s="564">
        <v>2016</v>
      </c>
      <c r="F2469" s="564">
        <v>21516</v>
      </c>
      <c r="G2469" s="564">
        <v>228</v>
      </c>
      <c r="H2469" s="564">
        <v>5322</v>
      </c>
      <c r="I2469" s="557" t="str">
        <f t="shared" si="36"/>
        <v>GooD</v>
      </c>
    </row>
    <row r="2470" spans="1:9" ht="15.75" thickBot="1">
      <c r="A2470" s="565" t="s">
        <v>640</v>
      </c>
      <c r="B2470" s="565">
        <v>19500</v>
      </c>
      <c r="C2470" s="566">
        <v>6</v>
      </c>
      <c r="D2470" s="566">
        <v>0.31</v>
      </c>
      <c r="E2470" s="566">
        <v>3024</v>
      </c>
      <c r="F2470" s="566">
        <v>22524</v>
      </c>
      <c r="G2470" s="566">
        <v>342</v>
      </c>
      <c r="H2470" s="566">
        <v>3697</v>
      </c>
      <c r="I2470" s="558" t="str">
        <f t="shared" si="36"/>
        <v>GooD</v>
      </c>
    </row>
    <row r="2471" spans="1:9" ht="15.75" thickTop="1">
      <c r="A2471" s="567" t="s">
        <v>640</v>
      </c>
      <c r="B2471" s="567">
        <v>19500</v>
      </c>
      <c r="C2471" s="568">
        <v>8</v>
      </c>
      <c r="D2471" s="568">
        <v>0.31</v>
      </c>
      <c r="E2471" s="568">
        <v>4035</v>
      </c>
      <c r="F2471" s="568">
        <v>23535</v>
      </c>
      <c r="G2471" s="568">
        <v>455</v>
      </c>
      <c r="H2471" s="568">
        <v>2885</v>
      </c>
      <c r="I2471" s="559" t="str">
        <f t="shared" ref="I2471:I2534" si="37">IF(((H2471*C2471)+G2471)=F2471,"GooD","لالالالالالالا")</f>
        <v>GooD</v>
      </c>
    </row>
    <row r="2472" spans="1:9">
      <c r="A2472" s="563" t="s">
        <v>640</v>
      </c>
      <c r="B2472" s="563">
        <v>19500</v>
      </c>
      <c r="C2472" s="564">
        <v>10</v>
      </c>
      <c r="D2472" s="564">
        <v>0.31</v>
      </c>
      <c r="E2472" s="564">
        <v>5039</v>
      </c>
      <c r="F2472" s="564">
        <v>24539</v>
      </c>
      <c r="G2472" s="564">
        <v>569</v>
      </c>
      <c r="H2472" s="564">
        <v>2397</v>
      </c>
      <c r="I2472" s="557" t="str">
        <f t="shared" si="37"/>
        <v>GooD</v>
      </c>
    </row>
    <row r="2473" spans="1:9" ht="15.75" thickBot="1">
      <c r="A2473" s="565" t="s">
        <v>640</v>
      </c>
      <c r="B2473" s="565">
        <v>19500</v>
      </c>
      <c r="C2473" s="566">
        <v>12</v>
      </c>
      <c r="D2473" s="566">
        <v>0.31</v>
      </c>
      <c r="E2473" s="566">
        <v>6047</v>
      </c>
      <c r="F2473" s="566">
        <v>25547</v>
      </c>
      <c r="G2473" s="566">
        <v>683</v>
      </c>
      <c r="H2473" s="566">
        <v>2072</v>
      </c>
      <c r="I2473" s="558" t="str">
        <f t="shared" si="37"/>
        <v>GooD</v>
      </c>
    </row>
    <row r="2474" spans="1:9" ht="15.75" thickTop="1">
      <c r="A2474" s="567" t="s">
        <v>640</v>
      </c>
      <c r="B2474" s="567">
        <v>20000</v>
      </c>
      <c r="C2474" s="568">
        <v>4</v>
      </c>
      <c r="D2474" s="568">
        <v>0.31</v>
      </c>
      <c r="E2474" s="568">
        <v>2070</v>
      </c>
      <c r="F2474" s="568">
        <v>22070</v>
      </c>
      <c r="G2474" s="568">
        <v>234</v>
      </c>
      <c r="H2474" s="568">
        <v>5459</v>
      </c>
      <c r="I2474" s="559" t="str">
        <f t="shared" si="37"/>
        <v>GooD</v>
      </c>
    </row>
    <row r="2475" spans="1:9">
      <c r="A2475" s="563" t="s">
        <v>640</v>
      </c>
      <c r="B2475" s="563">
        <v>20000</v>
      </c>
      <c r="C2475" s="564">
        <v>6</v>
      </c>
      <c r="D2475" s="564">
        <v>0.31</v>
      </c>
      <c r="E2475" s="564">
        <v>3102</v>
      </c>
      <c r="F2475" s="564">
        <v>23102</v>
      </c>
      <c r="G2475" s="564">
        <v>350</v>
      </c>
      <c r="H2475" s="564">
        <v>3792</v>
      </c>
      <c r="I2475" s="557" t="str">
        <f t="shared" si="37"/>
        <v>GooD</v>
      </c>
    </row>
    <row r="2476" spans="1:9" ht="15.75" thickBot="1">
      <c r="A2476" s="565" t="s">
        <v>640</v>
      </c>
      <c r="B2476" s="565">
        <v>20000</v>
      </c>
      <c r="C2476" s="566">
        <v>8</v>
      </c>
      <c r="D2476" s="566">
        <v>0.31</v>
      </c>
      <c r="E2476" s="566">
        <v>4139</v>
      </c>
      <c r="F2476" s="566">
        <v>24139</v>
      </c>
      <c r="G2476" s="566">
        <v>467</v>
      </c>
      <c r="H2476" s="566">
        <v>2959</v>
      </c>
      <c r="I2476" s="558" t="str">
        <f t="shared" si="37"/>
        <v>GooD</v>
      </c>
    </row>
    <row r="2477" spans="1:9" ht="15.75" thickTop="1">
      <c r="A2477" s="567" t="s">
        <v>640</v>
      </c>
      <c r="B2477" s="567">
        <v>20000</v>
      </c>
      <c r="C2477" s="568">
        <v>10</v>
      </c>
      <c r="D2477" s="568">
        <v>0.31</v>
      </c>
      <c r="E2477" s="568">
        <v>5174</v>
      </c>
      <c r="F2477" s="568">
        <v>25174</v>
      </c>
      <c r="G2477" s="568">
        <v>584</v>
      </c>
      <c r="H2477" s="568">
        <v>2459</v>
      </c>
      <c r="I2477" s="559" t="str">
        <f t="shared" si="37"/>
        <v>GooD</v>
      </c>
    </row>
    <row r="2478" spans="1:9">
      <c r="A2478" s="563" t="s">
        <v>640</v>
      </c>
      <c r="B2478" s="563">
        <v>20000</v>
      </c>
      <c r="C2478" s="564">
        <v>12</v>
      </c>
      <c r="D2478" s="564">
        <v>0.31</v>
      </c>
      <c r="E2478" s="564">
        <v>6212</v>
      </c>
      <c r="F2478" s="564">
        <v>26212</v>
      </c>
      <c r="G2478" s="564">
        <v>700</v>
      </c>
      <c r="H2478" s="564">
        <v>2126</v>
      </c>
      <c r="I2478" s="557" t="str">
        <f t="shared" si="37"/>
        <v>GooD</v>
      </c>
    </row>
    <row r="2479" spans="1:9" ht="15.75" thickBot="1">
      <c r="A2479" s="565" t="s">
        <v>640</v>
      </c>
      <c r="B2479" s="565">
        <v>20000</v>
      </c>
      <c r="C2479" s="566">
        <v>14</v>
      </c>
      <c r="D2479" s="566">
        <v>0.31</v>
      </c>
      <c r="E2479" s="566">
        <v>7235</v>
      </c>
      <c r="F2479" s="566">
        <v>27235</v>
      </c>
      <c r="G2479" s="566">
        <v>817</v>
      </c>
      <c r="H2479" s="566">
        <v>1887</v>
      </c>
      <c r="I2479" s="558" t="str">
        <f t="shared" si="37"/>
        <v>GooD</v>
      </c>
    </row>
    <row r="2480" spans="1:9" ht="15.75" thickTop="1">
      <c r="A2480" s="567" t="s">
        <v>640</v>
      </c>
      <c r="B2480" s="567">
        <v>20000</v>
      </c>
      <c r="C2480" s="568">
        <v>16</v>
      </c>
      <c r="D2480" s="568">
        <v>0.31</v>
      </c>
      <c r="E2480" s="568">
        <v>8278</v>
      </c>
      <c r="F2480" s="568">
        <v>28278</v>
      </c>
      <c r="G2480" s="568">
        <v>934</v>
      </c>
      <c r="H2480" s="568">
        <v>1709</v>
      </c>
      <c r="I2480" s="559" t="str">
        <f t="shared" si="37"/>
        <v>GooD</v>
      </c>
    </row>
    <row r="2481" spans="1:9">
      <c r="A2481" s="563" t="s">
        <v>640</v>
      </c>
      <c r="B2481" s="563">
        <v>20000</v>
      </c>
      <c r="C2481" s="564">
        <v>18</v>
      </c>
      <c r="D2481" s="564">
        <v>0.31</v>
      </c>
      <c r="E2481" s="564">
        <v>9310</v>
      </c>
      <c r="F2481" s="564">
        <v>29310</v>
      </c>
      <c r="G2481" s="564">
        <v>1050</v>
      </c>
      <c r="H2481" s="564">
        <v>1570</v>
      </c>
      <c r="I2481" s="557" t="str">
        <f t="shared" si="37"/>
        <v>GooD</v>
      </c>
    </row>
    <row r="2482" spans="1:9" ht="15.75" thickBot="1">
      <c r="A2482" s="565" t="s">
        <v>640</v>
      </c>
      <c r="B2482" s="565">
        <v>20000</v>
      </c>
      <c r="C2482" s="566">
        <v>20</v>
      </c>
      <c r="D2482" s="566">
        <v>0.31</v>
      </c>
      <c r="E2482" s="566">
        <v>10347</v>
      </c>
      <c r="F2482" s="566">
        <v>30347</v>
      </c>
      <c r="G2482" s="566">
        <v>1167</v>
      </c>
      <c r="H2482" s="566">
        <v>1459</v>
      </c>
      <c r="I2482" s="558" t="str">
        <f t="shared" si="37"/>
        <v>GooD</v>
      </c>
    </row>
    <row r="2483" spans="1:9" ht="15.75" thickTop="1">
      <c r="A2483" s="567" t="s">
        <v>640</v>
      </c>
      <c r="B2483" s="567">
        <v>20000</v>
      </c>
      <c r="C2483" s="568">
        <v>22</v>
      </c>
      <c r="D2483" s="568">
        <v>0.31</v>
      </c>
      <c r="E2483" s="568">
        <v>11380</v>
      </c>
      <c r="F2483" s="568">
        <v>31380</v>
      </c>
      <c r="G2483" s="568">
        <v>1284</v>
      </c>
      <c r="H2483" s="568">
        <v>1368</v>
      </c>
      <c r="I2483" s="559" t="str">
        <f t="shared" si="37"/>
        <v>GooD</v>
      </c>
    </row>
    <row r="2484" spans="1:9">
      <c r="A2484" s="563" t="s">
        <v>640</v>
      </c>
      <c r="B2484" s="563">
        <v>20000</v>
      </c>
      <c r="C2484" s="564">
        <v>24</v>
      </c>
      <c r="D2484" s="564">
        <v>0.31</v>
      </c>
      <c r="E2484" s="564">
        <v>12408</v>
      </c>
      <c r="F2484" s="564">
        <v>32408</v>
      </c>
      <c r="G2484" s="564">
        <v>1400</v>
      </c>
      <c r="H2484" s="564">
        <v>1292</v>
      </c>
      <c r="I2484" s="557" t="str">
        <f t="shared" si="37"/>
        <v>GooD</v>
      </c>
    </row>
    <row r="2485" spans="1:9" ht="15.75" thickBot="1">
      <c r="A2485" s="565" t="s">
        <v>640</v>
      </c>
      <c r="B2485" s="565">
        <v>21000</v>
      </c>
      <c r="C2485" s="566">
        <v>4</v>
      </c>
      <c r="D2485" s="566">
        <v>0.31</v>
      </c>
      <c r="E2485" s="566">
        <v>2173</v>
      </c>
      <c r="F2485" s="566">
        <v>23173</v>
      </c>
      <c r="G2485" s="566">
        <v>245</v>
      </c>
      <c r="H2485" s="566">
        <v>5732</v>
      </c>
      <c r="I2485" s="558" t="str">
        <f t="shared" si="37"/>
        <v>GooD</v>
      </c>
    </row>
    <row r="2486" spans="1:9" ht="15.75" thickTop="1">
      <c r="A2486" s="567" t="s">
        <v>640</v>
      </c>
      <c r="B2486" s="567">
        <v>21000</v>
      </c>
      <c r="C2486" s="568">
        <v>6</v>
      </c>
      <c r="D2486" s="568">
        <v>0.31</v>
      </c>
      <c r="E2486" s="568">
        <v>3260</v>
      </c>
      <c r="F2486" s="568">
        <v>24260</v>
      </c>
      <c r="G2486" s="568">
        <v>368</v>
      </c>
      <c r="H2486" s="568">
        <v>3982</v>
      </c>
      <c r="I2486" s="559" t="str">
        <f t="shared" si="37"/>
        <v>GooD</v>
      </c>
    </row>
    <row r="2487" spans="1:9">
      <c r="A2487" s="563" t="s">
        <v>640</v>
      </c>
      <c r="B2487" s="563">
        <v>21000</v>
      </c>
      <c r="C2487" s="564">
        <v>8</v>
      </c>
      <c r="D2487" s="564">
        <v>0.31</v>
      </c>
      <c r="E2487" s="564">
        <v>4346</v>
      </c>
      <c r="F2487" s="564">
        <v>25346</v>
      </c>
      <c r="G2487" s="564">
        <v>490</v>
      </c>
      <c r="H2487" s="564">
        <v>3107</v>
      </c>
      <c r="I2487" s="557" t="str">
        <f t="shared" si="37"/>
        <v>GooD</v>
      </c>
    </row>
    <row r="2488" spans="1:9" ht="15.75" thickBot="1">
      <c r="A2488" s="565" t="s">
        <v>640</v>
      </c>
      <c r="B2488" s="565">
        <v>21000</v>
      </c>
      <c r="C2488" s="566">
        <v>10</v>
      </c>
      <c r="D2488" s="566">
        <v>0.31</v>
      </c>
      <c r="E2488" s="566">
        <v>5433</v>
      </c>
      <c r="F2488" s="566">
        <v>26433</v>
      </c>
      <c r="G2488" s="566">
        <v>613</v>
      </c>
      <c r="H2488" s="566">
        <v>2582</v>
      </c>
      <c r="I2488" s="558" t="str">
        <f t="shared" si="37"/>
        <v>GooD</v>
      </c>
    </row>
    <row r="2489" spans="1:9" ht="15.75" thickTop="1">
      <c r="A2489" s="567" t="s">
        <v>640</v>
      </c>
      <c r="B2489" s="567">
        <v>21000</v>
      </c>
      <c r="C2489" s="568">
        <v>12</v>
      </c>
      <c r="D2489" s="568">
        <v>0.31</v>
      </c>
      <c r="E2489" s="568">
        <v>6519</v>
      </c>
      <c r="F2489" s="568">
        <v>27519</v>
      </c>
      <c r="G2489" s="568">
        <v>735</v>
      </c>
      <c r="H2489" s="568">
        <v>2232</v>
      </c>
      <c r="I2489" s="559" t="str">
        <f t="shared" si="37"/>
        <v>GooD</v>
      </c>
    </row>
    <row r="2490" spans="1:9">
      <c r="A2490" s="563" t="s">
        <v>640</v>
      </c>
      <c r="B2490" s="563">
        <v>21000</v>
      </c>
      <c r="C2490" s="564">
        <v>14</v>
      </c>
      <c r="D2490" s="564">
        <v>0.31</v>
      </c>
      <c r="E2490" s="564">
        <v>7606</v>
      </c>
      <c r="F2490" s="564">
        <v>28606</v>
      </c>
      <c r="G2490" s="564">
        <v>858</v>
      </c>
      <c r="H2490" s="564">
        <v>1982</v>
      </c>
      <c r="I2490" s="557" t="str">
        <f t="shared" si="37"/>
        <v>GooD</v>
      </c>
    </row>
    <row r="2491" spans="1:9" ht="15.75" thickBot="1">
      <c r="A2491" s="565" t="s">
        <v>640</v>
      </c>
      <c r="B2491" s="565">
        <v>21000</v>
      </c>
      <c r="C2491" s="566">
        <v>16</v>
      </c>
      <c r="D2491" s="566">
        <v>0.31</v>
      </c>
      <c r="E2491" s="566">
        <v>8684</v>
      </c>
      <c r="F2491" s="566">
        <v>29684</v>
      </c>
      <c r="G2491" s="566">
        <v>980</v>
      </c>
      <c r="H2491" s="566">
        <v>1794</v>
      </c>
      <c r="I2491" s="558" t="str">
        <f t="shared" si="37"/>
        <v>GooD</v>
      </c>
    </row>
    <row r="2492" spans="1:9" ht="15.75" thickTop="1">
      <c r="A2492" s="567" t="s">
        <v>640</v>
      </c>
      <c r="B2492" s="567">
        <v>21000</v>
      </c>
      <c r="C2492" s="568">
        <v>18</v>
      </c>
      <c r="D2492" s="568">
        <v>0.31</v>
      </c>
      <c r="E2492" s="568">
        <v>9767</v>
      </c>
      <c r="F2492" s="568">
        <v>30767</v>
      </c>
      <c r="G2492" s="568">
        <v>1103</v>
      </c>
      <c r="H2492" s="568">
        <v>1648</v>
      </c>
      <c r="I2492" s="559" t="str">
        <f t="shared" si="37"/>
        <v>GooD</v>
      </c>
    </row>
    <row r="2493" spans="1:9">
      <c r="A2493" s="563" t="s">
        <v>640</v>
      </c>
      <c r="B2493" s="563">
        <v>21000</v>
      </c>
      <c r="C2493" s="564">
        <v>20</v>
      </c>
      <c r="D2493" s="564">
        <v>0.31</v>
      </c>
      <c r="E2493" s="564">
        <v>10865</v>
      </c>
      <c r="F2493" s="564">
        <v>31865</v>
      </c>
      <c r="G2493" s="564">
        <v>1225</v>
      </c>
      <c r="H2493" s="564">
        <v>1532</v>
      </c>
      <c r="I2493" s="557" t="str">
        <f t="shared" si="37"/>
        <v>GooD</v>
      </c>
    </row>
    <row r="2494" spans="1:9" ht="15.75" thickBot="1">
      <c r="A2494" s="565" t="s">
        <v>640</v>
      </c>
      <c r="B2494" s="565">
        <v>21000</v>
      </c>
      <c r="C2494" s="566">
        <v>22</v>
      </c>
      <c r="D2494" s="566">
        <v>0.31</v>
      </c>
      <c r="E2494" s="566">
        <v>11940</v>
      </c>
      <c r="F2494" s="566">
        <v>32940</v>
      </c>
      <c r="G2494" s="566">
        <v>1348</v>
      </c>
      <c r="H2494" s="566">
        <v>1436</v>
      </c>
      <c r="I2494" s="558" t="str">
        <f t="shared" si="37"/>
        <v>GooD</v>
      </c>
    </row>
    <row r="2495" spans="1:9" ht="15.75" thickTop="1">
      <c r="A2495" s="567" t="s">
        <v>640</v>
      </c>
      <c r="B2495" s="567">
        <v>21000</v>
      </c>
      <c r="C2495" s="568">
        <v>24</v>
      </c>
      <c r="D2495" s="568">
        <v>0.31</v>
      </c>
      <c r="E2495" s="568">
        <v>13038</v>
      </c>
      <c r="F2495" s="568">
        <v>34038</v>
      </c>
      <c r="G2495" s="568">
        <v>1470</v>
      </c>
      <c r="H2495" s="568">
        <v>1357</v>
      </c>
      <c r="I2495" s="559" t="str">
        <f t="shared" si="37"/>
        <v>GooD</v>
      </c>
    </row>
    <row r="2496" spans="1:9">
      <c r="A2496" s="563" t="s">
        <v>640</v>
      </c>
      <c r="B2496" s="563">
        <v>22000</v>
      </c>
      <c r="C2496" s="564">
        <v>4</v>
      </c>
      <c r="D2496" s="564">
        <v>0.31</v>
      </c>
      <c r="E2496" s="564">
        <v>2277</v>
      </c>
      <c r="F2496" s="564">
        <v>24277</v>
      </c>
      <c r="G2496" s="564">
        <v>257</v>
      </c>
      <c r="H2496" s="564">
        <v>6005</v>
      </c>
      <c r="I2496" s="557" t="str">
        <f t="shared" si="37"/>
        <v>GooD</v>
      </c>
    </row>
    <row r="2497" spans="1:9" ht="15.75" thickBot="1">
      <c r="A2497" s="565" t="s">
        <v>640</v>
      </c>
      <c r="B2497" s="565">
        <v>22000</v>
      </c>
      <c r="C2497" s="566">
        <v>6</v>
      </c>
      <c r="D2497" s="566">
        <v>0.31</v>
      </c>
      <c r="E2497" s="566">
        <v>3411</v>
      </c>
      <c r="F2497" s="566">
        <v>25411</v>
      </c>
      <c r="G2497" s="566">
        <v>385</v>
      </c>
      <c r="H2497" s="566">
        <v>4171</v>
      </c>
      <c r="I2497" s="558" t="str">
        <f t="shared" si="37"/>
        <v>GooD</v>
      </c>
    </row>
    <row r="2498" spans="1:9" ht="15.75" thickTop="1">
      <c r="A2498" s="567" t="s">
        <v>640</v>
      </c>
      <c r="B2498" s="567">
        <v>22000</v>
      </c>
      <c r="C2498" s="568">
        <v>8</v>
      </c>
      <c r="D2498" s="568">
        <v>0.31</v>
      </c>
      <c r="E2498" s="568">
        <v>4554</v>
      </c>
      <c r="F2498" s="568">
        <v>26554</v>
      </c>
      <c r="G2498" s="568">
        <v>514</v>
      </c>
      <c r="H2498" s="568">
        <v>3255</v>
      </c>
      <c r="I2498" s="559" t="str">
        <f t="shared" si="37"/>
        <v>GooD</v>
      </c>
    </row>
    <row r="2499" spans="1:9">
      <c r="A2499" s="563" t="s">
        <v>640</v>
      </c>
      <c r="B2499" s="563">
        <v>22000</v>
      </c>
      <c r="C2499" s="564">
        <v>10</v>
      </c>
      <c r="D2499" s="564">
        <v>0.31</v>
      </c>
      <c r="E2499" s="564">
        <v>5692</v>
      </c>
      <c r="F2499" s="564">
        <v>27692</v>
      </c>
      <c r="G2499" s="564">
        <v>642</v>
      </c>
      <c r="H2499" s="564">
        <v>2705</v>
      </c>
      <c r="I2499" s="557" t="str">
        <f t="shared" si="37"/>
        <v>GooD</v>
      </c>
    </row>
    <row r="2500" spans="1:9" ht="15.75" thickBot="1">
      <c r="A2500" s="565" t="s">
        <v>640</v>
      </c>
      <c r="B2500" s="565">
        <v>22000</v>
      </c>
      <c r="C2500" s="566">
        <v>12</v>
      </c>
      <c r="D2500" s="566">
        <v>0.31</v>
      </c>
      <c r="E2500" s="566">
        <v>6826</v>
      </c>
      <c r="F2500" s="566">
        <v>28826</v>
      </c>
      <c r="G2500" s="566">
        <v>770</v>
      </c>
      <c r="H2500" s="566">
        <v>2338</v>
      </c>
      <c r="I2500" s="558" t="str">
        <f t="shared" si="37"/>
        <v>GooD</v>
      </c>
    </row>
    <row r="2501" spans="1:9" ht="15.75" thickTop="1">
      <c r="A2501" s="567" t="s">
        <v>640</v>
      </c>
      <c r="B2501" s="567">
        <v>22000</v>
      </c>
      <c r="C2501" s="568">
        <v>14</v>
      </c>
      <c r="D2501" s="568">
        <v>0.31</v>
      </c>
      <c r="E2501" s="568">
        <v>7963</v>
      </c>
      <c r="F2501" s="568">
        <v>29963</v>
      </c>
      <c r="G2501" s="568">
        <v>899</v>
      </c>
      <c r="H2501" s="568">
        <v>2076</v>
      </c>
      <c r="I2501" s="559" t="str">
        <f t="shared" si="37"/>
        <v>GooD</v>
      </c>
    </row>
    <row r="2502" spans="1:9">
      <c r="A2502" s="563" t="s">
        <v>640</v>
      </c>
      <c r="B2502" s="563">
        <v>22000</v>
      </c>
      <c r="C2502" s="564">
        <v>16</v>
      </c>
      <c r="D2502" s="564">
        <v>0.31</v>
      </c>
      <c r="E2502" s="564">
        <v>9107</v>
      </c>
      <c r="F2502" s="564">
        <v>31107</v>
      </c>
      <c r="G2502" s="564">
        <v>1027</v>
      </c>
      <c r="H2502" s="564">
        <v>1880</v>
      </c>
      <c r="I2502" s="557" t="str">
        <f t="shared" si="37"/>
        <v>GooD</v>
      </c>
    </row>
    <row r="2503" spans="1:9" ht="15.75" thickBot="1">
      <c r="A2503" s="565" t="s">
        <v>640</v>
      </c>
      <c r="B2503" s="565">
        <v>22000</v>
      </c>
      <c r="C2503" s="566">
        <v>18</v>
      </c>
      <c r="D2503" s="566">
        <v>0.31</v>
      </c>
      <c r="E2503" s="566">
        <v>10241</v>
      </c>
      <c r="F2503" s="566">
        <v>32241</v>
      </c>
      <c r="G2503" s="566">
        <v>1155</v>
      </c>
      <c r="H2503" s="566">
        <v>1727</v>
      </c>
      <c r="I2503" s="558" t="str">
        <f t="shared" si="37"/>
        <v>GooD</v>
      </c>
    </row>
    <row r="2504" spans="1:9" ht="15.75" thickTop="1">
      <c r="A2504" s="567" t="s">
        <v>640</v>
      </c>
      <c r="B2504" s="567">
        <v>22000</v>
      </c>
      <c r="C2504" s="568">
        <v>20</v>
      </c>
      <c r="D2504" s="568">
        <v>0.31</v>
      </c>
      <c r="E2504" s="568">
        <v>11384</v>
      </c>
      <c r="F2504" s="568">
        <v>33384</v>
      </c>
      <c r="G2504" s="568">
        <v>1284</v>
      </c>
      <c r="H2504" s="568">
        <v>1605</v>
      </c>
      <c r="I2504" s="559" t="str">
        <f t="shared" si="37"/>
        <v>GooD</v>
      </c>
    </row>
    <row r="2505" spans="1:9">
      <c r="A2505" s="563" t="s">
        <v>640</v>
      </c>
      <c r="B2505" s="563">
        <v>22000</v>
      </c>
      <c r="C2505" s="564">
        <v>22</v>
      </c>
      <c r="D2505" s="564">
        <v>0.31</v>
      </c>
      <c r="E2505" s="564">
        <v>12522</v>
      </c>
      <c r="F2505" s="564">
        <v>34522</v>
      </c>
      <c r="G2505" s="564">
        <v>1412</v>
      </c>
      <c r="H2505" s="564">
        <v>1505</v>
      </c>
      <c r="I2505" s="557" t="str">
        <f t="shared" si="37"/>
        <v>GooD</v>
      </c>
    </row>
    <row r="2506" spans="1:9" ht="15.75" thickBot="1">
      <c r="A2506" s="565" t="s">
        <v>640</v>
      </c>
      <c r="B2506" s="565">
        <v>22000</v>
      </c>
      <c r="C2506" s="566">
        <v>24</v>
      </c>
      <c r="D2506" s="566">
        <v>0.31</v>
      </c>
      <c r="E2506" s="566">
        <v>13644</v>
      </c>
      <c r="F2506" s="566">
        <v>35644</v>
      </c>
      <c r="G2506" s="566">
        <v>1540</v>
      </c>
      <c r="H2506" s="566">
        <v>1421</v>
      </c>
      <c r="I2506" s="558" t="str">
        <f t="shared" si="37"/>
        <v>GooD</v>
      </c>
    </row>
    <row r="2507" spans="1:9" ht="15.75" thickTop="1">
      <c r="A2507" s="567" t="s">
        <v>640</v>
      </c>
      <c r="B2507" s="567">
        <v>23000</v>
      </c>
      <c r="C2507" s="568">
        <v>4</v>
      </c>
      <c r="D2507" s="568">
        <v>0.31</v>
      </c>
      <c r="E2507" s="568">
        <v>2381</v>
      </c>
      <c r="F2507" s="568">
        <v>25381</v>
      </c>
      <c r="G2507" s="568">
        <v>269</v>
      </c>
      <c r="H2507" s="568">
        <v>6278</v>
      </c>
      <c r="I2507" s="559" t="str">
        <f t="shared" si="37"/>
        <v>GooD</v>
      </c>
    </row>
    <row r="2508" spans="1:9">
      <c r="A2508" s="563" t="s">
        <v>640</v>
      </c>
      <c r="B2508" s="563">
        <v>23000</v>
      </c>
      <c r="C2508" s="564">
        <v>6</v>
      </c>
      <c r="D2508" s="564">
        <v>0.31</v>
      </c>
      <c r="E2508" s="564">
        <v>3569</v>
      </c>
      <c r="F2508" s="564">
        <v>26569</v>
      </c>
      <c r="G2508" s="564">
        <v>403</v>
      </c>
      <c r="H2508" s="564">
        <v>4361</v>
      </c>
      <c r="I2508" s="557" t="str">
        <f t="shared" si="37"/>
        <v>GooD</v>
      </c>
    </row>
    <row r="2509" spans="1:9" ht="15.75" thickBot="1">
      <c r="A2509" s="565" t="s">
        <v>640</v>
      </c>
      <c r="B2509" s="565">
        <v>23000</v>
      </c>
      <c r="C2509" s="566">
        <v>8</v>
      </c>
      <c r="D2509" s="566">
        <v>0.31</v>
      </c>
      <c r="E2509" s="566">
        <v>4761</v>
      </c>
      <c r="F2509" s="566">
        <v>27761</v>
      </c>
      <c r="G2509" s="566">
        <v>537</v>
      </c>
      <c r="H2509" s="566">
        <v>3403</v>
      </c>
      <c r="I2509" s="558" t="str">
        <f t="shared" si="37"/>
        <v>GooD</v>
      </c>
    </row>
    <row r="2510" spans="1:9" ht="15.75" thickTop="1">
      <c r="A2510" s="567" t="s">
        <v>640</v>
      </c>
      <c r="B2510" s="567">
        <v>23000</v>
      </c>
      <c r="C2510" s="568">
        <v>10</v>
      </c>
      <c r="D2510" s="568">
        <v>0.31</v>
      </c>
      <c r="E2510" s="568">
        <v>5951</v>
      </c>
      <c r="F2510" s="568">
        <v>28951</v>
      </c>
      <c r="G2510" s="568">
        <v>671</v>
      </c>
      <c r="H2510" s="568">
        <v>2828</v>
      </c>
      <c r="I2510" s="559" t="str">
        <f t="shared" si="37"/>
        <v>GooD</v>
      </c>
    </row>
    <row r="2511" spans="1:9">
      <c r="A2511" s="563" t="s">
        <v>640</v>
      </c>
      <c r="B2511" s="563">
        <v>23000</v>
      </c>
      <c r="C2511" s="564">
        <v>12</v>
      </c>
      <c r="D2511" s="564">
        <v>0.31</v>
      </c>
      <c r="E2511" s="564">
        <v>7133</v>
      </c>
      <c r="F2511" s="564">
        <v>30133</v>
      </c>
      <c r="G2511" s="564">
        <v>805</v>
      </c>
      <c r="H2511" s="564">
        <v>2444</v>
      </c>
      <c r="I2511" s="557" t="str">
        <f t="shared" si="37"/>
        <v>GooD</v>
      </c>
    </row>
    <row r="2512" spans="1:9" ht="15.75" thickBot="1">
      <c r="A2512" s="565" t="s">
        <v>640</v>
      </c>
      <c r="B2512" s="565">
        <v>23000</v>
      </c>
      <c r="C2512" s="566">
        <v>14</v>
      </c>
      <c r="D2512" s="566">
        <v>0.31</v>
      </c>
      <c r="E2512" s="566">
        <v>8320</v>
      </c>
      <c r="F2512" s="566">
        <v>31320</v>
      </c>
      <c r="G2512" s="566">
        <v>940</v>
      </c>
      <c r="H2512" s="566">
        <v>2170</v>
      </c>
      <c r="I2512" s="558" t="str">
        <f t="shared" si="37"/>
        <v>GooD</v>
      </c>
    </row>
    <row r="2513" spans="1:9" ht="15.75" thickTop="1">
      <c r="A2513" s="567" t="s">
        <v>640</v>
      </c>
      <c r="B2513" s="567">
        <v>23000</v>
      </c>
      <c r="C2513" s="568">
        <v>16</v>
      </c>
      <c r="D2513" s="568">
        <v>0.31</v>
      </c>
      <c r="E2513" s="568">
        <v>9514</v>
      </c>
      <c r="F2513" s="568">
        <v>32514</v>
      </c>
      <c r="G2513" s="568">
        <v>1074</v>
      </c>
      <c r="H2513" s="568">
        <v>1965</v>
      </c>
      <c r="I2513" s="559" t="str">
        <f t="shared" si="37"/>
        <v>GooD</v>
      </c>
    </row>
    <row r="2514" spans="1:9">
      <c r="A2514" s="563" t="s">
        <v>640</v>
      </c>
      <c r="B2514" s="563">
        <v>23000</v>
      </c>
      <c r="C2514" s="564">
        <v>18</v>
      </c>
      <c r="D2514" s="564">
        <v>0.31</v>
      </c>
      <c r="E2514" s="564">
        <v>10698</v>
      </c>
      <c r="F2514" s="564">
        <v>33698</v>
      </c>
      <c r="G2514" s="564">
        <v>1208</v>
      </c>
      <c r="H2514" s="564">
        <v>1805</v>
      </c>
      <c r="I2514" s="557" t="str">
        <f t="shared" si="37"/>
        <v>GooD</v>
      </c>
    </row>
    <row r="2515" spans="1:9" ht="15.75" thickBot="1">
      <c r="A2515" s="565" t="s">
        <v>640</v>
      </c>
      <c r="B2515" s="565">
        <v>23000</v>
      </c>
      <c r="C2515" s="566">
        <v>20</v>
      </c>
      <c r="D2515" s="566">
        <v>0.31</v>
      </c>
      <c r="E2515" s="566">
        <v>11902</v>
      </c>
      <c r="F2515" s="566">
        <v>34902</v>
      </c>
      <c r="G2515" s="566">
        <v>1342</v>
      </c>
      <c r="H2515" s="566">
        <v>1678</v>
      </c>
      <c r="I2515" s="558" t="str">
        <f t="shared" si="37"/>
        <v>GooD</v>
      </c>
    </row>
    <row r="2516" spans="1:9" ht="15.75" thickTop="1">
      <c r="A2516" s="567" t="s">
        <v>640</v>
      </c>
      <c r="B2516" s="567">
        <v>23000</v>
      </c>
      <c r="C2516" s="568">
        <v>22</v>
      </c>
      <c r="D2516" s="568">
        <v>0.31</v>
      </c>
      <c r="E2516" s="568">
        <v>13082</v>
      </c>
      <c r="F2516" s="568">
        <v>36082</v>
      </c>
      <c r="G2516" s="568">
        <v>1476</v>
      </c>
      <c r="H2516" s="568">
        <v>1573</v>
      </c>
      <c r="I2516" s="559" t="str">
        <f t="shared" si="37"/>
        <v>GooD</v>
      </c>
    </row>
    <row r="2517" spans="1:9">
      <c r="A2517" s="563" t="s">
        <v>640</v>
      </c>
      <c r="B2517" s="563">
        <v>23000</v>
      </c>
      <c r="C2517" s="564">
        <v>24</v>
      </c>
      <c r="D2517" s="564">
        <v>0.31</v>
      </c>
      <c r="E2517" s="564">
        <v>14274</v>
      </c>
      <c r="F2517" s="564">
        <v>37274</v>
      </c>
      <c r="G2517" s="564">
        <v>1610</v>
      </c>
      <c r="H2517" s="564">
        <v>1486</v>
      </c>
      <c r="I2517" s="557" t="str">
        <f t="shared" si="37"/>
        <v>GooD</v>
      </c>
    </row>
    <row r="2518" spans="1:9" ht="15.75" thickBot="1">
      <c r="A2518" s="565" t="s">
        <v>640</v>
      </c>
      <c r="B2518" s="565">
        <v>24000</v>
      </c>
      <c r="C2518" s="566">
        <v>4</v>
      </c>
      <c r="D2518" s="566">
        <v>0.31</v>
      </c>
      <c r="E2518" s="566">
        <v>2484</v>
      </c>
      <c r="F2518" s="566">
        <v>26484</v>
      </c>
      <c r="G2518" s="566">
        <v>280</v>
      </c>
      <c r="H2518" s="566">
        <v>6551</v>
      </c>
      <c r="I2518" s="558" t="str">
        <f t="shared" si="37"/>
        <v>GooD</v>
      </c>
    </row>
    <row r="2519" spans="1:9" ht="15.75" thickTop="1">
      <c r="A2519" s="567" t="s">
        <v>640</v>
      </c>
      <c r="B2519" s="567">
        <v>24000</v>
      </c>
      <c r="C2519" s="568">
        <v>6</v>
      </c>
      <c r="D2519" s="568">
        <v>0.31</v>
      </c>
      <c r="E2519" s="568">
        <v>3726</v>
      </c>
      <c r="F2519" s="568">
        <v>27726</v>
      </c>
      <c r="G2519" s="568">
        <v>420</v>
      </c>
      <c r="H2519" s="568">
        <v>4551</v>
      </c>
      <c r="I2519" s="559" t="str">
        <f t="shared" si="37"/>
        <v>GooD</v>
      </c>
    </row>
    <row r="2520" spans="1:9">
      <c r="A2520" s="563" t="s">
        <v>640</v>
      </c>
      <c r="B2520" s="563">
        <v>24000</v>
      </c>
      <c r="C2520" s="564">
        <v>8</v>
      </c>
      <c r="D2520" s="564">
        <v>0.31</v>
      </c>
      <c r="E2520" s="564">
        <v>4968</v>
      </c>
      <c r="F2520" s="564">
        <v>28968</v>
      </c>
      <c r="G2520" s="564">
        <v>560</v>
      </c>
      <c r="H2520" s="564">
        <v>3551</v>
      </c>
      <c r="I2520" s="557" t="str">
        <f t="shared" si="37"/>
        <v>GooD</v>
      </c>
    </row>
    <row r="2521" spans="1:9" ht="15.75" thickBot="1">
      <c r="A2521" s="565" t="s">
        <v>640</v>
      </c>
      <c r="B2521" s="565">
        <v>24000</v>
      </c>
      <c r="C2521" s="566">
        <v>10</v>
      </c>
      <c r="D2521" s="566">
        <v>0.31</v>
      </c>
      <c r="E2521" s="566">
        <v>6210</v>
      </c>
      <c r="F2521" s="566">
        <v>30210</v>
      </c>
      <c r="G2521" s="566">
        <v>700</v>
      </c>
      <c r="H2521" s="566">
        <v>2951</v>
      </c>
      <c r="I2521" s="558" t="str">
        <f t="shared" si="37"/>
        <v>GooD</v>
      </c>
    </row>
    <row r="2522" spans="1:9" ht="15.75" thickTop="1">
      <c r="A2522" s="567" t="s">
        <v>640</v>
      </c>
      <c r="B2522" s="567">
        <v>24000</v>
      </c>
      <c r="C2522" s="568">
        <v>12</v>
      </c>
      <c r="D2522" s="568">
        <v>0.31</v>
      </c>
      <c r="E2522" s="568">
        <v>7452</v>
      </c>
      <c r="F2522" s="568">
        <v>31452</v>
      </c>
      <c r="G2522" s="568">
        <v>840</v>
      </c>
      <c r="H2522" s="568">
        <v>2551</v>
      </c>
      <c r="I2522" s="559" t="str">
        <f t="shared" si="37"/>
        <v>GooD</v>
      </c>
    </row>
    <row r="2523" spans="1:9">
      <c r="A2523" s="563" t="s">
        <v>640</v>
      </c>
      <c r="B2523" s="563">
        <v>24000</v>
      </c>
      <c r="C2523" s="564">
        <v>14</v>
      </c>
      <c r="D2523" s="564">
        <v>0.31</v>
      </c>
      <c r="E2523" s="564">
        <v>8690</v>
      </c>
      <c r="F2523" s="564">
        <v>32690</v>
      </c>
      <c r="G2523" s="564">
        <v>980</v>
      </c>
      <c r="H2523" s="564">
        <v>2265</v>
      </c>
      <c r="I2523" s="557" t="str">
        <f t="shared" si="37"/>
        <v>GooD</v>
      </c>
    </row>
    <row r="2524" spans="1:9" ht="15.75" thickBot="1">
      <c r="A2524" s="565" t="s">
        <v>640</v>
      </c>
      <c r="B2524" s="565">
        <v>24000</v>
      </c>
      <c r="C2524" s="566">
        <v>16</v>
      </c>
      <c r="D2524" s="566">
        <v>0.31</v>
      </c>
      <c r="E2524" s="566">
        <v>9936</v>
      </c>
      <c r="F2524" s="566">
        <v>33936</v>
      </c>
      <c r="G2524" s="566">
        <v>1120</v>
      </c>
      <c r="H2524" s="566">
        <v>2051</v>
      </c>
      <c r="I2524" s="558" t="str">
        <f t="shared" si="37"/>
        <v>GooD</v>
      </c>
    </row>
    <row r="2525" spans="1:9" ht="15.75" thickTop="1">
      <c r="A2525" s="567" t="s">
        <v>640</v>
      </c>
      <c r="B2525" s="567">
        <v>24000</v>
      </c>
      <c r="C2525" s="568">
        <v>18</v>
      </c>
      <c r="D2525" s="568">
        <v>0.31</v>
      </c>
      <c r="E2525" s="568">
        <v>11172</v>
      </c>
      <c r="F2525" s="568">
        <v>35172</v>
      </c>
      <c r="G2525" s="568">
        <v>1260</v>
      </c>
      <c r="H2525" s="568">
        <v>1884</v>
      </c>
      <c r="I2525" s="559" t="str">
        <f t="shared" si="37"/>
        <v>GooD</v>
      </c>
    </row>
    <row r="2526" spans="1:9">
      <c r="A2526" s="563" t="s">
        <v>640</v>
      </c>
      <c r="B2526" s="563">
        <v>24000</v>
      </c>
      <c r="C2526" s="564">
        <v>20</v>
      </c>
      <c r="D2526" s="564">
        <v>0.31</v>
      </c>
      <c r="E2526" s="564">
        <v>12420</v>
      </c>
      <c r="F2526" s="564">
        <v>36420</v>
      </c>
      <c r="G2526" s="564">
        <v>1400</v>
      </c>
      <c r="H2526" s="564">
        <v>1751</v>
      </c>
      <c r="I2526" s="557" t="str">
        <f t="shared" si="37"/>
        <v>GooD</v>
      </c>
    </row>
    <row r="2527" spans="1:9" ht="15.75" thickBot="1">
      <c r="A2527" s="565" t="s">
        <v>640</v>
      </c>
      <c r="B2527" s="565">
        <v>24000</v>
      </c>
      <c r="C2527" s="566">
        <v>22</v>
      </c>
      <c r="D2527" s="566">
        <v>0.31</v>
      </c>
      <c r="E2527" s="566">
        <v>13642</v>
      </c>
      <c r="F2527" s="566">
        <v>37642</v>
      </c>
      <c r="G2527" s="566">
        <v>1540</v>
      </c>
      <c r="H2527" s="566">
        <v>1641</v>
      </c>
      <c r="I2527" s="558" t="str">
        <f t="shared" si="37"/>
        <v>GooD</v>
      </c>
    </row>
    <row r="2528" spans="1:9" ht="15.75" thickTop="1">
      <c r="A2528" s="567" t="s">
        <v>640</v>
      </c>
      <c r="B2528" s="567">
        <v>24000</v>
      </c>
      <c r="C2528" s="568">
        <v>24</v>
      </c>
      <c r="D2528" s="568">
        <v>0.31</v>
      </c>
      <c r="E2528" s="568">
        <v>14904</v>
      </c>
      <c r="F2528" s="568">
        <v>38904</v>
      </c>
      <c r="G2528" s="568">
        <v>1680</v>
      </c>
      <c r="H2528" s="568">
        <v>1551</v>
      </c>
      <c r="I2528" s="559" t="str">
        <f t="shared" si="37"/>
        <v>GooD</v>
      </c>
    </row>
    <row r="2529" spans="1:9">
      <c r="A2529" s="563" t="s">
        <v>640</v>
      </c>
      <c r="B2529" s="563">
        <v>25000</v>
      </c>
      <c r="C2529" s="564">
        <v>4</v>
      </c>
      <c r="D2529" s="564">
        <v>0.31</v>
      </c>
      <c r="E2529" s="564">
        <v>2584</v>
      </c>
      <c r="F2529" s="564">
        <v>27584</v>
      </c>
      <c r="G2529" s="564">
        <v>292</v>
      </c>
      <c r="H2529" s="564">
        <v>6823</v>
      </c>
      <c r="I2529" s="557" t="str">
        <f t="shared" si="37"/>
        <v>GooD</v>
      </c>
    </row>
    <row r="2530" spans="1:9" ht="15.75" thickBot="1">
      <c r="A2530" s="565" t="s">
        <v>640</v>
      </c>
      <c r="B2530" s="565">
        <v>25000</v>
      </c>
      <c r="C2530" s="566">
        <v>6</v>
      </c>
      <c r="D2530" s="566">
        <v>0.31</v>
      </c>
      <c r="E2530" s="566">
        <v>3878</v>
      </c>
      <c r="F2530" s="566">
        <v>28878</v>
      </c>
      <c r="G2530" s="566">
        <v>438</v>
      </c>
      <c r="H2530" s="566">
        <v>4740</v>
      </c>
      <c r="I2530" s="558" t="str">
        <f t="shared" si="37"/>
        <v>GooD</v>
      </c>
    </row>
    <row r="2531" spans="1:9" ht="15.75" thickTop="1">
      <c r="A2531" s="567" t="s">
        <v>640</v>
      </c>
      <c r="B2531" s="567">
        <v>25000</v>
      </c>
      <c r="C2531" s="568">
        <v>8</v>
      </c>
      <c r="D2531" s="568">
        <v>0.31</v>
      </c>
      <c r="E2531" s="568">
        <v>5168</v>
      </c>
      <c r="F2531" s="568">
        <v>30168</v>
      </c>
      <c r="G2531" s="568">
        <v>584</v>
      </c>
      <c r="H2531" s="568">
        <v>3698</v>
      </c>
      <c r="I2531" s="559" t="str">
        <f t="shared" si="37"/>
        <v>GooD</v>
      </c>
    </row>
    <row r="2532" spans="1:9">
      <c r="A2532" s="563" t="s">
        <v>640</v>
      </c>
      <c r="B2532" s="563">
        <v>25000</v>
      </c>
      <c r="C2532" s="564">
        <v>10</v>
      </c>
      <c r="D2532" s="564">
        <v>0.31</v>
      </c>
      <c r="E2532" s="564">
        <v>6460</v>
      </c>
      <c r="F2532" s="564">
        <v>31460</v>
      </c>
      <c r="G2532" s="564">
        <v>730</v>
      </c>
      <c r="H2532" s="564">
        <v>3073</v>
      </c>
      <c r="I2532" s="557" t="str">
        <f t="shared" si="37"/>
        <v>GooD</v>
      </c>
    </row>
    <row r="2533" spans="1:9" ht="15.75" thickBot="1">
      <c r="A2533" s="565" t="s">
        <v>640</v>
      </c>
      <c r="B2533" s="565">
        <v>25000</v>
      </c>
      <c r="C2533" s="566">
        <v>12</v>
      </c>
      <c r="D2533" s="566">
        <v>0.31</v>
      </c>
      <c r="E2533" s="566">
        <v>7759</v>
      </c>
      <c r="F2533" s="566">
        <v>32759</v>
      </c>
      <c r="G2533" s="566">
        <v>875</v>
      </c>
      <c r="H2533" s="566">
        <v>2657</v>
      </c>
      <c r="I2533" s="558" t="str">
        <f t="shared" si="37"/>
        <v>GooD</v>
      </c>
    </row>
    <row r="2534" spans="1:9" ht="15.75" thickTop="1">
      <c r="A2534" s="567" t="s">
        <v>640</v>
      </c>
      <c r="B2534" s="567">
        <v>25000</v>
      </c>
      <c r="C2534" s="568">
        <v>14</v>
      </c>
      <c r="D2534" s="568">
        <v>0.31</v>
      </c>
      <c r="E2534" s="568">
        <v>9047</v>
      </c>
      <c r="F2534" s="568">
        <v>34047</v>
      </c>
      <c r="G2534" s="568">
        <v>1021</v>
      </c>
      <c r="H2534" s="568">
        <v>2359</v>
      </c>
      <c r="I2534" s="559" t="str">
        <f t="shared" si="37"/>
        <v>GooD</v>
      </c>
    </row>
    <row r="2535" spans="1:9">
      <c r="A2535" s="563" t="s">
        <v>640</v>
      </c>
      <c r="B2535" s="563">
        <v>25000</v>
      </c>
      <c r="C2535" s="564">
        <v>16</v>
      </c>
      <c r="D2535" s="564">
        <v>0.31</v>
      </c>
      <c r="E2535" s="564">
        <v>10343</v>
      </c>
      <c r="F2535" s="564">
        <v>35343</v>
      </c>
      <c r="G2535" s="564">
        <v>1167</v>
      </c>
      <c r="H2535" s="564">
        <v>2136</v>
      </c>
      <c r="I2535" s="557" t="str">
        <f t="shared" ref="I2535:I2598" si="38">IF(((H2535*C2535)+G2535)=F2535,"GooD","لالالالالالالا")</f>
        <v>GooD</v>
      </c>
    </row>
    <row r="2536" spans="1:9" ht="15.75" thickBot="1">
      <c r="A2536" s="565" t="s">
        <v>640</v>
      </c>
      <c r="B2536" s="565">
        <v>25000</v>
      </c>
      <c r="C2536" s="566">
        <v>18</v>
      </c>
      <c r="D2536" s="566">
        <v>0.31</v>
      </c>
      <c r="E2536" s="566">
        <v>11629</v>
      </c>
      <c r="F2536" s="566">
        <v>36629</v>
      </c>
      <c r="G2536" s="566">
        <v>1313</v>
      </c>
      <c r="H2536" s="566">
        <v>1962</v>
      </c>
      <c r="I2536" s="558" t="str">
        <f t="shared" si="38"/>
        <v>GooD</v>
      </c>
    </row>
    <row r="2537" spans="1:9" ht="15.75" thickTop="1">
      <c r="A2537" s="567" t="s">
        <v>640</v>
      </c>
      <c r="B2537" s="567">
        <v>25000</v>
      </c>
      <c r="C2537" s="568">
        <v>20</v>
      </c>
      <c r="D2537" s="568">
        <v>0.31</v>
      </c>
      <c r="E2537" s="568">
        <v>12919</v>
      </c>
      <c r="F2537" s="568">
        <v>37919</v>
      </c>
      <c r="G2537" s="568">
        <v>1459</v>
      </c>
      <c r="H2537" s="568">
        <v>1823</v>
      </c>
      <c r="I2537" s="559" t="str">
        <f t="shared" si="38"/>
        <v>GooD</v>
      </c>
    </row>
    <row r="2538" spans="1:9">
      <c r="A2538" s="563" t="s">
        <v>640</v>
      </c>
      <c r="B2538" s="563">
        <v>25000</v>
      </c>
      <c r="C2538" s="564">
        <v>22</v>
      </c>
      <c r="D2538" s="564">
        <v>0.31</v>
      </c>
      <c r="E2538" s="564">
        <v>14225</v>
      </c>
      <c r="F2538" s="564">
        <v>39225</v>
      </c>
      <c r="G2538" s="564">
        <v>1605</v>
      </c>
      <c r="H2538" s="564">
        <v>1710</v>
      </c>
      <c r="I2538" s="557" t="str">
        <f t="shared" si="38"/>
        <v>GooD</v>
      </c>
    </row>
    <row r="2539" spans="1:9" ht="15.75" thickBot="1">
      <c r="A2539" s="565" t="s">
        <v>640</v>
      </c>
      <c r="B2539" s="565">
        <v>25000</v>
      </c>
      <c r="C2539" s="566">
        <v>24</v>
      </c>
      <c r="D2539" s="566">
        <v>0.31</v>
      </c>
      <c r="E2539" s="566">
        <v>15510</v>
      </c>
      <c r="F2539" s="566">
        <v>40510</v>
      </c>
      <c r="G2539" s="566">
        <v>1750</v>
      </c>
      <c r="H2539" s="566">
        <v>1615</v>
      </c>
      <c r="I2539" s="558" t="str">
        <f t="shared" si="38"/>
        <v>GooD</v>
      </c>
    </row>
    <row r="2540" spans="1:9" ht="15.75" thickTop="1">
      <c r="A2540" s="567" t="s">
        <v>640</v>
      </c>
      <c r="B2540" s="567">
        <v>26000</v>
      </c>
      <c r="C2540" s="568">
        <v>4</v>
      </c>
      <c r="D2540" s="568">
        <v>0.31</v>
      </c>
      <c r="E2540" s="568">
        <v>2688</v>
      </c>
      <c r="F2540" s="568">
        <v>28688</v>
      </c>
      <c r="G2540" s="568">
        <v>304</v>
      </c>
      <c r="H2540" s="568">
        <v>7096</v>
      </c>
      <c r="I2540" s="559" t="str">
        <f t="shared" si="38"/>
        <v>GooD</v>
      </c>
    </row>
    <row r="2541" spans="1:9">
      <c r="A2541" s="563" t="s">
        <v>640</v>
      </c>
      <c r="B2541" s="563">
        <v>26000</v>
      </c>
      <c r="C2541" s="564">
        <v>6</v>
      </c>
      <c r="D2541" s="564">
        <v>0.31</v>
      </c>
      <c r="E2541" s="564">
        <v>4035</v>
      </c>
      <c r="F2541" s="564">
        <v>30035</v>
      </c>
      <c r="G2541" s="564">
        <v>455</v>
      </c>
      <c r="H2541" s="564">
        <v>4930</v>
      </c>
      <c r="I2541" s="557" t="str">
        <f t="shared" si="38"/>
        <v>GooD</v>
      </c>
    </row>
    <row r="2542" spans="1:9" ht="15.75" thickBot="1">
      <c r="A2542" s="565" t="s">
        <v>640</v>
      </c>
      <c r="B2542" s="565">
        <v>26000</v>
      </c>
      <c r="C2542" s="566">
        <v>8</v>
      </c>
      <c r="D2542" s="566">
        <v>0.31</v>
      </c>
      <c r="E2542" s="566">
        <v>5375</v>
      </c>
      <c r="F2542" s="566">
        <v>31375</v>
      </c>
      <c r="G2542" s="566">
        <v>607</v>
      </c>
      <c r="H2542" s="566">
        <v>3846</v>
      </c>
      <c r="I2542" s="558" t="str">
        <f t="shared" si="38"/>
        <v>GooD</v>
      </c>
    </row>
    <row r="2543" spans="1:9" ht="15.75" thickTop="1">
      <c r="A2543" s="567" t="s">
        <v>640</v>
      </c>
      <c r="B2543" s="567">
        <v>26000</v>
      </c>
      <c r="C2543" s="568">
        <v>10</v>
      </c>
      <c r="D2543" s="568">
        <v>0.31</v>
      </c>
      <c r="E2543" s="568">
        <v>6719</v>
      </c>
      <c r="F2543" s="568">
        <v>32719</v>
      </c>
      <c r="G2543" s="568">
        <v>759</v>
      </c>
      <c r="H2543" s="568">
        <v>3196</v>
      </c>
      <c r="I2543" s="559" t="str">
        <f t="shared" si="38"/>
        <v>GooD</v>
      </c>
    </row>
    <row r="2544" spans="1:9">
      <c r="A2544" s="563" t="s">
        <v>640</v>
      </c>
      <c r="B2544" s="563">
        <v>26000</v>
      </c>
      <c r="C2544" s="564">
        <v>12</v>
      </c>
      <c r="D2544" s="564">
        <v>0.31</v>
      </c>
      <c r="E2544" s="564">
        <v>8066</v>
      </c>
      <c r="F2544" s="564">
        <v>34066</v>
      </c>
      <c r="G2544" s="564">
        <v>910</v>
      </c>
      <c r="H2544" s="564">
        <v>2763</v>
      </c>
      <c r="I2544" s="557" t="str">
        <f t="shared" si="38"/>
        <v>GooD</v>
      </c>
    </row>
    <row r="2545" spans="1:9" ht="15.75" thickBot="1">
      <c r="A2545" s="565" t="s">
        <v>640</v>
      </c>
      <c r="B2545" s="565">
        <v>26000</v>
      </c>
      <c r="C2545" s="566">
        <v>14</v>
      </c>
      <c r="D2545" s="566">
        <v>0.31</v>
      </c>
      <c r="E2545" s="566">
        <v>9404</v>
      </c>
      <c r="F2545" s="566">
        <v>35404</v>
      </c>
      <c r="G2545" s="566">
        <v>1062</v>
      </c>
      <c r="H2545" s="566">
        <v>2453</v>
      </c>
      <c r="I2545" s="558" t="str">
        <f t="shared" si="38"/>
        <v>GooD</v>
      </c>
    </row>
    <row r="2546" spans="1:9" ht="15.75" thickTop="1">
      <c r="A2546" s="567" t="s">
        <v>640</v>
      </c>
      <c r="B2546" s="567">
        <v>26000</v>
      </c>
      <c r="C2546" s="568">
        <v>16</v>
      </c>
      <c r="D2546" s="568">
        <v>0.31</v>
      </c>
      <c r="E2546" s="568">
        <v>10750</v>
      </c>
      <c r="F2546" s="568">
        <v>36750</v>
      </c>
      <c r="G2546" s="568">
        <v>1214</v>
      </c>
      <c r="H2546" s="568">
        <v>2221</v>
      </c>
      <c r="I2546" s="559" t="str">
        <f t="shared" si="38"/>
        <v>GooD</v>
      </c>
    </row>
    <row r="2547" spans="1:9">
      <c r="A2547" s="563" t="s">
        <v>640</v>
      </c>
      <c r="B2547" s="563">
        <v>26000</v>
      </c>
      <c r="C2547" s="564">
        <v>18</v>
      </c>
      <c r="D2547" s="564">
        <v>0.31</v>
      </c>
      <c r="E2547" s="564">
        <v>12103</v>
      </c>
      <c r="F2547" s="564">
        <v>38103</v>
      </c>
      <c r="G2547" s="564">
        <v>1365</v>
      </c>
      <c r="H2547" s="564">
        <v>2041</v>
      </c>
      <c r="I2547" s="557" t="str">
        <f t="shared" si="38"/>
        <v>GooD</v>
      </c>
    </row>
    <row r="2548" spans="1:9" ht="15.75" thickBot="1">
      <c r="A2548" s="565" t="s">
        <v>640</v>
      </c>
      <c r="B2548" s="565">
        <v>26000</v>
      </c>
      <c r="C2548" s="566">
        <v>20</v>
      </c>
      <c r="D2548" s="566">
        <v>0.31</v>
      </c>
      <c r="E2548" s="566">
        <v>13437</v>
      </c>
      <c r="F2548" s="566">
        <v>39437</v>
      </c>
      <c r="G2548" s="566">
        <v>1517</v>
      </c>
      <c r="H2548" s="566">
        <v>1896</v>
      </c>
      <c r="I2548" s="558" t="str">
        <f t="shared" si="38"/>
        <v>GooD</v>
      </c>
    </row>
    <row r="2549" spans="1:9" ht="15.75" thickTop="1">
      <c r="A2549" s="567" t="s">
        <v>640</v>
      </c>
      <c r="B2549" s="567">
        <v>26000</v>
      </c>
      <c r="C2549" s="568">
        <v>22</v>
      </c>
      <c r="D2549" s="568">
        <v>0.31</v>
      </c>
      <c r="E2549" s="568">
        <v>14785</v>
      </c>
      <c r="F2549" s="568">
        <v>40785</v>
      </c>
      <c r="G2549" s="568">
        <v>1669</v>
      </c>
      <c r="H2549" s="568">
        <v>1778</v>
      </c>
      <c r="I2549" s="559" t="str">
        <f t="shared" si="38"/>
        <v>GooD</v>
      </c>
    </row>
    <row r="2550" spans="1:9">
      <c r="A2550" s="563" t="s">
        <v>640</v>
      </c>
      <c r="B2550" s="563">
        <v>26000</v>
      </c>
      <c r="C2550" s="564">
        <v>24</v>
      </c>
      <c r="D2550" s="564">
        <v>0.31</v>
      </c>
      <c r="E2550" s="564">
        <v>16140</v>
      </c>
      <c r="F2550" s="564">
        <v>42140</v>
      </c>
      <c r="G2550" s="564">
        <v>1820</v>
      </c>
      <c r="H2550" s="564">
        <v>1680</v>
      </c>
      <c r="I2550" s="557" t="str">
        <f t="shared" si="38"/>
        <v>GooD</v>
      </c>
    </row>
    <row r="2551" spans="1:9" ht="15.75" thickBot="1">
      <c r="A2551" s="565" t="s">
        <v>640</v>
      </c>
      <c r="B2551" s="565">
        <v>27000</v>
      </c>
      <c r="C2551" s="566">
        <v>4</v>
      </c>
      <c r="D2551" s="566">
        <v>0.31</v>
      </c>
      <c r="E2551" s="566">
        <v>2791</v>
      </c>
      <c r="F2551" s="566">
        <v>29791</v>
      </c>
      <c r="G2551" s="566">
        <v>315</v>
      </c>
      <c r="H2551" s="566">
        <v>7369</v>
      </c>
      <c r="I2551" s="558" t="str">
        <f t="shared" si="38"/>
        <v>GooD</v>
      </c>
    </row>
    <row r="2552" spans="1:9" ht="15.75" thickTop="1">
      <c r="A2552" s="567" t="s">
        <v>640</v>
      </c>
      <c r="B2552" s="567">
        <v>27000</v>
      </c>
      <c r="C2552" s="568">
        <v>6</v>
      </c>
      <c r="D2552" s="568">
        <v>0.31</v>
      </c>
      <c r="E2552" s="568">
        <v>4187</v>
      </c>
      <c r="F2552" s="568">
        <v>31187</v>
      </c>
      <c r="G2552" s="568">
        <v>473</v>
      </c>
      <c r="H2552" s="568">
        <v>5119</v>
      </c>
      <c r="I2552" s="559" t="str">
        <f t="shared" si="38"/>
        <v>GooD</v>
      </c>
    </row>
    <row r="2553" spans="1:9">
      <c r="A2553" s="563" t="s">
        <v>640</v>
      </c>
      <c r="B2553" s="563">
        <v>27000</v>
      </c>
      <c r="C2553" s="564">
        <v>8</v>
      </c>
      <c r="D2553" s="564">
        <v>0.31</v>
      </c>
      <c r="E2553" s="564">
        <v>5582</v>
      </c>
      <c r="F2553" s="564">
        <v>32582</v>
      </c>
      <c r="G2553" s="564">
        <v>630</v>
      </c>
      <c r="H2553" s="564">
        <v>3994</v>
      </c>
      <c r="I2553" s="557" t="str">
        <f t="shared" si="38"/>
        <v>GooD</v>
      </c>
    </row>
    <row r="2554" spans="1:9" ht="15.75" thickBot="1">
      <c r="A2554" s="565" t="s">
        <v>640</v>
      </c>
      <c r="B2554" s="565">
        <v>27000</v>
      </c>
      <c r="C2554" s="566">
        <v>10</v>
      </c>
      <c r="D2554" s="566">
        <v>0.31</v>
      </c>
      <c r="E2554" s="566">
        <v>6978</v>
      </c>
      <c r="F2554" s="566">
        <v>33978</v>
      </c>
      <c r="G2554" s="566">
        <v>788</v>
      </c>
      <c r="H2554" s="566">
        <v>3319</v>
      </c>
      <c r="I2554" s="558" t="str">
        <f t="shared" si="38"/>
        <v>GooD</v>
      </c>
    </row>
    <row r="2555" spans="1:9" ht="15.75" thickTop="1">
      <c r="A2555" s="567" t="s">
        <v>640</v>
      </c>
      <c r="B2555" s="567">
        <v>27000</v>
      </c>
      <c r="C2555" s="568">
        <v>12</v>
      </c>
      <c r="D2555" s="568">
        <v>0.31</v>
      </c>
      <c r="E2555" s="568">
        <v>8373</v>
      </c>
      <c r="F2555" s="568">
        <v>35373</v>
      </c>
      <c r="G2555" s="568">
        <v>945</v>
      </c>
      <c r="H2555" s="568">
        <v>2869</v>
      </c>
      <c r="I2555" s="559" t="str">
        <f t="shared" si="38"/>
        <v>GooD</v>
      </c>
    </row>
    <row r="2556" spans="1:9">
      <c r="A2556" s="563" t="s">
        <v>640</v>
      </c>
      <c r="B2556" s="563">
        <v>27000</v>
      </c>
      <c r="C2556" s="564">
        <v>14</v>
      </c>
      <c r="D2556" s="564">
        <v>0.31</v>
      </c>
      <c r="E2556" s="564">
        <v>9775</v>
      </c>
      <c r="F2556" s="564">
        <v>36775</v>
      </c>
      <c r="G2556" s="564">
        <v>1103</v>
      </c>
      <c r="H2556" s="564">
        <v>2548</v>
      </c>
      <c r="I2556" s="557" t="str">
        <f t="shared" si="38"/>
        <v>GooD</v>
      </c>
    </row>
    <row r="2557" spans="1:9" ht="15.75" thickBot="1">
      <c r="A2557" s="565" t="s">
        <v>640</v>
      </c>
      <c r="B2557" s="565">
        <v>27000</v>
      </c>
      <c r="C2557" s="566">
        <v>16</v>
      </c>
      <c r="D2557" s="566">
        <v>0.31</v>
      </c>
      <c r="E2557" s="566">
        <v>11172</v>
      </c>
      <c r="F2557" s="566">
        <v>38172</v>
      </c>
      <c r="G2557" s="566">
        <v>1260</v>
      </c>
      <c r="H2557" s="566">
        <v>2307</v>
      </c>
      <c r="I2557" s="558" t="str">
        <f t="shared" si="38"/>
        <v>GooD</v>
      </c>
    </row>
    <row r="2558" spans="1:9" ht="15.75" thickTop="1">
      <c r="A2558" s="567" t="s">
        <v>640</v>
      </c>
      <c r="B2558" s="567">
        <v>27000</v>
      </c>
      <c r="C2558" s="568">
        <v>18</v>
      </c>
      <c r="D2558" s="568">
        <v>0.31</v>
      </c>
      <c r="E2558" s="568">
        <v>12560</v>
      </c>
      <c r="F2558" s="568">
        <v>39560</v>
      </c>
      <c r="G2558" s="568">
        <v>1418</v>
      </c>
      <c r="H2558" s="568">
        <v>2119</v>
      </c>
      <c r="I2558" s="559" t="str">
        <f t="shared" si="38"/>
        <v>GooD</v>
      </c>
    </row>
    <row r="2559" spans="1:9">
      <c r="A2559" s="563" t="s">
        <v>640</v>
      </c>
      <c r="B2559" s="563">
        <v>27000</v>
      </c>
      <c r="C2559" s="564">
        <v>20</v>
      </c>
      <c r="D2559" s="564">
        <v>0.31</v>
      </c>
      <c r="E2559" s="564">
        <v>13955</v>
      </c>
      <c r="F2559" s="564">
        <v>40955</v>
      </c>
      <c r="G2559" s="564">
        <v>1575</v>
      </c>
      <c r="H2559" s="564">
        <v>1969</v>
      </c>
      <c r="I2559" s="557" t="str">
        <f t="shared" si="38"/>
        <v>GooD</v>
      </c>
    </row>
    <row r="2560" spans="1:9" ht="15.75" thickBot="1">
      <c r="A2560" s="565" t="s">
        <v>640</v>
      </c>
      <c r="B2560" s="565">
        <v>27000</v>
      </c>
      <c r="C2560" s="566">
        <v>22</v>
      </c>
      <c r="D2560" s="566">
        <v>0.31</v>
      </c>
      <c r="E2560" s="566">
        <v>15367</v>
      </c>
      <c r="F2560" s="566">
        <v>42367</v>
      </c>
      <c r="G2560" s="566">
        <v>1733</v>
      </c>
      <c r="H2560" s="566">
        <v>1847</v>
      </c>
      <c r="I2560" s="558" t="str">
        <f t="shared" si="38"/>
        <v>GooD</v>
      </c>
    </row>
    <row r="2561" spans="1:9" ht="15.75" thickTop="1">
      <c r="A2561" s="567" t="s">
        <v>640</v>
      </c>
      <c r="B2561" s="567">
        <v>27000</v>
      </c>
      <c r="C2561" s="568">
        <v>24</v>
      </c>
      <c r="D2561" s="568">
        <v>0.31</v>
      </c>
      <c r="E2561" s="568">
        <v>16746</v>
      </c>
      <c r="F2561" s="568">
        <v>43746</v>
      </c>
      <c r="G2561" s="568">
        <v>1890</v>
      </c>
      <c r="H2561" s="568">
        <v>1744</v>
      </c>
      <c r="I2561" s="559" t="str">
        <f t="shared" si="38"/>
        <v>GooD</v>
      </c>
    </row>
    <row r="2562" spans="1:9">
      <c r="A2562" s="563" t="s">
        <v>640</v>
      </c>
      <c r="B2562" s="563">
        <v>28000</v>
      </c>
      <c r="C2562" s="564">
        <v>4</v>
      </c>
      <c r="D2562" s="564">
        <v>0.31</v>
      </c>
      <c r="E2562" s="564">
        <v>2895</v>
      </c>
      <c r="F2562" s="564">
        <v>30895</v>
      </c>
      <c r="G2562" s="564">
        <v>327</v>
      </c>
      <c r="H2562" s="564">
        <v>7642</v>
      </c>
      <c r="I2562" s="557" t="str">
        <f t="shared" si="38"/>
        <v>GooD</v>
      </c>
    </row>
    <row r="2563" spans="1:9" ht="15.75" thickBot="1">
      <c r="A2563" s="565" t="s">
        <v>640</v>
      </c>
      <c r="B2563" s="565">
        <v>28000</v>
      </c>
      <c r="C2563" s="566">
        <v>6</v>
      </c>
      <c r="D2563" s="566">
        <v>0.31</v>
      </c>
      <c r="E2563" s="566">
        <v>4344</v>
      </c>
      <c r="F2563" s="566">
        <v>32344</v>
      </c>
      <c r="G2563" s="566">
        <v>490</v>
      </c>
      <c r="H2563" s="566">
        <v>5309</v>
      </c>
      <c r="I2563" s="558" t="str">
        <f t="shared" si="38"/>
        <v>GooD</v>
      </c>
    </row>
    <row r="2564" spans="1:9" ht="15.75" thickTop="1">
      <c r="A2564" s="567" t="s">
        <v>640</v>
      </c>
      <c r="B2564" s="567">
        <v>28000</v>
      </c>
      <c r="C2564" s="568">
        <v>8</v>
      </c>
      <c r="D2564" s="568">
        <v>0.31</v>
      </c>
      <c r="E2564" s="568">
        <v>5790</v>
      </c>
      <c r="F2564" s="568">
        <v>33790</v>
      </c>
      <c r="G2564" s="568">
        <v>654</v>
      </c>
      <c r="H2564" s="568">
        <v>4142</v>
      </c>
      <c r="I2564" s="559" t="str">
        <f t="shared" si="38"/>
        <v>GooD</v>
      </c>
    </row>
    <row r="2565" spans="1:9">
      <c r="A2565" s="563" t="s">
        <v>640</v>
      </c>
      <c r="B2565" s="563">
        <v>28000</v>
      </c>
      <c r="C2565" s="564">
        <v>10</v>
      </c>
      <c r="D2565" s="564">
        <v>0.31</v>
      </c>
      <c r="E2565" s="564">
        <v>7237</v>
      </c>
      <c r="F2565" s="564">
        <v>35237</v>
      </c>
      <c r="G2565" s="564">
        <v>817</v>
      </c>
      <c r="H2565" s="564">
        <v>3442</v>
      </c>
      <c r="I2565" s="557" t="str">
        <f t="shared" si="38"/>
        <v>GooD</v>
      </c>
    </row>
    <row r="2566" spans="1:9" ht="15.75" thickBot="1">
      <c r="A2566" s="565" t="s">
        <v>640</v>
      </c>
      <c r="B2566" s="565">
        <v>28000</v>
      </c>
      <c r="C2566" s="566">
        <v>12</v>
      </c>
      <c r="D2566" s="566">
        <v>0.31</v>
      </c>
      <c r="E2566" s="566">
        <v>8692</v>
      </c>
      <c r="F2566" s="566">
        <v>36692</v>
      </c>
      <c r="G2566" s="566">
        <v>980</v>
      </c>
      <c r="H2566" s="566">
        <v>2976</v>
      </c>
      <c r="I2566" s="558" t="str">
        <f t="shared" si="38"/>
        <v>GooD</v>
      </c>
    </row>
    <row r="2567" spans="1:9" ht="15.75" thickTop="1">
      <c r="A2567" s="567" t="s">
        <v>640</v>
      </c>
      <c r="B2567" s="567">
        <v>28000</v>
      </c>
      <c r="C2567" s="568">
        <v>14</v>
      </c>
      <c r="D2567" s="568">
        <v>0.31</v>
      </c>
      <c r="E2567" s="568">
        <v>10132</v>
      </c>
      <c r="F2567" s="568">
        <v>38132</v>
      </c>
      <c r="G2567" s="568">
        <v>1144</v>
      </c>
      <c r="H2567" s="568">
        <v>2642</v>
      </c>
      <c r="I2567" s="559" t="str">
        <f t="shared" si="38"/>
        <v>GooD</v>
      </c>
    </row>
    <row r="2568" spans="1:9">
      <c r="A2568" s="563" t="s">
        <v>640</v>
      </c>
      <c r="B2568" s="563">
        <v>28000</v>
      </c>
      <c r="C2568" s="564">
        <v>16</v>
      </c>
      <c r="D2568" s="564">
        <v>0.31</v>
      </c>
      <c r="E2568" s="564">
        <v>11579</v>
      </c>
      <c r="F2568" s="564">
        <v>39579</v>
      </c>
      <c r="G2568" s="564">
        <v>1307</v>
      </c>
      <c r="H2568" s="564">
        <v>2392</v>
      </c>
      <c r="I2568" s="557" t="str">
        <f t="shared" si="38"/>
        <v>GooD</v>
      </c>
    </row>
    <row r="2569" spans="1:9" ht="15.75" thickBot="1">
      <c r="A2569" s="565" t="s">
        <v>640</v>
      </c>
      <c r="B2569" s="565">
        <v>28000</v>
      </c>
      <c r="C2569" s="566">
        <v>18</v>
      </c>
      <c r="D2569" s="566">
        <v>0.31</v>
      </c>
      <c r="E2569" s="566">
        <v>13034</v>
      </c>
      <c r="F2569" s="566">
        <v>41034</v>
      </c>
      <c r="G2569" s="566">
        <v>1470</v>
      </c>
      <c r="H2569" s="566">
        <v>2198</v>
      </c>
      <c r="I2569" s="558" t="str">
        <f t="shared" si="38"/>
        <v>GooD</v>
      </c>
    </row>
    <row r="2570" spans="1:9" ht="15.75" thickTop="1">
      <c r="A2570" s="567" t="s">
        <v>640</v>
      </c>
      <c r="B2570" s="567">
        <v>28000</v>
      </c>
      <c r="C2570" s="568">
        <v>20</v>
      </c>
      <c r="D2570" s="568">
        <v>0.31</v>
      </c>
      <c r="E2570" s="568">
        <v>14474</v>
      </c>
      <c r="F2570" s="568">
        <v>42474</v>
      </c>
      <c r="G2570" s="568">
        <v>1634</v>
      </c>
      <c r="H2570" s="568">
        <v>2042</v>
      </c>
      <c r="I2570" s="559" t="str">
        <f t="shared" si="38"/>
        <v>GooD</v>
      </c>
    </row>
    <row r="2571" spans="1:9">
      <c r="A2571" s="563" t="s">
        <v>640</v>
      </c>
      <c r="B2571" s="563">
        <v>28000</v>
      </c>
      <c r="C2571" s="564">
        <v>22</v>
      </c>
      <c r="D2571" s="564">
        <v>0.31</v>
      </c>
      <c r="E2571" s="564">
        <v>15927</v>
      </c>
      <c r="F2571" s="564">
        <v>43927</v>
      </c>
      <c r="G2571" s="564">
        <v>1797</v>
      </c>
      <c r="H2571" s="564">
        <v>1915</v>
      </c>
      <c r="I2571" s="557" t="str">
        <f t="shared" si="38"/>
        <v>GooD</v>
      </c>
    </row>
    <row r="2572" spans="1:9" ht="15.75" thickBot="1">
      <c r="A2572" s="565" t="s">
        <v>640</v>
      </c>
      <c r="B2572" s="565">
        <v>28000</v>
      </c>
      <c r="C2572" s="566">
        <v>24</v>
      </c>
      <c r="D2572" s="566">
        <v>0.31</v>
      </c>
      <c r="E2572" s="566">
        <v>17376</v>
      </c>
      <c r="F2572" s="566">
        <v>45376</v>
      </c>
      <c r="G2572" s="566">
        <v>1960</v>
      </c>
      <c r="H2572" s="566">
        <v>1809</v>
      </c>
      <c r="I2572" s="558" t="str">
        <f t="shared" si="38"/>
        <v>GooD</v>
      </c>
    </row>
    <row r="2573" spans="1:9" ht="15.75" thickTop="1">
      <c r="A2573" s="567" t="s">
        <v>640</v>
      </c>
      <c r="B2573" s="567">
        <v>29000</v>
      </c>
      <c r="C2573" s="568">
        <v>4</v>
      </c>
      <c r="D2573" s="568">
        <v>0.31</v>
      </c>
      <c r="E2573" s="568">
        <v>2999</v>
      </c>
      <c r="F2573" s="568">
        <v>31999</v>
      </c>
      <c r="G2573" s="568">
        <v>339</v>
      </c>
      <c r="H2573" s="568">
        <v>7915</v>
      </c>
      <c r="I2573" s="559" t="str">
        <f t="shared" si="38"/>
        <v>GooD</v>
      </c>
    </row>
    <row r="2574" spans="1:9">
      <c r="A2574" s="563" t="s">
        <v>640</v>
      </c>
      <c r="B2574" s="563">
        <v>29000</v>
      </c>
      <c r="C2574" s="564">
        <v>6</v>
      </c>
      <c r="D2574" s="564">
        <v>0.31</v>
      </c>
      <c r="E2574" s="564">
        <v>4496</v>
      </c>
      <c r="F2574" s="564">
        <v>33496</v>
      </c>
      <c r="G2574" s="564">
        <v>508</v>
      </c>
      <c r="H2574" s="564">
        <v>5498</v>
      </c>
      <c r="I2574" s="557" t="str">
        <f t="shared" si="38"/>
        <v>GooD</v>
      </c>
    </row>
    <row r="2575" spans="1:9" ht="15.75" thickBot="1">
      <c r="A2575" s="565" t="s">
        <v>640</v>
      </c>
      <c r="B2575" s="565">
        <v>29000</v>
      </c>
      <c r="C2575" s="566">
        <v>8</v>
      </c>
      <c r="D2575" s="566">
        <v>0.31</v>
      </c>
      <c r="E2575" s="566">
        <v>5997</v>
      </c>
      <c r="F2575" s="566">
        <v>34997</v>
      </c>
      <c r="G2575" s="566">
        <v>677</v>
      </c>
      <c r="H2575" s="566">
        <v>4290</v>
      </c>
      <c r="I2575" s="558" t="str">
        <f t="shared" si="38"/>
        <v>GooD</v>
      </c>
    </row>
    <row r="2576" spans="1:9" ht="15.75" thickTop="1">
      <c r="A2576" s="567" t="s">
        <v>640</v>
      </c>
      <c r="B2576" s="567">
        <v>29000</v>
      </c>
      <c r="C2576" s="568">
        <v>10</v>
      </c>
      <c r="D2576" s="568">
        <v>0.31</v>
      </c>
      <c r="E2576" s="568">
        <v>7496</v>
      </c>
      <c r="F2576" s="568">
        <v>36496</v>
      </c>
      <c r="G2576" s="568">
        <v>846</v>
      </c>
      <c r="H2576" s="568">
        <v>3565</v>
      </c>
      <c r="I2576" s="559" t="str">
        <f t="shared" si="38"/>
        <v>GooD</v>
      </c>
    </row>
    <row r="2577" spans="1:9">
      <c r="A2577" s="563" t="s">
        <v>640</v>
      </c>
      <c r="B2577" s="563">
        <v>29000</v>
      </c>
      <c r="C2577" s="564">
        <v>12</v>
      </c>
      <c r="D2577" s="564">
        <v>0.31</v>
      </c>
      <c r="E2577" s="564">
        <v>8999</v>
      </c>
      <c r="F2577" s="564">
        <v>37999</v>
      </c>
      <c r="G2577" s="564">
        <v>1015</v>
      </c>
      <c r="H2577" s="564">
        <v>3082</v>
      </c>
      <c r="I2577" s="557" t="str">
        <f t="shared" si="38"/>
        <v>GooD</v>
      </c>
    </row>
    <row r="2578" spans="1:9" ht="15.75" thickBot="1">
      <c r="A2578" s="565" t="s">
        <v>640</v>
      </c>
      <c r="B2578" s="565">
        <v>29000</v>
      </c>
      <c r="C2578" s="566">
        <v>14</v>
      </c>
      <c r="D2578" s="566">
        <v>0.31</v>
      </c>
      <c r="E2578" s="566">
        <v>10503</v>
      </c>
      <c r="F2578" s="566">
        <v>39503</v>
      </c>
      <c r="G2578" s="566">
        <v>1185</v>
      </c>
      <c r="H2578" s="566">
        <v>2737</v>
      </c>
      <c r="I2578" s="558" t="str">
        <f t="shared" si="38"/>
        <v>GooD</v>
      </c>
    </row>
    <row r="2579" spans="1:9" ht="15.75" thickTop="1">
      <c r="A2579" s="567" t="s">
        <v>640</v>
      </c>
      <c r="B2579" s="567">
        <v>29000</v>
      </c>
      <c r="C2579" s="568">
        <v>16</v>
      </c>
      <c r="D2579" s="568">
        <v>0.31</v>
      </c>
      <c r="E2579" s="568">
        <v>12002</v>
      </c>
      <c r="F2579" s="568">
        <v>41002</v>
      </c>
      <c r="G2579" s="568">
        <v>1354</v>
      </c>
      <c r="H2579" s="568">
        <v>2478</v>
      </c>
      <c r="I2579" s="559" t="str">
        <f t="shared" si="38"/>
        <v>GooD</v>
      </c>
    </row>
    <row r="2580" spans="1:9">
      <c r="A2580" s="563" t="s">
        <v>640</v>
      </c>
      <c r="B2580" s="563">
        <v>29000</v>
      </c>
      <c r="C2580" s="564">
        <v>18</v>
      </c>
      <c r="D2580" s="564">
        <v>0.31</v>
      </c>
      <c r="E2580" s="564">
        <v>13491</v>
      </c>
      <c r="F2580" s="564">
        <v>42491</v>
      </c>
      <c r="G2580" s="564">
        <v>1523</v>
      </c>
      <c r="H2580" s="564">
        <v>2276</v>
      </c>
      <c r="I2580" s="557" t="str">
        <f t="shared" si="38"/>
        <v>GooD</v>
      </c>
    </row>
    <row r="2581" spans="1:9" ht="15.75" thickBot="1">
      <c r="A2581" s="565" t="s">
        <v>640</v>
      </c>
      <c r="B2581" s="565">
        <v>29000</v>
      </c>
      <c r="C2581" s="566">
        <v>20</v>
      </c>
      <c r="D2581" s="566">
        <v>0.31</v>
      </c>
      <c r="E2581" s="566">
        <v>14992</v>
      </c>
      <c r="F2581" s="566">
        <v>43992</v>
      </c>
      <c r="G2581" s="566">
        <v>1692</v>
      </c>
      <c r="H2581" s="566">
        <v>2115</v>
      </c>
      <c r="I2581" s="558" t="str">
        <f t="shared" si="38"/>
        <v>GooD</v>
      </c>
    </row>
    <row r="2582" spans="1:9" ht="15.75" thickTop="1">
      <c r="A2582" s="567" t="s">
        <v>640</v>
      </c>
      <c r="B2582" s="567">
        <v>29000</v>
      </c>
      <c r="C2582" s="568">
        <v>22</v>
      </c>
      <c r="D2582" s="568">
        <v>0.31</v>
      </c>
      <c r="E2582" s="568">
        <v>16487</v>
      </c>
      <c r="F2582" s="568">
        <v>45487</v>
      </c>
      <c r="G2582" s="568">
        <v>1861</v>
      </c>
      <c r="H2582" s="568">
        <v>1983</v>
      </c>
      <c r="I2582" s="559" t="str">
        <f t="shared" si="38"/>
        <v>GooD</v>
      </c>
    </row>
    <row r="2583" spans="1:9">
      <c r="A2583" s="563" t="s">
        <v>640</v>
      </c>
      <c r="B2583" s="563">
        <v>29000</v>
      </c>
      <c r="C2583" s="564">
        <v>24</v>
      </c>
      <c r="D2583" s="564">
        <v>0.31</v>
      </c>
      <c r="E2583" s="564">
        <v>17982</v>
      </c>
      <c r="F2583" s="564">
        <v>46982</v>
      </c>
      <c r="G2583" s="564">
        <v>2030</v>
      </c>
      <c r="H2583" s="564">
        <v>1873</v>
      </c>
      <c r="I2583" s="557" t="str">
        <f t="shared" si="38"/>
        <v>GooD</v>
      </c>
    </row>
    <row r="2584" spans="1:9" ht="15.75" thickBot="1">
      <c r="A2584" s="565" t="s">
        <v>640</v>
      </c>
      <c r="B2584" s="565">
        <v>30000</v>
      </c>
      <c r="C2584" s="566">
        <v>4</v>
      </c>
      <c r="D2584" s="566">
        <v>0.31</v>
      </c>
      <c r="E2584" s="566">
        <v>3102</v>
      </c>
      <c r="F2584" s="566">
        <v>33102</v>
      </c>
      <c r="G2584" s="566">
        <v>350</v>
      </c>
      <c r="H2584" s="566">
        <v>8188</v>
      </c>
      <c r="I2584" s="558" t="str">
        <f t="shared" si="38"/>
        <v>GooD</v>
      </c>
    </row>
    <row r="2585" spans="1:9" ht="15.75" thickTop="1">
      <c r="A2585" s="567" t="s">
        <v>640</v>
      </c>
      <c r="B2585" s="567">
        <v>30000</v>
      </c>
      <c r="C2585" s="568">
        <v>6</v>
      </c>
      <c r="D2585" s="568">
        <v>0.31</v>
      </c>
      <c r="E2585" s="568">
        <v>4653</v>
      </c>
      <c r="F2585" s="568">
        <v>34653</v>
      </c>
      <c r="G2585" s="568">
        <v>525</v>
      </c>
      <c r="H2585" s="568">
        <v>5688</v>
      </c>
      <c r="I2585" s="559" t="str">
        <f t="shared" si="38"/>
        <v>GooD</v>
      </c>
    </row>
    <row r="2586" spans="1:9">
      <c r="A2586" s="563" t="s">
        <v>640</v>
      </c>
      <c r="B2586" s="563">
        <v>30000</v>
      </c>
      <c r="C2586" s="564">
        <v>8</v>
      </c>
      <c r="D2586" s="564">
        <v>0.31</v>
      </c>
      <c r="E2586" s="564">
        <v>6204</v>
      </c>
      <c r="F2586" s="564">
        <v>36204</v>
      </c>
      <c r="G2586" s="564">
        <v>700</v>
      </c>
      <c r="H2586" s="564">
        <v>4438</v>
      </c>
      <c r="I2586" s="557" t="str">
        <f t="shared" si="38"/>
        <v>GooD</v>
      </c>
    </row>
    <row r="2587" spans="1:9" ht="15.75" thickBot="1">
      <c r="A2587" s="565" t="s">
        <v>640</v>
      </c>
      <c r="B2587" s="565">
        <v>30000</v>
      </c>
      <c r="C2587" s="566">
        <v>10</v>
      </c>
      <c r="D2587" s="566">
        <v>0.31</v>
      </c>
      <c r="E2587" s="566">
        <v>7755</v>
      </c>
      <c r="F2587" s="566">
        <v>37755</v>
      </c>
      <c r="G2587" s="566">
        <v>875</v>
      </c>
      <c r="H2587" s="566">
        <v>3688</v>
      </c>
      <c r="I2587" s="558" t="str">
        <f t="shared" si="38"/>
        <v>GooD</v>
      </c>
    </row>
    <row r="2588" spans="1:9" ht="15.75" thickTop="1">
      <c r="A2588" s="567" t="s">
        <v>640</v>
      </c>
      <c r="B2588" s="567">
        <v>30000</v>
      </c>
      <c r="C2588" s="568">
        <v>12</v>
      </c>
      <c r="D2588" s="568">
        <v>0.31</v>
      </c>
      <c r="E2588" s="568">
        <v>9306</v>
      </c>
      <c r="F2588" s="568">
        <v>39306</v>
      </c>
      <c r="G2588" s="568">
        <v>1050</v>
      </c>
      <c r="H2588" s="568">
        <v>3188</v>
      </c>
      <c r="I2588" s="559" t="str">
        <f t="shared" si="38"/>
        <v>GooD</v>
      </c>
    </row>
    <row r="2589" spans="1:9">
      <c r="A2589" s="563" t="s">
        <v>640</v>
      </c>
      <c r="B2589" s="563">
        <v>30000</v>
      </c>
      <c r="C2589" s="564">
        <v>14</v>
      </c>
      <c r="D2589" s="564">
        <v>0.31</v>
      </c>
      <c r="E2589" s="564">
        <v>10859</v>
      </c>
      <c r="F2589" s="564">
        <v>40859</v>
      </c>
      <c r="G2589" s="564">
        <v>1225</v>
      </c>
      <c r="H2589" s="564">
        <v>2831</v>
      </c>
      <c r="I2589" s="557" t="str">
        <f t="shared" si="38"/>
        <v>GooD</v>
      </c>
    </row>
    <row r="2590" spans="1:9" ht="15.75" thickBot="1">
      <c r="A2590" s="565" t="s">
        <v>640</v>
      </c>
      <c r="B2590" s="565">
        <v>30000</v>
      </c>
      <c r="C2590" s="566">
        <v>16</v>
      </c>
      <c r="D2590" s="566">
        <v>0.31</v>
      </c>
      <c r="E2590" s="566">
        <v>12408</v>
      </c>
      <c r="F2590" s="566">
        <v>42408</v>
      </c>
      <c r="G2590" s="566">
        <v>1400</v>
      </c>
      <c r="H2590" s="566">
        <v>2563</v>
      </c>
      <c r="I2590" s="558" t="str">
        <f t="shared" si="38"/>
        <v>GooD</v>
      </c>
    </row>
    <row r="2591" spans="1:9" ht="15.75" thickTop="1">
      <c r="A2591" s="567" t="s">
        <v>640</v>
      </c>
      <c r="B2591" s="567">
        <v>30000</v>
      </c>
      <c r="C2591" s="568">
        <v>18</v>
      </c>
      <c r="D2591" s="568">
        <v>0.31</v>
      </c>
      <c r="E2591" s="568">
        <v>13965</v>
      </c>
      <c r="F2591" s="568">
        <v>43965</v>
      </c>
      <c r="G2591" s="568">
        <v>1575</v>
      </c>
      <c r="H2591" s="568">
        <v>2355</v>
      </c>
      <c r="I2591" s="559" t="str">
        <f t="shared" si="38"/>
        <v>GooD</v>
      </c>
    </row>
    <row r="2592" spans="1:9">
      <c r="A2592" s="563" t="s">
        <v>640</v>
      </c>
      <c r="B2592" s="563">
        <v>30000</v>
      </c>
      <c r="C2592" s="564">
        <v>20</v>
      </c>
      <c r="D2592" s="564">
        <v>0.31</v>
      </c>
      <c r="E2592" s="564">
        <v>15510</v>
      </c>
      <c r="F2592" s="564">
        <v>45510</v>
      </c>
      <c r="G2592" s="564">
        <v>1750</v>
      </c>
      <c r="H2592" s="564">
        <v>2188</v>
      </c>
      <c r="I2592" s="557" t="str">
        <f t="shared" si="38"/>
        <v>GooD</v>
      </c>
    </row>
    <row r="2593" spans="1:9" ht="15.75" thickBot="1">
      <c r="A2593" s="565" t="s">
        <v>640</v>
      </c>
      <c r="B2593" s="565">
        <v>30000</v>
      </c>
      <c r="C2593" s="566">
        <v>22</v>
      </c>
      <c r="D2593" s="566">
        <v>0.31</v>
      </c>
      <c r="E2593" s="566">
        <v>17069</v>
      </c>
      <c r="F2593" s="566">
        <v>47069</v>
      </c>
      <c r="G2593" s="566">
        <v>1925</v>
      </c>
      <c r="H2593" s="566">
        <v>2052</v>
      </c>
      <c r="I2593" s="558" t="str">
        <f t="shared" si="38"/>
        <v>GooD</v>
      </c>
    </row>
    <row r="2594" spans="1:9" ht="15.75" thickTop="1">
      <c r="A2594" s="567" t="s">
        <v>640</v>
      </c>
      <c r="B2594" s="567">
        <v>30000</v>
      </c>
      <c r="C2594" s="568">
        <v>24</v>
      </c>
      <c r="D2594" s="568">
        <v>0.31</v>
      </c>
      <c r="E2594" s="568">
        <v>18612</v>
      </c>
      <c r="F2594" s="568">
        <v>48612</v>
      </c>
      <c r="G2594" s="568">
        <v>2100</v>
      </c>
      <c r="H2594" s="568">
        <v>1938</v>
      </c>
      <c r="I2594" s="559" t="str">
        <f t="shared" si="38"/>
        <v>GooD</v>
      </c>
    </row>
    <row r="2595" spans="1:9">
      <c r="A2595" s="563" t="s">
        <v>640</v>
      </c>
      <c r="B2595" s="563">
        <v>31000</v>
      </c>
      <c r="C2595" s="564">
        <v>4</v>
      </c>
      <c r="D2595" s="564">
        <v>0.31</v>
      </c>
      <c r="E2595" s="564">
        <v>3206</v>
      </c>
      <c r="F2595" s="564">
        <v>34206</v>
      </c>
      <c r="G2595" s="564">
        <v>362</v>
      </c>
      <c r="H2595" s="564">
        <v>8461</v>
      </c>
      <c r="I2595" s="557" t="str">
        <f t="shared" si="38"/>
        <v>GooD</v>
      </c>
    </row>
    <row r="2596" spans="1:9" ht="15.75" thickBot="1">
      <c r="A2596" s="565" t="s">
        <v>640</v>
      </c>
      <c r="B2596" s="565">
        <v>31000</v>
      </c>
      <c r="C2596" s="566">
        <v>6</v>
      </c>
      <c r="D2596" s="566">
        <v>0.31</v>
      </c>
      <c r="E2596" s="566">
        <v>4811</v>
      </c>
      <c r="F2596" s="566">
        <v>35811</v>
      </c>
      <c r="G2596" s="566">
        <v>543</v>
      </c>
      <c r="H2596" s="566">
        <v>5878</v>
      </c>
      <c r="I2596" s="558" t="str">
        <f t="shared" si="38"/>
        <v>GooD</v>
      </c>
    </row>
    <row r="2597" spans="1:9" ht="15.75" thickTop="1">
      <c r="A2597" s="567" t="s">
        <v>640</v>
      </c>
      <c r="B2597" s="567">
        <v>31000</v>
      </c>
      <c r="C2597" s="568">
        <v>8</v>
      </c>
      <c r="D2597" s="568">
        <v>0.31</v>
      </c>
      <c r="E2597" s="568">
        <v>6412</v>
      </c>
      <c r="F2597" s="568">
        <v>37412</v>
      </c>
      <c r="G2597" s="568">
        <v>724</v>
      </c>
      <c r="H2597" s="568">
        <v>4586</v>
      </c>
      <c r="I2597" s="559" t="str">
        <f t="shared" si="38"/>
        <v>GooD</v>
      </c>
    </row>
    <row r="2598" spans="1:9">
      <c r="A2598" s="563" t="s">
        <v>640</v>
      </c>
      <c r="B2598" s="563">
        <v>31000</v>
      </c>
      <c r="C2598" s="564">
        <v>10</v>
      </c>
      <c r="D2598" s="564">
        <v>0.31</v>
      </c>
      <c r="E2598" s="564">
        <v>8015</v>
      </c>
      <c r="F2598" s="564">
        <v>39015</v>
      </c>
      <c r="G2598" s="564">
        <v>905</v>
      </c>
      <c r="H2598" s="564">
        <v>3811</v>
      </c>
      <c r="I2598" s="557" t="str">
        <f t="shared" si="38"/>
        <v>GooD</v>
      </c>
    </row>
    <row r="2599" spans="1:9" ht="15.75" thickBot="1">
      <c r="A2599" s="565" t="s">
        <v>640</v>
      </c>
      <c r="B2599" s="565">
        <v>31000</v>
      </c>
      <c r="C2599" s="566">
        <v>12</v>
      </c>
      <c r="D2599" s="566">
        <v>0.31</v>
      </c>
      <c r="E2599" s="566">
        <v>9613</v>
      </c>
      <c r="F2599" s="566">
        <v>40613</v>
      </c>
      <c r="G2599" s="566">
        <v>1085</v>
      </c>
      <c r="H2599" s="566">
        <v>3294</v>
      </c>
      <c r="I2599" s="558" t="str">
        <f t="shared" ref="I2599:I2662" si="39">IF(((H2599*C2599)+G2599)=F2599,"GooD","لالالالالالالا")</f>
        <v>GooD</v>
      </c>
    </row>
    <row r="2600" spans="1:9" ht="15.75" thickTop="1">
      <c r="A2600" s="567" t="s">
        <v>640</v>
      </c>
      <c r="B2600" s="567">
        <v>31000</v>
      </c>
      <c r="C2600" s="568">
        <v>14</v>
      </c>
      <c r="D2600" s="568">
        <v>0.31</v>
      </c>
      <c r="E2600" s="568">
        <v>11216</v>
      </c>
      <c r="F2600" s="568">
        <v>42216</v>
      </c>
      <c r="G2600" s="568">
        <v>1266</v>
      </c>
      <c r="H2600" s="568">
        <v>2925</v>
      </c>
      <c r="I2600" s="559" t="str">
        <f t="shared" si="39"/>
        <v>GooD</v>
      </c>
    </row>
    <row r="2601" spans="1:9">
      <c r="A2601" s="563" t="s">
        <v>640</v>
      </c>
      <c r="B2601" s="563">
        <v>31000</v>
      </c>
      <c r="C2601" s="564">
        <v>16</v>
      </c>
      <c r="D2601" s="564">
        <v>0.31</v>
      </c>
      <c r="E2601" s="564">
        <v>12815</v>
      </c>
      <c r="F2601" s="564">
        <v>43815</v>
      </c>
      <c r="G2601" s="564">
        <v>1447</v>
      </c>
      <c r="H2601" s="564">
        <v>2648</v>
      </c>
      <c r="I2601" s="557" t="str">
        <f t="shared" si="39"/>
        <v>GooD</v>
      </c>
    </row>
    <row r="2602" spans="1:9" ht="15.75" thickBot="1">
      <c r="A2602" s="565" t="s">
        <v>640</v>
      </c>
      <c r="B2602" s="565">
        <v>31000</v>
      </c>
      <c r="C2602" s="566">
        <v>18</v>
      </c>
      <c r="D2602" s="566">
        <v>0.31</v>
      </c>
      <c r="E2602" s="566">
        <v>14422</v>
      </c>
      <c r="F2602" s="566">
        <v>45422</v>
      </c>
      <c r="G2602" s="566">
        <v>1628</v>
      </c>
      <c r="H2602" s="566">
        <v>2433</v>
      </c>
      <c r="I2602" s="558" t="str">
        <f t="shared" si="39"/>
        <v>GooD</v>
      </c>
    </row>
    <row r="2603" spans="1:9" ht="15.75" thickTop="1">
      <c r="A2603" s="567" t="s">
        <v>640</v>
      </c>
      <c r="B2603" s="567">
        <v>31000</v>
      </c>
      <c r="C2603" s="568">
        <v>20</v>
      </c>
      <c r="D2603" s="568">
        <v>0.31</v>
      </c>
      <c r="E2603" s="568">
        <v>16029</v>
      </c>
      <c r="F2603" s="568">
        <v>47029</v>
      </c>
      <c r="G2603" s="568">
        <v>1809</v>
      </c>
      <c r="H2603" s="568">
        <v>2261</v>
      </c>
      <c r="I2603" s="559" t="str">
        <f t="shared" si="39"/>
        <v>GooD</v>
      </c>
    </row>
    <row r="2604" spans="1:9">
      <c r="A2604" s="563" t="s">
        <v>640</v>
      </c>
      <c r="B2604" s="563">
        <v>31000</v>
      </c>
      <c r="C2604" s="564">
        <v>22</v>
      </c>
      <c r="D2604" s="564">
        <v>0.31</v>
      </c>
      <c r="E2604" s="564">
        <v>17630</v>
      </c>
      <c r="F2604" s="564">
        <v>48630</v>
      </c>
      <c r="G2604" s="564">
        <v>1990</v>
      </c>
      <c r="H2604" s="564">
        <v>2120</v>
      </c>
      <c r="I2604" s="557" t="str">
        <f t="shared" si="39"/>
        <v>GooD</v>
      </c>
    </row>
    <row r="2605" spans="1:9" ht="15.75" thickBot="1">
      <c r="A2605" s="565" t="s">
        <v>640</v>
      </c>
      <c r="B2605" s="565">
        <v>31000</v>
      </c>
      <c r="C2605" s="566">
        <v>24</v>
      </c>
      <c r="D2605" s="566">
        <v>0.31</v>
      </c>
      <c r="E2605" s="566">
        <v>19242</v>
      </c>
      <c r="F2605" s="566">
        <v>50242</v>
      </c>
      <c r="G2605" s="566">
        <v>2170</v>
      </c>
      <c r="H2605" s="566">
        <v>2003</v>
      </c>
      <c r="I2605" s="558" t="str">
        <f t="shared" si="39"/>
        <v>GooD</v>
      </c>
    </row>
    <row r="2606" spans="1:9" ht="15.75" thickTop="1">
      <c r="A2606" s="567" t="s">
        <v>640</v>
      </c>
      <c r="B2606" s="567">
        <v>32000</v>
      </c>
      <c r="C2606" s="568">
        <v>4</v>
      </c>
      <c r="D2606" s="568">
        <v>0.31</v>
      </c>
      <c r="E2606" s="568">
        <v>3310</v>
      </c>
      <c r="F2606" s="568">
        <v>35310</v>
      </c>
      <c r="G2606" s="568">
        <v>374</v>
      </c>
      <c r="H2606" s="568">
        <v>8734</v>
      </c>
      <c r="I2606" s="559" t="str">
        <f t="shared" si="39"/>
        <v>GooD</v>
      </c>
    </row>
    <row r="2607" spans="1:9">
      <c r="A2607" s="563" t="s">
        <v>640</v>
      </c>
      <c r="B2607" s="563">
        <v>32000</v>
      </c>
      <c r="C2607" s="564">
        <v>6</v>
      </c>
      <c r="D2607" s="564">
        <v>0.31</v>
      </c>
      <c r="E2607" s="564">
        <v>4962</v>
      </c>
      <c r="F2607" s="564">
        <v>36962</v>
      </c>
      <c r="G2607" s="564">
        <v>560</v>
      </c>
      <c r="H2607" s="564">
        <v>6067</v>
      </c>
      <c r="I2607" s="557" t="str">
        <f t="shared" si="39"/>
        <v>GooD</v>
      </c>
    </row>
    <row r="2608" spans="1:9" ht="15.75" thickBot="1">
      <c r="A2608" s="565" t="s">
        <v>640</v>
      </c>
      <c r="B2608" s="565">
        <v>32000</v>
      </c>
      <c r="C2608" s="566">
        <v>8</v>
      </c>
      <c r="D2608" s="566">
        <v>0.31</v>
      </c>
      <c r="E2608" s="566">
        <v>6619</v>
      </c>
      <c r="F2608" s="566">
        <v>38619</v>
      </c>
      <c r="G2608" s="566">
        <v>747</v>
      </c>
      <c r="H2608" s="566">
        <v>4734</v>
      </c>
      <c r="I2608" s="558" t="str">
        <f t="shared" si="39"/>
        <v>GooD</v>
      </c>
    </row>
    <row r="2609" spans="1:9" ht="15.75" thickTop="1">
      <c r="A2609" s="567" t="s">
        <v>640</v>
      </c>
      <c r="B2609" s="567">
        <v>32000</v>
      </c>
      <c r="C2609" s="568">
        <v>10</v>
      </c>
      <c r="D2609" s="568">
        <v>0.31</v>
      </c>
      <c r="E2609" s="568">
        <v>8274</v>
      </c>
      <c r="F2609" s="568">
        <v>40274</v>
      </c>
      <c r="G2609" s="568">
        <v>934</v>
      </c>
      <c r="H2609" s="568">
        <v>3934</v>
      </c>
      <c r="I2609" s="559" t="str">
        <f t="shared" si="39"/>
        <v>GooD</v>
      </c>
    </row>
    <row r="2610" spans="1:9">
      <c r="A2610" s="563" t="s">
        <v>640</v>
      </c>
      <c r="B2610" s="563">
        <v>32000</v>
      </c>
      <c r="C2610" s="564">
        <v>12</v>
      </c>
      <c r="D2610" s="564">
        <v>0.31</v>
      </c>
      <c r="E2610" s="564">
        <v>9932</v>
      </c>
      <c r="F2610" s="564">
        <v>41932</v>
      </c>
      <c r="G2610" s="564">
        <v>1120</v>
      </c>
      <c r="H2610" s="564">
        <v>3401</v>
      </c>
      <c r="I2610" s="557" t="str">
        <f t="shared" si="39"/>
        <v>GooD</v>
      </c>
    </row>
    <row r="2611" spans="1:9" ht="15.75" thickBot="1">
      <c r="A2611" s="565" t="s">
        <v>640</v>
      </c>
      <c r="B2611" s="565">
        <v>32000</v>
      </c>
      <c r="C2611" s="566">
        <v>14</v>
      </c>
      <c r="D2611" s="566">
        <v>0.31</v>
      </c>
      <c r="E2611" s="566">
        <v>11587</v>
      </c>
      <c r="F2611" s="566">
        <v>43587</v>
      </c>
      <c r="G2611" s="566">
        <v>1307</v>
      </c>
      <c r="H2611" s="566">
        <v>3020</v>
      </c>
      <c r="I2611" s="558" t="str">
        <f t="shared" si="39"/>
        <v>GooD</v>
      </c>
    </row>
    <row r="2612" spans="1:9" ht="15.75" thickTop="1">
      <c r="A2612" s="567" t="s">
        <v>640</v>
      </c>
      <c r="B2612" s="567">
        <v>32000</v>
      </c>
      <c r="C2612" s="568">
        <v>16</v>
      </c>
      <c r="D2612" s="568">
        <v>0.31</v>
      </c>
      <c r="E2612" s="568">
        <v>13238</v>
      </c>
      <c r="F2612" s="568">
        <v>45238</v>
      </c>
      <c r="G2612" s="568">
        <v>1494</v>
      </c>
      <c r="H2612" s="568">
        <v>2734</v>
      </c>
      <c r="I2612" s="559" t="str">
        <f t="shared" si="39"/>
        <v>GooD</v>
      </c>
    </row>
    <row r="2613" spans="1:9">
      <c r="A2613" s="563" t="s">
        <v>640</v>
      </c>
      <c r="B2613" s="563">
        <v>32000</v>
      </c>
      <c r="C2613" s="564">
        <v>18</v>
      </c>
      <c r="D2613" s="564">
        <v>0.31</v>
      </c>
      <c r="E2613" s="564">
        <v>14896</v>
      </c>
      <c r="F2613" s="564">
        <v>46896</v>
      </c>
      <c r="G2613" s="564">
        <v>1680</v>
      </c>
      <c r="H2613" s="564">
        <v>2512</v>
      </c>
      <c r="I2613" s="557" t="str">
        <f t="shared" si="39"/>
        <v>GooD</v>
      </c>
    </row>
    <row r="2614" spans="1:9" ht="15.75" thickBot="1">
      <c r="A2614" s="565" t="s">
        <v>640</v>
      </c>
      <c r="B2614" s="565">
        <v>32000</v>
      </c>
      <c r="C2614" s="566">
        <v>20</v>
      </c>
      <c r="D2614" s="566">
        <v>0.31</v>
      </c>
      <c r="E2614" s="566">
        <v>16547</v>
      </c>
      <c r="F2614" s="566">
        <v>48547</v>
      </c>
      <c r="G2614" s="566">
        <v>1867</v>
      </c>
      <c r="H2614" s="566">
        <v>2334</v>
      </c>
      <c r="I2614" s="558" t="str">
        <f t="shared" si="39"/>
        <v>GooD</v>
      </c>
    </row>
    <row r="2615" spans="1:9" ht="15.75" thickTop="1">
      <c r="A2615" s="567" t="s">
        <v>640</v>
      </c>
      <c r="B2615" s="567">
        <v>32000</v>
      </c>
      <c r="C2615" s="568">
        <v>22</v>
      </c>
      <c r="D2615" s="568">
        <v>0.31</v>
      </c>
      <c r="E2615" s="568">
        <v>18190</v>
      </c>
      <c r="F2615" s="568">
        <v>50190</v>
      </c>
      <c r="G2615" s="568">
        <v>2054</v>
      </c>
      <c r="H2615" s="568">
        <v>2188</v>
      </c>
      <c r="I2615" s="559" t="str">
        <f t="shared" si="39"/>
        <v>GooD</v>
      </c>
    </row>
    <row r="2616" spans="1:9">
      <c r="A2616" s="563" t="s">
        <v>640</v>
      </c>
      <c r="B2616" s="563">
        <v>32000</v>
      </c>
      <c r="C2616" s="564">
        <v>24</v>
      </c>
      <c r="D2616" s="564">
        <v>0.31</v>
      </c>
      <c r="E2616" s="564">
        <v>19848</v>
      </c>
      <c r="F2616" s="564">
        <v>51848</v>
      </c>
      <c r="G2616" s="564">
        <v>2240</v>
      </c>
      <c r="H2616" s="564">
        <v>2067</v>
      </c>
      <c r="I2616" s="557" t="str">
        <f t="shared" si="39"/>
        <v>GooD</v>
      </c>
    </row>
    <row r="2617" spans="1:9" ht="15.75" thickBot="1">
      <c r="A2617" s="565" t="s">
        <v>640</v>
      </c>
      <c r="B2617" s="565">
        <v>33000</v>
      </c>
      <c r="C2617" s="566">
        <v>4</v>
      </c>
      <c r="D2617" s="566">
        <v>0.31</v>
      </c>
      <c r="E2617" s="566">
        <v>3413</v>
      </c>
      <c r="F2617" s="566">
        <v>36413</v>
      </c>
      <c r="G2617" s="566">
        <v>385</v>
      </c>
      <c r="H2617" s="566">
        <v>9007</v>
      </c>
      <c r="I2617" s="558" t="str">
        <f t="shared" si="39"/>
        <v>GooD</v>
      </c>
    </row>
    <row r="2618" spans="1:9" ht="15.75" thickTop="1">
      <c r="A2618" s="567" t="s">
        <v>640</v>
      </c>
      <c r="B2618" s="567">
        <v>33000</v>
      </c>
      <c r="C2618" s="568">
        <v>6</v>
      </c>
      <c r="D2618" s="568">
        <v>0.31</v>
      </c>
      <c r="E2618" s="568">
        <v>5120</v>
      </c>
      <c r="F2618" s="568">
        <v>38120</v>
      </c>
      <c r="G2618" s="568">
        <v>578</v>
      </c>
      <c r="H2618" s="568">
        <v>6257</v>
      </c>
      <c r="I2618" s="559" t="str">
        <f t="shared" si="39"/>
        <v>GooD</v>
      </c>
    </row>
    <row r="2619" spans="1:9">
      <c r="A2619" s="563" t="s">
        <v>640</v>
      </c>
      <c r="B2619" s="563">
        <v>33000</v>
      </c>
      <c r="C2619" s="564">
        <v>8</v>
      </c>
      <c r="D2619" s="564">
        <v>0.31</v>
      </c>
      <c r="E2619" s="564">
        <v>6826</v>
      </c>
      <c r="F2619" s="564">
        <v>39826</v>
      </c>
      <c r="G2619" s="564">
        <v>770</v>
      </c>
      <c r="H2619" s="564">
        <v>4882</v>
      </c>
      <c r="I2619" s="557" t="str">
        <f t="shared" si="39"/>
        <v>GooD</v>
      </c>
    </row>
    <row r="2620" spans="1:9" ht="15.75" thickBot="1">
      <c r="A2620" s="565" t="s">
        <v>640</v>
      </c>
      <c r="B2620" s="565">
        <v>33000</v>
      </c>
      <c r="C2620" s="566">
        <v>10</v>
      </c>
      <c r="D2620" s="566">
        <v>0.31</v>
      </c>
      <c r="E2620" s="566">
        <v>8533</v>
      </c>
      <c r="F2620" s="566">
        <v>41533</v>
      </c>
      <c r="G2620" s="566">
        <v>963</v>
      </c>
      <c r="H2620" s="566">
        <v>4057</v>
      </c>
      <c r="I2620" s="558" t="str">
        <f t="shared" si="39"/>
        <v>GooD</v>
      </c>
    </row>
    <row r="2621" spans="1:9" ht="15.75" thickTop="1">
      <c r="A2621" s="567" t="s">
        <v>640</v>
      </c>
      <c r="B2621" s="567">
        <v>33000</v>
      </c>
      <c r="C2621" s="568">
        <v>12</v>
      </c>
      <c r="D2621" s="568">
        <v>0.31</v>
      </c>
      <c r="E2621" s="568">
        <v>10239</v>
      </c>
      <c r="F2621" s="568">
        <v>43239</v>
      </c>
      <c r="G2621" s="568">
        <v>1155</v>
      </c>
      <c r="H2621" s="568">
        <v>3507</v>
      </c>
      <c r="I2621" s="559" t="str">
        <f t="shared" si="39"/>
        <v>GooD</v>
      </c>
    </row>
    <row r="2622" spans="1:9">
      <c r="A2622" s="563" t="s">
        <v>640</v>
      </c>
      <c r="B2622" s="563">
        <v>33000</v>
      </c>
      <c r="C2622" s="564">
        <v>14</v>
      </c>
      <c r="D2622" s="564">
        <v>0.31</v>
      </c>
      <c r="E2622" s="564">
        <v>11944</v>
      </c>
      <c r="F2622" s="564">
        <v>44944</v>
      </c>
      <c r="G2622" s="564">
        <v>1348</v>
      </c>
      <c r="H2622" s="564">
        <v>3114</v>
      </c>
      <c r="I2622" s="557" t="str">
        <f t="shared" si="39"/>
        <v>GooD</v>
      </c>
    </row>
    <row r="2623" spans="1:9" ht="15.75" thickBot="1">
      <c r="A2623" s="565" t="s">
        <v>640</v>
      </c>
      <c r="B2623" s="565">
        <v>33000</v>
      </c>
      <c r="C2623" s="566">
        <v>16</v>
      </c>
      <c r="D2623" s="566">
        <v>0.31</v>
      </c>
      <c r="E2623" s="566">
        <v>13644</v>
      </c>
      <c r="F2623" s="566">
        <v>46644</v>
      </c>
      <c r="G2623" s="566">
        <v>1540</v>
      </c>
      <c r="H2623" s="566">
        <v>2819</v>
      </c>
      <c r="I2623" s="558" t="str">
        <f t="shared" si="39"/>
        <v>GooD</v>
      </c>
    </row>
    <row r="2624" spans="1:9" ht="15.75" thickTop="1">
      <c r="A2624" s="567" t="s">
        <v>640</v>
      </c>
      <c r="B2624" s="567">
        <v>33000</v>
      </c>
      <c r="C2624" s="568">
        <v>18</v>
      </c>
      <c r="D2624" s="568">
        <v>0.31</v>
      </c>
      <c r="E2624" s="568">
        <v>15353</v>
      </c>
      <c r="F2624" s="568">
        <v>48353</v>
      </c>
      <c r="G2624" s="568">
        <v>1733</v>
      </c>
      <c r="H2624" s="568">
        <v>2590</v>
      </c>
      <c r="I2624" s="559" t="str">
        <f t="shared" si="39"/>
        <v>GooD</v>
      </c>
    </row>
    <row r="2625" spans="1:9">
      <c r="A2625" s="563" t="s">
        <v>640</v>
      </c>
      <c r="B2625" s="563">
        <v>33000</v>
      </c>
      <c r="C2625" s="564">
        <v>20</v>
      </c>
      <c r="D2625" s="564">
        <v>0.31</v>
      </c>
      <c r="E2625" s="564">
        <v>17065</v>
      </c>
      <c r="F2625" s="564">
        <v>50065</v>
      </c>
      <c r="G2625" s="564">
        <v>1925</v>
      </c>
      <c r="H2625" s="564">
        <v>2407</v>
      </c>
      <c r="I2625" s="557" t="str">
        <f t="shared" si="39"/>
        <v>GooD</v>
      </c>
    </row>
    <row r="2626" spans="1:9" ht="15.75" thickBot="1">
      <c r="A2626" s="565" t="s">
        <v>640</v>
      </c>
      <c r="B2626" s="565">
        <v>33000</v>
      </c>
      <c r="C2626" s="566">
        <v>22</v>
      </c>
      <c r="D2626" s="566">
        <v>0.31</v>
      </c>
      <c r="E2626" s="566">
        <v>18772</v>
      </c>
      <c r="F2626" s="566">
        <v>51772</v>
      </c>
      <c r="G2626" s="566">
        <v>2118</v>
      </c>
      <c r="H2626" s="566">
        <v>2257</v>
      </c>
      <c r="I2626" s="558" t="str">
        <f t="shared" si="39"/>
        <v>GooD</v>
      </c>
    </row>
    <row r="2627" spans="1:9" ht="15.75" thickTop="1">
      <c r="A2627" s="567" t="s">
        <v>640</v>
      </c>
      <c r="B2627" s="567">
        <v>33000</v>
      </c>
      <c r="C2627" s="568">
        <v>24</v>
      </c>
      <c r="D2627" s="568">
        <v>0.31</v>
      </c>
      <c r="E2627" s="568">
        <v>20478</v>
      </c>
      <c r="F2627" s="568">
        <v>53478</v>
      </c>
      <c r="G2627" s="568">
        <v>2310</v>
      </c>
      <c r="H2627" s="568">
        <v>2132</v>
      </c>
      <c r="I2627" s="559" t="str">
        <f t="shared" si="39"/>
        <v>GooD</v>
      </c>
    </row>
    <row r="2628" spans="1:9">
      <c r="A2628" s="563" t="s">
        <v>640</v>
      </c>
      <c r="B2628" s="563">
        <v>34000</v>
      </c>
      <c r="C2628" s="564">
        <v>4</v>
      </c>
      <c r="D2628" s="564">
        <v>0.31</v>
      </c>
      <c r="E2628" s="564">
        <v>3517</v>
      </c>
      <c r="F2628" s="564">
        <v>37517</v>
      </c>
      <c r="G2628" s="564">
        <v>397</v>
      </c>
      <c r="H2628" s="564">
        <v>9280</v>
      </c>
      <c r="I2628" s="557" t="str">
        <f t="shared" si="39"/>
        <v>GooD</v>
      </c>
    </row>
    <row r="2629" spans="1:9" ht="15.75" thickBot="1">
      <c r="A2629" s="565" t="s">
        <v>640</v>
      </c>
      <c r="B2629" s="565">
        <v>34000</v>
      </c>
      <c r="C2629" s="566">
        <v>6</v>
      </c>
      <c r="D2629" s="566">
        <v>0.31</v>
      </c>
      <c r="E2629" s="566">
        <v>5271</v>
      </c>
      <c r="F2629" s="566">
        <v>39271</v>
      </c>
      <c r="G2629" s="566">
        <v>595</v>
      </c>
      <c r="H2629" s="566">
        <v>6446</v>
      </c>
      <c r="I2629" s="558" t="str">
        <f t="shared" si="39"/>
        <v>GooD</v>
      </c>
    </row>
    <row r="2630" spans="1:9" ht="15.75" thickTop="1">
      <c r="A2630" s="567" t="s">
        <v>640</v>
      </c>
      <c r="B2630" s="567">
        <v>34000</v>
      </c>
      <c r="C2630" s="568">
        <v>8</v>
      </c>
      <c r="D2630" s="568">
        <v>0.31</v>
      </c>
      <c r="E2630" s="568">
        <v>7034</v>
      </c>
      <c r="F2630" s="568">
        <v>41034</v>
      </c>
      <c r="G2630" s="568">
        <v>794</v>
      </c>
      <c r="H2630" s="568">
        <v>5030</v>
      </c>
      <c r="I2630" s="559" t="str">
        <f t="shared" si="39"/>
        <v>GooD</v>
      </c>
    </row>
    <row r="2631" spans="1:9">
      <c r="A2631" s="563" t="s">
        <v>640</v>
      </c>
      <c r="B2631" s="563">
        <v>34000</v>
      </c>
      <c r="C2631" s="564">
        <v>10</v>
      </c>
      <c r="D2631" s="564">
        <v>0.31</v>
      </c>
      <c r="E2631" s="564">
        <v>8792</v>
      </c>
      <c r="F2631" s="564">
        <v>42792</v>
      </c>
      <c r="G2631" s="564">
        <v>992</v>
      </c>
      <c r="H2631" s="564">
        <v>4180</v>
      </c>
      <c r="I2631" s="557" t="str">
        <f t="shared" si="39"/>
        <v>GooD</v>
      </c>
    </row>
    <row r="2632" spans="1:9" ht="15.75" thickBot="1">
      <c r="A2632" s="565" t="s">
        <v>640</v>
      </c>
      <c r="B2632" s="565">
        <v>34000</v>
      </c>
      <c r="C2632" s="566">
        <v>12</v>
      </c>
      <c r="D2632" s="566">
        <v>0.31</v>
      </c>
      <c r="E2632" s="566">
        <v>10546</v>
      </c>
      <c r="F2632" s="566">
        <v>44546</v>
      </c>
      <c r="G2632" s="566">
        <v>1190</v>
      </c>
      <c r="H2632" s="566">
        <v>3613</v>
      </c>
      <c r="I2632" s="558" t="str">
        <f t="shared" si="39"/>
        <v>GooD</v>
      </c>
    </row>
    <row r="2633" spans="1:9" ht="15.75" thickTop="1">
      <c r="A2633" s="567" t="s">
        <v>640</v>
      </c>
      <c r="B2633" s="567">
        <v>34000</v>
      </c>
      <c r="C2633" s="568">
        <v>14</v>
      </c>
      <c r="D2633" s="568">
        <v>0.31</v>
      </c>
      <c r="E2633" s="568">
        <v>12301</v>
      </c>
      <c r="F2633" s="568">
        <v>46301</v>
      </c>
      <c r="G2633" s="568">
        <v>1389</v>
      </c>
      <c r="H2633" s="568">
        <v>3208</v>
      </c>
      <c r="I2633" s="559" t="str">
        <f t="shared" si="39"/>
        <v>GooD</v>
      </c>
    </row>
    <row r="2634" spans="1:9">
      <c r="A2634" s="563" t="s">
        <v>640</v>
      </c>
      <c r="B2634" s="563">
        <v>34000</v>
      </c>
      <c r="C2634" s="564">
        <v>16</v>
      </c>
      <c r="D2634" s="564">
        <v>0.31</v>
      </c>
      <c r="E2634" s="564">
        <v>14067</v>
      </c>
      <c r="F2634" s="564">
        <v>48067</v>
      </c>
      <c r="G2634" s="564">
        <v>1587</v>
      </c>
      <c r="H2634" s="564">
        <v>2905</v>
      </c>
      <c r="I2634" s="557" t="str">
        <f t="shared" si="39"/>
        <v>GooD</v>
      </c>
    </row>
    <row r="2635" spans="1:9" ht="15.75" thickBot="1">
      <c r="A2635" s="565" t="s">
        <v>640</v>
      </c>
      <c r="B2635" s="565">
        <v>34000</v>
      </c>
      <c r="C2635" s="566">
        <v>18</v>
      </c>
      <c r="D2635" s="566">
        <v>0.31</v>
      </c>
      <c r="E2635" s="566">
        <v>15827</v>
      </c>
      <c r="F2635" s="566">
        <v>49827</v>
      </c>
      <c r="G2635" s="566">
        <v>1785</v>
      </c>
      <c r="H2635" s="566">
        <v>2669</v>
      </c>
      <c r="I2635" s="558" t="str">
        <f t="shared" si="39"/>
        <v>GooD</v>
      </c>
    </row>
    <row r="2636" spans="1:9" ht="15.75" thickTop="1">
      <c r="A2636" s="567" t="s">
        <v>640</v>
      </c>
      <c r="B2636" s="567">
        <v>34000</v>
      </c>
      <c r="C2636" s="568">
        <v>20</v>
      </c>
      <c r="D2636" s="568">
        <v>0.31</v>
      </c>
      <c r="E2636" s="568">
        <v>17584</v>
      </c>
      <c r="F2636" s="568">
        <v>51584</v>
      </c>
      <c r="G2636" s="568">
        <v>1984</v>
      </c>
      <c r="H2636" s="568">
        <v>2480</v>
      </c>
      <c r="I2636" s="559" t="str">
        <f t="shared" si="39"/>
        <v>GooD</v>
      </c>
    </row>
    <row r="2637" spans="1:9">
      <c r="A2637" s="563" t="s">
        <v>640</v>
      </c>
      <c r="B2637" s="563">
        <v>34000</v>
      </c>
      <c r="C2637" s="564">
        <v>22</v>
      </c>
      <c r="D2637" s="564">
        <v>0.31</v>
      </c>
      <c r="E2637" s="564">
        <v>19332</v>
      </c>
      <c r="F2637" s="564">
        <v>53332</v>
      </c>
      <c r="G2637" s="564">
        <v>2182</v>
      </c>
      <c r="H2637" s="564">
        <v>2325</v>
      </c>
      <c r="I2637" s="557" t="str">
        <f t="shared" si="39"/>
        <v>GooD</v>
      </c>
    </row>
    <row r="2638" spans="1:9" ht="15.75" thickBot="1">
      <c r="A2638" s="565" t="s">
        <v>640</v>
      </c>
      <c r="B2638" s="565">
        <v>34000</v>
      </c>
      <c r="C2638" s="566">
        <v>24</v>
      </c>
      <c r="D2638" s="566">
        <v>0.31</v>
      </c>
      <c r="E2638" s="566">
        <v>21084</v>
      </c>
      <c r="F2638" s="566">
        <v>55084</v>
      </c>
      <c r="G2638" s="566">
        <v>2380</v>
      </c>
      <c r="H2638" s="566">
        <v>2196</v>
      </c>
      <c r="I2638" s="558" t="str">
        <f t="shared" si="39"/>
        <v>GooD</v>
      </c>
    </row>
    <row r="2639" spans="1:9" ht="15.75" thickTop="1">
      <c r="A2639" s="567" t="s">
        <v>640</v>
      </c>
      <c r="B2639" s="567">
        <v>35000</v>
      </c>
      <c r="C2639" s="568">
        <v>4</v>
      </c>
      <c r="D2639" s="568">
        <v>0.31</v>
      </c>
      <c r="E2639" s="568">
        <v>3621</v>
      </c>
      <c r="F2639" s="568">
        <v>38621</v>
      </c>
      <c r="G2639" s="568">
        <v>409</v>
      </c>
      <c r="H2639" s="568">
        <v>9553</v>
      </c>
      <c r="I2639" s="559" t="str">
        <f t="shared" si="39"/>
        <v>GooD</v>
      </c>
    </row>
    <row r="2640" spans="1:9">
      <c r="A2640" s="563" t="s">
        <v>640</v>
      </c>
      <c r="B2640" s="563">
        <v>35000</v>
      </c>
      <c r="C2640" s="564">
        <v>6</v>
      </c>
      <c r="D2640" s="564">
        <v>0.31</v>
      </c>
      <c r="E2640" s="564">
        <v>5429</v>
      </c>
      <c r="F2640" s="564">
        <v>40429</v>
      </c>
      <c r="G2640" s="564">
        <v>613</v>
      </c>
      <c r="H2640" s="564">
        <v>6636</v>
      </c>
      <c r="I2640" s="557" t="str">
        <f t="shared" si="39"/>
        <v>GooD</v>
      </c>
    </row>
    <row r="2641" spans="1:9" ht="15.75" thickBot="1">
      <c r="A2641" s="565" t="s">
        <v>640</v>
      </c>
      <c r="B2641" s="565">
        <v>35000</v>
      </c>
      <c r="C2641" s="566">
        <v>8</v>
      </c>
      <c r="D2641" s="566">
        <v>0.31</v>
      </c>
      <c r="E2641" s="566">
        <v>7241</v>
      </c>
      <c r="F2641" s="566">
        <v>42241</v>
      </c>
      <c r="G2641" s="566">
        <v>817</v>
      </c>
      <c r="H2641" s="566">
        <v>5178</v>
      </c>
      <c r="I2641" s="558" t="str">
        <f t="shared" si="39"/>
        <v>GooD</v>
      </c>
    </row>
    <row r="2642" spans="1:9" ht="15.75" thickTop="1">
      <c r="A2642" s="567" t="s">
        <v>640</v>
      </c>
      <c r="B2642" s="567">
        <v>35000</v>
      </c>
      <c r="C2642" s="568">
        <v>10</v>
      </c>
      <c r="D2642" s="568">
        <v>0.31</v>
      </c>
      <c r="E2642" s="568">
        <v>9051</v>
      </c>
      <c r="F2642" s="568">
        <v>44051</v>
      </c>
      <c r="G2642" s="568">
        <v>1021</v>
      </c>
      <c r="H2642" s="568">
        <v>4303</v>
      </c>
      <c r="I2642" s="559" t="str">
        <f t="shared" si="39"/>
        <v>GooD</v>
      </c>
    </row>
    <row r="2643" spans="1:9">
      <c r="A2643" s="563" t="s">
        <v>640</v>
      </c>
      <c r="B2643" s="563">
        <v>35000</v>
      </c>
      <c r="C2643" s="564">
        <v>12</v>
      </c>
      <c r="D2643" s="564">
        <v>0.31</v>
      </c>
      <c r="E2643" s="564">
        <v>10853</v>
      </c>
      <c r="F2643" s="564">
        <v>45853</v>
      </c>
      <c r="G2643" s="564">
        <v>1225</v>
      </c>
      <c r="H2643" s="564">
        <v>3719</v>
      </c>
      <c r="I2643" s="557" t="str">
        <f t="shared" si="39"/>
        <v>GooD</v>
      </c>
    </row>
    <row r="2644" spans="1:9" ht="15.75" thickBot="1">
      <c r="A2644" s="565" t="s">
        <v>640</v>
      </c>
      <c r="B2644" s="565">
        <v>35000</v>
      </c>
      <c r="C2644" s="566">
        <v>14</v>
      </c>
      <c r="D2644" s="566">
        <v>0.31</v>
      </c>
      <c r="E2644" s="566">
        <v>12672</v>
      </c>
      <c r="F2644" s="566">
        <v>47672</v>
      </c>
      <c r="G2644" s="566">
        <v>1430</v>
      </c>
      <c r="H2644" s="566">
        <v>3303</v>
      </c>
      <c r="I2644" s="558" t="str">
        <f t="shared" si="39"/>
        <v>GooD</v>
      </c>
    </row>
    <row r="2645" spans="1:9" ht="15.75" thickTop="1">
      <c r="A2645" s="567" t="s">
        <v>640</v>
      </c>
      <c r="B2645" s="567">
        <v>35000</v>
      </c>
      <c r="C2645" s="568">
        <v>16</v>
      </c>
      <c r="D2645" s="568">
        <v>0.31</v>
      </c>
      <c r="E2645" s="568">
        <v>14474</v>
      </c>
      <c r="F2645" s="568">
        <v>49474</v>
      </c>
      <c r="G2645" s="568">
        <v>1634</v>
      </c>
      <c r="H2645" s="568">
        <v>2990</v>
      </c>
      <c r="I2645" s="559" t="str">
        <f t="shared" si="39"/>
        <v>GooD</v>
      </c>
    </row>
    <row r="2646" spans="1:9">
      <c r="A2646" s="563" t="s">
        <v>640</v>
      </c>
      <c r="B2646" s="563">
        <v>35000</v>
      </c>
      <c r="C2646" s="564">
        <v>18</v>
      </c>
      <c r="D2646" s="564">
        <v>0.31</v>
      </c>
      <c r="E2646" s="564">
        <v>16284</v>
      </c>
      <c r="F2646" s="564">
        <v>51284</v>
      </c>
      <c r="G2646" s="564">
        <v>1838</v>
      </c>
      <c r="H2646" s="564">
        <v>2747</v>
      </c>
      <c r="I2646" s="557" t="str">
        <f t="shared" si="39"/>
        <v>GooD</v>
      </c>
    </row>
    <row r="2647" spans="1:9" ht="15.75" thickBot="1">
      <c r="A2647" s="565" t="s">
        <v>640</v>
      </c>
      <c r="B2647" s="565">
        <v>35000</v>
      </c>
      <c r="C2647" s="566">
        <v>20</v>
      </c>
      <c r="D2647" s="566">
        <v>0.31</v>
      </c>
      <c r="E2647" s="566">
        <v>18102</v>
      </c>
      <c r="F2647" s="566">
        <v>53102</v>
      </c>
      <c r="G2647" s="566">
        <v>2042</v>
      </c>
      <c r="H2647" s="566">
        <v>2553</v>
      </c>
      <c r="I2647" s="558" t="str">
        <f t="shared" si="39"/>
        <v>GooD</v>
      </c>
    </row>
    <row r="2648" spans="1:9" ht="15.75" thickTop="1">
      <c r="A2648" s="567" t="s">
        <v>640</v>
      </c>
      <c r="B2648" s="567">
        <v>35000</v>
      </c>
      <c r="C2648" s="568">
        <v>22</v>
      </c>
      <c r="D2648" s="568">
        <v>0.31</v>
      </c>
      <c r="E2648" s="568">
        <v>19892</v>
      </c>
      <c r="F2648" s="568">
        <v>54892</v>
      </c>
      <c r="G2648" s="568">
        <v>2246</v>
      </c>
      <c r="H2648" s="568">
        <v>2393</v>
      </c>
      <c r="I2648" s="559" t="str">
        <f t="shared" si="39"/>
        <v>GooD</v>
      </c>
    </row>
    <row r="2649" spans="1:9">
      <c r="A2649" s="563" t="s">
        <v>640</v>
      </c>
      <c r="B2649" s="563">
        <v>35000</v>
      </c>
      <c r="C2649" s="564">
        <v>24</v>
      </c>
      <c r="D2649" s="564">
        <v>0.31</v>
      </c>
      <c r="E2649" s="564">
        <v>21714</v>
      </c>
      <c r="F2649" s="564">
        <v>56714</v>
      </c>
      <c r="G2649" s="564">
        <v>2450</v>
      </c>
      <c r="H2649" s="564">
        <v>2261</v>
      </c>
      <c r="I2649" s="557" t="str">
        <f t="shared" si="39"/>
        <v>GooD</v>
      </c>
    </row>
    <row r="2650" spans="1:9" ht="15.75" thickBot="1">
      <c r="A2650" s="565" t="s">
        <v>640</v>
      </c>
      <c r="B2650" s="565">
        <v>36000</v>
      </c>
      <c r="C2650" s="566">
        <v>4</v>
      </c>
      <c r="D2650" s="566">
        <v>0.31</v>
      </c>
      <c r="E2650" s="566">
        <v>3724</v>
      </c>
      <c r="F2650" s="566">
        <v>39724</v>
      </c>
      <c r="G2650" s="566">
        <v>420</v>
      </c>
      <c r="H2650" s="566">
        <v>9826</v>
      </c>
      <c r="I2650" s="558" t="str">
        <f t="shared" si="39"/>
        <v>GooD</v>
      </c>
    </row>
    <row r="2651" spans="1:9" ht="15.75" thickTop="1">
      <c r="A2651" s="567" t="s">
        <v>640</v>
      </c>
      <c r="B2651" s="567">
        <v>36000</v>
      </c>
      <c r="C2651" s="568">
        <v>6</v>
      </c>
      <c r="D2651" s="568">
        <v>0.31</v>
      </c>
      <c r="E2651" s="568">
        <v>5586</v>
      </c>
      <c r="F2651" s="568">
        <v>41586</v>
      </c>
      <c r="G2651" s="568">
        <v>630</v>
      </c>
      <c r="H2651" s="568">
        <v>6826</v>
      </c>
      <c r="I2651" s="559" t="str">
        <f t="shared" si="39"/>
        <v>GooD</v>
      </c>
    </row>
    <row r="2652" spans="1:9">
      <c r="A2652" s="563" t="s">
        <v>640</v>
      </c>
      <c r="B2652" s="563">
        <v>36000</v>
      </c>
      <c r="C2652" s="564">
        <v>8</v>
      </c>
      <c r="D2652" s="564">
        <v>0.31</v>
      </c>
      <c r="E2652" s="564">
        <v>7448</v>
      </c>
      <c r="F2652" s="564">
        <v>43448</v>
      </c>
      <c r="G2652" s="564">
        <v>840</v>
      </c>
      <c r="H2652" s="564">
        <v>5326</v>
      </c>
      <c r="I2652" s="557" t="str">
        <f t="shared" si="39"/>
        <v>GooD</v>
      </c>
    </row>
    <row r="2653" spans="1:9" ht="15.75" thickBot="1">
      <c r="A2653" s="565" t="s">
        <v>640</v>
      </c>
      <c r="B2653" s="565">
        <v>36000</v>
      </c>
      <c r="C2653" s="566">
        <v>10</v>
      </c>
      <c r="D2653" s="566">
        <v>0.31</v>
      </c>
      <c r="E2653" s="566">
        <v>9310</v>
      </c>
      <c r="F2653" s="566">
        <v>45310</v>
      </c>
      <c r="G2653" s="566">
        <v>1050</v>
      </c>
      <c r="H2653" s="566">
        <v>4426</v>
      </c>
      <c r="I2653" s="558" t="str">
        <f t="shared" si="39"/>
        <v>GooD</v>
      </c>
    </row>
    <row r="2654" spans="1:9" ht="15.75" thickTop="1">
      <c r="A2654" s="567" t="s">
        <v>640</v>
      </c>
      <c r="B2654" s="567">
        <v>36000</v>
      </c>
      <c r="C2654" s="568">
        <v>12</v>
      </c>
      <c r="D2654" s="568">
        <v>0.31</v>
      </c>
      <c r="E2654" s="568">
        <v>11172</v>
      </c>
      <c r="F2654" s="568">
        <v>47172</v>
      </c>
      <c r="G2654" s="568">
        <v>1260</v>
      </c>
      <c r="H2654" s="568">
        <v>3826</v>
      </c>
      <c r="I2654" s="559" t="str">
        <f t="shared" si="39"/>
        <v>GooD</v>
      </c>
    </row>
    <row r="2655" spans="1:9">
      <c r="A2655" s="563" t="s">
        <v>640</v>
      </c>
      <c r="B2655" s="563">
        <v>36000</v>
      </c>
      <c r="C2655" s="564">
        <v>14</v>
      </c>
      <c r="D2655" s="564">
        <v>0.31</v>
      </c>
      <c r="E2655" s="564">
        <v>13028</v>
      </c>
      <c r="F2655" s="564">
        <v>49028</v>
      </c>
      <c r="G2655" s="564">
        <v>1470</v>
      </c>
      <c r="H2655" s="564">
        <v>3397</v>
      </c>
      <c r="I2655" s="557" t="str">
        <f t="shared" si="39"/>
        <v>GooD</v>
      </c>
    </row>
    <row r="2656" spans="1:9" ht="15.75" thickBot="1">
      <c r="A2656" s="565" t="s">
        <v>640</v>
      </c>
      <c r="B2656" s="565">
        <v>36000</v>
      </c>
      <c r="C2656" s="566">
        <v>16</v>
      </c>
      <c r="D2656" s="566">
        <v>0.31</v>
      </c>
      <c r="E2656" s="566">
        <v>14896</v>
      </c>
      <c r="F2656" s="566">
        <v>50896</v>
      </c>
      <c r="G2656" s="566">
        <v>1680</v>
      </c>
      <c r="H2656" s="566">
        <v>3076</v>
      </c>
      <c r="I2656" s="558" t="str">
        <f t="shared" si="39"/>
        <v>GooD</v>
      </c>
    </row>
    <row r="2657" spans="1:9" ht="15.75" thickTop="1">
      <c r="A2657" s="567" t="s">
        <v>640</v>
      </c>
      <c r="B2657" s="567">
        <v>36000</v>
      </c>
      <c r="C2657" s="568">
        <v>18</v>
      </c>
      <c r="D2657" s="568">
        <v>0.31</v>
      </c>
      <c r="E2657" s="568">
        <v>16758</v>
      </c>
      <c r="F2657" s="568">
        <v>52758</v>
      </c>
      <c r="G2657" s="568">
        <v>1890</v>
      </c>
      <c r="H2657" s="568">
        <v>2826</v>
      </c>
      <c r="I2657" s="559" t="str">
        <f t="shared" si="39"/>
        <v>GooD</v>
      </c>
    </row>
    <row r="2658" spans="1:9">
      <c r="A2658" s="563" t="s">
        <v>640</v>
      </c>
      <c r="B2658" s="563">
        <v>36000</v>
      </c>
      <c r="C2658" s="564">
        <v>20</v>
      </c>
      <c r="D2658" s="564">
        <v>0.31</v>
      </c>
      <c r="E2658" s="564">
        <v>18620</v>
      </c>
      <c r="F2658" s="564">
        <v>54620</v>
      </c>
      <c r="G2658" s="564">
        <v>2100</v>
      </c>
      <c r="H2658" s="564">
        <v>2626</v>
      </c>
      <c r="I2658" s="557" t="str">
        <f t="shared" si="39"/>
        <v>GooD</v>
      </c>
    </row>
    <row r="2659" spans="1:9" ht="15.75" thickBot="1">
      <c r="A2659" s="565" t="s">
        <v>640</v>
      </c>
      <c r="B2659" s="565">
        <v>36000</v>
      </c>
      <c r="C2659" s="566">
        <v>22</v>
      </c>
      <c r="D2659" s="566">
        <v>0.31</v>
      </c>
      <c r="E2659" s="566">
        <v>20474</v>
      </c>
      <c r="F2659" s="566">
        <v>56474</v>
      </c>
      <c r="G2659" s="566">
        <v>2310</v>
      </c>
      <c r="H2659" s="566">
        <v>2462</v>
      </c>
      <c r="I2659" s="558" t="str">
        <f t="shared" si="39"/>
        <v>GooD</v>
      </c>
    </row>
    <row r="2660" spans="1:9" ht="15.75" thickTop="1">
      <c r="A2660" s="567" t="s">
        <v>640</v>
      </c>
      <c r="B2660" s="567">
        <v>36000</v>
      </c>
      <c r="C2660" s="568">
        <v>24</v>
      </c>
      <c r="D2660" s="568">
        <v>0.31</v>
      </c>
      <c r="E2660" s="568">
        <v>22344</v>
      </c>
      <c r="F2660" s="568">
        <v>58344</v>
      </c>
      <c r="G2660" s="568">
        <v>2520</v>
      </c>
      <c r="H2660" s="568">
        <v>2326</v>
      </c>
      <c r="I2660" s="559" t="str">
        <f t="shared" si="39"/>
        <v>GooD</v>
      </c>
    </row>
    <row r="2661" spans="1:9">
      <c r="A2661" s="563" t="s">
        <v>640</v>
      </c>
      <c r="B2661" s="563">
        <v>37000</v>
      </c>
      <c r="C2661" s="564">
        <v>4</v>
      </c>
      <c r="D2661" s="564">
        <v>0.31</v>
      </c>
      <c r="E2661" s="564">
        <v>3824</v>
      </c>
      <c r="F2661" s="564">
        <v>40824</v>
      </c>
      <c r="G2661" s="564">
        <v>432</v>
      </c>
      <c r="H2661" s="564">
        <v>10098</v>
      </c>
      <c r="I2661" s="557" t="str">
        <f t="shared" si="39"/>
        <v>GooD</v>
      </c>
    </row>
    <row r="2662" spans="1:9" ht="15.75" thickBot="1">
      <c r="A2662" s="565" t="s">
        <v>640</v>
      </c>
      <c r="B2662" s="565">
        <v>37000</v>
      </c>
      <c r="C2662" s="566">
        <v>6</v>
      </c>
      <c r="D2662" s="566">
        <v>0.31</v>
      </c>
      <c r="E2662" s="566">
        <v>5738</v>
      </c>
      <c r="F2662" s="566">
        <v>42738</v>
      </c>
      <c r="G2662" s="566">
        <v>648</v>
      </c>
      <c r="H2662" s="566">
        <v>7015</v>
      </c>
      <c r="I2662" s="558" t="str">
        <f t="shared" si="39"/>
        <v>GooD</v>
      </c>
    </row>
    <row r="2663" spans="1:9" ht="15.75" thickTop="1">
      <c r="A2663" s="567" t="s">
        <v>640</v>
      </c>
      <c r="B2663" s="567">
        <v>37000</v>
      </c>
      <c r="C2663" s="568">
        <v>8</v>
      </c>
      <c r="D2663" s="568">
        <v>0.31</v>
      </c>
      <c r="E2663" s="568">
        <v>7648</v>
      </c>
      <c r="F2663" s="568">
        <v>44648</v>
      </c>
      <c r="G2663" s="568">
        <v>864</v>
      </c>
      <c r="H2663" s="568">
        <v>5473</v>
      </c>
      <c r="I2663" s="559" t="str">
        <f t="shared" ref="I2663:I2726" si="40">IF(((H2663*C2663)+G2663)=F2663,"GooD","لالالالالالالا")</f>
        <v>GooD</v>
      </c>
    </row>
    <row r="2664" spans="1:9">
      <c r="A2664" s="563" t="s">
        <v>640</v>
      </c>
      <c r="B2664" s="563">
        <v>37000</v>
      </c>
      <c r="C2664" s="564">
        <v>10</v>
      </c>
      <c r="D2664" s="564">
        <v>0.31</v>
      </c>
      <c r="E2664" s="564">
        <v>9560</v>
      </c>
      <c r="F2664" s="564">
        <v>46560</v>
      </c>
      <c r="G2664" s="564">
        <v>1080</v>
      </c>
      <c r="H2664" s="564">
        <v>4548</v>
      </c>
      <c r="I2664" s="557" t="str">
        <f t="shared" si="40"/>
        <v>GooD</v>
      </c>
    </row>
    <row r="2665" spans="1:9" ht="15.75" thickBot="1">
      <c r="A2665" s="565" t="s">
        <v>640</v>
      </c>
      <c r="B2665" s="565">
        <v>37000</v>
      </c>
      <c r="C2665" s="566">
        <v>12</v>
      </c>
      <c r="D2665" s="566">
        <v>0.31</v>
      </c>
      <c r="E2665" s="566">
        <v>11479</v>
      </c>
      <c r="F2665" s="566">
        <v>48479</v>
      </c>
      <c r="G2665" s="566">
        <v>1295</v>
      </c>
      <c r="H2665" s="566">
        <v>3932</v>
      </c>
      <c r="I2665" s="558" t="str">
        <f t="shared" si="40"/>
        <v>GooD</v>
      </c>
    </row>
    <row r="2666" spans="1:9" ht="15.75" thickTop="1">
      <c r="A2666" s="567" t="s">
        <v>640</v>
      </c>
      <c r="B2666" s="567">
        <v>37000</v>
      </c>
      <c r="C2666" s="568">
        <v>14</v>
      </c>
      <c r="D2666" s="568">
        <v>0.31</v>
      </c>
      <c r="E2666" s="568">
        <v>13385</v>
      </c>
      <c r="F2666" s="568">
        <v>50385</v>
      </c>
      <c r="G2666" s="568">
        <v>1511</v>
      </c>
      <c r="H2666" s="568">
        <v>3491</v>
      </c>
      <c r="I2666" s="559" t="str">
        <f t="shared" si="40"/>
        <v>GooD</v>
      </c>
    </row>
    <row r="2667" spans="1:9">
      <c r="A2667" s="563" t="s">
        <v>640</v>
      </c>
      <c r="B2667" s="563">
        <v>37000</v>
      </c>
      <c r="C2667" s="564">
        <v>16</v>
      </c>
      <c r="D2667" s="564">
        <v>0.31</v>
      </c>
      <c r="E2667" s="564">
        <v>15303</v>
      </c>
      <c r="F2667" s="564">
        <v>52303</v>
      </c>
      <c r="G2667" s="564">
        <v>1727</v>
      </c>
      <c r="H2667" s="564">
        <v>3161</v>
      </c>
      <c r="I2667" s="557" t="str">
        <f t="shared" si="40"/>
        <v>GooD</v>
      </c>
    </row>
    <row r="2668" spans="1:9" ht="15.75" thickBot="1">
      <c r="A2668" s="565" t="s">
        <v>640</v>
      </c>
      <c r="B2668" s="565">
        <v>37000</v>
      </c>
      <c r="C2668" s="566">
        <v>18</v>
      </c>
      <c r="D2668" s="566">
        <v>0.31</v>
      </c>
      <c r="E2668" s="566">
        <v>17215</v>
      </c>
      <c r="F2668" s="566">
        <v>54215</v>
      </c>
      <c r="G2668" s="566">
        <v>1943</v>
      </c>
      <c r="H2668" s="566">
        <v>2904</v>
      </c>
      <c r="I2668" s="558" t="str">
        <f t="shared" si="40"/>
        <v>GooD</v>
      </c>
    </row>
    <row r="2669" spans="1:9" ht="15.75" thickTop="1">
      <c r="A2669" s="567" t="s">
        <v>640</v>
      </c>
      <c r="B2669" s="567">
        <v>37000</v>
      </c>
      <c r="C2669" s="568">
        <v>20</v>
      </c>
      <c r="D2669" s="568">
        <v>0.31</v>
      </c>
      <c r="E2669" s="568">
        <v>19119</v>
      </c>
      <c r="F2669" s="568">
        <v>56119</v>
      </c>
      <c r="G2669" s="568">
        <v>2159</v>
      </c>
      <c r="H2669" s="568">
        <v>2698</v>
      </c>
      <c r="I2669" s="559" t="str">
        <f t="shared" si="40"/>
        <v>GooD</v>
      </c>
    </row>
    <row r="2670" spans="1:9">
      <c r="A2670" s="563" t="s">
        <v>640</v>
      </c>
      <c r="B2670" s="563">
        <v>37000</v>
      </c>
      <c r="C2670" s="564">
        <v>22</v>
      </c>
      <c r="D2670" s="564">
        <v>0.31</v>
      </c>
      <c r="E2670" s="564">
        <v>21035</v>
      </c>
      <c r="F2670" s="564">
        <v>58035</v>
      </c>
      <c r="G2670" s="564">
        <v>2375</v>
      </c>
      <c r="H2670" s="564">
        <v>2530</v>
      </c>
      <c r="I2670" s="557" t="str">
        <f t="shared" si="40"/>
        <v>GooD</v>
      </c>
    </row>
    <row r="2671" spans="1:9" ht="15.75" thickBot="1">
      <c r="A2671" s="565" t="s">
        <v>640</v>
      </c>
      <c r="B2671" s="565">
        <v>37000</v>
      </c>
      <c r="C2671" s="566">
        <v>24</v>
      </c>
      <c r="D2671" s="566">
        <v>0.31</v>
      </c>
      <c r="E2671" s="566">
        <v>22950</v>
      </c>
      <c r="F2671" s="566">
        <v>59950</v>
      </c>
      <c r="G2671" s="566">
        <v>2590</v>
      </c>
      <c r="H2671" s="566">
        <v>2390</v>
      </c>
      <c r="I2671" s="558" t="str">
        <f t="shared" si="40"/>
        <v>GooD</v>
      </c>
    </row>
    <row r="2672" spans="1:9" ht="15.75" thickTop="1">
      <c r="A2672" s="567" t="s">
        <v>640</v>
      </c>
      <c r="B2672" s="567">
        <v>38000</v>
      </c>
      <c r="C2672" s="568">
        <v>4</v>
      </c>
      <c r="D2672" s="568">
        <v>0.31</v>
      </c>
      <c r="E2672" s="568">
        <v>3928</v>
      </c>
      <c r="F2672" s="568">
        <v>41928</v>
      </c>
      <c r="G2672" s="568">
        <v>444</v>
      </c>
      <c r="H2672" s="568">
        <v>10371</v>
      </c>
      <c r="I2672" s="559" t="str">
        <f t="shared" si="40"/>
        <v>GooD</v>
      </c>
    </row>
    <row r="2673" spans="1:9">
      <c r="A2673" s="563" t="s">
        <v>640</v>
      </c>
      <c r="B2673" s="563">
        <v>38000</v>
      </c>
      <c r="C2673" s="564">
        <v>6</v>
      </c>
      <c r="D2673" s="564">
        <v>0.31</v>
      </c>
      <c r="E2673" s="564">
        <v>5895</v>
      </c>
      <c r="F2673" s="564">
        <v>43895</v>
      </c>
      <c r="G2673" s="564">
        <v>665</v>
      </c>
      <c r="H2673" s="564">
        <v>7205</v>
      </c>
      <c r="I2673" s="557" t="str">
        <f t="shared" si="40"/>
        <v>GooD</v>
      </c>
    </row>
    <row r="2674" spans="1:9" ht="15.75" thickBot="1">
      <c r="A2674" s="565" t="s">
        <v>640</v>
      </c>
      <c r="B2674" s="565">
        <v>38000</v>
      </c>
      <c r="C2674" s="566">
        <v>8</v>
      </c>
      <c r="D2674" s="566">
        <v>0.31</v>
      </c>
      <c r="E2674" s="566">
        <v>7855</v>
      </c>
      <c r="F2674" s="566">
        <v>45855</v>
      </c>
      <c r="G2674" s="566">
        <v>887</v>
      </c>
      <c r="H2674" s="566">
        <v>5621</v>
      </c>
      <c r="I2674" s="558" t="str">
        <f t="shared" si="40"/>
        <v>GooD</v>
      </c>
    </row>
    <row r="2675" spans="1:9" ht="15.75" thickTop="1">
      <c r="A2675" s="567" t="s">
        <v>640</v>
      </c>
      <c r="B2675" s="567">
        <v>38000</v>
      </c>
      <c r="C2675" s="568">
        <v>10</v>
      </c>
      <c r="D2675" s="568">
        <v>0.31</v>
      </c>
      <c r="E2675" s="568">
        <v>9819</v>
      </c>
      <c r="F2675" s="568">
        <v>47819</v>
      </c>
      <c r="G2675" s="568">
        <v>1109</v>
      </c>
      <c r="H2675" s="568">
        <v>4671</v>
      </c>
      <c r="I2675" s="559" t="str">
        <f t="shared" si="40"/>
        <v>GooD</v>
      </c>
    </row>
    <row r="2676" spans="1:9">
      <c r="A2676" s="563" t="s">
        <v>640</v>
      </c>
      <c r="B2676" s="563">
        <v>38000</v>
      </c>
      <c r="C2676" s="564">
        <v>12</v>
      </c>
      <c r="D2676" s="564">
        <v>0.31</v>
      </c>
      <c r="E2676" s="564">
        <v>11786</v>
      </c>
      <c r="F2676" s="564">
        <v>49786</v>
      </c>
      <c r="G2676" s="564">
        <v>1330</v>
      </c>
      <c r="H2676" s="564">
        <v>4038</v>
      </c>
      <c r="I2676" s="557" t="str">
        <f t="shared" si="40"/>
        <v>GooD</v>
      </c>
    </row>
    <row r="2677" spans="1:9" ht="15.75" thickBot="1">
      <c r="A2677" s="565" t="s">
        <v>640</v>
      </c>
      <c r="B2677" s="565">
        <v>38000</v>
      </c>
      <c r="C2677" s="566">
        <v>14</v>
      </c>
      <c r="D2677" s="566">
        <v>0.31</v>
      </c>
      <c r="E2677" s="566">
        <v>13756</v>
      </c>
      <c r="F2677" s="566">
        <v>51756</v>
      </c>
      <c r="G2677" s="566">
        <v>1552</v>
      </c>
      <c r="H2677" s="566">
        <v>3586</v>
      </c>
      <c r="I2677" s="558" t="str">
        <f t="shared" si="40"/>
        <v>GooD</v>
      </c>
    </row>
    <row r="2678" spans="1:9" ht="15.75" thickTop="1">
      <c r="A2678" s="567" t="s">
        <v>640</v>
      </c>
      <c r="B2678" s="567">
        <v>38000</v>
      </c>
      <c r="C2678" s="568">
        <v>16</v>
      </c>
      <c r="D2678" s="568">
        <v>0.31</v>
      </c>
      <c r="E2678" s="568">
        <v>15710</v>
      </c>
      <c r="F2678" s="568">
        <v>53710</v>
      </c>
      <c r="G2678" s="568">
        <v>1774</v>
      </c>
      <c r="H2678" s="568">
        <v>3246</v>
      </c>
      <c r="I2678" s="559" t="str">
        <f t="shared" si="40"/>
        <v>GooD</v>
      </c>
    </row>
    <row r="2679" spans="1:9">
      <c r="A2679" s="563" t="s">
        <v>640</v>
      </c>
      <c r="B2679" s="563">
        <v>38000</v>
      </c>
      <c r="C2679" s="564">
        <v>18</v>
      </c>
      <c r="D2679" s="564">
        <v>0.31</v>
      </c>
      <c r="E2679" s="564">
        <v>17671</v>
      </c>
      <c r="F2679" s="564">
        <v>55671</v>
      </c>
      <c r="G2679" s="564">
        <v>1995</v>
      </c>
      <c r="H2679" s="564">
        <v>2982</v>
      </c>
      <c r="I2679" s="557" t="str">
        <f t="shared" si="40"/>
        <v>GooD</v>
      </c>
    </row>
    <row r="2680" spans="1:9" ht="15.75" thickBot="1">
      <c r="A2680" s="565" t="s">
        <v>640</v>
      </c>
      <c r="B2680" s="565">
        <v>38000</v>
      </c>
      <c r="C2680" s="566">
        <v>20</v>
      </c>
      <c r="D2680" s="566">
        <v>0.31</v>
      </c>
      <c r="E2680" s="566">
        <v>19637</v>
      </c>
      <c r="F2680" s="566">
        <v>57637</v>
      </c>
      <c r="G2680" s="566">
        <v>2217</v>
      </c>
      <c r="H2680" s="566">
        <v>2771</v>
      </c>
      <c r="I2680" s="558" t="str">
        <f t="shared" si="40"/>
        <v>GooD</v>
      </c>
    </row>
    <row r="2681" spans="1:9" ht="15.75" thickTop="1">
      <c r="A2681" s="567" t="s">
        <v>640</v>
      </c>
      <c r="B2681" s="567">
        <v>38000</v>
      </c>
      <c r="C2681" s="568">
        <v>22</v>
      </c>
      <c r="D2681" s="568">
        <v>0.31</v>
      </c>
      <c r="E2681" s="568">
        <v>21617</v>
      </c>
      <c r="F2681" s="568">
        <v>59617</v>
      </c>
      <c r="G2681" s="568">
        <v>2439</v>
      </c>
      <c r="H2681" s="568">
        <v>2599</v>
      </c>
      <c r="I2681" s="559" t="str">
        <f t="shared" si="40"/>
        <v>GooD</v>
      </c>
    </row>
    <row r="2682" spans="1:9">
      <c r="A2682" s="563" t="s">
        <v>640</v>
      </c>
      <c r="B2682" s="563">
        <v>38000</v>
      </c>
      <c r="C2682" s="564">
        <v>24</v>
      </c>
      <c r="D2682" s="564">
        <v>0.31</v>
      </c>
      <c r="E2682" s="564">
        <v>23580</v>
      </c>
      <c r="F2682" s="564">
        <v>61580</v>
      </c>
      <c r="G2682" s="564">
        <v>2660</v>
      </c>
      <c r="H2682" s="564">
        <v>2455</v>
      </c>
      <c r="I2682" s="557" t="str">
        <f t="shared" si="40"/>
        <v>GooD</v>
      </c>
    </row>
    <row r="2683" spans="1:9" ht="15.75" thickBot="1">
      <c r="A2683" s="565" t="s">
        <v>640</v>
      </c>
      <c r="B2683" s="565">
        <v>39000</v>
      </c>
      <c r="C2683" s="566">
        <v>4</v>
      </c>
      <c r="D2683" s="566">
        <v>0.31</v>
      </c>
      <c r="E2683" s="566">
        <v>4031</v>
      </c>
      <c r="F2683" s="566">
        <v>43031</v>
      </c>
      <c r="G2683" s="566">
        <v>455</v>
      </c>
      <c r="H2683" s="566">
        <v>10644</v>
      </c>
      <c r="I2683" s="558" t="str">
        <f t="shared" si="40"/>
        <v>GooD</v>
      </c>
    </row>
    <row r="2684" spans="1:9" ht="15.75" thickTop="1">
      <c r="A2684" s="567" t="s">
        <v>640</v>
      </c>
      <c r="B2684" s="567">
        <v>39000</v>
      </c>
      <c r="C2684" s="568">
        <v>6</v>
      </c>
      <c r="D2684" s="568">
        <v>0.31</v>
      </c>
      <c r="E2684" s="568">
        <v>6047</v>
      </c>
      <c r="F2684" s="568">
        <v>45047</v>
      </c>
      <c r="G2684" s="568">
        <v>683</v>
      </c>
      <c r="H2684" s="568">
        <v>7394</v>
      </c>
      <c r="I2684" s="559" t="str">
        <f t="shared" si="40"/>
        <v>GooD</v>
      </c>
    </row>
    <row r="2685" spans="1:9">
      <c r="A2685" s="563" t="s">
        <v>640</v>
      </c>
      <c r="B2685" s="563">
        <v>39000</v>
      </c>
      <c r="C2685" s="564">
        <v>8</v>
      </c>
      <c r="D2685" s="564">
        <v>0.31</v>
      </c>
      <c r="E2685" s="564">
        <v>8062</v>
      </c>
      <c r="F2685" s="564">
        <v>47062</v>
      </c>
      <c r="G2685" s="564">
        <v>910</v>
      </c>
      <c r="H2685" s="564">
        <v>5769</v>
      </c>
      <c r="I2685" s="557" t="str">
        <f t="shared" si="40"/>
        <v>GooD</v>
      </c>
    </row>
    <row r="2686" spans="1:9" ht="15.75" thickBot="1">
      <c r="A2686" s="565" t="s">
        <v>640</v>
      </c>
      <c r="B2686" s="565">
        <v>39000</v>
      </c>
      <c r="C2686" s="566">
        <v>10</v>
      </c>
      <c r="D2686" s="566">
        <v>0.31</v>
      </c>
      <c r="E2686" s="566">
        <v>10078</v>
      </c>
      <c r="F2686" s="566">
        <v>49078</v>
      </c>
      <c r="G2686" s="566">
        <v>1138</v>
      </c>
      <c r="H2686" s="566">
        <v>4794</v>
      </c>
      <c r="I2686" s="558" t="str">
        <f t="shared" si="40"/>
        <v>GooD</v>
      </c>
    </row>
    <row r="2687" spans="1:9" ht="15.75" thickTop="1">
      <c r="A2687" s="567" t="s">
        <v>640</v>
      </c>
      <c r="B2687" s="567">
        <v>39000</v>
      </c>
      <c r="C2687" s="568">
        <v>12</v>
      </c>
      <c r="D2687" s="568">
        <v>0.31</v>
      </c>
      <c r="E2687" s="568">
        <v>12093</v>
      </c>
      <c r="F2687" s="568">
        <v>51093</v>
      </c>
      <c r="G2687" s="568">
        <v>1365</v>
      </c>
      <c r="H2687" s="568">
        <v>4144</v>
      </c>
      <c r="I2687" s="559" t="str">
        <f t="shared" si="40"/>
        <v>GooD</v>
      </c>
    </row>
    <row r="2688" spans="1:9">
      <c r="A2688" s="563" t="s">
        <v>640</v>
      </c>
      <c r="B2688" s="563">
        <v>39000</v>
      </c>
      <c r="C2688" s="564">
        <v>14</v>
      </c>
      <c r="D2688" s="564">
        <v>0.31</v>
      </c>
      <c r="E2688" s="564">
        <v>14113</v>
      </c>
      <c r="F2688" s="564">
        <v>53113</v>
      </c>
      <c r="G2688" s="564">
        <v>1593</v>
      </c>
      <c r="H2688" s="564">
        <v>3680</v>
      </c>
      <c r="I2688" s="557" t="str">
        <f t="shared" si="40"/>
        <v>GooD</v>
      </c>
    </row>
    <row r="2689" spans="1:9" ht="15.75" thickBot="1">
      <c r="A2689" s="565" t="s">
        <v>640</v>
      </c>
      <c r="B2689" s="565">
        <v>39000</v>
      </c>
      <c r="C2689" s="566">
        <v>16</v>
      </c>
      <c r="D2689" s="566">
        <v>0.31</v>
      </c>
      <c r="E2689" s="566">
        <v>16132</v>
      </c>
      <c r="F2689" s="566">
        <v>55132</v>
      </c>
      <c r="G2689" s="566">
        <v>1820</v>
      </c>
      <c r="H2689" s="566">
        <v>3332</v>
      </c>
      <c r="I2689" s="558" t="str">
        <f t="shared" si="40"/>
        <v>GooD</v>
      </c>
    </row>
    <row r="2690" spans="1:9" ht="15.75" thickTop="1">
      <c r="A2690" s="567" t="s">
        <v>640</v>
      </c>
      <c r="B2690" s="567">
        <v>39000</v>
      </c>
      <c r="C2690" s="568">
        <v>18</v>
      </c>
      <c r="D2690" s="568">
        <v>0.31</v>
      </c>
      <c r="E2690" s="568">
        <v>18146</v>
      </c>
      <c r="F2690" s="568">
        <v>57146</v>
      </c>
      <c r="G2690" s="568">
        <v>2048</v>
      </c>
      <c r="H2690" s="568">
        <v>3061</v>
      </c>
      <c r="I2690" s="559" t="str">
        <f t="shared" si="40"/>
        <v>GooD</v>
      </c>
    </row>
    <row r="2691" spans="1:9">
      <c r="A2691" s="563" t="s">
        <v>640</v>
      </c>
      <c r="B2691" s="563">
        <v>39000</v>
      </c>
      <c r="C2691" s="564">
        <v>20</v>
      </c>
      <c r="D2691" s="564">
        <v>0.31</v>
      </c>
      <c r="E2691" s="564">
        <v>20155</v>
      </c>
      <c r="F2691" s="564">
        <v>59155</v>
      </c>
      <c r="G2691" s="564">
        <v>2275</v>
      </c>
      <c r="H2691" s="564">
        <v>2844</v>
      </c>
      <c r="I2691" s="557" t="str">
        <f t="shared" si="40"/>
        <v>GooD</v>
      </c>
    </row>
    <row r="2692" spans="1:9" ht="15.75" thickBot="1">
      <c r="A2692" s="565" t="s">
        <v>640</v>
      </c>
      <c r="B2692" s="565">
        <v>39000</v>
      </c>
      <c r="C2692" s="566">
        <v>22</v>
      </c>
      <c r="D2692" s="566">
        <v>0.31</v>
      </c>
      <c r="E2692" s="566">
        <v>22177</v>
      </c>
      <c r="F2692" s="566">
        <v>61177</v>
      </c>
      <c r="G2692" s="566">
        <v>2503</v>
      </c>
      <c r="H2692" s="566">
        <v>2667</v>
      </c>
      <c r="I2692" s="558" t="str">
        <f t="shared" si="40"/>
        <v>GooD</v>
      </c>
    </row>
    <row r="2693" spans="1:9" ht="15.75" thickTop="1">
      <c r="A2693" s="567" t="s">
        <v>640</v>
      </c>
      <c r="B2693" s="567">
        <v>39000</v>
      </c>
      <c r="C2693" s="568">
        <v>24</v>
      </c>
      <c r="D2693" s="568">
        <v>0.31</v>
      </c>
      <c r="E2693" s="568">
        <v>24186</v>
      </c>
      <c r="F2693" s="568">
        <v>63186</v>
      </c>
      <c r="G2693" s="568">
        <v>2730</v>
      </c>
      <c r="H2693" s="568">
        <v>2519</v>
      </c>
      <c r="I2693" s="559" t="str">
        <f t="shared" si="40"/>
        <v>GooD</v>
      </c>
    </row>
    <row r="2694" spans="1:9">
      <c r="A2694" s="563" t="s">
        <v>640</v>
      </c>
      <c r="B2694" s="563">
        <v>40000</v>
      </c>
      <c r="C2694" s="564">
        <v>4</v>
      </c>
      <c r="D2694" s="564">
        <v>0.31</v>
      </c>
      <c r="E2694" s="564">
        <v>4135</v>
      </c>
      <c r="F2694" s="564">
        <v>44135</v>
      </c>
      <c r="G2694" s="564">
        <v>467</v>
      </c>
      <c r="H2694" s="564">
        <v>10917</v>
      </c>
      <c r="I2694" s="557" t="str">
        <f t="shared" si="40"/>
        <v>GooD</v>
      </c>
    </row>
    <row r="2695" spans="1:9" ht="15.75" thickBot="1">
      <c r="A2695" s="565" t="s">
        <v>640</v>
      </c>
      <c r="B2695" s="565">
        <v>40000</v>
      </c>
      <c r="C2695" s="566">
        <v>6</v>
      </c>
      <c r="D2695" s="566">
        <v>0.31</v>
      </c>
      <c r="E2695" s="566">
        <v>6204</v>
      </c>
      <c r="F2695" s="566">
        <v>46204</v>
      </c>
      <c r="G2695" s="566">
        <v>700</v>
      </c>
      <c r="H2695" s="566">
        <v>7584</v>
      </c>
      <c r="I2695" s="558" t="str">
        <f t="shared" si="40"/>
        <v>GooD</v>
      </c>
    </row>
    <row r="2696" spans="1:9" ht="15.75" thickTop="1">
      <c r="A2696" s="567" t="s">
        <v>640</v>
      </c>
      <c r="B2696" s="567">
        <v>40000</v>
      </c>
      <c r="C2696" s="568">
        <v>8</v>
      </c>
      <c r="D2696" s="568">
        <v>0.31</v>
      </c>
      <c r="E2696" s="568">
        <v>8270</v>
      </c>
      <c r="F2696" s="568">
        <v>48270</v>
      </c>
      <c r="G2696" s="568">
        <v>934</v>
      </c>
      <c r="H2696" s="568">
        <v>5917</v>
      </c>
      <c r="I2696" s="559" t="str">
        <f t="shared" si="40"/>
        <v>GooD</v>
      </c>
    </row>
    <row r="2697" spans="1:9">
      <c r="A2697" s="563" t="s">
        <v>640</v>
      </c>
      <c r="B2697" s="563">
        <v>40000</v>
      </c>
      <c r="C2697" s="564">
        <v>10</v>
      </c>
      <c r="D2697" s="564">
        <v>0.31</v>
      </c>
      <c r="E2697" s="564">
        <v>10337</v>
      </c>
      <c r="F2697" s="564">
        <v>50337</v>
      </c>
      <c r="G2697" s="564">
        <v>1167</v>
      </c>
      <c r="H2697" s="564">
        <v>4917</v>
      </c>
      <c r="I2697" s="557" t="str">
        <f t="shared" si="40"/>
        <v>GooD</v>
      </c>
    </row>
    <row r="2698" spans="1:9" ht="15.75" thickBot="1">
      <c r="A2698" s="565" t="s">
        <v>640</v>
      </c>
      <c r="B2698" s="565">
        <v>40000</v>
      </c>
      <c r="C2698" s="566">
        <v>12</v>
      </c>
      <c r="D2698" s="566">
        <v>0.31</v>
      </c>
      <c r="E2698" s="566">
        <v>12412</v>
      </c>
      <c r="F2698" s="566">
        <v>52412</v>
      </c>
      <c r="G2698" s="566">
        <v>1400</v>
      </c>
      <c r="H2698" s="566">
        <v>4251</v>
      </c>
      <c r="I2698" s="558" t="str">
        <f t="shared" si="40"/>
        <v>GooD</v>
      </c>
    </row>
    <row r="2699" spans="1:9" ht="15.75" thickTop="1">
      <c r="A2699" s="567" t="s">
        <v>640</v>
      </c>
      <c r="B2699" s="567">
        <v>40000</v>
      </c>
      <c r="C2699" s="568">
        <v>14</v>
      </c>
      <c r="D2699" s="568">
        <v>0.31</v>
      </c>
      <c r="E2699" s="568">
        <v>14470</v>
      </c>
      <c r="F2699" s="568">
        <v>54470</v>
      </c>
      <c r="G2699" s="568">
        <v>1634</v>
      </c>
      <c r="H2699" s="568">
        <v>3774</v>
      </c>
      <c r="I2699" s="559" t="str">
        <f t="shared" si="40"/>
        <v>GooD</v>
      </c>
    </row>
    <row r="2700" spans="1:9">
      <c r="A2700" s="563" t="s">
        <v>640</v>
      </c>
      <c r="B2700" s="563">
        <v>40000</v>
      </c>
      <c r="C2700" s="564">
        <v>16</v>
      </c>
      <c r="D2700" s="564">
        <v>0.31</v>
      </c>
      <c r="E2700" s="564">
        <v>16539</v>
      </c>
      <c r="F2700" s="564">
        <v>56539</v>
      </c>
      <c r="G2700" s="564">
        <v>1867</v>
      </c>
      <c r="H2700" s="564">
        <v>3417</v>
      </c>
      <c r="I2700" s="557" t="str">
        <f t="shared" si="40"/>
        <v>GooD</v>
      </c>
    </row>
    <row r="2701" spans="1:9" ht="15.75" thickBot="1">
      <c r="A2701" s="565" t="s">
        <v>640</v>
      </c>
      <c r="B2701" s="565">
        <v>40000</v>
      </c>
      <c r="C2701" s="566">
        <v>18</v>
      </c>
      <c r="D2701" s="566">
        <v>0.31</v>
      </c>
      <c r="E2701" s="566">
        <v>18602</v>
      </c>
      <c r="F2701" s="566">
        <v>58602</v>
      </c>
      <c r="G2701" s="566">
        <v>2100</v>
      </c>
      <c r="H2701" s="566">
        <v>3139</v>
      </c>
      <c r="I2701" s="558" t="str">
        <f t="shared" si="40"/>
        <v>GooD</v>
      </c>
    </row>
    <row r="2702" spans="1:9" ht="15.75" thickTop="1">
      <c r="A2702" s="567" t="s">
        <v>640</v>
      </c>
      <c r="B2702" s="567">
        <v>40000</v>
      </c>
      <c r="C2702" s="568">
        <v>20</v>
      </c>
      <c r="D2702" s="568">
        <v>0.31</v>
      </c>
      <c r="E2702" s="568">
        <v>20674</v>
      </c>
      <c r="F2702" s="568">
        <v>60674</v>
      </c>
      <c r="G2702" s="568">
        <v>2334</v>
      </c>
      <c r="H2702" s="568">
        <v>2917</v>
      </c>
      <c r="I2702" s="559" t="str">
        <f t="shared" si="40"/>
        <v>GooD</v>
      </c>
    </row>
    <row r="2703" spans="1:9">
      <c r="A2703" s="563" t="s">
        <v>640</v>
      </c>
      <c r="B2703" s="563">
        <v>40000</v>
      </c>
      <c r="C2703" s="564">
        <v>22</v>
      </c>
      <c r="D2703" s="564">
        <v>0.31</v>
      </c>
      <c r="E2703" s="564">
        <v>22737</v>
      </c>
      <c r="F2703" s="564">
        <v>62737</v>
      </c>
      <c r="G2703" s="564">
        <v>2567</v>
      </c>
      <c r="H2703" s="564">
        <v>2735</v>
      </c>
      <c r="I2703" s="557" t="str">
        <f t="shared" si="40"/>
        <v>GooD</v>
      </c>
    </row>
    <row r="2704" spans="1:9" ht="15.75" thickBot="1">
      <c r="A2704" s="565" t="s">
        <v>640</v>
      </c>
      <c r="B2704" s="565">
        <v>40000</v>
      </c>
      <c r="C2704" s="566">
        <v>24</v>
      </c>
      <c r="D2704" s="566">
        <v>0.31</v>
      </c>
      <c r="E2704" s="566">
        <v>24816</v>
      </c>
      <c r="F2704" s="566">
        <v>64816</v>
      </c>
      <c r="G2704" s="566">
        <v>2800</v>
      </c>
      <c r="H2704" s="566">
        <v>2584</v>
      </c>
      <c r="I2704" s="558" t="str">
        <f t="shared" si="40"/>
        <v>GooD</v>
      </c>
    </row>
    <row r="2705" spans="1:9" ht="15.75" thickTop="1">
      <c r="A2705" s="567" t="s">
        <v>640</v>
      </c>
      <c r="B2705" s="567">
        <v>41000</v>
      </c>
      <c r="C2705" s="568">
        <v>4</v>
      </c>
      <c r="D2705" s="568">
        <v>0.31</v>
      </c>
      <c r="E2705" s="568">
        <v>4239</v>
      </c>
      <c r="F2705" s="568">
        <v>45239</v>
      </c>
      <c r="G2705" s="568">
        <v>479</v>
      </c>
      <c r="H2705" s="568">
        <v>11190</v>
      </c>
      <c r="I2705" s="559" t="str">
        <f t="shared" si="40"/>
        <v>GooD</v>
      </c>
    </row>
    <row r="2706" spans="1:9">
      <c r="A2706" s="563" t="s">
        <v>640</v>
      </c>
      <c r="B2706" s="563">
        <v>41000</v>
      </c>
      <c r="C2706" s="564">
        <v>6</v>
      </c>
      <c r="D2706" s="564">
        <v>0.31</v>
      </c>
      <c r="E2706" s="564">
        <v>6356</v>
      </c>
      <c r="F2706" s="564">
        <v>47356</v>
      </c>
      <c r="G2706" s="564">
        <v>718</v>
      </c>
      <c r="H2706" s="564">
        <v>7773</v>
      </c>
      <c r="I2706" s="557" t="str">
        <f t="shared" si="40"/>
        <v>GooD</v>
      </c>
    </row>
    <row r="2707" spans="1:9" ht="15.75" thickBot="1">
      <c r="A2707" s="565" t="s">
        <v>640</v>
      </c>
      <c r="B2707" s="565">
        <v>41000</v>
      </c>
      <c r="C2707" s="566">
        <v>8</v>
      </c>
      <c r="D2707" s="566">
        <v>0.31</v>
      </c>
      <c r="E2707" s="566">
        <v>8477</v>
      </c>
      <c r="F2707" s="566">
        <v>49477</v>
      </c>
      <c r="G2707" s="566">
        <v>957</v>
      </c>
      <c r="H2707" s="566">
        <v>6065</v>
      </c>
      <c r="I2707" s="558" t="str">
        <f t="shared" si="40"/>
        <v>GooD</v>
      </c>
    </row>
    <row r="2708" spans="1:9" ht="15.75" thickTop="1">
      <c r="A2708" s="567" t="s">
        <v>640</v>
      </c>
      <c r="B2708" s="567">
        <v>41000</v>
      </c>
      <c r="C2708" s="568">
        <v>10</v>
      </c>
      <c r="D2708" s="568">
        <v>0.31</v>
      </c>
      <c r="E2708" s="568">
        <v>10596</v>
      </c>
      <c r="F2708" s="568">
        <v>51596</v>
      </c>
      <c r="G2708" s="568">
        <v>1196</v>
      </c>
      <c r="H2708" s="568">
        <v>5040</v>
      </c>
      <c r="I2708" s="559" t="str">
        <f t="shared" si="40"/>
        <v>GooD</v>
      </c>
    </row>
    <row r="2709" spans="1:9">
      <c r="A2709" s="563" t="s">
        <v>640</v>
      </c>
      <c r="B2709" s="563">
        <v>41000</v>
      </c>
      <c r="C2709" s="564">
        <v>12</v>
      </c>
      <c r="D2709" s="564">
        <v>0.31</v>
      </c>
      <c r="E2709" s="564">
        <v>12719</v>
      </c>
      <c r="F2709" s="564">
        <v>53719</v>
      </c>
      <c r="G2709" s="564">
        <v>1435</v>
      </c>
      <c r="H2709" s="564">
        <v>4357</v>
      </c>
      <c r="I2709" s="557" t="str">
        <f t="shared" si="40"/>
        <v>GooD</v>
      </c>
    </row>
    <row r="2710" spans="1:9" ht="15.75" thickBot="1">
      <c r="A2710" s="565" t="s">
        <v>640</v>
      </c>
      <c r="B2710" s="565">
        <v>41000</v>
      </c>
      <c r="C2710" s="566">
        <v>14</v>
      </c>
      <c r="D2710" s="566">
        <v>0.31</v>
      </c>
      <c r="E2710" s="566">
        <v>14841</v>
      </c>
      <c r="F2710" s="566">
        <v>55841</v>
      </c>
      <c r="G2710" s="566">
        <v>1675</v>
      </c>
      <c r="H2710" s="566">
        <v>3869</v>
      </c>
      <c r="I2710" s="558" t="str">
        <f t="shared" si="40"/>
        <v>GooD</v>
      </c>
    </row>
    <row r="2711" spans="1:9" ht="15.75" thickTop="1">
      <c r="A2711" s="567" t="s">
        <v>640</v>
      </c>
      <c r="B2711" s="567">
        <v>41000</v>
      </c>
      <c r="C2711" s="568">
        <v>16</v>
      </c>
      <c r="D2711" s="568">
        <v>0.31</v>
      </c>
      <c r="E2711" s="568">
        <v>16962</v>
      </c>
      <c r="F2711" s="568">
        <v>57962</v>
      </c>
      <c r="G2711" s="568">
        <v>1914</v>
      </c>
      <c r="H2711" s="568">
        <v>3503</v>
      </c>
      <c r="I2711" s="559" t="str">
        <f t="shared" si="40"/>
        <v>GooD</v>
      </c>
    </row>
    <row r="2712" spans="1:9">
      <c r="A2712" s="563" t="s">
        <v>640</v>
      </c>
      <c r="B2712" s="563">
        <v>41000</v>
      </c>
      <c r="C2712" s="564">
        <v>18</v>
      </c>
      <c r="D2712" s="564">
        <v>0.31</v>
      </c>
      <c r="E2712" s="564">
        <v>19077</v>
      </c>
      <c r="F2712" s="564">
        <v>60077</v>
      </c>
      <c r="G2712" s="564">
        <v>2153</v>
      </c>
      <c r="H2712" s="564">
        <v>3218</v>
      </c>
      <c r="I2712" s="557" t="str">
        <f t="shared" si="40"/>
        <v>GooD</v>
      </c>
    </row>
    <row r="2713" spans="1:9" ht="15.75" thickBot="1">
      <c r="A2713" s="565" t="s">
        <v>640</v>
      </c>
      <c r="B2713" s="565">
        <v>41000</v>
      </c>
      <c r="C2713" s="566">
        <v>20</v>
      </c>
      <c r="D2713" s="566">
        <v>0.31</v>
      </c>
      <c r="E2713" s="566">
        <v>21192</v>
      </c>
      <c r="F2713" s="566">
        <v>62192</v>
      </c>
      <c r="G2713" s="566">
        <v>2392</v>
      </c>
      <c r="H2713" s="566">
        <v>2990</v>
      </c>
      <c r="I2713" s="558" t="str">
        <f t="shared" si="40"/>
        <v>GooD</v>
      </c>
    </row>
    <row r="2714" spans="1:9" ht="15.75" thickTop="1">
      <c r="A2714" s="567" t="s">
        <v>640</v>
      </c>
      <c r="B2714" s="567">
        <v>41000</v>
      </c>
      <c r="C2714" s="568">
        <v>22</v>
      </c>
      <c r="D2714" s="568">
        <v>0.31</v>
      </c>
      <c r="E2714" s="568">
        <v>23319</v>
      </c>
      <c r="F2714" s="568">
        <v>64319</v>
      </c>
      <c r="G2714" s="568">
        <v>2631</v>
      </c>
      <c r="H2714" s="568">
        <v>2804</v>
      </c>
      <c r="I2714" s="559" t="str">
        <f t="shared" si="40"/>
        <v>GooD</v>
      </c>
    </row>
    <row r="2715" spans="1:9">
      <c r="A2715" s="563" t="s">
        <v>640</v>
      </c>
      <c r="B2715" s="563">
        <v>41000</v>
      </c>
      <c r="C2715" s="564">
        <v>24</v>
      </c>
      <c r="D2715" s="564">
        <v>0.31</v>
      </c>
      <c r="E2715" s="564">
        <v>25422</v>
      </c>
      <c r="F2715" s="564">
        <v>66422</v>
      </c>
      <c r="G2715" s="564">
        <v>2870</v>
      </c>
      <c r="H2715" s="564">
        <v>2648</v>
      </c>
      <c r="I2715" s="557" t="str">
        <f t="shared" si="40"/>
        <v>GooD</v>
      </c>
    </row>
    <row r="2716" spans="1:9" ht="15.75" thickBot="1">
      <c r="A2716" s="565" t="s">
        <v>640</v>
      </c>
      <c r="B2716" s="565">
        <v>42000</v>
      </c>
      <c r="C2716" s="566">
        <v>4</v>
      </c>
      <c r="D2716" s="566">
        <v>0.31</v>
      </c>
      <c r="E2716" s="566">
        <v>4342</v>
      </c>
      <c r="F2716" s="566">
        <v>46342</v>
      </c>
      <c r="G2716" s="566">
        <v>490</v>
      </c>
      <c r="H2716" s="566">
        <v>11463</v>
      </c>
      <c r="I2716" s="558" t="str">
        <f t="shared" si="40"/>
        <v>GooD</v>
      </c>
    </row>
    <row r="2717" spans="1:9" ht="15.75" thickTop="1">
      <c r="A2717" s="567" t="s">
        <v>640</v>
      </c>
      <c r="B2717" s="567">
        <v>42000</v>
      </c>
      <c r="C2717" s="568">
        <v>6</v>
      </c>
      <c r="D2717" s="568">
        <v>0.31</v>
      </c>
      <c r="E2717" s="568">
        <v>6513</v>
      </c>
      <c r="F2717" s="568">
        <v>48513</v>
      </c>
      <c r="G2717" s="568">
        <v>735</v>
      </c>
      <c r="H2717" s="568">
        <v>7963</v>
      </c>
      <c r="I2717" s="559" t="str">
        <f t="shared" si="40"/>
        <v>GooD</v>
      </c>
    </row>
    <row r="2718" spans="1:9">
      <c r="A2718" s="563" t="s">
        <v>640</v>
      </c>
      <c r="B2718" s="563">
        <v>42000</v>
      </c>
      <c r="C2718" s="564">
        <v>8</v>
      </c>
      <c r="D2718" s="564">
        <v>0.31</v>
      </c>
      <c r="E2718" s="564">
        <v>8684</v>
      </c>
      <c r="F2718" s="564">
        <v>50684</v>
      </c>
      <c r="G2718" s="564">
        <v>980</v>
      </c>
      <c r="H2718" s="564">
        <v>6213</v>
      </c>
      <c r="I2718" s="557" t="str">
        <f t="shared" si="40"/>
        <v>GooD</v>
      </c>
    </row>
    <row r="2719" spans="1:9" ht="15.75" thickBot="1">
      <c r="A2719" s="565" t="s">
        <v>640</v>
      </c>
      <c r="B2719" s="565">
        <v>42000</v>
      </c>
      <c r="C2719" s="566">
        <v>10</v>
      </c>
      <c r="D2719" s="566">
        <v>0.31</v>
      </c>
      <c r="E2719" s="566">
        <v>10855</v>
      </c>
      <c r="F2719" s="566">
        <v>52855</v>
      </c>
      <c r="G2719" s="566">
        <v>1225</v>
      </c>
      <c r="H2719" s="566">
        <v>5163</v>
      </c>
      <c r="I2719" s="558" t="str">
        <f t="shared" si="40"/>
        <v>GooD</v>
      </c>
    </row>
    <row r="2720" spans="1:9" ht="15.75" thickTop="1">
      <c r="A2720" s="567" t="s">
        <v>640</v>
      </c>
      <c r="B2720" s="567">
        <v>42000</v>
      </c>
      <c r="C2720" s="568">
        <v>12</v>
      </c>
      <c r="D2720" s="568">
        <v>0.31</v>
      </c>
      <c r="E2720" s="568">
        <v>13026</v>
      </c>
      <c r="F2720" s="568">
        <v>55026</v>
      </c>
      <c r="G2720" s="568">
        <v>1470</v>
      </c>
      <c r="H2720" s="568">
        <v>4463</v>
      </c>
      <c r="I2720" s="559" t="str">
        <f t="shared" si="40"/>
        <v>GooD</v>
      </c>
    </row>
    <row r="2721" spans="1:9">
      <c r="A2721" s="563" t="s">
        <v>640</v>
      </c>
      <c r="B2721" s="563">
        <v>42000</v>
      </c>
      <c r="C2721" s="564">
        <v>14</v>
      </c>
      <c r="D2721" s="564">
        <v>0.31</v>
      </c>
      <c r="E2721" s="564">
        <v>15197</v>
      </c>
      <c r="F2721" s="564">
        <v>57197</v>
      </c>
      <c r="G2721" s="564">
        <v>1715</v>
      </c>
      <c r="H2721" s="564">
        <v>3963</v>
      </c>
      <c r="I2721" s="557" t="str">
        <f t="shared" si="40"/>
        <v>GooD</v>
      </c>
    </row>
    <row r="2722" spans="1:9" ht="15.75" thickBot="1">
      <c r="A2722" s="565" t="s">
        <v>640</v>
      </c>
      <c r="B2722" s="565">
        <v>42000</v>
      </c>
      <c r="C2722" s="566">
        <v>16</v>
      </c>
      <c r="D2722" s="566">
        <v>0.31</v>
      </c>
      <c r="E2722" s="566">
        <v>17368</v>
      </c>
      <c r="F2722" s="566">
        <v>59368</v>
      </c>
      <c r="G2722" s="566">
        <v>1960</v>
      </c>
      <c r="H2722" s="566">
        <v>3588</v>
      </c>
      <c r="I2722" s="558" t="str">
        <f t="shared" si="40"/>
        <v>GooD</v>
      </c>
    </row>
    <row r="2723" spans="1:9" ht="15.75" thickTop="1">
      <c r="A2723" s="567" t="s">
        <v>640</v>
      </c>
      <c r="B2723" s="567">
        <v>42000</v>
      </c>
      <c r="C2723" s="568">
        <v>18</v>
      </c>
      <c r="D2723" s="568">
        <v>0.31</v>
      </c>
      <c r="E2723" s="568">
        <v>19533</v>
      </c>
      <c r="F2723" s="568">
        <v>61533</v>
      </c>
      <c r="G2723" s="568">
        <v>2205</v>
      </c>
      <c r="H2723" s="568">
        <v>3296</v>
      </c>
      <c r="I2723" s="559" t="str">
        <f t="shared" si="40"/>
        <v>GooD</v>
      </c>
    </row>
    <row r="2724" spans="1:9">
      <c r="A2724" s="563" t="s">
        <v>640</v>
      </c>
      <c r="B2724" s="563">
        <v>42000</v>
      </c>
      <c r="C2724" s="564">
        <v>20</v>
      </c>
      <c r="D2724" s="564">
        <v>0.31</v>
      </c>
      <c r="E2724" s="564">
        <v>21710</v>
      </c>
      <c r="F2724" s="564">
        <v>63710</v>
      </c>
      <c r="G2724" s="564">
        <v>2450</v>
      </c>
      <c r="H2724" s="564">
        <v>3063</v>
      </c>
      <c r="I2724" s="557" t="str">
        <f t="shared" si="40"/>
        <v>GooD</v>
      </c>
    </row>
    <row r="2725" spans="1:9" ht="15.75" thickBot="1">
      <c r="A2725" s="565" t="s">
        <v>640</v>
      </c>
      <c r="B2725" s="565">
        <v>42000</v>
      </c>
      <c r="C2725" s="566">
        <v>22</v>
      </c>
      <c r="D2725" s="566">
        <v>0.31</v>
      </c>
      <c r="E2725" s="566">
        <v>23879</v>
      </c>
      <c r="F2725" s="566">
        <v>65879</v>
      </c>
      <c r="G2725" s="566">
        <v>2695</v>
      </c>
      <c r="H2725" s="566">
        <v>2872</v>
      </c>
      <c r="I2725" s="558" t="str">
        <f t="shared" si="40"/>
        <v>GooD</v>
      </c>
    </row>
    <row r="2726" spans="1:9" ht="15.75" thickTop="1">
      <c r="A2726" s="567" t="s">
        <v>640</v>
      </c>
      <c r="B2726" s="567">
        <v>42000</v>
      </c>
      <c r="C2726" s="568">
        <v>24</v>
      </c>
      <c r="D2726" s="568">
        <v>0.31</v>
      </c>
      <c r="E2726" s="568">
        <v>26052</v>
      </c>
      <c r="F2726" s="568">
        <v>68052</v>
      </c>
      <c r="G2726" s="568">
        <v>2940</v>
      </c>
      <c r="H2726" s="568">
        <v>2713</v>
      </c>
      <c r="I2726" s="559" t="str">
        <f t="shared" si="40"/>
        <v>GooD</v>
      </c>
    </row>
    <row r="2727" spans="1:9">
      <c r="A2727" s="563" t="s">
        <v>640</v>
      </c>
      <c r="B2727" s="563">
        <v>43000</v>
      </c>
      <c r="C2727" s="564">
        <v>4</v>
      </c>
      <c r="D2727" s="564">
        <v>0.31</v>
      </c>
      <c r="E2727" s="564">
        <v>4446</v>
      </c>
      <c r="F2727" s="564">
        <v>47446</v>
      </c>
      <c r="G2727" s="564">
        <v>502</v>
      </c>
      <c r="H2727" s="564">
        <v>11736</v>
      </c>
      <c r="I2727" s="557" t="str">
        <f t="shared" ref="I2727:I2790" si="41">IF(((H2727*C2727)+G2727)=F2727,"GooD","لالالالالالالا")</f>
        <v>GooD</v>
      </c>
    </row>
    <row r="2728" spans="1:9" ht="15.75" thickBot="1">
      <c r="A2728" s="565" t="s">
        <v>640</v>
      </c>
      <c r="B2728" s="565">
        <v>43000</v>
      </c>
      <c r="C2728" s="566">
        <v>6</v>
      </c>
      <c r="D2728" s="566">
        <v>0.31</v>
      </c>
      <c r="E2728" s="566">
        <v>6671</v>
      </c>
      <c r="F2728" s="566">
        <v>49671</v>
      </c>
      <c r="G2728" s="566">
        <v>753</v>
      </c>
      <c r="H2728" s="566">
        <v>8153</v>
      </c>
      <c r="I2728" s="558" t="str">
        <f t="shared" si="41"/>
        <v>GooD</v>
      </c>
    </row>
    <row r="2729" spans="1:9" ht="15.75" thickTop="1">
      <c r="A2729" s="567" t="s">
        <v>640</v>
      </c>
      <c r="B2729" s="567">
        <v>43000</v>
      </c>
      <c r="C2729" s="568">
        <v>8</v>
      </c>
      <c r="D2729" s="568">
        <v>0.31</v>
      </c>
      <c r="E2729" s="568">
        <v>8892</v>
      </c>
      <c r="F2729" s="568">
        <v>51892</v>
      </c>
      <c r="G2729" s="568">
        <v>1004</v>
      </c>
      <c r="H2729" s="568">
        <v>6361</v>
      </c>
      <c r="I2729" s="559" t="str">
        <f t="shared" si="41"/>
        <v>GooD</v>
      </c>
    </row>
    <row r="2730" spans="1:9">
      <c r="A2730" s="563" t="s">
        <v>640</v>
      </c>
      <c r="B2730" s="563">
        <v>43000</v>
      </c>
      <c r="C2730" s="564">
        <v>10</v>
      </c>
      <c r="D2730" s="564">
        <v>0.31</v>
      </c>
      <c r="E2730" s="564">
        <v>11115</v>
      </c>
      <c r="F2730" s="564">
        <v>54115</v>
      </c>
      <c r="G2730" s="564">
        <v>1255</v>
      </c>
      <c r="H2730" s="564">
        <v>5286</v>
      </c>
      <c r="I2730" s="557" t="str">
        <f t="shared" si="41"/>
        <v>GooD</v>
      </c>
    </row>
    <row r="2731" spans="1:9" ht="15.75" thickBot="1">
      <c r="A2731" s="565" t="s">
        <v>640</v>
      </c>
      <c r="B2731" s="565">
        <v>43000</v>
      </c>
      <c r="C2731" s="566">
        <v>12</v>
      </c>
      <c r="D2731" s="566">
        <v>0.31</v>
      </c>
      <c r="E2731" s="566">
        <v>13333</v>
      </c>
      <c r="F2731" s="566">
        <v>56333</v>
      </c>
      <c r="G2731" s="566">
        <v>1505</v>
      </c>
      <c r="H2731" s="566">
        <v>4569</v>
      </c>
      <c r="I2731" s="558" t="str">
        <f t="shared" si="41"/>
        <v>GooD</v>
      </c>
    </row>
    <row r="2732" spans="1:9" ht="15.75" thickTop="1">
      <c r="A2732" s="567" t="s">
        <v>640</v>
      </c>
      <c r="B2732" s="567">
        <v>43000</v>
      </c>
      <c r="C2732" s="568">
        <v>14</v>
      </c>
      <c r="D2732" s="568">
        <v>0.31</v>
      </c>
      <c r="E2732" s="568">
        <v>15554</v>
      </c>
      <c r="F2732" s="568">
        <v>58554</v>
      </c>
      <c r="G2732" s="568">
        <v>1756</v>
      </c>
      <c r="H2732" s="568">
        <v>4057</v>
      </c>
      <c r="I2732" s="559" t="str">
        <f t="shared" si="41"/>
        <v>GooD</v>
      </c>
    </row>
    <row r="2733" spans="1:9">
      <c r="A2733" s="563" t="s">
        <v>640</v>
      </c>
      <c r="B2733" s="563">
        <v>43000</v>
      </c>
      <c r="C2733" s="564">
        <v>16</v>
      </c>
      <c r="D2733" s="564">
        <v>0.31</v>
      </c>
      <c r="E2733" s="564">
        <v>17775</v>
      </c>
      <c r="F2733" s="564">
        <v>60775</v>
      </c>
      <c r="G2733" s="564">
        <v>2007</v>
      </c>
      <c r="H2733" s="564">
        <v>3673</v>
      </c>
      <c r="I2733" s="557" t="str">
        <f t="shared" si="41"/>
        <v>GooD</v>
      </c>
    </row>
    <row r="2734" spans="1:9" ht="15.75" thickBot="1">
      <c r="A2734" s="565" t="s">
        <v>640</v>
      </c>
      <c r="B2734" s="565">
        <v>43000</v>
      </c>
      <c r="C2734" s="566">
        <v>18</v>
      </c>
      <c r="D2734" s="566">
        <v>0.31</v>
      </c>
      <c r="E2734" s="566">
        <v>20008</v>
      </c>
      <c r="F2734" s="566">
        <v>63008</v>
      </c>
      <c r="G2734" s="566">
        <v>2258</v>
      </c>
      <c r="H2734" s="566">
        <v>3375</v>
      </c>
      <c r="I2734" s="558" t="str">
        <f t="shared" si="41"/>
        <v>GooD</v>
      </c>
    </row>
    <row r="2735" spans="1:9" ht="15.75" thickTop="1">
      <c r="A2735" s="567" t="s">
        <v>640</v>
      </c>
      <c r="B2735" s="567">
        <v>43000</v>
      </c>
      <c r="C2735" s="568">
        <v>20</v>
      </c>
      <c r="D2735" s="568">
        <v>0.31</v>
      </c>
      <c r="E2735" s="568">
        <v>22229</v>
      </c>
      <c r="F2735" s="568">
        <v>65229</v>
      </c>
      <c r="G2735" s="568">
        <v>2509</v>
      </c>
      <c r="H2735" s="568">
        <v>3136</v>
      </c>
      <c r="I2735" s="559" t="str">
        <f t="shared" si="41"/>
        <v>GooD</v>
      </c>
    </row>
    <row r="2736" spans="1:9">
      <c r="A2736" s="563" t="s">
        <v>640</v>
      </c>
      <c r="B2736" s="563">
        <v>43000</v>
      </c>
      <c r="C2736" s="564">
        <v>22</v>
      </c>
      <c r="D2736" s="564">
        <v>0.31</v>
      </c>
      <c r="E2736" s="564">
        <v>24440</v>
      </c>
      <c r="F2736" s="564">
        <v>67440</v>
      </c>
      <c r="G2736" s="564">
        <v>2760</v>
      </c>
      <c r="H2736" s="564">
        <v>2940</v>
      </c>
      <c r="I2736" s="557" t="str">
        <f t="shared" si="41"/>
        <v>GooD</v>
      </c>
    </row>
    <row r="2737" spans="1:9" ht="15.75" thickBot="1">
      <c r="A2737" s="565" t="s">
        <v>640</v>
      </c>
      <c r="B2737" s="565">
        <v>43000</v>
      </c>
      <c r="C2737" s="566">
        <v>24</v>
      </c>
      <c r="D2737" s="566">
        <v>0.31</v>
      </c>
      <c r="E2737" s="566">
        <v>26682</v>
      </c>
      <c r="F2737" s="566">
        <v>69682</v>
      </c>
      <c r="G2737" s="566">
        <v>3010</v>
      </c>
      <c r="H2737" s="566">
        <v>2778</v>
      </c>
      <c r="I2737" s="558" t="str">
        <f t="shared" si="41"/>
        <v>GooD</v>
      </c>
    </row>
    <row r="2738" spans="1:9" ht="15.75" thickTop="1">
      <c r="A2738" s="567" t="s">
        <v>640</v>
      </c>
      <c r="B2738" s="567">
        <v>44000</v>
      </c>
      <c r="C2738" s="568">
        <v>4</v>
      </c>
      <c r="D2738" s="568">
        <v>0.31</v>
      </c>
      <c r="E2738" s="568">
        <v>4550</v>
      </c>
      <c r="F2738" s="568">
        <v>48550</v>
      </c>
      <c r="G2738" s="568">
        <v>514</v>
      </c>
      <c r="H2738" s="568">
        <v>12009</v>
      </c>
      <c r="I2738" s="559" t="str">
        <f t="shared" si="41"/>
        <v>GooD</v>
      </c>
    </row>
    <row r="2739" spans="1:9">
      <c r="A2739" s="563" t="s">
        <v>640</v>
      </c>
      <c r="B2739" s="563">
        <v>44000</v>
      </c>
      <c r="C2739" s="564">
        <v>6</v>
      </c>
      <c r="D2739" s="564">
        <v>0.31</v>
      </c>
      <c r="E2739" s="564">
        <v>6822</v>
      </c>
      <c r="F2739" s="564">
        <v>50822</v>
      </c>
      <c r="G2739" s="564">
        <v>770</v>
      </c>
      <c r="H2739" s="564">
        <v>8342</v>
      </c>
      <c r="I2739" s="557" t="str">
        <f t="shared" si="41"/>
        <v>GooD</v>
      </c>
    </row>
    <row r="2740" spans="1:9" ht="15.75" thickBot="1">
      <c r="A2740" s="565" t="s">
        <v>640</v>
      </c>
      <c r="B2740" s="565">
        <v>44000</v>
      </c>
      <c r="C2740" s="566">
        <v>8</v>
      </c>
      <c r="D2740" s="566">
        <v>0.31</v>
      </c>
      <c r="E2740" s="566">
        <v>9099</v>
      </c>
      <c r="F2740" s="566">
        <v>53099</v>
      </c>
      <c r="G2740" s="566">
        <v>1027</v>
      </c>
      <c r="H2740" s="566">
        <v>6509</v>
      </c>
      <c r="I2740" s="558" t="str">
        <f t="shared" si="41"/>
        <v>GooD</v>
      </c>
    </row>
    <row r="2741" spans="1:9" ht="15.75" thickTop="1">
      <c r="A2741" s="567" t="s">
        <v>640</v>
      </c>
      <c r="B2741" s="567">
        <v>44000</v>
      </c>
      <c r="C2741" s="568">
        <v>10</v>
      </c>
      <c r="D2741" s="568">
        <v>0.31</v>
      </c>
      <c r="E2741" s="568">
        <v>11374</v>
      </c>
      <c r="F2741" s="568">
        <v>55374</v>
      </c>
      <c r="G2741" s="568">
        <v>1284</v>
      </c>
      <c r="H2741" s="568">
        <v>5409</v>
      </c>
      <c r="I2741" s="559" t="str">
        <f t="shared" si="41"/>
        <v>GooD</v>
      </c>
    </row>
    <row r="2742" spans="1:9">
      <c r="A2742" s="563" t="s">
        <v>640</v>
      </c>
      <c r="B2742" s="563">
        <v>44000</v>
      </c>
      <c r="C2742" s="564">
        <v>12</v>
      </c>
      <c r="D2742" s="564">
        <v>0.31</v>
      </c>
      <c r="E2742" s="564">
        <v>13652</v>
      </c>
      <c r="F2742" s="564">
        <v>57652</v>
      </c>
      <c r="G2742" s="564">
        <v>1540</v>
      </c>
      <c r="H2742" s="564">
        <v>4676</v>
      </c>
      <c r="I2742" s="557" t="str">
        <f t="shared" si="41"/>
        <v>GooD</v>
      </c>
    </row>
    <row r="2743" spans="1:9" ht="15.75" thickBot="1">
      <c r="A2743" s="565" t="s">
        <v>640</v>
      </c>
      <c r="B2743" s="565">
        <v>44000</v>
      </c>
      <c r="C2743" s="566">
        <v>14</v>
      </c>
      <c r="D2743" s="566">
        <v>0.31</v>
      </c>
      <c r="E2743" s="566">
        <v>15925</v>
      </c>
      <c r="F2743" s="566">
        <v>59925</v>
      </c>
      <c r="G2743" s="566">
        <v>1797</v>
      </c>
      <c r="H2743" s="566">
        <v>4152</v>
      </c>
      <c r="I2743" s="558" t="str">
        <f t="shared" si="41"/>
        <v>GooD</v>
      </c>
    </row>
    <row r="2744" spans="1:9" ht="15.75" thickTop="1">
      <c r="A2744" s="567" t="s">
        <v>640</v>
      </c>
      <c r="B2744" s="567">
        <v>44000</v>
      </c>
      <c r="C2744" s="568">
        <v>16</v>
      </c>
      <c r="D2744" s="568">
        <v>0.31</v>
      </c>
      <c r="E2744" s="568">
        <v>18198</v>
      </c>
      <c r="F2744" s="568">
        <v>62198</v>
      </c>
      <c r="G2744" s="568">
        <v>2054</v>
      </c>
      <c r="H2744" s="568">
        <v>3759</v>
      </c>
      <c r="I2744" s="559" t="str">
        <f t="shared" si="41"/>
        <v>GooD</v>
      </c>
    </row>
    <row r="2745" spans="1:9">
      <c r="A2745" s="563" t="s">
        <v>640</v>
      </c>
      <c r="B2745" s="563">
        <v>44000</v>
      </c>
      <c r="C2745" s="564">
        <v>18</v>
      </c>
      <c r="D2745" s="564">
        <v>0.31</v>
      </c>
      <c r="E2745" s="564">
        <v>20464</v>
      </c>
      <c r="F2745" s="564">
        <v>64464</v>
      </c>
      <c r="G2745" s="564">
        <v>2310</v>
      </c>
      <c r="H2745" s="564">
        <v>3453</v>
      </c>
      <c r="I2745" s="557" t="str">
        <f t="shared" si="41"/>
        <v>GooD</v>
      </c>
    </row>
    <row r="2746" spans="1:9" ht="15.75" thickBot="1">
      <c r="A2746" s="565" t="s">
        <v>640</v>
      </c>
      <c r="B2746" s="565">
        <v>44000</v>
      </c>
      <c r="C2746" s="566">
        <v>20</v>
      </c>
      <c r="D2746" s="566">
        <v>0.31</v>
      </c>
      <c r="E2746" s="566">
        <v>22747</v>
      </c>
      <c r="F2746" s="566">
        <v>66747</v>
      </c>
      <c r="G2746" s="566">
        <v>2567</v>
      </c>
      <c r="H2746" s="566">
        <v>3209</v>
      </c>
      <c r="I2746" s="558" t="str">
        <f t="shared" si="41"/>
        <v>GooD</v>
      </c>
    </row>
    <row r="2747" spans="1:9" ht="15.75" thickTop="1">
      <c r="A2747" s="567" t="s">
        <v>640</v>
      </c>
      <c r="B2747" s="567">
        <v>44000</v>
      </c>
      <c r="C2747" s="568">
        <v>22</v>
      </c>
      <c r="D2747" s="568">
        <v>0.31</v>
      </c>
      <c r="E2747" s="568">
        <v>25022</v>
      </c>
      <c r="F2747" s="568">
        <v>69022</v>
      </c>
      <c r="G2747" s="568">
        <v>2824</v>
      </c>
      <c r="H2747" s="568">
        <v>3009</v>
      </c>
      <c r="I2747" s="559" t="str">
        <f t="shared" si="41"/>
        <v>GooD</v>
      </c>
    </row>
    <row r="2748" spans="1:9">
      <c r="A2748" s="563" t="s">
        <v>640</v>
      </c>
      <c r="B2748" s="563">
        <v>44000</v>
      </c>
      <c r="C2748" s="564">
        <v>24</v>
      </c>
      <c r="D2748" s="564">
        <v>0.31</v>
      </c>
      <c r="E2748" s="564">
        <v>27288</v>
      </c>
      <c r="F2748" s="564">
        <v>71288</v>
      </c>
      <c r="G2748" s="564">
        <v>3080</v>
      </c>
      <c r="H2748" s="564">
        <v>2842</v>
      </c>
      <c r="I2748" s="557" t="str">
        <f t="shared" si="41"/>
        <v>GooD</v>
      </c>
    </row>
    <row r="2749" spans="1:9" ht="15.75" thickBot="1">
      <c r="A2749" s="565" t="s">
        <v>640</v>
      </c>
      <c r="B2749" s="565">
        <v>45000</v>
      </c>
      <c r="C2749" s="566">
        <v>4</v>
      </c>
      <c r="D2749" s="566">
        <v>0.31</v>
      </c>
      <c r="E2749" s="566">
        <v>4653</v>
      </c>
      <c r="F2749" s="566">
        <v>49653</v>
      </c>
      <c r="G2749" s="566">
        <v>525</v>
      </c>
      <c r="H2749" s="566">
        <v>12282</v>
      </c>
      <c r="I2749" s="558" t="str">
        <f t="shared" si="41"/>
        <v>GooD</v>
      </c>
    </row>
    <row r="2750" spans="1:9" ht="15.75" thickTop="1">
      <c r="A2750" s="567" t="s">
        <v>640</v>
      </c>
      <c r="B2750" s="567">
        <v>45000</v>
      </c>
      <c r="C2750" s="568">
        <v>6</v>
      </c>
      <c r="D2750" s="568">
        <v>0.31</v>
      </c>
      <c r="E2750" s="568">
        <v>6980</v>
      </c>
      <c r="F2750" s="568">
        <v>51980</v>
      </c>
      <c r="G2750" s="568">
        <v>788</v>
      </c>
      <c r="H2750" s="568">
        <v>8532</v>
      </c>
      <c r="I2750" s="559" t="str">
        <f t="shared" si="41"/>
        <v>GooD</v>
      </c>
    </row>
    <row r="2751" spans="1:9">
      <c r="A2751" s="563" t="s">
        <v>640</v>
      </c>
      <c r="B2751" s="563">
        <v>45000</v>
      </c>
      <c r="C2751" s="564">
        <v>8</v>
      </c>
      <c r="D2751" s="564">
        <v>0.31</v>
      </c>
      <c r="E2751" s="564">
        <v>9306</v>
      </c>
      <c r="F2751" s="564">
        <v>54306</v>
      </c>
      <c r="G2751" s="564">
        <v>1050</v>
      </c>
      <c r="H2751" s="564">
        <v>6657</v>
      </c>
      <c r="I2751" s="557" t="str">
        <f t="shared" si="41"/>
        <v>GooD</v>
      </c>
    </row>
    <row r="2752" spans="1:9" ht="15.75" thickBot="1">
      <c r="A2752" s="565" t="s">
        <v>640</v>
      </c>
      <c r="B2752" s="565">
        <v>45000</v>
      </c>
      <c r="C2752" s="566">
        <v>10</v>
      </c>
      <c r="D2752" s="566">
        <v>0.31</v>
      </c>
      <c r="E2752" s="566">
        <v>11633</v>
      </c>
      <c r="F2752" s="566">
        <v>56633</v>
      </c>
      <c r="G2752" s="566">
        <v>1313</v>
      </c>
      <c r="H2752" s="566">
        <v>5532</v>
      </c>
      <c r="I2752" s="558" t="str">
        <f t="shared" si="41"/>
        <v>GooD</v>
      </c>
    </row>
    <row r="2753" spans="1:9" ht="15.75" thickTop="1">
      <c r="A2753" s="567" t="s">
        <v>640</v>
      </c>
      <c r="B2753" s="567">
        <v>45000</v>
      </c>
      <c r="C2753" s="568">
        <v>12</v>
      </c>
      <c r="D2753" s="568">
        <v>0.31</v>
      </c>
      <c r="E2753" s="568">
        <v>13959</v>
      </c>
      <c r="F2753" s="568">
        <v>58959</v>
      </c>
      <c r="G2753" s="568">
        <v>1575</v>
      </c>
      <c r="H2753" s="568">
        <v>4782</v>
      </c>
      <c r="I2753" s="559" t="str">
        <f t="shared" si="41"/>
        <v>GooD</v>
      </c>
    </row>
    <row r="2754" spans="1:9">
      <c r="A2754" s="563" t="s">
        <v>640</v>
      </c>
      <c r="B2754" s="563">
        <v>45000</v>
      </c>
      <c r="C2754" s="564">
        <v>14</v>
      </c>
      <c r="D2754" s="564">
        <v>0.31</v>
      </c>
      <c r="E2754" s="564">
        <v>16282</v>
      </c>
      <c r="F2754" s="564">
        <v>61282</v>
      </c>
      <c r="G2754" s="564">
        <v>1838</v>
      </c>
      <c r="H2754" s="564">
        <v>4246</v>
      </c>
      <c r="I2754" s="557" t="str">
        <f t="shared" si="41"/>
        <v>GooD</v>
      </c>
    </row>
    <row r="2755" spans="1:9" ht="15.75" thickBot="1">
      <c r="A2755" s="565" t="s">
        <v>640</v>
      </c>
      <c r="B2755" s="565">
        <v>45000</v>
      </c>
      <c r="C2755" s="566">
        <v>16</v>
      </c>
      <c r="D2755" s="566">
        <v>0.31</v>
      </c>
      <c r="E2755" s="566">
        <v>18604</v>
      </c>
      <c r="F2755" s="566">
        <v>63604</v>
      </c>
      <c r="G2755" s="566">
        <v>2100</v>
      </c>
      <c r="H2755" s="566">
        <v>3844</v>
      </c>
      <c r="I2755" s="558" t="str">
        <f t="shared" si="41"/>
        <v>GooD</v>
      </c>
    </row>
    <row r="2756" spans="1:9" ht="15.75" thickTop="1">
      <c r="A2756" s="567" t="s">
        <v>640</v>
      </c>
      <c r="B2756" s="567">
        <v>45000</v>
      </c>
      <c r="C2756" s="568">
        <v>18</v>
      </c>
      <c r="D2756" s="568">
        <v>0.31</v>
      </c>
      <c r="E2756" s="568">
        <v>20939</v>
      </c>
      <c r="F2756" s="568">
        <v>65939</v>
      </c>
      <c r="G2756" s="568">
        <v>2363</v>
      </c>
      <c r="H2756" s="568">
        <v>3532</v>
      </c>
      <c r="I2756" s="559" t="str">
        <f t="shared" si="41"/>
        <v>GooD</v>
      </c>
    </row>
    <row r="2757" spans="1:9">
      <c r="A2757" s="563" t="s">
        <v>640</v>
      </c>
      <c r="B2757" s="563">
        <v>45000</v>
      </c>
      <c r="C2757" s="564">
        <v>20</v>
      </c>
      <c r="D2757" s="564">
        <v>0.31</v>
      </c>
      <c r="E2757" s="564">
        <v>23265</v>
      </c>
      <c r="F2757" s="564">
        <v>68265</v>
      </c>
      <c r="G2757" s="564">
        <v>2625</v>
      </c>
      <c r="H2757" s="564">
        <v>3282</v>
      </c>
      <c r="I2757" s="557" t="str">
        <f t="shared" si="41"/>
        <v>GooD</v>
      </c>
    </row>
    <row r="2758" spans="1:9" ht="15.75" thickBot="1">
      <c r="A2758" s="565" t="s">
        <v>640</v>
      </c>
      <c r="B2758" s="565">
        <v>45000</v>
      </c>
      <c r="C2758" s="566">
        <v>22</v>
      </c>
      <c r="D2758" s="566">
        <v>0.31</v>
      </c>
      <c r="E2758" s="566">
        <v>25582</v>
      </c>
      <c r="F2758" s="566">
        <v>70582</v>
      </c>
      <c r="G2758" s="566">
        <v>2888</v>
      </c>
      <c r="H2758" s="566">
        <v>3077</v>
      </c>
      <c r="I2758" s="558" t="str">
        <f t="shared" si="41"/>
        <v>GooD</v>
      </c>
    </row>
    <row r="2759" spans="1:9" ht="15.75" thickTop="1">
      <c r="A2759" s="567" t="s">
        <v>640</v>
      </c>
      <c r="B2759" s="567">
        <v>45000</v>
      </c>
      <c r="C2759" s="568">
        <v>24</v>
      </c>
      <c r="D2759" s="568">
        <v>0.31</v>
      </c>
      <c r="E2759" s="568">
        <v>27918</v>
      </c>
      <c r="F2759" s="568">
        <v>72918</v>
      </c>
      <c r="G2759" s="568">
        <v>3150</v>
      </c>
      <c r="H2759" s="568">
        <v>2907</v>
      </c>
      <c r="I2759" s="559" t="str">
        <f t="shared" si="41"/>
        <v>GooD</v>
      </c>
    </row>
    <row r="2760" spans="1:9">
      <c r="A2760" s="563" t="s">
        <v>640</v>
      </c>
      <c r="B2760" s="563">
        <v>46000</v>
      </c>
      <c r="C2760" s="564">
        <v>4</v>
      </c>
      <c r="D2760" s="564">
        <v>0.31</v>
      </c>
      <c r="E2760" s="564">
        <v>4757</v>
      </c>
      <c r="F2760" s="564">
        <v>50757</v>
      </c>
      <c r="G2760" s="564">
        <v>537</v>
      </c>
      <c r="H2760" s="564">
        <v>12555</v>
      </c>
      <c r="I2760" s="557" t="str">
        <f t="shared" si="41"/>
        <v>GooD</v>
      </c>
    </row>
    <row r="2761" spans="1:9" ht="15.75" thickBot="1">
      <c r="A2761" s="565" t="s">
        <v>640</v>
      </c>
      <c r="B2761" s="565">
        <v>46000</v>
      </c>
      <c r="C2761" s="566">
        <v>6</v>
      </c>
      <c r="D2761" s="566">
        <v>0.31</v>
      </c>
      <c r="E2761" s="566">
        <v>7131</v>
      </c>
      <c r="F2761" s="566">
        <v>53131</v>
      </c>
      <c r="G2761" s="566">
        <v>805</v>
      </c>
      <c r="H2761" s="566">
        <v>8721</v>
      </c>
      <c r="I2761" s="558" t="str">
        <f t="shared" si="41"/>
        <v>GooD</v>
      </c>
    </row>
    <row r="2762" spans="1:9" ht="15.75" thickTop="1">
      <c r="A2762" s="567" t="s">
        <v>640</v>
      </c>
      <c r="B2762" s="567">
        <v>46000</v>
      </c>
      <c r="C2762" s="568">
        <v>8</v>
      </c>
      <c r="D2762" s="568">
        <v>0.31</v>
      </c>
      <c r="E2762" s="568">
        <v>9514</v>
      </c>
      <c r="F2762" s="568">
        <v>55514</v>
      </c>
      <c r="G2762" s="568">
        <v>1074</v>
      </c>
      <c r="H2762" s="568">
        <v>6805</v>
      </c>
      <c r="I2762" s="559" t="str">
        <f t="shared" si="41"/>
        <v>GooD</v>
      </c>
    </row>
    <row r="2763" spans="1:9">
      <c r="A2763" s="563" t="s">
        <v>640</v>
      </c>
      <c r="B2763" s="563">
        <v>46000</v>
      </c>
      <c r="C2763" s="564">
        <v>10</v>
      </c>
      <c r="D2763" s="564">
        <v>0.31</v>
      </c>
      <c r="E2763" s="564">
        <v>11892</v>
      </c>
      <c r="F2763" s="564">
        <v>57892</v>
      </c>
      <c r="G2763" s="564">
        <v>1342</v>
      </c>
      <c r="H2763" s="564">
        <v>5655</v>
      </c>
      <c r="I2763" s="557" t="str">
        <f t="shared" si="41"/>
        <v>GooD</v>
      </c>
    </row>
    <row r="2764" spans="1:9" ht="15.75" thickBot="1">
      <c r="A2764" s="565" t="s">
        <v>640</v>
      </c>
      <c r="B2764" s="565">
        <v>46000</v>
      </c>
      <c r="C2764" s="566">
        <v>12</v>
      </c>
      <c r="D2764" s="566">
        <v>0.31</v>
      </c>
      <c r="E2764" s="566">
        <v>14266</v>
      </c>
      <c r="F2764" s="566">
        <v>60266</v>
      </c>
      <c r="G2764" s="566">
        <v>1610</v>
      </c>
      <c r="H2764" s="566">
        <v>4888</v>
      </c>
      <c r="I2764" s="558" t="str">
        <f t="shared" si="41"/>
        <v>GooD</v>
      </c>
    </row>
    <row r="2765" spans="1:9" ht="15.75" thickTop="1">
      <c r="A2765" s="567" t="s">
        <v>640</v>
      </c>
      <c r="B2765" s="567">
        <v>46000</v>
      </c>
      <c r="C2765" s="568">
        <v>14</v>
      </c>
      <c r="D2765" s="568">
        <v>0.31</v>
      </c>
      <c r="E2765" s="568">
        <v>16639</v>
      </c>
      <c r="F2765" s="568">
        <v>62639</v>
      </c>
      <c r="G2765" s="568">
        <v>1879</v>
      </c>
      <c r="H2765" s="568">
        <v>4340</v>
      </c>
      <c r="I2765" s="559" t="str">
        <f t="shared" si="41"/>
        <v>GooD</v>
      </c>
    </row>
    <row r="2766" spans="1:9">
      <c r="A2766" s="563" t="s">
        <v>640</v>
      </c>
      <c r="B2766" s="563">
        <v>46000</v>
      </c>
      <c r="C2766" s="564">
        <v>16</v>
      </c>
      <c r="D2766" s="564">
        <v>0.31</v>
      </c>
      <c r="E2766" s="564">
        <v>19027</v>
      </c>
      <c r="F2766" s="564">
        <v>65027</v>
      </c>
      <c r="G2766" s="564">
        <v>2147</v>
      </c>
      <c r="H2766" s="564">
        <v>3930</v>
      </c>
      <c r="I2766" s="557" t="str">
        <f t="shared" si="41"/>
        <v>GooD</v>
      </c>
    </row>
    <row r="2767" spans="1:9" ht="15.75" thickBot="1">
      <c r="A2767" s="565" t="s">
        <v>640</v>
      </c>
      <c r="B2767" s="565">
        <v>46000</v>
      </c>
      <c r="C2767" s="566">
        <v>18</v>
      </c>
      <c r="D2767" s="566">
        <v>0.31</v>
      </c>
      <c r="E2767" s="566">
        <v>21395</v>
      </c>
      <c r="F2767" s="566">
        <v>67395</v>
      </c>
      <c r="G2767" s="566">
        <v>2415</v>
      </c>
      <c r="H2767" s="566">
        <v>3610</v>
      </c>
      <c r="I2767" s="558" t="str">
        <f t="shared" si="41"/>
        <v>GooD</v>
      </c>
    </row>
    <row r="2768" spans="1:9" ht="15.75" thickTop="1">
      <c r="A2768" s="567" t="s">
        <v>640</v>
      </c>
      <c r="B2768" s="567">
        <v>46000</v>
      </c>
      <c r="C2768" s="568">
        <v>20</v>
      </c>
      <c r="D2768" s="568">
        <v>0.31</v>
      </c>
      <c r="E2768" s="568">
        <v>23784</v>
      </c>
      <c r="F2768" s="568">
        <v>69784</v>
      </c>
      <c r="G2768" s="568">
        <v>2684</v>
      </c>
      <c r="H2768" s="568">
        <v>3355</v>
      </c>
      <c r="I2768" s="559" t="str">
        <f t="shared" si="41"/>
        <v>GooD</v>
      </c>
    </row>
    <row r="2769" spans="1:9">
      <c r="A2769" s="563" t="s">
        <v>640</v>
      </c>
      <c r="B2769" s="563">
        <v>46000</v>
      </c>
      <c r="C2769" s="564">
        <v>22</v>
      </c>
      <c r="D2769" s="564">
        <v>0.31</v>
      </c>
      <c r="E2769" s="564">
        <v>26164</v>
      </c>
      <c r="F2769" s="564">
        <v>72164</v>
      </c>
      <c r="G2769" s="564">
        <v>2952</v>
      </c>
      <c r="H2769" s="564">
        <v>3146</v>
      </c>
      <c r="I2769" s="557" t="str">
        <f t="shared" si="41"/>
        <v>GooD</v>
      </c>
    </row>
    <row r="2770" spans="1:9" ht="15.75" thickBot="1">
      <c r="A2770" s="565" t="s">
        <v>640</v>
      </c>
      <c r="B2770" s="565">
        <v>46000</v>
      </c>
      <c r="C2770" s="566">
        <v>24</v>
      </c>
      <c r="D2770" s="566">
        <v>0.31</v>
      </c>
      <c r="E2770" s="566">
        <v>28524</v>
      </c>
      <c r="F2770" s="566">
        <v>74524</v>
      </c>
      <c r="G2770" s="566">
        <v>3220</v>
      </c>
      <c r="H2770" s="566">
        <v>2971</v>
      </c>
      <c r="I2770" s="558" t="str">
        <f t="shared" si="41"/>
        <v>GooD</v>
      </c>
    </row>
    <row r="2771" spans="1:9" ht="15.75" thickTop="1">
      <c r="A2771" s="567" t="s">
        <v>640</v>
      </c>
      <c r="B2771" s="567">
        <v>47000</v>
      </c>
      <c r="C2771" s="568">
        <v>4</v>
      </c>
      <c r="D2771" s="568">
        <v>0.31</v>
      </c>
      <c r="E2771" s="568">
        <v>4861</v>
      </c>
      <c r="F2771" s="568">
        <v>51861</v>
      </c>
      <c r="G2771" s="568">
        <v>549</v>
      </c>
      <c r="H2771" s="568">
        <v>12828</v>
      </c>
      <c r="I2771" s="559" t="str">
        <f t="shared" si="41"/>
        <v>GooD</v>
      </c>
    </row>
    <row r="2772" spans="1:9">
      <c r="A2772" s="563" t="s">
        <v>640</v>
      </c>
      <c r="B2772" s="563">
        <v>47000</v>
      </c>
      <c r="C2772" s="564">
        <v>6</v>
      </c>
      <c r="D2772" s="564">
        <v>0.31</v>
      </c>
      <c r="E2772" s="564">
        <v>7289</v>
      </c>
      <c r="F2772" s="564">
        <v>54289</v>
      </c>
      <c r="G2772" s="564">
        <v>823</v>
      </c>
      <c r="H2772" s="564">
        <v>8911</v>
      </c>
      <c r="I2772" s="557" t="str">
        <f t="shared" si="41"/>
        <v>GooD</v>
      </c>
    </row>
    <row r="2773" spans="1:9" ht="15.75" thickBot="1">
      <c r="A2773" s="565" t="s">
        <v>640</v>
      </c>
      <c r="B2773" s="565">
        <v>47000</v>
      </c>
      <c r="C2773" s="566">
        <v>8</v>
      </c>
      <c r="D2773" s="566">
        <v>0.31</v>
      </c>
      <c r="E2773" s="566">
        <v>9721</v>
      </c>
      <c r="F2773" s="566">
        <v>56721</v>
      </c>
      <c r="G2773" s="566">
        <v>1097</v>
      </c>
      <c r="H2773" s="566">
        <v>6953</v>
      </c>
      <c r="I2773" s="558" t="str">
        <f t="shared" si="41"/>
        <v>GooD</v>
      </c>
    </row>
    <row r="2774" spans="1:9" ht="15.75" thickTop="1">
      <c r="A2774" s="567" t="s">
        <v>640</v>
      </c>
      <c r="B2774" s="567">
        <v>47000</v>
      </c>
      <c r="C2774" s="568">
        <v>10</v>
      </c>
      <c r="D2774" s="568">
        <v>0.31</v>
      </c>
      <c r="E2774" s="568">
        <v>12151</v>
      </c>
      <c r="F2774" s="568">
        <v>59151</v>
      </c>
      <c r="G2774" s="568">
        <v>1371</v>
      </c>
      <c r="H2774" s="568">
        <v>5778</v>
      </c>
      <c r="I2774" s="559" t="str">
        <f t="shared" si="41"/>
        <v>GooD</v>
      </c>
    </row>
    <row r="2775" spans="1:9">
      <c r="A2775" s="563" t="s">
        <v>640</v>
      </c>
      <c r="B2775" s="563">
        <v>47000</v>
      </c>
      <c r="C2775" s="564">
        <v>12</v>
      </c>
      <c r="D2775" s="564">
        <v>0.31</v>
      </c>
      <c r="E2775" s="564">
        <v>14573</v>
      </c>
      <c r="F2775" s="564">
        <v>61573</v>
      </c>
      <c r="G2775" s="564">
        <v>1645</v>
      </c>
      <c r="H2775" s="564">
        <v>4994</v>
      </c>
      <c r="I2775" s="557" t="str">
        <f t="shared" si="41"/>
        <v>GooD</v>
      </c>
    </row>
    <row r="2776" spans="1:9" ht="15.75" thickBot="1">
      <c r="A2776" s="565" t="s">
        <v>640</v>
      </c>
      <c r="B2776" s="565">
        <v>47000</v>
      </c>
      <c r="C2776" s="566">
        <v>14</v>
      </c>
      <c r="D2776" s="566">
        <v>0.31</v>
      </c>
      <c r="E2776" s="566">
        <v>17010</v>
      </c>
      <c r="F2776" s="566">
        <v>64010</v>
      </c>
      <c r="G2776" s="566">
        <v>1920</v>
      </c>
      <c r="H2776" s="566">
        <v>4435</v>
      </c>
      <c r="I2776" s="558" t="str">
        <f t="shared" si="41"/>
        <v>GooD</v>
      </c>
    </row>
    <row r="2777" spans="1:9" ht="15.75" thickTop="1">
      <c r="A2777" s="567" t="s">
        <v>640</v>
      </c>
      <c r="B2777" s="567">
        <v>47000</v>
      </c>
      <c r="C2777" s="568">
        <v>16</v>
      </c>
      <c r="D2777" s="568">
        <v>0.31</v>
      </c>
      <c r="E2777" s="568">
        <v>19434</v>
      </c>
      <c r="F2777" s="568">
        <v>66434</v>
      </c>
      <c r="G2777" s="568">
        <v>2194</v>
      </c>
      <c r="H2777" s="568">
        <v>4015</v>
      </c>
      <c r="I2777" s="559" t="str">
        <f t="shared" si="41"/>
        <v>GooD</v>
      </c>
    </row>
    <row r="2778" spans="1:9">
      <c r="A2778" s="563" t="s">
        <v>640</v>
      </c>
      <c r="B2778" s="563">
        <v>47000</v>
      </c>
      <c r="C2778" s="564">
        <v>18</v>
      </c>
      <c r="D2778" s="564">
        <v>0.31</v>
      </c>
      <c r="E2778" s="564">
        <v>21870</v>
      </c>
      <c r="F2778" s="564">
        <v>68870</v>
      </c>
      <c r="G2778" s="564">
        <v>2468</v>
      </c>
      <c r="H2778" s="564">
        <v>3689</v>
      </c>
      <c r="I2778" s="557" t="str">
        <f t="shared" si="41"/>
        <v>GooD</v>
      </c>
    </row>
    <row r="2779" spans="1:9" ht="15.75" thickBot="1">
      <c r="A2779" s="565" t="s">
        <v>640</v>
      </c>
      <c r="B2779" s="565">
        <v>47000</v>
      </c>
      <c r="C2779" s="566">
        <v>20</v>
      </c>
      <c r="D2779" s="566">
        <v>0.31</v>
      </c>
      <c r="E2779" s="566">
        <v>24302</v>
      </c>
      <c r="F2779" s="566">
        <v>71302</v>
      </c>
      <c r="G2779" s="566">
        <v>2742</v>
      </c>
      <c r="H2779" s="566">
        <v>3428</v>
      </c>
      <c r="I2779" s="558" t="str">
        <f t="shared" si="41"/>
        <v>GooD</v>
      </c>
    </row>
    <row r="2780" spans="1:9" ht="15.75" thickTop="1">
      <c r="A2780" s="567" t="s">
        <v>640</v>
      </c>
      <c r="B2780" s="567">
        <v>47000</v>
      </c>
      <c r="C2780" s="568">
        <v>22</v>
      </c>
      <c r="D2780" s="568">
        <v>0.31</v>
      </c>
      <c r="E2780" s="568">
        <v>26724</v>
      </c>
      <c r="F2780" s="568">
        <v>73724</v>
      </c>
      <c r="G2780" s="568">
        <v>3016</v>
      </c>
      <c r="H2780" s="568">
        <v>3214</v>
      </c>
      <c r="I2780" s="559" t="str">
        <f t="shared" si="41"/>
        <v>GooD</v>
      </c>
    </row>
    <row r="2781" spans="1:9">
      <c r="A2781" s="563" t="s">
        <v>640</v>
      </c>
      <c r="B2781" s="563">
        <v>47000</v>
      </c>
      <c r="C2781" s="564">
        <v>24</v>
      </c>
      <c r="D2781" s="564">
        <v>0.31</v>
      </c>
      <c r="E2781" s="564">
        <v>29154</v>
      </c>
      <c r="F2781" s="564">
        <v>76154</v>
      </c>
      <c r="G2781" s="564">
        <v>3290</v>
      </c>
      <c r="H2781" s="564">
        <v>3036</v>
      </c>
      <c r="I2781" s="557" t="str">
        <f t="shared" si="41"/>
        <v>GooD</v>
      </c>
    </row>
    <row r="2782" spans="1:9" ht="15.75" thickBot="1">
      <c r="A2782" s="565" t="s">
        <v>640</v>
      </c>
      <c r="B2782" s="565">
        <v>48000</v>
      </c>
      <c r="C2782" s="566">
        <v>4</v>
      </c>
      <c r="D2782" s="566">
        <v>0.31</v>
      </c>
      <c r="E2782" s="566">
        <v>4964</v>
      </c>
      <c r="F2782" s="566">
        <v>52964</v>
      </c>
      <c r="G2782" s="566">
        <v>560</v>
      </c>
      <c r="H2782" s="566">
        <v>13101</v>
      </c>
      <c r="I2782" s="558" t="str">
        <f t="shared" si="41"/>
        <v>GooD</v>
      </c>
    </row>
    <row r="2783" spans="1:9" ht="15.75" thickTop="1">
      <c r="A2783" s="567" t="s">
        <v>640</v>
      </c>
      <c r="B2783" s="567">
        <v>48000</v>
      </c>
      <c r="C2783" s="568">
        <v>6</v>
      </c>
      <c r="D2783" s="568">
        <v>0.31</v>
      </c>
      <c r="E2783" s="568">
        <v>7446</v>
      </c>
      <c r="F2783" s="568">
        <v>55446</v>
      </c>
      <c r="G2783" s="568">
        <v>840</v>
      </c>
      <c r="H2783" s="568">
        <v>9101</v>
      </c>
      <c r="I2783" s="559" t="str">
        <f t="shared" si="41"/>
        <v>GooD</v>
      </c>
    </row>
    <row r="2784" spans="1:9">
      <c r="A2784" s="563" t="s">
        <v>640</v>
      </c>
      <c r="B2784" s="563">
        <v>48000</v>
      </c>
      <c r="C2784" s="564">
        <v>8</v>
      </c>
      <c r="D2784" s="564">
        <v>0.31</v>
      </c>
      <c r="E2784" s="564">
        <v>9928</v>
      </c>
      <c r="F2784" s="564">
        <v>57928</v>
      </c>
      <c r="G2784" s="564">
        <v>1120</v>
      </c>
      <c r="H2784" s="564">
        <v>7101</v>
      </c>
      <c r="I2784" s="557" t="str">
        <f t="shared" si="41"/>
        <v>GooD</v>
      </c>
    </row>
    <row r="2785" spans="1:9" ht="15.75" thickBot="1">
      <c r="A2785" s="565" t="s">
        <v>640</v>
      </c>
      <c r="B2785" s="565">
        <v>48000</v>
      </c>
      <c r="C2785" s="566">
        <v>10</v>
      </c>
      <c r="D2785" s="566">
        <v>0.31</v>
      </c>
      <c r="E2785" s="566">
        <v>12410</v>
      </c>
      <c r="F2785" s="566">
        <v>60410</v>
      </c>
      <c r="G2785" s="566">
        <v>1400</v>
      </c>
      <c r="H2785" s="566">
        <v>5901</v>
      </c>
      <c r="I2785" s="558" t="str">
        <f t="shared" si="41"/>
        <v>GooD</v>
      </c>
    </row>
    <row r="2786" spans="1:9" ht="15.75" thickTop="1">
      <c r="A2786" s="567" t="s">
        <v>640</v>
      </c>
      <c r="B2786" s="567">
        <v>48000</v>
      </c>
      <c r="C2786" s="568">
        <v>12</v>
      </c>
      <c r="D2786" s="568">
        <v>0.31</v>
      </c>
      <c r="E2786" s="568">
        <v>14892</v>
      </c>
      <c r="F2786" s="568">
        <v>62892</v>
      </c>
      <c r="G2786" s="568">
        <v>1680</v>
      </c>
      <c r="H2786" s="568">
        <v>5101</v>
      </c>
      <c r="I2786" s="559" t="str">
        <f t="shared" si="41"/>
        <v>GooD</v>
      </c>
    </row>
    <row r="2787" spans="1:9">
      <c r="A2787" s="563" t="s">
        <v>640</v>
      </c>
      <c r="B2787" s="563">
        <v>48000</v>
      </c>
      <c r="C2787" s="564">
        <v>14</v>
      </c>
      <c r="D2787" s="564">
        <v>0.31</v>
      </c>
      <c r="E2787" s="564">
        <v>17366</v>
      </c>
      <c r="F2787" s="564">
        <v>65366</v>
      </c>
      <c r="G2787" s="564">
        <v>1960</v>
      </c>
      <c r="H2787" s="564">
        <v>4529</v>
      </c>
      <c r="I2787" s="557" t="str">
        <f t="shared" si="41"/>
        <v>GooD</v>
      </c>
    </row>
    <row r="2788" spans="1:9" ht="15.75" thickBot="1">
      <c r="A2788" s="565" t="s">
        <v>640</v>
      </c>
      <c r="B2788" s="565">
        <v>48000</v>
      </c>
      <c r="C2788" s="566">
        <v>16</v>
      </c>
      <c r="D2788" s="566">
        <v>0.31</v>
      </c>
      <c r="E2788" s="566">
        <v>19856</v>
      </c>
      <c r="F2788" s="566">
        <v>67856</v>
      </c>
      <c r="G2788" s="566">
        <v>2240</v>
      </c>
      <c r="H2788" s="566">
        <v>4101</v>
      </c>
      <c r="I2788" s="558" t="str">
        <f t="shared" si="41"/>
        <v>GooD</v>
      </c>
    </row>
    <row r="2789" spans="1:9" ht="15.75" thickTop="1">
      <c r="A2789" s="567" t="s">
        <v>640</v>
      </c>
      <c r="B2789" s="567">
        <v>48000</v>
      </c>
      <c r="C2789" s="568">
        <v>18</v>
      </c>
      <c r="D2789" s="568">
        <v>0.31</v>
      </c>
      <c r="E2789" s="568">
        <v>22326</v>
      </c>
      <c r="F2789" s="568">
        <v>70326</v>
      </c>
      <c r="G2789" s="568">
        <v>2520</v>
      </c>
      <c r="H2789" s="568">
        <v>3767</v>
      </c>
      <c r="I2789" s="559" t="str">
        <f t="shared" si="41"/>
        <v>GooD</v>
      </c>
    </row>
    <row r="2790" spans="1:9">
      <c r="A2790" s="563" t="s">
        <v>640</v>
      </c>
      <c r="B2790" s="563">
        <v>48000</v>
      </c>
      <c r="C2790" s="564">
        <v>20</v>
      </c>
      <c r="D2790" s="564">
        <v>0.31</v>
      </c>
      <c r="E2790" s="564">
        <v>24820</v>
      </c>
      <c r="F2790" s="564">
        <v>72820</v>
      </c>
      <c r="G2790" s="564">
        <v>2800</v>
      </c>
      <c r="H2790" s="564">
        <v>3501</v>
      </c>
      <c r="I2790" s="557" t="str">
        <f t="shared" si="41"/>
        <v>GooD</v>
      </c>
    </row>
    <row r="2791" spans="1:9" ht="15.75" thickBot="1">
      <c r="A2791" s="565" t="s">
        <v>640</v>
      </c>
      <c r="B2791" s="565">
        <v>48000</v>
      </c>
      <c r="C2791" s="566">
        <v>22</v>
      </c>
      <c r="D2791" s="566">
        <v>0.31</v>
      </c>
      <c r="E2791" s="566">
        <v>27284</v>
      </c>
      <c r="F2791" s="566">
        <v>75284</v>
      </c>
      <c r="G2791" s="566">
        <v>3080</v>
      </c>
      <c r="H2791" s="566">
        <v>3282</v>
      </c>
      <c r="I2791" s="558" t="str">
        <f t="shared" ref="I2791:I2854" si="42">IF(((H2791*C2791)+G2791)=F2791,"GooD","لالالالالالالا")</f>
        <v>GooD</v>
      </c>
    </row>
    <row r="2792" spans="1:9" ht="15.75" thickTop="1">
      <c r="A2792" s="567" t="s">
        <v>640</v>
      </c>
      <c r="B2792" s="567">
        <v>48000</v>
      </c>
      <c r="C2792" s="568">
        <v>24</v>
      </c>
      <c r="D2792" s="568">
        <v>0.31</v>
      </c>
      <c r="E2792" s="568">
        <v>29784</v>
      </c>
      <c r="F2792" s="568">
        <v>77784</v>
      </c>
      <c r="G2792" s="568">
        <v>3360</v>
      </c>
      <c r="H2792" s="568">
        <v>3101</v>
      </c>
      <c r="I2792" s="559" t="str">
        <f t="shared" si="42"/>
        <v>GooD</v>
      </c>
    </row>
    <row r="2793" spans="1:9">
      <c r="A2793" s="563" t="s">
        <v>640</v>
      </c>
      <c r="B2793" s="563">
        <v>49000</v>
      </c>
      <c r="C2793" s="564">
        <v>4</v>
      </c>
      <c r="D2793" s="564">
        <v>0.31</v>
      </c>
      <c r="E2793" s="564">
        <v>5064</v>
      </c>
      <c r="F2793" s="564">
        <v>54064</v>
      </c>
      <c r="G2793" s="564">
        <v>572</v>
      </c>
      <c r="H2793" s="564">
        <v>13373</v>
      </c>
      <c r="I2793" s="557" t="str">
        <f t="shared" si="42"/>
        <v>GooD</v>
      </c>
    </row>
    <row r="2794" spans="1:9" ht="15.75" thickBot="1">
      <c r="A2794" s="565" t="s">
        <v>640</v>
      </c>
      <c r="B2794" s="565">
        <v>49000</v>
      </c>
      <c r="C2794" s="566">
        <v>6</v>
      </c>
      <c r="D2794" s="566">
        <v>0.31</v>
      </c>
      <c r="E2794" s="566">
        <v>7598</v>
      </c>
      <c r="F2794" s="566">
        <v>56598</v>
      </c>
      <c r="G2794" s="566">
        <v>858</v>
      </c>
      <c r="H2794" s="566">
        <v>9290</v>
      </c>
      <c r="I2794" s="558" t="str">
        <f t="shared" si="42"/>
        <v>GooD</v>
      </c>
    </row>
    <row r="2795" spans="1:9" ht="15.75" thickTop="1">
      <c r="A2795" s="567" t="s">
        <v>640</v>
      </c>
      <c r="B2795" s="567">
        <v>49000</v>
      </c>
      <c r="C2795" s="568">
        <v>8</v>
      </c>
      <c r="D2795" s="568">
        <v>0.31</v>
      </c>
      <c r="E2795" s="568">
        <v>10128</v>
      </c>
      <c r="F2795" s="568">
        <v>59128</v>
      </c>
      <c r="G2795" s="568">
        <v>1144</v>
      </c>
      <c r="H2795" s="568">
        <v>7248</v>
      </c>
      <c r="I2795" s="559" t="str">
        <f t="shared" si="42"/>
        <v>GooD</v>
      </c>
    </row>
    <row r="2796" spans="1:9">
      <c r="A2796" s="563" t="s">
        <v>640</v>
      </c>
      <c r="B2796" s="563">
        <v>49000</v>
      </c>
      <c r="C2796" s="564">
        <v>10</v>
      </c>
      <c r="D2796" s="564">
        <v>0.31</v>
      </c>
      <c r="E2796" s="564">
        <v>12660</v>
      </c>
      <c r="F2796" s="564">
        <v>61660</v>
      </c>
      <c r="G2796" s="564">
        <v>1430</v>
      </c>
      <c r="H2796" s="564">
        <v>6023</v>
      </c>
      <c r="I2796" s="557" t="str">
        <f t="shared" si="42"/>
        <v>GooD</v>
      </c>
    </row>
    <row r="2797" spans="1:9" ht="15.75" thickBot="1">
      <c r="A2797" s="565" t="s">
        <v>640</v>
      </c>
      <c r="B2797" s="565">
        <v>49000</v>
      </c>
      <c r="C2797" s="566">
        <v>12</v>
      </c>
      <c r="D2797" s="566">
        <v>0.31</v>
      </c>
      <c r="E2797" s="566">
        <v>15199</v>
      </c>
      <c r="F2797" s="566">
        <v>64199</v>
      </c>
      <c r="G2797" s="566">
        <v>1715</v>
      </c>
      <c r="H2797" s="566">
        <v>5207</v>
      </c>
      <c r="I2797" s="558" t="str">
        <f t="shared" si="42"/>
        <v>GooD</v>
      </c>
    </row>
    <row r="2798" spans="1:9" ht="15.75" thickTop="1">
      <c r="A2798" s="567" t="s">
        <v>640</v>
      </c>
      <c r="B2798" s="567">
        <v>49000</v>
      </c>
      <c r="C2798" s="568">
        <v>14</v>
      </c>
      <c r="D2798" s="568">
        <v>0.31</v>
      </c>
      <c r="E2798" s="568">
        <v>17723</v>
      </c>
      <c r="F2798" s="568">
        <v>66723</v>
      </c>
      <c r="G2798" s="568">
        <v>2001</v>
      </c>
      <c r="H2798" s="568">
        <v>4623</v>
      </c>
      <c r="I2798" s="559" t="str">
        <f t="shared" si="42"/>
        <v>GooD</v>
      </c>
    </row>
    <row r="2799" spans="1:9">
      <c r="A2799" s="563" t="s">
        <v>640</v>
      </c>
      <c r="B2799" s="563">
        <v>49000</v>
      </c>
      <c r="C2799" s="564">
        <v>16</v>
      </c>
      <c r="D2799" s="564">
        <v>0.31</v>
      </c>
      <c r="E2799" s="564">
        <v>20263</v>
      </c>
      <c r="F2799" s="564">
        <v>69263</v>
      </c>
      <c r="G2799" s="564">
        <v>2287</v>
      </c>
      <c r="H2799" s="564">
        <v>4186</v>
      </c>
      <c r="I2799" s="557" t="str">
        <f t="shared" si="42"/>
        <v>GooD</v>
      </c>
    </row>
    <row r="2800" spans="1:9" ht="15.75" thickBot="1">
      <c r="A2800" s="565" t="s">
        <v>640</v>
      </c>
      <c r="B2800" s="565">
        <v>49000</v>
      </c>
      <c r="C2800" s="566">
        <v>18</v>
      </c>
      <c r="D2800" s="566">
        <v>0.31</v>
      </c>
      <c r="E2800" s="566">
        <v>22801</v>
      </c>
      <c r="F2800" s="566">
        <v>71801</v>
      </c>
      <c r="G2800" s="566">
        <v>2573</v>
      </c>
      <c r="H2800" s="566">
        <v>3846</v>
      </c>
      <c r="I2800" s="558" t="str">
        <f t="shared" si="42"/>
        <v>GooD</v>
      </c>
    </row>
    <row r="2801" spans="1:9" ht="15.75" thickTop="1">
      <c r="A2801" s="567" t="s">
        <v>640</v>
      </c>
      <c r="B2801" s="567">
        <v>49000</v>
      </c>
      <c r="C2801" s="568">
        <v>20</v>
      </c>
      <c r="D2801" s="568">
        <v>0.31</v>
      </c>
      <c r="E2801" s="568">
        <v>25319</v>
      </c>
      <c r="F2801" s="568">
        <v>74319</v>
      </c>
      <c r="G2801" s="568">
        <v>2859</v>
      </c>
      <c r="H2801" s="568">
        <v>3573</v>
      </c>
      <c r="I2801" s="559" t="str">
        <f t="shared" si="42"/>
        <v>GooD</v>
      </c>
    </row>
    <row r="2802" spans="1:9">
      <c r="A2802" s="563" t="s">
        <v>640</v>
      </c>
      <c r="B2802" s="563">
        <v>49000</v>
      </c>
      <c r="C2802" s="564">
        <v>22</v>
      </c>
      <c r="D2802" s="564">
        <v>0.31</v>
      </c>
      <c r="E2802" s="564">
        <v>27867</v>
      </c>
      <c r="F2802" s="564">
        <v>76867</v>
      </c>
      <c r="G2802" s="564">
        <v>3145</v>
      </c>
      <c r="H2802" s="564">
        <v>3351</v>
      </c>
      <c r="I2802" s="557" t="str">
        <f t="shared" si="42"/>
        <v>GooD</v>
      </c>
    </row>
    <row r="2803" spans="1:9" ht="15.75" thickBot="1">
      <c r="A2803" s="565" t="s">
        <v>640</v>
      </c>
      <c r="B2803" s="565">
        <v>49000</v>
      </c>
      <c r="C2803" s="566">
        <v>24</v>
      </c>
      <c r="D2803" s="566">
        <v>0.31</v>
      </c>
      <c r="E2803" s="566">
        <v>30390</v>
      </c>
      <c r="F2803" s="566">
        <v>79390</v>
      </c>
      <c r="G2803" s="566">
        <v>3430</v>
      </c>
      <c r="H2803" s="566">
        <v>3165</v>
      </c>
      <c r="I2803" s="558" t="str">
        <f t="shared" si="42"/>
        <v>GooD</v>
      </c>
    </row>
    <row r="2804" spans="1:9" ht="15.75" thickTop="1">
      <c r="A2804" s="567" t="s">
        <v>640</v>
      </c>
      <c r="B2804" s="567">
        <v>50000</v>
      </c>
      <c r="C2804" s="568">
        <v>4</v>
      </c>
      <c r="D2804" s="568">
        <v>0.31</v>
      </c>
      <c r="E2804" s="568">
        <v>5168</v>
      </c>
      <c r="F2804" s="568">
        <v>55168</v>
      </c>
      <c r="G2804" s="568">
        <v>584</v>
      </c>
      <c r="H2804" s="568">
        <v>13646</v>
      </c>
      <c r="I2804" s="559" t="str">
        <f t="shared" si="42"/>
        <v>GooD</v>
      </c>
    </row>
    <row r="2805" spans="1:9">
      <c r="A2805" s="563" t="s">
        <v>640</v>
      </c>
      <c r="B2805" s="563">
        <v>50000</v>
      </c>
      <c r="C2805" s="564">
        <v>6</v>
      </c>
      <c r="D2805" s="564">
        <v>0.31</v>
      </c>
      <c r="E2805" s="564">
        <v>7755</v>
      </c>
      <c r="F2805" s="564">
        <v>57755</v>
      </c>
      <c r="G2805" s="564">
        <v>875</v>
      </c>
      <c r="H2805" s="564">
        <v>9480</v>
      </c>
      <c r="I2805" s="557" t="str">
        <f t="shared" si="42"/>
        <v>GooD</v>
      </c>
    </row>
    <row r="2806" spans="1:9" ht="15.75" thickBot="1">
      <c r="A2806" s="565" t="s">
        <v>640</v>
      </c>
      <c r="B2806" s="565">
        <v>50000</v>
      </c>
      <c r="C2806" s="566">
        <v>8</v>
      </c>
      <c r="D2806" s="566">
        <v>0.31</v>
      </c>
      <c r="E2806" s="566">
        <v>10335</v>
      </c>
      <c r="F2806" s="566">
        <v>60335</v>
      </c>
      <c r="G2806" s="566">
        <v>1167</v>
      </c>
      <c r="H2806" s="566">
        <v>7396</v>
      </c>
      <c r="I2806" s="558" t="str">
        <f t="shared" si="42"/>
        <v>GooD</v>
      </c>
    </row>
    <row r="2807" spans="1:9" ht="15.75" thickTop="1">
      <c r="A2807" s="567" t="s">
        <v>640</v>
      </c>
      <c r="B2807" s="567">
        <v>50000</v>
      </c>
      <c r="C2807" s="568">
        <v>10</v>
      </c>
      <c r="D2807" s="568">
        <v>0.31</v>
      </c>
      <c r="E2807" s="568">
        <v>12919</v>
      </c>
      <c r="F2807" s="568">
        <v>62919</v>
      </c>
      <c r="G2807" s="568">
        <v>1459</v>
      </c>
      <c r="H2807" s="568">
        <v>6146</v>
      </c>
      <c r="I2807" s="559" t="str">
        <f t="shared" si="42"/>
        <v>GooD</v>
      </c>
    </row>
    <row r="2808" spans="1:9">
      <c r="A2808" s="563" t="s">
        <v>640</v>
      </c>
      <c r="B2808" s="563">
        <v>50000</v>
      </c>
      <c r="C2808" s="564">
        <v>12</v>
      </c>
      <c r="D2808" s="564">
        <v>0.31</v>
      </c>
      <c r="E2808" s="564">
        <v>15506</v>
      </c>
      <c r="F2808" s="564">
        <v>65506</v>
      </c>
      <c r="G2808" s="564">
        <v>1750</v>
      </c>
      <c r="H2808" s="564">
        <v>5313</v>
      </c>
      <c r="I2808" s="557" t="str">
        <f t="shared" si="42"/>
        <v>GooD</v>
      </c>
    </row>
    <row r="2809" spans="1:9" ht="15.75" thickBot="1">
      <c r="A2809" s="565" t="s">
        <v>640</v>
      </c>
      <c r="B2809" s="565">
        <v>50000</v>
      </c>
      <c r="C2809" s="566">
        <v>14</v>
      </c>
      <c r="D2809" s="566">
        <v>0.31</v>
      </c>
      <c r="E2809" s="566">
        <v>18094</v>
      </c>
      <c r="F2809" s="566">
        <v>68094</v>
      </c>
      <c r="G2809" s="566">
        <v>2042</v>
      </c>
      <c r="H2809" s="566">
        <v>4718</v>
      </c>
      <c r="I2809" s="558" t="str">
        <f t="shared" si="42"/>
        <v>GooD</v>
      </c>
    </row>
    <row r="2810" spans="1:9" ht="15.75" thickTop="1">
      <c r="A2810" s="567" t="s">
        <v>640</v>
      </c>
      <c r="B2810" s="567">
        <v>50000</v>
      </c>
      <c r="C2810" s="568">
        <v>16</v>
      </c>
      <c r="D2810" s="568">
        <v>0.31</v>
      </c>
      <c r="E2810" s="568">
        <v>20670</v>
      </c>
      <c r="F2810" s="568">
        <v>70670</v>
      </c>
      <c r="G2810" s="568">
        <v>2334</v>
      </c>
      <c r="H2810" s="568">
        <v>4271</v>
      </c>
      <c r="I2810" s="559" t="str">
        <f t="shared" si="42"/>
        <v>GooD</v>
      </c>
    </row>
    <row r="2811" spans="1:9">
      <c r="A2811" s="563" t="s">
        <v>640</v>
      </c>
      <c r="B2811" s="563">
        <v>50000</v>
      </c>
      <c r="C2811" s="564">
        <v>18</v>
      </c>
      <c r="D2811" s="564">
        <v>0.31</v>
      </c>
      <c r="E2811" s="564">
        <v>23257</v>
      </c>
      <c r="F2811" s="564">
        <v>73257</v>
      </c>
      <c r="G2811" s="564">
        <v>2625</v>
      </c>
      <c r="H2811" s="564">
        <v>3924</v>
      </c>
      <c r="I2811" s="557" t="str">
        <f t="shared" si="42"/>
        <v>GooD</v>
      </c>
    </row>
    <row r="2812" spans="1:9" ht="15.75" thickBot="1">
      <c r="A2812" s="565" t="s">
        <v>640</v>
      </c>
      <c r="B2812" s="565">
        <v>50000</v>
      </c>
      <c r="C2812" s="566">
        <v>20</v>
      </c>
      <c r="D2812" s="566">
        <v>0.31</v>
      </c>
      <c r="E2812" s="566">
        <v>25837</v>
      </c>
      <c r="F2812" s="566">
        <v>75837</v>
      </c>
      <c r="G2812" s="566">
        <v>2917</v>
      </c>
      <c r="H2812" s="566">
        <v>3646</v>
      </c>
      <c r="I2812" s="558" t="str">
        <f t="shared" si="42"/>
        <v>GooD</v>
      </c>
    </row>
    <row r="2813" spans="1:9" ht="15.75" thickTop="1">
      <c r="A2813" s="567" t="s">
        <v>640</v>
      </c>
      <c r="B2813" s="567">
        <v>50000</v>
      </c>
      <c r="C2813" s="568">
        <v>22</v>
      </c>
      <c r="D2813" s="568">
        <v>0.31</v>
      </c>
      <c r="E2813" s="568">
        <v>28427</v>
      </c>
      <c r="F2813" s="568">
        <v>78427</v>
      </c>
      <c r="G2813" s="568">
        <v>3209</v>
      </c>
      <c r="H2813" s="568">
        <v>3419</v>
      </c>
      <c r="I2813" s="559" t="str">
        <f t="shared" si="42"/>
        <v>GooD</v>
      </c>
    </row>
    <row r="2814" spans="1:9">
      <c r="A2814" s="563" t="s">
        <v>640</v>
      </c>
      <c r="B2814" s="563">
        <v>50000</v>
      </c>
      <c r="C2814" s="564">
        <v>24</v>
      </c>
      <c r="D2814" s="564">
        <v>0.31</v>
      </c>
      <c r="E2814" s="564">
        <v>31020</v>
      </c>
      <c r="F2814" s="564">
        <v>81020</v>
      </c>
      <c r="G2814" s="564">
        <v>3500</v>
      </c>
      <c r="H2814" s="564">
        <v>3230</v>
      </c>
      <c r="I2814" s="557" t="str">
        <f t="shared" si="42"/>
        <v>GooD</v>
      </c>
    </row>
    <row r="2815" spans="1:9" ht="15.75" thickBot="1">
      <c r="A2815" s="565" t="s">
        <v>645</v>
      </c>
      <c r="B2815" s="565">
        <v>8000</v>
      </c>
      <c r="C2815" s="566">
        <v>4</v>
      </c>
      <c r="D2815" s="566">
        <v>0.31</v>
      </c>
      <c r="E2815" s="566">
        <v>828</v>
      </c>
      <c r="F2815" s="566">
        <v>8828</v>
      </c>
      <c r="G2815" s="566">
        <v>80</v>
      </c>
      <c r="H2815" s="566">
        <v>2187</v>
      </c>
      <c r="I2815" s="558" t="str">
        <f t="shared" si="42"/>
        <v>GooD</v>
      </c>
    </row>
    <row r="2816" spans="1:9" ht="15.75" thickTop="1">
      <c r="A2816" s="567" t="s">
        <v>645</v>
      </c>
      <c r="B2816" s="567">
        <v>8000</v>
      </c>
      <c r="C2816" s="568">
        <v>6</v>
      </c>
      <c r="D2816" s="568">
        <v>0.31</v>
      </c>
      <c r="E2816" s="568">
        <v>1246</v>
      </c>
      <c r="F2816" s="568">
        <v>9246</v>
      </c>
      <c r="G2816" s="568">
        <v>120</v>
      </c>
      <c r="H2816" s="568">
        <v>1521</v>
      </c>
      <c r="I2816" s="559" t="str">
        <f t="shared" si="42"/>
        <v>GooD</v>
      </c>
    </row>
    <row r="2817" spans="1:9">
      <c r="A2817" s="563" t="s">
        <v>645</v>
      </c>
      <c r="B2817" s="563">
        <v>8000</v>
      </c>
      <c r="C2817" s="564">
        <v>8</v>
      </c>
      <c r="D2817" s="564">
        <v>0.31</v>
      </c>
      <c r="E2817" s="564">
        <v>1656</v>
      </c>
      <c r="F2817" s="564">
        <v>9656</v>
      </c>
      <c r="G2817" s="564">
        <v>160</v>
      </c>
      <c r="H2817" s="564">
        <v>1187</v>
      </c>
      <c r="I2817" s="557" t="str">
        <f t="shared" si="42"/>
        <v>GooD</v>
      </c>
    </row>
    <row r="2818" spans="1:9" ht="15.75" thickBot="1">
      <c r="A2818" s="565" t="s">
        <v>645</v>
      </c>
      <c r="B2818" s="565">
        <v>8000</v>
      </c>
      <c r="C2818" s="566">
        <v>10</v>
      </c>
      <c r="D2818" s="566">
        <v>0.31</v>
      </c>
      <c r="E2818" s="566">
        <v>2070</v>
      </c>
      <c r="F2818" s="566">
        <v>10070</v>
      </c>
      <c r="G2818" s="566">
        <v>200</v>
      </c>
      <c r="H2818" s="566">
        <v>987</v>
      </c>
      <c r="I2818" s="558" t="str">
        <f t="shared" si="42"/>
        <v>GooD</v>
      </c>
    </row>
    <row r="2819" spans="1:9" ht="15.75" thickTop="1">
      <c r="A2819" s="567" t="s">
        <v>645</v>
      </c>
      <c r="B2819" s="567">
        <v>8000</v>
      </c>
      <c r="C2819" s="568">
        <v>12</v>
      </c>
      <c r="D2819" s="568">
        <v>0.31</v>
      </c>
      <c r="E2819" s="568">
        <v>2488</v>
      </c>
      <c r="F2819" s="568">
        <v>10488</v>
      </c>
      <c r="G2819" s="568">
        <v>240</v>
      </c>
      <c r="H2819" s="568">
        <v>854</v>
      </c>
      <c r="I2819" s="559" t="str">
        <f t="shared" si="42"/>
        <v>GooD</v>
      </c>
    </row>
    <row r="2820" spans="1:9">
      <c r="A2820" s="563" t="s">
        <v>645</v>
      </c>
      <c r="B2820" s="563">
        <v>8500</v>
      </c>
      <c r="C2820" s="564">
        <v>4</v>
      </c>
      <c r="D2820" s="564">
        <v>0.31</v>
      </c>
      <c r="E2820" s="564">
        <v>881</v>
      </c>
      <c r="F2820" s="564">
        <v>9381</v>
      </c>
      <c r="G2820" s="564">
        <v>85</v>
      </c>
      <c r="H2820" s="564">
        <v>2324</v>
      </c>
      <c r="I2820" s="557" t="str">
        <f t="shared" si="42"/>
        <v>GooD</v>
      </c>
    </row>
    <row r="2821" spans="1:9" ht="15.75" thickBot="1">
      <c r="A2821" s="565" t="s">
        <v>645</v>
      </c>
      <c r="B2821" s="565">
        <v>8500</v>
      </c>
      <c r="C2821" s="566">
        <v>6</v>
      </c>
      <c r="D2821" s="566">
        <v>0.31</v>
      </c>
      <c r="E2821" s="566">
        <v>1324</v>
      </c>
      <c r="F2821" s="566">
        <v>9824</v>
      </c>
      <c r="G2821" s="566">
        <v>128</v>
      </c>
      <c r="H2821" s="566">
        <v>1616</v>
      </c>
      <c r="I2821" s="558" t="str">
        <f t="shared" si="42"/>
        <v>GooD</v>
      </c>
    </row>
    <row r="2822" spans="1:9" ht="15.75" thickTop="1">
      <c r="A2822" s="567" t="s">
        <v>645</v>
      </c>
      <c r="B2822" s="567">
        <v>8500</v>
      </c>
      <c r="C2822" s="568">
        <v>8</v>
      </c>
      <c r="D2822" s="568">
        <v>0.31</v>
      </c>
      <c r="E2822" s="568">
        <v>1758</v>
      </c>
      <c r="F2822" s="568">
        <v>10258</v>
      </c>
      <c r="G2822" s="568">
        <v>170</v>
      </c>
      <c r="H2822" s="568">
        <v>1261</v>
      </c>
      <c r="I2822" s="559" t="str">
        <f t="shared" si="42"/>
        <v>GooD</v>
      </c>
    </row>
    <row r="2823" spans="1:9">
      <c r="A2823" s="563" t="s">
        <v>645</v>
      </c>
      <c r="B2823" s="563">
        <v>8500</v>
      </c>
      <c r="C2823" s="564">
        <v>10</v>
      </c>
      <c r="D2823" s="564">
        <v>0.31</v>
      </c>
      <c r="E2823" s="564">
        <v>2203</v>
      </c>
      <c r="F2823" s="564">
        <v>10703</v>
      </c>
      <c r="G2823" s="564">
        <v>213</v>
      </c>
      <c r="H2823" s="564">
        <v>1049</v>
      </c>
      <c r="I2823" s="557" t="str">
        <f t="shared" si="42"/>
        <v>GooD</v>
      </c>
    </row>
    <row r="2824" spans="1:9" ht="15.75" thickBot="1">
      <c r="A2824" s="565" t="s">
        <v>645</v>
      </c>
      <c r="B2824" s="565">
        <v>8500</v>
      </c>
      <c r="C2824" s="566">
        <v>12</v>
      </c>
      <c r="D2824" s="566">
        <v>0.31</v>
      </c>
      <c r="E2824" s="566">
        <v>2639</v>
      </c>
      <c r="F2824" s="566">
        <v>11139</v>
      </c>
      <c r="G2824" s="566">
        <v>255</v>
      </c>
      <c r="H2824" s="566">
        <v>907</v>
      </c>
      <c r="I2824" s="558" t="str">
        <f t="shared" si="42"/>
        <v>GooD</v>
      </c>
    </row>
    <row r="2825" spans="1:9" ht="15.75" thickTop="1">
      <c r="A2825" s="567" t="s">
        <v>645</v>
      </c>
      <c r="B2825" s="567">
        <v>9000</v>
      </c>
      <c r="C2825" s="568">
        <v>4</v>
      </c>
      <c r="D2825" s="568">
        <v>0.31</v>
      </c>
      <c r="E2825" s="568">
        <v>934</v>
      </c>
      <c r="F2825" s="568">
        <v>9934</v>
      </c>
      <c r="G2825" s="568">
        <v>90</v>
      </c>
      <c r="H2825" s="568">
        <v>2461</v>
      </c>
      <c r="I2825" s="559" t="str">
        <f t="shared" si="42"/>
        <v>GooD</v>
      </c>
    </row>
    <row r="2826" spans="1:9">
      <c r="A2826" s="563" t="s">
        <v>645</v>
      </c>
      <c r="B2826" s="563">
        <v>9000</v>
      </c>
      <c r="C2826" s="564">
        <v>6</v>
      </c>
      <c r="D2826" s="564">
        <v>0.31</v>
      </c>
      <c r="E2826" s="564">
        <v>1401</v>
      </c>
      <c r="F2826" s="564">
        <v>10401</v>
      </c>
      <c r="G2826" s="564">
        <v>135</v>
      </c>
      <c r="H2826" s="564">
        <v>1711</v>
      </c>
      <c r="I2826" s="557" t="str">
        <f t="shared" si="42"/>
        <v>GooD</v>
      </c>
    </row>
    <row r="2827" spans="1:9" ht="15.75" thickBot="1">
      <c r="A2827" s="565" t="s">
        <v>645</v>
      </c>
      <c r="B2827" s="565">
        <v>9000</v>
      </c>
      <c r="C2827" s="566">
        <v>8</v>
      </c>
      <c r="D2827" s="566">
        <v>0.31</v>
      </c>
      <c r="E2827" s="566">
        <v>1868</v>
      </c>
      <c r="F2827" s="566">
        <v>10868</v>
      </c>
      <c r="G2827" s="566">
        <v>180</v>
      </c>
      <c r="H2827" s="566">
        <v>1336</v>
      </c>
      <c r="I2827" s="558" t="str">
        <f t="shared" si="42"/>
        <v>GooD</v>
      </c>
    </row>
    <row r="2828" spans="1:9" ht="15.75" thickTop="1">
      <c r="A2828" s="567" t="s">
        <v>645</v>
      </c>
      <c r="B2828" s="567">
        <v>9000</v>
      </c>
      <c r="C2828" s="568">
        <v>10</v>
      </c>
      <c r="D2828" s="568">
        <v>0.31</v>
      </c>
      <c r="E2828" s="568">
        <v>2335</v>
      </c>
      <c r="F2828" s="568">
        <v>11335</v>
      </c>
      <c r="G2828" s="568">
        <v>225</v>
      </c>
      <c r="H2828" s="568">
        <v>1111</v>
      </c>
      <c r="I2828" s="559" t="str">
        <f t="shared" si="42"/>
        <v>GooD</v>
      </c>
    </row>
    <row r="2829" spans="1:9">
      <c r="A2829" s="563" t="s">
        <v>645</v>
      </c>
      <c r="B2829" s="563">
        <v>9000</v>
      </c>
      <c r="C2829" s="564">
        <v>12</v>
      </c>
      <c r="D2829" s="564">
        <v>0.31</v>
      </c>
      <c r="E2829" s="564">
        <v>2802</v>
      </c>
      <c r="F2829" s="564">
        <v>11802</v>
      </c>
      <c r="G2829" s="564">
        <v>270</v>
      </c>
      <c r="H2829" s="564">
        <v>961</v>
      </c>
      <c r="I2829" s="557" t="str">
        <f t="shared" si="42"/>
        <v>GooD</v>
      </c>
    </row>
    <row r="2830" spans="1:9" ht="15.75" thickBot="1">
      <c r="A2830" s="565" t="s">
        <v>645</v>
      </c>
      <c r="B2830" s="565">
        <v>9500</v>
      </c>
      <c r="C2830" s="566">
        <v>4</v>
      </c>
      <c r="D2830" s="566">
        <v>0.31</v>
      </c>
      <c r="E2830" s="566">
        <v>983</v>
      </c>
      <c r="F2830" s="566">
        <v>10483</v>
      </c>
      <c r="G2830" s="566">
        <v>95</v>
      </c>
      <c r="H2830" s="566">
        <v>2597</v>
      </c>
      <c r="I2830" s="558" t="str">
        <f t="shared" si="42"/>
        <v>GooD</v>
      </c>
    </row>
    <row r="2831" spans="1:9" ht="15.75" thickTop="1">
      <c r="A2831" s="567" t="s">
        <v>645</v>
      </c>
      <c r="B2831" s="567">
        <v>9500</v>
      </c>
      <c r="C2831" s="568">
        <v>6</v>
      </c>
      <c r="D2831" s="568">
        <v>0.31</v>
      </c>
      <c r="E2831" s="568">
        <v>1479</v>
      </c>
      <c r="F2831" s="568">
        <v>10979</v>
      </c>
      <c r="G2831" s="568">
        <v>143</v>
      </c>
      <c r="H2831" s="568">
        <v>1806</v>
      </c>
      <c r="I2831" s="559" t="str">
        <f t="shared" si="42"/>
        <v>GooD</v>
      </c>
    </row>
    <row r="2832" spans="1:9">
      <c r="A2832" s="563" t="s">
        <v>645</v>
      </c>
      <c r="B2832" s="563">
        <v>9500</v>
      </c>
      <c r="C2832" s="564">
        <v>8</v>
      </c>
      <c r="D2832" s="564">
        <v>0.31</v>
      </c>
      <c r="E2832" s="564">
        <v>1970</v>
      </c>
      <c r="F2832" s="564">
        <v>11470</v>
      </c>
      <c r="G2832" s="564">
        <v>190</v>
      </c>
      <c r="H2832" s="564">
        <v>1410</v>
      </c>
      <c r="I2832" s="557" t="str">
        <f t="shared" si="42"/>
        <v>GooD</v>
      </c>
    </row>
    <row r="2833" spans="1:9" ht="15.75" thickBot="1">
      <c r="A2833" s="565" t="s">
        <v>645</v>
      </c>
      <c r="B2833" s="565">
        <v>9500</v>
      </c>
      <c r="C2833" s="566">
        <v>10</v>
      </c>
      <c r="D2833" s="566">
        <v>0.31</v>
      </c>
      <c r="E2833" s="566">
        <v>2458</v>
      </c>
      <c r="F2833" s="566">
        <v>11958</v>
      </c>
      <c r="G2833" s="566">
        <v>238</v>
      </c>
      <c r="H2833" s="566">
        <v>1172</v>
      </c>
      <c r="I2833" s="558" t="str">
        <f t="shared" si="42"/>
        <v>GooD</v>
      </c>
    </row>
    <row r="2834" spans="1:9" ht="15.75" thickTop="1">
      <c r="A2834" s="567" t="s">
        <v>645</v>
      </c>
      <c r="B2834" s="567">
        <v>9500</v>
      </c>
      <c r="C2834" s="568">
        <v>12</v>
      </c>
      <c r="D2834" s="568">
        <v>0.31</v>
      </c>
      <c r="E2834" s="568">
        <v>2953</v>
      </c>
      <c r="F2834" s="568">
        <v>12453</v>
      </c>
      <c r="G2834" s="568">
        <v>285</v>
      </c>
      <c r="H2834" s="568">
        <v>1014</v>
      </c>
      <c r="I2834" s="559" t="str">
        <f t="shared" si="42"/>
        <v>GooD</v>
      </c>
    </row>
    <row r="2835" spans="1:9">
      <c r="A2835" s="563" t="s">
        <v>645</v>
      </c>
      <c r="B2835" s="563">
        <v>10000</v>
      </c>
      <c r="C2835" s="564">
        <v>4</v>
      </c>
      <c r="D2835" s="564">
        <v>0.31</v>
      </c>
      <c r="E2835" s="564">
        <v>1036</v>
      </c>
      <c r="F2835" s="564">
        <v>11036</v>
      </c>
      <c r="G2835" s="564">
        <v>100</v>
      </c>
      <c r="H2835" s="564">
        <v>2734</v>
      </c>
      <c r="I2835" s="557" t="str">
        <f t="shared" si="42"/>
        <v>GooD</v>
      </c>
    </row>
    <row r="2836" spans="1:9" ht="15.75" thickBot="1">
      <c r="A2836" s="565" t="s">
        <v>645</v>
      </c>
      <c r="B2836" s="565">
        <v>10000</v>
      </c>
      <c r="C2836" s="566">
        <v>6</v>
      </c>
      <c r="D2836" s="566">
        <v>0.31</v>
      </c>
      <c r="E2836" s="566">
        <v>1556</v>
      </c>
      <c r="F2836" s="566">
        <v>11556</v>
      </c>
      <c r="G2836" s="566">
        <v>150</v>
      </c>
      <c r="H2836" s="566">
        <v>1901</v>
      </c>
      <c r="I2836" s="558" t="str">
        <f t="shared" si="42"/>
        <v>GooD</v>
      </c>
    </row>
    <row r="2837" spans="1:9" ht="15.75" thickTop="1">
      <c r="A2837" s="567" t="s">
        <v>645</v>
      </c>
      <c r="B2837" s="567">
        <v>10000</v>
      </c>
      <c r="C2837" s="568">
        <v>8</v>
      </c>
      <c r="D2837" s="568">
        <v>0.31</v>
      </c>
      <c r="E2837" s="568">
        <v>2072</v>
      </c>
      <c r="F2837" s="568">
        <v>12072</v>
      </c>
      <c r="G2837" s="568">
        <v>200</v>
      </c>
      <c r="H2837" s="568">
        <v>1484</v>
      </c>
      <c r="I2837" s="559" t="str">
        <f t="shared" si="42"/>
        <v>GooD</v>
      </c>
    </row>
    <row r="2838" spans="1:9">
      <c r="A2838" s="563" t="s">
        <v>645</v>
      </c>
      <c r="B2838" s="563">
        <v>10000</v>
      </c>
      <c r="C2838" s="564">
        <v>10</v>
      </c>
      <c r="D2838" s="564">
        <v>0.31</v>
      </c>
      <c r="E2838" s="564">
        <v>2590</v>
      </c>
      <c r="F2838" s="564">
        <v>12590</v>
      </c>
      <c r="G2838" s="564">
        <v>250</v>
      </c>
      <c r="H2838" s="564">
        <v>1234</v>
      </c>
      <c r="I2838" s="557" t="str">
        <f t="shared" si="42"/>
        <v>GooD</v>
      </c>
    </row>
    <row r="2839" spans="1:9" ht="15.75" thickBot="1">
      <c r="A2839" s="565" t="s">
        <v>645</v>
      </c>
      <c r="B2839" s="565">
        <v>10000</v>
      </c>
      <c r="C2839" s="566">
        <v>12</v>
      </c>
      <c r="D2839" s="566">
        <v>0.31</v>
      </c>
      <c r="E2839" s="566">
        <v>3104</v>
      </c>
      <c r="F2839" s="566">
        <v>13104</v>
      </c>
      <c r="G2839" s="566">
        <v>300</v>
      </c>
      <c r="H2839" s="566">
        <v>1067</v>
      </c>
      <c r="I2839" s="558" t="str">
        <f t="shared" si="42"/>
        <v>GooD</v>
      </c>
    </row>
    <row r="2840" spans="1:9" ht="15.75" thickTop="1">
      <c r="A2840" s="567" t="s">
        <v>645</v>
      </c>
      <c r="B2840" s="567">
        <v>10500</v>
      </c>
      <c r="C2840" s="568">
        <v>4</v>
      </c>
      <c r="D2840" s="568">
        <v>0.31</v>
      </c>
      <c r="E2840" s="568">
        <v>1089</v>
      </c>
      <c r="F2840" s="568">
        <v>11589</v>
      </c>
      <c r="G2840" s="568">
        <v>105</v>
      </c>
      <c r="H2840" s="568">
        <v>2871</v>
      </c>
      <c r="I2840" s="559" t="str">
        <f t="shared" si="42"/>
        <v>GooD</v>
      </c>
    </row>
    <row r="2841" spans="1:9">
      <c r="A2841" s="563" t="s">
        <v>645</v>
      </c>
      <c r="B2841" s="563">
        <v>10500</v>
      </c>
      <c r="C2841" s="564">
        <v>6</v>
      </c>
      <c r="D2841" s="564">
        <v>0.31</v>
      </c>
      <c r="E2841" s="564">
        <v>1634</v>
      </c>
      <c r="F2841" s="564">
        <v>12134</v>
      </c>
      <c r="G2841" s="564">
        <v>158</v>
      </c>
      <c r="H2841" s="564">
        <v>1996</v>
      </c>
      <c r="I2841" s="557" t="str">
        <f t="shared" si="42"/>
        <v>GooD</v>
      </c>
    </row>
    <row r="2842" spans="1:9" ht="15.75" thickBot="1">
      <c r="A2842" s="565" t="s">
        <v>645</v>
      </c>
      <c r="B2842" s="565">
        <v>10500</v>
      </c>
      <c r="C2842" s="566">
        <v>8</v>
      </c>
      <c r="D2842" s="566">
        <v>0.31</v>
      </c>
      <c r="E2842" s="566">
        <v>2174</v>
      </c>
      <c r="F2842" s="566">
        <v>12674</v>
      </c>
      <c r="G2842" s="566">
        <v>210</v>
      </c>
      <c r="H2842" s="566">
        <v>1558</v>
      </c>
      <c r="I2842" s="558" t="str">
        <f t="shared" si="42"/>
        <v>GooD</v>
      </c>
    </row>
    <row r="2843" spans="1:9" ht="15.75" thickTop="1">
      <c r="A2843" s="567" t="s">
        <v>645</v>
      </c>
      <c r="B2843" s="567">
        <v>10500</v>
      </c>
      <c r="C2843" s="568">
        <v>10</v>
      </c>
      <c r="D2843" s="568">
        <v>0.31</v>
      </c>
      <c r="E2843" s="568">
        <v>2723</v>
      </c>
      <c r="F2843" s="568">
        <v>13223</v>
      </c>
      <c r="G2843" s="568">
        <v>263</v>
      </c>
      <c r="H2843" s="568">
        <v>1296</v>
      </c>
      <c r="I2843" s="559" t="str">
        <f t="shared" si="42"/>
        <v>GooD</v>
      </c>
    </row>
    <row r="2844" spans="1:9">
      <c r="A2844" s="563" t="s">
        <v>645</v>
      </c>
      <c r="B2844" s="563">
        <v>10500</v>
      </c>
      <c r="C2844" s="564">
        <v>12</v>
      </c>
      <c r="D2844" s="564">
        <v>0.31</v>
      </c>
      <c r="E2844" s="564">
        <v>3267</v>
      </c>
      <c r="F2844" s="564">
        <v>13767</v>
      </c>
      <c r="G2844" s="564">
        <v>315</v>
      </c>
      <c r="H2844" s="564">
        <v>1121</v>
      </c>
      <c r="I2844" s="557" t="str">
        <f t="shared" si="42"/>
        <v>GooD</v>
      </c>
    </row>
    <row r="2845" spans="1:9">
      <c r="A2845" s="563" t="s">
        <v>645</v>
      </c>
      <c r="B2845" s="563">
        <v>11000</v>
      </c>
      <c r="C2845" s="564">
        <v>4</v>
      </c>
      <c r="D2845" s="564">
        <v>0.31</v>
      </c>
      <c r="E2845" s="564">
        <v>1138</v>
      </c>
      <c r="F2845" s="564">
        <v>12138</v>
      </c>
      <c r="G2845" s="564">
        <v>110</v>
      </c>
      <c r="H2845" s="564">
        <v>3007</v>
      </c>
      <c r="I2845" s="557" t="str">
        <f t="shared" si="42"/>
        <v>GooD</v>
      </c>
    </row>
    <row r="2846" spans="1:9">
      <c r="A2846" s="563" t="s">
        <v>645</v>
      </c>
      <c r="B2846" s="563">
        <v>11000</v>
      </c>
      <c r="C2846" s="564">
        <v>6</v>
      </c>
      <c r="D2846" s="564">
        <v>0.31</v>
      </c>
      <c r="E2846" s="564">
        <v>1711</v>
      </c>
      <c r="F2846" s="564">
        <v>12711</v>
      </c>
      <c r="G2846" s="564">
        <v>165</v>
      </c>
      <c r="H2846" s="564">
        <v>2091</v>
      </c>
      <c r="I2846" s="557" t="str">
        <f t="shared" si="42"/>
        <v>GooD</v>
      </c>
    </row>
    <row r="2847" spans="1:9" ht="15.75" thickBot="1">
      <c r="A2847" s="565" t="s">
        <v>645</v>
      </c>
      <c r="B2847" s="565">
        <v>11000</v>
      </c>
      <c r="C2847" s="566">
        <v>8</v>
      </c>
      <c r="D2847" s="566">
        <v>0.31</v>
      </c>
      <c r="E2847" s="566">
        <v>2276</v>
      </c>
      <c r="F2847" s="566">
        <v>13276</v>
      </c>
      <c r="G2847" s="566">
        <v>220</v>
      </c>
      <c r="H2847" s="566">
        <v>1632</v>
      </c>
      <c r="I2847" s="558" t="str">
        <f t="shared" si="42"/>
        <v>GooD</v>
      </c>
    </row>
    <row r="2848" spans="1:9" ht="15.75" thickTop="1">
      <c r="A2848" s="567" t="s">
        <v>645</v>
      </c>
      <c r="B2848" s="567">
        <v>11000</v>
      </c>
      <c r="C2848" s="568">
        <v>10</v>
      </c>
      <c r="D2848" s="568">
        <v>0.31</v>
      </c>
      <c r="E2848" s="568">
        <v>2845</v>
      </c>
      <c r="F2848" s="568">
        <v>13845</v>
      </c>
      <c r="G2848" s="568">
        <v>275</v>
      </c>
      <c r="H2848" s="568">
        <v>1357</v>
      </c>
      <c r="I2848" s="559" t="str">
        <f t="shared" si="42"/>
        <v>GooD</v>
      </c>
    </row>
    <row r="2849" spans="1:9">
      <c r="A2849" s="563" t="s">
        <v>645</v>
      </c>
      <c r="B2849" s="563">
        <v>11000</v>
      </c>
      <c r="C2849" s="564">
        <v>12</v>
      </c>
      <c r="D2849" s="564">
        <v>0.31</v>
      </c>
      <c r="E2849" s="564">
        <v>3418</v>
      </c>
      <c r="F2849" s="564">
        <v>14418</v>
      </c>
      <c r="G2849" s="564">
        <v>330</v>
      </c>
      <c r="H2849" s="564">
        <v>1174</v>
      </c>
      <c r="I2849" s="557" t="str">
        <f t="shared" si="42"/>
        <v>GooD</v>
      </c>
    </row>
    <row r="2850" spans="1:9">
      <c r="A2850" s="563" t="s">
        <v>645</v>
      </c>
      <c r="B2850" s="563">
        <v>11500</v>
      </c>
      <c r="C2850" s="564">
        <v>4</v>
      </c>
      <c r="D2850" s="564">
        <v>0.31</v>
      </c>
      <c r="E2850" s="564">
        <v>1191</v>
      </c>
      <c r="F2850" s="564">
        <v>12691</v>
      </c>
      <c r="G2850" s="564">
        <v>115</v>
      </c>
      <c r="H2850" s="564">
        <v>3144</v>
      </c>
      <c r="I2850" s="557" t="str">
        <f t="shared" si="42"/>
        <v>GooD</v>
      </c>
    </row>
    <row r="2851" spans="1:9">
      <c r="A2851" s="563" t="s">
        <v>645</v>
      </c>
      <c r="B2851" s="563">
        <v>11500</v>
      </c>
      <c r="C2851" s="564">
        <v>6</v>
      </c>
      <c r="D2851" s="564">
        <v>0.31</v>
      </c>
      <c r="E2851" s="564">
        <v>1789</v>
      </c>
      <c r="F2851" s="564">
        <v>13289</v>
      </c>
      <c r="G2851" s="564">
        <v>173</v>
      </c>
      <c r="H2851" s="564">
        <v>2186</v>
      </c>
      <c r="I2851" s="557" t="str">
        <f t="shared" si="42"/>
        <v>GooD</v>
      </c>
    </row>
    <row r="2852" spans="1:9" ht="15.75" thickBot="1">
      <c r="A2852" s="565" t="s">
        <v>645</v>
      </c>
      <c r="B2852" s="565">
        <v>11500</v>
      </c>
      <c r="C2852" s="566">
        <v>8</v>
      </c>
      <c r="D2852" s="566">
        <v>0.31</v>
      </c>
      <c r="E2852" s="566">
        <v>2378</v>
      </c>
      <c r="F2852" s="566">
        <v>13878</v>
      </c>
      <c r="G2852" s="566">
        <v>230</v>
      </c>
      <c r="H2852" s="566">
        <v>1706</v>
      </c>
      <c r="I2852" s="558" t="str">
        <f t="shared" si="42"/>
        <v>GooD</v>
      </c>
    </row>
    <row r="2853" spans="1:9" ht="15.75" thickTop="1">
      <c r="A2853" s="567" t="s">
        <v>645</v>
      </c>
      <c r="B2853" s="567">
        <v>11500</v>
      </c>
      <c r="C2853" s="568">
        <v>10</v>
      </c>
      <c r="D2853" s="568">
        <v>0.31</v>
      </c>
      <c r="E2853" s="568">
        <v>2978</v>
      </c>
      <c r="F2853" s="568">
        <v>14478</v>
      </c>
      <c r="G2853" s="568">
        <v>288</v>
      </c>
      <c r="H2853" s="568">
        <v>1419</v>
      </c>
      <c r="I2853" s="559" t="str">
        <f t="shared" si="42"/>
        <v>GooD</v>
      </c>
    </row>
    <row r="2854" spans="1:9">
      <c r="A2854" s="563" t="s">
        <v>645</v>
      </c>
      <c r="B2854" s="563">
        <v>11500</v>
      </c>
      <c r="C2854" s="564">
        <v>12</v>
      </c>
      <c r="D2854" s="564">
        <v>0.31</v>
      </c>
      <c r="E2854" s="564">
        <v>3569</v>
      </c>
      <c r="F2854" s="564">
        <v>15069</v>
      </c>
      <c r="G2854" s="564">
        <v>345</v>
      </c>
      <c r="H2854" s="564">
        <v>1227</v>
      </c>
      <c r="I2854" s="557" t="str">
        <f t="shared" si="42"/>
        <v>GooD</v>
      </c>
    </row>
    <row r="2855" spans="1:9">
      <c r="A2855" s="563" t="s">
        <v>645</v>
      </c>
      <c r="B2855" s="563">
        <v>12000</v>
      </c>
      <c r="C2855" s="564">
        <v>4</v>
      </c>
      <c r="D2855" s="564">
        <v>0.31</v>
      </c>
      <c r="E2855" s="564">
        <v>1244</v>
      </c>
      <c r="F2855" s="564">
        <v>13244</v>
      </c>
      <c r="G2855" s="564">
        <v>120</v>
      </c>
      <c r="H2855" s="564">
        <v>3281</v>
      </c>
      <c r="I2855" s="557" t="str">
        <f t="shared" ref="I2855:I2918" si="43">IF(((H2855*C2855)+G2855)=F2855,"GooD","لالالالالالالا")</f>
        <v>GooD</v>
      </c>
    </row>
    <row r="2856" spans="1:9">
      <c r="A2856" s="563" t="s">
        <v>645</v>
      </c>
      <c r="B2856" s="563">
        <v>12000</v>
      </c>
      <c r="C2856" s="564">
        <v>6</v>
      </c>
      <c r="D2856" s="564">
        <v>0.31</v>
      </c>
      <c r="E2856" s="564">
        <v>1866</v>
      </c>
      <c r="F2856" s="564">
        <v>13866</v>
      </c>
      <c r="G2856" s="564">
        <v>180</v>
      </c>
      <c r="H2856" s="564">
        <v>2281</v>
      </c>
      <c r="I2856" s="557" t="str">
        <f t="shared" si="43"/>
        <v>GooD</v>
      </c>
    </row>
    <row r="2857" spans="1:9" ht="15.75" thickBot="1">
      <c r="A2857" s="565" t="s">
        <v>645</v>
      </c>
      <c r="B2857" s="565">
        <v>12000</v>
      </c>
      <c r="C2857" s="566">
        <v>8</v>
      </c>
      <c r="D2857" s="566">
        <v>0.31</v>
      </c>
      <c r="E2857" s="566">
        <v>2488</v>
      </c>
      <c r="F2857" s="566">
        <v>14488</v>
      </c>
      <c r="G2857" s="566">
        <v>240</v>
      </c>
      <c r="H2857" s="566">
        <v>1781</v>
      </c>
      <c r="I2857" s="558" t="str">
        <f t="shared" si="43"/>
        <v>GooD</v>
      </c>
    </row>
    <row r="2858" spans="1:9" ht="15.75" thickTop="1">
      <c r="A2858" s="567" t="s">
        <v>645</v>
      </c>
      <c r="B2858" s="567">
        <v>12000</v>
      </c>
      <c r="C2858" s="568">
        <v>10</v>
      </c>
      <c r="D2858" s="568">
        <v>0.31</v>
      </c>
      <c r="E2858" s="568">
        <v>3110</v>
      </c>
      <c r="F2858" s="568">
        <v>15110</v>
      </c>
      <c r="G2858" s="568">
        <v>300</v>
      </c>
      <c r="H2858" s="568">
        <v>1481</v>
      </c>
      <c r="I2858" s="559" t="str">
        <f t="shared" si="43"/>
        <v>GooD</v>
      </c>
    </row>
    <row r="2859" spans="1:9">
      <c r="A2859" s="563" t="s">
        <v>645</v>
      </c>
      <c r="B2859" s="563">
        <v>12000</v>
      </c>
      <c r="C2859" s="564">
        <v>12</v>
      </c>
      <c r="D2859" s="564">
        <v>0.31</v>
      </c>
      <c r="E2859" s="564">
        <v>3732</v>
      </c>
      <c r="F2859" s="564">
        <v>15732</v>
      </c>
      <c r="G2859" s="564">
        <v>360</v>
      </c>
      <c r="H2859" s="564">
        <v>1281</v>
      </c>
      <c r="I2859" s="557" t="str">
        <f t="shared" si="43"/>
        <v>GooD</v>
      </c>
    </row>
    <row r="2860" spans="1:9">
      <c r="A2860" s="563" t="s">
        <v>645</v>
      </c>
      <c r="B2860" s="563">
        <v>12500</v>
      </c>
      <c r="C2860" s="564">
        <v>4</v>
      </c>
      <c r="D2860" s="564">
        <v>0.31</v>
      </c>
      <c r="E2860" s="564">
        <v>1293</v>
      </c>
      <c r="F2860" s="564">
        <v>13793</v>
      </c>
      <c r="G2860" s="564">
        <v>125</v>
      </c>
      <c r="H2860" s="564">
        <v>3417</v>
      </c>
      <c r="I2860" s="557" t="str">
        <f t="shared" si="43"/>
        <v>GooD</v>
      </c>
    </row>
    <row r="2861" spans="1:9">
      <c r="A2861" s="563" t="s">
        <v>645</v>
      </c>
      <c r="B2861" s="563">
        <v>12500</v>
      </c>
      <c r="C2861" s="564">
        <v>6</v>
      </c>
      <c r="D2861" s="564">
        <v>0.31</v>
      </c>
      <c r="E2861" s="564">
        <v>1944</v>
      </c>
      <c r="F2861" s="564">
        <v>14444</v>
      </c>
      <c r="G2861" s="564">
        <v>188</v>
      </c>
      <c r="H2861" s="564">
        <v>2376</v>
      </c>
      <c r="I2861" s="557" t="str">
        <f t="shared" si="43"/>
        <v>GooD</v>
      </c>
    </row>
    <row r="2862" spans="1:9" ht="15.75" thickBot="1">
      <c r="A2862" s="565" t="s">
        <v>645</v>
      </c>
      <c r="B2862" s="565">
        <v>12500</v>
      </c>
      <c r="C2862" s="566">
        <v>8</v>
      </c>
      <c r="D2862" s="566">
        <v>0.31</v>
      </c>
      <c r="E2862" s="566">
        <v>2590</v>
      </c>
      <c r="F2862" s="566">
        <v>15090</v>
      </c>
      <c r="G2862" s="566">
        <v>250</v>
      </c>
      <c r="H2862" s="566">
        <v>1855</v>
      </c>
      <c r="I2862" s="558" t="str">
        <f t="shared" si="43"/>
        <v>GooD</v>
      </c>
    </row>
    <row r="2863" spans="1:9" ht="15.75" thickTop="1">
      <c r="A2863" s="567" t="s">
        <v>645</v>
      </c>
      <c r="B2863" s="567">
        <v>12500</v>
      </c>
      <c r="C2863" s="568">
        <v>10</v>
      </c>
      <c r="D2863" s="568">
        <v>0.31</v>
      </c>
      <c r="E2863" s="568">
        <v>3233</v>
      </c>
      <c r="F2863" s="568">
        <v>15733</v>
      </c>
      <c r="G2863" s="568">
        <v>313</v>
      </c>
      <c r="H2863" s="568">
        <v>1542</v>
      </c>
      <c r="I2863" s="559" t="str">
        <f t="shared" si="43"/>
        <v>GooD</v>
      </c>
    </row>
    <row r="2864" spans="1:9">
      <c r="A2864" s="563" t="s">
        <v>645</v>
      </c>
      <c r="B2864" s="563">
        <v>12500</v>
      </c>
      <c r="C2864" s="564">
        <v>12</v>
      </c>
      <c r="D2864" s="564">
        <v>0.31</v>
      </c>
      <c r="E2864" s="564">
        <v>3883</v>
      </c>
      <c r="F2864" s="564">
        <v>16383</v>
      </c>
      <c r="G2864" s="564">
        <v>375</v>
      </c>
      <c r="H2864" s="564">
        <v>1334</v>
      </c>
      <c r="I2864" s="557" t="str">
        <f t="shared" si="43"/>
        <v>GooD</v>
      </c>
    </row>
    <row r="2865" spans="1:9">
      <c r="A2865" s="563" t="s">
        <v>645</v>
      </c>
      <c r="B2865" s="563">
        <v>13000</v>
      </c>
      <c r="C2865" s="564">
        <v>4</v>
      </c>
      <c r="D2865" s="564">
        <v>0.31</v>
      </c>
      <c r="E2865" s="564">
        <v>1346</v>
      </c>
      <c r="F2865" s="564">
        <v>14346</v>
      </c>
      <c r="G2865" s="564">
        <v>130</v>
      </c>
      <c r="H2865" s="564">
        <v>3554</v>
      </c>
      <c r="I2865" s="557" t="str">
        <f t="shared" si="43"/>
        <v>GooD</v>
      </c>
    </row>
    <row r="2866" spans="1:9">
      <c r="A2866" s="563" t="s">
        <v>645</v>
      </c>
      <c r="B2866" s="563">
        <v>13000</v>
      </c>
      <c r="C2866" s="564">
        <v>6</v>
      </c>
      <c r="D2866" s="564">
        <v>0.31</v>
      </c>
      <c r="E2866" s="564">
        <v>2021</v>
      </c>
      <c r="F2866" s="564">
        <v>15021</v>
      </c>
      <c r="G2866" s="564">
        <v>195</v>
      </c>
      <c r="H2866" s="564">
        <v>2471</v>
      </c>
      <c r="I2866" s="557" t="str">
        <f t="shared" si="43"/>
        <v>GooD</v>
      </c>
    </row>
    <row r="2867" spans="1:9" ht="15.75" thickBot="1">
      <c r="A2867" s="565" t="s">
        <v>645</v>
      </c>
      <c r="B2867" s="565">
        <v>13000</v>
      </c>
      <c r="C2867" s="566">
        <v>8</v>
      </c>
      <c r="D2867" s="566">
        <v>0.31</v>
      </c>
      <c r="E2867" s="566">
        <v>2692</v>
      </c>
      <c r="F2867" s="566">
        <v>15692</v>
      </c>
      <c r="G2867" s="566">
        <v>260</v>
      </c>
      <c r="H2867" s="566">
        <v>1929</v>
      </c>
      <c r="I2867" s="558" t="str">
        <f t="shared" si="43"/>
        <v>GooD</v>
      </c>
    </row>
    <row r="2868" spans="1:9" ht="15.75" thickTop="1">
      <c r="A2868" s="567" t="s">
        <v>645</v>
      </c>
      <c r="B2868" s="567">
        <v>13000</v>
      </c>
      <c r="C2868" s="568">
        <v>10</v>
      </c>
      <c r="D2868" s="568">
        <v>0.31</v>
      </c>
      <c r="E2868" s="568">
        <v>3365</v>
      </c>
      <c r="F2868" s="568">
        <v>16365</v>
      </c>
      <c r="G2868" s="568">
        <v>325</v>
      </c>
      <c r="H2868" s="568">
        <v>1604</v>
      </c>
      <c r="I2868" s="559" t="str">
        <f t="shared" si="43"/>
        <v>GooD</v>
      </c>
    </row>
    <row r="2869" spans="1:9">
      <c r="A2869" s="563" t="s">
        <v>645</v>
      </c>
      <c r="B2869" s="563">
        <v>13000</v>
      </c>
      <c r="C2869" s="564">
        <v>12</v>
      </c>
      <c r="D2869" s="564">
        <v>0.31</v>
      </c>
      <c r="E2869" s="564">
        <v>4034</v>
      </c>
      <c r="F2869" s="564">
        <v>17034</v>
      </c>
      <c r="G2869" s="564">
        <v>390</v>
      </c>
      <c r="H2869" s="564">
        <v>1387</v>
      </c>
      <c r="I2869" s="557" t="str">
        <f t="shared" si="43"/>
        <v>GooD</v>
      </c>
    </row>
    <row r="2870" spans="1:9">
      <c r="A2870" s="563" t="s">
        <v>645</v>
      </c>
      <c r="B2870" s="563">
        <v>13500</v>
      </c>
      <c r="C2870" s="564">
        <v>4</v>
      </c>
      <c r="D2870" s="564">
        <v>0.31</v>
      </c>
      <c r="E2870" s="564">
        <v>1399</v>
      </c>
      <c r="F2870" s="564">
        <v>14899</v>
      </c>
      <c r="G2870" s="564">
        <v>135</v>
      </c>
      <c r="H2870" s="564">
        <v>3691</v>
      </c>
      <c r="I2870" s="557" t="str">
        <f t="shared" si="43"/>
        <v>GooD</v>
      </c>
    </row>
    <row r="2871" spans="1:9">
      <c r="A2871" s="563" t="s">
        <v>645</v>
      </c>
      <c r="B2871" s="563">
        <v>13500</v>
      </c>
      <c r="C2871" s="564">
        <v>6</v>
      </c>
      <c r="D2871" s="564">
        <v>0.31</v>
      </c>
      <c r="E2871" s="564">
        <v>2099</v>
      </c>
      <c r="F2871" s="564">
        <v>15599</v>
      </c>
      <c r="G2871" s="564">
        <v>203</v>
      </c>
      <c r="H2871" s="564">
        <v>2566</v>
      </c>
      <c r="I2871" s="557" t="str">
        <f t="shared" si="43"/>
        <v>GooD</v>
      </c>
    </row>
    <row r="2872" spans="1:9" ht="15.75" thickBot="1">
      <c r="A2872" s="565" t="s">
        <v>645</v>
      </c>
      <c r="B2872" s="565">
        <v>13500</v>
      </c>
      <c r="C2872" s="566">
        <v>8</v>
      </c>
      <c r="D2872" s="566">
        <v>0.31</v>
      </c>
      <c r="E2872" s="566">
        <v>2794</v>
      </c>
      <c r="F2872" s="566">
        <v>16294</v>
      </c>
      <c r="G2872" s="566">
        <v>270</v>
      </c>
      <c r="H2872" s="566">
        <v>2003</v>
      </c>
      <c r="I2872" s="558" t="str">
        <f t="shared" si="43"/>
        <v>GooD</v>
      </c>
    </row>
    <row r="2873" spans="1:9" ht="15.75" thickTop="1">
      <c r="A2873" s="567" t="s">
        <v>645</v>
      </c>
      <c r="B2873" s="567">
        <v>13500</v>
      </c>
      <c r="C2873" s="568">
        <v>10</v>
      </c>
      <c r="D2873" s="568">
        <v>0.31</v>
      </c>
      <c r="E2873" s="568">
        <v>3498</v>
      </c>
      <c r="F2873" s="568">
        <v>16998</v>
      </c>
      <c r="G2873" s="568">
        <v>338</v>
      </c>
      <c r="H2873" s="568">
        <v>1666</v>
      </c>
      <c r="I2873" s="559" t="str">
        <f t="shared" si="43"/>
        <v>GooD</v>
      </c>
    </row>
    <row r="2874" spans="1:9">
      <c r="A2874" s="563" t="s">
        <v>645</v>
      </c>
      <c r="B2874" s="563">
        <v>13500</v>
      </c>
      <c r="C2874" s="564">
        <v>12</v>
      </c>
      <c r="D2874" s="564">
        <v>0.31</v>
      </c>
      <c r="E2874" s="564">
        <v>4197</v>
      </c>
      <c r="F2874" s="564">
        <v>17697</v>
      </c>
      <c r="G2874" s="564">
        <v>405</v>
      </c>
      <c r="H2874" s="564">
        <v>1441</v>
      </c>
      <c r="I2874" s="557" t="str">
        <f t="shared" si="43"/>
        <v>GooD</v>
      </c>
    </row>
    <row r="2875" spans="1:9">
      <c r="A2875" s="563" t="s">
        <v>645</v>
      </c>
      <c r="B2875" s="563">
        <v>14000</v>
      </c>
      <c r="C2875" s="564">
        <v>4</v>
      </c>
      <c r="D2875" s="564">
        <v>0.31</v>
      </c>
      <c r="E2875" s="564">
        <v>1448</v>
      </c>
      <c r="F2875" s="564">
        <v>15448</v>
      </c>
      <c r="G2875" s="564">
        <v>140</v>
      </c>
      <c r="H2875" s="564">
        <v>3827</v>
      </c>
      <c r="I2875" s="557" t="str">
        <f t="shared" si="43"/>
        <v>GooD</v>
      </c>
    </row>
    <row r="2876" spans="1:9">
      <c r="A2876" s="563" t="s">
        <v>645</v>
      </c>
      <c r="B2876" s="563">
        <v>14000</v>
      </c>
      <c r="C2876" s="564">
        <v>6</v>
      </c>
      <c r="D2876" s="564">
        <v>0.31</v>
      </c>
      <c r="E2876" s="564">
        <v>2176</v>
      </c>
      <c r="F2876" s="564">
        <v>16176</v>
      </c>
      <c r="G2876" s="564">
        <v>210</v>
      </c>
      <c r="H2876" s="564">
        <v>2661</v>
      </c>
      <c r="I2876" s="557" t="str">
        <f t="shared" si="43"/>
        <v>GooD</v>
      </c>
    </row>
    <row r="2877" spans="1:9" ht="15.75" thickBot="1">
      <c r="A2877" s="565" t="s">
        <v>645</v>
      </c>
      <c r="B2877" s="565">
        <v>14000</v>
      </c>
      <c r="C2877" s="566">
        <v>8</v>
      </c>
      <c r="D2877" s="566">
        <v>0.31</v>
      </c>
      <c r="E2877" s="566">
        <v>2896</v>
      </c>
      <c r="F2877" s="566">
        <v>16896</v>
      </c>
      <c r="G2877" s="566">
        <v>280</v>
      </c>
      <c r="H2877" s="566">
        <v>2077</v>
      </c>
      <c r="I2877" s="558" t="str">
        <f t="shared" si="43"/>
        <v>GooD</v>
      </c>
    </row>
    <row r="2878" spans="1:9" ht="15.75" thickTop="1">
      <c r="A2878" s="567" t="s">
        <v>645</v>
      </c>
      <c r="B2878" s="567">
        <v>14000</v>
      </c>
      <c r="C2878" s="568">
        <v>10</v>
      </c>
      <c r="D2878" s="568">
        <v>0.31</v>
      </c>
      <c r="E2878" s="568">
        <v>3620</v>
      </c>
      <c r="F2878" s="568">
        <v>17620</v>
      </c>
      <c r="G2878" s="568">
        <v>350</v>
      </c>
      <c r="H2878" s="568">
        <v>1727</v>
      </c>
      <c r="I2878" s="559" t="str">
        <f t="shared" si="43"/>
        <v>GooD</v>
      </c>
    </row>
    <row r="2879" spans="1:9">
      <c r="A2879" s="563" t="s">
        <v>645</v>
      </c>
      <c r="B2879" s="563">
        <v>14000</v>
      </c>
      <c r="C2879" s="564">
        <v>12</v>
      </c>
      <c r="D2879" s="564">
        <v>0.31</v>
      </c>
      <c r="E2879" s="564">
        <v>4348</v>
      </c>
      <c r="F2879" s="564">
        <v>18348</v>
      </c>
      <c r="G2879" s="564">
        <v>420</v>
      </c>
      <c r="H2879" s="564">
        <v>1494</v>
      </c>
      <c r="I2879" s="557" t="str">
        <f t="shared" si="43"/>
        <v>GooD</v>
      </c>
    </row>
    <row r="2880" spans="1:9">
      <c r="A2880" s="563" t="s">
        <v>645</v>
      </c>
      <c r="B2880" s="563">
        <v>14500</v>
      </c>
      <c r="C2880" s="564">
        <v>4</v>
      </c>
      <c r="D2880" s="564">
        <v>0.31</v>
      </c>
      <c r="E2880" s="564">
        <v>1502</v>
      </c>
      <c r="F2880" s="564">
        <v>16002</v>
      </c>
      <c r="G2880" s="564">
        <v>170</v>
      </c>
      <c r="H2880" s="564">
        <v>3958</v>
      </c>
      <c r="I2880" s="557" t="str">
        <f t="shared" si="43"/>
        <v>GooD</v>
      </c>
    </row>
    <row r="2881" spans="1:9">
      <c r="A2881" s="563" t="s">
        <v>645</v>
      </c>
      <c r="B2881" s="563">
        <v>14500</v>
      </c>
      <c r="C2881" s="564">
        <v>6</v>
      </c>
      <c r="D2881" s="564">
        <v>0.31</v>
      </c>
      <c r="E2881" s="564">
        <v>2248</v>
      </c>
      <c r="F2881" s="564">
        <v>16748</v>
      </c>
      <c r="G2881" s="564">
        <v>254</v>
      </c>
      <c r="H2881" s="564">
        <v>2749</v>
      </c>
      <c r="I2881" s="557" t="str">
        <f t="shared" si="43"/>
        <v>GooD</v>
      </c>
    </row>
    <row r="2882" spans="1:9" ht="15.75" thickBot="1">
      <c r="A2882" s="565" t="s">
        <v>645</v>
      </c>
      <c r="B2882" s="565">
        <v>14500</v>
      </c>
      <c r="C2882" s="566">
        <v>8</v>
      </c>
      <c r="D2882" s="566">
        <v>0.31</v>
      </c>
      <c r="E2882" s="566">
        <v>2999</v>
      </c>
      <c r="F2882" s="566">
        <v>17499</v>
      </c>
      <c r="G2882" s="566">
        <v>339</v>
      </c>
      <c r="H2882" s="566">
        <v>2145</v>
      </c>
      <c r="I2882" s="558" t="str">
        <f t="shared" si="43"/>
        <v>GooD</v>
      </c>
    </row>
    <row r="2883" spans="1:9" ht="15.75" thickTop="1">
      <c r="A2883" s="567" t="s">
        <v>645</v>
      </c>
      <c r="B2883" s="567">
        <v>14500</v>
      </c>
      <c r="C2883" s="568">
        <v>10</v>
      </c>
      <c r="D2883" s="568">
        <v>0.31</v>
      </c>
      <c r="E2883" s="568">
        <v>3753</v>
      </c>
      <c r="F2883" s="568">
        <v>18253</v>
      </c>
      <c r="G2883" s="568">
        <v>423</v>
      </c>
      <c r="H2883" s="568">
        <v>1783</v>
      </c>
      <c r="I2883" s="559" t="str">
        <f t="shared" si="43"/>
        <v>GooD</v>
      </c>
    </row>
    <row r="2884" spans="1:9">
      <c r="A2884" s="563" t="s">
        <v>645</v>
      </c>
      <c r="B2884" s="563">
        <v>14500</v>
      </c>
      <c r="C2884" s="564">
        <v>12</v>
      </c>
      <c r="D2884" s="564">
        <v>0.31</v>
      </c>
      <c r="E2884" s="564">
        <v>4500</v>
      </c>
      <c r="F2884" s="564">
        <v>19000</v>
      </c>
      <c r="G2884" s="564">
        <v>508</v>
      </c>
      <c r="H2884" s="564">
        <v>1541</v>
      </c>
      <c r="I2884" s="557" t="str">
        <f t="shared" si="43"/>
        <v>GooD</v>
      </c>
    </row>
    <row r="2885" spans="1:9">
      <c r="A2885" s="563" t="s">
        <v>645</v>
      </c>
      <c r="B2885" s="563">
        <v>15000</v>
      </c>
      <c r="C2885" s="564">
        <v>4</v>
      </c>
      <c r="D2885" s="564">
        <v>0.31</v>
      </c>
      <c r="E2885" s="564">
        <v>1551</v>
      </c>
      <c r="F2885" s="564">
        <v>16551</v>
      </c>
      <c r="G2885" s="564">
        <v>175</v>
      </c>
      <c r="H2885" s="564">
        <v>4094</v>
      </c>
      <c r="I2885" s="557" t="str">
        <f t="shared" si="43"/>
        <v>GooD</v>
      </c>
    </row>
    <row r="2886" spans="1:9">
      <c r="A2886" s="563" t="s">
        <v>645</v>
      </c>
      <c r="B2886" s="563">
        <v>15000</v>
      </c>
      <c r="C2886" s="564">
        <v>6</v>
      </c>
      <c r="D2886" s="564">
        <v>0.31</v>
      </c>
      <c r="E2886" s="564">
        <v>2327</v>
      </c>
      <c r="F2886" s="564">
        <v>17327</v>
      </c>
      <c r="G2886" s="564">
        <v>263</v>
      </c>
      <c r="H2886" s="564">
        <v>2844</v>
      </c>
      <c r="I2886" s="557" t="str">
        <f t="shared" si="43"/>
        <v>GooD</v>
      </c>
    </row>
    <row r="2887" spans="1:9" ht="15.75" thickBot="1">
      <c r="A2887" s="565" t="s">
        <v>645</v>
      </c>
      <c r="B2887" s="565">
        <v>15000</v>
      </c>
      <c r="C2887" s="566">
        <v>8</v>
      </c>
      <c r="D2887" s="566">
        <v>0.31</v>
      </c>
      <c r="E2887" s="566">
        <v>3102</v>
      </c>
      <c r="F2887" s="566">
        <v>18102</v>
      </c>
      <c r="G2887" s="566">
        <v>350</v>
      </c>
      <c r="H2887" s="566">
        <v>2219</v>
      </c>
      <c r="I2887" s="558" t="str">
        <f t="shared" si="43"/>
        <v>GooD</v>
      </c>
    </row>
    <row r="2888" spans="1:9" ht="15.75" thickTop="1">
      <c r="A2888" s="567" t="s">
        <v>645</v>
      </c>
      <c r="B2888" s="567">
        <v>15000</v>
      </c>
      <c r="C2888" s="568">
        <v>10</v>
      </c>
      <c r="D2888" s="568">
        <v>0.31</v>
      </c>
      <c r="E2888" s="568">
        <v>3878</v>
      </c>
      <c r="F2888" s="568">
        <v>18878</v>
      </c>
      <c r="G2888" s="568">
        <v>438</v>
      </c>
      <c r="H2888" s="568">
        <v>1844</v>
      </c>
      <c r="I2888" s="559" t="str">
        <f t="shared" si="43"/>
        <v>GooD</v>
      </c>
    </row>
    <row r="2889" spans="1:9">
      <c r="A2889" s="563" t="s">
        <v>645</v>
      </c>
      <c r="B2889" s="563">
        <v>15000</v>
      </c>
      <c r="C2889" s="564">
        <v>12</v>
      </c>
      <c r="D2889" s="564">
        <v>0.31</v>
      </c>
      <c r="E2889" s="564">
        <v>4653</v>
      </c>
      <c r="F2889" s="564">
        <v>19653</v>
      </c>
      <c r="G2889" s="564">
        <v>525</v>
      </c>
      <c r="H2889" s="564">
        <v>1594</v>
      </c>
      <c r="I2889" s="557" t="str">
        <f t="shared" si="43"/>
        <v>GooD</v>
      </c>
    </row>
    <row r="2890" spans="1:9">
      <c r="A2890" s="563" t="s">
        <v>645</v>
      </c>
      <c r="B2890" s="563">
        <v>15500</v>
      </c>
      <c r="C2890" s="564">
        <v>4</v>
      </c>
      <c r="D2890" s="564">
        <v>0.31</v>
      </c>
      <c r="E2890" s="564">
        <v>1605</v>
      </c>
      <c r="F2890" s="564">
        <v>17105</v>
      </c>
      <c r="G2890" s="564">
        <v>181</v>
      </c>
      <c r="H2890" s="564">
        <v>4231</v>
      </c>
      <c r="I2890" s="557" t="str">
        <f t="shared" si="43"/>
        <v>GooD</v>
      </c>
    </row>
    <row r="2891" spans="1:9">
      <c r="A2891" s="563" t="s">
        <v>645</v>
      </c>
      <c r="B2891" s="563">
        <v>15500</v>
      </c>
      <c r="C2891" s="564">
        <v>6</v>
      </c>
      <c r="D2891" s="564">
        <v>0.31</v>
      </c>
      <c r="E2891" s="564">
        <v>2406</v>
      </c>
      <c r="F2891" s="564">
        <v>17906</v>
      </c>
      <c r="G2891" s="564">
        <v>272</v>
      </c>
      <c r="H2891" s="564">
        <v>2939</v>
      </c>
      <c r="I2891" s="557" t="str">
        <f t="shared" si="43"/>
        <v>GooD</v>
      </c>
    </row>
    <row r="2892" spans="1:9" ht="15.75" thickBot="1">
      <c r="A2892" s="565" t="s">
        <v>645</v>
      </c>
      <c r="B2892" s="565">
        <v>15500</v>
      </c>
      <c r="C2892" s="566">
        <v>8</v>
      </c>
      <c r="D2892" s="566">
        <v>0.31</v>
      </c>
      <c r="E2892" s="566">
        <v>3206</v>
      </c>
      <c r="F2892" s="566">
        <v>18706</v>
      </c>
      <c r="G2892" s="566">
        <v>362</v>
      </c>
      <c r="H2892" s="566">
        <v>2293</v>
      </c>
      <c r="I2892" s="558" t="str">
        <f t="shared" si="43"/>
        <v>GooD</v>
      </c>
    </row>
    <row r="2893" spans="1:9" ht="15.75" thickTop="1">
      <c r="A2893" s="567" t="s">
        <v>645</v>
      </c>
      <c r="B2893" s="567">
        <v>15500</v>
      </c>
      <c r="C2893" s="568">
        <v>10</v>
      </c>
      <c r="D2893" s="568">
        <v>0.31</v>
      </c>
      <c r="E2893" s="568">
        <v>4013</v>
      </c>
      <c r="F2893" s="568">
        <v>19513</v>
      </c>
      <c r="G2893" s="568">
        <v>453</v>
      </c>
      <c r="H2893" s="568">
        <v>1906</v>
      </c>
      <c r="I2893" s="559" t="str">
        <f t="shared" si="43"/>
        <v>GooD</v>
      </c>
    </row>
    <row r="2894" spans="1:9">
      <c r="A2894" s="563" t="s">
        <v>645</v>
      </c>
      <c r="B2894" s="563">
        <v>15500</v>
      </c>
      <c r="C2894" s="564">
        <v>12</v>
      </c>
      <c r="D2894" s="564">
        <v>0.31</v>
      </c>
      <c r="E2894" s="564">
        <v>4807</v>
      </c>
      <c r="F2894" s="564">
        <v>20307</v>
      </c>
      <c r="G2894" s="564">
        <v>543</v>
      </c>
      <c r="H2894" s="564">
        <v>1647</v>
      </c>
      <c r="I2894" s="557" t="str">
        <f t="shared" si="43"/>
        <v>GooD</v>
      </c>
    </row>
    <row r="2895" spans="1:9">
      <c r="A2895" s="563" t="s">
        <v>645</v>
      </c>
      <c r="B2895" s="563">
        <v>16000</v>
      </c>
      <c r="C2895" s="564">
        <v>4</v>
      </c>
      <c r="D2895" s="564">
        <v>0.31</v>
      </c>
      <c r="E2895" s="564">
        <v>1655</v>
      </c>
      <c r="F2895" s="564">
        <v>17655</v>
      </c>
      <c r="G2895" s="564">
        <v>187</v>
      </c>
      <c r="H2895" s="564">
        <v>4367</v>
      </c>
      <c r="I2895" s="557" t="str">
        <f t="shared" si="43"/>
        <v>GooD</v>
      </c>
    </row>
    <row r="2896" spans="1:9">
      <c r="A2896" s="563" t="s">
        <v>645</v>
      </c>
      <c r="B2896" s="563">
        <v>16000</v>
      </c>
      <c r="C2896" s="564">
        <v>6</v>
      </c>
      <c r="D2896" s="564">
        <v>0.31</v>
      </c>
      <c r="E2896" s="564">
        <v>2484</v>
      </c>
      <c r="F2896" s="564">
        <v>18484</v>
      </c>
      <c r="G2896" s="564">
        <v>280</v>
      </c>
      <c r="H2896" s="564">
        <v>3034</v>
      </c>
      <c r="I2896" s="557" t="str">
        <f t="shared" si="43"/>
        <v>GooD</v>
      </c>
    </row>
    <row r="2897" spans="1:9" ht="15.75" thickBot="1">
      <c r="A2897" s="565" t="s">
        <v>645</v>
      </c>
      <c r="B2897" s="565">
        <v>16000</v>
      </c>
      <c r="C2897" s="566">
        <v>8</v>
      </c>
      <c r="D2897" s="566">
        <v>0.31</v>
      </c>
      <c r="E2897" s="566">
        <v>3310</v>
      </c>
      <c r="F2897" s="566">
        <v>19310</v>
      </c>
      <c r="G2897" s="566">
        <v>374</v>
      </c>
      <c r="H2897" s="566">
        <v>2367</v>
      </c>
      <c r="I2897" s="558" t="str">
        <f t="shared" si="43"/>
        <v>GooD</v>
      </c>
    </row>
    <row r="2898" spans="1:9" ht="15.75" thickTop="1">
      <c r="A2898" s="567" t="s">
        <v>645</v>
      </c>
      <c r="B2898" s="567">
        <v>16000</v>
      </c>
      <c r="C2898" s="568">
        <v>10</v>
      </c>
      <c r="D2898" s="568">
        <v>0.31</v>
      </c>
      <c r="E2898" s="568">
        <v>4137</v>
      </c>
      <c r="F2898" s="568">
        <v>20137</v>
      </c>
      <c r="G2898" s="568">
        <v>467</v>
      </c>
      <c r="H2898" s="568">
        <v>1967</v>
      </c>
      <c r="I2898" s="559" t="str">
        <f t="shared" si="43"/>
        <v>GooD</v>
      </c>
    </row>
    <row r="2899" spans="1:9">
      <c r="A2899" s="563" t="s">
        <v>645</v>
      </c>
      <c r="B2899" s="563">
        <v>16000</v>
      </c>
      <c r="C2899" s="564">
        <v>12</v>
      </c>
      <c r="D2899" s="564">
        <v>0.31</v>
      </c>
      <c r="E2899" s="564">
        <v>4972</v>
      </c>
      <c r="F2899" s="564">
        <v>20972</v>
      </c>
      <c r="G2899" s="564">
        <v>560</v>
      </c>
      <c r="H2899" s="564">
        <v>1701</v>
      </c>
      <c r="I2899" s="557" t="str">
        <f t="shared" si="43"/>
        <v>GooD</v>
      </c>
    </row>
    <row r="2900" spans="1:9">
      <c r="A2900" s="563" t="s">
        <v>645</v>
      </c>
      <c r="B2900" s="563">
        <v>16500</v>
      </c>
      <c r="C2900" s="564">
        <v>4</v>
      </c>
      <c r="D2900" s="564">
        <v>0.31</v>
      </c>
      <c r="E2900" s="564">
        <v>1709</v>
      </c>
      <c r="F2900" s="564">
        <v>18209</v>
      </c>
      <c r="G2900" s="564">
        <v>193</v>
      </c>
      <c r="H2900" s="564">
        <v>4504</v>
      </c>
      <c r="I2900" s="557" t="str">
        <f t="shared" si="43"/>
        <v>GooD</v>
      </c>
    </row>
    <row r="2901" spans="1:9">
      <c r="A2901" s="563" t="s">
        <v>645</v>
      </c>
      <c r="B2901" s="563">
        <v>16500</v>
      </c>
      <c r="C2901" s="564">
        <v>6</v>
      </c>
      <c r="D2901" s="564">
        <v>0.31</v>
      </c>
      <c r="E2901" s="564">
        <v>2563</v>
      </c>
      <c r="F2901" s="564">
        <v>19063</v>
      </c>
      <c r="G2901" s="564">
        <v>289</v>
      </c>
      <c r="H2901" s="564">
        <v>3129</v>
      </c>
      <c r="I2901" s="557" t="str">
        <f t="shared" si="43"/>
        <v>GooD</v>
      </c>
    </row>
    <row r="2902" spans="1:9" ht="15.75" thickBot="1">
      <c r="A2902" s="565" t="s">
        <v>645</v>
      </c>
      <c r="B2902" s="565">
        <v>16500</v>
      </c>
      <c r="C2902" s="566">
        <v>8</v>
      </c>
      <c r="D2902" s="566">
        <v>0.31</v>
      </c>
      <c r="E2902" s="566">
        <v>3413</v>
      </c>
      <c r="F2902" s="566">
        <v>19913</v>
      </c>
      <c r="G2902" s="566">
        <v>385</v>
      </c>
      <c r="H2902" s="566">
        <v>2441</v>
      </c>
      <c r="I2902" s="558" t="str">
        <f t="shared" si="43"/>
        <v>GooD</v>
      </c>
    </row>
    <row r="2903" spans="1:9" ht="15.75" thickTop="1">
      <c r="A2903" s="567" t="s">
        <v>645</v>
      </c>
      <c r="B2903" s="567">
        <v>16500</v>
      </c>
      <c r="C2903" s="568">
        <v>10</v>
      </c>
      <c r="D2903" s="568">
        <v>0.31</v>
      </c>
      <c r="E2903" s="568">
        <v>4272</v>
      </c>
      <c r="F2903" s="568">
        <v>20772</v>
      </c>
      <c r="G2903" s="568">
        <v>482</v>
      </c>
      <c r="H2903" s="568">
        <v>2029</v>
      </c>
      <c r="I2903" s="559" t="str">
        <f t="shared" si="43"/>
        <v>GooD</v>
      </c>
    </row>
    <row r="2904" spans="1:9">
      <c r="A2904" s="563" t="s">
        <v>645</v>
      </c>
      <c r="B2904" s="563">
        <v>16500</v>
      </c>
      <c r="C2904" s="564">
        <v>12</v>
      </c>
      <c r="D2904" s="564">
        <v>0.31</v>
      </c>
      <c r="E2904" s="564">
        <v>5126</v>
      </c>
      <c r="F2904" s="564">
        <v>21626</v>
      </c>
      <c r="G2904" s="564">
        <v>578</v>
      </c>
      <c r="H2904" s="564">
        <v>1754</v>
      </c>
      <c r="I2904" s="557" t="str">
        <f t="shared" si="43"/>
        <v>GooD</v>
      </c>
    </row>
    <row r="2905" spans="1:9">
      <c r="A2905" s="563" t="s">
        <v>645</v>
      </c>
      <c r="B2905" s="563">
        <v>17000</v>
      </c>
      <c r="C2905" s="564">
        <v>4</v>
      </c>
      <c r="D2905" s="564">
        <v>0.31</v>
      </c>
      <c r="E2905" s="564">
        <v>1759</v>
      </c>
      <c r="F2905" s="564">
        <v>18759</v>
      </c>
      <c r="G2905" s="564">
        <v>199</v>
      </c>
      <c r="H2905" s="564">
        <v>4640</v>
      </c>
      <c r="I2905" s="557" t="str">
        <f t="shared" si="43"/>
        <v>GooD</v>
      </c>
    </row>
    <row r="2906" spans="1:9">
      <c r="A2906" s="563" t="s">
        <v>645</v>
      </c>
      <c r="B2906" s="563">
        <v>17000</v>
      </c>
      <c r="C2906" s="564">
        <v>6</v>
      </c>
      <c r="D2906" s="564">
        <v>0.31</v>
      </c>
      <c r="E2906" s="564">
        <v>2636</v>
      </c>
      <c r="F2906" s="564">
        <v>19636</v>
      </c>
      <c r="G2906" s="564">
        <v>298</v>
      </c>
      <c r="H2906" s="564">
        <v>3223</v>
      </c>
      <c r="I2906" s="557" t="str">
        <f t="shared" si="43"/>
        <v>GooD</v>
      </c>
    </row>
    <row r="2907" spans="1:9" ht="15.75" thickBot="1">
      <c r="A2907" s="565" t="s">
        <v>645</v>
      </c>
      <c r="B2907" s="565">
        <v>17000</v>
      </c>
      <c r="C2907" s="566">
        <v>8</v>
      </c>
      <c r="D2907" s="566">
        <v>0.31</v>
      </c>
      <c r="E2907" s="566">
        <v>3517</v>
      </c>
      <c r="F2907" s="566">
        <v>20517</v>
      </c>
      <c r="G2907" s="566">
        <v>397</v>
      </c>
      <c r="H2907" s="566">
        <v>2515</v>
      </c>
      <c r="I2907" s="558" t="str">
        <f t="shared" si="43"/>
        <v>GooD</v>
      </c>
    </row>
    <row r="2908" spans="1:9" ht="15.75" thickTop="1">
      <c r="A2908" s="567" t="s">
        <v>645</v>
      </c>
      <c r="B2908" s="567">
        <v>17000</v>
      </c>
      <c r="C2908" s="568">
        <v>10</v>
      </c>
      <c r="D2908" s="568">
        <v>0.31</v>
      </c>
      <c r="E2908" s="568">
        <v>4396</v>
      </c>
      <c r="F2908" s="568">
        <v>21396</v>
      </c>
      <c r="G2908" s="568">
        <v>496</v>
      </c>
      <c r="H2908" s="568">
        <v>2090</v>
      </c>
      <c r="I2908" s="559" t="str">
        <f t="shared" si="43"/>
        <v>GooD</v>
      </c>
    </row>
    <row r="2909" spans="1:9">
      <c r="A2909" s="563" t="s">
        <v>645</v>
      </c>
      <c r="B2909" s="563">
        <v>17000</v>
      </c>
      <c r="C2909" s="564">
        <v>12</v>
      </c>
      <c r="D2909" s="564">
        <v>0.31</v>
      </c>
      <c r="E2909" s="564">
        <v>5279</v>
      </c>
      <c r="F2909" s="564">
        <v>22279</v>
      </c>
      <c r="G2909" s="564">
        <v>595</v>
      </c>
      <c r="H2909" s="564">
        <v>1807</v>
      </c>
      <c r="I2909" s="557" t="str">
        <f t="shared" si="43"/>
        <v>GooD</v>
      </c>
    </row>
    <row r="2910" spans="1:9">
      <c r="A2910" s="563" t="s">
        <v>645</v>
      </c>
      <c r="B2910" s="563">
        <v>17500</v>
      </c>
      <c r="C2910" s="564">
        <v>4</v>
      </c>
      <c r="D2910" s="564">
        <v>0.31</v>
      </c>
      <c r="E2910" s="564">
        <v>1813</v>
      </c>
      <c r="F2910" s="564">
        <v>19313</v>
      </c>
      <c r="G2910" s="564">
        <v>205</v>
      </c>
      <c r="H2910" s="564">
        <v>4777</v>
      </c>
      <c r="I2910" s="557" t="str">
        <f t="shared" si="43"/>
        <v>GooD</v>
      </c>
    </row>
    <row r="2911" spans="1:9">
      <c r="A2911" s="563" t="s">
        <v>645</v>
      </c>
      <c r="B2911" s="563">
        <v>17500</v>
      </c>
      <c r="C2911" s="564">
        <v>6</v>
      </c>
      <c r="D2911" s="564">
        <v>0.31</v>
      </c>
      <c r="E2911" s="564">
        <v>2715</v>
      </c>
      <c r="F2911" s="564">
        <v>20215</v>
      </c>
      <c r="G2911" s="564">
        <v>307</v>
      </c>
      <c r="H2911" s="564">
        <v>3318</v>
      </c>
      <c r="I2911" s="557" t="str">
        <f t="shared" si="43"/>
        <v>GooD</v>
      </c>
    </row>
    <row r="2912" spans="1:9" ht="15.75" thickBot="1">
      <c r="A2912" s="565" t="s">
        <v>645</v>
      </c>
      <c r="B2912" s="565">
        <v>17500</v>
      </c>
      <c r="C2912" s="566">
        <v>8</v>
      </c>
      <c r="D2912" s="566">
        <v>0.31</v>
      </c>
      <c r="E2912" s="566">
        <v>3621</v>
      </c>
      <c r="F2912" s="566">
        <v>21121</v>
      </c>
      <c r="G2912" s="566">
        <v>409</v>
      </c>
      <c r="H2912" s="566">
        <v>2589</v>
      </c>
      <c r="I2912" s="558" t="str">
        <f t="shared" si="43"/>
        <v>GooD</v>
      </c>
    </row>
    <row r="2913" spans="1:9" ht="15.75" thickTop="1">
      <c r="A2913" s="567" t="s">
        <v>645</v>
      </c>
      <c r="B2913" s="567">
        <v>17500</v>
      </c>
      <c r="C2913" s="568">
        <v>10</v>
      </c>
      <c r="D2913" s="568">
        <v>0.31</v>
      </c>
      <c r="E2913" s="568">
        <v>4531</v>
      </c>
      <c r="F2913" s="568">
        <v>22031</v>
      </c>
      <c r="G2913" s="568">
        <v>511</v>
      </c>
      <c r="H2913" s="568">
        <v>2152</v>
      </c>
      <c r="I2913" s="559" t="str">
        <f t="shared" si="43"/>
        <v>GooD</v>
      </c>
    </row>
    <row r="2914" spans="1:9">
      <c r="A2914" s="563" t="s">
        <v>645</v>
      </c>
      <c r="B2914" s="563">
        <v>17500</v>
      </c>
      <c r="C2914" s="564">
        <v>12</v>
      </c>
      <c r="D2914" s="564">
        <v>0.31</v>
      </c>
      <c r="E2914" s="564">
        <v>5433</v>
      </c>
      <c r="F2914" s="564">
        <v>22933</v>
      </c>
      <c r="G2914" s="564">
        <v>613</v>
      </c>
      <c r="H2914" s="564">
        <v>1860</v>
      </c>
      <c r="I2914" s="557" t="str">
        <f t="shared" si="43"/>
        <v>GooD</v>
      </c>
    </row>
    <row r="2915" spans="1:9">
      <c r="A2915" s="563" t="s">
        <v>645</v>
      </c>
      <c r="B2915" s="563">
        <v>18000</v>
      </c>
      <c r="C2915" s="564">
        <v>4</v>
      </c>
      <c r="D2915" s="564">
        <v>0.31</v>
      </c>
      <c r="E2915" s="564">
        <v>1862</v>
      </c>
      <c r="F2915" s="564">
        <v>19862</v>
      </c>
      <c r="G2915" s="564">
        <v>210</v>
      </c>
      <c r="H2915" s="564">
        <v>4913</v>
      </c>
      <c r="I2915" s="557" t="str">
        <f t="shared" si="43"/>
        <v>GooD</v>
      </c>
    </row>
    <row r="2916" spans="1:9">
      <c r="A2916" s="563" t="s">
        <v>645</v>
      </c>
      <c r="B2916" s="563">
        <v>18000</v>
      </c>
      <c r="C2916" s="564">
        <v>6</v>
      </c>
      <c r="D2916" s="564">
        <v>0.31</v>
      </c>
      <c r="E2916" s="564">
        <v>2793</v>
      </c>
      <c r="F2916" s="564">
        <v>20793</v>
      </c>
      <c r="G2916" s="564">
        <v>315</v>
      </c>
      <c r="H2916" s="564">
        <v>3413</v>
      </c>
      <c r="I2916" s="557" t="str">
        <f t="shared" si="43"/>
        <v>GooD</v>
      </c>
    </row>
    <row r="2917" spans="1:9" ht="15.75" thickBot="1">
      <c r="A2917" s="565" t="s">
        <v>645</v>
      </c>
      <c r="B2917" s="565">
        <v>18000</v>
      </c>
      <c r="C2917" s="566">
        <v>8</v>
      </c>
      <c r="D2917" s="566">
        <v>0.31</v>
      </c>
      <c r="E2917" s="566">
        <v>3724</v>
      </c>
      <c r="F2917" s="566">
        <v>21724</v>
      </c>
      <c r="G2917" s="566">
        <v>420</v>
      </c>
      <c r="H2917" s="566">
        <v>2663</v>
      </c>
      <c r="I2917" s="558" t="str">
        <f t="shared" si="43"/>
        <v>GooD</v>
      </c>
    </row>
    <row r="2918" spans="1:9" ht="15.75" thickTop="1">
      <c r="A2918" s="567" t="s">
        <v>645</v>
      </c>
      <c r="B2918" s="567">
        <v>18000</v>
      </c>
      <c r="C2918" s="568">
        <v>10</v>
      </c>
      <c r="D2918" s="568">
        <v>0.31</v>
      </c>
      <c r="E2918" s="568">
        <v>4655</v>
      </c>
      <c r="F2918" s="568">
        <v>22655</v>
      </c>
      <c r="G2918" s="568">
        <v>525</v>
      </c>
      <c r="H2918" s="568">
        <v>2213</v>
      </c>
      <c r="I2918" s="559" t="str">
        <f t="shared" si="43"/>
        <v>GooD</v>
      </c>
    </row>
    <row r="2919" spans="1:9">
      <c r="A2919" s="563" t="s">
        <v>645</v>
      </c>
      <c r="B2919" s="563">
        <v>18000</v>
      </c>
      <c r="C2919" s="564">
        <v>12</v>
      </c>
      <c r="D2919" s="564">
        <v>0.31</v>
      </c>
      <c r="E2919" s="564">
        <v>5586</v>
      </c>
      <c r="F2919" s="564">
        <v>23586</v>
      </c>
      <c r="G2919" s="564">
        <v>630</v>
      </c>
      <c r="H2919" s="564">
        <v>1913</v>
      </c>
      <c r="I2919" s="557" t="str">
        <f t="shared" ref="I2919:I2982" si="44">IF(((H2919*C2919)+G2919)=F2919,"GooD","لالالالالالالا")</f>
        <v>GooD</v>
      </c>
    </row>
    <row r="2920" spans="1:9">
      <c r="A2920" s="563" t="s">
        <v>645</v>
      </c>
      <c r="B2920" s="563">
        <v>18500</v>
      </c>
      <c r="C2920" s="564">
        <v>4</v>
      </c>
      <c r="D2920" s="564">
        <v>0.31</v>
      </c>
      <c r="E2920" s="564">
        <v>1912</v>
      </c>
      <c r="F2920" s="564">
        <v>20412</v>
      </c>
      <c r="G2920" s="564">
        <v>216</v>
      </c>
      <c r="H2920" s="564">
        <v>5049</v>
      </c>
      <c r="I2920" s="557" t="str">
        <f t="shared" si="44"/>
        <v>GooD</v>
      </c>
    </row>
    <row r="2921" spans="1:9">
      <c r="A2921" s="563" t="s">
        <v>645</v>
      </c>
      <c r="B2921" s="563">
        <v>18500</v>
      </c>
      <c r="C2921" s="564">
        <v>6</v>
      </c>
      <c r="D2921" s="564">
        <v>0.31</v>
      </c>
      <c r="E2921" s="564">
        <v>2872</v>
      </c>
      <c r="F2921" s="564">
        <v>21372</v>
      </c>
      <c r="G2921" s="564">
        <v>324</v>
      </c>
      <c r="H2921" s="564">
        <v>3508</v>
      </c>
      <c r="I2921" s="557" t="str">
        <f t="shared" si="44"/>
        <v>GooD</v>
      </c>
    </row>
    <row r="2922" spans="1:9" ht="15.75" thickBot="1">
      <c r="A2922" s="565" t="s">
        <v>645</v>
      </c>
      <c r="B2922" s="565">
        <v>18500</v>
      </c>
      <c r="C2922" s="566">
        <v>8</v>
      </c>
      <c r="D2922" s="566">
        <v>0.31</v>
      </c>
      <c r="E2922" s="566">
        <v>3828</v>
      </c>
      <c r="F2922" s="566">
        <v>22328</v>
      </c>
      <c r="G2922" s="566">
        <v>432</v>
      </c>
      <c r="H2922" s="566">
        <v>2737</v>
      </c>
      <c r="I2922" s="558" t="str">
        <f t="shared" si="44"/>
        <v>GooD</v>
      </c>
    </row>
    <row r="2923" spans="1:9" ht="15.75" thickTop="1">
      <c r="A2923" s="567" t="s">
        <v>645</v>
      </c>
      <c r="B2923" s="567">
        <v>18500</v>
      </c>
      <c r="C2923" s="568">
        <v>10</v>
      </c>
      <c r="D2923" s="568">
        <v>0.31</v>
      </c>
      <c r="E2923" s="568">
        <v>4780</v>
      </c>
      <c r="F2923" s="568">
        <v>23280</v>
      </c>
      <c r="G2923" s="568">
        <v>540</v>
      </c>
      <c r="H2923" s="568">
        <v>2274</v>
      </c>
      <c r="I2923" s="559" t="str">
        <f t="shared" si="44"/>
        <v>GooD</v>
      </c>
    </row>
    <row r="2924" spans="1:9">
      <c r="A2924" s="563" t="s">
        <v>645</v>
      </c>
      <c r="B2924" s="563">
        <v>18500</v>
      </c>
      <c r="C2924" s="564">
        <v>12</v>
      </c>
      <c r="D2924" s="564">
        <v>0.31</v>
      </c>
      <c r="E2924" s="564">
        <v>5740</v>
      </c>
      <c r="F2924" s="564">
        <v>24240</v>
      </c>
      <c r="G2924" s="564">
        <v>648</v>
      </c>
      <c r="H2924" s="564">
        <v>1966</v>
      </c>
      <c r="I2924" s="557" t="str">
        <f t="shared" si="44"/>
        <v>GooD</v>
      </c>
    </row>
    <row r="2925" spans="1:9">
      <c r="A2925" s="563" t="s">
        <v>645</v>
      </c>
      <c r="B2925" s="563">
        <v>19000</v>
      </c>
      <c r="C2925" s="564">
        <v>4</v>
      </c>
      <c r="D2925" s="564">
        <v>0.31</v>
      </c>
      <c r="E2925" s="564">
        <v>1966</v>
      </c>
      <c r="F2925" s="564">
        <v>20966</v>
      </c>
      <c r="G2925" s="564">
        <v>222</v>
      </c>
      <c r="H2925" s="564">
        <v>5186</v>
      </c>
      <c r="I2925" s="557" t="str">
        <f t="shared" si="44"/>
        <v>GooD</v>
      </c>
    </row>
    <row r="2926" spans="1:9">
      <c r="A2926" s="563" t="s">
        <v>645</v>
      </c>
      <c r="B2926" s="563">
        <v>19000</v>
      </c>
      <c r="C2926" s="564">
        <v>6</v>
      </c>
      <c r="D2926" s="564">
        <v>0.31</v>
      </c>
      <c r="E2926" s="564">
        <v>2951</v>
      </c>
      <c r="F2926" s="564">
        <v>21951</v>
      </c>
      <c r="G2926" s="564">
        <v>333</v>
      </c>
      <c r="H2926" s="564">
        <v>3603</v>
      </c>
      <c r="I2926" s="557" t="str">
        <f t="shared" si="44"/>
        <v>GooD</v>
      </c>
    </row>
    <row r="2927" spans="1:9" ht="15.75" thickBot="1">
      <c r="A2927" s="565" t="s">
        <v>645</v>
      </c>
      <c r="B2927" s="565">
        <v>19000</v>
      </c>
      <c r="C2927" s="566">
        <v>8</v>
      </c>
      <c r="D2927" s="566">
        <v>0.31</v>
      </c>
      <c r="E2927" s="566">
        <v>3932</v>
      </c>
      <c r="F2927" s="566">
        <v>22932</v>
      </c>
      <c r="G2927" s="566">
        <v>444</v>
      </c>
      <c r="H2927" s="566">
        <v>2811</v>
      </c>
      <c r="I2927" s="558" t="str">
        <f t="shared" si="44"/>
        <v>GooD</v>
      </c>
    </row>
    <row r="2928" spans="1:9" ht="15.75" thickTop="1">
      <c r="A2928" s="567" t="s">
        <v>645</v>
      </c>
      <c r="B2928" s="567">
        <v>19000</v>
      </c>
      <c r="C2928" s="568">
        <v>10</v>
      </c>
      <c r="D2928" s="568">
        <v>0.31</v>
      </c>
      <c r="E2928" s="568">
        <v>4915</v>
      </c>
      <c r="F2928" s="568">
        <v>23915</v>
      </c>
      <c r="G2928" s="568">
        <v>555</v>
      </c>
      <c r="H2928" s="568">
        <v>2336</v>
      </c>
      <c r="I2928" s="559" t="str">
        <f t="shared" si="44"/>
        <v>GooD</v>
      </c>
    </row>
    <row r="2929" spans="1:9">
      <c r="A2929" s="563" t="s">
        <v>645</v>
      </c>
      <c r="B2929" s="563">
        <v>19000</v>
      </c>
      <c r="C2929" s="564">
        <v>12</v>
      </c>
      <c r="D2929" s="564">
        <v>0.31</v>
      </c>
      <c r="E2929" s="564">
        <v>5893</v>
      </c>
      <c r="F2929" s="564">
        <v>24893</v>
      </c>
      <c r="G2929" s="564">
        <v>665</v>
      </c>
      <c r="H2929" s="564">
        <v>2019</v>
      </c>
      <c r="I2929" s="557" t="str">
        <f t="shared" si="44"/>
        <v>GooD</v>
      </c>
    </row>
    <row r="2930" spans="1:9">
      <c r="A2930" s="563" t="s">
        <v>645</v>
      </c>
      <c r="B2930" s="563">
        <v>19500</v>
      </c>
      <c r="C2930" s="564">
        <v>4</v>
      </c>
      <c r="D2930" s="564">
        <v>0.31</v>
      </c>
      <c r="E2930" s="564">
        <v>2016</v>
      </c>
      <c r="F2930" s="564">
        <v>21516</v>
      </c>
      <c r="G2930" s="564">
        <v>228</v>
      </c>
      <c r="H2930" s="564">
        <v>5322</v>
      </c>
      <c r="I2930" s="557" t="str">
        <f t="shared" si="44"/>
        <v>GooD</v>
      </c>
    </row>
    <row r="2931" spans="1:9">
      <c r="A2931" s="563" t="s">
        <v>645</v>
      </c>
      <c r="B2931" s="563">
        <v>19500</v>
      </c>
      <c r="C2931" s="564">
        <v>6</v>
      </c>
      <c r="D2931" s="564">
        <v>0.31</v>
      </c>
      <c r="E2931" s="564">
        <v>3024</v>
      </c>
      <c r="F2931" s="564">
        <v>22524</v>
      </c>
      <c r="G2931" s="564">
        <v>342</v>
      </c>
      <c r="H2931" s="564">
        <v>3697</v>
      </c>
      <c r="I2931" s="557" t="str">
        <f t="shared" si="44"/>
        <v>GooD</v>
      </c>
    </row>
    <row r="2932" spans="1:9" ht="15.75" thickBot="1">
      <c r="A2932" s="565" t="s">
        <v>645</v>
      </c>
      <c r="B2932" s="565">
        <v>19500</v>
      </c>
      <c r="C2932" s="566">
        <v>8</v>
      </c>
      <c r="D2932" s="566">
        <v>0.31</v>
      </c>
      <c r="E2932" s="566">
        <v>4035</v>
      </c>
      <c r="F2932" s="566">
        <v>23535</v>
      </c>
      <c r="G2932" s="566">
        <v>455</v>
      </c>
      <c r="H2932" s="566">
        <v>2885</v>
      </c>
      <c r="I2932" s="558" t="str">
        <f t="shared" si="44"/>
        <v>GooD</v>
      </c>
    </row>
    <row r="2933" spans="1:9" ht="15.75" thickTop="1">
      <c r="A2933" s="567" t="s">
        <v>645</v>
      </c>
      <c r="B2933" s="567">
        <v>19500</v>
      </c>
      <c r="C2933" s="568">
        <v>10</v>
      </c>
      <c r="D2933" s="568">
        <v>0.31</v>
      </c>
      <c r="E2933" s="568">
        <v>5039</v>
      </c>
      <c r="F2933" s="568">
        <v>24539</v>
      </c>
      <c r="G2933" s="568">
        <v>569</v>
      </c>
      <c r="H2933" s="568">
        <v>2397</v>
      </c>
      <c r="I2933" s="559" t="str">
        <f t="shared" si="44"/>
        <v>GooD</v>
      </c>
    </row>
    <row r="2934" spans="1:9">
      <c r="A2934" s="563" t="s">
        <v>645</v>
      </c>
      <c r="B2934" s="563">
        <v>19500</v>
      </c>
      <c r="C2934" s="564">
        <v>12</v>
      </c>
      <c r="D2934" s="564">
        <v>0.31</v>
      </c>
      <c r="E2934" s="564">
        <v>6047</v>
      </c>
      <c r="F2934" s="564">
        <v>25547</v>
      </c>
      <c r="G2934" s="564">
        <v>683</v>
      </c>
      <c r="H2934" s="564">
        <v>2072</v>
      </c>
      <c r="I2934" s="557" t="str">
        <f t="shared" si="44"/>
        <v>GooD</v>
      </c>
    </row>
    <row r="2935" spans="1:9">
      <c r="A2935" s="563" t="s">
        <v>645</v>
      </c>
      <c r="B2935" s="563">
        <v>20000</v>
      </c>
      <c r="C2935" s="564">
        <v>4</v>
      </c>
      <c r="D2935" s="564">
        <v>0.31</v>
      </c>
      <c r="E2935" s="564">
        <v>2070</v>
      </c>
      <c r="F2935" s="564">
        <v>22070</v>
      </c>
      <c r="G2935" s="564">
        <v>234</v>
      </c>
      <c r="H2935" s="564">
        <v>5459</v>
      </c>
      <c r="I2935" s="557" t="str">
        <f t="shared" si="44"/>
        <v>GooD</v>
      </c>
    </row>
    <row r="2936" spans="1:9">
      <c r="A2936" s="563" t="s">
        <v>645</v>
      </c>
      <c r="B2936" s="563">
        <v>20000</v>
      </c>
      <c r="C2936" s="564">
        <v>6</v>
      </c>
      <c r="D2936" s="564">
        <v>0.31</v>
      </c>
      <c r="E2936" s="564">
        <v>3102</v>
      </c>
      <c r="F2936" s="564">
        <v>23102</v>
      </c>
      <c r="G2936" s="564">
        <v>350</v>
      </c>
      <c r="H2936" s="564">
        <v>3792</v>
      </c>
      <c r="I2936" s="557" t="str">
        <f t="shared" si="44"/>
        <v>GooD</v>
      </c>
    </row>
    <row r="2937" spans="1:9" ht="15.75" thickBot="1">
      <c r="A2937" s="565" t="s">
        <v>645</v>
      </c>
      <c r="B2937" s="565">
        <v>20000</v>
      </c>
      <c r="C2937" s="566">
        <v>8</v>
      </c>
      <c r="D2937" s="566">
        <v>0.31</v>
      </c>
      <c r="E2937" s="566">
        <v>4139</v>
      </c>
      <c r="F2937" s="566">
        <v>24139</v>
      </c>
      <c r="G2937" s="566">
        <v>467</v>
      </c>
      <c r="H2937" s="566">
        <v>2959</v>
      </c>
      <c r="I2937" s="558" t="str">
        <f t="shared" si="44"/>
        <v>GooD</v>
      </c>
    </row>
    <row r="2938" spans="1:9" ht="15.75" thickTop="1">
      <c r="A2938" s="567" t="s">
        <v>645</v>
      </c>
      <c r="B2938" s="567">
        <v>20000</v>
      </c>
      <c r="C2938" s="568">
        <v>10</v>
      </c>
      <c r="D2938" s="568">
        <v>0.31</v>
      </c>
      <c r="E2938" s="568">
        <v>5174</v>
      </c>
      <c r="F2938" s="568">
        <v>25174</v>
      </c>
      <c r="G2938" s="568">
        <v>584</v>
      </c>
      <c r="H2938" s="568">
        <v>2459</v>
      </c>
      <c r="I2938" s="559" t="str">
        <f t="shared" si="44"/>
        <v>GooD</v>
      </c>
    </row>
    <row r="2939" spans="1:9">
      <c r="A2939" s="563" t="s">
        <v>645</v>
      </c>
      <c r="B2939" s="563">
        <v>20000</v>
      </c>
      <c r="C2939" s="564">
        <v>12</v>
      </c>
      <c r="D2939" s="564">
        <v>0.31</v>
      </c>
      <c r="E2939" s="564">
        <v>6212</v>
      </c>
      <c r="F2939" s="564">
        <v>26212</v>
      </c>
      <c r="G2939" s="564">
        <v>700</v>
      </c>
      <c r="H2939" s="564">
        <v>2126</v>
      </c>
      <c r="I2939" s="557" t="str">
        <f t="shared" si="44"/>
        <v>GooD</v>
      </c>
    </row>
    <row r="2940" spans="1:9">
      <c r="A2940" s="563" t="s">
        <v>645</v>
      </c>
      <c r="B2940" s="563">
        <v>20000</v>
      </c>
      <c r="C2940" s="564">
        <v>14</v>
      </c>
      <c r="D2940" s="564">
        <v>0.31</v>
      </c>
      <c r="E2940" s="564">
        <v>7235</v>
      </c>
      <c r="F2940" s="564">
        <v>27235</v>
      </c>
      <c r="G2940" s="564">
        <v>817</v>
      </c>
      <c r="H2940" s="564">
        <v>1887</v>
      </c>
      <c r="I2940" s="557" t="str">
        <f t="shared" si="44"/>
        <v>GooD</v>
      </c>
    </row>
    <row r="2941" spans="1:9">
      <c r="A2941" s="563" t="s">
        <v>645</v>
      </c>
      <c r="B2941" s="563">
        <v>20000</v>
      </c>
      <c r="C2941" s="564">
        <v>16</v>
      </c>
      <c r="D2941" s="564">
        <v>0.31</v>
      </c>
      <c r="E2941" s="564">
        <v>8278</v>
      </c>
      <c r="F2941" s="564">
        <v>28278</v>
      </c>
      <c r="G2941" s="564">
        <v>934</v>
      </c>
      <c r="H2941" s="564">
        <v>1709</v>
      </c>
      <c r="I2941" s="557" t="str">
        <f t="shared" si="44"/>
        <v>GooD</v>
      </c>
    </row>
    <row r="2942" spans="1:9" ht="15.75" thickBot="1">
      <c r="A2942" s="565" t="s">
        <v>645</v>
      </c>
      <c r="B2942" s="565">
        <v>20000</v>
      </c>
      <c r="C2942" s="566">
        <v>18</v>
      </c>
      <c r="D2942" s="566">
        <v>0.31</v>
      </c>
      <c r="E2942" s="566">
        <v>9310</v>
      </c>
      <c r="F2942" s="566">
        <v>29310</v>
      </c>
      <c r="G2942" s="566">
        <v>1050</v>
      </c>
      <c r="H2942" s="566">
        <v>1570</v>
      </c>
      <c r="I2942" s="558" t="str">
        <f t="shared" si="44"/>
        <v>GooD</v>
      </c>
    </row>
    <row r="2943" spans="1:9" ht="15.75" thickTop="1">
      <c r="A2943" s="567" t="s">
        <v>645</v>
      </c>
      <c r="B2943" s="567">
        <v>20000</v>
      </c>
      <c r="C2943" s="568">
        <v>20</v>
      </c>
      <c r="D2943" s="568">
        <v>0.31</v>
      </c>
      <c r="E2943" s="568">
        <v>10347</v>
      </c>
      <c r="F2943" s="568">
        <v>30347</v>
      </c>
      <c r="G2943" s="568">
        <v>1167</v>
      </c>
      <c r="H2943" s="568">
        <v>1459</v>
      </c>
      <c r="I2943" s="559" t="str">
        <f t="shared" si="44"/>
        <v>GooD</v>
      </c>
    </row>
    <row r="2944" spans="1:9">
      <c r="A2944" s="563" t="s">
        <v>645</v>
      </c>
      <c r="B2944" s="563">
        <v>20000</v>
      </c>
      <c r="C2944" s="564">
        <v>22</v>
      </c>
      <c r="D2944" s="564">
        <v>0.31</v>
      </c>
      <c r="E2944" s="564">
        <v>11380</v>
      </c>
      <c r="F2944" s="564">
        <v>31380</v>
      </c>
      <c r="G2944" s="564">
        <v>1284</v>
      </c>
      <c r="H2944" s="564">
        <v>1368</v>
      </c>
      <c r="I2944" s="557" t="str">
        <f t="shared" si="44"/>
        <v>GooD</v>
      </c>
    </row>
    <row r="2945" spans="1:9">
      <c r="A2945" s="563" t="s">
        <v>645</v>
      </c>
      <c r="B2945" s="563">
        <v>20000</v>
      </c>
      <c r="C2945" s="564">
        <v>24</v>
      </c>
      <c r="D2945" s="564">
        <v>0.31</v>
      </c>
      <c r="E2945" s="564">
        <v>12408</v>
      </c>
      <c r="F2945" s="564">
        <v>32408</v>
      </c>
      <c r="G2945" s="564">
        <v>1400</v>
      </c>
      <c r="H2945" s="564">
        <v>1292</v>
      </c>
      <c r="I2945" s="557" t="str">
        <f t="shared" si="44"/>
        <v>GooD</v>
      </c>
    </row>
    <row r="2946" spans="1:9">
      <c r="A2946" s="563" t="s">
        <v>645</v>
      </c>
      <c r="B2946" s="563">
        <v>21000</v>
      </c>
      <c r="C2946" s="564">
        <v>4</v>
      </c>
      <c r="D2946" s="564">
        <v>0.31</v>
      </c>
      <c r="E2946" s="564">
        <v>2173</v>
      </c>
      <c r="F2946" s="564">
        <v>23173</v>
      </c>
      <c r="G2946" s="564">
        <v>245</v>
      </c>
      <c r="H2946" s="564">
        <v>5732</v>
      </c>
      <c r="I2946" s="557" t="str">
        <f t="shared" si="44"/>
        <v>GooD</v>
      </c>
    </row>
    <row r="2947" spans="1:9" ht="15.75" thickBot="1">
      <c r="A2947" s="565" t="s">
        <v>645</v>
      </c>
      <c r="B2947" s="565">
        <v>21000</v>
      </c>
      <c r="C2947" s="566">
        <v>6</v>
      </c>
      <c r="D2947" s="566">
        <v>0.31</v>
      </c>
      <c r="E2947" s="566">
        <v>3260</v>
      </c>
      <c r="F2947" s="566">
        <v>24260</v>
      </c>
      <c r="G2947" s="566">
        <v>368</v>
      </c>
      <c r="H2947" s="566">
        <v>3982</v>
      </c>
      <c r="I2947" s="558" t="str">
        <f t="shared" si="44"/>
        <v>GooD</v>
      </c>
    </row>
    <row r="2948" spans="1:9" ht="15.75" thickTop="1">
      <c r="A2948" s="567" t="s">
        <v>645</v>
      </c>
      <c r="B2948" s="567">
        <v>21000</v>
      </c>
      <c r="C2948" s="568">
        <v>8</v>
      </c>
      <c r="D2948" s="568">
        <v>0.31</v>
      </c>
      <c r="E2948" s="568">
        <v>4346</v>
      </c>
      <c r="F2948" s="568">
        <v>25346</v>
      </c>
      <c r="G2948" s="568">
        <v>490</v>
      </c>
      <c r="H2948" s="568">
        <v>3107</v>
      </c>
      <c r="I2948" s="559" t="str">
        <f t="shared" si="44"/>
        <v>GooD</v>
      </c>
    </row>
    <row r="2949" spans="1:9">
      <c r="A2949" s="563" t="s">
        <v>645</v>
      </c>
      <c r="B2949" s="563">
        <v>21000</v>
      </c>
      <c r="C2949" s="564">
        <v>10</v>
      </c>
      <c r="D2949" s="564">
        <v>0.31</v>
      </c>
      <c r="E2949" s="564">
        <v>5433</v>
      </c>
      <c r="F2949" s="564">
        <v>26433</v>
      </c>
      <c r="G2949" s="564">
        <v>613</v>
      </c>
      <c r="H2949" s="564">
        <v>2582</v>
      </c>
      <c r="I2949" s="557" t="str">
        <f t="shared" si="44"/>
        <v>GooD</v>
      </c>
    </row>
    <row r="2950" spans="1:9">
      <c r="A2950" s="563" t="s">
        <v>645</v>
      </c>
      <c r="B2950" s="563">
        <v>21000</v>
      </c>
      <c r="C2950" s="564">
        <v>12</v>
      </c>
      <c r="D2950" s="564">
        <v>0.31</v>
      </c>
      <c r="E2950" s="564">
        <v>6519</v>
      </c>
      <c r="F2950" s="564">
        <v>27519</v>
      </c>
      <c r="G2950" s="564">
        <v>735</v>
      </c>
      <c r="H2950" s="564">
        <v>2232</v>
      </c>
      <c r="I2950" s="557" t="str">
        <f t="shared" si="44"/>
        <v>GooD</v>
      </c>
    </row>
    <row r="2951" spans="1:9">
      <c r="A2951" s="563" t="s">
        <v>645</v>
      </c>
      <c r="B2951" s="563">
        <v>21000</v>
      </c>
      <c r="C2951" s="564">
        <v>14</v>
      </c>
      <c r="D2951" s="564">
        <v>0.31</v>
      </c>
      <c r="E2951" s="564">
        <v>7606</v>
      </c>
      <c r="F2951" s="564">
        <v>28606</v>
      </c>
      <c r="G2951" s="564">
        <v>858</v>
      </c>
      <c r="H2951" s="564">
        <v>1982</v>
      </c>
      <c r="I2951" s="557" t="str">
        <f t="shared" si="44"/>
        <v>GooD</v>
      </c>
    </row>
    <row r="2952" spans="1:9" ht="15.75" thickBot="1">
      <c r="A2952" s="565" t="s">
        <v>645</v>
      </c>
      <c r="B2952" s="565">
        <v>21000</v>
      </c>
      <c r="C2952" s="566">
        <v>16</v>
      </c>
      <c r="D2952" s="566">
        <v>0.31</v>
      </c>
      <c r="E2952" s="566">
        <v>8684</v>
      </c>
      <c r="F2952" s="566">
        <v>29684</v>
      </c>
      <c r="G2952" s="566">
        <v>980</v>
      </c>
      <c r="H2952" s="566">
        <v>1794</v>
      </c>
      <c r="I2952" s="558" t="str">
        <f t="shared" si="44"/>
        <v>GooD</v>
      </c>
    </row>
    <row r="2953" spans="1:9" ht="15.75" thickTop="1">
      <c r="A2953" s="567" t="s">
        <v>645</v>
      </c>
      <c r="B2953" s="567">
        <v>21000</v>
      </c>
      <c r="C2953" s="568">
        <v>18</v>
      </c>
      <c r="D2953" s="568">
        <v>0.31</v>
      </c>
      <c r="E2953" s="568">
        <v>9767</v>
      </c>
      <c r="F2953" s="568">
        <v>30767</v>
      </c>
      <c r="G2953" s="568">
        <v>1103</v>
      </c>
      <c r="H2953" s="568">
        <v>1648</v>
      </c>
      <c r="I2953" s="559" t="str">
        <f t="shared" si="44"/>
        <v>GooD</v>
      </c>
    </row>
    <row r="2954" spans="1:9">
      <c r="A2954" s="563" t="s">
        <v>645</v>
      </c>
      <c r="B2954" s="563">
        <v>21000</v>
      </c>
      <c r="C2954" s="564">
        <v>20</v>
      </c>
      <c r="D2954" s="564">
        <v>0.31</v>
      </c>
      <c r="E2954" s="564">
        <v>10865</v>
      </c>
      <c r="F2954" s="564">
        <v>31865</v>
      </c>
      <c r="G2954" s="564">
        <v>1225</v>
      </c>
      <c r="H2954" s="564">
        <v>1532</v>
      </c>
      <c r="I2954" s="557" t="str">
        <f t="shared" si="44"/>
        <v>GooD</v>
      </c>
    </row>
    <row r="2955" spans="1:9">
      <c r="A2955" s="563" t="s">
        <v>645</v>
      </c>
      <c r="B2955" s="563">
        <v>21000</v>
      </c>
      <c r="C2955" s="564">
        <v>22</v>
      </c>
      <c r="D2955" s="564">
        <v>0.31</v>
      </c>
      <c r="E2955" s="564">
        <v>11940</v>
      </c>
      <c r="F2955" s="564">
        <v>32940</v>
      </c>
      <c r="G2955" s="564">
        <v>1348</v>
      </c>
      <c r="H2955" s="564">
        <v>1436</v>
      </c>
      <c r="I2955" s="557" t="str">
        <f t="shared" si="44"/>
        <v>GooD</v>
      </c>
    </row>
    <row r="2956" spans="1:9">
      <c r="A2956" s="563" t="s">
        <v>645</v>
      </c>
      <c r="B2956" s="563">
        <v>21000</v>
      </c>
      <c r="C2956" s="564">
        <v>24</v>
      </c>
      <c r="D2956" s="564">
        <v>0.31</v>
      </c>
      <c r="E2956" s="564">
        <v>13038</v>
      </c>
      <c r="F2956" s="564">
        <v>34038</v>
      </c>
      <c r="G2956" s="564">
        <v>1470</v>
      </c>
      <c r="H2956" s="564">
        <v>1357</v>
      </c>
      <c r="I2956" s="557" t="str">
        <f t="shared" si="44"/>
        <v>GooD</v>
      </c>
    </row>
    <row r="2957" spans="1:9" ht="15.75" thickBot="1">
      <c r="A2957" s="565" t="s">
        <v>645</v>
      </c>
      <c r="B2957" s="565">
        <v>22000</v>
      </c>
      <c r="C2957" s="566">
        <v>4</v>
      </c>
      <c r="D2957" s="566">
        <v>0.31</v>
      </c>
      <c r="E2957" s="566">
        <v>2277</v>
      </c>
      <c r="F2957" s="566">
        <v>24277</v>
      </c>
      <c r="G2957" s="566">
        <v>257</v>
      </c>
      <c r="H2957" s="566">
        <v>6005</v>
      </c>
      <c r="I2957" s="558" t="str">
        <f t="shared" si="44"/>
        <v>GooD</v>
      </c>
    </row>
    <row r="2958" spans="1:9" ht="15.75" thickTop="1">
      <c r="A2958" s="567" t="s">
        <v>645</v>
      </c>
      <c r="B2958" s="567">
        <v>22000</v>
      </c>
      <c r="C2958" s="568">
        <v>6</v>
      </c>
      <c r="D2958" s="568">
        <v>0.31</v>
      </c>
      <c r="E2958" s="568">
        <v>3411</v>
      </c>
      <c r="F2958" s="568">
        <v>25411</v>
      </c>
      <c r="G2958" s="568">
        <v>385</v>
      </c>
      <c r="H2958" s="568">
        <v>4171</v>
      </c>
      <c r="I2958" s="559" t="str">
        <f t="shared" si="44"/>
        <v>GooD</v>
      </c>
    </row>
    <row r="2959" spans="1:9">
      <c r="A2959" s="563" t="s">
        <v>645</v>
      </c>
      <c r="B2959" s="563">
        <v>22000</v>
      </c>
      <c r="C2959" s="564">
        <v>8</v>
      </c>
      <c r="D2959" s="564">
        <v>0.31</v>
      </c>
      <c r="E2959" s="564">
        <v>4554</v>
      </c>
      <c r="F2959" s="564">
        <v>26554</v>
      </c>
      <c r="G2959" s="564">
        <v>514</v>
      </c>
      <c r="H2959" s="564">
        <v>3255</v>
      </c>
      <c r="I2959" s="557" t="str">
        <f t="shared" si="44"/>
        <v>GooD</v>
      </c>
    </row>
    <row r="2960" spans="1:9">
      <c r="A2960" s="563" t="s">
        <v>645</v>
      </c>
      <c r="B2960" s="563">
        <v>22000</v>
      </c>
      <c r="C2960" s="564">
        <v>10</v>
      </c>
      <c r="D2960" s="564">
        <v>0.31</v>
      </c>
      <c r="E2960" s="564">
        <v>5692</v>
      </c>
      <c r="F2960" s="564">
        <v>27692</v>
      </c>
      <c r="G2960" s="564">
        <v>642</v>
      </c>
      <c r="H2960" s="564">
        <v>2705</v>
      </c>
      <c r="I2960" s="557" t="str">
        <f t="shared" si="44"/>
        <v>GooD</v>
      </c>
    </row>
    <row r="2961" spans="1:9">
      <c r="A2961" s="563" t="s">
        <v>645</v>
      </c>
      <c r="B2961" s="563">
        <v>22000</v>
      </c>
      <c r="C2961" s="564">
        <v>12</v>
      </c>
      <c r="D2961" s="564">
        <v>0.31</v>
      </c>
      <c r="E2961" s="564">
        <v>6826</v>
      </c>
      <c r="F2961" s="564">
        <v>28826</v>
      </c>
      <c r="G2961" s="564">
        <v>770</v>
      </c>
      <c r="H2961" s="564">
        <v>2338</v>
      </c>
      <c r="I2961" s="557" t="str">
        <f t="shared" si="44"/>
        <v>GooD</v>
      </c>
    </row>
    <row r="2962" spans="1:9" ht="15.75" thickBot="1">
      <c r="A2962" s="565" t="s">
        <v>645</v>
      </c>
      <c r="B2962" s="565">
        <v>22000</v>
      </c>
      <c r="C2962" s="566">
        <v>14</v>
      </c>
      <c r="D2962" s="566">
        <v>0.31</v>
      </c>
      <c r="E2962" s="566">
        <v>7963</v>
      </c>
      <c r="F2962" s="566">
        <v>29963</v>
      </c>
      <c r="G2962" s="566">
        <v>899</v>
      </c>
      <c r="H2962" s="566">
        <v>2076</v>
      </c>
      <c r="I2962" s="558" t="str">
        <f t="shared" si="44"/>
        <v>GooD</v>
      </c>
    </row>
    <row r="2963" spans="1:9" ht="15.75" thickTop="1">
      <c r="A2963" s="567" t="s">
        <v>645</v>
      </c>
      <c r="B2963" s="567">
        <v>22000</v>
      </c>
      <c r="C2963" s="568">
        <v>16</v>
      </c>
      <c r="D2963" s="568">
        <v>0.31</v>
      </c>
      <c r="E2963" s="568">
        <v>9107</v>
      </c>
      <c r="F2963" s="568">
        <v>31107</v>
      </c>
      <c r="G2963" s="568">
        <v>1027</v>
      </c>
      <c r="H2963" s="568">
        <v>1880</v>
      </c>
      <c r="I2963" s="559" t="str">
        <f t="shared" si="44"/>
        <v>GooD</v>
      </c>
    </row>
    <row r="2964" spans="1:9">
      <c r="A2964" s="563" t="s">
        <v>645</v>
      </c>
      <c r="B2964" s="563">
        <v>22000</v>
      </c>
      <c r="C2964" s="564">
        <v>18</v>
      </c>
      <c r="D2964" s="564">
        <v>0.31</v>
      </c>
      <c r="E2964" s="564">
        <v>10241</v>
      </c>
      <c r="F2964" s="564">
        <v>32241</v>
      </c>
      <c r="G2964" s="564">
        <v>1155</v>
      </c>
      <c r="H2964" s="564">
        <v>1727</v>
      </c>
      <c r="I2964" s="557" t="str">
        <f t="shared" si="44"/>
        <v>GooD</v>
      </c>
    </row>
    <row r="2965" spans="1:9">
      <c r="A2965" s="563" t="s">
        <v>645</v>
      </c>
      <c r="B2965" s="563">
        <v>22000</v>
      </c>
      <c r="C2965" s="564">
        <v>20</v>
      </c>
      <c r="D2965" s="564">
        <v>0.31</v>
      </c>
      <c r="E2965" s="564">
        <v>11384</v>
      </c>
      <c r="F2965" s="564">
        <v>33384</v>
      </c>
      <c r="G2965" s="564">
        <v>1284</v>
      </c>
      <c r="H2965" s="564">
        <v>1605</v>
      </c>
      <c r="I2965" s="557" t="str">
        <f t="shared" si="44"/>
        <v>GooD</v>
      </c>
    </row>
    <row r="2966" spans="1:9">
      <c r="A2966" s="563" t="s">
        <v>645</v>
      </c>
      <c r="B2966" s="563">
        <v>22000</v>
      </c>
      <c r="C2966" s="564">
        <v>22</v>
      </c>
      <c r="D2966" s="564">
        <v>0.31</v>
      </c>
      <c r="E2966" s="564">
        <v>12522</v>
      </c>
      <c r="F2966" s="564">
        <v>34522</v>
      </c>
      <c r="G2966" s="564">
        <v>1412</v>
      </c>
      <c r="H2966" s="564">
        <v>1505</v>
      </c>
      <c r="I2966" s="557" t="str">
        <f t="shared" si="44"/>
        <v>GooD</v>
      </c>
    </row>
    <row r="2967" spans="1:9">
      <c r="A2967" s="563" t="s">
        <v>645</v>
      </c>
      <c r="B2967" s="563">
        <v>22000</v>
      </c>
      <c r="C2967" s="564">
        <v>24</v>
      </c>
      <c r="D2967" s="564">
        <v>0.31</v>
      </c>
      <c r="E2967" s="564">
        <v>13644</v>
      </c>
      <c r="F2967" s="564">
        <v>35644</v>
      </c>
      <c r="G2967" s="564">
        <v>1540</v>
      </c>
      <c r="H2967" s="564">
        <v>1421</v>
      </c>
      <c r="I2967" s="557" t="str">
        <f t="shared" si="44"/>
        <v>GooD</v>
      </c>
    </row>
    <row r="2968" spans="1:9">
      <c r="A2968" s="563" t="s">
        <v>645</v>
      </c>
      <c r="B2968" s="563">
        <v>23000</v>
      </c>
      <c r="C2968" s="564">
        <v>4</v>
      </c>
      <c r="D2968" s="564">
        <v>0.31</v>
      </c>
      <c r="E2968" s="564">
        <v>2381</v>
      </c>
      <c r="F2968" s="564">
        <v>25381</v>
      </c>
      <c r="G2968" s="564">
        <v>269</v>
      </c>
      <c r="H2968" s="564">
        <v>6278</v>
      </c>
      <c r="I2968" s="557" t="str">
        <f t="shared" si="44"/>
        <v>GooD</v>
      </c>
    </row>
    <row r="2969" spans="1:9" ht="15.75" thickBot="1">
      <c r="A2969" s="565" t="s">
        <v>645</v>
      </c>
      <c r="B2969" s="565">
        <v>23000</v>
      </c>
      <c r="C2969" s="566">
        <v>6</v>
      </c>
      <c r="D2969" s="566">
        <v>0.31</v>
      </c>
      <c r="E2969" s="566">
        <v>3569</v>
      </c>
      <c r="F2969" s="566">
        <v>26569</v>
      </c>
      <c r="G2969" s="566">
        <v>403</v>
      </c>
      <c r="H2969" s="566">
        <v>4361</v>
      </c>
      <c r="I2969" s="558" t="str">
        <f t="shared" si="44"/>
        <v>GooD</v>
      </c>
    </row>
    <row r="2970" spans="1:9" ht="15.75" thickTop="1">
      <c r="A2970" s="567" t="s">
        <v>645</v>
      </c>
      <c r="B2970" s="567">
        <v>23000</v>
      </c>
      <c r="C2970" s="568">
        <v>8</v>
      </c>
      <c r="D2970" s="568">
        <v>0.31</v>
      </c>
      <c r="E2970" s="568">
        <v>4761</v>
      </c>
      <c r="F2970" s="568">
        <v>27761</v>
      </c>
      <c r="G2970" s="568">
        <v>537</v>
      </c>
      <c r="H2970" s="568">
        <v>3403</v>
      </c>
      <c r="I2970" s="559" t="str">
        <f t="shared" si="44"/>
        <v>GooD</v>
      </c>
    </row>
    <row r="2971" spans="1:9">
      <c r="A2971" s="563" t="s">
        <v>645</v>
      </c>
      <c r="B2971" s="563">
        <v>23000</v>
      </c>
      <c r="C2971" s="564">
        <v>10</v>
      </c>
      <c r="D2971" s="564">
        <v>0.31</v>
      </c>
      <c r="E2971" s="564">
        <v>5951</v>
      </c>
      <c r="F2971" s="564">
        <v>28951</v>
      </c>
      <c r="G2971" s="564">
        <v>671</v>
      </c>
      <c r="H2971" s="564">
        <v>2828</v>
      </c>
      <c r="I2971" s="557" t="str">
        <f t="shared" si="44"/>
        <v>GooD</v>
      </c>
    </row>
    <row r="2972" spans="1:9" ht="15.75" thickBot="1">
      <c r="A2972" s="565" t="s">
        <v>645</v>
      </c>
      <c r="B2972" s="565">
        <v>23000</v>
      </c>
      <c r="C2972" s="566">
        <v>12</v>
      </c>
      <c r="D2972" s="566">
        <v>0.31</v>
      </c>
      <c r="E2972" s="566">
        <v>7133</v>
      </c>
      <c r="F2972" s="566">
        <v>30133</v>
      </c>
      <c r="G2972" s="566">
        <v>805</v>
      </c>
      <c r="H2972" s="566">
        <v>2444</v>
      </c>
      <c r="I2972" s="558" t="str">
        <f t="shared" si="44"/>
        <v>GooD</v>
      </c>
    </row>
    <row r="2973" spans="1:9" ht="15.75" thickTop="1">
      <c r="A2973" s="567" t="s">
        <v>645</v>
      </c>
      <c r="B2973" s="567">
        <v>23000</v>
      </c>
      <c r="C2973" s="568">
        <v>14</v>
      </c>
      <c r="D2973" s="568">
        <v>0.31</v>
      </c>
      <c r="E2973" s="568">
        <v>8320</v>
      </c>
      <c r="F2973" s="568">
        <v>31320</v>
      </c>
      <c r="G2973" s="568">
        <v>940</v>
      </c>
      <c r="H2973" s="568">
        <v>2170</v>
      </c>
      <c r="I2973" s="559" t="str">
        <f t="shared" si="44"/>
        <v>GooD</v>
      </c>
    </row>
    <row r="2974" spans="1:9">
      <c r="A2974" s="563" t="s">
        <v>645</v>
      </c>
      <c r="B2974" s="563">
        <v>23000</v>
      </c>
      <c r="C2974" s="564">
        <v>16</v>
      </c>
      <c r="D2974" s="564">
        <v>0.31</v>
      </c>
      <c r="E2974" s="564">
        <v>9514</v>
      </c>
      <c r="F2974" s="564">
        <v>32514</v>
      </c>
      <c r="G2974" s="564">
        <v>1074</v>
      </c>
      <c r="H2974" s="564">
        <v>1965</v>
      </c>
      <c r="I2974" s="557" t="str">
        <f t="shared" si="44"/>
        <v>GooD</v>
      </c>
    </row>
    <row r="2975" spans="1:9" ht="15.75" thickBot="1">
      <c r="A2975" s="565" t="s">
        <v>645</v>
      </c>
      <c r="B2975" s="565">
        <v>23000</v>
      </c>
      <c r="C2975" s="566">
        <v>18</v>
      </c>
      <c r="D2975" s="566">
        <v>0.31</v>
      </c>
      <c r="E2975" s="566">
        <v>10698</v>
      </c>
      <c r="F2975" s="566">
        <v>33698</v>
      </c>
      <c r="G2975" s="566">
        <v>1208</v>
      </c>
      <c r="H2975" s="566">
        <v>1805</v>
      </c>
      <c r="I2975" s="558" t="str">
        <f t="shared" si="44"/>
        <v>GooD</v>
      </c>
    </row>
    <row r="2976" spans="1:9" ht="15.75" thickTop="1">
      <c r="A2976" s="567" t="s">
        <v>645</v>
      </c>
      <c r="B2976" s="567">
        <v>23000</v>
      </c>
      <c r="C2976" s="568">
        <v>20</v>
      </c>
      <c r="D2976" s="568">
        <v>0.31</v>
      </c>
      <c r="E2976" s="568">
        <v>11902</v>
      </c>
      <c r="F2976" s="568">
        <v>34902</v>
      </c>
      <c r="G2976" s="568">
        <v>1342</v>
      </c>
      <c r="H2976" s="568">
        <v>1678</v>
      </c>
      <c r="I2976" s="559" t="str">
        <f t="shared" si="44"/>
        <v>GooD</v>
      </c>
    </row>
    <row r="2977" spans="1:9">
      <c r="A2977" s="563" t="s">
        <v>645</v>
      </c>
      <c r="B2977" s="563">
        <v>23000</v>
      </c>
      <c r="C2977" s="564">
        <v>22</v>
      </c>
      <c r="D2977" s="564">
        <v>0.31</v>
      </c>
      <c r="E2977" s="564">
        <v>13082</v>
      </c>
      <c r="F2977" s="564">
        <v>36082</v>
      </c>
      <c r="G2977" s="564">
        <v>1476</v>
      </c>
      <c r="H2977" s="564">
        <v>1573</v>
      </c>
      <c r="I2977" s="557" t="str">
        <f t="shared" si="44"/>
        <v>GooD</v>
      </c>
    </row>
    <row r="2978" spans="1:9" ht="15.75" thickBot="1">
      <c r="A2978" s="565" t="s">
        <v>645</v>
      </c>
      <c r="B2978" s="565">
        <v>23000</v>
      </c>
      <c r="C2978" s="566">
        <v>24</v>
      </c>
      <c r="D2978" s="566">
        <v>0.31</v>
      </c>
      <c r="E2978" s="566">
        <v>14274</v>
      </c>
      <c r="F2978" s="566">
        <v>37274</v>
      </c>
      <c r="G2978" s="566">
        <v>1610</v>
      </c>
      <c r="H2978" s="566">
        <v>1486</v>
      </c>
      <c r="I2978" s="558" t="str">
        <f t="shared" si="44"/>
        <v>GooD</v>
      </c>
    </row>
    <row r="2979" spans="1:9" ht="15.75" thickTop="1">
      <c r="A2979" s="567" t="s">
        <v>645</v>
      </c>
      <c r="B2979" s="567">
        <v>24000</v>
      </c>
      <c r="C2979" s="568">
        <v>4</v>
      </c>
      <c r="D2979" s="568">
        <v>0.31</v>
      </c>
      <c r="E2979" s="568">
        <v>2484</v>
      </c>
      <c r="F2979" s="568">
        <v>26484</v>
      </c>
      <c r="G2979" s="568">
        <v>280</v>
      </c>
      <c r="H2979" s="568">
        <v>6551</v>
      </c>
      <c r="I2979" s="559" t="str">
        <f t="shared" si="44"/>
        <v>GooD</v>
      </c>
    </row>
    <row r="2980" spans="1:9">
      <c r="A2980" s="563" t="s">
        <v>645</v>
      </c>
      <c r="B2980" s="563">
        <v>24000</v>
      </c>
      <c r="C2980" s="564">
        <v>6</v>
      </c>
      <c r="D2980" s="564">
        <v>0.31</v>
      </c>
      <c r="E2980" s="564">
        <v>3726</v>
      </c>
      <c r="F2980" s="564">
        <v>27726</v>
      </c>
      <c r="G2980" s="564">
        <v>420</v>
      </c>
      <c r="H2980" s="564">
        <v>4551</v>
      </c>
      <c r="I2980" s="557" t="str">
        <f t="shared" si="44"/>
        <v>GooD</v>
      </c>
    </row>
    <row r="2981" spans="1:9" ht="15.75" thickBot="1">
      <c r="A2981" s="565" t="s">
        <v>645</v>
      </c>
      <c r="B2981" s="565">
        <v>24000</v>
      </c>
      <c r="C2981" s="566">
        <v>8</v>
      </c>
      <c r="D2981" s="566">
        <v>0.31</v>
      </c>
      <c r="E2981" s="566">
        <v>4968</v>
      </c>
      <c r="F2981" s="566">
        <v>28968</v>
      </c>
      <c r="G2981" s="566">
        <v>560</v>
      </c>
      <c r="H2981" s="566">
        <v>3551</v>
      </c>
      <c r="I2981" s="558" t="str">
        <f t="shared" si="44"/>
        <v>GooD</v>
      </c>
    </row>
    <row r="2982" spans="1:9" ht="15.75" thickTop="1">
      <c r="A2982" s="567" t="s">
        <v>645</v>
      </c>
      <c r="B2982" s="567">
        <v>24000</v>
      </c>
      <c r="C2982" s="568">
        <v>10</v>
      </c>
      <c r="D2982" s="568">
        <v>0.31</v>
      </c>
      <c r="E2982" s="568">
        <v>6210</v>
      </c>
      <c r="F2982" s="568">
        <v>30210</v>
      </c>
      <c r="G2982" s="568">
        <v>700</v>
      </c>
      <c r="H2982" s="568">
        <v>2951</v>
      </c>
      <c r="I2982" s="559" t="str">
        <f t="shared" si="44"/>
        <v>GooD</v>
      </c>
    </row>
    <row r="2983" spans="1:9">
      <c r="A2983" s="563" t="s">
        <v>645</v>
      </c>
      <c r="B2983" s="563">
        <v>24000</v>
      </c>
      <c r="C2983" s="564">
        <v>12</v>
      </c>
      <c r="D2983" s="564">
        <v>0.31</v>
      </c>
      <c r="E2983" s="564">
        <v>7452</v>
      </c>
      <c r="F2983" s="564">
        <v>31452</v>
      </c>
      <c r="G2983" s="564">
        <v>840</v>
      </c>
      <c r="H2983" s="564">
        <v>2551</v>
      </c>
      <c r="I2983" s="557" t="str">
        <f t="shared" ref="I2983:I3086" si="45">IF(((H2983*C2983)+G2983)=F2983,"GooD","لالالالالالالا")</f>
        <v>GooD</v>
      </c>
    </row>
    <row r="2984" spans="1:9" ht="15.75" thickBot="1">
      <c r="A2984" s="565" t="s">
        <v>645</v>
      </c>
      <c r="B2984" s="565">
        <v>24000</v>
      </c>
      <c r="C2984" s="566">
        <v>14</v>
      </c>
      <c r="D2984" s="566">
        <v>0.31</v>
      </c>
      <c r="E2984" s="566">
        <v>8690</v>
      </c>
      <c r="F2984" s="566">
        <v>32690</v>
      </c>
      <c r="G2984" s="566">
        <v>980</v>
      </c>
      <c r="H2984" s="566">
        <v>2265</v>
      </c>
      <c r="I2984" s="558" t="str">
        <f t="shared" si="45"/>
        <v>GooD</v>
      </c>
    </row>
    <row r="2985" spans="1:9" ht="15.75" thickTop="1">
      <c r="A2985" s="567" t="s">
        <v>645</v>
      </c>
      <c r="B2985" s="567">
        <v>24000</v>
      </c>
      <c r="C2985" s="568">
        <v>16</v>
      </c>
      <c r="D2985" s="568">
        <v>0.31</v>
      </c>
      <c r="E2985" s="568">
        <v>9936</v>
      </c>
      <c r="F2985" s="568">
        <v>33936</v>
      </c>
      <c r="G2985" s="568">
        <v>1120</v>
      </c>
      <c r="H2985" s="568">
        <v>2051</v>
      </c>
      <c r="I2985" s="559" t="str">
        <f t="shared" si="45"/>
        <v>GooD</v>
      </c>
    </row>
    <row r="2986" spans="1:9">
      <c r="A2986" s="563" t="s">
        <v>645</v>
      </c>
      <c r="B2986" s="563">
        <v>24000</v>
      </c>
      <c r="C2986" s="564">
        <v>18</v>
      </c>
      <c r="D2986" s="564">
        <v>0.31</v>
      </c>
      <c r="E2986" s="564">
        <v>11172</v>
      </c>
      <c r="F2986" s="564">
        <v>35172</v>
      </c>
      <c r="G2986" s="564">
        <v>1260</v>
      </c>
      <c r="H2986" s="564">
        <v>1884</v>
      </c>
      <c r="I2986" s="557" t="str">
        <f t="shared" si="45"/>
        <v>GooD</v>
      </c>
    </row>
    <row r="2987" spans="1:9" ht="15.75" thickBot="1">
      <c r="A2987" s="565" t="s">
        <v>645</v>
      </c>
      <c r="B2987" s="565">
        <v>24000</v>
      </c>
      <c r="C2987" s="566">
        <v>20</v>
      </c>
      <c r="D2987" s="566">
        <v>0.31</v>
      </c>
      <c r="E2987" s="566">
        <v>12420</v>
      </c>
      <c r="F2987" s="566">
        <v>36420</v>
      </c>
      <c r="G2987" s="566">
        <v>1400</v>
      </c>
      <c r="H2987" s="566">
        <v>1751</v>
      </c>
      <c r="I2987" s="558" t="str">
        <f t="shared" si="45"/>
        <v>GooD</v>
      </c>
    </row>
    <row r="2988" spans="1:9" ht="15.75" thickTop="1">
      <c r="A2988" s="567" t="s">
        <v>645</v>
      </c>
      <c r="B2988" s="567">
        <v>24000</v>
      </c>
      <c r="C2988" s="568">
        <v>22</v>
      </c>
      <c r="D2988" s="568">
        <v>0.31</v>
      </c>
      <c r="E2988" s="568">
        <v>13642</v>
      </c>
      <c r="F2988" s="568">
        <v>37642</v>
      </c>
      <c r="G2988" s="568">
        <v>1540</v>
      </c>
      <c r="H2988" s="568">
        <v>1641</v>
      </c>
      <c r="I2988" s="559" t="str">
        <f t="shared" si="45"/>
        <v>GooD</v>
      </c>
    </row>
    <row r="2989" spans="1:9">
      <c r="A2989" s="563" t="s">
        <v>645</v>
      </c>
      <c r="B2989" s="563">
        <v>24000</v>
      </c>
      <c r="C2989" s="564">
        <v>24</v>
      </c>
      <c r="D2989" s="564">
        <v>0.31</v>
      </c>
      <c r="E2989" s="564">
        <v>14904</v>
      </c>
      <c r="F2989" s="564">
        <v>38904</v>
      </c>
      <c r="G2989" s="564">
        <v>1680</v>
      </c>
      <c r="H2989" s="564">
        <v>1551</v>
      </c>
      <c r="I2989" s="557" t="str">
        <f t="shared" si="45"/>
        <v>GooD</v>
      </c>
    </row>
    <row r="2990" spans="1:9" ht="15.75" thickBot="1">
      <c r="A2990" s="565" t="s">
        <v>645</v>
      </c>
      <c r="B2990" s="565">
        <v>25000</v>
      </c>
      <c r="C2990" s="566">
        <v>4</v>
      </c>
      <c r="D2990" s="566">
        <v>0.31</v>
      </c>
      <c r="E2990" s="566">
        <v>2584</v>
      </c>
      <c r="F2990" s="566">
        <v>27584</v>
      </c>
      <c r="G2990" s="566">
        <v>292</v>
      </c>
      <c r="H2990" s="566">
        <v>6823</v>
      </c>
      <c r="I2990" s="558" t="str">
        <f t="shared" si="45"/>
        <v>GooD</v>
      </c>
    </row>
    <row r="2991" spans="1:9" ht="15.75" thickTop="1">
      <c r="A2991" s="567" t="s">
        <v>645</v>
      </c>
      <c r="B2991" s="567">
        <v>25000</v>
      </c>
      <c r="C2991" s="568">
        <v>6</v>
      </c>
      <c r="D2991" s="568">
        <v>0.31</v>
      </c>
      <c r="E2991" s="568">
        <v>3878</v>
      </c>
      <c r="F2991" s="568">
        <v>28878</v>
      </c>
      <c r="G2991" s="568">
        <v>438</v>
      </c>
      <c r="H2991" s="568">
        <v>4740</v>
      </c>
      <c r="I2991" s="559" t="str">
        <f t="shared" si="45"/>
        <v>GooD</v>
      </c>
    </row>
    <row r="2992" spans="1:9">
      <c r="A2992" s="563" t="s">
        <v>645</v>
      </c>
      <c r="B2992" s="563">
        <v>25000</v>
      </c>
      <c r="C2992" s="564">
        <v>8</v>
      </c>
      <c r="D2992" s="564">
        <v>0.31</v>
      </c>
      <c r="E2992" s="564">
        <v>5168</v>
      </c>
      <c r="F2992" s="564">
        <v>30168</v>
      </c>
      <c r="G2992" s="564">
        <v>584</v>
      </c>
      <c r="H2992" s="564">
        <v>3698</v>
      </c>
      <c r="I2992" s="557" t="str">
        <f t="shared" si="45"/>
        <v>GooD</v>
      </c>
    </row>
    <row r="2993" spans="1:9" ht="15.75" thickBot="1">
      <c r="A2993" s="565" t="s">
        <v>645</v>
      </c>
      <c r="B2993" s="565">
        <v>25000</v>
      </c>
      <c r="C2993" s="566">
        <v>10</v>
      </c>
      <c r="D2993" s="566">
        <v>0.31</v>
      </c>
      <c r="E2993" s="566">
        <v>6460</v>
      </c>
      <c r="F2993" s="566">
        <v>31460</v>
      </c>
      <c r="G2993" s="566">
        <v>730</v>
      </c>
      <c r="H2993" s="566">
        <v>3073</v>
      </c>
      <c r="I2993" s="558" t="str">
        <f t="shared" si="45"/>
        <v>GooD</v>
      </c>
    </row>
    <row r="2994" spans="1:9" ht="15.75" thickTop="1">
      <c r="A2994" s="567" t="s">
        <v>645</v>
      </c>
      <c r="B2994" s="567">
        <v>25000</v>
      </c>
      <c r="C2994" s="568">
        <v>12</v>
      </c>
      <c r="D2994" s="568">
        <v>0.31</v>
      </c>
      <c r="E2994" s="568">
        <v>7759</v>
      </c>
      <c r="F2994" s="568">
        <v>32759</v>
      </c>
      <c r="G2994" s="568">
        <v>875</v>
      </c>
      <c r="H2994" s="568">
        <v>2657</v>
      </c>
      <c r="I2994" s="559" t="str">
        <f t="shared" si="45"/>
        <v>GooD</v>
      </c>
    </row>
    <row r="2995" spans="1:9">
      <c r="A2995" s="563" t="s">
        <v>645</v>
      </c>
      <c r="B2995" s="563">
        <v>25000</v>
      </c>
      <c r="C2995" s="564">
        <v>14</v>
      </c>
      <c r="D2995" s="564">
        <v>0.31</v>
      </c>
      <c r="E2995" s="564">
        <v>9047</v>
      </c>
      <c r="F2995" s="564">
        <v>34047</v>
      </c>
      <c r="G2995" s="564">
        <v>1021</v>
      </c>
      <c r="H2995" s="564">
        <v>2359</v>
      </c>
      <c r="I2995" s="557" t="str">
        <f t="shared" si="45"/>
        <v>GooD</v>
      </c>
    </row>
    <row r="2996" spans="1:9" ht="15.75" thickBot="1">
      <c r="A2996" s="565" t="s">
        <v>645</v>
      </c>
      <c r="B2996" s="565">
        <v>25000</v>
      </c>
      <c r="C2996" s="566">
        <v>16</v>
      </c>
      <c r="D2996" s="566">
        <v>0.31</v>
      </c>
      <c r="E2996" s="566">
        <v>10343</v>
      </c>
      <c r="F2996" s="566">
        <v>35343</v>
      </c>
      <c r="G2996" s="566">
        <v>1167</v>
      </c>
      <c r="H2996" s="566">
        <v>2136</v>
      </c>
      <c r="I2996" s="558" t="str">
        <f t="shared" si="45"/>
        <v>GooD</v>
      </c>
    </row>
    <row r="2997" spans="1:9" ht="15.75" thickTop="1">
      <c r="A2997" s="567" t="s">
        <v>645</v>
      </c>
      <c r="B2997" s="567">
        <v>25000</v>
      </c>
      <c r="C2997" s="568">
        <v>18</v>
      </c>
      <c r="D2997" s="568">
        <v>0.31</v>
      </c>
      <c r="E2997" s="568">
        <v>11629</v>
      </c>
      <c r="F2997" s="568">
        <v>36629</v>
      </c>
      <c r="G2997" s="568">
        <v>1313</v>
      </c>
      <c r="H2997" s="568">
        <v>1962</v>
      </c>
      <c r="I2997" s="559" t="str">
        <f t="shared" si="45"/>
        <v>GooD</v>
      </c>
    </row>
    <row r="2998" spans="1:9">
      <c r="A2998" s="563" t="s">
        <v>645</v>
      </c>
      <c r="B2998" s="563">
        <v>25000</v>
      </c>
      <c r="C2998" s="564">
        <v>20</v>
      </c>
      <c r="D2998" s="564">
        <v>0.31</v>
      </c>
      <c r="E2998" s="564">
        <v>12919</v>
      </c>
      <c r="F2998" s="564">
        <v>37919</v>
      </c>
      <c r="G2998" s="564">
        <v>1459</v>
      </c>
      <c r="H2998" s="564">
        <v>1823</v>
      </c>
      <c r="I2998" s="557" t="str">
        <f t="shared" si="45"/>
        <v>GooD</v>
      </c>
    </row>
    <row r="2999" spans="1:9" ht="15.75" thickBot="1">
      <c r="A2999" s="565" t="s">
        <v>645</v>
      </c>
      <c r="B2999" s="565">
        <v>25000</v>
      </c>
      <c r="C2999" s="566">
        <v>22</v>
      </c>
      <c r="D2999" s="566">
        <v>0.31</v>
      </c>
      <c r="E2999" s="566">
        <v>14225</v>
      </c>
      <c r="F2999" s="566">
        <v>39225</v>
      </c>
      <c r="G2999" s="566">
        <v>1605</v>
      </c>
      <c r="H2999" s="566">
        <v>1710</v>
      </c>
      <c r="I2999" s="558" t="str">
        <f t="shared" si="45"/>
        <v>GooD</v>
      </c>
    </row>
    <row r="3000" spans="1:9" ht="15.75" thickTop="1">
      <c r="A3000" s="567" t="s">
        <v>645</v>
      </c>
      <c r="B3000" s="567">
        <v>25000</v>
      </c>
      <c r="C3000" s="568">
        <v>24</v>
      </c>
      <c r="D3000" s="568">
        <v>0.31</v>
      </c>
      <c r="E3000" s="568">
        <v>15510</v>
      </c>
      <c r="F3000" s="568">
        <v>40510</v>
      </c>
      <c r="G3000" s="568">
        <v>1750</v>
      </c>
      <c r="H3000" s="568">
        <v>1615</v>
      </c>
      <c r="I3000" s="559" t="str">
        <f t="shared" si="45"/>
        <v>GooD</v>
      </c>
    </row>
    <row r="3001" spans="1:9">
      <c r="A3001" s="563" t="s">
        <v>645</v>
      </c>
      <c r="B3001" s="563">
        <v>26000</v>
      </c>
      <c r="C3001" s="564">
        <v>4</v>
      </c>
      <c r="D3001" s="564">
        <v>0.31</v>
      </c>
      <c r="E3001" s="564">
        <v>2688</v>
      </c>
      <c r="F3001" s="564">
        <v>28688</v>
      </c>
      <c r="G3001" s="564">
        <v>304</v>
      </c>
      <c r="H3001" s="564">
        <v>7096</v>
      </c>
      <c r="I3001" s="557" t="str">
        <f t="shared" si="45"/>
        <v>GooD</v>
      </c>
    </row>
    <row r="3002" spans="1:9" ht="15.75" thickBot="1">
      <c r="A3002" s="565" t="s">
        <v>645</v>
      </c>
      <c r="B3002" s="565">
        <v>26000</v>
      </c>
      <c r="C3002" s="566">
        <v>6</v>
      </c>
      <c r="D3002" s="566">
        <v>0.31</v>
      </c>
      <c r="E3002" s="566">
        <v>4035</v>
      </c>
      <c r="F3002" s="566">
        <v>30035</v>
      </c>
      <c r="G3002" s="566">
        <v>455</v>
      </c>
      <c r="H3002" s="566">
        <v>4930</v>
      </c>
      <c r="I3002" s="558" t="str">
        <f t="shared" si="45"/>
        <v>GooD</v>
      </c>
    </row>
    <row r="3003" spans="1:9" ht="15.75" thickTop="1">
      <c r="A3003" s="567" t="s">
        <v>645</v>
      </c>
      <c r="B3003" s="567">
        <v>26000</v>
      </c>
      <c r="C3003" s="568">
        <v>8</v>
      </c>
      <c r="D3003" s="568">
        <v>0.31</v>
      </c>
      <c r="E3003" s="568">
        <v>5375</v>
      </c>
      <c r="F3003" s="568">
        <v>31375</v>
      </c>
      <c r="G3003" s="568">
        <v>607</v>
      </c>
      <c r="H3003" s="568">
        <v>3846</v>
      </c>
      <c r="I3003" s="559" t="str">
        <f t="shared" si="45"/>
        <v>GooD</v>
      </c>
    </row>
    <row r="3004" spans="1:9">
      <c r="A3004" s="563" t="s">
        <v>645</v>
      </c>
      <c r="B3004" s="563">
        <v>26000</v>
      </c>
      <c r="C3004" s="564">
        <v>10</v>
      </c>
      <c r="D3004" s="564">
        <v>0.31</v>
      </c>
      <c r="E3004" s="564">
        <v>6719</v>
      </c>
      <c r="F3004" s="564">
        <v>32719</v>
      </c>
      <c r="G3004" s="564">
        <v>759</v>
      </c>
      <c r="H3004" s="564">
        <v>3196</v>
      </c>
      <c r="I3004" s="557" t="str">
        <f t="shared" si="45"/>
        <v>GooD</v>
      </c>
    </row>
    <row r="3005" spans="1:9" ht="15.75" thickBot="1">
      <c r="A3005" s="565" t="s">
        <v>645</v>
      </c>
      <c r="B3005" s="565">
        <v>26000</v>
      </c>
      <c r="C3005" s="566">
        <v>12</v>
      </c>
      <c r="D3005" s="566">
        <v>0.31</v>
      </c>
      <c r="E3005" s="566">
        <v>8066</v>
      </c>
      <c r="F3005" s="566">
        <v>34066</v>
      </c>
      <c r="G3005" s="566">
        <v>910</v>
      </c>
      <c r="H3005" s="566">
        <v>2763</v>
      </c>
      <c r="I3005" s="558" t="str">
        <f t="shared" si="45"/>
        <v>GooD</v>
      </c>
    </row>
    <row r="3006" spans="1:9" ht="15.75" thickTop="1">
      <c r="A3006" s="567" t="s">
        <v>645</v>
      </c>
      <c r="B3006" s="567">
        <v>26000</v>
      </c>
      <c r="C3006" s="568">
        <v>14</v>
      </c>
      <c r="D3006" s="568">
        <v>0.31</v>
      </c>
      <c r="E3006" s="568">
        <v>9404</v>
      </c>
      <c r="F3006" s="568">
        <v>35404</v>
      </c>
      <c r="G3006" s="568">
        <v>1062</v>
      </c>
      <c r="H3006" s="568">
        <v>2453</v>
      </c>
      <c r="I3006" s="559" t="str">
        <f t="shared" si="45"/>
        <v>GooD</v>
      </c>
    </row>
    <row r="3007" spans="1:9">
      <c r="A3007" s="563" t="s">
        <v>645</v>
      </c>
      <c r="B3007" s="563">
        <v>26000</v>
      </c>
      <c r="C3007" s="564">
        <v>16</v>
      </c>
      <c r="D3007" s="564">
        <v>0.31</v>
      </c>
      <c r="E3007" s="564">
        <v>10750</v>
      </c>
      <c r="F3007" s="564">
        <v>36750</v>
      </c>
      <c r="G3007" s="564">
        <v>1214</v>
      </c>
      <c r="H3007" s="564">
        <v>2221</v>
      </c>
      <c r="I3007" s="557" t="str">
        <f t="shared" si="45"/>
        <v>GooD</v>
      </c>
    </row>
    <row r="3008" spans="1:9" ht="15.75" thickBot="1">
      <c r="A3008" s="565" t="s">
        <v>645</v>
      </c>
      <c r="B3008" s="565">
        <v>26000</v>
      </c>
      <c r="C3008" s="566">
        <v>18</v>
      </c>
      <c r="D3008" s="566">
        <v>0.31</v>
      </c>
      <c r="E3008" s="566">
        <v>12103</v>
      </c>
      <c r="F3008" s="566">
        <v>38103</v>
      </c>
      <c r="G3008" s="566">
        <v>1365</v>
      </c>
      <c r="H3008" s="566">
        <v>2041</v>
      </c>
      <c r="I3008" s="558" t="str">
        <f t="shared" si="45"/>
        <v>GooD</v>
      </c>
    </row>
    <row r="3009" spans="1:9" ht="15.75" thickTop="1">
      <c r="A3009" s="567" t="s">
        <v>645</v>
      </c>
      <c r="B3009" s="567">
        <v>26000</v>
      </c>
      <c r="C3009" s="568">
        <v>20</v>
      </c>
      <c r="D3009" s="568">
        <v>0.31</v>
      </c>
      <c r="E3009" s="568">
        <v>13437</v>
      </c>
      <c r="F3009" s="568">
        <v>39437</v>
      </c>
      <c r="G3009" s="568">
        <v>1517</v>
      </c>
      <c r="H3009" s="568">
        <v>1896</v>
      </c>
      <c r="I3009" s="559" t="str">
        <f t="shared" si="45"/>
        <v>GooD</v>
      </c>
    </row>
    <row r="3010" spans="1:9">
      <c r="A3010" s="563" t="s">
        <v>645</v>
      </c>
      <c r="B3010" s="563">
        <v>26000</v>
      </c>
      <c r="C3010" s="564">
        <v>22</v>
      </c>
      <c r="D3010" s="564">
        <v>0.31</v>
      </c>
      <c r="E3010" s="564">
        <v>14785</v>
      </c>
      <c r="F3010" s="564">
        <v>40785</v>
      </c>
      <c r="G3010" s="564">
        <v>1669</v>
      </c>
      <c r="H3010" s="564">
        <v>1778</v>
      </c>
      <c r="I3010" s="557" t="str">
        <f t="shared" si="45"/>
        <v>GooD</v>
      </c>
    </row>
    <row r="3011" spans="1:9" ht="15.75" thickBot="1">
      <c r="A3011" s="565" t="s">
        <v>645</v>
      </c>
      <c r="B3011" s="565">
        <v>26000</v>
      </c>
      <c r="C3011" s="566">
        <v>24</v>
      </c>
      <c r="D3011" s="566">
        <v>0.31</v>
      </c>
      <c r="E3011" s="566">
        <v>16140</v>
      </c>
      <c r="F3011" s="566">
        <v>42140</v>
      </c>
      <c r="G3011" s="566">
        <v>1820</v>
      </c>
      <c r="H3011" s="566">
        <v>1680</v>
      </c>
      <c r="I3011" s="558" t="str">
        <f t="shared" si="45"/>
        <v>GooD</v>
      </c>
    </row>
    <row r="3012" spans="1:9" ht="15.75" thickTop="1">
      <c r="A3012" s="567" t="s">
        <v>645</v>
      </c>
      <c r="B3012" s="567">
        <v>27000</v>
      </c>
      <c r="C3012" s="568">
        <v>4</v>
      </c>
      <c r="D3012" s="568">
        <v>0.31</v>
      </c>
      <c r="E3012" s="568">
        <v>2791</v>
      </c>
      <c r="F3012" s="568">
        <v>29791</v>
      </c>
      <c r="G3012" s="568">
        <v>315</v>
      </c>
      <c r="H3012" s="568">
        <v>7369</v>
      </c>
      <c r="I3012" s="559" t="str">
        <f t="shared" si="45"/>
        <v>GooD</v>
      </c>
    </row>
    <row r="3013" spans="1:9">
      <c r="A3013" s="563" t="s">
        <v>645</v>
      </c>
      <c r="B3013" s="563">
        <v>27000</v>
      </c>
      <c r="C3013" s="564">
        <v>6</v>
      </c>
      <c r="D3013" s="564">
        <v>0.31</v>
      </c>
      <c r="E3013" s="564">
        <v>4187</v>
      </c>
      <c r="F3013" s="564">
        <v>31187</v>
      </c>
      <c r="G3013" s="564">
        <v>473</v>
      </c>
      <c r="H3013" s="564">
        <v>5119</v>
      </c>
      <c r="I3013" s="557" t="str">
        <f t="shared" si="45"/>
        <v>GooD</v>
      </c>
    </row>
    <row r="3014" spans="1:9" ht="15.75" thickBot="1">
      <c r="A3014" s="565" t="s">
        <v>645</v>
      </c>
      <c r="B3014" s="565">
        <v>27000</v>
      </c>
      <c r="C3014" s="566">
        <v>8</v>
      </c>
      <c r="D3014" s="566">
        <v>0.31</v>
      </c>
      <c r="E3014" s="566">
        <v>5582</v>
      </c>
      <c r="F3014" s="566">
        <v>32582</v>
      </c>
      <c r="G3014" s="566">
        <v>630</v>
      </c>
      <c r="H3014" s="566">
        <v>3994</v>
      </c>
      <c r="I3014" s="558" t="str">
        <f t="shared" si="45"/>
        <v>GooD</v>
      </c>
    </row>
    <row r="3015" spans="1:9" ht="15.75" thickTop="1">
      <c r="A3015" s="567" t="s">
        <v>645</v>
      </c>
      <c r="B3015" s="567">
        <v>27000</v>
      </c>
      <c r="C3015" s="568">
        <v>10</v>
      </c>
      <c r="D3015" s="568">
        <v>0.31</v>
      </c>
      <c r="E3015" s="568">
        <v>6978</v>
      </c>
      <c r="F3015" s="568">
        <v>33978</v>
      </c>
      <c r="G3015" s="568">
        <v>788</v>
      </c>
      <c r="H3015" s="568">
        <v>3319</v>
      </c>
      <c r="I3015" s="559" t="str">
        <f t="shared" si="45"/>
        <v>GooD</v>
      </c>
    </row>
    <row r="3016" spans="1:9">
      <c r="A3016" s="563" t="s">
        <v>645</v>
      </c>
      <c r="B3016" s="563">
        <v>27000</v>
      </c>
      <c r="C3016" s="564">
        <v>12</v>
      </c>
      <c r="D3016" s="564">
        <v>0.31</v>
      </c>
      <c r="E3016" s="564">
        <v>8373</v>
      </c>
      <c r="F3016" s="564">
        <v>35373</v>
      </c>
      <c r="G3016" s="564">
        <v>945</v>
      </c>
      <c r="H3016" s="564">
        <v>2869</v>
      </c>
      <c r="I3016" s="557" t="str">
        <f t="shared" si="45"/>
        <v>GooD</v>
      </c>
    </row>
    <row r="3017" spans="1:9" ht="15.75" thickBot="1">
      <c r="A3017" s="565" t="s">
        <v>645</v>
      </c>
      <c r="B3017" s="565">
        <v>27000</v>
      </c>
      <c r="C3017" s="566">
        <v>14</v>
      </c>
      <c r="D3017" s="566">
        <v>0.31</v>
      </c>
      <c r="E3017" s="566">
        <v>9775</v>
      </c>
      <c r="F3017" s="566">
        <v>36775</v>
      </c>
      <c r="G3017" s="566">
        <v>1103</v>
      </c>
      <c r="H3017" s="566">
        <v>2548</v>
      </c>
      <c r="I3017" s="558" t="str">
        <f t="shared" si="45"/>
        <v>GooD</v>
      </c>
    </row>
    <row r="3018" spans="1:9" ht="15.75" thickTop="1">
      <c r="A3018" s="567" t="s">
        <v>645</v>
      </c>
      <c r="B3018" s="567">
        <v>27000</v>
      </c>
      <c r="C3018" s="568">
        <v>16</v>
      </c>
      <c r="D3018" s="568">
        <v>0.31</v>
      </c>
      <c r="E3018" s="568">
        <v>11172</v>
      </c>
      <c r="F3018" s="568">
        <v>38172</v>
      </c>
      <c r="G3018" s="568">
        <v>1260</v>
      </c>
      <c r="H3018" s="568">
        <v>2307</v>
      </c>
      <c r="I3018" s="559" t="str">
        <f t="shared" si="45"/>
        <v>GooD</v>
      </c>
    </row>
    <row r="3019" spans="1:9">
      <c r="A3019" s="563" t="s">
        <v>645</v>
      </c>
      <c r="B3019" s="563">
        <v>27000</v>
      </c>
      <c r="C3019" s="564">
        <v>18</v>
      </c>
      <c r="D3019" s="564">
        <v>0.31</v>
      </c>
      <c r="E3019" s="564">
        <v>12560</v>
      </c>
      <c r="F3019" s="564">
        <v>39560</v>
      </c>
      <c r="G3019" s="564">
        <v>1418</v>
      </c>
      <c r="H3019" s="564">
        <v>2119</v>
      </c>
      <c r="I3019" s="557" t="str">
        <f t="shared" si="45"/>
        <v>GooD</v>
      </c>
    </row>
    <row r="3020" spans="1:9" ht="15.75" thickBot="1">
      <c r="A3020" s="565" t="s">
        <v>645</v>
      </c>
      <c r="B3020" s="565">
        <v>27000</v>
      </c>
      <c r="C3020" s="566">
        <v>20</v>
      </c>
      <c r="D3020" s="566">
        <v>0.31</v>
      </c>
      <c r="E3020" s="566">
        <v>13955</v>
      </c>
      <c r="F3020" s="566">
        <v>40955</v>
      </c>
      <c r="G3020" s="566">
        <v>1575</v>
      </c>
      <c r="H3020" s="566">
        <v>1969</v>
      </c>
      <c r="I3020" s="558" t="str">
        <f t="shared" si="45"/>
        <v>GooD</v>
      </c>
    </row>
    <row r="3021" spans="1:9" ht="15.75" thickTop="1">
      <c r="A3021" s="567" t="s">
        <v>645</v>
      </c>
      <c r="B3021" s="567">
        <v>27000</v>
      </c>
      <c r="C3021" s="568">
        <v>22</v>
      </c>
      <c r="D3021" s="568">
        <v>0.31</v>
      </c>
      <c r="E3021" s="568">
        <v>15367</v>
      </c>
      <c r="F3021" s="568">
        <v>42367</v>
      </c>
      <c r="G3021" s="568">
        <v>1733</v>
      </c>
      <c r="H3021" s="568">
        <v>1847</v>
      </c>
      <c r="I3021" s="559" t="str">
        <f t="shared" si="45"/>
        <v>GooD</v>
      </c>
    </row>
    <row r="3022" spans="1:9">
      <c r="A3022" s="563" t="s">
        <v>645</v>
      </c>
      <c r="B3022" s="563">
        <v>27000</v>
      </c>
      <c r="C3022" s="564">
        <v>24</v>
      </c>
      <c r="D3022" s="564">
        <v>0.31</v>
      </c>
      <c r="E3022" s="564">
        <v>16746</v>
      </c>
      <c r="F3022" s="564">
        <v>43746</v>
      </c>
      <c r="G3022" s="564">
        <v>1890</v>
      </c>
      <c r="H3022" s="564">
        <v>1744</v>
      </c>
      <c r="I3022" s="557" t="str">
        <f t="shared" si="45"/>
        <v>GooD</v>
      </c>
    </row>
    <row r="3023" spans="1:9" ht="15.75" thickBot="1">
      <c r="A3023" s="565" t="s">
        <v>645</v>
      </c>
      <c r="B3023" s="565">
        <v>28000</v>
      </c>
      <c r="C3023" s="566">
        <v>4</v>
      </c>
      <c r="D3023" s="566">
        <v>0.31</v>
      </c>
      <c r="E3023" s="566">
        <v>2895</v>
      </c>
      <c r="F3023" s="566">
        <v>30895</v>
      </c>
      <c r="G3023" s="566">
        <v>327</v>
      </c>
      <c r="H3023" s="566">
        <v>7642</v>
      </c>
      <c r="I3023" s="558" t="str">
        <f t="shared" si="45"/>
        <v>GooD</v>
      </c>
    </row>
    <row r="3024" spans="1:9" ht="15.75" thickTop="1">
      <c r="A3024" s="567" t="s">
        <v>645</v>
      </c>
      <c r="B3024" s="567">
        <v>28000</v>
      </c>
      <c r="C3024" s="568">
        <v>6</v>
      </c>
      <c r="D3024" s="568">
        <v>0.31</v>
      </c>
      <c r="E3024" s="568">
        <v>4344</v>
      </c>
      <c r="F3024" s="568">
        <v>32344</v>
      </c>
      <c r="G3024" s="568">
        <v>490</v>
      </c>
      <c r="H3024" s="568">
        <v>5309</v>
      </c>
      <c r="I3024" s="559" t="str">
        <f t="shared" si="45"/>
        <v>GooD</v>
      </c>
    </row>
    <row r="3025" spans="1:9">
      <c r="A3025" s="563" t="s">
        <v>645</v>
      </c>
      <c r="B3025" s="563">
        <v>28000</v>
      </c>
      <c r="C3025" s="564">
        <v>8</v>
      </c>
      <c r="D3025" s="564">
        <v>0.31</v>
      </c>
      <c r="E3025" s="564">
        <v>5790</v>
      </c>
      <c r="F3025" s="564">
        <v>33790</v>
      </c>
      <c r="G3025" s="564">
        <v>654</v>
      </c>
      <c r="H3025" s="564">
        <v>4142</v>
      </c>
      <c r="I3025" s="557" t="str">
        <f t="shared" si="45"/>
        <v>GooD</v>
      </c>
    </row>
    <row r="3026" spans="1:9" ht="15.75" thickBot="1">
      <c r="A3026" s="565" t="s">
        <v>645</v>
      </c>
      <c r="B3026" s="565">
        <v>28000</v>
      </c>
      <c r="C3026" s="566">
        <v>10</v>
      </c>
      <c r="D3026" s="566">
        <v>0.31</v>
      </c>
      <c r="E3026" s="566">
        <v>7237</v>
      </c>
      <c r="F3026" s="566">
        <v>35237</v>
      </c>
      <c r="G3026" s="566">
        <v>817</v>
      </c>
      <c r="H3026" s="566">
        <v>3442</v>
      </c>
      <c r="I3026" s="558" t="str">
        <f t="shared" si="45"/>
        <v>GooD</v>
      </c>
    </row>
    <row r="3027" spans="1:9" ht="15.75" thickTop="1">
      <c r="A3027" s="567" t="s">
        <v>645</v>
      </c>
      <c r="B3027" s="567">
        <v>28000</v>
      </c>
      <c r="C3027" s="568">
        <v>12</v>
      </c>
      <c r="D3027" s="568">
        <v>0.31</v>
      </c>
      <c r="E3027" s="568">
        <v>8692</v>
      </c>
      <c r="F3027" s="568">
        <v>36692</v>
      </c>
      <c r="G3027" s="568">
        <v>980</v>
      </c>
      <c r="H3027" s="568">
        <v>2976</v>
      </c>
      <c r="I3027" s="559" t="str">
        <f t="shared" si="45"/>
        <v>GooD</v>
      </c>
    </row>
    <row r="3028" spans="1:9">
      <c r="A3028" s="563" t="s">
        <v>645</v>
      </c>
      <c r="B3028" s="563">
        <v>28000</v>
      </c>
      <c r="C3028" s="564">
        <v>14</v>
      </c>
      <c r="D3028" s="564">
        <v>0.31</v>
      </c>
      <c r="E3028" s="564">
        <v>10132</v>
      </c>
      <c r="F3028" s="564">
        <v>38132</v>
      </c>
      <c r="G3028" s="564">
        <v>1144</v>
      </c>
      <c r="H3028" s="564">
        <v>2642</v>
      </c>
      <c r="I3028" s="557" t="str">
        <f t="shared" si="45"/>
        <v>GooD</v>
      </c>
    </row>
    <row r="3029" spans="1:9" ht="15.75" thickBot="1">
      <c r="A3029" s="565" t="s">
        <v>645</v>
      </c>
      <c r="B3029" s="565">
        <v>28000</v>
      </c>
      <c r="C3029" s="566">
        <v>16</v>
      </c>
      <c r="D3029" s="566">
        <v>0.31</v>
      </c>
      <c r="E3029" s="566">
        <v>11579</v>
      </c>
      <c r="F3029" s="566">
        <v>39579</v>
      </c>
      <c r="G3029" s="566">
        <v>1307</v>
      </c>
      <c r="H3029" s="566">
        <v>2392</v>
      </c>
      <c r="I3029" s="558" t="str">
        <f t="shared" si="45"/>
        <v>GooD</v>
      </c>
    </row>
    <row r="3030" spans="1:9" ht="15.75" thickTop="1">
      <c r="A3030" s="567" t="s">
        <v>645</v>
      </c>
      <c r="B3030" s="567">
        <v>28000</v>
      </c>
      <c r="C3030" s="568">
        <v>18</v>
      </c>
      <c r="D3030" s="568">
        <v>0.31</v>
      </c>
      <c r="E3030" s="568">
        <v>13034</v>
      </c>
      <c r="F3030" s="568">
        <v>41034</v>
      </c>
      <c r="G3030" s="568">
        <v>1470</v>
      </c>
      <c r="H3030" s="568">
        <v>2198</v>
      </c>
      <c r="I3030" s="559" t="str">
        <f t="shared" si="45"/>
        <v>GooD</v>
      </c>
    </row>
    <row r="3031" spans="1:9">
      <c r="A3031" s="563" t="s">
        <v>645</v>
      </c>
      <c r="B3031" s="563">
        <v>28000</v>
      </c>
      <c r="C3031" s="564">
        <v>20</v>
      </c>
      <c r="D3031" s="564">
        <v>0.31</v>
      </c>
      <c r="E3031" s="564">
        <v>14474</v>
      </c>
      <c r="F3031" s="564">
        <v>42474</v>
      </c>
      <c r="G3031" s="564">
        <v>1634</v>
      </c>
      <c r="H3031" s="564">
        <v>2042</v>
      </c>
      <c r="I3031" s="557" t="str">
        <f t="shared" si="45"/>
        <v>GooD</v>
      </c>
    </row>
    <row r="3032" spans="1:9" ht="15.75" thickBot="1">
      <c r="A3032" s="565" t="s">
        <v>645</v>
      </c>
      <c r="B3032" s="565">
        <v>28000</v>
      </c>
      <c r="C3032" s="566">
        <v>22</v>
      </c>
      <c r="D3032" s="566">
        <v>0.31</v>
      </c>
      <c r="E3032" s="566">
        <v>15927</v>
      </c>
      <c r="F3032" s="566">
        <v>43927</v>
      </c>
      <c r="G3032" s="566">
        <v>1797</v>
      </c>
      <c r="H3032" s="566">
        <v>1915</v>
      </c>
      <c r="I3032" s="558" t="str">
        <f t="shared" si="45"/>
        <v>GooD</v>
      </c>
    </row>
    <row r="3033" spans="1:9" ht="15.75" thickTop="1">
      <c r="A3033" s="567" t="s">
        <v>645</v>
      </c>
      <c r="B3033" s="567">
        <v>28000</v>
      </c>
      <c r="C3033" s="568">
        <v>24</v>
      </c>
      <c r="D3033" s="568">
        <v>0.31</v>
      </c>
      <c r="E3033" s="568">
        <v>17376</v>
      </c>
      <c r="F3033" s="568">
        <v>45376</v>
      </c>
      <c r="G3033" s="568">
        <v>1960</v>
      </c>
      <c r="H3033" s="568">
        <v>1809</v>
      </c>
      <c r="I3033" s="559" t="str">
        <f t="shared" si="45"/>
        <v>GooD</v>
      </c>
    </row>
    <row r="3034" spans="1:9">
      <c r="A3034" s="563" t="s">
        <v>645</v>
      </c>
      <c r="B3034" s="563">
        <v>29000</v>
      </c>
      <c r="C3034" s="564">
        <v>4</v>
      </c>
      <c r="D3034" s="564">
        <v>0.31</v>
      </c>
      <c r="E3034" s="564">
        <v>2999</v>
      </c>
      <c r="F3034" s="564">
        <v>31999</v>
      </c>
      <c r="G3034" s="564">
        <v>339</v>
      </c>
      <c r="H3034" s="564">
        <v>7915</v>
      </c>
      <c r="I3034" s="557" t="str">
        <f t="shared" si="45"/>
        <v>GooD</v>
      </c>
    </row>
    <row r="3035" spans="1:9" ht="15.75" thickBot="1">
      <c r="A3035" s="565" t="s">
        <v>645</v>
      </c>
      <c r="B3035" s="565">
        <v>29000</v>
      </c>
      <c r="C3035" s="566">
        <v>6</v>
      </c>
      <c r="D3035" s="566">
        <v>0.31</v>
      </c>
      <c r="E3035" s="566">
        <v>4496</v>
      </c>
      <c r="F3035" s="566">
        <v>33496</v>
      </c>
      <c r="G3035" s="566">
        <v>508</v>
      </c>
      <c r="H3035" s="566">
        <v>5498</v>
      </c>
      <c r="I3035" s="558" t="str">
        <f t="shared" si="45"/>
        <v>GooD</v>
      </c>
    </row>
    <row r="3036" spans="1:9" ht="15.75" thickTop="1">
      <c r="A3036" s="567" t="s">
        <v>645</v>
      </c>
      <c r="B3036" s="567">
        <v>29000</v>
      </c>
      <c r="C3036" s="568">
        <v>8</v>
      </c>
      <c r="D3036" s="568">
        <v>0.31</v>
      </c>
      <c r="E3036" s="568">
        <v>5997</v>
      </c>
      <c r="F3036" s="568">
        <v>34997</v>
      </c>
      <c r="G3036" s="568">
        <v>677</v>
      </c>
      <c r="H3036" s="568">
        <v>4290</v>
      </c>
      <c r="I3036" s="559" t="str">
        <f t="shared" si="45"/>
        <v>GooD</v>
      </c>
    </row>
    <row r="3037" spans="1:9">
      <c r="A3037" s="563" t="s">
        <v>645</v>
      </c>
      <c r="B3037" s="563">
        <v>29000</v>
      </c>
      <c r="C3037" s="564">
        <v>10</v>
      </c>
      <c r="D3037" s="564">
        <v>0.31</v>
      </c>
      <c r="E3037" s="564">
        <v>7496</v>
      </c>
      <c r="F3037" s="564">
        <v>36496</v>
      </c>
      <c r="G3037" s="564">
        <v>846</v>
      </c>
      <c r="H3037" s="564">
        <v>3565</v>
      </c>
      <c r="I3037" s="557" t="str">
        <f t="shared" si="45"/>
        <v>GooD</v>
      </c>
    </row>
    <row r="3038" spans="1:9" ht="15.75" thickBot="1">
      <c r="A3038" s="565" t="s">
        <v>645</v>
      </c>
      <c r="B3038" s="565">
        <v>29000</v>
      </c>
      <c r="C3038" s="566">
        <v>12</v>
      </c>
      <c r="D3038" s="566">
        <v>0.31</v>
      </c>
      <c r="E3038" s="566">
        <v>8999</v>
      </c>
      <c r="F3038" s="566">
        <v>37999</v>
      </c>
      <c r="G3038" s="566">
        <v>1015</v>
      </c>
      <c r="H3038" s="566">
        <v>3082</v>
      </c>
      <c r="I3038" s="558" t="str">
        <f t="shared" si="45"/>
        <v>GooD</v>
      </c>
    </row>
    <row r="3039" spans="1:9" ht="15.75" thickTop="1">
      <c r="A3039" s="567" t="s">
        <v>645</v>
      </c>
      <c r="B3039" s="567">
        <v>29000</v>
      </c>
      <c r="C3039" s="568">
        <v>14</v>
      </c>
      <c r="D3039" s="568">
        <v>0.31</v>
      </c>
      <c r="E3039" s="568">
        <v>10503</v>
      </c>
      <c r="F3039" s="568">
        <v>39503</v>
      </c>
      <c r="G3039" s="568">
        <v>1185</v>
      </c>
      <c r="H3039" s="568">
        <v>2737</v>
      </c>
      <c r="I3039" s="559" t="str">
        <f t="shared" si="45"/>
        <v>GooD</v>
      </c>
    </row>
    <row r="3040" spans="1:9">
      <c r="A3040" s="563" t="s">
        <v>645</v>
      </c>
      <c r="B3040" s="563">
        <v>29000</v>
      </c>
      <c r="C3040" s="564">
        <v>16</v>
      </c>
      <c r="D3040" s="564">
        <v>0.31</v>
      </c>
      <c r="E3040" s="564">
        <v>12002</v>
      </c>
      <c r="F3040" s="564">
        <v>41002</v>
      </c>
      <c r="G3040" s="564">
        <v>1354</v>
      </c>
      <c r="H3040" s="564">
        <v>2478</v>
      </c>
      <c r="I3040" s="557" t="str">
        <f t="shared" si="45"/>
        <v>GooD</v>
      </c>
    </row>
    <row r="3041" spans="1:9" ht="15.75" thickBot="1">
      <c r="A3041" s="565" t="s">
        <v>645</v>
      </c>
      <c r="B3041" s="565">
        <v>29000</v>
      </c>
      <c r="C3041" s="566">
        <v>18</v>
      </c>
      <c r="D3041" s="566">
        <v>0.31</v>
      </c>
      <c r="E3041" s="566">
        <v>13491</v>
      </c>
      <c r="F3041" s="566">
        <v>42491</v>
      </c>
      <c r="G3041" s="566">
        <v>1523</v>
      </c>
      <c r="H3041" s="566">
        <v>2276</v>
      </c>
      <c r="I3041" s="558" t="str">
        <f t="shared" si="45"/>
        <v>GooD</v>
      </c>
    </row>
    <row r="3042" spans="1:9" ht="15.75" thickTop="1">
      <c r="A3042" s="567" t="s">
        <v>645</v>
      </c>
      <c r="B3042" s="567">
        <v>29000</v>
      </c>
      <c r="C3042" s="568">
        <v>20</v>
      </c>
      <c r="D3042" s="568">
        <v>0.31</v>
      </c>
      <c r="E3042" s="568">
        <v>14992</v>
      </c>
      <c r="F3042" s="568">
        <v>43992</v>
      </c>
      <c r="G3042" s="568">
        <v>1692</v>
      </c>
      <c r="H3042" s="568">
        <v>2115</v>
      </c>
      <c r="I3042" s="559" t="str">
        <f t="shared" si="45"/>
        <v>GooD</v>
      </c>
    </row>
    <row r="3043" spans="1:9">
      <c r="A3043" s="563" t="s">
        <v>645</v>
      </c>
      <c r="B3043" s="563">
        <v>29000</v>
      </c>
      <c r="C3043" s="564">
        <v>22</v>
      </c>
      <c r="D3043" s="564">
        <v>0.31</v>
      </c>
      <c r="E3043" s="564">
        <v>16487</v>
      </c>
      <c r="F3043" s="564">
        <v>45487</v>
      </c>
      <c r="G3043" s="564">
        <v>1861</v>
      </c>
      <c r="H3043" s="564">
        <v>1983</v>
      </c>
      <c r="I3043" s="557" t="str">
        <f t="shared" si="45"/>
        <v>GooD</v>
      </c>
    </row>
    <row r="3044" spans="1:9" ht="15.75" thickBot="1">
      <c r="A3044" s="565" t="s">
        <v>645</v>
      </c>
      <c r="B3044" s="565">
        <v>29000</v>
      </c>
      <c r="C3044" s="566">
        <v>24</v>
      </c>
      <c r="D3044" s="566">
        <v>0.31</v>
      </c>
      <c r="E3044" s="566">
        <v>17982</v>
      </c>
      <c r="F3044" s="566">
        <v>46982</v>
      </c>
      <c r="G3044" s="566">
        <v>2030</v>
      </c>
      <c r="H3044" s="566">
        <v>1873</v>
      </c>
      <c r="I3044" s="558" t="str">
        <f t="shared" si="45"/>
        <v>GooD</v>
      </c>
    </row>
    <row r="3045" spans="1:9" ht="15.75" thickTop="1">
      <c r="A3045" s="567" t="s">
        <v>645</v>
      </c>
      <c r="B3045" s="567">
        <v>30000</v>
      </c>
      <c r="C3045" s="568">
        <v>4</v>
      </c>
      <c r="D3045" s="568">
        <v>0.31</v>
      </c>
      <c r="E3045" s="568">
        <v>3102</v>
      </c>
      <c r="F3045" s="568">
        <v>33102</v>
      </c>
      <c r="G3045" s="568">
        <v>350</v>
      </c>
      <c r="H3045" s="568">
        <v>8188</v>
      </c>
      <c r="I3045" s="559" t="str">
        <f t="shared" si="45"/>
        <v>GooD</v>
      </c>
    </row>
    <row r="3046" spans="1:9">
      <c r="A3046" s="563" t="s">
        <v>645</v>
      </c>
      <c r="B3046" s="563">
        <v>30000</v>
      </c>
      <c r="C3046" s="564">
        <v>6</v>
      </c>
      <c r="D3046" s="564">
        <v>0.31</v>
      </c>
      <c r="E3046" s="564">
        <v>4653</v>
      </c>
      <c r="F3046" s="564">
        <v>34653</v>
      </c>
      <c r="G3046" s="564">
        <v>525</v>
      </c>
      <c r="H3046" s="564">
        <v>5688</v>
      </c>
      <c r="I3046" s="557" t="str">
        <f t="shared" si="45"/>
        <v>GooD</v>
      </c>
    </row>
    <row r="3047" spans="1:9" ht="15.75" thickBot="1">
      <c r="A3047" s="565" t="s">
        <v>645</v>
      </c>
      <c r="B3047" s="565">
        <v>30000</v>
      </c>
      <c r="C3047" s="566">
        <v>8</v>
      </c>
      <c r="D3047" s="566">
        <v>0.31</v>
      </c>
      <c r="E3047" s="566">
        <v>6204</v>
      </c>
      <c r="F3047" s="566">
        <v>36204</v>
      </c>
      <c r="G3047" s="566">
        <v>700</v>
      </c>
      <c r="H3047" s="566">
        <v>4438</v>
      </c>
      <c r="I3047" s="558" t="str">
        <f t="shared" si="45"/>
        <v>GooD</v>
      </c>
    </row>
    <row r="3048" spans="1:9" ht="15.75" thickTop="1">
      <c r="A3048" s="567" t="s">
        <v>645</v>
      </c>
      <c r="B3048" s="567">
        <v>30000</v>
      </c>
      <c r="C3048" s="568">
        <v>10</v>
      </c>
      <c r="D3048" s="568">
        <v>0.31</v>
      </c>
      <c r="E3048" s="568">
        <v>7755</v>
      </c>
      <c r="F3048" s="568">
        <v>37755</v>
      </c>
      <c r="G3048" s="568">
        <v>875</v>
      </c>
      <c r="H3048" s="568">
        <v>3688</v>
      </c>
      <c r="I3048" s="559" t="str">
        <f t="shared" si="45"/>
        <v>GooD</v>
      </c>
    </row>
    <row r="3049" spans="1:9">
      <c r="A3049" s="563" t="s">
        <v>645</v>
      </c>
      <c r="B3049" s="563">
        <v>30000</v>
      </c>
      <c r="C3049" s="564">
        <v>12</v>
      </c>
      <c r="D3049" s="564">
        <v>0.31</v>
      </c>
      <c r="E3049" s="564">
        <v>9306</v>
      </c>
      <c r="F3049" s="564">
        <v>39306</v>
      </c>
      <c r="G3049" s="564">
        <v>1050</v>
      </c>
      <c r="H3049" s="564">
        <v>3188</v>
      </c>
      <c r="I3049" s="557" t="str">
        <f t="shared" si="45"/>
        <v>GooD</v>
      </c>
    </row>
    <row r="3050" spans="1:9" ht="15.75" thickBot="1">
      <c r="A3050" s="565" t="s">
        <v>645</v>
      </c>
      <c r="B3050" s="565">
        <v>30000</v>
      </c>
      <c r="C3050" s="566">
        <v>14</v>
      </c>
      <c r="D3050" s="566">
        <v>0.31</v>
      </c>
      <c r="E3050" s="566">
        <v>10859</v>
      </c>
      <c r="F3050" s="566">
        <v>40859</v>
      </c>
      <c r="G3050" s="566">
        <v>1225</v>
      </c>
      <c r="H3050" s="566">
        <v>2831</v>
      </c>
      <c r="I3050" s="558" t="str">
        <f t="shared" si="45"/>
        <v>GooD</v>
      </c>
    </row>
    <row r="3051" spans="1:9" ht="15.75" thickTop="1">
      <c r="A3051" s="567" t="s">
        <v>645</v>
      </c>
      <c r="B3051" s="567">
        <v>30000</v>
      </c>
      <c r="C3051" s="568">
        <v>16</v>
      </c>
      <c r="D3051" s="568">
        <v>0.31</v>
      </c>
      <c r="E3051" s="568">
        <v>12408</v>
      </c>
      <c r="F3051" s="568">
        <v>42408</v>
      </c>
      <c r="G3051" s="568">
        <v>1400</v>
      </c>
      <c r="H3051" s="568">
        <v>2563</v>
      </c>
      <c r="I3051" s="559" t="str">
        <f t="shared" si="45"/>
        <v>GooD</v>
      </c>
    </row>
    <row r="3052" spans="1:9">
      <c r="A3052" s="563" t="s">
        <v>645</v>
      </c>
      <c r="B3052" s="563">
        <v>30000</v>
      </c>
      <c r="C3052" s="564">
        <v>18</v>
      </c>
      <c r="D3052" s="564">
        <v>0.31</v>
      </c>
      <c r="E3052" s="564">
        <v>13965</v>
      </c>
      <c r="F3052" s="564">
        <v>43965</v>
      </c>
      <c r="G3052" s="564">
        <v>1575</v>
      </c>
      <c r="H3052" s="564">
        <v>2355</v>
      </c>
      <c r="I3052" s="557" t="str">
        <f t="shared" si="45"/>
        <v>GooD</v>
      </c>
    </row>
    <row r="3053" spans="1:9" ht="15.75" thickBot="1">
      <c r="A3053" s="565" t="s">
        <v>645</v>
      </c>
      <c r="B3053" s="565">
        <v>30000</v>
      </c>
      <c r="C3053" s="566">
        <v>20</v>
      </c>
      <c r="D3053" s="566">
        <v>0.31</v>
      </c>
      <c r="E3053" s="566">
        <v>15510</v>
      </c>
      <c r="F3053" s="566">
        <v>45510</v>
      </c>
      <c r="G3053" s="566">
        <v>1750</v>
      </c>
      <c r="H3053" s="566">
        <v>2188</v>
      </c>
      <c r="I3053" s="558" t="str">
        <f t="shared" si="45"/>
        <v>GooD</v>
      </c>
    </row>
    <row r="3054" spans="1:9" ht="15.75" thickTop="1">
      <c r="A3054" s="567" t="s">
        <v>645</v>
      </c>
      <c r="B3054" s="567">
        <v>30000</v>
      </c>
      <c r="C3054" s="568">
        <v>22</v>
      </c>
      <c r="D3054" s="568">
        <v>0.31</v>
      </c>
      <c r="E3054" s="568">
        <v>17069</v>
      </c>
      <c r="F3054" s="568">
        <v>47069</v>
      </c>
      <c r="G3054" s="568">
        <v>1925</v>
      </c>
      <c r="H3054" s="568">
        <v>2052</v>
      </c>
      <c r="I3054" s="559" t="str">
        <f t="shared" si="45"/>
        <v>GooD</v>
      </c>
    </row>
    <row r="3055" spans="1:9">
      <c r="A3055" s="563" t="s">
        <v>645</v>
      </c>
      <c r="B3055" s="563">
        <v>30000</v>
      </c>
      <c r="C3055" s="564">
        <v>24</v>
      </c>
      <c r="D3055" s="564">
        <v>0.31</v>
      </c>
      <c r="E3055" s="564">
        <v>18612</v>
      </c>
      <c r="F3055" s="564">
        <v>48612</v>
      </c>
      <c r="G3055" s="564">
        <v>2100</v>
      </c>
      <c r="H3055" s="564">
        <v>1938</v>
      </c>
      <c r="I3055" s="557" t="str">
        <f t="shared" si="45"/>
        <v>GooD</v>
      </c>
    </row>
    <row r="3056" spans="1:9" ht="15.75" thickBot="1">
      <c r="A3056" s="565" t="s">
        <v>645</v>
      </c>
      <c r="B3056" s="565">
        <v>31000</v>
      </c>
      <c r="C3056" s="566">
        <v>4</v>
      </c>
      <c r="D3056" s="566">
        <v>0.31</v>
      </c>
      <c r="E3056" s="566">
        <v>3206</v>
      </c>
      <c r="F3056" s="566">
        <v>34206</v>
      </c>
      <c r="G3056" s="566">
        <v>362</v>
      </c>
      <c r="H3056" s="566">
        <v>8461</v>
      </c>
      <c r="I3056" s="558" t="str">
        <f t="shared" si="45"/>
        <v>GooD</v>
      </c>
    </row>
    <row r="3057" spans="1:9" ht="15.75" thickTop="1">
      <c r="A3057" s="567" t="s">
        <v>645</v>
      </c>
      <c r="B3057" s="567">
        <v>31000</v>
      </c>
      <c r="C3057" s="568">
        <v>6</v>
      </c>
      <c r="D3057" s="568">
        <v>0.31</v>
      </c>
      <c r="E3057" s="568">
        <v>4811</v>
      </c>
      <c r="F3057" s="568">
        <v>35811</v>
      </c>
      <c r="G3057" s="568">
        <v>543</v>
      </c>
      <c r="H3057" s="568">
        <v>5878</v>
      </c>
      <c r="I3057" s="559" t="str">
        <f t="shared" si="45"/>
        <v>GooD</v>
      </c>
    </row>
    <row r="3058" spans="1:9">
      <c r="A3058" s="563" t="s">
        <v>645</v>
      </c>
      <c r="B3058" s="563">
        <v>31000</v>
      </c>
      <c r="C3058" s="564">
        <v>8</v>
      </c>
      <c r="D3058" s="564">
        <v>0.31</v>
      </c>
      <c r="E3058" s="564">
        <v>6412</v>
      </c>
      <c r="F3058" s="564">
        <v>37412</v>
      </c>
      <c r="G3058" s="564">
        <v>724</v>
      </c>
      <c r="H3058" s="564">
        <v>4586</v>
      </c>
      <c r="I3058" s="557" t="str">
        <f t="shared" si="45"/>
        <v>GooD</v>
      </c>
    </row>
    <row r="3059" spans="1:9" ht="15.75" thickBot="1">
      <c r="A3059" s="565" t="s">
        <v>645</v>
      </c>
      <c r="B3059" s="565">
        <v>31000</v>
      </c>
      <c r="C3059" s="566">
        <v>10</v>
      </c>
      <c r="D3059" s="566">
        <v>0.31</v>
      </c>
      <c r="E3059" s="566">
        <v>8015</v>
      </c>
      <c r="F3059" s="566">
        <v>39015</v>
      </c>
      <c r="G3059" s="566">
        <v>905</v>
      </c>
      <c r="H3059" s="566">
        <v>3811</v>
      </c>
      <c r="I3059" s="558" t="str">
        <f t="shared" si="45"/>
        <v>GooD</v>
      </c>
    </row>
    <row r="3060" spans="1:9" ht="15.75" thickTop="1">
      <c r="A3060" s="567" t="s">
        <v>645</v>
      </c>
      <c r="B3060" s="567">
        <v>31000</v>
      </c>
      <c r="C3060" s="568">
        <v>12</v>
      </c>
      <c r="D3060" s="568">
        <v>0.31</v>
      </c>
      <c r="E3060" s="568">
        <v>9613</v>
      </c>
      <c r="F3060" s="568">
        <v>40613</v>
      </c>
      <c r="G3060" s="568">
        <v>1085</v>
      </c>
      <c r="H3060" s="568">
        <v>3294</v>
      </c>
      <c r="I3060" s="559" t="str">
        <f t="shared" si="45"/>
        <v>GooD</v>
      </c>
    </row>
    <row r="3061" spans="1:9">
      <c r="A3061" s="563" t="s">
        <v>645</v>
      </c>
      <c r="B3061" s="563">
        <v>31000</v>
      </c>
      <c r="C3061" s="564">
        <v>14</v>
      </c>
      <c r="D3061" s="564">
        <v>0.31</v>
      </c>
      <c r="E3061" s="564">
        <v>11216</v>
      </c>
      <c r="F3061" s="564">
        <v>42216</v>
      </c>
      <c r="G3061" s="564">
        <v>1266</v>
      </c>
      <c r="H3061" s="564">
        <v>2925</v>
      </c>
      <c r="I3061" s="557" t="str">
        <f t="shared" si="45"/>
        <v>GooD</v>
      </c>
    </row>
    <row r="3062" spans="1:9" ht="15.75" thickBot="1">
      <c r="A3062" s="565" t="s">
        <v>645</v>
      </c>
      <c r="B3062" s="565">
        <v>31000</v>
      </c>
      <c r="C3062" s="566">
        <v>16</v>
      </c>
      <c r="D3062" s="566">
        <v>0.31</v>
      </c>
      <c r="E3062" s="566">
        <v>12815</v>
      </c>
      <c r="F3062" s="566">
        <v>43815</v>
      </c>
      <c r="G3062" s="566">
        <v>1447</v>
      </c>
      <c r="H3062" s="566">
        <v>2648</v>
      </c>
      <c r="I3062" s="558" t="str">
        <f t="shared" si="45"/>
        <v>GooD</v>
      </c>
    </row>
    <row r="3063" spans="1:9" ht="15.75" thickTop="1">
      <c r="A3063" s="567" t="s">
        <v>645</v>
      </c>
      <c r="B3063" s="567">
        <v>31000</v>
      </c>
      <c r="C3063" s="568">
        <v>18</v>
      </c>
      <c r="D3063" s="568">
        <v>0.31</v>
      </c>
      <c r="E3063" s="568">
        <v>14422</v>
      </c>
      <c r="F3063" s="568">
        <v>45422</v>
      </c>
      <c r="G3063" s="568">
        <v>1628</v>
      </c>
      <c r="H3063" s="568">
        <v>2433</v>
      </c>
      <c r="I3063" s="559" t="str">
        <f t="shared" si="45"/>
        <v>GooD</v>
      </c>
    </row>
    <row r="3064" spans="1:9">
      <c r="A3064" s="563" t="s">
        <v>645</v>
      </c>
      <c r="B3064" s="563">
        <v>31000</v>
      </c>
      <c r="C3064" s="564">
        <v>20</v>
      </c>
      <c r="D3064" s="564">
        <v>0.31</v>
      </c>
      <c r="E3064" s="564">
        <v>16029</v>
      </c>
      <c r="F3064" s="564">
        <v>47029</v>
      </c>
      <c r="G3064" s="564">
        <v>1809</v>
      </c>
      <c r="H3064" s="564">
        <v>2261</v>
      </c>
      <c r="I3064" s="557" t="str">
        <f t="shared" si="45"/>
        <v>GooD</v>
      </c>
    </row>
    <row r="3065" spans="1:9" ht="15.75" thickBot="1">
      <c r="A3065" s="565" t="s">
        <v>645</v>
      </c>
      <c r="B3065" s="565">
        <v>31000</v>
      </c>
      <c r="C3065" s="566">
        <v>22</v>
      </c>
      <c r="D3065" s="566">
        <v>0.31</v>
      </c>
      <c r="E3065" s="566">
        <v>17630</v>
      </c>
      <c r="F3065" s="566">
        <v>48630</v>
      </c>
      <c r="G3065" s="566">
        <v>1990</v>
      </c>
      <c r="H3065" s="566">
        <v>2120</v>
      </c>
      <c r="I3065" s="558" t="str">
        <f t="shared" si="45"/>
        <v>GooD</v>
      </c>
    </row>
    <row r="3066" spans="1:9" ht="15.75" thickTop="1">
      <c r="A3066" s="567" t="s">
        <v>645</v>
      </c>
      <c r="B3066" s="567">
        <v>31000</v>
      </c>
      <c r="C3066" s="568">
        <v>24</v>
      </c>
      <c r="D3066" s="568">
        <v>0.31</v>
      </c>
      <c r="E3066" s="568">
        <v>19242</v>
      </c>
      <c r="F3066" s="568">
        <v>50242</v>
      </c>
      <c r="G3066" s="568">
        <v>2170</v>
      </c>
      <c r="H3066" s="568">
        <v>2003</v>
      </c>
      <c r="I3066" s="559" t="str">
        <f t="shared" si="45"/>
        <v>GooD</v>
      </c>
    </row>
    <row r="3067" spans="1:9">
      <c r="A3067" s="563" t="s">
        <v>645</v>
      </c>
      <c r="B3067" s="563">
        <v>32000</v>
      </c>
      <c r="C3067" s="564">
        <v>4</v>
      </c>
      <c r="D3067" s="564">
        <v>0.31</v>
      </c>
      <c r="E3067" s="564">
        <v>3310</v>
      </c>
      <c r="F3067" s="564">
        <v>35310</v>
      </c>
      <c r="G3067" s="564">
        <v>374</v>
      </c>
      <c r="H3067" s="564">
        <v>8734</v>
      </c>
      <c r="I3067" s="557" t="str">
        <f t="shared" si="45"/>
        <v>GooD</v>
      </c>
    </row>
    <row r="3068" spans="1:9" ht="15.75" thickBot="1">
      <c r="A3068" s="565" t="s">
        <v>645</v>
      </c>
      <c r="B3068" s="565">
        <v>32000</v>
      </c>
      <c r="C3068" s="566">
        <v>6</v>
      </c>
      <c r="D3068" s="566">
        <v>0.31</v>
      </c>
      <c r="E3068" s="566">
        <v>4962</v>
      </c>
      <c r="F3068" s="566">
        <v>36962</v>
      </c>
      <c r="G3068" s="566">
        <v>560</v>
      </c>
      <c r="H3068" s="566">
        <v>6067</v>
      </c>
      <c r="I3068" s="558" t="str">
        <f t="shared" si="45"/>
        <v>GooD</v>
      </c>
    </row>
    <row r="3069" spans="1:9" ht="15.75" thickTop="1">
      <c r="A3069" s="567" t="s">
        <v>645</v>
      </c>
      <c r="B3069" s="567">
        <v>32000</v>
      </c>
      <c r="C3069" s="568">
        <v>8</v>
      </c>
      <c r="D3069" s="568">
        <v>0.31</v>
      </c>
      <c r="E3069" s="568">
        <v>6619</v>
      </c>
      <c r="F3069" s="568">
        <v>38619</v>
      </c>
      <c r="G3069" s="568">
        <v>747</v>
      </c>
      <c r="H3069" s="568">
        <v>4734</v>
      </c>
      <c r="I3069" s="559" t="str">
        <f t="shared" si="45"/>
        <v>GooD</v>
      </c>
    </row>
    <row r="3070" spans="1:9">
      <c r="A3070" s="563" t="s">
        <v>645</v>
      </c>
      <c r="B3070" s="563">
        <v>32000</v>
      </c>
      <c r="C3070" s="564">
        <v>10</v>
      </c>
      <c r="D3070" s="564">
        <v>0.31</v>
      </c>
      <c r="E3070" s="564">
        <v>8274</v>
      </c>
      <c r="F3070" s="564">
        <v>40274</v>
      </c>
      <c r="G3070" s="564">
        <v>934</v>
      </c>
      <c r="H3070" s="564">
        <v>3934</v>
      </c>
      <c r="I3070" s="557" t="str">
        <f t="shared" si="45"/>
        <v>GooD</v>
      </c>
    </row>
    <row r="3071" spans="1:9" ht="15.75" thickBot="1">
      <c r="A3071" s="565" t="s">
        <v>645</v>
      </c>
      <c r="B3071" s="565">
        <v>32000</v>
      </c>
      <c r="C3071" s="566">
        <v>12</v>
      </c>
      <c r="D3071" s="566">
        <v>0.31</v>
      </c>
      <c r="E3071" s="566">
        <v>9932</v>
      </c>
      <c r="F3071" s="566">
        <v>41932</v>
      </c>
      <c r="G3071" s="566">
        <v>1120</v>
      </c>
      <c r="H3071" s="566">
        <v>3401</v>
      </c>
      <c r="I3071" s="558" t="str">
        <f t="shared" si="45"/>
        <v>GooD</v>
      </c>
    </row>
    <row r="3072" spans="1:9" ht="15.75" thickTop="1">
      <c r="A3072" s="567" t="s">
        <v>645</v>
      </c>
      <c r="B3072" s="567">
        <v>32000</v>
      </c>
      <c r="C3072" s="568">
        <v>14</v>
      </c>
      <c r="D3072" s="568">
        <v>0.31</v>
      </c>
      <c r="E3072" s="568">
        <v>11587</v>
      </c>
      <c r="F3072" s="568">
        <v>43587</v>
      </c>
      <c r="G3072" s="568">
        <v>1307</v>
      </c>
      <c r="H3072" s="568">
        <v>3020</v>
      </c>
      <c r="I3072" s="559" t="str">
        <f t="shared" si="45"/>
        <v>GooD</v>
      </c>
    </row>
    <row r="3073" spans="1:9">
      <c r="A3073" s="563" t="s">
        <v>645</v>
      </c>
      <c r="B3073" s="563">
        <v>32000</v>
      </c>
      <c r="C3073" s="564">
        <v>16</v>
      </c>
      <c r="D3073" s="564">
        <v>0.31</v>
      </c>
      <c r="E3073" s="564">
        <v>13238</v>
      </c>
      <c r="F3073" s="564">
        <v>45238</v>
      </c>
      <c r="G3073" s="564">
        <v>1494</v>
      </c>
      <c r="H3073" s="564">
        <v>2734</v>
      </c>
      <c r="I3073" s="557" t="str">
        <f t="shared" si="45"/>
        <v>GooD</v>
      </c>
    </row>
    <row r="3074" spans="1:9" ht="15.75" thickBot="1">
      <c r="A3074" s="565" t="s">
        <v>645</v>
      </c>
      <c r="B3074" s="565">
        <v>32000</v>
      </c>
      <c r="C3074" s="566">
        <v>18</v>
      </c>
      <c r="D3074" s="566">
        <v>0.31</v>
      </c>
      <c r="E3074" s="566">
        <v>14896</v>
      </c>
      <c r="F3074" s="566">
        <v>46896</v>
      </c>
      <c r="G3074" s="566">
        <v>1680</v>
      </c>
      <c r="H3074" s="566">
        <v>2512</v>
      </c>
      <c r="I3074" s="558" t="str">
        <f t="shared" si="45"/>
        <v>GooD</v>
      </c>
    </row>
    <row r="3075" spans="1:9" ht="15.75" thickTop="1">
      <c r="A3075" s="567" t="s">
        <v>645</v>
      </c>
      <c r="B3075" s="567">
        <v>32000</v>
      </c>
      <c r="C3075" s="568">
        <v>20</v>
      </c>
      <c r="D3075" s="568">
        <v>0.31</v>
      </c>
      <c r="E3075" s="568">
        <v>16547</v>
      </c>
      <c r="F3075" s="568">
        <v>48547</v>
      </c>
      <c r="G3075" s="568">
        <v>1867</v>
      </c>
      <c r="H3075" s="568">
        <v>2334</v>
      </c>
      <c r="I3075" s="559" t="str">
        <f t="shared" si="45"/>
        <v>GooD</v>
      </c>
    </row>
    <row r="3076" spans="1:9">
      <c r="A3076" s="563" t="s">
        <v>645</v>
      </c>
      <c r="B3076" s="563">
        <v>32000</v>
      </c>
      <c r="C3076" s="564">
        <v>22</v>
      </c>
      <c r="D3076" s="564">
        <v>0.31</v>
      </c>
      <c r="E3076" s="564">
        <v>18190</v>
      </c>
      <c r="F3076" s="564">
        <v>50190</v>
      </c>
      <c r="G3076" s="564">
        <v>2054</v>
      </c>
      <c r="H3076" s="564">
        <v>2188</v>
      </c>
      <c r="I3076" s="557" t="str">
        <f t="shared" si="45"/>
        <v>GooD</v>
      </c>
    </row>
    <row r="3077" spans="1:9" ht="15.75" thickBot="1">
      <c r="A3077" s="565" t="s">
        <v>645</v>
      </c>
      <c r="B3077" s="565">
        <v>32000</v>
      </c>
      <c r="C3077" s="566">
        <v>24</v>
      </c>
      <c r="D3077" s="566">
        <v>0.31</v>
      </c>
      <c r="E3077" s="566">
        <v>19848</v>
      </c>
      <c r="F3077" s="566">
        <v>51848</v>
      </c>
      <c r="G3077" s="566">
        <v>2240</v>
      </c>
      <c r="H3077" s="566">
        <v>2067</v>
      </c>
      <c r="I3077" s="558" t="str">
        <f t="shared" si="45"/>
        <v>GooD</v>
      </c>
    </row>
    <row r="3078" spans="1:9" ht="15.75" thickTop="1">
      <c r="A3078" s="567" t="s">
        <v>645</v>
      </c>
      <c r="B3078" s="567">
        <v>33000</v>
      </c>
      <c r="C3078" s="568">
        <v>4</v>
      </c>
      <c r="D3078" s="568">
        <v>0.31</v>
      </c>
      <c r="E3078" s="568">
        <v>3413</v>
      </c>
      <c r="F3078" s="568">
        <v>36413</v>
      </c>
      <c r="G3078" s="568">
        <v>385</v>
      </c>
      <c r="H3078" s="568">
        <v>9007</v>
      </c>
      <c r="I3078" s="559" t="str">
        <f t="shared" si="45"/>
        <v>GooD</v>
      </c>
    </row>
    <row r="3079" spans="1:9">
      <c r="A3079" s="563" t="s">
        <v>645</v>
      </c>
      <c r="B3079" s="563">
        <v>33000</v>
      </c>
      <c r="C3079" s="564">
        <v>6</v>
      </c>
      <c r="D3079" s="564">
        <v>0.31</v>
      </c>
      <c r="E3079" s="564">
        <v>5120</v>
      </c>
      <c r="F3079" s="564">
        <v>38120</v>
      </c>
      <c r="G3079" s="564">
        <v>578</v>
      </c>
      <c r="H3079" s="564">
        <v>6257</v>
      </c>
      <c r="I3079" s="557" t="str">
        <f t="shared" si="45"/>
        <v>GooD</v>
      </c>
    </row>
    <row r="3080" spans="1:9" ht="15.75" thickBot="1">
      <c r="A3080" s="565" t="s">
        <v>645</v>
      </c>
      <c r="B3080" s="565">
        <v>33000</v>
      </c>
      <c r="C3080" s="566">
        <v>8</v>
      </c>
      <c r="D3080" s="566">
        <v>0.31</v>
      </c>
      <c r="E3080" s="566">
        <v>6826</v>
      </c>
      <c r="F3080" s="566">
        <v>39826</v>
      </c>
      <c r="G3080" s="566">
        <v>770</v>
      </c>
      <c r="H3080" s="566">
        <v>4882</v>
      </c>
      <c r="I3080" s="558" t="str">
        <f t="shared" si="45"/>
        <v>GooD</v>
      </c>
    </row>
    <row r="3081" spans="1:9" ht="15.75" thickTop="1">
      <c r="A3081" s="567" t="s">
        <v>645</v>
      </c>
      <c r="B3081" s="567">
        <v>33000</v>
      </c>
      <c r="C3081" s="568">
        <v>10</v>
      </c>
      <c r="D3081" s="568">
        <v>0.31</v>
      </c>
      <c r="E3081" s="568">
        <v>8533</v>
      </c>
      <c r="F3081" s="568">
        <v>41533</v>
      </c>
      <c r="G3081" s="568">
        <v>963</v>
      </c>
      <c r="H3081" s="568">
        <v>4057</v>
      </c>
      <c r="I3081" s="559" t="str">
        <f t="shared" si="45"/>
        <v>GooD</v>
      </c>
    </row>
    <row r="3082" spans="1:9">
      <c r="A3082" s="563" t="s">
        <v>645</v>
      </c>
      <c r="B3082" s="563">
        <v>33000</v>
      </c>
      <c r="C3082" s="564">
        <v>12</v>
      </c>
      <c r="D3082" s="564">
        <v>0.31</v>
      </c>
      <c r="E3082" s="564">
        <v>10239</v>
      </c>
      <c r="F3082" s="564">
        <v>43239</v>
      </c>
      <c r="G3082" s="564">
        <v>1155</v>
      </c>
      <c r="H3082" s="564">
        <v>3507</v>
      </c>
      <c r="I3082" s="557" t="str">
        <f t="shared" si="45"/>
        <v>GooD</v>
      </c>
    </row>
    <row r="3083" spans="1:9" ht="15.75" thickBot="1">
      <c r="A3083" s="565" t="s">
        <v>645</v>
      </c>
      <c r="B3083" s="565">
        <v>33000</v>
      </c>
      <c r="C3083" s="566">
        <v>14</v>
      </c>
      <c r="D3083" s="566">
        <v>0.31</v>
      </c>
      <c r="E3083" s="566">
        <v>11944</v>
      </c>
      <c r="F3083" s="566">
        <v>44944</v>
      </c>
      <c r="G3083" s="566">
        <v>1348</v>
      </c>
      <c r="H3083" s="566">
        <v>3114</v>
      </c>
      <c r="I3083" s="558" t="str">
        <f t="shared" si="45"/>
        <v>GooD</v>
      </c>
    </row>
    <row r="3084" spans="1:9" ht="15.75" thickTop="1">
      <c r="A3084" s="567" t="s">
        <v>645</v>
      </c>
      <c r="B3084" s="567">
        <v>33000</v>
      </c>
      <c r="C3084" s="568">
        <v>16</v>
      </c>
      <c r="D3084" s="568">
        <v>0.31</v>
      </c>
      <c r="E3084" s="568">
        <v>13644</v>
      </c>
      <c r="F3084" s="568">
        <v>46644</v>
      </c>
      <c r="G3084" s="568">
        <v>1540</v>
      </c>
      <c r="H3084" s="568">
        <v>2819</v>
      </c>
      <c r="I3084" s="559" t="str">
        <f t="shared" si="45"/>
        <v>GooD</v>
      </c>
    </row>
    <row r="3085" spans="1:9">
      <c r="A3085" s="563" t="s">
        <v>645</v>
      </c>
      <c r="B3085" s="563">
        <v>33000</v>
      </c>
      <c r="C3085" s="564">
        <v>18</v>
      </c>
      <c r="D3085" s="564">
        <v>0.31</v>
      </c>
      <c r="E3085" s="564">
        <v>15353</v>
      </c>
      <c r="F3085" s="564">
        <v>48353</v>
      </c>
      <c r="G3085" s="564">
        <v>1733</v>
      </c>
      <c r="H3085" s="564">
        <v>2590</v>
      </c>
      <c r="I3085" s="557" t="str">
        <f t="shared" si="45"/>
        <v>GooD</v>
      </c>
    </row>
    <row r="3086" spans="1:9" ht="15.75" thickBot="1">
      <c r="A3086" s="565" t="s">
        <v>645</v>
      </c>
      <c r="B3086" s="565">
        <v>33000</v>
      </c>
      <c r="C3086" s="566">
        <v>20</v>
      </c>
      <c r="D3086" s="566">
        <v>0.31</v>
      </c>
      <c r="E3086" s="566">
        <v>17065</v>
      </c>
      <c r="F3086" s="566">
        <v>50065</v>
      </c>
      <c r="G3086" s="566">
        <v>1925</v>
      </c>
      <c r="H3086" s="566">
        <v>2407</v>
      </c>
      <c r="I3086" s="558" t="str">
        <f t="shared" si="45"/>
        <v>GooD</v>
      </c>
    </row>
    <row r="3087" spans="1:9" ht="15.75" thickTop="1">
      <c r="A3087" s="567" t="s">
        <v>645</v>
      </c>
      <c r="B3087" s="567">
        <v>33000</v>
      </c>
      <c r="C3087" s="568">
        <v>22</v>
      </c>
      <c r="D3087" s="568">
        <v>0.31</v>
      </c>
      <c r="E3087" s="568">
        <v>18772</v>
      </c>
      <c r="F3087" s="568">
        <v>51772</v>
      </c>
      <c r="G3087" s="568">
        <v>2118</v>
      </c>
      <c r="H3087" s="568">
        <v>2257</v>
      </c>
      <c r="I3087" s="559" t="str">
        <f t="shared" ref="I3087:I3152" si="46">IF(((H3087*C3087)+G3087)=F3087,"GooD","لالالالالالالا")</f>
        <v>GooD</v>
      </c>
    </row>
    <row r="3088" spans="1:9">
      <c r="A3088" s="563" t="s">
        <v>645</v>
      </c>
      <c r="B3088" s="563">
        <v>33000</v>
      </c>
      <c r="C3088" s="564">
        <v>24</v>
      </c>
      <c r="D3088" s="564">
        <v>0.31</v>
      </c>
      <c r="E3088" s="564">
        <v>20478</v>
      </c>
      <c r="F3088" s="564">
        <v>53478</v>
      </c>
      <c r="G3088" s="564">
        <v>2310</v>
      </c>
      <c r="H3088" s="564">
        <v>2132</v>
      </c>
      <c r="I3088" s="557" t="str">
        <f t="shared" si="46"/>
        <v>GooD</v>
      </c>
    </row>
    <row r="3089" spans="1:9" ht="15.75" thickBot="1">
      <c r="A3089" s="565" t="s">
        <v>645</v>
      </c>
      <c r="B3089" s="565">
        <v>34000</v>
      </c>
      <c r="C3089" s="566">
        <v>4</v>
      </c>
      <c r="D3089" s="566">
        <v>0.31</v>
      </c>
      <c r="E3089" s="566">
        <v>3517</v>
      </c>
      <c r="F3089" s="566">
        <v>37517</v>
      </c>
      <c r="G3089" s="566">
        <v>397</v>
      </c>
      <c r="H3089" s="566">
        <v>9280</v>
      </c>
      <c r="I3089" s="558" t="str">
        <f t="shared" si="46"/>
        <v>GooD</v>
      </c>
    </row>
    <row r="3090" spans="1:9" ht="15.75" thickTop="1">
      <c r="A3090" s="567" t="s">
        <v>645</v>
      </c>
      <c r="B3090" s="567">
        <v>34000</v>
      </c>
      <c r="C3090" s="568">
        <v>6</v>
      </c>
      <c r="D3090" s="568">
        <v>0.31</v>
      </c>
      <c r="E3090" s="568">
        <v>5271</v>
      </c>
      <c r="F3090" s="568">
        <v>39271</v>
      </c>
      <c r="G3090" s="568">
        <v>595</v>
      </c>
      <c r="H3090" s="568">
        <v>6446</v>
      </c>
      <c r="I3090" s="559" t="str">
        <f t="shared" si="46"/>
        <v>GooD</v>
      </c>
    </row>
    <row r="3091" spans="1:9">
      <c r="A3091" s="563" t="s">
        <v>645</v>
      </c>
      <c r="B3091" s="563">
        <v>34000</v>
      </c>
      <c r="C3091" s="564">
        <v>8</v>
      </c>
      <c r="D3091" s="564">
        <v>0.31</v>
      </c>
      <c r="E3091" s="564">
        <v>7034</v>
      </c>
      <c r="F3091" s="564">
        <v>41034</v>
      </c>
      <c r="G3091" s="564">
        <v>794</v>
      </c>
      <c r="H3091" s="564">
        <v>5030</v>
      </c>
      <c r="I3091" s="557" t="str">
        <f t="shared" si="46"/>
        <v>GooD</v>
      </c>
    </row>
    <row r="3092" spans="1:9" ht="15.75" thickBot="1">
      <c r="A3092" s="565" t="s">
        <v>645</v>
      </c>
      <c r="B3092" s="565">
        <v>34000</v>
      </c>
      <c r="C3092" s="566">
        <v>10</v>
      </c>
      <c r="D3092" s="566">
        <v>0.31</v>
      </c>
      <c r="E3092" s="566">
        <v>8792</v>
      </c>
      <c r="F3092" s="566">
        <v>42792</v>
      </c>
      <c r="G3092" s="566">
        <v>992</v>
      </c>
      <c r="H3092" s="566">
        <v>4180</v>
      </c>
      <c r="I3092" s="558" t="str">
        <f t="shared" si="46"/>
        <v>GooD</v>
      </c>
    </row>
    <row r="3093" spans="1:9" ht="15.75" thickTop="1">
      <c r="A3093" s="567" t="s">
        <v>645</v>
      </c>
      <c r="B3093" s="567">
        <v>34000</v>
      </c>
      <c r="C3093" s="568">
        <v>12</v>
      </c>
      <c r="D3093" s="568">
        <v>0.31</v>
      </c>
      <c r="E3093" s="568">
        <v>10546</v>
      </c>
      <c r="F3093" s="568">
        <v>44546</v>
      </c>
      <c r="G3093" s="568">
        <v>1190</v>
      </c>
      <c r="H3093" s="568">
        <v>3613</v>
      </c>
      <c r="I3093" s="559" t="str">
        <f t="shared" si="46"/>
        <v>GooD</v>
      </c>
    </row>
    <row r="3094" spans="1:9">
      <c r="A3094" s="563" t="s">
        <v>645</v>
      </c>
      <c r="B3094" s="563">
        <v>34000</v>
      </c>
      <c r="C3094" s="564">
        <v>14</v>
      </c>
      <c r="D3094" s="564">
        <v>0.31</v>
      </c>
      <c r="E3094" s="564">
        <v>12301</v>
      </c>
      <c r="F3094" s="564">
        <v>46301</v>
      </c>
      <c r="G3094" s="564">
        <v>1389</v>
      </c>
      <c r="H3094" s="564">
        <v>3208</v>
      </c>
      <c r="I3094" s="557" t="str">
        <f t="shared" si="46"/>
        <v>GooD</v>
      </c>
    </row>
    <row r="3095" spans="1:9" ht="15.75" thickBot="1">
      <c r="A3095" s="565" t="s">
        <v>645</v>
      </c>
      <c r="B3095" s="565">
        <v>34000</v>
      </c>
      <c r="C3095" s="566">
        <v>16</v>
      </c>
      <c r="D3095" s="566">
        <v>0.31</v>
      </c>
      <c r="E3095" s="566">
        <v>14067</v>
      </c>
      <c r="F3095" s="566">
        <v>48067</v>
      </c>
      <c r="G3095" s="566">
        <v>1587</v>
      </c>
      <c r="H3095" s="566">
        <v>2905</v>
      </c>
      <c r="I3095" s="558" t="str">
        <f t="shared" si="46"/>
        <v>GooD</v>
      </c>
    </row>
    <row r="3096" spans="1:9" ht="15.75" thickTop="1">
      <c r="A3096" s="567" t="s">
        <v>645</v>
      </c>
      <c r="B3096" s="567">
        <v>34000</v>
      </c>
      <c r="C3096" s="568">
        <v>18</v>
      </c>
      <c r="D3096" s="568">
        <v>0.31</v>
      </c>
      <c r="E3096" s="568">
        <v>15827</v>
      </c>
      <c r="F3096" s="568">
        <v>49827</v>
      </c>
      <c r="G3096" s="568">
        <v>1785</v>
      </c>
      <c r="H3096" s="568">
        <v>2669</v>
      </c>
      <c r="I3096" s="559" t="str">
        <f t="shared" si="46"/>
        <v>GooD</v>
      </c>
    </row>
    <row r="3097" spans="1:9">
      <c r="A3097" s="563" t="s">
        <v>645</v>
      </c>
      <c r="B3097" s="563">
        <v>34000</v>
      </c>
      <c r="C3097" s="564">
        <v>20</v>
      </c>
      <c r="D3097" s="564">
        <v>0.31</v>
      </c>
      <c r="E3097" s="564">
        <v>17584</v>
      </c>
      <c r="F3097" s="564">
        <v>51584</v>
      </c>
      <c r="G3097" s="564">
        <v>1984</v>
      </c>
      <c r="H3097" s="564">
        <v>2480</v>
      </c>
      <c r="I3097" s="557" t="str">
        <f t="shared" si="46"/>
        <v>GooD</v>
      </c>
    </row>
    <row r="3098" spans="1:9" ht="15.75" thickBot="1">
      <c r="A3098" s="565" t="s">
        <v>645</v>
      </c>
      <c r="B3098" s="565">
        <v>34000</v>
      </c>
      <c r="C3098" s="566">
        <v>22</v>
      </c>
      <c r="D3098" s="566">
        <v>0.31</v>
      </c>
      <c r="E3098" s="566">
        <v>19332</v>
      </c>
      <c r="F3098" s="566">
        <v>53332</v>
      </c>
      <c r="G3098" s="566">
        <v>2182</v>
      </c>
      <c r="H3098" s="566">
        <v>2325</v>
      </c>
      <c r="I3098" s="558" t="str">
        <f t="shared" si="46"/>
        <v>GooD</v>
      </c>
    </row>
    <row r="3099" spans="1:9" ht="15.75" thickTop="1">
      <c r="A3099" s="567" t="s">
        <v>645</v>
      </c>
      <c r="B3099" s="567">
        <v>34000</v>
      </c>
      <c r="C3099" s="568">
        <v>24</v>
      </c>
      <c r="D3099" s="568">
        <v>0.31</v>
      </c>
      <c r="E3099" s="568">
        <v>21084</v>
      </c>
      <c r="F3099" s="568">
        <v>55084</v>
      </c>
      <c r="G3099" s="568">
        <v>2380</v>
      </c>
      <c r="H3099" s="568">
        <v>2196</v>
      </c>
      <c r="I3099" s="559" t="str">
        <f t="shared" si="46"/>
        <v>GooD</v>
      </c>
    </row>
    <row r="3100" spans="1:9">
      <c r="A3100" s="563" t="s">
        <v>645</v>
      </c>
      <c r="B3100" s="563">
        <v>35000</v>
      </c>
      <c r="C3100" s="564">
        <v>4</v>
      </c>
      <c r="D3100" s="564">
        <v>0.31</v>
      </c>
      <c r="E3100" s="564">
        <v>3621</v>
      </c>
      <c r="F3100" s="564">
        <v>38621</v>
      </c>
      <c r="G3100" s="564">
        <v>409</v>
      </c>
      <c r="H3100" s="564">
        <v>9553</v>
      </c>
      <c r="I3100" s="557" t="str">
        <f t="shared" si="46"/>
        <v>GooD</v>
      </c>
    </row>
    <row r="3101" spans="1:9" ht="15.75" thickBot="1">
      <c r="A3101" s="565" t="s">
        <v>645</v>
      </c>
      <c r="B3101" s="565">
        <v>35000</v>
      </c>
      <c r="C3101" s="566">
        <v>6</v>
      </c>
      <c r="D3101" s="566">
        <v>0.31</v>
      </c>
      <c r="E3101" s="566">
        <v>5429</v>
      </c>
      <c r="F3101" s="566">
        <v>40429</v>
      </c>
      <c r="G3101" s="566">
        <v>613</v>
      </c>
      <c r="H3101" s="566">
        <v>6636</v>
      </c>
      <c r="I3101" s="558" t="str">
        <f t="shared" si="46"/>
        <v>GooD</v>
      </c>
    </row>
    <row r="3102" spans="1:9" ht="15.75" thickTop="1">
      <c r="A3102" s="567" t="s">
        <v>645</v>
      </c>
      <c r="B3102" s="567">
        <v>35000</v>
      </c>
      <c r="C3102" s="568">
        <v>8</v>
      </c>
      <c r="D3102" s="568">
        <v>0.31</v>
      </c>
      <c r="E3102" s="568">
        <v>7241</v>
      </c>
      <c r="F3102" s="568">
        <v>42241</v>
      </c>
      <c r="G3102" s="568">
        <v>817</v>
      </c>
      <c r="H3102" s="568">
        <v>5178</v>
      </c>
      <c r="I3102" s="559" t="str">
        <f t="shared" si="46"/>
        <v>GooD</v>
      </c>
    </row>
    <row r="3103" spans="1:9">
      <c r="A3103" s="563" t="s">
        <v>645</v>
      </c>
      <c r="B3103" s="563">
        <v>35000</v>
      </c>
      <c r="C3103" s="564">
        <v>10</v>
      </c>
      <c r="D3103" s="564">
        <v>0.31</v>
      </c>
      <c r="E3103" s="564">
        <v>9051</v>
      </c>
      <c r="F3103" s="564">
        <v>44051</v>
      </c>
      <c r="G3103" s="564">
        <v>1021</v>
      </c>
      <c r="H3103" s="564">
        <v>4303</v>
      </c>
      <c r="I3103" s="557" t="str">
        <f t="shared" si="46"/>
        <v>GooD</v>
      </c>
    </row>
    <row r="3104" spans="1:9" ht="15.75" thickBot="1">
      <c r="A3104" s="565" t="s">
        <v>645</v>
      </c>
      <c r="B3104" s="565">
        <v>35000</v>
      </c>
      <c r="C3104" s="566">
        <v>12</v>
      </c>
      <c r="D3104" s="566">
        <v>0.31</v>
      </c>
      <c r="E3104" s="566">
        <v>10853</v>
      </c>
      <c r="F3104" s="566">
        <v>45853</v>
      </c>
      <c r="G3104" s="566">
        <v>1225</v>
      </c>
      <c r="H3104" s="566">
        <v>3719</v>
      </c>
      <c r="I3104" s="558" t="str">
        <f t="shared" si="46"/>
        <v>GooD</v>
      </c>
    </row>
    <row r="3105" spans="1:9" ht="15.75" thickTop="1">
      <c r="A3105" s="567" t="s">
        <v>645</v>
      </c>
      <c r="B3105" s="567">
        <v>35000</v>
      </c>
      <c r="C3105" s="568">
        <v>14</v>
      </c>
      <c r="D3105" s="568">
        <v>0.31</v>
      </c>
      <c r="E3105" s="568">
        <v>12672</v>
      </c>
      <c r="F3105" s="568">
        <v>47672</v>
      </c>
      <c r="G3105" s="568">
        <v>1430</v>
      </c>
      <c r="H3105" s="568">
        <v>3303</v>
      </c>
      <c r="I3105" s="559" t="str">
        <f t="shared" si="46"/>
        <v>GooD</v>
      </c>
    </row>
    <row r="3106" spans="1:9">
      <c r="A3106" s="563" t="s">
        <v>645</v>
      </c>
      <c r="B3106" s="563">
        <v>35000</v>
      </c>
      <c r="C3106" s="564">
        <v>16</v>
      </c>
      <c r="D3106" s="564">
        <v>0.31</v>
      </c>
      <c r="E3106" s="564">
        <v>14474</v>
      </c>
      <c r="F3106" s="564">
        <v>49474</v>
      </c>
      <c r="G3106" s="564">
        <v>1634</v>
      </c>
      <c r="H3106" s="564">
        <v>2990</v>
      </c>
      <c r="I3106" s="557" t="str">
        <f t="shared" si="46"/>
        <v>GooD</v>
      </c>
    </row>
    <row r="3107" spans="1:9" ht="15.75" thickBot="1">
      <c r="A3107" s="565" t="s">
        <v>645</v>
      </c>
      <c r="B3107" s="565">
        <v>35000</v>
      </c>
      <c r="C3107" s="566">
        <v>18</v>
      </c>
      <c r="D3107" s="566">
        <v>0.31</v>
      </c>
      <c r="E3107" s="566">
        <v>16284</v>
      </c>
      <c r="F3107" s="566">
        <v>51284</v>
      </c>
      <c r="G3107" s="566">
        <v>1838</v>
      </c>
      <c r="H3107" s="566">
        <v>2747</v>
      </c>
      <c r="I3107" s="558" t="str">
        <f t="shared" si="46"/>
        <v>GooD</v>
      </c>
    </row>
    <row r="3108" spans="1:9" ht="15.75" thickTop="1">
      <c r="A3108" s="567" t="s">
        <v>645</v>
      </c>
      <c r="B3108" s="567">
        <v>35000</v>
      </c>
      <c r="C3108" s="568">
        <v>20</v>
      </c>
      <c r="D3108" s="568">
        <v>0.31</v>
      </c>
      <c r="E3108" s="568">
        <v>18102</v>
      </c>
      <c r="F3108" s="568">
        <v>53102</v>
      </c>
      <c r="G3108" s="568">
        <v>2042</v>
      </c>
      <c r="H3108" s="568">
        <v>2553</v>
      </c>
      <c r="I3108" s="559" t="str">
        <f t="shared" si="46"/>
        <v>GooD</v>
      </c>
    </row>
    <row r="3109" spans="1:9">
      <c r="A3109" s="563" t="s">
        <v>645</v>
      </c>
      <c r="B3109" s="563">
        <v>35000</v>
      </c>
      <c r="C3109" s="564">
        <v>22</v>
      </c>
      <c r="D3109" s="564">
        <v>0.31</v>
      </c>
      <c r="E3109" s="564">
        <v>19892</v>
      </c>
      <c r="F3109" s="564">
        <v>54892</v>
      </c>
      <c r="G3109" s="564">
        <v>2246</v>
      </c>
      <c r="H3109" s="564">
        <v>2393</v>
      </c>
      <c r="I3109" s="557" t="str">
        <f t="shared" si="46"/>
        <v>GooD</v>
      </c>
    </row>
    <row r="3110" spans="1:9" ht="15.75" thickBot="1">
      <c r="A3110" s="565" t="s">
        <v>645</v>
      </c>
      <c r="B3110" s="565">
        <v>35000</v>
      </c>
      <c r="C3110" s="566">
        <v>24</v>
      </c>
      <c r="D3110" s="566">
        <v>0.31</v>
      </c>
      <c r="E3110" s="566">
        <v>21714</v>
      </c>
      <c r="F3110" s="566">
        <v>56714</v>
      </c>
      <c r="G3110" s="566">
        <v>2450</v>
      </c>
      <c r="H3110" s="566">
        <v>2261</v>
      </c>
      <c r="I3110" s="558" t="str">
        <f t="shared" si="46"/>
        <v>GooD</v>
      </c>
    </row>
    <row r="3111" spans="1:9" ht="15.75" thickTop="1">
      <c r="A3111" s="567" t="s">
        <v>645</v>
      </c>
      <c r="B3111" s="567">
        <v>36000</v>
      </c>
      <c r="C3111" s="568">
        <v>4</v>
      </c>
      <c r="D3111" s="568">
        <v>0.31</v>
      </c>
      <c r="E3111" s="568">
        <v>3724</v>
      </c>
      <c r="F3111" s="568">
        <v>39724</v>
      </c>
      <c r="G3111" s="568">
        <v>420</v>
      </c>
      <c r="H3111" s="568">
        <v>9826</v>
      </c>
      <c r="I3111" s="559" t="str">
        <f t="shared" si="46"/>
        <v>GooD</v>
      </c>
    </row>
    <row r="3112" spans="1:9">
      <c r="A3112" s="563" t="s">
        <v>645</v>
      </c>
      <c r="B3112" s="563">
        <v>36000</v>
      </c>
      <c r="C3112" s="564">
        <v>6</v>
      </c>
      <c r="D3112" s="564">
        <v>0.31</v>
      </c>
      <c r="E3112" s="564">
        <v>5586</v>
      </c>
      <c r="F3112" s="564">
        <v>41586</v>
      </c>
      <c r="G3112" s="564">
        <v>630</v>
      </c>
      <c r="H3112" s="564">
        <v>6826</v>
      </c>
      <c r="I3112" s="557" t="str">
        <f t="shared" si="46"/>
        <v>GooD</v>
      </c>
    </row>
    <row r="3113" spans="1:9" ht="15.75" thickBot="1">
      <c r="A3113" s="565" t="s">
        <v>645</v>
      </c>
      <c r="B3113" s="565">
        <v>36000</v>
      </c>
      <c r="C3113" s="566">
        <v>8</v>
      </c>
      <c r="D3113" s="566">
        <v>0.31</v>
      </c>
      <c r="E3113" s="566">
        <v>7448</v>
      </c>
      <c r="F3113" s="566">
        <v>43448</v>
      </c>
      <c r="G3113" s="566">
        <v>840</v>
      </c>
      <c r="H3113" s="566">
        <v>5326</v>
      </c>
      <c r="I3113" s="558" t="str">
        <f t="shared" si="46"/>
        <v>GooD</v>
      </c>
    </row>
    <row r="3114" spans="1:9" ht="15.75" thickTop="1">
      <c r="A3114" s="567" t="s">
        <v>645</v>
      </c>
      <c r="B3114" s="567">
        <v>36000</v>
      </c>
      <c r="C3114" s="568">
        <v>10</v>
      </c>
      <c r="D3114" s="568">
        <v>0.31</v>
      </c>
      <c r="E3114" s="568">
        <v>9310</v>
      </c>
      <c r="F3114" s="568">
        <v>45310</v>
      </c>
      <c r="G3114" s="568">
        <v>1050</v>
      </c>
      <c r="H3114" s="568">
        <v>4426</v>
      </c>
      <c r="I3114" s="559" t="str">
        <f t="shared" si="46"/>
        <v>GooD</v>
      </c>
    </row>
    <row r="3115" spans="1:9">
      <c r="A3115" s="563" t="s">
        <v>645</v>
      </c>
      <c r="B3115" s="563">
        <v>36000</v>
      </c>
      <c r="C3115" s="564">
        <v>12</v>
      </c>
      <c r="D3115" s="564">
        <v>0.31</v>
      </c>
      <c r="E3115" s="564">
        <v>11172</v>
      </c>
      <c r="F3115" s="564">
        <v>47172</v>
      </c>
      <c r="G3115" s="564">
        <v>1260</v>
      </c>
      <c r="H3115" s="564">
        <v>3826</v>
      </c>
      <c r="I3115" s="557" t="str">
        <f t="shared" si="46"/>
        <v>GooD</v>
      </c>
    </row>
    <row r="3116" spans="1:9" ht="15.75" thickBot="1">
      <c r="A3116" s="565" t="s">
        <v>645</v>
      </c>
      <c r="B3116" s="565">
        <v>36000</v>
      </c>
      <c r="C3116" s="566">
        <v>14</v>
      </c>
      <c r="D3116" s="566">
        <v>0.31</v>
      </c>
      <c r="E3116" s="566">
        <v>13028</v>
      </c>
      <c r="F3116" s="566">
        <v>49028</v>
      </c>
      <c r="G3116" s="566">
        <v>1470</v>
      </c>
      <c r="H3116" s="566">
        <v>3397</v>
      </c>
      <c r="I3116" s="558" t="str">
        <f t="shared" si="46"/>
        <v>GooD</v>
      </c>
    </row>
    <row r="3117" spans="1:9" ht="15.75" thickTop="1">
      <c r="A3117" s="567" t="s">
        <v>645</v>
      </c>
      <c r="B3117" s="567">
        <v>36000</v>
      </c>
      <c r="C3117" s="568">
        <v>16</v>
      </c>
      <c r="D3117" s="568">
        <v>0.31</v>
      </c>
      <c r="E3117" s="568">
        <v>14896</v>
      </c>
      <c r="F3117" s="568">
        <v>50896</v>
      </c>
      <c r="G3117" s="568">
        <v>1680</v>
      </c>
      <c r="H3117" s="568">
        <v>3076</v>
      </c>
      <c r="I3117" s="559" t="str">
        <f t="shared" si="46"/>
        <v>GooD</v>
      </c>
    </row>
    <row r="3118" spans="1:9">
      <c r="A3118" s="563" t="s">
        <v>645</v>
      </c>
      <c r="B3118" s="563">
        <v>36000</v>
      </c>
      <c r="C3118" s="564">
        <v>18</v>
      </c>
      <c r="D3118" s="564">
        <v>0.31</v>
      </c>
      <c r="E3118" s="564">
        <v>16758</v>
      </c>
      <c r="F3118" s="564">
        <v>52758</v>
      </c>
      <c r="G3118" s="564">
        <v>1890</v>
      </c>
      <c r="H3118" s="564">
        <v>2826</v>
      </c>
      <c r="I3118" s="557" t="str">
        <f t="shared" si="46"/>
        <v>GooD</v>
      </c>
    </row>
    <row r="3119" spans="1:9" ht="15.75" thickBot="1">
      <c r="A3119" s="565" t="s">
        <v>645</v>
      </c>
      <c r="B3119" s="565">
        <v>36000</v>
      </c>
      <c r="C3119" s="566">
        <v>20</v>
      </c>
      <c r="D3119" s="566">
        <v>0.31</v>
      </c>
      <c r="E3119" s="566">
        <v>18620</v>
      </c>
      <c r="F3119" s="566">
        <v>54620</v>
      </c>
      <c r="G3119" s="566">
        <v>2100</v>
      </c>
      <c r="H3119" s="566">
        <v>2626</v>
      </c>
      <c r="I3119" s="558" t="str">
        <f t="shared" si="46"/>
        <v>GooD</v>
      </c>
    </row>
    <row r="3120" spans="1:9" ht="15.75" thickTop="1">
      <c r="A3120" s="567" t="s">
        <v>645</v>
      </c>
      <c r="B3120" s="567">
        <v>36000</v>
      </c>
      <c r="C3120" s="568">
        <v>22</v>
      </c>
      <c r="D3120" s="568">
        <v>0.31</v>
      </c>
      <c r="E3120" s="568">
        <v>20474</v>
      </c>
      <c r="F3120" s="568">
        <v>56474</v>
      </c>
      <c r="G3120" s="568">
        <v>2310</v>
      </c>
      <c r="H3120" s="568">
        <v>2462</v>
      </c>
      <c r="I3120" s="559" t="str">
        <f t="shared" si="46"/>
        <v>GooD</v>
      </c>
    </row>
    <row r="3121" spans="1:9">
      <c r="A3121" s="563" t="s">
        <v>645</v>
      </c>
      <c r="B3121" s="563">
        <v>36000</v>
      </c>
      <c r="C3121" s="564">
        <v>24</v>
      </c>
      <c r="D3121" s="564">
        <v>0.31</v>
      </c>
      <c r="E3121" s="564">
        <v>22344</v>
      </c>
      <c r="F3121" s="564">
        <v>58344</v>
      </c>
      <c r="G3121" s="564">
        <v>2520</v>
      </c>
      <c r="H3121" s="564">
        <v>2326</v>
      </c>
      <c r="I3121" s="557" t="str">
        <f t="shared" si="46"/>
        <v>GooD</v>
      </c>
    </row>
    <row r="3122" spans="1:9" ht="15.75" thickBot="1">
      <c r="A3122" s="565" t="s">
        <v>645</v>
      </c>
      <c r="B3122" s="565">
        <v>37000</v>
      </c>
      <c r="C3122" s="566">
        <v>4</v>
      </c>
      <c r="D3122" s="566">
        <v>0.31</v>
      </c>
      <c r="E3122" s="566">
        <v>3824</v>
      </c>
      <c r="F3122" s="566">
        <v>40824</v>
      </c>
      <c r="G3122" s="566">
        <v>432</v>
      </c>
      <c r="H3122" s="566">
        <v>10098</v>
      </c>
      <c r="I3122" s="558" t="str">
        <f t="shared" si="46"/>
        <v>GooD</v>
      </c>
    </row>
    <row r="3123" spans="1:9" ht="15.75" thickTop="1">
      <c r="A3123" s="567" t="s">
        <v>645</v>
      </c>
      <c r="B3123" s="567">
        <v>37000</v>
      </c>
      <c r="C3123" s="568">
        <v>6</v>
      </c>
      <c r="D3123" s="568">
        <v>0.31</v>
      </c>
      <c r="E3123" s="568">
        <v>5738</v>
      </c>
      <c r="F3123" s="568">
        <v>42738</v>
      </c>
      <c r="G3123" s="568">
        <v>648</v>
      </c>
      <c r="H3123" s="568">
        <v>7015</v>
      </c>
      <c r="I3123" s="559" t="str">
        <f t="shared" si="46"/>
        <v>GooD</v>
      </c>
    </row>
    <row r="3124" spans="1:9">
      <c r="A3124" s="563" t="s">
        <v>645</v>
      </c>
      <c r="B3124" s="563">
        <v>37000</v>
      </c>
      <c r="C3124" s="564">
        <v>8</v>
      </c>
      <c r="D3124" s="564">
        <v>0.31</v>
      </c>
      <c r="E3124" s="564">
        <v>7648</v>
      </c>
      <c r="F3124" s="564">
        <v>44648</v>
      </c>
      <c r="G3124" s="564">
        <v>864</v>
      </c>
      <c r="H3124" s="564">
        <v>5473</v>
      </c>
      <c r="I3124" s="557" t="str">
        <f t="shared" si="46"/>
        <v>GooD</v>
      </c>
    </row>
    <row r="3125" spans="1:9" ht="15.75" thickBot="1">
      <c r="A3125" s="565" t="s">
        <v>645</v>
      </c>
      <c r="B3125" s="565">
        <v>37000</v>
      </c>
      <c r="C3125" s="566">
        <v>10</v>
      </c>
      <c r="D3125" s="566">
        <v>0.31</v>
      </c>
      <c r="E3125" s="566">
        <v>9560</v>
      </c>
      <c r="F3125" s="566">
        <v>46560</v>
      </c>
      <c r="G3125" s="566">
        <v>1080</v>
      </c>
      <c r="H3125" s="566">
        <v>4548</v>
      </c>
      <c r="I3125" s="558" t="str">
        <f t="shared" si="46"/>
        <v>GooD</v>
      </c>
    </row>
    <row r="3126" spans="1:9" ht="15.75" thickTop="1">
      <c r="A3126" s="567" t="s">
        <v>645</v>
      </c>
      <c r="B3126" s="567">
        <v>37000</v>
      </c>
      <c r="C3126" s="568">
        <v>12</v>
      </c>
      <c r="D3126" s="568">
        <v>0.31</v>
      </c>
      <c r="E3126" s="568">
        <v>11479</v>
      </c>
      <c r="F3126" s="568">
        <v>48479</v>
      </c>
      <c r="G3126" s="568">
        <v>1295</v>
      </c>
      <c r="H3126" s="568">
        <v>3932</v>
      </c>
      <c r="I3126" s="559" t="str">
        <f t="shared" si="46"/>
        <v>GooD</v>
      </c>
    </row>
    <row r="3127" spans="1:9">
      <c r="A3127" s="563" t="s">
        <v>645</v>
      </c>
      <c r="B3127" s="563">
        <v>37000</v>
      </c>
      <c r="C3127" s="564">
        <v>14</v>
      </c>
      <c r="D3127" s="564">
        <v>0.31</v>
      </c>
      <c r="E3127" s="564">
        <v>13385</v>
      </c>
      <c r="F3127" s="564">
        <v>50385</v>
      </c>
      <c r="G3127" s="564">
        <v>1511</v>
      </c>
      <c r="H3127" s="564">
        <v>3491</v>
      </c>
      <c r="I3127" s="557" t="str">
        <f t="shared" si="46"/>
        <v>GooD</v>
      </c>
    </row>
    <row r="3128" spans="1:9" ht="15.75" thickBot="1">
      <c r="A3128" s="565" t="s">
        <v>645</v>
      </c>
      <c r="B3128" s="565">
        <v>37000</v>
      </c>
      <c r="C3128" s="566">
        <v>16</v>
      </c>
      <c r="D3128" s="566">
        <v>0.31</v>
      </c>
      <c r="E3128" s="566">
        <v>15303</v>
      </c>
      <c r="F3128" s="566">
        <v>52303</v>
      </c>
      <c r="G3128" s="566">
        <v>1727</v>
      </c>
      <c r="H3128" s="566">
        <v>3161</v>
      </c>
      <c r="I3128" s="558" t="str">
        <f t="shared" si="46"/>
        <v>GooD</v>
      </c>
    </row>
    <row r="3129" spans="1:9" ht="15.75" thickTop="1">
      <c r="A3129" s="567" t="s">
        <v>645</v>
      </c>
      <c r="B3129" s="567">
        <v>37000</v>
      </c>
      <c r="C3129" s="568">
        <v>18</v>
      </c>
      <c r="D3129" s="568">
        <v>0.31</v>
      </c>
      <c r="E3129" s="568">
        <v>17215</v>
      </c>
      <c r="F3129" s="568">
        <v>54215</v>
      </c>
      <c r="G3129" s="568">
        <v>1943</v>
      </c>
      <c r="H3129" s="568">
        <v>2904</v>
      </c>
      <c r="I3129" s="559" t="str">
        <f t="shared" si="46"/>
        <v>GooD</v>
      </c>
    </row>
    <row r="3130" spans="1:9">
      <c r="A3130" s="563" t="s">
        <v>645</v>
      </c>
      <c r="B3130" s="563">
        <v>37000</v>
      </c>
      <c r="C3130" s="564">
        <v>20</v>
      </c>
      <c r="D3130" s="564">
        <v>0.31</v>
      </c>
      <c r="E3130" s="564">
        <v>19119</v>
      </c>
      <c r="F3130" s="564">
        <v>56119</v>
      </c>
      <c r="G3130" s="564">
        <v>2159</v>
      </c>
      <c r="H3130" s="564">
        <v>2698</v>
      </c>
      <c r="I3130" s="557" t="str">
        <f t="shared" si="46"/>
        <v>GooD</v>
      </c>
    </row>
    <row r="3131" spans="1:9" ht="15.75" thickBot="1">
      <c r="A3131" s="565" t="s">
        <v>645</v>
      </c>
      <c r="B3131" s="565">
        <v>37000</v>
      </c>
      <c r="C3131" s="566">
        <v>22</v>
      </c>
      <c r="D3131" s="566">
        <v>0.31</v>
      </c>
      <c r="E3131" s="566">
        <v>21035</v>
      </c>
      <c r="F3131" s="566">
        <v>58035</v>
      </c>
      <c r="G3131" s="566">
        <v>2375</v>
      </c>
      <c r="H3131" s="566">
        <v>2530</v>
      </c>
      <c r="I3131" s="558" t="str">
        <f t="shared" si="46"/>
        <v>GooD</v>
      </c>
    </row>
    <row r="3132" spans="1:9" ht="15.75" thickTop="1">
      <c r="A3132" s="567" t="s">
        <v>645</v>
      </c>
      <c r="B3132" s="567">
        <v>37000</v>
      </c>
      <c r="C3132" s="568">
        <v>24</v>
      </c>
      <c r="D3132" s="568">
        <v>0.31</v>
      </c>
      <c r="E3132" s="568">
        <v>22950</v>
      </c>
      <c r="F3132" s="568">
        <v>59950</v>
      </c>
      <c r="G3132" s="568">
        <v>2590</v>
      </c>
      <c r="H3132" s="568">
        <v>2390</v>
      </c>
      <c r="I3132" s="559" t="str">
        <f t="shared" si="46"/>
        <v>GooD</v>
      </c>
    </row>
    <row r="3133" spans="1:9">
      <c r="A3133" s="563" t="s">
        <v>645</v>
      </c>
      <c r="B3133" s="563">
        <v>38000</v>
      </c>
      <c r="C3133" s="564">
        <v>4</v>
      </c>
      <c r="D3133" s="564">
        <v>0.31</v>
      </c>
      <c r="E3133" s="564">
        <v>3928</v>
      </c>
      <c r="F3133" s="564">
        <v>41928</v>
      </c>
      <c r="G3133" s="564">
        <v>444</v>
      </c>
      <c r="H3133" s="564">
        <v>10371</v>
      </c>
      <c r="I3133" s="557" t="str">
        <f t="shared" si="46"/>
        <v>GooD</v>
      </c>
    </row>
    <row r="3134" spans="1:9" ht="15.75" thickBot="1">
      <c r="A3134" s="565" t="s">
        <v>645</v>
      </c>
      <c r="B3134" s="565">
        <v>38000</v>
      </c>
      <c r="C3134" s="566">
        <v>6</v>
      </c>
      <c r="D3134" s="566">
        <v>0.31</v>
      </c>
      <c r="E3134" s="566">
        <v>5895</v>
      </c>
      <c r="F3134" s="566">
        <v>43895</v>
      </c>
      <c r="G3134" s="566">
        <v>665</v>
      </c>
      <c r="H3134" s="566">
        <v>7205</v>
      </c>
      <c r="I3134" s="558" t="str">
        <f t="shared" si="46"/>
        <v>GooD</v>
      </c>
    </row>
    <row r="3135" spans="1:9" ht="15.75" thickTop="1">
      <c r="A3135" s="567" t="s">
        <v>645</v>
      </c>
      <c r="B3135" s="567">
        <v>38000</v>
      </c>
      <c r="C3135" s="568">
        <v>8</v>
      </c>
      <c r="D3135" s="568">
        <v>0.31</v>
      </c>
      <c r="E3135" s="568">
        <v>7855</v>
      </c>
      <c r="F3135" s="568">
        <v>45855</v>
      </c>
      <c r="G3135" s="568">
        <v>887</v>
      </c>
      <c r="H3135" s="568">
        <v>5621</v>
      </c>
      <c r="I3135" s="559" t="str">
        <f t="shared" si="46"/>
        <v>GooD</v>
      </c>
    </row>
    <row r="3136" spans="1:9">
      <c r="A3136" s="563" t="s">
        <v>645</v>
      </c>
      <c r="B3136" s="563">
        <v>38000</v>
      </c>
      <c r="C3136" s="564">
        <v>10</v>
      </c>
      <c r="D3136" s="564">
        <v>0.31</v>
      </c>
      <c r="E3136" s="564">
        <v>9819</v>
      </c>
      <c r="F3136" s="564">
        <v>47819</v>
      </c>
      <c r="G3136" s="564">
        <v>1109</v>
      </c>
      <c r="H3136" s="564">
        <v>4671</v>
      </c>
      <c r="I3136" s="557" t="str">
        <f t="shared" si="46"/>
        <v>GooD</v>
      </c>
    </row>
    <row r="3137" spans="1:9" ht="15.75" thickBot="1">
      <c r="A3137" s="565" t="s">
        <v>645</v>
      </c>
      <c r="B3137" s="565">
        <v>38000</v>
      </c>
      <c r="C3137" s="566">
        <v>12</v>
      </c>
      <c r="D3137" s="566">
        <v>0.31</v>
      </c>
      <c r="E3137" s="566">
        <v>11786</v>
      </c>
      <c r="F3137" s="566">
        <v>49786</v>
      </c>
      <c r="G3137" s="566">
        <v>1330</v>
      </c>
      <c r="H3137" s="566">
        <v>4038</v>
      </c>
      <c r="I3137" s="558" t="str">
        <f t="shared" si="46"/>
        <v>GooD</v>
      </c>
    </row>
    <row r="3138" spans="1:9" ht="15.75" thickTop="1">
      <c r="A3138" s="567" t="s">
        <v>645</v>
      </c>
      <c r="B3138" s="567">
        <v>38000</v>
      </c>
      <c r="C3138" s="568">
        <v>14</v>
      </c>
      <c r="D3138" s="568">
        <v>0.31</v>
      </c>
      <c r="E3138" s="568">
        <v>13756</v>
      </c>
      <c r="F3138" s="568">
        <v>51756</v>
      </c>
      <c r="G3138" s="568">
        <v>1552</v>
      </c>
      <c r="H3138" s="568">
        <v>3586</v>
      </c>
      <c r="I3138" s="559" t="str">
        <f t="shared" si="46"/>
        <v>GooD</v>
      </c>
    </row>
    <row r="3139" spans="1:9">
      <c r="A3139" s="563" t="s">
        <v>645</v>
      </c>
      <c r="B3139" s="563">
        <v>38000</v>
      </c>
      <c r="C3139" s="564">
        <v>16</v>
      </c>
      <c r="D3139" s="564">
        <v>0.31</v>
      </c>
      <c r="E3139" s="564">
        <v>15710</v>
      </c>
      <c r="F3139" s="564">
        <v>53710</v>
      </c>
      <c r="G3139" s="564">
        <v>1774</v>
      </c>
      <c r="H3139" s="564">
        <v>3246</v>
      </c>
      <c r="I3139" s="557" t="str">
        <f t="shared" si="46"/>
        <v>GooD</v>
      </c>
    </row>
    <row r="3140" spans="1:9" ht="15.75" thickBot="1">
      <c r="A3140" s="565" t="s">
        <v>645</v>
      </c>
      <c r="B3140" s="565">
        <v>38000</v>
      </c>
      <c r="C3140" s="566">
        <v>18</v>
      </c>
      <c r="D3140" s="566">
        <v>0.31</v>
      </c>
      <c r="E3140" s="566">
        <v>17671</v>
      </c>
      <c r="F3140" s="566">
        <v>55671</v>
      </c>
      <c r="G3140" s="566">
        <v>1995</v>
      </c>
      <c r="H3140" s="566">
        <v>2982</v>
      </c>
      <c r="I3140" s="558" t="str">
        <f t="shared" si="46"/>
        <v>GooD</v>
      </c>
    </row>
    <row r="3141" spans="1:9" ht="15.75" thickTop="1">
      <c r="A3141" s="567" t="s">
        <v>645</v>
      </c>
      <c r="B3141" s="567">
        <v>38000</v>
      </c>
      <c r="C3141" s="568">
        <v>20</v>
      </c>
      <c r="D3141" s="568">
        <v>0.31</v>
      </c>
      <c r="E3141" s="568">
        <v>19637</v>
      </c>
      <c r="F3141" s="568">
        <v>57637</v>
      </c>
      <c r="G3141" s="568">
        <v>2217</v>
      </c>
      <c r="H3141" s="568">
        <v>2771</v>
      </c>
      <c r="I3141" s="559" t="str">
        <f t="shared" si="46"/>
        <v>GooD</v>
      </c>
    </row>
    <row r="3142" spans="1:9">
      <c r="A3142" s="563" t="s">
        <v>645</v>
      </c>
      <c r="B3142" s="563">
        <v>38000</v>
      </c>
      <c r="C3142" s="564">
        <v>22</v>
      </c>
      <c r="D3142" s="564">
        <v>0.31</v>
      </c>
      <c r="E3142" s="564">
        <v>21617</v>
      </c>
      <c r="F3142" s="564">
        <v>59617</v>
      </c>
      <c r="G3142" s="564">
        <v>2439</v>
      </c>
      <c r="H3142" s="564">
        <v>2599</v>
      </c>
      <c r="I3142" s="557" t="str">
        <f t="shared" si="46"/>
        <v>GooD</v>
      </c>
    </row>
    <row r="3143" spans="1:9" ht="15.75" thickBot="1">
      <c r="A3143" s="565" t="s">
        <v>645</v>
      </c>
      <c r="B3143" s="565">
        <v>38000</v>
      </c>
      <c r="C3143" s="566">
        <v>24</v>
      </c>
      <c r="D3143" s="566">
        <v>0.31</v>
      </c>
      <c r="E3143" s="566">
        <v>23580</v>
      </c>
      <c r="F3143" s="566">
        <v>61580</v>
      </c>
      <c r="G3143" s="566">
        <v>2660</v>
      </c>
      <c r="H3143" s="566">
        <v>2455</v>
      </c>
      <c r="I3143" s="558" t="str">
        <f t="shared" si="46"/>
        <v>GooD</v>
      </c>
    </row>
    <row r="3144" spans="1:9" ht="15.75" thickTop="1">
      <c r="A3144" s="567" t="s">
        <v>645</v>
      </c>
      <c r="B3144" s="567">
        <v>39000</v>
      </c>
      <c r="C3144" s="568">
        <v>4</v>
      </c>
      <c r="D3144" s="568">
        <v>0.31</v>
      </c>
      <c r="E3144" s="568">
        <v>4031</v>
      </c>
      <c r="F3144" s="568">
        <v>43031</v>
      </c>
      <c r="G3144" s="568">
        <v>455</v>
      </c>
      <c r="H3144" s="568">
        <v>10644</v>
      </c>
      <c r="I3144" s="559" t="str">
        <f t="shared" si="46"/>
        <v>GooD</v>
      </c>
    </row>
    <row r="3145" spans="1:9">
      <c r="A3145" s="563" t="s">
        <v>645</v>
      </c>
      <c r="B3145" s="563">
        <v>39000</v>
      </c>
      <c r="C3145" s="564">
        <v>6</v>
      </c>
      <c r="D3145" s="564">
        <v>0.31</v>
      </c>
      <c r="E3145" s="564">
        <v>6047</v>
      </c>
      <c r="F3145" s="564">
        <v>45047</v>
      </c>
      <c r="G3145" s="564">
        <v>683</v>
      </c>
      <c r="H3145" s="564">
        <v>7394</v>
      </c>
      <c r="I3145" s="557" t="str">
        <f t="shared" si="46"/>
        <v>GooD</v>
      </c>
    </row>
    <row r="3146" spans="1:9" ht="15.75" thickBot="1">
      <c r="A3146" s="565" t="s">
        <v>645</v>
      </c>
      <c r="B3146" s="565">
        <v>39000</v>
      </c>
      <c r="C3146" s="566">
        <v>8</v>
      </c>
      <c r="D3146" s="566">
        <v>0.31</v>
      </c>
      <c r="E3146" s="566">
        <v>8062</v>
      </c>
      <c r="F3146" s="566">
        <v>47062</v>
      </c>
      <c r="G3146" s="566">
        <v>910</v>
      </c>
      <c r="H3146" s="566">
        <v>5769</v>
      </c>
      <c r="I3146" s="558" t="str">
        <f t="shared" si="46"/>
        <v>GooD</v>
      </c>
    </row>
    <row r="3147" spans="1:9" ht="15.75" thickTop="1">
      <c r="A3147" s="567" t="s">
        <v>645</v>
      </c>
      <c r="B3147" s="567">
        <v>39000</v>
      </c>
      <c r="C3147" s="568">
        <v>10</v>
      </c>
      <c r="D3147" s="568">
        <v>0.31</v>
      </c>
      <c r="E3147" s="568">
        <v>10078</v>
      </c>
      <c r="F3147" s="568">
        <v>49078</v>
      </c>
      <c r="G3147" s="568">
        <v>1138</v>
      </c>
      <c r="H3147" s="568">
        <v>4794</v>
      </c>
      <c r="I3147" s="559" t="str">
        <f t="shared" si="46"/>
        <v>GooD</v>
      </c>
    </row>
    <row r="3148" spans="1:9">
      <c r="A3148" s="563" t="s">
        <v>645</v>
      </c>
      <c r="B3148" s="563">
        <v>39000</v>
      </c>
      <c r="C3148" s="564">
        <v>12</v>
      </c>
      <c r="D3148" s="564">
        <v>0.31</v>
      </c>
      <c r="E3148" s="564">
        <v>12093</v>
      </c>
      <c r="F3148" s="564">
        <v>51093</v>
      </c>
      <c r="G3148" s="564">
        <v>1365</v>
      </c>
      <c r="H3148" s="564">
        <v>4144</v>
      </c>
      <c r="I3148" s="557" t="str">
        <f t="shared" si="46"/>
        <v>GooD</v>
      </c>
    </row>
    <row r="3149" spans="1:9" ht="15.75" thickBot="1">
      <c r="A3149" s="565" t="s">
        <v>645</v>
      </c>
      <c r="B3149" s="565">
        <v>39000</v>
      </c>
      <c r="C3149" s="566">
        <v>14</v>
      </c>
      <c r="D3149" s="566">
        <v>0.31</v>
      </c>
      <c r="E3149" s="566">
        <v>14113</v>
      </c>
      <c r="F3149" s="566">
        <v>53113</v>
      </c>
      <c r="G3149" s="566">
        <v>1593</v>
      </c>
      <c r="H3149" s="566">
        <v>3680</v>
      </c>
      <c r="I3149" s="558" t="str">
        <f t="shared" si="46"/>
        <v>GooD</v>
      </c>
    </row>
    <row r="3150" spans="1:9" ht="15.75" thickTop="1">
      <c r="A3150" s="567" t="s">
        <v>645</v>
      </c>
      <c r="B3150" s="567">
        <v>39000</v>
      </c>
      <c r="C3150" s="568">
        <v>16</v>
      </c>
      <c r="D3150" s="568">
        <v>0.31</v>
      </c>
      <c r="E3150" s="568">
        <v>16132</v>
      </c>
      <c r="F3150" s="568">
        <v>55132</v>
      </c>
      <c r="G3150" s="568">
        <v>1820</v>
      </c>
      <c r="H3150" s="568">
        <v>3332</v>
      </c>
      <c r="I3150" s="559" t="str">
        <f t="shared" si="46"/>
        <v>GooD</v>
      </c>
    </row>
    <row r="3151" spans="1:9">
      <c r="A3151" s="563" t="s">
        <v>645</v>
      </c>
      <c r="B3151" s="563">
        <v>39000</v>
      </c>
      <c r="C3151" s="564">
        <v>18</v>
      </c>
      <c r="D3151" s="564">
        <v>0.31</v>
      </c>
      <c r="E3151" s="564">
        <v>18146</v>
      </c>
      <c r="F3151" s="564">
        <v>57146</v>
      </c>
      <c r="G3151" s="564">
        <v>2048</v>
      </c>
      <c r="H3151" s="564">
        <v>3061</v>
      </c>
      <c r="I3151" s="557" t="str">
        <f t="shared" si="46"/>
        <v>GooD</v>
      </c>
    </row>
    <row r="3152" spans="1:9" ht="15.75" thickBot="1">
      <c r="A3152" s="565" t="s">
        <v>645</v>
      </c>
      <c r="B3152" s="565">
        <v>39000</v>
      </c>
      <c r="C3152" s="566">
        <v>20</v>
      </c>
      <c r="D3152" s="566">
        <v>0.31</v>
      </c>
      <c r="E3152" s="566">
        <v>20155</v>
      </c>
      <c r="F3152" s="566">
        <v>59155</v>
      </c>
      <c r="G3152" s="566">
        <v>2275</v>
      </c>
      <c r="H3152" s="566">
        <v>2844</v>
      </c>
      <c r="I3152" s="558" t="str">
        <f t="shared" si="46"/>
        <v>GooD</v>
      </c>
    </row>
    <row r="3153" spans="1:9" ht="15.75" thickTop="1">
      <c r="A3153" s="567" t="s">
        <v>645</v>
      </c>
      <c r="B3153" s="567">
        <v>39000</v>
      </c>
      <c r="C3153" s="568">
        <v>22</v>
      </c>
      <c r="D3153" s="568">
        <v>0.31</v>
      </c>
      <c r="E3153" s="568">
        <v>22177</v>
      </c>
      <c r="F3153" s="568">
        <v>61177</v>
      </c>
      <c r="G3153" s="568">
        <v>2503</v>
      </c>
      <c r="H3153" s="568">
        <v>2667</v>
      </c>
      <c r="I3153" s="559" t="str">
        <f t="shared" ref="I3153:I3216" si="47">IF(((H3153*C3153)+G3153)=F3153,"GooD","لالالالالالالا")</f>
        <v>GooD</v>
      </c>
    </row>
    <row r="3154" spans="1:9">
      <c r="A3154" s="563" t="s">
        <v>645</v>
      </c>
      <c r="B3154" s="563">
        <v>39000</v>
      </c>
      <c r="C3154" s="564">
        <v>24</v>
      </c>
      <c r="D3154" s="564">
        <v>0.31</v>
      </c>
      <c r="E3154" s="564">
        <v>24186</v>
      </c>
      <c r="F3154" s="564">
        <v>63186</v>
      </c>
      <c r="G3154" s="564">
        <v>2730</v>
      </c>
      <c r="H3154" s="564">
        <v>2519</v>
      </c>
      <c r="I3154" s="557" t="str">
        <f t="shared" si="47"/>
        <v>GooD</v>
      </c>
    </row>
    <row r="3155" spans="1:9" ht="15.75" thickBot="1">
      <c r="A3155" s="565" t="s">
        <v>645</v>
      </c>
      <c r="B3155" s="565">
        <v>40000</v>
      </c>
      <c r="C3155" s="566">
        <v>4</v>
      </c>
      <c r="D3155" s="566">
        <v>0.31</v>
      </c>
      <c r="E3155" s="566">
        <v>4135</v>
      </c>
      <c r="F3155" s="566">
        <v>44135</v>
      </c>
      <c r="G3155" s="566">
        <v>467</v>
      </c>
      <c r="H3155" s="566">
        <v>10917</v>
      </c>
      <c r="I3155" s="558" t="str">
        <f t="shared" si="47"/>
        <v>GooD</v>
      </c>
    </row>
    <row r="3156" spans="1:9" ht="15.75" thickTop="1">
      <c r="A3156" s="567" t="s">
        <v>645</v>
      </c>
      <c r="B3156" s="567">
        <v>40000</v>
      </c>
      <c r="C3156" s="568">
        <v>6</v>
      </c>
      <c r="D3156" s="568">
        <v>0.31</v>
      </c>
      <c r="E3156" s="568">
        <v>6204</v>
      </c>
      <c r="F3156" s="568">
        <v>46204</v>
      </c>
      <c r="G3156" s="568">
        <v>700</v>
      </c>
      <c r="H3156" s="568">
        <v>7584</v>
      </c>
      <c r="I3156" s="559" t="str">
        <f t="shared" si="47"/>
        <v>GooD</v>
      </c>
    </row>
    <row r="3157" spans="1:9">
      <c r="A3157" s="563" t="s">
        <v>645</v>
      </c>
      <c r="B3157" s="563">
        <v>40000</v>
      </c>
      <c r="C3157" s="564">
        <v>8</v>
      </c>
      <c r="D3157" s="564">
        <v>0.31</v>
      </c>
      <c r="E3157" s="564">
        <v>8270</v>
      </c>
      <c r="F3157" s="564">
        <v>48270</v>
      </c>
      <c r="G3157" s="564">
        <v>934</v>
      </c>
      <c r="H3157" s="564">
        <v>5917</v>
      </c>
      <c r="I3157" s="557" t="str">
        <f t="shared" si="47"/>
        <v>GooD</v>
      </c>
    </row>
    <row r="3158" spans="1:9" ht="15.75" thickBot="1">
      <c r="A3158" s="565" t="s">
        <v>645</v>
      </c>
      <c r="B3158" s="565">
        <v>40000</v>
      </c>
      <c r="C3158" s="566">
        <v>10</v>
      </c>
      <c r="D3158" s="566">
        <v>0.31</v>
      </c>
      <c r="E3158" s="566">
        <v>10337</v>
      </c>
      <c r="F3158" s="566">
        <v>50337</v>
      </c>
      <c r="G3158" s="566">
        <v>1167</v>
      </c>
      <c r="H3158" s="566">
        <v>4917</v>
      </c>
      <c r="I3158" s="558" t="str">
        <f t="shared" si="47"/>
        <v>GooD</v>
      </c>
    </row>
    <row r="3159" spans="1:9" ht="15.75" thickTop="1">
      <c r="A3159" s="567" t="s">
        <v>645</v>
      </c>
      <c r="B3159" s="567">
        <v>40000</v>
      </c>
      <c r="C3159" s="568">
        <v>12</v>
      </c>
      <c r="D3159" s="568">
        <v>0.31</v>
      </c>
      <c r="E3159" s="568">
        <v>12412</v>
      </c>
      <c r="F3159" s="568">
        <v>52412</v>
      </c>
      <c r="G3159" s="568">
        <v>1400</v>
      </c>
      <c r="H3159" s="568">
        <v>4251</v>
      </c>
      <c r="I3159" s="559" t="str">
        <f t="shared" si="47"/>
        <v>GooD</v>
      </c>
    </row>
    <row r="3160" spans="1:9">
      <c r="A3160" s="563" t="s">
        <v>645</v>
      </c>
      <c r="B3160" s="563">
        <v>40000</v>
      </c>
      <c r="C3160" s="564">
        <v>14</v>
      </c>
      <c r="D3160" s="564">
        <v>0.31</v>
      </c>
      <c r="E3160" s="564">
        <v>14470</v>
      </c>
      <c r="F3160" s="564">
        <v>54470</v>
      </c>
      <c r="G3160" s="564">
        <v>1634</v>
      </c>
      <c r="H3160" s="564">
        <v>3774</v>
      </c>
      <c r="I3160" s="557" t="str">
        <f t="shared" si="47"/>
        <v>GooD</v>
      </c>
    </row>
    <row r="3161" spans="1:9" ht="15.75" thickBot="1">
      <c r="A3161" s="565" t="s">
        <v>645</v>
      </c>
      <c r="B3161" s="565">
        <v>40000</v>
      </c>
      <c r="C3161" s="566">
        <v>16</v>
      </c>
      <c r="D3161" s="566">
        <v>0.31</v>
      </c>
      <c r="E3161" s="566">
        <v>16539</v>
      </c>
      <c r="F3161" s="566">
        <v>56539</v>
      </c>
      <c r="G3161" s="566">
        <v>1867</v>
      </c>
      <c r="H3161" s="566">
        <v>3417</v>
      </c>
      <c r="I3161" s="558" t="str">
        <f t="shared" si="47"/>
        <v>GooD</v>
      </c>
    </row>
    <row r="3162" spans="1:9" ht="15.75" thickTop="1">
      <c r="A3162" s="567" t="s">
        <v>645</v>
      </c>
      <c r="B3162" s="567">
        <v>40000</v>
      </c>
      <c r="C3162" s="568">
        <v>18</v>
      </c>
      <c r="D3162" s="568">
        <v>0.31</v>
      </c>
      <c r="E3162" s="568">
        <v>18602</v>
      </c>
      <c r="F3162" s="568">
        <v>58602</v>
      </c>
      <c r="G3162" s="568">
        <v>2100</v>
      </c>
      <c r="H3162" s="568">
        <v>3139</v>
      </c>
      <c r="I3162" s="559" t="str">
        <f t="shared" si="47"/>
        <v>GooD</v>
      </c>
    </row>
    <row r="3163" spans="1:9">
      <c r="A3163" s="563" t="s">
        <v>645</v>
      </c>
      <c r="B3163" s="563">
        <v>40000</v>
      </c>
      <c r="C3163" s="564">
        <v>20</v>
      </c>
      <c r="D3163" s="564">
        <v>0.31</v>
      </c>
      <c r="E3163" s="564">
        <v>20674</v>
      </c>
      <c r="F3163" s="564">
        <v>60674</v>
      </c>
      <c r="G3163" s="564">
        <v>2334</v>
      </c>
      <c r="H3163" s="564">
        <v>2917</v>
      </c>
      <c r="I3163" s="557" t="str">
        <f t="shared" si="47"/>
        <v>GooD</v>
      </c>
    </row>
    <row r="3164" spans="1:9" ht="15.75" thickBot="1">
      <c r="A3164" s="565" t="s">
        <v>645</v>
      </c>
      <c r="B3164" s="565">
        <v>40000</v>
      </c>
      <c r="C3164" s="566">
        <v>22</v>
      </c>
      <c r="D3164" s="566">
        <v>0.31</v>
      </c>
      <c r="E3164" s="566">
        <v>22737</v>
      </c>
      <c r="F3164" s="566">
        <v>62737</v>
      </c>
      <c r="G3164" s="566">
        <v>2567</v>
      </c>
      <c r="H3164" s="566">
        <v>2735</v>
      </c>
      <c r="I3164" s="558" t="str">
        <f t="shared" si="47"/>
        <v>GooD</v>
      </c>
    </row>
    <row r="3165" spans="1:9" ht="15.75" thickTop="1">
      <c r="A3165" s="567" t="s">
        <v>645</v>
      </c>
      <c r="B3165" s="567">
        <v>40000</v>
      </c>
      <c r="C3165" s="568">
        <v>24</v>
      </c>
      <c r="D3165" s="568">
        <v>0.31</v>
      </c>
      <c r="E3165" s="568">
        <v>24816</v>
      </c>
      <c r="F3165" s="568">
        <v>64816</v>
      </c>
      <c r="G3165" s="568">
        <v>2800</v>
      </c>
      <c r="H3165" s="568">
        <v>2584</v>
      </c>
      <c r="I3165" s="559" t="str">
        <f t="shared" si="47"/>
        <v>GooD</v>
      </c>
    </row>
    <row r="3166" spans="1:9">
      <c r="A3166" s="563" t="s">
        <v>645</v>
      </c>
      <c r="B3166" s="563">
        <v>41000</v>
      </c>
      <c r="C3166" s="564">
        <v>4</v>
      </c>
      <c r="D3166" s="564">
        <v>0.31</v>
      </c>
      <c r="E3166" s="564">
        <v>4239</v>
      </c>
      <c r="F3166" s="564">
        <v>45239</v>
      </c>
      <c r="G3166" s="564">
        <v>479</v>
      </c>
      <c r="H3166" s="564">
        <v>11190</v>
      </c>
      <c r="I3166" s="557" t="str">
        <f t="shared" si="47"/>
        <v>GooD</v>
      </c>
    </row>
    <row r="3167" spans="1:9" ht="15.75" thickBot="1">
      <c r="A3167" s="565" t="s">
        <v>645</v>
      </c>
      <c r="B3167" s="565">
        <v>41000</v>
      </c>
      <c r="C3167" s="566">
        <v>6</v>
      </c>
      <c r="D3167" s="566">
        <v>0.31</v>
      </c>
      <c r="E3167" s="566">
        <v>6356</v>
      </c>
      <c r="F3167" s="566">
        <v>47356</v>
      </c>
      <c r="G3167" s="566">
        <v>718</v>
      </c>
      <c r="H3167" s="566">
        <v>7773</v>
      </c>
      <c r="I3167" s="558" t="str">
        <f t="shared" si="47"/>
        <v>GooD</v>
      </c>
    </row>
    <row r="3168" spans="1:9" ht="15.75" thickTop="1">
      <c r="A3168" s="567" t="s">
        <v>645</v>
      </c>
      <c r="B3168" s="567">
        <v>41000</v>
      </c>
      <c r="C3168" s="568">
        <v>8</v>
      </c>
      <c r="D3168" s="568">
        <v>0.31</v>
      </c>
      <c r="E3168" s="568">
        <v>8477</v>
      </c>
      <c r="F3168" s="568">
        <v>49477</v>
      </c>
      <c r="G3168" s="568">
        <v>957</v>
      </c>
      <c r="H3168" s="568">
        <v>6065</v>
      </c>
      <c r="I3168" s="559" t="str">
        <f t="shared" si="47"/>
        <v>GooD</v>
      </c>
    </row>
    <row r="3169" spans="1:9">
      <c r="A3169" s="563" t="s">
        <v>645</v>
      </c>
      <c r="B3169" s="563">
        <v>41000</v>
      </c>
      <c r="C3169" s="564">
        <v>10</v>
      </c>
      <c r="D3169" s="564">
        <v>0.31</v>
      </c>
      <c r="E3169" s="564">
        <v>10596</v>
      </c>
      <c r="F3169" s="564">
        <v>51596</v>
      </c>
      <c r="G3169" s="564">
        <v>1196</v>
      </c>
      <c r="H3169" s="564">
        <v>5040</v>
      </c>
      <c r="I3169" s="557" t="str">
        <f t="shared" si="47"/>
        <v>GooD</v>
      </c>
    </row>
    <row r="3170" spans="1:9" ht="15.75" thickBot="1">
      <c r="A3170" s="565" t="s">
        <v>645</v>
      </c>
      <c r="B3170" s="565">
        <v>41000</v>
      </c>
      <c r="C3170" s="566">
        <v>12</v>
      </c>
      <c r="D3170" s="566">
        <v>0.31</v>
      </c>
      <c r="E3170" s="566">
        <v>12719</v>
      </c>
      <c r="F3170" s="566">
        <v>53719</v>
      </c>
      <c r="G3170" s="566">
        <v>1435</v>
      </c>
      <c r="H3170" s="566">
        <v>4357</v>
      </c>
      <c r="I3170" s="558" t="str">
        <f t="shared" si="47"/>
        <v>GooD</v>
      </c>
    </row>
    <row r="3171" spans="1:9" ht="15.75" thickTop="1">
      <c r="A3171" s="567" t="s">
        <v>645</v>
      </c>
      <c r="B3171" s="567">
        <v>41000</v>
      </c>
      <c r="C3171" s="568">
        <v>14</v>
      </c>
      <c r="D3171" s="568">
        <v>0.31</v>
      </c>
      <c r="E3171" s="568">
        <v>14841</v>
      </c>
      <c r="F3171" s="568">
        <v>55841</v>
      </c>
      <c r="G3171" s="568">
        <v>1675</v>
      </c>
      <c r="H3171" s="568">
        <v>3869</v>
      </c>
      <c r="I3171" s="559" t="str">
        <f t="shared" si="47"/>
        <v>GooD</v>
      </c>
    </row>
    <row r="3172" spans="1:9">
      <c r="A3172" s="563" t="s">
        <v>645</v>
      </c>
      <c r="B3172" s="563">
        <v>41000</v>
      </c>
      <c r="C3172" s="564">
        <v>16</v>
      </c>
      <c r="D3172" s="564">
        <v>0.31</v>
      </c>
      <c r="E3172" s="564">
        <v>16962</v>
      </c>
      <c r="F3172" s="564">
        <v>57962</v>
      </c>
      <c r="G3172" s="564">
        <v>1914</v>
      </c>
      <c r="H3172" s="564">
        <v>3503</v>
      </c>
      <c r="I3172" s="557" t="str">
        <f t="shared" si="47"/>
        <v>GooD</v>
      </c>
    </row>
    <row r="3173" spans="1:9" ht="15.75" thickBot="1">
      <c r="A3173" s="565" t="s">
        <v>645</v>
      </c>
      <c r="B3173" s="565">
        <v>41000</v>
      </c>
      <c r="C3173" s="566">
        <v>18</v>
      </c>
      <c r="D3173" s="566">
        <v>0.31</v>
      </c>
      <c r="E3173" s="566">
        <v>19077</v>
      </c>
      <c r="F3173" s="566">
        <v>60077</v>
      </c>
      <c r="G3173" s="566">
        <v>2153</v>
      </c>
      <c r="H3173" s="566">
        <v>3218</v>
      </c>
      <c r="I3173" s="558" t="str">
        <f t="shared" si="47"/>
        <v>GooD</v>
      </c>
    </row>
    <row r="3174" spans="1:9" ht="15.75" thickTop="1">
      <c r="A3174" s="567" t="s">
        <v>645</v>
      </c>
      <c r="B3174" s="567">
        <v>41000</v>
      </c>
      <c r="C3174" s="568">
        <v>20</v>
      </c>
      <c r="D3174" s="568">
        <v>0.31</v>
      </c>
      <c r="E3174" s="568">
        <v>21192</v>
      </c>
      <c r="F3174" s="568">
        <v>62192</v>
      </c>
      <c r="G3174" s="568">
        <v>2392</v>
      </c>
      <c r="H3174" s="568">
        <v>2990</v>
      </c>
      <c r="I3174" s="559" t="str">
        <f t="shared" si="47"/>
        <v>GooD</v>
      </c>
    </row>
    <row r="3175" spans="1:9">
      <c r="A3175" s="563" t="s">
        <v>645</v>
      </c>
      <c r="B3175" s="563">
        <v>41000</v>
      </c>
      <c r="C3175" s="564">
        <v>22</v>
      </c>
      <c r="D3175" s="564">
        <v>0.31</v>
      </c>
      <c r="E3175" s="564">
        <v>23319</v>
      </c>
      <c r="F3175" s="564">
        <v>64319</v>
      </c>
      <c r="G3175" s="564">
        <v>2631</v>
      </c>
      <c r="H3175" s="564">
        <v>2804</v>
      </c>
      <c r="I3175" s="557" t="str">
        <f t="shared" si="47"/>
        <v>GooD</v>
      </c>
    </row>
    <row r="3176" spans="1:9" ht="15.75" thickBot="1">
      <c r="A3176" s="565" t="s">
        <v>645</v>
      </c>
      <c r="B3176" s="565">
        <v>41000</v>
      </c>
      <c r="C3176" s="566">
        <v>24</v>
      </c>
      <c r="D3176" s="566">
        <v>0.31</v>
      </c>
      <c r="E3176" s="566">
        <v>25422</v>
      </c>
      <c r="F3176" s="566">
        <v>66422</v>
      </c>
      <c r="G3176" s="566">
        <v>2870</v>
      </c>
      <c r="H3176" s="566">
        <v>2648</v>
      </c>
      <c r="I3176" s="558" t="str">
        <f t="shared" si="47"/>
        <v>GooD</v>
      </c>
    </row>
    <row r="3177" spans="1:9" ht="15.75" thickTop="1">
      <c r="A3177" s="567" t="s">
        <v>645</v>
      </c>
      <c r="B3177" s="567">
        <v>42000</v>
      </c>
      <c r="C3177" s="568">
        <v>4</v>
      </c>
      <c r="D3177" s="568">
        <v>0.31</v>
      </c>
      <c r="E3177" s="568">
        <v>4342</v>
      </c>
      <c r="F3177" s="568">
        <v>46342</v>
      </c>
      <c r="G3177" s="568">
        <v>490</v>
      </c>
      <c r="H3177" s="568">
        <v>11463</v>
      </c>
      <c r="I3177" s="559" t="str">
        <f t="shared" si="47"/>
        <v>GooD</v>
      </c>
    </row>
    <row r="3178" spans="1:9">
      <c r="A3178" s="563" t="s">
        <v>645</v>
      </c>
      <c r="B3178" s="563">
        <v>42000</v>
      </c>
      <c r="C3178" s="564">
        <v>6</v>
      </c>
      <c r="D3178" s="564">
        <v>0.31</v>
      </c>
      <c r="E3178" s="564">
        <v>6513</v>
      </c>
      <c r="F3178" s="564">
        <v>48513</v>
      </c>
      <c r="G3178" s="564">
        <v>735</v>
      </c>
      <c r="H3178" s="564">
        <v>7963</v>
      </c>
      <c r="I3178" s="557" t="str">
        <f t="shared" si="47"/>
        <v>GooD</v>
      </c>
    </row>
    <row r="3179" spans="1:9" ht="15.75" thickBot="1">
      <c r="A3179" s="565" t="s">
        <v>645</v>
      </c>
      <c r="B3179" s="565">
        <v>42000</v>
      </c>
      <c r="C3179" s="566">
        <v>8</v>
      </c>
      <c r="D3179" s="566">
        <v>0.31</v>
      </c>
      <c r="E3179" s="566">
        <v>8684</v>
      </c>
      <c r="F3179" s="566">
        <v>50684</v>
      </c>
      <c r="G3179" s="566">
        <v>980</v>
      </c>
      <c r="H3179" s="566">
        <v>6213</v>
      </c>
      <c r="I3179" s="558" t="str">
        <f t="shared" si="47"/>
        <v>GooD</v>
      </c>
    </row>
    <row r="3180" spans="1:9" ht="15.75" thickTop="1">
      <c r="A3180" s="567" t="s">
        <v>645</v>
      </c>
      <c r="B3180" s="567">
        <v>42000</v>
      </c>
      <c r="C3180" s="568">
        <v>10</v>
      </c>
      <c r="D3180" s="568">
        <v>0.31</v>
      </c>
      <c r="E3180" s="568">
        <v>10855</v>
      </c>
      <c r="F3180" s="568">
        <v>52855</v>
      </c>
      <c r="G3180" s="568">
        <v>1225</v>
      </c>
      <c r="H3180" s="568">
        <v>5163</v>
      </c>
      <c r="I3180" s="559" t="str">
        <f t="shared" si="47"/>
        <v>GooD</v>
      </c>
    </row>
    <row r="3181" spans="1:9">
      <c r="A3181" s="563" t="s">
        <v>645</v>
      </c>
      <c r="B3181" s="563">
        <v>42000</v>
      </c>
      <c r="C3181" s="564">
        <v>12</v>
      </c>
      <c r="D3181" s="564">
        <v>0.31</v>
      </c>
      <c r="E3181" s="564">
        <v>13026</v>
      </c>
      <c r="F3181" s="564">
        <v>55026</v>
      </c>
      <c r="G3181" s="564">
        <v>1470</v>
      </c>
      <c r="H3181" s="564">
        <v>4463</v>
      </c>
      <c r="I3181" s="557" t="str">
        <f t="shared" si="47"/>
        <v>GooD</v>
      </c>
    </row>
    <row r="3182" spans="1:9" ht="15.75" thickBot="1">
      <c r="A3182" s="565" t="s">
        <v>645</v>
      </c>
      <c r="B3182" s="565">
        <v>42000</v>
      </c>
      <c r="C3182" s="566">
        <v>14</v>
      </c>
      <c r="D3182" s="566">
        <v>0.31</v>
      </c>
      <c r="E3182" s="566">
        <v>15197</v>
      </c>
      <c r="F3182" s="566">
        <v>57197</v>
      </c>
      <c r="G3182" s="566">
        <v>1715</v>
      </c>
      <c r="H3182" s="566">
        <v>3963</v>
      </c>
      <c r="I3182" s="558" t="str">
        <f t="shared" si="47"/>
        <v>GooD</v>
      </c>
    </row>
    <row r="3183" spans="1:9" ht="15.75" thickTop="1">
      <c r="A3183" s="567" t="s">
        <v>645</v>
      </c>
      <c r="B3183" s="567">
        <v>42000</v>
      </c>
      <c r="C3183" s="568">
        <v>16</v>
      </c>
      <c r="D3183" s="568">
        <v>0.31</v>
      </c>
      <c r="E3183" s="568">
        <v>17368</v>
      </c>
      <c r="F3183" s="568">
        <v>59368</v>
      </c>
      <c r="G3183" s="568">
        <v>1960</v>
      </c>
      <c r="H3183" s="568">
        <v>3588</v>
      </c>
      <c r="I3183" s="559" t="str">
        <f t="shared" si="47"/>
        <v>GooD</v>
      </c>
    </row>
    <row r="3184" spans="1:9">
      <c r="A3184" s="563" t="s">
        <v>645</v>
      </c>
      <c r="B3184" s="563">
        <v>42000</v>
      </c>
      <c r="C3184" s="564">
        <v>18</v>
      </c>
      <c r="D3184" s="564">
        <v>0.31</v>
      </c>
      <c r="E3184" s="564">
        <v>19533</v>
      </c>
      <c r="F3184" s="564">
        <v>61533</v>
      </c>
      <c r="G3184" s="564">
        <v>2205</v>
      </c>
      <c r="H3184" s="564">
        <v>3296</v>
      </c>
      <c r="I3184" s="557" t="str">
        <f t="shared" si="47"/>
        <v>GooD</v>
      </c>
    </row>
    <row r="3185" spans="1:9" ht="15.75" thickBot="1">
      <c r="A3185" s="565" t="s">
        <v>645</v>
      </c>
      <c r="B3185" s="565">
        <v>42000</v>
      </c>
      <c r="C3185" s="566">
        <v>20</v>
      </c>
      <c r="D3185" s="566">
        <v>0.31</v>
      </c>
      <c r="E3185" s="566">
        <v>21710</v>
      </c>
      <c r="F3185" s="566">
        <v>63710</v>
      </c>
      <c r="G3185" s="566">
        <v>2450</v>
      </c>
      <c r="H3185" s="566">
        <v>3063</v>
      </c>
      <c r="I3185" s="558" t="str">
        <f t="shared" si="47"/>
        <v>GooD</v>
      </c>
    </row>
    <row r="3186" spans="1:9" ht="15.75" thickTop="1">
      <c r="A3186" s="567" t="s">
        <v>645</v>
      </c>
      <c r="B3186" s="567">
        <v>42000</v>
      </c>
      <c r="C3186" s="568">
        <v>22</v>
      </c>
      <c r="D3186" s="568">
        <v>0.31</v>
      </c>
      <c r="E3186" s="568">
        <v>23879</v>
      </c>
      <c r="F3186" s="568">
        <v>65879</v>
      </c>
      <c r="G3186" s="568">
        <v>2695</v>
      </c>
      <c r="H3186" s="568">
        <v>2872</v>
      </c>
      <c r="I3186" s="559" t="str">
        <f t="shared" si="47"/>
        <v>GooD</v>
      </c>
    </row>
    <row r="3187" spans="1:9">
      <c r="A3187" s="563" t="s">
        <v>645</v>
      </c>
      <c r="B3187" s="563">
        <v>42000</v>
      </c>
      <c r="C3187" s="564">
        <v>24</v>
      </c>
      <c r="D3187" s="564">
        <v>0.31</v>
      </c>
      <c r="E3187" s="564">
        <v>26052</v>
      </c>
      <c r="F3187" s="564">
        <v>68052</v>
      </c>
      <c r="G3187" s="564">
        <v>2940</v>
      </c>
      <c r="H3187" s="564">
        <v>2713</v>
      </c>
      <c r="I3187" s="557" t="str">
        <f t="shared" si="47"/>
        <v>GooD</v>
      </c>
    </row>
    <row r="3188" spans="1:9" ht="15.75" thickBot="1">
      <c r="A3188" s="565" t="s">
        <v>645</v>
      </c>
      <c r="B3188" s="565">
        <v>43000</v>
      </c>
      <c r="C3188" s="566">
        <v>4</v>
      </c>
      <c r="D3188" s="566">
        <v>0.31</v>
      </c>
      <c r="E3188" s="566">
        <v>4446</v>
      </c>
      <c r="F3188" s="566">
        <v>47446</v>
      </c>
      <c r="G3188" s="566">
        <v>502</v>
      </c>
      <c r="H3188" s="566">
        <v>11736</v>
      </c>
      <c r="I3188" s="558" t="str">
        <f t="shared" si="47"/>
        <v>GooD</v>
      </c>
    </row>
    <row r="3189" spans="1:9" ht="15.75" thickTop="1">
      <c r="A3189" s="567" t="s">
        <v>645</v>
      </c>
      <c r="B3189" s="567">
        <v>43000</v>
      </c>
      <c r="C3189" s="568">
        <v>6</v>
      </c>
      <c r="D3189" s="568">
        <v>0.31</v>
      </c>
      <c r="E3189" s="568">
        <v>6671</v>
      </c>
      <c r="F3189" s="568">
        <v>49671</v>
      </c>
      <c r="G3189" s="568">
        <v>753</v>
      </c>
      <c r="H3189" s="568">
        <v>8153</v>
      </c>
      <c r="I3189" s="559" t="str">
        <f t="shared" si="47"/>
        <v>GooD</v>
      </c>
    </row>
    <row r="3190" spans="1:9">
      <c r="A3190" s="563" t="s">
        <v>645</v>
      </c>
      <c r="B3190" s="563">
        <v>43000</v>
      </c>
      <c r="C3190" s="564">
        <v>8</v>
      </c>
      <c r="D3190" s="564">
        <v>0.31</v>
      </c>
      <c r="E3190" s="564">
        <v>8892</v>
      </c>
      <c r="F3190" s="564">
        <v>51892</v>
      </c>
      <c r="G3190" s="564">
        <v>1004</v>
      </c>
      <c r="H3190" s="564">
        <v>6361</v>
      </c>
      <c r="I3190" s="557" t="str">
        <f t="shared" si="47"/>
        <v>GooD</v>
      </c>
    </row>
    <row r="3191" spans="1:9" ht="15.75" thickBot="1">
      <c r="A3191" s="565" t="s">
        <v>645</v>
      </c>
      <c r="B3191" s="565">
        <v>43000</v>
      </c>
      <c r="C3191" s="566">
        <v>10</v>
      </c>
      <c r="D3191" s="566">
        <v>0.31</v>
      </c>
      <c r="E3191" s="566">
        <v>11115</v>
      </c>
      <c r="F3191" s="566">
        <v>54115</v>
      </c>
      <c r="G3191" s="566">
        <v>1255</v>
      </c>
      <c r="H3191" s="566">
        <v>5286</v>
      </c>
      <c r="I3191" s="558" t="str">
        <f t="shared" si="47"/>
        <v>GooD</v>
      </c>
    </row>
    <row r="3192" spans="1:9" ht="15.75" thickTop="1">
      <c r="A3192" s="567" t="s">
        <v>645</v>
      </c>
      <c r="B3192" s="567">
        <v>43000</v>
      </c>
      <c r="C3192" s="568">
        <v>12</v>
      </c>
      <c r="D3192" s="568">
        <v>0.31</v>
      </c>
      <c r="E3192" s="568">
        <v>13333</v>
      </c>
      <c r="F3192" s="568">
        <v>56333</v>
      </c>
      <c r="G3192" s="568">
        <v>1505</v>
      </c>
      <c r="H3192" s="568">
        <v>4569</v>
      </c>
      <c r="I3192" s="559" t="str">
        <f t="shared" si="47"/>
        <v>GooD</v>
      </c>
    </row>
    <row r="3193" spans="1:9">
      <c r="A3193" s="563" t="s">
        <v>645</v>
      </c>
      <c r="B3193" s="563">
        <v>43000</v>
      </c>
      <c r="C3193" s="564">
        <v>14</v>
      </c>
      <c r="D3193" s="564">
        <v>0.31</v>
      </c>
      <c r="E3193" s="564">
        <v>15554</v>
      </c>
      <c r="F3193" s="564">
        <v>58554</v>
      </c>
      <c r="G3193" s="564">
        <v>1756</v>
      </c>
      <c r="H3193" s="564">
        <v>4057</v>
      </c>
      <c r="I3193" s="557" t="str">
        <f t="shared" si="47"/>
        <v>GooD</v>
      </c>
    </row>
    <row r="3194" spans="1:9" ht="15.75" thickBot="1">
      <c r="A3194" s="565" t="s">
        <v>645</v>
      </c>
      <c r="B3194" s="565">
        <v>43000</v>
      </c>
      <c r="C3194" s="566">
        <v>16</v>
      </c>
      <c r="D3194" s="566">
        <v>0.31</v>
      </c>
      <c r="E3194" s="566">
        <v>17775</v>
      </c>
      <c r="F3194" s="566">
        <v>60775</v>
      </c>
      <c r="G3194" s="566">
        <v>2007</v>
      </c>
      <c r="H3194" s="566">
        <v>3673</v>
      </c>
      <c r="I3194" s="558" t="str">
        <f t="shared" si="47"/>
        <v>GooD</v>
      </c>
    </row>
    <row r="3195" spans="1:9" ht="15.75" thickTop="1">
      <c r="A3195" s="567" t="s">
        <v>645</v>
      </c>
      <c r="B3195" s="567">
        <v>43000</v>
      </c>
      <c r="C3195" s="568">
        <v>18</v>
      </c>
      <c r="D3195" s="568">
        <v>0.31</v>
      </c>
      <c r="E3195" s="568">
        <v>20008</v>
      </c>
      <c r="F3195" s="568">
        <v>63008</v>
      </c>
      <c r="G3195" s="568">
        <v>2258</v>
      </c>
      <c r="H3195" s="568">
        <v>3375</v>
      </c>
      <c r="I3195" s="559" t="str">
        <f t="shared" si="47"/>
        <v>GooD</v>
      </c>
    </row>
    <row r="3196" spans="1:9">
      <c r="A3196" s="563" t="s">
        <v>645</v>
      </c>
      <c r="B3196" s="563">
        <v>43000</v>
      </c>
      <c r="C3196" s="564">
        <v>20</v>
      </c>
      <c r="D3196" s="564">
        <v>0.31</v>
      </c>
      <c r="E3196" s="564">
        <v>22229</v>
      </c>
      <c r="F3196" s="564">
        <v>65229</v>
      </c>
      <c r="G3196" s="564">
        <v>2509</v>
      </c>
      <c r="H3196" s="564">
        <v>3136</v>
      </c>
      <c r="I3196" s="557" t="str">
        <f t="shared" si="47"/>
        <v>GooD</v>
      </c>
    </row>
    <row r="3197" spans="1:9" ht="15.75" thickBot="1">
      <c r="A3197" s="565" t="s">
        <v>645</v>
      </c>
      <c r="B3197" s="565">
        <v>43000</v>
      </c>
      <c r="C3197" s="566">
        <v>22</v>
      </c>
      <c r="D3197" s="566">
        <v>0.31</v>
      </c>
      <c r="E3197" s="566">
        <v>24440</v>
      </c>
      <c r="F3197" s="566">
        <v>67440</v>
      </c>
      <c r="G3197" s="566">
        <v>2760</v>
      </c>
      <c r="H3197" s="566">
        <v>2940</v>
      </c>
      <c r="I3197" s="558" t="str">
        <f t="shared" si="47"/>
        <v>GooD</v>
      </c>
    </row>
    <row r="3198" spans="1:9" ht="15.75" thickTop="1">
      <c r="A3198" s="567" t="s">
        <v>645</v>
      </c>
      <c r="B3198" s="567">
        <v>43000</v>
      </c>
      <c r="C3198" s="568">
        <v>24</v>
      </c>
      <c r="D3198" s="568">
        <v>0.31</v>
      </c>
      <c r="E3198" s="568">
        <v>26682</v>
      </c>
      <c r="F3198" s="568">
        <v>69682</v>
      </c>
      <c r="G3198" s="568">
        <v>3010</v>
      </c>
      <c r="H3198" s="568">
        <v>2778</v>
      </c>
      <c r="I3198" s="559" t="str">
        <f t="shared" si="47"/>
        <v>GooD</v>
      </c>
    </row>
    <row r="3199" spans="1:9">
      <c r="A3199" s="563" t="s">
        <v>645</v>
      </c>
      <c r="B3199" s="563">
        <v>44000</v>
      </c>
      <c r="C3199" s="564">
        <v>4</v>
      </c>
      <c r="D3199" s="564">
        <v>0.31</v>
      </c>
      <c r="E3199" s="564">
        <v>4550</v>
      </c>
      <c r="F3199" s="564">
        <v>48550</v>
      </c>
      <c r="G3199" s="564">
        <v>514</v>
      </c>
      <c r="H3199" s="564">
        <v>12009</v>
      </c>
      <c r="I3199" s="557" t="str">
        <f t="shared" si="47"/>
        <v>GooD</v>
      </c>
    </row>
    <row r="3200" spans="1:9" ht="15.75" thickBot="1">
      <c r="A3200" s="565" t="s">
        <v>645</v>
      </c>
      <c r="B3200" s="565">
        <v>44000</v>
      </c>
      <c r="C3200" s="566">
        <v>6</v>
      </c>
      <c r="D3200" s="566">
        <v>0.31</v>
      </c>
      <c r="E3200" s="566">
        <v>6822</v>
      </c>
      <c r="F3200" s="566">
        <v>50822</v>
      </c>
      <c r="G3200" s="566">
        <v>770</v>
      </c>
      <c r="H3200" s="566">
        <v>8342</v>
      </c>
      <c r="I3200" s="558" t="str">
        <f t="shared" si="47"/>
        <v>GooD</v>
      </c>
    </row>
    <row r="3201" spans="1:9" ht="15.75" thickTop="1">
      <c r="A3201" s="567" t="s">
        <v>645</v>
      </c>
      <c r="B3201" s="567">
        <v>44000</v>
      </c>
      <c r="C3201" s="568">
        <v>8</v>
      </c>
      <c r="D3201" s="568">
        <v>0.31</v>
      </c>
      <c r="E3201" s="568">
        <v>9099</v>
      </c>
      <c r="F3201" s="568">
        <v>53099</v>
      </c>
      <c r="G3201" s="568">
        <v>1027</v>
      </c>
      <c r="H3201" s="568">
        <v>6509</v>
      </c>
      <c r="I3201" s="559" t="str">
        <f t="shared" si="47"/>
        <v>GooD</v>
      </c>
    </row>
    <row r="3202" spans="1:9">
      <c r="A3202" s="563" t="s">
        <v>645</v>
      </c>
      <c r="B3202" s="563">
        <v>44000</v>
      </c>
      <c r="C3202" s="564">
        <v>10</v>
      </c>
      <c r="D3202" s="564">
        <v>0.31</v>
      </c>
      <c r="E3202" s="564">
        <v>11374</v>
      </c>
      <c r="F3202" s="564">
        <v>55374</v>
      </c>
      <c r="G3202" s="564">
        <v>1284</v>
      </c>
      <c r="H3202" s="564">
        <v>5409</v>
      </c>
      <c r="I3202" s="557" t="str">
        <f t="shared" si="47"/>
        <v>GooD</v>
      </c>
    </row>
    <row r="3203" spans="1:9" ht="15.75" thickBot="1">
      <c r="A3203" s="565" t="s">
        <v>645</v>
      </c>
      <c r="B3203" s="565">
        <v>44000</v>
      </c>
      <c r="C3203" s="566">
        <v>12</v>
      </c>
      <c r="D3203" s="566">
        <v>0.31</v>
      </c>
      <c r="E3203" s="566">
        <v>13652</v>
      </c>
      <c r="F3203" s="566">
        <v>57652</v>
      </c>
      <c r="G3203" s="566">
        <v>1540</v>
      </c>
      <c r="H3203" s="566">
        <v>4676</v>
      </c>
      <c r="I3203" s="558" t="str">
        <f t="shared" si="47"/>
        <v>GooD</v>
      </c>
    </row>
    <row r="3204" spans="1:9" ht="15.75" thickTop="1">
      <c r="A3204" s="567" t="s">
        <v>645</v>
      </c>
      <c r="B3204" s="567">
        <v>44000</v>
      </c>
      <c r="C3204" s="568">
        <v>14</v>
      </c>
      <c r="D3204" s="568">
        <v>0.31</v>
      </c>
      <c r="E3204" s="568">
        <v>15925</v>
      </c>
      <c r="F3204" s="568">
        <v>59925</v>
      </c>
      <c r="G3204" s="568">
        <v>1797</v>
      </c>
      <c r="H3204" s="568">
        <v>4152</v>
      </c>
      <c r="I3204" s="559" t="str">
        <f t="shared" si="47"/>
        <v>GooD</v>
      </c>
    </row>
    <row r="3205" spans="1:9">
      <c r="A3205" s="563" t="s">
        <v>645</v>
      </c>
      <c r="B3205" s="563">
        <v>44000</v>
      </c>
      <c r="C3205" s="564">
        <v>16</v>
      </c>
      <c r="D3205" s="564">
        <v>0.31</v>
      </c>
      <c r="E3205" s="564">
        <v>18198</v>
      </c>
      <c r="F3205" s="564">
        <v>62198</v>
      </c>
      <c r="G3205" s="564">
        <v>2054</v>
      </c>
      <c r="H3205" s="564">
        <v>3759</v>
      </c>
      <c r="I3205" s="557" t="str">
        <f t="shared" si="47"/>
        <v>GooD</v>
      </c>
    </row>
    <row r="3206" spans="1:9" ht="15.75" thickBot="1">
      <c r="A3206" s="565" t="s">
        <v>645</v>
      </c>
      <c r="B3206" s="565">
        <v>44000</v>
      </c>
      <c r="C3206" s="566">
        <v>18</v>
      </c>
      <c r="D3206" s="566">
        <v>0.31</v>
      </c>
      <c r="E3206" s="566">
        <v>20464</v>
      </c>
      <c r="F3206" s="566">
        <v>64464</v>
      </c>
      <c r="G3206" s="566">
        <v>2310</v>
      </c>
      <c r="H3206" s="566">
        <v>3453</v>
      </c>
      <c r="I3206" s="558" t="str">
        <f t="shared" si="47"/>
        <v>GooD</v>
      </c>
    </row>
    <row r="3207" spans="1:9" ht="15.75" thickTop="1">
      <c r="A3207" s="567" t="s">
        <v>645</v>
      </c>
      <c r="B3207" s="567">
        <v>44000</v>
      </c>
      <c r="C3207" s="568">
        <v>20</v>
      </c>
      <c r="D3207" s="568">
        <v>0.31</v>
      </c>
      <c r="E3207" s="568">
        <v>22747</v>
      </c>
      <c r="F3207" s="568">
        <v>66747</v>
      </c>
      <c r="G3207" s="568">
        <v>2567</v>
      </c>
      <c r="H3207" s="568">
        <v>3209</v>
      </c>
      <c r="I3207" s="559" t="str">
        <f t="shared" si="47"/>
        <v>GooD</v>
      </c>
    </row>
    <row r="3208" spans="1:9">
      <c r="A3208" s="563" t="s">
        <v>645</v>
      </c>
      <c r="B3208" s="563">
        <v>44000</v>
      </c>
      <c r="C3208" s="564">
        <v>22</v>
      </c>
      <c r="D3208" s="564">
        <v>0.31</v>
      </c>
      <c r="E3208" s="564">
        <v>25022</v>
      </c>
      <c r="F3208" s="564">
        <v>69022</v>
      </c>
      <c r="G3208" s="564">
        <v>2824</v>
      </c>
      <c r="H3208" s="564">
        <v>3009</v>
      </c>
      <c r="I3208" s="557" t="str">
        <f t="shared" si="47"/>
        <v>GooD</v>
      </c>
    </row>
    <row r="3209" spans="1:9" ht="15.75" thickBot="1">
      <c r="A3209" s="565" t="s">
        <v>645</v>
      </c>
      <c r="B3209" s="565">
        <v>44000</v>
      </c>
      <c r="C3209" s="566">
        <v>24</v>
      </c>
      <c r="D3209" s="566">
        <v>0.31</v>
      </c>
      <c r="E3209" s="566">
        <v>27288</v>
      </c>
      <c r="F3209" s="566">
        <v>71288</v>
      </c>
      <c r="G3209" s="566">
        <v>3080</v>
      </c>
      <c r="H3209" s="566">
        <v>2842</v>
      </c>
      <c r="I3209" s="558" t="str">
        <f t="shared" si="47"/>
        <v>GooD</v>
      </c>
    </row>
    <row r="3210" spans="1:9" ht="15.75" thickTop="1">
      <c r="A3210" s="567" t="s">
        <v>645</v>
      </c>
      <c r="B3210" s="567">
        <v>45000</v>
      </c>
      <c r="C3210" s="568">
        <v>4</v>
      </c>
      <c r="D3210" s="568">
        <v>0.31</v>
      </c>
      <c r="E3210" s="568">
        <v>4653</v>
      </c>
      <c r="F3210" s="568">
        <v>49653</v>
      </c>
      <c r="G3210" s="568">
        <v>525</v>
      </c>
      <c r="H3210" s="568">
        <v>12282</v>
      </c>
      <c r="I3210" s="559" t="str">
        <f t="shared" si="47"/>
        <v>GooD</v>
      </c>
    </row>
    <row r="3211" spans="1:9">
      <c r="A3211" s="563" t="s">
        <v>645</v>
      </c>
      <c r="B3211" s="563">
        <v>45000</v>
      </c>
      <c r="C3211" s="564">
        <v>6</v>
      </c>
      <c r="D3211" s="564">
        <v>0.31</v>
      </c>
      <c r="E3211" s="564">
        <v>6980</v>
      </c>
      <c r="F3211" s="564">
        <v>51980</v>
      </c>
      <c r="G3211" s="564">
        <v>788</v>
      </c>
      <c r="H3211" s="564">
        <v>8532</v>
      </c>
      <c r="I3211" s="557" t="str">
        <f t="shared" si="47"/>
        <v>GooD</v>
      </c>
    </row>
    <row r="3212" spans="1:9" ht="15.75" thickBot="1">
      <c r="A3212" s="565" t="s">
        <v>645</v>
      </c>
      <c r="B3212" s="565">
        <v>45000</v>
      </c>
      <c r="C3212" s="566">
        <v>8</v>
      </c>
      <c r="D3212" s="566">
        <v>0.31</v>
      </c>
      <c r="E3212" s="566">
        <v>9306</v>
      </c>
      <c r="F3212" s="566">
        <v>54306</v>
      </c>
      <c r="G3212" s="566">
        <v>1050</v>
      </c>
      <c r="H3212" s="566">
        <v>6657</v>
      </c>
      <c r="I3212" s="558" t="str">
        <f t="shared" si="47"/>
        <v>GooD</v>
      </c>
    </row>
    <row r="3213" spans="1:9" ht="15.75" thickTop="1">
      <c r="A3213" s="567" t="s">
        <v>645</v>
      </c>
      <c r="B3213" s="567">
        <v>45000</v>
      </c>
      <c r="C3213" s="568">
        <v>10</v>
      </c>
      <c r="D3213" s="568">
        <v>0.31</v>
      </c>
      <c r="E3213" s="568">
        <v>11633</v>
      </c>
      <c r="F3213" s="568">
        <v>56633</v>
      </c>
      <c r="G3213" s="568">
        <v>1313</v>
      </c>
      <c r="H3213" s="568">
        <v>5532</v>
      </c>
      <c r="I3213" s="559" t="str">
        <f t="shared" si="47"/>
        <v>GooD</v>
      </c>
    </row>
    <row r="3214" spans="1:9">
      <c r="A3214" s="563" t="s">
        <v>645</v>
      </c>
      <c r="B3214" s="563">
        <v>45000</v>
      </c>
      <c r="C3214" s="564">
        <v>12</v>
      </c>
      <c r="D3214" s="564">
        <v>0.31</v>
      </c>
      <c r="E3214" s="564">
        <v>13959</v>
      </c>
      <c r="F3214" s="564">
        <v>58959</v>
      </c>
      <c r="G3214" s="564">
        <v>1575</v>
      </c>
      <c r="H3214" s="564">
        <v>4782</v>
      </c>
      <c r="I3214" s="557" t="str">
        <f t="shared" si="47"/>
        <v>GooD</v>
      </c>
    </row>
    <row r="3215" spans="1:9" ht="15.75" thickBot="1">
      <c r="A3215" s="565" t="s">
        <v>645</v>
      </c>
      <c r="B3215" s="565">
        <v>45000</v>
      </c>
      <c r="C3215" s="566">
        <v>14</v>
      </c>
      <c r="D3215" s="566">
        <v>0.31</v>
      </c>
      <c r="E3215" s="566">
        <v>16282</v>
      </c>
      <c r="F3215" s="566">
        <v>61282</v>
      </c>
      <c r="G3215" s="566">
        <v>1838</v>
      </c>
      <c r="H3215" s="566">
        <v>4246</v>
      </c>
      <c r="I3215" s="558" t="str">
        <f t="shared" si="47"/>
        <v>GooD</v>
      </c>
    </row>
    <row r="3216" spans="1:9" ht="15.75" thickTop="1">
      <c r="A3216" s="567" t="s">
        <v>645</v>
      </c>
      <c r="B3216" s="567">
        <v>45000</v>
      </c>
      <c r="C3216" s="568">
        <v>16</v>
      </c>
      <c r="D3216" s="568">
        <v>0.31</v>
      </c>
      <c r="E3216" s="568">
        <v>18604</v>
      </c>
      <c r="F3216" s="568">
        <v>63604</v>
      </c>
      <c r="G3216" s="568">
        <v>2100</v>
      </c>
      <c r="H3216" s="568">
        <v>3844</v>
      </c>
      <c r="I3216" s="559" t="str">
        <f t="shared" si="47"/>
        <v>GooD</v>
      </c>
    </row>
    <row r="3217" spans="1:9">
      <c r="A3217" s="563" t="s">
        <v>645</v>
      </c>
      <c r="B3217" s="563">
        <v>45000</v>
      </c>
      <c r="C3217" s="564">
        <v>18</v>
      </c>
      <c r="D3217" s="564">
        <v>0.31</v>
      </c>
      <c r="E3217" s="564">
        <v>20939</v>
      </c>
      <c r="F3217" s="564">
        <v>65939</v>
      </c>
      <c r="G3217" s="564">
        <v>2363</v>
      </c>
      <c r="H3217" s="564">
        <v>3532</v>
      </c>
      <c r="I3217" s="557" t="str">
        <f t="shared" ref="I3217:I3280" si="48">IF(((H3217*C3217)+G3217)=F3217,"GooD","لالالالالالالا")</f>
        <v>GooD</v>
      </c>
    </row>
    <row r="3218" spans="1:9" ht="15.75" thickBot="1">
      <c r="A3218" s="565" t="s">
        <v>645</v>
      </c>
      <c r="B3218" s="565">
        <v>45000</v>
      </c>
      <c r="C3218" s="566">
        <v>20</v>
      </c>
      <c r="D3218" s="566">
        <v>0.31</v>
      </c>
      <c r="E3218" s="566">
        <v>23265</v>
      </c>
      <c r="F3218" s="566">
        <v>68265</v>
      </c>
      <c r="G3218" s="566">
        <v>2625</v>
      </c>
      <c r="H3218" s="566">
        <v>3282</v>
      </c>
      <c r="I3218" s="558" t="str">
        <f t="shared" si="48"/>
        <v>GooD</v>
      </c>
    </row>
    <row r="3219" spans="1:9" ht="15.75" thickTop="1">
      <c r="A3219" s="567" t="s">
        <v>645</v>
      </c>
      <c r="B3219" s="567">
        <v>45000</v>
      </c>
      <c r="C3219" s="568">
        <v>22</v>
      </c>
      <c r="D3219" s="568">
        <v>0.31</v>
      </c>
      <c r="E3219" s="568">
        <v>25582</v>
      </c>
      <c r="F3219" s="568">
        <v>70582</v>
      </c>
      <c r="G3219" s="568">
        <v>2888</v>
      </c>
      <c r="H3219" s="568">
        <v>3077</v>
      </c>
      <c r="I3219" s="559" t="str">
        <f t="shared" si="48"/>
        <v>GooD</v>
      </c>
    </row>
    <row r="3220" spans="1:9">
      <c r="A3220" s="563" t="s">
        <v>645</v>
      </c>
      <c r="B3220" s="563">
        <v>45000</v>
      </c>
      <c r="C3220" s="564">
        <v>24</v>
      </c>
      <c r="D3220" s="564">
        <v>0.31</v>
      </c>
      <c r="E3220" s="564">
        <v>27918</v>
      </c>
      <c r="F3220" s="564">
        <v>72918</v>
      </c>
      <c r="G3220" s="564">
        <v>3150</v>
      </c>
      <c r="H3220" s="564">
        <v>2907</v>
      </c>
      <c r="I3220" s="557" t="str">
        <f t="shared" si="48"/>
        <v>GooD</v>
      </c>
    </row>
    <row r="3221" spans="1:9" ht="15.75" thickBot="1">
      <c r="A3221" s="565" t="s">
        <v>645</v>
      </c>
      <c r="B3221" s="565">
        <v>46000</v>
      </c>
      <c r="C3221" s="566">
        <v>4</v>
      </c>
      <c r="D3221" s="566">
        <v>0.31</v>
      </c>
      <c r="E3221" s="566">
        <v>4757</v>
      </c>
      <c r="F3221" s="566">
        <v>50757</v>
      </c>
      <c r="G3221" s="566">
        <v>537</v>
      </c>
      <c r="H3221" s="566">
        <v>12555</v>
      </c>
      <c r="I3221" s="558" t="str">
        <f t="shared" si="48"/>
        <v>GooD</v>
      </c>
    </row>
    <row r="3222" spans="1:9" ht="15.75" thickTop="1">
      <c r="A3222" s="567" t="s">
        <v>645</v>
      </c>
      <c r="B3222" s="567">
        <v>46000</v>
      </c>
      <c r="C3222" s="568">
        <v>6</v>
      </c>
      <c r="D3222" s="568">
        <v>0.31</v>
      </c>
      <c r="E3222" s="568">
        <v>7131</v>
      </c>
      <c r="F3222" s="568">
        <v>53131</v>
      </c>
      <c r="G3222" s="568">
        <v>805</v>
      </c>
      <c r="H3222" s="568">
        <v>8721</v>
      </c>
      <c r="I3222" s="559" t="str">
        <f t="shared" si="48"/>
        <v>GooD</v>
      </c>
    </row>
    <row r="3223" spans="1:9">
      <c r="A3223" s="563" t="s">
        <v>645</v>
      </c>
      <c r="B3223" s="563">
        <v>46000</v>
      </c>
      <c r="C3223" s="564">
        <v>8</v>
      </c>
      <c r="D3223" s="564">
        <v>0.31</v>
      </c>
      <c r="E3223" s="564">
        <v>9514</v>
      </c>
      <c r="F3223" s="564">
        <v>55514</v>
      </c>
      <c r="G3223" s="564">
        <v>1074</v>
      </c>
      <c r="H3223" s="564">
        <v>6805</v>
      </c>
      <c r="I3223" s="557" t="str">
        <f t="shared" si="48"/>
        <v>GooD</v>
      </c>
    </row>
    <row r="3224" spans="1:9" ht="15.75" thickBot="1">
      <c r="A3224" s="565" t="s">
        <v>645</v>
      </c>
      <c r="B3224" s="565">
        <v>46000</v>
      </c>
      <c r="C3224" s="566">
        <v>10</v>
      </c>
      <c r="D3224" s="566">
        <v>0.31</v>
      </c>
      <c r="E3224" s="566">
        <v>11892</v>
      </c>
      <c r="F3224" s="566">
        <v>57892</v>
      </c>
      <c r="G3224" s="566">
        <v>1342</v>
      </c>
      <c r="H3224" s="566">
        <v>5655</v>
      </c>
      <c r="I3224" s="558" t="str">
        <f t="shared" si="48"/>
        <v>GooD</v>
      </c>
    </row>
    <row r="3225" spans="1:9" ht="15.75" thickTop="1">
      <c r="A3225" s="567" t="s">
        <v>645</v>
      </c>
      <c r="B3225" s="567">
        <v>46000</v>
      </c>
      <c r="C3225" s="568">
        <v>12</v>
      </c>
      <c r="D3225" s="568">
        <v>0.31</v>
      </c>
      <c r="E3225" s="568">
        <v>14266</v>
      </c>
      <c r="F3225" s="568">
        <v>60266</v>
      </c>
      <c r="G3225" s="568">
        <v>1610</v>
      </c>
      <c r="H3225" s="568">
        <v>4888</v>
      </c>
      <c r="I3225" s="559" t="str">
        <f t="shared" si="48"/>
        <v>GooD</v>
      </c>
    </row>
    <row r="3226" spans="1:9">
      <c r="A3226" s="563" t="s">
        <v>645</v>
      </c>
      <c r="B3226" s="563">
        <v>46000</v>
      </c>
      <c r="C3226" s="564">
        <v>14</v>
      </c>
      <c r="D3226" s="564">
        <v>0.31</v>
      </c>
      <c r="E3226" s="564">
        <v>16639</v>
      </c>
      <c r="F3226" s="564">
        <v>62639</v>
      </c>
      <c r="G3226" s="564">
        <v>1879</v>
      </c>
      <c r="H3226" s="564">
        <v>4340</v>
      </c>
      <c r="I3226" s="557" t="str">
        <f t="shared" si="48"/>
        <v>GooD</v>
      </c>
    </row>
    <row r="3227" spans="1:9" ht="15.75" thickBot="1">
      <c r="A3227" s="565" t="s">
        <v>645</v>
      </c>
      <c r="B3227" s="565">
        <v>46000</v>
      </c>
      <c r="C3227" s="566">
        <v>16</v>
      </c>
      <c r="D3227" s="566">
        <v>0.31</v>
      </c>
      <c r="E3227" s="566">
        <v>19027</v>
      </c>
      <c r="F3227" s="566">
        <v>65027</v>
      </c>
      <c r="G3227" s="566">
        <v>2147</v>
      </c>
      <c r="H3227" s="566">
        <v>3930</v>
      </c>
      <c r="I3227" s="558" t="str">
        <f t="shared" si="48"/>
        <v>GooD</v>
      </c>
    </row>
    <row r="3228" spans="1:9" ht="15.75" thickTop="1">
      <c r="A3228" s="567" t="s">
        <v>645</v>
      </c>
      <c r="B3228" s="567">
        <v>46000</v>
      </c>
      <c r="C3228" s="568">
        <v>18</v>
      </c>
      <c r="D3228" s="568">
        <v>0.31</v>
      </c>
      <c r="E3228" s="568">
        <v>21395</v>
      </c>
      <c r="F3228" s="568">
        <v>67395</v>
      </c>
      <c r="G3228" s="568">
        <v>2415</v>
      </c>
      <c r="H3228" s="568">
        <v>3610</v>
      </c>
      <c r="I3228" s="559" t="str">
        <f t="shared" si="48"/>
        <v>GooD</v>
      </c>
    </row>
    <row r="3229" spans="1:9">
      <c r="A3229" s="563" t="s">
        <v>645</v>
      </c>
      <c r="B3229" s="563">
        <v>46000</v>
      </c>
      <c r="C3229" s="564">
        <v>20</v>
      </c>
      <c r="D3229" s="564">
        <v>0.31</v>
      </c>
      <c r="E3229" s="564">
        <v>23784</v>
      </c>
      <c r="F3229" s="564">
        <v>69784</v>
      </c>
      <c r="G3229" s="564">
        <v>2684</v>
      </c>
      <c r="H3229" s="564">
        <v>3355</v>
      </c>
      <c r="I3229" s="557" t="str">
        <f t="shared" si="48"/>
        <v>GooD</v>
      </c>
    </row>
    <row r="3230" spans="1:9" ht="15.75" thickBot="1">
      <c r="A3230" s="565" t="s">
        <v>645</v>
      </c>
      <c r="B3230" s="565">
        <v>46000</v>
      </c>
      <c r="C3230" s="566">
        <v>22</v>
      </c>
      <c r="D3230" s="566">
        <v>0.31</v>
      </c>
      <c r="E3230" s="566">
        <v>26164</v>
      </c>
      <c r="F3230" s="566">
        <v>72164</v>
      </c>
      <c r="G3230" s="566">
        <v>2952</v>
      </c>
      <c r="H3230" s="566">
        <v>3146</v>
      </c>
      <c r="I3230" s="558" t="str">
        <f t="shared" si="48"/>
        <v>GooD</v>
      </c>
    </row>
    <row r="3231" spans="1:9" ht="15.75" thickTop="1">
      <c r="A3231" s="567" t="s">
        <v>645</v>
      </c>
      <c r="B3231" s="567">
        <v>46000</v>
      </c>
      <c r="C3231" s="568">
        <v>24</v>
      </c>
      <c r="D3231" s="568">
        <v>0.31</v>
      </c>
      <c r="E3231" s="568">
        <v>28524</v>
      </c>
      <c r="F3231" s="568">
        <v>74524</v>
      </c>
      <c r="G3231" s="568">
        <v>3220</v>
      </c>
      <c r="H3231" s="568">
        <v>2971</v>
      </c>
      <c r="I3231" s="559" t="str">
        <f t="shared" si="48"/>
        <v>GooD</v>
      </c>
    </row>
    <row r="3232" spans="1:9">
      <c r="A3232" s="563" t="s">
        <v>645</v>
      </c>
      <c r="B3232" s="563">
        <v>47000</v>
      </c>
      <c r="C3232" s="564">
        <v>4</v>
      </c>
      <c r="D3232" s="564">
        <v>0.31</v>
      </c>
      <c r="E3232" s="564">
        <v>4861</v>
      </c>
      <c r="F3232" s="564">
        <v>51861</v>
      </c>
      <c r="G3232" s="564">
        <v>549</v>
      </c>
      <c r="H3232" s="564">
        <v>12828</v>
      </c>
      <c r="I3232" s="557" t="str">
        <f t="shared" si="48"/>
        <v>GooD</v>
      </c>
    </row>
    <row r="3233" spans="1:9" ht="15.75" thickBot="1">
      <c r="A3233" s="565" t="s">
        <v>645</v>
      </c>
      <c r="B3233" s="565">
        <v>47000</v>
      </c>
      <c r="C3233" s="566">
        <v>6</v>
      </c>
      <c r="D3233" s="566">
        <v>0.31</v>
      </c>
      <c r="E3233" s="566">
        <v>7289</v>
      </c>
      <c r="F3233" s="566">
        <v>54289</v>
      </c>
      <c r="G3233" s="566">
        <v>823</v>
      </c>
      <c r="H3233" s="566">
        <v>8911</v>
      </c>
      <c r="I3233" s="558" t="str">
        <f t="shared" si="48"/>
        <v>GooD</v>
      </c>
    </row>
    <row r="3234" spans="1:9" ht="15.75" thickTop="1">
      <c r="A3234" s="567" t="s">
        <v>645</v>
      </c>
      <c r="B3234" s="567">
        <v>47000</v>
      </c>
      <c r="C3234" s="568">
        <v>8</v>
      </c>
      <c r="D3234" s="568">
        <v>0.31</v>
      </c>
      <c r="E3234" s="568">
        <v>9721</v>
      </c>
      <c r="F3234" s="568">
        <v>56721</v>
      </c>
      <c r="G3234" s="568">
        <v>1097</v>
      </c>
      <c r="H3234" s="568">
        <v>6953</v>
      </c>
      <c r="I3234" s="559" t="str">
        <f t="shared" si="48"/>
        <v>GooD</v>
      </c>
    </row>
    <row r="3235" spans="1:9">
      <c r="A3235" s="563" t="s">
        <v>645</v>
      </c>
      <c r="B3235" s="563">
        <v>47000</v>
      </c>
      <c r="C3235" s="564">
        <v>10</v>
      </c>
      <c r="D3235" s="564">
        <v>0.31</v>
      </c>
      <c r="E3235" s="564">
        <v>12151</v>
      </c>
      <c r="F3235" s="564">
        <v>59151</v>
      </c>
      <c r="G3235" s="564">
        <v>1371</v>
      </c>
      <c r="H3235" s="564">
        <v>5778</v>
      </c>
      <c r="I3235" s="557" t="str">
        <f t="shared" si="48"/>
        <v>GooD</v>
      </c>
    </row>
    <row r="3236" spans="1:9" ht="15.75" thickBot="1">
      <c r="A3236" s="565" t="s">
        <v>645</v>
      </c>
      <c r="B3236" s="565">
        <v>47000</v>
      </c>
      <c r="C3236" s="566">
        <v>12</v>
      </c>
      <c r="D3236" s="566">
        <v>0.31</v>
      </c>
      <c r="E3236" s="566">
        <v>14573</v>
      </c>
      <c r="F3236" s="566">
        <v>61573</v>
      </c>
      <c r="G3236" s="566">
        <v>1645</v>
      </c>
      <c r="H3236" s="566">
        <v>4994</v>
      </c>
      <c r="I3236" s="558" t="str">
        <f t="shared" si="48"/>
        <v>GooD</v>
      </c>
    </row>
    <row r="3237" spans="1:9" ht="15.75" thickTop="1">
      <c r="A3237" s="567" t="s">
        <v>645</v>
      </c>
      <c r="B3237" s="567">
        <v>47000</v>
      </c>
      <c r="C3237" s="568">
        <v>14</v>
      </c>
      <c r="D3237" s="568">
        <v>0.31</v>
      </c>
      <c r="E3237" s="568">
        <v>17010</v>
      </c>
      <c r="F3237" s="568">
        <v>64010</v>
      </c>
      <c r="G3237" s="568">
        <v>1920</v>
      </c>
      <c r="H3237" s="568">
        <v>4435</v>
      </c>
      <c r="I3237" s="559" t="str">
        <f t="shared" si="48"/>
        <v>GooD</v>
      </c>
    </row>
    <row r="3238" spans="1:9">
      <c r="A3238" s="563" t="s">
        <v>645</v>
      </c>
      <c r="B3238" s="563">
        <v>47000</v>
      </c>
      <c r="C3238" s="564">
        <v>16</v>
      </c>
      <c r="D3238" s="564">
        <v>0.31</v>
      </c>
      <c r="E3238" s="564">
        <v>19434</v>
      </c>
      <c r="F3238" s="564">
        <v>66434</v>
      </c>
      <c r="G3238" s="564">
        <v>2194</v>
      </c>
      <c r="H3238" s="564">
        <v>4015</v>
      </c>
      <c r="I3238" s="557" t="str">
        <f t="shared" si="48"/>
        <v>GooD</v>
      </c>
    </row>
    <row r="3239" spans="1:9" ht="15.75" thickBot="1">
      <c r="A3239" s="565" t="s">
        <v>645</v>
      </c>
      <c r="B3239" s="565">
        <v>47000</v>
      </c>
      <c r="C3239" s="566">
        <v>18</v>
      </c>
      <c r="D3239" s="566">
        <v>0.31</v>
      </c>
      <c r="E3239" s="566">
        <v>21870</v>
      </c>
      <c r="F3239" s="566">
        <v>68870</v>
      </c>
      <c r="G3239" s="566">
        <v>2468</v>
      </c>
      <c r="H3239" s="566">
        <v>3689</v>
      </c>
      <c r="I3239" s="558" t="str">
        <f t="shared" si="48"/>
        <v>GooD</v>
      </c>
    </row>
    <row r="3240" spans="1:9" ht="15.75" thickTop="1">
      <c r="A3240" s="567" t="s">
        <v>645</v>
      </c>
      <c r="B3240" s="567">
        <v>47000</v>
      </c>
      <c r="C3240" s="568">
        <v>20</v>
      </c>
      <c r="D3240" s="568">
        <v>0.31</v>
      </c>
      <c r="E3240" s="568">
        <v>24302</v>
      </c>
      <c r="F3240" s="568">
        <v>71302</v>
      </c>
      <c r="G3240" s="568">
        <v>2742</v>
      </c>
      <c r="H3240" s="568">
        <v>3428</v>
      </c>
      <c r="I3240" s="559" t="str">
        <f t="shared" si="48"/>
        <v>GooD</v>
      </c>
    </row>
    <row r="3241" spans="1:9">
      <c r="A3241" s="563" t="s">
        <v>645</v>
      </c>
      <c r="B3241" s="563">
        <v>47000</v>
      </c>
      <c r="C3241" s="564">
        <v>22</v>
      </c>
      <c r="D3241" s="564">
        <v>0.31</v>
      </c>
      <c r="E3241" s="564">
        <v>26724</v>
      </c>
      <c r="F3241" s="564">
        <v>73724</v>
      </c>
      <c r="G3241" s="564">
        <v>3016</v>
      </c>
      <c r="H3241" s="564">
        <v>3214</v>
      </c>
      <c r="I3241" s="557" t="str">
        <f t="shared" si="48"/>
        <v>GooD</v>
      </c>
    </row>
    <row r="3242" spans="1:9" ht="15.75" thickBot="1">
      <c r="A3242" s="565" t="s">
        <v>645</v>
      </c>
      <c r="B3242" s="565">
        <v>47000</v>
      </c>
      <c r="C3242" s="566">
        <v>24</v>
      </c>
      <c r="D3242" s="566">
        <v>0.31</v>
      </c>
      <c r="E3242" s="566">
        <v>29154</v>
      </c>
      <c r="F3242" s="566">
        <v>76154</v>
      </c>
      <c r="G3242" s="566">
        <v>3290</v>
      </c>
      <c r="H3242" s="566">
        <v>3036</v>
      </c>
      <c r="I3242" s="558" t="str">
        <f t="shared" si="48"/>
        <v>GooD</v>
      </c>
    </row>
    <row r="3243" spans="1:9" ht="15.75" thickTop="1">
      <c r="A3243" s="567" t="s">
        <v>645</v>
      </c>
      <c r="B3243" s="567">
        <v>48000</v>
      </c>
      <c r="C3243" s="568">
        <v>4</v>
      </c>
      <c r="D3243" s="568">
        <v>0.31</v>
      </c>
      <c r="E3243" s="568">
        <v>4964</v>
      </c>
      <c r="F3243" s="568">
        <v>52964</v>
      </c>
      <c r="G3243" s="568">
        <v>560</v>
      </c>
      <c r="H3243" s="568">
        <v>13101</v>
      </c>
      <c r="I3243" s="559" t="str">
        <f t="shared" si="48"/>
        <v>GooD</v>
      </c>
    </row>
    <row r="3244" spans="1:9">
      <c r="A3244" s="563" t="s">
        <v>645</v>
      </c>
      <c r="B3244" s="563">
        <v>48000</v>
      </c>
      <c r="C3244" s="564">
        <v>6</v>
      </c>
      <c r="D3244" s="564">
        <v>0.31</v>
      </c>
      <c r="E3244" s="564">
        <v>7446</v>
      </c>
      <c r="F3244" s="564">
        <v>55446</v>
      </c>
      <c r="G3244" s="564">
        <v>840</v>
      </c>
      <c r="H3244" s="564">
        <v>9101</v>
      </c>
      <c r="I3244" s="557" t="str">
        <f t="shared" si="48"/>
        <v>GooD</v>
      </c>
    </row>
    <row r="3245" spans="1:9" ht="15.75" thickBot="1">
      <c r="A3245" s="565" t="s">
        <v>645</v>
      </c>
      <c r="B3245" s="565">
        <v>48000</v>
      </c>
      <c r="C3245" s="566">
        <v>8</v>
      </c>
      <c r="D3245" s="566">
        <v>0.31</v>
      </c>
      <c r="E3245" s="566">
        <v>9928</v>
      </c>
      <c r="F3245" s="566">
        <v>57928</v>
      </c>
      <c r="G3245" s="566">
        <v>1120</v>
      </c>
      <c r="H3245" s="566">
        <v>7101</v>
      </c>
      <c r="I3245" s="558" t="str">
        <f t="shared" si="48"/>
        <v>GooD</v>
      </c>
    </row>
    <row r="3246" spans="1:9" ht="15.75" thickTop="1">
      <c r="A3246" s="567" t="s">
        <v>645</v>
      </c>
      <c r="B3246" s="567">
        <v>48000</v>
      </c>
      <c r="C3246" s="568">
        <v>10</v>
      </c>
      <c r="D3246" s="568">
        <v>0.31</v>
      </c>
      <c r="E3246" s="568">
        <v>12410</v>
      </c>
      <c r="F3246" s="568">
        <v>60410</v>
      </c>
      <c r="G3246" s="568">
        <v>1400</v>
      </c>
      <c r="H3246" s="568">
        <v>5901</v>
      </c>
      <c r="I3246" s="559" t="str">
        <f t="shared" si="48"/>
        <v>GooD</v>
      </c>
    </row>
    <row r="3247" spans="1:9">
      <c r="A3247" s="563" t="s">
        <v>645</v>
      </c>
      <c r="B3247" s="563">
        <v>48000</v>
      </c>
      <c r="C3247" s="564">
        <v>12</v>
      </c>
      <c r="D3247" s="564">
        <v>0.31</v>
      </c>
      <c r="E3247" s="564">
        <v>14892</v>
      </c>
      <c r="F3247" s="564">
        <v>62892</v>
      </c>
      <c r="G3247" s="564">
        <v>1680</v>
      </c>
      <c r="H3247" s="564">
        <v>5101</v>
      </c>
      <c r="I3247" s="557" t="str">
        <f t="shared" si="48"/>
        <v>GooD</v>
      </c>
    </row>
    <row r="3248" spans="1:9" ht="15.75" thickBot="1">
      <c r="A3248" s="565" t="s">
        <v>645</v>
      </c>
      <c r="B3248" s="565">
        <v>48000</v>
      </c>
      <c r="C3248" s="566">
        <v>14</v>
      </c>
      <c r="D3248" s="566">
        <v>0.31</v>
      </c>
      <c r="E3248" s="566">
        <v>17366</v>
      </c>
      <c r="F3248" s="566">
        <v>65366</v>
      </c>
      <c r="G3248" s="566">
        <v>1960</v>
      </c>
      <c r="H3248" s="566">
        <v>4529</v>
      </c>
      <c r="I3248" s="558" t="str">
        <f t="shared" si="48"/>
        <v>GooD</v>
      </c>
    </row>
    <row r="3249" spans="1:9" ht="15.75" thickTop="1">
      <c r="A3249" s="567" t="s">
        <v>645</v>
      </c>
      <c r="B3249" s="567">
        <v>48000</v>
      </c>
      <c r="C3249" s="568">
        <v>16</v>
      </c>
      <c r="D3249" s="568">
        <v>0.31</v>
      </c>
      <c r="E3249" s="568">
        <v>19856</v>
      </c>
      <c r="F3249" s="568">
        <v>67856</v>
      </c>
      <c r="G3249" s="568">
        <v>2240</v>
      </c>
      <c r="H3249" s="568">
        <v>4101</v>
      </c>
      <c r="I3249" s="559" t="str">
        <f t="shared" si="48"/>
        <v>GooD</v>
      </c>
    </row>
    <row r="3250" spans="1:9">
      <c r="A3250" s="563" t="s">
        <v>645</v>
      </c>
      <c r="B3250" s="563">
        <v>48000</v>
      </c>
      <c r="C3250" s="564">
        <v>18</v>
      </c>
      <c r="D3250" s="564">
        <v>0.31</v>
      </c>
      <c r="E3250" s="564">
        <v>22326</v>
      </c>
      <c r="F3250" s="564">
        <v>70326</v>
      </c>
      <c r="G3250" s="564">
        <v>2520</v>
      </c>
      <c r="H3250" s="564">
        <v>3767</v>
      </c>
      <c r="I3250" s="557" t="str">
        <f t="shared" si="48"/>
        <v>GooD</v>
      </c>
    </row>
    <row r="3251" spans="1:9" ht="15.75" thickBot="1">
      <c r="A3251" s="565" t="s">
        <v>645</v>
      </c>
      <c r="B3251" s="565">
        <v>48000</v>
      </c>
      <c r="C3251" s="566">
        <v>20</v>
      </c>
      <c r="D3251" s="566">
        <v>0.31</v>
      </c>
      <c r="E3251" s="566">
        <v>24820</v>
      </c>
      <c r="F3251" s="566">
        <v>72820</v>
      </c>
      <c r="G3251" s="566">
        <v>2800</v>
      </c>
      <c r="H3251" s="566">
        <v>3501</v>
      </c>
      <c r="I3251" s="558" t="str">
        <f t="shared" si="48"/>
        <v>GooD</v>
      </c>
    </row>
    <row r="3252" spans="1:9" ht="15.75" thickTop="1">
      <c r="A3252" s="567" t="s">
        <v>645</v>
      </c>
      <c r="B3252" s="567">
        <v>48000</v>
      </c>
      <c r="C3252" s="568">
        <v>22</v>
      </c>
      <c r="D3252" s="568">
        <v>0.31</v>
      </c>
      <c r="E3252" s="568">
        <v>27284</v>
      </c>
      <c r="F3252" s="568">
        <v>75284</v>
      </c>
      <c r="G3252" s="568">
        <v>3080</v>
      </c>
      <c r="H3252" s="568">
        <v>3282</v>
      </c>
      <c r="I3252" s="559" t="str">
        <f t="shared" si="48"/>
        <v>GooD</v>
      </c>
    </row>
    <row r="3253" spans="1:9">
      <c r="A3253" s="563" t="s">
        <v>645</v>
      </c>
      <c r="B3253" s="563">
        <v>48000</v>
      </c>
      <c r="C3253" s="564">
        <v>24</v>
      </c>
      <c r="D3253" s="564">
        <v>0.31</v>
      </c>
      <c r="E3253" s="564">
        <v>29784</v>
      </c>
      <c r="F3253" s="564">
        <v>77784</v>
      </c>
      <c r="G3253" s="564">
        <v>3360</v>
      </c>
      <c r="H3253" s="564">
        <v>3101</v>
      </c>
      <c r="I3253" s="557" t="str">
        <f t="shared" si="48"/>
        <v>GooD</v>
      </c>
    </row>
    <row r="3254" spans="1:9" ht="15.75" thickBot="1">
      <c r="A3254" s="565" t="s">
        <v>645</v>
      </c>
      <c r="B3254" s="565">
        <v>49000</v>
      </c>
      <c r="C3254" s="566">
        <v>4</v>
      </c>
      <c r="D3254" s="566">
        <v>0.31</v>
      </c>
      <c r="E3254" s="566">
        <v>5064</v>
      </c>
      <c r="F3254" s="566">
        <v>54064</v>
      </c>
      <c r="G3254" s="566">
        <v>572</v>
      </c>
      <c r="H3254" s="566">
        <v>13373</v>
      </c>
      <c r="I3254" s="558" t="str">
        <f t="shared" si="48"/>
        <v>GooD</v>
      </c>
    </row>
    <row r="3255" spans="1:9" ht="15.75" thickTop="1">
      <c r="A3255" s="567" t="s">
        <v>645</v>
      </c>
      <c r="B3255" s="567">
        <v>49000</v>
      </c>
      <c r="C3255" s="568">
        <v>6</v>
      </c>
      <c r="D3255" s="568">
        <v>0.31</v>
      </c>
      <c r="E3255" s="568">
        <v>7598</v>
      </c>
      <c r="F3255" s="568">
        <v>56598</v>
      </c>
      <c r="G3255" s="568">
        <v>858</v>
      </c>
      <c r="H3255" s="568">
        <v>9290</v>
      </c>
      <c r="I3255" s="559" t="str">
        <f t="shared" si="48"/>
        <v>GooD</v>
      </c>
    </row>
    <row r="3256" spans="1:9">
      <c r="A3256" s="563" t="s">
        <v>645</v>
      </c>
      <c r="B3256" s="563">
        <v>49000</v>
      </c>
      <c r="C3256" s="564">
        <v>8</v>
      </c>
      <c r="D3256" s="564">
        <v>0.31</v>
      </c>
      <c r="E3256" s="564">
        <v>10128</v>
      </c>
      <c r="F3256" s="564">
        <v>59128</v>
      </c>
      <c r="G3256" s="564">
        <v>1144</v>
      </c>
      <c r="H3256" s="564">
        <v>7248</v>
      </c>
      <c r="I3256" s="557" t="str">
        <f t="shared" si="48"/>
        <v>GooD</v>
      </c>
    </row>
    <row r="3257" spans="1:9" ht="15.75" thickBot="1">
      <c r="A3257" s="565" t="s">
        <v>645</v>
      </c>
      <c r="B3257" s="565">
        <v>49000</v>
      </c>
      <c r="C3257" s="566">
        <v>10</v>
      </c>
      <c r="D3257" s="566">
        <v>0.31</v>
      </c>
      <c r="E3257" s="566">
        <v>12660</v>
      </c>
      <c r="F3257" s="566">
        <v>61660</v>
      </c>
      <c r="G3257" s="566">
        <v>1430</v>
      </c>
      <c r="H3257" s="566">
        <v>6023</v>
      </c>
      <c r="I3257" s="558" t="str">
        <f t="shared" si="48"/>
        <v>GooD</v>
      </c>
    </row>
    <row r="3258" spans="1:9" ht="15.75" thickTop="1">
      <c r="A3258" s="567" t="s">
        <v>645</v>
      </c>
      <c r="B3258" s="567">
        <v>49000</v>
      </c>
      <c r="C3258" s="568">
        <v>12</v>
      </c>
      <c r="D3258" s="568">
        <v>0.31</v>
      </c>
      <c r="E3258" s="568">
        <v>15199</v>
      </c>
      <c r="F3258" s="568">
        <v>64199</v>
      </c>
      <c r="G3258" s="568">
        <v>1715</v>
      </c>
      <c r="H3258" s="568">
        <v>5207</v>
      </c>
      <c r="I3258" s="559" t="str">
        <f t="shared" si="48"/>
        <v>GooD</v>
      </c>
    </row>
    <row r="3259" spans="1:9">
      <c r="A3259" s="563" t="s">
        <v>645</v>
      </c>
      <c r="B3259" s="563">
        <v>49000</v>
      </c>
      <c r="C3259" s="564">
        <v>14</v>
      </c>
      <c r="D3259" s="564">
        <v>0.31</v>
      </c>
      <c r="E3259" s="564">
        <v>17723</v>
      </c>
      <c r="F3259" s="564">
        <v>66723</v>
      </c>
      <c r="G3259" s="564">
        <v>2001</v>
      </c>
      <c r="H3259" s="564">
        <v>4623</v>
      </c>
      <c r="I3259" s="557" t="str">
        <f t="shared" si="48"/>
        <v>GooD</v>
      </c>
    </row>
    <row r="3260" spans="1:9" ht="15.75" thickBot="1">
      <c r="A3260" s="565" t="s">
        <v>645</v>
      </c>
      <c r="B3260" s="565">
        <v>49000</v>
      </c>
      <c r="C3260" s="566">
        <v>16</v>
      </c>
      <c r="D3260" s="566">
        <v>0.31</v>
      </c>
      <c r="E3260" s="566">
        <v>20263</v>
      </c>
      <c r="F3260" s="566">
        <v>69263</v>
      </c>
      <c r="G3260" s="566">
        <v>2287</v>
      </c>
      <c r="H3260" s="566">
        <v>4186</v>
      </c>
      <c r="I3260" s="558" t="str">
        <f t="shared" si="48"/>
        <v>GooD</v>
      </c>
    </row>
    <row r="3261" spans="1:9" ht="15.75" thickTop="1">
      <c r="A3261" s="567" t="s">
        <v>645</v>
      </c>
      <c r="B3261" s="567">
        <v>49000</v>
      </c>
      <c r="C3261" s="568">
        <v>18</v>
      </c>
      <c r="D3261" s="568">
        <v>0.31</v>
      </c>
      <c r="E3261" s="568">
        <v>22801</v>
      </c>
      <c r="F3261" s="568">
        <v>71801</v>
      </c>
      <c r="G3261" s="568">
        <v>2573</v>
      </c>
      <c r="H3261" s="568">
        <v>3846</v>
      </c>
      <c r="I3261" s="559" t="str">
        <f t="shared" si="48"/>
        <v>GooD</v>
      </c>
    </row>
    <row r="3262" spans="1:9">
      <c r="A3262" s="563" t="s">
        <v>645</v>
      </c>
      <c r="B3262" s="563">
        <v>49000</v>
      </c>
      <c r="C3262" s="564">
        <v>20</v>
      </c>
      <c r="D3262" s="564">
        <v>0.31</v>
      </c>
      <c r="E3262" s="564">
        <v>25319</v>
      </c>
      <c r="F3262" s="564">
        <v>74319</v>
      </c>
      <c r="G3262" s="564">
        <v>2859</v>
      </c>
      <c r="H3262" s="564">
        <v>3573</v>
      </c>
      <c r="I3262" s="557" t="str">
        <f t="shared" si="48"/>
        <v>GooD</v>
      </c>
    </row>
    <row r="3263" spans="1:9" ht="15.75" thickBot="1">
      <c r="A3263" s="565" t="s">
        <v>645</v>
      </c>
      <c r="B3263" s="565">
        <v>49000</v>
      </c>
      <c r="C3263" s="566">
        <v>22</v>
      </c>
      <c r="D3263" s="566">
        <v>0.31</v>
      </c>
      <c r="E3263" s="566">
        <v>27867</v>
      </c>
      <c r="F3263" s="566">
        <v>76867</v>
      </c>
      <c r="G3263" s="566">
        <v>3145</v>
      </c>
      <c r="H3263" s="566">
        <v>3351</v>
      </c>
      <c r="I3263" s="558" t="str">
        <f t="shared" si="48"/>
        <v>GooD</v>
      </c>
    </row>
    <row r="3264" spans="1:9" ht="15.75" thickTop="1">
      <c r="A3264" s="567" t="s">
        <v>645</v>
      </c>
      <c r="B3264" s="567">
        <v>49000</v>
      </c>
      <c r="C3264" s="568">
        <v>24</v>
      </c>
      <c r="D3264" s="568">
        <v>0.31</v>
      </c>
      <c r="E3264" s="568">
        <v>30390</v>
      </c>
      <c r="F3264" s="568">
        <v>79390</v>
      </c>
      <c r="G3264" s="568">
        <v>3430</v>
      </c>
      <c r="H3264" s="568">
        <v>3165</v>
      </c>
      <c r="I3264" s="559" t="str">
        <f t="shared" si="48"/>
        <v>GooD</v>
      </c>
    </row>
    <row r="3265" spans="1:9">
      <c r="A3265" s="563" t="s">
        <v>645</v>
      </c>
      <c r="B3265" s="563">
        <v>50000</v>
      </c>
      <c r="C3265" s="564">
        <v>4</v>
      </c>
      <c r="D3265" s="564">
        <v>0.31</v>
      </c>
      <c r="E3265" s="564">
        <v>5168</v>
      </c>
      <c r="F3265" s="564">
        <v>55168</v>
      </c>
      <c r="G3265" s="564">
        <v>584</v>
      </c>
      <c r="H3265" s="564">
        <v>13646</v>
      </c>
      <c r="I3265" s="557" t="str">
        <f t="shared" si="48"/>
        <v>GooD</v>
      </c>
    </row>
    <row r="3266" spans="1:9" ht="15.75" thickBot="1">
      <c r="A3266" s="565" t="s">
        <v>645</v>
      </c>
      <c r="B3266" s="565">
        <v>50000</v>
      </c>
      <c r="C3266" s="566">
        <v>6</v>
      </c>
      <c r="D3266" s="566">
        <v>0.31</v>
      </c>
      <c r="E3266" s="566">
        <v>7755</v>
      </c>
      <c r="F3266" s="566">
        <v>57755</v>
      </c>
      <c r="G3266" s="566">
        <v>875</v>
      </c>
      <c r="H3266" s="566">
        <v>9480</v>
      </c>
      <c r="I3266" s="558" t="str">
        <f t="shared" si="48"/>
        <v>GooD</v>
      </c>
    </row>
    <row r="3267" spans="1:9" ht="15.75" thickTop="1">
      <c r="A3267" s="567" t="s">
        <v>645</v>
      </c>
      <c r="B3267" s="567">
        <v>50000</v>
      </c>
      <c r="C3267" s="568">
        <v>8</v>
      </c>
      <c r="D3267" s="568">
        <v>0.31</v>
      </c>
      <c r="E3267" s="568">
        <v>10335</v>
      </c>
      <c r="F3267" s="568">
        <v>60335</v>
      </c>
      <c r="G3267" s="568">
        <v>1167</v>
      </c>
      <c r="H3267" s="568">
        <v>7396</v>
      </c>
      <c r="I3267" s="559" t="str">
        <f t="shared" si="48"/>
        <v>GooD</v>
      </c>
    </row>
    <row r="3268" spans="1:9">
      <c r="A3268" s="563" t="s">
        <v>645</v>
      </c>
      <c r="B3268" s="563">
        <v>50000</v>
      </c>
      <c r="C3268" s="564">
        <v>10</v>
      </c>
      <c r="D3268" s="564">
        <v>0.31</v>
      </c>
      <c r="E3268" s="564">
        <v>12919</v>
      </c>
      <c r="F3268" s="564">
        <v>62919</v>
      </c>
      <c r="G3268" s="564">
        <v>1459</v>
      </c>
      <c r="H3268" s="564">
        <v>6146</v>
      </c>
      <c r="I3268" s="557" t="str">
        <f t="shared" si="48"/>
        <v>GooD</v>
      </c>
    </row>
    <row r="3269" spans="1:9" ht="15.75" thickBot="1">
      <c r="A3269" s="565" t="s">
        <v>645</v>
      </c>
      <c r="B3269" s="565">
        <v>50000</v>
      </c>
      <c r="C3269" s="566">
        <v>12</v>
      </c>
      <c r="D3269" s="566">
        <v>0.31</v>
      </c>
      <c r="E3269" s="566">
        <v>15506</v>
      </c>
      <c r="F3269" s="566">
        <v>65506</v>
      </c>
      <c r="G3269" s="566">
        <v>1750</v>
      </c>
      <c r="H3269" s="566">
        <v>5313</v>
      </c>
      <c r="I3269" s="558" t="str">
        <f t="shared" si="48"/>
        <v>GooD</v>
      </c>
    </row>
    <row r="3270" spans="1:9" ht="15.75" thickTop="1">
      <c r="A3270" s="567" t="s">
        <v>645</v>
      </c>
      <c r="B3270" s="567">
        <v>50000</v>
      </c>
      <c r="C3270" s="568">
        <v>14</v>
      </c>
      <c r="D3270" s="568">
        <v>0.31</v>
      </c>
      <c r="E3270" s="568">
        <v>18094</v>
      </c>
      <c r="F3270" s="568">
        <v>68094</v>
      </c>
      <c r="G3270" s="568">
        <v>2042</v>
      </c>
      <c r="H3270" s="568">
        <v>4718</v>
      </c>
      <c r="I3270" s="559" t="str">
        <f t="shared" si="48"/>
        <v>GooD</v>
      </c>
    </row>
    <row r="3271" spans="1:9">
      <c r="A3271" s="563" t="s">
        <v>645</v>
      </c>
      <c r="B3271" s="563">
        <v>50000</v>
      </c>
      <c r="C3271" s="564">
        <v>16</v>
      </c>
      <c r="D3271" s="564">
        <v>0.31</v>
      </c>
      <c r="E3271" s="564">
        <v>20670</v>
      </c>
      <c r="F3271" s="564">
        <v>70670</v>
      </c>
      <c r="G3271" s="564">
        <v>2334</v>
      </c>
      <c r="H3271" s="564">
        <v>4271</v>
      </c>
      <c r="I3271" s="557" t="str">
        <f t="shared" si="48"/>
        <v>GooD</v>
      </c>
    </row>
    <row r="3272" spans="1:9" ht="15.75" thickBot="1">
      <c r="A3272" s="565" t="s">
        <v>645</v>
      </c>
      <c r="B3272" s="565">
        <v>50000</v>
      </c>
      <c r="C3272" s="566">
        <v>18</v>
      </c>
      <c r="D3272" s="566">
        <v>0.31</v>
      </c>
      <c r="E3272" s="566">
        <v>23257</v>
      </c>
      <c r="F3272" s="566">
        <v>73257</v>
      </c>
      <c r="G3272" s="566">
        <v>2625</v>
      </c>
      <c r="H3272" s="566">
        <v>3924</v>
      </c>
      <c r="I3272" s="558" t="str">
        <f t="shared" si="48"/>
        <v>GooD</v>
      </c>
    </row>
    <row r="3273" spans="1:9" ht="15.75" thickTop="1">
      <c r="A3273" s="567" t="s">
        <v>645</v>
      </c>
      <c r="B3273" s="567">
        <v>50000</v>
      </c>
      <c r="C3273" s="568">
        <v>20</v>
      </c>
      <c r="D3273" s="568">
        <v>0.31</v>
      </c>
      <c r="E3273" s="568">
        <v>25837</v>
      </c>
      <c r="F3273" s="568">
        <v>75837</v>
      </c>
      <c r="G3273" s="568">
        <v>2917</v>
      </c>
      <c r="H3273" s="568">
        <v>3646</v>
      </c>
      <c r="I3273" s="559" t="str">
        <f t="shared" si="48"/>
        <v>GooD</v>
      </c>
    </row>
    <row r="3274" spans="1:9">
      <c r="A3274" s="563" t="s">
        <v>645</v>
      </c>
      <c r="B3274" s="563">
        <v>50000</v>
      </c>
      <c r="C3274" s="564">
        <v>22</v>
      </c>
      <c r="D3274" s="564">
        <v>0.31</v>
      </c>
      <c r="E3274" s="564">
        <v>28427</v>
      </c>
      <c r="F3274" s="564">
        <v>78427</v>
      </c>
      <c r="G3274" s="564">
        <v>3209</v>
      </c>
      <c r="H3274" s="564">
        <v>3419</v>
      </c>
      <c r="I3274" s="557" t="str">
        <f t="shared" si="48"/>
        <v>GooD</v>
      </c>
    </row>
    <row r="3275" spans="1:9" ht="15.75" thickBot="1">
      <c r="A3275" s="565" t="s">
        <v>645</v>
      </c>
      <c r="B3275" s="565">
        <v>50000</v>
      </c>
      <c r="C3275" s="566">
        <v>24</v>
      </c>
      <c r="D3275" s="566">
        <v>0.31</v>
      </c>
      <c r="E3275" s="566">
        <v>31020</v>
      </c>
      <c r="F3275" s="566">
        <v>81020</v>
      </c>
      <c r="G3275" s="566">
        <v>3500</v>
      </c>
      <c r="H3275" s="566">
        <v>3230</v>
      </c>
      <c r="I3275" s="558" t="str">
        <f t="shared" si="48"/>
        <v>GooD</v>
      </c>
    </row>
    <row r="3276" spans="1:9" ht="15.75" thickTop="1">
      <c r="A3276" s="567" t="s">
        <v>639</v>
      </c>
      <c r="B3276" s="567">
        <v>51000</v>
      </c>
      <c r="C3276" s="568">
        <v>12</v>
      </c>
      <c r="D3276" s="568">
        <v>0.315</v>
      </c>
      <c r="E3276" s="568">
        <v>16066</v>
      </c>
      <c r="F3276" s="568">
        <v>67066</v>
      </c>
      <c r="G3276" s="568">
        <v>1786</v>
      </c>
      <c r="H3276" s="568">
        <v>5440</v>
      </c>
      <c r="I3276" s="559" t="str">
        <f t="shared" si="48"/>
        <v>GooD</v>
      </c>
    </row>
    <row r="3277" spans="1:9">
      <c r="A3277" s="563" t="s">
        <v>639</v>
      </c>
      <c r="B3277" s="563">
        <v>51000</v>
      </c>
      <c r="C3277" s="564">
        <v>18</v>
      </c>
      <c r="D3277" s="564">
        <v>0.315</v>
      </c>
      <c r="E3277" s="564">
        <v>24110</v>
      </c>
      <c r="F3277" s="564">
        <v>75110</v>
      </c>
      <c r="G3277" s="564">
        <v>2678</v>
      </c>
      <c r="H3277" s="564">
        <v>4024</v>
      </c>
      <c r="I3277" s="557" t="str">
        <f t="shared" si="48"/>
        <v>GooD</v>
      </c>
    </row>
    <row r="3278" spans="1:9" ht="15.75" thickBot="1">
      <c r="A3278" s="565" t="s">
        <v>639</v>
      </c>
      <c r="B3278" s="565">
        <v>51000</v>
      </c>
      <c r="C3278" s="566">
        <v>24</v>
      </c>
      <c r="D3278" s="566">
        <v>0.315</v>
      </c>
      <c r="E3278" s="566">
        <v>32131</v>
      </c>
      <c r="F3278" s="566">
        <v>83131</v>
      </c>
      <c r="G3278" s="566">
        <v>3571</v>
      </c>
      <c r="H3278" s="566">
        <v>3315</v>
      </c>
      <c r="I3278" s="558" t="str">
        <f t="shared" si="48"/>
        <v>GooD</v>
      </c>
    </row>
    <row r="3279" spans="1:9" ht="15.75" thickTop="1">
      <c r="A3279" s="567" t="s">
        <v>639</v>
      </c>
      <c r="B3279" s="567">
        <v>52000</v>
      </c>
      <c r="C3279" s="568">
        <v>12</v>
      </c>
      <c r="D3279" s="568">
        <v>0.315</v>
      </c>
      <c r="E3279" s="568">
        <v>16385</v>
      </c>
      <c r="F3279" s="568">
        <v>68385</v>
      </c>
      <c r="G3279" s="568">
        <v>1821</v>
      </c>
      <c r="H3279" s="568">
        <v>5547</v>
      </c>
      <c r="I3279" s="559" t="str">
        <f t="shared" si="48"/>
        <v>GooD</v>
      </c>
    </row>
    <row r="3280" spans="1:9">
      <c r="A3280" s="563" t="s">
        <v>639</v>
      </c>
      <c r="B3280" s="563">
        <v>52000</v>
      </c>
      <c r="C3280" s="564">
        <v>18</v>
      </c>
      <c r="D3280" s="564">
        <v>0.315</v>
      </c>
      <c r="E3280" s="564">
        <v>24585</v>
      </c>
      <c r="F3280" s="564">
        <v>76585</v>
      </c>
      <c r="G3280" s="564">
        <v>2731</v>
      </c>
      <c r="H3280" s="564">
        <v>4103</v>
      </c>
      <c r="I3280" s="557" t="str">
        <f t="shared" si="48"/>
        <v>GooD</v>
      </c>
    </row>
    <row r="3281" spans="1:9" ht="15.75" thickBot="1">
      <c r="A3281" s="565" t="s">
        <v>639</v>
      </c>
      <c r="B3281" s="565">
        <v>52000</v>
      </c>
      <c r="C3281" s="566">
        <v>24</v>
      </c>
      <c r="D3281" s="566">
        <v>0.315</v>
      </c>
      <c r="E3281" s="566">
        <v>32761</v>
      </c>
      <c r="F3281" s="566">
        <v>84761</v>
      </c>
      <c r="G3281" s="566">
        <v>3641</v>
      </c>
      <c r="H3281" s="566">
        <v>3380</v>
      </c>
      <c r="I3281" s="558" t="str">
        <f t="shared" ref="I3281:I3344" si="49">IF(((H3281*C3281)+G3281)=F3281,"GooD","لالالالالالالا")</f>
        <v>GooD</v>
      </c>
    </row>
    <row r="3282" spans="1:9" ht="15.75" thickTop="1">
      <c r="A3282" s="567" t="s">
        <v>639</v>
      </c>
      <c r="B3282" s="567">
        <v>53000</v>
      </c>
      <c r="C3282" s="568">
        <v>12</v>
      </c>
      <c r="D3282" s="568">
        <v>0.315</v>
      </c>
      <c r="E3282" s="568">
        <v>16704</v>
      </c>
      <c r="F3282" s="568">
        <v>69704</v>
      </c>
      <c r="G3282" s="568">
        <v>1856</v>
      </c>
      <c r="H3282" s="568">
        <v>5654</v>
      </c>
      <c r="I3282" s="559" t="str">
        <f t="shared" si="49"/>
        <v>GooD</v>
      </c>
    </row>
    <row r="3283" spans="1:9">
      <c r="A3283" s="563" t="s">
        <v>639</v>
      </c>
      <c r="B3283" s="563">
        <v>53000</v>
      </c>
      <c r="C3283" s="564">
        <v>18</v>
      </c>
      <c r="D3283" s="564">
        <v>0.315</v>
      </c>
      <c r="E3283" s="564">
        <v>25059</v>
      </c>
      <c r="F3283" s="564">
        <v>78059</v>
      </c>
      <c r="G3283" s="564">
        <v>2783</v>
      </c>
      <c r="H3283" s="564">
        <v>4182</v>
      </c>
      <c r="I3283" s="557" t="str">
        <f t="shared" si="49"/>
        <v>GooD</v>
      </c>
    </row>
    <row r="3284" spans="1:9" ht="15.75" thickBot="1">
      <c r="A3284" s="565" t="s">
        <v>639</v>
      </c>
      <c r="B3284" s="565">
        <v>53000</v>
      </c>
      <c r="C3284" s="566">
        <v>24</v>
      </c>
      <c r="D3284" s="566">
        <v>0.315</v>
      </c>
      <c r="E3284" s="566">
        <v>33391</v>
      </c>
      <c r="F3284" s="566">
        <v>86391</v>
      </c>
      <c r="G3284" s="566">
        <v>3711</v>
      </c>
      <c r="H3284" s="566">
        <v>3445</v>
      </c>
      <c r="I3284" s="558" t="str">
        <f t="shared" si="49"/>
        <v>GooD</v>
      </c>
    </row>
    <row r="3285" spans="1:9" ht="15.75" thickTop="1">
      <c r="A3285" s="567" t="s">
        <v>639</v>
      </c>
      <c r="B3285" s="567">
        <v>54000</v>
      </c>
      <c r="C3285" s="568">
        <v>12</v>
      </c>
      <c r="D3285" s="568">
        <v>0.315</v>
      </c>
      <c r="E3285" s="568">
        <v>17011</v>
      </c>
      <c r="F3285" s="568">
        <v>71011</v>
      </c>
      <c r="G3285" s="568">
        <v>1891</v>
      </c>
      <c r="H3285" s="568">
        <v>5760</v>
      </c>
      <c r="I3285" s="559" t="str">
        <f t="shared" si="49"/>
        <v>GooD</v>
      </c>
    </row>
    <row r="3286" spans="1:9">
      <c r="A3286" s="563" t="s">
        <v>639</v>
      </c>
      <c r="B3286" s="563">
        <v>54000</v>
      </c>
      <c r="C3286" s="564">
        <v>18</v>
      </c>
      <c r="D3286" s="564">
        <v>0.315</v>
      </c>
      <c r="E3286" s="564">
        <v>25516</v>
      </c>
      <c r="F3286" s="564">
        <v>79516</v>
      </c>
      <c r="G3286" s="564">
        <v>2836</v>
      </c>
      <c r="H3286" s="564">
        <v>4260</v>
      </c>
      <c r="I3286" s="557" t="str">
        <f t="shared" si="49"/>
        <v>GooD</v>
      </c>
    </row>
    <row r="3287" spans="1:9" ht="15.75" thickBot="1">
      <c r="A3287" s="565" t="s">
        <v>639</v>
      </c>
      <c r="B3287" s="565">
        <v>54000</v>
      </c>
      <c r="C3287" s="566">
        <v>24</v>
      </c>
      <c r="D3287" s="566">
        <v>0.315</v>
      </c>
      <c r="E3287" s="566">
        <v>34021</v>
      </c>
      <c r="F3287" s="566">
        <v>88021</v>
      </c>
      <c r="G3287" s="566">
        <v>3781</v>
      </c>
      <c r="H3287" s="566">
        <v>3510</v>
      </c>
      <c r="I3287" s="558" t="str">
        <f t="shared" si="49"/>
        <v>GooD</v>
      </c>
    </row>
    <row r="3288" spans="1:9" ht="15.75" thickTop="1">
      <c r="A3288" s="567" t="s">
        <v>639</v>
      </c>
      <c r="B3288" s="567">
        <v>55000</v>
      </c>
      <c r="C3288" s="568">
        <v>12</v>
      </c>
      <c r="D3288" s="568">
        <v>0.315</v>
      </c>
      <c r="E3288" s="568">
        <v>17330</v>
      </c>
      <c r="F3288" s="568">
        <v>72330</v>
      </c>
      <c r="G3288" s="568">
        <v>1926</v>
      </c>
      <c r="H3288" s="568">
        <v>5867</v>
      </c>
      <c r="I3288" s="559" t="str">
        <f t="shared" si="49"/>
        <v>GooD</v>
      </c>
    </row>
    <row r="3289" spans="1:9">
      <c r="A3289" s="563" t="s">
        <v>639</v>
      </c>
      <c r="B3289" s="563">
        <v>55000</v>
      </c>
      <c r="C3289" s="564">
        <v>18</v>
      </c>
      <c r="D3289" s="564">
        <v>0.315</v>
      </c>
      <c r="E3289" s="564">
        <v>25990</v>
      </c>
      <c r="F3289" s="564">
        <v>80990</v>
      </c>
      <c r="G3289" s="564">
        <v>2888</v>
      </c>
      <c r="H3289" s="564">
        <v>4339</v>
      </c>
      <c r="I3289" s="557" t="str">
        <f t="shared" si="49"/>
        <v>GooD</v>
      </c>
    </row>
    <row r="3290" spans="1:9" ht="15.75" thickBot="1">
      <c r="A3290" s="565" t="s">
        <v>639</v>
      </c>
      <c r="B3290" s="565">
        <v>55000</v>
      </c>
      <c r="C3290" s="566">
        <v>24</v>
      </c>
      <c r="D3290" s="566">
        <v>0.315</v>
      </c>
      <c r="E3290" s="566">
        <v>34651</v>
      </c>
      <c r="F3290" s="566">
        <v>89651</v>
      </c>
      <c r="G3290" s="566">
        <v>3851</v>
      </c>
      <c r="H3290" s="566">
        <v>3575</v>
      </c>
      <c r="I3290" s="558" t="str">
        <f t="shared" si="49"/>
        <v>GooD</v>
      </c>
    </row>
    <row r="3291" spans="1:9" ht="15.75" thickTop="1">
      <c r="A3291" s="567" t="s">
        <v>639</v>
      </c>
      <c r="B3291" s="567">
        <v>56000</v>
      </c>
      <c r="C3291" s="568">
        <v>12</v>
      </c>
      <c r="D3291" s="568">
        <v>0.315</v>
      </c>
      <c r="E3291" s="568">
        <v>17649</v>
      </c>
      <c r="F3291" s="568">
        <v>73649</v>
      </c>
      <c r="G3291" s="568">
        <v>1961</v>
      </c>
      <c r="H3291" s="568">
        <v>5974</v>
      </c>
      <c r="I3291" s="559" t="str">
        <f t="shared" si="49"/>
        <v>GooD</v>
      </c>
    </row>
    <row r="3292" spans="1:9">
      <c r="A3292" s="563" t="s">
        <v>639</v>
      </c>
      <c r="B3292" s="563">
        <v>56000</v>
      </c>
      <c r="C3292" s="564">
        <v>18</v>
      </c>
      <c r="D3292" s="564">
        <v>0.315</v>
      </c>
      <c r="E3292" s="564">
        <v>26465</v>
      </c>
      <c r="F3292" s="564">
        <v>82465</v>
      </c>
      <c r="G3292" s="564">
        <v>2941</v>
      </c>
      <c r="H3292" s="564">
        <v>4418</v>
      </c>
      <c r="I3292" s="557" t="str">
        <f t="shared" si="49"/>
        <v>GooD</v>
      </c>
    </row>
    <row r="3293" spans="1:9" ht="15.75" thickBot="1">
      <c r="A3293" s="565" t="s">
        <v>639</v>
      </c>
      <c r="B3293" s="565">
        <v>56000</v>
      </c>
      <c r="C3293" s="566">
        <v>24</v>
      </c>
      <c r="D3293" s="566">
        <v>0.315</v>
      </c>
      <c r="E3293" s="566">
        <v>35281</v>
      </c>
      <c r="F3293" s="566">
        <v>91281</v>
      </c>
      <c r="G3293" s="566">
        <v>3921</v>
      </c>
      <c r="H3293" s="566">
        <v>3640</v>
      </c>
      <c r="I3293" s="558" t="str">
        <f t="shared" si="49"/>
        <v>GooD</v>
      </c>
    </row>
    <row r="3294" spans="1:9" ht="15.75" thickTop="1">
      <c r="A3294" s="567" t="s">
        <v>639</v>
      </c>
      <c r="B3294" s="567">
        <v>57000</v>
      </c>
      <c r="C3294" s="568">
        <v>12</v>
      </c>
      <c r="D3294" s="568">
        <v>0.315</v>
      </c>
      <c r="E3294" s="568">
        <v>17956</v>
      </c>
      <c r="F3294" s="568">
        <v>74956</v>
      </c>
      <c r="G3294" s="568">
        <v>1996</v>
      </c>
      <c r="H3294" s="568">
        <v>6080</v>
      </c>
      <c r="I3294" s="559" t="str">
        <f t="shared" si="49"/>
        <v>GooD</v>
      </c>
    </row>
    <row r="3295" spans="1:9">
      <c r="A3295" s="563" t="s">
        <v>639</v>
      </c>
      <c r="B3295" s="563">
        <v>57000</v>
      </c>
      <c r="C3295" s="564">
        <v>18</v>
      </c>
      <c r="D3295" s="564">
        <v>0.315</v>
      </c>
      <c r="E3295" s="564">
        <v>26939</v>
      </c>
      <c r="F3295" s="564">
        <v>83939</v>
      </c>
      <c r="G3295" s="564">
        <v>2993</v>
      </c>
      <c r="H3295" s="564">
        <v>4497</v>
      </c>
      <c r="I3295" s="557" t="str">
        <f t="shared" si="49"/>
        <v>GooD</v>
      </c>
    </row>
    <row r="3296" spans="1:9" ht="15.75" thickBot="1">
      <c r="A3296" s="565" t="s">
        <v>639</v>
      </c>
      <c r="B3296" s="565">
        <v>57000</v>
      </c>
      <c r="C3296" s="566">
        <v>24</v>
      </c>
      <c r="D3296" s="566">
        <v>0.315</v>
      </c>
      <c r="E3296" s="566">
        <v>35911</v>
      </c>
      <c r="F3296" s="566">
        <v>92911</v>
      </c>
      <c r="G3296" s="566">
        <v>3991</v>
      </c>
      <c r="H3296" s="566">
        <v>3705</v>
      </c>
      <c r="I3296" s="558" t="str">
        <f t="shared" si="49"/>
        <v>GooD</v>
      </c>
    </row>
    <row r="3297" spans="1:9" ht="15.75" thickTop="1">
      <c r="A3297" s="567" t="s">
        <v>639</v>
      </c>
      <c r="B3297" s="567">
        <v>58000</v>
      </c>
      <c r="C3297" s="568">
        <v>12</v>
      </c>
      <c r="D3297" s="568">
        <v>0.315</v>
      </c>
      <c r="E3297" s="568">
        <v>18275</v>
      </c>
      <c r="F3297" s="568">
        <v>76275</v>
      </c>
      <c r="G3297" s="568">
        <v>2031</v>
      </c>
      <c r="H3297" s="568">
        <v>6187</v>
      </c>
      <c r="I3297" s="559" t="str">
        <f t="shared" si="49"/>
        <v>GooD</v>
      </c>
    </row>
    <row r="3298" spans="1:9">
      <c r="A3298" s="563" t="s">
        <v>639</v>
      </c>
      <c r="B3298" s="563">
        <v>58000</v>
      </c>
      <c r="C3298" s="564">
        <v>18</v>
      </c>
      <c r="D3298" s="564">
        <v>0.315</v>
      </c>
      <c r="E3298" s="564">
        <v>27414</v>
      </c>
      <c r="F3298" s="564">
        <v>85414</v>
      </c>
      <c r="G3298" s="564">
        <v>3046</v>
      </c>
      <c r="H3298" s="564">
        <v>4576</v>
      </c>
      <c r="I3298" s="557" t="str">
        <f t="shared" si="49"/>
        <v>GooD</v>
      </c>
    </row>
    <row r="3299" spans="1:9" ht="15.75" thickBot="1">
      <c r="A3299" s="565" t="s">
        <v>639</v>
      </c>
      <c r="B3299" s="565">
        <v>58000</v>
      </c>
      <c r="C3299" s="566">
        <v>24</v>
      </c>
      <c r="D3299" s="566">
        <v>0.315</v>
      </c>
      <c r="E3299" s="566">
        <v>36541</v>
      </c>
      <c r="F3299" s="566">
        <v>94541</v>
      </c>
      <c r="G3299" s="566">
        <v>4061</v>
      </c>
      <c r="H3299" s="566">
        <v>3770</v>
      </c>
      <c r="I3299" s="558" t="str">
        <f t="shared" si="49"/>
        <v>GooD</v>
      </c>
    </row>
    <row r="3300" spans="1:9" ht="15.75" thickTop="1">
      <c r="A3300" s="567" t="s">
        <v>639</v>
      </c>
      <c r="B3300" s="567">
        <v>59000</v>
      </c>
      <c r="C3300" s="568">
        <v>12</v>
      </c>
      <c r="D3300" s="568">
        <v>0.315</v>
      </c>
      <c r="E3300" s="568">
        <v>18594</v>
      </c>
      <c r="F3300" s="568">
        <v>77594</v>
      </c>
      <c r="G3300" s="568">
        <v>2066</v>
      </c>
      <c r="H3300" s="568">
        <v>6294</v>
      </c>
      <c r="I3300" s="559" t="str">
        <f t="shared" si="49"/>
        <v>GooD</v>
      </c>
    </row>
    <row r="3301" spans="1:9">
      <c r="A3301" s="563" t="s">
        <v>639</v>
      </c>
      <c r="B3301" s="563">
        <v>59000</v>
      </c>
      <c r="C3301" s="564">
        <v>18</v>
      </c>
      <c r="D3301" s="564">
        <v>0.315</v>
      </c>
      <c r="E3301" s="564">
        <v>27888</v>
      </c>
      <c r="F3301" s="564">
        <v>86888</v>
      </c>
      <c r="G3301" s="564">
        <v>3098</v>
      </c>
      <c r="H3301" s="564">
        <v>4655</v>
      </c>
      <c r="I3301" s="557" t="str">
        <f t="shared" si="49"/>
        <v>GooD</v>
      </c>
    </row>
    <row r="3302" spans="1:9" ht="15.75" thickBot="1">
      <c r="A3302" s="565" t="s">
        <v>639</v>
      </c>
      <c r="B3302" s="565">
        <v>59000</v>
      </c>
      <c r="C3302" s="566">
        <v>24</v>
      </c>
      <c r="D3302" s="566">
        <v>0.315</v>
      </c>
      <c r="E3302" s="566">
        <v>37171</v>
      </c>
      <c r="F3302" s="566">
        <v>96171</v>
      </c>
      <c r="G3302" s="566">
        <v>4131</v>
      </c>
      <c r="H3302" s="566">
        <v>3835</v>
      </c>
      <c r="I3302" s="558" t="str">
        <f t="shared" si="49"/>
        <v>GooD</v>
      </c>
    </row>
    <row r="3303" spans="1:9" ht="15.75" thickTop="1">
      <c r="A3303" s="567" t="s">
        <v>639</v>
      </c>
      <c r="B3303" s="567">
        <v>60000</v>
      </c>
      <c r="C3303" s="568">
        <v>12</v>
      </c>
      <c r="D3303" s="568">
        <v>0.315</v>
      </c>
      <c r="E3303" s="568">
        <v>18901</v>
      </c>
      <c r="F3303" s="568">
        <v>78901</v>
      </c>
      <c r="G3303" s="568">
        <v>2101</v>
      </c>
      <c r="H3303" s="568">
        <v>6400</v>
      </c>
      <c r="I3303" s="559" t="str">
        <f t="shared" si="49"/>
        <v>GooD</v>
      </c>
    </row>
    <row r="3304" spans="1:9">
      <c r="A3304" s="563" t="s">
        <v>639</v>
      </c>
      <c r="B3304" s="563">
        <v>60000</v>
      </c>
      <c r="C3304" s="564">
        <v>18</v>
      </c>
      <c r="D3304" s="564">
        <v>0.315</v>
      </c>
      <c r="E3304" s="564">
        <v>28363</v>
      </c>
      <c r="F3304" s="564">
        <v>88363</v>
      </c>
      <c r="G3304" s="564">
        <v>3151</v>
      </c>
      <c r="H3304" s="564">
        <v>4734</v>
      </c>
      <c r="I3304" s="557" t="str">
        <f t="shared" si="49"/>
        <v>GooD</v>
      </c>
    </row>
    <row r="3305" spans="1:9" ht="15.75" thickBot="1">
      <c r="A3305" s="565" t="s">
        <v>639</v>
      </c>
      <c r="B3305" s="565">
        <v>60000</v>
      </c>
      <c r="C3305" s="566">
        <v>24</v>
      </c>
      <c r="D3305" s="566">
        <v>0.315</v>
      </c>
      <c r="E3305" s="566">
        <v>37801</v>
      </c>
      <c r="F3305" s="566">
        <v>97801</v>
      </c>
      <c r="G3305" s="566">
        <v>4201</v>
      </c>
      <c r="H3305" s="566">
        <v>3900</v>
      </c>
      <c r="I3305" s="558" t="str">
        <f t="shared" si="49"/>
        <v>GooD</v>
      </c>
    </row>
    <row r="3306" spans="1:9" ht="15.75" thickTop="1">
      <c r="A3306" s="567" t="s">
        <v>639</v>
      </c>
      <c r="B3306" s="567">
        <v>61000</v>
      </c>
      <c r="C3306" s="568">
        <v>12</v>
      </c>
      <c r="D3306" s="568">
        <v>0.315</v>
      </c>
      <c r="E3306" s="568">
        <v>19220</v>
      </c>
      <c r="F3306" s="568">
        <v>80220</v>
      </c>
      <c r="G3306" s="568">
        <v>2136</v>
      </c>
      <c r="H3306" s="568">
        <v>6507</v>
      </c>
      <c r="I3306" s="559" t="str">
        <f t="shared" si="49"/>
        <v>GooD</v>
      </c>
    </row>
    <row r="3307" spans="1:9">
      <c r="A3307" s="563" t="s">
        <v>639</v>
      </c>
      <c r="B3307" s="563">
        <v>61000</v>
      </c>
      <c r="C3307" s="564">
        <v>18</v>
      </c>
      <c r="D3307" s="564">
        <v>0.315</v>
      </c>
      <c r="E3307" s="564">
        <v>28837</v>
      </c>
      <c r="F3307" s="564">
        <v>89837</v>
      </c>
      <c r="G3307" s="564">
        <v>3203</v>
      </c>
      <c r="H3307" s="564">
        <v>4813</v>
      </c>
      <c r="I3307" s="557" t="str">
        <f t="shared" si="49"/>
        <v>GooD</v>
      </c>
    </row>
    <row r="3308" spans="1:9" ht="15.75" thickBot="1">
      <c r="A3308" s="565" t="s">
        <v>639</v>
      </c>
      <c r="B3308" s="565">
        <v>61000</v>
      </c>
      <c r="C3308" s="566">
        <v>24</v>
      </c>
      <c r="D3308" s="566">
        <v>0.315</v>
      </c>
      <c r="E3308" s="566">
        <v>38431</v>
      </c>
      <c r="F3308" s="566">
        <v>99431</v>
      </c>
      <c r="G3308" s="566">
        <v>4271</v>
      </c>
      <c r="H3308" s="566">
        <v>3965</v>
      </c>
      <c r="I3308" s="558" t="str">
        <f t="shared" si="49"/>
        <v>GooD</v>
      </c>
    </row>
    <row r="3309" spans="1:9" ht="15.75" thickTop="1">
      <c r="A3309" s="567" t="s">
        <v>639</v>
      </c>
      <c r="B3309" s="567">
        <v>62000</v>
      </c>
      <c r="C3309" s="568">
        <v>12</v>
      </c>
      <c r="D3309" s="568">
        <v>0.315</v>
      </c>
      <c r="E3309" s="568">
        <v>19539</v>
      </c>
      <c r="F3309" s="568">
        <v>81539</v>
      </c>
      <c r="G3309" s="568">
        <v>2171</v>
      </c>
      <c r="H3309" s="568">
        <v>6614</v>
      </c>
      <c r="I3309" s="559" t="str">
        <f t="shared" si="49"/>
        <v>GooD</v>
      </c>
    </row>
    <row r="3310" spans="1:9">
      <c r="A3310" s="563" t="s">
        <v>639</v>
      </c>
      <c r="B3310" s="563">
        <v>62000</v>
      </c>
      <c r="C3310" s="564">
        <v>18</v>
      </c>
      <c r="D3310" s="564">
        <v>0.315</v>
      </c>
      <c r="E3310" s="564">
        <v>29312</v>
      </c>
      <c r="F3310" s="564">
        <v>91312</v>
      </c>
      <c r="G3310" s="564">
        <v>3256</v>
      </c>
      <c r="H3310" s="564">
        <v>4892</v>
      </c>
      <c r="I3310" s="557" t="str">
        <f t="shared" si="49"/>
        <v>GooD</v>
      </c>
    </row>
    <row r="3311" spans="1:9" ht="15.75" thickBot="1">
      <c r="A3311" s="565" t="s">
        <v>639</v>
      </c>
      <c r="B3311" s="565">
        <v>62000</v>
      </c>
      <c r="C3311" s="566">
        <v>24</v>
      </c>
      <c r="D3311" s="566">
        <v>0.315</v>
      </c>
      <c r="E3311" s="566">
        <v>39061</v>
      </c>
      <c r="F3311" s="566">
        <v>101061</v>
      </c>
      <c r="G3311" s="566">
        <v>4341</v>
      </c>
      <c r="H3311" s="566">
        <v>4030</v>
      </c>
      <c r="I3311" s="558" t="str">
        <f t="shared" si="49"/>
        <v>GooD</v>
      </c>
    </row>
    <row r="3312" spans="1:9" ht="15.75" thickTop="1">
      <c r="A3312" s="567" t="s">
        <v>639</v>
      </c>
      <c r="B3312" s="567">
        <v>63000</v>
      </c>
      <c r="C3312" s="568">
        <v>12</v>
      </c>
      <c r="D3312" s="568">
        <v>0.315</v>
      </c>
      <c r="E3312" s="568">
        <v>19846</v>
      </c>
      <c r="F3312" s="568">
        <v>82846</v>
      </c>
      <c r="G3312" s="568">
        <v>2206</v>
      </c>
      <c r="H3312" s="568">
        <v>6720</v>
      </c>
      <c r="I3312" s="559" t="str">
        <f t="shared" si="49"/>
        <v>GooD</v>
      </c>
    </row>
    <row r="3313" spans="1:9">
      <c r="A3313" s="563" t="s">
        <v>639</v>
      </c>
      <c r="B3313" s="563">
        <v>63000</v>
      </c>
      <c r="C3313" s="564">
        <v>18</v>
      </c>
      <c r="D3313" s="564">
        <v>0.315</v>
      </c>
      <c r="E3313" s="564">
        <v>29768</v>
      </c>
      <c r="F3313" s="564">
        <v>92768</v>
      </c>
      <c r="G3313" s="564">
        <v>3308</v>
      </c>
      <c r="H3313" s="564">
        <v>4970</v>
      </c>
      <c r="I3313" s="557" t="str">
        <f t="shared" si="49"/>
        <v>GooD</v>
      </c>
    </row>
    <row r="3314" spans="1:9" ht="15.75" thickBot="1">
      <c r="A3314" s="565" t="s">
        <v>639</v>
      </c>
      <c r="B3314" s="565">
        <v>63000</v>
      </c>
      <c r="C3314" s="566">
        <v>24</v>
      </c>
      <c r="D3314" s="566">
        <v>0.315</v>
      </c>
      <c r="E3314" s="566">
        <v>39691</v>
      </c>
      <c r="F3314" s="566">
        <v>102691</v>
      </c>
      <c r="G3314" s="566">
        <v>4411</v>
      </c>
      <c r="H3314" s="566">
        <v>4095</v>
      </c>
      <c r="I3314" s="558" t="str">
        <f t="shared" si="49"/>
        <v>GooD</v>
      </c>
    </row>
    <row r="3315" spans="1:9" ht="15.75" thickTop="1">
      <c r="A3315" s="567" t="s">
        <v>639</v>
      </c>
      <c r="B3315" s="567">
        <v>64000</v>
      </c>
      <c r="C3315" s="568">
        <v>12</v>
      </c>
      <c r="D3315" s="568">
        <v>0.315</v>
      </c>
      <c r="E3315" s="568">
        <v>20165</v>
      </c>
      <c r="F3315" s="568">
        <v>84165</v>
      </c>
      <c r="G3315" s="568">
        <v>2241</v>
      </c>
      <c r="H3315" s="568">
        <v>6827</v>
      </c>
      <c r="I3315" s="559" t="str">
        <f t="shared" si="49"/>
        <v>GooD</v>
      </c>
    </row>
    <row r="3316" spans="1:9">
      <c r="A3316" s="563" t="s">
        <v>639</v>
      </c>
      <c r="B3316" s="563">
        <v>64000</v>
      </c>
      <c r="C3316" s="564">
        <v>18</v>
      </c>
      <c r="D3316" s="564">
        <v>0.315</v>
      </c>
      <c r="E3316" s="564">
        <v>30243</v>
      </c>
      <c r="F3316" s="564">
        <v>94243</v>
      </c>
      <c r="G3316" s="564">
        <v>3361</v>
      </c>
      <c r="H3316" s="564">
        <v>5049</v>
      </c>
      <c r="I3316" s="557" t="str">
        <f t="shared" si="49"/>
        <v>GooD</v>
      </c>
    </row>
    <row r="3317" spans="1:9" ht="15.75" thickBot="1">
      <c r="A3317" s="565" t="s">
        <v>639</v>
      </c>
      <c r="B3317" s="565">
        <v>64000</v>
      </c>
      <c r="C3317" s="566">
        <v>24</v>
      </c>
      <c r="D3317" s="566">
        <v>0.315</v>
      </c>
      <c r="E3317" s="566">
        <v>40321</v>
      </c>
      <c r="F3317" s="566">
        <v>104321</v>
      </c>
      <c r="G3317" s="566">
        <v>4481</v>
      </c>
      <c r="H3317" s="566">
        <v>4160</v>
      </c>
      <c r="I3317" s="558" t="str">
        <f t="shared" si="49"/>
        <v>GooD</v>
      </c>
    </row>
    <row r="3318" spans="1:9" ht="15.75" thickTop="1">
      <c r="A3318" s="567" t="s">
        <v>639</v>
      </c>
      <c r="B3318" s="567">
        <v>65000</v>
      </c>
      <c r="C3318" s="568">
        <v>12</v>
      </c>
      <c r="D3318" s="568">
        <v>0.315</v>
      </c>
      <c r="E3318" s="568">
        <v>20484</v>
      </c>
      <c r="F3318" s="568">
        <v>85484</v>
      </c>
      <c r="G3318" s="568">
        <v>2276</v>
      </c>
      <c r="H3318" s="568">
        <v>6934</v>
      </c>
      <c r="I3318" s="559" t="str">
        <f t="shared" si="49"/>
        <v>GooD</v>
      </c>
    </row>
    <row r="3319" spans="1:9">
      <c r="A3319" s="563" t="s">
        <v>639</v>
      </c>
      <c r="B3319" s="563">
        <v>65000</v>
      </c>
      <c r="C3319" s="564">
        <v>18</v>
      </c>
      <c r="D3319" s="564">
        <v>0.315</v>
      </c>
      <c r="E3319" s="564">
        <v>30717</v>
      </c>
      <c r="F3319" s="564">
        <v>95717</v>
      </c>
      <c r="G3319" s="564">
        <v>3413</v>
      </c>
      <c r="H3319" s="564">
        <v>5128</v>
      </c>
      <c r="I3319" s="557" t="str">
        <f t="shared" si="49"/>
        <v>GooD</v>
      </c>
    </row>
    <row r="3320" spans="1:9" ht="15.75" thickBot="1">
      <c r="A3320" s="565" t="s">
        <v>639</v>
      </c>
      <c r="B3320" s="565">
        <v>65000</v>
      </c>
      <c r="C3320" s="566">
        <v>24</v>
      </c>
      <c r="D3320" s="566">
        <v>0.315</v>
      </c>
      <c r="E3320" s="566">
        <v>40951</v>
      </c>
      <c r="F3320" s="566">
        <v>105951</v>
      </c>
      <c r="G3320" s="566">
        <v>4551</v>
      </c>
      <c r="H3320" s="566">
        <v>4225</v>
      </c>
      <c r="I3320" s="558" t="str">
        <f t="shared" si="49"/>
        <v>GooD</v>
      </c>
    </row>
    <row r="3321" spans="1:9" ht="15.75" thickTop="1">
      <c r="A3321" s="567" t="s">
        <v>639</v>
      </c>
      <c r="B3321" s="567">
        <v>66000</v>
      </c>
      <c r="C3321" s="568">
        <v>12</v>
      </c>
      <c r="D3321" s="568">
        <v>0.315</v>
      </c>
      <c r="E3321" s="568">
        <v>20791</v>
      </c>
      <c r="F3321" s="568">
        <v>86791</v>
      </c>
      <c r="G3321" s="568">
        <v>2311</v>
      </c>
      <c r="H3321" s="568">
        <v>7040</v>
      </c>
      <c r="I3321" s="559" t="str">
        <f t="shared" si="49"/>
        <v>GooD</v>
      </c>
    </row>
    <row r="3322" spans="1:9">
      <c r="A3322" s="563" t="s">
        <v>639</v>
      </c>
      <c r="B3322" s="563">
        <v>66000</v>
      </c>
      <c r="C3322" s="564">
        <v>18</v>
      </c>
      <c r="D3322" s="564">
        <v>0.315</v>
      </c>
      <c r="E3322" s="564">
        <v>31192</v>
      </c>
      <c r="F3322" s="564">
        <v>97192</v>
      </c>
      <c r="G3322" s="564">
        <v>3466</v>
      </c>
      <c r="H3322" s="564">
        <v>5207</v>
      </c>
      <c r="I3322" s="557" t="str">
        <f t="shared" si="49"/>
        <v>GooD</v>
      </c>
    </row>
    <row r="3323" spans="1:9" ht="15.75" thickBot="1">
      <c r="A3323" s="565" t="s">
        <v>639</v>
      </c>
      <c r="B3323" s="565">
        <v>66000</v>
      </c>
      <c r="C3323" s="566">
        <v>24</v>
      </c>
      <c r="D3323" s="566">
        <v>0.315</v>
      </c>
      <c r="E3323" s="566">
        <v>41581</v>
      </c>
      <c r="F3323" s="566">
        <v>107581</v>
      </c>
      <c r="G3323" s="566">
        <v>4621</v>
      </c>
      <c r="H3323" s="566">
        <v>4290</v>
      </c>
      <c r="I3323" s="558" t="str">
        <f t="shared" si="49"/>
        <v>GooD</v>
      </c>
    </row>
    <row r="3324" spans="1:9" ht="15.75" thickTop="1">
      <c r="A3324" s="567" t="s">
        <v>639</v>
      </c>
      <c r="B3324" s="567">
        <v>67000</v>
      </c>
      <c r="C3324" s="568">
        <v>12</v>
      </c>
      <c r="D3324" s="568">
        <v>0.315</v>
      </c>
      <c r="E3324" s="568">
        <v>21110</v>
      </c>
      <c r="F3324" s="568">
        <v>88110</v>
      </c>
      <c r="G3324" s="568">
        <v>2346</v>
      </c>
      <c r="H3324" s="568">
        <v>7147</v>
      </c>
      <c r="I3324" s="559" t="str">
        <f t="shared" si="49"/>
        <v>GooD</v>
      </c>
    </row>
    <row r="3325" spans="1:9">
      <c r="A3325" s="563" t="s">
        <v>639</v>
      </c>
      <c r="B3325" s="563">
        <v>67000</v>
      </c>
      <c r="C3325" s="564">
        <v>18</v>
      </c>
      <c r="D3325" s="564">
        <v>0.315</v>
      </c>
      <c r="E3325" s="564">
        <v>31666</v>
      </c>
      <c r="F3325" s="564">
        <v>98666</v>
      </c>
      <c r="G3325" s="564">
        <v>3518</v>
      </c>
      <c r="H3325" s="564">
        <v>5286</v>
      </c>
      <c r="I3325" s="557" t="str">
        <f t="shared" si="49"/>
        <v>GooD</v>
      </c>
    </row>
    <row r="3326" spans="1:9" ht="15.75" thickBot="1">
      <c r="A3326" s="565" t="s">
        <v>639</v>
      </c>
      <c r="B3326" s="565">
        <v>67000</v>
      </c>
      <c r="C3326" s="566">
        <v>24</v>
      </c>
      <c r="D3326" s="566">
        <v>0.315</v>
      </c>
      <c r="E3326" s="566">
        <v>42211</v>
      </c>
      <c r="F3326" s="566">
        <v>109211</v>
      </c>
      <c r="G3326" s="566">
        <v>4691</v>
      </c>
      <c r="H3326" s="566">
        <v>4355</v>
      </c>
      <c r="I3326" s="558" t="str">
        <f t="shared" si="49"/>
        <v>GooD</v>
      </c>
    </row>
    <row r="3327" spans="1:9" ht="15.75" thickTop="1">
      <c r="A3327" s="567" t="s">
        <v>639</v>
      </c>
      <c r="B3327" s="567">
        <v>68000</v>
      </c>
      <c r="C3327" s="568">
        <v>12</v>
      </c>
      <c r="D3327" s="568">
        <v>0.315</v>
      </c>
      <c r="E3327" s="568">
        <v>21429</v>
      </c>
      <c r="F3327" s="568">
        <v>89429</v>
      </c>
      <c r="G3327" s="568">
        <v>2381</v>
      </c>
      <c r="H3327" s="568">
        <v>7254</v>
      </c>
      <c r="I3327" s="559" t="str">
        <f t="shared" si="49"/>
        <v>GooD</v>
      </c>
    </row>
    <row r="3328" spans="1:9">
      <c r="A3328" s="563" t="s">
        <v>639</v>
      </c>
      <c r="B3328" s="563">
        <v>68000</v>
      </c>
      <c r="C3328" s="564">
        <v>18</v>
      </c>
      <c r="D3328" s="564">
        <v>0.315</v>
      </c>
      <c r="E3328" s="564">
        <v>32141</v>
      </c>
      <c r="F3328" s="564">
        <v>100141</v>
      </c>
      <c r="G3328" s="564">
        <v>3571</v>
      </c>
      <c r="H3328" s="564">
        <v>5365</v>
      </c>
      <c r="I3328" s="557" t="str">
        <f t="shared" si="49"/>
        <v>GooD</v>
      </c>
    </row>
    <row r="3329" spans="1:9" ht="15.75" thickBot="1">
      <c r="A3329" s="565" t="s">
        <v>639</v>
      </c>
      <c r="B3329" s="565">
        <v>68000</v>
      </c>
      <c r="C3329" s="566">
        <v>24</v>
      </c>
      <c r="D3329" s="566">
        <v>0.315</v>
      </c>
      <c r="E3329" s="566">
        <v>42841</v>
      </c>
      <c r="F3329" s="566">
        <v>110841</v>
      </c>
      <c r="G3329" s="566">
        <v>4761</v>
      </c>
      <c r="H3329" s="566">
        <v>4420</v>
      </c>
      <c r="I3329" s="558" t="str">
        <f t="shared" si="49"/>
        <v>GooD</v>
      </c>
    </row>
    <row r="3330" spans="1:9" ht="15.75" thickTop="1">
      <c r="A3330" s="567" t="s">
        <v>639</v>
      </c>
      <c r="B3330" s="567">
        <v>69000</v>
      </c>
      <c r="C3330" s="568">
        <v>12</v>
      </c>
      <c r="D3330" s="568">
        <v>0.315</v>
      </c>
      <c r="E3330" s="568">
        <v>21736</v>
      </c>
      <c r="F3330" s="568">
        <v>90736</v>
      </c>
      <c r="G3330" s="568">
        <v>2416</v>
      </c>
      <c r="H3330" s="568">
        <v>7360</v>
      </c>
      <c r="I3330" s="559" t="str">
        <f t="shared" si="49"/>
        <v>GooD</v>
      </c>
    </row>
    <row r="3331" spans="1:9">
      <c r="A3331" s="563" t="s">
        <v>639</v>
      </c>
      <c r="B3331" s="563">
        <v>69000</v>
      </c>
      <c r="C3331" s="564">
        <v>18</v>
      </c>
      <c r="D3331" s="564">
        <v>0.315</v>
      </c>
      <c r="E3331" s="564">
        <v>32615</v>
      </c>
      <c r="F3331" s="564">
        <v>101615</v>
      </c>
      <c r="G3331" s="564">
        <v>3623</v>
      </c>
      <c r="H3331" s="564">
        <v>5444</v>
      </c>
      <c r="I3331" s="557" t="str">
        <f t="shared" si="49"/>
        <v>GooD</v>
      </c>
    </row>
    <row r="3332" spans="1:9" ht="15.75" thickBot="1">
      <c r="A3332" s="565" t="s">
        <v>639</v>
      </c>
      <c r="B3332" s="565">
        <v>69000</v>
      </c>
      <c r="C3332" s="566">
        <v>24</v>
      </c>
      <c r="D3332" s="566">
        <v>0.315</v>
      </c>
      <c r="E3332" s="566">
        <v>43471</v>
      </c>
      <c r="F3332" s="566">
        <v>112471</v>
      </c>
      <c r="G3332" s="566">
        <v>4831</v>
      </c>
      <c r="H3332" s="566">
        <v>4485</v>
      </c>
      <c r="I3332" s="558" t="str">
        <f t="shared" si="49"/>
        <v>GooD</v>
      </c>
    </row>
    <row r="3333" spans="1:9" ht="15.75" thickTop="1">
      <c r="A3333" s="567" t="s">
        <v>639</v>
      </c>
      <c r="B3333" s="567">
        <v>70000</v>
      </c>
      <c r="C3333" s="568">
        <v>12</v>
      </c>
      <c r="D3333" s="568">
        <v>0.315</v>
      </c>
      <c r="E3333" s="568">
        <v>22055</v>
      </c>
      <c r="F3333" s="568">
        <v>92055</v>
      </c>
      <c r="G3333" s="568">
        <v>2451</v>
      </c>
      <c r="H3333" s="568">
        <v>7467</v>
      </c>
      <c r="I3333" s="559" t="str">
        <f t="shared" si="49"/>
        <v>GooD</v>
      </c>
    </row>
    <row r="3334" spans="1:9">
      <c r="A3334" s="563" t="s">
        <v>639</v>
      </c>
      <c r="B3334" s="563">
        <v>70000</v>
      </c>
      <c r="C3334" s="564">
        <v>18</v>
      </c>
      <c r="D3334" s="564">
        <v>0.315</v>
      </c>
      <c r="E3334" s="564">
        <v>33090</v>
      </c>
      <c r="F3334" s="564">
        <v>103090</v>
      </c>
      <c r="G3334" s="564">
        <v>3676</v>
      </c>
      <c r="H3334" s="564">
        <v>5523</v>
      </c>
      <c r="I3334" s="557" t="str">
        <f t="shared" si="49"/>
        <v>GooD</v>
      </c>
    </row>
    <row r="3335" spans="1:9" ht="15.75" thickBot="1">
      <c r="A3335" s="565" t="s">
        <v>639</v>
      </c>
      <c r="B3335" s="565">
        <v>70000</v>
      </c>
      <c r="C3335" s="566">
        <v>24</v>
      </c>
      <c r="D3335" s="566">
        <v>0.315</v>
      </c>
      <c r="E3335" s="566">
        <v>44101</v>
      </c>
      <c r="F3335" s="566">
        <v>114101</v>
      </c>
      <c r="G3335" s="566">
        <v>4901</v>
      </c>
      <c r="H3335" s="566">
        <v>4550</v>
      </c>
      <c r="I3335" s="558" t="str">
        <f t="shared" si="49"/>
        <v>GooD</v>
      </c>
    </row>
    <row r="3336" spans="1:9" ht="15.75" thickTop="1">
      <c r="A3336" s="567" t="s">
        <v>639</v>
      </c>
      <c r="B3336" s="567">
        <v>71000</v>
      </c>
      <c r="C3336" s="568">
        <v>12</v>
      </c>
      <c r="D3336" s="568">
        <v>0.315</v>
      </c>
      <c r="E3336" s="568">
        <v>22374</v>
      </c>
      <c r="F3336" s="568">
        <v>93374</v>
      </c>
      <c r="G3336" s="568">
        <v>2486</v>
      </c>
      <c r="H3336" s="568">
        <v>7574</v>
      </c>
      <c r="I3336" s="559" t="str">
        <f t="shared" si="49"/>
        <v>GooD</v>
      </c>
    </row>
    <row r="3337" spans="1:9">
      <c r="A3337" s="563" t="s">
        <v>639</v>
      </c>
      <c r="B3337" s="563">
        <v>71000</v>
      </c>
      <c r="C3337" s="564">
        <v>18</v>
      </c>
      <c r="D3337" s="564">
        <v>0.315</v>
      </c>
      <c r="E3337" s="564">
        <v>33564</v>
      </c>
      <c r="F3337" s="564">
        <v>104564</v>
      </c>
      <c r="G3337" s="564">
        <v>3728</v>
      </c>
      <c r="H3337" s="564">
        <v>5602</v>
      </c>
      <c r="I3337" s="557" t="str">
        <f t="shared" si="49"/>
        <v>GooD</v>
      </c>
    </row>
    <row r="3338" spans="1:9" ht="15.75" thickBot="1">
      <c r="A3338" s="565" t="s">
        <v>639</v>
      </c>
      <c r="B3338" s="565">
        <v>71000</v>
      </c>
      <c r="C3338" s="566">
        <v>24</v>
      </c>
      <c r="D3338" s="566">
        <v>0.315</v>
      </c>
      <c r="E3338" s="566">
        <v>44731</v>
      </c>
      <c r="F3338" s="566">
        <v>115731</v>
      </c>
      <c r="G3338" s="566">
        <v>4971</v>
      </c>
      <c r="H3338" s="566">
        <v>4615</v>
      </c>
      <c r="I3338" s="558" t="str">
        <f t="shared" si="49"/>
        <v>GooD</v>
      </c>
    </row>
    <row r="3339" spans="1:9" ht="15.75" thickTop="1">
      <c r="A3339" s="567" t="s">
        <v>639</v>
      </c>
      <c r="B3339" s="567">
        <v>72000</v>
      </c>
      <c r="C3339" s="568">
        <v>12</v>
      </c>
      <c r="D3339" s="568">
        <v>0.315</v>
      </c>
      <c r="E3339" s="568">
        <v>22681</v>
      </c>
      <c r="F3339" s="568">
        <v>94681</v>
      </c>
      <c r="G3339" s="568">
        <v>2521</v>
      </c>
      <c r="H3339" s="568">
        <v>7680</v>
      </c>
      <c r="I3339" s="559" t="str">
        <f t="shared" si="49"/>
        <v>GooD</v>
      </c>
    </row>
    <row r="3340" spans="1:9">
      <c r="A3340" s="563" t="s">
        <v>639</v>
      </c>
      <c r="B3340" s="563">
        <v>72000</v>
      </c>
      <c r="C3340" s="564">
        <v>18</v>
      </c>
      <c r="D3340" s="564">
        <v>0.315</v>
      </c>
      <c r="E3340" s="564">
        <v>34021</v>
      </c>
      <c r="F3340" s="564">
        <v>106021</v>
      </c>
      <c r="G3340" s="564">
        <v>3781</v>
      </c>
      <c r="H3340" s="564">
        <v>5680</v>
      </c>
      <c r="I3340" s="557" t="str">
        <f t="shared" si="49"/>
        <v>GooD</v>
      </c>
    </row>
    <row r="3341" spans="1:9" ht="15.75" thickBot="1">
      <c r="A3341" s="565" t="s">
        <v>639</v>
      </c>
      <c r="B3341" s="565">
        <v>72000</v>
      </c>
      <c r="C3341" s="566">
        <v>24</v>
      </c>
      <c r="D3341" s="566">
        <v>0.315</v>
      </c>
      <c r="E3341" s="566">
        <v>45361</v>
      </c>
      <c r="F3341" s="566">
        <v>117361</v>
      </c>
      <c r="G3341" s="566">
        <v>5041</v>
      </c>
      <c r="H3341" s="566">
        <v>4680</v>
      </c>
      <c r="I3341" s="558" t="str">
        <f t="shared" si="49"/>
        <v>GooD</v>
      </c>
    </row>
    <row r="3342" spans="1:9" ht="15.75" thickTop="1">
      <c r="A3342" s="567" t="s">
        <v>639</v>
      </c>
      <c r="B3342" s="567">
        <v>73000</v>
      </c>
      <c r="C3342" s="568">
        <v>12</v>
      </c>
      <c r="D3342" s="568">
        <v>0.315</v>
      </c>
      <c r="E3342" s="568">
        <v>23000</v>
      </c>
      <c r="F3342" s="568">
        <v>96000</v>
      </c>
      <c r="G3342" s="568">
        <v>2556</v>
      </c>
      <c r="H3342" s="568">
        <v>7787</v>
      </c>
      <c r="I3342" s="559" t="str">
        <f t="shared" si="49"/>
        <v>GooD</v>
      </c>
    </row>
    <row r="3343" spans="1:9">
      <c r="A3343" s="563" t="s">
        <v>639</v>
      </c>
      <c r="B3343" s="563">
        <v>73000</v>
      </c>
      <c r="C3343" s="564">
        <v>18</v>
      </c>
      <c r="D3343" s="564">
        <v>0.315</v>
      </c>
      <c r="E3343" s="564">
        <v>34495</v>
      </c>
      <c r="F3343" s="564">
        <v>107495</v>
      </c>
      <c r="G3343" s="564">
        <v>3833</v>
      </c>
      <c r="H3343" s="564">
        <v>5759</v>
      </c>
      <c r="I3343" s="557" t="str">
        <f t="shared" si="49"/>
        <v>GooD</v>
      </c>
    </row>
    <row r="3344" spans="1:9" ht="15.75" thickBot="1">
      <c r="A3344" s="565" t="s">
        <v>639</v>
      </c>
      <c r="B3344" s="565">
        <v>73000</v>
      </c>
      <c r="C3344" s="566">
        <v>24</v>
      </c>
      <c r="D3344" s="566">
        <v>0.315</v>
      </c>
      <c r="E3344" s="566">
        <v>45991</v>
      </c>
      <c r="F3344" s="566">
        <v>118991</v>
      </c>
      <c r="G3344" s="566">
        <v>5111</v>
      </c>
      <c r="H3344" s="566">
        <v>4745</v>
      </c>
      <c r="I3344" s="558" t="str">
        <f t="shared" si="49"/>
        <v>GooD</v>
      </c>
    </row>
    <row r="3345" spans="1:9" ht="15.75" thickTop="1">
      <c r="A3345" s="567" t="s">
        <v>639</v>
      </c>
      <c r="B3345" s="567">
        <v>74000</v>
      </c>
      <c r="C3345" s="568">
        <v>12</v>
      </c>
      <c r="D3345" s="568">
        <v>0.315</v>
      </c>
      <c r="E3345" s="568">
        <v>23319</v>
      </c>
      <c r="F3345" s="568">
        <v>97319</v>
      </c>
      <c r="G3345" s="568">
        <v>2591</v>
      </c>
      <c r="H3345" s="568">
        <v>7894</v>
      </c>
      <c r="I3345" s="559" t="str">
        <f t="shared" ref="I3345:I3408" si="50">IF(((H3345*C3345)+G3345)=F3345,"GooD","لالالالالالالا")</f>
        <v>GooD</v>
      </c>
    </row>
    <row r="3346" spans="1:9">
      <c r="A3346" s="563" t="s">
        <v>639</v>
      </c>
      <c r="B3346" s="563">
        <v>74000</v>
      </c>
      <c r="C3346" s="564">
        <v>18</v>
      </c>
      <c r="D3346" s="564">
        <v>0.315</v>
      </c>
      <c r="E3346" s="564">
        <v>34970</v>
      </c>
      <c r="F3346" s="564">
        <v>108970</v>
      </c>
      <c r="G3346" s="564">
        <v>3886</v>
      </c>
      <c r="H3346" s="564">
        <v>5838</v>
      </c>
      <c r="I3346" s="557" t="str">
        <f t="shared" si="50"/>
        <v>GooD</v>
      </c>
    </row>
    <row r="3347" spans="1:9" ht="15.75" thickBot="1">
      <c r="A3347" s="565" t="s">
        <v>639</v>
      </c>
      <c r="B3347" s="565">
        <v>74000</v>
      </c>
      <c r="C3347" s="566">
        <v>24</v>
      </c>
      <c r="D3347" s="566">
        <v>0.315</v>
      </c>
      <c r="E3347" s="566">
        <v>46621</v>
      </c>
      <c r="F3347" s="566">
        <v>120621</v>
      </c>
      <c r="G3347" s="566">
        <v>5181</v>
      </c>
      <c r="H3347" s="566">
        <v>4810</v>
      </c>
      <c r="I3347" s="558" t="str">
        <f t="shared" si="50"/>
        <v>GooD</v>
      </c>
    </row>
    <row r="3348" spans="1:9" ht="15.75" thickTop="1">
      <c r="A3348" s="567" t="s">
        <v>639</v>
      </c>
      <c r="B3348" s="567">
        <v>75000</v>
      </c>
      <c r="C3348" s="568">
        <v>12</v>
      </c>
      <c r="D3348" s="568">
        <v>0.315</v>
      </c>
      <c r="E3348" s="568">
        <v>23626</v>
      </c>
      <c r="F3348" s="568">
        <v>98626</v>
      </c>
      <c r="G3348" s="568">
        <v>2626</v>
      </c>
      <c r="H3348" s="568">
        <v>8000</v>
      </c>
      <c r="I3348" s="559" t="str">
        <f t="shared" si="50"/>
        <v>GooD</v>
      </c>
    </row>
    <row r="3349" spans="1:9">
      <c r="A3349" s="563" t="s">
        <v>639</v>
      </c>
      <c r="B3349" s="563">
        <v>75000</v>
      </c>
      <c r="C3349" s="564">
        <v>18</v>
      </c>
      <c r="D3349" s="564">
        <v>0.315</v>
      </c>
      <c r="E3349" s="564">
        <v>35444</v>
      </c>
      <c r="F3349" s="564">
        <v>110444</v>
      </c>
      <c r="G3349" s="564">
        <v>3938</v>
      </c>
      <c r="H3349" s="564">
        <v>5917</v>
      </c>
      <c r="I3349" s="557" t="str">
        <f t="shared" si="50"/>
        <v>GooD</v>
      </c>
    </row>
    <row r="3350" spans="1:9" ht="15.75" thickBot="1">
      <c r="A3350" s="565" t="s">
        <v>639</v>
      </c>
      <c r="B3350" s="565">
        <v>75000</v>
      </c>
      <c r="C3350" s="566">
        <v>24</v>
      </c>
      <c r="D3350" s="566">
        <v>0.315</v>
      </c>
      <c r="E3350" s="566">
        <v>47251</v>
      </c>
      <c r="F3350" s="566">
        <v>122251</v>
      </c>
      <c r="G3350" s="566">
        <v>5251</v>
      </c>
      <c r="H3350" s="566">
        <v>4875</v>
      </c>
      <c r="I3350" s="558" t="str">
        <f t="shared" si="50"/>
        <v>GooD</v>
      </c>
    </row>
    <row r="3351" spans="1:9" ht="15.75" thickTop="1">
      <c r="A3351" s="567" t="s">
        <v>639</v>
      </c>
      <c r="B3351" s="567">
        <v>76000</v>
      </c>
      <c r="C3351" s="568">
        <v>12</v>
      </c>
      <c r="D3351" s="568">
        <v>0.315</v>
      </c>
      <c r="E3351" s="568">
        <v>23945</v>
      </c>
      <c r="F3351" s="568">
        <v>99945</v>
      </c>
      <c r="G3351" s="568">
        <v>2661</v>
      </c>
      <c r="H3351" s="568">
        <v>8107</v>
      </c>
      <c r="I3351" s="559" t="str">
        <f t="shared" si="50"/>
        <v>GooD</v>
      </c>
    </row>
    <row r="3352" spans="1:9">
      <c r="A3352" s="563" t="s">
        <v>639</v>
      </c>
      <c r="B3352" s="563">
        <v>76000</v>
      </c>
      <c r="C3352" s="564">
        <v>18</v>
      </c>
      <c r="D3352" s="564">
        <v>0.315</v>
      </c>
      <c r="E3352" s="564">
        <v>35919</v>
      </c>
      <c r="F3352" s="564">
        <v>111919</v>
      </c>
      <c r="G3352" s="564">
        <v>3991</v>
      </c>
      <c r="H3352" s="564">
        <v>5996</v>
      </c>
      <c r="I3352" s="557" t="str">
        <f t="shared" si="50"/>
        <v>GooD</v>
      </c>
    </row>
    <row r="3353" spans="1:9" ht="15.75" thickBot="1">
      <c r="A3353" s="565" t="s">
        <v>639</v>
      </c>
      <c r="B3353" s="565">
        <v>76000</v>
      </c>
      <c r="C3353" s="566">
        <v>24</v>
      </c>
      <c r="D3353" s="566">
        <v>0.315</v>
      </c>
      <c r="E3353" s="566">
        <v>47881</v>
      </c>
      <c r="F3353" s="566">
        <v>123881</v>
      </c>
      <c r="G3353" s="566">
        <v>5321</v>
      </c>
      <c r="H3353" s="566">
        <v>4940</v>
      </c>
      <c r="I3353" s="558" t="str">
        <f t="shared" si="50"/>
        <v>GooD</v>
      </c>
    </row>
    <row r="3354" spans="1:9" ht="15.75" thickTop="1">
      <c r="A3354" s="567" t="s">
        <v>639</v>
      </c>
      <c r="B3354" s="567">
        <v>77000</v>
      </c>
      <c r="C3354" s="568">
        <v>12</v>
      </c>
      <c r="D3354" s="568">
        <v>0.315</v>
      </c>
      <c r="E3354" s="568">
        <v>24264</v>
      </c>
      <c r="F3354" s="568">
        <v>101264</v>
      </c>
      <c r="G3354" s="568">
        <v>2696</v>
      </c>
      <c r="H3354" s="568">
        <v>8214</v>
      </c>
      <c r="I3354" s="559" t="str">
        <f t="shared" si="50"/>
        <v>GooD</v>
      </c>
    </row>
    <row r="3355" spans="1:9">
      <c r="A3355" s="563" t="s">
        <v>639</v>
      </c>
      <c r="B3355" s="563">
        <v>77000</v>
      </c>
      <c r="C3355" s="564">
        <v>18</v>
      </c>
      <c r="D3355" s="564">
        <v>0.315</v>
      </c>
      <c r="E3355" s="564">
        <v>36393</v>
      </c>
      <c r="F3355" s="564">
        <v>113393</v>
      </c>
      <c r="G3355" s="564">
        <v>4043</v>
      </c>
      <c r="H3355" s="564">
        <v>6075</v>
      </c>
      <c r="I3355" s="557" t="str">
        <f t="shared" si="50"/>
        <v>GooD</v>
      </c>
    </row>
    <row r="3356" spans="1:9" ht="15.75" thickBot="1">
      <c r="A3356" s="565" t="s">
        <v>639</v>
      </c>
      <c r="B3356" s="565">
        <v>77000</v>
      </c>
      <c r="C3356" s="566">
        <v>24</v>
      </c>
      <c r="D3356" s="566">
        <v>0.315</v>
      </c>
      <c r="E3356" s="566">
        <v>48511</v>
      </c>
      <c r="F3356" s="566">
        <v>125511</v>
      </c>
      <c r="G3356" s="566">
        <v>5391</v>
      </c>
      <c r="H3356" s="566">
        <v>5005</v>
      </c>
      <c r="I3356" s="558" t="str">
        <f t="shared" si="50"/>
        <v>GooD</v>
      </c>
    </row>
    <row r="3357" spans="1:9" ht="15.75" thickTop="1">
      <c r="A3357" s="567" t="s">
        <v>639</v>
      </c>
      <c r="B3357" s="567">
        <v>78000</v>
      </c>
      <c r="C3357" s="568">
        <v>12</v>
      </c>
      <c r="D3357" s="568">
        <v>0.315</v>
      </c>
      <c r="E3357" s="568">
        <v>24571</v>
      </c>
      <c r="F3357" s="568">
        <v>102571</v>
      </c>
      <c r="G3357" s="568">
        <v>2731</v>
      </c>
      <c r="H3357" s="568">
        <v>8320</v>
      </c>
      <c r="I3357" s="559" t="str">
        <f t="shared" si="50"/>
        <v>GooD</v>
      </c>
    </row>
    <row r="3358" spans="1:9">
      <c r="A3358" s="563" t="s">
        <v>639</v>
      </c>
      <c r="B3358" s="563">
        <v>78000</v>
      </c>
      <c r="C3358" s="564">
        <v>18</v>
      </c>
      <c r="D3358" s="564">
        <v>0.315</v>
      </c>
      <c r="E3358" s="564">
        <v>36868</v>
      </c>
      <c r="F3358" s="564">
        <v>114868</v>
      </c>
      <c r="G3358" s="564">
        <v>4096</v>
      </c>
      <c r="H3358" s="564">
        <v>6154</v>
      </c>
      <c r="I3358" s="557" t="str">
        <f t="shared" si="50"/>
        <v>GooD</v>
      </c>
    </row>
    <row r="3359" spans="1:9" ht="15.75" thickBot="1">
      <c r="A3359" s="565" t="s">
        <v>639</v>
      </c>
      <c r="B3359" s="565">
        <v>78000</v>
      </c>
      <c r="C3359" s="566">
        <v>24</v>
      </c>
      <c r="D3359" s="566">
        <v>0.315</v>
      </c>
      <c r="E3359" s="566">
        <v>49141</v>
      </c>
      <c r="F3359" s="566">
        <v>127141</v>
      </c>
      <c r="G3359" s="566">
        <v>5461</v>
      </c>
      <c r="H3359" s="566">
        <v>5070</v>
      </c>
      <c r="I3359" s="558" t="str">
        <f t="shared" si="50"/>
        <v>GooD</v>
      </c>
    </row>
    <row r="3360" spans="1:9" ht="15.75" thickTop="1">
      <c r="A3360" s="567" t="s">
        <v>639</v>
      </c>
      <c r="B3360" s="567">
        <v>79000</v>
      </c>
      <c r="C3360" s="568">
        <v>12</v>
      </c>
      <c r="D3360" s="568">
        <v>0.315</v>
      </c>
      <c r="E3360" s="568">
        <v>24890</v>
      </c>
      <c r="F3360" s="568">
        <v>103890</v>
      </c>
      <c r="G3360" s="568">
        <v>2766</v>
      </c>
      <c r="H3360" s="568">
        <v>8427</v>
      </c>
      <c r="I3360" s="559" t="str">
        <f t="shared" si="50"/>
        <v>GooD</v>
      </c>
    </row>
    <row r="3361" spans="1:9">
      <c r="A3361" s="563" t="s">
        <v>639</v>
      </c>
      <c r="B3361" s="563">
        <v>79000</v>
      </c>
      <c r="C3361" s="564">
        <v>18</v>
      </c>
      <c r="D3361" s="564">
        <v>0.315</v>
      </c>
      <c r="E3361" s="564">
        <v>37342</v>
      </c>
      <c r="F3361" s="564">
        <v>116342</v>
      </c>
      <c r="G3361" s="564">
        <v>4148</v>
      </c>
      <c r="H3361" s="564">
        <v>6233</v>
      </c>
      <c r="I3361" s="557" t="str">
        <f t="shared" si="50"/>
        <v>GooD</v>
      </c>
    </row>
    <row r="3362" spans="1:9" ht="15.75" thickBot="1">
      <c r="A3362" s="565" t="s">
        <v>639</v>
      </c>
      <c r="B3362" s="565">
        <v>79000</v>
      </c>
      <c r="C3362" s="566">
        <v>24</v>
      </c>
      <c r="D3362" s="566">
        <v>0.315</v>
      </c>
      <c r="E3362" s="566">
        <v>49771</v>
      </c>
      <c r="F3362" s="566">
        <v>128771</v>
      </c>
      <c r="G3362" s="566">
        <v>5531</v>
      </c>
      <c r="H3362" s="566">
        <v>5135</v>
      </c>
      <c r="I3362" s="558" t="str">
        <f t="shared" si="50"/>
        <v>GooD</v>
      </c>
    </row>
    <row r="3363" spans="1:9" ht="15.75" thickTop="1">
      <c r="A3363" s="567" t="s">
        <v>639</v>
      </c>
      <c r="B3363" s="567">
        <v>80000</v>
      </c>
      <c r="C3363" s="568">
        <v>12</v>
      </c>
      <c r="D3363" s="568">
        <v>0.315</v>
      </c>
      <c r="E3363" s="568">
        <v>25209</v>
      </c>
      <c r="F3363" s="568">
        <v>105209</v>
      </c>
      <c r="G3363" s="568">
        <v>2801</v>
      </c>
      <c r="H3363" s="568">
        <v>8534</v>
      </c>
      <c r="I3363" s="559" t="str">
        <f t="shared" si="50"/>
        <v>GooD</v>
      </c>
    </row>
    <row r="3364" spans="1:9">
      <c r="A3364" s="563" t="s">
        <v>639</v>
      </c>
      <c r="B3364" s="563">
        <v>80000</v>
      </c>
      <c r="C3364" s="564">
        <v>18</v>
      </c>
      <c r="D3364" s="564">
        <v>0.315</v>
      </c>
      <c r="E3364" s="564">
        <v>37817</v>
      </c>
      <c r="F3364" s="564">
        <v>117817</v>
      </c>
      <c r="G3364" s="564">
        <v>4201</v>
      </c>
      <c r="H3364" s="564">
        <v>6312</v>
      </c>
      <c r="I3364" s="557" t="str">
        <f t="shared" si="50"/>
        <v>GooD</v>
      </c>
    </row>
    <row r="3365" spans="1:9" ht="15.75" thickBot="1">
      <c r="A3365" s="565" t="s">
        <v>639</v>
      </c>
      <c r="B3365" s="565">
        <v>80000</v>
      </c>
      <c r="C3365" s="566">
        <v>24</v>
      </c>
      <c r="D3365" s="566">
        <v>0.315</v>
      </c>
      <c r="E3365" s="566">
        <v>50401</v>
      </c>
      <c r="F3365" s="566">
        <v>130401</v>
      </c>
      <c r="G3365" s="566">
        <v>5601</v>
      </c>
      <c r="H3365" s="566">
        <v>5200</v>
      </c>
      <c r="I3365" s="558" t="str">
        <f t="shared" si="50"/>
        <v>GooD</v>
      </c>
    </row>
    <row r="3366" spans="1:9" ht="15.75" thickTop="1">
      <c r="A3366" s="567" t="s">
        <v>639</v>
      </c>
      <c r="B3366" s="567">
        <v>81000</v>
      </c>
      <c r="C3366" s="568">
        <v>12</v>
      </c>
      <c r="D3366" s="568">
        <v>0.315</v>
      </c>
      <c r="E3366" s="568">
        <v>25516</v>
      </c>
      <c r="F3366" s="568">
        <v>106516</v>
      </c>
      <c r="G3366" s="568">
        <v>2836</v>
      </c>
      <c r="H3366" s="568">
        <v>8640</v>
      </c>
      <c r="I3366" s="559" t="str">
        <f t="shared" si="50"/>
        <v>GooD</v>
      </c>
    </row>
    <row r="3367" spans="1:9">
      <c r="A3367" s="563" t="s">
        <v>639</v>
      </c>
      <c r="B3367" s="563">
        <v>81000</v>
      </c>
      <c r="C3367" s="564">
        <v>18</v>
      </c>
      <c r="D3367" s="564">
        <v>0.315</v>
      </c>
      <c r="E3367" s="564">
        <v>38273</v>
      </c>
      <c r="F3367" s="564">
        <v>119273</v>
      </c>
      <c r="G3367" s="564">
        <v>4253</v>
      </c>
      <c r="H3367" s="564">
        <v>6390</v>
      </c>
      <c r="I3367" s="557" t="str">
        <f t="shared" si="50"/>
        <v>GooD</v>
      </c>
    </row>
    <row r="3368" spans="1:9" ht="15.75" thickBot="1">
      <c r="A3368" s="565" t="s">
        <v>639</v>
      </c>
      <c r="B3368" s="565">
        <v>81000</v>
      </c>
      <c r="C3368" s="566">
        <v>24</v>
      </c>
      <c r="D3368" s="566">
        <v>0.315</v>
      </c>
      <c r="E3368" s="566">
        <v>51031</v>
      </c>
      <c r="F3368" s="566">
        <v>132031</v>
      </c>
      <c r="G3368" s="566">
        <v>5671</v>
      </c>
      <c r="H3368" s="566">
        <v>5265</v>
      </c>
      <c r="I3368" s="558" t="str">
        <f t="shared" si="50"/>
        <v>GooD</v>
      </c>
    </row>
    <row r="3369" spans="1:9" ht="15.75" thickTop="1">
      <c r="A3369" s="567" t="s">
        <v>639</v>
      </c>
      <c r="B3369" s="567">
        <v>82000</v>
      </c>
      <c r="C3369" s="568">
        <v>12</v>
      </c>
      <c r="D3369" s="568">
        <v>0.315</v>
      </c>
      <c r="E3369" s="568">
        <v>25835</v>
      </c>
      <c r="F3369" s="568">
        <v>107835</v>
      </c>
      <c r="G3369" s="568">
        <v>2871</v>
      </c>
      <c r="H3369" s="568">
        <v>8747</v>
      </c>
      <c r="I3369" s="559" t="str">
        <f t="shared" si="50"/>
        <v>GooD</v>
      </c>
    </row>
    <row r="3370" spans="1:9">
      <c r="A3370" s="563" t="s">
        <v>639</v>
      </c>
      <c r="B3370" s="563">
        <v>82000</v>
      </c>
      <c r="C3370" s="564">
        <v>18</v>
      </c>
      <c r="D3370" s="564">
        <v>0.315</v>
      </c>
      <c r="E3370" s="564">
        <v>38748</v>
      </c>
      <c r="F3370" s="564">
        <v>120748</v>
      </c>
      <c r="G3370" s="564">
        <v>4306</v>
      </c>
      <c r="H3370" s="564">
        <v>6469</v>
      </c>
      <c r="I3370" s="557" t="str">
        <f t="shared" si="50"/>
        <v>GooD</v>
      </c>
    </row>
    <row r="3371" spans="1:9" ht="15.75" thickBot="1">
      <c r="A3371" s="565" t="s">
        <v>639</v>
      </c>
      <c r="B3371" s="565">
        <v>82000</v>
      </c>
      <c r="C3371" s="566">
        <v>24</v>
      </c>
      <c r="D3371" s="566">
        <v>0.315</v>
      </c>
      <c r="E3371" s="566">
        <v>51661</v>
      </c>
      <c r="F3371" s="566">
        <v>133661</v>
      </c>
      <c r="G3371" s="566">
        <v>5741</v>
      </c>
      <c r="H3371" s="566">
        <v>5330</v>
      </c>
      <c r="I3371" s="558" t="str">
        <f t="shared" si="50"/>
        <v>GooD</v>
      </c>
    </row>
    <row r="3372" spans="1:9" ht="15.75" thickTop="1">
      <c r="A3372" s="567" t="s">
        <v>639</v>
      </c>
      <c r="B3372" s="567">
        <v>83000</v>
      </c>
      <c r="C3372" s="568">
        <v>12</v>
      </c>
      <c r="D3372" s="568">
        <v>0.315</v>
      </c>
      <c r="E3372" s="568">
        <v>26154</v>
      </c>
      <c r="F3372" s="568">
        <v>109154</v>
      </c>
      <c r="G3372" s="568">
        <v>2906</v>
      </c>
      <c r="H3372" s="568">
        <v>8854</v>
      </c>
      <c r="I3372" s="559" t="str">
        <f t="shared" si="50"/>
        <v>GooD</v>
      </c>
    </row>
    <row r="3373" spans="1:9">
      <c r="A3373" s="563" t="s">
        <v>639</v>
      </c>
      <c r="B3373" s="563">
        <v>83000</v>
      </c>
      <c r="C3373" s="564">
        <v>18</v>
      </c>
      <c r="D3373" s="564">
        <v>0.315</v>
      </c>
      <c r="E3373" s="564">
        <v>39222</v>
      </c>
      <c r="F3373" s="564">
        <v>122222</v>
      </c>
      <c r="G3373" s="564">
        <v>4358</v>
      </c>
      <c r="H3373" s="564">
        <v>6548</v>
      </c>
      <c r="I3373" s="557" t="str">
        <f t="shared" si="50"/>
        <v>GooD</v>
      </c>
    </row>
    <row r="3374" spans="1:9" ht="15.75" thickBot="1">
      <c r="A3374" s="565" t="s">
        <v>639</v>
      </c>
      <c r="B3374" s="565">
        <v>83000</v>
      </c>
      <c r="C3374" s="566">
        <v>24</v>
      </c>
      <c r="D3374" s="566">
        <v>0.315</v>
      </c>
      <c r="E3374" s="566">
        <v>52291</v>
      </c>
      <c r="F3374" s="566">
        <v>135291</v>
      </c>
      <c r="G3374" s="566">
        <v>5811</v>
      </c>
      <c r="H3374" s="566">
        <v>5395</v>
      </c>
      <c r="I3374" s="558" t="str">
        <f t="shared" si="50"/>
        <v>GooD</v>
      </c>
    </row>
    <row r="3375" spans="1:9" ht="15.75" thickTop="1">
      <c r="A3375" s="567" t="s">
        <v>639</v>
      </c>
      <c r="B3375" s="567">
        <v>84000</v>
      </c>
      <c r="C3375" s="568">
        <v>12</v>
      </c>
      <c r="D3375" s="568">
        <v>0.315</v>
      </c>
      <c r="E3375" s="568">
        <v>26461</v>
      </c>
      <c r="F3375" s="568">
        <v>110461</v>
      </c>
      <c r="G3375" s="568">
        <v>2941</v>
      </c>
      <c r="H3375" s="568">
        <v>8960</v>
      </c>
      <c r="I3375" s="559" t="str">
        <f t="shared" si="50"/>
        <v>GooD</v>
      </c>
    </row>
    <row r="3376" spans="1:9">
      <c r="A3376" s="563" t="s">
        <v>639</v>
      </c>
      <c r="B3376" s="563">
        <v>84000</v>
      </c>
      <c r="C3376" s="564">
        <v>18</v>
      </c>
      <c r="D3376" s="564">
        <v>0.315</v>
      </c>
      <c r="E3376" s="564">
        <v>39697</v>
      </c>
      <c r="F3376" s="564">
        <v>123697</v>
      </c>
      <c r="G3376" s="564">
        <v>4411</v>
      </c>
      <c r="H3376" s="564">
        <v>6627</v>
      </c>
      <c r="I3376" s="557" t="str">
        <f t="shared" si="50"/>
        <v>GooD</v>
      </c>
    </row>
    <row r="3377" spans="1:9" ht="15.75" thickBot="1">
      <c r="A3377" s="565" t="s">
        <v>639</v>
      </c>
      <c r="B3377" s="565">
        <v>84000</v>
      </c>
      <c r="C3377" s="566">
        <v>24</v>
      </c>
      <c r="D3377" s="566">
        <v>0.315</v>
      </c>
      <c r="E3377" s="566">
        <v>52921</v>
      </c>
      <c r="F3377" s="566">
        <v>136921</v>
      </c>
      <c r="G3377" s="566">
        <v>5881</v>
      </c>
      <c r="H3377" s="566">
        <v>5460</v>
      </c>
      <c r="I3377" s="558" t="str">
        <f t="shared" si="50"/>
        <v>GooD</v>
      </c>
    </row>
    <row r="3378" spans="1:9" ht="15.75" thickTop="1">
      <c r="A3378" s="567" t="s">
        <v>639</v>
      </c>
      <c r="B3378" s="567">
        <v>85000</v>
      </c>
      <c r="C3378" s="568">
        <v>12</v>
      </c>
      <c r="D3378" s="568">
        <v>0.315</v>
      </c>
      <c r="E3378" s="568">
        <v>26780</v>
      </c>
      <c r="F3378" s="568">
        <v>111780</v>
      </c>
      <c r="G3378" s="568">
        <v>2976</v>
      </c>
      <c r="H3378" s="568">
        <v>9067</v>
      </c>
      <c r="I3378" s="559" t="str">
        <f t="shared" si="50"/>
        <v>GooD</v>
      </c>
    </row>
    <row r="3379" spans="1:9">
      <c r="A3379" s="563" t="s">
        <v>639</v>
      </c>
      <c r="B3379" s="563">
        <v>85000</v>
      </c>
      <c r="C3379" s="564">
        <v>18</v>
      </c>
      <c r="D3379" s="564">
        <v>0.315</v>
      </c>
      <c r="E3379" s="564">
        <v>40171</v>
      </c>
      <c r="F3379" s="564">
        <v>125171</v>
      </c>
      <c r="G3379" s="564">
        <v>4463</v>
      </c>
      <c r="H3379" s="564">
        <v>6706</v>
      </c>
      <c r="I3379" s="557" t="str">
        <f t="shared" si="50"/>
        <v>GooD</v>
      </c>
    </row>
    <row r="3380" spans="1:9" ht="15.75" thickBot="1">
      <c r="A3380" s="565" t="s">
        <v>639</v>
      </c>
      <c r="B3380" s="565">
        <v>85000</v>
      </c>
      <c r="C3380" s="566">
        <v>24</v>
      </c>
      <c r="D3380" s="566">
        <v>0.315</v>
      </c>
      <c r="E3380" s="566">
        <v>53551</v>
      </c>
      <c r="F3380" s="566">
        <v>138551</v>
      </c>
      <c r="G3380" s="566">
        <v>5951</v>
      </c>
      <c r="H3380" s="566">
        <v>5525</v>
      </c>
      <c r="I3380" s="558" t="str">
        <f t="shared" si="50"/>
        <v>GooD</v>
      </c>
    </row>
    <row r="3381" spans="1:9" ht="15.75" thickTop="1">
      <c r="A3381" s="567" t="s">
        <v>639</v>
      </c>
      <c r="B3381" s="567">
        <v>86000</v>
      </c>
      <c r="C3381" s="568">
        <v>12</v>
      </c>
      <c r="D3381" s="568">
        <v>0.315</v>
      </c>
      <c r="E3381" s="568">
        <v>27099</v>
      </c>
      <c r="F3381" s="568">
        <v>113099</v>
      </c>
      <c r="G3381" s="568">
        <v>3011</v>
      </c>
      <c r="H3381" s="568">
        <v>9174</v>
      </c>
      <c r="I3381" s="559" t="str">
        <f t="shared" si="50"/>
        <v>GooD</v>
      </c>
    </row>
    <row r="3382" spans="1:9">
      <c r="A3382" s="563" t="s">
        <v>639</v>
      </c>
      <c r="B3382" s="563">
        <v>86000</v>
      </c>
      <c r="C3382" s="564">
        <v>18</v>
      </c>
      <c r="D3382" s="564">
        <v>0.315</v>
      </c>
      <c r="E3382" s="564">
        <v>40646</v>
      </c>
      <c r="F3382" s="564">
        <v>126646</v>
      </c>
      <c r="G3382" s="564">
        <v>4516</v>
      </c>
      <c r="H3382" s="564">
        <v>6785</v>
      </c>
      <c r="I3382" s="557" t="str">
        <f t="shared" si="50"/>
        <v>GooD</v>
      </c>
    </row>
    <row r="3383" spans="1:9" ht="15.75" thickBot="1">
      <c r="A3383" s="565" t="s">
        <v>639</v>
      </c>
      <c r="B3383" s="565">
        <v>86000</v>
      </c>
      <c r="C3383" s="566">
        <v>24</v>
      </c>
      <c r="D3383" s="566">
        <v>0.315</v>
      </c>
      <c r="E3383" s="566">
        <v>54181</v>
      </c>
      <c r="F3383" s="566">
        <v>140181</v>
      </c>
      <c r="G3383" s="566">
        <v>6021</v>
      </c>
      <c r="H3383" s="566">
        <v>5590</v>
      </c>
      <c r="I3383" s="558" t="str">
        <f t="shared" si="50"/>
        <v>GooD</v>
      </c>
    </row>
    <row r="3384" spans="1:9" ht="15.75" thickTop="1">
      <c r="A3384" s="567" t="s">
        <v>639</v>
      </c>
      <c r="B3384" s="567">
        <v>87000</v>
      </c>
      <c r="C3384" s="568">
        <v>12</v>
      </c>
      <c r="D3384" s="568">
        <v>0.315</v>
      </c>
      <c r="E3384" s="568">
        <v>27406</v>
      </c>
      <c r="F3384" s="568">
        <v>114406</v>
      </c>
      <c r="G3384" s="568">
        <v>3046</v>
      </c>
      <c r="H3384" s="568">
        <v>9280</v>
      </c>
      <c r="I3384" s="559" t="str">
        <f t="shared" si="50"/>
        <v>GooD</v>
      </c>
    </row>
    <row r="3385" spans="1:9">
      <c r="A3385" s="563" t="s">
        <v>639</v>
      </c>
      <c r="B3385" s="563">
        <v>87000</v>
      </c>
      <c r="C3385" s="564">
        <v>18</v>
      </c>
      <c r="D3385" s="564">
        <v>0.315</v>
      </c>
      <c r="E3385" s="564">
        <v>41120</v>
      </c>
      <c r="F3385" s="564">
        <v>128120</v>
      </c>
      <c r="G3385" s="564">
        <v>4568</v>
      </c>
      <c r="H3385" s="564">
        <v>6864</v>
      </c>
      <c r="I3385" s="557" t="str">
        <f t="shared" si="50"/>
        <v>GooD</v>
      </c>
    </row>
    <row r="3386" spans="1:9" ht="15.75" thickBot="1">
      <c r="A3386" s="565" t="s">
        <v>639</v>
      </c>
      <c r="B3386" s="565">
        <v>87000</v>
      </c>
      <c r="C3386" s="566">
        <v>24</v>
      </c>
      <c r="D3386" s="566">
        <v>0.315</v>
      </c>
      <c r="E3386" s="566">
        <v>54811</v>
      </c>
      <c r="F3386" s="566">
        <v>141811</v>
      </c>
      <c r="G3386" s="566">
        <v>6091</v>
      </c>
      <c r="H3386" s="566">
        <v>5655</v>
      </c>
      <c r="I3386" s="558" t="str">
        <f t="shared" si="50"/>
        <v>GooD</v>
      </c>
    </row>
    <row r="3387" spans="1:9" ht="15.75" thickTop="1">
      <c r="A3387" s="567" t="s">
        <v>639</v>
      </c>
      <c r="B3387" s="567">
        <v>88000</v>
      </c>
      <c r="C3387" s="568">
        <v>12</v>
      </c>
      <c r="D3387" s="568">
        <v>0.315</v>
      </c>
      <c r="E3387" s="568">
        <v>27725</v>
      </c>
      <c r="F3387" s="568">
        <v>115725</v>
      </c>
      <c r="G3387" s="568">
        <v>3081</v>
      </c>
      <c r="H3387" s="568">
        <v>9387</v>
      </c>
      <c r="I3387" s="559" t="str">
        <f t="shared" si="50"/>
        <v>GooD</v>
      </c>
    </row>
    <row r="3388" spans="1:9">
      <c r="A3388" s="563" t="s">
        <v>639</v>
      </c>
      <c r="B3388" s="563">
        <v>88000</v>
      </c>
      <c r="C3388" s="564">
        <v>18</v>
      </c>
      <c r="D3388" s="564">
        <v>0.315</v>
      </c>
      <c r="E3388" s="564">
        <v>41595</v>
      </c>
      <c r="F3388" s="564">
        <v>129595</v>
      </c>
      <c r="G3388" s="564">
        <v>4621</v>
      </c>
      <c r="H3388" s="564">
        <v>6943</v>
      </c>
      <c r="I3388" s="557" t="str">
        <f t="shared" si="50"/>
        <v>GooD</v>
      </c>
    </row>
    <row r="3389" spans="1:9" ht="15.75" thickBot="1">
      <c r="A3389" s="565" t="s">
        <v>639</v>
      </c>
      <c r="B3389" s="565">
        <v>88000</v>
      </c>
      <c r="C3389" s="566">
        <v>24</v>
      </c>
      <c r="D3389" s="566">
        <v>0.315</v>
      </c>
      <c r="E3389" s="566">
        <v>55441</v>
      </c>
      <c r="F3389" s="566">
        <v>143441</v>
      </c>
      <c r="G3389" s="566">
        <v>6161</v>
      </c>
      <c r="H3389" s="566">
        <v>5720</v>
      </c>
      <c r="I3389" s="558" t="str">
        <f t="shared" si="50"/>
        <v>GooD</v>
      </c>
    </row>
    <row r="3390" spans="1:9" ht="15.75" thickTop="1">
      <c r="A3390" s="567" t="s">
        <v>639</v>
      </c>
      <c r="B3390" s="567">
        <v>89000</v>
      </c>
      <c r="C3390" s="568">
        <v>12</v>
      </c>
      <c r="D3390" s="568">
        <v>0.315</v>
      </c>
      <c r="E3390" s="568">
        <v>28044</v>
      </c>
      <c r="F3390" s="568">
        <v>117044</v>
      </c>
      <c r="G3390" s="568">
        <v>3116</v>
      </c>
      <c r="H3390" s="568">
        <v>9494</v>
      </c>
      <c r="I3390" s="559" t="str">
        <f t="shared" si="50"/>
        <v>GooD</v>
      </c>
    </row>
    <row r="3391" spans="1:9">
      <c r="A3391" s="563" t="s">
        <v>639</v>
      </c>
      <c r="B3391" s="563">
        <v>89000</v>
      </c>
      <c r="C3391" s="564">
        <v>18</v>
      </c>
      <c r="D3391" s="564">
        <v>0.315</v>
      </c>
      <c r="E3391" s="564">
        <v>42069</v>
      </c>
      <c r="F3391" s="564">
        <v>131069</v>
      </c>
      <c r="G3391" s="564">
        <v>4673</v>
      </c>
      <c r="H3391" s="564">
        <v>7022</v>
      </c>
      <c r="I3391" s="557" t="str">
        <f t="shared" si="50"/>
        <v>GooD</v>
      </c>
    </row>
    <row r="3392" spans="1:9" ht="15.75" thickBot="1">
      <c r="A3392" s="565" t="s">
        <v>639</v>
      </c>
      <c r="B3392" s="565">
        <v>89000</v>
      </c>
      <c r="C3392" s="566">
        <v>24</v>
      </c>
      <c r="D3392" s="566">
        <v>0.315</v>
      </c>
      <c r="E3392" s="566">
        <v>56071</v>
      </c>
      <c r="F3392" s="566">
        <v>145071</v>
      </c>
      <c r="G3392" s="566">
        <v>6231</v>
      </c>
      <c r="H3392" s="566">
        <v>5785</v>
      </c>
      <c r="I3392" s="558" t="str">
        <f t="shared" si="50"/>
        <v>GooD</v>
      </c>
    </row>
    <row r="3393" spans="1:9" ht="15.75" thickTop="1">
      <c r="A3393" s="567" t="s">
        <v>639</v>
      </c>
      <c r="B3393" s="567">
        <v>90000</v>
      </c>
      <c r="C3393" s="568">
        <v>12</v>
      </c>
      <c r="D3393" s="568">
        <v>0.315</v>
      </c>
      <c r="E3393" s="568">
        <v>28351</v>
      </c>
      <c r="F3393" s="568">
        <v>118351</v>
      </c>
      <c r="G3393" s="568">
        <v>3151</v>
      </c>
      <c r="H3393" s="568">
        <v>9600</v>
      </c>
      <c r="I3393" s="559" t="str">
        <f t="shared" si="50"/>
        <v>GooD</v>
      </c>
    </row>
    <row r="3394" spans="1:9">
      <c r="A3394" s="563" t="s">
        <v>639</v>
      </c>
      <c r="B3394" s="563">
        <v>90000</v>
      </c>
      <c r="C3394" s="564">
        <v>18</v>
      </c>
      <c r="D3394" s="564">
        <v>0.315</v>
      </c>
      <c r="E3394" s="564">
        <v>42526</v>
      </c>
      <c r="F3394" s="564">
        <v>132526</v>
      </c>
      <c r="G3394" s="564">
        <v>4726</v>
      </c>
      <c r="H3394" s="564">
        <v>7100</v>
      </c>
      <c r="I3394" s="557" t="str">
        <f t="shared" si="50"/>
        <v>GooD</v>
      </c>
    </row>
    <row r="3395" spans="1:9" ht="15.75" thickBot="1">
      <c r="A3395" s="565" t="s">
        <v>639</v>
      </c>
      <c r="B3395" s="565">
        <v>90000</v>
      </c>
      <c r="C3395" s="566">
        <v>24</v>
      </c>
      <c r="D3395" s="566">
        <v>0.315</v>
      </c>
      <c r="E3395" s="566">
        <v>56701</v>
      </c>
      <c r="F3395" s="566">
        <v>146701</v>
      </c>
      <c r="G3395" s="566">
        <v>6301</v>
      </c>
      <c r="H3395" s="566">
        <v>5850</v>
      </c>
      <c r="I3395" s="558" t="str">
        <f t="shared" si="50"/>
        <v>GooD</v>
      </c>
    </row>
    <row r="3396" spans="1:9" ht="15.75" thickTop="1">
      <c r="A3396" s="567" t="s">
        <v>639</v>
      </c>
      <c r="B3396" s="567">
        <v>91000</v>
      </c>
      <c r="C3396" s="568">
        <v>12</v>
      </c>
      <c r="D3396" s="568">
        <v>0.315</v>
      </c>
      <c r="E3396" s="568">
        <v>28670</v>
      </c>
      <c r="F3396" s="568">
        <v>119670</v>
      </c>
      <c r="G3396" s="568">
        <v>3186</v>
      </c>
      <c r="H3396" s="568">
        <v>9707</v>
      </c>
      <c r="I3396" s="559" t="str">
        <f t="shared" si="50"/>
        <v>GooD</v>
      </c>
    </row>
    <row r="3397" spans="1:9">
      <c r="A3397" s="563" t="s">
        <v>639</v>
      </c>
      <c r="B3397" s="563">
        <v>91000</v>
      </c>
      <c r="C3397" s="564">
        <v>18</v>
      </c>
      <c r="D3397" s="564">
        <v>0.315</v>
      </c>
      <c r="E3397" s="564">
        <v>43000</v>
      </c>
      <c r="F3397" s="564">
        <v>134000</v>
      </c>
      <c r="G3397" s="564">
        <v>4778</v>
      </c>
      <c r="H3397" s="564">
        <v>7179</v>
      </c>
      <c r="I3397" s="557" t="str">
        <f t="shared" si="50"/>
        <v>GooD</v>
      </c>
    </row>
    <row r="3398" spans="1:9" ht="15.75" thickBot="1">
      <c r="A3398" s="565" t="s">
        <v>639</v>
      </c>
      <c r="B3398" s="565">
        <v>91000</v>
      </c>
      <c r="C3398" s="566">
        <v>24</v>
      </c>
      <c r="D3398" s="566">
        <v>0.315</v>
      </c>
      <c r="E3398" s="566">
        <v>57331</v>
      </c>
      <c r="F3398" s="566">
        <v>148331</v>
      </c>
      <c r="G3398" s="566">
        <v>6371</v>
      </c>
      <c r="H3398" s="566">
        <v>5915</v>
      </c>
      <c r="I3398" s="558" t="str">
        <f t="shared" si="50"/>
        <v>GooD</v>
      </c>
    </row>
    <row r="3399" spans="1:9" ht="15.75" thickTop="1">
      <c r="A3399" s="567" t="s">
        <v>639</v>
      </c>
      <c r="B3399" s="567">
        <v>92000</v>
      </c>
      <c r="C3399" s="568">
        <v>12</v>
      </c>
      <c r="D3399" s="568">
        <v>0.315</v>
      </c>
      <c r="E3399" s="568">
        <v>28989</v>
      </c>
      <c r="F3399" s="568">
        <v>120989</v>
      </c>
      <c r="G3399" s="568">
        <v>3221</v>
      </c>
      <c r="H3399" s="568">
        <v>9814</v>
      </c>
      <c r="I3399" s="559" t="str">
        <f t="shared" si="50"/>
        <v>GooD</v>
      </c>
    </row>
    <row r="3400" spans="1:9">
      <c r="A3400" s="563" t="s">
        <v>639</v>
      </c>
      <c r="B3400" s="563">
        <v>92000</v>
      </c>
      <c r="C3400" s="564">
        <v>18</v>
      </c>
      <c r="D3400" s="564">
        <v>0.315</v>
      </c>
      <c r="E3400" s="564">
        <v>43475</v>
      </c>
      <c r="F3400" s="564">
        <v>135475</v>
      </c>
      <c r="G3400" s="564">
        <v>4831</v>
      </c>
      <c r="H3400" s="564">
        <v>7258</v>
      </c>
      <c r="I3400" s="557" t="str">
        <f t="shared" si="50"/>
        <v>GooD</v>
      </c>
    </row>
    <row r="3401" spans="1:9" ht="15.75" thickBot="1">
      <c r="A3401" s="565" t="s">
        <v>639</v>
      </c>
      <c r="B3401" s="565">
        <v>92000</v>
      </c>
      <c r="C3401" s="566">
        <v>24</v>
      </c>
      <c r="D3401" s="566">
        <v>0.315</v>
      </c>
      <c r="E3401" s="566">
        <v>57961</v>
      </c>
      <c r="F3401" s="566">
        <v>149961</v>
      </c>
      <c r="G3401" s="566">
        <v>6441</v>
      </c>
      <c r="H3401" s="566">
        <v>5980</v>
      </c>
      <c r="I3401" s="558" t="str">
        <f t="shared" si="50"/>
        <v>GooD</v>
      </c>
    </row>
    <row r="3402" spans="1:9" ht="15.75" thickTop="1">
      <c r="A3402" s="567" t="s">
        <v>639</v>
      </c>
      <c r="B3402" s="567">
        <v>93000</v>
      </c>
      <c r="C3402" s="568">
        <v>12</v>
      </c>
      <c r="D3402" s="568">
        <v>0.315</v>
      </c>
      <c r="E3402" s="568">
        <v>29296</v>
      </c>
      <c r="F3402" s="568">
        <v>122296</v>
      </c>
      <c r="G3402" s="568">
        <v>3256</v>
      </c>
      <c r="H3402" s="568">
        <v>9920</v>
      </c>
      <c r="I3402" s="559" t="str">
        <f t="shared" si="50"/>
        <v>GooD</v>
      </c>
    </row>
    <row r="3403" spans="1:9">
      <c r="A3403" s="563" t="s">
        <v>639</v>
      </c>
      <c r="B3403" s="563">
        <v>93000</v>
      </c>
      <c r="C3403" s="564">
        <v>18</v>
      </c>
      <c r="D3403" s="564">
        <v>0.315</v>
      </c>
      <c r="E3403" s="564">
        <v>43949</v>
      </c>
      <c r="F3403" s="564">
        <v>136949</v>
      </c>
      <c r="G3403" s="564">
        <v>4883</v>
      </c>
      <c r="H3403" s="564">
        <v>7337</v>
      </c>
      <c r="I3403" s="557" t="str">
        <f t="shared" si="50"/>
        <v>GooD</v>
      </c>
    </row>
    <row r="3404" spans="1:9" ht="15.75" thickBot="1">
      <c r="A3404" s="565" t="s">
        <v>639</v>
      </c>
      <c r="B3404" s="565">
        <v>93000</v>
      </c>
      <c r="C3404" s="566">
        <v>24</v>
      </c>
      <c r="D3404" s="566">
        <v>0.315</v>
      </c>
      <c r="E3404" s="566">
        <v>58591</v>
      </c>
      <c r="F3404" s="566">
        <v>151591</v>
      </c>
      <c r="G3404" s="566">
        <v>6511</v>
      </c>
      <c r="H3404" s="566">
        <v>6045</v>
      </c>
      <c r="I3404" s="558" t="str">
        <f t="shared" si="50"/>
        <v>GooD</v>
      </c>
    </row>
    <row r="3405" spans="1:9" ht="15.75" thickTop="1">
      <c r="A3405" s="567" t="s">
        <v>639</v>
      </c>
      <c r="B3405" s="567">
        <v>94000</v>
      </c>
      <c r="C3405" s="568">
        <v>12</v>
      </c>
      <c r="D3405" s="568">
        <v>0.315</v>
      </c>
      <c r="E3405" s="568">
        <v>29615</v>
      </c>
      <c r="F3405" s="568">
        <v>123615</v>
      </c>
      <c r="G3405" s="568">
        <v>3291</v>
      </c>
      <c r="H3405" s="568">
        <v>10027</v>
      </c>
      <c r="I3405" s="559" t="str">
        <f t="shared" si="50"/>
        <v>GooD</v>
      </c>
    </row>
    <row r="3406" spans="1:9">
      <c r="A3406" s="563" t="s">
        <v>639</v>
      </c>
      <c r="B3406" s="563">
        <v>94000</v>
      </c>
      <c r="C3406" s="564">
        <v>18</v>
      </c>
      <c r="D3406" s="564">
        <v>0.315</v>
      </c>
      <c r="E3406" s="564">
        <v>44424</v>
      </c>
      <c r="F3406" s="564">
        <v>138424</v>
      </c>
      <c r="G3406" s="564">
        <v>4936</v>
      </c>
      <c r="H3406" s="564">
        <v>7416</v>
      </c>
      <c r="I3406" s="557" t="str">
        <f t="shared" si="50"/>
        <v>GooD</v>
      </c>
    </row>
    <row r="3407" spans="1:9" ht="15.75" thickBot="1">
      <c r="A3407" s="565" t="s">
        <v>639</v>
      </c>
      <c r="B3407" s="565">
        <v>94000</v>
      </c>
      <c r="C3407" s="566">
        <v>24</v>
      </c>
      <c r="D3407" s="566">
        <v>0.315</v>
      </c>
      <c r="E3407" s="566">
        <v>59221</v>
      </c>
      <c r="F3407" s="566">
        <v>153221</v>
      </c>
      <c r="G3407" s="566">
        <v>6581</v>
      </c>
      <c r="H3407" s="566">
        <v>6110</v>
      </c>
      <c r="I3407" s="558" t="str">
        <f t="shared" si="50"/>
        <v>GooD</v>
      </c>
    </row>
    <row r="3408" spans="1:9" ht="15.75" thickTop="1">
      <c r="A3408" s="567" t="s">
        <v>639</v>
      </c>
      <c r="B3408" s="567">
        <v>95000</v>
      </c>
      <c r="C3408" s="568">
        <v>12</v>
      </c>
      <c r="D3408" s="568">
        <v>0.315</v>
      </c>
      <c r="E3408" s="568">
        <v>29934</v>
      </c>
      <c r="F3408" s="568">
        <v>124934</v>
      </c>
      <c r="G3408" s="568">
        <v>3326</v>
      </c>
      <c r="H3408" s="568">
        <v>10134</v>
      </c>
      <c r="I3408" s="559" t="str">
        <f t="shared" si="50"/>
        <v>GooD</v>
      </c>
    </row>
    <row r="3409" spans="1:9">
      <c r="A3409" s="563" t="s">
        <v>639</v>
      </c>
      <c r="B3409" s="563">
        <v>95000</v>
      </c>
      <c r="C3409" s="564">
        <v>18</v>
      </c>
      <c r="D3409" s="564">
        <v>0.315</v>
      </c>
      <c r="E3409" s="564">
        <v>44898</v>
      </c>
      <c r="F3409" s="564">
        <v>139898</v>
      </c>
      <c r="G3409" s="564">
        <v>4988</v>
      </c>
      <c r="H3409" s="564">
        <v>7495</v>
      </c>
      <c r="I3409" s="557" t="str">
        <f t="shared" ref="I3409:I3472" si="51">IF(((H3409*C3409)+G3409)=F3409,"GooD","لالالالالالالا")</f>
        <v>GooD</v>
      </c>
    </row>
    <row r="3410" spans="1:9" ht="15.75" thickBot="1">
      <c r="A3410" s="565" t="s">
        <v>639</v>
      </c>
      <c r="B3410" s="565">
        <v>95000</v>
      </c>
      <c r="C3410" s="566">
        <v>24</v>
      </c>
      <c r="D3410" s="566">
        <v>0.315</v>
      </c>
      <c r="E3410" s="566">
        <v>59851</v>
      </c>
      <c r="F3410" s="566">
        <v>154851</v>
      </c>
      <c r="G3410" s="566">
        <v>6651</v>
      </c>
      <c r="H3410" s="566">
        <v>6175</v>
      </c>
      <c r="I3410" s="558" t="str">
        <f t="shared" si="51"/>
        <v>GooD</v>
      </c>
    </row>
    <row r="3411" spans="1:9" ht="15.75" thickTop="1">
      <c r="A3411" s="567" t="s">
        <v>639</v>
      </c>
      <c r="B3411" s="567">
        <v>96000</v>
      </c>
      <c r="C3411" s="568">
        <v>12</v>
      </c>
      <c r="D3411" s="568">
        <v>0.315</v>
      </c>
      <c r="E3411" s="568">
        <v>30241</v>
      </c>
      <c r="F3411" s="568">
        <v>126241</v>
      </c>
      <c r="G3411" s="568">
        <v>3361</v>
      </c>
      <c r="H3411" s="568">
        <v>10240</v>
      </c>
      <c r="I3411" s="559" t="str">
        <f t="shared" si="51"/>
        <v>GooD</v>
      </c>
    </row>
    <row r="3412" spans="1:9">
      <c r="A3412" s="563" t="s">
        <v>639</v>
      </c>
      <c r="B3412" s="563">
        <v>96000</v>
      </c>
      <c r="C3412" s="564">
        <v>18</v>
      </c>
      <c r="D3412" s="564">
        <v>0.315</v>
      </c>
      <c r="E3412" s="564">
        <v>45373</v>
      </c>
      <c r="F3412" s="564">
        <v>141373</v>
      </c>
      <c r="G3412" s="564">
        <v>5041</v>
      </c>
      <c r="H3412" s="564">
        <v>7574</v>
      </c>
      <c r="I3412" s="557" t="str">
        <f t="shared" si="51"/>
        <v>GooD</v>
      </c>
    </row>
    <row r="3413" spans="1:9" ht="15.75" thickBot="1">
      <c r="A3413" s="565" t="s">
        <v>639</v>
      </c>
      <c r="B3413" s="565">
        <v>96000</v>
      </c>
      <c r="C3413" s="566">
        <v>24</v>
      </c>
      <c r="D3413" s="566">
        <v>0.315</v>
      </c>
      <c r="E3413" s="566">
        <v>60481</v>
      </c>
      <c r="F3413" s="566">
        <v>156481</v>
      </c>
      <c r="G3413" s="566">
        <v>6721</v>
      </c>
      <c r="H3413" s="566">
        <v>6240</v>
      </c>
      <c r="I3413" s="558" t="str">
        <f t="shared" si="51"/>
        <v>GooD</v>
      </c>
    </row>
    <row r="3414" spans="1:9" ht="15.75" thickTop="1">
      <c r="A3414" s="567" t="s">
        <v>639</v>
      </c>
      <c r="B3414" s="567">
        <v>97000</v>
      </c>
      <c r="C3414" s="568">
        <v>12</v>
      </c>
      <c r="D3414" s="568">
        <v>0.315</v>
      </c>
      <c r="E3414" s="568">
        <v>30560</v>
      </c>
      <c r="F3414" s="568">
        <v>127560</v>
      </c>
      <c r="G3414" s="568">
        <v>3396</v>
      </c>
      <c r="H3414" s="568">
        <v>10347</v>
      </c>
      <c r="I3414" s="559" t="str">
        <f t="shared" si="51"/>
        <v>GooD</v>
      </c>
    </row>
    <row r="3415" spans="1:9">
      <c r="A3415" s="563" t="s">
        <v>639</v>
      </c>
      <c r="B3415" s="563">
        <v>97000</v>
      </c>
      <c r="C3415" s="564">
        <v>18</v>
      </c>
      <c r="D3415" s="564">
        <v>0.315</v>
      </c>
      <c r="E3415" s="564">
        <v>45847</v>
      </c>
      <c r="F3415" s="564">
        <v>142847</v>
      </c>
      <c r="G3415" s="564">
        <v>5093</v>
      </c>
      <c r="H3415" s="564">
        <v>7653</v>
      </c>
      <c r="I3415" s="557" t="str">
        <f t="shared" si="51"/>
        <v>GooD</v>
      </c>
    </row>
    <row r="3416" spans="1:9" ht="15.75" thickBot="1">
      <c r="A3416" s="565" t="s">
        <v>639</v>
      </c>
      <c r="B3416" s="565">
        <v>97000</v>
      </c>
      <c r="C3416" s="566">
        <v>24</v>
      </c>
      <c r="D3416" s="566">
        <v>0.315</v>
      </c>
      <c r="E3416" s="566">
        <v>61111</v>
      </c>
      <c r="F3416" s="566">
        <v>158111</v>
      </c>
      <c r="G3416" s="566">
        <v>6791</v>
      </c>
      <c r="H3416" s="566">
        <v>6305</v>
      </c>
      <c r="I3416" s="558" t="str">
        <f t="shared" si="51"/>
        <v>GooD</v>
      </c>
    </row>
    <row r="3417" spans="1:9" ht="15.75" thickTop="1">
      <c r="A3417" s="567" t="s">
        <v>639</v>
      </c>
      <c r="B3417" s="567">
        <v>98000</v>
      </c>
      <c r="C3417" s="568">
        <v>12</v>
      </c>
      <c r="D3417" s="568">
        <v>0.315</v>
      </c>
      <c r="E3417" s="568">
        <v>30879</v>
      </c>
      <c r="F3417" s="568">
        <v>128879</v>
      </c>
      <c r="G3417" s="568">
        <v>3431</v>
      </c>
      <c r="H3417" s="568">
        <v>10454</v>
      </c>
      <c r="I3417" s="559" t="str">
        <f t="shared" si="51"/>
        <v>GooD</v>
      </c>
    </row>
    <row r="3418" spans="1:9">
      <c r="A3418" s="563" t="s">
        <v>639</v>
      </c>
      <c r="B3418" s="563">
        <v>98000</v>
      </c>
      <c r="C3418" s="564">
        <v>18</v>
      </c>
      <c r="D3418" s="564">
        <v>0.315</v>
      </c>
      <c r="E3418" s="564">
        <v>46322</v>
      </c>
      <c r="F3418" s="564">
        <v>144322</v>
      </c>
      <c r="G3418" s="564">
        <v>5146</v>
      </c>
      <c r="H3418" s="564">
        <v>7732</v>
      </c>
      <c r="I3418" s="557" t="str">
        <f t="shared" si="51"/>
        <v>GooD</v>
      </c>
    </row>
    <row r="3419" spans="1:9" ht="15.75" thickBot="1">
      <c r="A3419" s="565" t="s">
        <v>639</v>
      </c>
      <c r="B3419" s="565">
        <v>98000</v>
      </c>
      <c r="C3419" s="566">
        <v>24</v>
      </c>
      <c r="D3419" s="566">
        <v>0.315</v>
      </c>
      <c r="E3419" s="566">
        <v>61741</v>
      </c>
      <c r="F3419" s="566">
        <v>159741</v>
      </c>
      <c r="G3419" s="566">
        <v>6861</v>
      </c>
      <c r="H3419" s="566">
        <v>6370</v>
      </c>
      <c r="I3419" s="558" t="str">
        <f t="shared" si="51"/>
        <v>GooD</v>
      </c>
    </row>
    <row r="3420" spans="1:9" ht="15.75" thickTop="1">
      <c r="A3420" s="567" t="s">
        <v>639</v>
      </c>
      <c r="B3420" s="567">
        <v>99000</v>
      </c>
      <c r="C3420" s="568">
        <v>12</v>
      </c>
      <c r="D3420" s="568">
        <v>0.315</v>
      </c>
      <c r="E3420" s="568">
        <v>31186</v>
      </c>
      <c r="F3420" s="568">
        <v>130186</v>
      </c>
      <c r="G3420" s="568">
        <v>3466</v>
      </c>
      <c r="H3420" s="568">
        <v>10560</v>
      </c>
      <c r="I3420" s="559" t="str">
        <f t="shared" si="51"/>
        <v>GooD</v>
      </c>
    </row>
    <row r="3421" spans="1:9">
      <c r="A3421" s="563" t="s">
        <v>639</v>
      </c>
      <c r="B3421" s="563">
        <v>99000</v>
      </c>
      <c r="C3421" s="564">
        <v>18</v>
      </c>
      <c r="D3421" s="564">
        <v>0.315</v>
      </c>
      <c r="E3421" s="564">
        <v>46778</v>
      </c>
      <c r="F3421" s="564">
        <v>145778</v>
      </c>
      <c r="G3421" s="564">
        <v>5198</v>
      </c>
      <c r="H3421" s="564">
        <v>7810</v>
      </c>
      <c r="I3421" s="557" t="str">
        <f t="shared" si="51"/>
        <v>GooD</v>
      </c>
    </row>
    <row r="3422" spans="1:9" ht="15.75" thickBot="1">
      <c r="A3422" s="565" t="s">
        <v>639</v>
      </c>
      <c r="B3422" s="565">
        <v>99000</v>
      </c>
      <c r="C3422" s="566">
        <v>24</v>
      </c>
      <c r="D3422" s="566">
        <v>0.315</v>
      </c>
      <c r="E3422" s="566">
        <v>62371</v>
      </c>
      <c r="F3422" s="566">
        <v>161371</v>
      </c>
      <c r="G3422" s="566">
        <v>6931</v>
      </c>
      <c r="H3422" s="566">
        <v>6435</v>
      </c>
      <c r="I3422" s="558" t="str">
        <f t="shared" si="51"/>
        <v>GooD</v>
      </c>
    </row>
    <row r="3423" spans="1:9" ht="15.75" thickTop="1">
      <c r="A3423" s="567" t="s">
        <v>639</v>
      </c>
      <c r="B3423" s="567">
        <v>100000</v>
      </c>
      <c r="C3423" s="568">
        <v>12</v>
      </c>
      <c r="D3423" s="568">
        <v>0.315</v>
      </c>
      <c r="E3423" s="568">
        <v>31505</v>
      </c>
      <c r="F3423" s="568">
        <v>131505</v>
      </c>
      <c r="G3423" s="568">
        <v>3501</v>
      </c>
      <c r="H3423" s="568">
        <v>10667</v>
      </c>
      <c r="I3423" s="559" t="str">
        <f t="shared" si="51"/>
        <v>GooD</v>
      </c>
    </row>
    <row r="3424" spans="1:9">
      <c r="A3424" s="563" t="s">
        <v>639</v>
      </c>
      <c r="B3424" s="563">
        <v>100000</v>
      </c>
      <c r="C3424" s="564">
        <v>18</v>
      </c>
      <c r="D3424" s="564">
        <v>0.315</v>
      </c>
      <c r="E3424" s="564">
        <v>47253</v>
      </c>
      <c r="F3424" s="564">
        <v>147253</v>
      </c>
      <c r="G3424" s="564">
        <v>5251</v>
      </c>
      <c r="H3424" s="564">
        <v>7889</v>
      </c>
      <c r="I3424" s="557" t="str">
        <f t="shared" si="51"/>
        <v>GooD</v>
      </c>
    </row>
    <row r="3425" spans="1:9" ht="15.75" thickBot="1">
      <c r="A3425" s="565" t="s">
        <v>639</v>
      </c>
      <c r="B3425" s="565">
        <v>100000</v>
      </c>
      <c r="C3425" s="566">
        <v>24</v>
      </c>
      <c r="D3425" s="566">
        <v>0.315</v>
      </c>
      <c r="E3425" s="566">
        <v>63001</v>
      </c>
      <c r="F3425" s="566">
        <v>163001</v>
      </c>
      <c r="G3425" s="566">
        <v>7001</v>
      </c>
      <c r="H3425" s="566">
        <v>6500</v>
      </c>
      <c r="I3425" s="558" t="str">
        <f t="shared" si="51"/>
        <v>GooD</v>
      </c>
    </row>
    <row r="3426" spans="1:9" ht="15.75" thickTop="1">
      <c r="A3426" s="567" t="s">
        <v>639</v>
      </c>
      <c r="B3426" s="567">
        <v>101000</v>
      </c>
      <c r="C3426" s="568">
        <v>12</v>
      </c>
      <c r="D3426" s="568">
        <v>0.315</v>
      </c>
      <c r="E3426" s="568">
        <v>31824</v>
      </c>
      <c r="F3426" s="568">
        <v>132824</v>
      </c>
      <c r="G3426" s="568">
        <v>3536</v>
      </c>
      <c r="H3426" s="568">
        <v>10774</v>
      </c>
      <c r="I3426" s="559" t="str">
        <f t="shared" si="51"/>
        <v>GooD</v>
      </c>
    </row>
    <row r="3427" spans="1:9">
      <c r="A3427" s="563" t="s">
        <v>639</v>
      </c>
      <c r="B3427" s="563">
        <v>101000</v>
      </c>
      <c r="C3427" s="564">
        <v>18</v>
      </c>
      <c r="D3427" s="564">
        <v>0.315</v>
      </c>
      <c r="E3427" s="564">
        <v>47727</v>
      </c>
      <c r="F3427" s="564">
        <v>148727</v>
      </c>
      <c r="G3427" s="564">
        <v>5303</v>
      </c>
      <c r="H3427" s="564">
        <v>7968</v>
      </c>
      <c r="I3427" s="557" t="str">
        <f t="shared" si="51"/>
        <v>GooD</v>
      </c>
    </row>
    <row r="3428" spans="1:9" ht="15.75" thickBot="1">
      <c r="A3428" s="565" t="s">
        <v>639</v>
      </c>
      <c r="B3428" s="565">
        <v>101000</v>
      </c>
      <c r="C3428" s="566">
        <v>24</v>
      </c>
      <c r="D3428" s="566">
        <v>0.315</v>
      </c>
      <c r="E3428" s="566">
        <v>63631</v>
      </c>
      <c r="F3428" s="566">
        <v>164631</v>
      </c>
      <c r="G3428" s="566">
        <v>7071</v>
      </c>
      <c r="H3428" s="566">
        <v>6565</v>
      </c>
      <c r="I3428" s="558" t="str">
        <f t="shared" si="51"/>
        <v>GooD</v>
      </c>
    </row>
    <row r="3429" spans="1:9" ht="15.75" thickTop="1">
      <c r="A3429" s="567" t="s">
        <v>639</v>
      </c>
      <c r="B3429" s="567">
        <v>102000</v>
      </c>
      <c r="C3429" s="568">
        <v>12</v>
      </c>
      <c r="D3429" s="568">
        <v>0.315</v>
      </c>
      <c r="E3429" s="568">
        <v>32131</v>
      </c>
      <c r="F3429" s="568">
        <v>134131</v>
      </c>
      <c r="G3429" s="568">
        <v>3571</v>
      </c>
      <c r="H3429" s="568">
        <v>10880</v>
      </c>
      <c r="I3429" s="559" t="str">
        <f t="shared" si="51"/>
        <v>GooD</v>
      </c>
    </row>
    <row r="3430" spans="1:9">
      <c r="A3430" s="563" t="s">
        <v>639</v>
      </c>
      <c r="B3430" s="563">
        <v>102000</v>
      </c>
      <c r="C3430" s="564">
        <v>18</v>
      </c>
      <c r="D3430" s="564">
        <v>0.315</v>
      </c>
      <c r="E3430" s="564">
        <v>48202</v>
      </c>
      <c r="F3430" s="564">
        <v>150202</v>
      </c>
      <c r="G3430" s="564">
        <v>5356</v>
      </c>
      <c r="H3430" s="564">
        <v>8047</v>
      </c>
      <c r="I3430" s="557" t="str">
        <f t="shared" si="51"/>
        <v>GooD</v>
      </c>
    </row>
    <row r="3431" spans="1:9" ht="15.75" thickBot="1">
      <c r="A3431" s="565" t="s">
        <v>639</v>
      </c>
      <c r="B3431" s="565">
        <v>102000</v>
      </c>
      <c r="C3431" s="566">
        <v>24</v>
      </c>
      <c r="D3431" s="566">
        <v>0.315</v>
      </c>
      <c r="E3431" s="566">
        <v>64261</v>
      </c>
      <c r="F3431" s="566">
        <v>166261</v>
      </c>
      <c r="G3431" s="566">
        <v>7141</v>
      </c>
      <c r="H3431" s="566">
        <v>6630</v>
      </c>
      <c r="I3431" s="558" t="str">
        <f t="shared" si="51"/>
        <v>GooD</v>
      </c>
    </row>
    <row r="3432" spans="1:9" ht="15.75" thickTop="1">
      <c r="A3432" s="567" t="s">
        <v>639</v>
      </c>
      <c r="B3432" s="567">
        <v>103000</v>
      </c>
      <c r="C3432" s="568">
        <v>12</v>
      </c>
      <c r="D3432" s="568">
        <v>0.315</v>
      </c>
      <c r="E3432" s="568">
        <v>32450</v>
      </c>
      <c r="F3432" s="568">
        <v>135450</v>
      </c>
      <c r="G3432" s="568">
        <v>3606</v>
      </c>
      <c r="H3432" s="568">
        <v>10987</v>
      </c>
      <c r="I3432" s="559" t="str">
        <f t="shared" si="51"/>
        <v>GooD</v>
      </c>
    </row>
    <row r="3433" spans="1:9">
      <c r="A3433" s="563" t="s">
        <v>639</v>
      </c>
      <c r="B3433" s="563">
        <v>103000</v>
      </c>
      <c r="C3433" s="564">
        <v>18</v>
      </c>
      <c r="D3433" s="564">
        <v>0.315</v>
      </c>
      <c r="E3433" s="564">
        <v>48676</v>
      </c>
      <c r="F3433" s="564">
        <v>151676</v>
      </c>
      <c r="G3433" s="564">
        <v>5408</v>
      </c>
      <c r="H3433" s="564">
        <v>8126</v>
      </c>
      <c r="I3433" s="557" t="str">
        <f t="shared" si="51"/>
        <v>GooD</v>
      </c>
    </row>
    <row r="3434" spans="1:9" ht="15.75" thickBot="1">
      <c r="A3434" s="565" t="s">
        <v>639</v>
      </c>
      <c r="B3434" s="565">
        <v>103000</v>
      </c>
      <c r="C3434" s="566">
        <v>24</v>
      </c>
      <c r="D3434" s="566">
        <v>0.315</v>
      </c>
      <c r="E3434" s="566">
        <v>64891</v>
      </c>
      <c r="F3434" s="566">
        <v>167891</v>
      </c>
      <c r="G3434" s="566">
        <v>7211</v>
      </c>
      <c r="H3434" s="566">
        <v>6695</v>
      </c>
      <c r="I3434" s="558" t="str">
        <f t="shared" si="51"/>
        <v>GooD</v>
      </c>
    </row>
    <row r="3435" spans="1:9" ht="15.75" thickTop="1">
      <c r="A3435" s="567" t="s">
        <v>639</v>
      </c>
      <c r="B3435" s="567">
        <v>104000</v>
      </c>
      <c r="C3435" s="568">
        <v>12</v>
      </c>
      <c r="D3435" s="568">
        <v>0.315</v>
      </c>
      <c r="E3435" s="568">
        <v>32769</v>
      </c>
      <c r="F3435" s="568">
        <v>136769</v>
      </c>
      <c r="G3435" s="568">
        <v>3641</v>
      </c>
      <c r="H3435" s="568">
        <v>11094</v>
      </c>
      <c r="I3435" s="559" t="str">
        <f t="shared" si="51"/>
        <v>GooD</v>
      </c>
    </row>
    <row r="3436" spans="1:9">
      <c r="A3436" s="563" t="s">
        <v>639</v>
      </c>
      <c r="B3436" s="563">
        <v>104000</v>
      </c>
      <c r="C3436" s="564">
        <v>18</v>
      </c>
      <c r="D3436" s="564">
        <v>0.315</v>
      </c>
      <c r="E3436" s="564">
        <v>49151</v>
      </c>
      <c r="F3436" s="564">
        <v>153151</v>
      </c>
      <c r="G3436" s="564">
        <v>5461</v>
      </c>
      <c r="H3436" s="564">
        <v>8205</v>
      </c>
      <c r="I3436" s="557" t="str">
        <f t="shared" si="51"/>
        <v>GooD</v>
      </c>
    </row>
    <row r="3437" spans="1:9" ht="15.75" thickBot="1">
      <c r="A3437" s="565" t="s">
        <v>639</v>
      </c>
      <c r="B3437" s="565">
        <v>104000</v>
      </c>
      <c r="C3437" s="566">
        <v>24</v>
      </c>
      <c r="D3437" s="566">
        <v>0.315</v>
      </c>
      <c r="E3437" s="566">
        <v>65521</v>
      </c>
      <c r="F3437" s="566">
        <v>169521</v>
      </c>
      <c r="G3437" s="566">
        <v>7281</v>
      </c>
      <c r="H3437" s="566">
        <v>6760</v>
      </c>
      <c r="I3437" s="558" t="str">
        <f t="shared" si="51"/>
        <v>GooD</v>
      </c>
    </row>
    <row r="3438" spans="1:9" ht="15.75" thickTop="1">
      <c r="A3438" s="567" t="s">
        <v>639</v>
      </c>
      <c r="B3438" s="567">
        <v>105000</v>
      </c>
      <c r="C3438" s="568">
        <v>12</v>
      </c>
      <c r="D3438" s="568">
        <v>0.315</v>
      </c>
      <c r="E3438" s="568">
        <v>33076</v>
      </c>
      <c r="F3438" s="568">
        <v>138076</v>
      </c>
      <c r="G3438" s="568">
        <v>3676</v>
      </c>
      <c r="H3438" s="568">
        <v>11200</v>
      </c>
      <c r="I3438" s="559" t="str">
        <f t="shared" si="51"/>
        <v>GooD</v>
      </c>
    </row>
    <row r="3439" spans="1:9">
      <c r="A3439" s="563" t="s">
        <v>639</v>
      </c>
      <c r="B3439" s="563">
        <v>105000</v>
      </c>
      <c r="C3439" s="564">
        <v>18</v>
      </c>
      <c r="D3439" s="564">
        <v>0.315</v>
      </c>
      <c r="E3439" s="564">
        <v>49625</v>
      </c>
      <c r="F3439" s="564">
        <v>154625</v>
      </c>
      <c r="G3439" s="564">
        <v>5513</v>
      </c>
      <c r="H3439" s="564">
        <v>8284</v>
      </c>
      <c r="I3439" s="557" t="str">
        <f t="shared" si="51"/>
        <v>GooD</v>
      </c>
    </row>
    <row r="3440" spans="1:9" ht="15.75" thickBot="1">
      <c r="A3440" s="565" t="s">
        <v>639</v>
      </c>
      <c r="B3440" s="565">
        <v>105000</v>
      </c>
      <c r="C3440" s="566">
        <v>24</v>
      </c>
      <c r="D3440" s="566">
        <v>0.315</v>
      </c>
      <c r="E3440" s="566">
        <v>66151</v>
      </c>
      <c r="F3440" s="566">
        <v>171151</v>
      </c>
      <c r="G3440" s="566">
        <v>7351</v>
      </c>
      <c r="H3440" s="566">
        <v>6825</v>
      </c>
      <c r="I3440" s="558" t="str">
        <f t="shared" si="51"/>
        <v>GooD</v>
      </c>
    </row>
    <row r="3441" spans="1:9" ht="15.75" thickTop="1">
      <c r="A3441" s="567" t="s">
        <v>639</v>
      </c>
      <c r="B3441" s="567">
        <v>106000</v>
      </c>
      <c r="C3441" s="568">
        <v>12</v>
      </c>
      <c r="D3441" s="568">
        <v>0.315</v>
      </c>
      <c r="E3441" s="568">
        <v>33395</v>
      </c>
      <c r="F3441" s="568">
        <v>139395</v>
      </c>
      <c r="G3441" s="568">
        <v>3711</v>
      </c>
      <c r="H3441" s="568">
        <v>11307</v>
      </c>
      <c r="I3441" s="559" t="str">
        <f t="shared" si="51"/>
        <v>GooD</v>
      </c>
    </row>
    <row r="3442" spans="1:9">
      <c r="A3442" s="563" t="s">
        <v>639</v>
      </c>
      <c r="B3442" s="563">
        <v>106000</v>
      </c>
      <c r="C3442" s="564">
        <v>18</v>
      </c>
      <c r="D3442" s="564">
        <v>0.315</v>
      </c>
      <c r="E3442" s="564">
        <v>50100</v>
      </c>
      <c r="F3442" s="564">
        <v>156100</v>
      </c>
      <c r="G3442" s="564">
        <v>5566</v>
      </c>
      <c r="H3442" s="564">
        <v>8363</v>
      </c>
      <c r="I3442" s="557" t="str">
        <f t="shared" si="51"/>
        <v>GooD</v>
      </c>
    </row>
    <row r="3443" spans="1:9" ht="15.75" thickBot="1">
      <c r="A3443" s="565" t="s">
        <v>639</v>
      </c>
      <c r="B3443" s="565">
        <v>106000</v>
      </c>
      <c r="C3443" s="566">
        <v>24</v>
      </c>
      <c r="D3443" s="566">
        <v>0.315</v>
      </c>
      <c r="E3443" s="566">
        <v>66781</v>
      </c>
      <c r="F3443" s="566">
        <v>172781</v>
      </c>
      <c r="G3443" s="566">
        <v>7421</v>
      </c>
      <c r="H3443" s="566">
        <v>6890</v>
      </c>
      <c r="I3443" s="558" t="str">
        <f t="shared" si="51"/>
        <v>GooD</v>
      </c>
    </row>
    <row r="3444" spans="1:9" ht="15.75" thickTop="1">
      <c r="A3444" s="567" t="s">
        <v>639</v>
      </c>
      <c r="B3444" s="567">
        <v>107000</v>
      </c>
      <c r="C3444" s="568">
        <v>12</v>
      </c>
      <c r="D3444" s="568">
        <v>0.315</v>
      </c>
      <c r="E3444" s="568">
        <v>33714</v>
      </c>
      <c r="F3444" s="568">
        <v>140714</v>
      </c>
      <c r="G3444" s="568">
        <v>3746</v>
      </c>
      <c r="H3444" s="568">
        <v>11414</v>
      </c>
      <c r="I3444" s="559" t="str">
        <f t="shared" si="51"/>
        <v>GooD</v>
      </c>
    </row>
    <row r="3445" spans="1:9">
      <c r="A3445" s="563" t="s">
        <v>639</v>
      </c>
      <c r="B3445" s="563">
        <v>107000</v>
      </c>
      <c r="C3445" s="564">
        <v>18</v>
      </c>
      <c r="D3445" s="564">
        <v>0.315</v>
      </c>
      <c r="E3445" s="564">
        <v>50574</v>
      </c>
      <c r="F3445" s="564">
        <v>157574</v>
      </c>
      <c r="G3445" s="564">
        <v>5618</v>
      </c>
      <c r="H3445" s="564">
        <v>8442</v>
      </c>
      <c r="I3445" s="557" t="str">
        <f t="shared" si="51"/>
        <v>GooD</v>
      </c>
    </row>
    <row r="3446" spans="1:9" ht="15.75" thickBot="1">
      <c r="A3446" s="565" t="s">
        <v>639</v>
      </c>
      <c r="B3446" s="565">
        <v>107000</v>
      </c>
      <c r="C3446" s="566">
        <v>24</v>
      </c>
      <c r="D3446" s="566">
        <v>0.315</v>
      </c>
      <c r="E3446" s="566">
        <v>67411</v>
      </c>
      <c r="F3446" s="566">
        <v>174411</v>
      </c>
      <c r="G3446" s="566">
        <v>7491</v>
      </c>
      <c r="H3446" s="566">
        <v>6955</v>
      </c>
      <c r="I3446" s="558" t="str">
        <f t="shared" si="51"/>
        <v>GooD</v>
      </c>
    </row>
    <row r="3447" spans="1:9" ht="15.75" thickTop="1">
      <c r="A3447" s="567" t="s">
        <v>639</v>
      </c>
      <c r="B3447" s="567">
        <v>108000</v>
      </c>
      <c r="C3447" s="568">
        <v>12</v>
      </c>
      <c r="D3447" s="568">
        <v>0.315</v>
      </c>
      <c r="E3447" s="568">
        <v>34021</v>
      </c>
      <c r="F3447" s="568">
        <v>142021</v>
      </c>
      <c r="G3447" s="568">
        <v>3781</v>
      </c>
      <c r="H3447" s="568">
        <v>11520</v>
      </c>
      <c r="I3447" s="559" t="str">
        <f t="shared" si="51"/>
        <v>GooD</v>
      </c>
    </row>
    <row r="3448" spans="1:9">
      <c r="A3448" s="563" t="s">
        <v>639</v>
      </c>
      <c r="B3448" s="563">
        <v>108000</v>
      </c>
      <c r="C3448" s="564">
        <v>18</v>
      </c>
      <c r="D3448" s="564">
        <v>0.315</v>
      </c>
      <c r="E3448" s="564">
        <v>51031</v>
      </c>
      <c r="F3448" s="564">
        <v>159031</v>
      </c>
      <c r="G3448" s="564">
        <v>5671</v>
      </c>
      <c r="H3448" s="564">
        <v>8520</v>
      </c>
      <c r="I3448" s="557" t="str">
        <f t="shared" si="51"/>
        <v>GooD</v>
      </c>
    </row>
    <row r="3449" spans="1:9" ht="15.75" thickBot="1">
      <c r="A3449" s="565" t="s">
        <v>639</v>
      </c>
      <c r="B3449" s="565">
        <v>108000</v>
      </c>
      <c r="C3449" s="566">
        <v>24</v>
      </c>
      <c r="D3449" s="566">
        <v>0.315</v>
      </c>
      <c r="E3449" s="566">
        <v>68041</v>
      </c>
      <c r="F3449" s="566">
        <v>176041</v>
      </c>
      <c r="G3449" s="566">
        <v>7561</v>
      </c>
      <c r="H3449" s="566">
        <v>7020</v>
      </c>
      <c r="I3449" s="558" t="str">
        <f t="shared" si="51"/>
        <v>GooD</v>
      </c>
    </row>
    <row r="3450" spans="1:9" ht="15.75" thickTop="1">
      <c r="A3450" s="567" t="s">
        <v>639</v>
      </c>
      <c r="B3450" s="567">
        <v>109000</v>
      </c>
      <c r="C3450" s="568">
        <v>12</v>
      </c>
      <c r="D3450" s="568">
        <v>0.315</v>
      </c>
      <c r="E3450" s="568">
        <v>34340</v>
      </c>
      <c r="F3450" s="568">
        <v>143340</v>
      </c>
      <c r="G3450" s="568">
        <v>3816</v>
      </c>
      <c r="H3450" s="568">
        <v>11627</v>
      </c>
      <c r="I3450" s="559" t="str">
        <f t="shared" si="51"/>
        <v>GooD</v>
      </c>
    </row>
    <row r="3451" spans="1:9">
      <c r="A3451" s="563" t="s">
        <v>639</v>
      </c>
      <c r="B3451" s="563">
        <v>109000</v>
      </c>
      <c r="C3451" s="564">
        <v>18</v>
      </c>
      <c r="D3451" s="564">
        <v>0.315</v>
      </c>
      <c r="E3451" s="564">
        <v>51505</v>
      </c>
      <c r="F3451" s="564">
        <v>160505</v>
      </c>
      <c r="G3451" s="564">
        <v>5723</v>
      </c>
      <c r="H3451" s="564">
        <v>8599</v>
      </c>
      <c r="I3451" s="557" t="str">
        <f t="shared" si="51"/>
        <v>GooD</v>
      </c>
    </row>
    <row r="3452" spans="1:9" ht="15.75" thickBot="1">
      <c r="A3452" s="565" t="s">
        <v>639</v>
      </c>
      <c r="B3452" s="565">
        <v>109000</v>
      </c>
      <c r="C3452" s="566">
        <v>24</v>
      </c>
      <c r="D3452" s="566">
        <v>0.315</v>
      </c>
      <c r="E3452" s="566">
        <v>68671</v>
      </c>
      <c r="F3452" s="566">
        <v>177671</v>
      </c>
      <c r="G3452" s="566">
        <v>7631</v>
      </c>
      <c r="H3452" s="566">
        <v>7085</v>
      </c>
      <c r="I3452" s="558" t="str">
        <f t="shared" si="51"/>
        <v>GooD</v>
      </c>
    </row>
    <row r="3453" spans="1:9" ht="15.75" thickTop="1">
      <c r="A3453" s="567" t="s">
        <v>639</v>
      </c>
      <c r="B3453" s="567">
        <v>110000</v>
      </c>
      <c r="C3453" s="568">
        <v>12</v>
      </c>
      <c r="D3453" s="568">
        <v>0.315</v>
      </c>
      <c r="E3453" s="568">
        <v>34659</v>
      </c>
      <c r="F3453" s="568">
        <v>144659</v>
      </c>
      <c r="G3453" s="568">
        <v>3851</v>
      </c>
      <c r="H3453" s="568">
        <v>11734</v>
      </c>
      <c r="I3453" s="559" t="str">
        <f t="shared" si="51"/>
        <v>GooD</v>
      </c>
    </row>
    <row r="3454" spans="1:9">
      <c r="A3454" s="563" t="s">
        <v>639</v>
      </c>
      <c r="B3454" s="563">
        <v>110000</v>
      </c>
      <c r="C3454" s="564">
        <v>18</v>
      </c>
      <c r="D3454" s="564">
        <v>0.315</v>
      </c>
      <c r="E3454" s="564">
        <v>51980</v>
      </c>
      <c r="F3454" s="564">
        <v>161980</v>
      </c>
      <c r="G3454" s="564">
        <v>5776</v>
      </c>
      <c r="H3454" s="564">
        <v>8678</v>
      </c>
      <c r="I3454" s="557" t="str">
        <f t="shared" si="51"/>
        <v>GooD</v>
      </c>
    </row>
    <row r="3455" spans="1:9" ht="15.75" thickBot="1">
      <c r="A3455" s="565" t="s">
        <v>639</v>
      </c>
      <c r="B3455" s="565">
        <v>110000</v>
      </c>
      <c r="C3455" s="566">
        <v>24</v>
      </c>
      <c r="D3455" s="566">
        <v>0.315</v>
      </c>
      <c r="E3455" s="566">
        <v>69301</v>
      </c>
      <c r="F3455" s="566">
        <v>179301</v>
      </c>
      <c r="G3455" s="566">
        <v>7701</v>
      </c>
      <c r="H3455" s="566">
        <v>7150</v>
      </c>
      <c r="I3455" s="558" t="str">
        <f t="shared" si="51"/>
        <v>GooD</v>
      </c>
    </row>
    <row r="3456" spans="1:9" ht="15.75" thickTop="1">
      <c r="A3456" s="567" t="s">
        <v>639</v>
      </c>
      <c r="B3456" s="567">
        <v>111000</v>
      </c>
      <c r="C3456" s="568">
        <v>12</v>
      </c>
      <c r="D3456" s="568">
        <v>0.315</v>
      </c>
      <c r="E3456" s="568">
        <v>34966</v>
      </c>
      <c r="F3456" s="568">
        <v>145966</v>
      </c>
      <c r="G3456" s="568">
        <v>3886</v>
      </c>
      <c r="H3456" s="568">
        <v>11840</v>
      </c>
      <c r="I3456" s="559" t="str">
        <f t="shared" si="51"/>
        <v>GooD</v>
      </c>
    </row>
    <row r="3457" spans="1:9">
      <c r="A3457" s="563" t="s">
        <v>639</v>
      </c>
      <c r="B3457" s="563">
        <v>111000</v>
      </c>
      <c r="C3457" s="564">
        <v>18</v>
      </c>
      <c r="D3457" s="564">
        <v>0.315</v>
      </c>
      <c r="E3457" s="564">
        <v>52454</v>
      </c>
      <c r="F3457" s="564">
        <v>163454</v>
      </c>
      <c r="G3457" s="564">
        <v>5828</v>
      </c>
      <c r="H3457" s="564">
        <v>8757</v>
      </c>
      <c r="I3457" s="557" t="str">
        <f t="shared" si="51"/>
        <v>GooD</v>
      </c>
    </row>
    <row r="3458" spans="1:9" ht="15.75" thickBot="1">
      <c r="A3458" s="565" t="s">
        <v>639</v>
      </c>
      <c r="B3458" s="565">
        <v>111000</v>
      </c>
      <c r="C3458" s="566">
        <v>24</v>
      </c>
      <c r="D3458" s="566">
        <v>0.315</v>
      </c>
      <c r="E3458" s="566">
        <v>69931</v>
      </c>
      <c r="F3458" s="566">
        <v>180931</v>
      </c>
      <c r="G3458" s="566">
        <v>7771</v>
      </c>
      <c r="H3458" s="566">
        <v>7215</v>
      </c>
      <c r="I3458" s="558" t="str">
        <f t="shared" si="51"/>
        <v>GooD</v>
      </c>
    </row>
    <row r="3459" spans="1:9" ht="15.75" thickTop="1">
      <c r="A3459" s="567" t="s">
        <v>639</v>
      </c>
      <c r="B3459" s="567">
        <v>112000</v>
      </c>
      <c r="C3459" s="568">
        <v>12</v>
      </c>
      <c r="D3459" s="568">
        <v>0.315</v>
      </c>
      <c r="E3459" s="568">
        <v>35285</v>
      </c>
      <c r="F3459" s="568">
        <v>147285</v>
      </c>
      <c r="G3459" s="568">
        <v>3921</v>
      </c>
      <c r="H3459" s="568">
        <v>11947</v>
      </c>
      <c r="I3459" s="559" t="str">
        <f t="shared" si="51"/>
        <v>GooD</v>
      </c>
    </row>
    <row r="3460" spans="1:9">
      <c r="A3460" s="563" t="s">
        <v>639</v>
      </c>
      <c r="B3460" s="563">
        <v>112000</v>
      </c>
      <c r="C3460" s="564">
        <v>18</v>
      </c>
      <c r="D3460" s="564">
        <v>0.315</v>
      </c>
      <c r="E3460" s="564">
        <v>52929</v>
      </c>
      <c r="F3460" s="564">
        <v>164929</v>
      </c>
      <c r="G3460" s="564">
        <v>5881</v>
      </c>
      <c r="H3460" s="564">
        <v>8836</v>
      </c>
      <c r="I3460" s="557" t="str">
        <f t="shared" si="51"/>
        <v>GooD</v>
      </c>
    </row>
    <row r="3461" spans="1:9" ht="15.75" thickBot="1">
      <c r="A3461" s="565" t="s">
        <v>639</v>
      </c>
      <c r="B3461" s="565">
        <v>112000</v>
      </c>
      <c r="C3461" s="566">
        <v>24</v>
      </c>
      <c r="D3461" s="566">
        <v>0.315</v>
      </c>
      <c r="E3461" s="566">
        <v>70561</v>
      </c>
      <c r="F3461" s="566">
        <v>182561</v>
      </c>
      <c r="G3461" s="566">
        <v>7841</v>
      </c>
      <c r="H3461" s="566">
        <v>7280</v>
      </c>
      <c r="I3461" s="558" t="str">
        <f t="shared" si="51"/>
        <v>GooD</v>
      </c>
    </row>
    <row r="3462" spans="1:9" ht="15.75" thickTop="1">
      <c r="A3462" s="567" t="s">
        <v>639</v>
      </c>
      <c r="B3462" s="567">
        <v>113000</v>
      </c>
      <c r="C3462" s="568">
        <v>12</v>
      </c>
      <c r="D3462" s="568">
        <v>0.315</v>
      </c>
      <c r="E3462" s="568">
        <v>35604</v>
      </c>
      <c r="F3462" s="568">
        <v>148604</v>
      </c>
      <c r="G3462" s="568">
        <v>3956</v>
      </c>
      <c r="H3462" s="568">
        <v>12054</v>
      </c>
      <c r="I3462" s="559" t="str">
        <f t="shared" si="51"/>
        <v>GooD</v>
      </c>
    </row>
    <row r="3463" spans="1:9">
      <c r="A3463" s="563" t="s">
        <v>639</v>
      </c>
      <c r="B3463" s="563">
        <v>113000</v>
      </c>
      <c r="C3463" s="564">
        <v>18</v>
      </c>
      <c r="D3463" s="564">
        <v>0.315</v>
      </c>
      <c r="E3463" s="564">
        <v>53403</v>
      </c>
      <c r="F3463" s="564">
        <v>166403</v>
      </c>
      <c r="G3463" s="564">
        <v>5933</v>
      </c>
      <c r="H3463" s="564">
        <v>8915</v>
      </c>
      <c r="I3463" s="557" t="str">
        <f t="shared" si="51"/>
        <v>GooD</v>
      </c>
    </row>
    <row r="3464" spans="1:9" ht="15.75" thickBot="1">
      <c r="A3464" s="565" t="s">
        <v>639</v>
      </c>
      <c r="B3464" s="565">
        <v>113000</v>
      </c>
      <c r="C3464" s="566">
        <v>24</v>
      </c>
      <c r="D3464" s="566">
        <v>0.315</v>
      </c>
      <c r="E3464" s="566">
        <v>71191</v>
      </c>
      <c r="F3464" s="566">
        <v>184191</v>
      </c>
      <c r="G3464" s="566">
        <v>7911</v>
      </c>
      <c r="H3464" s="566">
        <v>7345</v>
      </c>
      <c r="I3464" s="558" t="str">
        <f t="shared" si="51"/>
        <v>GooD</v>
      </c>
    </row>
    <row r="3465" spans="1:9" ht="15.75" thickTop="1">
      <c r="A3465" s="567" t="s">
        <v>639</v>
      </c>
      <c r="B3465" s="567">
        <v>114000</v>
      </c>
      <c r="C3465" s="568">
        <v>12</v>
      </c>
      <c r="D3465" s="568">
        <v>0.315</v>
      </c>
      <c r="E3465" s="568">
        <v>35911</v>
      </c>
      <c r="F3465" s="568">
        <v>149911</v>
      </c>
      <c r="G3465" s="568">
        <v>3991</v>
      </c>
      <c r="H3465" s="568">
        <v>12160</v>
      </c>
      <c r="I3465" s="559" t="str">
        <f t="shared" si="51"/>
        <v>GooD</v>
      </c>
    </row>
    <row r="3466" spans="1:9">
      <c r="A3466" s="563" t="s">
        <v>639</v>
      </c>
      <c r="B3466" s="563">
        <v>114000</v>
      </c>
      <c r="C3466" s="564">
        <v>18</v>
      </c>
      <c r="D3466" s="564">
        <v>0.315</v>
      </c>
      <c r="E3466" s="564">
        <v>53878</v>
      </c>
      <c r="F3466" s="564">
        <v>167878</v>
      </c>
      <c r="G3466" s="564">
        <v>5986</v>
      </c>
      <c r="H3466" s="564">
        <v>8994</v>
      </c>
      <c r="I3466" s="557" t="str">
        <f t="shared" si="51"/>
        <v>GooD</v>
      </c>
    </row>
    <row r="3467" spans="1:9" ht="15.75" thickBot="1">
      <c r="A3467" s="565" t="s">
        <v>639</v>
      </c>
      <c r="B3467" s="565">
        <v>114000</v>
      </c>
      <c r="C3467" s="566">
        <v>24</v>
      </c>
      <c r="D3467" s="566">
        <v>0.315</v>
      </c>
      <c r="E3467" s="566">
        <v>71821</v>
      </c>
      <c r="F3467" s="566">
        <v>185821</v>
      </c>
      <c r="G3467" s="566">
        <v>7981</v>
      </c>
      <c r="H3467" s="566">
        <v>7410</v>
      </c>
      <c r="I3467" s="558" t="str">
        <f t="shared" si="51"/>
        <v>GooD</v>
      </c>
    </row>
    <row r="3468" spans="1:9" ht="15.75" thickTop="1">
      <c r="A3468" s="567" t="s">
        <v>639</v>
      </c>
      <c r="B3468" s="567">
        <v>115000</v>
      </c>
      <c r="C3468" s="568">
        <v>12</v>
      </c>
      <c r="D3468" s="568">
        <v>0.315</v>
      </c>
      <c r="E3468" s="568">
        <v>36230</v>
      </c>
      <c r="F3468" s="568">
        <v>151230</v>
      </c>
      <c r="G3468" s="568">
        <v>4026</v>
      </c>
      <c r="H3468" s="568">
        <v>12267</v>
      </c>
      <c r="I3468" s="559" t="str">
        <f t="shared" si="51"/>
        <v>GooD</v>
      </c>
    </row>
    <row r="3469" spans="1:9">
      <c r="A3469" s="563" t="s">
        <v>639</v>
      </c>
      <c r="B3469" s="563">
        <v>115000</v>
      </c>
      <c r="C3469" s="564">
        <v>18</v>
      </c>
      <c r="D3469" s="564">
        <v>0.315</v>
      </c>
      <c r="E3469" s="564">
        <v>54352</v>
      </c>
      <c r="F3469" s="564">
        <v>169352</v>
      </c>
      <c r="G3469" s="564">
        <v>6038</v>
      </c>
      <c r="H3469" s="564">
        <v>9073</v>
      </c>
      <c r="I3469" s="557" t="str">
        <f t="shared" si="51"/>
        <v>GooD</v>
      </c>
    </row>
    <row r="3470" spans="1:9" ht="15.75" thickBot="1">
      <c r="A3470" s="565" t="s">
        <v>639</v>
      </c>
      <c r="B3470" s="565">
        <v>115000</v>
      </c>
      <c r="C3470" s="566">
        <v>24</v>
      </c>
      <c r="D3470" s="566">
        <v>0.315</v>
      </c>
      <c r="E3470" s="566">
        <v>72451</v>
      </c>
      <c r="F3470" s="566">
        <v>187451</v>
      </c>
      <c r="G3470" s="566">
        <v>8051</v>
      </c>
      <c r="H3470" s="566">
        <v>7475</v>
      </c>
      <c r="I3470" s="558" t="str">
        <f t="shared" si="51"/>
        <v>GooD</v>
      </c>
    </row>
    <row r="3471" spans="1:9" ht="15.75" thickTop="1">
      <c r="A3471" s="567" t="s">
        <v>639</v>
      </c>
      <c r="B3471" s="567">
        <v>116000</v>
      </c>
      <c r="C3471" s="568">
        <v>12</v>
      </c>
      <c r="D3471" s="568">
        <v>0.315</v>
      </c>
      <c r="E3471" s="568">
        <v>36549</v>
      </c>
      <c r="F3471" s="568">
        <v>152549</v>
      </c>
      <c r="G3471" s="568">
        <v>4061</v>
      </c>
      <c r="H3471" s="568">
        <v>12374</v>
      </c>
      <c r="I3471" s="559" t="str">
        <f t="shared" si="51"/>
        <v>GooD</v>
      </c>
    </row>
    <row r="3472" spans="1:9">
      <c r="A3472" s="563" t="s">
        <v>639</v>
      </c>
      <c r="B3472" s="563">
        <v>116000</v>
      </c>
      <c r="C3472" s="564">
        <v>18</v>
      </c>
      <c r="D3472" s="564">
        <v>0.315</v>
      </c>
      <c r="E3472" s="564">
        <v>54827</v>
      </c>
      <c r="F3472" s="564">
        <v>170827</v>
      </c>
      <c r="G3472" s="564">
        <v>6091</v>
      </c>
      <c r="H3472" s="564">
        <v>9152</v>
      </c>
      <c r="I3472" s="557" t="str">
        <f t="shared" si="51"/>
        <v>GooD</v>
      </c>
    </row>
    <row r="3473" spans="1:9" ht="15.75" thickBot="1">
      <c r="A3473" s="565" t="s">
        <v>639</v>
      </c>
      <c r="B3473" s="565">
        <v>116000</v>
      </c>
      <c r="C3473" s="566">
        <v>24</v>
      </c>
      <c r="D3473" s="566">
        <v>0.315</v>
      </c>
      <c r="E3473" s="566">
        <v>73081</v>
      </c>
      <c r="F3473" s="566">
        <v>189081</v>
      </c>
      <c r="G3473" s="566">
        <v>8121</v>
      </c>
      <c r="H3473" s="566">
        <v>7540</v>
      </c>
      <c r="I3473" s="558" t="str">
        <f t="shared" ref="I3473:I3536" si="52">IF(((H3473*C3473)+G3473)=F3473,"GooD","لالالالالالالا")</f>
        <v>GooD</v>
      </c>
    </row>
    <row r="3474" spans="1:9" ht="15.75" thickTop="1">
      <c r="A3474" s="567" t="s">
        <v>639</v>
      </c>
      <c r="B3474" s="567">
        <v>117000</v>
      </c>
      <c r="C3474" s="568">
        <v>12</v>
      </c>
      <c r="D3474" s="568">
        <v>0.315</v>
      </c>
      <c r="E3474" s="568">
        <v>36856</v>
      </c>
      <c r="F3474" s="568">
        <v>153856</v>
      </c>
      <c r="G3474" s="568">
        <v>4096</v>
      </c>
      <c r="H3474" s="568">
        <v>12480</v>
      </c>
      <c r="I3474" s="559" t="str">
        <f t="shared" si="52"/>
        <v>GooD</v>
      </c>
    </row>
    <row r="3475" spans="1:9">
      <c r="A3475" s="563" t="s">
        <v>639</v>
      </c>
      <c r="B3475" s="563">
        <v>117000</v>
      </c>
      <c r="C3475" s="564">
        <v>18</v>
      </c>
      <c r="D3475" s="564">
        <v>0.315</v>
      </c>
      <c r="E3475" s="564">
        <v>55283</v>
      </c>
      <c r="F3475" s="564">
        <v>172283</v>
      </c>
      <c r="G3475" s="564">
        <v>6143</v>
      </c>
      <c r="H3475" s="564">
        <v>9230</v>
      </c>
      <c r="I3475" s="557" t="str">
        <f t="shared" si="52"/>
        <v>GooD</v>
      </c>
    </row>
    <row r="3476" spans="1:9" ht="15.75" thickBot="1">
      <c r="A3476" s="565" t="s">
        <v>639</v>
      </c>
      <c r="B3476" s="565">
        <v>117000</v>
      </c>
      <c r="C3476" s="566">
        <v>24</v>
      </c>
      <c r="D3476" s="566">
        <v>0.315</v>
      </c>
      <c r="E3476" s="566">
        <v>73711</v>
      </c>
      <c r="F3476" s="566">
        <v>190711</v>
      </c>
      <c r="G3476" s="566">
        <v>8191</v>
      </c>
      <c r="H3476" s="566">
        <v>7605</v>
      </c>
      <c r="I3476" s="558" t="str">
        <f t="shared" si="52"/>
        <v>GooD</v>
      </c>
    </row>
    <row r="3477" spans="1:9" ht="15.75" thickTop="1">
      <c r="A3477" s="567" t="s">
        <v>639</v>
      </c>
      <c r="B3477" s="567">
        <v>118000</v>
      </c>
      <c r="C3477" s="568">
        <v>12</v>
      </c>
      <c r="D3477" s="568">
        <v>0.315</v>
      </c>
      <c r="E3477" s="568">
        <v>37175</v>
      </c>
      <c r="F3477" s="568">
        <v>155175</v>
      </c>
      <c r="G3477" s="568">
        <v>4131</v>
      </c>
      <c r="H3477" s="568">
        <v>12587</v>
      </c>
      <c r="I3477" s="559" t="str">
        <f t="shared" si="52"/>
        <v>GooD</v>
      </c>
    </row>
    <row r="3478" spans="1:9">
      <c r="A3478" s="563" t="s">
        <v>639</v>
      </c>
      <c r="B3478" s="563">
        <v>118000</v>
      </c>
      <c r="C3478" s="564">
        <v>18</v>
      </c>
      <c r="D3478" s="564">
        <v>0.315</v>
      </c>
      <c r="E3478" s="564">
        <v>55758</v>
      </c>
      <c r="F3478" s="564">
        <v>173758</v>
      </c>
      <c r="G3478" s="564">
        <v>6196</v>
      </c>
      <c r="H3478" s="564">
        <v>9309</v>
      </c>
      <c r="I3478" s="557" t="str">
        <f t="shared" si="52"/>
        <v>GooD</v>
      </c>
    </row>
    <row r="3479" spans="1:9" ht="15.75" thickBot="1">
      <c r="A3479" s="565" t="s">
        <v>639</v>
      </c>
      <c r="B3479" s="565">
        <v>118000</v>
      </c>
      <c r="C3479" s="566">
        <v>24</v>
      </c>
      <c r="D3479" s="566">
        <v>0.315</v>
      </c>
      <c r="E3479" s="566">
        <v>74341</v>
      </c>
      <c r="F3479" s="566">
        <v>192341</v>
      </c>
      <c r="G3479" s="566">
        <v>8261</v>
      </c>
      <c r="H3479" s="566">
        <v>7670</v>
      </c>
      <c r="I3479" s="558" t="str">
        <f t="shared" si="52"/>
        <v>GooD</v>
      </c>
    </row>
    <row r="3480" spans="1:9" ht="15.75" thickTop="1">
      <c r="A3480" s="567" t="s">
        <v>639</v>
      </c>
      <c r="B3480" s="567">
        <v>119000</v>
      </c>
      <c r="C3480" s="568">
        <v>12</v>
      </c>
      <c r="D3480" s="568">
        <v>0.315</v>
      </c>
      <c r="E3480" s="568">
        <v>37494</v>
      </c>
      <c r="F3480" s="568">
        <v>156494</v>
      </c>
      <c r="G3480" s="568">
        <v>4166</v>
      </c>
      <c r="H3480" s="568">
        <v>12694</v>
      </c>
      <c r="I3480" s="559" t="str">
        <f t="shared" si="52"/>
        <v>GooD</v>
      </c>
    </row>
    <row r="3481" spans="1:9">
      <c r="A3481" s="563" t="s">
        <v>639</v>
      </c>
      <c r="B3481" s="563">
        <v>119000</v>
      </c>
      <c r="C3481" s="564">
        <v>18</v>
      </c>
      <c r="D3481" s="564">
        <v>0.315</v>
      </c>
      <c r="E3481" s="564">
        <v>56232</v>
      </c>
      <c r="F3481" s="564">
        <v>175232</v>
      </c>
      <c r="G3481" s="564">
        <v>6248</v>
      </c>
      <c r="H3481" s="564">
        <v>9388</v>
      </c>
      <c r="I3481" s="557" t="str">
        <f t="shared" si="52"/>
        <v>GooD</v>
      </c>
    </row>
    <row r="3482" spans="1:9" ht="15.75" thickBot="1">
      <c r="A3482" s="565" t="s">
        <v>639</v>
      </c>
      <c r="B3482" s="565">
        <v>119000</v>
      </c>
      <c r="C3482" s="566">
        <v>24</v>
      </c>
      <c r="D3482" s="566">
        <v>0.315</v>
      </c>
      <c r="E3482" s="566">
        <v>74971</v>
      </c>
      <c r="F3482" s="566">
        <v>193971</v>
      </c>
      <c r="G3482" s="566">
        <v>8331</v>
      </c>
      <c r="H3482" s="566">
        <v>7735</v>
      </c>
      <c r="I3482" s="558" t="str">
        <f t="shared" si="52"/>
        <v>GooD</v>
      </c>
    </row>
    <row r="3483" spans="1:9" ht="15.75" thickTop="1">
      <c r="A3483" s="567" t="s">
        <v>639</v>
      </c>
      <c r="B3483" s="567">
        <v>120000</v>
      </c>
      <c r="C3483" s="568">
        <v>12</v>
      </c>
      <c r="D3483" s="568">
        <v>0.315</v>
      </c>
      <c r="E3483" s="568">
        <v>37801</v>
      </c>
      <c r="F3483" s="568">
        <v>157801</v>
      </c>
      <c r="G3483" s="568">
        <v>4201</v>
      </c>
      <c r="H3483" s="568">
        <v>12800</v>
      </c>
      <c r="I3483" s="559" t="str">
        <f t="shared" si="52"/>
        <v>GooD</v>
      </c>
    </row>
    <row r="3484" spans="1:9">
      <c r="A3484" s="563" t="s">
        <v>639</v>
      </c>
      <c r="B3484" s="563">
        <v>120000</v>
      </c>
      <c r="C3484" s="564">
        <v>18</v>
      </c>
      <c r="D3484" s="564">
        <v>0.315</v>
      </c>
      <c r="E3484" s="564">
        <v>56707</v>
      </c>
      <c r="F3484" s="564">
        <v>176707</v>
      </c>
      <c r="G3484" s="564">
        <v>6301</v>
      </c>
      <c r="H3484" s="564">
        <v>9467</v>
      </c>
      <c r="I3484" s="557" t="str">
        <f t="shared" si="52"/>
        <v>GooD</v>
      </c>
    </row>
    <row r="3485" spans="1:9" ht="15.75" thickBot="1">
      <c r="A3485" s="565" t="s">
        <v>639</v>
      </c>
      <c r="B3485" s="565">
        <v>120000</v>
      </c>
      <c r="C3485" s="566">
        <v>24</v>
      </c>
      <c r="D3485" s="566">
        <v>0.315</v>
      </c>
      <c r="E3485" s="566">
        <v>75601</v>
      </c>
      <c r="F3485" s="566">
        <v>195601</v>
      </c>
      <c r="G3485" s="566">
        <v>8401</v>
      </c>
      <c r="H3485" s="566">
        <v>7800</v>
      </c>
      <c r="I3485" s="558" t="str">
        <f t="shared" si="52"/>
        <v>GooD</v>
      </c>
    </row>
    <row r="3486" spans="1:9" ht="15.75" thickTop="1">
      <c r="A3486" s="567" t="s">
        <v>639</v>
      </c>
      <c r="B3486" s="567">
        <v>121000</v>
      </c>
      <c r="C3486" s="568">
        <v>12</v>
      </c>
      <c r="D3486" s="568">
        <v>0.315</v>
      </c>
      <c r="E3486" s="568">
        <v>38120</v>
      </c>
      <c r="F3486" s="568">
        <v>159120</v>
      </c>
      <c r="G3486" s="568">
        <v>4236</v>
      </c>
      <c r="H3486" s="568">
        <v>12907</v>
      </c>
      <c r="I3486" s="559" t="str">
        <f t="shared" si="52"/>
        <v>GooD</v>
      </c>
    </row>
    <row r="3487" spans="1:9">
      <c r="A3487" s="563" t="s">
        <v>639</v>
      </c>
      <c r="B3487" s="563">
        <v>121000</v>
      </c>
      <c r="C3487" s="564">
        <v>18</v>
      </c>
      <c r="D3487" s="564">
        <v>0.315</v>
      </c>
      <c r="E3487" s="564">
        <v>57181</v>
      </c>
      <c r="F3487" s="564">
        <v>178181</v>
      </c>
      <c r="G3487" s="564">
        <v>6353</v>
      </c>
      <c r="H3487" s="564">
        <v>9546</v>
      </c>
      <c r="I3487" s="557" t="str">
        <f t="shared" si="52"/>
        <v>GooD</v>
      </c>
    </row>
    <row r="3488" spans="1:9" ht="15.75" thickBot="1">
      <c r="A3488" s="565" t="s">
        <v>639</v>
      </c>
      <c r="B3488" s="565">
        <v>121000</v>
      </c>
      <c r="C3488" s="566">
        <v>24</v>
      </c>
      <c r="D3488" s="566">
        <v>0.315</v>
      </c>
      <c r="E3488" s="566">
        <v>76231</v>
      </c>
      <c r="F3488" s="566">
        <v>197231</v>
      </c>
      <c r="G3488" s="566">
        <v>8471</v>
      </c>
      <c r="H3488" s="566">
        <v>7865</v>
      </c>
      <c r="I3488" s="558" t="str">
        <f t="shared" si="52"/>
        <v>GooD</v>
      </c>
    </row>
    <row r="3489" spans="1:9" ht="15.75" thickTop="1">
      <c r="A3489" s="567" t="s">
        <v>639</v>
      </c>
      <c r="B3489" s="567">
        <v>122000</v>
      </c>
      <c r="C3489" s="568">
        <v>12</v>
      </c>
      <c r="D3489" s="568">
        <v>0.315</v>
      </c>
      <c r="E3489" s="568">
        <v>38439</v>
      </c>
      <c r="F3489" s="568">
        <v>160439</v>
      </c>
      <c r="G3489" s="568">
        <v>4271</v>
      </c>
      <c r="H3489" s="568">
        <v>13014</v>
      </c>
      <c r="I3489" s="559" t="str">
        <f t="shared" si="52"/>
        <v>GooD</v>
      </c>
    </row>
    <row r="3490" spans="1:9">
      <c r="A3490" s="563" t="s">
        <v>639</v>
      </c>
      <c r="B3490" s="563">
        <v>122000</v>
      </c>
      <c r="C3490" s="564">
        <v>18</v>
      </c>
      <c r="D3490" s="564">
        <v>0.315</v>
      </c>
      <c r="E3490" s="564">
        <v>57656</v>
      </c>
      <c r="F3490" s="564">
        <v>179656</v>
      </c>
      <c r="G3490" s="564">
        <v>6406</v>
      </c>
      <c r="H3490" s="564">
        <v>9625</v>
      </c>
      <c r="I3490" s="557" t="str">
        <f t="shared" si="52"/>
        <v>GooD</v>
      </c>
    </row>
    <row r="3491" spans="1:9" ht="15.75" thickBot="1">
      <c r="A3491" s="565" t="s">
        <v>639</v>
      </c>
      <c r="B3491" s="565">
        <v>122000</v>
      </c>
      <c r="C3491" s="566">
        <v>24</v>
      </c>
      <c r="D3491" s="566">
        <v>0.315</v>
      </c>
      <c r="E3491" s="566">
        <v>76861</v>
      </c>
      <c r="F3491" s="566">
        <v>198861</v>
      </c>
      <c r="G3491" s="566">
        <v>8541</v>
      </c>
      <c r="H3491" s="566">
        <v>7930</v>
      </c>
      <c r="I3491" s="558" t="str">
        <f t="shared" si="52"/>
        <v>GooD</v>
      </c>
    </row>
    <row r="3492" spans="1:9" ht="15.75" thickTop="1">
      <c r="A3492" s="567" t="s">
        <v>639</v>
      </c>
      <c r="B3492" s="567">
        <v>123000</v>
      </c>
      <c r="C3492" s="568">
        <v>12</v>
      </c>
      <c r="D3492" s="568">
        <v>0.315</v>
      </c>
      <c r="E3492" s="568">
        <v>38746</v>
      </c>
      <c r="F3492" s="568">
        <v>161746</v>
      </c>
      <c r="G3492" s="568">
        <v>4306</v>
      </c>
      <c r="H3492" s="568">
        <v>13120</v>
      </c>
      <c r="I3492" s="559" t="str">
        <f t="shared" si="52"/>
        <v>GooD</v>
      </c>
    </row>
    <row r="3493" spans="1:9">
      <c r="A3493" s="563" t="s">
        <v>639</v>
      </c>
      <c r="B3493" s="563">
        <v>123000</v>
      </c>
      <c r="C3493" s="564">
        <v>18</v>
      </c>
      <c r="D3493" s="564">
        <v>0.315</v>
      </c>
      <c r="E3493" s="564">
        <v>58130</v>
      </c>
      <c r="F3493" s="564">
        <v>181130</v>
      </c>
      <c r="G3493" s="564">
        <v>6458</v>
      </c>
      <c r="H3493" s="564">
        <v>9704</v>
      </c>
      <c r="I3493" s="557" t="str">
        <f t="shared" si="52"/>
        <v>GooD</v>
      </c>
    </row>
    <row r="3494" spans="1:9" ht="15.75" thickBot="1">
      <c r="A3494" s="565" t="s">
        <v>639</v>
      </c>
      <c r="B3494" s="565">
        <v>123000</v>
      </c>
      <c r="C3494" s="566">
        <v>24</v>
      </c>
      <c r="D3494" s="566">
        <v>0.315</v>
      </c>
      <c r="E3494" s="566">
        <v>77491</v>
      </c>
      <c r="F3494" s="566">
        <v>200491</v>
      </c>
      <c r="G3494" s="566">
        <v>8611</v>
      </c>
      <c r="H3494" s="566">
        <v>7995</v>
      </c>
      <c r="I3494" s="558" t="str">
        <f t="shared" si="52"/>
        <v>GooD</v>
      </c>
    </row>
    <row r="3495" spans="1:9" ht="15.75" thickTop="1">
      <c r="A3495" s="567" t="s">
        <v>639</v>
      </c>
      <c r="B3495" s="567">
        <v>124000</v>
      </c>
      <c r="C3495" s="568">
        <v>12</v>
      </c>
      <c r="D3495" s="568">
        <v>0.315</v>
      </c>
      <c r="E3495" s="568">
        <v>39065</v>
      </c>
      <c r="F3495" s="568">
        <v>163065</v>
      </c>
      <c r="G3495" s="568">
        <v>4341</v>
      </c>
      <c r="H3495" s="568">
        <v>13227</v>
      </c>
      <c r="I3495" s="559" t="str">
        <f t="shared" si="52"/>
        <v>GooD</v>
      </c>
    </row>
    <row r="3496" spans="1:9">
      <c r="A3496" s="563" t="s">
        <v>639</v>
      </c>
      <c r="B3496" s="563">
        <v>124000</v>
      </c>
      <c r="C3496" s="564">
        <v>18</v>
      </c>
      <c r="D3496" s="564">
        <v>0.315</v>
      </c>
      <c r="E3496" s="564">
        <v>58605</v>
      </c>
      <c r="F3496" s="564">
        <v>182605</v>
      </c>
      <c r="G3496" s="564">
        <v>6511</v>
      </c>
      <c r="H3496" s="564">
        <v>9783</v>
      </c>
      <c r="I3496" s="557" t="str">
        <f t="shared" si="52"/>
        <v>GooD</v>
      </c>
    </row>
    <row r="3497" spans="1:9" ht="15.75" thickBot="1">
      <c r="A3497" s="565" t="s">
        <v>639</v>
      </c>
      <c r="B3497" s="565">
        <v>124000</v>
      </c>
      <c r="C3497" s="566">
        <v>24</v>
      </c>
      <c r="D3497" s="566">
        <v>0.315</v>
      </c>
      <c r="E3497" s="566">
        <v>78121</v>
      </c>
      <c r="F3497" s="566">
        <v>202121</v>
      </c>
      <c r="G3497" s="566">
        <v>8681</v>
      </c>
      <c r="H3497" s="566">
        <v>8060</v>
      </c>
      <c r="I3497" s="558" t="str">
        <f t="shared" si="52"/>
        <v>GooD</v>
      </c>
    </row>
    <row r="3498" spans="1:9" ht="15.75" thickTop="1">
      <c r="A3498" s="567" t="s">
        <v>639</v>
      </c>
      <c r="B3498" s="567">
        <v>125000</v>
      </c>
      <c r="C3498" s="568">
        <v>12</v>
      </c>
      <c r="D3498" s="568">
        <v>0.315</v>
      </c>
      <c r="E3498" s="568">
        <v>39384</v>
      </c>
      <c r="F3498" s="568">
        <v>164384</v>
      </c>
      <c r="G3498" s="568">
        <v>4376</v>
      </c>
      <c r="H3498" s="568">
        <v>13334</v>
      </c>
      <c r="I3498" s="559" t="str">
        <f t="shared" si="52"/>
        <v>GooD</v>
      </c>
    </row>
    <row r="3499" spans="1:9">
      <c r="A3499" s="563" t="s">
        <v>639</v>
      </c>
      <c r="B3499" s="563">
        <v>125000</v>
      </c>
      <c r="C3499" s="564">
        <v>18</v>
      </c>
      <c r="D3499" s="564">
        <v>0.315</v>
      </c>
      <c r="E3499" s="564">
        <v>59079</v>
      </c>
      <c r="F3499" s="564">
        <v>184079</v>
      </c>
      <c r="G3499" s="564">
        <v>6563</v>
      </c>
      <c r="H3499" s="564">
        <v>9862</v>
      </c>
      <c r="I3499" s="557" t="str">
        <f t="shared" si="52"/>
        <v>GooD</v>
      </c>
    </row>
    <row r="3500" spans="1:9" ht="15.75" thickBot="1">
      <c r="A3500" s="565" t="s">
        <v>639</v>
      </c>
      <c r="B3500" s="565">
        <v>125000</v>
      </c>
      <c r="C3500" s="566">
        <v>24</v>
      </c>
      <c r="D3500" s="566">
        <v>0.315</v>
      </c>
      <c r="E3500" s="566">
        <v>78751</v>
      </c>
      <c r="F3500" s="566">
        <v>203751</v>
      </c>
      <c r="G3500" s="566">
        <v>8751</v>
      </c>
      <c r="H3500" s="566">
        <v>8125</v>
      </c>
      <c r="I3500" s="558" t="str">
        <f t="shared" si="52"/>
        <v>GooD</v>
      </c>
    </row>
    <row r="3501" spans="1:9" ht="15.75" thickTop="1">
      <c r="A3501" s="567" t="s">
        <v>639</v>
      </c>
      <c r="B3501" s="567">
        <v>126000</v>
      </c>
      <c r="C3501" s="568">
        <v>12</v>
      </c>
      <c r="D3501" s="568">
        <v>0.315</v>
      </c>
      <c r="E3501" s="568">
        <v>39691</v>
      </c>
      <c r="F3501" s="568">
        <v>165691</v>
      </c>
      <c r="G3501" s="568">
        <v>4411</v>
      </c>
      <c r="H3501" s="568">
        <v>13440</v>
      </c>
      <c r="I3501" s="559" t="str">
        <f t="shared" si="52"/>
        <v>GooD</v>
      </c>
    </row>
    <row r="3502" spans="1:9">
      <c r="A3502" s="563" t="s">
        <v>639</v>
      </c>
      <c r="B3502" s="563">
        <v>126000</v>
      </c>
      <c r="C3502" s="564">
        <v>18</v>
      </c>
      <c r="D3502" s="564">
        <v>0.315</v>
      </c>
      <c r="E3502" s="564">
        <v>59536</v>
      </c>
      <c r="F3502" s="564">
        <v>185536</v>
      </c>
      <c r="G3502" s="564">
        <v>6616</v>
      </c>
      <c r="H3502" s="564">
        <v>9940</v>
      </c>
      <c r="I3502" s="557" t="str">
        <f t="shared" si="52"/>
        <v>GooD</v>
      </c>
    </row>
    <row r="3503" spans="1:9" ht="15.75" thickBot="1">
      <c r="A3503" s="565" t="s">
        <v>639</v>
      </c>
      <c r="B3503" s="565">
        <v>126000</v>
      </c>
      <c r="C3503" s="566">
        <v>24</v>
      </c>
      <c r="D3503" s="566">
        <v>0.315</v>
      </c>
      <c r="E3503" s="566">
        <v>79381</v>
      </c>
      <c r="F3503" s="566">
        <v>205381</v>
      </c>
      <c r="G3503" s="566">
        <v>8821</v>
      </c>
      <c r="H3503" s="566">
        <v>8190</v>
      </c>
      <c r="I3503" s="558" t="str">
        <f t="shared" si="52"/>
        <v>GooD</v>
      </c>
    </row>
    <row r="3504" spans="1:9" ht="15.75" thickTop="1">
      <c r="A3504" s="567" t="s">
        <v>639</v>
      </c>
      <c r="B3504" s="567">
        <v>127000</v>
      </c>
      <c r="C3504" s="568">
        <v>12</v>
      </c>
      <c r="D3504" s="568">
        <v>0.315</v>
      </c>
      <c r="E3504" s="568">
        <v>40010</v>
      </c>
      <c r="F3504" s="568">
        <v>167010</v>
      </c>
      <c r="G3504" s="568">
        <v>4446</v>
      </c>
      <c r="H3504" s="568">
        <v>13547</v>
      </c>
      <c r="I3504" s="559" t="str">
        <f t="shared" si="52"/>
        <v>GooD</v>
      </c>
    </row>
    <row r="3505" spans="1:9">
      <c r="A3505" s="563" t="s">
        <v>639</v>
      </c>
      <c r="B3505" s="563">
        <v>127000</v>
      </c>
      <c r="C3505" s="564">
        <v>18</v>
      </c>
      <c r="D3505" s="564">
        <v>0.315</v>
      </c>
      <c r="E3505" s="564">
        <v>60010</v>
      </c>
      <c r="F3505" s="564">
        <v>187010</v>
      </c>
      <c r="G3505" s="564">
        <v>6668</v>
      </c>
      <c r="H3505" s="564">
        <v>10019</v>
      </c>
      <c r="I3505" s="557" t="str">
        <f t="shared" si="52"/>
        <v>GooD</v>
      </c>
    </row>
    <row r="3506" spans="1:9" ht="15.75" thickBot="1">
      <c r="A3506" s="565" t="s">
        <v>639</v>
      </c>
      <c r="B3506" s="565">
        <v>127000</v>
      </c>
      <c r="C3506" s="566">
        <v>24</v>
      </c>
      <c r="D3506" s="566">
        <v>0.315</v>
      </c>
      <c r="E3506" s="566">
        <v>80011</v>
      </c>
      <c r="F3506" s="566">
        <v>207011</v>
      </c>
      <c r="G3506" s="566">
        <v>8891</v>
      </c>
      <c r="H3506" s="566">
        <v>8255</v>
      </c>
      <c r="I3506" s="558" t="str">
        <f t="shared" si="52"/>
        <v>GooD</v>
      </c>
    </row>
    <row r="3507" spans="1:9" ht="15.75" thickTop="1">
      <c r="A3507" s="567" t="s">
        <v>639</v>
      </c>
      <c r="B3507" s="567">
        <v>128000</v>
      </c>
      <c r="C3507" s="568">
        <v>12</v>
      </c>
      <c r="D3507" s="568">
        <v>0.315</v>
      </c>
      <c r="E3507" s="568">
        <v>40329</v>
      </c>
      <c r="F3507" s="568">
        <v>168329</v>
      </c>
      <c r="G3507" s="568">
        <v>4481</v>
      </c>
      <c r="H3507" s="568">
        <v>13654</v>
      </c>
      <c r="I3507" s="559" t="str">
        <f t="shared" si="52"/>
        <v>GooD</v>
      </c>
    </row>
    <row r="3508" spans="1:9">
      <c r="A3508" s="563" t="s">
        <v>639</v>
      </c>
      <c r="B3508" s="563">
        <v>128000</v>
      </c>
      <c r="C3508" s="564">
        <v>18</v>
      </c>
      <c r="D3508" s="564">
        <v>0.315</v>
      </c>
      <c r="E3508" s="564">
        <v>60485</v>
      </c>
      <c r="F3508" s="564">
        <v>188485</v>
      </c>
      <c r="G3508" s="564">
        <v>6721</v>
      </c>
      <c r="H3508" s="564">
        <v>10098</v>
      </c>
      <c r="I3508" s="557" t="str">
        <f t="shared" si="52"/>
        <v>GooD</v>
      </c>
    </row>
    <row r="3509" spans="1:9" ht="15.75" thickBot="1">
      <c r="A3509" s="565" t="s">
        <v>639</v>
      </c>
      <c r="B3509" s="565">
        <v>128000</v>
      </c>
      <c r="C3509" s="566">
        <v>24</v>
      </c>
      <c r="D3509" s="566">
        <v>0.315</v>
      </c>
      <c r="E3509" s="566">
        <v>80641</v>
      </c>
      <c r="F3509" s="566">
        <v>208641</v>
      </c>
      <c r="G3509" s="566">
        <v>8961</v>
      </c>
      <c r="H3509" s="566">
        <v>8320</v>
      </c>
      <c r="I3509" s="558" t="str">
        <f t="shared" si="52"/>
        <v>GooD</v>
      </c>
    </row>
    <row r="3510" spans="1:9" ht="15.75" thickTop="1">
      <c r="A3510" s="567" t="s">
        <v>639</v>
      </c>
      <c r="B3510" s="567">
        <v>129000</v>
      </c>
      <c r="C3510" s="568">
        <v>12</v>
      </c>
      <c r="D3510" s="568">
        <v>0.315</v>
      </c>
      <c r="E3510" s="568">
        <v>40636</v>
      </c>
      <c r="F3510" s="568">
        <v>169636</v>
      </c>
      <c r="G3510" s="568">
        <v>4516</v>
      </c>
      <c r="H3510" s="568">
        <v>13760</v>
      </c>
      <c r="I3510" s="559" t="str">
        <f t="shared" si="52"/>
        <v>GooD</v>
      </c>
    </row>
    <row r="3511" spans="1:9">
      <c r="A3511" s="563" t="s">
        <v>639</v>
      </c>
      <c r="B3511" s="563">
        <v>129000</v>
      </c>
      <c r="C3511" s="564">
        <v>18</v>
      </c>
      <c r="D3511" s="564">
        <v>0.315</v>
      </c>
      <c r="E3511" s="564">
        <v>60959</v>
      </c>
      <c r="F3511" s="564">
        <v>189959</v>
      </c>
      <c r="G3511" s="564">
        <v>6773</v>
      </c>
      <c r="H3511" s="564">
        <v>10177</v>
      </c>
      <c r="I3511" s="557" t="str">
        <f t="shared" si="52"/>
        <v>GooD</v>
      </c>
    </row>
    <row r="3512" spans="1:9" ht="15.75" thickBot="1">
      <c r="A3512" s="565" t="s">
        <v>639</v>
      </c>
      <c r="B3512" s="565">
        <v>129000</v>
      </c>
      <c r="C3512" s="566">
        <v>24</v>
      </c>
      <c r="D3512" s="566">
        <v>0.315</v>
      </c>
      <c r="E3512" s="566">
        <v>81271</v>
      </c>
      <c r="F3512" s="566">
        <v>210271</v>
      </c>
      <c r="G3512" s="566">
        <v>9031</v>
      </c>
      <c r="H3512" s="566">
        <v>8385</v>
      </c>
      <c r="I3512" s="558" t="str">
        <f t="shared" si="52"/>
        <v>GooD</v>
      </c>
    </row>
    <row r="3513" spans="1:9" ht="15.75" thickTop="1">
      <c r="A3513" s="567" t="s">
        <v>639</v>
      </c>
      <c r="B3513" s="567">
        <v>130000</v>
      </c>
      <c r="C3513" s="568">
        <v>12</v>
      </c>
      <c r="D3513" s="568">
        <v>0.315</v>
      </c>
      <c r="E3513" s="568">
        <v>40955</v>
      </c>
      <c r="F3513" s="568">
        <v>170955</v>
      </c>
      <c r="G3513" s="568">
        <v>4551</v>
      </c>
      <c r="H3513" s="568">
        <v>13867</v>
      </c>
      <c r="I3513" s="559" t="str">
        <f t="shared" si="52"/>
        <v>GooD</v>
      </c>
    </row>
    <row r="3514" spans="1:9">
      <c r="A3514" s="563" t="s">
        <v>639</v>
      </c>
      <c r="B3514" s="563">
        <v>130000</v>
      </c>
      <c r="C3514" s="564">
        <v>18</v>
      </c>
      <c r="D3514" s="564">
        <v>0.315</v>
      </c>
      <c r="E3514" s="564">
        <v>61434</v>
      </c>
      <c r="F3514" s="564">
        <v>191434</v>
      </c>
      <c r="G3514" s="564">
        <v>6826</v>
      </c>
      <c r="H3514" s="564">
        <v>10256</v>
      </c>
      <c r="I3514" s="557" t="str">
        <f t="shared" si="52"/>
        <v>GooD</v>
      </c>
    </row>
    <row r="3515" spans="1:9" ht="15.75" thickBot="1">
      <c r="A3515" s="565" t="s">
        <v>639</v>
      </c>
      <c r="B3515" s="565">
        <v>130000</v>
      </c>
      <c r="C3515" s="566">
        <v>24</v>
      </c>
      <c r="D3515" s="566">
        <v>0.315</v>
      </c>
      <c r="E3515" s="566">
        <v>81901</v>
      </c>
      <c r="F3515" s="566">
        <v>211901</v>
      </c>
      <c r="G3515" s="566">
        <v>9101</v>
      </c>
      <c r="H3515" s="566">
        <v>8450</v>
      </c>
      <c r="I3515" s="558" t="str">
        <f t="shared" si="52"/>
        <v>GooD</v>
      </c>
    </row>
    <row r="3516" spans="1:9" ht="15.75" thickTop="1">
      <c r="A3516" s="567" t="s">
        <v>639</v>
      </c>
      <c r="B3516" s="567">
        <v>131000</v>
      </c>
      <c r="C3516" s="568">
        <v>12</v>
      </c>
      <c r="D3516" s="568">
        <v>0.315</v>
      </c>
      <c r="E3516" s="568">
        <v>41274</v>
      </c>
      <c r="F3516" s="568">
        <v>172274</v>
      </c>
      <c r="G3516" s="568">
        <v>4586</v>
      </c>
      <c r="H3516" s="568">
        <v>13974</v>
      </c>
      <c r="I3516" s="559" t="str">
        <f t="shared" si="52"/>
        <v>GooD</v>
      </c>
    </row>
    <row r="3517" spans="1:9">
      <c r="A3517" s="563" t="s">
        <v>639</v>
      </c>
      <c r="B3517" s="563">
        <v>131000</v>
      </c>
      <c r="C3517" s="564">
        <v>18</v>
      </c>
      <c r="D3517" s="564">
        <v>0.315</v>
      </c>
      <c r="E3517" s="564">
        <v>61908</v>
      </c>
      <c r="F3517" s="564">
        <v>192908</v>
      </c>
      <c r="G3517" s="564">
        <v>6878</v>
      </c>
      <c r="H3517" s="564">
        <v>10335</v>
      </c>
      <c r="I3517" s="557" t="str">
        <f t="shared" si="52"/>
        <v>GooD</v>
      </c>
    </row>
    <row r="3518" spans="1:9" ht="15.75" thickBot="1">
      <c r="A3518" s="565" t="s">
        <v>639</v>
      </c>
      <c r="B3518" s="565">
        <v>131000</v>
      </c>
      <c r="C3518" s="566">
        <v>24</v>
      </c>
      <c r="D3518" s="566">
        <v>0.315</v>
      </c>
      <c r="E3518" s="566">
        <v>82531</v>
      </c>
      <c r="F3518" s="566">
        <v>213531</v>
      </c>
      <c r="G3518" s="566">
        <v>9171</v>
      </c>
      <c r="H3518" s="566">
        <v>8515</v>
      </c>
      <c r="I3518" s="558" t="str">
        <f t="shared" si="52"/>
        <v>GooD</v>
      </c>
    </row>
    <row r="3519" spans="1:9" ht="15.75" thickTop="1">
      <c r="A3519" s="567" t="s">
        <v>639</v>
      </c>
      <c r="B3519" s="567">
        <v>132000</v>
      </c>
      <c r="C3519" s="568">
        <v>12</v>
      </c>
      <c r="D3519" s="568">
        <v>0.315</v>
      </c>
      <c r="E3519" s="568">
        <v>41581</v>
      </c>
      <c r="F3519" s="568">
        <v>173581</v>
      </c>
      <c r="G3519" s="568">
        <v>4621</v>
      </c>
      <c r="H3519" s="568">
        <v>14080</v>
      </c>
      <c r="I3519" s="559" t="str">
        <f t="shared" si="52"/>
        <v>GooD</v>
      </c>
    </row>
    <row r="3520" spans="1:9">
      <c r="A3520" s="563" t="s">
        <v>639</v>
      </c>
      <c r="B3520" s="563">
        <v>132000</v>
      </c>
      <c r="C3520" s="564">
        <v>18</v>
      </c>
      <c r="D3520" s="564">
        <v>0.315</v>
      </c>
      <c r="E3520" s="564">
        <v>62383</v>
      </c>
      <c r="F3520" s="564">
        <v>194383</v>
      </c>
      <c r="G3520" s="564">
        <v>6931</v>
      </c>
      <c r="H3520" s="564">
        <v>10414</v>
      </c>
      <c r="I3520" s="557" t="str">
        <f t="shared" si="52"/>
        <v>GooD</v>
      </c>
    </row>
    <row r="3521" spans="1:9" ht="15.75" thickBot="1">
      <c r="A3521" s="565" t="s">
        <v>639</v>
      </c>
      <c r="B3521" s="565">
        <v>132000</v>
      </c>
      <c r="C3521" s="566">
        <v>24</v>
      </c>
      <c r="D3521" s="566">
        <v>0.315</v>
      </c>
      <c r="E3521" s="566">
        <v>83161</v>
      </c>
      <c r="F3521" s="566">
        <v>215161</v>
      </c>
      <c r="G3521" s="566">
        <v>9241</v>
      </c>
      <c r="H3521" s="566">
        <v>8580</v>
      </c>
      <c r="I3521" s="558" t="str">
        <f t="shared" si="52"/>
        <v>GooD</v>
      </c>
    </row>
    <row r="3522" spans="1:9" ht="15.75" thickTop="1">
      <c r="A3522" s="567" t="s">
        <v>639</v>
      </c>
      <c r="B3522" s="567">
        <v>133000</v>
      </c>
      <c r="C3522" s="568">
        <v>12</v>
      </c>
      <c r="D3522" s="568">
        <v>0.315</v>
      </c>
      <c r="E3522" s="568">
        <v>41900</v>
      </c>
      <c r="F3522" s="568">
        <v>174900</v>
      </c>
      <c r="G3522" s="568">
        <v>4656</v>
      </c>
      <c r="H3522" s="568">
        <v>14187</v>
      </c>
      <c r="I3522" s="559" t="str">
        <f t="shared" si="52"/>
        <v>GooD</v>
      </c>
    </row>
    <row r="3523" spans="1:9">
      <c r="A3523" s="563" t="s">
        <v>639</v>
      </c>
      <c r="B3523" s="563">
        <v>133000</v>
      </c>
      <c r="C3523" s="564">
        <v>18</v>
      </c>
      <c r="D3523" s="564">
        <v>0.315</v>
      </c>
      <c r="E3523" s="564">
        <v>62857</v>
      </c>
      <c r="F3523" s="564">
        <v>195857</v>
      </c>
      <c r="G3523" s="564">
        <v>6983</v>
      </c>
      <c r="H3523" s="564">
        <v>10493</v>
      </c>
      <c r="I3523" s="557" t="str">
        <f t="shared" si="52"/>
        <v>GooD</v>
      </c>
    </row>
    <row r="3524" spans="1:9" ht="15.75" thickBot="1">
      <c r="A3524" s="565" t="s">
        <v>639</v>
      </c>
      <c r="B3524" s="565">
        <v>133000</v>
      </c>
      <c r="C3524" s="566">
        <v>24</v>
      </c>
      <c r="D3524" s="566">
        <v>0.315</v>
      </c>
      <c r="E3524" s="566">
        <v>83791</v>
      </c>
      <c r="F3524" s="566">
        <v>216791</v>
      </c>
      <c r="G3524" s="566">
        <v>9311</v>
      </c>
      <c r="H3524" s="566">
        <v>8645</v>
      </c>
      <c r="I3524" s="558" t="str">
        <f t="shared" si="52"/>
        <v>GooD</v>
      </c>
    </row>
    <row r="3525" spans="1:9" ht="15.75" thickTop="1">
      <c r="A3525" s="567" t="s">
        <v>639</v>
      </c>
      <c r="B3525" s="567">
        <v>134000</v>
      </c>
      <c r="C3525" s="568">
        <v>12</v>
      </c>
      <c r="D3525" s="568">
        <v>0.315</v>
      </c>
      <c r="E3525" s="568">
        <v>42219</v>
      </c>
      <c r="F3525" s="568">
        <v>176219</v>
      </c>
      <c r="G3525" s="568">
        <v>4691</v>
      </c>
      <c r="H3525" s="568">
        <v>14294</v>
      </c>
      <c r="I3525" s="559" t="str">
        <f t="shared" si="52"/>
        <v>GooD</v>
      </c>
    </row>
    <row r="3526" spans="1:9">
      <c r="A3526" s="563" t="s">
        <v>639</v>
      </c>
      <c r="B3526" s="563">
        <v>134000</v>
      </c>
      <c r="C3526" s="564">
        <v>18</v>
      </c>
      <c r="D3526" s="564">
        <v>0.315</v>
      </c>
      <c r="E3526" s="564">
        <v>63332</v>
      </c>
      <c r="F3526" s="564">
        <v>197332</v>
      </c>
      <c r="G3526" s="564">
        <v>7036</v>
      </c>
      <c r="H3526" s="564">
        <v>10572</v>
      </c>
      <c r="I3526" s="557" t="str">
        <f t="shared" si="52"/>
        <v>GooD</v>
      </c>
    </row>
    <row r="3527" spans="1:9" ht="15.75" thickBot="1">
      <c r="A3527" s="565" t="s">
        <v>639</v>
      </c>
      <c r="B3527" s="565">
        <v>134000</v>
      </c>
      <c r="C3527" s="566">
        <v>24</v>
      </c>
      <c r="D3527" s="566">
        <v>0.315</v>
      </c>
      <c r="E3527" s="566">
        <v>84421</v>
      </c>
      <c r="F3527" s="566">
        <v>218421</v>
      </c>
      <c r="G3527" s="566">
        <v>9381</v>
      </c>
      <c r="H3527" s="566">
        <v>8710</v>
      </c>
      <c r="I3527" s="558" t="str">
        <f t="shared" si="52"/>
        <v>GooD</v>
      </c>
    </row>
    <row r="3528" spans="1:9" ht="15.75" thickTop="1">
      <c r="A3528" s="567" t="s">
        <v>639</v>
      </c>
      <c r="B3528" s="567">
        <v>135000</v>
      </c>
      <c r="C3528" s="568">
        <v>12</v>
      </c>
      <c r="D3528" s="568">
        <v>0.315</v>
      </c>
      <c r="E3528" s="568">
        <v>42526</v>
      </c>
      <c r="F3528" s="568">
        <v>177526</v>
      </c>
      <c r="G3528" s="568">
        <v>4726</v>
      </c>
      <c r="H3528" s="568">
        <v>14400</v>
      </c>
      <c r="I3528" s="559" t="str">
        <f t="shared" si="52"/>
        <v>GooD</v>
      </c>
    </row>
    <row r="3529" spans="1:9">
      <c r="A3529" s="563" t="s">
        <v>639</v>
      </c>
      <c r="B3529" s="563">
        <v>135000</v>
      </c>
      <c r="C3529" s="564">
        <v>18</v>
      </c>
      <c r="D3529" s="564">
        <v>0.315</v>
      </c>
      <c r="E3529" s="564">
        <v>63788</v>
      </c>
      <c r="F3529" s="564">
        <v>198788</v>
      </c>
      <c r="G3529" s="564">
        <v>7088</v>
      </c>
      <c r="H3529" s="564">
        <v>10650</v>
      </c>
      <c r="I3529" s="557" t="str">
        <f t="shared" si="52"/>
        <v>GooD</v>
      </c>
    </row>
    <row r="3530" spans="1:9" ht="15.75" thickBot="1">
      <c r="A3530" s="565" t="s">
        <v>639</v>
      </c>
      <c r="B3530" s="565">
        <v>135000</v>
      </c>
      <c r="C3530" s="566">
        <v>24</v>
      </c>
      <c r="D3530" s="566">
        <v>0.315</v>
      </c>
      <c r="E3530" s="566">
        <v>85051</v>
      </c>
      <c r="F3530" s="566">
        <v>220051</v>
      </c>
      <c r="G3530" s="566">
        <v>9451</v>
      </c>
      <c r="H3530" s="566">
        <v>8775</v>
      </c>
      <c r="I3530" s="558" t="str">
        <f t="shared" si="52"/>
        <v>GooD</v>
      </c>
    </row>
    <row r="3531" spans="1:9" ht="15.75" thickTop="1">
      <c r="A3531" s="567" t="s">
        <v>639</v>
      </c>
      <c r="B3531" s="567">
        <v>136000</v>
      </c>
      <c r="C3531" s="568">
        <v>12</v>
      </c>
      <c r="D3531" s="568">
        <v>0.315</v>
      </c>
      <c r="E3531" s="568">
        <v>42845</v>
      </c>
      <c r="F3531" s="568">
        <v>178845</v>
      </c>
      <c r="G3531" s="568">
        <v>4761</v>
      </c>
      <c r="H3531" s="568">
        <v>14507</v>
      </c>
      <c r="I3531" s="559" t="str">
        <f t="shared" si="52"/>
        <v>GooD</v>
      </c>
    </row>
    <row r="3532" spans="1:9">
      <c r="A3532" s="563" t="s">
        <v>639</v>
      </c>
      <c r="B3532" s="563">
        <v>136000</v>
      </c>
      <c r="C3532" s="564">
        <v>18</v>
      </c>
      <c r="D3532" s="564">
        <v>0.315</v>
      </c>
      <c r="E3532" s="564">
        <v>64263</v>
      </c>
      <c r="F3532" s="564">
        <v>200263</v>
      </c>
      <c r="G3532" s="564">
        <v>7141</v>
      </c>
      <c r="H3532" s="564">
        <v>10729</v>
      </c>
      <c r="I3532" s="557" t="str">
        <f t="shared" si="52"/>
        <v>GooD</v>
      </c>
    </row>
    <row r="3533" spans="1:9" ht="15.75" thickBot="1">
      <c r="A3533" s="565" t="s">
        <v>639</v>
      </c>
      <c r="B3533" s="565">
        <v>136000</v>
      </c>
      <c r="C3533" s="566">
        <v>24</v>
      </c>
      <c r="D3533" s="566">
        <v>0.315</v>
      </c>
      <c r="E3533" s="566">
        <v>85681</v>
      </c>
      <c r="F3533" s="566">
        <v>221681</v>
      </c>
      <c r="G3533" s="566">
        <v>9521</v>
      </c>
      <c r="H3533" s="566">
        <v>8840</v>
      </c>
      <c r="I3533" s="558" t="str">
        <f t="shared" si="52"/>
        <v>GooD</v>
      </c>
    </row>
    <row r="3534" spans="1:9" ht="15.75" thickTop="1">
      <c r="A3534" s="567" t="s">
        <v>639</v>
      </c>
      <c r="B3534" s="567">
        <v>137000</v>
      </c>
      <c r="C3534" s="568">
        <v>12</v>
      </c>
      <c r="D3534" s="568">
        <v>0.315</v>
      </c>
      <c r="E3534" s="568">
        <v>43164</v>
      </c>
      <c r="F3534" s="568">
        <v>180164</v>
      </c>
      <c r="G3534" s="568">
        <v>4796</v>
      </c>
      <c r="H3534" s="568">
        <v>14614</v>
      </c>
      <c r="I3534" s="559" t="str">
        <f t="shared" si="52"/>
        <v>GooD</v>
      </c>
    </row>
    <row r="3535" spans="1:9">
      <c r="A3535" s="563" t="s">
        <v>639</v>
      </c>
      <c r="B3535" s="563">
        <v>137000</v>
      </c>
      <c r="C3535" s="564">
        <v>18</v>
      </c>
      <c r="D3535" s="564">
        <v>0.315</v>
      </c>
      <c r="E3535" s="564">
        <v>64737</v>
      </c>
      <c r="F3535" s="564">
        <v>201737</v>
      </c>
      <c r="G3535" s="564">
        <v>7193</v>
      </c>
      <c r="H3535" s="564">
        <v>10808</v>
      </c>
      <c r="I3535" s="557" t="str">
        <f t="shared" si="52"/>
        <v>GooD</v>
      </c>
    </row>
    <row r="3536" spans="1:9" ht="15.75" thickBot="1">
      <c r="A3536" s="565" t="s">
        <v>639</v>
      </c>
      <c r="B3536" s="565">
        <v>137000</v>
      </c>
      <c r="C3536" s="566">
        <v>24</v>
      </c>
      <c r="D3536" s="566">
        <v>0.315</v>
      </c>
      <c r="E3536" s="566">
        <v>86311</v>
      </c>
      <c r="F3536" s="566">
        <v>223311</v>
      </c>
      <c r="G3536" s="566">
        <v>9591</v>
      </c>
      <c r="H3536" s="566">
        <v>8905</v>
      </c>
      <c r="I3536" s="558" t="str">
        <f t="shared" si="52"/>
        <v>GooD</v>
      </c>
    </row>
    <row r="3537" spans="1:9" ht="15.75" thickTop="1">
      <c r="A3537" s="567" t="s">
        <v>639</v>
      </c>
      <c r="B3537" s="567">
        <v>138000</v>
      </c>
      <c r="C3537" s="568">
        <v>12</v>
      </c>
      <c r="D3537" s="568">
        <v>0.315</v>
      </c>
      <c r="E3537" s="568">
        <v>43471</v>
      </c>
      <c r="F3537" s="568">
        <v>181471</v>
      </c>
      <c r="G3537" s="568">
        <v>4831</v>
      </c>
      <c r="H3537" s="568">
        <v>14720</v>
      </c>
      <c r="I3537" s="559" t="str">
        <f t="shared" ref="I3537:I3600" si="53">IF(((H3537*C3537)+G3537)=F3537,"GooD","لالالالالالالا")</f>
        <v>GooD</v>
      </c>
    </row>
    <row r="3538" spans="1:9">
      <c r="A3538" s="563" t="s">
        <v>639</v>
      </c>
      <c r="B3538" s="563">
        <v>138000</v>
      </c>
      <c r="C3538" s="564">
        <v>18</v>
      </c>
      <c r="D3538" s="564">
        <v>0.315</v>
      </c>
      <c r="E3538" s="564">
        <v>65212</v>
      </c>
      <c r="F3538" s="564">
        <v>203212</v>
      </c>
      <c r="G3538" s="564">
        <v>7246</v>
      </c>
      <c r="H3538" s="564">
        <v>10887</v>
      </c>
      <c r="I3538" s="557" t="str">
        <f t="shared" si="53"/>
        <v>GooD</v>
      </c>
    </row>
    <row r="3539" spans="1:9" ht="15.75" thickBot="1">
      <c r="A3539" s="565" t="s">
        <v>639</v>
      </c>
      <c r="B3539" s="565">
        <v>138000</v>
      </c>
      <c r="C3539" s="566">
        <v>24</v>
      </c>
      <c r="D3539" s="566">
        <v>0.315</v>
      </c>
      <c r="E3539" s="566">
        <v>86941</v>
      </c>
      <c r="F3539" s="566">
        <v>224941</v>
      </c>
      <c r="G3539" s="566">
        <v>9661</v>
      </c>
      <c r="H3539" s="566">
        <v>8970</v>
      </c>
      <c r="I3539" s="558" t="str">
        <f t="shared" si="53"/>
        <v>GooD</v>
      </c>
    </row>
    <row r="3540" spans="1:9" ht="15.75" thickTop="1">
      <c r="A3540" s="567" t="s">
        <v>639</v>
      </c>
      <c r="B3540" s="567">
        <v>139000</v>
      </c>
      <c r="C3540" s="568">
        <v>12</v>
      </c>
      <c r="D3540" s="568">
        <v>0.315</v>
      </c>
      <c r="E3540" s="568">
        <v>43790</v>
      </c>
      <c r="F3540" s="568">
        <v>182790</v>
      </c>
      <c r="G3540" s="568">
        <v>4866</v>
      </c>
      <c r="H3540" s="568">
        <v>14827</v>
      </c>
      <c r="I3540" s="559" t="str">
        <f t="shared" si="53"/>
        <v>GooD</v>
      </c>
    </row>
    <row r="3541" spans="1:9">
      <c r="A3541" s="563" t="s">
        <v>639</v>
      </c>
      <c r="B3541" s="563">
        <v>139000</v>
      </c>
      <c r="C3541" s="564">
        <v>18</v>
      </c>
      <c r="D3541" s="564">
        <v>0.315</v>
      </c>
      <c r="E3541" s="564">
        <v>65686</v>
      </c>
      <c r="F3541" s="564">
        <v>204686</v>
      </c>
      <c r="G3541" s="564">
        <v>7298</v>
      </c>
      <c r="H3541" s="564">
        <v>10966</v>
      </c>
      <c r="I3541" s="557" t="str">
        <f t="shared" si="53"/>
        <v>GooD</v>
      </c>
    </row>
    <row r="3542" spans="1:9" ht="15.75" thickBot="1">
      <c r="A3542" s="565" t="s">
        <v>639</v>
      </c>
      <c r="B3542" s="565">
        <v>139000</v>
      </c>
      <c r="C3542" s="566">
        <v>24</v>
      </c>
      <c r="D3542" s="566">
        <v>0.315</v>
      </c>
      <c r="E3542" s="566">
        <v>87571</v>
      </c>
      <c r="F3542" s="566">
        <v>226571</v>
      </c>
      <c r="G3542" s="566">
        <v>9731</v>
      </c>
      <c r="H3542" s="566">
        <v>9035</v>
      </c>
      <c r="I3542" s="558" t="str">
        <f t="shared" si="53"/>
        <v>GooD</v>
      </c>
    </row>
    <row r="3543" spans="1:9" ht="15.75" thickTop="1">
      <c r="A3543" s="567" t="s">
        <v>639</v>
      </c>
      <c r="B3543" s="567">
        <v>140000</v>
      </c>
      <c r="C3543" s="568">
        <v>12</v>
      </c>
      <c r="D3543" s="568">
        <v>0.315</v>
      </c>
      <c r="E3543" s="568">
        <v>44109</v>
      </c>
      <c r="F3543" s="568">
        <v>184109</v>
      </c>
      <c r="G3543" s="568">
        <v>4901</v>
      </c>
      <c r="H3543" s="568">
        <v>14934</v>
      </c>
      <c r="I3543" s="559" t="str">
        <f t="shared" si="53"/>
        <v>GooD</v>
      </c>
    </row>
    <row r="3544" spans="1:9">
      <c r="A3544" s="563" t="s">
        <v>639</v>
      </c>
      <c r="B3544" s="563">
        <v>140000</v>
      </c>
      <c r="C3544" s="564">
        <v>18</v>
      </c>
      <c r="D3544" s="564">
        <v>0.315</v>
      </c>
      <c r="E3544" s="564">
        <v>66161</v>
      </c>
      <c r="F3544" s="564">
        <v>206161</v>
      </c>
      <c r="G3544" s="564">
        <v>7351</v>
      </c>
      <c r="H3544" s="564">
        <v>11045</v>
      </c>
      <c r="I3544" s="557" t="str">
        <f t="shared" si="53"/>
        <v>GooD</v>
      </c>
    </row>
    <row r="3545" spans="1:9" ht="15.75" thickBot="1">
      <c r="A3545" s="565" t="s">
        <v>639</v>
      </c>
      <c r="B3545" s="565">
        <v>140000</v>
      </c>
      <c r="C3545" s="566">
        <v>24</v>
      </c>
      <c r="D3545" s="566">
        <v>0.315</v>
      </c>
      <c r="E3545" s="566">
        <v>88201</v>
      </c>
      <c r="F3545" s="566">
        <v>228201</v>
      </c>
      <c r="G3545" s="566">
        <v>9801</v>
      </c>
      <c r="H3545" s="566">
        <v>9100</v>
      </c>
      <c r="I3545" s="558" t="str">
        <f t="shared" si="53"/>
        <v>GooD</v>
      </c>
    </row>
    <row r="3546" spans="1:9" ht="15.75" thickTop="1">
      <c r="A3546" s="567" t="s">
        <v>639</v>
      </c>
      <c r="B3546" s="567">
        <v>141000</v>
      </c>
      <c r="C3546" s="568">
        <v>12</v>
      </c>
      <c r="D3546" s="568">
        <v>0.315</v>
      </c>
      <c r="E3546" s="568">
        <v>44416</v>
      </c>
      <c r="F3546" s="568">
        <v>185416</v>
      </c>
      <c r="G3546" s="568">
        <v>4936</v>
      </c>
      <c r="H3546" s="568">
        <v>15040</v>
      </c>
      <c r="I3546" s="559" t="str">
        <f t="shared" si="53"/>
        <v>GooD</v>
      </c>
    </row>
    <row r="3547" spans="1:9">
      <c r="A3547" s="563" t="s">
        <v>639</v>
      </c>
      <c r="B3547" s="563">
        <v>141000</v>
      </c>
      <c r="C3547" s="564">
        <v>18</v>
      </c>
      <c r="D3547" s="564">
        <v>0.315</v>
      </c>
      <c r="E3547" s="564">
        <v>66635</v>
      </c>
      <c r="F3547" s="564">
        <v>207635</v>
      </c>
      <c r="G3547" s="564">
        <v>7403</v>
      </c>
      <c r="H3547" s="564">
        <v>11124</v>
      </c>
      <c r="I3547" s="557" t="str">
        <f t="shared" si="53"/>
        <v>GooD</v>
      </c>
    </row>
    <row r="3548" spans="1:9" ht="15.75" thickBot="1">
      <c r="A3548" s="565" t="s">
        <v>639</v>
      </c>
      <c r="B3548" s="565">
        <v>141000</v>
      </c>
      <c r="C3548" s="566">
        <v>24</v>
      </c>
      <c r="D3548" s="566">
        <v>0.315</v>
      </c>
      <c r="E3548" s="566">
        <v>88831</v>
      </c>
      <c r="F3548" s="566">
        <v>229831</v>
      </c>
      <c r="G3548" s="566">
        <v>9871</v>
      </c>
      <c r="H3548" s="566">
        <v>9165</v>
      </c>
      <c r="I3548" s="558" t="str">
        <f t="shared" si="53"/>
        <v>GooD</v>
      </c>
    </row>
    <row r="3549" spans="1:9" ht="15.75" thickTop="1">
      <c r="A3549" s="567" t="s">
        <v>639</v>
      </c>
      <c r="B3549" s="567">
        <v>142000</v>
      </c>
      <c r="C3549" s="568">
        <v>12</v>
      </c>
      <c r="D3549" s="568">
        <v>0.315</v>
      </c>
      <c r="E3549" s="568">
        <v>44735</v>
      </c>
      <c r="F3549" s="568">
        <v>186735</v>
      </c>
      <c r="G3549" s="568">
        <v>4971</v>
      </c>
      <c r="H3549" s="568">
        <v>15147</v>
      </c>
      <c r="I3549" s="559" t="str">
        <f t="shared" si="53"/>
        <v>GooD</v>
      </c>
    </row>
    <row r="3550" spans="1:9">
      <c r="A3550" s="563" t="s">
        <v>639</v>
      </c>
      <c r="B3550" s="563">
        <v>142000</v>
      </c>
      <c r="C3550" s="564">
        <v>18</v>
      </c>
      <c r="D3550" s="564">
        <v>0.315</v>
      </c>
      <c r="E3550" s="564">
        <v>67110</v>
      </c>
      <c r="F3550" s="564">
        <v>209110</v>
      </c>
      <c r="G3550" s="564">
        <v>7456</v>
      </c>
      <c r="H3550" s="564">
        <v>11203</v>
      </c>
      <c r="I3550" s="557" t="str">
        <f t="shared" si="53"/>
        <v>GooD</v>
      </c>
    </row>
    <row r="3551" spans="1:9" ht="15.75" thickBot="1">
      <c r="A3551" s="565" t="s">
        <v>639</v>
      </c>
      <c r="B3551" s="565">
        <v>142000</v>
      </c>
      <c r="C3551" s="566">
        <v>24</v>
      </c>
      <c r="D3551" s="566">
        <v>0.315</v>
      </c>
      <c r="E3551" s="566">
        <v>89461</v>
      </c>
      <c r="F3551" s="566">
        <v>231461</v>
      </c>
      <c r="G3551" s="566">
        <v>9941</v>
      </c>
      <c r="H3551" s="566">
        <v>9230</v>
      </c>
      <c r="I3551" s="558" t="str">
        <f t="shared" si="53"/>
        <v>GooD</v>
      </c>
    </row>
    <row r="3552" spans="1:9" ht="15.75" thickTop="1">
      <c r="A3552" s="567" t="s">
        <v>639</v>
      </c>
      <c r="B3552" s="567">
        <v>143000</v>
      </c>
      <c r="C3552" s="568">
        <v>12</v>
      </c>
      <c r="D3552" s="568">
        <v>0.315</v>
      </c>
      <c r="E3552" s="568">
        <v>45054</v>
      </c>
      <c r="F3552" s="568">
        <v>188054</v>
      </c>
      <c r="G3552" s="568">
        <v>5006</v>
      </c>
      <c r="H3552" s="568">
        <v>15254</v>
      </c>
      <c r="I3552" s="559" t="str">
        <f t="shared" si="53"/>
        <v>GooD</v>
      </c>
    </row>
    <row r="3553" spans="1:9">
      <c r="A3553" s="563" t="s">
        <v>639</v>
      </c>
      <c r="B3553" s="563">
        <v>143000</v>
      </c>
      <c r="C3553" s="564">
        <v>18</v>
      </c>
      <c r="D3553" s="564">
        <v>0.315</v>
      </c>
      <c r="E3553" s="564">
        <v>67584</v>
      </c>
      <c r="F3553" s="564">
        <v>210584</v>
      </c>
      <c r="G3553" s="564">
        <v>7508</v>
      </c>
      <c r="H3553" s="564">
        <v>11282</v>
      </c>
      <c r="I3553" s="557" t="str">
        <f t="shared" si="53"/>
        <v>GooD</v>
      </c>
    </row>
    <row r="3554" spans="1:9" ht="15.75" thickBot="1">
      <c r="A3554" s="565" t="s">
        <v>639</v>
      </c>
      <c r="B3554" s="565">
        <v>143000</v>
      </c>
      <c r="C3554" s="566">
        <v>24</v>
      </c>
      <c r="D3554" s="566">
        <v>0.315</v>
      </c>
      <c r="E3554" s="566">
        <v>90091</v>
      </c>
      <c r="F3554" s="566">
        <v>233091</v>
      </c>
      <c r="G3554" s="566">
        <v>10011</v>
      </c>
      <c r="H3554" s="566">
        <v>9295</v>
      </c>
      <c r="I3554" s="558" t="str">
        <f t="shared" si="53"/>
        <v>GooD</v>
      </c>
    </row>
    <row r="3555" spans="1:9" ht="15.75" thickTop="1">
      <c r="A3555" s="567" t="s">
        <v>639</v>
      </c>
      <c r="B3555" s="567">
        <v>144000</v>
      </c>
      <c r="C3555" s="568">
        <v>12</v>
      </c>
      <c r="D3555" s="568">
        <v>0.315</v>
      </c>
      <c r="E3555" s="568">
        <v>45361</v>
      </c>
      <c r="F3555" s="568">
        <v>189361</v>
      </c>
      <c r="G3555" s="568">
        <v>5041</v>
      </c>
      <c r="H3555" s="568">
        <v>15360</v>
      </c>
      <c r="I3555" s="559" t="str">
        <f t="shared" si="53"/>
        <v>GooD</v>
      </c>
    </row>
    <row r="3556" spans="1:9">
      <c r="A3556" s="563" t="s">
        <v>639</v>
      </c>
      <c r="B3556" s="563">
        <v>144000</v>
      </c>
      <c r="C3556" s="564">
        <v>18</v>
      </c>
      <c r="D3556" s="564">
        <v>0.315</v>
      </c>
      <c r="E3556" s="564">
        <v>68041</v>
      </c>
      <c r="F3556" s="564">
        <v>212041</v>
      </c>
      <c r="G3556" s="564">
        <v>7561</v>
      </c>
      <c r="H3556" s="564">
        <v>11360</v>
      </c>
      <c r="I3556" s="557" t="str">
        <f t="shared" si="53"/>
        <v>GooD</v>
      </c>
    </row>
    <row r="3557" spans="1:9" ht="15.75" thickBot="1">
      <c r="A3557" s="565" t="s">
        <v>639</v>
      </c>
      <c r="B3557" s="565">
        <v>144000</v>
      </c>
      <c r="C3557" s="566">
        <v>24</v>
      </c>
      <c r="D3557" s="566">
        <v>0.315</v>
      </c>
      <c r="E3557" s="566">
        <v>90721</v>
      </c>
      <c r="F3557" s="566">
        <v>234721</v>
      </c>
      <c r="G3557" s="566">
        <v>10081</v>
      </c>
      <c r="H3557" s="566">
        <v>9360</v>
      </c>
      <c r="I3557" s="558" t="str">
        <f t="shared" si="53"/>
        <v>GooD</v>
      </c>
    </row>
    <row r="3558" spans="1:9" ht="15.75" thickTop="1">
      <c r="A3558" s="567" t="s">
        <v>639</v>
      </c>
      <c r="B3558" s="567">
        <v>145000</v>
      </c>
      <c r="C3558" s="568">
        <v>12</v>
      </c>
      <c r="D3558" s="568">
        <v>0.315</v>
      </c>
      <c r="E3558" s="568">
        <v>45680</v>
      </c>
      <c r="F3558" s="568">
        <v>190680</v>
      </c>
      <c r="G3558" s="568">
        <v>5076</v>
      </c>
      <c r="H3558" s="568">
        <v>15467</v>
      </c>
      <c r="I3558" s="559" t="str">
        <f t="shared" si="53"/>
        <v>GooD</v>
      </c>
    </row>
    <row r="3559" spans="1:9">
      <c r="A3559" s="563" t="s">
        <v>639</v>
      </c>
      <c r="B3559" s="563">
        <v>145000</v>
      </c>
      <c r="C3559" s="564">
        <v>18</v>
      </c>
      <c r="D3559" s="564">
        <v>0.315</v>
      </c>
      <c r="E3559" s="564">
        <v>68515</v>
      </c>
      <c r="F3559" s="564">
        <v>213515</v>
      </c>
      <c r="G3559" s="564">
        <v>7613</v>
      </c>
      <c r="H3559" s="564">
        <v>11439</v>
      </c>
      <c r="I3559" s="557" t="str">
        <f t="shared" si="53"/>
        <v>GooD</v>
      </c>
    </row>
    <row r="3560" spans="1:9" ht="15.75" thickBot="1">
      <c r="A3560" s="565" t="s">
        <v>639</v>
      </c>
      <c r="B3560" s="565">
        <v>145000</v>
      </c>
      <c r="C3560" s="566">
        <v>24</v>
      </c>
      <c r="D3560" s="566">
        <v>0.315</v>
      </c>
      <c r="E3560" s="566">
        <v>91351</v>
      </c>
      <c r="F3560" s="566">
        <v>236351</v>
      </c>
      <c r="G3560" s="566">
        <v>10151</v>
      </c>
      <c r="H3560" s="566">
        <v>9425</v>
      </c>
      <c r="I3560" s="558" t="str">
        <f t="shared" si="53"/>
        <v>GooD</v>
      </c>
    </row>
    <row r="3561" spans="1:9" ht="15.75" thickTop="1">
      <c r="A3561" s="567" t="s">
        <v>639</v>
      </c>
      <c r="B3561" s="567">
        <v>146000</v>
      </c>
      <c r="C3561" s="568">
        <v>12</v>
      </c>
      <c r="D3561" s="568">
        <v>0.315</v>
      </c>
      <c r="E3561" s="568">
        <v>45999</v>
      </c>
      <c r="F3561" s="568">
        <v>191999</v>
      </c>
      <c r="G3561" s="568">
        <v>5111</v>
      </c>
      <c r="H3561" s="568">
        <v>15574</v>
      </c>
      <c r="I3561" s="559" t="str">
        <f t="shared" si="53"/>
        <v>GooD</v>
      </c>
    </row>
    <row r="3562" spans="1:9">
      <c r="A3562" s="563" t="s">
        <v>639</v>
      </c>
      <c r="B3562" s="563">
        <v>146000</v>
      </c>
      <c r="C3562" s="564">
        <v>18</v>
      </c>
      <c r="D3562" s="564">
        <v>0.315</v>
      </c>
      <c r="E3562" s="564">
        <v>68990</v>
      </c>
      <c r="F3562" s="564">
        <v>214990</v>
      </c>
      <c r="G3562" s="564">
        <v>7666</v>
      </c>
      <c r="H3562" s="564">
        <v>11518</v>
      </c>
      <c r="I3562" s="557" t="str">
        <f t="shared" si="53"/>
        <v>GooD</v>
      </c>
    </row>
    <row r="3563" spans="1:9" ht="15.75" thickBot="1">
      <c r="A3563" s="565" t="s">
        <v>639</v>
      </c>
      <c r="B3563" s="565">
        <v>146000</v>
      </c>
      <c r="C3563" s="566">
        <v>24</v>
      </c>
      <c r="D3563" s="566">
        <v>0.315</v>
      </c>
      <c r="E3563" s="566">
        <v>91981</v>
      </c>
      <c r="F3563" s="566">
        <v>237981</v>
      </c>
      <c r="G3563" s="566">
        <v>10221</v>
      </c>
      <c r="H3563" s="566">
        <v>9490</v>
      </c>
      <c r="I3563" s="558" t="str">
        <f t="shared" si="53"/>
        <v>GooD</v>
      </c>
    </row>
    <row r="3564" spans="1:9" ht="15.75" thickTop="1">
      <c r="A3564" s="567" t="s">
        <v>639</v>
      </c>
      <c r="B3564" s="567">
        <v>147000</v>
      </c>
      <c r="C3564" s="568">
        <v>12</v>
      </c>
      <c r="D3564" s="568">
        <v>0.315</v>
      </c>
      <c r="E3564" s="568">
        <v>46306</v>
      </c>
      <c r="F3564" s="568">
        <v>193306</v>
      </c>
      <c r="G3564" s="568">
        <v>5146</v>
      </c>
      <c r="H3564" s="568">
        <v>15680</v>
      </c>
      <c r="I3564" s="559" t="str">
        <f t="shared" si="53"/>
        <v>GooD</v>
      </c>
    </row>
    <row r="3565" spans="1:9">
      <c r="A3565" s="563" t="s">
        <v>639</v>
      </c>
      <c r="B3565" s="563">
        <v>147000</v>
      </c>
      <c r="C3565" s="564">
        <v>18</v>
      </c>
      <c r="D3565" s="564">
        <v>0.315</v>
      </c>
      <c r="E3565" s="564">
        <v>69464</v>
      </c>
      <c r="F3565" s="564">
        <v>216464</v>
      </c>
      <c r="G3565" s="564">
        <v>7718</v>
      </c>
      <c r="H3565" s="564">
        <v>11597</v>
      </c>
      <c r="I3565" s="557" t="str">
        <f t="shared" si="53"/>
        <v>GooD</v>
      </c>
    </row>
    <row r="3566" spans="1:9" ht="15.75" thickBot="1">
      <c r="A3566" s="565" t="s">
        <v>639</v>
      </c>
      <c r="B3566" s="565">
        <v>147000</v>
      </c>
      <c r="C3566" s="566">
        <v>24</v>
      </c>
      <c r="D3566" s="566">
        <v>0.315</v>
      </c>
      <c r="E3566" s="566">
        <v>92611</v>
      </c>
      <c r="F3566" s="566">
        <v>239611</v>
      </c>
      <c r="G3566" s="566">
        <v>10291</v>
      </c>
      <c r="H3566" s="566">
        <v>9555</v>
      </c>
      <c r="I3566" s="558" t="str">
        <f t="shared" si="53"/>
        <v>GooD</v>
      </c>
    </row>
    <row r="3567" spans="1:9" ht="15.75" thickTop="1">
      <c r="A3567" s="567" t="s">
        <v>639</v>
      </c>
      <c r="B3567" s="567">
        <v>148000</v>
      </c>
      <c r="C3567" s="568">
        <v>12</v>
      </c>
      <c r="D3567" s="568">
        <v>0.315</v>
      </c>
      <c r="E3567" s="568">
        <v>46625</v>
      </c>
      <c r="F3567" s="568">
        <v>194625</v>
      </c>
      <c r="G3567" s="568">
        <v>5181</v>
      </c>
      <c r="H3567" s="568">
        <v>15787</v>
      </c>
      <c r="I3567" s="559" t="str">
        <f t="shared" si="53"/>
        <v>GooD</v>
      </c>
    </row>
    <row r="3568" spans="1:9">
      <c r="A3568" s="563" t="s">
        <v>639</v>
      </c>
      <c r="B3568" s="563">
        <v>148000</v>
      </c>
      <c r="C3568" s="564">
        <v>18</v>
      </c>
      <c r="D3568" s="564">
        <v>0.315</v>
      </c>
      <c r="E3568" s="564">
        <v>69939</v>
      </c>
      <c r="F3568" s="564">
        <v>217939</v>
      </c>
      <c r="G3568" s="564">
        <v>7771</v>
      </c>
      <c r="H3568" s="564">
        <v>11676</v>
      </c>
      <c r="I3568" s="557" t="str">
        <f t="shared" si="53"/>
        <v>GooD</v>
      </c>
    </row>
    <row r="3569" spans="1:9" ht="15.75" thickBot="1">
      <c r="A3569" s="565" t="s">
        <v>639</v>
      </c>
      <c r="B3569" s="565">
        <v>148000</v>
      </c>
      <c r="C3569" s="566">
        <v>24</v>
      </c>
      <c r="D3569" s="566">
        <v>0.315</v>
      </c>
      <c r="E3569" s="566">
        <v>93241</v>
      </c>
      <c r="F3569" s="566">
        <v>241241</v>
      </c>
      <c r="G3569" s="566">
        <v>10361</v>
      </c>
      <c r="H3569" s="566">
        <v>9620</v>
      </c>
      <c r="I3569" s="558" t="str">
        <f t="shared" si="53"/>
        <v>GooD</v>
      </c>
    </row>
    <row r="3570" spans="1:9" ht="15.75" thickTop="1">
      <c r="A3570" s="567" t="s">
        <v>639</v>
      </c>
      <c r="B3570" s="567">
        <v>149000</v>
      </c>
      <c r="C3570" s="568">
        <v>12</v>
      </c>
      <c r="D3570" s="568">
        <v>0.315</v>
      </c>
      <c r="E3570" s="568">
        <v>46944</v>
      </c>
      <c r="F3570" s="568">
        <v>195944</v>
      </c>
      <c r="G3570" s="568">
        <v>5216</v>
      </c>
      <c r="H3570" s="568">
        <v>15894</v>
      </c>
      <c r="I3570" s="559" t="str">
        <f t="shared" si="53"/>
        <v>GooD</v>
      </c>
    </row>
    <row r="3571" spans="1:9">
      <c r="A3571" s="563" t="s">
        <v>639</v>
      </c>
      <c r="B3571" s="563">
        <v>149000</v>
      </c>
      <c r="C3571" s="564">
        <v>18</v>
      </c>
      <c r="D3571" s="564">
        <v>0.315</v>
      </c>
      <c r="E3571" s="564">
        <v>70413</v>
      </c>
      <c r="F3571" s="564">
        <v>219413</v>
      </c>
      <c r="G3571" s="564">
        <v>7823</v>
      </c>
      <c r="H3571" s="564">
        <v>11755</v>
      </c>
      <c r="I3571" s="557" t="str">
        <f t="shared" si="53"/>
        <v>GooD</v>
      </c>
    </row>
    <row r="3572" spans="1:9" ht="15.75" thickBot="1">
      <c r="A3572" s="565" t="s">
        <v>639</v>
      </c>
      <c r="B3572" s="565">
        <v>149000</v>
      </c>
      <c r="C3572" s="566">
        <v>24</v>
      </c>
      <c r="D3572" s="566">
        <v>0.315</v>
      </c>
      <c r="E3572" s="566">
        <v>93871</v>
      </c>
      <c r="F3572" s="566">
        <v>242871</v>
      </c>
      <c r="G3572" s="566">
        <v>10431</v>
      </c>
      <c r="H3572" s="566">
        <v>9685</v>
      </c>
      <c r="I3572" s="558" t="str">
        <f t="shared" si="53"/>
        <v>GooD</v>
      </c>
    </row>
    <row r="3573" spans="1:9" ht="15.75" thickTop="1">
      <c r="A3573" s="567" t="s">
        <v>639</v>
      </c>
      <c r="B3573" s="567">
        <v>150000</v>
      </c>
      <c r="C3573" s="568">
        <v>12</v>
      </c>
      <c r="D3573" s="568">
        <v>0.315</v>
      </c>
      <c r="E3573" s="568">
        <v>47251</v>
      </c>
      <c r="F3573" s="568">
        <v>197251</v>
      </c>
      <c r="G3573" s="568">
        <v>5251</v>
      </c>
      <c r="H3573" s="568">
        <v>16000</v>
      </c>
      <c r="I3573" s="559" t="str">
        <f t="shared" si="53"/>
        <v>GooD</v>
      </c>
    </row>
    <row r="3574" spans="1:9">
      <c r="A3574" s="563" t="s">
        <v>639</v>
      </c>
      <c r="B3574" s="563">
        <v>150000</v>
      </c>
      <c r="C3574" s="564">
        <v>18</v>
      </c>
      <c r="D3574" s="564">
        <v>0.315</v>
      </c>
      <c r="E3574" s="564">
        <v>70888</v>
      </c>
      <c r="F3574" s="564">
        <v>220888</v>
      </c>
      <c r="G3574" s="564">
        <v>7876</v>
      </c>
      <c r="H3574" s="564">
        <v>11834</v>
      </c>
      <c r="I3574" s="557" t="str">
        <f t="shared" si="53"/>
        <v>GooD</v>
      </c>
    </row>
    <row r="3575" spans="1:9" ht="15.75" thickBot="1">
      <c r="A3575" s="565" t="s">
        <v>639</v>
      </c>
      <c r="B3575" s="565">
        <v>150000</v>
      </c>
      <c r="C3575" s="566">
        <v>24</v>
      </c>
      <c r="D3575" s="566">
        <v>0.315</v>
      </c>
      <c r="E3575" s="566">
        <v>94501</v>
      </c>
      <c r="F3575" s="566">
        <v>244501</v>
      </c>
      <c r="G3575" s="566">
        <v>10501</v>
      </c>
      <c r="H3575" s="566">
        <v>9750</v>
      </c>
      <c r="I3575" s="558" t="str">
        <f t="shared" si="53"/>
        <v>GooD</v>
      </c>
    </row>
    <row r="3576" spans="1:9" ht="15.75" thickTop="1">
      <c r="A3576" s="567" t="s">
        <v>639</v>
      </c>
      <c r="B3576" s="567">
        <v>151000</v>
      </c>
      <c r="C3576" s="568">
        <v>12</v>
      </c>
      <c r="D3576" s="568">
        <v>0.315</v>
      </c>
      <c r="E3576" s="568">
        <v>47570</v>
      </c>
      <c r="F3576" s="568">
        <v>198570</v>
      </c>
      <c r="G3576" s="568">
        <v>5286</v>
      </c>
      <c r="H3576" s="568">
        <v>16107</v>
      </c>
      <c r="I3576" s="559" t="str">
        <f t="shared" si="53"/>
        <v>GooD</v>
      </c>
    </row>
    <row r="3577" spans="1:9">
      <c r="A3577" s="563" t="s">
        <v>639</v>
      </c>
      <c r="B3577" s="563">
        <v>151000</v>
      </c>
      <c r="C3577" s="564">
        <v>18</v>
      </c>
      <c r="D3577" s="564">
        <v>0.315</v>
      </c>
      <c r="E3577" s="564">
        <v>71362</v>
      </c>
      <c r="F3577" s="564">
        <v>222362</v>
      </c>
      <c r="G3577" s="564">
        <v>7928</v>
      </c>
      <c r="H3577" s="564">
        <v>11913</v>
      </c>
      <c r="I3577" s="557" t="str">
        <f t="shared" si="53"/>
        <v>GooD</v>
      </c>
    </row>
    <row r="3578" spans="1:9" ht="15.75" thickBot="1">
      <c r="A3578" s="565" t="s">
        <v>639</v>
      </c>
      <c r="B3578" s="565">
        <v>151000</v>
      </c>
      <c r="C3578" s="566">
        <v>24</v>
      </c>
      <c r="D3578" s="566">
        <v>0.315</v>
      </c>
      <c r="E3578" s="566">
        <v>95131</v>
      </c>
      <c r="F3578" s="566">
        <v>246131</v>
      </c>
      <c r="G3578" s="566">
        <v>10571</v>
      </c>
      <c r="H3578" s="566">
        <v>9815</v>
      </c>
      <c r="I3578" s="558" t="str">
        <f t="shared" si="53"/>
        <v>GooD</v>
      </c>
    </row>
    <row r="3579" spans="1:9" ht="15.75" thickTop="1">
      <c r="A3579" s="567" t="s">
        <v>639</v>
      </c>
      <c r="B3579" s="567">
        <v>152000</v>
      </c>
      <c r="C3579" s="568">
        <v>12</v>
      </c>
      <c r="D3579" s="568">
        <v>0.315</v>
      </c>
      <c r="E3579" s="568">
        <v>47889</v>
      </c>
      <c r="F3579" s="568">
        <v>199889</v>
      </c>
      <c r="G3579" s="568">
        <v>5321</v>
      </c>
      <c r="H3579" s="568">
        <v>16214</v>
      </c>
      <c r="I3579" s="559" t="str">
        <f t="shared" si="53"/>
        <v>GooD</v>
      </c>
    </row>
    <row r="3580" spans="1:9">
      <c r="A3580" s="563" t="s">
        <v>639</v>
      </c>
      <c r="B3580" s="563">
        <v>152000</v>
      </c>
      <c r="C3580" s="564">
        <v>18</v>
      </c>
      <c r="D3580" s="564">
        <v>0.315</v>
      </c>
      <c r="E3580" s="564">
        <v>71837</v>
      </c>
      <c r="F3580" s="564">
        <v>223837</v>
      </c>
      <c r="G3580" s="564">
        <v>7981</v>
      </c>
      <c r="H3580" s="564">
        <v>11992</v>
      </c>
      <c r="I3580" s="557" t="str">
        <f t="shared" si="53"/>
        <v>GooD</v>
      </c>
    </row>
    <row r="3581" spans="1:9" ht="15.75" thickBot="1">
      <c r="A3581" s="565" t="s">
        <v>639</v>
      </c>
      <c r="B3581" s="565">
        <v>152000</v>
      </c>
      <c r="C3581" s="566">
        <v>24</v>
      </c>
      <c r="D3581" s="566">
        <v>0.315</v>
      </c>
      <c r="E3581" s="566">
        <v>95761</v>
      </c>
      <c r="F3581" s="566">
        <v>247761</v>
      </c>
      <c r="G3581" s="566">
        <v>10641</v>
      </c>
      <c r="H3581" s="566">
        <v>9880</v>
      </c>
      <c r="I3581" s="558" t="str">
        <f t="shared" si="53"/>
        <v>GooD</v>
      </c>
    </row>
    <row r="3582" spans="1:9" ht="15.75" thickTop="1">
      <c r="A3582" s="567" t="s">
        <v>639</v>
      </c>
      <c r="B3582" s="567">
        <v>153000</v>
      </c>
      <c r="C3582" s="568">
        <v>12</v>
      </c>
      <c r="D3582" s="568">
        <v>0.315</v>
      </c>
      <c r="E3582" s="568">
        <v>48196</v>
      </c>
      <c r="F3582" s="568">
        <v>201196</v>
      </c>
      <c r="G3582" s="568">
        <v>5356</v>
      </c>
      <c r="H3582" s="568">
        <v>16320</v>
      </c>
      <c r="I3582" s="559" t="str">
        <f t="shared" si="53"/>
        <v>GooD</v>
      </c>
    </row>
    <row r="3583" spans="1:9">
      <c r="A3583" s="563" t="s">
        <v>639</v>
      </c>
      <c r="B3583" s="563">
        <v>153000</v>
      </c>
      <c r="C3583" s="564">
        <v>18</v>
      </c>
      <c r="D3583" s="564">
        <v>0.315</v>
      </c>
      <c r="E3583" s="564">
        <v>72293</v>
      </c>
      <c r="F3583" s="564">
        <v>225293</v>
      </c>
      <c r="G3583" s="564">
        <v>8033</v>
      </c>
      <c r="H3583" s="564">
        <v>12070</v>
      </c>
      <c r="I3583" s="557" t="str">
        <f t="shared" si="53"/>
        <v>GooD</v>
      </c>
    </row>
    <row r="3584" spans="1:9" ht="15.75" thickBot="1">
      <c r="A3584" s="565" t="s">
        <v>639</v>
      </c>
      <c r="B3584" s="565">
        <v>153000</v>
      </c>
      <c r="C3584" s="566">
        <v>24</v>
      </c>
      <c r="D3584" s="566">
        <v>0.315</v>
      </c>
      <c r="E3584" s="566">
        <v>96391</v>
      </c>
      <c r="F3584" s="566">
        <v>249391</v>
      </c>
      <c r="G3584" s="566">
        <v>10711</v>
      </c>
      <c r="H3584" s="566">
        <v>9945</v>
      </c>
      <c r="I3584" s="558" t="str">
        <f t="shared" si="53"/>
        <v>GooD</v>
      </c>
    </row>
    <row r="3585" spans="1:9" ht="15.75" thickTop="1">
      <c r="A3585" s="567" t="s">
        <v>639</v>
      </c>
      <c r="B3585" s="567">
        <v>154000</v>
      </c>
      <c r="C3585" s="568">
        <v>12</v>
      </c>
      <c r="D3585" s="568">
        <v>0.315</v>
      </c>
      <c r="E3585" s="568">
        <v>48515</v>
      </c>
      <c r="F3585" s="568">
        <v>202515</v>
      </c>
      <c r="G3585" s="568">
        <v>5391</v>
      </c>
      <c r="H3585" s="568">
        <v>16427</v>
      </c>
      <c r="I3585" s="559" t="str">
        <f t="shared" si="53"/>
        <v>GooD</v>
      </c>
    </row>
    <row r="3586" spans="1:9">
      <c r="A3586" s="563" t="s">
        <v>639</v>
      </c>
      <c r="B3586" s="563">
        <v>154000</v>
      </c>
      <c r="C3586" s="564">
        <v>18</v>
      </c>
      <c r="D3586" s="564">
        <v>0.315</v>
      </c>
      <c r="E3586" s="564">
        <v>72768</v>
      </c>
      <c r="F3586" s="564">
        <v>226768</v>
      </c>
      <c r="G3586" s="564">
        <v>8086</v>
      </c>
      <c r="H3586" s="564">
        <v>12149</v>
      </c>
      <c r="I3586" s="557" t="str">
        <f t="shared" si="53"/>
        <v>GooD</v>
      </c>
    </row>
    <row r="3587" spans="1:9" ht="15.75" thickBot="1">
      <c r="A3587" s="565" t="s">
        <v>639</v>
      </c>
      <c r="B3587" s="565">
        <v>154000</v>
      </c>
      <c r="C3587" s="566">
        <v>24</v>
      </c>
      <c r="D3587" s="566">
        <v>0.315</v>
      </c>
      <c r="E3587" s="566">
        <v>97021</v>
      </c>
      <c r="F3587" s="566">
        <v>251021</v>
      </c>
      <c r="G3587" s="566">
        <v>10781</v>
      </c>
      <c r="H3587" s="566">
        <v>10010</v>
      </c>
      <c r="I3587" s="558" t="str">
        <f t="shared" si="53"/>
        <v>GooD</v>
      </c>
    </row>
    <row r="3588" spans="1:9" ht="15.75" thickTop="1">
      <c r="A3588" s="567" t="s">
        <v>639</v>
      </c>
      <c r="B3588" s="567">
        <v>155000</v>
      </c>
      <c r="C3588" s="568">
        <v>12</v>
      </c>
      <c r="D3588" s="568">
        <v>0.315</v>
      </c>
      <c r="E3588" s="568">
        <v>48834</v>
      </c>
      <c r="F3588" s="568">
        <v>203834</v>
      </c>
      <c r="G3588" s="568">
        <v>5426</v>
      </c>
      <c r="H3588" s="568">
        <v>16534</v>
      </c>
      <c r="I3588" s="559" t="str">
        <f t="shared" si="53"/>
        <v>GooD</v>
      </c>
    </row>
    <row r="3589" spans="1:9">
      <c r="A3589" s="563" t="s">
        <v>639</v>
      </c>
      <c r="B3589" s="563">
        <v>155000</v>
      </c>
      <c r="C3589" s="564">
        <v>18</v>
      </c>
      <c r="D3589" s="564">
        <v>0.315</v>
      </c>
      <c r="E3589" s="564">
        <v>73242</v>
      </c>
      <c r="F3589" s="564">
        <v>228242</v>
      </c>
      <c r="G3589" s="564">
        <v>8138</v>
      </c>
      <c r="H3589" s="564">
        <v>12228</v>
      </c>
      <c r="I3589" s="557" t="str">
        <f t="shared" si="53"/>
        <v>GooD</v>
      </c>
    </row>
    <row r="3590" spans="1:9" ht="15.75" thickBot="1">
      <c r="A3590" s="565" t="s">
        <v>639</v>
      </c>
      <c r="B3590" s="565">
        <v>155000</v>
      </c>
      <c r="C3590" s="566">
        <v>24</v>
      </c>
      <c r="D3590" s="566">
        <v>0.315</v>
      </c>
      <c r="E3590" s="566">
        <v>97651</v>
      </c>
      <c r="F3590" s="566">
        <v>252651</v>
      </c>
      <c r="G3590" s="566">
        <v>10851</v>
      </c>
      <c r="H3590" s="566">
        <v>10075</v>
      </c>
      <c r="I3590" s="558" t="str">
        <f t="shared" si="53"/>
        <v>GooD</v>
      </c>
    </row>
    <row r="3591" spans="1:9" ht="15.75" thickTop="1">
      <c r="A3591" s="567" t="s">
        <v>639</v>
      </c>
      <c r="B3591" s="567">
        <v>156000</v>
      </c>
      <c r="C3591" s="568">
        <v>12</v>
      </c>
      <c r="D3591" s="568">
        <v>0.315</v>
      </c>
      <c r="E3591" s="568">
        <v>49141</v>
      </c>
      <c r="F3591" s="568">
        <v>205141</v>
      </c>
      <c r="G3591" s="568">
        <v>5461</v>
      </c>
      <c r="H3591" s="568">
        <v>16640</v>
      </c>
      <c r="I3591" s="559" t="str">
        <f t="shared" si="53"/>
        <v>GooD</v>
      </c>
    </row>
    <row r="3592" spans="1:9">
      <c r="A3592" s="563" t="s">
        <v>639</v>
      </c>
      <c r="B3592" s="563">
        <v>156000</v>
      </c>
      <c r="C3592" s="564">
        <v>18</v>
      </c>
      <c r="D3592" s="564">
        <v>0.315</v>
      </c>
      <c r="E3592" s="564">
        <v>73717</v>
      </c>
      <c r="F3592" s="564">
        <v>229717</v>
      </c>
      <c r="G3592" s="564">
        <v>8191</v>
      </c>
      <c r="H3592" s="564">
        <v>12307</v>
      </c>
      <c r="I3592" s="557" t="str">
        <f t="shared" si="53"/>
        <v>GooD</v>
      </c>
    </row>
    <row r="3593" spans="1:9" ht="15.75" thickBot="1">
      <c r="A3593" s="565" t="s">
        <v>639</v>
      </c>
      <c r="B3593" s="565">
        <v>156000</v>
      </c>
      <c r="C3593" s="566">
        <v>24</v>
      </c>
      <c r="D3593" s="566">
        <v>0.315</v>
      </c>
      <c r="E3593" s="566">
        <v>98281</v>
      </c>
      <c r="F3593" s="566">
        <v>254281</v>
      </c>
      <c r="G3593" s="566">
        <v>10921</v>
      </c>
      <c r="H3593" s="566">
        <v>10140</v>
      </c>
      <c r="I3593" s="558" t="str">
        <f t="shared" si="53"/>
        <v>GooD</v>
      </c>
    </row>
    <row r="3594" spans="1:9" ht="15.75" thickTop="1">
      <c r="A3594" s="567" t="s">
        <v>639</v>
      </c>
      <c r="B3594" s="567">
        <v>157000</v>
      </c>
      <c r="C3594" s="568">
        <v>12</v>
      </c>
      <c r="D3594" s="568">
        <v>0.315</v>
      </c>
      <c r="E3594" s="568">
        <v>49460</v>
      </c>
      <c r="F3594" s="568">
        <v>206460</v>
      </c>
      <c r="G3594" s="568">
        <v>5496</v>
      </c>
      <c r="H3594" s="568">
        <v>16747</v>
      </c>
      <c r="I3594" s="559" t="str">
        <f t="shared" si="53"/>
        <v>GooD</v>
      </c>
    </row>
    <row r="3595" spans="1:9">
      <c r="A3595" s="563" t="s">
        <v>639</v>
      </c>
      <c r="B3595" s="563">
        <v>157000</v>
      </c>
      <c r="C3595" s="564">
        <v>18</v>
      </c>
      <c r="D3595" s="564">
        <v>0.315</v>
      </c>
      <c r="E3595" s="564">
        <v>74191</v>
      </c>
      <c r="F3595" s="564">
        <v>231191</v>
      </c>
      <c r="G3595" s="564">
        <v>8243</v>
      </c>
      <c r="H3595" s="564">
        <v>12386</v>
      </c>
      <c r="I3595" s="557" t="str">
        <f t="shared" si="53"/>
        <v>GooD</v>
      </c>
    </row>
    <row r="3596" spans="1:9" ht="15.75" thickBot="1">
      <c r="A3596" s="565" t="s">
        <v>639</v>
      </c>
      <c r="B3596" s="565">
        <v>157000</v>
      </c>
      <c r="C3596" s="566">
        <v>24</v>
      </c>
      <c r="D3596" s="566">
        <v>0.315</v>
      </c>
      <c r="E3596" s="566">
        <v>98911</v>
      </c>
      <c r="F3596" s="566">
        <v>255911</v>
      </c>
      <c r="G3596" s="566">
        <v>10991</v>
      </c>
      <c r="H3596" s="566">
        <v>10205</v>
      </c>
      <c r="I3596" s="558" t="str">
        <f t="shared" si="53"/>
        <v>GooD</v>
      </c>
    </row>
    <row r="3597" spans="1:9" ht="15.75" thickTop="1">
      <c r="A3597" s="567" t="s">
        <v>639</v>
      </c>
      <c r="B3597" s="567">
        <v>158000</v>
      </c>
      <c r="C3597" s="568">
        <v>12</v>
      </c>
      <c r="D3597" s="568">
        <v>0.315</v>
      </c>
      <c r="E3597" s="568">
        <v>49779</v>
      </c>
      <c r="F3597" s="568">
        <v>207779</v>
      </c>
      <c r="G3597" s="568">
        <v>5531</v>
      </c>
      <c r="H3597" s="568">
        <v>16854</v>
      </c>
      <c r="I3597" s="559" t="str">
        <f t="shared" si="53"/>
        <v>GooD</v>
      </c>
    </row>
    <row r="3598" spans="1:9">
      <c r="A3598" s="563" t="s">
        <v>639</v>
      </c>
      <c r="B3598" s="563">
        <v>158000</v>
      </c>
      <c r="C3598" s="564">
        <v>18</v>
      </c>
      <c r="D3598" s="564">
        <v>0.315</v>
      </c>
      <c r="E3598" s="564">
        <v>74666</v>
      </c>
      <c r="F3598" s="564">
        <v>232666</v>
      </c>
      <c r="G3598" s="564">
        <v>8296</v>
      </c>
      <c r="H3598" s="564">
        <v>12465</v>
      </c>
      <c r="I3598" s="557" t="str">
        <f t="shared" si="53"/>
        <v>GooD</v>
      </c>
    </row>
    <row r="3599" spans="1:9" ht="15.75" thickBot="1">
      <c r="A3599" s="565" t="s">
        <v>639</v>
      </c>
      <c r="B3599" s="565">
        <v>158000</v>
      </c>
      <c r="C3599" s="566">
        <v>24</v>
      </c>
      <c r="D3599" s="566">
        <v>0.315</v>
      </c>
      <c r="E3599" s="566">
        <v>99541</v>
      </c>
      <c r="F3599" s="566">
        <v>257541</v>
      </c>
      <c r="G3599" s="566">
        <v>11061</v>
      </c>
      <c r="H3599" s="566">
        <v>10270</v>
      </c>
      <c r="I3599" s="558" t="str">
        <f t="shared" si="53"/>
        <v>GooD</v>
      </c>
    </row>
    <row r="3600" spans="1:9" ht="15.75" thickTop="1">
      <c r="A3600" s="567" t="s">
        <v>639</v>
      </c>
      <c r="B3600" s="567">
        <v>159000</v>
      </c>
      <c r="C3600" s="568">
        <v>12</v>
      </c>
      <c r="D3600" s="568">
        <v>0.315</v>
      </c>
      <c r="E3600" s="568">
        <v>50086</v>
      </c>
      <c r="F3600" s="568">
        <v>209086</v>
      </c>
      <c r="G3600" s="568">
        <v>5566</v>
      </c>
      <c r="H3600" s="568">
        <v>16960</v>
      </c>
      <c r="I3600" s="559" t="str">
        <f t="shared" si="53"/>
        <v>GooD</v>
      </c>
    </row>
    <row r="3601" spans="1:9">
      <c r="A3601" s="563" t="s">
        <v>639</v>
      </c>
      <c r="B3601" s="563">
        <v>159000</v>
      </c>
      <c r="C3601" s="564">
        <v>18</v>
      </c>
      <c r="D3601" s="564">
        <v>0.315</v>
      </c>
      <c r="E3601" s="564">
        <v>75140</v>
      </c>
      <c r="F3601" s="564">
        <v>234140</v>
      </c>
      <c r="G3601" s="564">
        <v>8348</v>
      </c>
      <c r="H3601" s="564">
        <v>12544</v>
      </c>
      <c r="I3601" s="557" t="str">
        <f t="shared" ref="I3601:I3659" si="54">IF(((H3601*C3601)+G3601)=F3601,"GooD","لالالالالالالا")</f>
        <v>GooD</v>
      </c>
    </row>
    <row r="3602" spans="1:9" ht="15.75" thickBot="1">
      <c r="A3602" s="565" t="s">
        <v>639</v>
      </c>
      <c r="B3602" s="565">
        <v>159000</v>
      </c>
      <c r="C3602" s="566">
        <v>24</v>
      </c>
      <c r="D3602" s="566">
        <v>0.315</v>
      </c>
      <c r="E3602" s="566">
        <v>100171</v>
      </c>
      <c r="F3602" s="566">
        <v>259171</v>
      </c>
      <c r="G3602" s="566">
        <v>11131</v>
      </c>
      <c r="H3602" s="566">
        <v>10335</v>
      </c>
      <c r="I3602" s="558" t="str">
        <f t="shared" si="54"/>
        <v>GooD</v>
      </c>
    </row>
    <row r="3603" spans="1:9" ht="15.75" thickTop="1">
      <c r="A3603" s="567" t="s">
        <v>639</v>
      </c>
      <c r="B3603" s="567">
        <v>160000</v>
      </c>
      <c r="C3603" s="568">
        <v>12</v>
      </c>
      <c r="D3603" s="568">
        <v>0.315</v>
      </c>
      <c r="E3603" s="568">
        <v>50405</v>
      </c>
      <c r="F3603" s="568">
        <v>210405</v>
      </c>
      <c r="G3603" s="568">
        <v>5601</v>
      </c>
      <c r="H3603" s="568">
        <v>17067</v>
      </c>
      <c r="I3603" s="559" t="str">
        <f t="shared" si="54"/>
        <v>GooD</v>
      </c>
    </row>
    <row r="3604" spans="1:9">
      <c r="A3604" s="563" t="s">
        <v>639</v>
      </c>
      <c r="B3604" s="563">
        <v>160000</v>
      </c>
      <c r="C3604" s="564">
        <v>18</v>
      </c>
      <c r="D3604" s="564">
        <v>0.315</v>
      </c>
      <c r="E3604" s="564">
        <v>75615</v>
      </c>
      <c r="F3604" s="564">
        <v>235615</v>
      </c>
      <c r="G3604" s="564">
        <v>8401</v>
      </c>
      <c r="H3604" s="564">
        <v>12623</v>
      </c>
      <c r="I3604" s="557" t="str">
        <f t="shared" si="54"/>
        <v>GooD</v>
      </c>
    </row>
    <row r="3605" spans="1:9" ht="15.75" thickBot="1">
      <c r="A3605" s="565" t="s">
        <v>639</v>
      </c>
      <c r="B3605" s="565">
        <v>160000</v>
      </c>
      <c r="C3605" s="566">
        <v>24</v>
      </c>
      <c r="D3605" s="566">
        <v>0.315</v>
      </c>
      <c r="E3605" s="566">
        <v>100801</v>
      </c>
      <c r="F3605" s="566">
        <v>260801</v>
      </c>
      <c r="G3605" s="566">
        <v>11201</v>
      </c>
      <c r="H3605" s="566">
        <v>10400</v>
      </c>
      <c r="I3605" s="558" t="str">
        <f t="shared" si="54"/>
        <v>GooD</v>
      </c>
    </row>
    <row r="3606" spans="1:9" ht="15.75" thickTop="1">
      <c r="A3606" s="567" t="s">
        <v>639</v>
      </c>
      <c r="B3606" s="567">
        <v>161000</v>
      </c>
      <c r="C3606" s="568">
        <v>12</v>
      </c>
      <c r="D3606" s="568">
        <v>0.315</v>
      </c>
      <c r="E3606" s="568">
        <v>50724</v>
      </c>
      <c r="F3606" s="568">
        <v>211724</v>
      </c>
      <c r="G3606" s="568">
        <v>5636</v>
      </c>
      <c r="H3606" s="568">
        <v>17174</v>
      </c>
      <c r="I3606" s="559" t="str">
        <f t="shared" si="54"/>
        <v>GooD</v>
      </c>
    </row>
    <row r="3607" spans="1:9">
      <c r="A3607" s="563" t="s">
        <v>639</v>
      </c>
      <c r="B3607" s="563">
        <v>161000</v>
      </c>
      <c r="C3607" s="564">
        <v>18</v>
      </c>
      <c r="D3607" s="564">
        <v>0.315</v>
      </c>
      <c r="E3607" s="564">
        <v>76089</v>
      </c>
      <c r="F3607" s="564">
        <v>237089</v>
      </c>
      <c r="G3607" s="564">
        <v>8453</v>
      </c>
      <c r="H3607" s="564">
        <v>12702</v>
      </c>
      <c r="I3607" s="557" t="str">
        <f t="shared" si="54"/>
        <v>GooD</v>
      </c>
    </row>
    <row r="3608" spans="1:9" ht="15.75" thickBot="1">
      <c r="A3608" s="565" t="s">
        <v>639</v>
      </c>
      <c r="B3608" s="565">
        <v>161000</v>
      </c>
      <c r="C3608" s="566">
        <v>24</v>
      </c>
      <c r="D3608" s="566">
        <v>0.315</v>
      </c>
      <c r="E3608" s="566">
        <v>101431</v>
      </c>
      <c r="F3608" s="566">
        <v>262431</v>
      </c>
      <c r="G3608" s="566">
        <v>11271</v>
      </c>
      <c r="H3608" s="566">
        <v>10465</v>
      </c>
      <c r="I3608" s="558" t="str">
        <f t="shared" si="54"/>
        <v>GooD</v>
      </c>
    </row>
    <row r="3609" spans="1:9" ht="15.75" thickTop="1">
      <c r="A3609" s="567" t="s">
        <v>639</v>
      </c>
      <c r="B3609" s="567">
        <v>162000</v>
      </c>
      <c r="C3609" s="568">
        <v>12</v>
      </c>
      <c r="D3609" s="568">
        <v>0.315</v>
      </c>
      <c r="E3609" s="568">
        <v>51031</v>
      </c>
      <c r="F3609" s="568">
        <v>213031</v>
      </c>
      <c r="G3609" s="568">
        <v>5671</v>
      </c>
      <c r="H3609" s="568">
        <v>17280</v>
      </c>
      <c r="I3609" s="559" t="str">
        <f t="shared" si="54"/>
        <v>GooD</v>
      </c>
    </row>
    <row r="3610" spans="1:9">
      <c r="A3610" s="563" t="s">
        <v>639</v>
      </c>
      <c r="B3610" s="563">
        <v>162000</v>
      </c>
      <c r="C3610" s="564">
        <v>18</v>
      </c>
      <c r="D3610" s="564">
        <v>0.315</v>
      </c>
      <c r="E3610" s="564">
        <v>76546</v>
      </c>
      <c r="F3610" s="564">
        <v>238546</v>
      </c>
      <c r="G3610" s="564">
        <v>8506</v>
      </c>
      <c r="H3610" s="564">
        <v>12780</v>
      </c>
      <c r="I3610" s="557" t="str">
        <f t="shared" si="54"/>
        <v>GooD</v>
      </c>
    </row>
    <row r="3611" spans="1:9" ht="15.75" thickBot="1">
      <c r="A3611" s="565" t="s">
        <v>639</v>
      </c>
      <c r="B3611" s="565">
        <v>162000</v>
      </c>
      <c r="C3611" s="566">
        <v>24</v>
      </c>
      <c r="D3611" s="566">
        <v>0.315</v>
      </c>
      <c r="E3611" s="566">
        <v>102061</v>
      </c>
      <c r="F3611" s="566">
        <v>264061</v>
      </c>
      <c r="G3611" s="566">
        <v>11341</v>
      </c>
      <c r="H3611" s="566">
        <v>10530</v>
      </c>
      <c r="I3611" s="558" t="str">
        <f t="shared" si="54"/>
        <v>GooD</v>
      </c>
    </row>
    <row r="3612" spans="1:9" ht="15.75" thickTop="1">
      <c r="A3612" s="567" t="s">
        <v>639</v>
      </c>
      <c r="B3612" s="567">
        <v>163000</v>
      </c>
      <c r="C3612" s="568">
        <v>12</v>
      </c>
      <c r="D3612" s="568">
        <v>0.315</v>
      </c>
      <c r="E3612" s="568">
        <v>51350</v>
      </c>
      <c r="F3612" s="568">
        <v>214350</v>
      </c>
      <c r="G3612" s="568">
        <v>5706</v>
      </c>
      <c r="H3612" s="568">
        <v>17387</v>
      </c>
      <c r="I3612" s="559" t="str">
        <f t="shared" si="54"/>
        <v>GooD</v>
      </c>
    </row>
    <row r="3613" spans="1:9">
      <c r="A3613" s="563" t="s">
        <v>639</v>
      </c>
      <c r="B3613" s="563">
        <v>163000</v>
      </c>
      <c r="C3613" s="564">
        <v>18</v>
      </c>
      <c r="D3613" s="564">
        <v>0.315</v>
      </c>
      <c r="E3613" s="564">
        <v>77020</v>
      </c>
      <c r="F3613" s="564">
        <v>240020</v>
      </c>
      <c r="G3613" s="564">
        <v>8558</v>
      </c>
      <c r="H3613" s="564">
        <v>12859</v>
      </c>
      <c r="I3613" s="557" t="str">
        <f t="shared" si="54"/>
        <v>GooD</v>
      </c>
    </row>
    <row r="3614" spans="1:9" ht="15.75" thickBot="1">
      <c r="A3614" s="565" t="s">
        <v>639</v>
      </c>
      <c r="B3614" s="565">
        <v>163000</v>
      </c>
      <c r="C3614" s="566">
        <v>24</v>
      </c>
      <c r="D3614" s="566">
        <v>0.315</v>
      </c>
      <c r="E3614" s="566">
        <v>102691</v>
      </c>
      <c r="F3614" s="566">
        <v>265691</v>
      </c>
      <c r="G3614" s="566">
        <v>11411</v>
      </c>
      <c r="H3614" s="566">
        <v>10595</v>
      </c>
      <c r="I3614" s="558" t="str">
        <f t="shared" si="54"/>
        <v>GooD</v>
      </c>
    </row>
    <row r="3615" spans="1:9" ht="15.75" thickTop="1">
      <c r="A3615" s="567" t="s">
        <v>639</v>
      </c>
      <c r="B3615" s="567">
        <v>164000</v>
      </c>
      <c r="C3615" s="568">
        <v>12</v>
      </c>
      <c r="D3615" s="568">
        <v>0.315</v>
      </c>
      <c r="E3615" s="568">
        <v>51669</v>
      </c>
      <c r="F3615" s="568">
        <v>215669</v>
      </c>
      <c r="G3615" s="568">
        <v>5741</v>
      </c>
      <c r="H3615" s="568">
        <v>17494</v>
      </c>
      <c r="I3615" s="559" t="str">
        <f t="shared" si="54"/>
        <v>GooD</v>
      </c>
    </row>
    <row r="3616" spans="1:9">
      <c r="A3616" s="563" t="s">
        <v>639</v>
      </c>
      <c r="B3616" s="563">
        <v>164000</v>
      </c>
      <c r="C3616" s="564">
        <v>18</v>
      </c>
      <c r="D3616" s="564">
        <v>0.315</v>
      </c>
      <c r="E3616" s="564">
        <v>77495</v>
      </c>
      <c r="F3616" s="564">
        <v>241495</v>
      </c>
      <c r="G3616" s="564">
        <v>8611</v>
      </c>
      <c r="H3616" s="564">
        <v>12938</v>
      </c>
      <c r="I3616" s="557" t="str">
        <f t="shared" si="54"/>
        <v>GooD</v>
      </c>
    </row>
    <row r="3617" spans="1:9" ht="15.75" thickBot="1">
      <c r="A3617" s="565" t="s">
        <v>639</v>
      </c>
      <c r="B3617" s="565">
        <v>164000</v>
      </c>
      <c r="C3617" s="566">
        <v>24</v>
      </c>
      <c r="D3617" s="566">
        <v>0.315</v>
      </c>
      <c r="E3617" s="566">
        <v>103321</v>
      </c>
      <c r="F3617" s="566">
        <v>267321</v>
      </c>
      <c r="G3617" s="566">
        <v>11481</v>
      </c>
      <c r="H3617" s="566">
        <v>10660</v>
      </c>
      <c r="I3617" s="558" t="str">
        <f t="shared" si="54"/>
        <v>GooD</v>
      </c>
    </row>
    <row r="3618" spans="1:9" ht="15.75" thickTop="1">
      <c r="A3618" s="567" t="s">
        <v>639</v>
      </c>
      <c r="B3618" s="567">
        <v>165000</v>
      </c>
      <c r="C3618" s="568">
        <v>12</v>
      </c>
      <c r="D3618" s="568">
        <v>0.315</v>
      </c>
      <c r="E3618" s="568">
        <v>51976</v>
      </c>
      <c r="F3618" s="568">
        <v>216976</v>
      </c>
      <c r="G3618" s="568">
        <v>5776</v>
      </c>
      <c r="H3618" s="568">
        <v>17600</v>
      </c>
      <c r="I3618" s="559" t="str">
        <f t="shared" si="54"/>
        <v>GooD</v>
      </c>
    </row>
    <row r="3619" spans="1:9">
      <c r="A3619" s="563" t="s">
        <v>639</v>
      </c>
      <c r="B3619" s="563">
        <v>165000</v>
      </c>
      <c r="C3619" s="564">
        <v>18</v>
      </c>
      <c r="D3619" s="564">
        <v>0.315</v>
      </c>
      <c r="E3619" s="564">
        <v>77969</v>
      </c>
      <c r="F3619" s="564">
        <v>242969</v>
      </c>
      <c r="G3619" s="564">
        <v>8663</v>
      </c>
      <c r="H3619" s="564">
        <v>13017</v>
      </c>
      <c r="I3619" s="557" t="str">
        <f t="shared" si="54"/>
        <v>GooD</v>
      </c>
    </row>
    <row r="3620" spans="1:9" ht="15.75" thickBot="1">
      <c r="A3620" s="565" t="s">
        <v>639</v>
      </c>
      <c r="B3620" s="565">
        <v>165000</v>
      </c>
      <c r="C3620" s="566">
        <v>24</v>
      </c>
      <c r="D3620" s="566">
        <v>0.315</v>
      </c>
      <c r="E3620" s="566">
        <v>103951</v>
      </c>
      <c r="F3620" s="566">
        <v>268951</v>
      </c>
      <c r="G3620" s="566">
        <v>11551</v>
      </c>
      <c r="H3620" s="566">
        <v>10725</v>
      </c>
      <c r="I3620" s="558" t="str">
        <f t="shared" si="54"/>
        <v>GooD</v>
      </c>
    </row>
    <row r="3621" spans="1:9" ht="15.75" thickTop="1">
      <c r="A3621" s="567" t="s">
        <v>639</v>
      </c>
      <c r="B3621" s="567">
        <v>166000</v>
      </c>
      <c r="C3621" s="568">
        <v>12</v>
      </c>
      <c r="D3621" s="568">
        <v>0.315</v>
      </c>
      <c r="E3621" s="568">
        <v>52295</v>
      </c>
      <c r="F3621" s="568">
        <v>218295</v>
      </c>
      <c r="G3621" s="568">
        <v>5811</v>
      </c>
      <c r="H3621" s="568">
        <v>17707</v>
      </c>
      <c r="I3621" s="559" t="str">
        <f t="shared" si="54"/>
        <v>GooD</v>
      </c>
    </row>
    <row r="3622" spans="1:9">
      <c r="A3622" s="563" t="s">
        <v>639</v>
      </c>
      <c r="B3622" s="563">
        <v>166000</v>
      </c>
      <c r="C3622" s="564">
        <v>18</v>
      </c>
      <c r="D3622" s="564">
        <v>0.315</v>
      </c>
      <c r="E3622" s="564">
        <v>78444</v>
      </c>
      <c r="F3622" s="564">
        <v>244444</v>
      </c>
      <c r="G3622" s="564">
        <v>8716</v>
      </c>
      <c r="H3622" s="564">
        <v>13096</v>
      </c>
      <c r="I3622" s="557" t="str">
        <f t="shared" si="54"/>
        <v>GooD</v>
      </c>
    </row>
    <row r="3623" spans="1:9" ht="15.75" thickBot="1">
      <c r="A3623" s="565" t="s">
        <v>639</v>
      </c>
      <c r="B3623" s="565">
        <v>166000</v>
      </c>
      <c r="C3623" s="566">
        <v>24</v>
      </c>
      <c r="D3623" s="566">
        <v>0.315</v>
      </c>
      <c r="E3623" s="566">
        <v>104581</v>
      </c>
      <c r="F3623" s="566">
        <v>270581</v>
      </c>
      <c r="G3623" s="566">
        <v>11621</v>
      </c>
      <c r="H3623" s="566">
        <v>10790</v>
      </c>
      <c r="I3623" s="558" t="str">
        <f t="shared" si="54"/>
        <v>GooD</v>
      </c>
    </row>
    <row r="3624" spans="1:9" ht="15.75" thickTop="1">
      <c r="A3624" s="567" t="s">
        <v>639</v>
      </c>
      <c r="B3624" s="567">
        <v>167000</v>
      </c>
      <c r="C3624" s="568">
        <v>12</v>
      </c>
      <c r="D3624" s="568">
        <v>0.315</v>
      </c>
      <c r="E3624" s="568">
        <v>52614</v>
      </c>
      <c r="F3624" s="568">
        <v>219614</v>
      </c>
      <c r="G3624" s="568">
        <v>5846</v>
      </c>
      <c r="H3624" s="568">
        <v>17814</v>
      </c>
      <c r="I3624" s="559" t="str">
        <f t="shared" si="54"/>
        <v>GooD</v>
      </c>
    </row>
    <row r="3625" spans="1:9">
      <c r="A3625" s="563" t="s">
        <v>639</v>
      </c>
      <c r="B3625" s="563">
        <v>167000</v>
      </c>
      <c r="C3625" s="564">
        <v>18</v>
      </c>
      <c r="D3625" s="564">
        <v>0.315</v>
      </c>
      <c r="E3625" s="564">
        <v>78918</v>
      </c>
      <c r="F3625" s="564">
        <v>245918</v>
      </c>
      <c r="G3625" s="564">
        <v>8768</v>
      </c>
      <c r="H3625" s="564">
        <v>13175</v>
      </c>
      <c r="I3625" s="557" t="str">
        <f t="shared" si="54"/>
        <v>GooD</v>
      </c>
    </row>
    <row r="3626" spans="1:9" ht="15.75" thickBot="1">
      <c r="A3626" s="565" t="s">
        <v>639</v>
      </c>
      <c r="B3626" s="565">
        <v>167000</v>
      </c>
      <c r="C3626" s="566">
        <v>24</v>
      </c>
      <c r="D3626" s="566">
        <v>0.315</v>
      </c>
      <c r="E3626" s="566">
        <v>105211</v>
      </c>
      <c r="F3626" s="566">
        <v>272211</v>
      </c>
      <c r="G3626" s="566">
        <v>11691</v>
      </c>
      <c r="H3626" s="566">
        <v>10855</v>
      </c>
      <c r="I3626" s="558" t="str">
        <f t="shared" si="54"/>
        <v>GooD</v>
      </c>
    </row>
    <row r="3627" spans="1:9" ht="15.75" thickTop="1">
      <c r="A3627" s="567" t="s">
        <v>639</v>
      </c>
      <c r="B3627" s="567">
        <v>168000</v>
      </c>
      <c r="C3627" s="568">
        <v>12</v>
      </c>
      <c r="D3627" s="568">
        <v>0.315</v>
      </c>
      <c r="E3627" s="568">
        <v>52921</v>
      </c>
      <c r="F3627" s="568">
        <v>220921</v>
      </c>
      <c r="G3627" s="568">
        <v>5881</v>
      </c>
      <c r="H3627" s="568">
        <v>17920</v>
      </c>
      <c r="I3627" s="559" t="str">
        <f t="shared" si="54"/>
        <v>GooD</v>
      </c>
    </row>
    <row r="3628" spans="1:9">
      <c r="A3628" s="563" t="s">
        <v>639</v>
      </c>
      <c r="B3628" s="563">
        <v>168000</v>
      </c>
      <c r="C3628" s="564">
        <v>18</v>
      </c>
      <c r="D3628" s="564">
        <v>0.315</v>
      </c>
      <c r="E3628" s="564">
        <v>79393</v>
      </c>
      <c r="F3628" s="564">
        <v>247393</v>
      </c>
      <c r="G3628" s="564">
        <v>8821</v>
      </c>
      <c r="H3628" s="564">
        <v>13254</v>
      </c>
      <c r="I3628" s="557" t="str">
        <f t="shared" si="54"/>
        <v>GooD</v>
      </c>
    </row>
    <row r="3629" spans="1:9" ht="15.75" thickBot="1">
      <c r="A3629" s="565" t="s">
        <v>639</v>
      </c>
      <c r="B3629" s="565">
        <v>168000</v>
      </c>
      <c r="C3629" s="566">
        <v>24</v>
      </c>
      <c r="D3629" s="566">
        <v>0.315</v>
      </c>
      <c r="E3629" s="566">
        <v>105841</v>
      </c>
      <c r="F3629" s="566">
        <v>273841</v>
      </c>
      <c r="G3629" s="566">
        <v>11761</v>
      </c>
      <c r="H3629" s="566">
        <v>10920</v>
      </c>
      <c r="I3629" s="558" t="str">
        <f t="shared" si="54"/>
        <v>GooD</v>
      </c>
    </row>
    <row r="3630" spans="1:9" ht="15.75" thickTop="1">
      <c r="A3630" s="567" t="s">
        <v>639</v>
      </c>
      <c r="B3630" s="567">
        <v>169000</v>
      </c>
      <c r="C3630" s="568">
        <v>12</v>
      </c>
      <c r="D3630" s="568">
        <v>0.315</v>
      </c>
      <c r="E3630" s="568">
        <v>53240</v>
      </c>
      <c r="F3630" s="568">
        <v>222240</v>
      </c>
      <c r="G3630" s="568">
        <v>5916</v>
      </c>
      <c r="H3630" s="568">
        <v>18027</v>
      </c>
      <c r="I3630" s="559" t="str">
        <f t="shared" si="54"/>
        <v>GooD</v>
      </c>
    </row>
    <row r="3631" spans="1:9">
      <c r="A3631" s="563" t="s">
        <v>639</v>
      </c>
      <c r="B3631" s="563">
        <v>169000</v>
      </c>
      <c r="C3631" s="564">
        <v>18</v>
      </c>
      <c r="D3631" s="564">
        <v>0.315</v>
      </c>
      <c r="E3631" s="564">
        <v>79867</v>
      </c>
      <c r="F3631" s="564">
        <v>248867</v>
      </c>
      <c r="G3631" s="564">
        <v>8873</v>
      </c>
      <c r="H3631" s="564">
        <v>13333</v>
      </c>
      <c r="I3631" s="557" t="str">
        <f t="shared" si="54"/>
        <v>GooD</v>
      </c>
    </row>
    <row r="3632" spans="1:9" ht="15.75" thickBot="1">
      <c r="A3632" s="565" t="s">
        <v>639</v>
      </c>
      <c r="B3632" s="565">
        <v>169000</v>
      </c>
      <c r="C3632" s="566">
        <v>24</v>
      </c>
      <c r="D3632" s="566">
        <v>0.315</v>
      </c>
      <c r="E3632" s="566">
        <v>106471</v>
      </c>
      <c r="F3632" s="566">
        <v>275471</v>
      </c>
      <c r="G3632" s="566">
        <v>11831</v>
      </c>
      <c r="H3632" s="566">
        <v>10985</v>
      </c>
      <c r="I3632" s="558" t="str">
        <f t="shared" si="54"/>
        <v>GooD</v>
      </c>
    </row>
    <row r="3633" spans="1:9" ht="15.75" thickTop="1">
      <c r="A3633" s="567" t="s">
        <v>639</v>
      </c>
      <c r="B3633" s="567">
        <v>170000</v>
      </c>
      <c r="C3633" s="568">
        <v>12</v>
      </c>
      <c r="D3633" s="568">
        <v>0.315</v>
      </c>
      <c r="E3633" s="568">
        <v>53559</v>
      </c>
      <c r="F3633" s="568">
        <v>223559</v>
      </c>
      <c r="G3633" s="568">
        <v>5951</v>
      </c>
      <c r="H3633" s="568">
        <v>18134</v>
      </c>
      <c r="I3633" s="559" t="str">
        <f t="shared" si="54"/>
        <v>GooD</v>
      </c>
    </row>
    <row r="3634" spans="1:9">
      <c r="A3634" s="563" t="s">
        <v>639</v>
      </c>
      <c r="B3634" s="563">
        <v>170000</v>
      </c>
      <c r="C3634" s="564">
        <v>18</v>
      </c>
      <c r="D3634" s="564">
        <v>0.315</v>
      </c>
      <c r="E3634" s="564">
        <v>80342</v>
      </c>
      <c r="F3634" s="564">
        <v>250342</v>
      </c>
      <c r="G3634" s="564">
        <v>8926</v>
      </c>
      <c r="H3634" s="564">
        <v>13412</v>
      </c>
      <c r="I3634" s="557" t="str">
        <f t="shared" si="54"/>
        <v>GooD</v>
      </c>
    </row>
    <row r="3635" spans="1:9" ht="15.75" thickBot="1">
      <c r="A3635" s="565" t="s">
        <v>639</v>
      </c>
      <c r="B3635" s="565">
        <v>170000</v>
      </c>
      <c r="C3635" s="566">
        <v>24</v>
      </c>
      <c r="D3635" s="566">
        <v>0.315</v>
      </c>
      <c r="E3635" s="566">
        <v>107101</v>
      </c>
      <c r="F3635" s="566">
        <v>277101</v>
      </c>
      <c r="G3635" s="566">
        <v>11901</v>
      </c>
      <c r="H3635" s="566">
        <v>11050</v>
      </c>
      <c r="I3635" s="558" t="str">
        <f t="shared" si="54"/>
        <v>GooD</v>
      </c>
    </row>
    <row r="3636" spans="1:9" ht="15.75" thickTop="1">
      <c r="A3636" s="567" t="s">
        <v>639</v>
      </c>
      <c r="B3636" s="567">
        <v>171000</v>
      </c>
      <c r="C3636" s="568">
        <v>12</v>
      </c>
      <c r="D3636" s="568">
        <v>0.315</v>
      </c>
      <c r="E3636" s="568">
        <v>53866</v>
      </c>
      <c r="F3636" s="568">
        <v>224866</v>
      </c>
      <c r="G3636" s="568">
        <v>5986</v>
      </c>
      <c r="H3636" s="568">
        <v>18240</v>
      </c>
      <c r="I3636" s="559" t="str">
        <f t="shared" si="54"/>
        <v>GooD</v>
      </c>
    </row>
    <row r="3637" spans="1:9">
      <c r="A3637" s="563" t="s">
        <v>639</v>
      </c>
      <c r="B3637" s="563">
        <v>171000</v>
      </c>
      <c r="C3637" s="564">
        <v>18</v>
      </c>
      <c r="D3637" s="564">
        <v>0.315</v>
      </c>
      <c r="E3637" s="564">
        <v>80798</v>
      </c>
      <c r="F3637" s="564">
        <v>251798</v>
      </c>
      <c r="G3637" s="564">
        <v>8978</v>
      </c>
      <c r="H3637" s="564">
        <v>13490</v>
      </c>
      <c r="I3637" s="557" t="str">
        <f t="shared" si="54"/>
        <v>GooD</v>
      </c>
    </row>
    <row r="3638" spans="1:9" ht="15.75" thickBot="1">
      <c r="A3638" s="565" t="s">
        <v>639</v>
      </c>
      <c r="B3638" s="565">
        <v>171000</v>
      </c>
      <c r="C3638" s="566">
        <v>24</v>
      </c>
      <c r="D3638" s="566">
        <v>0.315</v>
      </c>
      <c r="E3638" s="566">
        <v>107731</v>
      </c>
      <c r="F3638" s="566">
        <v>278731</v>
      </c>
      <c r="G3638" s="566">
        <v>11971</v>
      </c>
      <c r="H3638" s="566">
        <v>11115</v>
      </c>
      <c r="I3638" s="558" t="str">
        <f t="shared" si="54"/>
        <v>GooD</v>
      </c>
    </row>
    <row r="3639" spans="1:9" ht="15.75" thickTop="1">
      <c r="A3639" s="567" t="s">
        <v>639</v>
      </c>
      <c r="B3639" s="567">
        <v>172000</v>
      </c>
      <c r="C3639" s="568">
        <v>12</v>
      </c>
      <c r="D3639" s="568">
        <v>0.315</v>
      </c>
      <c r="E3639" s="568">
        <v>54185</v>
      </c>
      <c r="F3639" s="568">
        <v>226185</v>
      </c>
      <c r="G3639" s="568">
        <v>6021</v>
      </c>
      <c r="H3639" s="568">
        <v>18347</v>
      </c>
      <c r="I3639" s="559" t="str">
        <f t="shared" si="54"/>
        <v>GooD</v>
      </c>
    </row>
    <row r="3640" spans="1:9">
      <c r="A3640" s="563" t="s">
        <v>639</v>
      </c>
      <c r="B3640" s="563">
        <v>172000</v>
      </c>
      <c r="C3640" s="564">
        <v>18</v>
      </c>
      <c r="D3640" s="564">
        <v>0.315</v>
      </c>
      <c r="E3640" s="564">
        <v>81273</v>
      </c>
      <c r="F3640" s="564">
        <v>253273</v>
      </c>
      <c r="G3640" s="564">
        <v>9031</v>
      </c>
      <c r="H3640" s="564">
        <v>13569</v>
      </c>
      <c r="I3640" s="557" t="str">
        <f t="shared" si="54"/>
        <v>GooD</v>
      </c>
    </row>
    <row r="3641" spans="1:9" ht="15.75" thickBot="1">
      <c r="A3641" s="565" t="s">
        <v>639</v>
      </c>
      <c r="B3641" s="565">
        <v>172000</v>
      </c>
      <c r="C3641" s="566">
        <v>24</v>
      </c>
      <c r="D3641" s="566">
        <v>0.315</v>
      </c>
      <c r="E3641" s="566">
        <v>108361</v>
      </c>
      <c r="F3641" s="566">
        <v>280361</v>
      </c>
      <c r="G3641" s="566">
        <v>12041</v>
      </c>
      <c r="H3641" s="566">
        <v>11180</v>
      </c>
      <c r="I3641" s="558" t="str">
        <f t="shared" si="54"/>
        <v>GooD</v>
      </c>
    </row>
    <row r="3642" spans="1:9" ht="15.75" thickTop="1">
      <c r="A3642" s="567" t="s">
        <v>639</v>
      </c>
      <c r="B3642" s="567">
        <v>173000</v>
      </c>
      <c r="C3642" s="568">
        <v>12</v>
      </c>
      <c r="D3642" s="568">
        <v>0.315</v>
      </c>
      <c r="E3642" s="568">
        <v>54504</v>
      </c>
      <c r="F3642" s="568">
        <v>227504</v>
      </c>
      <c r="G3642" s="568">
        <v>6056</v>
      </c>
      <c r="H3642" s="568">
        <v>18454</v>
      </c>
      <c r="I3642" s="559" t="str">
        <f t="shared" si="54"/>
        <v>GooD</v>
      </c>
    </row>
    <row r="3643" spans="1:9">
      <c r="A3643" s="563" t="s">
        <v>639</v>
      </c>
      <c r="B3643" s="563">
        <v>173000</v>
      </c>
      <c r="C3643" s="564">
        <v>18</v>
      </c>
      <c r="D3643" s="564">
        <v>0.315</v>
      </c>
      <c r="E3643" s="564">
        <v>81747</v>
      </c>
      <c r="F3643" s="564">
        <v>254747</v>
      </c>
      <c r="G3643" s="564">
        <v>9083</v>
      </c>
      <c r="H3643" s="564">
        <v>13648</v>
      </c>
      <c r="I3643" s="557" t="str">
        <f t="shared" si="54"/>
        <v>GooD</v>
      </c>
    </row>
    <row r="3644" spans="1:9" ht="15.75" thickBot="1">
      <c r="A3644" s="565" t="s">
        <v>639</v>
      </c>
      <c r="B3644" s="565">
        <v>173000</v>
      </c>
      <c r="C3644" s="566">
        <v>24</v>
      </c>
      <c r="D3644" s="566">
        <v>0.315</v>
      </c>
      <c r="E3644" s="566">
        <v>108991</v>
      </c>
      <c r="F3644" s="566">
        <v>281991</v>
      </c>
      <c r="G3644" s="566">
        <v>12111</v>
      </c>
      <c r="H3644" s="566">
        <v>11245</v>
      </c>
      <c r="I3644" s="558" t="str">
        <f t="shared" si="54"/>
        <v>GooD</v>
      </c>
    </row>
    <row r="3645" spans="1:9" ht="15.75" thickTop="1">
      <c r="A3645" s="567" t="s">
        <v>639</v>
      </c>
      <c r="B3645" s="567">
        <v>174000</v>
      </c>
      <c r="C3645" s="568">
        <v>12</v>
      </c>
      <c r="D3645" s="568">
        <v>0.315</v>
      </c>
      <c r="E3645" s="568">
        <v>54811</v>
      </c>
      <c r="F3645" s="568">
        <v>228811</v>
      </c>
      <c r="G3645" s="568">
        <v>6091</v>
      </c>
      <c r="H3645" s="568">
        <v>18560</v>
      </c>
      <c r="I3645" s="559" t="str">
        <f t="shared" si="54"/>
        <v>GooD</v>
      </c>
    </row>
    <row r="3646" spans="1:9">
      <c r="A3646" s="563" t="s">
        <v>639</v>
      </c>
      <c r="B3646" s="563">
        <v>174000</v>
      </c>
      <c r="C3646" s="564">
        <v>18</v>
      </c>
      <c r="D3646" s="564">
        <v>0.315</v>
      </c>
      <c r="E3646" s="564">
        <v>82222</v>
      </c>
      <c r="F3646" s="564">
        <v>256222</v>
      </c>
      <c r="G3646" s="564">
        <v>9136</v>
      </c>
      <c r="H3646" s="564">
        <v>13727</v>
      </c>
      <c r="I3646" s="557" t="str">
        <f t="shared" si="54"/>
        <v>GooD</v>
      </c>
    </row>
    <row r="3647" spans="1:9" ht="15.75" thickBot="1">
      <c r="A3647" s="565" t="s">
        <v>639</v>
      </c>
      <c r="B3647" s="565">
        <v>174000</v>
      </c>
      <c r="C3647" s="566">
        <v>24</v>
      </c>
      <c r="D3647" s="566">
        <v>0.315</v>
      </c>
      <c r="E3647" s="566">
        <v>109621</v>
      </c>
      <c r="F3647" s="566">
        <v>283621</v>
      </c>
      <c r="G3647" s="566">
        <v>12181</v>
      </c>
      <c r="H3647" s="566">
        <v>11310</v>
      </c>
      <c r="I3647" s="558" t="str">
        <f t="shared" si="54"/>
        <v>GooD</v>
      </c>
    </row>
    <row r="3648" spans="1:9" ht="15.75" thickTop="1">
      <c r="A3648" s="567" t="s">
        <v>639</v>
      </c>
      <c r="B3648" s="567">
        <v>175000</v>
      </c>
      <c r="C3648" s="568">
        <v>12</v>
      </c>
      <c r="D3648" s="568">
        <v>0.315</v>
      </c>
      <c r="E3648" s="568">
        <v>55130</v>
      </c>
      <c r="F3648" s="568">
        <v>230130</v>
      </c>
      <c r="G3648" s="568">
        <v>6126</v>
      </c>
      <c r="H3648" s="568">
        <v>18667</v>
      </c>
      <c r="I3648" s="559" t="str">
        <f t="shared" si="54"/>
        <v>GooD</v>
      </c>
    </row>
    <row r="3649" spans="1:9">
      <c r="A3649" s="563" t="s">
        <v>639</v>
      </c>
      <c r="B3649" s="563">
        <v>175000</v>
      </c>
      <c r="C3649" s="564">
        <v>18</v>
      </c>
      <c r="D3649" s="564">
        <v>0.315</v>
      </c>
      <c r="E3649" s="564">
        <v>82696</v>
      </c>
      <c r="F3649" s="564">
        <v>257696</v>
      </c>
      <c r="G3649" s="564">
        <v>9188</v>
      </c>
      <c r="H3649" s="564">
        <v>13806</v>
      </c>
      <c r="I3649" s="557" t="str">
        <f t="shared" si="54"/>
        <v>GooD</v>
      </c>
    </row>
    <row r="3650" spans="1:9" ht="15.75" thickBot="1">
      <c r="A3650" s="565" t="s">
        <v>639</v>
      </c>
      <c r="B3650" s="565">
        <v>175000</v>
      </c>
      <c r="C3650" s="566">
        <v>24</v>
      </c>
      <c r="D3650" s="566">
        <v>0.315</v>
      </c>
      <c r="E3650" s="566">
        <v>110251</v>
      </c>
      <c r="F3650" s="566">
        <v>285251</v>
      </c>
      <c r="G3650" s="566">
        <v>12251</v>
      </c>
      <c r="H3650" s="566">
        <v>11375</v>
      </c>
      <c r="I3650" s="558" t="str">
        <f t="shared" si="54"/>
        <v>GooD</v>
      </c>
    </row>
    <row r="3651" spans="1:9" ht="15.75" thickTop="1">
      <c r="A3651" s="567" t="s">
        <v>639</v>
      </c>
      <c r="B3651" s="567">
        <v>176000</v>
      </c>
      <c r="C3651" s="568">
        <v>12</v>
      </c>
      <c r="D3651" s="568">
        <v>0.315</v>
      </c>
      <c r="E3651" s="568">
        <v>55449</v>
      </c>
      <c r="F3651" s="568">
        <v>231449</v>
      </c>
      <c r="G3651" s="568">
        <v>6161</v>
      </c>
      <c r="H3651" s="568">
        <v>18774</v>
      </c>
      <c r="I3651" s="559" t="str">
        <f t="shared" si="54"/>
        <v>GooD</v>
      </c>
    </row>
    <row r="3652" spans="1:9">
      <c r="A3652" s="563" t="s">
        <v>639</v>
      </c>
      <c r="B3652" s="563">
        <v>176000</v>
      </c>
      <c r="C3652" s="564">
        <v>18</v>
      </c>
      <c r="D3652" s="564">
        <v>0.315</v>
      </c>
      <c r="E3652" s="564">
        <v>83171</v>
      </c>
      <c r="F3652" s="564">
        <v>259171</v>
      </c>
      <c r="G3652" s="564">
        <v>9241</v>
      </c>
      <c r="H3652" s="564">
        <v>13885</v>
      </c>
      <c r="I3652" s="557" t="str">
        <f t="shared" si="54"/>
        <v>GooD</v>
      </c>
    </row>
    <row r="3653" spans="1:9" ht="15.75" thickBot="1">
      <c r="A3653" s="565" t="s">
        <v>639</v>
      </c>
      <c r="B3653" s="565">
        <v>176000</v>
      </c>
      <c r="C3653" s="566">
        <v>24</v>
      </c>
      <c r="D3653" s="566">
        <v>0.315</v>
      </c>
      <c r="E3653" s="566">
        <v>110881</v>
      </c>
      <c r="F3653" s="566">
        <v>286881</v>
      </c>
      <c r="G3653" s="566">
        <v>12321</v>
      </c>
      <c r="H3653" s="566">
        <v>11440</v>
      </c>
      <c r="I3653" s="558" t="str">
        <f t="shared" si="54"/>
        <v>GooD</v>
      </c>
    </row>
    <row r="3654" spans="1:9" ht="15.75" thickTop="1">
      <c r="A3654" s="567" t="s">
        <v>639</v>
      </c>
      <c r="B3654" s="567">
        <v>177000</v>
      </c>
      <c r="C3654" s="568">
        <v>12</v>
      </c>
      <c r="D3654" s="568">
        <v>0.315</v>
      </c>
      <c r="E3654" s="568">
        <v>55756</v>
      </c>
      <c r="F3654" s="568">
        <v>232756</v>
      </c>
      <c r="G3654" s="568">
        <v>6196</v>
      </c>
      <c r="H3654" s="568">
        <v>18880</v>
      </c>
      <c r="I3654" s="559" t="str">
        <f t="shared" si="54"/>
        <v>GooD</v>
      </c>
    </row>
    <row r="3655" spans="1:9">
      <c r="A3655" s="563" t="s">
        <v>639</v>
      </c>
      <c r="B3655" s="563">
        <v>177000</v>
      </c>
      <c r="C3655" s="564">
        <v>18</v>
      </c>
      <c r="D3655" s="564">
        <v>0.315</v>
      </c>
      <c r="E3655" s="564">
        <v>83645</v>
      </c>
      <c r="F3655" s="564">
        <v>260645</v>
      </c>
      <c r="G3655" s="564">
        <v>9293</v>
      </c>
      <c r="H3655" s="564">
        <v>13964</v>
      </c>
      <c r="I3655" s="557" t="str">
        <f t="shared" si="54"/>
        <v>GooD</v>
      </c>
    </row>
    <row r="3656" spans="1:9" ht="15.75" thickBot="1">
      <c r="A3656" s="565" t="s">
        <v>639</v>
      </c>
      <c r="B3656" s="565">
        <v>177000</v>
      </c>
      <c r="C3656" s="566">
        <v>24</v>
      </c>
      <c r="D3656" s="566">
        <v>0.315</v>
      </c>
      <c r="E3656" s="566">
        <v>111511</v>
      </c>
      <c r="F3656" s="566">
        <v>288511</v>
      </c>
      <c r="G3656" s="566">
        <v>12391</v>
      </c>
      <c r="H3656" s="566">
        <v>11505</v>
      </c>
      <c r="I3656" s="558" t="str">
        <f t="shared" si="54"/>
        <v>GooD</v>
      </c>
    </row>
    <row r="3657" spans="1:9" ht="15.75" thickTop="1">
      <c r="A3657" s="567" t="s">
        <v>639</v>
      </c>
      <c r="B3657" s="567">
        <v>178000</v>
      </c>
      <c r="C3657" s="568">
        <v>12</v>
      </c>
      <c r="D3657" s="568">
        <v>0.315</v>
      </c>
      <c r="E3657" s="568">
        <v>56075</v>
      </c>
      <c r="F3657" s="568">
        <v>234075</v>
      </c>
      <c r="G3657" s="568">
        <v>6231</v>
      </c>
      <c r="H3657" s="568">
        <v>18987</v>
      </c>
      <c r="I3657" s="559" t="str">
        <f t="shared" si="54"/>
        <v>GooD</v>
      </c>
    </row>
    <row r="3658" spans="1:9">
      <c r="A3658" s="563" t="s">
        <v>639</v>
      </c>
      <c r="B3658" s="563">
        <v>178000</v>
      </c>
      <c r="C3658" s="564">
        <v>18</v>
      </c>
      <c r="D3658" s="564">
        <v>0.315</v>
      </c>
      <c r="E3658" s="564">
        <v>84120</v>
      </c>
      <c r="F3658" s="564">
        <v>262120</v>
      </c>
      <c r="G3658" s="564">
        <v>9346</v>
      </c>
      <c r="H3658" s="564">
        <v>14043</v>
      </c>
      <c r="I3658" s="557" t="str">
        <f t="shared" si="54"/>
        <v>GooD</v>
      </c>
    </row>
    <row r="3659" spans="1:9" ht="15.75" thickBot="1">
      <c r="A3659" s="573" t="s">
        <v>639</v>
      </c>
      <c r="B3659" s="573">
        <v>178000</v>
      </c>
      <c r="C3659" s="574">
        <v>24</v>
      </c>
      <c r="D3659" s="574">
        <v>0.315</v>
      </c>
      <c r="E3659" s="574">
        <v>112141</v>
      </c>
      <c r="F3659" s="574">
        <v>290141</v>
      </c>
      <c r="G3659" s="574">
        <v>12461</v>
      </c>
      <c r="H3659" s="574">
        <v>11570</v>
      </c>
      <c r="I3659" s="558" t="str">
        <f t="shared" si="54"/>
        <v>GooD</v>
      </c>
    </row>
    <row r="3660" spans="1:9" ht="15.75" thickTop="1">
      <c r="A3660" s="575" t="s">
        <v>639</v>
      </c>
      <c r="B3660" s="575">
        <v>179000</v>
      </c>
      <c r="C3660" s="576">
        <v>12</v>
      </c>
      <c r="D3660" s="576">
        <v>0.315</v>
      </c>
      <c r="E3660" s="576">
        <v>56394</v>
      </c>
      <c r="F3660" s="576">
        <v>235394</v>
      </c>
      <c r="G3660" s="576">
        <v>6266</v>
      </c>
      <c r="H3660" s="576">
        <v>19094</v>
      </c>
    </row>
    <row r="3661" spans="1:9">
      <c r="A3661" s="575" t="s">
        <v>639</v>
      </c>
      <c r="B3661" s="575">
        <v>179000</v>
      </c>
      <c r="C3661" s="576">
        <v>18</v>
      </c>
      <c r="D3661" s="576">
        <v>0.315</v>
      </c>
      <c r="E3661" s="576">
        <v>84594</v>
      </c>
      <c r="F3661" s="576">
        <v>263594</v>
      </c>
      <c r="G3661" s="576">
        <v>9398</v>
      </c>
      <c r="H3661" s="576">
        <v>14122</v>
      </c>
    </row>
    <row r="3662" spans="1:9">
      <c r="A3662" s="575" t="s">
        <v>639</v>
      </c>
      <c r="B3662" s="575">
        <v>179000</v>
      </c>
      <c r="C3662" s="576">
        <v>24</v>
      </c>
      <c r="D3662" s="576">
        <v>0.315</v>
      </c>
      <c r="E3662" s="576">
        <v>112771</v>
      </c>
      <c r="F3662" s="576">
        <v>291771</v>
      </c>
      <c r="G3662" s="576">
        <v>12531</v>
      </c>
      <c r="H3662" s="576">
        <v>11635</v>
      </c>
    </row>
    <row r="3663" spans="1:9">
      <c r="A3663" s="575" t="s">
        <v>639</v>
      </c>
      <c r="B3663" s="575">
        <v>180000</v>
      </c>
      <c r="C3663" s="576">
        <v>12</v>
      </c>
      <c r="D3663" s="576">
        <v>0.315</v>
      </c>
      <c r="E3663" s="576">
        <v>56701</v>
      </c>
      <c r="F3663" s="576">
        <v>236701</v>
      </c>
      <c r="G3663" s="576">
        <v>6301</v>
      </c>
      <c r="H3663" s="576">
        <v>19200</v>
      </c>
    </row>
    <row r="3664" spans="1:9">
      <c r="A3664" s="575" t="s">
        <v>639</v>
      </c>
      <c r="B3664" s="575">
        <v>180000</v>
      </c>
      <c r="C3664" s="576">
        <v>18</v>
      </c>
      <c r="D3664" s="576">
        <v>0.315</v>
      </c>
      <c r="E3664" s="576">
        <v>85051</v>
      </c>
      <c r="F3664" s="576">
        <v>265051</v>
      </c>
      <c r="G3664" s="576">
        <v>9451</v>
      </c>
      <c r="H3664" s="576">
        <v>14200</v>
      </c>
    </row>
    <row r="3665" spans="1:8">
      <c r="A3665" s="575" t="s">
        <v>639</v>
      </c>
      <c r="B3665" s="575">
        <v>180000</v>
      </c>
      <c r="C3665" s="576">
        <v>24</v>
      </c>
      <c r="D3665" s="576">
        <v>0.315</v>
      </c>
      <c r="E3665" s="576">
        <v>113401</v>
      </c>
      <c r="F3665" s="576">
        <v>293401</v>
      </c>
      <c r="G3665" s="576">
        <v>12601</v>
      </c>
      <c r="H3665" s="576">
        <v>11700</v>
      </c>
    </row>
    <row r="3666" spans="1:8">
      <c r="A3666" s="575" t="s">
        <v>639</v>
      </c>
      <c r="B3666" s="575">
        <v>181000</v>
      </c>
      <c r="C3666" s="576">
        <v>12</v>
      </c>
      <c r="D3666" s="576">
        <v>0.315</v>
      </c>
      <c r="E3666" s="576">
        <v>57020</v>
      </c>
      <c r="F3666" s="576">
        <v>238020</v>
      </c>
      <c r="G3666" s="576">
        <v>6336</v>
      </c>
      <c r="H3666" s="576">
        <v>19307</v>
      </c>
    </row>
    <row r="3667" spans="1:8">
      <c r="A3667" s="575" t="s">
        <v>639</v>
      </c>
      <c r="B3667" s="575">
        <v>181000</v>
      </c>
      <c r="C3667" s="576">
        <v>18</v>
      </c>
      <c r="D3667" s="576">
        <v>0.315</v>
      </c>
      <c r="E3667" s="576">
        <v>85525</v>
      </c>
      <c r="F3667" s="576">
        <v>266525</v>
      </c>
      <c r="G3667" s="576">
        <v>9503</v>
      </c>
      <c r="H3667" s="576">
        <v>14279</v>
      </c>
    </row>
    <row r="3668" spans="1:8">
      <c r="A3668" s="575" t="s">
        <v>639</v>
      </c>
      <c r="B3668" s="575">
        <v>181000</v>
      </c>
      <c r="C3668" s="576">
        <v>24</v>
      </c>
      <c r="D3668" s="576">
        <v>0.315</v>
      </c>
      <c r="E3668" s="576">
        <v>114031</v>
      </c>
      <c r="F3668" s="576">
        <v>295031</v>
      </c>
      <c r="G3668" s="576">
        <v>12671</v>
      </c>
      <c r="H3668" s="576">
        <v>11765</v>
      </c>
    </row>
    <row r="3669" spans="1:8">
      <c r="A3669" s="575" t="s">
        <v>639</v>
      </c>
      <c r="B3669" s="575">
        <v>182000</v>
      </c>
      <c r="C3669" s="576">
        <v>12</v>
      </c>
      <c r="D3669" s="576">
        <v>0.315</v>
      </c>
      <c r="E3669" s="576">
        <v>57339</v>
      </c>
      <c r="F3669" s="576">
        <v>239339</v>
      </c>
      <c r="G3669" s="576">
        <v>6371</v>
      </c>
      <c r="H3669" s="576">
        <v>19414</v>
      </c>
    </row>
    <row r="3670" spans="1:8">
      <c r="A3670" s="575" t="s">
        <v>639</v>
      </c>
      <c r="B3670" s="575">
        <v>182000</v>
      </c>
      <c r="C3670" s="576">
        <v>18</v>
      </c>
      <c r="D3670" s="576">
        <v>0.315</v>
      </c>
      <c r="E3670" s="576">
        <v>86000</v>
      </c>
      <c r="F3670" s="576">
        <v>268000</v>
      </c>
      <c r="G3670" s="576">
        <v>9556</v>
      </c>
      <c r="H3670" s="576">
        <v>14358</v>
      </c>
    </row>
    <row r="3671" spans="1:8">
      <c r="A3671" s="575" t="s">
        <v>639</v>
      </c>
      <c r="B3671" s="575">
        <v>182000</v>
      </c>
      <c r="C3671" s="576">
        <v>24</v>
      </c>
      <c r="D3671" s="576">
        <v>0.315</v>
      </c>
      <c r="E3671" s="576">
        <v>114661</v>
      </c>
      <c r="F3671" s="576">
        <v>296661</v>
      </c>
      <c r="G3671" s="576">
        <v>12741</v>
      </c>
      <c r="H3671" s="576">
        <v>11830</v>
      </c>
    </row>
    <row r="3672" spans="1:8">
      <c r="A3672" s="575" t="s">
        <v>639</v>
      </c>
      <c r="B3672" s="575">
        <v>183000</v>
      </c>
      <c r="C3672" s="576">
        <v>12</v>
      </c>
      <c r="D3672" s="576">
        <v>0.315</v>
      </c>
      <c r="E3672" s="576">
        <v>57646</v>
      </c>
      <c r="F3672" s="576">
        <v>240646</v>
      </c>
      <c r="G3672" s="576">
        <v>6406</v>
      </c>
      <c r="H3672" s="576">
        <v>19520</v>
      </c>
    </row>
    <row r="3673" spans="1:8">
      <c r="A3673" s="575" t="s">
        <v>639</v>
      </c>
      <c r="B3673" s="575">
        <v>183000</v>
      </c>
      <c r="C3673" s="576">
        <v>18</v>
      </c>
      <c r="D3673" s="576">
        <v>0.315</v>
      </c>
      <c r="E3673" s="576">
        <v>86474</v>
      </c>
      <c r="F3673" s="576">
        <v>269474</v>
      </c>
      <c r="G3673" s="576">
        <v>9608</v>
      </c>
      <c r="H3673" s="576">
        <v>14437</v>
      </c>
    </row>
    <row r="3674" spans="1:8">
      <c r="A3674" s="575" t="s">
        <v>639</v>
      </c>
      <c r="B3674" s="575">
        <v>183000</v>
      </c>
      <c r="C3674" s="576">
        <v>24</v>
      </c>
      <c r="D3674" s="576">
        <v>0.315</v>
      </c>
      <c r="E3674" s="576">
        <v>115291</v>
      </c>
      <c r="F3674" s="576">
        <v>298291</v>
      </c>
      <c r="G3674" s="576">
        <v>12811</v>
      </c>
      <c r="H3674" s="576">
        <v>11895</v>
      </c>
    </row>
    <row r="3675" spans="1:8">
      <c r="A3675" s="575" t="s">
        <v>639</v>
      </c>
      <c r="B3675" s="575">
        <v>184000</v>
      </c>
      <c r="C3675" s="576">
        <v>12</v>
      </c>
      <c r="D3675" s="576">
        <v>0.315</v>
      </c>
      <c r="E3675" s="576">
        <v>57965</v>
      </c>
      <c r="F3675" s="576">
        <v>241965</v>
      </c>
      <c r="G3675" s="576">
        <v>6441</v>
      </c>
      <c r="H3675" s="576">
        <v>19627</v>
      </c>
    </row>
    <row r="3676" spans="1:8">
      <c r="A3676" s="575" t="s">
        <v>639</v>
      </c>
      <c r="B3676" s="575">
        <v>184000</v>
      </c>
      <c r="C3676" s="576">
        <v>18</v>
      </c>
      <c r="D3676" s="576">
        <v>0.315</v>
      </c>
      <c r="E3676" s="576">
        <v>86949</v>
      </c>
      <c r="F3676" s="576">
        <v>270949</v>
      </c>
      <c r="G3676" s="576">
        <v>9661</v>
      </c>
      <c r="H3676" s="576">
        <v>14516</v>
      </c>
    </row>
    <row r="3677" spans="1:8">
      <c r="A3677" s="575" t="s">
        <v>639</v>
      </c>
      <c r="B3677" s="575">
        <v>184000</v>
      </c>
      <c r="C3677" s="576">
        <v>24</v>
      </c>
      <c r="D3677" s="576">
        <v>0.315</v>
      </c>
      <c r="E3677" s="576">
        <v>115921</v>
      </c>
      <c r="F3677" s="576">
        <v>299921</v>
      </c>
      <c r="G3677" s="576">
        <v>12881</v>
      </c>
      <c r="H3677" s="576">
        <v>11960</v>
      </c>
    </row>
    <row r="3678" spans="1:8">
      <c r="A3678" s="575" t="s">
        <v>639</v>
      </c>
      <c r="B3678" s="575">
        <v>185000</v>
      </c>
      <c r="C3678" s="576">
        <v>12</v>
      </c>
      <c r="D3678" s="576">
        <v>0.315</v>
      </c>
      <c r="E3678" s="576">
        <v>58284</v>
      </c>
      <c r="F3678" s="576">
        <v>243284</v>
      </c>
      <c r="G3678" s="576">
        <v>6476</v>
      </c>
      <c r="H3678" s="576">
        <v>19734</v>
      </c>
    </row>
    <row r="3679" spans="1:8">
      <c r="A3679" s="575" t="s">
        <v>639</v>
      </c>
      <c r="B3679" s="575">
        <v>185000</v>
      </c>
      <c r="C3679" s="576">
        <v>18</v>
      </c>
      <c r="D3679" s="576">
        <v>0.315</v>
      </c>
      <c r="E3679" s="576">
        <v>87423</v>
      </c>
      <c r="F3679" s="576">
        <v>272423</v>
      </c>
      <c r="G3679" s="576">
        <v>9713</v>
      </c>
      <c r="H3679" s="576">
        <v>14595</v>
      </c>
    </row>
    <row r="3680" spans="1:8">
      <c r="A3680" s="575" t="s">
        <v>639</v>
      </c>
      <c r="B3680" s="575">
        <v>185000</v>
      </c>
      <c r="C3680" s="576">
        <v>24</v>
      </c>
      <c r="D3680" s="576">
        <v>0.315</v>
      </c>
      <c r="E3680" s="576">
        <v>116551</v>
      </c>
      <c r="F3680" s="576">
        <v>301551</v>
      </c>
      <c r="G3680" s="576">
        <v>12951</v>
      </c>
      <c r="H3680" s="576">
        <v>12025</v>
      </c>
    </row>
    <row r="3681" spans="1:8">
      <c r="A3681" s="575" t="s">
        <v>639</v>
      </c>
      <c r="B3681" s="575">
        <v>186000</v>
      </c>
      <c r="C3681" s="576">
        <v>12</v>
      </c>
      <c r="D3681" s="576">
        <v>0.315</v>
      </c>
      <c r="E3681" s="576">
        <v>58591</v>
      </c>
      <c r="F3681" s="576">
        <v>244591</v>
      </c>
      <c r="G3681" s="576">
        <v>6511</v>
      </c>
      <c r="H3681" s="576">
        <v>19840</v>
      </c>
    </row>
    <row r="3682" spans="1:8">
      <c r="A3682" s="575" t="s">
        <v>639</v>
      </c>
      <c r="B3682" s="575">
        <v>186000</v>
      </c>
      <c r="C3682" s="576">
        <v>18</v>
      </c>
      <c r="D3682" s="576">
        <v>0.315</v>
      </c>
      <c r="E3682" s="576">
        <v>87898</v>
      </c>
      <c r="F3682" s="576">
        <v>273898</v>
      </c>
      <c r="G3682" s="576">
        <v>9766</v>
      </c>
      <c r="H3682" s="576">
        <v>14674</v>
      </c>
    </row>
    <row r="3683" spans="1:8">
      <c r="A3683" s="575" t="s">
        <v>639</v>
      </c>
      <c r="B3683" s="575">
        <v>186000</v>
      </c>
      <c r="C3683" s="576">
        <v>24</v>
      </c>
      <c r="D3683" s="576">
        <v>0.315</v>
      </c>
      <c r="E3683" s="576">
        <v>117181</v>
      </c>
      <c r="F3683" s="576">
        <v>303181</v>
      </c>
      <c r="G3683" s="576">
        <v>13021</v>
      </c>
      <c r="H3683" s="576">
        <v>12090</v>
      </c>
    </row>
    <row r="3684" spans="1:8">
      <c r="A3684" s="575" t="s">
        <v>639</v>
      </c>
      <c r="B3684" s="575">
        <v>187000</v>
      </c>
      <c r="C3684" s="576">
        <v>12</v>
      </c>
      <c r="D3684" s="576">
        <v>0.315</v>
      </c>
      <c r="E3684" s="576">
        <v>58910</v>
      </c>
      <c r="F3684" s="576">
        <v>245910</v>
      </c>
      <c r="G3684" s="576">
        <v>6546</v>
      </c>
      <c r="H3684" s="576">
        <v>19947</v>
      </c>
    </row>
    <row r="3685" spans="1:8">
      <c r="A3685" s="575" t="s">
        <v>639</v>
      </c>
      <c r="B3685" s="575">
        <v>187000</v>
      </c>
      <c r="C3685" s="576">
        <v>18</v>
      </c>
      <c r="D3685" s="576">
        <v>0.315</v>
      </c>
      <c r="E3685" s="576">
        <v>88372</v>
      </c>
      <c r="F3685" s="576">
        <v>275372</v>
      </c>
      <c r="G3685" s="576">
        <v>9818</v>
      </c>
      <c r="H3685" s="576">
        <v>14753</v>
      </c>
    </row>
    <row r="3686" spans="1:8">
      <c r="A3686" s="575" t="s">
        <v>639</v>
      </c>
      <c r="B3686" s="575">
        <v>187000</v>
      </c>
      <c r="C3686" s="576">
        <v>24</v>
      </c>
      <c r="D3686" s="576">
        <v>0.315</v>
      </c>
      <c r="E3686" s="576">
        <v>117811</v>
      </c>
      <c r="F3686" s="576">
        <v>304811</v>
      </c>
      <c r="G3686" s="576">
        <v>13091</v>
      </c>
      <c r="H3686" s="576">
        <v>12155</v>
      </c>
    </row>
    <row r="3687" spans="1:8">
      <c r="A3687" s="575" t="s">
        <v>639</v>
      </c>
      <c r="B3687" s="575">
        <v>188000</v>
      </c>
      <c r="C3687" s="576">
        <v>12</v>
      </c>
      <c r="D3687" s="576">
        <v>0.315</v>
      </c>
      <c r="E3687" s="576">
        <v>59229</v>
      </c>
      <c r="F3687" s="576">
        <v>247229</v>
      </c>
      <c r="G3687" s="576">
        <v>6581</v>
      </c>
      <c r="H3687" s="576">
        <v>20054</v>
      </c>
    </row>
    <row r="3688" spans="1:8">
      <c r="A3688" s="575" t="s">
        <v>639</v>
      </c>
      <c r="B3688" s="575">
        <v>188000</v>
      </c>
      <c r="C3688" s="576">
        <v>18</v>
      </c>
      <c r="D3688" s="576">
        <v>0.315</v>
      </c>
      <c r="E3688" s="576">
        <v>88847</v>
      </c>
      <c r="F3688" s="576">
        <v>276847</v>
      </c>
      <c r="G3688" s="576">
        <v>9871</v>
      </c>
      <c r="H3688" s="576">
        <v>14832</v>
      </c>
    </row>
    <row r="3689" spans="1:8">
      <c r="A3689" s="575" t="s">
        <v>639</v>
      </c>
      <c r="B3689" s="575">
        <v>188000</v>
      </c>
      <c r="C3689" s="576">
        <v>24</v>
      </c>
      <c r="D3689" s="576">
        <v>0.315</v>
      </c>
      <c r="E3689" s="576">
        <v>118441</v>
      </c>
      <c r="F3689" s="576">
        <v>306441</v>
      </c>
      <c r="G3689" s="576">
        <v>13161</v>
      </c>
      <c r="H3689" s="576">
        <v>12220</v>
      </c>
    </row>
    <row r="3690" spans="1:8">
      <c r="A3690" s="575" t="s">
        <v>639</v>
      </c>
      <c r="B3690" s="575">
        <v>189000</v>
      </c>
      <c r="C3690" s="576">
        <v>12</v>
      </c>
      <c r="D3690" s="576">
        <v>0.315</v>
      </c>
      <c r="E3690" s="576">
        <v>59536</v>
      </c>
      <c r="F3690" s="576">
        <v>248536</v>
      </c>
      <c r="G3690" s="576">
        <v>6616</v>
      </c>
      <c r="H3690" s="576">
        <v>20160</v>
      </c>
    </row>
    <row r="3691" spans="1:8">
      <c r="A3691" s="575" t="s">
        <v>639</v>
      </c>
      <c r="B3691" s="575">
        <v>189000</v>
      </c>
      <c r="C3691" s="576">
        <v>18</v>
      </c>
      <c r="D3691" s="576">
        <v>0.315</v>
      </c>
      <c r="E3691" s="576">
        <v>89303</v>
      </c>
      <c r="F3691" s="576">
        <v>278303</v>
      </c>
      <c r="G3691" s="576">
        <v>9923</v>
      </c>
      <c r="H3691" s="576">
        <v>14910</v>
      </c>
    </row>
    <row r="3692" spans="1:8">
      <c r="A3692" s="575" t="s">
        <v>639</v>
      </c>
      <c r="B3692" s="575">
        <v>189000</v>
      </c>
      <c r="C3692" s="576">
        <v>24</v>
      </c>
      <c r="D3692" s="576">
        <v>0.315</v>
      </c>
      <c r="E3692" s="576">
        <v>119071</v>
      </c>
      <c r="F3692" s="576">
        <v>308071</v>
      </c>
      <c r="G3692" s="576">
        <v>13231</v>
      </c>
      <c r="H3692" s="576">
        <v>12285</v>
      </c>
    </row>
    <row r="3693" spans="1:8">
      <c r="A3693" s="575" t="s">
        <v>639</v>
      </c>
      <c r="B3693" s="575">
        <v>190000</v>
      </c>
      <c r="C3693" s="576">
        <v>12</v>
      </c>
      <c r="D3693" s="576">
        <v>0.315</v>
      </c>
      <c r="E3693" s="576">
        <v>59855</v>
      </c>
      <c r="F3693" s="576">
        <v>249855</v>
      </c>
      <c r="G3693" s="576">
        <v>6651</v>
      </c>
      <c r="H3693" s="576">
        <v>20267</v>
      </c>
    </row>
    <row r="3694" spans="1:8">
      <c r="A3694" s="575" t="s">
        <v>639</v>
      </c>
      <c r="B3694" s="575">
        <v>190000</v>
      </c>
      <c r="C3694" s="576">
        <v>18</v>
      </c>
      <c r="D3694" s="576">
        <v>0.315</v>
      </c>
      <c r="E3694" s="576">
        <v>89778</v>
      </c>
      <c r="F3694" s="576">
        <v>279778</v>
      </c>
      <c r="G3694" s="576">
        <v>9976</v>
      </c>
      <c r="H3694" s="576">
        <v>14989</v>
      </c>
    </row>
    <row r="3695" spans="1:8">
      <c r="A3695" s="575" t="s">
        <v>639</v>
      </c>
      <c r="B3695" s="575">
        <v>190000</v>
      </c>
      <c r="C3695" s="576">
        <v>24</v>
      </c>
      <c r="D3695" s="576">
        <v>0.315</v>
      </c>
      <c r="E3695" s="576">
        <v>119701</v>
      </c>
      <c r="F3695" s="576">
        <v>309701</v>
      </c>
      <c r="G3695" s="576">
        <v>13301</v>
      </c>
      <c r="H3695" s="576">
        <v>12350</v>
      </c>
    </row>
    <row r="3696" spans="1:8">
      <c r="A3696" s="575" t="s">
        <v>639</v>
      </c>
      <c r="B3696" s="575">
        <v>191000</v>
      </c>
      <c r="C3696" s="576">
        <v>12</v>
      </c>
      <c r="D3696" s="576">
        <v>0.315</v>
      </c>
      <c r="E3696" s="576">
        <v>60174</v>
      </c>
      <c r="F3696" s="576">
        <v>251174</v>
      </c>
      <c r="G3696" s="576">
        <v>6686</v>
      </c>
      <c r="H3696" s="576">
        <v>20374</v>
      </c>
    </row>
    <row r="3697" spans="1:8">
      <c r="A3697" s="575" t="s">
        <v>639</v>
      </c>
      <c r="B3697" s="575">
        <v>191000</v>
      </c>
      <c r="C3697" s="576">
        <v>18</v>
      </c>
      <c r="D3697" s="576">
        <v>0.315</v>
      </c>
      <c r="E3697" s="576">
        <v>90252</v>
      </c>
      <c r="F3697" s="576">
        <v>281252</v>
      </c>
      <c r="G3697" s="576">
        <v>10028</v>
      </c>
      <c r="H3697" s="576">
        <v>15068</v>
      </c>
    </row>
    <row r="3698" spans="1:8">
      <c r="A3698" s="575" t="s">
        <v>639</v>
      </c>
      <c r="B3698" s="575">
        <v>191000</v>
      </c>
      <c r="C3698" s="576">
        <v>24</v>
      </c>
      <c r="D3698" s="576">
        <v>0.315</v>
      </c>
      <c r="E3698" s="576">
        <v>120331</v>
      </c>
      <c r="F3698" s="576">
        <v>311331</v>
      </c>
      <c r="G3698" s="576">
        <v>13371</v>
      </c>
      <c r="H3698" s="576">
        <v>12415</v>
      </c>
    </row>
    <row r="3699" spans="1:8">
      <c r="A3699" s="575" t="s">
        <v>639</v>
      </c>
      <c r="B3699" s="575">
        <v>192000</v>
      </c>
      <c r="C3699" s="576">
        <v>12</v>
      </c>
      <c r="D3699" s="576">
        <v>0.315</v>
      </c>
      <c r="E3699" s="576">
        <v>60481</v>
      </c>
      <c r="F3699" s="576">
        <v>252481</v>
      </c>
      <c r="G3699" s="576">
        <v>6721</v>
      </c>
      <c r="H3699" s="576">
        <v>20480</v>
      </c>
    </row>
    <row r="3700" spans="1:8">
      <c r="A3700" s="575" t="s">
        <v>639</v>
      </c>
      <c r="B3700" s="575">
        <v>192000</v>
      </c>
      <c r="C3700" s="576">
        <v>18</v>
      </c>
      <c r="D3700" s="576">
        <v>0.315</v>
      </c>
      <c r="E3700" s="576">
        <v>90727</v>
      </c>
      <c r="F3700" s="576">
        <v>282727</v>
      </c>
      <c r="G3700" s="576">
        <v>10081</v>
      </c>
      <c r="H3700" s="576">
        <v>15147</v>
      </c>
    </row>
    <row r="3701" spans="1:8">
      <c r="A3701" s="575" t="s">
        <v>639</v>
      </c>
      <c r="B3701" s="575">
        <v>192000</v>
      </c>
      <c r="C3701" s="576">
        <v>24</v>
      </c>
      <c r="D3701" s="576">
        <v>0.315</v>
      </c>
      <c r="E3701" s="576">
        <v>120961</v>
      </c>
      <c r="F3701" s="576">
        <v>312961</v>
      </c>
      <c r="G3701" s="576">
        <v>13441</v>
      </c>
      <c r="H3701" s="576">
        <v>12480</v>
      </c>
    </row>
    <row r="3702" spans="1:8">
      <c r="A3702" s="575" t="s">
        <v>639</v>
      </c>
      <c r="B3702" s="575">
        <v>193000</v>
      </c>
      <c r="C3702" s="576">
        <v>12</v>
      </c>
      <c r="D3702" s="576">
        <v>0.315</v>
      </c>
      <c r="E3702" s="576">
        <v>60800</v>
      </c>
      <c r="F3702" s="576">
        <v>253800</v>
      </c>
      <c r="G3702" s="576">
        <v>6756</v>
      </c>
      <c r="H3702" s="576">
        <v>20587</v>
      </c>
    </row>
    <row r="3703" spans="1:8">
      <c r="A3703" s="575" t="s">
        <v>639</v>
      </c>
      <c r="B3703" s="575">
        <v>193000</v>
      </c>
      <c r="C3703" s="576">
        <v>18</v>
      </c>
      <c r="D3703" s="576">
        <v>0.315</v>
      </c>
      <c r="E3703" s="576">
        <v>91201</v>
      </c>
      <c r="F3703" s="576">
        <v>284201</v>
      </c>
      <c r="G3703" s="576">
        <v>10133</v>
      </c>
      <c r="H3703" s="576">
        <v>15226</v>
      </c>
    </row>
    <row r="3704" spans="1:8">
      <c r="A3704" s="575" t="s">
        <v>639</v>
      </c>
      <c r="B3704" s="575">
        <v>193000</v>
      </c>
      <c r="C3704" s="576">
        <v>24</v>
      </c>
      <c r="D3704" s="576">
        <v>0.315</v>
      </c>
      <c r="E3704" s="576">
        <v>121591</v>
      </c>
      <c r="F3704" s="576">
        <v>314591</v>
      </c>
      <c r="G3704" s="576">
        <v>13511</v>
      </c>
      <c r="H3704" s="576">
        <v>12545</v>
      </c>
    </row>
    <row r="3705" spans="1:8">
      <c r="A3705" s="575" t="s">
        <v>639</v>
      </c>
      <c r="B3705" s="575">
        <v>194000</v>
      </c>
      <c r="C3705" s="576">
        <v>12</v>
      </c>
      <c r="D3705" s="576">
        <v>0.315</v>
      </c>
      <c r="E3705" s="576">
        <v>61119</v>
      </c>
      <c r="F3705" s="576">
        <v>255119</v>
      </c>
      <c r="G3705" s="576">
        <v>6791</v>
      </c>
      <c r="H3705" s="576">
        <v>20694</v>
      </c>
    </row>
    <row r="3706" spans="1:8">
      <c r="A3706" s="575" t="s">
        <v>639</v>
      </c>
      <c r="B3706" s="575">
        <v>194000</v>
      </c>
      <c r="C3706" s="576">
        <v>18</v>
      </c>
      <c r="D3706" s="576">
        <v>0.315</v>
      </c>
      <c r="E3706" s="576">
        <v>91676</v>
      </c>
      <c r="F3706" s="576">
        <v>285676</v>
      </c>
      <c r="G3706" s="576">
        <v>10186</v>
      </c>
      <c r="H3706" s="576">
        <v>15305</v>
      </c>
    </row>
    <row r="3707" spans="1:8">
      <c r="A3707" s="575" t="s">
        <v>639</v>
      </c>
      <c r="B3707" s="575">
        <v>194000</v>
      </c>
      <c r="C3707" s="576">
        <v>24</v>
      </c>
      <c r="D3707" s="576">
        <v>0.315</v>
      </c>
      <c r="E3707" s="576">
        <v>122221</v>
      </c>
      <c r="F3707" s="576">
        <v>316221</v>
      </c>
      <c r="G3707" s="576">
        <v>13581</v>
      </c>
      <c r="H3707" s="576">
        <v>12610</v>
      </c>
    </row>
    <row r="3708" spans="1:8">
      <c r="A3708" s="575" t="s">
        <v>639</v>
      </c>
      <c r="B3708" s="575">
        <v>195000</v>
      </c>
      <c r="C3708" s="576">
        <v>12</v>
      </c>
      <c r="D3708" s="576">
        <v>0.315</v>
      </c>
      <c r="E3708" s="576">
        <v>61426</v>
      </c>
      <c r="F3708" s="576">
        <v>256426</v>
      </c>
      <c r="G3708" s="576">
        <v>6826</v>
      </c>
      <c r="H3708" s="576">
        <v>20800</v>
      </c>
    </row>
    <row r="3709" spans="1:8">
      <c r="A3709" s="575" t="s">
        <v>639</v>
      </c>
      <c r="B3709" s="575">
        <v>195000</v>
      </c>
      <c r="C3709" s="576">
        <v>18</v>
      </c>
      <c r="D3709" s="576">
        <v>0.315</v>
      </c>
      <c r="E3709" s="576">
        <v>92150</v>
      </c>
      <c r="F3709" s="576">
        <v>287150</v>
      </c>
      <c r="G3709" s="576">
        <v>10238</v>
      </c>
      <c r="H3709" s="576">
        <v>15384</v>
      </c>
    </row>
    <row r="3710" spans="1:8">
      <c r="A3710" s="575" t="s">
        <v>639</v>
      </c>
      <c r="B3710" s="575">
        <v>195000</v>
      </c>
      <c r="C3710" s="576">
        <v>24</v>
      </c>
      <c r="D3710" s="576">
        <v>0.315</v>
      </c>
      <c r="E3710" s="576">
        <v>122851</v>
      </c>
      <c r="F3710" s="576">
        <v>317851</v>
      </c>
      <c r="G3710" s="576">
        <v>13651</v>
      </c>
      <c r="H3710" s="576">
        <v>12675</v>
      </c>
    </row>
    <row r="3711" spans="1:8">
      <c r="A3711" s="575" t="s">
        <v>639</v>
      </c>
      <c r="B3711" s="575">
        <v>196000</v>
      </c>
      <c r="C3711" s="576">
        <v>12</v>
      </c>
      <c r="D3711" s="576">
        <v>0.315</v>
      </c>
      <c r="E3711" s="576">
        <v>61745</v>
      </c>
      <c r="F3711" s="576">
        <v>257745</v>
      </c>
      <c r="G3711" s="576">
        <v>6861</v>
      </c>
      <c r="H3711" s="576">
        <v>20907</v>
      </c>
    </row>
    <row r="3712" spans="1:8">
      <c r="A3712" s="575" t="s">
        <v>639</v>
      </c>
      <c r="B3712" s="575">
        <v>196000</v>
      </c>
      <c r="C3712" s="576">
        <v>18</v>
      </c>
      <c r="D3712" s="576">
        <v>0.315</v>
      </c>
      <c r="E3712" s="576">
        <v>92625</v>
      </c>
      <c r="F3712" s="576">
        <v>288625</v>
      </c>
      <c r="G3712" s="576">
        <v>10291</v>
      </c>
      <c r="H3712" s="576">
        <v>15463</v>
      </c>
    </row>
    <row r="3713" spans="1:8">
      <c r="A3713" s="575" t="s">
        <v>639</v>
      </c>
      <c r="B3713" s="575">
        <v>196000</v>
      </c>
      <c r="C3713" s="576">
        <v>24</v>
      </c>
      <c r="D3713" s="576">
        <v>0.315</v>
      </c>
      <c r="E3713" s="576">
        <v>123481</v>
      </c>
      <c r="F3713" s="576">
        <v>319481</v>
      </c>
      <c r="G3713" s="576">
        <v>13721</v>
      </c>
      <c r="H3713" s="576">
        <v>12740</v>
      </c>
    </row>
    <row r="3714" spans="1:8">
      <c r="A3714" s="575" t="s">
        <v>639</v>
      </c>
      <c r="B3714" s="575">
        <v>197000</v>
      </c>
      <c r="C3714" s="576">
        <v>12</v>
      </c>
      <c r="D3714" s="576">
        <v>0.315</v>
      </c>
      <c r="E3714" s="576">
        <v>62064</v>
      </c>
      <c r="F3714" s="576">
        <v>259064</v>
      </c>
      <c r="G3714" s="576">
        <v>6896</v>
      </c>
      <c r="H3714" s="576">
        <v>21014</v>
      </c>
    </row>
    <row r="3715" spans="1:8">
      <c r="A3715" s="575" t="s">
        <v>639</v>
      </c>
      <c r="B3715" s="575">
        <v>197000</v>
      </c>
      <c r="C3715" s="576">
        <v>18</v>
      </c>
      <c r="D3715" s="576">
        <v>0.315</v>
      </c>
      <c r="E3715" s="576">
        <v>93099</v>
      </c>
      <c r="F3715" s="576">
        <v>290099</v>
      </c>
      <c r="G3715" s="576">
        <v>10343</v>
      </c>
      <c r="H3715" s="576">
        <v>15542</v>
      </c>
    </row>
    <row r="3716" spans="1:8">
      <c r="A3716" s="575" t="s">
        <v>639</v>
      </c>
      <c r="B3716" s="575">
        <v>197000</v>
      </c>
      <c r="C3716" s="576">
        <v>24</v>
      </c>
      <c r="D3716" s="576">
        <v>0.315</v>
      </c>
      <c r="E3716" s="576">
        <v>124111</v>
      </c>
      <c r="F3716" s="576">
        <v>321111</v>
      </c>
      <c r="G3716" s="576">
        <v>13791</v>
      </c>
      <c r="H3716" s="576">
        <v>12805</v>
      </c>
    </row>
    <row r="3717" spans="1:8">
      <c r="A3717" s="575" t="s">
        <v>639</v>
      </c>
      <c r="B3717" s="575">
        <v>198000</v>
      </c>
      <c r="C3717" s="576">
        <v>12</v>
      </c>
      <c r="D3717" s="576">
        <v>0.315</v>
      </c>
      <c r="E3717" s="576">
        <v>62371</v>
      </c>
      <c r="F3717" s="576">
        <v>260371</v>
      </c>
      <c r="G3717" s="576">
        <v>6931</v>
      </c>
      <c r="H3717" s="576">
        <v>21120</v>
      </c>
    </row>
    <row r="3718" spans="1:8">
      <c r="A3718" s="575" t="s">
        <v>639</v>
      </c>
      <c r="B3718" s="575">
        <v>198000</v>
      </c>
      <c r="C3718" s="576">
        <v>18</v>
      </c>
      <c r="D3718" s="576">
        <v>0.315</v>
      </c>
      <c r="E3718" s="576">
        <v>93556</v>
      </c>
      <c r="F3718" s="576">
        <v>291556</v>
      </c>
      <c r="G3718" s="576">
        <v>10396</v>
      </c>
      <c r="H3718" s="576">
        <v>15620</v>
      </c>
    </row>
    <row r="3719" spans="1:8">
      <c r="A3719" s="575" t="s">
        <v>639</v>
      </c>
      <c r="B3719" s="575">
        <v>198000</v>
      </c>
      <c r="C3719" s="576">
        <v>24</v>
      </c>
      <c r="D3719" s="576">
        <v>0.315</v>
      </c>
      <c r="E3719" s="576">
        <v>124741</v>
      </c>
      <c r="F3719" s="576">
        <v>322741</v>
      </c>
      <c r="G3719" s="576">
        <v>13861</v>
      </c>
      <c r="H3719" s="576">
        <v>12870</v>
      </c>
    </row>
    <row r="3720" spans="1:8">
      <c r="A3720" s="575" t="s">
        <v>639</v>
      </c>
      <c r="B3720" s="575">
        <v>199000</v>
      </c>
      <c r="C3720" s="576">
        <v>12</v>
      </c>
      <c r="D3720" s="576">
        <v>0.315</v>
      </c>
      <c r="E3720" s="576">
        <v>62690</v>
      </c>
      <c r="F3720" s="576">
        <v>261690</v>
      </c>
      <c r="G3720" s="576">
        <v>6966</v>
      </c>
      <c r="H3720" s="576">
        <v>21227</v>
      </c>
    </row>
    <row r="3721" spans="1:8">
      <c r="A3721" s="575" t="s">
        <v>639</v>
      </c>
      <c r="B3721" s="575">
        <v>199000</v>
      </c>
      <c r="C3721" s="576">
        <v>18</v>
      </c>
      <c r="D3721" s="576">
        <v>0.315</v>
      </c>
      <c r="E3721" s="576">
        <v>94030</v>
      </c>
      <c r="F3721" s="576">
        <v>293030</v>
      </c>
      <c r="G3721" s="576">
        <v>10448</v>
      </c>
      <c r="H3721" s="576">
        <v>15699</v>
      </c>
    </row>
    <row r="3722" spans="1:8">
      <c r="A3722" s="575" t="s">
        <v>639</v>
      </c>
      <c r="B3722" s="575">
        <v>199000</v>
      </c>
      <c r="C3722" s="576">
        <v>24</v>
      </c>
      <c r="D3722" s="576">
        <v>0.315</v>
      </c>
      <c r="E3722" s="576">
        <v>125371</v>
      </c>
      <c r="F3722" s="576">
        <v>324371</v>
      </c>
      <c r="G3722" s="576">
        <v>13931</v>
      </c>
      <c r="H3722" s="576">
        <v>12935</v>
      </c>
    </row>
    <row r="3723" spans="1:8">
      <c r="A3723" s="575" t="s">
        <v>639</v>
      </c>
      <c r="B3723" s="575">
        <v>200000</v>
      </c>
      <c r="C3723" s="576">
        <v>12</v>
      </c>
      <c r="D3723" s="576">
        <v>0.315</v>
      </c>
      <c r="E3723" s="576">
        <v>63009</v>
      </c>
      <c r="F3723" s="576">
        <v>263009</v>
      </c>
      <c r="G3723" s="576">
        <v>7001</v>
      </c>
      <c r="H3723" s="576">
        <v>21334</v>
      </c>
    </row>
    <row r="3724" spans="1:8">
      <c r="A3724" s="575" t="s">
        <v>639</v>
      </c>
      <c r="B3724" s="575">
        <v>200000</v>
      </c>
      <c r="C3724" s="576">
        <v>18</v>
      </c>
      <c r="D3724" s="576">
        <v>0.315</v>
      </c>
      <c r="E3724" s="576">
        <v>94505</v>
      </c>
      <c r="F3724" s="576">
        <v>294505</v>
      </c>
      <c r="G3724" s="576">
        <v>10501</v>
      </c>
      <c r="H3724" s="576">
        <v>15778</v>
      </c>
    </row>
    <row r="3725" spans="1:8">
      <c r="A3725" s="575" t="s">
        <v>639</v>
      </c>
      <c r="B3725" s="575">
        <v>200000</v>
      </c>
      <c r="C3725" s="576">
        <v>24</v>
      </c>
      <c r="D3725" s="576">
        <v>0.315</v>
      </c>
      <c r="E3725" s="576">
        <v>126001</v>
      </c>
      <c r="F3725" s="576">
        <v>326001</v>
      </c>
      <c r="G3725" s="576">
        <v>14001</v>
      </c>
      <c r="H3725" s="576">
        <v>13000</v>
      </c>
    </row>
    <row r="3726" spans="1:8">
      <c r="A3726" s="575" t="s">
        <v>639</v>
      </c>
      <c r="B3726" s="575">
        <v>201000</v>
      </c>
      <c r="C3726" s="576">
        <v>12</v>
      </c>
      <c r="D3726" s="576">
        <v>0.315</v>
      </c>
      <c r="E3726" s="576">
        <v>63316</v>
      </c>
      <c r="F3726" s="576">
        <v>264316</v>
      </c>
      <c r="G3726" s="576">
        <v>7036</v>
      </c>
      <c r="H3726" s="576">
        <v>21440</v>
      </c>
    </row>
    <row r="3727" spans="1:8">
      <c r="A3727" s="575" t="s">
        <v>639</v>
      </c>
      <c r="B3727" s="575">
        <v>201000</v>
      </c>
      <c r="C3727" s="576">
        <v>18</v>
      </c>
      <c r="D3727" s="576">
        <v>0.315</v>
      </c>
      <c r="E3727" s="576">
        <v>94979</v>
      </c>
      <c r="F3727" s="576">
        <v>295979</v>
      </c>
      <c r="G3727" s="576">
        <v>10553</v>
      </c>
      <c r="H3727" s="576">
        <v>15857</v>
      </c>
    </row>
    <row r="3728" spans="1:8">
      <c r="A3728" s="575" t="s">
        <v>639</v>
      </c>
      <c r="B3728" s="575">
        <v>201000</v>
      </c>
      <c r="C3728" s="576">
        <v>24</v>
      </c>
      <c r="D3728" s="576">
        <v>0.315</v>
      </c>
      <c r="E3728" s="576">
        <v>126631</v>
      </c>
      <c r="F3728" s="576">
        <v>327631</v>
      </c>
      <c r="G3728" s="576">
        <v>14071</v>
      </c>
      <c r="H3728" s="576">
        <v>13065</v>
      </c>
    </row>
    <row r="3729" spans="1:8">
      <c r="A3729" s="575" t="s">
        <v>639</v>
      </c>
      <c r="B3729" s="575">
        <v>202000</v>
      </c>
      <c r="C3729" s="576">
        <v>12</v>
      </c>
      <c r="D3729" s="576">
        <v>0.315</v>
      </c>
      <c r="E3729" s="576">
        <v>63635</v>
      </c>
      <c r="F3729" s="576">
        <v>265635</v>
      </c>
      <c r="G3729" s="576">
        <v>7071</v>
      </c>
      <c r="H3729" s="576">
        <v>21547</v>
      </c>
    </row>
    <row r="3730" spans="1:8">
      <c r="A3730" s="575" t="s">
        <v>639</v>
      </c>
      <c r="B3730" s="575">
        <v>202000</v>
      </c>
      <c r="C3730" s="576">
        <v>18</v>
      </c>
      <c r="D3730" s="576">
        <v>0.315</v>
      </c>
      <c r="E3730" s="576">
        <v>95454</v>
      </c>
      <c r="F3730" s="576">
        <v>297454</v>
      </c>
      <c r="G3730" s="576">
        <v>10606</v>
      </c>
      <c r="H3730" s="576">
        <v>15936</v>
      </c>
    </row>
    <row r="3731" spans="1:8">
      <c r="A3731" s="575" t="s">
        <v>639</v>
      </c>
      <c r="B3731" s="575">
        <v>202000</v>
      </c>
      <c r="C3731" s="576">
        <v>24</v>
      </c>
      <c r="D3731" s="576">
        <v>0.315</v>
      </c>
      <c r="E3731" s="576">
        <v>127261</v>
      </c>
      <c r="F3731" s="576">
        <v>329261</v>
      </c>
      <c r="G3731" s="576">
        <v>14141</v>
      </c>
      <c r="H3731" s="576">
        <v>13130</v>
      </c>
    </row>
    <row r="3732" spans="1:8">
      <c r="A3732" s="575" t="s">
        <v>639</v>
      </c>
      <c r="B3732" s="575">
        <v>203000</v>
      </c>
      <c r="C3732" s="576">
        <v>12</v>
      </c>
      <c r="D3732" s="576">
        <v>0.315</v>
      </c>
      <c r="E3732" s="576">
        <v>63954</v>
      </c>
      <c r="F3732" s="576">
        <v>266954</v>
      </c>
      <c r="G3732" s="576">
        <v>7106</v>
      </c>
      <c r="H3732" s="576">
        <v>21654</v>
      </c>
    </row>
    <row r="3733" spans="1:8">
      <c r="A3733" s="575" t="s">
        <v>639</v>
      </c>
      <c r="B3733" s="575">
        <v>203000</v>
      </c>
      <c r="C3733" s="576">
        <v>18</v>
      </c>
      <c r="D3733" s="576">
        <v>0.315</v>
      </c>
      <c r="E3733" s="576">
        <v>95928</v>
      </c>
      <c r="F3733" s="576">
        <v>298928</v>
      </c>
      <c r="G3733" s="576">
        <v>10658</v>
      </c>
      <c r="H3733" s="576">
        <v>16015</v>
      </c>
    </row>
    <row r="3734" spans="1:8">
      <c r="A3734" s="575" t="s">
        <v>639</v>
      </c>
      <c r="B3734" s="575">
        <v>203000</v>
      </c>
      <c r="C3734" s="576">
        <v>24</v>
      </c>
      <c r="D3734" s="576">
        <v>0.315</v>
      </c>
      <c r="E3734" s="576">
        <v>127891</v>
      </c>
      <c r="F3734" s="576">
        <v>330891</v>
      </c>
      <c r="G3734" s="576">
        <v>14211</v>
      </c>
      <c r="H3734" s="576">
        <v>13195</v>
      </c>
    </row>
    <row r="3735" spans="1:8">
      <c r="A3735" s="575" t="s">
        <v>639</v>
      </c>
      <c r="B3735" s="575">
        <v>204000</v>
      </c>
      <c r="C3735" s="576">
        <v>12</v>
      </c>
      <c r="D3735" s="576">
        <v>0.315</v>
      </c>
      <c r="E3735" s="576">
        <v>64261</v>
      </c>
      <c r="F3735" s="576">
        <v>268261</v>
      </c>
      <c r="G3735" s="576">
        <v>7141</v>
      </c>
      <c r="H3735" s="576">
        <v>21760</v>
      </c>
    </row>
    <row r="3736" spans="1:8">
      <c r="A3736" s="575" t="s">
        <v>639</v>
      </c>
      <c r="B3736" s="575">
        <v>204000</v>
      </c>
      <c r="C3736" s="576">
        <v>18</v>
      </c>
      <c r="D3736" s="576">
        <v>0.315</v>
      </c>
      <c r="E3736" s="576">
        <v>96403</v>
      </c>
      <c r="F3736" s="576">
        <v>300403</v>
      </c>
      <c r="G3736" s="576">
        <v>10711</v>
      </c>
      <c r="H3736" s="576">
        <v>16094</v>
      </c>
    </row>
    <row r="3737" spans="1:8">
      <c r="A3737" s="575" t="s">
        <v>639</v>
      </c>
      <c r="B3737" s="575">
        <v>204000</v>
      </c>
      <c r="C3737" s="576">
        <v>24</v>
      </c>
      <c r="D3737" s="576">
        <v>0.315</v>
      </c>
      <c r="E3737" s="576">
        <v>128521</v>
      </c>
      <c r="F3737" s="576">
        <v>332521</v>
      </c>
      <c r="G3737" s="576">
        <v>14281</v>
      </c>
      <c r="H3737" s="576">
        <v>13260</v>
      </c>
    </row>
    <row r="3738" spans="1:8">
      <c r="A3738" s="575" t="s">
        <v>639</v>
      </c>
      <c r="B3738" s="575">
        <v>205000</v>
      </c>
      <c r="C3738" s="576">
        <v>12</v>
      </c>
      <c r="D3738" s="576">
        <v>0.315</v>
      </c>
      <c r="E3738" s="576">
        <v>64580</v>
      </c>
      <c r="F3738" s="576">
        <v>269580</v>
      </c>
      <c r="G3738" s="576">
        <v>7176</v>
      </c>
      <c r="H3738" s="576">
        <v>21867</v>
      </c>
    </row>
    <row r="3739" spans="1:8">
      <c r="A3739" s="575" t="s">
        <v>639</v>
      </c>
      <c r="B3739" s="575">
        <v>205000</v>
      </c>
      <c r="C3739" s="576">
        <v>18</v>
      </c>
      <c r="D3739" s="576">
        <v>0.315</v>
      </c>
      <c r="E3739" s="576">
        <v>96877</v>
      </c>
      <c r="F3739" s="576">
        <v>301877</v>
      </c>
      <c r="G3739" s="576">
        <v>10763</v>
      </c>
      <c r="H3739" s="576">
        <v>16173</v>
      </c>
    </row>
    <row r="3740" spans="1:8">
      <c r="A3740" s="575" t="s">
        <v>639</v>
      </c>
      <c r="B3740" s="575">
        <v>205000</v>
      </c>
      <c r="C3740" s="576">
        <v>24</v>
      </c>
      <c r="D3740" s="576">
        <v>0.315</v>
      </c>
      <c r="E3740" s="576">
        <v>129151</v>
      </c>
      <c r="F3740" s="576">
        <v>334151</v>
      </c>
      <c r="G3740" s="576">
        <v>14351</v>
      </c>
      <c r="H3740" s="576">
        <v>13325</v>
      </c>
    </row>
    <row r="3741" spans="1:8">
      <c r="A3741" s="575" t="s">
        <v>639</v>
      </c>
      <c r="B3741" s="575">
        <v>206000</v>
      </c>
      <c r="C3741" s="576">
        <v>12</v>
      </c>
      <c r="D3741" s="576">
        <v>0.315</v>
      </c>
      <c r="E3741" s="576">
        <v>64899</v>
      </c>
      <c r="F3741" s="576">
        <v>270899</v>
      </c>
      <c r="G3741" s="576">
        <v>7211</v>
      </c>
      <c r="H3741" s="576">
        <v>21974</v>
      </c>
    </row>
    <row r="3742" spans="1:8">
      <c r="A3742" s="575" t="s">
        <v>639</v>
      </c>
      <c r="B3742" s="575">
        <v>206000</v>
      </c>
      <c r="C3742" s="576">
        <v>18</v>
      </c>
      <c r="D3742" s="576">
        <v>0.315</v>
      </c>
      <c r="E3742" s="576">
        <v>97352</v>
      </c>
      <c r="F3742" s="576">
        <v>303352</v>
      </c>
      <c r="G3742" s="576">
        <v>10816</v>
      </c>
      <c r="H3742" s="576">
        <v>16252</v>
      </c>
    </row>
    <row r="3743" spans="1:8">
      <c r="A3743" s="575" t="s">
        <v>639</v>
      </c>
      <c r="B3743" s="575">
        <v>206000</v>
      </c>
      <c r="C3743" s="576">
        <v>24</v>
      </c>
      <c r="D3743" s="576">
        <v>0.315</v>
      </c>
      <c r="E3743" s="576">
        <v>129781</v>
      </c>
      <c r="F3743" s="576">
        <v>335781</v>
      </c>
      <c r="G3743" s="576">
        <v>14421</v>
      </c>
      <c r="H3743" s="576">
        <v>13390</v>
      </c>
    </row>
    <row r="3744" spans="1:8">
      <c r="A3744" s="575" t="s">
        <v>639</v>
      </c>
      <c r="B3744" s="575">
        <v>207000</v>
      </c>
      <c r="C3744" s="576">
        <v>12</v>
      </c>
      <c r="D3744" s="576">
        <v>0.315</v>
      </c>
      <c r="E3744" s="576">
        <v>65206</v>
      </c>
      <c r="F3744" s="576">
        <v>272206</v>
      </c>
      <c r="G3744" s="576">
        <v>7246</v>
      </c>
      <c r="H3744" s="576">
        <v>22080</v>
      </c>
    </row>
    <row r="3745" spans="1:8">
      <c r="A3745" s="575" t="s">
        <v>639</v>
      </c>
      <c r="B3745" s="575">
        <v>207000</v>
      </c>
      <c r="C3745" s="576">
        <v>18</v>
      </c>
      <c r="D3745" s="576">
        <v>0.315</v>
      </c>
      <c r="E3745" s="576">
        <v>97808</v>
      </c>
      <c r="F3745" s="576">
        <v>304808</v>
      </c>
      <c r="G3745" s="576">
        <v>10868</v>
      </c>
      <c r="H3745" s="576">
        <v>16330</v>
      </c>
    </row>
    <row r="3746" spans="1:8">
      <c r="A3746" s="575" t="s">
        <v>639</v>
      </c>
      <c r="B3746" s="575">
        <v>207000</v>
      </c>
      <c r="C3746" s="576">
        <v>24</v>
      </c>
      <c r="D3746" s="576">
        <v>0.315</v>
      </c>
      <c r="E3746" s="576">
        <v>130411</v>
      </c>
      <c r="F3746" s="576">
        <v>337411</v>
      </c>
      <c r="G3746" s="576">
        <v>14491</v>
      </c>
      <c r="H3746" s="576">
        <v>13455</v>
      </c>
    </row>
    <row r="3747" spans="1:8">
      <c r="A3747" s="575" t="s">
        <v>639</v>
      </c>
      <c r="B3747" s="575">
        <v>208000</v>
      </c>
      <c r="C3747" s="576">
        <v>12</v>
      </c>
      <c r="D3747" s="576">
        <v>0.315</v>
      </c>
      <c r="E3747" s="576">
        <v>65525</v>
      </c>
      <c r="F3747" s="576">
        <v>273525</v>
      </c>
      <c r="G3747" s="576">
        <v>7281</v>
      </c>
      <c r="H3747" s="576">
        <v>22187</v>
      </c>
    </row>
    <row r="3748" spans="1:8">
      <c r="A3748" s="575" t="s">
        <v>639</v>
      </c>
      <c r="B3748" s="575">
        <v>208000</v>
      </c>
      <c r="C3748" s="576">
        <v>18</v>
      </c>
      <c r="D3748" s="576">
        <v>0.315</v>
      </c>
      <c r="E3748" s="576">
        <v>98283</v>
      </c>
      <c r="F3748" s="576">
        <v>306283</v>
      </c>
      <c r="G3748" s="576">
        <v>10921</v>
      </c>
      <c r="H3748" s="576">
        <v>16409</v>
      </c>
    </row>
    <row r="3749" spans="1:8">
      <c r="A3749" s="575" t="s">
        <v>639</v>
      </c>
      <c r="B3749" s="575">
        <v>208000</v>
      </c>
      <c r="C3749" s="576">
        <v>24</v>
      </c>
      <c r="D3749" s="576">
        <v>0.315</v>
      </c>
      <c r="E3749" s="576">
        <v>131041</v>
      </c>
      <c r="F3749" s="576">
        <v>339041</v>
      </c>
      <c r="G3749" s="576">
        <v>14561</v>
      </c>
      <c r="H3749" s="576">
        <v>13520</v>
      </c>
    </row>
    <row r="3750" spans="1:8">
      <c r="A3750" s="575" t="s">
        <v>639</v>
      </c>
      <c r="B3750" s="575">
        <v>209000</v>
      </c>
      <c r="C3750" s="576">
        <v>12</v>
      </c>
      <c r="D3750" s="576">
        <v>0.315</v>
      </c>
      <c r="E3750" s="576">
        <v>65844</v>
      </c>
      <c r="F3750" s="576">
        <v>274844</v>
      </c>
      <c r="G3750" s="576">
        <v>7316</v>
      </c>
      <c r="H3750" s="576">
        <v>22294</v>
      </c>
    </row>
    <row r="3751" spans="1:8">
      <c r="A3751" s="575" t="s">
        <v>639</v>
      </c>
      <c r="B3751" s="575">
        <v>209000</v>
      </c>
      <c r="C3751" s="576">
        <v>18</v>
      </c>
      <c r="D3751" s="576">
        <v>0.315</v>
      </c>
      <c r="E3751" s="576">
        <v>98757</v>
      </c>
      <c r="F3751" s="576">
        <v>307757</v>
      </c>
      <c r="G3751" s="576">
        <v>10973</v>
      </c>
      <c r="H3751" s="576">
        <v>16488</v>
      </c>
    </row>
    <row r="3752" spans="1:8">
      <c r="A3752" s="575" t="s">
        <v>639</v>
      </c>
      <c r="B3752" s="575">
        <v>209000</v>
      </c>
      <c r="C3752" s="576">
        <v>24</v>
      </c>
      <c r="D3752" s="576">
        <v>0.315</v>
      </c>
      <c r="E3752" s="576">
        <v>131671</v>
      </c>
      <c r="F3752" s="576">
        <v>340671</v>
      </c>
      <c r="G3752" s="576">
        <v>14631</v>
      </c>
      <c r="H3752" s="576">
        <v>13585</v>
      </c>
    </row>
    <row r="3753" spans="1:8">
      <c r="A3753" s="575" t="s">
        <v>639</v>
      </c>
      <c r="B3753" s="575">
        <v>210000</v>
      </c>
      <c r="C3753" s="576">
        <v>12</v>
      </c>
      <c r="D3753" s="576">
        <v>0.315</v>
      </c>
      <c r="E3753" s="576">
        <v>66151</v>
      </c>
      <c r="F3753" s="576">
        <v>276151</v>
      </c>
      <c r="G3753" s="576">
        <v>7351</v>
      </c>
      <c r="H3753" s="576">
        <v>22400</v>
      </c>
    </row>
    <row r="3754" spans="1:8">
      <c r="A3754" s="575" t="s">
        <v>639</v>
      </c>
      <c r="B3754" s="575">
        <v>210000</v>
      </c>
      <c r="C3754" s="576">
        <v>18</v>
      </c>
      <c r="D3754" s="576">
        <v>0.315</v>
      </c>
      <c r="E3754" s="576">
        <v>99232</v>
      </c>
      <c r="F3754" s="576">
        <v>309232</v>
      </c>
      <c r="G3754" s="576">
        <v>11026</v>
      </c>
      <c r="H3754" s="576">
        <v>16567</v>
      </c>
    </row>
    <row r="3755" spans="1:8">
      <c r="A3755" s="575" t="s">
        <v>639</v>
      </c>
      <c r="B3755" s="575">
        <v>210000</v>
      </c>
      <c r="C3755" s="576">
        <v>24</v>
      </c>
      <c r="D3755" s="576">
        <v>0.315</v>
      </c>
      <c r="E3755" s="576">
        <v>132301</v>
      </c>
      <c r="F3755" s="576">
        <v>342301</v>
      </c>
      <c r="G3755" s="576">
        <v>14701</v>
      </c>
      <c r="H3755" s="576">
        <v>13650</v>
      </c>
    </row>
    <row r="3756" spans="1:8">
      <c r="A3756" s="575" t="s">
        <v>639</v>
      </c>
      <c r="B3756" s="575">
        <v>211000</v>
      </c>
      <c r="C3756" s="576">
        <v>12</v>
      </c>
      <c r="D3756" s="576">
        <v>0.315</v>
      </c>
      <c r="E3756" s="576">
        <v>66470</v>
      </c>
      <c r="F3756" s="576">
        <v>277470</v>
      </c>
      <c r="G3756" s="576">
        <v>7386</v>
      </c>
      <c r="H3756" s="576">
        <v>22507</v>
      </c>
    </row>
    <row r="3757" spans="1:8">
      <c r="A3757" s="575" t="s">
        <v>639</v>
      </c>
      <c r="B3757" s="575">
        <v>211000</v>
      </c>
      <c r="C3757" s="576">
        <v>18</v>
      </c>
      <c r="D3757" s="576">
        <v>0.315</v>
      </c>
      <c r="E3757" s="576">
        <v>99706</v>
      </c>
      <c r="F3757" s="576">
        <v>310706</v>
      </c>
      <c r="G3757" s="576">
        <v>11078</v>
      </c>
      <c r="H3757" s="576">
        <v>16646</v>
      </c>
    </row>
    <row r="3758" spans="1:8">
      <c r="A3758" s="575" t="s">
        <v>639</v>
      </c>
      <c r="B3758" s="575">
        <v>211000</v>
      </c>
      <c r="C3758" s="576">
        <v>24</v>
      </c>
      <c r="D3758" s="576">
        <v>0.315</v>
      </c>
      <c r="E3758" s="576">
        <v>132931</v>
      </c>
      <c r="F3758" s="576">
        <v>343931</v>
      </c>
      <c r="G3758" s="576">
        <v>14771</v>
      </c>
      <c r="H3758" s="576">
        <v>13715</v>
      </c>
    </row>
    <row r="3759" spans="1:8">
      <c r="A3759" s="575" t="s">
        <v>639</v>
      </c>
      <c r="B3759" s="575">
        <v>212000</v>
      </c>
      <c r="C3759" s="576">
        <v>12</v>
      </c>
      <c r="D3759" s="576">
        <v>0.315</v>
      </c>
      <c r="E3759" s="576">
        <v>66789</v>
      </c>
      <c r="F3759" s="576">
        <v>278789</v>
      </c>
      <c r="G3759" s="576">
        <v>7421</v>
      </c>
      <c r="H3759" s="576">
        <v>22614</v>
      </c>
    </row>
    <row r="3760" spans="1:8">
      <c r="A3760" s="575" t="s">
        <v>639</v>
      </c>
      <c r="B3760" s="575">
        <v>212000</v>
      </c>
      <c r="C3760" s="576">
        <v>18</v>
      </c>
      <c r="D3760" s="576">
        <v>0.315</v>
      </c>
      <c r="E3760" s="576">
        <v>100181</v>
      </c>
      <c r="F3760" s="576">
        <v>312181</v>
      </c>
      <c r="G3760" s="576">
        <v>11131</v>
      </c>
      <c r="H3760" s="576">
        <v>16725</v>
      </c>
    </row>
    <row r="3761" spans="1:8">
      <c r="A3761" s="575" t="s">
        <v>639</v>
      </c>
      <c r="B3761" s="575">
        <v>212000</v>
      </c>
      <c r="C3761" s="576">
        <v>24</v>
      </c>
      <c r="D3761" s="576">
        <v>0.315</v>
      </c>
      <c r="E3761" s="576">
        <v>133561</v>
      </c>
      <c r="F3761" s="576">
        <v>345561</v>
      </c>
      <c r="G3761" s="576">
        <v>14841</v>
      </c>
      <c r="H3761" s="576">
        <v>13780</v>
      </c>
    </row>
    <row r="3762" spans="1:8">
      <c r="A3762" s="575" t="s">
        <v>639</v>
      </c>
      <c r="B3762" s="575">
        <v>213000</v>
      </c>
      <c r="C3762" s="576">
        <v>12</v>
      </c>
      <c r="D3762" s="576">
        <v>0.315</v>
      </c>
      <c r="E3762" s="576">
        <v>67096</v>
      </c>
      <c r="F3762" s="576">
        <v>280096</v>
      </c>
      <c r="G3762" s="576">
        <v>7456</v>
      </c>
      <c r="H3762" s="576">
        <v>22720</v>
      </c>
    </row>
    <row r="3763" spans="1:8">
      <c r="A3763" s="575" t="s">
        <v>639</v>
      </c>
      <c r="B3763" s="575">
        <v>213000</v>
      </c>
      <c r="C3763" s="576">
        <v>18</v>
      </c>
      <c r="D3763" s="576">
        <v>0.315</v>
      </c>
      <c r="E3763" s="576">
        <v>100655</v>
      </c>
      <c r="F3763" s="576">
        <v>313655</v>
      </c>
      <c r="G3763" s="576">
        <v>11183</v>
      </c>
      <c r="H3763" s="576">
        <v>16804</v>
      </c>
    </row>
    <row r="3764" spans="1:8">
      <c r="A3764" s="575" t="s">
        <v>639</v>
      </c>
      <c r="B3764" s="575">
        <v>213000</v>
      </c>
      <c r="C3764" s="576">
        <v>24</v>
      </c>
      <c r="D3764" s="576">
        <v>0.315</v>
      </c>
      <c r="E3764" s="576">
        <v>134191</v>
      </c>
      <c r="F3764" s="576">
        <v>347191</v>
      </c>
      <c r="G3764" s="576">
        <v>14911</v>
      </c>
      <c r="H3764" s="576">
        <v>13845</v>
      </c>
    </row>
    <row r="3765" spans="1:8">
      <c r="A3765" s="575" t="s">
        <v>639</v>
      </c>
      <c r="B3765" s="575">
        <v>214000</v>
      </c>
      <c r="C3765" s="576">
        <v>12</v>
      </c>
      <c r="D3765" s="576">
        <v>0.315</v>
      </c>
      <c r="E3765" s="576">
        <v>67415</v>
      </c>
      <c r="F3765" s="576">
        <v>281415</v>
      </c>
      <c r="G3765" s="576">
        <v>7491</v>
      </c>
      <c r="H3765" s="576">
        <v>22827</v>
      </c>
    </row>
    <row r="3766" spans="1:8">
      <c r="A3766" s="575" t="s">
        <v>639</v>
      </c>
      <c r="B3766" s="575">
        <v>214000</v>
      </c>
      <c r="C3766" s="576">
        <v>18</v>
      </c>
      <c r="D3766" s="576">
        <v>0.315</v>
      </c>
      <c r="E3766" s="576">
        <v>101130</v>
      </c>
      <c r="F3766" s="576">
        <v>315130</v>
      </c>
      <c r="G3766" s="576">
        <v>11236</v>
      </c>
      <c r="H3766" s="576">
        <v>16883</v>
      </c>
    </row>
    <row r="3767" spans="1:8">
      <c r="A3767" s="575" t="s">
        <v>639</v>
      </c>
      <c r="B3767" s="575">
        <v>214000</v>
      </c>
      <c r="C3767" s="576">
        <v>24</v>
      </c>
      <c r="D3767" s="576">
        <v>0.315</v>
      </c>
      <c r="E3767" s="576">
        <v>134821</v>
      </c>
      <c r="F3767" s="576">
        <v>348821</v>
      </c>
      <c r="G3767" s="576">
        <v>14981</v>
      </c>
      <c r="H3767" s="576">
        <v>13910</v>
      </c>
    </row>
    <row r="3768" spans="1:8">
      <c r="A3768" s="575" t="s">
        <v>639</v>
      </c>
      <c r="B3768" s="575">
        <v>215000</v>
      </c>
      <c r="C3768" s="576">
        <v>12</v>
      </c>
      <c r="D3768" s="576">
        <v>0.315</v>
      </c>
      <c r="E3768" s="576">
        <v>67734</v>
      </c>
      <c r="F3768" s="576">
        <v>282734</v>
      </c>
      <c r="G3768" s="576">
        <v>7526</v>
      </c>
      <c r="H3768" s="576">
        <v>22934</v>
      </c>
    </row>
    <row r="3769" spans="1:8">
      <c r="A3769" s="575" t="s">
        <v>639</v>
      </c>
      <c r="B3769" s="575">
        <v>215000</v>
      </c>
      <c r="C3769" s="576">
        <v>18</v>
      </c>
      <c r="D3769" s="576">
        <v>0.315</v>
      </c>
      <c r="E3769" s="576">
        <v>101604</v>
      </c>
      <c r="F3769" s="576">
        <v>316604</v>
      </c>
      <c r="G3769" s="576">
        <v>11288</v>
      </c>
      <c r="H3769" s="576">
        <v>16962</v>
      </c>
    </row>
    <row r="3770" spans="1:8">
      <c r="A3770" s="575" t="s">
        <v>639</v>
      </c>
      <c r="B3770" s="575">
        <v>215000</v>
      </c>
      <c r="C3770" s="576">
        <v>24</v>
      </c>
      <c r="D3770" s="576">
        <v>0.315</v>
      </c>
      <c r="E3770" s="576">
        <v>135451</v>
      </c>
      <c r="F3770" s="576">
        <v>350451</v>
      </c>
      <c r="G3770" s="576">
        <v>15051</v>
      </c>
      <c r="H3770" s="576">
        <v>13975</v>
      </c>
    </row>
    <row r="3771" spans="1:8">
      <c r="A3771" s="575" t="s">
        <v>639</v>
      </c>
      <c r="B3771" s="575">
        <v>216000</v>
      </c>
      <c r="C3771" s="576">
        <v>12</v>
      </c>
      <c r="D3771" s="576">
        <v>0.315</v>
      </c>
      <c r="E3771" s="576">
        <v>68041</v>
      </c>
      <c r="F3771" s="576">
        <v>284041</v>
      </c>
      <c r="G3771" s="576">
        <v>7561</v>
      </c>
      <c r="H3771" s="576">
        <v>23040</v>
      </c>
    </row>
    <row r="3772" spans="1:8">
      <c r="A3772" s="575" t="s">
        <v>639</v>
      </c>
      <c r="B3772" s="575">
        <v>216000</v>
      </c>
      <c r="C3772" s="576">
        <v>18</v>
      </c>
      <c r="D3772" s="576">
        <v>0.315</v>
      </c>
      <c r="E3772" s="576">
        <v>102061</v>
      </c>
      <c r="F3772" s="576">
        <v>318061</v>
      </c>
      <c r="G3772" s="576">
        <v>11341</v>
      </c>
      <c r="H3772" s="576">
        <v>17040</v>
      </c>
    </row>
    <row r="3773" spans="1:8">
      <c r="A3773" s="575" t="s">
        <v>639</v>
      </c>
      <c r="B3773" s="575">
        <v>216000</v>
      </c>
      <c r="C3773" s="576">
        <v>24</v>
      </c>
      <c r="D3773" s="576">
        <v>0.315</v>
      </c>
      <c r="E3773" s="576">
        <v>136081</v>
      </c>
      <c r="F3773" s="576">
        <v>352081</v>
      </c>
      <c r="G3773" s="576">
        <v>15121</v>
      </c>
      <c r="H3773" s="576">
        <v>14040</v>
      </c>
    </row>
    <row r="3774" spans="1:8">
      <c r="A3774" s="575" t="s">
        <v>639</v>
      </c>
      <c r="B3774" s="575">
        <v>217000</v>
      </c>
      <c r="C3774" s="576">
        <v>12</v>
      </c>
      <c r="D3774" s="576">
        <v>0.315</v>
      </c>
      <c r="E3774" s="576">
        <v>68360</v>
      </c>
      <c r="F3774" s="576">
        <v>285360</v>
      </c>
      <c r="G3774" s="576">
        <v>7596</v>
      </c>
      <c r="H3774" s="576">
        <v>23147</v>
      </c>
    </row>
    <row r="3775" spans="1:8">
      <c r="A3775" s="575" t="s">
        <v>639</v>
      </c>
      <c r="B3775" s="575">
        <v>217000</v>
      </c>
      <c r="C3775" s="576">
        <v>18</v>
      </c>
      <c r="D3775" s="576">
        <v>0.315</v>
      </c>
      <c r="E3775" s="576">
        <v>102535</v>
      </c>
      <c r="F3775" s="576">
        <v>319535</v>
      </c>
      <c r="G3775" s="576">
        <v>11393</v>
      </c>
      <c r="H3775" s="576">
        <v>17119</v>
      </c>
    </row>
    <row r="3776" spans="1:8">
      <c r="A3776" s="575" t="s">
        <v>639</v>
      </c>
      <c r="B3776" s="575">
        <v>217000</v>
      </c>
      <c r="C3776" s="576">
        <v>24</v>
      </c>
      <c r="D3776" s="576">
        <v>0.315</v>
      </c>
      <c r="E3776" s="576">
        <v>136711</v>
      </c>
      <c r="F3776" s="576">
        <v>353711</v>
      </c>
      <c r="G3776" s="576">
        <v>15191</v>
      </c>
      <c r="H3776" s="576">
        <v>14105</v>
      </c>
    </row>
    <row r="3777" spans="1:8">
      <c r="A3777" s="575" t="s">
        <v>639</v>
      </c>
      <c r="B3777" s="575">
        <v>218000</v>
      </c>
      <c r="C3777" s="576">
        <v>12</v>
      </c>
      <c r="D3777" s="576">
        <v>0.315</v>
      </c>
      <c r="E3777" s="576">
        <v>68679</v>
      </c>
      <c r="F3777" s="576">
        <v>286679</v>
      </c>
      <c r="G3777" s="576">
        <v>7631</v>
      </c>
      <c r="H3777" s="576">
        <v>23254</v>
      </c>
    </row>
    <row r="3778" spans="1:8">
      <c r="A3778" s="575" t="s">
        <v>639</v>
      </c>
      <c r="B3778" s="575">
        <v>218000</v>
      </c>
      <c r="C3778" s="576">
        <v>18</v>
      </c>
      <c r="D3778" s="576">
        <v>0.315</v>
      </c>
      <c r="E3778" s="576">
        <v>103010</v>
      </c>
      <c r="F3778" s="576">
        <v>321010</v>
      </c>
      <c r="G3778" s="576">
        <v>11446</v>
      </c>
      <c r="H3778" s="576">
        <v>17198</v>
      </c>
    </row>
    <row r="3779" spans="1:8">
      <c r="A3779" s="575" t="s">
        <v>639</v>
      </c>
      <c r="B3779" s="575">
        <v>218000</v>
      </c>
      <c r="C3779" s="576">
        <v>24</v>
      </c>
      <c r="D3779" s="576">
        <v>0.315</v>
      </c>
      <c r="E3779" s="576">
        <v>137341</v>
      </c>
      <c r="F3779" s="576">
        <v>355341</v>
      </c>
      <c r="G3779" s="576">
        <v>15261</v>
      </c>
      <c r="H3779" s="576">
        <v>14170</v>
      </c>
    </row>
    <row r="3780" spans="1:8">
      <c r="A3780" s="575" t="s">
        <v>639</v>
      </c>
      <c r="B3780" s="575">
        <v>219000</v>
      </c>
      <c r="C3780" s="576">
        <v>12</v>
      </c>
      <c r="D3780" s="576">
        <v>0.315</v>
      </c>
      <c r="E3780" s="576">
        <v>68986</v>
      </c>
      <c r="F3780" s="576">
        <v>287986</v>
      </c>
      <c r="G3780" s="576">
        <v>7666</v>
      </c>
      <c r="H3780" s="576">
        <v>23360</v>
      </c>
    </row>
    <row r="3781" spans="1:8">
      <c r="A3781" s="575" t="s">
        <v>639</v>
      </c>
      <c r="B3781" s="575">
        <v>219000</v>
      </c>
      <c r="C3781" s="576">
        <v>18</v>
      </c>
      <c r="D3781" s="576">
        <v>0.315</v>
      </c>
      <c r="E3781" s="576">
        <v>103484</v>
      </c>
      <c r="F3781" s="576">
        <v>322484</v>
      </c>
      <c r="G3781" s="576">
        <v>11498</v>
      </c>
      <c r="H3781" s="576">
        <v>17277</v>
      </c>
    </row>
    <row r="3782" spans="1:8">
      <c r="A3782" s="575" t="s">
        <v>639</v>
      </c>
      <c r="B3782" s="575">
        <v>219000</v>
      </c>
      <c r="C3782" s="576">
        <v>24</v>
      </c>
      <c r="D3782" s="576">
        <v>0.315</v>
      </c>
      <c r="E3782" s="576">
        <v>137971</v>
      </c>
      <c r="F3782" s="576">
        <v>356971</v>
      </c>
      <c r="G3782" s="576">
        <v>15331</v>
      </c>
      <c r="H3782" s="576">
        <v>14235</v>
      </c>
    </row>
    <row r="3783" spans="1:8">
      <c r="A3783" s="575" t="s">
        <v>639</v>
      </c>
      <c r="B3783" s="575">
        <v>220000</v>
      </c>
      <c r="C3783" s="576">
        <v>12</v>
      </c>
      <c r="D3783" s="576">
        <v>0.315</v>
      </c>
      <c r="E3783" s="576">
        <v>69305</v>
      </c>
      <c r="F3783" s="576">
        <v>289305</v>
      </c>
      <c r="G3783" s="576">
        <v>7701</v>
      </c>
      <c r="H3783" s="576">
        <v>23467</v>
      </c>
    </row>
    <row r="3784" spans="1:8">
      <c r="A3784" s="575" t="s">
        <v>639</v>
      </c>
      <c r="B3784" s="575">
        <v>220000</v>
      </c>
      <c r="C3784" s="576">
        <v>18</v>
      </c>
      <c r="D3784" s="576">
        <v>0.315</v>
      </c>
      <c r="E3784" s="576">
        <v>103959</v>
      </c>
      <c r="F3784" s="576">
        <v>323959</v>
      </c>
      <c r="G3784" s="576">
        <v>11551</v>
      </c>
      <c r="H3784" s="576">
        <v>17356</v>
      </c>
    </row>
    <row r="3785" spans="1:8">
      <c r="A3785" s="575" t="s">
        <v>639</v>
      </c>
      <c r="B3785" s="575">
        <v>220000</v>
      </c>
      <c r="C3785" s="576">
        <v>24</v>
      </c>
      <c r="D3785" s="576">
        <v>0.315</v>
      </c>
      <c r="E3785" s="576">
        <v>138601</v>
      </c>
      <c r="F3785" s="576">
        <v>358601</v>
      </c>
      <c r="G3785" s="576">
        <v>15401</v>
      </c>
      <c r="H3785" s="576">
        <v>14300</v>
      </c>
    </row>
    <row r="3786" spans="1:8">
      <c r="A3786" s="575" t="s">
        <v>639</v>
      </c>
      <c r="B3786" s="575">
        <v>221000</v>
      </c>
      <c r="C3786" s="576">
        <v>12</v>
      </c>
      <c r="D3786" s="576">
        <v>0.315</v>
      </c>
      <c r="E3786" s="576">
        <v>69624</v>
      </c>
      <c r="F3786" s="576">
        <v>290624</v>
      </c>
      <c r="G3786" s="576">
        <v>7736</v>
      </c>
      <c r="H3786" s="576">
        <v>23574</v>
      </c>
    </row>
    <row r="3787" spans="1:8">
      <c r="A3787" s="575" t="s">
        <v>639</v>
      </c>
      <c r="B3787" s="575">
        <v>221000</v>
      </c>
      <c r="C3787" s="576">
        <v>18</v>
      </c>
      <c r="D3787" s="576">
        <v>0.315</v>
      </c>
      <c r="E3787" s="576">
        <v>104433</v>
      </c>
      <c r="F3787" s="576">
        <v>325433</v>
      </c>
      <c r="G3787" s="576">
        <v>11603</v>
      </c>
      <c r="H3787" s="576">
        <v>17435</v>
      </c>
    </row>
    <row r="3788" spans="1:8">
      <c r="A3788" s="575" t="s">
        <v>639</v>
      </c>
      <c r="B3788" s="575">
        <v>221000</v>
      </c>
      <c r="C3788" s="576">
        <v>24</v>
      </c>
      <c r="D3788" s="576">
        <v>0.315</v>
      </c>
      <c r="E3788" s="576">
        <v>139231</v>
      </c>
      <c r="F3788" s="576">
        <v>360231</v>
      </c>
      <c r="G3788" s="576">
        <v>15471</v>
      </c>
      <c r="H3788" s="576">
        <v>14365</v>
      </c>
    </row>
    <row r="3789" spans="1:8">
      <c r="A3789" s="575" t="s">
        <v>639</v>
      </c>
      <c r="B3789" s="575">
        <v>222000</v>
      </c>
      <c r="C3789" s="576">
        <v>12</v>
      </c>
      <c r="D3789" s="576">
        <v>0.315</v>
      </c>
      <c r="E3789" s="576">
        <v>69931</v>
      </c>
      <c r="F3789" s="576">
        <v>291931</v>
      </c>
      <c r="G3789" s="576">
        <v>7771</v>
      </c>
      <c r="H3789" s="576">
        <v>23680</v>
      </c>
    </row>
    <row r="3790" spans="1:8">
      <c r="A3790" s="575" t="s">
        <v>639</v>
      </c>
      <c r="B3790" s="575">
        <v>222000</v>
      </c>
      <c r="C3790" s="576">
        <v>18</v>
      </c>
      <c r="D3790" s="576">
        <v>0.315</v>
      </c>
      <c r="E3790" s="576">
        <v>104908</v>
      </c>
      <c r="F3790" s="576">
        <v>326908</v>
      </c>
      <c r="G3790" s="576">
        <v>11656</v>
      </c>
      <c r="H3790" s="576">
        <v>17514</v>
      </c>
    </row>
    <row r="3791" spans="1:8">
      <c r="A3791" s="575" t="s">
        <v>639</v>
      </c>
      <c r="B3791" s="575">
        <v>222000</v>
      </c>
      <c r="C3791" s="576">
        <v>24</v>
      </c>
      <c r="D3791" s="576">
        <v>0.315</v>
      </c>
      <c r="E3791" s="576">
        <v>139861</v>
      </c>
      <c r="F3791" s="576">
        <v>361861</v>
      </c>
      <c r="G3791" s="576">
        <v>15541</v>
      </c>
      <c r="H3791" s="576">
        <v>14430</v>
      </c>
    </row>
    <row r="3792" spans="1:8">
      <c r="A3792" s="575" t="s">
        <v>639</v>
      </c>
      <c r="B3792" s="575">
        <v>223000</v>
      </c>
      <c r="C3792" s="576">
        <v>12</v>
      </c>
      <c r="D3792" s="576">
        <v>0.315</v>
      </c>
      <c r="E3792" s="576">
        <v>70250</v>
      </c>
      <c r="F3792" s="576">
        <v>293250</v>
      </c>
      <c r="G3792" s="576">
        <v>7806</v>
      </c>
      <c r="H3792" s="576">
        <v>23787</v>
      </c>
    </row>
    <row r="3793" spans="1:8">
      <c r="A3793" s="575" t="s">
        <v>639</v>
      </c>
      <c r="B3793" s="575">
        <v>223000</v>
      </c>
      <c r="C3793" s="576">
        <v>18</v>
      </c>
      <c r="D3793" s="576">
        <v>0.315</v>
      </c>
      <c r="E3793" s="576">
        <v>105382</v>
      </c>
      <c r="F3793" s="576">
        <v>328382</v>
      </c>
      <c r="G3793" s="576">
        <v>11708</v>
      </c>
      <c r="H3793" s="576">
        <v>17593</v>
      </c>
    </row>
    <row r="3794" spans="1:8">
      <c r="A3794" s="575" t="s">
        <v>639</v>
      </c>
      <c r="B3794" s="575">
        <v>223000</v>
      </c>
      <c r="C3794" s="576">
        <v>24</v>
      </c>
      <c r="D3794" s="576">
        <v>0.315</v>
      </c>
      <c r="E3794" s="576">
        <v>140491</v>
      </c>
      <c r="F3794" s="576">
        <v>363491</v>
      </c>
      <c r="G3794" s="576">
        <v>15611</v>
      </c>
      <c r="H3794" s="576">
        <v>14495</v>
      </c>
    </row>
    <row r="3795" spans="1:8">
      <c r="A3795" s="575" t="s">
        <v>639</v>
      </c>
      <c r="B3795" s="575">
        <v>224000</v>
      </c>
      <c r="C3795" s="576">
        <v>12</v>
      </c>
      <c r="D3795" s="576">
        <v>0.315</v>
      </c>
      <c r="E3795" s="576">
        <v>70569</v>
      </c>
      <c r="F3795" s="576">
        <v>294569</v>
      </c>
      <c r="G3795" s="576">
        <v>7841</v>
      </c>
      <c r="H3795" s="576">
        <v>23894</v>
      </c>
    </row>
    <row r="3796" spans="1:8">
      <c r="A3796" s="575" t="s">
        <v>639</v>
      </c>
      <c r="B3796" s="575">
        <v>224000</v>
      </c>
      <c r="C3796" s="576">
        <v>18</v>
      </c>
      <c r="D3796" s="576">
        <v>0.315</v>
      </c>
      <c r="E3796" s="576">
        <v>105857</v>
      </c>
      <c r="F3796" s="576">
        <v>329857</v>
      </c>
      <c r="G3796" s="576">
        <v>11761</v>
      </c>
      <c r="H3796" s="576">
        <v>17672</v>
      </c>
    </row>
    <row r="3797" spans="1:8">
      <c r="A3797" s="575" t="s">
        <v>639</v>
      </c>
      <c r="B3797" s="575">
        <v>224000</v>
      </c>
      <c r="C3797" s="576">
        <v>24</v>
      </c>
      <c r="D3797" s="576">
        <v>0.315</v>
      </c>
      <c r="E3797" s="576">
        <v>141121</v>
      </c>
      <c r="F3797" s="576">
        <v>365121</v>
      </c>
      <c r="G3797" s="576">
        <v>15681</v>
      </c>
      <c r="H3797" s="576">
        <v>14560</v>
      </c>
    </row>
    <row r="3798" spans="1:8">
      <c r="A3798" s="575" t="s">
        <v>639</v>
      </c>
      <c r="B3798" s="575">
        <v>225000</v>
      </c>
      <c r="C3798" s="576">
        <v>12</v>
      </c>
      <c r="D3798" s="576">
        <v>0.315</v>
      </c>
      <c r="E3798" s="576">
        <v>70876</v>
      </c>
      <c r="F3798" s="576">
        <v>295876</v>
      </c>
      <c r="G3798" s="576">
        <v>7876</v>
      </c>
      <c r="H3798" s="576">
        <v>24000</v>
      </c>
    </row>
    <row r="3799" spans="1:8">
      <c r="A3799" s="575" t="s">
        <v>639</v>
      </c>
      <c r="B3799" s="575">
        <v>225000</v>
      </c>
      <c r="C3799" s="576">
        <v>18</v>
      </c>
      <c r="D3799" s="576">
        <v>0.315</v>
      </c>
      <c r="E3799" s="576">
        <v>106313</v>
      </c>
      <c r="F3799" s="576">
        <v>331313</v>
      </c>
      <c r="G3799" s="576">
        <v>11813</v>
      </c>
      <c r="H3799" s="576">
        <v>17750</v>
      </c>
    </row>
    <row r="3800" spans="1:8">
      <c r="A3800" s="575" t="s">
        <v>639</v>
      </c>
      <c r="B3800" s="575">
        <v>225000</v>
      </c>
      <c r="C3800" s="576">
        <v>24</v>
      </c>
      <c r="D3800" s="576">
        <v>0.315</v>
      </c>
      <c r="E3800" s="576">
        <v>141751</v>
      </c>
      <c r="F3800" s="576">
        <v>366751</v>
      </c>
      <c r="G3800" s="576">
        <v>15751</v>
      </c>
      <c r="H3800" s="576">
        <v>14625</v>
      </c>
    </row>
    <row r="3801" spans="1:8">
      <c r="A3801" s="575" t="s">
        <v>639</v>
      </c>
      <c r="B3801" s="575">
        <v>226000</v>
      </c>
      <c r="C3801" s="576">
        <v>12</v>
      </c>
      <c r="D3801" s="576">
        <v>0.315</v>
      </c>
      <c r="E3801" s="576">
        <v>71195</v>
      </c>
      <c r="F3801" s="576">
        <v>297195</v>
      </c>
      <c r="G3801" s="576">
        <v>7911</v>
      </c>
      <c r="H3801" s="576">
        <v>24107</v>
      </c>
    </row>
    <row r="3802" spans="1:8">
      <c r="A3802" s="575" t="s">
        <v>639</v>
      </c>
      <c r="B3802" s="575">
        <v>226000</v>
      </c>
      <c r="C3802" s="576">
        <v>18</v>
      </c>
      <c r="D3802" s="576">
        <v>0.315</v>
      </c>
      <c r="E3802" s="576">
        <v>106788</v>
      </c>
      <c r="F3802" s="576">
        <v>332788</v>
      </c>
      <c r="G3802" s="576">
        <v>11866</v>
      </c>
      <c r="H3802" s="576">
        <v>17829</v>
      </c>
    </row>
    <row r="3803" spans="1:8">
      <c r="A3803" s="575" t="s">
        <v>639</v>
      </c>
      <c r="B3803" s="575">
        <v>226000</v>
      </c>
      <c r="C3803" s="576">
        <v>24</v>
      </c>
      <c r="D3803" s="576">
        <v>0.315</v>
      </c>
      <c r="E3803" s="576">
        <v>142381</v>
      </c>
      <c r="F3803" s="576">
        <v>368381</v>
      </c>
      <c r="G3803" s="576">
        <v>15821</v>
      </c>
      <c r="H3803" s="576">
        <v>14690</v>
      </c>
    </row>
    <row r="3804" spans="1:8">
      <c r="A3804" s="575" t="s">
        <v>639</v>
      </c>
      <c r="B3804" s="575">
        <v>227000</v>
      </c>
      <c r="C3804" s="576">
        <v>12</v>
      </c>
      <c r="D3804" s="576">
        <v>0.315</v>
      </c>
      <c r="E3804" s="576">
        <v>71514</v>
      </c>
      <c r="F3804" s="576">
        <v>298514</v>
      </c>
      <c r="G3804" s="576">
        <v>7946</v>
      </c>
      <c r="H3804" s="576">
        <v>24214</v>
      </c>
    </row>
    <row r="3805" spans="1:8">
      <c r="A3805" s="575" t="s">
        <v>639</v>
      </c>
      <c r="B3805" s="575">
        <v>227000</v>
      </c>
      <c r="C3805" s="576">
        <v>18</v>
      </c>
      <c r="D3805" s="576">
        <v>0.315</v>
      </c>
      <c r="E3805" s="576">
        <v>107262</v>
      </c>
      <c r="F3805" s="576">
        <v>334262</v>
      </c>
      <c r="G3805" s="576">
        <v>11918</v>
      </c>
      <c r="H3805" s="576">
        <v>17908</v>
      </c>
    </row>
    <row r="3806" spans="1:8">
      <c r="A3806" s="575" t="s">
        <v>639</v>
      </c>
      <c r="B3806" s="575">
        <v>227000</v>
      </c>
      <c r="C3806" s="576">
        <v>24</v>
      </c>
      <c r="D3806" s="576">
        <v>0.315</v>
      </c>
      <c r="E3806" s="576">
        <v>143011</v>
      </c>
      <c r="F3806" s="576">
        <v>370011</v>
      </c>
      <c r="G3806" s="576">
        <v>15891</v>
      </c>
      <c r="H3806" s="576">
        <v>14755</v>
      </c>
    </row>
    <row r="3807" spans="1:8">
      <c r="A3807" s="575" t="s">
        <v>639</v>
      </c>
      <c r="B3807" s="575">
        <v>228000</v>
      </c>
      <c r="C3807" s="576">
        <v>12</v>
      </c>
      <c r="D3807" s="576">
        <v>0.315</v>
      </c>
      <c r="E3807" s="576">
        <v>71821</v>
      </c>
      <c r="F3807" s="576">
        <v>299821</v>
      </c>
      <c r="G3807" s="576">
        <v>7981</v>
      </c>
      <c r="H3807" s="576">
        <v>24320</v>
      </c>
    </row>
    <row r="3808" spans="1:8">
      <c r="A3808" s="575" t="s">
        <v>639</v>
      </c>
      <c r="B3808" s="575">
        <v>228000</v>
      </c>
      <c r="C3808" s="576">
        <v>18</v>
      </c>
      <c r="D3808" s="576">
        <v>0.315</v>
      </c>
      <c r="E3808" s="576">
        <v>107737</v>
      </c>
      <c r="F3808" s="576">
        <v>335737</v>
      </c>
      <c r="G3808" s="576">
        <v>11971</v>
      </c>
      <c r="H3808" s="576">
        <v>17987</v>
      </c>
    </row>
    <row r="3809" spans="1:8">
      <c r="A3809" s="575" t="s">
        <v>639</v>
      </c>
      <c r="B3809" s="575">
        <v>228000</v>
      </c>
      <c r="C3809" s="576">
        <v>24</v>
      </c>
      <c r="D3809" s="576">
        <v>0.315</v>
      </c>
      <c r="E3809" s="576">
        <v>143641</v>
      </c>
      <c r="F3809" s="576">
        <v>371641</v>
      </c>
      <c r="G3809" s="576">
        <v>15961</v>
      </c>
      <c r="H3809" s="576">
        <v>14820</v>
      </c>
    </row>
    <row r="3810" spans="1:8">
      <c r="A3810" s="575" t="s">
        <v>639</v>
      </c>
      <c r="B3810" s="575">
        <v>229000</v>
      </c>
      <c r="C3810" s="576">
        <v>12</v>
      </c>
      <c r="D3810" s="576">
        <v>0.315</v>
      </c>
      <c r="E3810" s="576">
        <v>72140</v>
      </c>
      <c r="F3810" s="576">
        <v>301140</v>
      </c>
      <c r="G3810" s="576">
        <v>8016</v>
      </c>
      <c r="H3810" s="576">
        <v>24427</v>
      </c>
    </row>
    <row r="3811" spans="1:8">
      <c r="A3811" s="575" t="s">
        <v>639</v>
      </c>
      <c r="B3811" s="575">
        <v>229000</v>
      </c>
      <c r="C3811" s="576">
        <v>18</v>
      </c>
      <c r="D3811" s="576">
        <v>0.315</v>
      </c>
      <c r="E3811" s="576">
        <v>108211</v>
      </c>
      <c r="F3811" s="576">
        <v>337211</v>
      </c>
      <c r="G3811" s="576">
        <v>12023</v>
      </c>
      <c r="H3811" s="576">
        <v>18066</v>
      </c>
    </row>
    <row r="3812" spans="1:8">
      <c r="A3812" s="575" t="s">
        <v>639</v>
      </c>
      <c r="B3812" s="575">
        <v>229000</v>
      </c>
      <c r="C3812" s="576">
        <v>24</v>
      </c>
      <c r="D3812" s="576">
        <v>0.315</v>
      </c>
      <c r="E3812" s="576">
        <v>144271</v>
      </c>
      <c r="F3812" s="576">
        <v>373271</v>
      </c>
      <c r="G3812" s="576">
        <v>16031</v>
      </c>
      <c r="H3812" s="576">
        <v>14885</v>
      </c>
    </row>
    <row r="3813" spans="1:8">
      <c r="A3813" s="575" t="s">
        <v>639</v>
      </c>
      <c r="B3813" s="575">
        <v>230000</v>
      </c>
      <c r="C3813" s="576">
        <v>12</v>
      </c>
      <c r="D3813" s="576">
        <v>0.315</v>
      </c>
      <c r="E3813" s="576">
        <v>72459</v>
      </c>
      <c r="F3813" s="576">
        <v>302459</v>
      </c>
      <c r="G3813" s="576">
        <v>8051</v>
      </c>
      <c r="H3813" s="576">
        <v>24534</v>
      </c>
    </row>
    <row r="3814" spans="1:8">
      <c r="A3814" s="575" t="s">
        <v>639</v>
      </c>
      <c r="B3814" s="575">
        <v>230000</v>
      </c>
      <c r="C3814" s="576">
        <v>18</v>
      </c>
      <c r="D3814" s="576">
        <v>0.315</v>
      </c>
      <c r="E3814" s="576">
        <v>108686</v>
      </c>
      <c r="F3814" s="576">
        <v>338686</v>
      </c>
      <c r="G3814" s="576">
        <v>12076</v>
      </c>
      <c r="H3814" s="576">
        <v>18145</v>
      </c>
    </row>
    <row r="3815" spans="1:8">
      <c r="A3815" s="575" t="s">
        <v>639</v>
      </c>
      <c r="B3815" s="575">
        <v>230000</v>
      </c>
      <c r="C3815" s="576">
        <v>24</v>
      </c>
      <c r="D3815" s="576">
        <v>0.315</v>
      </c>
      <c r="E3815" s="576">
        <v>144901</v>
      </c>
      <c r="F3815" s="576">
        <v>374901</v>
      </c>
      <c r="G3815" s="576">
        <v>16101</v>
      </c>
      <c r="H3815" s="576">
        <v>14950</v>
      </c>
    </row>
    <row r="3816" spans="1:8">
      <c r="A3816" s="575" t="s">
        <v>639</v>
      </c>
      <c r="B3816" s="575">
        <v>231000</v>
      </c>
      <c r="C3816" s="576">
        <v>12</v>
      </c>
      <c r="D3816" s="576">
        <v>0.315</v>
      </c>
      <c r="E3816" s="576">
        <v>72766</v>
      </c>
      <c r="F3816" s="576">
        <v>303766</v>
      </c>
      <c r="G3816" s="576">
        <v>8086</v>
      </c>
      <c r="H3816" s="576">
        <v>24640</v>
      </c>
    </row>
    <row r="3817" spans="1:8">
      <c r="A3817" s="575" t="s">
        <v>639</v>
      </c>
      <c r="B3817" s="575">
        <v>231000</v>
      </c>
      <c r="C3817" s="576">
        <v>18</v>
      </c>
      <c r="D3817" s="576">
        <v>0.315</v>
      </c>
      <c r="E3817" s="576">
        <v>109160</v>
      </c>
      <c r="F3817" s="576">
        <v>340160</v>
      </c>
      <c r="G3817" s="576">
        <v>12128</v>
      </c>
      <c r="H3817" s="576">
        <v>18224</v>
      </c>
    </row>
    <row r="3818" spans="1:8">
      <c r="A3818" s="575" t="s">
        <v>639</v>
      </c>
      <c r="B3818" s="575">
        <v>231000</v>
      </c>
      <c r="C3818" s="576">
        <v>24</v>
      </c>
      <c r="D3818" s="576">
        <v>0.315</v>
      </c>
      <c r="E3818" s="576">
        <v>145531</v>
      </c>
      <c r="F3818" s="576">
        <v>376531</v>
      </c>
      <c r="G3818" s="576">
        <v>16171</v>
      </c>
      <c r="H3818" s="576">
        <v>15015</v>
      </c>
    </row>
    <row r="3819" spans="1:8">
      <c r="A3819" s="575" t="s">
        <v>639</v>
      </c>
      <c r="B3819" s="575">
        <v>232000</v>
      </c>
      <c r="C3819" s="576">
        <v>12</v>
      </c>
      <c r="D3819" s="576">
        <v>0.315</v>
      </c>
      <c r="E3819" s="576">
        <v>73085</v>
      </c>
      <c r="F3819" s="576">
        <v>305085</v>
      </c>
      <c r="G3819" s="576">
        <v>8121</v>
      </c>
      <c r="H3819" s="576">
        <v>24747</v>
      </c>
    </row>
    <row r="3820" spans="1:8">
      <c r="A3820" s="575" t="s">
        <v>639</v>
      </c>
      <c r="B3820" s="575">
        <v>232000</v>
      </c>
      <c r="C3820" s="576">
        <v>18</v>
      </c>
      <c r="D3820" s="576">
        <v>0.315</v>
      </c>
      <c r="E3820" s="576">
        <v>109635</v>
      </c>
      <c r="F3820" s="576">
        <v>341635</v>
      </c>
      <c r="G3820" s="576">
        <v>12181</v>
      </c>
      <c r="H3820" s="576">
        <v>18303</v>
      </c>
    </row>
    <row r="3821" spans="1:8">
      <c r="A3821" s="575" t="s">
        <v>639</v>
      </c>
      <c r="B3821" s="575">
        <v>232000</v>
      </c>
      <c r="C3821" s="576">
        <v>24</v>
      </c>
      <c r="D3821" s="576">
        <v>0.315</v>
      </c>
      <c r="E3821" s="576">
        <v>146161</v>
      </c>
      <c r="F3821" s="576">
        <v>378161</v>
      </c>
      <c r="G3821" s="576">
        <v>16241</v>
      </c>
      <c r="H3821" s="576">
        <v>15080</v>
      </c>
    </row>
    <row r="3822" spans="1:8">
      <c r="A3822" s="575" t="s">
        <v>639</v>
      </c>
      <c r="B3822" s="575">
        <v>233000</v>
      </c>
      <c r="C3822" s="576">
        <v>12</v>
      </c>
      <c r="D3822" s="576">
        <v>0.315</v>
      </c>
      <c r="E3822" s="576">
        <v>73404</v>
      </c>
      <c r="F3822" s="576">
        <v>306404</v>
      </c>
      <c r="G3822" s="576">
        <v>8156</v>
      </c>
      <c r="H3822" s="576">
        <v>24854</v>
      </c>
    </row>
    <row r="3823" spans="1:8">
      <c r="A3823" s="575" t="s">
        <v>639</v>
      </c>
      <c r="B3823" s="575">
        <v>233000</v>
      </c>
      <c r="C3823" s="576">
        <v>18</v>
      </c>
      <c r="D3823" s="576">
        <v>0.315</v>
      </c>
      <c r="E3823" s="576">
        <v>110109</v>
      </c>
      <c r="F3823" s="576">
        <v>343109</v>
      </c>
      <c r="G3823" s="576">
        <v>12233</v>
      </c>
      <c r="H3823" s="576">
        <v>18382</v>
      </c>
    </row>
    <row r="3824" spans="1:8">
      <c r="A3824" s="575" t="s">
        <v>639</v>
      </c>
      <c r="B3824" s="575">
        <v>233000</v>
      </c>
      <c r="C3824" s="576">
        <v>24</v>
      </c>
      <c r="D3824" s="576">
        <v>0.315</v>
      </c>
      <c r="E3824" s="576">
        <v>146791</v>
      </c>
      <c r="F3824" s="576">
        <v>379791</v>
      </c>
      <c r="G3824" s="576">
        <v>16311</v>
      </c>
      <c r="H3824" s="576">
        <v>15145</v>
      </c>
    </row>
    <row r="3825" spans="1:8">
      <c r="A3825" s="575" t="s">
        <v>639</v>
      </c>
      <c r="B3825" s="575">
        <v>234000</v>
      </c>
      <c r="C3825" s="576">
        <v>12</v>
      </c>
      <c r="D3825" s="576">
        <v>0.315</v>
      </c>
      <c r="E3825" s="576">
        <v>73711</v>
      </c>
      <c r="F3825" s="576">
        <v>307711</v>
      </c>
      <c r="G3825" s="576">
        <v>8191</v>
      </c>
      <c r="H3825" s="576">
        <v>24960</v>
      </c>
    </row>
    <row r="3826" spans="1:8">
      <c r="A3826" s="575" t="s">
        <v>639</v>
      </c>
      <c r="B3826" s="575">
        <v>234000</v>
      </c>
      <c r="C3826" s="576">
        <v>18</v>
      </c>
      <c r="D3826" s="576">
        <v>0.315</v>
      </c>
      <c r="E3826" s="576">
        <v>110566</v>
      </c>
      <c r="F3826" s="576">
        <v>344566</v>
      </c>
      <c r="G3826" s="576">
        <v>12286</v>
      </c>
      <c r="H3826" s="576">
        <v>18460</v>
      </c>
    </row>
    <row r="3827" spans="1:8">
      <c r="A3827" s="575" t="s">
        <v>639</v>
      </c>
      <c r="B3827" s="575">
        <v>234000</v>
      </c>
      <c r="C3827" s="576">
        <v>24</v>
      </c>
      <c r="D3827" s="576">
        <v>0.315</v>
      </c>
      <c r="E3827" s="576">
        <v>147421</v>
      </c>
      <c r="F3827" s="576">
        <v>381421</v>
      </c>
      <c r="G3827" s="576">
        <v>16381</v>
      </c>
      <c r="H3827" s="576">
        <v>15210</v>
      </c>
    </row>
    <row r="3828" spans="1:8">
      <c r="A3828" s="575" t="s">
        <v>639</v>
      </c>
      <c r="B3828" s="575">
        <v>235000</v>
      </c>
      <c r="C3828" s="576">
        <v>12</v>
      </c>
      <c r="D3828" s="576">
        <v>0.315</v>
      </c>
      <c r="E3828" s="576">
        <v>74030</v>
      </c>
      <c r="F3828" s="576">
        <v>309030</v>
      </c>
      <c r="G3828" s="576">
        <v>8226</v>
      </c>
      <c r="H3828" s="576">
        <v>25067</v>
      </c>
    </row>
    <row r="3829" spans="1:8">
      <c r="A3829" s="575" t="s">
        <v>639</v>
      </c>
      <c r="B3829" s="575">
        <v>235000</v>
      </c>
      <c r="C3829" s="576">
        <v>18</v>
      </c>
      <c r="D3829" s="576">
        <v>0.315</v>
      </c>
      <c r="E3829" s="576">
        <v>111040</v>
      </c>
      <c r="F3829" s="576">
        <v>346040</v>
      </c>
      <c r="G3829" s="576">
        <v>12338</v>
      </c>
      <c r="H3829" s="576">
        <v>18539</v>
      </c>
    </row>
    <row r="3830" spans="1:8">
      <c r="A3830" s="575" t="s">
        <v>639</v>
      </c>
      <c r="B3830" s="575">
        <v>235000</v>
      </c>
      <c r="C3830" s="576">
        <v>24</v>
      </c>
      <c r="D3830" s="576">
        <v>0.315</v>
      </c>
      <c r="E3830" s="576">
        <v>148051</v>
      </c>
      <c r="F3830" s="576">
        <v>383051</v>
      </c>
      <c r="G3830" s="576">
        <v>16451</v>
      </c>
      <c r="H3830" s="576">
        <v>15275</v>
      </c>
    </row>
    <row r="3831" spans="1:8">
      <c r="A3831" s="575" t="s">
        <v>639</v>
      </c>
      <c r="B3831" s="575">
        <v>236000</v>
      </c>
      <c r="C3831" s="576">
        <v>12</v>
      </c>
      <c r="D3831" s="576">
        <v>0.315</v>
      </c>
      <c r="E3831" s="576">
        <v>74349</v>
      </c>
      <c r="F3831" s="576">
        <v>310349</v>
      </c>
      <c r="G3831" s="576">
        <v>8261</v>
      </c>
      <c r="H3831" s="576">
        <v>25174</v>
      </c>
    </row>
    <row r="3832" spans="1:8">
      <c r="A3832" s="575" t="s">
        <v>639</v>
      </c>
      <c r="B3832" s="575">
        <v>236000</v>
      </c>
      <c r="C3832" s="576">
        <v>18</v>
      </c>
      <c r="D3832" s="576">
        <v>0.315</v>
      </c>
      <c r="E3832" s="576">
        <v>111515</v>
      </c>
      <c r="F3832" s="576">
        <v>347515</v>
      </c>
      <c r="G3832" s="576">
        <v>12391</v>
      </c>
      <c r="H3832" s="576">
        <v>18618</v>
      </c>
    </row>
    <row r="3833" spans="1:8">
      <c r="A3833" s="575" t="s">
        <v>639</v>
      </c>
      <c r="B3833" s="575">
        <v>236000</v>
      </c>
      <c r="C3833" s="576">
        <v>24</v>
      </c>
      <c r="D3833" s="576">
        <v>0.315</v>
      </c>
      <c r="E3833" s="576">
        <v>148681</v>
      </c>
      <c r="F3833" s="576">
        <v>384681</v>
      </c>
      <c r="G3833" s="576">
        <v>16521</v>
      </c>
      <c r="H3833" s="576">
        <v>15340</v>
      </c>
    </row>
    <row r="3834" spans="1:8">
      <c r="A3834" s="575" t="s">
        <v>639</v>
      </c>
      <c r="B3834" s="575">
        <v>237000</v>
      </c>
      <c r="C3834" s="576">
        <v>12</v>
      </c>
      <c r="D3834" s="576">
        <v>0.315</v>
      </c>
      <c r="E3834" s="576">
        <v>74656</v>
      </c>
      <c r="F3834" s="576">
        <v>311656</v>
      </c>
      <c r="G3834" s="576">
        <v>8296</v>
      </c>
      <c r="H3834" s="576">
        <v>25280</v>
      </c>
    </row>
    <row r="3835" spans="1:8">
      <c r="A3835" s="575" t="s">
        <v>639</v>
      </c>
      <c r="B3835" s="575">
        <v>237000</v>
      </c>
      <c r="C3835" s="576">
        <v>18</v>
      </c>
      <c r="D3835" s="576">
        <v>0.315</v>
      </c>
      <c r="E3835" s="576">
        <v>111989</v>
      </c>
      <c r="F3835" s="576">
        <v>348989</v>
      </c>
      <c r="G3835" s="576">
        <v>12443</v>
      </c>
      <c r="H3835" s="576">
        <v>18697</v>
      </c>
    </row>
    <row r="3836" spans="1:8">
      <c r="A3836" s="575" t="s">
        <v>639</v>
      </c>
      <c r="B3836" s="575">
        <v>237000</v>
      </c>
      <c r="C3836" s="576">
        <v>24</v>
      </c>
      <c r="D3836" s="576">
        <v>0.315</v>
      </c>
      <c r="E3836" s="576">
        <v>149311</v>
      </c>
      <c r="F3836" s="576">
        <v>386311</v>
      </c>
      <c r="G3836" s="576">
        <v>16591</v>
      </c>
      <c r="H3836" s="576">
        <v>15405</v>
      </c>
    </row>
    <row r="3837" spans="1:8">
      <c r="A3837" s="575" t="s">
        <v>639</v>
      </c>
      <c r="B3837" s="575">
        <v>238000</v>
      </c>
      <c r="C3837" s="576">
        <v>12</v>
      </c>
      <c r="D3837" s="576">
        <v>0.315</v>
      </c>
      <c r="E3837" s="576">
        <v>74975</v>
      </c>
      <c r="F3837" s="576">
        <v>312975</v>
      </c>
      <c r="G3837" s="576">
        <v>8331</v>
      </c>
      <c r="H3837" s="576">
        <v>25387</v>
      </c>
    </row>
    <row r="3838" spans="1:8">
      <c r="A3838" s="575" t="s">
        <v>639</v>
      </c>
      <c r="B3838" s="575">
        <v>238000</v>
      </c>
      <c r="C3838" s="576">
        <v>18</v>
      </c>
      <c r="D3838" s="576">
        <v>0.315</v>
      </c>
      <c r="E3838" s="576">
        <v>112464</v>
      </c>
      <c r="F3838" s="576">
        <v>350464</v>
      </c>
      <c r="G3838" s="576">
        <v>12496</v>
      </c>
      <c r="H3838" s="576">
        <v>18776</v>
      </c>
    </row>
    <row r="3839" spans="1:8">
      <c r="A3839" s="575" t="s">
        <v>639</v>
      </c>
      <c r="B3839" s="575">
        <v>238000</v>
      </c>
      <c r="C3839" s="576">
        <v>24</v>
      </c>
      <c r="D3839" s="576">
        <v>0.315</v>
      </c>
      <c r="E3839" s="576">
        <v>149941</v>
      </c>
      <c r="F3839" s="576">
        <v>387941</v>
      </c>
      <c r="G3839" s="576">
        <v>16661</v>
      </c>
      <c r="H3839" s="576">
        <v>15470</v>
      </c>
    </row>
    <row r="3840" spans="1:8">
      <c r="A3840" s="575" t="s">
        <v>639</v>
      </c>
      <c r="B3840" s="575">
        <v>239000</v>
      </c>
      <c r="C3840" s="576">
        <v>12</v>
      </c>
      <c r="D3840" s="576">
        <v>0.315</v>
      </c>
      <c r="E3840" s="576">
        <v>75294</v>
      </c>
      <c r="F3840" s="576">
        <v>314294</v>
      </c>
      <c r="G3840" s="576">
        <v>8366</v>
      </c>
      <c r="H3840" s="576">
        <v>25494</v>
      </c>
    </row>
    <row r="3841" spans="1:8">
      <c r="A3841" s="575" t="s">
        <v>639</v>
      </c>
      <c r="B3841" s="575">
        <v>239000</v>
      </c>
      <c r="C3841" s="576">
        <v>18</v>
      </c>
      <c r="D3841" s="576">
        <v>0.315</v>
      </c>
      <c r="E3841" s="576">
        <v>112938</v>
      </c>
      <c r="F3841" s="576">
        <v>351938</v>
      </c>
      <c r="G3841" s="576">
        <v>12548</v>
      </c>
      <c r="H3841" s="576">
        <v>18855</v>
      </c>
    </row>
    <row r="3842" spans="1:8">
      <c r="A3842" s="575" t="s">
        <v>639</v>
      </c>
      <c r="B3842" s="575">
        <v>239000</v>
      </c>
      <c r="C3842" s="576">
        <v>24</v>
      </c>
      <c r="D3842" s="576">
        <v>0.315</v>
      </c>
      <c r="E3842" s="576">
        <v>150571</v>
      </c>
      <c r="F3842" s="576">
        <v>389571</v>
      </c>
      <c r="G3842" s="576">
        <v>16731</v>
      </c>
      <c r="H3842" s="576">
        <v>15535</v>
      </c>
    </row>
    <row r="3843" spans="1:8">
      <c r="A3843" s="575" t="s">
        <v>639</v>
      </c>
      <c r="B3843" s="575">
        <v>240000</v>
      </c>
      <c r="C3843" s="576">
        <v>12</v>
      </c>
      <c r="D3843" s="576">
        <v>0.315</v>
      </c>
      <c r="E3843" s="576">
        <v>75601</v>
      </c>
      <c r="F3843" s="576">
        <v>315601</v>
      </c>
      <c r="G3843" s="576">
        <v>8401</v>
      </c>
      <c r="H3843" s="576">
        <v>25600</v>
      </c>
    </row>
    <row r="3844" spans="1:8">
      <c r="A3844" s="575" t="s">
        <v>639</v>
      </c>
      <c r="B3844" s="575">
        <v>240000</v>
      </c>
      <c r="C3844" s="576">
        <v>18</v>
      </c>
      <c r="D3844" s="576">
        <v>0.315</v>
      </c>
      <c r="E3844" s="576">
        <v>113413</v>
      </c>
      <c r="F3844" s="576">
        <v>353413</v>
      </c>
      <c r="G3844" s="576">
        <v>12601</v>
      </c>
      <c r="H3844" s="576">
        <v>18934</v>
      </c>
    </row>
    <row r="3845" spans="1:8">
      <c r="A3845" s="575" t="s">
        <v>639</v>
      </c>
      <c r="B3845" s="575">
        <v>240000</v>
      </c>
      <c r="C3845" s="576">
        <v>24</v>
      </c>
      <c r="D3845" s="576">
        <v>0.315</v>
      </c>
      <c r="E3845" s="576">
        <v>151201</v>
      </c>
      <c r="F3845" s="576">
        <v>391201</v>
      </c>
      <c r="G3845" s="576">
        <v>16801</v>
      </c>
      <c r="H3845" s="576">
        <v>15600</v>
      </c>
    </row>
    <row r="3846" spans="1:8">
      <c r="A3846" s="575" t="s">
        <v>639</v>
      </c>
      <c r="B3846" s="575">
        <v>241000</v>
      </c>
      <c r="C3846" s="576">
        <v>12</v>
      </c>
      <c r="D3846" s="576">
        <v>0.315</v>
      </c>
      <c r="E3846" s="576">
        <v>75920</v>
      </c>
      <c r="F3846" s="576">
        <v>316920</v>
      </c>
      <c r="G3846" s="576">
        <v>8436</v>
      </c>
      <c r="H3846" s="576">
        <v>25707</v>
      </c>
    </row>
    <row r="3847" spans="1:8">
      <c r="A3847" s="575" t="s">
        <v>639</v>
      </c>
      <c r="B3847" s="575">
        <v>241000</v>
      </c>
      <c r="C3847" s="576">
        <v>18</v>
      </c>
      <c r="D3847" s="576">
        <v>0.315</v>
      </c>
      <c r="E3847" s="576">
        <v>113887</v>
      </c>
      <c r="F3847" s="576">
        <v>354887</v>
      </c>
      <c r="G3847" s="576">
        <v>12653</v>
      </c>
      <c r="H3847" s="576">
        <v>19013</v>
      </c>
    </row>
    <row r="3848" spans="1:8">
      <c r="A3848" s="575" t="s">
        <v>639</v>
      </c>
      <c r="B3848" s="575">
        <v>241000</v>
      </c>
      <c r="C3848" s="576">
        <v>24</v>
      </c>
      <c r="D3848" s="576">
        <v>0.315</v>
      </c>
      <c r="E3848" s="576">
        <v>151831</v>
      </c>
      <c r="F3848" s="576">
        <v>392831</v>
      </c>
      <c r="G3848" s="576">
        <v>16871</v>
      </c>
      <c r="H3848" s="576">
        <v>15665</v>
      </c>
    </row>
    <row r="3849" spans="1:8">
      <c r="A3849" s="575" t="s">
        <v>639</v>
      </c>
      <c r="B3849" s="575">
        <v>242000</v>
      </c>
      <c r="C3849" s="576">
        <v>12</v>
      </c>
      <c r="D3849" s="576">
        <v>0.315</v>
      </c>
      <c r="E3849" s="576">
        <v>76239</v>
      </c>
      <c r="F3849" s="576">
        <v>318239</v>
      </c>
      <c r="G3849" s="576">
        <v>8471</v>
      </c>
      <c r="H3849" s="576">
        <v>25814</v>
      </c>
    </row>
    <row r="3850" spans="1:8">
      <c r="A3850" s="575" t="s">
        <v>639</v>
      </c>
      <c r="B3850" s="575">
        <v>242000</v>
      </c>
      <c r="C3850" s="576">
        <v>18</v>
      </c>
      <c r="D3850" s="576">
        <v>0.315</v>
      </c>
      <c r="E3850" s="576">
        <v>114362</v>
      </c>
      <c r="F3850" s="576">
        <v>356362</v>
      </c>
      <c r="G3850" s="576">
        <v>12706</v>
      </c>
      <c r="H3850" s="576">
        <v>19092</v>
      </c>
    </row>
    <row r="3851" spans="1:8">
      <c r="A3851" s="575" t="s">
        <v>639</v>
      </c>
      <c r="B3851" s="575">
        <v>242000</v>
      </c>
      <c r="C3851" s="576">
        <v>24</v>
      </c>
      <c r="D3851" s="576">
        <v>0.315</v>
      </c>
      <c r="E3851" s="576">
        <v>152461</v>
      </c>
      <c r="F3851" s="576">
        <v>394461</v>
      </c>
      <c r="G3851" s="576">
        <v>16941</v>
      </c>
      <c r="H3851" s="576">
        <v>15730</v>
      </c>
    </row>
    <row r="3852" spans="1:8">
      <c r="A3852" s="575" t="s">
        <v>639</v>
      </c>
      <c r="B3852" s="575">
        <v>243000</v>
      </c>
      <c r="C3852" s="576">
        <v>12</v>
      </c>
      <c r="D3852" s="576">
        <v>0.315</v>
      </c>
      <c r="E3852" s="576">
        <v>76546</v>
      </c>
      <c r="F3852" s="576">
        <v>319546</v>
      </c>
      <c r="G3852" s="576">
        <v>8506</v>
      </c>
      <c r="H3852" s="576">
        <v>25920</v>
      </c>
    </row>
    <row r="3853" spans="1:8">
      <c r="A3853" s="575" t="s">
        <v>639</v>
      </c>
      <c r="B3853" s="575">
        <v>243000</v>
      </c>
      <c r="C3853" s="576">
        <v>18</v>
      </c>
      <c r="D3853" s="576">
        <v>0.315</v>
      </c>
      <c r="E3853" s="576">
        <v>114818</v>
      </c>
      <c r="F3853" s="576">
        <v>357818</v>
      </c>
      <c r="G3853" s="576">
        <v>12758</v>
      </c>
      <c r="H3853" s="576">
        <v>19170</v>
      </c>
    </row>
    <row r="3854" spans="1:8">
      <c r="A3854" s="575" t="s">
        <v>639</v>
      </c>
      <c r="B3854" s="575">
        <v>243000</v>
      </c>
      <c r="C3854" s="576">
        <v>24</v>
      </c>
      <c r="D3854" s="576">
        <v>0.315</v>
      </c>
      <c r="E3854" s="576">
        <v>153091</v>
      </c>
      <c r="F3854" s="576">
        <v>396091</v>
      </c>
      <c r="G3854" s="576">
        <v>17011</v>
      </c>
      <c r="H3854" s="576">
        <v>15795</v>
      </c>
    </row>
    <row r="3855" spans="1:8">
      <c r="A3855" s="575" t="s">
        <v>639</v>
      </c>
      <c r="B3855" s="575">
        <v>244000</v>
      </c>
      <c r="C3855" s="576">
        <v>12</v>
      </c>
      <c r="D3855" s="576">
        <v>0.315</v>
      </c>
      <c r="E3855" s="576">
        <v>76865</v>
      </c>
      <c r="F3855" s="576">
        <v>320865</v>
      </c>
      <c r="G3855" s="576">
        <v>8541</v>
      </c>
      <c r="H3855" s="576">
        <v>26027</v>
      </c>
    </row>
    <row r="3856" spans="1:8">
      <c r="A3856" s="575" t="s">
        <v>639</v>
      </c>
      <c r="B3856" s="575">
        <v>244000</v>
      </c>
      <c r="C3856" s="576">
        <v>18</v>
      </c>
      <c r="D3856" s="576">
        <v>0.315</v>
      </c>
      <c r="E3856" s="576">
        <v>115293</v>
      </c>
      <c r="F3856" s="576">
        <v>359293</v>
      </c>
      <c r="G3856" s="576">
        <v>12811</v>
      </c>
      <c r="H3856" s="576">
        <v>19249</v>
      </c>
    </row>
    <row r="3857" spans="1:8">
      <c r="A3857" s="575" t="s">
        <v>639</v>
      </c>
      <c r="B3857" s="575">
        <v>244000</v>
      </c>
      <c r="C3857" s="576">
        <v>24</v>
      </c>
      <c r="D3857" s="576">
        <v>0.315</v>
      </c>
      <c r="E3857" s="576">
        <v>153721</v>
      </c>
      <c r="F3857" s="576">
        <v>397721</v>
      </c>
      <c r="G3857" s="576">
        <v>17081</v>
      </c>
      <c r="H3857" s="576">
        <v>15860</v>
      </c>
    </row>
    <row r="3858" spans="1:8">
      <c r="A3858" s="575" t="s">
        <v>639</v>
      </c>
      <c r="B3858" s="575">
        <v>245000</v>
      </c>
      <c r="C3858" s="576">
        <v>12</v>
      </c>
      <c r="D3858" s="576">
        <v>0.315</v>
      </c>
      <c r="E3858" s="576">
        <v>77184</v>
      </c>
      <c r="F3858" s="576">
        <v>322184</v>
      </c>
      <c r="G3858" s="576">
        <v>8576</v>
      </c>
      <c r="H3858" s="576">
        <v>26134</v>
      </c>
    </row>
    <row r="3859" spans="1:8">
      <c r="A3859" s="575" t="s">
        <v>639</v>
      </c>
      <c r="B3859" s="575">
        <v>245000</v>
      </c>
      <c r="C3859" s="576">
        <v>18</v>
      </c>
      <c r="D3859" s="576">
        <v>0.315</v>
      </c>
      <c r="E3859" s="576">
        <v>115767</v>
      </c>
      <c r="F3859" s="576">
        <v>360767</v>
      </c>
      <c r="G3859" s="576">
        <v>12863</v>
      </c>
      <c r="H3859" s="576">
        <v>19328</v>
      </c>
    </row>
    <row r="3860" spans="1:8">
      <c r="A3860" s="575" t="s">
        <v>639</v>
      </c>
      <c r="B3860" s="575">
        <v>245000</v>
      </c>
      <c r="C3860" s="576">
        <v>24</v>
      </c>
      <c r="D3860" s="576">
        <v>0.315</v>
      </c>
      <c r="E3860" s="576">
        <v>154351</v>
      </c>
      <c r="F3860" s="576">
        <v>399351</v>
      </c>
      <c r="G3860" s="576">
        <v>17151</v>
      </c>
      <c r="H3860" s="576">
        <v>15925</v>
      </c>
    </row>
    <row r="3861" spans="1:8">
      <c r="A3861" s="575" t="s">
        <v>639</v>
      </c>
      <c r="B3861" s="575">
        <v>246000</v>
      </c>
      <c r="C3861" s="576">
        <v>12</v>
      </c>
      <c r="D3861" s="576">
        <v>0.315</v>
      </c>
      <c r="E3861" s="576">
        <v>77491</v>
      </c>
      <c r="F3861" s="576">
        <v>323491</v>
      </c>
      <c r="G3861" s="576">
        <v>8611</v>
      </c>
      <c r="H3861" s="576">
        <v>26240</v>
      </c>
    </row>
    <row r="3862" spans="1:8">
      <c r="A3862" s="575" t="s">
        <v>639</v>
      </c>
      <c r="B3862" s="575">
        <v>246000</v>
      </c>
      <c r="C3862" s="576">
        <v>18</v>
      </c>
      <c r="D3862" s="576">
        <v>0.315</v>
      </c>
      <c r="E3862" s="576">
        <v>116242</v>
      </c>
      <c r="F3862" s="576">
        <v>362242</v>
      </c>
      <c r="G3862" s="576">
        <v>12916</v>
      </c>
      <c r="H3862" s="576">
        <v>19407</v>
      </c>
    </row>
    <row r="3863" spans="1:8">
      <c r="A3863" s="575" t="s">
        <v>639</v>
      </c>
      <c r="B3863" s="575">
        <v>246000</v>
      </c>
      <c r="C3863" s="576">
        <v>24</v>
      </c>
      <c r="D3863" s="576">
        <v>0.315</v>
      </c>
      <c r="E3863" s="576">
        <v>154981</v>
      </c>
      <c r="F3863" s="576">
        <v>400981</v>
      </c>
      <c r="G3863" s="576">
        <v>17221</v>
      </c>
      <c r="H3863" s="576">
        <v>15990</v>
      </c>
    </row>
    <row r="3864" spans="1:8">
      <c r="A3864" s="575" t="s">
        <v>639</v>
      </c>
      <c r="B3864" s="575">
        <v>247000</v>
      </c>
      <c r="C3864" s="576">
        <v>12</v>
      </c>
      <c r="D3864" s="576">
        <v>0.315</v>
      </c>
      <c r="E3864" s="576">
        <v>77810</v>
      </c>
      <c r="F3864" s="576">
        <v>324810</v>
      </c>
      <c r="G3864" s="576">
        <v>8646</v>
      </c>
      <c r="H3864" s="576">
        <v>26347</v>
      </c>
    </row>
    <row r="3865" spans="1:8">
      <c r="A3865" s="575" t="s">
        <v>639</v>
      </c>
      <c r="B3865" s="575">
        <v>247000</v>
      </c>
      <c r="C3865" s="576">
        <v>18</v>
      </c>
      <c r="D3865" s="576">
        <v>0.315</v>
      </c>
      <c r="E3865" s="576">
        <v>116716</v>
      </c>
      <c r="F3865" s="576">
        <v>363716</v>
      </c>
      <c r="G3865" s="576">
        <v>12968</v>
      </c>
      <c r="H3865" s="576">
        <v>19486</v>
      </c>
    </row>
    <row r="3866" spans="1:8">
      <c r="A3866" s="575" t="s">
        <v>639</v>
      </c>
      <c r="B3866" s="575">
        <v>247000</v>
      </c>
      <c r="C3866" s="576">
        <v>24</v>
      </c>
      <c r="D3866" s="576">
        <v>0.315</v>
      </c>
      <c r="E3866" s="576">
        <v>155611</v>
      </c>
      <c r="F3866" s="576">
        <v>402611</v>
      </c>
      <c r="G3866" s="576">
        <v>17291</v>
      </c>
      <c r="H3866" s="576">
        <v>16055</v>
      </c>
    </row>
    <row r="3867" spans="1:8">
      <c r="A3867" s="575" t="s">
        <v>639</v>
      </c>
      <c r="B3867" s="575">
        <v>248000</v>
      </c>
      <c r="C3867" s="576">
        <v>12</v>
      </c>
      <c r="D3867" s="576">
        <v>0.315</v>
      </c>
      <c r="E3867" s="576">
        <v>78129</v>
      </c>
      <c r="F3867" s="576">
        <v>326129</v>
      </c>
      <c r="G3867" s="576">
        <v>8681</v>
      </c>
      <c r="H3867" s="576">
        <v>26454</v>
      </c>
    </row>
    <row r="3868" spans="1:8">
      <c r="A3868" s="575" t="s">
        <v>639</v>
      </c>
      <c r="B3868" s="575">
        <v>248000</v>
      </c>
      <c r="C3868" s="576">
        <v>18</v>
      </c>
      <c r="D3868" s="576">
        <v>0.315</v>
      </c>
      <c r="E3868" s="576">
        <v>117191</v>
      </c>
      <c r="F3868" s="576">
        <v>365191</v>
      </c>
      <c r="G3868" s="576">
        <v>13021</v>
      </c>
      <c r="H3868" s="576">
        <v>19565</v>
      </c>
    </row>
    <row r="3869" spans="1:8">
      <c r="A3869" s="575" t="s">
        <v>639</v>
      </c>
      <c r="B3869" s="575">
        <v>248000</v>
      </c>
      <c r="C3869" s="576">
        <v>24</v>
      </c>
      <c r="D3869" s="576">
        <v>0.315</v>
      </c>
      <c r="E3869" s="576">
        <v>156241</v>
      </c>
      <c r="F3869" s="576">
        <v>404241</v>
      </c>
      <c r="G3869" s="576">
        <v>17361</v>
      </c>
      <c r="H3869" s="576">
        <v>16120</v>
      </c>
    </row>
    <row r="3870" spans="1:8">
      <c r="A3870" s="575" t="s">
        <v>639</v>
      </c>
      <c r="B3870" s="575">
        <v>249000</v>
      </c>
      <c r="C3870" s="576">
        <v>12</v>
      </c>
      <c r="D3870" s="576">
        <v>0.315</v>
      </c>
      <c r="E3870" s="576">
        <v>78436</v>
      </c>
      <c r="F3870" s="576">
        <v>327436</v>
      </c>
      <c r="G3870" s="576">
        <v>8716</v>
      </c>
      <c r="H3870" s="576">
        <v>26560</v>
      </c>
    </row>
    <row r="3871" spans="1:8">
      <c r="A3871" s="575" t="s">
        <v>639</v>
      </c>
      <c r="B3871" s="575">
        <v>249000</v>
      </c>
      <c r="C3871" s="576">
        <v>18</v>
      </c>
      <c r="D3871" s="576">
        <v>0.315</v>
      </c>
      <c r="E3871" s="576">
        <v>117665</v>
      </c>
      <c r="F3871" s="576">
        <v>366665</v>
      </c>
      <c r="G3871" s="576">
        <v>13073</v>
      </c>
      <c r="H3871" s="576">
        <v>19644</v>
      </c>
    </row>
    <row r="3872" spans="1:8">
      <c r="A3872" s="575" t="s">
        <v>639</v>
      </c>
      <c r="B3872" s="575">
        <v>249000</v>
      </c>
      <c r="C3872" s="576">
        <v>24</v>
      </c>
      <c r="D3872" s="576">
        <v>0.315</v>
      </c>
      <c r="E3872" s="576">
        <v>156871</v>
      </c>
      <c r="F3872" s="576">
        <v>405871</v>
      </c>
      <c r="G3872" s="576">
        <v>17431</v>
      </c>
      <c r="H3872" s="576">
        <v>16185</v>
      </c>
    </row>
    <row r="3873" spans="1:8">
      <c r="A3873" s="575" t="s">
        <v>639</v>
      </c>
      <c r="B3873" s="575">
        <v>250000</v>
      </c>
      <c r="C3873" s="576">
        <v>12</v>
      </c>
      <c r="D3873" s="576">
        <v>0.315</v>
      </c>
      <c r="E3873" s="576">
        <v>78755</v>
      </c>
      <c r="F3873" s="576">
        <v>328755</v>
      </c>
      <c r="G3873" s="576">
        <v>8751</v>
      </c>
      <c r="H3873" s="576">
        <v>26667</v>
      </c>
    </row>
    <row r="3874" spans="1:8">
      <c r="A3874" s="575" t="s">
        <v>639</v>
      </c>
      <c r="B3874" s="575">
        <v>250000</v>
      </c>
      <c r="C3874" s="576">
        <v>18</v>
      </c>
      <c r="D3874" s="576">
        <v>0.315</v>
      </c>
      <c r="E3874" s="576">
        <v>118140</v>
      </c>
      <c r="F3874" s="576">
        <v>368140</v>
      </c>
      <c r="G3874" s="576">
        <v>13126</v>
      </c>
      <c r="H3874" s="576">
        <v>19723</v>
      </c>
    </row>
    <row r="3875" spans="1:8">
      <c r="A3875" s="575" t="s">
        <v>639</v>
      </c>
      <c r="B3875" s="575">
        <v>250000</v>
      </c>
      <c r="C3875" s="576">
        <v>24</v>
      </c>
      <c r="D3875" s="576">
        <v>0.315</v>
      </c>
      <c r="E3875" s="576">
        <v>157501</v>
      </c>
      <c r="F3875" s="576">
        <v>407501</v>
      </c>
      <c r="G3875" s="576">
        <v>17501</v>
      </c>
      <c r="H3875" s="576">
        <v>16250</v>
      </c>
    </row>
    <row r="3876" spans="1:8">
      <c r="A3876" s="575" t="s">
        <v>640</v>
      </c>
      <c r="B3876" s="575">
        <v>51000</v>
      </c>
      <c r="C3876" s="576">
        <v>12</v>
      </c>
      <c r="D3876" s="576">
        <v>0.315</v>
      </c>
      <c r="E3876" s="576">
        <v>16066</v>
      </c>
      <c r="F3876" s="576">
        <v>67066</v>
      </c>
      <c r="G3876" s="576">
        <v>1786</v>
      </c>
      <c r="H3876" s="576">
        <v>5440</v>
      </c>
    </row>
    <row r="3877" spans="1:8">
      <c r="A3877" s="575" t="s">
        <v>640</v>
      </c>
      <c r="B3877" s="575">
        <v>51000</v>
      </c>
      <c r="C3877" s="576">
        <v>18</v>
      </c>
      <c r="D3877" s="576">
        <v>0.315</v>
      </c>
      <c r="E3877" s="576">
        <v>24110</v>
      </c>
      <c r="F3877" s="576">
        <v>75110</v>
      </c>
      <c r="G3877" s="576">
        <v>2678</v>
      </c>
      <c r="H3877" s="576">
        <v>4024</v>
      </c>
    </row>
    <row r="3878" spans="1:8">
      <c r="A3878" s="575" t="s">
        <v>640</v>
      </c>
      <c r="B3878" s="575">
        <v>51000</v>
      </c>
      <c r="C3878" s="576">
        <v>24</v>
      </c>
      <c r="D3878" s="576">
        <v>0.315</v>
      </c>
      <c r="E3878" s="576">
        <v>32131</v>
      </c>
      <c r="F3878" s="576">
        <v>83131</v>
      </c>
      <c r="G3878" s="576">
        <v>3571</v>
      </c>
      <c r="H3878" s="576">
        <v>3315</v>
      </c>
    </row>
    <row r="3879" spans="1:8">
      <c r="A3879" s="575" t="s">
        <v>640</v>
      </c>
      <c r="B3879" s="575">
        <v>52000</v>
      </c>
      <c r="C3879" s="576">
        <v>12</v>
      </c>
      <c r="D3879" s="576">
        <v>0.315</v>
      </c>
      <c r="E3879" s="576">
        <v>16385</v>
      </c>
      <c r="F3879" s="576">
        <v>68385</v>
      </c>
      <c r="G3879" s="576">
        <v>1821</v>
      </c>
      <c r="H3879" s="576">
        <v>5547</v>
      </c>
    </row>
    <row r="3880" spans="1:8">
      <c r="A3880" s="575" t="s">
        <v>640</v>
      </c>
      <c r="B3880" s="575">
        <v>52000</v>
      </c>
      <c r="C3880" s="576">
        <v>18</v>
      </c>
      <c r="D3880" s="576">
        <v>0.315</v>
      </c>
      <c r="E3880" s="576">
        <v>24585</v>
      </c>
      <c r="F3880" s="576">
        <v>76585</v>
      </c>
      <c r="G3880" s="576">
        <v>2731</v>
      </c>
      <c r="H3880" s="576">
        <v>4103</v>
      </c>
    </row>
    <row r="3881" spans="1:8">
      <c r="A3881" s="575" t="s">
        <v>640</v>
      </c>
      <c r="B3881" s="575">
        <v>52000</v>
      </c>
      <c r="C3881" s="576">
        <v>24</v>
      </c>
      <c r="D3881" s="576">
        <v>0.315</v>
      </c>
      <c r="E3881" s="576">
        <v>32761</v>
      </c>
      <c r="F3881" s="576">
        <v>84761</v>
      </c>
      <c r="G3881" s="576">
        <v>3641</v>
      </c>
      <c r="H3881" s="576">
        <v>3380</v>
      </c>
    </row>
    <row r="3882" spans="1:8">
      <c r="A3882" s="575" t="s">
        <v>640</v>
      </c>
      <c r="B3882" s="575">
        <v>53000</v>
      </c>
      <c r="C3882" s="576">
        <v>12</v>
      </c>
      <c r="D3882" s="576">
        <v>0.315</v>
      </c>
      <c r="E3882" s="576">
        <v>16704</v>
      </c>
      <c r="F3882" s="576">
        <v>69704</v>
      </c>
      <c r="G3882" s="576">
        <v>1856</v>
      </c>
      <c r="H3882" s="576">
        <v>5654</v>
      </c>
    </row>
    <row r="3883" spans="1:8">
      <c r="A3883" s="575" t="s">
        <v>640</v>
      </c>
      <c r="B3883" s="575">
        <v>53000</v>
      </c>
      <c r="C3883" s="576">
        <v>18</v>
      </c>
      <c r="D3883" s="576">
        <v>0.315</v>
      </c>
      <c r="E3883" s="576">
        <v>25059</v>
      </c>
      <c r="F3883" s="576">
        <v>78059</v>
      </c>
      <c r="G3883" s="576">
        <v>2783</v>
      </c>
      <c r="H3883" s="576">
        <v>4182</v>
      </c>
    </row>
    <row r="3884" spans="1:8">
      <c r="A3884" s="575" t="s">
        <v>640</v>
      </c>
      <c r="B3884" s="575">
        <v>53000</v>
      </c>
      <c r="C3884" s="576">
        <v>24</v>
      </c>
      <c r="D3884" s="576">
        <v>0.315</v>
      </c>
      <c r="E3884" s="576">
        <v>33391</v>
      </c>
      <c r="F3884" s="576">
        <v>86391</v>
      </c>
      <c r="G3884" s="576">
        <v>3711</v>
      </c>
      <c r="H3884" s="576">
        <v>3445</v>
      </c>
    </row>
    <row r="3885" spans="1:8">
      <c r="A3885" s="575" t="s">
        <v>640</v>
      </c>
      <c r="B3885" s="575">
        <v>54000</v>
      </c>
      <c r="C3885" s="576">
        <v>12</v>
      </c>
      <c r="D3885" s="576">
        <v>0.315</v>
      </c>
      <c r="E3885" s="576">
        <v>17011</v>
      </c>
      <c r="F3885" s="576">
        <v>71011</v>
      </c>
      <c r="G3885" s="576">
        <v>1891</v>
      </c>
      <c r="H3885" s="576">
        <v>5760</v>
      </c>
    </row>
    <row r="3886" spans="1:8">
      <c r="A3886" s="575" t="s">
        <v>640</v>
      </c>
      <c r="B3886" s="575">
        <v>54000</v>
      </c>
      <c r="C3886" s="576">
        <v>18</v>
      </c>
      <c r="D3886" s="576">
        <v>0.315</v>
      </c>
      <c r="E3886" s="576">
        <v>25516</v>
      </c>
      <c r="F3886" s="576">
        <v>79516</v>
      </c>
      <c r="G3886" s="576">
        <v>2836</v>
      </c>
      <c r="H3886" s="576">
        <v>4260</v>
      </c>
    </row>
    <row r="3887" spans="1:8">
      <c r="A3887" s="575" t="s">
        <v>640</v>
      </c>
      <c r="B3887" s="575">
        <v>54000</v>
      </c>
      <c r="C3887" s="576">
        <v>24</v>
      </c>
      <c r="D3887" s="576">
        <v>0.315</v>
      </c>
      <c r="E3887" s="576">
        <v>34021</v>
      </c>
      <c r="F3887" s="576">
        <v>88021</v>
      </c>
      <c r="G3887" s="576">
        <v>3781</v>
      </c>
      <c r="H3887" s="576">
        <v>3510</v>
      </c>
    </row>
    <row r="3888" spans="1:8">
      <c r="A3888" s="575" t="s">
        <v>640</v>
      </c>
      <c r="B3888" s="575">
        <v>55000</v>
      </c>
      <c r="C3888" s="576">
        <v>12</v>
      </c>
      <c r="D3888" s="576">
        <v>0.315</v>
      </c>
      <c r="E3888" s="576">
        <v>17330</v>
      </c>
      <c r="F3888" s="576">
        <v>72330</v>
      </c>
      <c r="G3888" s="576">
        <v>1926</v>
      </c>
      <c r="H3888" s="576">
        <v>5867</v>
      </c>
    </row>
    <row r="3889" spans="1:8">
      <c r="A3889" s="575" t="s">
        <v>640</v>
      </c>
      <c r="B3889" s="575">
        <v>55000</v>
      </c>
      <c r="C3889" s="576">
        <v>18</v>
      </c>
      <c r="D3889" s="576">
        <v>0.315</v>
      </c>
      <c r="E3889" s="576">
        <v>25990</v>
      </c>
      <c r="F3889" s="576">
        <v>80990</v>
      </c>
      <c r="G3889" s="576">
        <v>2888</v>
      </c>
      <c r="H3889" s="576">
        <v>4339</v>
      </c>
    </row>
    <row r="3890" spans="1:8">
      <c r="A3890" s="575" t="s">
        <v>640</v>
      </c>
      <c r="B3890" s="575">
        <v>55000</v>
      </c>
      <c r="C3890" s="576">
        <v>24</v>
      </c>
      <c r="D3890" s="576">
        <v>0.315</v>
      </c>
      <c r="E3890" s="576">
        <v>34651</v>
      </c>
      <c r="F3890" s="576">
        <v>89651</v>
      </c>
      <c r="G3890" s="576">
        <v>3851</v>
      </c>
      <c r="H3890" s="576">
        <v>3575</v>
      </c>
    </row>
    <row r="3891" spans="1:8">
      <c r="A3891" s="575" t="s">
        <v>640</v>
      </c>
      <c r="B3891" s="575">
        <v>56000</v>
      </c>
      <c r="C3891" s="576">
        <v>12</v>
      </c>
      <c r="D3891" s="576">
        <v>0.315</v>
      </c>
      <c r="E3891" s="576">
        <v>17649</v>
      </c>
      <c r="F3891" s="576">
        <v>73649</v>
      </c>
      <c r="G3891" s="576">
        <v>1961</v>
      </c>
      <c r="H3891" s="576">
        <v>5974</v>
      </c>
    </row>
    <row r="3892" spans="1:8">
      <c r="A3892" s="575" t="s">
        <v>640</v>
      </c>
      <c r="B3892" s="575">
        <v>56000</v>
      </c>
      <c r="C3892" s="576">
        <v>18</v>
      </c>
      <c r="D3892" s="576">
        <v>0.315</v>
      </c>
      <c r="E3892" s="576">
        <v>26465</v>
      </c>
      <c r="F3892" s="576">
        <v>82465</v>
      </c>
      <c r="G3892" s="576">
        <v>2941</v>
      </c>
      <c r="H3892" s="576">
        <v>4418</v>
      </c>
    </row>
    <row r="3893" spans="1:8">
      <c r="A3893" s="575" t="s">
        <v>640</v>
      </c>
      <c r="B3893" s="575">
        <v>56000</v>
      </c>
      <c r="C3893" s="576">
        <v>24</v>
      </c>
      <c r="D3893" s="576">
        <v>0.315</v>
      </c>
      <c r="E3893" s="576">
        <v>35281</v>
      </c>
      <c r="F3893" s="576">
        <v>91281</v>
      </c>
      <c r="G3893" s="576">
        <v>3921</v>
      </c>
      <c r="H3893" s="576">
        <v>3640</v>
      </c>
    </row>
    <row r="3894" spans="1:8">
      <c r="A3894" s="575" t="s">
        <v>640</v>
      </c>
      <c r="B3894" s="575">
        <v>57000</v>
      </c>
      <c r="C3894" s="576">
        <v>12</v>
      </c>
      <c r="D3894" s="576">
        <v>0.315</v>
      </c>
      <c r="E3894" s="576">
        <v>17956</v>
      </c>
      <c r="F3894" s="576">
        <v>74956</v>
      </c>
      <c r="G3894" s="576">
        <v>1996</v>
      </c>
      <c r="H3894" s="576">
        <v>6080</v>
      </c>
    </row>
    <row r="3895" spans="1:8">
      <c r="A3895" s="575" t="s">
        <v>640</v>
      </c>
      <c r="B3895" s="575">
        <v>57000</v>
      </c>
      <c r="C3895" s="576">
        <v>18</v>
      </c>
      <c r="D3895" s="576">
        <v>0.315</v>
      </c>
      <c r="E3895" s="576">
        <v>26939</v>
      </c>
      <c r="F3895" s="576">
        <v>83939</v>
      </c>
      <c r="G3895" s="576">
        <v>2993</v>
      </c>
      <c r="H3895" s="576">
        <v>4497</v>
      </c>
    </row>
    <row r="3896" spans="1:8">
      <c r="A3896" s="575" t="s">
        <v>640</v>
      </c>
      <c r="B3896" s="575">
        <v>57000</v>
      </c>
      <c r="C3896" s="576">
        <v>24</v>
      </c>
      <c r="D3896" s="576">
        <v>0.315</v>
      </c>
      <c r="E3896" s="576">
        <v>35911</v>
      </c>
      <c r="F3896" s="576">
        <v>92911</v>
      </c>
      <c r="G3896" s="576">
        <v>3991</v>
      </c>
      <c r="H3896" s="576">
        <v>3705</v>
      </c>
    </row>
    <row r="3897" spans="1:8">
      <c r="A3897" s="575" t="s">
        <v>640</v>
      </c>
      <c r="B3897" s="575">
        <v>58000</v>
      </c>
      <c r="C3897" s="576">
        <v>12</v>
      </c>
      <c r="D3897" s="576">
        <v>0.315</v>
      </c>
      <c r="E3897" s="576">
        <v>18275</v>
      </c>
      <c r="F3897" s="576">
        <v>76275</v>
      </c>
      <c r="G3897" s="576">
        <v>2031</v>
      </c>
      <c r="H3897" s="576">
        <v>6187</v>
      </c>
    </row>
    <row r="3898" spans="1:8">
      <c r="A3898" s="575" t="s">
        <v>640</v>
      </c>
      <c r="B3898" s="575">
        <v>58000</v>
      </c>
      <c r="C3898" s="576">
        <v>18</v>
      </c>
      <c r="D3898" s="576">
        <v>0.315</v>
      </c>
      <c r="E3898" s="576">
        <v>27414</v>
      </c>
      <c r="F3898" s="576">
        <v>85414</v>
      </c>
      <c r="G3898" s="576">
        <v>3046</v>
      </c>
      <c r="H3898" s="576">
        <v>4576</v>
      </c>
    </row>
    <row r="3899" spans="1:8">
      <c r="A3899" s="575" t="s">
        <v>640</v>
      </c>
      <c r="B3899" s="575">
        <v>58000</v>
      </c>
      <c r="C3899" s="576">
        <v>24</v>
      </c>
      <c r="D3899" s="576">
        <v>0.315</v>
      </c>
      <c r="E3899" s="576">
        <v>36541</v>
      </c>
      <c r="F3899" s="576">
        <v>94541</v>
      </c>
      <c r="G3899" s="576">
        <v>4061</v>
      </c>
      <c r="H3899" s="576">
        <v>3770</v>
      </c>
    </row>
    <row r="3900" spans="1:8">
      <c r="A3900" s="575" t="s">
        <v>640</v>
      </c>
      <c r="B3900" s="575">
        <v>59000</v>
      </c>
      <c r="C3900" s="576">
        <v>12</v>
      </c>
      <c r="D3900" s="576">
        <v>0.315</v>
      </c>
      <c r="E3900" s="576">
        <v>18594</v>
      </c>
      <c r="F3900" s="576">
        <v>77594</v>
      </c>
      <c r="G3900" s="576">
        <v>2066</v>
      </c>
      <c r="H3900" s="576">
        <v>6294</v>
      </c>
    </row>
    <row r="3901" spans="1:8">
      <c r="A3901" s="575" t="s">
        <v>640</v>
      </c>
      <c r="B3901" s="575">
        <v>59000</v>
      </c>
      <c r="C3901" s="576">
        <v>18</v>
      </c>
      <c r="D3901" s="576">
        <v>0.315</v>
      </c>
      <c r="E3901" s="576">
        <v>27888</v>
      </c>
      <c r="F3901" s="576">
        <v>86888</v>
      </c>
      <c r="G3901" s="576">
        <v>3098</v>
      </c>
      <c r="H3901" s="576">
        <v>4655</v>
      </c>
    </row>
    <row r="3902" spans="1:8">
      <c r="A3902" s="575" t="s">
        <v>640</v>
      </c>
      <c r="B3902" s="575">
        <v>59000</v>
      </c>
      <c r="C3902" s="576">
        <v>24</v>
      </c>
      <c r="D3902" s="576">
        <v>0.315</v>
      </c>
      <c r="E3902" s="576">
        <v>37171</v>
      </c>
      <c r="F3902" s="576">
        <v>96171</v>
      </c>
      <c r="G3902" s="576">
        <v>4131</v>
      </c>
      <c r="H3902" s="576">
        <v>3835</v>
      </c>
    </row>
    <row r="3903" spans="1:8">
      <c r="A3903" s="575" t="s">
        <v>640</v>
      </c>
      <c r="B3903" s="575">
        <v>60000</v>
      </c>
      <c r="C3903" s="576">
        <v>12</v>
      </c>
      <c r="D3903" s="576">
        <v>0.315</v>
      </c>
      <c r="E3903" s="576">
        <v>18901</v>
      </c>
      <c r="F3903" s="576">
        <v>78901</v>
      </c>
      <c r="G3903" s="576">
        <v>2101</v>
      </c>
      <c r="H3903" s="576">
        <v>6400</v>
      </c>
    </row>
    <row r="3904" spans="1:8">
      <c r="A3904" s="575" t="s">
        <v>640</v>
      </c>
      <c r="B3904" s="575">
        <v>60000</v>
      </c>
      <c r="C3904" s="576">
        <v>18</v>
      </c>
      <c r="D3904" s="576">
        <v>0.315</v>
      </c>
      <c r="E3904" s="576">
        <v>28363</v>
      </c>
      <c r="F3904" s="576">
        <v>88363</v>
      </c>
      <c r="G3904" s="576">
        <v>3151</v>
      </c>
      <c r="H3904" s="576">
        <v>4734</v>
      </c>
    </row>
    <row r="3905" spans="1:8">
      <c r="A3905" s="575" t="s">
        <v>640</v>
      </c>
      <c r="B3905" s="575">
        <v>60000</v>
      </c>
      <c r="C3905" s="576">
        <v>24</v>
      </c>
      <c r="D3905" s="576">
        <v>0.315</v>
      </c>
      <c r="E3905" s="576">
        <v>37801</v>
      </c>
      <c r="F3905" s="576">
        <v>97801</v>
      </c>
      <c r="G3905" s="576">
        <v>4201</v>
      </c>
      <c r="H3905" s="576">
        <v>3900</v>
      </c>
    </row>
    <row r="3906" spans="1:8">
      <c r="A3906" s="575" t="s">
        <v>640</v>
      </c>
      <c r="B3906" s="575">
        <v>61000</v>
      </c>
      <c r="C3906" s="576">
        <v>12</v>
      </c>
      <c r="D3906" s="576">
        <v>0.315</v>
      </c>
      <c r="E3906" s="576">
        <v>19220</v>
      </c>
      <c r="F3906" s="576">
        <v>80220</v>
      </c>
      <c r="G3906" s="576">
        <v>2136</v>
      </c>
      <c r="H3906" s="576">
        <v>6507</v>
      </c>
    </row>
    <row r="3907" spans="1:8">
      <c r="A3907" s="575" t="s">
        <v>640</v>
      </c>
      <c r="B3907" s="575">
        <v>61000</v>
      </c>
      <c r="C3907" s="576">
        <v>18</v>
      </c>
      <c r="D3907" s="576">
        <v>0.315</v>
      </c>
      <c r="E3907" s="576">
        <v>28837</v>
      </c>
      <c r="F3907" s="576">
        <v>89837</v>
      </c>
      <c r="G3907" s="576">
        <v>3203</v>
      </c>
      <c r="H3907" s="576">
        <v>4813</v>
      </c>
    </row>
    <row r="3908" spans="1:8">
      <c r="A3908" s="575" t="s">
        <v>640</v>
      </c>
      <c r="B3908" s="575">
        <v>61000</v>
      </c>
      <c r="C3908" s="576">
        <v>24</v>
      </c>
      <c r="D3908" s="576">
        <v>0.315</v>
      </c>
      <c r="E3908" s="576">
        <v>38431</v>
      </c>
      <c r="F3908" s="576">
        <v>99431</v>
      </c>
      <c r="G3908" s="576">
        <v>4271</v>
      </c>
      <c r="H3908" s="576">
        <v>3965</v>
      </c>
    </row>
    <row r="3909" spans="1:8">
      <c r="A3909" s="575" t="s">
        <v>640</v>
      </c>
      <c r="B3909" s="575">
        <v>62000</v>
      </c>
      <c r="C3909" s="576">
        <v>12</v>
      </c>
      <c r="D3909" s="576">
        <v>0.315</v>
      </c>
      <c r="E3909" s="576">
        <v>19539</v>
      </c>
      <c r="F3909" s="576">
        <v>81539</v>
      </c>
      <c r="G3909" s="576">
        <v>2171</v>
      </c>
      <c r="H3909" s="576">
        <v>6614</v>
      </c>
    </row>
    <row r="3910" spans="1:8">
      <c r="A3910" s="575" t="s">
        <v>640</v>
      </c>
      <c r="B3910" s="575">
        <v>62000</v>
      </c>
      <c r="C3910" s="576">
        <v>18</v>
      </c>
      <c r="D3910" s="576">
        <v>0.315</v>
      </c>
      <c r="E3910" s="576">
        <v>29312</v>
      </c>
      <c r="F3910" s="576">
        <v>91312</v>
      </c>
      <c r="G3910" s="576">
        <v>3256</v>
      </c>
      <c r="H3910" s="576">
        <v>4892</v>
      </c>
    </row>
    <row r="3911" spans="1:8">
      <c r="A3911" s="575" t="s">
        <v>640</v>
      </c>
      <c r="B3911" s="575">
        <v>62000</v>
      </c>
      <c r="C3911" s="576">
        <v>24</v>
      </c>
      <c r="D3911" s="576">
        <v>0.315</v>
      </c>
      <c r="E3911" s="576">
        <v>39061</v>
      </c>
      <c r="F3911" s="576">
        <v>101061</v>
      </c>
      <c r="G3911" s="576">
        <v>4341</v>
      </c>
      <c r="H3911" s="576">
        <v>4030</v>
      </c>
    </row>
    <row r="3912" spans="1:8">
      <c r="A3912" s="575" t="s">
        <v>640</v>
      </c>
      <c r="B3912" s="575">
        <v>63000</v>
      </c>
      <c r="C3912" s="576">
        <v>12</v>
      </c>
      <c r="D3912" s="576">
        <v>0.315</v>
      </c>
      <c r="E3912" s="576">
        <v>19846</v>
      </c>
      <c r="F3912" s="576">
        <v>82846</v>
      </c>
      <c r="G3912" s="576">
        <v>2206</v>
      </c>
      <c r="H3912" s="576">
        <v>6720</v>
      </c>
    </row>
    <row r="3913" spans="1:8">
      <c r="A3913" s="575" t="s">
        <v>640</v>
      </c>
      <c r="B3913" s="575">
        <v>63000</v>
      </c>
      <c r="C3913" s="576">
        <v>18</v>
      </c>
      <c r="D3913" s="576">
        <v>0.315</v>
      </c>
      <c r="E3913" s="576">
        <v>29768</v>
      </c>
      <c r="F3913" s="576">
        <v>92768</v>
      </c>
      <c r="G3913" s="576">
        <v>3308</v>
      </c>
      <c r="H3913" s="576">
        <v>4970</v>
      </c>
    </row>
    <row r="3914" spans="1:8">
      <c r="A3914" s="575" t="s">
        <v>640</v>
      </c>
      <c r="B3914" s="575">
        <v>63000</v>
      </c>
      <c r="C3914" s="576">
        <v>24</v>
      </c>
      <c r="D3914" s="576">
        <v>0.315</v>
      </c>
      <c r="E3914" s="576">
        <v>39691</v>
      </c>
      <c r="F3914" s="576">
        <v>102691</v>
      </c>
      <c r="G3914" s="576">
        <v>4411</v>
      </c>
      <c r="H3914" s="576">
        <v>4095</v>
      </c>
    </row>
    <row r="3915" spans="1:8">
      <c r="A3915" s="575" t="s">
        <v>640</v>
      </c>
      <c r="B3915" s="575">
        <v>64000</v>
      </c>
      <c r="C3915" s="576">
        <v>12</v>
      </c>
      <c r="D3915" s="576">
        <v>0.315</v>
      </c>
      <c r="E3915" s="576">
        <v>20165</v>
      </c>
      <c r="F3915" s="576">
        <v>84165</v>
      </c>
      <c r="G3915" s="576">
        <v>2241</v>
      </c>
      <c r="H3915" s="576">
        <v>6827</v>
      </c>
    </row>
    <row r="3916" spans="1:8">
      <c r="A3916" s="575" t="s">
        <v>640</v>
      </c>
      <c r="B3916" s="575">
        <v>64000</v>
      </c>
      <c r="C3916" s="576">
        <v>18</v>
      </c>
      <c r="D3916" s="576">
        <v>0.315</v>
      </c>
      <c r="E3916" s="576">
        <v>30243</v>
      </c>
      <c r="F3916" s="576">
        <v>94243</v>
      </c>
      <c r="G3916" s="576">
        <v>3361</v>
      </c>
      <c r="H3916" s="576">
        <v>5049</v>
      </c>
    </row>
    <row r="3917" spans="1:8">
      <c r="A3917" s="575" t="s">
        <v>640</v>
      </c>
      <c r="B3917" s="575">
        <v>64000</v>
      </c>
      <c r="C3917" s="576">
        <v>24</v>
      </c>
      <c r="D3917" s="576">
        <v>0.315</v>
      </c>
      <c r="E3917" s="576">
        <v>40321</v>
      </c>
      <c r="F3917" s="576">
        <v>104321</v>
      </c>
      <c r="G3917" s="576">
        <v>4481</v>
      </c>
      <c r="H3917" s="576">
        <v>4160</v>
      </c>
    </row>
    <row r="3918" spans="1:8">
      <c r="A3918" s="575" t="s">
        <v>640</v>
      </c>
      <c r="B3918" s="575">
        <v>65000</v>
      </c>
      <c r="C3918" s="576">
        <v>12</v>
      </c>
      <c r="D3918" s="576">
        <v>0.315</v>
      </c>
      <c r="E3918" s="576">
        <v>20484</v>
      </c>
      <c r="F3918" s="576">
        <v>85484</v>
      </c>
      <c r="G3918" s="576">
        <v>2276</v>
      </c>
      <c r="H3918" s="576">
        <v>6934</v>
      </c>
    </row>
    <row r="3919" spans="1:8">
      <c r="A3919" s="575" t="s">
        <v>640</v>
      </c>
      <c r="B3919" s="575">
        <v>65000</v>
      </c>
      <c r="C3919" s="576">
        <v>18</v>
      </c>
      <c r="D3919" s="576">
        <v>0.315</v>
      </c>
      <c r="E3919" s="576">
        <v>30717</v>
      </c>
      <c r="F3919" s="576">
        <v>95717</v>
      </c>
      <c r="G3919" s="576">
        <v>3413</v>
      </c>
      <c r="H3919" s="576">
        <v>5128</v>
      </c>
    </row>
    <row r="3920" spans="1:8">
      <c r="A3920" s="575" t="s">
        <v>640</v>
      </c>
      <c r="B3920" s="575">
        <v>65000</v>
      </c>
      <c r="C3920" s="576">
        <v>24</v>
      </c>
      <c r="D3920" s="576">
        <v>0.315</v>
      </c>
      <c r="E3920" s="576">
        <v>40951</v>
      </c>
      <c r="F3920" s="576">
        <v>105951</v>
      </c>
      <c r="G3920" s="576">
        <v>4551</v>
      </c>
      <c r="H3920" s="576">
        <v>4225</v>
      </c>
    </row>
    <row r="3921" spans="1:8">
      <c r="A3921" s="575" t="s">
        <v>640</v>
      </c>
      <c r="B3921" s="575">
        <v>66000</v>
      </c>
      <c r="C3921" s="576">
        <v>12</v>
      </c>
      <c r="D3921" s="576">
        <v>0.315</v>
      </c>
      <c r="E3921" s="576">
        <v>20791</v>
      </c>
      <c r="F3921" s="576">
        <v>86791</v>
      </c>
      <c r="G3921" s="576">
        <v>2311</v>
      </c>
      <c r="H3921" s="576">
        <v>7040</v>
      </c>
    </row>
    <row r="3922" spans="1:8">
      <c r="A3922" s="575" t="s">
        <v>640</v>
      </c>
      <c r="B3922" s="575">
        <v>66000</v>
      </c>
      <c r="C3922" s="576">
        <v>18</v>
      </c>
      <c r="D3922" s="576">
        <v>0.315</v>
      </c>
      <c r="E3922" s="576">
        <v>31192</v>
      </c>
      <c r="F3922" s="576">
        <v>97192</v>
      </c>
      <c r="G3922" s="576">
        <v>3466</v>
      </c>
      <c r="H3922" s="576">
        <v>5207</v>
      </c>
    </row>
    <row r="3923" spans="1:8">
      <c r="A3923" s="575" t="s">
        <v>640</v>
      </c>
      <c r="B3923" s="575">
        <v>66000</v>
      </c>
      <c r="C3923" s="576">
        <v>24</v>
      </c>
      <c r="D3923" s="576">
        <v>0.315</v>
      </c>
      <c r="E3923" s="576">
        <v>41581</v>
      </c>
      <c r="F3923" s="576">
        <v>107581</v>
      </c>
      <c r="G3923" s="576">
        <v>4621</v>
      </c>
      <c r="H3923" s="576">
        <v>4290</v>
      </c>
    </row>
    <row r="3924" spans="1:8">
      <c r="A3924" s="575" t="s">
        <v>640</v>
      </c>
      <c r="B3924" s="575">
        <v>67000</v>
      </c>
      <c r="C3924" s="576">
        <v>12</v>
      </c>
      <c r="D3924" s="576">
        <v>0.315</v>
      </c>
      <c r="E3924" s="576">
        <v>21110</v>
      </c>
      <c r="F3924" s="576">
        <v>88110</v>
      </c>
      <c r="G3924" s="576">
        <v>2346</v>
      </c>
      <c r="H3924" s="576">
        <v>7147</v>
      </c>
    </row>
    <row r="3925" spans="1:8">
      <c r="A3925" s="575" t="s">
        <v>640</v>
      </c>
      <c r="B3925" s="575">
        <v>67000</v>
      </c>
      <c r="C3925" s="576">
        <v>18</v>
      </c>
      <c r="D3925" s="576">
        <v>0.315</v>
      </c>
      <c r="E3925" s="576">
        <v>31666</v>
      </c>
      <c r="F3925" s="576">
        <v>98666</v>
      </c>
      <c r="G3925" s="576">
        <v>3518</v>
      </c>
      <c r="H3925" s="576">
        <v>5286</v>
      </c>
    </row>
    <row r="3926" spans="1:8">
      <c r="A3926" s="575" t="s">
        <v>640</v>
      </c>
      <c r="B3926" s="575">
        <v>67000</v>
      </c>
      <c r="C3926" s="576">
        <v>24</v>
      </c>
      <c r="D3926" s="576">
        <v>0.315</v>
      </c>
      <c r="E3926" s="576">
        <v>42211</v>
      </c>
      <c r="F3926" s="576">
        <v>109211</v>
      </c>
      <c r="G3926" s="576">
        <v>4691</v>
      </c>
      <c r="H3926" s="576">
        <v>4355</v>
      </c>
    </row>
    <row r="3927" spans="1:8">
      <c r="A3927" s="575" t="s">
        <v>640</v>
      </c>
      <c r="B3927" s="575">
        <v>68000</v>
      </c>
      <c r="C3927" s="576">
        <v>12</v>
      </c>
      <c r="D3927" s="576">
        <v>0.315</v>
      </c>
      <c r="E3927" s="576">
        <v>21429</v>
      </c>
      <c r="F3927" s="576">
        <v>89429</v>
      </c>
      <c r="G3927" s="576">
        <v>2381</v>
      </c>
      <c r="H3927" s="576">
        <v>7254</v>
      </c>
    </row>
    <row r="3928" spans="1:8">
      <c r="A3928" s="575" t="s">
        <v>640</v>
      </c>
      <c r="B3928" s="575">
        <v>68000</v>
      </c>
      <c r="C3928" s="576">
        <v>18</v>
      </c>
      <c r="D3928" s="576">
        <v>0.315</v>
      </c>
      <c r="E3928" s="576">
        <v>32141</v>
      </c>
      <c r="F3928" s="576">
        <v>100141</v>
      </c>
      <c r="G3928" s="576">
        <v>3571</v>
      </c>
      <c r="H3928" s="576">
        <v>5365</v>
      </c>
    </row>
    <row r="3929" spans="1:8">
      <c r="A3929" s="575" t="s">
        <v>640</v>
      </c>
      <c r="B3929" s="575">
        <v>68000</v>
      </c>
      <c r="C3929" s="576">
        <v>24</v>
      </c>
      <c r="D3929" s="576">
        <v>0.315</v>
      </c>
      <c r="E3929" s="576">
        <v>42841</v>
      </c>
      <c r="F3929" s="576">
        <v>110841</v>
      </c>
      <c r="G3929" s="576">
        <v>4761</v>
      </c>
      <c r="H3929" s="576">
        <v>4420</v>
      </c>
    </row>
    <row r="3930" spans="1:8">
      <c r="A3930" s="575" t="s">
        <v>640</v>
      </c>
      <c r="B3930" s="575">
        <v>69000</v>
      </c>
      <c r="C3930" s="576">
        <v>12</v>
      </c>
      <c r="D3930" s="576">
        <v>0.315</v>
      </c>
      <c r="E3930" s="576">
        <v>21736</v>
      </c>
      <c r="F3930" s="576">
        <v>90736</v>
      </c>
      <c r="G3930" s="576">
        <v>2416</v>
      </c>
      <c r="H3930" s="576">
        <v>7360</v>
      </c>
    </row>
    <row r="3931" spans="1:8">
      <c r="A3931" s="575" t="s">
        <v>640</v>
      </c>
      <c r="B3931" s="575">
        <v>69000</v>
      </c>
      <c r="C3931" s="576">
        <v>18</v>
      </c>
      <c r="D3931" s="576">
        <v>0.315</v>
      </c>
      <c r="E3931" s="576">
        <v>32615</v>
      </c>
      <c r="F3931" s="576">
        <v>101615</v>
      </c>
      <c r="G3931" s="576">
        <v>3623</v>
      </c>
      <c r="H3931" s="576">
        <v>5444</v>
      </c>
    </row>
    <row r="3932" spans="1:8">
      <c r="A3932" s="575" t="s">
        <v>640</v>
      </c>
      <c r="B3932" s="575">
        <v>69000</v>
      </c>
      <c r="C3932" s="576">
        <v>24</v>
      </c>
      <c r="D3932" s="576">
        <v>0.315</v>
      </c>
      <c r="E3932" s="576">
        <v>43471</v>
      </c>
      <c r="F3932" s="576">
        <v>112471</v>
      </c>
      <c r="G3932" s="576">
        <v>4831</v>
      </c>
      <c r="H3932" s="576">
        <v>4485</v>
      </c>
    </row>
    <row r="3933" spans="1:8">
      <c r="A3933" s="575" t="s">
        <v>640</v>
      </c>
      <c r="B3933" s="575">
        <v>70000</v>
      </c>
      <c r="C3933" s="576">
        <v>12</v>
      </c>
      <c r="D3933" s="576">
        <v>0.315</v>
      </c>
      <c r="E3933" s="576">
        <v>22055</v>
      </c>
      <c r="F3933" s="576">
        <v>92055</v>
      </c>
      <c r="G3933" s="576">
        <v>2451</v>
      </c>
      <c r="H3933" s="576">
        <v>7467</v>
      </c>
    </row>
    <row r="3934" spans="1:8">
      <c r="A3934" s="575" t="s">
        <v>640</v>
      </c>
      <c r="B3934" s="575">
        <v>70000</v>
      </c>
      <c r="C3934" s="576">
        <v>18</v>
      </c>
      <c r="D3934" s="576">
        <v>0.315</v>
      </c>
      <c r="E3934" s="576">
        <v>33090</v>
      </c>
      <c r="F3934" s="576">
        <v>103090</v>
      </c>
      <c r="G3934" s="576">
        <v>3676</v>
      </c>
      <c r="H3934" s="576">
        <v>5523</v>
      </c>
    </row>
    <row r="3935" spans="1:8">
      <c r="A3935" s="575" t="s">
        <v>640</v>
      </c>
      <c r="B3935" s="575">
        <v>70000</v>
      </c>
      <c r="C3935" s="576">
        <v>24</v>
      </c>
      <c r="D3935" s="576">
        <v>0.315</v>
      </c>
      <c r="E3935" s="576">
        <v>44101</v>
      </c>
      <c r="F3935" s="576">
        <v>114101</v>
      </c>
      <c r="G3935" s="576">
        <v>4901</v>
      </c>
      <c r="H3935" s="576">
        <v>4550</v>
      </c>
    </row>
    <row r="3936" spans="1:8">
      <c r="A3936" s="575" t="s">
        <v>640</v>
      </c>
      <c r="B3936" s="575">
        <v>71000</v>
      </c>
      <c r="C3936" s="576">
        <v>12</v>
      </c>
      <c r="D3936" s="576">
        <v>0.315</v>
      </c>
      <c r="E3936" s="576">
        <v>22374</v>
      </c>
      <c r="F3936" s="576">
        <v>93374</v>
      </c>
      <c r="G3936" s="576">
        <v>2486</v>
      </c>
      <c r="H3936" s="576">
        <v>7574</v>
      </c>
    </row>
    <row r="3937" spans="1:8">
      <c r="A3937" s="575" t="s">
        <v>640</v>
      </c>
      <c r="B3937" s="575">
        <v>71000</v>
      </c>
      <c r="C3937" s="576">
        <v>18</v>
      </c>
      <c r="D3937" s="576">
        <v>0.315</v>
      </c>
      <c r="E3937" s="576">
        <v>33564</v>
      </c>
      <c r="F3937" s="576">
        <v>104564</v>
      </c>
      <c r="G3937" s="576">
        <v>3728</v>
      </c>
      <c r="H3937" s="576">
        <v>5602</v>
      </c>
    </row>
    <row r="3938" spans="1:8">
      <c r="A3938" s="575" t="s">
        <v>640</v>
      </c>
      <c r="B3938" s="575">
        <v>71000</v>
      </c>
      <c r="C3938" s="576">
        <v>24</v>
      </c>
      <c r="D3938" s="576">
        <v>0.315</v>
      </c>
      <c r="E3938" s="576">
        <v>44731</v>
      </c>
      <c r="F3938" s="576">
        <v>115731</v>
      </c>
      <c r="G3938" s="576">
        <v>4971</v>
      </c>
      <c r="H3938" s="576">
        <v>4615</v>
      </c>
    </row>
    <row r="3939" spans="1:8">
      <c r="A3939" s="575" t="s">
        <v>640</v>
      </c>
      <c r="B3939" s="575">
        <v>72000</v>
      </c>
      <c r="C3939" s="576">
        <v>12</v>
      </c>
      <c r="D3939" s="576">
        <v>0.315</v>
      </c>
      <c r="E3939" s="576">
        <v>22681</v>
      </c>
      <c r="F3939" s="576">
        <v>94681</v>
      </c>
      <c r="G3939" s="576">
        <v>2521</v>
      </c>
      <c r="H3939" s="576">
        <v>7680</v>
      </c>
    </row>
    <row r="3940" spans="1:8">
      <c r="A3940" s="575" t="s">
        <v>640</v>
      </c>
      <c r="B3940" s="575">
        <v>72000</v>
      </c>
      <c r="C3940" s="576">
        <v>18</v>
      </c>
      <c r="D3940" s="576">
        <v>0.315</v>
      </c>
      <c r="E3940" s="576">
        <v>34021</v>
      </c>
      <c r="F3940" s="576">
        <v>106021</v>
      </c>
      <c r="G3940" s="576">
        <v>3781</v>
      </c>
      <c r="H3940" s="576">
        <v>5680</v>
      </c>
    </row>
    <row r="3941" spans="1:8">
      <c r="A3941" s="575" t="s">
        <v>640</v>
      </c>
      <c r="B3941" s="575">
        <v>72000</v>
      </c>
      <c r="C3941" s="576">
        <v>24</v>
      </c>
      <c r="D3941" s="576">
        <v>0.315</v>
      </c>
      <c r="E3941" s="576">
        <v>45361</v>
      </c>
      <c r="F3941" s="576">
        <v>117361</v>
      </c>
      <c r="G3941" s="576">
        <v>5041</v>
      </c>
      <c r="H3941" s="576">
        <v>4680</v>
      </c>
    </row>
    <row r="3942" spans="1:8">
      <c r="A3942" s="575" t="s">
        <v>640</v>
      </c>
      <c r="B3942" s="575">
        <v>73000</v>
      </c>
      <c r="C3942" s="576">
        <v>12</v>
      </c>
      <c r="D3942" s="576">
        <v>0.315</v>
      </c>
      <c r="E3942" s="576">
        <v>23000</v>
      </c>
      <c r="F3942" s="576">
        <v>96000</v>
      </c>
      <c r="G3942" s="576">
        <v>2556</v>
      </c>
      <c r="H3942" s="576">
        <v>7787</v>
      </c>
    </row>
    <row r="3943" spans="1:8">
      <c r="A3943" s="575" t="s">
        <v>640</v>
      </c>
      <c r="B3943" s="575">
        <v>73000</v>
      </c>
      <c r="C3943" s="576">
        <v>18</v>
      </c>
      <c r="D3943" s="576">
        <v>0.315</v>
      </c>
      <c r="E3943" s="576">
        <v>34495</v>
      </c>
      <c r="F3943" s="576">
        <v>107495</v>
      </c>
      <c r="G3943" s="576">
        <v>3833</v>
      </c>
      <c r="H3943" s="576">
        <v>5759</v>
      </c>
    </row>
    <row r="3944" spans="1:8">
      <c r="A3944" s="575" t="s">
        <v>640</v>
      </c>
      <c r="B3944" s="575">
        <v>73000</v>
      </c>
      <c r="C3944" s="576">
        <v>24</v>
      </c>
      <c r="D3944" s="576">
        <v>0.315</v>
      </c>
      <c r="E3944" s="576">
        <v>45991</v>
      </c>
      <c r="F3944" s="576">
        <v>118991</v>
      </c>
      <c r="G3944" s="576">
        <v>5111</v>
      </c>
      <c r="H3944" s="576">
        <v>4745</v>
      </c>
    </row>
    <row r="3945" spans="1:8">
      <c r="A3945" s="575" t="s">
        <v>640</v>
      </c>
      <c r="B3945" s="575">
        <v>74000</v>
      </c>
      <c r="C3945" s="576">
        <v>12</v>
      </c>
      <c r="D3945" s="576">
        <v>0.315</v>
      </c>
      <c r="E3945" s="576">
        <v>23319</v>
      </c>
      <c r="F3945" s="576">
        <v>97319</v>
      </c>
      <c r="G3945" s="576">
        <v>2591</v>
      </c>
      <c r="H3945" s="576">
        <v>7894</v>
      </c>
    </row>
    <row r="3946" spans="1:8">
      <c r="A3946" s="575" t="s">
        <v>640</v>
      </c>
      <c r="B3946" s="575">
        <v>74000</v>
      </c>
      <c r="C3946" s="576">
        <v>18</v>
      </c>
      <c r="D3946" s="576">
        <v>0.315</v>
      </c>
      <c r="E3946" s="576">
        <v>34970</v>
      </c>
      <c r="F3946" s="576">
        <v>108970</v>
      </c>
      <c r="G3946" s="576">
        <v>3886</v>
      </c>
      <c r="H3946" s="576">
        <v>5838</v>
      </c>
    </row>
    <row r="3947" spans="1:8">
      <c r="A3947" s="575" t="s">
        <v>640</v>
      </c>
      <c r="B3947" s="575">
        <v>74000</v>
      </c>
      <c r="C3947" s="576">
        <v>24</v>
      </c>
      <c r="D3947" s="576">
        <v>0.315</v>
      </c>
      <c r="E3947" s="576">
        <v>46621</v>
      </c>
      <c r="F3947" s="576">
        <v>120621</v>
      </c>
      <c r="G3947" s="576">
        <v>5181</v>
      </c>
      <c r="H3947" s="576">
        <v>4810</v>
      </c>
    </row>
    <row r="3948" spans="1:8">
      <c r="A3948" s="575" t="s">
        <v>640</v>
      </c>
      <c r="B3948" s="575">
        <v>75000</v>
      </c>
      <c r="C3948" s="576">
        <v>12</v>
      </c>
      <c r="D3948" s="576">
        <v>0.315</v>
      </c>
      <c r="E3948" s="576">
        <v>23626</v>
      </c>
      <c r="F3948" s="576">
        <v>98626</v>
      </c>
      <c r="G3948" s="576">
        <v>2626</v>
      </c>
      <c r="H3948" s="576">
        <v>8000</v>
      </c>
    </row>
    <row r="3949" spans="1:8">
      <c r="A3949" s="575" t="s">
        <v>640</v>
      </c>
      <c r="B3949" s="575">
        <v>75000</v>
      </c>
      <c r="C3949" s="576">
        <v>18</v>
      </c>
      <c r="D3949" s="576">
        <v>0.315</v>
      </c>
      <c r="E3949" s="576">
        <v>35444</v>
      </c>
      <c r="F3949" s="576">
        <v>110444</v>
      </c>
      <c r="G3949" s="576">
        <v>3938</v>
      </c>
      <c r="H3949" s="576">
        <v>5917</v>
      </c>
    </row>
    <row r="3950" spans="1:8">
      <c r="A3950" s="575" t="s">
        <v>640</v>
      </c>
      <c r="B3950" s="575">
        <v>75000</v>
      </c>
      <c r="C3950" s="576">
        <v>24</v>
      </c>
      <c r="D3950" s="576">
        <v>0.315</v>
      </c>
      <c r="E3950" s="576">
        <v>47251</v>
      </c>
      <c r="F3950" s="576">
        <v>122251</v>
      </c>
      <c r="G3950" s="576">
        <v>5251</v>
      </c>
      <c r="H3950" s="576">
        <v>4875</v>
      </c>
    </row>
    <row r="3951" spans="1:8">
      <c r="A3951" s="575" t="s">
        <v>640</v>
      </c>
      <c r="B3951" s="575">
        <v>76000</v>
      </c>
      <c r="C3951" s="576">
        <v>12</v>
      </c>
      <c r="D3951" s="576">
        <v>0.315</v>
      </c>
      <c r="E3951" s="576">
        <v>23945</v>
      </c>
      <c r="F3951" s="576">
        <v>99945</v>
      </c>
      <c r="G3951" s="576">
        <v>2661</v>
      </c>
      <c r="H3951" s="576">
        <v>8107</v>
      </c>
    </row>
    <row r="3952" spans="1:8">
      <c r="A3952" s="575" t="s">
        <v>640</v>
      </c>
      <c r="B3952" s="575">
        <v>76000</v>
      </c>
      <c r="C3952" s="576">
        <v>18</v>
      </c>
      <c r="D3952" s="576">
        <v>0.315</v>
      </c>
      <c r="E3952" s="576">
        <v>35919</v>
      </c>
      <c r="F3952" s="576">
        <v>111919</v>
      </c>
      <c r="G3952" s="576">
        <v>3991</v>
      </c>
      <c r="H3952" s="576">
        <v>5996</v>
      </c>
    </row>
    <row r="3953" spans="1:8">
      <c r="A3953" s="575" t="s">
        <v>640</v>
      </c>
      <c r="B3953" s="575">
        <v>76000</v>
      </c>
      <c r="C3953" s="576">
        <v>24</v>
      </c>
      <c r="D3953" s="576">
        <v>0.315</v>
      </c>
      <c r="E3953" s="576">
        <v>47881</v>
      </c>
      <c r="F3953" s="576">
        <v>123881</v>
      </c>
      <c r="G3953" s="576">
        <v>5321</v>
      </c>
      <c r="H3953" s="576">
        <v>4940</v>
      </c>
    </row>
    <row r="3954" spans="1:8">
      <c r="A3954" s="575" t="s">
        <v>640</v>
      </c>
      <c r="B3954" s="575">
        <v>77000</v>
      </c>
      <c r="C3954" s="576">
        <v>12</v>
      </c>
      <c r="D3954" s="576">
        <v>0.315</v>
      </c>
      <c r="E3954" s="576">
        <v>24264</v>
      </c>
      <c r="F3954" s="576">
        <v>101264</v>
      </c>
      <c r="G3954" s="576">
        <v>2696</v>
      </c>
      <c r="H3954" s="576">
        <v>8214</v>
      </c>
    </row>
    <row r="3955" spans="1:8">
      <c r="A3955" s="575" t="s">
        <v>640</v>
      </c>
      <c r="B3955" s="575">
        <v>77000</v>
      </c>
      <c r="C3955" s="576">
        <v>18</v>
      </c>
      <c r="D3955" s="576">
        <v>0.315</v>
      </c>
      <c r="E3955" s="576">
        <v>36393</v>
      </c>
      <c r="F3955" s="576">
        <v>113393</v>
      </c>
      <c r="G3955" s="576">
        <v>4043</v>
      </c>
      <c r="H3955" s="576">
        <v>6075</v>
      </c>
    </row>
    <row r="3956" spans="1:8">
      <c r="A3956" s="575" t="s">
        <v>640</v>
      </c>
      <c r="B3956" s="575">
        <v>77000</v>
      </c>
      <c r="C3956" s="576">
        <v>24</v>
      </c>
      <c r="D3956" s="576">
        <v>0.315</v>
      </c>
      <c r="E3956" s="576">
        <v>48511</v>
      </c>
      <c r="F3956" s="576">
        <v>125511</v>
      </c>
      <c r="G3956" s="576">
        <v>5391</v>
      </c>
      <c r="H3956" s="576">
        <v>5005</v>
      </c>
    </row>
    <row r="3957" spans="1:8">
      <c r="A3957" s="575" t="s">
        <v>640</v>
      </c>
      <c r="B3957" s="575">
        <v>78000</v>
      </c>
      <c r="C3957" s="576">
        <v>12</v>
      </c>
      <c r="D3957" s="576">
        <v>0.315</v>
      </c>
      <c r="E3957" s="576">
        <v>24571</v>
      </c>
      <c r="F3957" s="576">
        <v>102571</v>
      </c>
      <c r="G3957" s="576">
        <v>2731</v>
      </c>
      <c r="H3957" s="576">
        <v>8320</v>
      </c>
    </row>
    <row r="3958" spans="1:8">
      <c r="A3958" s="575" t="s">
        <v>640</v>
      </c>
      <c r="B3958" s="575">
        <v>78000</v>
      </c>
      <c r="C3958" s="576">
        <v>18</v>
      </c>
      <c r="D3958" s="576">
        <v>0.315</v>
      </c>
      <c r="E3958" s="576">
        <v>36868</v>
      </c>
      <c r="F3958" s="576">
        <v>114868</v>
      </c>
      <c r="G3958" s="576">
        <v>4096</v>
      </c>
      <c r="H3958" s="576">
        <v>6154</v>
      </c>
    </row>
    <row r="3959" spans="1:8">
      <c r="A3959" s="575" t="s">
        <v>640</v>
      </c>
      <c r="B3959" s="575">
        <v>78000</v>
      </c>
      <c r="C3959" s="576">
        <v>24</v>
      </c>
      <c r="D3959" s="576">
        <v>0.315</v>
      </c>
      <c r="E3959" s="576">
        <v>49141</v>
      </c>
      <c r="F3959" s="576">
        <v>127141</v>
      </c>
      <c r="G3959" s="576">
        <v>5461</v>
      </c>
      <c r="H3959" s="576">
        <v>5070</v>
      </c>
    </row>
    <row r="3960" spans="1:8">
      <c r="A3960" s="575" t="s">
        <v>640</v>
      </c>
      <c r="B3960" s="575">
        <v>79000</v>
      </c>
      <c r="C3960" s="576">
        <v>12</v>
      </c>
      <c r="D3960" s="576">
        <v>0.315</v>
      </c>
      <c r="E3960" s="576">
        <v>24890</v>
      </c>
      <c r="F3960" s="576">
        <v>103890</v>
      </c>
      <c r="G3960" s="576">
        <v>2766</v>
      </c>
      <c r="H3960" s="576">
        <v>8427</v>
      </c>
    </row>
    <row r="3961" spans="1:8">
      <c r="A3961" s="575" t="s">
        <v>640</v>
      </c>
      <c r="B3961" s="575">
        <v>79000</v>
      </c>
      <c r="C3961" s="576">
        <v>18</v>
      </c>
      <c r="D3961" s="576">
        <v>0.315</v>
      </c>
      <c r="E3961" s="576">
        <v>37342</v>
      </c>
      <c r="F3961" s="576">
        <v>116342</v>
      </c>
      <c r="G3961" s="576">
        <v>4148</v>
      </c>
      <c r="H3961" s="576">
        <v>6233</v>
      </c>
    </row>
    <row r="3962" spans="1:8">
      <c r="A3962" s="575" t="s">
        <v>640</v>
      </c>
      <c r="B3962" s="575">
        <v>79000</v>
      </c>
      <c r="C3962" s="576">
        <v>24</v>
      </c>
      <c r="D3962" s="576">
        <v>0.315</v>
      </c>
      <c r="E3962" s="576">
        <v>49771</v>
      </c>
      <c r="F3962" s="576">
        <v>128771</v>
      </c>
      <c r="G3962" s="576">
        <v>5531</v>
      </c>
      <c r="H3962" s="576">
        <v>5135</v>
      </c>
    </row>
    <row r="3963" spans="1:8">
      <c r="A3963" s="575" t="s">
        <v>640</v>
      </c>
      <c r="B3963" s="575">
        <v>80000</v>
      </c>
      <c r="C3963" s="576">
        <v>12</v>
      </c>
      <c r="D3963" s="576">
        <v>0.315</v>
      </c>
      <c r="E3963" s="576">
        <v>25209</v>
      </c>
      <c r="F3963" s="576">
        <v>105209</v>
      </c>
      <c r="G3963" s="576">
        <v>2801</v>
      </c>
      <c r="H3963" s="576">
        <v>8534</v>
      </c>
    </row>
    <row r="3964" spans="1:8">
      <c r="A3964" s="575" t="s">
        <v>640</v>
      </c>
      <c r="B3964" s="575">
        <v>80000</v>
      </c>
      <c r="C3964" s="576">
        <v>18</v>
      </c>
      <c r="D3964" s="576">
        <v>0.315</v>
      </c>
      <c r="E3964" s="576">
        <v>37817</v>
      </c>
      <c r="F3964" s="576">
        <v>117817</v>
      </c>
      <c r="G3964" s="576">
        <v>4201</v>
      </c>
      <c r="H3964" s="576">
        <v>6312</v>
      </c>
    </row>
    <row r="3965" spans="1:8">
      <c r="A3965" s="575" t="s">
        <v>640</v>
      </c>
      <c r="B3965" s="575">
        <v>80000</v>
      </c>
      <c r="C3965" s="576">
        <v>24</v>
      </c>
      <c r="D3965" s="576">
        <v>0.315</v>
      </c>
      <c r="E3965" s="576">
        <v>50401</v>
      </c>
      <c r="F3965" s="576">
        <v>130401</v>
      </c>
      <c r="G3965" s="576">
        <v>5601</v>
      </c>
      <c r="H3965" s="576">
        <v>5200</v>
      </c>
    </row>
    <row r="3966" spans="1:8">
      <c r="A3966" s="575" t="s">
        <v>640</v>
      </c>
      <c r="B3966" s="575">
        <v>81000</v>
      </c>
      <c r="C3966" s="576">
        <v>12</v>
      </c>
      <c r="D3966" s="576">
        <v>0.315</v>
      </c>
      <c r="E3966" s="576">
        <v>25516</v>
      </c>
      <c r="F3966" s="576">
        <v>106516</v>
      </c>
      <c r="G3966" s="576">
        <v>2836</v>
      </c>
      <c r="H3966" s="576">
        <v>8640</v>
      </c>
    </row>
    <row r="3967" spans="1:8">
      <c r="A3967" s="575" t="s">
        <v>640</v>
      </c>
      <c r="B3967" s="575">
        <v>81000</v>
      </c>
      <c r="C3967" s="576">
        <v>18</v>
      </c>
      <c r="D3967" s="576">
        <v>0.315</v>
      </c>
      <c r="E3967" s="576">
        <v>38273</v>
      </c>
      <c r="F3967" s="576">
        <v>119273</v>
      </c>
      <c r="G3967" s="576">
        <v>4253</v>
      </c>
      <c r="H3967" s="576">
        <v>6390</v>
      </c>
    </row>
    <row r="3968" spans="1:8">
      <c r="A3968" s="575" t="s">
        <v>640</v>
      </c>
      <c r="B3968" s="575">
        <v>81000</v>
      </c>
      <c r="C3968" s="576">
        <v>24</v>
      </c>
      <c r="D3968" s="576">
        <v>0.315</v>
      </c>
      <c r="E3968" s="576">
        <v>51031</v>
      </c>
      <c r="F3968" s="576">
        <v>132031</v>
      </c>
      <c r="G3968" s="576">
        <v>5671</v>
      </c>
      <c r="H3968" s="576">
        <v>5265</v>
      </c>
    </row>
    <row r="3969" spans="1:8">
      <c r="A3969" s="575" t="s">
        <v>640</v>
      </c>
      <c r="B3969" s="575">
        <v>82000</v>
      </c>
      <c r="C3969" s="576">
        <v>12</v>
      </c>
      <c r="D3969" s="576">
        <v>0.315</v>
      </c>
      <c r="E3969" s="576">
        <v>25835</v>
      </c>
      <c r="F3969" s="576">
        <v>107835</v>
      </c>
      <c r="G3969" s="576">
        <v>2871</v>
      </c>
      <c r="H3969" s="576">
        <v>8747</v>
      </c>
    </row>
    <row r="3970" spans="1:8">
      <c r="A3970" s="575" t="s">
        <v>640</v>
      </c>
      <c r="B3970" s="575">
        <v>82000</v>
      </c>
      <c r="C3970" s="576">
        <v>18</v>
      </c>
      <c r="D3970" s="576">
        <v>0.315</v>
      </c>
      <c r="E3970" s="576">
        <v>38748</v>
      </c>
      <c r="F3970" s="576">
        <v>120748</v>
      </c>
      <c r="G3970" s="576">
        <v>4306</v>
      </c>
      <c r="H3970" s="576">
        <v>6469</v>
      </c>
    </row>
    <row r="3971" spans="1:8">
      <c r="A3971" s="575" t="s">
        <v>640</v>
      </c>
      <c r="B3971" s="575">
        <v>82000</v>
      </c>
      <c r="C3971" s="576">
        <v>24</v>
      </c>
      <c r="D3971" s="576">
        <v>0.315</v>
      </c>
      <c r="E3971" s="576">
        <v>51661</v>
      </c>
      <c r="F3971" s="576">
        <v>133661</v>
      </c>
      <c r="G3971" s="576">
        <v>5741</v>
      </c>
      <c r="H3971" s="576">
        <v>5330</v>
      </c>
    </row>
    <row r="3972" spans="1:8">
      <c r="A3972" s="575" t="s">
        <v>640</v>
      </c>
      <c r="B3972" s="575">
        <v>83000</v>
      </c>
      <c r="C3972" s="576">
        <v>12</v>
      </c>
      <c r="D3972" s="576">
        <v>0.315</v>
      </c>
      <c r="E3972" s="576">
        <v>26154</v>
      </c>
      <c r="F3972" s="576">
        <v>109154</v>
      </c>
      <c r="G3972" s="576">
        <v>2906</v>
      </c>
      <c r="H3972" s="576">
        <v>8854</v>
      </c>
    </row>
    <row r="3973" spans="1:8">
      <c r="A3973" s="575" t="s">
        <v>640</v>
      </c>
      <c r="B3973" s="575">
        <v>83000</v>
      </c>
      <c r="C3973" s="576">
        <v>18</v>
      </c>
      <c r="D3973" s="576">
        <v>0.315</v>
      </c>
      <c r="E3973" s="576">
        <v>39222</v>
      </c>
      <c r="F3973" s="576">
        <v>122222</v>
      </c>
      <c r="G3973" s="576">
        <v>4358</v>
      </c>
      <c r="H3973" s="576">
        <v>6548</v>
      </c>
    </row>
    <row r="3974" spans="1:8">
      <c r="A3974" s="575" t="s">
        <v>640</v>
      </c>
      <c r="B3974" s="575">
        <v>83000</v>
      </c>
      <c r="C3974" s="576">
        <v>24</v>
      </c>
      <c r="D3974" s="576">
        <v>0.315</v>
      </c>
      <c r="E3974" s="576">
        <v>52291</v>
      </c>
      <c r="F3974" s="576">
        <v>135291</v>
      </c>
      <c r="G3974" s="576">
        <v>5811</v>
      </c>
      <c r="H3974" s="576">
        <v>5395</v>
      </c>
    </row>
    <row r="3975" spans="1:8">
      <c r="A3975" s="575" t="s">
        <v>640</v>
      </c>
      <c r="B3975" s="575">
        <v>84000</v>
      </c>
      <c r="C3975" s="576">
        <v>12</v>
      </c>
      <c r="D3975" s="576">
        <v>0.315</v>
      </c>
      <c r="E3975" s="576">
        <v>26461</v>
      </c>
      <c r="F3975" s="576">
        <v>110461</v>
      </c>
      <c r="G3975" s="576">
        <v>2941</v>
      </c>
      <c r="H3975" s="576">
        <v>8960</v>
      </c>
    </row>
    <row r="3976" spans="1:8">
      <c r="A3976" s="575" t="s">
        <v>640</v>
      </c>
      <c r="B3976" s="575">
        <v>84000</v>
      </c>
      <c r="C3976" s="576">
        <v>18</v>
      </c>
      <c r="D3976" s="576">
        <v>0.315</v>
      </c>
      <c r="E3976" s="576">
        <v>39697</v>
      </c>
      <c r="F3976" s="576">
        <v>123697</v>
      </c>
      <c r="G3976" s="576">
        <v>4411</v>
      </c>
      <c r="H3976" s="576">
        <v>6627</v>
      </c>
    </row>
    <row r="3977" spans="1:8">
      <c r="A3977" s="575" t="s">
        <v>640</v>
      </c>
      <c r="B3977" s="575">
        <v>84000</v>
      </c>
      <c r="C3977" s="576">
        <v>24</v>
      </c>
      <c r="D3977" s="576">
        <v>0.315</v>
      </c>
      <c r="E3977" s="576">
        <v>52921</v>
      </c>
      <c r="F3977" s="576">
        <v>136921</v>
      </c>
      <c r="G3977" s="576">
        <v>5881</v>
      </c>
      <c r="H3977" s="576">
        <v>5460</v>
      </c>
    </row>
    <row r="3978" spans="1:8">
      <c r="A3978" s="575" t="s">
        <v>640</v>
      </c>
      <c r="B3978" s="575">
        <v>85000</v>
      </c>
      <c r="C3978" s="576">
        <v>12</v>
      </c>
      <c r="D3978" s="576">
        <v>0.315</v>
      </c>
      <c r="E3978" s="576">
        <v>26780</v>
      </c>
      <c r="F3978" s="576">
        <v>111780</v>
      </c>
      <c r="G3978" s="576">
        <v>2976</v>
      </c>
      <c r="H3978" s="576">
        <v>9067</v>
      </c>
    </row>
    <row r="3979" spans="1:8">
      <c r="A3979" s="575" t="s">
        <v>640</v>
      </c>
      <c r="B3979" s="575">
        <v>85000</v>
      </c>
      <c r="C3979" s="576">
        <v>18</v>
      </c>
      <c r="D3979" s="576">
        <v>0.315</v>
      </c>
      <c r="E3979" s="576">
        <v>40171</v>
      </c>
      <c r="F3979" s="576">
        <v>125171</v>
      </c>
      <c r="G3979" s="576">
        <v>4463</v>
      </c>
      <c r="H3979" s="576">
        <v>6706</v>
      </c>
    </row>
    <row r="3980" spans="1:8">
      <c r="A3980" s="575" t="s">
        <v>640</v>
      </c>
      <c r="B3980" s="575">
        <v>85000</v>
      </c>
      <c r="C3980" s="576">
        <v>24</v>
      </c>
      <c r="D3980" s="576">
        <v>0.315</v>
      </c>
      <c r="E3980" s="576">
        <v>53551</v>
      </c>
      <c r="F3980" s="576">
        <v>138551</v>
      </c>
      <c r="G3980" s="576">
        <v>5951</v>
      </c>
      <c r="H3980" s="576">
        <v>5525</v>
      </c>
    </row>
    <row r="3981" spans="1:8">
      <c r="A3981" s="575" t="s">
        <v>640</v>
      </c>
      <c r="B3981" s="575">
        <v>86000</v>
      </c>
      <c r="C3981" s="576">
        <v>12</v>
      </c>
      <c r="D3981" s="576">
        <v>0.315</v>
      </c>
      <c r="E3981" s="576">
        <v>27099</v>
      </c>
      <c r="F3981" s="576">
        <v>113099</v>
      </c>
      <c r="G3981" s="576">
        <v>3011</v>
      </c>
      <c r="H3981" s="576">
        <v>9174</v>
      </c>
    </row>
    <row r="3982" spans="1:8">
      <c r="A3982" s="575" t="s">
        <v>640</v>
      </c>
      <c r="B3982" s="575">
        <v>86000</v>
      </c>
      <c r="C3982" s="576">
        <v>18</v>
      </c>
      <c r="D3982" s="576">
        <v>0.315</v>
      </c>
      <c r="E3982" s="576">
        <v>40646</v>
      </c>
      <c r="F3982" s="576">
        <v>126646</v>
      </c>
      <c r="G3982" s="576">
        <v>4516</v>
      </c>
      <c r="H3982" s="576">
        <v>6785</v>
      </c>
    </row>
    <row r="3983" spans="1:8">
      <c r="A3983" s="575" t="s">
        <v>640</v>
      </c>
      <c r="B3983" s="575">
        <v>86000</v>
      </c>
      <c r="C3983" s="576">
        <v>24</v>
      </c>
      <c r="D3983" s="576">
        <v>0.315</v>
      </c>
      <c r="E3983" s="576">
        <v>54181</v>
      </c>
      <c r="F3983" s="576">
        <v>140181</v>
      </c>
      <c r="G3983" s="576">
        <v>6021</v>
      </c>
      <c r="H3983" s="576">
        <v>5590</v>
      </c>
    </row>
    <row r="3984" spans="1:8">
      <c r="A3984" s="575" t="s">
        <v>640</v>
      </c>
      <c r="B3984" s="575">
        <v>87000</v>
      </c>
      <c r="C3984" s="576">
        <v>12</v>
      </c>
      <c r="D3984" s="576">
        <v>0.315</v>
      </c>
      <c r="E3984" s="576">
        <v>27406</v>
      </c>
      <c r="F3984" s="576">
        <v>114406</v>
      </c>
      <c r="G3984" s="576">
        <v>3046</v>
      </c>
      <c r="H3984" s="576">
        <v>9280</v>
      </c>
    </row>
    <row r="3985" spans="1:8">
      <c r="A3985" s="575" t="s">
        <v>640</v>
      </c>
      <c r="B3985" s="575">
        <v>87000</v>
      </c>
      <c r="C3985" s="576">
        <v>18</v>
      </c>
      <c r="D3985" s="576">
        <v>0.315</v>
      </c>
      <c r="E3985" s="576">
        <v>41120</v>
      </c>
      <c r="F3985" s="576">
        <v>128120</v>
      </c>
      <c r="G3985" s="576">
        <v>4568</v>
      </c>
      <c r="H3985" s="576">
        <v>6864</v>
      </c>
    </row>
    <row r="3986" spans="1:8">
      <c r="A3986" s="575" t="s">
        <v>640</v>
      </c>
      <c r="B3986" s="575">
        <v>87000</v>
      </c>
      <c r="C3986" s="576">
        <v>24</v>
      </c>
      <c r="D3986" s="576">
        <v>0.315</v>
      </c>
      <c r="E3986" s="576">
        <v>54811</v>
      </c>
      <c r="F3986" s="576">
        <v>141811</v>
      </c>
      <c r="G3986" s="576">
        <v>6091</v>
      </c>
      <c r="H3986" s="576">
        <v>5655</v>
      </c>
    </row>
    <row r="3987" spans="1:8">
      <c r="A3987" s="575" t="s">
        <v>640</v>
      </c>
      <c r="B3987" s="575">
        <v>88000</v>
      </c>
      <c r="C3987" s="576">
        <v>12</v>
      </c>
      <c r="D3987" s="576">
        <v>0.315</v>
      </c>
      <c r="E3987" s="576">
        <v>27725</v>
      </c>
      <c r="F3987" s="576">
        <v>115725</v>
      </c>
      <c r="G3987" s="576">
        <v>3081</v>
      </c>
      <c r="H3987" s="576">
        <v>9387</v>
      </c>
    </row>
    <row r="3988" spans="1:8">
      <c r="A3988" s="575" t="s">
        <v>640</v>
      </c>
      <c r="B3988" s="575">
        <v>88000</v>
      </c>
      <c r="C3988" s="576">
        <v>18</v>
      </c>
      <c r="D3988" s="576">
        <v>0.315</v>
      </c>
      <c r="E3988" s="576">
        <v>41595</v>
      </c>
      <c r="F3988" s="576">
        <v>129595</v>
      </c>
      <c r="G3988" s="576">
        <v>4621</v>
      </c>
      <c r="H3988" s="576">
        <v>6943</v>
      </c>
    </row>
    <row r="3989" spans="1:8">
      <c r="A3989" s="575" t="s">
        <v>640</v>
      </c>
      <c r="B3989" s="575">
        <v>88000</v>
      </c>
      <c r="C3989" s="576">
        <v>24</v>
      </c>
      <c r="D3989" s="576">
        <v>0.315</v>
      </c>
      <c r="E3989" s="576">
        <v>55441</v>
      </c>
      <c r="F3989" s="576">
        <v>143441</v>
      </c>
      <c r="G3989" s="576">
        <v>6161</v>
      </c>
      <c r="H3989" s="576">
        <v>5720</v>
      </c>
    </row>
    <row r="3990" spans="1:8">
      <c r="A3990" s="575" t="s">
        <v>640</v>
      </c>
      <c r="B3990" s="575">
        <v>89000</v>
      </c>
      <c r="C3990" s="576">
        <v>12</v>
      </c>
      <c r="D3990" s="576">
        <v>0.315</v>
      </c>
      <c r="E3990" s="576">
        <v>28044</v>
      </c>
      <c r="F3990" s="576">
        <v>117044</v>
      </c>
      <c r="G3990" s="576">
        <v>3116</v>
      </c>
      <c r="H3990" s="576">
        <v>9494</v>
      </c>
    </row>
    <row r="3991" spans="1:8">
      <c r="A3991" s="575" t="s">
        <v>640</v>
      </c>
      <c r="B3991" s="575">
        <v>89000</v>
      </c>
      <c r="C3991" s="576">
        <v>18</v>
      </c>
      <c r="D3991" s="576">
        <v>0.315</v>
      </c>
      <c r="E3991" s="576">
        <v>42069</v>
      </c>
      <c r="F3991" s="576">
        <v>131069</v>
      </c>
      <c r="G3991" s="576">
        <v>4673</v>
      </c>
      <c r="H3991" s="576">
        <v>7022</v>
      </c>
    </row>
    <row r="3992" spans="1:8">
      <c r="A3992" s="575" t="s">
        <v>640</v>
      </c>
      <c r="B3992" s="575">
        <v>89000</v>
      </c>
      <c r="C3992" s="576">
        <v>24</v>
      </c>
      <c r="D3992" s="576">
        <v>0.315</v>
      </c>
      <c r="E3992" s="576">
        <v>56071</v>
      </c>
      <c r="F3992" s="576">
        <v>145071</v>
      </c>
      <c r="G3992" s="576">
        <v>6231</v>
      </c>
      <c r="H3992" s="576">
        <v>5785</v>
      </c>
    </row>
    <row r="3993" spans="1:8">
      <c r="A3993" s="575" t="s">
        <v>640</v>
      </c>
      <c r="B3993" s="575">
        <v>90000</v>
      </c>
      <c r="C3993" s="576">
        <v>12</v>
      </c>
      <c r="D3993" s="576">
        <v>0.315</v>
      </c>
      <c r="E3993" s="576">
        <v>28351</v>
      </c>
      <c r="F3993" s="576">
        <v>118351</v>
      </c>
      <c r="G3993" s="576">
        <v>3151</v>
      </c>
      <c r="H3993" s="576">
        <v>9600</v>
      </c>
    </row>
    <row r="3994" spans="1:8">
      <c r="A3994" s="575" t="s">
        <v>640</v>
      </c>
      <c r="B3994" s="575">
        <v>90000</v>
      </c>
      <c r="C3994" s="576">
        <v>18</v>
      </c>
      <c r="D3994" s="576">
        <v>0.315</v>
      </c>
      <c r="E3994" s="576">
        <v>42526</v>
      </c>
      <c r="F3994" s="576">
        <v>132526</v>
      </c>
      <c r="G3994" s="576">
        <v>4726</v>
      </c>
      <c r="H3994" s="576">
        <v>7100</v>
      </c>
    </row>
    <row r="3995" spans="1:8">
      <c r="A3995" s="575" t="s">
        <v>640</v>
      </c>
      <c r="B3995" s="575">
        <v>90000</v>
      </c>
      <c r="C3995" s="576">
        <v>24</v>
      </c>
      <c r="D3995" s="576">
        <v>0.315</v>
      </c>
      <c r="E3995" s="576">
        <v>56701</v>
      </c>
      <c r="F3995" s="576">
        <v>146701</v>
      </c>
      <c r="G3995" s="576">
        <v>6301</v>
      </c>
      <c r="H3995" s="576">
        <v>5850</v>
      </c>
    </row>
    <row r="3996" spans="1:8">
      <c r="A3996" s="575" t="s">
        <v>640</v>
      </c>
      <c r="B3996" s="575">
        <v>91000</v>
      </c>
      <c r="C3996" s="576">
        <v>12</v>
      </c>
      <c r="D3996" s="576">
        <v>0.315</v>
      </c>
      <c r="E3996" s="576">
        <v>28670</v>
      </c>
      <c r="F3996" s="576">
        <v>119670</v>
      </c>
      <c r="G3996" s="576">
        <v>3186</v>
      </c>
      <c r="H3996" s="576">
        <v>9707</v>
      </c>
    </row>
    <row r="3997" spans="1:8">
      <c r="A3997" s="575" t="s">
        <v>640</v>
      </c>
      <c r="B3997" s="575">
        <v>91000</v>
      </c>
      <c r="C3997" s="576">
        <v>18</v>
      </c>
      <c r="D3997" s="576">
        <v>0.315</v>
      </c>
      <c r="E3997" s="576">
        <v>43000</v>
      </c>
      <c r="F3997" s="576">
        <v>134000</v>
      </c>
      <c r="G3997" s="576">
        <v>4778</v>
      </c>
      <c r="H3997" s="576">
        <v>7179</v>
      </c>
    </row>
    <row r="3998" spans="1:8">
      <c r="A3998" s="575" t="s">
        <v>640</v>
      </c>
      <c r="B3998" s="575">
        <v>91000</v>
      </c>
      <c r="C3998" s="576">
        <v>24</v>
      </c>
      <c r="D3998" s="576">
        <v>0.315</v>
      </c>
      <c r="E3998" s="576">
        <v>57331</v>
      </c>
      <c r="F3998" s="576">
        <v>148331</v>
      </c>
      <c r="G3998" s="576">
        <v>6371</v>
      </c>
      <c r="H3998" s="576">
        <v>5915</v>
      </c>
    </row>
    <row r="3999" spans="1:8">
      <c r="A3999" s="575" t="s">
        <v>640</v>
      </c>
      <c r="B3999" s="575">
        <v>92000</v>
      </c>
      <c r="C3999" s="576">
        <v>12</v>
      </c>
      <c r="D3999" s="576">
        <v>0.315</v>
      </c>
      <c r="E3999" s="576">
        <v>28989</v>
      </c>
      <c r="F3999" s="576">
        <v>120989</v>
      </c>
      <c r="G3999" s="576">
        <v>3221</v>
      </c>
      <c r="H3999" s="576">
        <v>9814</v>
      </c>
    </row>
    <row r="4000" spans="1:8">
      <c r="A4000" s="575" t="s">
        <v>640</v>
      </c>
      <c r="B4000" s="575">
        <v>92000</v>
      </c>
      <c r="C4000" s="576">
        <v>18</v>
      </c>
      <c r="D4000" s="576">
        <v>0.315</v>
      </c>
      <c r="E4000" s="576">
        <v>43475</v>
      </c>
      <c r="F4000" s="576">
        <v>135475</v>
      </c>
      <c r="G4000" s="576">
        <v>4831</v>
      </c>
      <c r="H4000" s="576">
        <v>7258</v>
      </c>
    </row>
    <row r="4001" spans="1:8">
      <c r="A4001" s="575" t="s">
        <v>640</v>
      </c>
      <c r="B4001" s="575">
        <v>92000</v>
      </c>
      <c r="C4001" s="576">
        <v>24</v>
      </c>
      <c r="D4001" s="576">
        <v>0.315</v>
      </c>
      <c r="E4001" s="576">
        <v>57961</v>
      </c>
      <c r="F4001" s="576">
        <v>149961</v>
      </c>
      <c r="G4001" s="576">
        <v>6441</v>
      </c>
      <c r="H4001" s="576">
        <v>5980</v>
      </c>
    </row>
    <row r="4002" spans="1:8">
      <c r="A4002" s="575" t="s">
        <v>640</v>
      </c>
      <c r="B4002" s="575">
        <v>93000</v>
      </c>
      <c r="C4002" s="576">
        <v>12</v>
      </c>
      <c r="D4002" s="576">
        <v>0.315</v>
      </c>
      <c r="E4002" s="576">
        <v>29296</v>
      </c>
      <c r="F4002" s="576">
        <v>122296</v>
      </c>
      <c r="G4002" s="576">
        <v>3256</v>
      </c>
      <c r="H4002" s="576">
        <v>9920</v>
      </c>
    </row>
    <row r="4003" spans="1:8">
      <c r="A4003" s="575" t="s">
        <v>640</v>
      </c>
      <c r="B4003" s="575">
        <v>93000</v>
      </c>
      <c r="C4003" s="576">
        <v>18</v>
      </c>
      <c r="D4003" s="576">
        <v>0.315</v>
      </c>
      <c r="E4003" s="576">
        <v>43949</v>
      </c>
      <c r="F4003" s="576">
        <v>136949</v>
      </c>
      <c r="G4003" s="576">
        <v>4883</v>
      </c>
      <c r="H4003" s="576">
        <v>7337</v>
      </c>
    </row>
    <row r="4004" spans="1:8">
      <c r="A4004" s="575" t="s">
        <v>640</v>
      </c>
      <c r="B4004" s="575">
        <v>93000</v>
      </c>
      <c r="C4004" s="576">
        <v>24</v>
      </c>
      <c r="D4004" s="576">
        <v>0.315</v>
      </c>
      <c r="E4004" s="576">
        <v>58591</v>
      </c>
      <c r="F4004" s="576">
        <v>151591</v>
      </c>
      <c r="G4004" s="576">
        <v>6511</v>
      </c>
      <c r="H4004" s="576">
        <v>6045</v>
      </c>
    </row>
    <row r="4005" spans="1:8">
      <c r="A4005" s="575" t="s">
        <v>640</v>
      </c>
      <c r="B4005" s="575">
        <v>94000</v>
      </c>
      <c r="C4005" s="576">
        <v>12</v>
      </c>
      <c r="D4005" s="576">
        <v>0.315</v>
      </c>
      <c r="E4005" s="576">
        <v>29615</v>
      </c>
      <c r="F4005" s="576">
        <v>123615</v>
      </c>
      <c r="G4005" s="576">
        <v>3291</v>
      </c>
      <c r="H4005" s="576">
        <v>10027</v>
      </c>
    </row>
    <row r="4006" spans="1:8">
      <c r="A4006" s="575" t="s">
        <v>640</v>
      </c>
      <c r="B4006" s="575">
        <v>94000</v>
      </c>
      <c r="C4006" s="576">
        <v>18</v>
      </c>
      <c r="D4006" s="576">
        <v>0.315</v>
      </c>
      <c r="E4006" s="576">
        <v>44424</v>
      </c>
      <c r="F4006" s="576">
        <v>138424</v>
      </c>
      <c r="G4006" s="576">
        <v>4936</v>
      </c>
      <c r="H4006" s="576">
        <v>7416</v>
      </c>
    </row>
    <row r="4007" spans="1:8">
      <c r="A4007" s="575" t="s">
        <v>640</v>
      </c>
      <c r="B4007" s="575">
        <v>94000</v>
      </c>
      <c r="C4007" s="576">
        <v>24</v>
      </c>
      <c r="D4007" s="576">
        <v>0.315</v>
      </c>
      <c r="E4007" s="576">
        <v>59221</v>
      </c>
      <c r="F4007" s="576">
        <v>153221</v>
      </c>
      <c r="G4007" s="576">
        <v>6581</v>
      </c>
      <c r="H4007" s="576">
        <v>6110</v>
      </c>
    </row>
    <row r="4008" spans="1:8">
      <c r="A4008" s="575" t="s">
        <v>640</v>
      </c>
      <c r="B4008" s="575">
        <v>95000</v>
      </c>
      <c r="C4008" s="576">
        <v>12</v>
      </c>
      <c r="D4008" s="576">
        <v>0.315</v>
      </c>
      <c r="E4008" s="576">
        <v>29934</v>
      </c>
      <c r="F4008" s="576">
        <v>124934</v>
      </c>
      <c r="G4008" s="576">
        <v>3326</v>
      </c>
      <c r="H4008" s="576">
        <v>10134</v>
      </c>
    </row>
    <row r="4009" spans="1:8">
      <c r="A4009" s="575" t="s">
        <v>640</v>
      </c>
      <c r="B4009" s="575">
        <v>95000</v>
      </c>
      <c r="C4009" s="576">
        <v>18</v>
      </c>
      <c r="D4009" s="576">
        <v>0.315</v>
      </c>
      <c r="E4009" s="576">
        <v>44898</v>
      </c>
      <c r="F4009" s="576">
        <v>139898</v>
      </c>
      <c r="G4009" s="576">
        <v>4988</v>
      </c>
      <c r="H4009" s="576">
        <v>7495</v>
      </c>
    </row>
    <row r="4010" spans="1:8">
      <c r="A4010" s="575" t="s">
        <v>640</v>
      </c>
      <c r="B4010" s="575">
        <v>95000</v>
      </c>
      <c r="C4010" s="576">
        <v>24</v>
      </c>
      <c r="D4010" s="576">
        <v>0.315</v>
      </c>
      <c r="E4010" s="576">
        <v>59851</v>
      </c>
      <c r="F4010" s="576">
        <v>154851</v>
      </c>
      <c r="G4010" s="576">
        <v>6651</v>
      </c>
      <c r="H4010" s="576">
        <v>6175</v>
      </c>
    </row>
    <row r="4011" spans="1:8">
      <c r="A4011" s="575" t="s">
        <v>640</v>
      </c>
      <c r="B4011" s="575">
        <v>96000</v>
      </c>
      <c r="C4011" s="576">
        <v>12</v>
      </c>
      <c r="D4011" s="576">
        <v>0.315</v>
      </c>
      <c r="E4011" s="576">
        <v>30241</v>
      </c>
      <c r="F4011" s="576">
        <v>126241</v>
      </c>
      <c r="G4011" s="576">
        <v>3361</v>
      </c>
      <c r="H4011" s="576">
        <v>10240</v>
      </c>
    </row>
    <row r="4012" spans="1:8">
      <c r="A4012" s="575" t="s">
        <v>640</v>
      </c>
      <c r="B4012" s="575">
        <v>96000</v>
      </c>
      <c r="C4012" s="576">
        <v>18</v>
      </c>
      <c r="D4012" s="576">
        <v>0.315</v>
      </c>
      <c r="E4012" s="576">
        <v>45373</v>
      </c>
      <c r="F4012" s="576">
        <v>141373</v>
      </c>
      <c r="G4012" s="576">
        <v>5041</v>
      </c>
      <c r="H4012" s="576">
        <v>7574</v>
      </c>
    </row>
    <row r="4013" spans="1:8">
      <c r="A4013" s="575" t="s">
        <v>640</v>
      </c>
      <c r="B4013" s="575">
        <v>96000</v>
      </c>
      <c r="C4013" s="576">
        <v>24</v>
      </c>
      <c r="D4013" s="576">
        <v>0.315</v>
      </c>
      <c r="E4013" s="576">
        <v>60481</v>
      </c>
      <c r="F4013" s="576">
        <v>156481</v>
      </c>
      <c r="G4013" s="576">
        <v>6721</v>
      </c>
      <c r="H4013" s="576">
        <v>6240</v>
      </c>
    </row>
    <row r="4014" spans="1:8">
      <c r="A4014" s="575" t="s">
        <v>640</v>
      </c>
      <c r="B4014" s="575">
        <v>97000</v>
      </c>
      <c r="C4014" s="576">
        <v>12</v>
      </c>
      <c r="D4014" s="576">
        <v>0.315</v>
      </c>
      <c r="E4014" s="576">
        <v>30560</v>
      </c>
      <c r="F4014" s="576">
        <v>127560</v>
      </c>
      <c r="G4014" s="576">
        <v>3396</v>
      </c>
      <c r="H4014" s="576">
        <v>10347</v>
      </c>
    </row>
    <row r="4015" spans="1:8">
      <c r="A4015" s="575" t="s">
        <v>640</v>
      </c>
      <c r="B4015" s="575">
        <v>97000</v>
      </c>
      <c r="C4015" s="576">
        <v>18</v>
      </c>
      <c r="D4015" s="576">
        <v>0.315</v>
      </c>
      <c r="E4015" s="576">
        <v>45847</v>
      </c>
      <c r="F4015" s="576">
        <v>142847</v>
      </c>
      <c r="G4015" s="576">
        <v>5093</v>
      </c>
      <c r="H4015" s="576">
        <v>7653</v>
      </c>
    </row>
    <row r="4016" spans="1:8">
      <c r="A4016" s="575" t="s">
        <v>640</v>
      </c>
      <c r="B4016" s="575">
        <v>97000</v>
      </c>
      <c r="C4016" s="576">
        <v>24</v>
      </c>
      <c r="D4016" s="576">
        <v>0.315</v>
      </c>
      <c r="E4016" s="576">
        <v>61111</v>
      </c>
      <c r="F4016" s="576">
        <v>158111</v>
      </c>
      <c r="G4016" s="576">
        <v>6791</v>
      </c>
      <c r="H4016" s="576">
        <v>6305</v>
      </c>
    </row>
    <row r="4017" spans="1:8">
      <c r="A4017" s="575" t="s">
        <v>640</v>
      </c>
      <c r="B4017" s="575">
        <v>98000</v>
      </c>
      <c r="C4017" s="576">
        <v>12</v>
      </c>
      <c r="D4017" s="576">
        <v>0.315</v>
      </c>
      <c r="E4017" s="576">
        <v>30879</v>
      </c>
      <c r="F4017" s="576">
        <v>128879</v>
      </c>
      <c r="G4017" s="576">
        <v>3431</v>
      </c>
      <c r="H4017" s="576">
        <v>10454</v>
      </c>
    </row>
    <row r="4018" spans="1:8">
      <c r="A4018" s="575" t="s">
        <v>640</v>
      </c>
      <c r="B4018" s="575">
        <v>98000</v>
      </c>
      <c r="C4018" s="576">
        <v>18</v>
      </c>
      <c r="D4018" s="576">
        <v>0.315</v>
      </c>
      <c r="E4018" s="576">
        <v>46322</v>
      </c>
      <c r="F4018" s="576">
        <v>144322</v>
      </c>
      <c r="G4018" s="576">
        <v>5146</v>
      </c>
      <c r="H4018" s="576">
        <v>7732</v>
      </c>
    </row>
    <row r="4019" spans="1:8">
      <c r="A4019" s="575" t="s">
        <v>640</v>
      </c>
      <c r="B4019" s="575">
        <v>98000</v>
      </c>
      <c r="C4019" s="576">
        <v>24</v>
      </c>
      <c r="D4019" s="576">
        <v>0.315</v>
      </c>
      <c r="E4019" s="576">
        <v>61741</v>
      </c>
      <c r="F4019" s="576">
        <v>159741</v>
      </c>
      <c r="G4019" s="576">
        <v>6861</v>
      </c>
      <c r="H4019" s="576">
        <v>6370</v>
      </c>
    </row>
    <row r="4020" spans="1:8">
      <c r="A4020" s="575" t="s">
        <v>640</v>
      </c>
      <c r="B4020" s="575">
        <v>99000</v>
      </c>
      <c r="C4020" s="576">
        <v>12</v>
      </c>
      <c r="D4020" s="576">
        <v>0.315</v>
      </c>
      <c r="E4020" s="576">
        <v>31186</v>
      </c>
      <c r="F4020" s="576">
        <v>130186</v>
      </c>
      <c r="G4020" s="576">
        <v>3466</v>
      </c>
      <c r="H4020" s="576">
        <v>10560</v>
      </c>
    </row>
    <row r="4021" spans="1:8">
      <c r="A4021" s="575" t="s">
        <v>640</v>
      </c>
      <c r="B4021" s="575">
        <v>99000</v>
      </c>
      <c r="C4021" s="576">
        <v>18</v>
      </c>
      <c r="D4021" s="576">
        <v>0.315</v>
      </c>
      <c r="E4021" s="576">
        <v>46778</v>
      </c>
      <c r="F4021" s="576">
        <v>145778</v>
      </c>
      <c r="G4021" s="576">
        <v>5198</v>
      </c>
      <c r="H4021" s="576">
        <v>7810</v>
      </c>
    </row>
    <row r="4022" spans="1:8">
      <c r="A4022" s="575" t="s">
        <v>640</v>
      </c>
      <c r="B4022" s="575">
        <v>99000</v>
      </c>
      <c r="C4022" s="576">
        <v>24</v>
      </c>
      <c r="D4022" s="576">
        <v>0.315</v>
      </c>
      <c r="E4022" s="576">
        <v>62371</v>
      </c>
      <c r="F4022" s="576">
        <v>161371</v>
      </c>
      <c r="G4022" s="576">
        <v>6931</v>
      </c>
      <c r="H4022" s="576">
        <v>6435</v>
      </c>
    </row>
    <row r="4023" spans="1:8">
      <c r="A4023" s="575" t="s">
        <v>640</v>
      </c>
      <c r="B4023" s="575">
        <v>100000</v>
      </c>
      <c r="C4023" s="576">
        <v>12</v>
      </c>
      <c r="D4023" s="576">
        <v>0.315</v>
      </c>
      <c r="E4023" s="576">
        <v>31505</v>
      </c>
      <c r="F4023" s="576">
        <v>131505</v>
      </c>
      <c r="G4023" s="576">
        <v>3501</v>
      </c>
      <c r="H4023" s="576">
        <v>10667</v>
      </c>
    </row>
    <row r="4024" spans="1:8">
      <c r="A4024" s="575" t="s">
        <v>640</v>
      </c>
      <c r="B4024" s="575">
        <v>100000</v>
      </c>
      <c r="C4024" s="576">
        <v>18</v>
      </c>
      <c r="D4024" s="576">
        <v>0.315</v>
      </c>
      <c r="E4024" s="576">
        <v>47253</v>
      </c>
      <c r="F4024" s="576">
        <v>147253</v>
      </c>
      <c r="G4024" s="576">
        <v>5251</v>
      </c>
      <c r="H4024" s="576">
        <v>7889</v>
      </c>
    </row>
    <row r="4025" spans="1:8">
      <c r="A4025" s="575" t="s">
        <v>640</v>
      </c>
      <c r="B4025" s="575">
        <v>100000</v>
      </c>
      <c r="C4025" s="576">
        <v>24</v>
      </c>
      <c r="D4025" s="576">
        <v>0.315</v>
      </c>
      <c r="E4025" s="576">
        <v>63001</v>
      </c>
      <c r="F4025" s="576">
        <v>163001</v>
      </c>
      <c r="G4025" s="576">
        <v>7001</v>
      </c>
      <c r="H4025" s="576">
        <v>6500</v>
      </c>
    </row>
    <row r="4026" spans="1:8">
      <c r="A4026" s="575" t="s">
        <v>640</v>
      </c>
      <c r="B4026" s="575">
        <v>101000</v>
      </c>
      <c r="C4026" s="576">
        <v>12</v>
      </c>
      <c r="D4026" s="576">
        <v>0.315</v>
      </c>
      <c r="E4026" s="576">
        <v>31824</v>
      </c>
      <c r="F4026" s="576">
        <v>132824</v>
      </c>
      <c r="G4026" s="576">
        <v>3536</v>
      </c>
      <c r="H4026" s="576">
        <v>10774</v>
      </c>
    </row>
    <row r="4027" spans="1:8">
      <c r="A4027" s="575" t="s">
        <v>640</v>
      </c>
      <c r="B4027" s="575">
        <v>101000</v>
      </c>
      <c r="C4027" s="576">
        <v>18</v>
      </c>
      <c r="D4027" s="576">
        <v>0.315</v>
      </c>
      <c r="E4027" s="576">
        <v>47727</v>
      </c>
      <c r="F4027" s="576">
        <v>148727</v>
      </c>
      <c r="G4027" s="576">
        <v>5303</v>
      </c>
      <c r="H4027" s="576">
        <v>7968</v>
      </c>
    </row>
    <row r="4028" spans="1:8">
      <c r="A4028" s="575" t="s">
        <v>640</v>
      </c>
      <c r="B4028" s="575">
        <v>101000</v>
      </c>
      <c r="C4028" s="576">
        <v>24</v>
      </c>
      <c r="D4028" s="576">
        <v>0.315</v>
      </c>
      <c r="E4028" s="576">
        <v>63631</v>
      </c>
      <c r="F4028" s="576">
        <v>164631</v>
      </c>
      <c r="G4028" s="576">
        <v>7071</v>
      </c>
      <c r="H4028" s="576">
        <v>6565</v>
      </c>
    </row>
    <row r="4029" spans="1:8">
      <c r="A4029" s="575" t="s">
        <v>640</v>
      </c>
      <c r="B4029" s="575">
        <v>102000</v>
      </c>
      <c r="C4029" s="576">
        <v>12</v>
      </c>
      <c r="D4029" s="576">
        <v>0.315</v>
      </c>
      <c r="E4029" s="576">
        <v>32131</v>
      </c>
      <c r="F4029" s="576">
        <v>134131</v>
      </c>
      <c r="G4029" s="576">
        <v>3571</v>
      </c>
      <c r="H4029" s="576">
        <v>10880</v>
      </c>
    </row>
    <row r="4030" spans="1:8">
      <c r="A4030" s="575" t="s">
        <v>640</v>
      </c>
      <c r="B4030" s="575">
        <v>102000</v>
      </c>
      <c r="C4030" s="576">
        <v>18</v>
      </c>
      <c r="D4030" s="576">
        <v>0.315</v>
      </c>
      <c r="E4030" s="576">
        <v>48202</v>
      </c>
      <c r="F4030" s="576">
        <v>150202</v>
      </c>
      <c r="G4030" s="576">
        <v>5356</v>
      </c>
      <c r="H4030" s="576">
        <v>8047</v>
      </c>
    </row>
    <row r="4031" spans="1:8">
      <c r="A4031" s="575" t="s">
        <v>640</v>
      </c>
      <c r="B4031" s="575">
        <v>102000</v>
      </c>
      <c r="C4031" s="576">
        <v>24</v>
      </c>
      <c r="D4031" s="576">
        <v>0.315</v>
      </c>
      <c r="E4031" s="576">
        <v>64261</v>
      </c>
      <c r="F4031" s="576">
        <v>166261</v>
      </c>
      <c r="G4031" s="576">
        <v>7141</v>
      </c>
      <c r="H4031" s="576">
        <v>6630</v>
      </c>
    </row>
    <row r="4032" spans="1:8">
      <c r="A4032" s="575" t="s">
        <v>640</v>
      </c>
      <c r="B4032" s="575">
        <v>103000</v>
      </c>
      <c r="C4032" s="576">
        <v>12</v>
      </c>
      <c r="D4032" s="576">
        <v>0.315</v>
      </c>
      <c r="E4032" s="576">
        <v>32450</v>
      </c>
      <c r="F4032" s="576">
        <v>135450</v>
      </c>
      <c r="G4032" s="576">
        <v>3606</v>
      </c>
      <c r="H4032" s="576">
        <v>10987</v>
      </c>
    </row>
    <row r="4033" spans="1:8">
      <c r="A4033" s="575" t="s">
        <v>640</v>
      </c>
      <c r="B4033" s="575">
        <v>103000</v>
      </c>
      <c r="C4033" s="576">
        <v>18</v>
      </c>
      <c r="D4033" s="576">
        <v>0.315</v>
      </c>
      <c r="E4033" s="576">
        <v>48676</v>
      </c>
      <c r="F4033" s="576">
        <v>151676</v>
      </c>
      <c r="G4033" s="576">
        <v>5408</v>
      </c>
      <c r="H4033" s="576">
        <v>8126</v>
      </c>
    </row>
    <row r="4034" spans="1:8">
      <c r="A4034" s="575" t="s">
        <v>640</v>
      </c>
      <c r="B4034" s="575">
        <v>103000</v>
      </c>
      <c r="C4034" s="576">
        <v>24</v>
      </c>
      <c r="D4034" s="576">
        <v>0.315</v>
      </c>
      <c r="E4034" s="576">
        <v>64891</v>
      </c>
      <c r="F4034" s="576">
        <v>167891</v>
      </c>
      <c r="G4034" s="576">
        <v>7211</v>
      </c>
      <c r="H4034" s="576">
        <v>6695</v>
      </c>
    </row>
    <row r="4035" spans="1:8">
      <c r="A4035" s="575" t="s">
        <v>640</v>
      </c>
      <c r="B4035" s="575">
        <v>104000</v>
      </c>
      <c r="C4035" s="576">
        <v>12</v>
      </c>
      <c r="D4035" s="576">
        <v>0.315</v>
      </c>
      <c r="E4035" s="576">
        <v>32769</v>
      </c>
      <c r="F4035" s="576">
        <v>136769</v>
      </c>
      <c r="G4035" s="576">
        <v>3641</v>
      </c>
      <c r="H4035" s="576">
        <v>11094</v>
      </c>
    </row>
    <row r="4036" spans="1:8">
      <c r="A4036" s="575" t="s">
        <v>640</v>
      </c>
      <c r="B4036" s="575">
        <v>104000</v>
      </c>
      <c r="C4036" s="576">
        <v>18</v>
      </c>
      <c r="D4036" s="576">
        <v>0.315</v>
      </c>
      <c r="E4036" s="576">
        <v>49151</v>
      </c>
      <c r="F4036" s="576">
        <v>153151</v>
      </c>
      <c r="G4036" s="576">
        <v>5461</v>
      </c>
      <c r="H4036" s="576">
        <v>8205</v>
      </c>
    </row>
    <row r="4037" spans="1:8">
      <c r="A4037" s="575" t="s">
        <v>640</v>
      </c>
      <c r="B4037" s="575">
        <v>104000</v>
      </c>
      <c r="C4037" s="576">
        <v>24</v>
      </c>
      <c r="D4037" s="576">
        <v>0.315</v>
      </c>
      <c r="E4037" s="576">
        <v>65521</v>
      </c>
      <c r="F4037" s="576">
        <v>169521</v>
      </c>
      <c r="G4037" s="576">
        <v>7281</v>
      </c>
      <c r="H4037" s="576">
        <v>6760</v>
      </c>
    </row>
    <row r="4038" spans="1:8">
      <c r="A4038" s="575" t="s">
        <v>640</v>
      </c>
      <c r="B4038" s="575">
        <v>105000</v>
      </c>
      <c r="C4038" s="576">
        <v>12</v>
      </c>
      <c r="D4038" s="576">
        <v>0.315</v>
      </c>
      <c r="E4038" s="576">
        <v>33076</v>
      </c>
      <c r="F4038" s="576">
        <v>138076</v>
      </c>
      <c r="G4038" s="576">
        <v>3676</v>
      </c>
      <c r="H4038" s="576">
        <v>11200</v>
      </c>
    </row>
    <row r="4039" spans="1:8">
      <c r="A4039" s="575" t="s">
        <v>640</v>
      </c>
      <c r="B4039" s="575">
        <v>105000</v>
      </c>
      <c r="C4039" s="576">
        <v>18</v>
      </c>
      <c r="D4039" s="576">
        <v>0.315</v>
      </c>
      <c r="E4039" s="576">
        <v>49625</v>
      </c>
      <c r="F4039" s="576">
        <v>154625</v>
      </c>
      <c r="G4039" s="576">
        <v>5513</v>
      </c>
      <c r="H4039" s="576">
        <v>8284</v>
      </c>
    </row>
    <row r="4040" spans="1:8">
      <c r="A4040" s="575" t="s">
        <v>640</v>
      </c>
      <c r="B4040" s="575">
        <v>105000</v>
      </c>
      <c r="C4040" s="576">
        <v>24</v>
      </c>
      <c r="D4040" s="576">
        <v>0.315</v>
      </c>
      <c r="E4040" s="576">
        <v>66151</v>
      </c>
      <c r="F4040" s="576">
        <v>171151</v>
      </c>
      <c r="G4040" s="576">
        <v>7351</v>
      </c>
      <c r="H4040" s="576">
        <v>6825</v>
      </c>
    </row>
    <row r="4041" spans="1:8">
      <c r="A4041" s="575" t="s">
        <v>640</v>
      </c>
      <c r="B4041" s="575">
        <v>106000</v>
      </c>
      <c r="C4041" s="576">
        <v>12</v>
      </c>
      <c r="D4041" s="576">
        <v>0.315</v>
      </c>
      <c r="E4041" s="576">
        <v>33395</v>
      </c>
      <c r="F4041" s="576">
        <v>139395</v>
      </c>
      <c r="G4041" s="576">
        <v>3711</v>
      </c>
      <c r="H4041" s="576">
        <v>11307</v>
      </c>
    </row>
    <row r="4042" spans="1:8">
      <c r="A4042" s="575" t="s">
        <v>640</v>
      </c>
      <c r="B4042" s="575">
        <v>106000</v>
      </c>
      <c r="C4042" s="576">
        <v>18</v>
      </c>
      <c r="D4042" s="576">
        <v>0.315</v>
      </c>
      <c r="E4042" s="576">
        <v>50100</v>
      </c>
      <c r="F4042" s="576">
        <v>156100</v>
      </c>
      <c r="G4042" s="576">
        <v>5566</v>
      </c>
      <c r="H4042" s="576">
        <v>8363</v>
      </c>
    </row>
    <row r="4043" spans="1:8">
      <c r="A4043" s="575" t="s">
        <v>640</v>
      </c>
      <c r="B4043" s="575">
        <v>106000</v>
      </c>
      <c r="C4043" s="576">
        <v>24</v>
      </c>
      <c r="D4043" s="576">
        <v>0.315</v>
      </c>
      <c r="E4043" s="576">
        <v>66781</v>
      </c>
      <c r="F4043" s="576">
        <v>172781</v>
      </c>
      <c r="G4043" s="576">
        <v>7421</v>
      </c>
      <c r="H4043" s="576">
        <v>6890</v>
      </c>
    </row>
    <row r="4044" spans="1:8">
      <c r="A4044" s="575" t="s">
        <v>640</v>
      </c>
      <c r="B4044" s="575">
        <v>107000</v>
      </c>
      <c r="C4044" s="576">
        <v>12</v>
      </c>
      <c r="D4044" s="576">
        <v>0.315</v>
      </c>
      <c r="E4044" s="576">
        <v>33714</v>
      </c>
      <c r="F4044" s="576">
        <v>140714</v>
      </c>
      <c r="G4044" s="576">
        <v>3746</v>
      </c>
      <c r="H4044" s="576">
        <v>11414</v>
      </c>
    </row>
    <row r="4045" spans="1:8">
      <c r="A4045" s="575" t="s">
        <v>640</v>
      </c>
      <c r="B4045" s="575">
        <v>107000</v>
      </c>
      <c r="C4045" s="576">
        <v>18</v>
      </c>
      <c r="D4045" s="576">
        <v>0.315</v>
      </c>
      <c r="E4045" s="576">
        <v>50574</v>
      </c>
      <c r="F4045" s="576">
        <v>157574</v>
      </c>
      <c r="G4045" s="576">
        <v>5618</v>
      </c>
      <c r="H4045" s="576">
        <v>8442</v>
      </c>
    </row>
    <row r="4046" spans="1:8">
      <c r="A4046" s="575" t="s">
        <v>640</v>
      </c>
      <c r="B4046" s="575">
        <v>107000</v>
      </c>
      <c r="C4046" s="576">
        <v>24</v>
      </c>
      <c r="D4046" s="576">
        <v>0.315</v>
      </c>
      <c r="E4046" s="576">
        <v>67411</v>
      </c>
      <c r="F4046" s="576">
        <v>174411</v>
      </c>
      <c r="G4046" s="576">
        <v>7491</v>
      </c>
      <c r="H4046" s="576">
        <v>6955</v>
      </c>
    </row>
    <row r="4047" spans="1:8">
      <c r="A4047" s="575" t="s">
        <v>640</v>
      </c>
      <c r="B4047" s="575">
        <v>108000</v>
      </c>
      <c r="C4047" s="576">
        <v>12</v>
      </c>
      <c r="D4047" s="576">
        <v>0.315</v>
      </c>
      <c r="E4047" s="576">
        <v>34021</v>
      </c>
      <c r="F4047" s="576">
        <v>142021</v>
      </c>
      <c r="G4047" s="576">
        <v>3781</v>
      </c>
      <c r="H4047" s="576">
        <v>11520</v>
      </c>
    </row>
    <row r="4048" spans="1:8">
      <c r="A4048" s="575" t="s">
        <v>640</v>
      </c>
      <c r="B4048" s="575">
        <v>108000</v>
      </c>
      <c r="C4048" s="576">
        <v>18</v>
      </c>
      <c r="D4048" s="576">
        <v>0.315</v>
      </c>
      <c r="E4048" s="576">
        <v>51031</v>
      </c>
      <c r="F4048" s="576">
        <v>159031</v>
      </c>
      <c r="G4048" s="576">
        <v>5671</v>
      </c>
      <c r="H4048" s="576">
        <v>8520</v>
      </c>
    </row>
    <row r="4049" spans="1:8">
      <c r="A4049" s="575" t="s">
        <v>640</v>
      </c>
      <c r="B4049" s="575">
        <v>108000</v>
      </c>
      <c r="C4049" s="576">
        <v>24</v>
      </c>
      <c r="D4049" s="576">
        <v>0.315</v>
      </c>
      <c r="E4049" s="576">
        <v>68041</v>
      </c>
      <c r="F4049" s="576">
        <v>176041</v>
      </c>
      <c r="G4049" s="576">
        <v>7561</v>
      </c>
      <c r="H4049" s="576">
        <v>7020</v>
      </c>
    </row>
    <row r="4050" spans="1:8">
      <c r="A4050" s="575" t="s">
        <v>640</v>
      </c>
      <c r="B4050" s="575">
        <v>109000</v>
      </c>
      <c r="C4050" s="576">
        <v>12</v>
      </c>
      <c r="D4050" s="576">
        <v>0.315</v>
      </c>
      <c r="E4050" s="576">
        <v>34340</v>
      </c>
      <c r="F4050" s="576">
        <v>143340</v>
      </c>
      <c r="G4050" s="576">
        <v>3816</v>
      </c>
      <c r="H4050" s="576">
        <v>11627</v>
      </c>
    </row>
    <row r="4051" spans="1:8">
      <c r="A4051" s="575" t="s">
        <v>640</v>
      </c>
      <c r="B4051" s="575">
        <v>109000</v>
      </c>
      <c r="C4051" s="576">
        <v>18</v>
      </c>
      <c r="D4051" s="576">
        <v>0.315</v>
      </c>
      <c r="E4051" s="576">
        <v>51505</v>
      </c>
      <c r="F4051" s="576">
        <v>160505</v>
      </c>
      <c r="G4051" s="576">
        <v>5723</v>
      </c>
      <c r="H4051" s="576">
        <v>8599</v>
      </c>
    </row>
    <row r="4052" spans="1:8">
      <c r="A4052" s="575" t="s">
        <v>640</v>
      </c>
      <c r="B4052" s="575">
        <v>109000</v>
      </c>
      <c r="C4052" s="576">
        <v>24</v>
      </c>
      <c r="D4052" s="576">
        <v>0.315</v>
      </c>
      <c r="E4052" s="576">
        <v>68671</v>
      </c>
      <c r="F4052" s="576">
        <v>177671</v>
      </c>
      <c r="G4052" s="576">
        <v>7631</v>
      </c>
      <c r="H4052" s="576">
        <v>7085</v>
      </c>
    </row>
    <row r="4053" spans="1:8">
      <c r="A4053" s="575" t="s">
        <v>640</v>
      </c>
      <c r="B4053" s="575">
        <v>110000</v>
      </c>
      <c r="C4053" s="576">
        <v>12</v>
      </c>
      <c r="D4053" s="576">
        <v>0.315</v>
      </c>
      <c r="E4053" s="576">
        <v>34659</v>
      </c>
      <c r="F4053" s="576">
        <v>144659</v>
      </c>
      <c r="G4053" s="576">
        <v>3851</v>
      </c>
      <c r="H4053" s="576">
        <v>11734</v>
      </c>
    </row>
    <row r="4054" spans="1:8">
      <c r="A4054" s="575" t="s">
        <v>640</v>
      </c>
      <c r="B4054" s="575">
        <v>110000</v>
      </c>
      <c r="C4054" s="576">
        <v>18</v>
      </c>
      <c r="D4054" s="576">
        <v>0.315</v>
      </c>
      <c r="E4054" s="576">
        <v>51980</v>
      </c>
      <c r="F4054" s="576">
        <v>161980</v>
      </c>
      <c r="G4054" s="576">
        <v>5776</v>
      </c>
      <c r="H4054" s="576">
        <v>8678</v>
      </c>
    </row>
    <row r="4055" spans="1:8">
      <c r="A4055" s="575" t="s">
        <v>640</v>
      </c>
      <c r="B4055" s="575">
        <v>110000</v>
      </c>
      <c r="C4055" s="576">
        <v>24</v>
      </c>
      <c r="D4055" s="576">
        <v>0.315</v>
      </c>
      <c r="E4055" s="576">
        <v>69301</v>
      </c>
      <c r="F4055" s="576">
        <v>179301</v>
      </c>
      <c r="G4055" s="576">
        <v>7701</v>
      </c>
      <c r="H4055" s="576">
        <v>7150</v>
      </c>
    </row>
    <row r="4056" spans="1:8">
      <c r="A4056" s="575" t="s">
        <v>640</v>
      </c>
      <c r="B4056" s="575">
        <v>111000</v>
      </c>
      <c r="C4056" s="576">
        <v>12</v>
      </c>
      <c r="D4056" s="576">
        <v>0.315</v>
      </c>
      <c r="E4056" s="576">
        <v>34966</v>
      </c>
      <c r="F4056" s="576">
        <v>145966</v>
      </c>
      <c r="G4056" s="576">
        <v>3886</v>
      </c>
      <c r="H4056" s="576">
        <v>11840</v>
      </c>
    </row>
    <row r="4057" spans="1:8">
      <c r="A4057" s="575" t="s">
        <v>640</v>
      </c>
      <c r="B4057" s="575">
        <v>111000</v>
      </c>
      <c r="C4057" s="576">
        <v>18</v>
      </c>
      <c r="D4057" s="576">
        <v>0.315</v>
      </c>
      <c r="E4057" s="576">
        <v>52454</v>
      </c>
      <c r="F4057" s="576">
        <v>163454</v>
      </c>
      <c r="G4057" s="576">
        <v>5828</v>
      </c>
      <c r="H4057" s="576">
        <v>8757</v>
      </c>
    </row>
    <row r="4058" spans="1:8">
      <c r="A4058" s="575" t="s">
        <v>640</v>
      </c>
      <c r="B4058" s="575">
        <v>111000</v>
      </c>
      <c r="C4058" s="576">
        <v>24</v>
      </c>
      <c r="D4058" s="576">
        <v>0.315</v>
      </c>
      <c r="E4058" s="576">
        <v>69931</v>
      </c>
      <c r="F4058" s="576">
        <v>180931</v>
      </c>
      <c r="G4058" s="576">
        <v>7771</v>
      </c>
      <c r="H4058" s="576">
        <v>7215</v>
      </c>
    </row>
    <row r="4059" spans="1:8">
      <c r="A4059" s="575" t="s">
        <v>640</v>
      </c>
      <c r="B4059" s="575">
        <v>112000</v>
      </c>
      <c r="C4059" s="576">
        <v>12</v>
      </c>
      <c r="D4059" s="576">
        <v>0.315</v>
      </c>
      <c r="E4059" s="576">
        <v>35285</v>
      </c>
      <c r="F4059" s="576">
        <v>147285</v>
      </c>
      <c r="G4059" s="576">
        <v>3921</v>
      </c>
      <c r="H4059" s="576">
        <v>11947</v>
      </c>
    </row>
    <row r="4060" spans="1:8">
      <c r="A4060" s="575" t="s">
        <v>640</v>
      </c>
      <c r="B4060" s="575">
        <v>112000</v>
      </c>
      <c r="C4060" s="576">
        <v>18</v>
      </c>
      <c r="D4060" s="576">
        <v>0.315</v>
      </c>
      <c r="E4060" s="576">
        <v>52929</v>
      </c>
      <c r="F4060" s="576">
        <v>164929</v>
      </c>
      <c r="G4060" s="576">
        <v>5881</v>
      </c>
      <c r="H4060" s="576">
        <v>8836</v>
      </c>
    </row>
    <row r="4061" spans="1:8">
      <c r="A4061" s="575" t="s">
        <v>640</v>
      </c>
      <c r="B4061" s="575">
        <v>112000</v>
      </c>
      <c r="C4061" s="576">
        <v>24</v>
      </c>
      <c r="D4061" s="576">
        <v>0.315</v>
      </c>
      <c r="E4061" s="576">
        <v>70561</v>
      </c>
      <c r="F4061" s="576">
        <v>182561</v>
      </c>
      <c r="G4061" s="576">
        <v>7841</v>
      </c>
      <c r="H4061" s="576">
        <v>7280</v>
      </c>
    </row>
    <row r="4062" spans="1:8">
      <c r="A4062" s="575" t="s">
        <v>640</v>
      </c>
      <c r="B4062" s="575">
        <v>113000</v>
      </c>
      <c r="C4062" s="576">
        <v>12</v>
      </c>
      <c r="D4062" s="576">
        <v>0.315</v>
      </c>
      <c r="E4062" s="576">
        <v>35604</v>
      </c>
      <c r="F4062" s="576">
        <v>148604</v>
      </c>
      <c r="G4062" s="576">
        <v>3956</v>
      </c>
      <c r="H4062" s="576">
        <v>12054</v>
      </c>
    </row>
    <row r="4063" spans="1:8">
      <c r="A4063" s="575" t="s">
        <v>640</v>
      </c>
      <c r="B4063" s="575">
        <v>113000</v>
      </c>
      <c r="C4063" s="576">
        <v>18</v>
      </c>
      <c r="D4063" s="576">
        <v>0.315</v>
      </c>
      <c r="E4063" s="576">
        <v>53403</v>
      </c>
      <c r="F4063" s="576">
        <v>166403</v>
      </c>
      <c r="G4063" s="576">
        <v>5933</v>
      </c>
      <c r="H4063" s="576">
        <v>8915</v>
      </c>
    </row>
    <row r="4064" spans="1:8">
      <c r="A4064" s="575" t="s">
        <v>640</v>
      </c>
      <c r="B4064" s="575">
        <v>113000</v>
      </c>
      <c r="C4064" s="576">
        <v>24</v>
      </c>
      <c r="D4064" s="576">
        <v>0.315</v>
      </c>
      <c r="E4064" s="576">
        <v>71191</v>
      </c>
      <c r="F4064" s="576">
        <v>184191</v>
      </c>
      <c r="G4064" s="576">
        <v>7911</v>
      </c>
      <c r="H4064" s="576">
        <v>7345</v>
      </c>
    </row>
    <row r="4065" spans="1:8">
      <c r="A4065" s="575" t="s">
        <v>640</v>
      </c>
      <c r="B4065" s="575">
        <v>114000</v>
      </c>
      <c r="C4065" s="576">
        <v>12</v>
      </c>
      <c r="D4065" s="576">
        <v>0.315</v>
      </c>
      <c r="E4065" s="576">
        <v>35911</v>
      </c>
      <c r="F4065" s="576">
        <v>149911</v>
      </c>
      <c r="G4065" s="576">
        <v>3991</v>
      </c>
      <c r="H4065" s="576">
        <v>12160</v>
      </c>
    </row>
    <row r="4066" spans="1:8">
      <c r="A4066" s="575" t="s">
        <v>640</v>
      </c>
      <c r="B4066" s="575">
        <v>114000</v>
      </c>
      <c r="C4066" s="576">
        <v>18</v>
      </c>
      <c r="D4066" s="576">
        <v>0.315</v>
      </c>
      <c r="E4066" s="576">
        <v>53878</v>
      </c>
      <c r="F4066" s="576">
        <v>167878</v>
      </c>
      <c r="G4066" s="576">
        <v>5986</v>
      </c>
      <c r="H4066" s="576">
        <v>8994</v>
      </c>
    </row>
    <row r="4067" spans="1:8">
      <c r="A4067" s="575" t="s">
        <v>640</v>
      </c>
      <c r="B4067" s="575">
        <v>114000</v>
      </c>
      <c r="C4067" s="576">
        <v>24</v>
      </c>
      <c r="D4067" s="576">
        <v>0.315</v>
      </c>
      <c r="E4067" s="576">
        <v>71821</v>
      </c>
      <c r="F4067" s="576">
        <v>185821</v>
      </c>
      <c r="G4067" s="576">
        <v>7981</v>
      </c>
      <c r="H4067" s="576">
        <v>7410</v>
      </c>
    </row>
    <row r="4068" spans="1:8">
      <c r="A4068" s="575" t="s">
        <v>640</v>
      </c>
      <c r="B4068" s="575">
        <v>115000</v>
      </c>
      <c r="C4068" s="576">
        <v>12</v>
      </c>
      <c r="D4068" s="576">
        <v>0.315</v>
      </c>
      <c r="E4068" s="576">
        <v>36230</v>
      </c>
      <c r="F4068" s="576">
        <v>151230</v>
      </c>
      <c r="G4068" s="576">
        <v>4026</v>
      </c>
      <c r="H4068" s="576">
        <v>12267</v>
      </c>
    </row>
    <row r="4069" spans="1:8">
      <c r="A4069" s="575" t="s">
        <v>640</v>
      </c>
      <c r="B4069" s="575">
        <v>115000</v>
      </c>
      <c r="C4069" s="576">
        <v>18</v>
      </c>
      <c r="D4069" s="576">
        <v>0.315</v>
      </c>
      <c r="E4069" s="576">
        <v>54352</v>
      </c>
      <c r="F4069" s="576">
        <v>169352</v>
      </c>
      <c r="G4069" s="576">
        <v>6038</v>
      </c>
      <c r="H4069" s="576">
        <v>9073</v>
      </c>
    </row>
    <row r="4070" spans="1:8">
      <c r="A4070" s="575" t="s">
        <v>640</v>
      </c>
      <c r="B4070" s="575">
        <v>115000</v>
      </c>
      <c r="C4070" s="576">
        <v>24</v>
      </c>
      <c r="D4070" s="576">
        <v>0.315</v>
      </c>
      <c r="E4070" s="576">
        <v>72451</v>
      </c>
      <c r="F4070" s="576">
        <v>187451</v>
      </c>
      <c r="G4070" s="576">
        <v>8051</v>
      </c>
      <c r="H4070" s="576">
        <v>7475</v>
      </c>
    </row>
    <row r="4071" spans="1:8">
      <c r="A4071" s="575" t="s">
        <v>640</v>
      </c>
      <c r="B4071" s="575">
        <v>116000</v>
      </c>
      <c r="C4071" s="576">
        <v>12</v>
      </c>
      <c r="D4071" s="576">
        <v>0.315</v>
      </c>
      <c r="E4071" s="576">
        <v>36549</v>
      </c>
      <c r="F4071" s="576">
        <v>152549</v>
      </c>
      <c r="G4071" s="576">
        <v>4061</v>
      </c>
      <c r="H4071" s="576">
        <v>12374</v>
      </c>
    </row>
    <row r="4072" spans="1:8">
      <c r="A4072" s="575" t="s">
        <v>640</v>
      </c>
      <c r="B4072" s="575">
        <v>116000</v>
      </c>
      <c r="C4072" s="576">
        <v>18</v>
      </c>
      <c r="D4072" s="576">
        <v>0.315</v>
      </c>
      <c r="E4072" s="576">
        <v>54827</v>
      </c>
      <c r="F4072" s="576">
        <v>170827</v>
      </c>
      <c r="G4072" s="576">
        <v>6091</v>
      </c>
      <c r="H4072" s="576">
        <v>9152</v>
      </c>
    </row>
    <row r="4073" spans="1:8">
      <c r="A4073" s="575" t="s">
        <v>640</v>
      </c>
      <c r="B4073" s="575">
        <v>116000</v>
      </c>
      <c r="C4073" s="576">
        <v>24</v>
      </c>
      <c r="D4073" s="576">
        <v>0.315</v>
      </c>
      <c r="E4073" s="576">
        <v>73081</v>
      </c>
      <c r="F4073" s="576">
        <v>189081</v>
      </c>
      <c r="G4073" s="576">
        <v>8121</v>
      </c>
      <c r="H4073" s="576">
        <v>7540</v>
      </c>
    </row>
    <row r="4074" spans="1:8">
      <c r="A4074" s="575" t="s">
        <v>640</v>
      </c>
      <c r="B4074" s="575">
        <v>117000</v>
      </c>
      <c r="C4074" s="576">
        <v>12</v>
      </c>
      <c r="D4074" s="576">
        <v>0.315</v>
      </c>
      <c r="E4074" s="576">
        <v>36856</v>
      </c>
      <c r="F4074" s="576">
        <v>153856</v>
      </c>
      <c r="G4074" s="576">
        <v>4096</v>
      </c>
      <c r="H4074" s="576">
        <v>12480</v>
      </c>
    </row>
    <row r="4075" spans="1:8">
      <c r="A4075" s="575" t="s">
        <v>640</v>
      </c>
      <c r="B4075" s="575">
        <v>117000</v>
      </c>
      <c r="C4075" s="576">
        <v>18</v>
      </c>
      <c r="D4075" s="576">
        <v>0.315</v>
      </c>
      <c r="E4075" s="576">
        <v>55283</v>
      </c>
      <c r="F4075" s="576">
        <v>172283</v>
      </c>
      <c r="G4075" s="576">
        <v>6143</v>
      </c>
      <c r="H4075" s="576">
        <v>9230</v>
      </c>
    </row>
    <row r="4076" spans="1:8">
      <c r="A4076" s="575" t="s">
        <v>640</v>
      </c>
      <c r="B4076" s="575">
        <v>117000</v>
      </c>
      <c r="C4076" s="576">
        <v>24</v>
      </c>
      <c r="D4076" s="576">
        <v>0.315</v>
      </c>
      <c r="E4076" s="576">
        <v>73711</v>
      </c>
      <c r="F4076" s="576">
        <v>190711</v>
      </c>
      <c r="G4076" s="576">
        <v>8191</v>
      </c>
      <c r="H4076" s="576">
        <v>7605</v>
      </c>
    </row>
    <row r="4077" spans="1:8">
      <c r="A4077" s="575" t="s">
        <v>640</v>
      </c>
      <c r="B4077" s="575">
        <v>118000</v>
      </c>
      <c r="C4077" s="576">
        <v>12</v>
      </c>
      <c r="D4077" s="576">
        <v>0.315</v>
      </c>
      <c r="E4077" s="576">
        <v>37175</v>
      </c>
      <c r="F4077" s="576">
        <v>155175</v>
      </c>
      <c r="G4077" s="576">
        <v>4131</v>
      </c>
      <c r="H4077" s="576">
        <v>12587</v>
      </c>
    </row>
    <row r="4078" spans="1:8">
      <c r="A4078" s="575" t="s">
        <v>640</v>
      </c>
      <c r="B4078" s="575">
        <v>118000</v>
      </c>
      <c r="C4078" s="576">
        <v>18</v>
      </c>
      <c r="D4078" s="576">
        <v>0.315</v>
      </c>
      <c r="E4078" s="576">
        <v>55758</v>
      </c>
      <c r="F4078" s="576">
        <v>173758</v>
      </c>
      <c r="G4078" s="576">
        <v>6196</v>
      </c>
      <c r="H4078" s="576">
        <v>9309</v>
      </c>
    </row>
    <row r="4079" spans="1:8">
      <c r="A4079" s="575" t="s">
        <v>640</v>
      </c>
      <c r="B4079" s="575">
        <v>118000</v>
      </c>
      <c r="C4079" s="576">
        <v>24</v>
      </c>
      <c r="D4079" s="576">
        <v>0.315</v>
      </c>
      <c r="E4079" s="576">
        <v>74341</v>
      </c>
      <c r="F4079" s="576">
        <v>192341</v>
      </c>
      <c r="G4079" s="576">
        <v>8261</v>
      </c>
      <c r="H4079" s="576">
        <v>7670</v>
      </c>
    </row>
    <row r="4080" spans="1:8">
      <c r="A4080" s="575" t="s">
        <v>640</v>
      </c>
      <c r="B4080" s="575">
        <v>119000</v>
      </c>
      <c r="C4080" s="576">
        <v>12</v>
      </c>
      <c r="D4080" s="576">
        <v>0.315</v>
      </c>
      <c r="E4080" s="576">
        <v>37494</v>
      </c>
      <c r="F4080" s="576">
        <v>156494</v>
      </c>
      <c r="G4080" s="576">
        <v>4166</v>
      </c>
      <c r="H4080" s="576">
        <v>12694</v>
      </c>
    </row>
    <row r="4081" spans="1:8">
      <c r="A4081" s="575" t="s">
        <v>640</v>
      </c>
      <c r="B4081" s="575">
        <v>119000</v>
      </c>
      <c r="C4081" s="576">
        <v>18</v>
      </c>
      <c r="D4081" s="576">
        <v>0.315</v>
      </c>
      <c r="E4081" s="576">
        <v>56232</v>
      </c>
      <c r="F4081" s="576">
        <v>175232</v>
      </c>
      <c r="G4081" s="576">
        <v>6248</v>
      </c>
      <c r="H4081" s="576">
        <v>9388</v>
      </c>
    </row>
    <row r="4082" spans="1:8">
      <c r="A4082" s="575" t="s">
        <v>640</v>
      </c>
      <c r="B4082" s="575">
        <v>119000</v>
      </c>
      <c r="C4082" s="576">
        <v>24</v>
      </c>
      <c r="D4082" s="576">
        <v>0.315</v>
      </c>
      <c r="E4082" s="576">
        <v>74971</v>
      </c>
      <c r="F4082" s="576">
        <v>193971</v>
      </c>
      <c r="G4082" s="576">
        <v>8331</v>
      </c>
      <c r="H4082" s="576">
        <v>7735</v>
      </c>
    </row>
    <row r="4083" spans="1:8">
      <c r="A4083" s="575" t="s">
        <v>640</v>
      </c>
      <c r="B4083" s="575">
        <v>120000</v>
      </c>
      <c r="C4083" s="576">
        <v>12</v>
      </c>
      <c r="D4083" s="576">
        <v>0.315</v>
      </c>
      <c r="E4083" s="576">
        <v>37801</v>
      </c>
      <c r="F4083" s="576">
        <v>157801</v>
      </c>
      <c r="G4083" s="576">
        <v>4201</v>
      </c>
      <c r="H4083" s="576">
        <v>12800</v>
      </c>
    </row>
    <row r="4084" spans="1:8">
      <c r="A4084" s="575" t="s">
        <v>640</v>
      </c>
      <c r="B4084" s="575">
        <v>120000</v>
      </c>
      <c r="C4084" s="576">
        <v>18</v>
      </c>
      <c r="D4084" s="576">
        <v>0.315</v>
      </c>
      <c r="E4084" s="576">
        <v>56707</v>
      </c>
      <c r="F4084" s="576">
        <v>176707</v>
      </c>
      <c r="G4084" s="576">
        <v>6301</v>
      </c>
      <c r="H4084" s="576">
        <v>9467</v>
      </c>
    </row>
    <row r="4085" spans="1:8">
      <c r="A4085" s="575" t="s">
        <v>640</v>
      </c>
      <c r="B4085" s="575">
        <v>120000</v>
      </c>
      <c r="C4085" s="576">
        <v>24</v>
      </c>
      <c r="D4085" s="576">
        <v>0.315</v>
      </c>
      <c r="E4085" s="576">
        <v>75601</v>
      </c>
      <c r="F4085" s="576">
        <v>195601</v>
      </c>
      <c r="G4085" s="576">
        <v>8401</v>
      </c>
      <c r="H4085" s="576">
        <v>7800</v>
      </c>
    </row>
    <row r="4086" spans="1:8">
      <c r="A4086" s="575" t="s">
        <v>640</v>
      </c>
      <c r="B4086" s="575">
        <v>121000</v>
      </c>
      <c r="C4086" s="576">
        <v>12</v>
      </c>
      <c r="D4086" s="576">
        <v>0.315</v>
      </c>
      <c r="E4086" s="576">
        <v>38120</v>
      </c>
      <c r="F4086" s="576">
        <v>159120</v>
      </c>
      <c r="G4086" s="576">
        <v>4236</v>
      </c>
      <c r="H4086" s="576">
        <v>12907</v>
      </c>
    </row>
    <row r="4087" spans="1:8">
      <c r="A4087" s="575" t="s">
        <v>640</v>
      </c>
      <c r="B4087" s="575">
        <v>121000</v>
      </c>
      <c r="C4087" s="576">
        <v>18</v>
      </c>
      <c r="D4087" s="576">
        <v>0.315</v>
      </c>
      <c r="E4087" s="576">
        <v>57181</v>
      </c>
      <c r="F4087" s="576">
        <v>178181</v>
      </c>
      <c r="G4087" s="576">
        <v>6353</v>
      </c>
      <c r="H4087" s="576">
        <v>9546</v>
      </c>
    </row>
    <row r="4088" spans="1:8">
      <c r="A4088" s="575" t="s">
        <v>640</v>
      </c>
      <c r="B4088" s="575">
        <v>121000</v>
      </c>
      <c r="C4088" s="576">
        <v>24</v>
      </c>
      <c r="D4088" s="576">
        <v>0.315</v>
      </c>
      <c r="E4088" s="576">
        <v>76231</v>
      </c>
      <c r="F4088" s="576">
        <v>197231</v>
      </c>
      <c r="G4088" s="576">
        <v>8471</v>
      </c>
      <c r="H4088" s="576">
        <v>7865</v>
      </c>
    </row>
    <row r="4089" spans="1:8">
      <c r="A4089" s="575" t="s">
        <v>640</v>
      </c>
      <c r="B4089" s="575">
        <v>122000</v>
      </c>
      <c r="C4089" s="576">
        <v>12</v>
      </c>
      <c r="D4089" s="576">
        <v>0.315</v>
      </c>
      <c r="E4089" s="576">
        <v>38439</v>
      </c>
      <c r="F4089" s="576">
        <v>160439</v>
      </c>
      <c r="G4089" s="576">
        <v>4271</v>
      </c>
      <c r="H4089" s="576">
        <v>13014</v>
      </c>
    </row>
    <row r="4090" spans="1:8">
      <c r="A4090" s="575" t="s">
        <v>640</v>
      </c>
      <c r="B4090" s="575">
        <v>122000</v>
      </c>
      <c r="C4090" s="576">
        <v>18</v>
      </c>
      <c r="D4090" s="576">
        <v>0.315</v>
      </c>
      <c r="E4090" s="576">
        <v>57656</v>
      </c>
      <c r="F4090" s="576">
        <v>179656</v>
      </c>
      <c r="G4090" s="576">
        <v>6406</v>
      </c>
      <c r="H4090" s="576">
        <v>9625</v>
      </c>
    </row>
    <row r="4091" spans="1:8">
      <c r="A4091" s="575" t="s">
        <v>640</v>
      </c>
      <c r="B4091" s="575">
        <v>122000</v>
      </c>
      <c r="C4091" s="576">
        <v>24</v>
      </c>
      <c r="D4091" s="576">
        <v>0.315</v>
      </c>
      <c r="E4091" s="576">
        <v>76861</v>
      </c>
      <c r="F4091" s="576">
        <v>198861</v>
      </c>
      <c r="G4091" s="576">
        <v>8541</v>
      </c>
      <c r="H4091" s="576">
        <v>7930</v>
      </c>
    </row>
    <row r="4092" spans="1:8">
      <c r="A4092" s="575" t="s">
        <v>640</v>
      </c>
      <c r="B4092" s="575">
        <v>123000</v>
      </c>
      <c r="C4092" s="576">
        <v>12</v>
      </c>
      <c r="D4092" s="576">
        <v>0.315</v>
      </c>
      <c r="E4092" s="576">
        <v>38746</v>
      </c>
      <c r="F4092" s="576">
        <v>161746</v>
      </c>
      <c r="G4092" s="576">
        <v>4306</v>
      </c>
      <c r="H4092" s="576">
        <v>13120</v>
      </c>
    </row>
    <row r="4093" spans="1:8">
      <c r="A4093" s="575" t="s">
        <v>640</v>
      </c>
      <c r="B4093" s="575">
        <v>123000</v>
      </c>
      <c r="C4093" s="576">
        <v>18</v>
      </c>
      <c r="D4093" s="576">
        <v>0.315</v>
      </c>
      <c r="E4093" s="576">
        <v>58130</v>
      </c>
      <c r="F4093" s="576">
        <v>181130</v>
      </c>
      <c r="G4093" s="576">
        <v>6458</v>
      </c>
      <c r="H4093" s="576">
        <v>9704</v>
      </c>
    </row>
    <row r="4094" spans="1:8">
      <c r="A4094" s="575" t="s">
        <v>640</v>
      </c>
      <c r="B4094" s="575">
        <v>123000</v>
      </c>
      <c r="C4094" s="576">
        <v>24</v>
      </c>
      <c r="D4094" s="576">
        <v>0.315</v>
      </c>
      <c r="E4094" s="576">
        <v>77491</v>
      </c>
      <c r="F4094" s="576">
        <v>200491</v>
      </c>
      <c r="G4094" s="576">
        <v>8611</v>
      </c>
      <c r="H4094" s="576">
        <v>7995</v>
      </c>
    </row>
    <row r="4095" spans="1:8">
      <c r="A4095" s="575" t="s">
        <v>640</v>
      </c>
      <c r="B4095" s="575">
        <v>124000</v>
      </c>
      <c r="C4095" s="576">
        <v>12</v>
      </c>
      <c r="D4095" s="576">
        <v>0.315</v>
      </c>
      <c r="E4095" s="576">
        <v>39065</v>
      </c>
      <c r="F4095" s="576">
        <v>163065</v>
      </c>
      <c r="G4095" s="576">
        <v>4341</v>
      </c>
      <c r="H4095" s="576">
        <v>13227</v>
      </c>
    </row>
    <row r="4096" spans="1:8">
      <c r="A4096" s="575" t="s">
        <v>640</v>
      </c>
      <c r="B4096" s="575">
        <v>124000</v>
      </c>
      <c r="C4096" s="576">
        <v>18</v>
      </c>
      <c r="D4096" s="576">
        <v>0.315</v>
      </c>
      <c r="E4096" s="576">
        <v>58605</v>
      </c>
      <c r="F4096" s="576">
        <v>182605</v>
      </c>
      <c r="G4096" s="576">
        <v>6511</v>
      </c>
      <c r="H4096" s="576">
        <v>9783</v>
      </c>
    </row>
    <row r="4097" spans="1:8">
      <c r="A4097" s="575" t="s">
        <v>640</v>
      </c>
      <c r="B4097" s="575">
        <v>124000</v>
      </c>
      <c r="C4097" s="576">
        <v>24</v>
      </c>
      <c r="D4097" s="576">
        <v>0.315</v>
      </c>
      <c r="E4097" s="576">
        <v>78121</v>
      </c>
      <c r="F4097" s="576">
        <v>202121</v>
      </c>
      <c r="G4097" s="576">
        <v>8681</v>
      </c>
      <c r="H4097" s="576">
        <v>8060</v>
      </c>
    </row>
    <row r="4098" spans="1:8">
      <c r="A4098" s="575" t="s">
        <v>640</v>
      </c>
      <c r="B4098" s="575">
        <v>125000</v>
      </c>
      <c r="C4098" s="576">
        <v>12</v>
      </c>
      <c r="D4098" s="576">
        <v>0.315</v>
      </c>
      <c r="E4098" s="576">
        <v>39384</v>
      </c>
      <c r="F4098" s="576">
        <v>164384</v>
      </c>
      <c r="G4098" s="576">
        <v>4376</v>
      </c>
      <c r="H4098" s="576">
        <v>13334</v>
      </c>
    </row>
    <row r="4099" spans="1:8">
      <c r="A4099" s="575" t="s">
        <v>640</v>
      </c>
      <c r="B4099" s="575">
        <v>125000</v>
      </c>
      <c r="C4099" s="576">
        <v>18</v>
      </c>
      <c r="D4099" s="576">
        <v>0.315</v>
      </c>
      <c r="E4099" s="576">
        <v>59079</v>
      </c>
      <c r="F4099" s="576">
        <v>184079</v>
      </c>
      <c r="G4099" s="576">
        <v>6563</v>
      </c>
      <c r="H4099" s="576">
        <v>9862</v>
      </c>
    </row>
    <row r="4100" spans="1:8">
      <c r="A4100" s="575" t="s">
        <v>640</v>
      </c>
      <c r="B4100" s="575">
        <v>125000</v>
      </c>
      <c r="C4100" s="576">
        <v>24</v>
      </c>
      <c r="D4100" s="576">
        <v>0.315</v>
      </c>
      <c r="E4100" s="576">
        <v>78751</v>
      </c>
      <c r="F4100" s="576">
        <v>203751</v>
      </c>
      <c r="G4100" s="576">
        <v>8751</v>
      </c>
      <c r="H4100" s="576">
        <v>8125</v>
      </c>
    </row>
    <row r="4101" spans="1:8">
      <c r="A4101" s="575" t="s">
        <v>640</v>
      </c>
      <c r="B4101" s="575">
        <v>126000</v>
      </c>
      <c r="C4101" s="576">
        <v>12</v>
      </c>
      <c r="D4101" s="576">
        <v>0.315</v>
      </c>
      <c r="E4101" s="576">
        <v>39691</v>
      </c>
      <c r="F4101" s="576">
        <v>165691</v>
      </c>
      <c r="G4101" s="576">
        <v>4411</v>
      </c>
      <c r="H4101" s="576">
        <v>13440</v>
      </c>
    </row>
    <row r="4102" spans="1:8">
      <c r="A4102" s="575" t="s">
        <v>640</v>
      </c>
      <c r="B4102" s="575">
        <v>126000</v>
      </c>
      <c r="C4102" s="576">
        <v>18</v>
      </c>
      <c r="D4102" s="576">
        <v>0.315</v>
      </c>
      <c r="E4102" s="576">
        <v>59536</v>
      </c>
      <c r="F4102" s="576">
        <v>185536</v>
      </c>
      <c r="G4102" s="576">
        <v>6616</v>
      </c>
      <c r="H4102" s="576">
        <v>9940</v>
      </c>
    </row>
    <row r="4103" spans="1:8">
      <c r="A4103" s="575" t="s">
        <v>640</v>
      </c>
      <c r="B4103" s="575">
        <v>126000</v>
      </c>
      <c r="C4103" s="576">
        <v>24</v>
      </c>
      <c r="D4103" s="576">
        <v>0.315</v>
      </c>
      <c r="E4103" s="576">
        <v>79381</v>
      </c>
      <c r="F4103" s="576">
        <v>205381</v>
      </c>
      <c r="G4103" s="576">
        <v>8821</v>
      </c>
      <c r="H4103" s="576">
        <v>8190</v>
      </c>
    </row>
    <row r="4104" spans="1:8">
      <c r="A4104" s="575" t="s">
        <v>640</v>
      </c>
      <c r="B4104" s="575">
        <v>127000</v>
      </c>
      <c r="C4104" s="576">
        <v>12</v>
      </c>
      <c r="D4104" s="576">
        <v>0.315</v>
      </c>
      <c r="E4104" s="576">
        <v>40010</v>
      </c>
      <c r="F4104" s="576">
        <v>167010</v>
      </c>
      <c r="G4104" s="576">
        <v>4446</v>
      </c>
      <c r="H4104" s="576">
        <v>13547</v>
      </c>
    </row>
    <row r="4105" spans="1:8">
      <c r="A4105" s="575" t="s">
        <v>640</v>
      </c>
      <c r="B4105" s="575">
        <v>127000</v>
      </c>
      <c r="C4105" s="576">
        <v>18</v>
      </c>
      <c r="D4105" s="576">
        <v>0.315</v>
      </c>
      <c r="E4105" s="576">
        <v>60010</v>
      </c>
      <c r="F4105" s="576">
        <v>187010</v>
      </c>
      <c r="G4105" s="576">
        <v>6668</v>
      </c>
      <c r="H4105" s="576">
        <v>10019</v>
      </c>
    </row>
    <row r="4106" spans="1:8">
      <c r="A4106" s="575" t="s">
        <v>640</v>
      </c>
      <c r="B4106" s="575">
        <v>127000</v>
      </c>
      <c r="C4106" s="576">
        <v>24</v>
      </c>
      <c r="D4106" s="576">
        <v>0.315</v>
      </c>
      <c r="E4106" s="576">
        <v>80011</v>
      </c>
      <c r="F4106" s="576">
        <v>207011</v>
      </c>
      <c r="G4106" s="576">
        <v>8891</v>
      </c>
      <c r="H4106" s="576">
        <v>8255</v>
      </c>
    </row>
    <row r="4107" spans="1:8">
      <c r="A4107" s="575" t="s">
        <v>640</v>
      </c>
      <c r="B4107" s="575">
        <v>128000</v>
      </c>
      <c r="C4107" s="576">
        <v>12</v>
      </c>
      <c r="D4107" s="576">
        <v>0.315</v>
      </c>
      <c r="E4107" s="576">
        <v>40329</v>
      </c>
      <c r="F4107" s="576">
        <v>168329</v>
      </c>
      <c r="G4107" s="576">
        <v>4481</v>
      </c>
      <c r="H4107" s="576">
        <v>13654</v>
      </c>
    </row>
    <row r="4108" spans="1:8">
      <c r="A4108" s="575" t="s">
        <v>640</v>
      </c>
      <c r="B4108" s="575">
        <v>128000</v>
      </c>
      <c r="C4108" s="576">
        <v>18</v>
      </c>
      <c r="D4108" s="576">
        <v>0.315</v>
      </c>
      <c r="E4108" s="576">
        <v>60485</v>
      </c>
      <c r="F4108" s="576">
        <v>188485</v>
      </c>
      <c r="G4108" s="576">
        <v>6721</v>
      </c>
      <c r="H4108" s="576">
        <v>10098</v>
      </c>
    </row>
    <row r="4109" spans="1:8">
      <c r="A4109" s="575" t="s">
        <v>640</v>
      </c>
      <c r="B4109" s="575">
        <v>128000</v>
      </c>
      <c r="C4109" s="576">
        <v>24</v>
      </c>
      <c r="D4109" s="576">
        <v>0.315</v>
      </c>
      <c r="E4109" s="576">
        <v>80641</v>
      </c>
      <c r="F4109" s="576">
        <v>208641</v>
      </c>
      <c r="G4109" s="576">
        <v>8961</v>
      </c>
      <c r="H4109" s="576">
        <v>8320</v>
      </c>
    </row>
    <row r="4110" spans="1:8">
      <c r="A4110" s="575" t="s">
        <v>640</v>
      </c>
      <c r="B4110" s="575">
        <v>129000</v>
      </c>
      <c r="C4110" s="576">
        <v>12</v>
      </c>
      <c r="D4110" s="576">
        <v>0.315</v>
      </c>
      <c r="E4110" s="576">
        <v>40636</v>
      </c>
      <c r="F4110" s="576">
        <v>169636</v>
      </c>
      <c r="G4110" s="576">
        <v>4516</v>
      </c>
      <c r="H4110" s="576">
        <v>13760</v>
      </c>
    </row>
    <row r="4111" spans="1:8">
      <c r="A4111" s="575" t="s">
        <v>640</v>
      </c>
      <c r="B4111" s="575">
        <v>129000</v>
      </c>
      <c r="C4111" s="576">
        <v>18</v>
      </c>
      <c r="D4111" s="576">
        <v>0.315</v>
      </c>
      <c r="E4111" s="576">
        <v>60959</v>
      </c>
      <c r="F4111" s="576">
        <v>189959</v>
      </c>
      <c r="G4111" s="576">
        <v>6773</v>
      </c>
      <c r="H4111" s="576">
        <v>10177</v>
      </c>
    </row>
    <row r="4112" spans="1:8">
      <c r="A4112" s="575" t="s">
        <v>640</v>
      </c>
      <c r="B4112" s="575">
        <v>129000</v>
      </c>
      <c r="C4112" s="576">
        <v>24</v>
      </c>
      <c r="D4112" s="576">
        <v>0.315</v>
      </c>
      <c r="E4112" s="576">
        <v>81271</v>
      </c>
      <c r="F4112" s="576">
        <v>210271</v>
      </c>
      <c r="G4112" s="576">
        <v>9031</v>
      </c>
      <c r="H4112" s="576">
        <v>8385</v>
      </c>
    </row>
    <row r="4113" spans="1:8">
      <c r="A4113" s="575" t="s">
        <v>640</v>
      </c>
      <c r="B4113" s="575">
        <v>130000</v>
      </c>
      <c r="C4113" s="576">
        <v>12</v>
      </c>
      <c r="D4113" s="576">
        <v>0.315</v>
      </c>
      <c r="E4113" s="576">
        <v>40955</v>
      </c>
      <c r="F4113" s="576">
        <v>170955</v>
      </c>
      <c r="G4113" s="576">
        <v>4551</v>
      </c>
      <c r="H4113" s="576">
        <v>13867</v>
      </c>
    </row>
    <row r="4114" spans="1:8">
      <c r="A4114" s="575" t="s">
        <v>640</v>
      </c>
      <c r="B4114" s="575">
        <v>130000</v>
      </c>
      <c r="C4114" s="576">
        <v>18</v>
      </c>
      <c r="D4114" s="576">
        <v>0.315</v>
      </c>
      <c r="E4114" s="576">
        <v>61434</v>
      </c>
      <c r="F4114" s="576">
        <v>191434</v>
      </c>
      <c r="G4114" s="576">
        <v>6826</v>
      </c>
      <c r="H4114" s="576">
        <v>10256</v>
      </c>
    </row>
    <row r="4115" spans="1:8">
      <c r="A4115" s="575" t="s">
        <v>640</v>
      </c>
      <c r="B4115" s="575">
        <v>130000</v>
      </c>
      <c r="C4115" s="576">
        <v>24</v>
      </c>
      <c r="D4115" s="576">
        <v>0.315</v>
      </c>
      <c r="E4115" s="576">
        <v>81901</v>
      </c>
      <c r="F4115" s="576">
        <v>211901</v>
      </c>
      <c r="G4115" s="576">
        <v>9101</v>
      </c>
      <c r="H4115" s="576">
        <v>8450</v>
      </c>
    </row>
    <row r="4116" spans="1:8">
      <c r="A4116" s="575" t="s">
        <v>640</v>
      </c>
      <c r="B4116" s="575">
        <v>131000</v>
      </c>
      <c r="C4116" s="576">
        <v>12</v>
      </c>
      <c r="D4116" s="576">
        <v>0.315</v>
      </c>
      <c r="E4116" s="576">
        <v>41274</v>
      </c>
      <c r="F4116" s="576">
        <v>172274</v>
      </c>
      <c r="G4116" s="576">
        <v>4586</v>
      </c>
      <c r="H4116" s="576">
        <v>13974</v>
      </c>
    </row>
    <row r="4117" spans="1:8">
      <c r="A4117" s="575" t="s">
        <v>640</v>
      </c>
      <c r="B4117" s="575">
        <v>131000</v>
      </c>
      <c r="C4117" s="576">
        <v>18</v>
      </c>
      <c r="D4117" s="576">
        <v>0.315</v>
      </c>
      <c r="E4117" s="576">
        <v>61908</v>
      </c>
      <c r="F4117" s="576">
        <v>192908</v>
      </c>
      <c r="G4117" s="576">
        <v>6878</v>
      </c>
      <c r="H4117" s="576">
        <v>10335</v>
      </c>
    </row>
    <row r="4118" spans="1:8">
      <c r="A4118" s="575" t="s">
        <v>640</v>
      </c>
      <c r="B4118" s="575">
        <v>131000</v>
      </c>
      <c r="C4118" s="576">
        <v>24</v>
      </c>
      <c r="D4118" s="576">
        <v>0.315</v>
      </c>
      <c r="E4118" s="576">
        <v>82531</v>
      </c>
      <c r="F4118" s="576">
        <v>213531</v>
      </c>
      <c r="G4118" s="576">
        <v>9171</v>
      </c>
      <c r="H4118" s="576">
        <v>8515</v>
      </c>
    </row>
    <row r="4119" spans="1:8">
      <c r="A4119" s="575" t="s">
        <v>640</v>
      </c>
      <c r="B4119" s="575">
        <v>132000</v>
      </c>
      <c r="C4119" s="576">
        <v>12</v>
      </c>
      <c r="D4119" s="576">
        <v>0.315</v>
      </c>
      <c r="E4119" s="576">
        <v>41581</v>
      </c>
      <c r="F4119" s="576">
        <v>173581</v>
      </c>
      <c r="G4119" s="576">
        <v>4621</v>
      </c>
      <c r="H4119" s="576">
        <v>14080</v>
      </c>
    </row>
    <row r="4120" spans="1:8">
      <c r="A4120" s="575" t="s">
        <v>640</v>
      </c>
      <c r="B4120" s="575">
        <v>132000</v>
      </c>
      <c r="C4120" s="576">
        <v>18</v>
      </c>
      <c r="D4120" s="576">
        <v>0.315</v>
      </c>
      <c r="E4120" s="576">
        <v>62383</v>
      </c>
      <c r="F4120" s="576">
        <v>194383</v>
      </c>
      <c r="G4120" s="576">
        <v>6931</v>
      </c>
      <c r="H4120" s="576">
        <v>10414</v>
      </c>
    </row>
    <row r="4121" spans="1:8">
      <c r="A4121" s="575" t="s">
        <v>640</v>
      </c>
      <c r="B4121" s="575">
        <v>132000</v>
      </c>
      <c r="C4121" s="576">
        <v>24</v>
      </c>
      <c r="D4121" s="576">
        <v>0.315</v>
      </c>
      <c r="E4121" s="576">
        <v>83161</v>
      </c>
      <c r="F4121" s="576">
        <v>215161</v>
      </c>
      <c r="G4121" s="576">
        <v>9241</v>
      </c>
      <c r="H4121" s="576">
        <v>8580</v>
      </c>
    </row>
    <row r="4122" spans="1:8">
      <c r="A4122" s="575" t="s">
        <v>640</v>
      </c>
      <c r="B4122" s="575">
        <v>133000</v>
      </c>
      <c r="C4122" s="576">
        <v>12</v>
      </c>
      <c r="D4122" s="576">
        <v>0.315</v>
      </c>
      <c r="E4122" s="576">
        <v>41900</v>
      </c>
      <c r="F4122" s="576">
        <v>174900</v>
      </c>
      <c r="G4122" s="576">
        <v>4656</v>
      </c>
      <c r="H4122" s="576">
        <v>14187</v>
      </c>
    </row>
    <row r="4123" spans="1:8">
      <c r="A4123" s="575" t="s">
        <v>640</v>
      </c>
      <c r="B4123" s="575">
        <v>133000</v>
      </c>
      <c r="C4123" s="576">
        <v>18</v>
      </c>
      <c r="D4123" s="576">
        <v>0.315</v>
      </c>
      <c r="E4123" s="576">
        <v>62857</v>
      </c>
      <c r="F4123" s="576">
        <v>195857</v>
      </c>
      <c r="G4123" s="576">
        <v>6983</v>
      </c>
      <c r="H4123" s="576">
        <v>10493</v>
      </c>
    </row>
    <row r="4124" spans="1:8">
      <c r="A4124" s="575" t="s">
        <v>640</v>
      </c>
      <c r="B4124" s="575">
        <v>133000</v>
      </c>
      <c r="C4124" s="576">
        <v>24</v>
      </c>
      <c r="D4124" s="576">
        <v>0.315</v>
      </c>
      <c r="E4124" s="576">
        <v>83791</v>
      </c>
      <c r="F4124" s="576">
        <v>216791</v>
      </c>
      <c r="G4124" s="576">
        <v>9311</v>
      </c>
      <c r="H4124" s="576">
        <v>8645</v>
      </c>
    </row>
    <row r="4125" spans="1:8">
      <c r="A4125" s="575" t="s">
        <v>640</v>
      </c>
      <c r="B4125" s="575">
        <v>134000</v>
      </c>
      <c r="C4125" s="576">
        <v>12</v>
      </c>
      <c r="D4125" s="576">
        <v>0.315</v>
      </c>
      <c r="E4125" s="576">
        <v>42219</v>
      </c>
      <c r="F4125" s="576">
        <v>176219</v>
      </c>
      <c r="G4125" s="576">
        <v>4691</v>
      </c>
      <c r="H4125" s="576">
        <v>14294</v>
      </c>
    </row>
    <row r="4126" spans="1:8">
      <c r="A4126" s="575" t="s">
        <v>640</v>
      </c>
      <c r="B4126" s="575">
        <v>134000</v>
      </c>
      <c r="C4126" s="576">
        <v>18</v>
      </c>
      <c r="D4126" s="576">
        <v>0.315</v>
      </c>
      <c r="E4126" s="576">
        <v>63332</v>
      </c>
      <c r="F4126" s="576">
        <v>197332</v>
      </c>
      <c r="G4126" s="576">
        <v>7036</v>
      </c>
      <c r="H4126" s="576">
        <v>10572</v>
      </c>
    </row>
    <row r="4127" spans="1:8">
      <c r="A4127" s="575" t="s">
        <v>640</v>
      </c>
      <c r="B4127" s="575">
        <v>134000</v>
      </c>
      <c r="C4127" s="576">
        <v>24</v>
      </c>
      <c r="D4127" s="576">
        <v>0.315</v>
      </c>
      <c r="E4127" s="576">
        <v>84421</v>
      </c>
      <c r="F4127" s="576">
        <v>218421</v>
      </c>
      <c r="G4127" s="576">
        <v>9381</v>
      </c>
      <c r="H4127" s="576">
        <v>8710</v>
      </c>
    </row>
    <row r="4128" spans="1:8">
      <c r="A4128" s="575" t="s">
        <v>640</v>
      </c>
      <c r="B4128" s="575">
        <v>135000</v>
      </c>
      <c r="C4128" s="576">
        <v>12</v>
      </c>
      <c r="D4128" s="576">
        <v>0.315</v>
      </c>
      <c r="E4128" s="576">
        <v>42526</v>
      </c>
      <c r="F4128" s="576">
        <v>177526</v>
      </c>
      <c r="G4128" s="576">
        <v>4726</v>
      </c>
      <c r="H4128" s="576">
        <v>14400</v>
      </c>
    </row>
    <row r="4129" spans="1:8">
      <c r="A4129" s="575" t="s">
        <v>640</v>
      </c>
      <c r="B4129" s="575">
        <v>135000</v>
      </c>
      <c r="C4129" s="576">
        <v>18</v>
      </c>
      <c r="D4129" s="576">
        <v>0.315</v>
      </c>
      <c r="E4129" s="576">
        <v>63788</v>
      </c>
      <c r="F4129" s="576">
        <v>198788</v>
      </c>
      <c r="G4129" s="576">
        <v>7088</v>
      </c>
      <c r="H4129" s="576">
        <v>10650</v>
      </c>
    </row>
    <row r="4130" spans="1:8">
      <c r="A4130" s="575" t="s">
        <v>640</v>
      </c>
      <c r="B4130" s="575">
        <v>135000</v>
      </c>
      <c r="C4130" s="576">
        <v>24</v>
      </c>
      <c r="D4130" s="576">
        <v>0.315</v>
      </c>
      <c r="E4130" s="576">
        <v>85051</v>
      </c>
      <c r="F4130" s="576">
        <v>220051</v>
      </c>
      <c r="G4130" s="576">
        <v>9451</v>
      </c>
      <c r="H4130" s="576">
        <v>8775</v>
      </c>
    </row>
    <row r="4131" spans="1:8">
      <c r="A4131" s="575" t="s">
        <v>640</v>
      </c>
      <c r="B4131" s="575">
        <v>136000</v>
      </c>
      <c r="C4131" s="576">
        <v>12</v>
      </c>
      <c r="D4131" s="576">
        <v>0.315</v>
      </c>
      <c r="E4131" s="576">
        <v>42845</v>
      </c>
      <c r="F4131" s="576">
        <v>178845</v>
      </c>
      <c r="G4131" s="576">
        <v>4761</v>
      </c>
      <c r="H4131" s="576">
        <v>14507</v>
      </c>
    </row>
    <row r="4132" spans="1:8">
      <c r="A4132" s="575" t="s">
        <v>640</v>
      </c>
      <c r="B4132" s="575">
        <v>136000</v>
      </c>
      <c r="C4132" s="576">
        <v>18</v>
      </c>
      <c r="D4132" s="576">
        <v>0.315</v>
      </c>
      <c r="E4132" s="576">
        <v>64263</v>
      </c>
      <c r="F4132" s="576">
        <v>200263</v>
      </c>
      <c r="G4132" s="576">
        <v>7141</v>
      </c>
      <c r="H4132" s="576">
        <v>10729</v>
      </c>
    </row>
    <row r="4133" spans="1:8">
      <c r="A4133" s="575" t="s">
        <v>640</v>
      </c>
      <c r="B4133" s="575">
        <v>136000</v>
      </c>
      <c r="C4133" s="576">
        <v>24</v>
      </c>
      <c r="D4133" s="576">
        <v>0.315</v>
      </c>
      <c r="E4133" s="576">
        <v>85681</v>
      </c>
      <c r="F4133" s="576">
        <v>221681</v>
      </c>
      <c r="G4133" s="576">
        <v>9521</v>
      </c>
      <c r="H4133" s="576">
        <v>8840</v>
      </c>
    </row>
    <row r="4134" spans="1:8">
      <c r="A4134" s="575" t="s">
        <v>640</v>
      </c>
      <c r="B4134" s="575">
        <v>137000</v>
      </c>
      <c r="C4134" s="576">
        <v>12</v>
      </c>
      <c r="D4134" s="576">
        <v>0.315</v>
      </c>
      <c r="E4134" s="576">
        <v>43164</v>
      </c>
      <c r="F4134" s="576">
        <v>180164</v>
      </c>
      <c r="G4134" s="576">
        <v>4796</v>
      </c>
      <c r="H4134" s="576">
        <v>14614</v>
      </c>
    </row>
    <row r="4135" spans="1:8">
      <c r="A4135" s="575" t="s">
        <v>640</v>
      </c>
      <c r="B4135" s="575">
        <v>137000</v>
      </c>
      <c r="C4135" s="576">
        <v>18</v>
      </c>
      <c r="D4135" s="576">
        <v>0.315</v>
      </c>
      <c r="E4135" s="576">
        <v>64737</v>
      </c>
      <c r="F4135" s="576">
        <v>201737</v>
      </c>
      <c r="G4135" s="576">
        <v>7193</v>
      </c>
      <c r="H4135" s="576">
        <v>10808</v>
      </c>
    </row>
    <row r="4136" spans="1:8">
      <c r="A4136" s="575" t="s">
        <v>640</v>
      </c>
      <c r="B4136" s="575">
        <v>137000</v>
      </c>
      <c r="C4136" s="576">
        <v>24</v>
      </c>
      <c r="D4136" s="576">
        <v>0.315</v>
      </c>
      <c r="E4136" s="576">
        <v>86311</v>
      </c>
      <c r="F4136" s="576">
        <v>223311</v>
      </c>
      <c r="G4136" s="576">
        <v>9591</v>
      </c>
      <c r="H4136" s="576">
        <v>8905</v>
      </c>
    </row>
    <row r="4137" spans="1:8">
      <c r="A4137" s="575" t="s">
        <v>640</v>
      </c>
      <c r="B4137" s="575">
        <v>138000</v>
      </c>
      <c r="C4137" s="576">
        <v>12</v>
      </c>
      <c r="D4137" s="576">
        <v>0.315</v>
      </c>
      <c r="E4137" s="576">
        <v>43471</v>
      </c>
      <c r="F4137" s="576">
        <v>181471</v>
      </c>
      <c r="G4137" s="576">
        <v>4831</v>
      </c>
      <c r="H4137" s="576">
        <v>14720</v>
      </c>
    </row>
    <row r="4138" spans="1:8">
      <c r="A4138" s="575" t="s">
        <v>640</v>
      </c>
      <c r="B4138" s="575">
        <v>138000</v>
      </c>
      <c r="C4138" s="576">
        <v>18</v>
      </c>
      <c r="D4138" s="576">
        <v>0.315</v>
      </c>
      <c r="E4138" s="576">
        <v>65212</v>
      </c>
      <c r="F4138" s="576">
        <v>203212</v>
      </c>
      <c r="G4138" s="576">
        <v>7246</v>
      </c>
      <c r="H4138" s="576">
        <v>10887</v>
      </c>
    </row>
    <row r="4139" spans="1:8">
      <c r="A4139" s="575" t="s">
        <v>640</v>
      </c>
      <c r="B4139" s="575">
        <v>138000</v>
      </c>
      <c r="C4139" s="576">
        <v>24</v>
      </c>
      <c r="D4139" s="576">
        <v>0.315</v>
      </c>
      <c r="E4139" s="576">
        <v>86941</v>
      </c>
      <c r="F4139" s="576">
        <v>224941</v>
      </c>
      <c r="G4139" s="576">
        <v>9661</v>
      </c>
      <c r="H4139" s="576">
        <v>8970</v>
      </c>
    </row>
    <row r="4140" spans="1:8">
      <c r="A4140" s="575" t="s">
        <v>640</v>
      </c>
      <c r="B4140" s="575">
        <v>139000</v>
      </c>
      <c r="C4140" s="576">
        <v>12</v>
      </c>
      <c r="D4140" s="576">
        <v>0.315</v>
      </c>
      <c r="E4140" s="576">
        <v>43790</v>
      </c>
      <c r="F4140" s="576">
        <v>182790</v>
      </c>
      <c r="G4140" s="576">
        <v>4866</v>
      </c>
      <c r="H4140" s="576">
        <v>14827</v>
      </c>
    </row>
    <row r="4141" spans="1:8">
      <c r="A4141" s="575" t="s">
        <v>640</v>
      </c>
      <c r="B4141" s="575">
        <v>139000</v>
      </c>
      <c r="C4141" s="576">
        <v>18</v>
      </c>
      <c r="D4141" s="576">
        <v>0.315</v>
      </c>
      <c r="E4141" s="576">
        <v>65686</v>
      </c>
      <c r="F4141" s="576">
        <v>204686</v>
      </c>
      <c r="G4141" s="576">
        <v>7298</v>
      </c>
      <c r="H4141" s="576">
        <v>10966</v>
      </c>
    </row>
    <row r="4142" spans="1:8">
      <c r="A4142" s="575" t="s">
        <v>640</v>
      </c>
      <c r="B4142" s="575">
        <v>139000</v>
      </c>
      <c r="C4142" s="576">
        <v>24</v>
      </c>
      <c r="D4142" s="576">
        <v>0.315</v>
      </c>
      <c r="E4142" s="576">
        <v>87571</v>
      </c>
      <c r="F4142" s="576">
        <v>226571</v>
      </c>
      <c r="G4142" s="576">
        <v>9731</v>
      </c>
      <c r="H4142" s="576">
        <v>9035</v>
      </c>
    </row>
    <row r="4143" spans="1:8">
      <c r="A4143" s="575" t="s">
        <v>640</v>
      </c>
      <c r="B4143" s="575">
        <v>140000</v>
      </c>
      <c r="C4143" s="576">
        <v>12</v>
      </c>
      <c r="D4143" s="576">
        <v>0.315</v>
      </c>
      <c r="E4143" s="576">
        <v>44109</v>
      </c>
      <c r="F4143" s="576">
        <v>184109</v>
      </c>
      <c r="G4143" s="576">
        <v>4901</v>
      </c>
      <c r="H4143" s="576">
        <v>14934</v>
      </c>
    </row>
    <row r="4144" spans="1:8">
      <c r="A4144" s="575" t="s">
        <v>640</v>
      </c>
      <c r="B4144" s="575">
        <v>140000</v>
      </c>
      <c r="C4144" s="576">
        <v>18</v>
      </c>
      <c r="D4144" s="576">
        <v>0.315</v>
      </c>
      <c r="E4144" s="576">
        <v>66161</v>
      </c>
      <c r="F4144" s="576">
        <v>206161</v>
      </c>
      <c r="G4144" s="576">
        <v>7351</v>
      </c>
      <c r="H4144" s="576">
        <v>11045</v>
      </c>
    </row>
    <row r="4145" spans="1:8">
      <c r="A4145" s="575" t="s">
        <v>640</v>
      </c>
      <c r="B4145" s="575">
        <v>140000</v>
      </c>
      <c r="C4145" s="576">
        <v>24</v>
      </c>
      <c r="D4145" s="576">
        <v>0.315</v>
      </c>
      <c r="E4145" s="576">
        <v>88201</v>
      </c>
      <c r="F4145" s="576">
        <v>228201</v>
      </c>
      <c r="G4145" s="576">
        <v>9801</v>
      </c>
      <c r="H4145" s="576">
        <v>9100</v>
      </c>
    </row>
    <row r="4146" spans="1:8">
      <c r="A4146" s="575" t="s">
        <v>640</v>
      </c>
      <c r="B4146" s="575">
        <v>141000</v>
      </c>
      <c r="C4146" s="576">
        <v>12</v>
      </c>
      <c r="D4146" s="576">
        <v>0.315</v>
      </c>
      <c r="E4146" s="576">
        <v>44416</v>
      </c>
      <c r="F4146" s="576">
        <v>185416</v>
      </c>
      <c r="G4146" s="576">
        <v>4936</v>
      </c>
      <c r="H4146" s="576">
        <v>15040</v>
      </c>
    </row>
    <row r="4147" spans="1:8">
      <c r="A4147" s="575" t="s">
        <v>640</v>
      </c>
      <c r="B4147" s="575">
        <v>141000</v>
      </c>
      <c r="C4147" s="576">
        <v>18</v>
      </c>
      <c r="D4147" s="576">
        <v>0.315</v>
      </c>
      <c r="E4147" s="576">
        <v>66635</v>
      </c>
      <c r="F4147" s="576">
        <v>207635</v>
      </c>
      <c r="G4147" s="576">
        <v>7403</v>
      </c>
      <c r="H4147" s="576">
        <v>11124</v>
      </c>
    </row>
    <row r="4148" spans="1:8">
      <c r="A4148" s="575" t="s">
        <v>640</v>
      </c>
      <c r="B4148" s="575">
        <v>141000</v>
      </c>
      <c r="C4148" s="576">
        <v>24</v>
      </c>
      <c r="D4148" s="576">
        <v>0.315</v>
      </c>
      <c r="E4148" s="576">
        <v>88831</v>
      </c>
      <c r="F4148" s="576">
        <v>229831</v>
      </c>
      <c r="G4148" s="576">
        <v>9871</v>
      </c>
      <c r="H4148" s="576">
        <v>9165</v>
      </c>
    </row>
    <row r="4149" spans="1:8">
      <c r="A4149" s="575" t="s">
        <v>640</v>
      </c>
      <c r="B4149" s="575">
        <v>142000</v>
      </c>
      <c r="C4149" s="576">
        <v>12</v>
      </c>
      <c r="D4149" s="576">
        <v>0.315</v>
      </c>
      <c r="E4149" s="576">
        <v>44735</v>
      </c>
      <c r="F4149" s="576">
        <v>186735</v>
      </c>
      <c r="G4149" s="576">
        <v>4971</v>
      </c>
      <c r="H4149" s="576">
        <v>15147</v>
      </c>
    </row>
    <row r="4150" spans="1:8">
      <c r="A4150" s="575" t="s">
        <v>640</v>
      </c>
      <c r="B4150" s="575">
        <v>142000</v>
      </c>
      <c r="C4150" s="576">
        <v>18</v>
      </c>
      <c r="D4150" s="576">
        <v>0.315</v>
      </c>
      <c r="E4150" s="576">
        <v>67110</v>
      </c>
      <c r="F4150" s="576">
        <v>209110</v>
      </c>
      <c r="G4150" s="576">
        <v>7456</v>
      </c>
      <c r="H4150" s="576">
        <v>11203</v>
      </c>
    </row>
    <row r="4151" spans="1:8">
      <c r="A4151" s="575" t="s">
        <v>640</v>
      </c>
      <c r="B4151" s="575">
        <v>142000</v>
      </c>
      <c r="C4151" s="576">
        <v>24</v>
      </c>
      <c r="D4151" s="576">
        <v>0.315</v>
      </c>
      <c r="E4151" s="576">
        <v>89461</v>
      </c>
      <c r="F4151" s="576">
        <v>231461</v>
      </c>
      <c r="G4151" s="576">
        <v>9941</v>
      </c>
      <c r="H4151" s="576">
        <v>9230</v>
      </c>
    </row>
    <row r="4152" spans="1:8">
      <c r="A4152" s="575" t="s">
        <v>640</v>
      </c>
      <c r="B4152" s="575">
        <v>143000</v>
      </c>
      <c r="C4152" s="576">
        <v>12</v>
      </c>
      <c r="D4152" s="576">
        <v>0.315</v>
      </c>
      <c r="E4152" s="576">
        <v>45054</v>
      </c>
      <c r="F4152" s="576">
        <v>188054</v>
      </c>
      <c r="G4152" s="576">
        <v>5006</v>
      </c>
      <c r="H4152" s="576">
        <v>15254</v>
      </c>
    </row>
    <row r="4153" spans="1:8">
      <c r="A4153" s="575" t="s">
        <v>640</v>
      </c>
      <c r="B4153" s="575">
        <v>143000</v>
      </c>
      <c r="C4153" s="576">
        <v>18</v>
      </c>
      <c r="D4153" s="576">
        <v>0.315</v>
      </c>
      <c r="E4153" s="576">
        <v>67584</v>
      </c>
      <c r="F4153" s="576">
        <v>210584</v>
      </c>
      <c r="G4153" s="576">
        <v>7508</v>
      </c>
      <c r="H4153" s="576">
        <v>11282</v>
      </c>
    </row>
    <row r="4154" spans="1:8">
      <c r="A4154" s="575" t="s">
        <v>640</v>
      </c>
      <c r="B4154" s="575">
        <v>143000</v>
      </c>
      <c r="C4154" s="576">
        <v>24</v>
      </c>
      <c r="D4154" s="576">
        <v>0.315</v>
      </c>
      <c r="E4154" s="576">
        <v>90091</v>
      </c>
      <c r="F4154" s="576">
        <v>233091</v>
      </c>
      <c r="G4154" s="576">
        <v>10011</v>
      </c>
      <c r="H4154" s="576">
        <v>9295</v>
      </c>
    </row>
    <row r="4155" spans="1:8">
      <c r="A4155" s="575" t="s">
        <v>640</v>
      </c>
      <c r="B4155" s="575">
        <v>144000</v>
      </c>
      <c r="C4155" s="576">
        <v>12</v>
      </c>
      <c r="D4155" s="576">
        <v>0.315</v>
      </c>
      <c r="E4155" s="576">
        <v>45361</v>
      </c>
      <c r="F4155" s="576">
        <v>189361</v>
      </c>
      <c r="G4155" s="576">
        <v>5041</v>
      </c>
      <c r="H4155" s="576">
        <v>15360</v>
      </c>
    </row>
    <row r="4156" spans="1:8">
      <c r="A4156" s="575" t="s">
        <v>640</v>
      </c>
      <c r="B4156" s="575">
        <v>144000</v>
      </c>
      <c r="C4156" s="576">
        <v>18</v>
      </c>
      <c r="D4156" s="576">
        <v>0.315</v>
      </c>
      <c r="E4156" s="576">
        <v>68041</v>
      </c>
      <c r="F4156" s="576">
        <v>212041</v>
      </c>
      <c r="G4156" s="576">
        <v>7561</v>
      </c>
      <c r="H4156" s="576">
        <v>11360</v>
      </c>
    </row>
    <row r="4157" spans="1:8">
      <c r="A4157" s="575" t="s">
        <v>640</v>
      </c>
      <c r="B4157" s="575">
        <v>144000</v>
      </c>
      <c r="C4157" s="576">
        <v>24</v>
      </c>
      <c r="D4157" s="576">
        <v>0.315</v>
      </c>
      <c r="E4157" s="576">
        <v>90721</v>
      </c>
      <c r="F4157" s="576">
        <v>234721</v>
      </c>
      <c r="G4157" s="576">
        <v>10081</v>
      </c>
      <c r="H4157" s="576">
        <v>9360</v>
      </c>
    </row>
    <row r="4158" spans="1:8">
      <c r="A4158" s="575" t="s">
        <v>640</v>
      </c>
      <c r="B4158" s="575">
        <v>145000</v>
      </c>
      <c r="C4158" s="576">
        <v>12</v>
      </c>
      <c r="D4158" s="576">
        <v>0.315</v>
      </c>
      <c r="E4158" s="576">
        <v>45680</v>
      </c>
      <c r="F4158" s="576">
        <v>190680</v>
      </c>
      <c r="G4158" s="576">
        <v>5076</v>
      </c>
      <c r="H4158" s="576">
        <v>15467</v>
      </c>
    </row>
    <row r="4159" spans="1:8">
      <c r="A4159" s="575" t="s">
        <v>640</v>
      </c>
      <c r="B4159" s="575">
        <v>145000</v>
      </c>
      <c r="C4159" s="576">
        <v>18</v>
      </c>
      <c r="D4159" s="576">
        <v>0.315</v>
      </c>
      <c r="E4159" s="576">
        <v>68515</v>
      </c>
      <c r="F4159" s="576">
        <v>213515</v>
      </c>
      <c r="G4159" s="576">
        <v>7613</v>
      </c>
      <c r="H4159" s="576">
        <v>11439</v>
      </c>
    </row>
    <row r="4160" spans="1:8">
      <c r="A4160" s="575" t="s">
        <v>640</v>
      </c>
      <c r="B4160" s="575">
        <v>145000</v>
      </c>
      <c r="C4160" s="576">
        <v>24</v>
      </c>
      <c r="D4160" s="576">
        <v>0.315</v>
      </c>
      <c r="E4160" s="576">
        <v>91351</v>
      </c>
      <c r="F4160" s="576">
        <v>236351</v>
      </c>
      <c r="G4160" s="576">
        <v>10151</v>
      </c>
      <c r="H4160" s="576">
        <v>9425</v>
      </c>
    </row>
    <row r="4161" spans="1:8">
      <c r="A4161" s="575" t="s">
        <v>640</v>
      </c>
      <c r="B4161" s="575">
        <v>146000</v>
      </c>
      <c r="C4161" s="576">
        <v>12</v>
      </c>
      <c r="D4161" s="576">
        <v>0.315</v>
      </c>
      <c r="E4161" s="576">
        <v>45999</v>
      </c>
      <c r="F4161" s="576">
        <v>191999</v>
      </c>
      <c r="G4161" s="576">
        <v>5111</v>
      </c>
      <c r="H4161" s="576">
        <v>15574</v>
      </c>
    </row>
    <row r="4162" spans="1:8">
      <c r="A4162" s="575" t="s">
        <v>640</v>
      </c>
      <c r="B4162" s="575">
        <v>146000</v>
      </c>
      <c r="C4162" s="576">
        <v>18</v>
      </c>
      <c r="D4162" s="576">
        <v>0.315</v>
      </c>
      <c r="E4162" s="576">
        <v>68990</v>
      </c>
      <c r="F4162" s="576">
        <v>214990</v>
      </c>
      <c r="G4162" s="576">
        <v>7666</v>
      </c>
      <c r="H4162" s="576">
        <v>11518</v>
      </c>
    </row>
    <row r="4163" spans="1:8">
      <c r="A4163" s="575" t="s">
        <v>640</v>
      </c>
      <c r="B4163" s="575">
        <v>146000</v>
      </c>
      <c r="C4163" s="576">
        <v>24</v>
      </c>
      <c r="D4163" s="576">
        <v>0.315</v>
      </c>
      <c r="E4163" s="576">
        <v>91981</v>
      </c>
      <c r="F4163" s="576">
        <v>237981</v>
      </c>
      <c r="G4163" s="576">
        <v>10221</v>
      </c>
      <c r="H4163" s="576">
        <v>9490</v>
      </c>
    </row>
    <row r="4164" spans="1:8">
      <c r="A4164" s="575" t="s">
        <v>640</v>
      </c>
      <c r="B4164" s="575">
        <v>147000</v>
      </c>
      <c r="C4164" s="576">
        <v>12</v>
      </c>
      <c r="D4164" s="576">
        <v>0.315</v>
      </c>
      <c r="E4164" s="576">
        <v>46306</v>
      </c>
      <c r="F4164" s="576">
        <v>193306</v>
      </c>
      <c r="G4164" s="576">
        <v>5146</v>
      </c>
      <c r="H4164" s="576">
        <v>15680</v>
      </c>
    </row>
    <row r="4165" spans="1:8">
      <c r="A4165" s="575" t="s">
        <v>640</v>
      </c>
      <c r="B4165" s="575">
        <v>147000</v>
      </c>
      <c r="C4165" s="576">
        <v>18</v>
      </c>
      <c r="D4165" s="576">
        <v>0.315</v>
      </c>
      <c r="E4165" s="576">
        <v>69464</v>
      </c>
      <c r="F4165" s="576">
        <v>216464</v>
      </c>
      <c r="G4165" s="576">
        <v>7718</v>
      </c>
      <c r="H4165" s="576">
        <v>11597</v>
      </c>
    </row>
    <row r="4166" spans="1:8">
      <c r="A4166" s="575" t="s">
        <v>640</v>
      </c>
      <c r="B4166" s="575">
        <v>147000</v>
      </c>
      <c r="C4166" s="576">
        <v>24</v>
      </c>
      <c r="D4166" s="576">
        <v>0.315</v>
      </c>
      <c r="E4166" s="576">
        <v>92611</v>
      </c>
      <c r="F4166" s="576">
        <v>239611</v>
      </c>
      <c r="G4166" s="576">
        <v>10291</v>
      </c>
      <c r="H4166" s="576">
        <v>9555</v>
      </c>
    </row>
    <row r="4167" spans="1:8">
      <c r="A4167" s="575" t="s">
        <v>640</v>
      </c>
      <c r="B4167" s="575">
        <v>148000</v>
      </c>
      <c r="C4167" s="576">
        <v>12</v>
      </c>
      <c r="D4167" s="576">
        <v>0.315</v>
      </c>
      <c r="E4167" s="576">
        <v>46625</v>
      </c>
      <c r="F4167" s="576">
        <v>194625</v>
      </c>
      <c r="G4167" s="576">
        <v>5181</v>
      </c>
      <c r="H4167" s="576">
        <v>15787</v>
      </c>
    </row>
    <row r="4168" spans="1:8">
      <c r="A4168" s="575" t="s">
        <v>640</v>
      </c>
      <c r="B4168" s="575">
        <v>148000</v>
      </c>
      <c r="C4168" s="576">
        <v>18</v>
      </c>
      <c r="D4168" s="576">
        <v>0.315</v>
      </c>
      <c r="E4168" s="576">
        <v>69939</v>
      </c>
      <c r="F4168" s="576">
        <v>217939</v>
      </c>
      <c r="G4168" s="576">
        <v>7771</v>
      </c>
      <c r="H4168" s="576">
        <v>11676</v>
      </c>
    </row>
    <row r="4169" spans="1:8">
      <c r="A4169" s="575" t="s">
        <v>640</v>
      </c>
      <c r="B4169" s="575">
        <v>148000</v>
      </c>
      <c r="C4169" s="576">
        <v>24</v>
      </c>
      <c r="D4169" s="576">
        <v>0.315</v>
      </c>
      <c r="E4169" s="576">
        <v>93241</v>
      </c>
      <c r="F4169" s="576">
        <v>241241</v>
      </c>
      <c r="G4169" s="576">
        <v>10361</v>
      </c>
      <c r="H4169" s="576">
        <v>9620</v>
      </c>
    </row>
    <row r="4170" spans="1:8">
      <c r="A4170" s="575" t="s">
        <v>640</v>
      </c>
      <c r="B4170" s="575">
        <v>149000</v>
      </c>
      <c r="C4170" s="576">
        <v>12</v>
      </c>
      <c r="D4170" s="576">
        <v>0.315</v>
      </c>
      <c r="E4170" s="576">
        <v>46944</v>
      </c>
      <c r="F4170" s="576">
        <v>195944</v>
      </c>
      <c r="G4170" s="576">
        <v>5216</v>
      </c>
      <c r="H4170" s="576">
        <v>15894</v>
      </c>
    </row>
    <row r="4171" spans="1:8">
      <c r="A4171" s="575" t="s">
        <v>640</v>
      </c>
      <c r="B4171" s="575">
        <v>149000</v>
      </c>
      <c r="C4171" s="576">
        <v>18</v>
      </c>
      <c r="D4171" s="576">
        <v>0.315</v>
      </c>
      <c r="E4171" s="576">
        <v>70413</v>
      </c>
      <c r="F4171" s="576">
        <v>219413</v>
      </c>
      <c r="G4171" s="576">
        <v>7823</v>
      </c>
      <c r="H4171" s="576">
        <v>11755</v>
      </c>
    </row>
    <row r="4172" spans="1:8">
      <c r="A4172" s="575" t="s">
        <v>640</v>
      </c>
      <c r="B4172" s="575">
        <v>149000</v>
      </c>
      <c r="C4172" s="576">
        <v>24</v>
      </c>
      <c r="D4172" s="576">
        <v>0.315</v>
      </c>
      <c r="E4172" s="576">
        <v>93871</v>
      </c>
      <c r="F4172" s="576">
        <v>242871</v>
      </c>
      <c r="G4172" s="576">
        <v>10431</v>
      </c>
      <c r="H4172" s="576">
        <v>9685</v>
      </c>
    </row>
    <row r="4173" spans="1:8">
      <c r="A4173" s="575" t="s">
        <v>640</v>
      </c>
      <c r="B4173" s="575">
        <v>150000</v>
      </c>
      <c r="C4173" s="576">
        <v>12</v>
      </c>
      <c r="D4173" s="576">
        <v>0.315</v>
      </c>
      <c r="E4173" s="576">
        <v>47251</v>
      </c>
      <c r="F4173" s="576">
        <v>197251</v>
      </c>
      <c r="G4173" s="576">
        <v>5251</v>
      </c>
      <c r="H4173" s="576">
        <v>16000</v>
      </c>
    </row>
    <row r="4174" spans="1:8">
      <c r="A4174" s="575" t="s">
        <v>640</v>
      </c>
      <c r="B4174" s="575">
        <v>150000</v>
      </c>
      <c r="C4174" s="576">
        <v>18</v>
      </c>
      <c r="D4174" s="576">
        <v>0.315</v>
      </c>
      <c r="E4174" s="576">
        <v>70888</v>
      </c>
      <c r="F4174" s="576">
        <v>220888</v>
      </c>
      <c r="G4174" s="576">
        <v>7876</v>
      </c>
      <c r="H4174" s="576">
        <v>11834</v>
      </c>
    </row>
    <row r="4175" spans="1:8">
      <c r="A4175" s="575" t="s">
        <v>640</v>
      </c>
      <c r="B4175" s="575">
        <v>150000</v>
      </c>
      <c r="C4175" s="576">
        <v>24</v>
      </c>
      <c r="D4175" s="576">
        <v>0.315</v>
      </c>
      <c r="E4175" s="576">
        <v>94501</v>
      </c>
      <c r="F4175" s="576">
        <v>244501</v>
      </c>
      <c r="G4175" s="576">
        <v>10501</v>
      </c>
      <c r="H4175" s="576">
        <v>9750</v>
      </c>
    </row>
    <row r="4176" spans="1:8">
      <c r="A4176" s="575" t="s">
        <v>640</v>
      </c>
      <c r="B4176" s="575">
        <v>151000</v>
      </c>
      <c r="C4176" s="576">
        <v>12</v>
      </c>
      <c r="D4176" s="576">
        <v>0.315</v>
      </c>
      <c r="E4176" s="576">
        <v>47570</v>
      </c>
      <c r="F4176" s="576">
        <v>198570</v>
      </c>
      <c r="G4176" s="576">
        <v>5286</v>
      </c>
      <c r="H4176" s="576">
        <v>16107</v>
      </c>
    </row>
    <row r="4177" spans="1:8">
      <c r="A4177" s="575" t="s">
        <v>640</v>
      </c>
      <c r="B4177" s="575">
        <v>151000</v>
      </c>
      <c r="C4177" s="576">
        <v>18</v>
      </c>
      <c r="D4177" s="576">
        <v>0.315</v>
      </c>
      <c r="E4177" s="576">
        <v>71362</v>
      </c>
      <c r="F4177" s="576">
        <v>222362</v>
      </c>
      <c r="G4177" s="576">
        <v>7928</v>
      </c>
      <c r="H4177" s="576">
        <v>11913</v>
      </c>
    </row>
    <row r="4178" spans="1:8">
      <c r="A4178" s="575" t="s">
        <v>640</v>
      </c>
      <c r="B4178" s="575">
        <v>151000</v>
      </c>
      <c r="C4178" s="576">
        <v>24</v>
      </c>
      <c r="D4178" s="576">
        <v>0.315</v>
      </c>
      <c r="E4178" s="576">
        <v>95131</v>
      </c>
      <c r="F4178" s="576">
        <v>246131</v>
      </c>
      <c r="G4178" s="576">
        <v>10571</v>
      </c>
      <c r="H4178" s="576">
        <v>9815</v>
      </c>
    </row>
    <row r="4179" spans="1:8">
      <c r="A4179" s="575" t="s">
        <v>640</v>
      </c>
      <c r="B4179" s="575">
        <v>152000</v>
      </c>
      <c r="C4179" s="576">
        <v>12</v>
      </c>
      <c r="D4179" s="576">
        <v>0.315</v>
      </c>
      <c r="E4179" s="576">
        <v>47889</v>
      </c>
      <c r="F4179" s="576">
        <v>199889</v>
      </c>
      <c r="G4179" s="576">
        <v>5321</v>
      </c>
      <c r="H4179" s="576">
        <v>16214</v>
      </c>
    </row>
    <row r="4180" spans="1:8">
      <c r="A4180" s="575" t="s">
        <v>640</v>
      </c>
      <c r="B4180" s="575">
        <v>152000</v>
      </c>
      <c r="C4180" s="576">
        <v>18</v>
      </c>
      <c r="D4180" s="576">
        <v>0.315</v>
      </c>
      <c r="E4180" s="576">
        <v>71837</v>
      </c>
      <c r="F4180" s="576">
        <v>223837</v>
      </c>
      <c r="G4180" s="576">
        <v>7981</v>
      </c>
      <c r="H4180" s="576">
        <v>11992</v>
      </c>
    </row>
    <row r="4181" spans="1:8">
      <c r="A4181" s="575" t="s">
        <v>640</v>
      </c>
      <c r="B4181" s="575">
        <v>152000</v>
      </c>
      <c r="C4181" s="576">
        <v>24</v>
      </c>
      <c r="D4181" s="576">
        <v>0.315</v>
      </c>
      <c r="E4181" s="576">
        <v>95761</v>
      </c>
      <c r="F4181" s="576">
        <v>247761</v>
      </c>
      <c r="G4181" s="576">
        <v>10641</v>
      </c>
      <c r="H4181" s="576">
        <v>9880</v>
      </c>
    </row>
    <row r="4182" spans="1:8">
      <c r="A4182" s="575" t="s">
        <v>640</v>
      </c>
      <c r="B4182" s="575">
        <v>153000</v>
      </c>
      <c r="C4182" s="576">
        <v>12</v>
      </c>
      <c r="D4182" s="576">
        <v>0.315</v>
      </c>
      <c r="E4182" s="576">
        <v>48196</v>
      </c>
      <c r="F4182" s="576">
        <v>201196</v>
      </c>
      <c r="G4182" s="576">
        <v>5356</v>
      </c>
      <c r="H4182" s="576">
        <v>16320</v>
      </c>
    </row>
    <row r="4183" spans="1:8">
      <c r="A4183" s="575" t="s">
        <v>640</v>
      </c>
      <c r="B4183" s="575">
        <v>153000</v>
      </c>
      <c r="C4183" s="576">
        <v>18</v>
      </c>
      <c r="D4183" s="576">
        <v>0.315</v>
      </c>
      <c r="E4183" s="576">
        <v>72293</v>
      </c>
      <c r="F4183" s="576">
        <v>225293</v>
      </c>
      <c r="G4183" s="576">
        <v>8033</v>
      </c>
      <c r="H4183" s="576">
        <v>12070</v>
      </c>
    </row>
    <row r="4184" spans="1:8">
      <c r="A4184" s="575" t="s">
        <v>640</v>
      </c>
      <c r="B4184" s="575">
        <v>153000</v>
      </c>
      <c r="C4184" s="576">
        <v>24</v>
      </c>
      <c r="D4184" s="576">
        <v>0.315</v>
      </c>
      <c r="E4184" s="576">
        <v>96391</v>
      </c>
      <c r="F4184" s="576">
        <v>249391</v>
      </c>
      <c r="G4184" s="576">
        <v>10711</v>
      </c>
      <c r="H4184" s="576">
        <v>9945</v>
      </c>
    </row>
    <row r="4185" spans="1:8">
      <c r="A4185" s="575" t="s">
        <v>640</v>
      </c>
      <c r="B4185" s="575">
        <v>154000</v>
      </c>
      <c r="C4185" s="576">
        <v>12</v>
      </c>
      <c r="D4185" s="576">
        <v>0.315</v>
      </c>
      <c r="E4185" s="576">
        <v>48515</v>
      </c>
      <c r="F4185" s="576">
        <v>202515</v>
      </c>
      <c r="G4185" s="576">
        <v>5391</v>
      </c>
      <c r="H4185" s="576">
        <v>16427</v>
      </c>
    </row>
    <row r="4186" spans="1:8">
      <c r="A4186" s="575" t="s">
        <v>640</v>
      </c>
      <c r="B4186" s="575">
        <v>154000</v>
      </c>
      <c r="C4186" s="576">
        <v>18</v>
      </c>
      <c r="D4186" s="576">
        <v>0.315</v>
      </c>
      <c r="E4186" s="576">
        <v>72768</v>
      </c>
      <c r="F4186" s="576">
        <v>226768</v>
      </c>
      <c r="G4186" s="576">
        <v>8086</v>
      </c>
      <c r="H4186" s="576">
        <v>12149</v>
      </c>
    </row>
    <row r="4187" spans="1:8">
      <c r="A4187" s="575" t="s">
        <v>640</v>
      </c>
      <c r="B4187" s="575">
        <v>154000</v>
      </c>
      <c r="C4187" s="576">
        <v>24</v>
      </c>
      <c r="D4187" s="576">
        <v>0.315</v>
      </c>
      <c r="E4187" s="576">
        <v>97021</v>
      </c>
      <c r="F4187" s="576">
        <v>251021</v>
      </c>
      <c r="G4187" s="576">
        <v>10781</v>
      </c>
      <c r="H4187" s="576">
        <v>10010</v>
      </c>
    </row>
    <row r="4188" spans="1:8">
      <c r="A4188" s="575" t="s">
        <v>640</v>
      </c>
      <c r="B4188" s="575">
        <v>155000</v>
      </c>
      <c r="C4188" s="576">
        <v>12</v>
      </c>
      <c r="D4188" s="576">
        <v>0.315</v>
      </c>
      <c r="E4188" s="576">
        <v>48834</v>
      </c>
      <c r="F4188" s="576">
        <v>203834</v>
      </c>
      <c r="G4188" s="576">
        <v>5426</v>
      </c>
      <c r="H4188" s="576">
        <v>16534</v>
      </c>
    </row>
    <row r="4189" spans="1:8">
      <c r="A4189" s="575" t="s">
        <v>640</v>
      </c>
      <c r="B4189" s="575">
        <v>155000</v>
      </c>
      <c r="C4189" s="576">
        <v>18</v>
      </c>
      <c r="D4189" s="576">
        <v>0.315</v>
      </c>
      <c r="E4189" s="576">
        <v>73242</v>
      </c>
      <c r="F4189" s="576">
        <v>228242</v>
      </c>
      <c r="G4189" s="576">
        <v>8138</v>
      </c>
      <c r="H4189" s="576">
        <v>12228</v>
      </c>
    </row>
    <row r="4190" spans="1:8">
      <c r="A4190" s="575" t="s">
        <v>640</v>
      </c>
      <c r="B4190" s="575">
        <v>155000</v>
      </c>
      <c r="C4190" s="576">
        <v>24</v>
      </c>
      <c r="D4190" s="576">
        <v>0.315</v>
      </c>
      <c r="E4190" s="576">
        <v>97651</v>
      </c>
      <c r="F4190" s="576">
        <v>252651</v>
      </c>
      <c r="G4190" s="576">
        <v>10851</v>
      </c>
      <c r="H4190" s="576">
        <v>10075</v>
      </c>
    </row>
    <row r="4191" spans="1:8">
      <c r="A4191" s="575" t="s">
        <v>640</v>
      </c>
      <c r="B4191" s="575">
        <v>156000</v>
      </c>
      <c r="C4191" s="576">
        <v>12</v>
      </c>
      <c r="D4191" s="576">
        <v>0.315</v>
      </c>
      <c r="E4191" s="576">
        <v>49141</v>
      </c>
      <c r="F4191" s="576">
        <v>205141</v>
      </c>
      <c r="G4191" s="576">
        <v>5461</v>
      </c>
      <c r="H4191" s="576">
        <v>16640</v>
      </c>
    </row>
    <row r="4192" spans="1:8">
      <c r="A4192" s="575" t="s">
        <v>640</v>
      </c>
      <c r="B4192" s="575">
        <v>156000</v>
      </c>
      <c r="C4192" s="576">
        <v>18</v>
      </c>
      <c r="D4192" s="576">
        <v>0.315</v>
      </c>
      <c r="E4192" s="576">
        <v>73717</v>
      </c>
      <c r="F4192" s="576">
        <v>229717</v>
      </c>
      <c r="G4192" s="576">
        <v>8191</v>
      </c>
      <c r="H4192" s="576">
        <v>12307</v>
      </c>
    </row>
    <row r="4193" spans="1:8">
      <c r="A4193" s="575" t="s">
        <v>640</v>
      </c>
      <c r="B4193" s="575">
        <v>156000</v>
      </c>
      <c r="C4193" s="576">
        <v>24</v>
      </c>
      <c r="D4193" s="576">
        <v>0.315</v>
      </c>
      <c r="E4193" s="576">
        <v>98281</v>
      </c>
      <c r="F4193" s="576">
        <v>254281</v>
      </c>
      <c r="G4193" s="576">
        <v>10921</v>
      </c>
      <c r="H4193" s="576">
        <v>10140</v>
      </c>
    </row>
    <row r="4194" spans="1:8">
      <c r="A4194" s="575" t="s">
        <v>640</v>
      </c>
      <c r="B4194" s="575">
        <v>157000</v>
      </c>
      <c r="C4194" s="576">
        <v>12</v>
      </c>
      <c r="D4194" s="576">
        <v>0.315</v>
      </c>
      <c r="E4194" s="576">
        <v>49460</v>
      </c>
      <c r="F4194" s="576">
        <v>206460</v>
      </c>
      <c r="G4194" s="576">
        <v>5496</v>
      </c>
      <c r="H4194" s="576">
        <v>16747</v>
      </c>
    </row>
    <row r="4195" spans="1:8">
      <c r="A4195" s="575" t="s">
        <v>640</v>
      </c>
      <c r="B4195" s="575">
        <v>157000</v>
      </c>
      <c r="C4195" s="576">
        <v>18</v>
      </c>
      <c r="D4195" s="576">
        <v>0.315</v>
      </c>
      <c r="E4195" s="576">
        <v>74191</v>
      </c>
      <c r="F4195" s="576">
        <v>231191</v>
      </c>
      <c r="G4195" s="576">
        <v>8243</v>
      </c>
      <c r="H4195" s="576">
        <v>12386</v>
      </c>
    </row>
    <row r="4196" spans="1:8">
      <c r="A4196" s="575" t="s">
        <v>640</v>
      </c>
      <c r="B4196" s="575">
        <v>157000</v>
      </c>
      <c r="C4196" s="576">
        <v>24</v>
      </c>
      <c r="D4196" s="576">
        <v>0.315</v>
      </c>
      <c r="E4196" s="576">
        <v>98911</v>
      </c>
      <c r="F4196" s="576">
        <v>255911</v>
      </c>
      <c r="G4196" s="576">
        <v>10991</v>
      </c>
      <c r="H4196" s="576">
        <v>10205</v>
      </c>
    </row>
    <row r="4197" spans="1:8">
      <c r="A4197" s="575" t="s">
        <v>640</v>
      </c>
      <c r="B4197" s="575">
        <v>158000</v>
      </c>
      <c r="C4197" s="576">
        <v>12</v>
      </c>
      <c r="D4197" s="576">
        <v>0.315</v>
      </c>
      <c r="E4197" s="576">
        <v>49779</v>
      </c>
      <c r="F4197" s="576">
        <v>207779</v>
      </c>
      <c r="G4197" s="576">
        <v>5531</v>
      </c>
      <c r="H4197" s="576">
        <v>16854</v>
      </c>
    </row>
    <row r="4198" spans="1:8">
      <c r="A4198" s="575" t="s">
        <v>640</v>
      </c>
      <c r="B4198" s="575">
        <v>158000</v>
      </c>
      <c r="C4198" s="576">
        <v>18</v>
      </c>
      <c r="D4198" s="576">
        <v>0.315</v>
      </c>
      <c r="E4198" s="576">
        <v>74666</v>
      </c>
      <c r="F4198" s="576">
        <v>232666</v>
      </c>
      <c r="G4198" s="576">
        <v>8296</v>
      </c>
      <c r="H4198" s="576">
        <v>12465</v>
      </c>
    </row>
    <row r="4199" spans="1:8">
      <c r="A4199" s="575" t="s">
        <v>640</v>
      </c>
      <c r="B4199" s="575">
        <v>158000</v>
      </c>
      <c r="C4199" s="576">
        <v>24</v>
      </c>
      <c r="D4199" s="576">
        <v>0.315</v>
      </c>
      <c r="E4199" s="576">
        <v>99541</v>
      </c>
      <c r="F4199" s="576">
        <v>257541</v>
      </c>
      <c r="G4199" s="576">
        <v>11061</v>
      </c>
      <c r="H4199" s="576">
        <v>10270</v>
      </c>
    </row>
    <row r="4200" spans="1:8">
      <c r="A4200" s="575" t="s">
        <v>640</v>
      </c>
      <c r="B4200" s="575">
        <v>159000</v>
      </c>
      <c r="C4200" s="576">
        <v>12</v>
      </c>
      <c r="D4200" s="576">
        <v>0.315</v>
      </c>
      <c r="E4200" s="576">
        <v>50086</v>
      </c>
      <c r="F4200" s="576">
        <v>209086</v>
      </c>
      <c r="G4200" s="576">
        <v>5566</v>
      </c>
      <c r="H4200" s="576">
        <v>16960</v>
      </c>
    </row>
    <row r="4201" spans="1:8">
      <c r="A4201" s="575" t="s">
        <v>640</v>
      </c>
      <c r="B4201" s="575">
        <v>159000</v>
      </c>
      <c r="C4201" s="576">
        <v>18</v>
      </c>
      <c r="D4201" s="576">
        <v>0.315</v>
      </c>
      <c r="E4201" s="576">
        <v>75140</v>
      </c>
      <c r="F4201" s="576">
        <v>234140</v>
      </c>
      <c r="G4201" s="576">
        <v>8348</v>
      </c>
      <c r="H4201" s="576">
        <v>12544</v>
      </c>
    </row>
    <row r="4202" spans="1:8">
      <c r="A4202" s="575" t="s">
        <v>640</v>
      </c>
      <c r="B4202" s="575">
        <v>159000</v>
      </c>
      <c r="C4202" s="576">
        <v>24</v>
      </c>
      <c r="D4202" s="576">
        <v>0.315</v>
      </c>
      <c r="E4202" s="576">
        <v>100171</v>
      </c>
      <c r="F4202" s="576">
        <v>259171</v>
      </c>
      <c r="G4202" s="576">
        <v>11131</v>
      </c>
      <c r="H4202" s="576">
        <v>10335</v>
      </c>
    </row>
    <row r="4203" spans="1:8">
      <c r="A4203" s="575" t="s">
        <v>640</v>
      </c>
      <c r="B4203" s="575">
        <v>160000</v>
      </c>
      <c r="C4203" s="576">
        <v>12</v>
      </c>
      <c r="D4203" s="576">
        <v>0.315</v>
      </c>
      <c r="E4203" s="576">
        <v>50405</v>
      </c>
      <c r="F4203" s="576">
        <v>210405</v>
      </c>
      <c r="G4203" s="576">
        <v>5601</v>
      </c>
      <c r="H4203" s="576">
        <v>17067</v>
      </c>
    </row>
    <row r="4204" spans="1:8">
      <c r="A4204" s="575" t="s">
        <v>640</v>
      </c>
      <c r="B4204" s="575">
        <v>160000</v>
      </c>
      <c r="C4204" s="576">
        <v>18</v>
      </c>
      <c r="D4204" s="576">
        <v>0.315</v>
      </c>
      <c r="E4204" s="576">
        <v>75615</v>
      </c>
      <c r="F4204" s="576">
        <v>235615</v>
      </c>
      <c r="G4204" s="576">
        <v>8401</v>
      </c>
      <c r="H4204" s="576">
        <v>12623</v>
      </c>
    </row>
    <row r="4205" spans="1:8">
      <c r="A4205" s="575" t="s">
        <v>640</v>
      </c>
      <c r="B4205" s="575">
        <v>160000</v>
      </c>
      <c r="C4205" s="576">
        <v>24</v>
      </c>
      <c r="D4205" s="576">
        <v>0.315</v>
      </c>
      <c r="E4205" s="576">
        <v>100801</v>
      </c>
      <c r="F4205" s="576">
        <v>260801</v>
      </c>
      <c r="G4205" s="576">
        <v>11201</v>
      </c>
      <c r="H4205" s="576">
        <v>10400</v>
      </c>
    </row>
    <row r="4206" spans="1:8">
      <c r="A4206" s="575" t="s">
        <v>640</v>
      </c>
      <c r="B4206" s="575">
        <v>161000</v>
      </c>
      <c r="C4206" s="576">
        <v>12</v>
      </c>
      <c r="D4206" s="576">
        <v>0.315</v>
      </c>
      <c r="E4206" s="576">
        <v>50724</v>
      </c>
      <c r="F4206" s="576">
        <v>211724</v>
      </c>
      <c r="G4206" s="576">
        <v>5636</v>
      </c>
      <c r="H4206" s="576">
        <v>17174</v>
      </c>
    </row>
    <row r="4207" spans="1:8">
      <c r="A4207" s="575" t="s">
        <v>640</v>
      </c>
      <c r="B4207" s="575">
        <v>161000</v>
      </c>
      <c r="C4207" s="576">
        <v>18</v>
      </c>
      <c r="D4207" s="576">
        <v>0.315</v>
      </c>
      <c r="E4207" s="576">
        <v>76089</v>
      </c>
      <c r="F4207" s="576">
        <v>237089</v>
      </c>
      <c r="G4207" s="576">
        <v>8453</v>
      </c>
      <c r="H4207" s="576">
        <v>12702</v>
      </c>
    </row>
    <row r="4208" spans="1:8">
      <c r="A4208" s="575" t="s">
        <v>640</v>
      </c>
      <c r="B4208" s="575">
        <v>161000</v>
      </c>
      <c r="C4208" s="576">
        <v>24</v>
      </c>
      <c r="D4208" s="576">
        <v>0.315</v>
      </c>
      <c r="E4208" s="576">
        <v>101431</v>
      </c>
      <c r="F4208" s="576">
        <v>262431</v>
      </c>
      <c r="G4208" s="576">
        <v>11271</v>
      </c>
      <c r="H4208" s="576">
        <v>10465</v>
      </c>
    </row>
    <row r="4209" spans="1:8">
      <c r="A4209" s="575" t="s">
        <v>640</v>
      </c>
      <c r="B4209" s="575">
        <v>162000</v>
      </c>
      <c r="C4209" s="576">
        <v>12</v>
      </c>
      <c r="D4209" s="576">
        <v>0.315</v>
      </c>
      <c r="E4209" s="576">
        <v>51031</v>
      </c>
      <c r="F4209" s="576">
        <v>213031</v>
      </c>
      <c r="G4209" s="576">
        <v>5671</v>
      </c>
      <c r="H4209" s="576">
        <v>17280</v>
      </c>
    </row>
    <row r="4210" spans="1:8">
      <c r="A4210" s="575" t="s">
        <v>640</v>
      </c>
      <c r="B4210" s="575">
        <v>162000</v>
      </c>
      <c r="C4210" s="576">
        <v>18</v>
      </c>
      <c r="D4210" s="576">
        <v>0.315</v>
      </c>
      <c r="E4210" s="576">
        <v>76546</v>
      </c>
      <c r="F4210" s="576">
        <v>238546</v>
      </c>
      <c r="G4210" s="576">
        <v>8506</v>
      </c>
      <c r="H4210" s="576">
        <v>12780</v>
      </c>
    </row>
    <row r="4211" spans="1:8">
      <c r="A4211" s="575" t="s">
        <v>640</v>
      </c>
      <c r="B4211" s="575">
        <v>162000</v>
      </c>
      <c r="C4211" s="576">
        <v>24</v>
      </c>
      <c r="D4211" s="576">
        <v>0.315</v>
      </c>
      <c r="E4211" s="576">
        <v>102061</v>
      </c>
      <c r="F4211" s="576">
        <v>264061</v>
      </c>
      <c r="G4211" s="576">
        <v>11341</v>
      </c>
      <c r="H4211" s="576">
        <v>10530</v>
      </c>
    </row>
    <row r="4212" spans="1:8">
      <c r="A4212" s="575" t="s">
        <v>640</v>
      </c>
      <c r="B4212" s="575">
        <v>163000</v>
      </c>
      <c r="C4212" s="576">
        <v>12</v>
      </c>
      <c r="D4212" s="576">
        <v>0.315</v>
      </c>
      <c r="E4212" s="576">
        <v>51350</v>
      </c>
      <c r="F4212" s="576">
        <v>214350</v>
      </c>
      <c r="G4212" s="576">
        <v>5706</v>
      </c>
      <c r="H4212" s="576">
        <v>17387</v>
      </c>
    </row>
    <row r="4213" spans="1:8">
      <c r="A4213" s="575" t="s">
        <v>640</v>
      </c>
      <c r="B4213" s="575">
        <v>163000</v>
      </c>
      <c r="C4213" s="576">
        <v>18</v>
      </c>
      <c r="D4213" s="576">
        <v>0.315</v>
      </c>
      <c r="E4213" s="576">
        <v>77020</v>
      </c>
      <c r="F4213" s="576">
        <v>240020</v>
      </c>
      <c r="G4213" s="576">
        <v>8558</v>
      </c>
      <c r="H4213" s="576">
        <v>12859</v>
      </c>
    </row>
    <row r="4214" spans="1:8">
      <c r="A4214" s="575" t="s">
        <v>640</v>
      </c>
      <c r="B4214" s="575">
        <v>163000</v>
      </c>
      <c r="C4214" s="576">
        <v>24</v>
      </c>
      <c r="D4214" s="576">
        <v>0.315</v>
      </c>
      <c r="E4214" s="576">
        <v>102691</v>
      </c>
      <c r="F4214" s="576">
        <v>265691</v>
      </c>
      <c r="G4214" s="576">
        <v>11411</v>
      </c>
      <c r="H4214" s="576">
        <v>10595</v>
      </c>
    </row>
    <row r="4215" spans="1:8">
      <c r="A4215" s="575" t="s">
        <v>640</v>
      </c>
      <c r="B4215" s="575">
        <v>164000</v>
      </c>
      <c r="C4215" s="576">
        <v>12</v>
      </c>
      <c r="D4215" s="576">
        <v>0.315</v>
      </c>
      <c r="E4215" s="576">
        <v>51669</v>
      </c>
      <c r="F4215" s="576">
        <v>215669</v>
      </c>
      <c r="G4215" s="576">
        <v>5741</v>
      </c>
      <c r="H4215" s="576">
        <v>17494</v>
      </c>
    </row>
    <row r="4216" spans="1:8">
      <c r="A4216" s="575" t="s">
        <v>640</v>
      </c>
      <c r="B4216" s="575">
        <v>164000</v>
      </c>
      <c r="C4216" s="576">
        <v>18</v>
      </c>
      <c r="D4216" s="576">
        <v>0.315</v>
      </c>
      <c r="E4216" s="576">
        <v>77495</v>
      </c>
      <c r="F4216" s="576">
        <v>241495</v>
      </c>
      <c r="G4216" s="576">
        <v>8611</v>
      </c>
      <c r="H4216" s="576">
        <v>12938</v>
      </c>
    </row>
    <row r="4217" spans="1:8">
      <c r="A4217" s="575" t="s">
        <v>640</v>
      </c>
      <c r="B4217" s="575">
        <v>164000</v>
      </c>
      <c r="C4217" s="576">
        <v>24</v>
      </c>
      <c r="D4217" s="576">
        <v>0.315</v>
      </c>
      <c r="E4217" s="576">
        <v>103321</v>
      </c>
      <c r="F4217" s="576">
        <v>267321</v>
      </c>
      <c r="G4217" s="576">
        <v>11481</v>
      </c>
      <c r="H4217" s="576">
        <v>10660</v>
      </c>
    </row>
    <row r="4218" spans="1:8">
      <c r="A4218" s="575" t="s">
        <v>640</v>
      </c>
      <c r="B4218" s="575">
        <v>165000</v>
      </c>
      <c r="C4218" s="576">
        <v>12</v>
      </c>
      <c r="D4218" s="576">
        <v>0.315</v>
      </c>
      <c r="E4218" s="576">
        <v>51976</v>
      </c>
      <c r="F4218" s="576">
        <v>216976</v>
      </c>
      <c r="G4218" s="576">
        <v>5776</v>
      </c>
      <c r="H4218" s="576">
        <v>17600</v>
      </c>
    </row>
    <row r="4219" spans="1:8">
      <c r="A4219" s="575" t="s">
        <v>640</v>
      </c>
      <c r="B4219" s="575">
        <v>165000</v>
      </c>
      <c r="C4219" s="576">
        <v>18</v>
      </c>
      <c r="D4219" s="576">
        <v>0.315</v>
      </c>
      <c r="E4219" s="576">
        <v>77969</v>
      </c>
      <c r="F4219" s="576">
        <v>242969</v>
      </c>
      <c r="G4219" s="576">
        <v>8663</v>
      </c>
      <c r="H4219" s="576">
        <v>13017</v>
      </c>
    </row>
    <row r="4220" spans="1:8">
      <c r="A4220" s="575" t="s">
        <v>640</v>
      </c>
      <c r="B4220" s="575">
        <v>165000</v>
      </c>
      <c r="C4220" s="576">
        <v>24</v>
      </c>
      <c r="D4220" s="576">
        <v>0.315</v>
      </c>
      <c r="E4220" s="576">
        <v>103951</v>
      </c>
      <c r="F4220" s="576">
        <v>268951</v>
      </c>
      <c r="G4220" s="576">
        <v>11551</v>
      </c>
      <c r="H4220" s="576">
        <v>10725</v>
      </c>
    </row>
    <row r="4221" spans="1:8">
      <c r="A4221" s="575" t="s">
        <v>640</v>
      </c>
      <c r="B4221" s="575">
        <v>166000</v>
      </c>
      <c r="C4221" s="576">
        <v>12</v>
      </c>
      <c r="D4221" s="576">
        <v>0.315</v>
      </c>
      <c r="E4221" s="576">
        <v>52295</v>
      </c>
      <c r="F4221" s="576">
        <v>218295</v>
      </c>
      <c r="G4221" s="576">
        <v>5811</v>
      </c>
      <c r="H4221" s="576">
        <v>17707</v>
      </c>
    </row>
    <row r="4222" spans="1:8">
      <c r="A4222" s="575" t="s">
        <v>640</v>
      </c>
      <c r="B4222" s="575">
        <v>166000</v>
      </c>
      <c r="C4222" s="576">
        <v>18</v>
      </c>
      <c r="D4222" s="576">
        <v>0.315</v>
      </c>
      <c r="E4222" s="576">
        <v>78444</v>
      </c>
      <c r="F4222" s="576">
        <v>244444</v>
      </c>
      <c r="G4222" s="576">
        <v>8716</v>
      </c>
      <c r="H4222" s="576">
        <v>13096</v>
      </c>
    </row>
    <row r="4223" spans="1:8">
      <c r="A4223" s="575" t="s">
        <v>640</v>
      </c>
      <c r="B4223" s="575">
        <v>166000</v>
      </c>
      <c r="C4223" s="576">
        <v>24</v>
      </c>
      <c r="D4223" s="576">
        <v>0.315</v>
      </c>
      <c r="E4223" s="576">
        <v>104581</v>
      </c>
      <c r="F4223" s="576">
        <v>270581</v>
      </c>
      <c r="G4223" s="576">
        <v>11621</v>
      </c>
      <c r="H4223" s="576">
        <v>10790</v>
      </c>
    </row>
    <row r="4224" spans="1:8">
      <c r="A4224" s="575" t="s">
        <v>640</v>
      </c>
      <c r="B4224" s="575">
        <v>167000</v>
      </c>
      <c r="C4224" s="576">
        <v>12</v>
      </c>
      <c r="D4224" s="576">
        <v>0.315</v>
      </c>
      <c r="E4224" s="576">
        <v>52614</v>
      </c>
      <c r="F4224" s="576">
        <v>219614</v>
      </c>
      <c r="G4224" s="576">
        <v>5846</v>
      </c>
      <c r="H4224" s="576">
        <v>17814</v>
      </c>
    </row>
    <row r="4225" spans="1:8">
      <c r="A4225" s="575" t="s">
        <v>640</v>
      </c>
      <c r="B4225" s="575">
        <v>167000</v>
      </c>
      <c r="C4225" s="576">
        <v>18</v>
      </c>
      <c r="D4225" s="576">
        <v>0.315</v>
      </c>
      <c r="E4225" s="576">
        <v>78918</v>
      </c>
      <c r="F4225" s="576">
        <v>245918</v>
      </c>
      <c r="G4225" s="576">
        <v>8768</v>
      </c>
      <c r="H4225" s="576">
        <v>13175</v>
      </c>
    </row>
    <row r="4226" spans="1:8">
      <c r="A4226" s="575" t="s">
        <v>640</v>
      </c>
      <c r="B4226" s="575">
        <v>167000</v>
      </c>
      <c r="C4226" s="576">
        <v>24</v>
      </c>
      <c r="D4226" s="576">
        <v>0.315</v>
      </c>
      <c r="E4226" s="576">
        <v>105211</v>
      </c>
      <c r="F4226" s="576">
        <v>272211</v>
      </c>
      <c r="G4226" s="576">
        <v>11691</v>
      </c>
      <c r="H4226" s="576">
        <v>10855</v>
      </c>
    </row>
    <row r="4227" spans="1:8">
      <c r="A4227" s="575" t="s">
        <v>640</v>
      </c>
      <c r="B4227" s="575">
        <v>168000</v>
      </c>
      <c r="C4227" s="576">
        <v>12</v>
      </c>
      <c r="D4227" s="576">
        <v>0.315</v>
      </c>
      <c r="E4227" s="576">
        <v>52921</v>
      </c>
      <c r="F4227" s="576">
        <v>220921</v>
      </c>
      <c r="G4227" s="576">
        <v>5881</v>
      </c>
      <c r="H4227" s="576">
        <v>17920</v>
      </c>
    </row>
    <row r="4228" spans="1:8">
      <c r="A4228" s="575" t="s">
        <v>640</v>
      </c>
      <c r="B4228" s="575">
        <v>168000</v>
      </c>
      <c r="C4228" s="576">
        <v>18</v>
      </c>
      <c r="D4228" s="576">
        <v>0.315</v>
      </c>
      <c r="E4228" s="576">
        <v>79393</v>
      </c>
      <c r="F4228" s="576">
        <v>247393</v>
      </c>
      <c r="G4228" s="576">
        <v>8821</v>
      </c>
      <c r="H4228" s="576">
        <v>13254</v>
      </c>
    </row>
    <row r="4229" spans="1:8">
      <c r="A4229" s="575" t="s">
        <v>640</v>
      </c>
      <c r="B4229" s="575">
        <v>168000</v>
      </c>
      <c r="C4229" s="576">
        <v>24</v>
      </c>
      <c r="D4229" s="576">
        <v>0.315</v>
      </c>
      <c r="E4229" s="576">
        <v>105841</v>
      </c>
      <c r="F4229" s="576">
        <v>273841</v>
      </c>
      <c r="G4229" s="576">
        <v>11761</v>
      </c>
      <c r="H4229" s="576">
        <v>10920</v>
      </c>
    </row>
    <row r="4230" spans="1:8">
      <c r="A4230" s="575" t="s">
        <v>640</v>
      </c>
      <c r="B4230" s="575">
        <v>169000</v>
      </c>
      <c r="C4230" s="576">
        <v>12</v>
      </c>
      <c r="D4230" s="576">
        <v>0.315</v>
      </c>
      <c r="E4230" s="576">
        <v>53240</v>
      </c>
      <c r="F4230" s="576">
        <v>222240</v>
      </c>
      <c r="G4230" s="576">
        <v>5916</v>
      </c>
      <c r="H4230" s="576">
        <v>18027</v>
      </c>
    </row>
    <row r="4231" spans="1:8">
      <c r="A4231" s="575" t="s">
        <v>640</v>
      </c>
      <c r="B4231" s="575">
        <v>169000</v>
      </c>
      <c r="C4231" s="576">
        <v>18</v>
      </c>
      <c r="D4231" s="576">
        <v>0.315</v>
      </c>
      <c r="E4231" s="576">
        <v>79867</v>
      </c>
      <c r="F4231" s="576">
        <v>248867</v>
      </c>
      <c r="G4231" s="576">
        <v>8873</v>
      </c>
      <c r="H4231" s="576">
        <v>13333</v>
      </c>
    </row>
    <row r="4232" spans="1:8">
      <c r="A4232" s="575" t="s">
        <v>640</v>
      </c>
      <c r="B4232" s="575">
        <v>169000</v>
      </c>
      <c r="C4232" s="576">
        <v>24</v>
      </c>
      <c r="D4232" s="576">
        <v>0.315</v>
      </c>
      <c r="E4232" s="576">
        <v>106471</v>
      </c>
      <c r="F4232" s="576">
        <v>275471</v>
      </c>
      <c r="G4232" s="576">
        <v>11831</v>
      </c>
      <c r="H4232" s="576">
        <v>10985</v>
      </c>
    </row>
    <row r="4233" spans="1:8">
      <c r="A4233" s="575" t="s">
        <v>640</v>
      </c>
      <c r="B4233" s="575">
        <v>170000</v>
      </c>
      <c r="C4233" s="576">
        <v>12</v>
      </c>
      <c r="D4233" s="576">
        <v>0.315</v>
      </c>
      <c r="E4233" s="576">
        <v>53559</v>
      </c>
      <c r="F4233" s="576">
        <v>223559</v>
      </c>
      <c r="G4233" s="576">
        <v>5951</v>
      </c>
      <c r="H4233" s="576">
        <v>18134</v>
      </c>
    </row>
    <row r="4234" spans="1:8">
      <c r="A4234" s="575" t="s">
        <v>640</v>
      </c>
      <c r="B4234" s="575">
        <v>170000</v>
      </c>
      <c r="C4234" s="576">
        <v>18</v>
      </c>
      <c r="D4234" s="576">
        <v>0.315</v>
      </c>
      <c r="E4234" s="576">
        <v>80342</v>
      </c>
      <c r="F4234" s="576">
        <v>250342</v>
      </c>
      <c r="G4234" s="576">
        <v>8926</v>
      </c>
      <c r="H4234" s="576">
        <v>13412</v>
      </c>
    </row>
    <row r="4235" spans="1:8">
      <c r="A4235" s="575" t="s">
        <v>640</v>
      </c>
      <c r="B4235" s="575">
        <v>170000</v>
      </c>
      <c r="C4235" s="576">
        <v>24</v>
      </c>
      <c r="D4235" s="576">
        <v>0.315</v>
      </c>
      <c r="E4235" s="576">
        <v>107101</v>
      </c>
      <c r="F4235" s="576">
        <v>277101</v>
      </c>
      <c r="G4235" s="576">
        <v>11901</v>
      </c>
      <c r="H4235" s="576">
        <v>11050</v>
      </c>
    </row>
    <row r="4236" spans="1:8">
      <c r="A4236" s="575" t="s">
        <v>640</v>
      </c>
      <c r="B4236" s="575">
        <v>171000</v>
      </c>
      <c r="C4236" s="576">
        <v>12</v>
      </c>
      <c r="D4236" s="576">
        <v>0.315</v>
      </c>
      <c r="E4236" s="576">
        <v>53866</v>
      </c>
      <c r="F4236" s="576">
        <v>224866</v>
      </c>
      <c r="G4236" s="576">
        <v>5986</v>
      </c>
      <c r="H4236" s="576">
        <v>18240</v>
      </c>
    </row>
    <row r="4237" spans="1:8">
      <c r="A4237" s="575" t="s">
        <v>640</v>
      </c>
      <c r="B4237" s="575">
        <v>171000</v>
      </c>
      <c r="C4237" s="576">
        <v>18</v>
      </c>
      <c r="D4237" s="576">
        <v>0.315</v>
      </c>
      <c r="E4237" s="576">
        <v>80798</v>
      </c>
      <c r="F4237" s="576">
        <v>251798</v>
      </c>
      <c r="G4237" s="576">
        <v>8978</v>
      </c>
      <c r="H4237" s="576">
        <v>13490</v>
      </c>
    </row>
    <row r="4238" spans="1:8">
      <c r="A4238" s="575" t="s">
        <v>640</v>
      </c>
      <c r="B4238" s="575">
        <v>171000</v>
      </c>
      <c r="C4238" s="576">
        <v>24</v>
      </c>
      <c r="D4238" s="576">
        <v>0.315</v>
      </c>
      <c r="E4238" s="576">
        <v>107731</v>
      </c>
      <c r="F4238" s="576">
        <v>278731</v>
      </c>
      <c r="G4238" s="576">
        <v>11971</v>
      </c>
      <c r="H4238" s="576">
        <v>11115</v>
      </c>
    </row>
    <row r="4239" spans="1:8">
      <c r="A4239" s="575" t="s">
        <v>640</v>
      </c>
      <c r="B4239" s="575">
        <v>172000</v>
      </c>
      <c r="C4239" s="576">
        <v>12</v>
      </c>
      <c r="D4239" s="576">
        <v>0.315</v>
      </c>
      <c r="E4239" s="576">
        <v>54185</v>
      </c>
      <c r="F4239" s="576">
        <v>226185</v>
      </c>
      <c r="G4239" s="576">
        <v>6021</v>
      </c>
      <c r="H4239" s="576">
        <v>18347</v>
      </c>
    </row>
    <row r="4240" spans="1:8">
      <c r="A4240" s="575" t="s">
        <v>640</v>
      </c>
      <c r="B4240" s="575">
        <v>172000</v>
      </c>
      <c r="C4240" s="576">
        <v>18</v>
      </c>
      <c r="D4240" s="576">
        <v>0.315</v>
      </c>
      <c r="E4240" s="576">
        <v>81273</v>
      </c>
      <c r="F4240" s="576">
        <v>253273</v>
      </c>
      <c r="G4240" s="576">
        <v>9031</v>
      </c>
      <c r="H4240" s="576">
        <v>13569</v>
      </c>
    </row>
    <row r="4241" spans="1:8">
      <c r="A4241" s="575" t="s">
        <v>640</v>
      </c>
      <c r="B4241" s="575">
        <v>172000</v>
      </c>
      <c r="C4241" s="576">
        <v>24</v>
      </c>
      <c r="D4241" s="576">
        <v>0.315</v>
      </c>
      <c r="E4241" s="576">
        <v>108361</v>
      </c>
      <c r="F4241" s="576">
        <v>280361</v>
      </c>
      <c r="G4241" s="576">
        <v>12041</v>
      </c>
      <c r="H4241" s="576">
        <v>11180</v>
      </c>
    </row>
    <row r="4242" spans="1:8">
      <c r="A4242" s="575" t="s">
        <v>640</v>
      </c>
      <c r="B4242" s="575">
        <v>173000</v>
      </c>
      <c r="C4242" s="576">
        <v>12</v>
      </c>
      <c r="D4242" s="576">
        <v>0.315</v>
      </c>
      <c r="E4242" s="576">
        <v>54504</v>
      </c>
      <c r="F4242" s="576">
        <v>227504</v>
      </c>
      <c r="G4242" s="576">
        <v>6056</v>
      </c>
      <c r="H4242" s="576">
        <v>18454</v>
      </c>
    </row>
    <row r="4243" spans="1:8">
      <c r="A4243" s="575" t="s">
        <v>640</v>
      </c>
      <c r="B4243" s="575">
        <v>173000</v>
      </c>
      <c r="C4243" s="576">
        <v>18</v>
      </c>
      <c r="D4243" s="576">
        <v>0.315</v>
      </c>
      <c r="E4243" s="576">
        <v>81747</v>
      </c>
      <c r="F4243" s="576">
        <v>254747</v>
      </c>
      <c r="G4243" s="576">
        <v>9083</v>
      </c>
      <c r="H4243" s="576">
        <v>13648</v>
      </c>
    </row>
    <row r="4244" spans="1:8">
      <c r="A4244" s="575" t="s">
        <v>640</v>
      </c>
      <c r="B4244" s="575">
        <v>173000</v>
      </c>
      <c r="C4244" s="576">
        <v>24</v>
      </c>
      <c r="D4244" s="576">
        <v>0.315</v>
      </c>
      <c r="E4244" s="576">
        <v>108991</v>
      </c>
      <c r="F4244" s="576">
        <v>281991</v>
      </c>
      <c r="G4244" s="576">
        <v>12111</v>
      </c>
      <c r="H4244" s="576">
        <v>11245</v>
      </c>
    </row>
    <row r="4245" spans="1:8">
      <c r="A4245" s="575" t="s">
        <v>640</v>
      </c>
      <c r="B4245" s="575">
        <v>174000</v>
      </c>
      <c r="C4245" s="576">
        <v>12</v>
      </c>
      <c r="D4245" s="576">
        <v>0.315</v>
      </c>
      <c r="E4245" s="576">
        <v>54811</v>
      </c>
      <c r="F4245" s="576">
        <v>228811</v>
      </c>
      <c r="G4245" s="576">
        <v>6091</v>
      </c>
      <c r="H4245" s="576">
        <v>18560</v>
      </c>
    </row>
    <row r="4246" spans="1:8">
      <c r="A4246" s="575" t="s">
        <v>640</v>
      </c>
      <c r="B4246" s="575">
        <v>174000</v>
      </c>
      <c r="C4246" s="576">
        <v>18</v>
      </c>
      <c r="D4246" s="576">
        <v>0.315</v>
      </c>
      <c r="E4246" s="576">
        <v>82222</v>
      </c>
      <c r="F4246" s="576">
        <v>256222</v>
      </c>
      <c r="G4246" s="576">
        <v>9136</v>
      </c>
      <c r="H4246" s="576">
        <v>13727</v>
      </c>
    </row>
    <row r="4247" spans="1:8">
      <c r="A4247" s="575" t="s">
        <v>640</v>
      </c>
      <c r="B4247" s="575">
        <v>174000</v>
      </c>
      <c r="C4247" s="576">
        <v>24</v>
      </c>
      <c r="D4247" s="576">
        <v>0.315</v>
      </c>
      <c r="E4247" s="576">
        <v>109621</v>
      </c>
      <c r="F4247" s="576">
        <v>283621</v>
      </c>
      <c r="G4247" s="576">
        <v>12181</v>
      </c>
      <c r="H4247" s="576">
        <v>11310</v>
      </c>
    </row>
    <row r="4248" spans="1:8">
      <c r="A4248" s="575" t="s">
        <v>640</v>
      </c>
      <c r="B4248" s="575">
        <v>175000</v>
      </c>
      <c r="C4248" s="576">
        <v>12</v>
      </c>
      <c r="D4248" s="576">
        <v>0.315</v>
      </c>
      <c r="E4248" s="576">
        <v>55130</v>
      </c>
      <c r="F4248" s="576">
        <v>230130</v>
      </c>
      <c r="G4248" s="576">
        <v>6126</v>
      </c>
      <c r="H4248" s="576">
        <v>18667</v>
      </c>
    </row>
    <row r="4249" spans="1:8">
      <c r="A4249" s="575" t="s">
        <v>640</v>
      </c>
      <c r="B4249" s="575">
        <v>175000</v>
      </c>
      <c r="C4249" s="576">
        <v>18</v>
      </c>
      <c r="D4249" s="576">
        <v>0.315</v>
      </c>
      <c r="E4249" s="576">
        <v>82696</v>
      </c>
      <c r="F4249" s="576">
        <v>257696</v>
      </c>
      <c r="G4249" s="576">
        <v>9188</v>
      </c>
      <c r="H4249" s="576">
        <v>13806</v>
      </c>
    </row>
    <row r="4250" spans="1:8">
      <c r="A4250" s="575" t="s">
        <v>640</v>
      </c>
      <c r="B4250" s="575">
        <v>175000</v>
      </c>
      <c r="C4250" s="576">
        <v>24</v>
      </c>
      <c r="D4250" s="576">
        <v>0.315</v>
      </c>
      <c r="E4250" s="576">
        <v>110251</v>
      </c>
      <c r="F4250" s="576">
        <v>285251</v>
      </c>
      <c r="G4250" s="576">
        <v>12251</v>
      </c>
      <c r="H4250" s="576">
        <v>11375</v>
      </c>
    </row>
    <row r="4251" spans="1:8">
      <c r="A4251" s="575" t="s">
        <v>640</v>
      </c>
      <c r="B4251" s="575">
        <v>176000</v>
      </c>
      <c r="C4251" s="576">
        <v>12</v>
      </c>
      <c r="D4251" s="576">
        <v>0.315</v>
      </c>
      <c r="E4251" s="576">
        <v>55449</v>
      </c>
      <c r="F4251" s="576">
        <v>231449</v>
      </c>
      <c r="G4251" s="576">
        <v>6161</v>
      </c>
      <c r="H4251" s="576">
        <v>18774</v>
      </c>
    </row>
    <row r="4252" spans="1:8">
      <c r="A4252" s="575" t="s">
        <v>640</v>
      </c>
      <c r="B4252" s="575">
        <v>176000</v>
      </c>
      <c r="C4252" s="576">
        <v>18</v>
      </c>
      <c r="D4252" s="576">
        <v>0.315</v>
      </c>
      <c r="E4252" s="576">
        <v>83171</v>
      </c>
      <c r="F4252" s="576">
        <v>259171</v>
      </c>
      <c r="G4252" s="576">
        <v>9241</v>
      </c>
      <c r="H4252" s="576">
        <v>13885</v>
      </c>
    </row>
    <row r="4253" spans="1:8">
      <c r="A4253" s="575" t="s">
        <v>640</v>
      </c>
      <c r="B4253" s="575">
        <v>176000</v>
      </c>
      <c r="C4253" s="576">
        <v>24</v>
      </c>
      <c r="D4253" s="576">
        <v>0.315</v>
      </c>
      <c r="E4253" s="576">
        <v>110881</v>
      </c>
      <c r="F4253" s="576">
        <v>286881</v>
      </c>
      <c r="G4253" s="576">
        <v>12321</v>
      </c>
      <c r="H4253" s="576">
        <v>11440</v>
      </c>
    </row>
    <row r="4254" spans="1:8">
      <c r="A4254" s="575" t="s">
        <v>640</v>
      </c>
      <c r="B4254" s="575">
        <v>177000</v>
      </c>
      <c r="C4254" s="576">
        <v>12</v>
      </c>
      <c r="D4254" s="576">
        <v>0.315</v>
      </c>
      <c r="E4254" s="576">
        <v>55756</v>
      </c>
      <c r="F4254" s="576">
        <v>232756</v>
      </c>
      <c r="G4254" s="576">
        <v>6196</v>
      </c>
      <c r="H4254" s="576">
        <v>18880</v>
      </c>
    </row>
    <row r="4255" spans="1:8">
      <c r="A4255" s="575" t="s">
        <v>640</v>
      </c>
      <c r="B4255" s="575">
        <v>177000</v>
      </c>
      <c r="C4255" s="576">
        <v>18</v>
      </c>
      <c r="D4255" s="576">
        <v>0.315</v>
      </c>
      <c r="E4255" s="576">
        <v>83645</v>
      </c>
      <c r="F4255" s="576">
        <v>260645</v>
      </c>
      <c r="G4255" s="576">
        <v>9293</v>
      </c>
      <c r="H4255" s="576">
        <v>13964</v>
      </c>
    </row>
    <row r="4256" spans="1:8">
      <c r="A4256" s="575" t="s">
        <v>640</v>
      </c>
      <c r="B4256" s="575">
        <v>177000</v>
      </c>
      <c r="C4256" s="576">
        <v>24</v>
      </c>
      <c r="D4256" s="576">
        <v>0.315</v>
      </c>
      <c r="E4256" s="576">
        <v>111511</v>
      </c>
      <c r="F4256" s="576">
        <v>288511</v>
      </c>
      <c r="G4256" s="576">
        <v>12391</v>
      </c>
      <c r="H4256" s="576">
        <v>11505</v>
      </c>
    </row>
    <row r="4257" spans="1:8">
      <c r="A4257" s="575" t="s">
        <v>640</v>
      </c>
      <c r="B4257" s="575">
        <v>178000</v>
      </c>
      <c r="C4257" s="576">
        <v>12</v>
      </c>
      <c r="D4257" s="576">
        <v>0.315</v>
      </c>
      <c r="E4257" s="576">
        <v>56075</v>
      </c>
      <c r="F4257" s="576">
        <v>234075</v>
      </c>
      <c r="G4257" s="576">
        <v>6231</v>
      </c>
      <c r="H4257" s="576">
        <v>18987</v>
      </c>
    </row>
    <row r="4258" spans="1:8">
      <c r="A4258" s="575" t="s">
        <v>640</v>
      </c>
      <c r="B4258" s="575">
        <v>178000</v>
      </c>
      <c r="C4258" s="576">
        <v>18</v>
      </c>
      <c r="D4258" s="576">
        <v>0.315</v>
      </c>
      <c r="E4258" s="576">
        <v>84120</v>
      </c>
      <c r="F4258" s="576">
        <v>262120</v>
      </c>
      <c r="G4258" s="576">
        <v>9346</v>
      </c>
      <c r="H4258" s="576">
        <v>14043</v>
      </c>
    </row>
    <row r="4259" spans="1:8">
      <c r="A4259" s="575" t="s">
        <v>640</v>
      </c>
      <c r="B4259" s="575">
        <v>178000</v>
      </c>
      <c r="C4259" s="576">
        <v>24</v>
      </c>
      <c r="D4259" s="576">
        <v>0.315</v>
      </c>
      <c r="E4259" s="576">
        <v>112141</v>
      </c>
      <c r="F4259" s="576">
        <v>290141</v>
      </c>
      <c r="G4259" s="576">
        <v>12461</v>
      </c>
      <c r="H4259" s="576">
        <v>11570</v>
      </c>
    </row>
    <row r="4260" spans="1:8">
      <c r="A4260" s="575" t="s">
        <v>640</v>
      </c>
      <c r="B4260" s="575">
        <v>179000</v>
      </c>
      <c r="C4260" s="576">
        <v>12</v>
      </c>
      <c r="D4260" s="576">
        <v>0.315</v>
      </c>
      <c r="E4260" s="576">
        <v>56394</v>
      </c>
      <c r="F4260" s="576">
        <v>235394</v>
      </c>
      <c r="G4260" s="576">
        <v>6266</v>
      </c>
      <c r="H4260" s="576">
        <v>19094</v>
      </c>
    </row>
    <row r="4261" spans="1:8">
      <c r="A4261" s="575" t="s">
        <v>640</v>
      </c>
      <c r="B4261" s="575">
        <v>179000</v>
      </c>
      <c r="C4261" s="576">
        <v>18</v>
      </c>
      <c r="D4261" s="576">
        <v>0.315</v>
      </c>
      <c r="E4261" s="576">
        <v>84594</v>
      </c>
      <c r="F4261" s="576">
        <v>263594</v>
      </c>
      <c r="G4261" s="576">
        <v>9398</v>
      </c>
      <c r="H4261" s="576">
        <v>14122</v>
      </c>
    </row>
    <row r="4262" spans="1:8">
      <c r="A4262" s="575" t="s">
        <v>640</v>
      </c>
      <c r="B4262" s="575">
        <v>179000</v>
      </c>
      <c r="C4262" s="576">
        <v>24</v>
      </c>
      <c r="D4262" s="576">
        <v>0.315</v>
      </c>
      <c r="E4262" s="576">
        <v>112771</v>
      </c>
      <c r="F4262" s="576">
        <v>291771</v>
      </c>
      <c r="G4262" s="576">
        <v>12531</v>
      </c>
      <c r="H4262" s="576">
        <v>11635</v>
      </c>
    </row>
    <row r="4263" spans="1:8">
      <c r="A4263" s="575" t="s">
        <v>640</v>
      </c>
      <c r="B4263" s="575">
        <v>180000</v>
      </c>
      <c r="C4263" s="576">
        <v>12</v>
      </c>
      <c r="D4263" s="576">
        <v>0.315</v>
      </c>
      <c r="E4263" s="576">
        <v>56701</v>
      </c>
      <c r="F4263" s="576">
        <v>236701</v>
      </c>
      <c r="G4263" s="576">
        <v>6301</v>
      </c>
      <c r="H4263" s="576">
        <v>19200</v>
      </c>
    </row>
    <row r="4264" spans="1:8">
      <c r="A4264" s="575" t="s">
        <v>640</v>
      </c>
      <c r="B4264" s="575">
        <v>180000</v>
      </c>
      <c r="C4264" s="576">
        <v>18</v>
      </c>
      <c r="D4264" s="576">
        <v>0.315</v>
      </c>
      <c r="E4264" s="576">
        <v>85051</v>
      </c>
      <c r="F4264" s="576">
        <v>265051</v>
      </c>
      <c r="G4264" s="576">
        <v>9451</v>
      </c>
      <c r="H4264" s="576">
        <v>14200</v>
      </c>
    </row>
    <row r="4265" spans="1:8">
      <c r="A4265" s="575" t="s">
        <v>640</v>
      </c>
      <c r="B4265" s="575">
        <v>180000</v>
      </c>
      <c r="C4265" s="576">
        <v>24</v>
      </c>
      <c r="D4265" s="576">
        <v>0.315</v>
      </c>
      <c r="E4265" s="576">
        <v>113401</v>
      </c>
      <c r="F4265" s="576">
        <v>293401</v>
      </c>
      <c r="G4265" s="576">
        <v>12601</v>
      </c>
      <c r="H4265" s="576">
        <v>11700</v>
      </c>
    </row>
    <row r="4266" spans="1:8">
      <c r="A4266" s="575" t="s">
        <v>640</v>
      </c>
      <c r="B4266" s="575">
        <v>181000</v>
      </c>
      <c r="C4266" s="576">
        <v>12</v>
      </c>
      <c r="D4266" s="576">
        <v>0.315</v>
      </c>
      <c r="E4266" s="576">
        <v>57020</v>
      </c>
      <c r="F4266" s="576">
        <v>238020</v>
      </c>
      <c r="G4266" s="576">
        <v>6336</v>
      </c>
      <c r="H4266" s="576">
        <v>19307</v>
      </c>
    </row>
    <row r="4267" spans="1:8">
      <c r="A4267" s="575" t="s">
        <v>640</v>
      </c>
      <c r="B4267" s="575">
        <v>181000</v>
      </c>
      <c r="C4267" s="576">
        <v>18</v>
      </c>
      <c r="D4267" s="576">
        <v>0.315</v>
      </c>
      <c r="E4267" s="576">
        <v>85525</v>
      </c>
      <c r="F4267" s="576">
        <v>266525</v>
      </c>
      <c r="G4267" s="576">
        <v>9503</v>
      </c>
      <c r="H4267" s="576">
        <v>14279</v>
      </c>
    </row>
    <row r="4268" spans="1:8">
      <c r="A4268" s="575" t="s">
        <v>640</v>
      </c>
      <c r="B4268" s="575">
        <v>181000</v>
      </c>
      <c r="C4268" s="576">
        <v>24</v>
      </c>
      <c r="D4268" s="576">
        <v>0.315</v>
      </c>
      <c r="E4268" s="576">
        <v>114031</v>
      </c>
      <c r="F4268" s="576">
        <v>295031</v>
      </c>
      <c r="G4268" s="576">
        <v>12671</v>
      </c>
      <c r="H4268" s="576">
        <v>11765</v>
      </c>
    </row>
    <row r="4269" spans="1:8">
      <c r="A4269" s="575" t="s">
        <v>640</v>
      </c>
      <c r="B4269" s="575">
        <v>182000</v>
      </c>
      <c r="C4269" s="576">
        <v>12</v>
      </c>
      <c r="D4269" s="576">
        <v>0.315</v>
      </c>
      <c r="E4269" s="576">
        <v>57339</v>
      </c>
      <c r="F4269" s="576">
        <v>239339</v>
      </c>
      <c r="G4269" s="576">
        <v>6371</v>
      </c>
      <c r="H4269" s="576">
        <v>19414</v>
      </c>
    </row>
    <row r="4270" spans="1:8">
      <c r="A4270" s="575" t="s">
        <v>640</v>
      </c>
      <c r="B4270" s="575">
        <v>182000</v>
      </c>
      <c r="C4270" s="576">
        <v>18</v>
      </c>
      <c r="D4270" s="576">
        <v>0.315</v>
      </c>
      <c r="E4270" s="576">
        <v>86000</v>
      </c>
      <c r="F4270" s="576">
        <v>268000</v>
      </c>
      <c r="G4270" s="576">
        <v>9556</v>
      </c>
      <c r="H4270" s="576">
        <v>14358</v>
      </c>
    </row>
    <row r="4271" spans="1:8">
      <c r="A4271" s="575" t="s">
        <v>640</v>
      </c>
      <c r="B4271" s="575">
        <v>182000</v>
      </c>
      <c r="C4271" s="576">
        <v>24</v>
      </c>
      <c r="D4271" s="576">
        <v>0.315</v>
      </c>
      <c r="E4271" s="576">
        <v>114661</v>
      </c>
      <c r="F4271" s="576">
        <v>296661</v>
      </c>
      <c r="G4271" s="576">
        <v>12741</v>
      </c>
      <c r="H4271" s="576">
        <v>11830</v>
      </c>
    </row>
    <row r="4272" spans="1:8">
      <c r="A4272" s="575" t="s">
        <v>640</v>
      </c>
      <c r="B4272" s="575">
        <v>183000</v>
      </c>
      <c r="C4272" s="576">
        <v>12</v>
      </c>
      <c r="D4272" s="576">
        <v>0.315</v>
      </c>
      <c r="E4272" s="576">
        <v>57646</v>
      </c>
      <c r="F4272" s="576">
        <v>240646</v>
      </c>
      <c r="G4272" s="576">
        <v>6406</v>
      </c>
      <c r="H4272" s="576">
        <v>19520</v>
      </c>
    </row>
    <row r="4273" spans="1:8">
      <c r="A4273" s="575" t="s">
        <v>640</v>
      </c>
      <c r="B4273" s="575">
        <v>183000</v>
      </c>
      <c r="C4273" s="576">
        <v>18</v>
      </c>
      <c r="D4273" s="576">
        <v>0.315</v>
      </c>
      <c r="E4273" s="576">
        <v>86474</v>
      </c>
      <c r="F4273" s="576">
        <v>269474</v>
      </c>
      <c r="G4273" s="576">
        <v>9608</v>
      </c>
      <c r="H4273" s="576">
        <v>14437</v>
      </c>
    </row>
    <row r="4274" spans="1:8">
      <c r="A4274" s="575" t="s">
        <v>640</v>
      </c>
      <c r="B4274" s="575">
        <v>183000</v>
      </c>
      <c r="C4274" s="576">
        <v>24</v>
      </c>
      <c r="D4274" s="576">
        <v>0.315</v>
      </c>
      <c r="E4274" s="576">
        <v>115291</v>
      </c>
      <c r="F4274" s="576">
        <v>298291</v>
      </c>
      <c r="G4274" s="576">
        <v>12811</v>
      </c>
      <c r="H4274" s="576">
        <v>11895</v>
      </c>
    </row>
    <row r="4275" spans="1:8">
      <c r="A4275" s="575" t="s">
        <v>640</v>
      </c>
      <c r="B4275" s="575">
        <v>184000</v>
      </c>
      <c r="C4275" s="576">
        <v>12</v>
      </c>
      <c r="D4275" s="576">
        <v>0.315</v>
      </c>
      <c r="E4275" s="576">
        <v>57965</v>
      </c>
      <c r="F4275" s="576">
        <v>241965</v>
      </c>
      <c r="G4275" s="576">
        <v>6441</v>
      </c>
      <c r="H4275" s="576">
        <v>19627</v>
      </c>
    </row>
    <row r="4276" spans="1:8">
      <c r="A4276" s="575" t="s">
        <v>640</v>
      </c>
      <c r="B4276" s="575">
        <v>184000</v>
      </c>
      <c r="C4276" s="576">
        <v>18</v>
      </c>
      <c r="D4276" s="576">
        <v>0.315</v>
      </c>
      <c r="E4276" s="576">
        <v>86949</v>
      </c>
      <c r="F4276" s="576">
        <v>270949</v>
      </c>
      <c r="G4276" s="576">
        <v>9661</v>
      </c>
      <c r="H4276" s="576">
        <v>14516</v>
      </c>
    </row>
    <row r="4277" spans="1:8">
      <c r="A4277" s="575" t="s">
        <v>640</v>
      </c>
      <c r="B4277" s="575">
        <v>184000</v>
      </c>
      <c r="C4277" s="576">
        <v>24</v>
      </c>
      <c r="D4277" s="576">
        <v>0.315</v>
      </c>
      <c r="E4277" s="576">
        <v>115921</v>
      </c>
      <c r="F4277" s="576">
        <v>299921</v>
      </c>
      <c r="G4277" s="576">
        <v>12881</v>
      </c>
      <c r="H4277" s="576">
        <v>11960</v>
      </c>
    </row>
    <row r="4278" spans="1:8">
      <c r="A4278" s="575" t="s">
        <v>640</v>
      </c>
      <c r="B4278" s="575">
        <v>185000</v>
      </c>
      <c r="C4278" s="576">
        <v>12</v>
      </c>
      <c r="D4278" s="576">
        <v>0.315</v>
      </c>
      <c r="E4278" s="576">
        <v>58284</v>
      </c>
      <c r="F4278" s="576">
        <v>243284</v>
      </c>
      <c r="G4278" s="576">
        <v>6476</v>
      </c>
      <c r="H4278" s="576">
        <v>19734</v>
      </c>
    </row>
    <row r="4279" spans="1:8">
      <c r="A4279" s="575" t="s">
        <v>640</v>
      </c>
      <c r="B4279" s="575">
        <v>185000</v>
      </c>
      <c r="C4279" s="576">
        <v>18</v>
      </c>
      <c r="D4279" s="576">
        <v>0.315</v>
      </c>
      <c r="E4279" s="576">
        <v>87423</v>
      </c>
      <c r="F4279" s="576">
        <v>272423</v>
      </c>
      <c r="G4279" s="576">
        <v>9713</v>
      </c>
      <c r="H4279" s="576">
        <v>14595</v>
      </c>
    </row>
    <row r="4280" spans="1:8">
      <c r="A4280" s="575" t="s">
        <v>640</v>
      </c>
      <c r="B4280" s="575">
        <v>185000</v>
      </c>
      <c r="C4280" s="576">
        <v>24</v>
      </c>
      <c r="D4280" s="576">
        <v>0.315</v>
      </c>
      <c r="E4280" s="576">
        <v>116551</v>
      </c>
      <c r="F4280" s="576">
        <v>301551</v>
      </c>
      <c r="G4280" s="576">
        <v>12951</v>
      </c>
      <c r="H4280" s="576">
        <v>12025</v>
      </c>
    </row>
    <row r="4281" spans="1:8">
      <c r="A4281" s="575" t="s">
        <v>640</v>
      </c>
      <c r="B4281" s="575">
        <v>186000</v>
      </c>
      <c r="C4281" s="576">
        <v>12</v>
      </c>
      <c r="D4281" s="576">
        <v>0.315</v>
      </c>
      <c r="E4281" s="576">
        <v>58591</v>
      </c>
      <c r="F4281" s="576">
        <v>244591</v>
      </c>
      <c r="G4281" s="576">
        <v>6511</v>
      </c>
      <c r="H4281" s="576">
        <v>19840</v>
      </c>
    </row>
    <row r="4282" spans="1:8">
      <c r="A4282" s="575" t="s">
        <v>640</v>
      </c>
      <c r="B4282" s="575">
        <v>186000</v>
      </c>
      <c r="C4282" s="576">
        <v>18</v>
      </c>
      <c r="D4282" s="576">
        <v>0.315</v>
      </c>
      <c r="E4282" s="576">
        <v>87898</v>
      </c>
      <c r="F4282" s="576">
        <v>273898</v>
      </c>
      <c r="G4282" s="576">
        <v>9766</v>
      </c>
      <c r="H4282" s="576">
        <v>14674</v>
      </c>
    </row>
    <row r="4283" spans="1:8">
      <c r="A4283" s="575" t="s">
        <v>640</v>
      </c>
      <c r="B4283" s="575">
        <v>186000</v>
      </c>
      <c r="C4283" s="576">
        <v>24</v>
      </c>
      <c r="D4283" s="576">
        <v>0.315</v>
      </c>
      <c r="E4283" s="576">
        <v>117181</v>
      </c>
      <c r="F4283" s="576">
        <v>303181</v>
      </c>
      <c r="G4283" s="576">
        <v>13021</v>
      </c>
      <c r="H4283" s="576">
        <v>12090</v>
      </c>
    </row>
    <row r="4284" spans="1:8">
      <c r="A4284" s="575" t="s">
        <v>640</v>
      </c>
      <c r="B4284" s="575">
        <v>187000</v>
      </c>
      <c r="C4284" s="576">
        <v>12</v>
      </c>
      <c r="D4284" s="576">
        <v>0.315</v>
      </c>
      <c r="E4284" s="576">
        <v>58910</v>
      </c>
      <c r="F4284" s="576">
        <v>245910</v>
      </c>
      <c r="G4284" s="576">
        <v>6546</v>
      </c>
      <c r="H4284" s="576">
        <v>19947</v>
      </c>
    </row>
    <row r="4285" spans="1:8">
      <c r="A4285" s="575" t="s">
        <v>640</v>
      </c>
      <c r="B4285" s="575">
        <v>187000</v>
      </c>
      <c r="C4285" s="576">
        <v>18</v>
      </c>
      <c r="D4285" s="576">
        <v>0.315</v>
      </c>
      <c r="E4285" s="576">
        <v>88372</v>
      </c>
      <c r="F4285" s="576">
        <v>275372</v>
      </c>
      <c r="G4285" s="576">
        <v>9818</v>
      </c>
      <c r="H4285" s="576">
        <v>14753</v>
      </c>
    </row>
    <row r="4286" spans="1:8">
      <c r="A4286" s="575" t="s">
        <v>640</v>
      </c>
      <c r="B4286" s="575">
        <v>187000</v>
      </c>
      <c r="C4286" s="576">
        <v>24</v>
      </c>
      <c r="D4286" s="576">
        <v>0.315</v>
      </c>
      <c r="E4286" s="576">
        <v>117811</v>
      </c>
      <c r="F4286" s="576">
        <v>304811</v>
      </c>
      <c r="G4286" s="576">
        <v>13091</v>
      </c>
      <c r="H4286" s="576">
        <v>12155</v>
      </c>
    </row>
    <row r="4287" spans="1:8">
      <c r="A4287" s="575" t="s">
        <v>640</v>
      </c>
      <c r="B4287" s="575">
        <v>188000</v>
      </c>
      <c r="C4287" s="576">
        <v>12</v>
      </c>
      <c r="D4287" s="576">
        <v>0.315</v>
      </c>
      <c r="E4287" s="576">
        <v>59229</v>
      </c>
      <c r="F4287" s="576">
        <v>247229</v>
      </c>
      <c r="G4287" s="576">
        <v>6581</v>
      </c>
      <c r="H4287" s="576">
        <v>20054</v>
      </c>
    </row>
    <row r="4288" spans="1:8">
      <c r="A4288" s="575" t="s">
        <v>640</v>
      </c>
      <c r="B4288" s="575">
        <v>188000</v>
      </c>
      <c r="C4288" s="576">
        <v>18</v>
      </c>
      <c r="D4288" s="576">
        <v>0.315</v>
      </c>
      <c r="E4288" s="576">
        <v>88847</v>
      </c>
      <c r="F4288" s="576">
        <v>276847</v>
      </c>
      <c r="G4288" s="576">
        <v>9871</v>
      </c>
      <c r="H4288" s="576">
        <v>14832</v>
      </c>
    </row>
    <row r="4289" spans="1:8">
      <c r="A4289" s="575" t="s">
        <v>640</v>
      </c>
      <c r="B4289" s="575">
        <v>188000</v>
      </c>
      <c r="C4289" s="576">
        <v>24</v>
      </c>
      <c r="D4289" s="576">
        <v>0.315</v>
      </c>
      <c r="E4289" s="576">
        <v>118441</v>
      </c>
      <c r="F4289" s="576">
        <v>306441</v>
      </c>
      <c r="G4289" s="576">
        <v>13161</v>
      </c>
      <c r="H4289" s="576">
        <v>12220</v>
      </c>
    </row>
    <row r="4290" spans="1:8">
      <c r="A4290" s="575" t="s">
        <v>640</v>
      </c>
      <c r="B4290" s="575">
        <v>189000</v>
      </c>
      <c r="C4290" s="576">
        <v>12</v>
      </c>
      <c r="D4290" s="576">
        <v>0.315</v>
      </c>
      <c r="E4290" s="576">
        <v>59536</v>
      </c>
      <c r="F4290" s="576">
        <v>248536</v>
      </c>
      <c r="G4290" s="576">
        <v>6616</v>
      </c>
      <c r="H4290" s="576">
        <v>20160</v>
      </c>
    </row>
    <row r="4291" spans="1:8">
      <c r="A4291" s="575" t="s">
        <v>640</v>
      </c>
      <c r="B4291" s="575">
        <v>189000</v>
      </c>
      <c r="C4291" s="576">
        <v>18</v>
      </c>
      <c r="D4291" s="576">
        <v>0.315</v>
      </c>
      <c r="E4291" s="576">
        <v>89303</v>
      </c>
      <c r="F4291" s="576">
        <v>278303</v>
      </c>
      <c r="G4291" s="576">
        <v>9923</v>
      </c>
      <c r="H4291" s="576">
        <v>14910</v>
      </c>
    </row>
    <row r="4292" spans="1:8">
      <c r="A4292" s="575" t="s">
        <v>640</v>
      </c>
      <c r="B4292" s="575">
        <v>189000</v>
      </c>
      <c r="C4292" s="576">
        <v>24</v>
      </c>
      <c r="D4292" s="576">
        <v>0.315</v>
      </c>
      <c r="E4292" s="576">
        <v>119071</v>
      </c>
      <c r="F4292" s="576">
        <v>308071</v>
      </c>
      <c r="G4292" s="576">
        <v>13231</v>
      </c>
      <c r="H4292" s="576">
        <v>12285</v>
      </c>
    </row>
    <row r="4293" spans="1:8">
      <c r="A4293" s="575" t="s">
        <v>640</v>
      </c>
      <c r="B4293" s="575">
        <v>190000</v>
      </c>
      <c r="C4293" s="576">
        <v>12</v>
      </c>
      <c r="D4293" s="576">
        <v>0.315</v>
      </c>
      <c r="E4293" s="576">
        <v>59855</v>
      </c>
      <c r="F4293" s="576">
        <v>249855</v>
      </c>
      <c r="G4293" s="576">
        <v>6651</v>
      </c>
      <c r="H4293" s="576">
        <v>20267</v>
      </c>
    </row>
    <row r="4294" spans="1:8">
      <c r="A4294" s="575" t="s">
        <v>640</v>
      </c>
      <c r="B4294" s="575">
        <v>190000</v>
      </c>
      <c r="C4294" s="576">
        <v>18</v>
      </c>
      <c r="D4294" s="576">
        <v>0.315</v>
      </c>
      <c r="E4294" s="576">
        <v>89778</v>
      </c>
      <c r="F4294" s="576">
        <v>279778</v>
      </c>
      <c r="G4294" s="576">
        <v>9976</v>
      </c>
      <c r="H4294" s="576">
        <v>14989</v>
      </c>
    </row>
    <row r="4295" spans="1:8">
      <c r="A4295" s="575" t="s">
        <v>640</v>
      </c>
      <c r="B4295" s="575">
        <v>190000</v>
      </c>
      <c r="C4295" s="576">
        <v>24</v>
      </c>
      <c r="D4295" s="576">
        <v>0.315</v>
      </c>
      <c r="E4295" s="576">
        <v>119701</v>
      </c>
      <c r="F4295" s="576">
        <v>309701</v>
      </c>
      <c r="G4295" s="576">
        <v>13301</v>
      </c>
      <c r="H4295" s="576">
        <v>12350</v>
      </c>
    </row>
    <row r="4296" spans="1:8">
      <c r="A4296" s="575" t="s">
        <v>640</v>
      </c>
      <c r="B4296" s="575">
        <v>191000</v>
      </c>
      <c r="C4296" s="576">
        <v>12</v>
      </c>
      <c r="D4296" s="576">
        <v>0.315</v>
      </c>
      <c r="E4296" s="576">
        <v>60174</v>
      </c>
      <c r="F4296" s="576">
        <v>251174</v>
      </c>
      <c r="G4296" s="576">
        <v>6686</v>
      </c>
      <c r="H4296" s="576">
        <v>20374</v>
      </c>
    </row>
    <row r="4297" spans="1:8">
      <c r="A4297" s="575" t="s">
        <v>640</v>
      </c>
      <c r="B4297" s="575">
        <v>191000</v>
      </c>
      <c r="C4297" s="576">
        <v>18</v>
      </c>
      <c r="D4297" s="576">
        <v>0.315</v>
      </c>
      <c r="E4297" s="576">
        <v>90252</v>
      </c>
      <c r="F4297" s="576">
        <v>281252</v>
      </c>
      <c r="G4297" s="576">
        <v>10028</v>
      </c>
      <c r="H4297" s="576">
        <v>15068</v>
      </c>
    </row>
    <row r="4298" spans="1:8">
      <c r="A4298" s="575" t="s">
        <v>640</v>
      </c>
      <c r="B4298" s="575">
        <v>191000</v>
      </c>
      <c r="C4298" s="576">
        <v>24</v>
      </c>
      <c r="D4298" s="576">
        <v>0.315</v>
      </c>
      <c r="E4298" s="576">
        <v>120331</v>
      </c>
      <c r="F4298" s="576">
        <v>311331</v>
      </c>
      <c r="G4298" s="576">
        <v>13371</v>
      </c>
      <c r="H4298" s="576">
        <v>12415</v>
      </c>
    </row>
    <row r="4299" spans="1:8">
      <c r="A4299" s="575" t="s">
        <v>640</v>
      </c>
      <c r="B4299" s="575">
        <v>192000</v>
      </c>
      <c r="C4299" s="576">
        <v>12</v>
      </c>
      <c r="D4299" s="576">
        <v>0.315</v>
      </c>
      <c r="E4299" s="576">
        <v>60481</v>
      </c>
      <c r="F4299" s="576">
        <v>252481</v>
      </c>
      <c r="G4299" s="576">
        <v>6721</v>
      </c>
      <c r="H4299" s="576">
        <v>20480</v>
      </c>
    </row>
    <row r="4300" spans="1:8">
      <c r="A4300" s="575" t="s">
        <v>640</v>
      </c>
      <c r="B4300" s="575">
        <v>192000</v>
      </c>
      <c r="C4300" s="576">
        <v>18</v>
      </c>
      <c r="D4300" s="576">
        <v>0.315</v>
      </c>
      <c r="E4300" s="576">
        <v>90727</v>
      </c>
      <c r="F4300" s="576">
        <v>282727</v>
      </c>
      <c r="G4300" s="576">
        <v>10081</v>
      </c>
      <c r="H4300" s="576">
        <v>15147</v>
      </c>
    </row>
    <row r="4301" spans="1:8">
      <c r="A4301" s="575" t="s">
        <v>640</v>
      </c>
      <c r="B4301" s="575">
        <v>192000</v>
      </c>
      <c r="C4301" s="576">
        <v>24</v>
      </c>
      <c r="D4301" s="576">
        <v>0.315</v>
      </c>
      <c r="E4301" s="576">
        <v>120961</v>
      </c>
      <c r="F4301" s="576">
        <v>312961</v>
      </c>
      <c r="G4301" s="576">
        <v>13441</v>
      </c>
      <c r="H4301" s="576">
        <v>12480</v>
      </c>
    </row>
    <row r="4302" spans="1:8">
      <c r="A4302" s="575" t="s">
        <v>640</v>
      </c>
      <c r="B4302" s="575">
        <v>193000</v>
      </c>
      <c r="C4302" s="576">
        <v>12</v>
      </c>
      <c r="D4302" s="576">
        <v>0.315</v>
      </c>
      <c r="E4302" s="576">
        <v>60800</v>
      </c>
      <c r="F4302" s="576">
        <v>253800</v>
      </c>
      <c r="G4302" s="576">
        <v>6756</v>
      </c>
      <c r="H4302" s="576">
        <v>20587</v>
      </c>
    </row>
    <row r="4303" spans="1:8">
      <c r="A4303" s="575" t="s">
        <v>640</v>
      </c>
      <c r="B4303" s="575">
        <v>193000</v>
      </c>
      <c r="C4303" s="576">
        <v>18</v>
      </c>
      <c r="D4303" s="576">
        <v>0.315</v>
      </c>
      <c r="E4303" s="576">
        <v>91201</v>
      </c>
      <c r="F4303" s="576">
        <v>284201</v>
      </c>
      <c r="G4303" s="576">
        <v>10133</v>
      </c>
      <c r="H4303" s="576">
        <v>15226</v>
      </c>
    </row>
    <row r="4304" spans="1:8">
      <c r="A4304" s="575" t="s">
        <v>640</v>
      </c>
      <c r="B4304" s="575">
        <v>193000</v>
      </c>
      <c r="C4304" s="576">
        <v>24</v>
      </c>
      <c r="D4304" s="576">
        <v>0.315</v>
      </c>
      <c r="E4304" s="576">
        <v>121591</v>
      </c>
      <c r="F4304" s="576">
        <v>314591</v>
      </c>
      <c r="G4304" s="576">
        <v>13511</v>
      </c>
      <c r="H4304" s="576">
        <v>12545</v>
      </c>
    </row>
    <row r="4305" spans="1:8">
      <c r="A4305" s="575" t="s">
        <v>640</v>
      </c>
      <c r="B4305" s="575">
        <v>194000</v>
      </c>
      <c r="C4305" s="576">
        <v>12</v>
      </c>
      <c r="D4305" s="576">
        <v>0.315</v>
      </c>
      <c r="E4305" s="576">
        <v>61119</v>
      </c>
      <c r="F4305" s="576">
        <v>255119</v>
      </c>
      <c r="G4305" s="576">
        <v>6791</v>
      </c>
      <c r="H4305" s="576">
        <v>20694</v>
      </c>
    </row>
    <row r="4306" spans="1:8">
      <c r="A4306" s="575" t="s">
        <v>640</v>
      </c>
      <c r="B4306" s="575">
        <v>194000</v>
      </c>
      <c r="C4306" s="576">
        <v>18</v>
      </c>
      <c r="D4306" s="576">
        <v>0.315</v>
      </c>
      <c r="E4306" s="576">
        <v>91676</v>
      </c>
      <c r="F4306" s="576">
        <v>285676</v>
      </c>
      <c r="G4306" s="576">
        <v>10186</v>
      </c>
      <c r="H4306" s="576">
        <v>15305</v>
      </c>
    </row>
    <row r="4307" spans="1:8">
      <c r="A4307" s="575" t="s">
        <v>640</v>
      </c>
      <c r="B4307" s="575">
        <v>194000</v>
      </c>
      <c r="C4307" s="576">
        <v>24</v>
      </c>
      <c r="D4307" s="576">
        <v>0.315</v>
      </c>
      <c r="E4307" s="576">
        <v>122221</v>
      </c>
      <c r="F4307" s="576">
        <v>316221</v>
      </c>
      <c r="G4307" s="576">
        <v>13581</v>
      </c>
      <c r="H4307" s="576">
        <v>12610</v>
      </c>
    </row>
    <row r="4308" spans="1:8">
      <c r="A4308" s="575" t="s">
        <v>640</v>
      </c>
      <c r="B4308" s="575">
        <v>195000</v>
      </c>
      <c r="C4308" s="576">
        <v>12</v>
      </c>
      <c r="D4308" s="576">
        <v>0.315</v>
      </c>
      <c r="E4308" s="576">
        <v>61426</v>
      </c>
      <c r="F4308" s="576">
        <v>256426</v>
      </c>
      <c r="G4308" s="576">
        <v>6826</v>
      </c>
      <c r="H4308" s="576">
        <v>20800</v>
      </c>
    </row>
    <row r="4309" spans="1:8">
      <c r="A4309" s="575" t="s">
        <v>640</v>
      </c>
      <c r="B4309" s="575">
        <v>195000</v>
      </c>
      <c r="C4309" s="576">
        <v>18</v>
      </c>
      <c r="D4309" s="576">
        <v>0.315</v>
      </c>
      <c r="E4309" s="576">
        <v>92150</v>
      </c>
      <c r="F4309" s="576">
        <v>287150</v>
      </c>
      <c r="G4309" s="576">
        <v>10238</v>
      </c>
      <c r="H4309" s="576">
        <v>15384</v>
      </c>
    </row>
    <row r="4310" spans="1:8">
      <c r="A4310" s="575" t="s">
        <v>640</v>
      </c>
      <c r="B4310" s="575">
        <v>195000</v>
      </c>
      <c r="C4310" s="576">
        <v>24</v>
      </c>
      <c r="D4310" s="576">
        <v>0.315</v>
      </c>
      <c r="E4310" s="576">
        <v>122851</v>
      </c>
      <c r="F4310" s="576">
        <v>317851</v>
      </c>
      <c r="G4310" s="576">
        <v>13651</v>
      </c>
      <c r="H4310" s="576">
        <v>12675</v>
      </c>
    </row>
    <row r="4311" spans="1:8">
      <c r="A4311" s="575" t="s">
        <v>640</v>
      </c>
      <c r="B4311" s="575">
        <v>196000</v>
      </c>
      <c r="C4311" s="576">
        <v>12</v>
      </c>
      <c r="D4311" s="576">
        <v>0.315</v>
      </c>
      <c r="E4311" s="576">
        <v>61745</v>
      </c>
      <c r="F4311" s="576">
        <v>257745</v>
      </c>
      <c r="G4311" s="576">
        <v>6861</v>
      </c>
      <c r="H4311" s="576">
        <v>20907</v>
      </c>
    </row>
    <row r="4312" spans="1:8">
      <c r="A4312" s="575" t="s">
        <v>640</v>
      </c>
      <c r="B4312" s="575">
        <v>196000</v>
      </c>
      <c r="C4312" s="576">
        <v>18</v>
      </c>
      <c r="D4312" s="576">
        <v>0.315</v>
      </c>
      <c r="E4312" s="576">
        <v>92625</v>
      </c>
      <c r="F4312" s="576">
        <v>288625</v>
      </c>
      <c r="G4312" s="576">
        <v>10291</v>
      </c>
      <c r="H4312" s="576">
        <v>15463</v>
      </c>
    </row>
    <row r="4313" spans="1:8">
      <c r="A4313" s="575" t="s">
        <v>640</v>
      </c>
      <c r="B4313" s="575">
        <v>196000</v>
      </c>
      <c r="C4313" s="576">
        <v>24</v>
      </c>
      <c r="D4313" s="576">
        <v>0.315</v>
      </c>
      <c r="E4313" s="576">
        <v>123481</v>
      </c>
      <c r="F4313" s="576">
        <v>319481</v>
      </c>
      <c r="G4313" s="576">
        <v>13721</v>
      </c>
      <c r="H4313" s="576">
        <v>12740</v>
      </c>
    </row>
    <row r="4314" spans="1:8">
      <c r="A4314" s="575" t="s">
        <v>640</v>
      </c>
      <c r="B4314" s="575">
        <v>197000</v>
      </c>
      <c r="C4314" s="576">
        <v>12</v>
      </c>
      <c r="D4314" s="576">
        <v>0.315</v>
      </c>
      <c r="E4314" s="576">
        <v>62064</v>
      </c>
      <c r="F4314" s="576">
        <v>259064</v>
      </c>
      <c r="G4314" s="576">
        <v>6896</v>
      </c>
      <c r="H4314" s="576">
        <v>21014</v>
      </c>
    </row>
    <row r="4315" spans="1:8">
      <c r="A4315" s="575" t="s">
        <v>640</v>
      </c>
      <c r="B4315" s="575">
        <v>197000</v>
      </c>
      <c r="C4315" s="576">
        <v>18</v>
      </c>
      <c r="D4315" s="576">
        <v>0.315</v>
      </c>
      <c r="E4315" s="576">
        <v>93099</v>
      </c>
      <c r="F4315" s="576">
        <v>290099</v>
      </c>
      <c r="G4315" s="576">
        <v>10343</v>
      </c>
      <c r="H4315" s="576">
        <v>15542</v>
      </c>
    </row>
    <row r="4316" spans="1:8">
      <c r="A4316" s="575" t="s">
        <v>640</v>
      </c>
      <c r="B4316" s="575">
        <v>197000</v>
      </c>
      <c r="C4316" s="576">
        <v>24</v>
      </c>
      <c r="D4316" s="576">
        <v>0.315</v>
      </c>
      <c r="E4316" s="576">
        <v>124111</v>
      </c>
      <c r="F4316" s="576">
        <v>321111</v>
      </c>
      <c r="G4316" s="576">
        <v>13791</v>
      </c>
      <c r="H4316" s="576">
        <v>12805</v>
      </c>
    </row>
    <row r="4317" spans="1:8">
      <c r="A4317" s="575" t="s">
        <v>640</v>
      </c>
      <c r="B4317" s="575">
        <v>198000</v>
      </c>
      <c r="C4317" s="576">
        <v>12</v>
      </c>
      <c r="D4317" s="576">
        <v>0.315</v>
      </c>
      <c r="E4317" s="576">
        <v>62371</v>
      </c>
      <c r="F4317" s="576">
        <v>260371</v>
      </c>
      <c r="G4317" s="576">
        <v>6931</v>
      </c>
      <c r="H4317" s="576">
        <v>21120</v>
      </c>
    </row>
    <row r="4318" spans="1:8">
      <c r="A4318" s="575" t="s">
        <v>640</v>
      </c>
      <c r="B4318" s="575">
        <v>198000</v>
      </c>
      <c r="C4318" s="576">
        <v>18</v>
      </c>
      <c r="D4318" s="576">
        <v>0.315</v>
      </c>
      <c r="E4318" s="576">
        <v>93556</v>
      </c>
      <c r="F4318" s="576">
        <v>291556</v>
      </c>
      <c r="G4318" s="576">
        <v>10396</v>
      </c>
      <c r="H4318" s="576">
        <v>15620</v>
      </c>
    </row>
    <row r="4319" spans="1:8">
      <c r="A4319" s="575" t="s">
        <v>640</v>
      </c>
      <c r="B4319" s="575">
        <v>198000</v>
      </c>
      <c r="C4319" s="576">
        <v>24</v>
      </c>
      <c r="D4319" s="576">
        <v>0.315</v>
      </c>
      <c r="E4319" s="576">
        <v>124741</v>
      </c>
      <c r="F4319" s="576">
        <v>322741</v>
      </c>
      <c r="G4319" s="576">
        <v>13861</v>
      </c>
      <c r="H4319" s="576">
        <v>12870</v>
      </c>
    </row>
    <row r="4320" spans="1:8">
      <c r="A4320" s="575" t="s">
        <v>640</v>
      </c>
      <c r="B4320" s="575">
        <v>199000</v>
      </c>
      <c r="C4320" s="576">
        <v>12</v>
      </c>
      <c r="D4320" s="576">
        <v>0.315</v>
      </c>
      <c r="E4320" s="576">
        <v>62690</v>
      </c>
      <c r="F4320" s="576">
        <v>261690</v>
      </c>
      <c r="G4320" s="576">
        <v>6966</v>
      </c>
      <c r="H4320" s="576">
        <v>21227</v>
      </c>
    </row>
    <row r="4321" spans="1:8">
      <c r="A4321" s="575" t="s">
        <v>640</v>
      </c>
      <c r="B4321" s="575">
        <v>199000</v>
      </c>
      <c r="C4321" s="576">
        <v>18</v>
      </c>
      <c r="D4321" s="576">
        <v>0.315</v>
      </c>
      <c r="E4321" s="576">
        <v>94030</v>
      </c>
      <c r="F4321" s="576">
        <v>293030</v>
      </c>
      <c r="G4321" s="576">
        <v>10448</v>
      </c>
      <c r="H4321" s="576">
        <v>15699</v>
      </c>
    </row>
    <row r="4322" spans="1:8">
      <c r="A4322" s="575" t="s">
        <v>640</v>
      </c>
      <c r="B4322" s="575">
        <v>199000</v>
      </c>
      <c r="C4322" s="576">
        <v>24</v>
      </c>
      <c r="D4322" s="576">
        <v>0.315</v>
      </c>
      <c r="E4322" s="576">
        <v>125371</v>
      </c>
      <c r="F4322" s="576">
        <v>324371</v>
      </c>
      <c r="G4322" s="576">
        <v>13931</v>
      </c>
      <c r="H4322" s="576">
        <v>12935</v>
      </c>
    </row>
    <row r="4323" spans="1:8">
      <c r="A4323" s="575" t="s">
        <v>640</v>
      </c>
      <c r="B4323" s="575">
        <v>200000</v>
      </c>
      <c r="C4323" s="576">
        <v>12</v>
      </c>
      <c r="D4323" s="576">
        <v>0.315</v>
      </c>
      <c r="E4323" s="576">
        <v>63009</v>
      </c>
      <c r="F4323" s="576">
        <v>263009</v>
      </c>
      <c r="G4323" s="576">
        <v>7001</v>
      </c>
      <c r="H4323" s="576">
        <v>21334</v>
      </c>
    </row>
    <row r="4324" spans="1:8">
      <c r="A4324" s="575" t="s">
        <v>640</v>
      </c>
      <c r="B4324" s="575">
        <v>200000</v>
      </c>
      <c r="C4324" s="576">
        <v>18</v>
      </c>
      <c r="D4324" s="576">
        <v>0.315</v>
      </c>
      <c r="E4324" s="576">
        <v>94505</v>
      </c>
      <c r="F4324" s="576">
        <v>294505</v>
      </c>
      <c r="G4324" s="576">
        <v>10501</v>
      </c>
      <c r="H4324" s="576">
        <v>15778</v>
      </c>
    </row>
    <row r="4325" spans="1:8">
      <c r="A4325" s="575" t="s">
        <v>640</v>
      </c>
      <c r="B4325" s="575">
        <v>200000</v>
      </c>
      <c r="C4325" s="576">
        <v>24</v>
      </c>
      <c r="D4325" s="576">
        <v>0.315</v>
      </c>
      <c r="E4325" s="576">
        <v>126001</v>
      </c>
      <c r="F4325" s="576">
        <v>326001</v>
      </c>
      <c r="G4325" s="576">
        <v>14001</v>
      </c>
      <c r="H4325" s="576">
        <v>13000</v>
      </c>
    </row>
    <row r="4326" spans="1:8">
      <c r="A4326" s="575" t="s">
        <v>640</v>
      </c>
      <c r="B4326" s="575">
        <v>201000</v>
      </c>
      <c r="C4326" s="576">
        <v>12</v>
      </c>
      <c r="D4326" s="576">
        <v>0.315</v>
      </c>
      <c r="E4326" s="576">
        <v>63316</v>
      </c>
      <c r="F4326" s="576">
        <v>264316</v>
      </c>
      <c r="G4326" s="576">
        <v>7036</v>
      </c>
      <c r="H4326" s="576">
        <v>21440</v>
      </c>
    </row>
    <row r="4327" spans="1:8">
      <c r="A4327" s="575" t="s">
        <v>640</v>
      </c>
      <c r="B4327" s="575">
        <v>201000</v>
      </c>
      <c r="C4327" s="576">
        <v>18</v>
      </c>
      <c r="D4327" s="576">
        <v>0.315</v>
      </c>
      <c r="E4327" s="576">
        <v>94979</v>
      </c>
      <c r="F4327" s="576">
        <v>295979</v>
      </c>
      <c r="G4327" s="576">
        <v>10553</v>
      </c>
      <c r="H4327" s="576">
        <v>15857</v>
      </c>
    </row>
    <row r="4328" spans="1:8">
      <c r="A4328" s="575" t="s">
        <v>640</v>
      </c>
      <c r="B4328" s="575">
        <v>201000</v>
      </c>
      <c r="C4328" s="576">
        <v>24</v>
      </c>
      <c r="D4328" s="576">
        <v>0.315</v>
      </c>
      <c r="E4328" s="576">
        <v>126631</v>
      </c>
      <c r="F4328" s="576">
        <v>327631</v>
      </c>
      <c r="G4328" s="576">
        <v>14071</v>
      </c>
      <c r="H4328" s="576">
        <v>13065</v>
      </c>
    </row>
    <row r="4329" spans="1:8">
      <c r="A4329" s="575" t="s">
        <v>640</v>
      </c>
      <c r="B4329" s="575">
        <v>202000</v>
      </c>
      <c r="C4329" s="576">
        <v>12</v>
      </c>
      <c r="D4329" s="576">
        <v>0.315</v>
      </c>
      <c r="E4329" s="576">
        <v>63635</v>
      </c>
      <c r="F4329" s="576">
        <v>265635</v>
      </c>
      <c r="G4329" s="576">
        <v>7071</v>
      </c>
      <c r="H4329" s="576">
        <v>21547</v>
      </c>
    </row>
    <row r="4330" spans="1:8">
      <c r="A4330" s="575" t="s">
        <v>640</v>
      </c>
      <c r="B4330" s="575">
        <v>202000</v>
      </c>
      <c r="C4330" s="576">
        <v>18</v>
      </c>
      <c r="D4330" s="576">
        <v>0.315</v>
      </c>
      <c r="E4330" s="576">
        <v>95454</v>
      </c>
      <c r="F4330" s="576">
        <v>297454</v>
      </c>
      <c r="G4330" s="576">
        <v>10606</v>
      </c>
      <c r="H4330" s="576">
        <v>15936</v>
      </c>
    </row>
    <row r="4331" spans="1:8">
      <c r="A4331" s="575" t="s">
        <v>640</v>
      </c>
      <c r="B4331" s="575">
        <v>202000</v>
      </c>
      <c r="C4331" s="576">
        <v>24</v>
      </c>
      <c r="D4331" s="576">
        <v>0.315</v>
      </c>
      <c r="E4331" s="576">
        <v>127261</v>
      </c>
      <c r="F4331" s="576">
        <v>329261</v>
      </c>
      <c r="G4331" s="576">
        <v>14141</v>
      </c>
      <c r="H4331" s="576">
        <v>13130</v>
      </c>
    </row>
    <row r="4332" spans="1:8">
      <c r="A4332" s="575" t="s">
        <v>640</v>
      </c>
      <c r="B4332" s="575">
        <v>203000</v>
      </c>
      <c r="C4332" s="576">
        <v>12</v>
      </c>
      <c r="D4332" s="576">
        <v>0.315</v>
      </c>
      <c r="E4332" s="576">
        <v>63954</v>
      </c>
      <c r="F4332" s="576">
        <v>266954</v>
      </c>
      <c r="G4332" s="576">
        <v>7106</v>
      </c>
      <c r="H4332" s="576">
        <v>21654</v>
      </c>
    </row>
    <row r="4333" spans="1:8">
      <c r="A4333" s="575" t="s">
        <v>640</v>
      </c>
      <c r="B4333" s="575">
        <v>203000</v>
      </c>
      <c r="C4333" s="576">
        <v>18</v>
      </c>
      <c r="D4333" s="576">
        <v>0.315</v>
      </c>
      <c r="E4333" s="576">
        <v>95928</v>
      </c>
      <c r="F4333" s="576">
        <v>298928</v>
      </c>
      <c r="G4333" s="576">
        <v>10658</v>
      </c>
      <c r="H4333" s="576">
        <v>16015</v>
      </c>
    </row>
    <row r="4334" spans="1:8">
      <c r="A4334" s="575" t="s">
        <v>640</v>
      </c>
      <c r="B4334" s="575">
        <v>203000</v>
      </c>
      <c r="C4334" s="576">
        <v>24</v>
      </c>
      <c r="D4334" s="576">
        <v>0.315</v>
      </c>
      <c r="E4334" s="576">
        <v>127891</v>
      </c>
      <c r="F4334" s="576">
        <v>330891</v>
      </c>
      <c r="G4334" s="576">
        <v>14211</v>
      </c>
      <c r="H4334" s="576">
        <v>13195</v>
      </c>
    </row>
    <row r="4335" spans="1:8">
      <c r="A4335" s="575" t="s">
        <v>640</v>
      </c>
      <c r="B4335" s="575">
        <v>204000</v>
      </c>
      <c r="C4335" s="576">
        <v>12</v>
      </c>
      <c r="D4335" s="576">
        <v>0.315</v>
      </c>
      <c r="E4335" s="576">
        <v>64261</v>
      </c>
      <c r="F4335" s="576">
        <v>268261</v>
      </c>
      <c r="G4335" s="576">
        <v>7141</v>
      </c>
      <c r="H4335" s="576">
        <v>21760</v>
      </c>
    </row>
    <row r="4336" spans="1:8">
      <c r="A4336" s="575" t="s">
        <v>640</v>
      </c>
      <c r="B4336" s="575">
        <v>204000</v>
      </c>
      <c r="C4336" s="576">
        <v>18</v>
      </c>
      <c r="D4336" s="576">
        <v>0.315</v>
      </c>
      <c r="E4336" s="576">
        <v>96403</v>
      </c>
      <c r="F4336" s="576">
        <v>300403</v>
      </c>
      <c r="G4336" s="576">
        <v>10711</v>
      </c>
      <c r="H4336" s="576">
        <v>16094</v>
      </c>
    </row>
    <row r="4337" spans="1:8">
      <c r="A4337" s="575" t="s">
        <v>640</v>
      </c>
      <c r="B4337" s="575">
        <v>204000</v>
      </c>
      <c r="C4337" s="576">
        <v>24</v>
      </c>
      <c r="D4337" s="576">
        <v>0.315</v>
      </c>
      <c r="E4337" s="576">
        <v>128521</v>
      </c>
      <c r="F4337" s="576">
        <v>332521</v>
      </c>
      <c r="G4337" s="576">
        <v>14281</v>
      </c>
      <c r="H4337" s="576">
        <v>13260</v>
      </c>
    </row>
    <row r="4338" spans="1:8">
      <c r="A4338" s="575" t="s">
        <v>640</v>
      </c>
      <c r="B4338" s="575">
        <v>205000</v>
      </c>
      <c r="C4338" s="576">
        <v>12</v>
      </c>
      <c r="D4338" s="576">
        <v>0.315</v>
      </c>
      <c r="E4338" s="576">
        <v>64580</v>
      </c>
      <c r="F4338" s="576">
        <v>269580</v>
      </c>
      <c r="G4338" s="576">
        <v>7176</v>
      </c>
      <c r="H4338" s="576">
        <v>21867</v>
      </c>
    </row>
    <row r="4339" spans="1:8">
      <c r="A4339" s="575" t="s">
        <v>640</v>
      </c>
      <c r="B4339" s="575">
        <v>205000</v>
      </c>
      <c r="C4339" s="576">
        <v>18</v>
      </c>
      <c r="D4339" s="576">
        <v>0.315</v>
      </c>
      <c r="E4339" s="576">
        <v>96877</v>
      </c>
      <c r="F4339" s="576">
        <v>301877</v>
      </c>
      <c r="G4339" s="576">
        <v>10763</v>
      </c>
      <c r="H4339" s="576">
        <v>16173</v>
      </c>
    </row>
    <row r="4340" spans="1:8">
      <c r="A4340" s="575" t="s">
        <v>640</v>
      </c>
      <c r="B4340" s="575">
        <v>205000</v>
      </c>
      <c r="C4340" s="576">
        <v>24</v>
      </c>
      <c r="D4340" s="576">
        <v>0.315</v>
      </c>
      <c r="E4340" s="576">
        <v>129151</v>
      </c>
      <c r="F4340" s="576">
        <v>334151</v>
      </c>
      <c r="G4340" s="576">
        <v>14351</v>
      </c>
      <c r="H4340" s="576">
        <v>13325</v>
      </c>
    </row>
    <row r="4341" spans="1:8">
      <c r="A4341" s="575" t="s">
        <v>640</v>
      </c>
      <c r="B4341" s="575">
        <v>206000</v>
      </c>
      <c r="C4341" s="576">
        <v>12</v>
      </c>
      <c r="D4341" s="576">
        <v>0.315</v>
      </c>
      <c r="E4341" s="576">
        <v>64899</v>
      </c>
      <c r="F4341" s="576">
        <v>270899</v>
      </c>
      <c r="G4341" s="576">
        <v>7211</v>
      </c>
      <c r="H4341" s="576">
        <v>21974</v>
      </c>
    </row>
    <row r="4342" spans="1:8">
      <c r="A4342" s="575" t="s">
        <v>640</v>
      </c>
      <c r="B4342" s="575">
        <v>206000</v>
      </c>
      <c r="C4342" s="576">
        <v>18</v>
      </c>
      <c r="D4342" s="576">
        <v>0.315</v>
      </c>
      <c r="E4342" s="576">
        <v>97352</v>
      </c>
      <c r="F4342" s="576">
        <v>303352</v>
      </c>
      <c r="G4342" s="576">
        <v>10816</v>
      </c>
      <c r="H4342" s="576">
        <v>16252</v>
      </c>
    </row>
    <row r="4343" spans="1:8">
      <c r="A4343" s="575" t="s">
        <v>640</v>
      </c>
      <c r="B4343" s="575">
        <v>206000</v>
      </c>
      <c r="C4343" s="576">
        <v>24</v>
      </c>
      <c r="D4343" s="576">
        <v>0.315</v>
      </c>
      <c r="E4343" s="576">
        <v>129781</v>
      </c>
      <c r="F4343" s="576">
        <v>335781</v>
      </c>
      <c r="G4343" s="576">
        <v>14421</v>
      </c>
      <c r="H4343" s="576">
        <v>13390</v>
      </c>
    </row>
    <row r="4344" spans="1:8">
      <c r="A4344" s="575" t="s">
        <v>640</v>
      </c>
      <c r="B4344" s="575">
        <v>207000</v>
      </c>
      <c r="C4344" s="576">
        <v>12</v>
      </c>
      <c r="D4344" s="576">
        <v>0.315</v>
      </c>
      <c r="E4344" s="576">
        <v>65206</v>
      </c>
      <c r="F4344" s="576">
        <v>272206</v>
      </c>
      <c r="G4344" s="576">
        <v>7246</v>
      </c>
      <c r="H4344" s="576">
        <v>22080</v>
      </c>
    </row>
    <row r="4345" spans="1:8">
      <c r="A4345" s="575" t="s">
        <v>640</v>
      </c>
      <c r="B4345" s="575">
        <v>207000</v>
      </c>
      <c r="C4345" s="576">
        <v>18</v>
      </c>
      <c r="D4345" s="576">
        <v>0.315</v>
      </c>
      <c r="E4345" s="576">
        <v>97808</v>
      </c>
      <c r="F4345" s="576">
        <v>304808</v>
      </c>
      <c r="G4345" s="576">
        <v>10868</v>
      </c>
      <c r="H4345" s="576">
        <v>16330</v>
      </c>
    </row>
    <row r="4346" spans="1:8">
      <c r="A4346" s="575" t="s">
        <v>640</v>
      </c>
      <c r="B4346" s="575">
        <v>207000</v>
      </c>
      <c r="C4346" s="576">
        <v>24</v>
      </c>
      <c r="D4346" s="576">
        <v>0.315</v>
      </c>
      <c r="E4346" s="576">
        <v>130411</v>
      </c>
      <c r="F4346" s="576">
        <v>337411</v>
      </c>
      <c r="G4346" s="576">
        <v>14491</v>
      </c>
      <c r="H4346" s="576">
        <v>13455</v>
      </c>
    </row>
    <row r="4347" spans="1:8">
      <c r="A4347" s="575" t="s">
        <v>640</v>
      </c>
      <c r="B4347" s="575">
        <v>208000</v>
      </c>
      <c r="C4347" s="576">
        <v>12</v>
      </c>
      <c r="D4347" s="576">
        <v>0.315</v>
      </c>
      <c r="E4347" s="576">
        <v>65525</v>
      </c>
      <c r="F4347" s="576">
        <v>273525</v>
      </c>
      <c r="G4347" s="576">
        <v>7281</v>
      </c>
      <c r="H4347" s="576">
        <v>22187</v>
      </c>
    </row>
    <row r="4348" spans="1:8">
      <c r="A4348" s="575" t="s">
        <v>640</v>
      </c>
      <c r="B4348" s="575">
        <v>208000</v>
      </c>
      <c r="C4348" s="576">
        <v>18</v>
      </c>
      <c r="D4348" s="576">
        <v>0.315</v>
      </c>
      <c r="E4348" s="576">
        <v>98283</v>
      </c>
      <c r="F4348" s="576">
        <v>306283</v>
      </c>
      <c r="G4348" s="576">
        <v>10921</v>
      </c>
      <c r="H4348" s="576">
        <v>16409</v>
      </c>
    </row>
    <row r="4349" spans="1:8">
      <c r="A4349" s="575" t="s">
        <v>640</v>
      </c>
      <c r="B4349" s="575">
        <v>208000</v>
      </c>
      <c r="C4349" s="576">
        <v>24</v>
      </c>
      <c r="D4349" s="576">
        <v>0.315</v>
      </c>
      <c r="E4349" s="576">
        <v>131041</v>
      </c>
      <c r="F4349" s="576">
        <v>339041</v>
      </c>
      <c r="G4349" s="576">
        <v>14561</v>
      </c>
      <c r="H4349" s="576">
        <v>13520</v>
      </c>
    </row>
    <row r="4350" spans="1:8">
      <c r="A4350" s="575" t="s">
        <v>640</v>
      </c>
      <c r="B4350" s="575">
        <v>209000</v>
      </c>
      <c r="C4350" s="576">
        <v>12</v>
      </c>
      <c r="D4350" s="576">
        <v>0.315</v>
      </c>
      <c r="E4350" s="576">
        <v>65844</v>
      </c>
      <c r="F4350" s="576">
        <v>274844</v>
      </c>
      <c r="G4350" s="576">
        <v>7316</v>
      </c>
      <c r="H4350" s="576">
        <v>22294</v>
      </c>
    </row>
    <row r="4351" spans="1:8">
      <c r="A4351" s="575" t="s">
        <v>640</v>
      </c>
      <c r="B4351" s="575">
        <v>209000</v>
      </c>
      <c r="C4351" s="576">
        <v>18</v>
      </c>
      <c r="D4351" s="576">
        <v>0.315</v>
      </c>
      <c r="E4351" s="576">
        <v>98757</v>
      </c>
      <c r="F4351" s="576">
        <v>307757</v>
      </c>
      <c r="G4351" s="576">
        <v>10973</v>
      </c>
      <c r="H4351" s="576">
        <v>16488</v>
      </c>
    </row>
    <row r="4352" spans="1:8">
      <c r="A4352" s="575" t="s">
        <v>640</v>
      </c>
      <c r="B4352" s="575">
        <v>209000</v>
      </c>
      <c r="C4352" s="576">
        <v>24</v>
      </c>
      <c r="D4352" s="576">
        <v>0.315</v>
      </c>
      <c r="E4352" s="576">
        <v>131671</v>
      </c>
      <c r="F4352" s="576">
        <v>340671</v>
      </c>
      <c r="G4352" s="576">
        <v>14631</v>
      </c>
      <c r="H4352" s="576">
        <v>13585</v>
      </c>
    </row>
    <row r="4353" spans="1:8">
      <c r="A4353" s="575" t="s">
        <v>640</v>
      </c>
      <c r="B4353" s="575">
        <v>210000</v>
      </c>
      <c r="C4353" s="576">
        <v>12</v>
      </c>
      <c r="D4353" s="576">
        <v>0.315</v>
      </c>
      <c r="E4353" s="576">
        <v>66151</v>
      </c>
      <c r="F4353" s="576">
        <v>276151</v>
      </c>
      <c r="G4353" s="576">
        <v>7351</v>
      </c>
      <c r="H4353" s="576">
        <v>22400</v>
      </c>
    </row>
    <row r="4354" spans="1:8">
      <c r="A4354" s="575" t="s">
        <v>640</v>
      </c>
      <c r="B4354" s="575">
        <v>210000</v>
      </c>
      <c r="C4354" s="576">
        <v>18</v>
      </c>
      <c r="D4354" s="576">
        <v>0.315</v>
      </c>
      <c r="E4354" s="576">
        <v>99232</v>
      </c>
      <c r="F4354" s="576">
        <v>309232</v>
      </c>
      <c r="G4354" s="576">
        <v>11026</v>
      </c>
      <c r="H4354" s="576">
        <v>16567</v>
      </c>
    </row>
    <row r="4355" spans="1:8">
      <c r="A4355" s="575" t="s">
        <v>640</v>
      </c>
      <c r="B4355" s="575">
        <v>210000</v>
      </c>
      <c r="C4355" s="576">
        <v>24</v>
      </c>
      <c r="D4355" s="576">
        <v>0.315</v>
      </c>
      <c r="E4355" s="576">
        <v>132301</v>
      </c>
      <c r="F4355" s="576">
        <v>342301</v>
      </c>
      <c r="G4355" s="576">
        <v>14701</v>
      </c>
      <c r="H4355" s="576">
        <v>13650</v>
      </c>
    </row>
    <row r="4356" spans="1:8">
      <c r="A4356" s="575" t="s">
        <v>640</v>
      </c>
      <c r="B4356" s="575">
        <v>211000</v>
      </c>
      <c r="C4356" s="576">
        <v>12</v>
      </c>
      <c r="D4356" s="576">
        <v>0.315</v>
      </c>
      <c r="E4356" s="576">
        <v>66470</v>
      </c>
      <c r="F4356" s="576">
        <v>277470</v>
      </c>
      <c r="G4356" s="576">
        <v>7386</v>
      </c>
      <c r="H4356" s="576">
        <v>22507</v>
      </c>
    </row>
    <row r="4357" spans="1:8">
      <c r="A4357" s="575" t="s">
        <v>640</v>
      </c>
      <c r="B4357" s="575">
        <v>211000</v>
      </c>
      <c r="C4357" s="576">
        <v>18</v>
      </c>
      <c r="D4357" s="576">
        <v>0.315</v>
      </c>
      <c r="E4357" s="576">
        <v>99706</v>
      </c>
      <c r="F4357" s="576">
        <v>310706</v>
      </c>
      <c r="G4357" s="576">
        <v>11078</v>
      </c>
      <c r="H4357" s="576">
        <v>16646</v>
      </c>
    </row>
    <row r="4358" spans="1:8">
      <c r="A4358" s="575" t="s">
        <v>640</v>
      </c>
      <c r="B4358" s="575">
        <v>211000</v>
      </c>
      <c r="C4358" s="576">
        <v>24</v>
      </c>
      <c r="D4358" s="576">
        <v>0.315</v>
      </c>
      <c r="E4358" s="576">
        <v>132931</v>
      </c>
      <c r="F4358" s="576">
        <v>343931</v>
      </c>
      <c r="G4358" s="576">
        <v>14771</v>
      </c>
      <c r="H4358" s="576">
        <v>13715</v>
      </c>
    </row>
    <row r="4359" spans="1:8">
      <c r="A4359" s="575" t="s">
        <v>640</v>
      </c>
      <c r="B4359" s="575">
        <v>212000</v>
      </c>
      <c r="C4359" s="576">
        <v>12</v>
      </c>
      <c r="D4359" s="576">
        <v>0.315</v>
      </c>
      <c r="E4359" s="576">
        <v>66789</v>
      </c>
      <c r="F4359" s="576">
        <v>278789</v>
      </c>
      <c r="G4359" s="576">
        <v>7421</v>
      </c>
      <c r="H4359" s="576">
        <v>22614</v>
      </c>
    </row>
    <row r="4360" spans="1:8">
      <c r="A4360" s="575" t="s">
        <v>640</v>
      </c>
      <c r="B4360" s="575">
        <v>212000</v>
      </c>
      <c r="C4360" s="576">
        <v>18</v>
      </c>
      <c r="D4360" s="576">
        <v>0.315</v>
      </c>
      <c r="E4360" s="576">
        <v>100181</v>
      </c>
      <c r="F4360" s="576">
        <v>312181</v>
      </c>
      <c r="G4360" s="576">
        <v>11131</v>
      </c>
      <c r="H4360" s="576">
        <v>16725</v>
      </c>
    </row>
    <row r="4361" spans="1:8">
      <c r="A4361" s="575" t="s">
        <v>640</v>
      </c>
      <c r="B4361" s="575">
        <v>212000</v>
      </c>
      <c r="C4361" s="576">
        <v>24</v>
      </c>
      <c r="D4361" s="576">
        <v>0.315</v>
      </c>
      <c r="E4361" s="576">
        <v>133561</v>
      </c>
      <c r="F4361" s="576">
        <v>345561</v>
      </c>
      <c r="G4361" s="576">
        <v>14841</v>
      </c>
      <c r="H4361" s="576">
        <v>13780</v>
      </c>
    </row>
    <row r="4362" spans="1:8">
      <c r="A4362" s="575" t="s">
        <v>640</v>
      </c>
      <c r="B4362" s="575">
        <v>213000</v>
      </c>
      <c r="C4362" s="576">
        <v>12</v>
      </c>
      <c r="D4362" s="576">
        <v>0.315</v>
      </c>
      <c r="E4362" s="576">
        <v>67096</v>
      </c>
      <c r="F4362" s="576">
        <v>280096</v>
      </c>
      <c r="G4362" s="576">
        <v>7456</v>
      </c>
      <c r="H4362" s="576">
        <v>22720</v>
      </c>
    </row>
    <row r="4363" spans="1:8">
      <c r="A4363" s="575" t="s">
        <v>640</v>
      </c>
      <c r="B4363" s="575">
        <v>213000</v>
      </c>
      <c r="C4363" s="576">
        <v>18</v>
      </c>
      <c r="D4363" s="576">
        <v>0.315</v>
      </c>
      <c r="E4363" s="576">
        <v>100655</v>
      </c>
      <c r="F4363" s="576">
        <v>313655</v>
      </c>
      <c r="G4363" s="576">
        <v>11183</v>
      </c>
      <c r="H4363" s="576">
        <v>16804</v>
      </c>
    </row>
    <row r="4364" spans="1:8">
      <c r="A4364" s="575" t="s">
        <v>640</v>
      </c>
      <c r="B4364" s="575">
        <v>213000</v>
      </c>
      <c r="C4364" s="576">
        <v>24</v>
      </c>
      <c r="D4364" s="576">
        <v>0.315</v>
      </c>
      <c r="E4364" s="576">
        <v>134191</v>
      </c>
      <c r="F4364" s="576">
        <v>347191</v>
      </c>
      <c r="G4364" s="576">
        <v>14911</v>
      </c>
      <c r="H4364" s="576">
        <v>13845</v>
      </c>
    </row>
    <row r="4365" spans="1:8">
      <c r="A4365" s="575" t="s">
        <v>640</v>
      </c>
      <c r="B4365" s="575">
        <v>214000</v>
      </c>
      <c r="C4365" s="576">
        <v>12</v>
      </c>
      <c r="D4365" s="576">
        <v>0.315</v>
      </c>
      <c r="E4365" s="576">
        <v>67415</v>
      </c>
      <c r="F4365" s="576">
        <v>281415</v>
      </c>
      <c r="G4365" s="576">
        <v>7491</v>
      </c>
      <c r="H4365" s="576">
        <v>22827</v>
      </c>
    </row>
    <row r="4366" spans="1:8">
      <c r="A4366" s="575" t="s">
        <v>640</v>
      </c>
      <c r="B4366" s="575">
        <v>214000</v>
      </c>
      <c r="C4366" s="576">
        <v>18</v>
      </c>
      <c r="D4366" s="576">
        <v>0.315</v>
      </c>
      <c r="E4366" s="576">
        <v>101130</v>
      </c>
      <c r="F4366" s="576">
        <v>315130</v>
      </c>
      <c r="G4366" s="576">
        <v>11236</v>
      </c>
      <c r="H4366" s="576">
        <v>16883</v>
      </c>
    </row>
    <row r="4367" spans="1:8">
      <c r="A4367" s="575" t="s">
        <v>640</v>
      </c>
      <c r="B4367" s="575">
        <v>214000</v>
      </c>
      <c r="C4367" s="576">
        <v>24</v>
      </c>
      <c r="D4367" s="576">
        <v>0.315</v>
      </c>
      <c r="E4367" s="576">
        <v>134821</v>
      </c>
      <c r="F4367" s="576">
        <v>348821</v>
      </c>
      <c r="G4367" s="576">
        <v>14981</v>
      </c>
      <c r="H4367" s="576">
        <v>13910</v>
      </c>
    </row>
    <row r="4368" spans="1:8">
      <c r="A4368" s="575" t="s">
        <v>640</v>
      </c>
      <c r="B4368" s="575">
        <v>215000</v>
      </c>
      <c r="C4368" s="576">
        <v>12</v>
      </c>
      <c r="D4368" s="576">
        <v>0.315</v>
      </c>
      <c r="E4368" s="576">
        <v>67734</v>
      </c>
      <c r="F4368" s="576">
        <v>282734</v>
      </c>
      <c r="G4368" s="576">
        <v>7526</v>
      </c>
      <c r="H4368" s="576">
        <v>22934</v>
      </c>
    </row>
    <row r="4369" spans="1:8">
      <c r="A4369" s="575" t="s">
        <v>640</v>
      </c>
      <c r="B4369" s="575">
        <v>215000</v>
      </c>
      <c r="C4369" s="576">
        <v>18</v>
      </c>
      <c r="D4369" s="576">
        <v>0.315</v>
      </c>
      <c r="E4369" s="576">
        <v>101604</v>
      </c>
      <c r="F4369" s="576">
        <v>316604</v>
      </c>
      <c r="G4369" s="576">
        <v>11288</v>
      </c>
      <c r="H4369" s="576">
        <v>16962</v>
      </c>
    </row>
    <row r="4370" spans="1:8">
      <c r="A4370" s="575" t="s">
        <v>640</v>
      </c>
      <c r="B4370" s="575">
        <v>215000</v>
      </c>
      <c r="C4370" s="576">
        <v>24</v>
      </c>
      <c r="D4370" s="576">
        <v>0.315</v>
      </c>
      <c r="E4370" s="576">
        <v>135451</v>
      </c>
      <c r="F4370" s="576">
        <v>350451</v>
      </c>
      <c r="G4370" s="576">
        <v>15051</v>
      </c>
      <c r="H4370" s="576">
        <v>13975</v>
      </c>
    </row>
    <row r="4371" spans="1:8">
      <c r="A4371" s="575" t="s">
        <v>640</v>
      </c>
      <c r="B4371" s="575">
        <v>216000</v>
      </c>
      <c r="C4371" s="576">
        <v>12</v>
      </c>
      <c r="D4371" s="576">
        <v>0.315</v>
      </c>
      <c r="E4371" s="576">
        <v>68041</v>
      </c>
      <c r="F4371" s="576">
        <v>284041</v>
      </c>
      <c r="G4371" s="576">
        <v>7561</v>
      </c>
      <c r="H4371" s="576">
        <v>23040</v>
      </c>
    </row>
    <row r="4372" spans="1:8">
      <c r="A4372" s="575" t="s">
        <v>640</v>
      </c>
      <c r="B4372" s="575">
        <v>216000</v>
      </c>
      <c r="C4372" s="576">
        <v>18</v>
      </c>
      <c r="D4372" s="576">
        <v>0.315</v>
      </c>
      <c r="E4372" s="576">
        <v>102061</v>
      </c>
      <c r="F4372" s="576">
        <v>318061</v>
      </c>
      <c r="G4372" s="576">
        <v>11341</v>
      </c>
      <c r="H4372" s="576">
        <v>17040</v>
      </c>
    </row>
    <row r="4373" spans="1:8">
      <c r="A4373" s="575" t="s">
        <v>640</v>
      </c>
      <c r="B4373" s="575">
        <v>216000</v>
      </c>
      <c r="C4373" s="576">
        <v>24</v>
      </c>
      <c r="D4373" s="576">
        <v>0.315</v>
      </c>
      <c r="E4373" s="576">
        <v>136081</v>
      </c>
      <c r="F4373" s="576">
        <v>352081</v>
      </c>
      <c r="G4373" s="576">
        <v>15121</v>
      </c>
      <c r="H4373" s="576">
        <v>14040</v>
      </c>
    </row>
    <row r="4374" spans="1:8">
      <c r="A4374" s="575" t="s">
        <v>640</v>
      </c>
      <c r="B4374" s="575">
        <v>217000</v>
      </c>
      <c r="C4374" s="576">
        <v>12</v>
      </c>
      <c r="D4374" s="576">
        <v>0.315</v>
      </c>
      <c r="E4374" s="576">
        <v>68360</v>
      </c>
      <c r="F4374" s="576">
        <v>285360</v>
      </c>
      <c r="G4374" s="576">
        <v>7596</v>
      </c>
      <c r="H4374" s="576">
        <v>23147</v>
      </c>
    </row>
    <row r="4375" spans="1:8">
      <c r="A4375" s="575" t="s">
        <v>640</v>
      </c>
      <c r="B4375" s="575">
        <v>217000</v>
      </c>
      <c r="C4375" s="576">
        <v>18</v>
      </c>
      <c r="D4375" s="576">
        <v>0.315</v>
      </c>
      <c r="E4375" s="576">
        <v>102535</v>
      </c>
      <c r="F4375" s="576">
        <v>319535</v>
      </c>
      <c r="G4375" s="576">
        <v>11393</v>
      </c>
      <c r="H4375" s="576">
        <v>17119</v>
      </c>
    </row>
    <row r="4376" spans="1:8">
      <c r="A4376" s="575" t="s">
        <v>640</v>
      </c>
      <c r="B4376" s="575">
        <v>217000</v>
      </c>
      <c r="C4376" s="576">
        <v>24</v>
      </c>
      <c r="D4376" s="576">
        <v>0.315</v>
      </c>
      <c r="E4376" s="576">
        <v>136711</v>
      </c>
      <c r="F4376" s="576">
        <v>353711</v>
      </c>
      <c r="G4376" s="576">
        <v>15191</v>
      </c>
      <c r="H4376" s="576">
        <v>14105</v>
      </c>
    </row>
    <row r="4377" spans="1:8">
      <c r="A4377" s="575" t="s">
        <v>640</v>
      </c>
      <c r="B4377" s="575">
        <v>218000</v>
      </c>
      <c r="C4377" s="576">
        <v>12</v>
      </c>
      <c r="D4377" s="576">
        <v>0.315</v>
      </c>
      <c r="E4377" s="576">
        <v>68679</v>
      </c>
      <c r="F4377" s="576">
        <v>286679</v>
      </c>
      <c r="G4377" s="576">
        <v>7631</v>
      </c>
      <c r="H4377" s="576">
        <v>23254</v>
      </c>
    </row>
    <row r="4378" spans="1:8">
      <c r="A4378" s="575" t="s">
        <v>640</v>
      </c>
      <c r="B4378" s="575">
        <v>218000</v>
      </c>
      <c r="C4378" s="576">
        <v>18</v>
      </c>
      <c r="D4378" s="576">
        <v>0.315</v>
      </c>
      <c r="E4378" s="576">
        <v>103010</v>
      </c>
      <c r="F4378" s="576">
        <v>321010</v>
      </c>
      <c r="G4378" s="576">
        <v>11446</v>
      </c>
      <c r="H4378" s="576">
        <v>17198</v>
      </c>
    </row>
    <row r="4379" spans="1:8">
      <c r="A4379" s="575" t="s">
        <v>640</v>
      </c>
      <c r="B4379" s="575">
        <v>218000</v>
      </c>
      <c r="C4379" s="576">
        <v>24</v>
      </c>
      <c r="D4379" s="576">
        <v>0.315</v>
      </c>
      <c r="E4379" s="576">
        <v>137341</v>
      </c>
      <c r="F4379" s="576">
        <v>355341</v>
      </c>
      <c r="G4379" s="576">
        <v>15261</v>
      </c>
      <c r="H4379" s="576">
        <v>14170</v>
      </c>
    </row>
    <row r="4380" spans="1:8">
      <c r="A4380" s="575" t="s">
        <v>640</v>
      </c>
      <c r="B4380" s="575">
        <v>219000</v>
      </c>
      <c r="C4380" s="576">
        <v>12</v>
      </c>
      <c r="D4380" s="576">
        <v>0.315</v>
      </c>
      <c r="E4380" s="576">
        <v>68986</v>
      </c>
      <c r="F4380" s="576">
        <v>287986</v>
      </c>
      <c r="G4380" s="576">
        <v>7666</v>
      </c>
      <c r="H4380" s="576">
        <v>23360</v>
      </c>
    </row>
    <row r="4381" spans="1:8">
      <c r="A4381" s="575" t="s">
        <v>640</v>
      </c>
      <c r="B4381" s="575">
        <v>219000</v>
      </c>
      <c r="C4381" s="576">
        <v>18</v>
      </c>
      <c r="D4381" s="576">
        <v>0.315</v>
      </c>
      <c r="E4381" s="576">
        <v>103484</v>
      </c>
      <c r="F4381" s="576">
        <v>322484</v>
      </c>
      <c r="G4381" s="576">
        <v>11498</v>
      </c>
      <c r="H4381" s="576">
        <v>17277</v>
      </c>
    </row>
    <row r="4382" spans="1:8">
      <c r="A4382" s="575" t="s">
        <v>640</v>
      </c>
      <c r="B4382" s="575">
        <v>219000</v>
      </c>
      <c r="C4382" s="576">
        <v>24</v>
      </c>
      <c r="D4382" s="576">
        <v>0.315</v>
      </c>
      <c r="E4382" s="576">
        <v>137971</v>
      </c>
      <c r="F4382" s="576">
        <v>356971</v>
      </c>
      <c r="G4382" s="576">
        <v>15331</v>
      </c>
      <c r="H4382" s="576">
        <v>14235</v>
      </c>
    </row>
    <row r="4383" spans="1:8">
      <c r="A4383" s="575" t="s">
        <v>640</v>
      </c>
      <c r="B4383" s="575">
        <v>220000</v>
      </c>
      <c r="C4383" s="576">
        <v>12</v>
      </c>
      <c r="D4383" s="576">
        <v>0.315</v>
      </c>
      <c r="E4383" s="576">
        <v>69305</v>
      </c>
      <c r="F4383" s="576">
        <v>289305</v>
      </c>
      <c r="G4383" s="576">
        <v>7701</v>
      </c>
      <c r="H4383" s="576">
        <v>23467</v>
      </c>
    </row>
    <row r="4384" spans="1:8">
      <c r="A4384" s="575" t="s">
        <v>640</v>
      </c>
      <c r="B4384" s="575">
        <v>220000</v>
      </c>
      <c r="C4384" s="576">
        <v>18</v>
      </c>
      <c r="D4384" s="576">
        <v>0.315</v>
      </c>
      <c r="E4384" s="576">
        <v>103959</v>
      </c>
      <c r="F4384" s="576">
        <v>323959</v>
      </c>
      <c r="G4384" s="576">
        <v>11551</v>
      </c>
      <c r="H4384" s="576">
        <v>17356</v>
      </c>
    </row>
    <row r="4385" spans="1:8">
      <c r="A4385" s="575" t="s">
        <v>640</v>
      </c>
      <c r="B4385" s="575">
        <v>220000</v>
      </c>
      <c r="C4385" s="576">
        <v>24</v>
      </c>
      <c r="D4385" s="576">
        <v>0.315</v>
      </c>
      <c r="E4385" s="576">
        <v>138601</v>
      </c>
      <c r="F4385" s="576">
        <v>358601</v>
      </c>
      <c r="G4385" s="576">
        <v>15401</v>
      </c>
      <c r="H4385" s="576">
        <v>14300</v>
      </c>
    </row>
    <row r="4386" spans="1:8">
      <c r="A4386" s="575" t="s">
        <v>640</v>
      </c>
      <c r="B4386" s="575">
        <v>221000</v>
      </c>
      <c r="C4386" s="576">
        <v>12</v>
      </c>
      <c r="D4386" s="576">
        <v>0.315</v>
      </c>
      <c r="E4386" s="576">
        <v>69624</v>
      </c>
      <c r="F4386" s="576">
        <v>290624</v>
      </c>
      <c r="G4386" s="576">
        <v>7736</v>
      </c>
      <c r="H4386" s="576">
        <v>23574</v>
      </c>
    </row>
    <row r="4387" spans="1:8">
      <c r="A4387" s="575" t="s">
        <v>640</v>
      </c>
      <c r="B4387" s="575">
        <v>221000</v>
      </c>
      <c r="C4387" s="576">
        <v>18</v>
      </c>
      <c r="D4387" s="576">
        <v>0.315</v>
      </c>
      <c r="E4387" s="576">
        <v>104433</v>
      </c>
      <c r="F4387" s="576">
        <v>325433</v>
      </c>
      <c r="G4387" s="576">
        <v>11603</v>
      </c>
      <c r="H4387" s="576">
        <v>17435</v>
      </c>
    </row>
    <row r="4388" spans="1:8">
      <c r="A4388" s="575" t="s">
        <v>640</v>
      </c>
      <c r="B4388" s="575">
        <v>221000</v>
      </c>
      <c r="C4388" s="576">
        <v>24</v>
      </c>
      <c r="D4388" s="576">
        <v>0.315</v>
      </c>
      <c r="E4388" s="576">
        <v>139231</v>
      </c>
      <c r="F4388" s="576">
        <v>360231</v>
      </c>
      <c r="G4388" s="576">
        <v>15471</v>
      </c>
      <c r="H4388" s="576">
        <v>14365</v>
      </c>
    </row>
    <row r="4389" spans="1:8">
      <c r="A4389" s="575" t="s">
        <v>640</v>
      </c>
      <c r="B4389" s="575">
        <v>222000</v>
      </c>
      <c r="C4389" s="576">
        <v>12</v>
      </c>
      <c r="D4389" s="576">
        <v>0.315</v>
      </c>
      <c r="E4389" s="576">
        <v>69931</v>
      </c>
      <c r="F4389" s="576">
        <v>291931</v>
      </c>
      <c r="G4389" s="576">
        <v>7771</v>
      </c>
      <c r="H4389" s="576">
        <v>23680</v>
      </c>
    </row>
    <row r="4390" spans="1:8">
      <c r="A4390" s="575" t="s">
        <v>640</v>
      </c>
      <c r="B4390" s="575">
        <v>222000</v>
      </c>
      <c r="C4390" s="576">
        <v>18</v>
      </c>
      <c r="D4390" s="576">
        <v>0.315</v>
      </c>
      <c r="E4390" s="576">
        <v>104908</v>
      </c>
      <c r="F4390" s="576">
        <v>326908</v>
      </c>
      <c r="G4390" s="576">
        <v>11656</v>
      </c>
      <c r="H4390" s="576">
        <v>17514</v>
      </c>
    </row>
    <row r="4391" spans="1:8">
      <c r="A4391" s="575" t="s">
        <v>640</v>
      </c>
      <c r="B4391" s="575">
        <v>222000</v>
      </c>
      <c r="C4391" s="576">
        <v>24</v>
      </c>
      <c r="D4391" s="576">
        <v>0.315</v>
      </c>
      <c r="E4391" s="576">
        <v>139861</v>
      </c>
      <c r="F4391" s="576">
        <v>361861</v>
      </c>
      <c r="G4391" s="576">
        <v>15541</v>
      </c>
      <c r="H4391" s="576">
        <v>14430</v>
      </c>
    </row>
    <row r="4392" spans="1:8">
      <c r="A4392" s="575" t="s">
        <v>640</v>
      </c>
      <c r="B4392" s="575">
        <v>223000</v>
      </c>
      <c r="C4392" s="576">
        <v>12</v>
      </c>
      <c r="D4392" s="576">
        <v>0.315</v>
      </c>
      <c r="E4392" s="576">
        <v>70250</v>
      </c>
      <c r="F4392" s="576">
        <v>293250</v>
      </c>
      <c r="G4392" s="576">
        <v>7806</v>
      </c>
      <c r="H4392" s="576">
        <v>23787</v>
      </c>
    </row>
    <row r="4393" spans="1:8">
      <c r="A4393" s="575" t="s">
        <v>640</v>
      </c>
      <c r="B4393" s="575">
        <v>223000</v>
      </c>
      <c r="C4393" s="576">
        <v>18</v>
      </c>
      <c r="D4393" s="576">
        <v>0.315</v>
      </c>
      <c r="E4393" s="576">
        <v>105382</v>
      </c>
      <c r="F4393" s="576">
        <v>328382</v>
      </c>
      <c r="G4393" s="576">
        <v>11708</v>
      </c>
      <c r="H4393" s="576">
        <v>17593</v>
      </c>
    </row>
    <row r="4394" spans="1:8">
      <c r="A4394" s="575" t="s">
        <v>640</v>
      </c>
      <c r="B4394" s="575">
        <v>223000</v>
      </c>
      <c r="C4394" s="576">
        <v>24</v>
      </c>
      <c r="D4394" s="576">
        <v>0.315</v>
      </c>
      <c r="E4394" s="576">
        <v>140491</v>
      </c>
      <c r="F4394" s="576">
        <v>363491</v>
      </c>
      <c r="G4394" s="576">
        <v>15611</v>
      </c>
      <c r="H4394" s="576">
        <v>14495</v>
      </c>
    </row>
    <row r="4395" spans="1:8">
      <c r="A4395" s="575" t="s">
        <v>640</v>
      </c>
      <c r="B4395" s="575">
        <v>224000</v>
      </c>
      <c r="C4395" s="576">
        <v>12</v>
      </c>
      <c r="D4395" s="576">
        <v>0.315</v>
      </c>
      <c r="E4395" s="576">
        <v>70569</v>
      </c>
      <c r="F4395" s="576">
        <v>294569</v>
      </c>
      <c r="G4395" s="576">
        <v>7841</v>
      </c>
      <c r="H4395" s="576">
        <v>23894</v>
      </c>
    </row>
    <row r="4396" spans="1:8">
      <c r="A4396" s="575" t="s">
        <v>640</v>
      </c>
      <c r="B4396" s="575">
        <v>224000</v>
      </c>
      <c r="C4396" s="576">
        <v>18</v>
      </c>
      <c r="D4396" s="576">
        <v>0.315</v>
      </c>
      <c r="E4396" s="576">
        <v>105857</v>
      </c>
      <c r="F4396" s="576">
        <v>329857</v>
      </c>
      <c r="G4396" s="576">
        <v>11761</v>
      </c>
      <c r="H4396" s="576">
        <v>17672</v>
      </c>
    </row>
    <row r="4397" spans="1:8">
      <c r="A4397" s="575" t="s">
        <v>640</v>
      </c>
      <c r="B4397" s="575">
        <v>224000</v>
      </c>
      <c r="C4397" s="576">
        <v>24</v>
      </c>
      <c r="D4397" s="576">
        <v>0.315</v>
      </c>
      <c r="E4397" s="576">
        <v>141121</v>
      </c>
      <c r="F4397" s="576">
        <v>365121</v>
      </c>
      <c r="G4397" s="576">
        <v>15681</v>
      </c>
      <c r="H4397" s="576">
        <v>14560</v>
      </c>
    </row>
    <row r="4398" spans="1:8">
      <c r="A4398" s="575" t="s">
        <v>640</v>
      </c>
      <c r="B4398" s="575">
        <v>225000</v>
      </c>
      <c r="C4398" s="576">
        <v>12</v>
      </c>
      <c r="D4398" s="576">
        <v>0.315</v>
      </c>
      <c r="E4398" s="576">
        <v>70876</v>
      </c>
      <c r="F4398" s="576">
        <v>295876</v>
      </c>
      <c r="G4398" s="576">
        <v>7876</v>
      </c>
      <c r="H4398" s="576">
        <v>24000</v>
      </c>
    </row>
    <row r="4399" spans="1:8">
      <c r="A4399" s="575" t="s">
        <v>640</v>
      </c>
      <c r="B4399" s="575">
        <v>225000</v>
      </c>
      <c r="C4399" s="576">
        <v>18</v>
      </c>
      <c r="D4399" s="576">
        <v>0.315</v>
      </c>
      <c r="E4399" s="576">
        <v>106313</v>
      </c>
      <c r="F4399" s="576">
        <v>331313</v>
      </c>
      <c r="G4399" s="576">
        <v>11813</v>
      </c>
      <c r="H4399" s="576">
        <v>17750</v>
      </c>
    </row>
    <row r="4400" spans="1:8">
      <c r="A4400" s="575" t="s">
        <v>640</v>
      </c>
      <c r="B4400" s="575">
        <v>225000</v>
      </c>
      <c r="C4400" s="576">
        <v>24</v>
      </c>
      <c r="D4400" s="576">
        <v>0.315</v>
      </c>
      <c r="E4400" s="576">
        <v>141751</v>
      </c>
      <c r="F4400" s="576">
        <v>366751</v>
      </c>
      <c r="G4400" s="576">
        <v>15751</v>
      </c>
      <c r="H4400" s="576">
        <v>14625</v>
      </c>
    </row>
    <row r="4401" spans="1:8">
      <c r="A4401" s="575" t="s">
        <v>640</v>
      </c>
      <c r="B4401" s="575">
        <v>226000</v>
      </c>
      <c r="C4401" s="576">
        <v>12</v>
      </c>
      <c r="D4401" s="576">
        <v>0.315</v>
      </c>
      <c r="E4401" s="576">
        <v>71195</v>
      </c>
      <c r="F4401" s="576">
        <v>297195</v>
      </c>
      <c r="G4401" s="576">
        <v>7911</v>
      </c>
      <c r="H4401" s="576">
        <v>24107</v>
      </c>
    </row>
    <row r="4402" spans="1:8">
      <c r="A4402" s="575" t="s">
        <v>640</v>
      </c>
      <c r="B4402" s="575">
        <v>226000</v>
      </c>
      <c r="C4402" s="576">
        <v>18</v>
      </c>
      <c r="D4402" s="576">
        <v>0.315</v>
      </c>
      <c r="E4402" s="576">
        <v>106788</v>
      </c>
      <c r="F4402" s="576">
        <v>332788</v>
      </c>
      <c r="G4402" s="576">
        <v>11866</v>
      </c>
      <c r="H4402" s="576">
        <v>17829</v>
      </c>
    </row>
    <row r="4403" spans="1:8">
      <c r="A4403" s="575" t="s">
        <v>640</v>
      </c>
      <c r="B4403" s="575">
        <v>226000</v>
      </c>
      <c r="C4403" s="576">
        <v>24</v>
      </c>
      <c r="D4403" s="576">
        <v>0.315</v>
      </c>
      <c r="E4403" s="576">
        <v>142381</v>
      </c>
      <c r="F4403" s="576">
        <v>368381</v>
      </c>
      <c r="G4403" s="576">
        <v>15821</v>
      </c>
      <c r="H4403" s="576">
        <v>14690</v>
      </c>
    </row>
    <row r="4404" spans="1:8">
      <c r="A4404" s="575" t="s">
        <v>640</v>
      </c>
      <c r="B4404" s="575">
        <v>227000</v>
      </c>
      <c r="C4404" s="576">
        <v>12</v>
      </c>
      <c r="D4404" s="576">
        <v>0.315</v>
      </c>
      <c r="E4404" s="576">
        <v>71514</v>
      </c>
      <c r="F4404" s="576">
        <v>298514</v>
      </c>
      <c r="G4404" s="576">
        <v>7946</v>
      </c>
      <c r="H4404" s="576">
        <v>24214</v>
      </c>
    </row>
    <row r="4405" spans="1:8">
      <c r="A4405" s="575" t="s">
        <v>640</v>
      </c>
      <c r="B4405" s="575">
        <v>227000</v>
      </c>
      <c r="C4405" s="576">
        <v>18</v>
      </c>
      <c r="D4405" s="576">
        <v>0.315</v>
      </c>
      <c r="E4405" s="576">
        <v>107262</v>
      </c>
      <c r="F4405" s="576">
        <v>334262</v>
      </c>
      <c r="G4405" s="576">
        <v>11918</v>
      </c>
      <c r="H4405" s="576">
        <v>17908</v>
      </c>
    </row>
    <row r="4406" spans="1:8">
      <c r="A4406" s="575" t="s">
        <v>640</v>
      </c>
      <c r="B4406" s="575">
        <v>227000</v>
      </c>
      <c r="C4406" s="576">
        <v>24</v>
      </c>
      <c r="D4406" s="576">
        <v>0.315</v>
      </c>
      <c r="E4406" s="576">
        <v>143011</v>
      </c>
      <c r="F4406" s="576">
        <v>370011</v>
      </c>
      <c r="G4406" s="576">
        <v>15891</v>
      </c>
      <c r="H4406" s="576">
        <v>14755</v>
      </c>
    </row>
    <row r="4407" spans="1:8">
      <c r="A4407" s="575" t="s">
        <v>640</v>
      </c>
      <c r="B4407" s="575">
        <v>228000</v>
      </c>
      <c r="C4407" s="576">
        <v>12</v>
      </c>
      <c r="D4407" s="576">
        <v>0.315</v>
      </c>
      <c r="E4407" s="576">
        <v>71821</v>
      </c>
      <c r="F4407" s="576">
        <v>299821</v>
      </c>
      <c r="G4407" s="576">
        <v>7981</v>
      </c>
      <c r="H4407" s="576">
        <v>24320</v>
      </c>
    </row>
    <row r="4408" spans="1:8">
      <c r="A4408" s="575" t="s">
        <v>640</v>
      </c>
      <c r="B4408" s="575">
        <v>228000</v>
      </c>
      <c r="C4408" s="576">
        <v>18</v>
      </c>
      <c r="D4408" s="576">
        <v>0.315</v>
      </c>
      <c r="E4408" s="576">
        <v>107737</v>
      </c>
      <c r="F4408" s="576">
        <v>335737</v>
      </c>
      <c r="G4408" s="576">
        <v>11971</v>
      </c>
      <c r="H4408" s="576">
        <v>17987</v>
      </c>
    </row>
    <row r="4409" spans="1:8">
      <c r="A4409" s="575" t="s">
        <v>640</v>
      </c>
      <c r="B4409" s="575">
        <v>228000</v>
      </c>
      <c r="C4409" s="576">
        <v>24</v>
      </c>
      <c r="D4409" s="576">
        <v>0.315</v>
      </c>
      <c r="E4409" s="576">
        <v>143641</v>
      </c>
      <c r="F4409" s="576">
        <v>371641</v>
      </c>
      <c r="G4409" s="576">
        <v>15961</v>
      </c>
      <c r="H4409" s="576">
        <v>14820</v>
      </c>
    </row>
    <row r="4410" spans="1:8">
      <c r="A4410" s="575" t="s">
        <v>640</v>
      </c>
      <c r="B4410" s="575">
        <v>229000</v>
      </c>
      <c r="C4410" s="576">
        <v>12</v>
      </c>
      <c r="D4410" s="576">
        <v>0.315</v>
      </c>
      <c r="E4410" s="576">
        <v>72140</v>
      </c>
      <c r="F4410" s="576">
        <v>301140</v>
      </c>
      <c r="G4410" s="576">
        <v>8016</v>
      </c>
      <c r="H4410" s="576">
        <v>24427</v>
      </c>
    </row>
    <row r="4411" spans="1:8">
      <c r="A4411" s="575" t="s">
        <v>640</v>
      </c>
      <c r="B4411" s="575">
        <v>229000</v>
      </c>
      <c r="C4411" s="576">
        <v>18</v>
      </c>
      <c r="D4411" s="576">
        <v>0.315</v>
      </c>
      <c r="E4411" s="576">
        <v>108211</v>
      </c>
      <c r="F4411" s="576">
        <v>337211</v>
      </c>
      <c r="G4411" s="576">
        <v>12023</v>
      </c>
      <c r="H4411" s="576">
        <v>18066</v>
      </c>
    </row>
    <row r="4412" spans="1:8">
      <c r="A4412" s="575" t="s">
        <v>640</v>
      </c>
      <c r="B4412" s="575">
        <v>229000</v>
      </c>
      <c r="C4412" s="576">
        <v>24</v>
      </c>
      <c r="D4412" s="576">
        <v>0.315</v>
      </c>
      <c r="E4412" s="576">
        <v>144271</v>
      </c>
      <c r="F4412" s="576">
        <v>373271</v>
      </c>
      <c r="G4412" s="576">
        <v>16031</v>
      </c>
      <c r="H4412" s="576">
        <v>14885</v>
      </c>
    </row>
    <row r="4413" spans="1:8">
      <c r="A4413" s="575" t="s">
        <v>640</v>
      </c>
      <c r="B4413" s="575">
        <v>230000</v>
      </c>
      <c r="C4413" s="576">
        <v>12</v>
      </c>
      <c r="D4413" s="576">
        <v>0.315</v>
      </c>
      <c r="E4413" s="576">
        <v>72459</v>
      </c>
      <c r="F4413" s="576">
        <v>302459</v>
      </c>
      <c r="G4413" s="576">
        <v>8051</v>
      </c>
      <c r="H4413" s="576">
        <v>24534</v>
      </c>
    </row>
    <row r="4414" spans="1:8">
      <c r="A4414" s="575" t="s">
        <v>640</v>
      </c>
      <c r="B4414" s="575">
        <v>230000</v>
      </c>
      <c r="C4414" s="576">
        <v>18</v>
      </c>
      <c r="D4414" s="576">
        <v>0.315</v>
      </c>
      <c r="E4414" s="576">
        <v>108686</v>
      </c>
      <c r="F4414" s="576">
        <v>338686</v>
      </c>
      <c r="G4414" s="576">
        <v>12076</v>
      </c>
      <c r="H4414" s="576">
        <v>18145</v>
      </c>
    </row>
    <row r="4415" spans="1:8">
      <c r="A4415" s="575" t="s">
        <v>640</v>
      </c>
      <c r="B4415" s="575">
        <v>230000</v>
      </c>
      <c r="C4415" s="576">
        <v>24</v>
      </c>
      <c r="D4415" s="576">
        <v>0.315</v>
      </c>
      <c r="E4415" s="576">
        <v>144901</v>
      </c>
      <c r="F4415" s="576">
        <v>374901</v>
      </c>
      <c r="G4415" s="576">
        <v>16101</v>
      </c>
      <c r="H4415" s="576">
        <v>14950</v>
      </c>
    </row>
    <row r="4416" spans="1:8">
      <c r="A4416" s="575" t="s">
        <v>640</v>
      </c>
      <c r="B4416" s="575">
        <v>231000</v>
      </c>
      <c r="C4416" s="576">
        <v>12</v>
      </c>
      <c r="D4416" s="576">
        <v>0.315</v>
      </c>
      <c r="E4416" s="576">
        <v>72766</v>
      </c>
      <c r="F4416" s="576">
        <v>303766</v>
      </c>
      <c r="G4416" s="576">
        <v>8086</v>
      </c>
      <c r="H4416" s="576">
        <v>24640</v>
      </c>
    </row>
    <row r="4417" spans="1:8">
      <c r="A4417" s="575" t="s">
        <v>640</v>
      </c>
      <c r="B4417" s="575">
        <v>231000</v>
      </c>
      <c r="C4417" s="576">
        <v>18</v>
      </c>
      <c r="D4417" s="576">
        <v>0.315</v>
      </c>
      <c r="E4417" s="576">
        <v>109160</v>
      </c>
      <c r="F4417" s="576">
        <v>340160</v>
      </c>
      <c r="G4417" s="576">
        <v>12128</v>
      </c>
      <c r="H4417" s="576">
        <v>18224</v>
      </c>
    </row>
    <row r="4418" spans="1:8">
      <c r="A4418" s="575" t="s">
        <v>640</v>
      </c>
      <c r="B4418" s="575">
        <v>231000</v>
      </c>
      <c r="C4418" s="576">
        <v>24</v>
      </c>
      <c r="D4418" s="576">
        <v>0.315</v>
      </c>
      <c r="E4418" s="576">
        <v>145531</v>
      </c>
      <c r="F4418" s="576">
        <v>376531</v>
      </c>
      <c r="G4418" s="576">
        <v>16171</v>
      </c>
      <c r="H4418" s="576">
        <v>15015</v>
      </c>
    </row>
    <row r="4419" spans="1:8">
      <c r="A4419" s="575" t="s">
        <v>640</v>
      </c>
      <c r="B4419" s="575">
        <v>232000</v>
      </c>
      <c r="C4419" s="576">
        <v>12</v>
      </c>
      <c r="D4419" s="576">
        <v>0.315</v>
      </c>
      <c r="E4419" s="576">
        <v>73085</v>
      </c>
      <c r="F4419" s="576">
        <v>305085</v>
      </c>
      <c r="G4419" s="576">
        <v>8121</v>
      </c>
      <c r="H4419" s="576">
        <v>24747</v>
      </c>
    </row>
    <row r="4420" spans="1:8">
      <c r="A4420" s="575" t="s">
        <v>640</v>
      </c>
      <c r="B4420" s="575">
        <v>232000</v>
      </c>
      <c r="C4420" s="576">
        <v>18</v>
      </c>
      <c r="D4420" s="576">
        <v>0.315</v>
      </c>
      <c r="E4420" s="576">
        <v>109635</v>
      </c>
      <c r="F4420" s="576">
        <v>341635</v>
      </c>
      <c r="G4420" s="576">
        <v>12181</v>
      </c>
      <c r="H4420" s="576">
        <v>18303</v>
      </c>
    </row>
    <row r="4421" spans="1:8">
      <c r="A4421" s="575" t="s">
        <v>640</v>
      </c>
      <c r="B4421" s="575">
        <v>232000</v>
      </c>
      <c r="C4421" s="576">
        <v>24</v>
      </c>
      <c r="D4421" s="576">
        <v>0.315</v>
      </c>
      <c r="E4421" s="576">
        <v>146161</v>
      </c>
      <c r="F4421" s="576">
        <v>378161</v>
      </c>
      <c r="G4421" s="576">
        <v>16241</v>
      </c>
      <c r="H4421" s="576">
        <v>15080</v>
      </c>
    </row>
    <row r="4422" spans="1:8">
      <c r="A4422" s="575" t="s">
        <v>640</v>
      </c>
      <c r="B4422" s="575">
        <v>233000</v>
      </c>
      <c r="C4422" s="576">
        <v>12</v>
      </c>
      <c r="D4422" s="576">
        <v>0.315</v>
      </c>
      <c r="E4422" s="576">
        <v>73404</v>
      </c>
      <c r="F4422" s="576">
        <v>306404</v>
      </c>
      <c r="G4422" s="576">
        <v>8156</v>
      </c>
      <c r="H4422" s="576">
        <v>24854</v>
      </c>
    </row>
    <row r="4423" spans="1:8">
      <c r="A4423" s="575" t="s">
        <v>640</v>
      </c>
      <c r="B4423" s="575">
        <v>233000</v>
      </c>
      <c r="C4423" s="576">
        <v>18</v>
      </c>
      <c r="D4423" s="576">
        <v>0.315</v>
      </c>
      <c r="E4423" s="576">
        <v>110109</v>
      </c>
      <c r="F4423" s="576">
        <v>343109</v>
      </c>
      <c r="G4423" s="576">
        <v>12233</v>
      </c>
      <c r="H4423" s="576">
        <v>18382</v>
      </c>
    </row>
    <row r="4424" spans="1:8">
      <c r="A4424" s="575" t="s">
        <v>640</v>
      </c>
      <c r="B4424" s="575">
        <v>233000</v>
      </c>
      <c r="C4424" s="576">
        <v>24</v>
      </c>
      <c r="D4424" s="576">
        <v>0.315</v>
      </c>
      <c r="E4424" s="576">
        <v>146791</v>
      </c>
      <c r="F4424" s="576">
        <v>379791</v>
      </c>
      <c r="G4424" s="576">
        <v>16311</v>
      </c>
      <c r="H4424" s="576">
        <v>15145</v>
      </c>
    </row>
    <row r="4425" spans="1:8">
      <c r="A4425" s="575" t="s">
        <v>640</v>
      </c>
      <c r="B4425" s="575">
        <v>234000</v>
      </c>
      <c r="C4425" s="576">
        <v>12</v>
      </c>
      <c r="D4425" s="576">
        <v>0.315</v>
      </c>
      <c r="E4425" s="576">
        <v>73711</v>
      </c>
      <c r="F4425" s="576">
        <v>307711</v>
      </c>
      <c r="G4425" s="576">
        <v>8191</v>
      </c>
      <c r="H4425" s="576">
        <v>24960</v>
      </c>
    </row>
    <row r="4426" spans="1:8">
      <c r="A4426" s="575" t="s">
        <v>640</v>
      </c>
      <c r="B4426" s="575">
        <v>234000</v>
      </c>
      <c r="C4426" s="576">
        <v>18</v>
      </c>
      <c r="D4426" s="576">
        <v>0.315</v>
      </c>
      <c r="E4426" s="576">
        <v>110566</v>
      </c>
      <c r="F4426" s="576">
        <v>344566</v>
      </c>
      <c r="G4426" s="576">
        <v>12286</v>
      </c>
      <c r="H4426" s="576">
        <v>18460</v>
      </c>
    </row>
    <row r="4427" spans="1:8">
      <c r="A4427" s="575" t="s">
        <v>640</v>
      </c>
      <c r="B4427" s="575">
        <v>234000</v>
      </c>
      <c r="C4427" s="576">
        <v>24</v>
      </c>
      <c r="D4427" s="576">
        <v>0.315</v>
      </c>
      <c r="E4427" s="576">
        <v>147421</v>
      </c>
      <c r="F4427" s="576">
        <v>381421</v>
      </c>
      <c r="G4427" s="576">
        <v>16381</v>
      </c>
      <c r="H4427" s="576">
        <v>15210</v>
      </c>
    </row>
    <row r="4428" spans="1:8">
      <c r="A4428" s="575" t="s">
        <v>640</v>
      </c>
      <c r="B4428" s="575">
        <v>235000</v>
      </c>
      <c r="C4428" s="576">
        <v>12</v>
      </c>
      <c r="D4428" s="576">
        <v>0.315</v>
      </c>
      <c r="E4428" s="576">
        <v>74030</v>
      </c>
      <c r="F4428" s="576">
        <v>309030</v>
      </c>
      <c r="G4428" s="576">
        <v>8226</v>
      </c>
      <c r="H4428" s="576">
        <v>25067</v>
      </c>
    </row>
    <row r="4429" spans="1:8">
      <c r="A4429" s="575" t="s">
        <v>640</v>
      </c>
      <c r="B4429" s="575">
        <v>235000</v>
      </c>
      <c r="C4429" s="576">
        <v>18</v>
      </c>
      <c r="D4429" s="576">
        <v>0.315</v>
      </c>
      <c r="E4429" s="576">
        <v>111040</v>
      </c>
      <c r="F4429" s="576">
        <v>346040</v>
      </c>
      <c r="G4429" s="576">
        <v>12338</v>
      </c>
      <c r="H4429" s="576">
        <v>18539</v>
      </c>
    </row>
    <row r="4430" spans="1:8">
      <c r="A4430" s="575" t="s">
        <v>640</v>
      </c>
      <c r="B4430" s="575">
        <v>235000</v>
      </c>
      <c r="C4430" s="576">
        <v>24</v>
      </c>
      <c r="D4430" s="576">
        <v>0.315</v>
      </c>
      <c r="E4430" s="576">
        <v>148051</v>
      </c>
      <c r="F4430" s="576">
        <v>383051</v>
      </c>
      <c r="G4430" s="576">
        <v>16451</v>
      </c>
      <c r="H4430" s="576">
        <v>15275</v>
      </c>
    </row>
    <row r="4431" spans="1:8">
      <c r="A4431" s="575" t="s">
        <v>640</v>
      </c>
      <c r="B4431" s="575">
        <v>236000</v>
      </c>
      <c r="C4431" s="576">
        <v>12</v>
      </c>
      <c r="D4431" s="576">
        <v>0.315</v>
      </c>
      <c r="E4431" s="576">
        <v>74349</v>
      </c>
      <c r="F4431" s="576">
        <v>310349</v>
      </c>
      <c r="G4431" s="576">
        <v>8261</v>
      </c>
      <c r="H4431" s="576">
        <v>25174</v>
      </c>
    </row>
    <row r="4432" spans="1:8">
      <c r="A4432" s="575" t="s">
        <v>640</v>
      </c>
      <c r="B4432" s="575">
        <v>236000</v>
      </c>
      <c r="C4432" s="576">
        <v>18</v>
      </c>
      <c r="D4432" s="576">
        <v>0.315</v>
      </c>
      <c r="E4432" s="576">
        <v>111515</v>
      </c>
      <c r="F4432" s="576">
        <v>347515</v>
      </c>
      <c r="G4432" s="576">
        <v>12391</v>
      </c>
      <c r="H4432" s="576">
        <v>18618</v>
      </c>
    </row>
    <row r="4433" spans="1:8">
      <c r="A4433" s="575" t="s">
        <v>640</v>
      </c>
      <c r="B4433" s="575">
        <v>236000</v>
      </c>
      <c r="C4433" s="576">
        <v>24</v>
      </c>
      <c r="D4433" s="576">
        <v>0.315</v>
      </c>
      <c r="E4433" s="576">
        <v>148681</v>
      </c>
      <c r="F4433" s="576">
        <v>384681</v>
      </c>
      <c r="G4433" s="576">
        <v>16521</v>
      </c>
      <c r="H4433" s="576">
        <v>15340</v>
      </c>
    </row>
    <row r="4434" spans="1:8">
      <c r="A4434" s="575" t="s">
        <v>640</v>
      </c>
      <c r="B4434" s="575">
        <v>237000</v>
      </c>
      <c r="C4434" s="576">
        <v>12</v>
      </c>
      <c r="D4434" s="576">
        <v>0.315</v>
      </c>
      <c r="E4434" s="576">
        <v>74656</v>
      </c>
      <c r="F4434" s="576">
        <v>311656</v>
      </c>
      <c r="G4434" s="576">
        <v>8296</v>
      </c>
      <c r="H4434" s="576">
        <v>25280</v>
      </c>
    </row>
    <row r="4435" spans="1:8">
      <c r="A4435" s="575" t="s">
        <v>640</v>
      </c>
      <c r="B4435" s="575">
        <v>237000</v>
      </c>
      <c r="C4435" s="576">
        <v>18</v>
      </c>
      <c r="D4435" s="576">
        <v>0.315</v>
      </c>
      <c r="E4435" s="576">
        <v>111989</v>
      </c>
      <c r="F4435" s="576">
        <v>348989</v>
      </c>
      <c r="G4435" s="576">
        <v>12443</v>
      </c>
      <c r="H4435" s="576">
        <v>18697</v>
      </c>
    </row>
    <row r="4436" spans="1:8">
      <c r="A4436" s="575" t="s">
        <v>640</v>
      </c>
      <c r="B4436" s="575">
        <v>237000</v>
      </c>
      <c r="C4436" s="576">
        <v>24</v>
      </c>
      <c r="D4436" s="576">
        <v>0.315</v>
      </c>
      <c r="E4436" s="576">
        <v>149311</v>
      </c>
      <c r="F4436" s="576">
        <v>386311</v>
      </c>
      <c r="G4436" s="576">
        <v>16591</v>
      </c>
      <c r="H4436" s="576">
        <v>15405</v>
      </c>
    </row>
    <row r="4437" spans="1:8">
      <c r="A4437" s="575" t="s">
        <v>640</v>
      </c>
      <c r="B4437" s="575">
        <v>238000</v>
      </c>
      <c r="C4437" s="576">
        <v>12</v>
      </c>
      <c r="D4437" s="576">
        <v>0.315</v>
      </c>
      <c r="E4437" s="576">
        <v>74975</v>
      </c>
      <c r="F4437" s="576">
        <v>312975</v>
      </c>
      <c r="G4437" s="576">
        <v>8331</v>
      </c>
      <c r="H4437" s="576">
        <v>25387</v>
      </c>
    </row>
    <row r="4438" spans="1:8">
      <c r="A4438" s="575" t="s">
        <v>640</v>
      </c>
      <c r="B4438" s="575">
        <v>238000</v>
      </c>
      <c r="C4438" s="576">
        <v>18</v>
      </c>
      <c r="D4438" s="576">
        <v>0.315</v>
      </c>
      <c r="E4438" s="576">
        <v>112464</v>
      </c>
      <c r="F4438" s="576">
        <v>350464</v>
      </c>
      <c r="G4438" s="576">
        <v>12496</v>
      </c>
      <c r="H4438" s="576">
        <v>18776</v>
      </c>
    </row>
    <row r="4439" spans="1:8">
      <c r="A4439" s="575" t="s">
        <v>640</v>
      </c>
      <c r="B4439" s="575">
        <v>238000</v>
      </c>
      <c r="C4439" s="576">
        <v>24</v>
      </c>
      <c r="D4439" s="576">
        <v>0.315</v>
      </c>
      <c r="E4439" s="576">
        <v>149941</v>
      </c>
      <c r="F4439" s="576">
        <v>387941</v>
      </c>
      <c r="G4439" s="576">
        <v>16661</v>
      </c>
      <c r="H4439" s="576">
        <v>15470</v>
      </c>
    </row>
    <row r="4440" spans="1:8">
      <c r="A4440" s="575" t="s">
        <v>640</v>
      </c>
      <c r="B4440" s="575">
        <v>239000</v>
      </c>
      <c r="C4440" s="576">
        <v>12</v>
      </c>
      <c r="D4440" s="576">
        <v>0.315</v>
      </c>
      <c r="E4440" s="576">
        <v>75294</v>
      </c>
      <c r="F4440" s="576">
        <v>314294</v>
      </c>
      <c r="G4440" s="576">
        <v>8366</v>
      </c>
      <c r="H4440" s="576">
        <v>25494</v>
      </c>
    </row>
    <row r="4441" spans="1:8">
      <c r="A4441" s="575" t="s">
        <v>640</v>
      </c>
      <c r="B4441" s="575">
        <v>239000</v>
      </c>
      <c r="C4441" s="576">
        <v>18</v>
      </c>
      <c r="D4441" s="576">
        <v>0.315</v>
      </c>
      <c r="E4441" s="576">
        <v>112938</v>
      </c>
      <c r="F4441" s="576">
        <v>351938</v>
      </c>
      <c r="G4441" s="576">
        <v>12548</v>
      </c>
      <c r="H4441" s="576">
        <v>18855</v>
      </c>
    </row>
    <row r="4442" spans="1:8">
      <c r="A4442" s="575" t="s">
        <v>640</v>
      </c>
      <c r="B4442" s="575">
        <v>239000</v>
      </c>
      <c r="C4442" s="576">
        <v>24</v>
      </c>
      <c r="D4442" s="576">
        <v>0.315</v>
      </c>
      <c r="E4442" s="576">
        <v>150571</v>
      </c>
      <c r="F4442" s="576">
        <v>389571</v>
      </c>
      <c r="G4442" s="576">
        <v>16731</v>
      </c>
      <c r="H4442" s="576">
        <v>15535</v>
      </c>
    </row>
    <row r="4443" spans="1:8">
      <c r="A4443" s="575" t="s">
        <v>640</v>
      </c>
      <c r="B4443" s="575">
        <v>240000</v>
      </c>
      <c r="C4443" s="576">
        <v>12</v>
      </c>
      <c r="D4443" s="576">
        <v>0.315</v>
      </c>
      <c r="E4443" s="576">
        <v>75601</v>
      </c>
      <c r="F4443" s="576">
        <v>315601</v>
      </c>
      <c r="G4443" s="576">
        <v>8401</v>
      </c>
      <c r="H4443" s="576">
        <v>25600</v>
      </c>
    </row>
    <row r="4444" spans="1:8">
      <c r="A4444" s="575" t="s">
        <v>640</v>
      </c>
      <c r="B4444" s="575">
        <v>240000</v>
      </c>
      <c r="C4444" s="576">
        <v>18</v>
      </c>
      <c r="D4444" s="576">
        <v>0.315</v>
      </c>
      <c r="E4444" s="576">
        <v>113413</v>
      </c>
      <c r="F4444" s="576">
        <v>353413</v>
      </c>
      <c r="G4444" s="576">
        <v>12601</v>
      </c>
      <c r="H4444" s="576">
        <v>18934</v>
      </c>
    </row>
    <row r="4445" spans="1:8">
      <c r="A4445" s="575" t="s">
        <v>640</v>
      </c>
      <c r="B4445" s="575">
        <v>240000</v>
      </c>
      <c r="C4445" s="576">
        <v>24</v>
      </c>
      <c r="D4445" s="576">
        <v>0.315</v>
      </c>
      <c r="E4445" s="576">
        <v>151201</v>
      </c>
      <c r="F4445" s="576">
        <v>391201</v>
      </c>
      <c r="G4445" s="576">
        <v>16801</v>
      </c>
      <c r="H4445" s="576">
        <v>15600</v>
      </c>
    </row>
    <row r="4446" spans="1:8">
      <c r="A4446" s="575" t="s">
        <v>640</v>
      </c>
      <c r="B4446" s="575">
        <v>241000</v>
      </c>
      <c r="C4446" s="576">
        <v>12</v>
      </c>
      <c r="D4446" s="576">
        <v>0.315</v>
      </c>
      <c r="E4446" s="576">
        <v>75920</v>
      </c>
      <c r="F4446" s="576">
        <v>316920</v>
      </c>
      <c r="G4446" s="576">
        <v>8436</v>
      </c>
      <c r="H4446" s="576">
        <v>25707</v>
      </c>
    </row>
    <row r="4447" spans="1:8">
      <c r="A4447" s="575" t="s">
        <v>640</v>
      </c>
      <c r="B4447" s="575">
        <v>241000</v>
      </c>
      <c r="C4447" s="576">
        <v>18</v>
      </c>
      <c r="D4447" s="576">
        <v>0.315</v>
      </c>
      <c r="E4447" s="576">
        <v>113887</v>
      </c>
      <c r="F4447" s="576">
        <v>354887</v>
      </c>
      <c r="G4447" s="576">
        <v>12653</v>
      </c>
      <c r="H4447" s="576">
        <v>19013</v>
      </c>
    </row>
    <row r="4448" spans="1:8">
      <c r="A4448" s="575" t="s">
        <v>640</v>
      </c>
      <c r="B4448" s="575">
        <v>241000</v>
      </c>
      <c r="C4448" s="576">
        <v>24</v>
      </c>
      <c r="D4448" s="576">
        <v>0.315</v>
      </c>
      <c r="E4448" s="576">
        <v>151831</v>
      </c>
      <c r="F4448" s="576">
        <v>392831</v>
      </c>
      <c r="G4448" s="576">
        <v>16871</v>
      </c>
      <c r="H4448" s="576">
        <v>15665</v>
      </c>
    </row>
    <row r="4449" spans="1:8">
      <c r="A4449" s="575" t="s">
        <v>640</v>
      </c>
      <c r="B4449" s="575">
        <v>242000</v>
      </c>
      <c r="C4449" s="576">
        <v>12</v>
      </c>
      <c r="D4449" s="576">
        <v>0.315</v>
      </c>
      <c r="E4449" s="576">
        <v>76239</v>
      </c>
      <c r="F4449" s="576">
        <v>318239</v>
      </c>
      <c r="G4449" s="576">
        <v>8471</v>
      </c>
      <c r="H4449" s="576">
        <v>25814</v>
      </c>
    </row>
    <row r="4450" spans="1:8">
      <c r="A4450" s="575" t="s">
        <v>640</v>
      </c>
      <c r="B4450" s="575">
        <v>242000</v>
      </c>
      <c r="C4450" s="576">
        <v>18</v>
      </c>
      <c r="D4450" s="576">
        <v>0.315</v>
      </c>
      <c r="E4450" s="576">
        <v>114362</v>
      </c>
      <c r="F4450" s="576">
        <v>356362</v>
      </c>
      <c r="G4450" s="576">
        <v>12706</v>
      </c>
      <c r="H4450" s="576">
        <v>19092</v>
      </c>
    </row>
    <row r="4451" spans="1:8">
      <c r="A4451" s="575" t="s">
        <v>640</v>
      </c>
      <c r="B4451" s="575">
        <v>242000</v>
      </c>
      <c r="C4451" s="576">
        <v>24</v>
      </c>
      <c r="D4451" s="576">
        <v>0.315</v>
      </c>
      <c r="E4451" s="576">
        <v>152461</v>
      </c>
      <c r="F4451" s="576">
        <v>394461</v>
      </c>
      <c r="G4451" s="576">
        <v>16941</v>
      </c>
      <c r="H4451" s="576">
        <v>15730</v>
      </c>
    </row>
    <row r="4452" spans="1:8">
      <c r="A4452" s="575" t="s">
        <v>640</v>
      </c>
      <c r="B4452" s="575">
        <v>243000</v>
      </c>
      <c r="C4452" s="576">
        <v>12</v>
      </c>
      <c r="D4452" s="576">
        <v>0.315</v>
      </c>
      <c r="E4452" s="576">
        <v>76546</v>
      </c>
      <c r="F4452" s="576">
        <v>319546</v>
      </c>
      <c r="G4452" s="576">
        <v>8506</v>
      </c>
      <c r="H4452" s="576">
        <v>25920</v>
      </c>
    </row>
    <row r="4453" spans="1:8">
      <c r="A4453" s="575" t="s">
        <v>640</v>
      </c>
      <c r="B4453" s="575">
        <v>243000</v>
      </c>
      <c r="C4453" s="576">
        <v>18</v>
      </c>
      <c r="D4453" s="576">
        <v>0.315</v>
      </c>
      <c r="E4453" s="576">
        <v>114818</v>
      </c>
      <c r="F4453" s="576">
        <v>357818</v>
      </c>
      <c r="G4453" s="576">
        <v>12758</v>
      </c>
      <c r="H4453" s="576">
        <v>19170</v>
      </c>
    </row>
    <row r="4454" spans="1:8">
      <c r="A4454" s="575" t="s">
        <v>640</v>
      </c>
      <c r="B4454" s="575">
        <v>243000</v>
      </c>
      <c r="C4454" s="576">
        <v>24</v>
      </c>
      <c r="D4454" s="576">
        <v>0.315</v>
      </c>
      <c r="E4454" s="576">
        <v>153091</v>
      </c>
      <c r="F4454" s="576">
        <v>396091</v>
      </c>
      <c r="G4454" s="576">
        <v>17011</v>
      </c>
      <c r="H4454" s="576">
        <v>15795</v>
      </c>
    </row>
    <row r="4455" spans="1:8">
      <c r="A4455" s="575" t="s">
        <v>640</v>
      </c>
      <c r="B4455" s="575">
        <v>244000</v>
      </c>
      <c r="C4455" s="576">
        <v>12</v>
      </c>
      <c r="D4455" s="576">
        <v>0.315</v>
      </c>
      <c r="E4455" s="576">
        <v>76865</v>
      </c>
      <c r="F4455" s="576">
        <v>320865</v>
      </c>
      <c r="G4455" s="576">
        <v>8541</v>
      </c>
      <c r="H4455" s="576">
        <v>26027</v>
      </c>
    </row>
    <row r="4456" spans="1:8">
      <c r="A4456" s="575" t="s">
        <v>640</v>
      </c>
      <c r="B4456" s="575">
        <v>244000</v>
      </c>
      <c r="C4456" s="576">
        <v>18</v>
      </c>
      <c r="D4456" s="576">
        <v>0.315</v>
      </c>
      <c r="E4456" s="576">
        <v>115293</v>
      </c>
      <c r="F4456" s="576">
        <v>359293</v>
      </c>
      <c r="G4456" s="576">
        <v>12811</v>
      </c>
      <c r="H4456" s="576">
        <v>19249</v>
      </c>
    </row>
    <row r="4457" spans="1:8">
      <c r="A4457" s="575" t="s">
        <v>640</v>
      </c>
      <c r="B4457" s="575">
        <v>244000</v>
      </c>
      <c r="C4457" s="576">
        <v>24</v>
      </c>
      <c r="D4457" s="576">
        <v>0.315</v>
      </c>
      <c r="E4457" s="576">
        <v>153721</v>
      </c>
      <c r="F4457" s="576">
        <v>397721</v>
      </c>
      <c r="G4457" s="576">
        <v>17081</v>
      </c>
      <c r="H4457" s="576">
        <v>15860</v>
      </c>
    </row>
    <row r="4458" spans="1:8">
      <c r="A4458" s="575" t="s">
        <v>640</v>
      </c>
      <c r="B4458" s="575">
        <v>245000</v>
      </c>
      <c r="C4458" s="576">
        <v>12</v>
      </c>
      <c r="D4458" s="576">
        <v>0.315</v>
      </c>
      <c r="E4458" s="576">
        <v>77184</v>
      </c>
      <c r="F4458" s="576">
        <v>322184</v>
      </c>
      <c r="G4458" s="576">
        <v>8576</v>
      </c>
      <c r="H4458" s="576">
        <v>26134</v>
      </c>
    </row>
    <row r="4459" spans="1:8">
      <c r="A4459" s="575" t="s">
        <v>640</v>
      </c>
      <c r="B4459" s="575">
        <v>245000</v>
      </c>
      <c r="C4459" s="576">
        <v>18</v>
      </c>
      <c r="D4459" s="576">
        <v>0.315</v>
      </c>
      <c r="E4459" s="576">
        <v>115767</v>
      </c>
      <c r="F4459" s="576">
        <v>360767</v>
      </c>
      <c r="G4459" s="576">
        <v>12863</v>
      </c>
      <c r="H4459" s="576">
        <v>19328</v>
      </c>
    </row>
    <row r="4460" spans="1:8">
      <c r="A4460" s="575" t="s">
        <v>640</v>
      </c>
      <c r="B4460" s="575">
        <v>245000</v>
      </c>
      <c r="C4460" s="576">
        <v>24</v>
      </c>
      <c r="D4460" s="576">
        <v>0.315</v>
      </c>
      <c r="E4460" s="576">
        <v>154351</v>
      </c>
      <c r="F4460" s="576">
        <v>399351</v>
      </c>
      <c r="G4460" s="576">
        <v>17151</v>
      </c>
      <c r="H4460" s="576">
        <v>15925</v>
      </c>
    </row>
    <row r="4461" spans="1:8">
      <c r="A4461" s="575" t="s">
        <v>640</v>
      </c>
      <c r="B4461" s="575">
        <v>246000</v>
      </c>
      <c r="C4461" s="576">
        <v>12</v>
      </c>
      <c r="D4461" s="576">
        <v>0.315</v>
      </c>
      <c r="E4461" s="576">
        <v>77491</v>
      </c>
      <c r="F4461" s="576">
        <v>323491</v>
      </c>
      <c r="G4461" s="576">
        <v>8611</v>
      </c>
      <c r="H4461" s="576">
        <v>26240</v>
      </c>
    </row>
    <row r="4462" spans="1:8">
      <c r="A4462" s="575" t="s">
        <v>640</v>
      </c>
      <c r="B4462" s="575">
        <v>246000</v>
      </c>
      <c r="C4462" s="576">
        <v>18</v>
      </c>
      <c r="D4462" s="576">
        <v>0.315</v>
      </c>
      <c r="E4462" s="576">
        <v>116242</v>
      </c>
      <c r="F4462" s="576">
        <v>362242</v>
      </c>
      <c r="G4462" s="576">
        <v>12916</v>
      </c>
      <c r="H4462" s="576">
        <v>19407</v>
      </c>
    </row>
    <row r="4463" spans="1:8">
      <c r="A4463" s="575" t="s">
        <v>640</v>
      </c>
      <c r="B4463" s="575">
        <v>246000</v>
      </c>
      <c r="C4463" s="576">
        <v>24</v>
      </c>
      <c r="D4463" s="576">
        <v>0.315</v>
      </c>
      <c r="E4463" s="576">
        <v>154981</v>
      </c>
      <c r="F4463" s="576">
        <v>400981</v>
      </c>
      <c r="G4463" s="576">
        <v>17221</v>
      </c>
      <c r="H4463" s="576">
        <v>15990</v>
      </c>
    </row>
    <row r="4464" spans="1:8">
      <c r="A4464" s="575" t="s">
        <v>640</v>
      </c>
      <c r="B4464" s="575">
        <v>247000</v>
      </c>
      <c r="C4464" s="576">
        <v>12</v>
      </c>
      <c r="D4464" s="576">
        <v>0.315</v>
      </c>
      <c r="E4464" s="576">
        <v>77810</v>
      </c>
      <c r="F4464" s="576">
        <v>324810</v>
      </c>
      <c r="G4464" s="576">
        <v>8646</v>
      </c>
      <c r="H4464" s="576">
        <v>26347</v>
      </c>
    </row>
    <row r="4465" spans="1:8">
      <c r="A4465" s="575" t="s">
        <v>640</v>
      </c>
      <c r="B4465" s="575">
        <v>247000</v>
      </c>
      <c r="C4465" s="576">
        <v>18</v>
      </c>
      <c r="D4465" s="576">
        <v>0.315</v>
      </c>
      <c r="E4465" s="576">
        <v>116716</v>
      </c>
      <c r="F4465" s="576">
        <v>363716</v>
      </c>
      <c r="G4465" s="576">
        <v>12968</v>
      </c>
      <c r="H4465" s="576">
        <v>19486</v>
      </c>
    </row>
    <row r="4466" spans="1:8">
      <c r="A4466" s="575" t="s">
        <v>640</v>
      </c>
      <c r="B4466" s="575">
        <v>247000</v>
      </c>
      <c r="C4466" s="576">
        <v>24</v>
      </c>
      <c r="D4466" s="576">
        <v>0.315</v>
      </c>
      <c r="E4466" s="576">
        <v>155611</v>
      </c>
      <c r="F4466" s="576">
        <v>402611</v>
      </c>
      <c r="G4466" s="576">
        <v>17291</v>
      </c>
      <c r="H4466" s="576">
        <v>16055</v>
      </c>
    </row>
    <row r="4467" spans="1:8">
      <c r="A4467" s="575" t="s">
        <v>640</v>
      </c>
      <c r="B4467" s="575">
        <v>248000</v>
      </c>
      <c r="C4467" s="576">
        <v>12</v>
      </c>
      <c r="D4467" s="576">
        <v>0.315</v>
      </c>
      <c r="E4467" s="576">
        <v>78129</v>
      </c>
      <c r="F4467" s="576">
        <v>326129</v>
      </c>
      <c r="G4467" s="576">
        <v>8681</v>
      </c>
      <c r="H4467" s="576">
        <v>26454</v>
      </c>
    </row>
    <row r="4468" spans="1:8">
      <c r="A4468" s="575" t="s">
        <v>640</v>
      </c>
      <c r="B4468" s="575">
        <v>248000</v>
      </c>
      <c r="C4468" s="576">
        <v>18</v>
      </c>
      <c r="D4468" s="576">
        <v>0.315</v>
      </c>
      <c r="E4468" s="576">
        <v>117191</v>
      </c>
      <c r="F4468" s="576">
        <v>365191</v>
      </c>
      <c r="G4468" s="576">
        <v>13021</v>
      </c>
      <c r="H4468" s="576">
        <v>19565</v>
      </c>
    </row>
    <row r="4469" spans="1:8">
      <c r="A4469" s="575" t="s">
        <v>640</v>
      </c>
      <c r="B4469" s="575">
        <v>248000</v>
      </c>
      <c r="C4469" s="576">
        <v>24</v>
      </c>
      <c r="D4469" s="576">
        <v>0.315</v>
      </c>
      <c r="E4469" s="576">
        <v>156241</v>
      </c>
      <c r="F4469" s="576">
        <v>404241</v>
      </c>
      <c r="G4469" s="576">
        <v>17361</v>
      </c>
      <c r="H4469" s="576">
        <v>16120</v>
      </c>
    </row>
    <row r="4470" spans="1:8">
      <c r="A4470" s="575" t="s">
        <v>640</v>
      </c>
      <c r="B4470" s="575">
        <v>249000</v>
      </c>
      <c r="C4470" s="576">
        <v>12</v>
      </c>
      <c r="D4470" s="576">
        <v>0.315</v>
      </c>
      <c r="E4470" s="576">
        <v>78436</v>
      </c>
      <c r="F4470" s="576">
        <v>327436</v>
      </c>
      <c r="G4470" s="576">
        <v>8716</v>
      </c>
      <c r="H4470" s="576">
        <v>26560</v>
      </c>
    </row>
    <row r="4471" spans="1:8">
      <c r="A4471" s="575" t="s">
        <v>640</v>
      </c>
      <c r="B4471" s="575">
        <v>249000</v>
      </c>
      <c r="C4471" s="576">
        <v>18</v>
      </c>
      <c r="D4471" s="576">
        <v>0.315</v>
      </c>
      <c r="E4471" s="576">
        <v>117665</v>
      </c>
      <c r="F4471" s="576">
        <v>366665</v>
      </c>
      <c r="G4471" s="576">
        <v>13073</v>
      </c>
      <c r="H4471" s="576">
        <v>19644</v>
      </c>
    </row>
    <row r="4472" spans="1:8">
      <c r="A4472" s="575" t="s">
        <v>640</v>
      </c>
      <c r="B4472" s="575">
        <v>249000</v>
      </c>
      <c r="C4472" s="576">
        <v>24</v>
      </c>
      <c r="D4472" s="576">
        <v>0.315</v>
      </c>
      <c r="E4472" s="576">
        <v>156871</v>
      </c>
      <c r="F4472" s="576">
        <v>405871</v>
      </c>
      <c r="G4472" s="576">
        <v>17431</v>
      </c>
      <c r="H4472" s="576">
        <v>16185</v>
      </c>
    </row>
    <row r="4473" spans="1:8">
      <c r="A4473" s="575" t="s">
        <v>640</v>
      </c>
      <c r="B4473" s="575">
        <v>250000</v>
      </c>
      <c r="C4473" s="576">
        <v>12</v>
      </c>
      <c r="D4473" s="576">
        <v>0.315</v>
      </c>
      <c r="E4473" s="576">
        <v>78755</v>
      </c>
      <c r="F4473" s="576">
        <v>328755</v>
      </c>
      <c r="G4473" s="576">
        <v>8751</v>
      </c>
      <c r="H4473" s="576">
        <v>26667</v>
      </c>
    </row>
    <row r="4474" spans="1:8">
      <c r="A4474" s="575" t="s">
        <v>640</v>
      </c>
      <c r="B4474" s="575">
        <v>250000</v>
      </c>
      <c r="C4474" s="576">
        <v>18</v>
      </c>
      <c r="D4474" s="576">
        <v>0.315</v>
      </c>
      <c r="E4474" s="576">
        <v>118140</v>
      </c>
      <c r="F4474" s="576">
        <v>368140</v>
      </c>
      <c r="G4474" s="576">
        <v>13126</v>
      </c>
      <c r="H4474" s="576">
        <v>19723</v>
      </c>
    </row>
    <row r="4475" spans="1:8">
      <c r="A4475" s="575" t="s">
        <v>640</v>
      </c>
      <c r="B4475" s="575">
        <v>250000</v>
      </c>
      <c r="C4475" s="576">
        <v>24</v>
      </c>
      <c r="D4475" s="576">
        <v>0.315</v>
      </c>
      <c r="E4475" s="576">
        <v>157501</v>
      </c>
      <c r="F4475" s="576">
        <v>407501</v>
      </c>
      <c r="G4475" s="576">
        <v>17501</v>
      </c>
      <c r="H4475" s="576">
        <v>16250</v>
      </c>
    </row>
    <row r="4476" spans="1:8">
      <c r="A4476" s="575" t="s">
        <v>645</v>
      </c>
      <c r="B4476" s="575">
        <v>51000</v>
      </c>
      <c r="C4476" s="576">
        <v>12</v>
      </c>
      <c r="D4476" s="576">
        <v>0.315</v>
      </c>
      <c r="E4476" s="576">
        <v>16066</v>
      </c>
      <c r="F4476" s="576">
        <v>67066</v>
      </c>
      <c r="G4476" s="576">
        <v>1786</v>
      </c>
      <c r="H4476" s="576">
        <v>5440</v>
      </c>
    </row>
    <row r="4477" spans="1:8">
      <c r="A4477" s="575" t="s">
        <v>645</v>
      </c>
      <c r="B4477" s="575">
        <v>51000</v>
      </c>
      <c r="C4477" s="576">
        <v>18</v>
      </c>
      <c r="D4477" s="576">
        <v>0.315</v>
      </c>
      <c r="E4477" s="576">
        <v>24110</v>
      </c>
      <c r="F4477" s="576">
        <v>75110</v>
      </c>
      <c r="G4477" s="576">
        <v>2678</v>
      </c>
      <c r="H4477" s="576">
        <v>4024</v>
      </c>
    </row>
    <row r="4478" spans="1:8">
      <c r="A4478" s="575" t="s">
        <v>645</v>
      </c>
      <c r="B4478" s="575">
        <v>51000</v>
      </c>
      <c r="C4478" s="576">
        <v>24</v>
      </c>
      <c r="D4478" s="576">
        <v>0.315</v>
      </c>
      <c r="E4478" s="576">
        <v>32131</v>
      </c>
      <c r="F4478" s="576">
        <v>83131</v>
      </c>
      <c r="G4478" s="576">
        <v>3571</v>
      </c>
      <c r="H4478" s="576">
        <v>3315</v>
      </c>
    </row>
    <row r="4479" spans="1:8">
      <c r="A4479" s="575" t="s">
        <v>645</v>
      </c>
      <c r="B4479" s="575">
        <v>52000</v>
      </c>
      <c r="C4479" s="576">
        <v>12</v>
      </c>
      <c r="D4479" s="576">
        <v>0.315</v>
      </c>
      <c r="E4479" s="576">
        <v>16385</v>
      </c>
      <c r="F4479" s="576">
        <v>68385</v>
      </c>
      <c r="G4479" s="576">
        <v>1821</v>
      </c>
      <c r="H4479" s="576">
        <v>5547</v>
      </c>
    </row>
    <row r="4480" spans="1:8">
      <c r="A4480" s="575" t="s">
        <v>645</v>
      </c>
      <c r="B4480" s="575">
        <v>52000</v>
      </c>
      <c r="C4480" s="576">
        <v>18</v>
      </c>
      <c r="D4480" s="576">
        <v>0.315</v>
      </c>
      <c r="E4480" s="576">
        <v>24585</v>
      </c>
      <c r="F4480" s="576">
        <v>76585</v>
      </c>
      <c r="G4480" s="576">
        <v>2731</v>
      </c>
      <c r="H4480" s="576">
        <v>4103</v>
      </c>
    </row>
    <row r="4481" spans="1:8">
      <c r="A4481" s="575" t="s">
        <v>645</v>
      </c>
      <c r="B4481" s="575">
        <v>52000</v>
      </c>
      <c r="C4481" s="576">
        <v>24</v>
      </c>
      <c r="D4481" s="576">
        <v>0.315</v>
      </c>
      <c r="E4481" s="576">
        <v>32761</v>
      </c>
      <c r="F4481" s="576">
        <v>84761</v>
      </c>
      <c r="G4481" s="576">
        <v>3641</v>
      </c>
      <c r="H4481" s="576">
        <v>3380</v>
      </c>
    </row>
    <row r="4482" spans="1:8">
      <c r="A4482" s="575" t="s">
        <v>645</v>
      </c>
      <c r="B4482" s="575">
        <v>53000</v>
      </c>
      <c r="C4482" s="576">
        <v>12</v>
      </c>
      <c r="D4482" s="576">
        <v>0.315</v>
      </c>
      <c r="E4482" s="576">
        <v>16704</v>
      </c>
      <c r="F4482" s="576">
        <v>69704</v>
      </c>
      <c r="G4482" s="576">
        <v>1856</v>
      </c>
      <c r="H4482" s="576">
        <v>5654</v>
      </c>
    </row>
    <row r="4483" spans="1:8">
      <c r="A4483" s="575" t="s">
        <v>645</v>
      </c>
      <c r="B4483" s="575">
        <v>53000</v>
      </c>
      <c r="C4483" s="576">
        <v>18</v>
      </c>
      <c r="D4483" s="576">
        <v>0.315</v>
      </c>
      <c r="E4483" s="576">
        <v>25059</v>
      </c>
      <c r="F4483" s="576">
        <v>78059</v>
      </c>
      <c r="G4483" s="576">
        <v>2783</v>
      </c>
      <c r="H4483" s="576">
        <v>4182</v>
      </c>
    </row>
    <row r="4484" spans="1:8">
      <c r="A4484" s="575" t="s">
        <v>645</v>
      </c>
      <c r="B4484" s="575">
        <v>53000</v>
      </c>
      <c r="C4484" s="576">
        <v>24</v>
      </c>
      <c r="D4484" s="576">
        <v>0.315</v>
      </c>
      <c r="E4484" s="576">
        <v>33391</v>
      </c>
      <c r="F4484" s="576">
        <v>86391</v>
      </c>
      <c r="G4484" s="576">
        <v>3711</v>
      </c>
      <c r="H4484" s="576">
        <v>3445</v>
      </c>
    </row>
    <row r="4485" spans="1:8">
      <c r="A4485" s="575" t="s">
        <v>645</v>
      </c>
      <c r="B4485" s="575">
        <v>54000</v>
      </c>
      <c r="C4485" s="576">
        <v>12</v>
      </c>
      <c r="D4485" s="576">
        <v>0.315</v>
      </c>
      <c r="E4485" s="576">
        <v>17011</v>
      </c>
      <c r="F4485" s="576">
        <v>71011</v>
      </c>
      <c r="G4485" s="576">
        <v>1891</v>
      </c>
      <c r="H4485" s="576">
        <v>5760</v>
      </c>
    </row>
    <row r="4486" spans="1:8">
      <c r="A4486" s="575" t="s">
        <v>645</v>
      </c>
      <c r="B4486" s="575">
        <v>54000</v>
      </c>
      <c r="C4486" s="576">
        <v>18</v>
      </c>
      <c r="D4486" s="576">
        <v>0.315</v>
      </c>
      <c r="E4486" s="576">
        <v>25516</v>
      </c>
      <c r="F4486" s="576">
        <v>79516</v>
      </c>
      <c r="G4486" s="576">
        <v>2836</v>
      </c>
      <c r="H4486" s="576">
        <v>4260</v>
      </c>
    </row>
    <row r="4487" spans="1:8">
      <c r="A4487" s="575" t="s">
        <v>645</v>
      </c>
      <c r="B4487" s="575">
        <v>54000</v>
      </c>
      <c r="C4487" s="576">
        <v>24</v>
      </c>
      <c r="D4487" s="576">
        <v>0.315</v>
      </c>
      <c r="E4487" s="576">
        <v>34021</v>
      </c>
      <c r="F4487" s="576">
        <v>88021</v>
      </c>
      <c r="G4487" s="576">
        <v>3781</v>
      </c>
      <c r="H4487" s="576">
        <v>3510</v>
      </c>
    </row>
    <row r="4488" spans="1:8">
      <c r="A4488" s="575" t="s">
        <v>645</v>
      </c>
      <c r="B4488" s="575">
        <v>55000</v>
      </c>
      <c r="C4488" s="576">
        <v>12</v>
      </c>
      <c r="D4488" s="576">
        <v>0.315</v>
      </c>
      <c r="E4488" s="576">
        <v>17330</v>
      </c>
      <c r="F4488" s="576">
        <v>72330</v>
      </c>
      <c r="G4488" s="576">
        <v>1926</v>
      </c>
      <c r="H4488" s="576">
        <v>5867</v>
      </c>
    </row>
    <row r="4489" spans="1:8">
      <c r="A4489" s="575" t="s">
        <v>645</v>
      </c>
      <c r="B4489" s="575">
        <v>55000</v>
      </c>
      <c r="C4489" s="576">
        <v>18</v>
      </c>
      <c r="D4489" s="576">
        <v>0.315</v>
      </c>
      <c r="E4489" s="576">
        <v>25990</v>
      </c>
      <c r="F4489" s="576">
        <v>80990</v>
      </c>
      <c r="G4489" s="576">
        <v>2888</v>
      </c>
      <c r="H4489" s="576">
        <v>4339</v>
      </c>
    </row>
    <row r="4490" spans="1:8">
      <c r="A4490" s="575" t="s">
        <v>645</v>
      </c>
      <c r="B4490" s="575">
        <v>55000</v>
      </c>
      <c r="C4490" s="576">
        <v>24</v>
      </c>
      <c r="D4490" s="576">
        <v>0.315</v>
      </c>
      <c r="E4490" s="576">
        <v>34651</v>
      </c>
      <c r="F4490" s="576">
        <v>89651</v>
      </c>
      <c r="G4490" s="576">
        <v>3851</v>
      </c>
      <c r="H4490" s="576">
        <v>3575</v>
      </c>
    </row>
    <row r="4491" spans="1:8">
      <c r="A4491" s="575" t="s">
        <v>645</v>
      </c>
      <c r="B4491" s="575">
        <v>56000</v>
      </c>
      <c r="C4491" s="576">
        <v>12</v>
      </c>
      <c r="D4491" s="576">
        <v>0.315</v>
      </c>
      <c r="E4491" s="576">
        <v>17649</v>
      </c>
      <c r="F4491" s="576">
        <v>73649</v>
      </c>
      <c r="G4491" s="576">
        <v>1961</v>
      </c>
      <c r="H4491" s="576">
        <v>5974</v>
      </c>
    </row>
    <row r="4492" spans="1:8">
      <c r="A4492" s="575" t="s">
        <v>645</v>
      </c>
      <c r="B4492" s="575">
        <v>56000</v>
      </c>
      <c r="C4492" s="576">
        <v>18</v>
      </c>
      <c r="D4492" s="576">
        <v>0.315</v>
      </c>
      <c r="E4492" s="576">
        <v>26465</v>
      </c>
      <c r="F4492" s="576">
        <v>82465</v>
      </c>
      <c r="G4492" s="576">
        <v>2941</v>
      </c>
      <c r="H4492" s="576">
        <v>4418</v>
      </c>
    </row>
    <row r="4493" spans="1:8">
      <c r="A4493" s="575" t="s">
        <v>645</v>
      </c>
      <c r="B4493" s="575">
        <v>56000</v>
      </c>
      <c r="C4493" s="576">
        <v>24</v>
      </c>
      <c r="D4493" s="576">
        <v>0.315</v>
      </c>
      <c r="E4493" s="576">
        <v>35281</v>
      </c>
      <c r="F4493" s="576">
        <v>91281</v>
      </c>
      <c r="G4493" s="576">
        <v>3921</v>
      </c>
      <c r="H4493" s="576">
        <v>3640</v>
      </c>
    </row>
    <row r="4494" spans="1:8">
      <c r="A4494" s="575" t="s">
        <v>645</v>
      </c>
      <c r="B4494" s="575">
        <v>57000</v>
      </c>
      <c r="C4494" s="576">
        <v>12</v>
      </c>
      <c r="D4494" s="576">
        <v>0.315</v>
      </c>
      <c r="E4494" s="576">
        <v>17956</v>
      </c>
      <c r="F4494" s="576">
        <v>74956</v>
      </c>
      <c r="G4494" s="576">
        <v>1996</v>
      </c>
      <c r="H4494" s="576">
        <v>6080</v>
      </c>
    </row>
    <row r="4495" spans="1:8">
      <c r="A4495" s="575" t="s">
        <v>645</v>
      </c>
      <c r="B4495" s="575">
        <v>57000</v>
      </c>
      <c r="C4495" s="576">
        <v>18</v>
      </c>
      <c r="D4495" s="576">
        <v>0.315</v>
      </c>
      <c r="E4495" s="576">
        <v>26939</v>
      </c>
      <c r="F4495" s="576">
        <v>83939</v>
      </c>
      <c r="G4495" s="576">
        <v>2993</v>
      </c>
      <c r="H4495" s="576">
        <v>4497</v>
      </c>
    </row>
    <row r="4496" spans="1:8">
      <c r="A4496" s="575" t="s">
        <v>645</v>
      </c>
      <c r="B4496" s="575">
        <v>57000</v>
      </c>
      <c r="C4496" s="576">
        <v>24</v>
      </c>
      <c r="D4496" s="576">
        <v>0.315</v>
      </c>
      <c r="E4496" s="576">
        <v>35911</v>
      </c>
      <c r="F4496" s="576">
        <v>92911</v>
      </c>
      <c r="G4496" s="576">
        <v>3991</v>
      </c>
      <c r="H4496" s="576">
        <v>3705</v>
      </c>
    </row>
    <row r="4497" spans="1:8">
      <c r="A4497" s="575" t="s">
        <v>645</v>
      </c>
      <c r="B4497" s="575">
        <v>58000</v>
      </c>
      <c r="C4497" s="576">
        <v>12</v>
      </c>
      <c r="D4497" s="576">
        <v>0.315</v>
      </c>
      <c r="E4497" s="576">
        <v>18275</v>
      </c>
      <c r="F4497" s="576">
        <v>76275</v>
      </c>
      <c r="G4497" s="576">
        <v>2031</v>
      </c>
      <c r="H4497" s="576">
        <v>6187</v>
      </c>
    </row>
    <row r="4498" spans="1:8">
      <c r="A4498" s="575" t="s">
        <v>645</v>
      </c>
      <c r="B4498" s="575">
        <v>58000</v>
      </c>
      <c r="C4498" s="576">
        <v>18</v>
      </c>
      <c r="D4498" s="576">
        <v>0.315</v>
      </c>
      <c r="E4498" s="576">
        <v>27414</v>
      </c>
      <c r="F4498" s="576">
        <v>85414</v>
      </c>
      <c r="G4498" s="576">
        <v>3046</v>
      </c>
      <c r="H4498" s="576">
        <v>4576</v>
      </c>
    </row>
    <row r="4499" spans="1:8">
      <c r="A4499" s="575" t="s">
        <v>645</v>
      </c>
      <c r="B4499" s="575">
        <v>58000</v>
      </c>
      <c r="C4499" s="576">
        <v>24</v>
      </c>
      <c r="D4499" s="576">
        <v>0.315</v>
      </c>
      <c r="E4499" s="576">
        <v>36541</v>
      </c>
      <c r="F4499" s="576">
        <v>94541</v>
      </c>
      <c r="G4499" s="576">
        <v>4061</v>
      </c>
      <c r="H4499" s="576">
        <v>3770</v>
      </c>
    </row>
    <row r="4500" spans="1:8">
      <c r="A4500" s="575" t="s">
        <v>645</v>
      </c>
      <c r="B4500" s="575">
        <v>59000</v>
      </c>
      <c r="C4500" s="576">
        <v>12</v>
      </c>
      <c r="D4500" s="576">
        <v>0.315</v>
      </c>
      <c r="E4500" s="576">
        <v>18594</v>
      </c>
      <c r="F4500" s="576">
        <v>77594</v>
      </c>
      <c r="G4500" s="576">
        <v>2066</v>
      </c>
      <c r="H4500" s="576">
        <v>6294</v>
      </c>
    </row>
    <row r="4501" spans="1:8">
      <c r="A4501" s="575" t="s">
        <v>645</v>
      </c>
      <c r="B4501" s="575">
        <v>59000</v>
      </c>
      <c r="C4501" s="576">
        <v>18</v>
      </c>
      <c r="D4501" s="576">
        <v>0.315</v>
      </c>
      <c r="E4501" s="576">
        <v>27888</v>
      </c>
      <c r="F4501" s="576">
        <v>86888</v>
      </c>
      <c r="G4501" s="576">
        <v>3098</v>
      </c>
      <c r="H4501" s="576">
        <v>4655</v>
      </c>
    </row>
    <row r="4502" spans="1:8">
      <c r="A4502" s="575" t="s">
        <v>645</v>
      </c>
      <c r="B4502" s="575">
        <v>59000</v>
      </c>
      <c r="C4502" s="576">
        <v>24</v>
      </c>
      <c r="D4502" s="576">
        <v>0.315</v>
      </c>
      <c r="E4502" s="576">
        <v>37171</v>
      </c>
      <c r="F4502" s="576">
        <v>96171</v>
      </c>
      <c r="G4502" s="576">
        <v>4131</v>
      </c>
      <c r="H4502" s="576">
        <v>3835</v>
      </c>
    </row>
    <row r="4503" spans="1:8">
      <c r="A4503" s="575" t="s">
        <v>645</v>
      </c>
      <c r="B4503" s="575">
        <v>60000</v>
      </c>
      <c r="C4503" s="576">
        <v>12</v>
      </c>
      <c r="D4503" s="576">
        <v>0.315</v>
      </c>
      <c r="E4503" s="576">
        <v>18901</v>
      </c>
      <c r="F4503" s="576">
        <v>78901</v>
      </c>
      <c r="G4503" s="576">
        <v>2101</v>
      </c>
      <c r="H4503" s="576">
        <v>6400</v>
      </c>
    </row>
    <row r="4504" spans="1:8">
      <c r="A4504" s="575" t="s">
        <v>645</v>
      </c>
      <c r="B4504" s="575">
        <v>60000</v>
      </c>
      <c r="C4504" s="576">
        <v>18</v>
      </c>
      <c r="D4504" s="576">
        <v>0.315</v>
      </c>
      <c r="E4504" s="576">
        <v>28363</v>
      </c>
      <c r="F4504" s="576">
        <v>88363</v>
      </c>
      <c r="G4504" s="576">
        <v>3151</v>
      </c>
      <c r="H4504" s="576">
        <v>4734</v>
      </c>
    </row>
    <row r="4505" spans="1:8">
      <c r="A4505" s="575" t="s">
        <v>645</v>
      </c>
      <c r="B4505" s="575">
        <v>60000</v>
      </c>
      <c r="C4505" s="576">
        <v>24</v>
      </c>
      <c r="D4505" s="576">
        <v>0.315</v>
      </c>
      <c r="E4505" s="576">
        <v>37801</v>
      </c>
      <c r="F4505" s="576">
        <v>97801</v>
      </c>
      <c r="G4505" s="576">
        <v>4201</v>
      </c>
      <c r="H4505" s="576">
        <v>3900</v>
      </c>
    </row>
    <row r="4506" spans="1:8">
      <c r="A4506" s="575" t="s">
        <v>645</v>
      </c>
      <c r="B4506" s="575">
        <v>61000</v>
      </c>
      <c r="C4506" s="576">
        <v>12</v>
      </c>
      <c r="D4506" s="576">
        <v>0.315</v>
      </c>
      <c r="E4506" s="576">
        <v>19220</v>
      </c>
      <c r="F4506" s="576">
        <v>80220</v>
      </c>
      <c r="G4506" s="576">
        <v>2136</v>
      </c>
      <c r="H4506" s="576">
        <v>6507</v>
      </c>
    </row>
    <row r="4507" spans="1:8">
      <c r="A4507" s="575" t="s">
        <v>645</v>
      </c>
      <c r="B4507" s="575">
        <v>61000</v>
      </c>
      <c r="C4507" s="576">
        <v>18</v>
      </c>
      <c r="D4507" s="576">
        <v>0.315</v>
      </c>
      <c r="E4507" s="576">
        <v>28837</v>
      </c>
      <c r="F4507" s="576">
        <v>89837</v>
      </c>
      <c r="G4507" s="576">
        <v>3203</v>
      </c>
      <c r="H4507" s="576">
        <v>4813</v>
      </c>
    </row>
    <row r="4508" spans="1:8">
      <c r="A4508" s="575" t="s">
        <v>645</v>
      </c>
      <c r="B4508" s="575">
        <v>61000</v>
      </c>
      <c r="C4508" s="576">
        <v>24</v>
      </c>
      <c r="D4508" s="576">
        <v>0.315</v>
      </c>
      <c r="E4508" s="576">
        <v>38431</v>
      </c>
      <c r="F4508" s="576">
        <v>99431</v>
      </c>
      <c r="G4508" s="576">
        <v>4271</v>
      </c>
      <c r="H4508" s="576">
        <v>3965</v>
      </c>
    </row>
    <row r="4509" spans="1:8">
      <c r="A4509" s="575" t="s">
        <v>645</v>
      </c>
      <c r="B4509" s="575">
        <v>62000</v>
      </c>
      <c r="C4509" s="576">
        <v>12</v>
      </c>
      <c r="D4509" s="576">
        <v>0.315</v>
      </c>
      <c r="E4509" s="576">
        <v>19539</v>
      </c>
      <c r="F4509" s="576">
        <v>81539</v>
      </c>
      <c r="G4509" s="576">
        <v>2171</v>
      </c>
      <c r="H4509" s="576">
        <v>6614</v>
      </c>
    </row>
    <row r="4510" spans="1:8">
      <c r="A4510" s="575" t="s">
        <v>645</v>
      </c>
      <c r="B4510" s="575">
        <v>62000</v>
      </c>
      <c r="C4510" s="576">
        <v>18</v>
      </c>
      <c r="D4510" s="576">
        <v>0.315</v>
      </c>
      <c r="E4510" s="576">
        <v>29312</v>
      </c>
      <c r="F4510" s="576">
        <v>91312</v>
      </c>
      <c r="G4510" s="576">
        <v>3256</v>
      </c>
      <c r="H4510" s="576">
        <v>4892</v>
      </c>
    </row>
    <row r="4511" spans="1:8">
      <c r="A4511" s="575" t="s">
        <v>645</v>
      </c>
      <c r="B4511" s="575">
        <v>62000</v>
      </c>
      <c r="C4511" s="576">
        <v>24</v>
      </c>
      <c r="D4511" s="576">
        <v>0.315</v>
      </c>
      <c r="E4511" s="576">
        <v>39061</v>
      </c>
      <c r="F4511" s="576">
        <v>101061</v>
      </c>
      <c r="G4511" s="576">
        <v>4341</v>
      </c>
      <c r="H4511" s="576">
        <v>4030</v>
      </c>
    </row>
    <row r="4512" spans="1:8">
      <c r="A4512" s="575" t="s">
        <v>645</v>
      </c>
      <c r="B4512" s="575">
        <v>63000</v>
      </c>
      <c r="C4512" s="576">
        <v>12</v>
      </c>
      <c r="D4512" s="576">
        <v>0.315</v>
      </c>
      <c r="E4512" s="576">
        <v>19846</v>
      </c>
      <c r="F4512" s="576">
        <v>82846</v>
      </c>
      <c r="G4512" s="576">
        <v>2206</v>
      </c>
      <c r="H4512" s="576">
        <v>6720</v>
      </c>
    </row>
    <row r="4513" spans="1:8">
      <c r="A4513" s="575" t="s">
        <v>645</v>
      </c>
      <c r="B4513" s="575">
        <v>63000</v>
      </c>
      <c r="C4513" s="576">
        <v>18</v>
      </c>
      <c r="D4513" s="576">
        <v>0.315</v>
      </c>
      <c r="E4513" s="576">
        <v>29768</v>
      </c>
      <c r="F4513" s="576">
        <v>92768</v>
      </c>
      <c r="G4513" s="576">
        <v>3308</v>
      </c>
      <c r="H4513" s="576">
        <v>4970</v>
      </c>
    </row>
    <row r="4514" spans="1:8">
      <c r="A4514" s="575" t="s">
        <v>645</v>
      </c>
      <c r="B4514" s="575">
        <v>63000</v>
      </c>
      <c r="C4514" s="576">
        <v>24</v>
      </c>
      <c r="D4514" s="576">
        <v>0.315</v>
      </c>
      <c r="E4514" s="576">
        <v>39691</v>
      </c>
      <c r="F4514" s="576">
        <v>102691</v>
      </c>
      <c r="G4514" s="576">
        <v>4411</v>
      </c>
      <c r="H4514" s="576">
        <v>4095</v>
      </c>
    </row>
    <row r="4515" spans="1:8">
      <c r="A4515" s="575" t="s">
        <v>645</v>
      </c>
      <c r="B4515" s="575">
        <v>64000</v>
      </c>
      <c r="C4515" s="576">
        <v>12</v>
      </c>
      <c r="D4515" s="576">
        <v>0.315</v>
      </c>
      <c r="E4515" s="576">
        <v>20165</v>
      </c>
      <c r="F4515" s="576">
        <v>84165</v>
      </c>
      <c r="G4515" s="576">
        <v>2241</v>
      </c>
      <c r="H4515" s="576">
        <v>6827</v>
      </c>
    </row>
    <row r="4516" spans="1:8">
      <c r="A4516" s="575" t="s">
        <v>645</v>
      </c>
      <c r="B4516" s="575">
        <v>64000</v>
      </c>
      <c r="C4516" s="576">
        <v>18</v>
      </c>
      <c r="D4516" s="576">
        <v>0.315</v>
      </c>
      <c r="E4516" s="576">
        <v>30243</v>
      </c>
      <c r="F4516" s="576">
        <v>94243</v>
      </c>
      <c r="G4516" s="576">
        <v>3361</v>
      </c>
      <c r="H4516" s="576">
        <v>5049</v>
      </c>
    </row>
    <row r="4517" spans="1:8">
      <c r="A4517" s="575" t="s">
        <v>645</v>
      </c>
      <c r="B4517" s="575">
        <v>64000</v>
      </c>
      <c r="C4517" s="576">
        <v>24</v>
      </c>
      <c r="D4517" s="576">
        <v>0.315</v>
      </c>
      <c r="E4517" s="576">
        <v>40321</v>
      </c>
      <c r="F4517" s="576">
        <v>104321</v>
      </c>
      <c r="G4517" s="576">
        <v>4481</v>
      </c>
      <c r="H4517" s="576">
        <v>4160</v>
      </c>
    </row>
    <row r="4518" spans="1:8">
      <c r="A4518" s="575" t="s">
        <v>645</v>
      </c>
      <c r="B4518" s="575">
        <v>65000</v>
      </c>
      <c r="C4518" s="576">
        <v>12</v>
      </c>
      <c r="D4518" s="576">
        <v>0.315</v>
      </c>
      <c r="E4518" s="576">
        <v>20484</v>
      </c>
      <c r="F4518" s="576">
        <v>85484</v>
      </c>
      <c r="G4518" s="576">
        <v>2276</v>
      </c>
      <c r="H4518" s="576">
        <v>6934</v>
      </c>
    </row>
    <row r="4519" spans="1:8">
      <c r="A4519" s="575" t="s">
        <v>645</v>
      </c>
      <c r="B4519" s="575">
        <v>65000</v>
      </c>
      <c r="C4519" s="576">
        <v>18</v>
      </c>
      <c r="D4519" s="576">
        <v>0.315</v>
      </c>
      <c r="E4519" s="576">
        <v>30717</v>
      </c>
      <c r="F4519" s="576">
        <v>95717</v>
      </c>
      <c r="G4519" s="576">
        <v>3413</v>
      </c>
      <c r="H4519" s="576">
        <v>5128</v>
      </c>
    </row>
    <row r="4520" spans="1:8">
      <c r="A4520" s="575" t="s">
        <v>645</v>
      </c>
      <c r="B4520" s="575">
        <v>65000</v>
      </c>
      <c r="C4520" s="576">
        <v>24</v>
      </c>
      <c r="D4520" s="576">
        <v>0.315</v>
      </c>
      <c r="E4520" s="576">
        <v>40951</v>
      </c>
      <c r="F4520" s="576">
        <v>105951</v>
      </c>
      <c r="G4520" s="576">
        <v>4551</v>
      </c>
      <c r="H4520" s="576">
        <v>4225</v>
      </c>
    </row>
    <row r="4521" spans="1:8">
      <c r="A4521" s="575" t="s">
        <v>645</v>
      </c>
      <c r="B4521" s="575">
        <v>66000</v>
      </c>
      <c r="C4521" s="576">
        <v>12</v>
      </c>
      <c r="D4521" s="576">
        <v>0.315</v>
      </c>
      <c r="E4521" s="576">
        <v>20791</v>
      </c>
      <c r="F4521" s="576">
        <v>86791</v>
      </c>
      <c r="G4521" s="576">
        <v>2311</v>
      </c>
      <c r="H4521" s="576">
        <v>7040</v>
      </c>
    </row>
    <row r="4522" spans="1:8">
      <c r="A4522" s="575" t="s">
        <v>645</v>
      </c>
      <c r="B4522" s="575">
        <v>66000</v>
      </c>
      <c r="C4522" s="576">
        <v>18</v>
      </c>
      <c r="D4522" s="576">
        <v>0.315</v>
      </c>
      <c r="E4522" s="576">
        <v>31192</v>
      </c>
      <c r="F4522" s="576">
        <v>97192</v>
      </c>
      <c r="G4522" s="576">
        <v>3466</v>
      </c>
      <c r="H4522" s="576">
        <v>5207</v>
      </c>
    </row>
    <row r="4523" spans="1:8">
      <c r="A4523" s="575" t="s">
        <v>645</v>
      </c>
      <c r="B4523" s="575">
        <v>66000</v>
      </c>
      <c r="C4523" s="576">
        <v>24</v>
      </c>
      <c r="D4523" s="576">
        <v>0.315</v>
      </c>
      <c r="E4523" s="576">
        <v>41581</v>
      </c>
      <c r="F4523" s="576">
        <v>107581</v>
      </c>
      <c r="G4523" s="576">
        <v>4621</v>
      </c>
      <c r="H4523" s="576">
        <v>4290</v>
      </c>
    </row>
    <row r="4524" spans="1:8">
      <c r="A4524" s="575" t="s">
        <v>645</v>
      </c>
      <c r="B4524" s="575">
        <v>67000</v>
      </c>
      <c r="C4524" s="576">
        <v>12</v>
      </c>
      <c r="D4524" s="576">
        <v>0.315</v>
      </c>
      <c r="E4524" s="576">
        <v>21110</v>
      </c>
      <c r="F4524" s="576">
        <v>88110</v>
      </c>
      <c r="G4524" s="576">
        <v>2346</v>
      </c>
      <c r="H4524" s="576">
        <v>7147</v>
      </c>
    </row>
    <row r="4525" spans="1:8">
      <c r="A4525" s="575" t="s">
        <v>645</v>
      </c>
      <c r="B4525" s="575">
        <v>67000</v>
      </c>
      <c r="C4525" s="576">
        <v>18</v>
      </c>
      <c r="D4525" s="576">
        <v>0.315</v>
      </c>
      <c r="E4525" s="576">
        <v>31666</v>
      </c>
      <c r="F4525" s="576">
        <v>98666</v>
      </c>
      <c r="G4525" s="576">
        <v>3518</v>
      </c>
      <c r="H4525" s="576">
        <v>5286</v>
      </c>
    </row>
    <row r="4526" spans="1:8">
      <c r="A4526" s="575" t="s">
        <v>645</v>
      </c>
      <c r="B4526" s="575">
        <v>67000</v>
      </c>
      <c r="C4526" s="576">
        <v>24</v>
      </c>
      <c r="D4526" s="576">
        <v>0.315</v>
      </c>
      <c r="E4526" s="576">
        <v>42211</v>
      </c>
      <c r="F4526" s="576">
        <v>109211</v>
      </c>
      <c r="G4526" s="576">
        <v>4691</v>
      </c>
      <c r="H4526" s="576">
        <v>4355</v>
      </c>
    </row>
    <row r="4527" spans="1:8">
      <c r="A4527" s="575" t="s">
        <v>645</v>
      </c>
      <c r="B4527" s="575">
        <v>68000</v>
      </c>
      <c r="C4527" s="576">
        <v>12</v>
      </c>
      <c r="D4527" s="576">
        <v>0.315</v>
      </c>
      <c r="E4527" s="576">
        <v>21429</v>
      </c>
      <c r="F4527" s="576">
        <v>89429</v>
      </c>
      <c r="G4527" s="576">
        <v>2381</v>
      </c>
      <c r="H4527" s="576">
        <v>7254</v>
      </c>
    </row>
    <row r="4528" spans="1:8">
      <c r="A4528" s="575" t="s">
        <v>645</v>
      </c>
      <c r="B4528" s="575">
        <v>68000</v>
      </c>
      <c r="C4528" s="576">
        <v>18</v>
      </c>
      <c r="D4528" s="576">
        <v>0.315</v>
      </c>
      <c r="E4528" s="576">
        <v>32141</v>
      </c>
      <c r="F4528" s="576">
        <v>100141</v>
      </c>
      <c r="G4528" s="576">
        <v>3571</v>
      </c>
      <c r="H4528" s="576">
        <v>5365</v>
      </c>
    </row>
    <row r="4529" spans="1:8">
      <c r="A4529" s="575" t="s">
        <v>645</v>
      </c>
      <c r="B4529" s="575">
        <v>68000</v>
      </c>
      <c r="C4529" s="576">
        <v>24</v>
      </c>
      <c r="D4529" s="576">
        <v>0.315</v>
      </c>
      <c r="E4529" s="576">
        <v>42841</v>
      </c>
      <c r="F4529" s="576">
        <v>110841</v>
      </c>
      <c r="G4529" s="576">
        <v>4761</v>
      </c>
      <c r="H4529" s="576">
        <v>4420</v>
      </c>
    </row>
    <row r="4530" spans="1:8">
      <c r="A4530" s="575" t="s">
        <v>645</v>
      </c>
      <c r="B4530" s="575">
        <v>69000</v>
      </c>
      <c r="C4530" s="576">
        <v>12</v>
      </c>
      <c r="D4530" s="576">
        <v>0.315</v>
      </c>
      <c r="E4530" s="576">
        <v>21736</v>
      </c>
      <c r="F4530" s="576">
        <v>90736</v>
      </c>
      <c r="G4530" s="576">
        <v>2416</v>
      </c>
      <c r="H4530" s="576">
        <v>7360</v>
      </c>
    </row>
    <row r="4531" spans="1:8">
      <c r="A4531" s="575" t="s">
        <v>645</v>
      </c>
      <c r="B4531" s="575">
        <v>69000</v>
      </c>
      <c r="C4531" s="576">
        <v>18</v>
      </c>
      <c r="D4531" s="576">
        <v>0.315</v>
      </c>
      <c r="E4531" s="576">
        <v>32615</v>
      </c>
      <c r="F4531" s="576">
        <v>101615</v>
      </c>
      <c r="G4531" s="576">
        <v>3623</v>
      </c>
      <c r="H4531" s="576">
        <v>5444</v>
      </c>
    </row>
    <row r="4532" spans="1:8">
      <c r="A4532" s="575" t="s">
        <v>645</v>
      </c>
      <c r="B4532" s="575">
        <v>69000</v>
      </c>
      <c r="C4532" s="576">
        <v>24</v>
      </c>
      <c r="D4532" s="576">
        <v>0.315</v>
      </c>
      <c r="E4532" s="576">
        <v>43471</v>
      </c>
      <c r="F4532" s="576">
        <v>112471</v>
      </c>
      <c r="G4532" s="576">
        <v>4831</v>
      </c>
      <c r="H4532" s="576">
        <v>4485</v>
      </c>
    </row>
    <row r="4533" spans="1:8">
      <c r="A4533" s="575" t="s">
        <v>645</v>
      </c>
      <c r="B4533" s="575">
        <v>70000</v>
      </c>
      <c r="C4533" s="576">
        <v>12</v>
      </c>
      <c r="D4533" s="576">
        <v>0.315</v>
      </c>
      <c r="E4533" s="576">
        <v>22055</v>
      </c>
      <c r="F4533" s="576">
        <v>92055</v>
      </c>
      <c r="G4533" s="576">
        <v>2451</v>
      </c>
      <c r="H4533" s="576">
        <v>7467</v>
      </c>
    </row>
    <row r="4534" spans="1:8">
      <c r="A4534" s="575" t="s">
        <v>645</v>
      </c>
      <c r="B4534" s="575">
        <v>70000</v>
      </c>
      <c r="C4534" s="576">
        <v>18</v>
      </c>
      <c r="D4534" s="576">
        <v>0.315</v>
      </c>
      <c r="E4534" s="576">
        <v>33090</v>
      </c>
      <c r="F4534" s="576">
        <v>103090</v>
      </c>
      <c r="G4534" s="576">
        <v>3676</v>
      </c>
      <c r="H4534" s="576">
        <v>5523</v>
      </c>
    </row>
    <row r="4535" spans="1:8">
      <c r="A4535" s="575" t="s">
        <v>645</v>
      </c>
      <c r="B4535" s="575">
        <v>70000</v>
      </c>
      <c r="C4535" s="576">
        <v>24</v>
      </c>
      <c r="D4535" s="576">
        <v>0.315</v>
      </c>
      <c r="E4535" s="576">
        <v>44101</v>
      </c>
      <c r="F4535" s="576">
        <v>114101</v>
      </c>
      <c r="G4535" s="576">
        <v>4901</v>
      </c>
      <c r="H4535" s="576">
        <v>4550</v>
      </c>
    </row>
    <row r="4536" spans="1:8">
      <c r="A4536" s="575" t="s">
        <v>645</v>
      </c>
      <c r="B4536" s="575">
        <v>71000</v>
      </c>
      <c r="C4536" s="576">
        <v>12</v>
      </c>
      <c r="D4536" s="576">
        <v>0.315</v>
      </c>
      <c r="E4536" s="576">
        <v>22374</v>
      </c>
      <c r="F4536" s="576">
        <v>93374</v>
      </c>
      <c r="G4536" s="576">
        <v>2486</v>
      </c>
      <c r="H4536" s="576">
        <v>7574</v>
      </c>
    </row>
    <row r="4537" spans="1:8">
      <c r="A4537" s="575" t="s">
        <v>645</v>
      </c>
      <c r="B4537" s="575">
        <v>71000</v>
      </c>
      <c r="C4537" s="576">
        <v>18</v>
      </c>
      <c r="D4537" s="576">
        <v>0.315</v>
      </c>
      <c r="E4537" s="576">
        <v>33564</v>
      </c>
      <c r="F4537" s="576">
        <v>104564</v>
      </c>
      <c r="G4537" s="576">
        <v>3728</v>
      </c>
      <c r="H4537" s="576">
        <v>5602</v>
      </c>
    </row>
    <row r="4538" spans="1:8">
      <c r="A4538" s="575" t="s">
        <v>645</v>
      </c>
      <c r="B4538" s="575">
        <v>71000</v>
      </c>
      <c r="C4538" s="576">
        <v>24</v>
      </c>
      <c r="D4538" s="576">
        <v>0.315</v>
      </c>
      <c r="E4538" s="576">
        <v>44731</v>
      </c>
      <c r="F4538" s="576">
        <v>115731</v>
      </c>
      <c r="G4538" s="576">
        <v>4971</v>
      </c>
      <c r="H4538" s="576">
        <v>4615</v>
      </c>
    </row>
    <row r="4539" spans="1:8">
      <c r="A4539" s="575" t="s">
        <v>645</v>
      </c>
      <c r="B4539" s="575">
        <v>72000</v>
      </c>
      <c r="C4539" s="576">
        <v>12</v>
      </c>
      <c r="D4539" s="576">
        <v>0.315</v>
      </c>
      <c r="E4539" s="576">
        <v>22681</v>
      </c>
      <c r="F4539" s="576">
        <v>94681</v>
      </c>
      <c r="G4539" s="576">
        <v>2521</v>
      </c>
      <c r="H4539" s="576">
        <v>7680</v>
      </c>
    </row>
    <row r="4540" spans="1:8">
      <c r="A4540" s="575" t="s">
        <v>645</v>
      </c>
      <c r="B4540" s="575">
        <v>72000</v>
      </c>
      <c r="C4540" s="576">
        <v>18</v>
      </c>
      <c r="D4540" s="576">
        <v>0.315</v>
      </c>
      <c r="E4540" s="576">
        <v>34021</v>
      </c>
      <c r="F4540" s="576">
        <v>106021</v>
      </c>
      <c r="G4540" s="576">
        <v>3781</v>
      </c>
      <c r="H4540" s="576">
        <v>5680</v>
      </c>
    </row>
    <row r="4541" spans="1:8">
      <c r="A4541" s="575" t="s">
        <v>645</v>
      </c>
      <c r="B4541" s="575">
        <v>72000</v>
      </c>
      <c r="C4541" s="576">
        <v>24</v>
      </c>
      <c r="D4541" s="576">
        <v>0.315</v>
      </c>
      <c r="E4541" s="576">
        <v>45361</v>
      </c>
      <c r="F4541" s="576">
        <v>117361</v>
      </c>
      <c r="G4541" s="576">
        <v>5041</v>
      </c>
      <c r="H4541" s="576">
        <v>4680</v>
      </c>
    </row>
    <row r="4542" spans="1:8">
      <c r="A4542" s="575" t="s">
        <v>645</v>
      </c>
      <c r="B4542" s="575">
        <v>73000</v>
      </c>
      <c r="C4542" s="576">
        <v>12</v>
      </c>
      <c r="D4542" s="576">
        <v>0.315</v>
      </c>
      <c r="E4542" s="576">
        <v>23000</v>
      </c>
      <c r="F4542" s="576">
        <v>96000</v>
      </c>
      <c r="G4542" s="576">
        <v>2556</v>
      </c>
      <c r="H4542" s="576">
        <v>7787</v>
      </c>
    </row>
    <row r="4543" spans="1:8">
      <c r="A4543" s="575" t="s">
        <v>645</v>
      </c>
      <c r="B4543" s="575">
        <v>73000</v>
      </c>
      <c r="C4543" s="576">
        <v>18</v>
      </c>
      <c r="D4543" s="576">
        <v>0.315</v>
      </c>
      <c r="E4543" s="576">
        <v>34495</v>
      </c>
      <c r="F4543" s="576">
        <v>107495</v>
      </c>
      <c r="G4543" s="576">
        <v>3833</v>
      </c>
      <c r="H4543" s="576">
        <v>5759</v>
      </c>
    </row>
    <row r="4544" spans="1:8">
      <c r="A4544" s="575" t="s">
        <v>645</v>
      </c>
      <c r="B4544" s="575">
        <v>73000</v>
      </c>
      <c r="C4544" s="576">
        <v>24</v>
      </c>
      <c r="D4544" s="576">
        <v>0.315</v>
      </c>
      <c r="E4544" s="576">
        <v>45991</v>
      </c>
      <c r="F4544" s="576">
        <v>118991</v>
      </c>
      <c r="G4544" s="576">
        <v>5111</v>
      </c>
      <c r="H4544" s="576">
        <v>4745</v>
      </c>
    </row>
    <row r="4545" spans="1:8">
      <c r="A4545" s="575" t="s">
        <v>645</v>
      </c>
      <c r="B4545" s="575">
        <v>74000</v>
      </c>
      <c r="C4545" s="576">
        <v>12</v>
      </c>
      <c r="D4545" s="576">
        <v>0.315</v>
      </c>
      <c r="E4545" s="576">
        <v>23319</v>
      </c>
      <c r="F4545" s="576">
        <v>97319</v>
      </c>
      <c r="G4545" s="576">
        <v>2591</v>
      </c>
      <c r="H4545" s="576">
        <v>7894</v>
      </c>
    </row>
    <row r="4546" spans="1:8">
      <c r="A4546" s="575" t="s">
        <v>645</v>
      </c>
      <c r="B4546" s="575">
        <v>74000</v>
      </c>
      <c r="C4546" s="576">
        <v>18</v>
      </c>
      <c r="D4546" s="576">
        <v>0.315</v>
      </c>
      <c r="E4546" s="576">
        <v>34970</v>
      </c>
      <c r="F4546" s="576">
        <v>108970</v>
      </c>
      <c r="G4546" s="576">
        <v>3886</v>
      </c>
      <c r="H4546" s="576">
        <v>5838</v>
      </c>
    </row>
    <row r="4547" spans="1:8">
      <c r="A4547" s="575" t="s">
        <v>645</v>
      </c>
      <c r="B4547" s="575">
        <v>74000</v>
      </c>
      <c r="C4547" s="576">
        <v>24</v>
      </c>
      <c r="D4547" s="576">
        <v>0.315</v>
      </c>
      <c r="E4547" s="576">
        <v>46621</v>
      </c>
      <c r="F4547" s="576">
        <v>120621</v>
      </c>
      <c r="G4547" s="576">
        <v>5181</v>
      </c>
      <c r="H4547" s="576">
        <v>4810</v>
      </c>
    </row>
    <row r="4548" spans="1:8">
      <c r="A4548" s="575" t="s">
        <v>645</v>
      </c>
      <c r="B4548" s="575">
        <v>75000</v>
      </c>
      <c r="C4548" s="576">
        <v>12</v>
      </c>
      <c r="D4548" s="576">
        <v>0.315</v>
      </c>
      <c r="E4548" s="576">
        <v>23626</v>
      </c>
      <c r="F4548" s="576">
        <v>98626</v>
      </c>
      <c r="G4548" s="576">
        <v>2626</v>
      </c>
      <c r="H4548" s="576">
        <v>8000</v>
      </c>
    </row>
    <row r="4549" spans="1:8">
      <c r="A4549" s="575" t="s">
        <v>645</v>
      </c>
      <c r="B4549" s="575">
        <v>75000</v>
      </c>
      <c r="C4549" s="576">
        <v>18</v>
      </c>
      <c r="D4549" s="576">
        <v>0.315</v>
      </c>
      <c r="E4549" s="576">
        <v>35444</v>
      </c>
      <c r="F4549" s="576">
        <v>110444</v>
      </c>
      <c r="G4549" s="576">
        <v>3938</v>
      </c>
      <c r="H4549" s="576">
        <v>5917</v>
      </c>
    </row>
    <row r="4550" spans="1:8">
      <c r="A4550" s="575" t="s">
        <v>645</v>
      </c>
      <c r="B4550" s="575">
        <v>75000</v>
      </c>
      <c r="C4550" s="576">
        <v>24</v>
      </c>
      <c r="D4550" s="576">
        <v>0.315</v>
      </c>
      <c r="E4550" s="576">
        <v>47251</v>
      </c>
      <c r="F4550" s="576">
        <v>122251</v>
      </c>
      <c r="G4550" s="576">
        <v>5251</v>
      </c>
      <c r="H4550" s="576">
        <v>4875</v>
      </c>
    </row>
    <row r="4551" spans="1:8">
      <c r="A4551" s="575" t="s">
        <v>645</v>
      </c>
      <c r="B4551" s="575">
        <v>76000</v>
      </c>
      <c r="C4551" s="576">
        <v>12</v>
      </c>
      <c r="D4551" s="576">
        <v>0.315</v>
      </c>
      <c r="E4551" s="576">
        <v>23945</v>
      </c>
      <c r="F4551" s="576">
        <v>99945</v>
      </c>
      <c r="G4551" s="576">
        <v>2661</v>
      </c>
      <c r="H4551" s="576">
        <v>8107</v>
      </c>
    </row>
    <row r="4552" spans="1:8">
      <c r="A4552" s="575" t="s">
        <v>645</v>
      </c>
      <c r="B4552" s="575">
        <v>76000</v>
      </c>
      <c r="C4552" s="576">
        <v>18</v>
      </c>
      <c r="D4552" s="576">
        <v>0.315</v>
      </c>
      <c r="E4552" s="576">
        <v>35919</v>
      </c>
      <c r="F4552" s="576">
        <v>111919</v>
      </c>
      <c r="G4552" s="576">
        <v>3991</v>
      </c>
      <c r="H4552" s="576">
        <v>5996</v>
      </c>
    </row>
    <row r="4553" spans="1:8">
      <c r="A4553" s="575" t="s">
        <v>645</v>
      </c>
      <c r="B4553" s="575">
        <v>76000</v>
      </c>
      <c r="C4553" s="576">
        <v>24</v>
      </c>
      <c r="D4553" s="576">
        <v>0.315</v>
      </c>
      <c r="E4553" s="576">
        <v>47881</v>
      </c>
      <c r="F4553" s="576">
        <v>123881</v>
      </c>
      <c r="G4553" s="576">
        <v>5321</v>
      </c>
      <c r="H4553" s="576">
        <v>4940</v>
      </c>
    </row>
    <row r="4554" spans="1:8">
      <c r="A4554" s="575" t="s">
        <v>645</v>
      </c>
      <c r="B4554" s="575">
        <v>77000</v>
      </c>
      <c r="C4554" s="576">
        <v>12</v>
      </c>
      <c r="D4554" s="576">
        <v>0.315</v>
      </c>
      <c r="E4554" s="576">
        <v>24264</v>
      </c>
      <c r="F4554" s="576">
        <v>101264</v>
      </c>
      <c r="G4554" s="576">
        <v>2696</v>
      </c>
      <c r="H4554" s="576">
        <v>8214</v>
      </c>
    </row>
    <row r="4555" spans="1:8">
      <c r="A4555" s="575" t="s">
        <v>645</v>
      </c>
      <c r="B4555" s="575">
        <v>77000</v>
      </c>
      <c r="C4555" s="576">
        <v>18</v>
      </c>
      <c r="D4555" s="576">
        <v>0.315</v>
      </c>
      <c r="E4555" s="576">
        <v>36393</v>
      </c>
      <c r="F4555" s="576">
        <v>113393</v>
      </c>
      <c r="G4555" s="576">
        <v>4043</v>
      </c>
      <c r="H4555" s="576">
        <v>6075</v>
      </c>
    </row>
    <row r="4556" spans="1:8">
      <c r="A4556" s="575" t="s">
        <v>645</v>
      </c>
      <c r="B4556" s="575">
        <v>77000</v>
      </c>
      <c r="C4556" s="576">
        <v>24</v>
      </c>
      <c r="D4556" s="576">
        <v>0.315</v>
      </c>
      <c r="E4556" s="576">
        <v>48511</v>
      </c>
      <c r="F4556" s="576">
        <v>125511</v>
      </c>
      <c r="G4556" s="576">
        <v>5391</v>
      </c>
      <c r="H4556" s="576">
        <v>5005</v>
      </c>
    </row>
    <row r="4557" spans="1:8">
      <c r="A4557" s="575" t="s">
        <v>645</v>
      </c>
      <c r="B4557" s="575">
        <v>78000</v>
      </c>
      <c r="C4557" s="576">
        <v>12</v>
      </c>
      <c r="D4557" s="576">
        <v>0.315</v>
      </c>
      <c r="E4557" s="576">
        <v>24571</v>
      </c>
      <c r="F4557" s="576">
        <v>102571</v>
      </c>
      <c r="G4557" s="576">
        <v>2731</v>
      </c>
      <c r="H4557" s="576">
        <v>8320</v>
      </c>
    </row>
    <row r="4558" spans="1:8">
      <c r="A4558" s="575" t="s">
        <v>645</v>
      </c>
      <c r="B4558" s="575">
        <v>78000</v>
      </c>
      <c r="C4558" s="576">
        <v>18</v>
      </c>
      <c r="D4558" s="576">
        <v>0.315</v>
      </c>
      <c r="E4558" s="576">
        <v>36868</v>
      </c>
      <c r="F4558" s="576">
        <v>114868</v>
      </c>
      <c r="G4558" s="576">
        <v>4096</v>
      </c>
      <c r="H4558" s="576">
        <v>6154</v>
      </c>
    </row>
    <row r="4559" spans="1:8">
      <c r="A4559" s="575" t="s">
        <v>645</v>
      </c>
      <c r="B4559" s="575">
        <v>78000</v>
      </c>
      <c r="C4559" s="576">
        <v>24</v>
      </c>
      <c r="D4559" s="576">
        <v>0.315</v>
      </c>
      <c r="E4559" s="576">
        <v>49141</v>
      </c>
      <c r="F4559" s="576">
        <v>127141</v>
      </c>
      <c r="G4559" s="576">
        <v>5461</v>
      </c>
      <c r="H4559" s="576">
        <v>5070</v>
      </c>
    </row>
    <row r="4560" spans="1:8">
      <c r="A4560" s="575" t="s">
        <v>645</v>
      </c>
      <c r="B4560" s="575">
        <v>79000</v>
      </c>
      <c r="C4560" s="576">
        <v>12</v>
      </c>
      <c r="D4560" s="576">
        <v>0.315</v>
      </c>
      <c r="E4560" s="576">
        <v>24890</v>
      </c>
      <c r="F4560" s="576">
        <v>103890</v>
      </c>
      <c r="G4560" s="576">
        <v>2766</v>
      </c>
      <c r="H4560" s="576">
        <v>8427</v>
      </c>
    </row>
    <row r="4561" spans="1:8">
      <c r="A4561" s="575" t="s">
        <v>645</v>
      </c>
      <c r="B4561" s="575">
        <v>79000</v>
      </c>
      <c r="C4561" s="576">
        <v>18</v>
      </c>
      <c r="D4561" s="576">
        <v>0.315</v>
      </c>
      <c r="E4561" s="576">
        <v>37342</v>
      </c>
      <c r="F4561" s="576">
        <v>116342</v>
      </c>
      <c r="G4561" s="576">
        <v>4148</v>
      </c>
      <c r="H4561" s="576">
        <v>6233</v>
      </c>
    </row>
    <row r="4562" spans="1:8">
      <c r="A4562" s="575" t="s">
        <v>645</v>
      </c>
      <c r="B4562" s="575">
        <v>79000</v>
      </c>
      <c r="C4562" s="576">
        <v>24</v>
      </c>
      <c r="D4562" s="576">
        <v>0.315</v>
      </c>
      <c r="E4562" s="576">
        <v>49771</v>
      </c>
      <c r="F4562" s="576">
        <v>128771</v>
      </c>
      <c r="G4562" s="576">
        <v>5531</v>
      </c>
      <c r="H4562" s="576">
        <v>5135</v>
      </c>
    </row>
    <row r="4563" spans="1:8">
      <c r="A4563" s="575" t="s">
        <v>645</v>
      </c>
      <c r="B4563" s="575">
        <v>80000</v>
      </c>
      <c r="C4563" s="576">
        <v>12</v>
      </c>
      <c r="D4563" s="576">
        <v>0.315</v>
      </c>
      <c r="E4563" s="576">
        <v>25209</v>
      </c>
      <c r="F4563" s="576">
        <v>105209</v>
      </c>
      <c r="G4563" s="576">
        <v>2801</v>
      </c>
      <c r="H4563" s="576">
        <v>8534</v>
      </c>
    </row>
    <row r="4564" spans="1:8">
      <c r="A4564" s="575" t="s">
        <v>645</v>
      </c>
      <c r="B4564" s="575">
        <v>80000</v>
      </c>
      <c r="C4564" s="576">
        <v>18</v>
      </c>
      <c r="D4564" s="576">
        <v>0.315</v>
      </c>
      <c r="E4564" s="576">
        <v>37817</v>
      </c>
      <c r="F4564" s="576">
        <v>117817</v>
      </c>
      <c r="G4564" s="576">
        <v>4201</v>
      </c>
      <c r="H4564" s="576">
        <v>6312</v>
      </c>
    </row>
    <row r="4565" spans="1:8">
      <c r="A4565" s="575" t="s">
        <v>645</v>
      </c>
      <c r="B4565" s="575">
        <v>80000</v>
      </c>
      <c r="C4565" s="576">
        <v>24</v>
      </c>
      <c r="D4565" s="576">
        <v>0.315</v>
      </c>
      <c r="E4565" s="576">
        <v>50401</v>
      </c>
      <c r="F4565" s="576">
        <v>130401</v>
      </c>
      <c r="G4565" s="576">
        <v>5601</v>
      </c>
      <c r="H4565" s="576">
        <v>5200</v>
      </c>
    </row>
    <row r="4566" spans="1:8">
      <c r="A4566" s="575" t="s">
        <v>645</v>
      </c>
      <c r="B4566" s="575">
        <v>81000</v>
      </c>
      <c r="C4566" s="576">
        <v>12</v>
      </c>
      <c r="D4566" s="576">
        <v>0.315</v>
      </c>
      <c r="E4566" s="576">
        <v>25516</v>
      </c>
      <c r="F4566" s="576">
        <v>106516</v>
      </c>
      <c r="G4566" s="576">
        <v>2836</v>
      </c>
      <c r="H4566" s="576">
        <v>8640</v>
      </c>
    </row>
    <row r="4567" spans="1:8">
      <c r="A4567" s="575" t="s">
        <v>645</v>
      </c>
      <c r="B4567" s="575">
        <v>81000</v>
      </c>
      <c r="C4567" s="576">
        <v>18</v>
      </c>
      <c r="D4567" s="576">
        <v>0.315</v>
      </c>
      <c r="E4567" s="576">
        <v>38273</v>
      </c>
      <c r="F4567" s="576">
        <v>119273</v>
      </c>
      <c r="G4567" s="576">
        <v>4253</v>
      </c>
      <c r="H4567" s="576">
        <v>6390</v>
      </c>
    </row>
    <row r="4568" spans="1:8">
      <c r="A4568" s="575" t="s">
        <v>645</v>
      </c>
      <c r="B4568" s="575">
        <v>81000</v>
      </c>
      <c r="C4568" s="576">
        <v>24</v>
      </c>
      <c r="D4568" s="576">
        <v>0.315</v>
      </c>
      <c r="E4568" s="576">
        <v>51031</v>
      </c>
      <c r="F4568" s="576">
        <v>132031</v>
      </c>
      <c r="G4568" s="576">
        <v>5671</v>
      </c>
      <c r="H4568" s="576">
        <v>5265</v>
      </c>
    </row>
    <row r="4569" spans="1:8">
      <c r="A4569" s="575" t="s">
        <v>645</v>
      </c>
      <c r="B4569" s="575">
        <v>82000</v>
      </c>
      <c r="C4569" s="576">
        <v>12</v>
      </c>
      <c r="D4569" s="576">
        <v>0.315</v>
      </c>
      <c r="E4569" s="576">
        <v>25835</v>
      </c>
      <c r="F4569" s="576">
        <v>107835</v>
      </c>
      <c r="G4569" s="576">
        <v>2871</v>
      </c>
      <c r="H4569" s="576">
        <v>8747</v>
      </c>
    </row>
    <row r="4570" spans="1:8">
      <c r="A4570" s="575" t="s">
        <v>645</v>
      </c>
      <c r="B4570" s="575">
        <v>82000</v>
      </c>
      <c r="C4570" s="576">
        <v>18</v>
      </c>
      <c r="D4570" s="576">
        <v>0.315</v>
      </c>
      <c r="E4570" s="576">
        <v>38748</v>
      </c>
      <c r="F4570" s="576">
        <v>120748</v>
      </c>
      <c r="G4570" s="576">
        <v>4306</v>
      </c>
      <c r="H4570" s="576">
        <v>6469</v>
      </c>
    </row>
    <row r="4571" spans="1:8">
      <c r="A4571" s="575" t="s">
        <v>645</v>
      </c>
      <c r="B4571" s="575">
        <v>82000</v>
      </c>
      <c r="C4571" s="576">
        <v>24</v>
      </c>
      <c r="D4571" s="576">
        <v>0.315</v>
      </c>
      <c r="E4571" s="576">
        <v>51661</v>
      </c>
      <c r="F4571" s="576">
        <v>133661</v>
      </c>
      <c r="G4571" s="576">
        <v>5741</v>
      </c>
      <c r="H4571" s="576">
        <v>5330</v>
      </c>
    </row>
    <row r="4572" spans="1:8">
      <c r="A4572" s="575" t="s">
        <v>645</v>
      </c>
      <c r="B4572" s="575">
        <v>83000</v>
      </c>
      <c r="C4572" s="576">
        <v>12</v>
      </c>
      <c r="D4572" s="576">
        <v>0.315</v>
      </c>
      <c r="E4572" s="576">
        <v>26154</v>
      </c>
      <c r="F4572" s="576">
        <v>109154</v>
      </c>
      <c r="G4572" s="576">
        <v>2906</v>
      </c>
      <c r="H4572" s="576">
        <v>8854</v>
      </c>
    </row>
    <row r="4573" spans="1:8">
      <c r="A4573" s="575" t="s">
        <v>645</v>
      </c>
      <c r="B4573" s="575">
        <v>83000</v>
      </c>
      <c r="C4573" s="576">
        <v>18</v>
      </c>
      <c r="D4573" s="576">
        <v>0.315</v>
      </c>
      <c r="E4573" s="576">
        <v>39222</v>
      </c>
      <c r="F4573" s="576">
        <v>122222</v>
      </c>
      <c r="G4573" s="576">
        <v>4358</v>
      </c>
      <c r="H4573" s="576">
        <v>6548</v>
      </c>
    </row>
    <row r="4574" spans="1:8">
      <c r="A4574" s="575" t="s">
        <v>645</v>
      </c>
      <c r="B4574" s="575">
        <v>83000</v>
      </c>
      <c r="C4574" s="576">
        <v>24</v>
      </c>
      <c r="D4574" s="576">
        <v>0.315</v>
      </c>
      <c r="E4574" s="576">
        <v>52291</v>
      </c>
      <c r="F4574" s="576">
        <v>135291</v>
      </c>
      <c r="G4574" s="576">
        <v>5811</v>
      </c>
      <c r="H4574" s="576">
        <v>5395</v>
      </c>
    </row>
    <row r="4575" spans="1:8">
      <c r="A4575" s="575" t="s">
        <v>645</v>
      </c>
      <c r="B4575" s="575">
        <v>84000</v>
      </c>
      <c r="C4575" s="576">
        <v>12</v>
      </c>
      <c r="D4575" s="576">
        <v>0.315</v>
      </c>
      <c r="E4575" s="576">
        <v>26461</v>
      </c>
      <c r="F4575" s="576">
        <v>110461</v>
      </c>
      <c r="G4575" s="576">
        <v>2941</v>
      </c>
      <c r="H4575" s="576">
        <v>8960</v>
      </c>
    </row>
    <row r="4576" spans="1:8">
      <c r="A4576" s="575" t="s">
        <v>645</v>
      </c>
      <c r="B4576" s="575">
        <v>84000</v>
      </c>
      <c r="C4576" s="576">
        <v>18</v>
      </c>
      <c r="D4576" s="576">
        <v>0.315</v>
      </c>
      <c r="E4576" s="576">
        <v>39697</v>
      </c>
      <c r="F4576" s="576">
        <v>123697</v>
      </c>
      <c r="G4576" s="576">
        <v>4411</v>
      </c>
      <c r="H4576" s="576">
        <v>6627</v>
      </c>
    </row>
    <row r="4577" spans="1:8">
      <c r="A4577" s="575" t="s">
        <v>645</v>
      </c>
      <c r="B4577" s="575">
        <v>84000</v>
      </c>
      <c r="C4577" s="576">
        <v>24</v>
      </c>
      <c r="D4577" s="576">
        <v>0.315</v>
      </c>
      <c r="E4577" s="576">
        <v>52921</v>
      </c>
      <c r="F4577" s="576">
        <v>136921</v>
      </c>
      <c r="G4577" s="576">
        <v>5881</v>
      </c>
      <c r="H4577" s="576">
        <v>5460</v>
      </c>
    </row>
    <row r="4578" spans="1:8">
      <c r="A4578" s="575" t="s">
        <v>645</v>
      </c>
      <c r="B4578" s="575">
        <v>85000</v>
      </c>
      <c r="C4578" s="576">
        <v>12</v>
      </c>
      <c r="D4578" s="576">
        <v>0.315</v>
      </c>
      <c r="E4578" s="576">
        <v>26780</v>
      </c>
      <c r="F4578" s="576">
        <v>111780</v>
      </c>
      <c r="G4578" s="576">
        <v>2976</v>
      </c>
      <c r="H4578" s="576">
        <v>9067</v>
      </c>
    </row>
    <row r="4579" spans="1:8">
      <c r="A4579" s="575" t="s">
        <v>645</v>
      </c>
      <c r="B4579" s="575">
        <v>85000</v>
      </c>
      <c r="C4579" s="576">
        <v>18</v>
      </c>
      <c r="D4579" s="576">
        <v>0.315</v>
      </c>
      <c r="E4579" s="576">
        <v>40171</v>
      </c>
      <c r="F4579" s="576">
        <v>125171</v>
      </c>
      <c r="G4579" s="576">
        <v>4463</v>
      </c>
      <c r="H4579" s="576">
        <v>6706</v>
      </c>
    </row>
    <row r="4580" spans="1:8">
      <c r="A4580" s="575" t="s">
        <v>645</v>
      </c>
      <c r="B4580" s="575">
        <v>85000</v>
      </c>
      <c r="C4580" s="576">
        <v>24</v>
      </c>
      <c r="D4580" s="576">
        <v>0.315</v>
      </c>
      <c r="E4580" s="576">
        <v>53551</v>
      </c>
      <c r="F4580" s="576">
        <v>138551</v>
      </c>
      <c r="G4580" s="576">
        <v>5951</v>
      </c>
      <c r="H4580" s="576">
        <v>5525</v>
      </c>
    </row>
    <row r="4581" spans="1:8">
      <c r="A4581" s="575" t="s">
        <v>645</v>
      </c>
      <c r="B4581" s="575">
        <v>86000</v>
      </c>
      <c r="C4581" s="576">
        <v>12</v>
      </c>
      <c r="D4581" s="576">
        <v>0.315</v>
      </c>
      <c r="E4581" s="576">
        <v>27099</v>
      </c>
      <c r="F4581" s="576">
        <v>113099</v>
      </c>
      <c r="G4581" s="576">
        <v>3011</v>
      </c>
      <c r="H4581" s="576">
        <v>9174</v>
      </c>
    </row>
    <row r="4582" spans="1:8">
      <c r="A4582" s="575" t="s">
        <v>645</v>
      </c>
      <c r="B4582" s="575">
        <v>86000</v>
      </c>
      <c r="C4582" s="576">
        <v>18</v>
      </c>
      <c r="D4582" s="576">
        <v>0.315</v>
      </c>
      <c r="E4582" s="576">
        <v>40646</v>
      </c>
      <c r="F4582" s="576">
        <v>126646</v>
      </c>
      <c r="G4582" s="576">
        <v>4516</v>
      </c>
      <c r="H4582" s="576">
        <v>6785</v>
      </c>
    </row>
    <row r="4583" spans="1:8">
      <c r="A4583" s="575" t="s">
        <v>645</v>
      </c>
      <c r="B4583" s="575">
        <v>86000</v>
      </c>
      <c r="C4583" s="576">
        <v>24</v>
      </c>
      <c r="D4583" s="576">
        <v>0.315</v>
      </c>
      <c r="E4583" s="576">
        <v>54181</v>
      </c>
      <c r="F4583" s="576">
        <v>140181</v>
      </c>
      <c r="G4583" s="576">
        <v>6021</v>
      </c>
      <c r="H4583" s="576">
        <v>5590</v>
      </c>
    </row>
    <row r="4584" spans="1:8">
      <c r="A4584" s="575" t="s">
        <v>645</v>
      </c>
      <c r="B4584" s="575">
        <v>87000</v>
      </c>
      <c r="C4584" s="576">
        <v>12</v>
      </c>
      <c r="D4584" s="576">
        <v>0.315</v>
      </c>
      <c r="E4584" s="576">
        <v>27406</v>
      </c>
      <c r="F4584" s="576">
        <v>114406</v>
      </c>
      <c r="G4584" s="576">
        <v>3046</v>
      </c>
      <c r="H4584" s="576">
        <v>9280</v>
      </c>
    </row>
    <row r="4585" spans="1:8">
      <c r="A4585" s="575" t="s">
        <v>645</v>
      </c>
      <c r="B4585" s="575">
        <v>87000</v>
      </c>
      <c r="C4585" s="576">
        <v>18</v>
      </c>
      <c r="D4585" s="576">
        <v>0.315</v>
      </c>
      <c r="E4585" s="576">
        <v>41120</v>
      </c>
      <c r="F4585" s="576">
        <v>128120</v>
      </c>
      <c r="G4585" s="576">
        <v>4568</v>
      </c>
      <c r="H4585" s="576">
        <v>6864</v>
      </c>
    </row>
    <row r="4586" spans="1:8">
      <c r="A4586" s="575" t="s">
        <v>645</v>
      </c>
      <c r="B4586" s="575">
        <v>87000</v>
      </c>
      <c r="C4586" s="576">
        <v>24</v>
      </c>
      <c r="D4586" s="576">
        <v>0.315</v>
      </c>
      <c r="E4586" s="576">
        <v>54811</v>
      </c>
      <c r="F4586" s="576">
        <v>141811</v>
      </c>
      <c r="G4586" s="576">
        <v>6091</v>
      </c>
      <c r="H4586" s="576">
        <v>5655</v>
      </c>
    </row>
    <row r="4587" spans="1:8">
      <c r="A4587" s="575" t="s">
        <v>645</v>
      </c>
      <c r="B4587" s="575">
        <v>88000</v>
      </c>
      <c r="C4587" s="576">
        <v>12</v>
      </c>
      <c r="D4587" s="576">
        <v>0.315</v>
      </c>
      <c r="E4587" s="576">
        <v>27725</v>
      </c>
      <c r="F4587" s="576">
        <v>115725</v>
      </c>
      <c r="G4587" s="576">
        <v>3081</v>
      </c>
      <c r="H4587" s="576">
        <v>9387</v>
      </c>
    </row>
    <row r="4588" spans="1:8">
      <c r="A4588" s="575" t="s">
        <v>645</v>
      </c>
      <c r="B4588" s="575">
        <v>88000</v>
      </c>
      <c r="C4588" s="576">
        <v>18</v>
      </c>
      <c r="D4588" s="576">
        <v>0.315</v>
      </c>
      <c r="E4588" s="576">
        <v>41595</v>
      </c>
      <c r="F4588" s="576">
        <v>129595</v>
      </c>
      <c r="G4588" s="576">
        <v>4621</v>
      </c>
      <c r="H4588" s="576">
        <v>6943</v>
      </c>
    </row>
    <row r="4589" spans="1:8">
      <c r="A4589" s="575" t="s">
        <v>645</v>
      </c>
      <c r="B4589" s="575">
        <v>88000</v>
      </c>
      <c r="C4589" s="576">
        <v>24</v>
      </c>
      <c r="D4589" s="576">
        <v>0.315</v>
      </c>
      <c r="E4589" s="576">
        <v>55441</v>
      </c>
      <c r="F4589" s="576">
        <v>143441</v>
      </c>
      <c r="G4589" s="576">
        <v>6161</v>
      </c>
      <c r="H4589" s="576">
        <v>5720</v>
      </c>
    </row>
    <row r="4590" spans="1:8">
      <c r="A4590" s="575" t="s">
        <v>645</v>
      </c>
      <c r="B4590" s="575">
        <v>89000</v>
      </c>
      <c r="C4590" s="576">
        <v>12</v>
      </c>
      <c r="D4590" s="576">
        <v>0.315</v>
      </c>
      <c r="E4590" s="576">
        <v>28044</v>
      </c>
      <c r="F4590" s="576">
        <v>117044</v>
      </c>
      <c r="G4590" s="576">
        <v>3116</v>
      </c>
      <c r="H4590" s="576">
        <v>9494</v>
      </c>
    </row>
    <row r="4591" spans="1:8">
      <c r="A4591" s="575" t="s">
        <v>645</v>
      </c>
      <c r="B4591" s="575">
        <v>89000</v>
      </c>
      <c r="C4591" s="576">
        <v>18</v>
      </c>
      <c r="D4591" s="576">
        <v>0.315</v>
      </c>
      <c r="E4591" s="576">
        <v>42069</v>
      </c>
      <c r="F4591" s="576">
        <v>131069</v>
      </c>
      <c r="G4591" s="576">
        <v>4673</v>
      </c>
      <c r="H4591" s="576">
        <v>7022</v>
      </c>
    </row>
    <row r="4592" spans="1:8">
      <c r="A4592" s="575" t="s">
        <v>645</v>
      </c>
      <c r="B4592" s="575">
        <v>89000</v>
      </c>
      <c r="C4592" s="576">
        <v>24</v>
      </c>
      <c r="D4592" s="576">
        <v>0.315</v>
      </c>
      <c r="E4592" s="576">
        <v>56071</v>
      </c>
      <c r="F4592" s="576">
        <v>145071</v>
      </c>
      <c r="G4592" s="576">
        <v>6231</v>
      </c>
      <c r="H4592" s="576">
        <v>5785</v>
      </c>
    </row>
    <row r="4593" spans="1:8">
      <c r="A4593" s="575" t="s">
        <v>645</v>
      </c>
      <c r="B4593" s="575">
        <v>90000</v>
      </c>
      <c r="C4593" s="576">
        <v>12</v>
      </c>
      <c r="D4593" s="576">
        <v>0.315</v>
      </c>
      <c r="E4593" s="576">
        <v>28351</v>
      </c>
      <c r="F4593" s="576">
        <v>118351</v>
      </c>
      <c r="G4593" s="576">
        <v>3151</v>
      </c>
      <c r="H4593" s="576">
        <v>9600</v>
      </c>
    </row>
    <row r="4594" spans="1:8">
      <c r="A4594" s="575" t="s">
        <v>645</v>
      </c>
      <c r="B4594" s="575">
        <v>90000</v>
      </c>
      <c r="C4594" s="576">
        <v>18</v>
      </c>
      <c r="D4594" s="576">
        <v>0.315</v>
      </c>
      <c r="E4594" s="576">
        <v>42526</v>
      </c>
      <c r="F4594" s="576">
        <v>132526</v>
      </c>
      <c r="G4594" s="576">
        <v>4726</v>
      </c>
      <c r="H4594" s="576">
        <v>7100</v>
      </c>
    </row>
    <row r="4595" spans="1:8">
      <c r="A4595" s="575" t="s">
        <v>645</v>
      </c>
      <c r="B4595" s="575">
        <v>90000</v>
      </c>
      <c r="C4595" s="576">
        <v>24</v>
      </c>
      <c r="D4595" s="576">
        <v>0.315</v>
      </c>
      <c r="E4595" s="576">
        <v>56701</v>
      </c>
      <c r="F4595" s="576">
        <v>146701</v>
      </c>
      <c r="G4595" s="576">
        <v>6301</v>
      </c>
      <c r="H4595" s="576">
        <v>5850</v>
      </c>
    </row>
    <row r="4596" spans="1:8">
      <c r="A4596" s="575" t="s">
        <v>645</v>
      </c>
      <c r="B4596" s="575">
        <v>91000</v>
      </c>
      <c r="C4596" s="576">
        <v>12</v>
      </c>
      <c r="D4596" s="576">
        <v>0.315</v>
      </c>
      <c r="E4596" s="576">
        <v>28670</v>
      </c>
      <c r="F4596" s="576">
        <v>119670</v>
      </c>
      <c r="G4596" s="576">
        <v>3186</v>
      </c>
      <c r="H4596" s="576">
        <v>9707</v>
      </c>
    </row>
    <row r="4597" spans="1:8">
      <c r="A4597" s="575" t="s">
        <v>645</v>
      </c>
      <c r="B4597" s="575">
        <v>91000</v>
      </c>
      <c r="C4597" s="576">
        <v>18</v>
      </c>
      <c r="D4597" s="576">
        <v>0.315</v>
      </c>
      <c r="E4597" s="576">
        <v>43000</v>
      </c>
      <c r="F4597" s="576">
        <v>134000</v>
      </c>
      <c r="G4597" s="576">
        <v>4778</v>
      </c>
      <c r="H4597" s="576">
        <v>7179</v>
      </c>
    </row>
    <row r="4598" spans="1:8">
      <c r="A4598" s="575" t="s">
        <v>645</v>
      </c>
      <c r="B4598" s="575">
        <v>91000</v>
      </c>
      <c r="C4598" s="576">
        <v>24</v>
      </c>
      <c r="D4598" s="576">
        <v>0.315</v>
      </c>
      <c r="E4598" s="576">
        <v>57331</v>
      </c>
      <c r="F4598" s="576">
        <v>148331</v>
      </c>
      <c r="G4598" s="576">
        <v>6371</v>
      </c>
      <c r="H4598" s="576">
        <v>5915</v>
      </c>
    </row>
    <row r="4599" spans="1:8">
      <c r="A4599" s="575" t="s">
        <v>645</v>
      </c>
      <c r="B4599" s="575">
        <v>92000</v>
      </c>
      <c r="C4599" s="576">
        <v>12</v>
      </c>
      <c r="D4599" s="576">
        <v>0.315</v>
      </c>
      <c r="E4599" s="576">
        <v>28989</v>
      </c>
      <c r="F4599" s="576">
        <v>120989</v>
      </c>
      <c r="G4599" s="576">
        <v>3221</v>
      </c>
      <c r="H4599" s="576">
        <v>9814</v>
      </c>
    </row>
    <row r="4600" spans="1:8">
      <c r="A4600" s="575" t="s">
        <v>645</v>
      </c>
      <c r="B4600" s="575">
        <v>92000</v>
      </c>
      <c r="C4600" s="576">
        <v>18</v>
      </c>
      <c r="D4600" s="576">
        <v>0.315</v>
      </c>
      <c r="E4600" s="576">
        <v>43475</v>
      </c>
      <c r="F4600" s="576">
        <v>135475</v>
      </c>
      <c r="G4600" s="576">
        <v>4831</v>
      </c>
      <c r="H4600" s="576">
        <v>7258</v>
      </c>
    </row>
    <row r="4601" spans="1:8">
      <c r="A4601" s="575" t="s">
        <v>645</v>
      </c>
      <c r="B4601" s="575">
        <v>92000</v>
      </c>
      <c r="C4601" s="576">
        <v>24</v>
      </c>
      <c r="D4601" s="576">
        <v>0.315</v>
      </c>
      <c r="E4601" s="576">
        <v>57961</v>
      </c>
      <c r="F4601" s="576">
        <v>149961</v>
      </c>
      <c r="G4601" s="576">
        <v>6441</v>
      </c>
      <c r="H4601" s="576">
        <v>5980</v>
      </c>
    </row>
    <row r="4602" spans="1:8">
      <c r="A4602" s="575" t="s">
        <v>645</v>
      </c>
      <c r="B4602" s="575">
        <v>93000</v>
      </c>
      <c r="C4602" s="576">
        <v>12</v>
      </c>
      <c r="D4602" s="576">
        <v>0.315</v>
      </c>
      <c r="E4602" s="576">
        <v>29296</v>
      </c>
      <c r="F4602" s="576">
        <v>122296</v>
      </c>
      <c r="G4602" s="576">
        <v>3256</v>
      </c>
      <c r="H4602" s="576">
        <v>9920</v>
      </c>
    </row>
    <row r="4603" spans="1:8">
      <c r="A4603" s="575" t="s">
        <v>645</v>
      </c>
      <c r="B4603" s="575">
        <v>93000</v>
      </c>
      <c r="C4603" s="576">
        <v>18</v>
      </c>
      <c r="D4603" s="576">
        <v>0.315</v>
      </c>
      <c r="E4603" s="576">
        <v>43949</v>
      </c>
      <c r="F4603" s="576">
        <v>136949</v>
      </c>
      <c r="G4603" s="576">
        <v>4883</v>
      </c>
      <c r="H4603" s="576">
        <v>7337</v>
      </c>
    </row>
    <row r="4604" spans="1:8">
      <c r="A4604" s="575" t="s">
        <v>645</v>
      </c>
      <c r="B4604" s="575">
        <v>93000</v>
      </c>
      <c r="C4604" s="576">
        <v>24</v>
      </c>
      <c r="D4604" s="576">
        <v>0.315</v>
      </c>
      <c r="E4604" s="576">
        <v>58591</v>
      </c>
      <c r="F4604" s="576">
        <v>151591</v>
      </c>
      <c r="G4604" s="576">
        <v>6511</v>
      </c>
      <c r="H4604" s="576">
        <v>6045</v>
      </c>
    </row>
    <row r="4605" spans="1:8">
      <c r="A4605" s="575" t="s">
        <v>645</v>
      </c>
      <c r="B4605" s="575">
        <v>94000</v>
      </c>
      <c r="C4605" s="576">
        <v>12</v>
      </c>
      <c r="D4605" s="576">
        <v>0.315</v>
      </c>
      <c r="E4605" s="576">
        <v>29615</v>
      </c>
      <c r="F4605" s="576">
        <v>123615</v>
      </c>
      <c r="G4605" s="576">
        <v>3291</v>
      </c>
      <c r="H4605" s="576">
        <v>10027</v>
      </c>
    </row>
    <row r="4606" spans="1:8">
      <c r="A4606" s="575" t="s">
        <v>645</v>
      </c>
      <c r="B4606" s="575">
        <v>94000</v>
      </c>
      <c r="C4606" s="576">
        <v>18</v>
      </c>
      <c r="D4606" s="576">
        <v>0.315</v>
      </c>
      <c r="E4606" s="576">
        <v>44424</v>
      </c>
      <c r="F4606" s="576">
        <v>138424</v>
      </c>
      <c r="G4606" s="576">
        <v>4936</v>
      </c>
      <c r="H4606" s="576">
        <v>7416</v>
      </c>
    </row>
    <row r="4607" spans="1:8">
      <c r="A4607" s="575" t="s">
        <v>645</v>
      </c>
      <c r="B4607" s="575">
        <v>94000</v>
      </c>
      <c r="C4607" s="576">
        <v>24</v>
      </c>
      <c r="D4607" s="576">
        <v>0.315</v>
      </c>
      <c r="E4607" s="576">
        <v>59221</v>
      </c>
      <c r="F4607" s="576">
        <v>153221</v>
      </c>
      <c r="G4607" s="576">
        <v>6581</v>
      </c>
      <c r="H4607" s="576">
        <v>6110</v>
      </c>
    </row>
    <row r="4608" spans="1:8">
      <c r="A4608" s="575" t="s">
        <v>645</v>
      </c>
      <c r="B4608" s="575">
        <v>95000</v>
      </c>
      <c r="C4608" s="576">
        <v>12</v>
      </c>
      <c r="D4608" s="576">
        <v>0.315</v>
      </c>
      <c r="E4608" s="576">
        <v>29934</v>
      </c>
      <c r="F4608" s="576">
        <v>124934</v>
      </c>
      <c r="G4608" s="576">
        <v>3326</v>
      </c>
      <c r="H4608" s="576">
        <v>10134</v>
      </c>
    </row>
    <row r="4609" spans="1:8">
      <c r="A4609" s="575" t="s">
        <v>645</v>
      </c>
      <c r="B4609" s="575">
        <v>95000</v>
      </c>
      <c r="C4609" s="576">
        <v>18</v>
      </c>
      <c r="D4609" s="576">
        <v>0.315</v>
      </c>
      <c r="E4609" s="576">
        <v>44898</v>
      </c>
      <c r="F4609" s="576">
        <v>139898</v>
      </c>
      <c r="G4609" s="576">
        <v>4988</v>
      </c>
      <c r="H4609" s="576">
        <v>7495</v>
      </c>
    </row>
    <row r="4610" spans="1:8">
      <c r="A4610" s="575" t="s">
        <v>645</v>
      </c>
      <c r="B4610" s="575">
        <v>95000</v>
      </c>
      <c r="C4610" s="576">
        <v>24</v>
      </c>
      <c r="D4610" s="576">
        <v>0.315</v>
      </c>
      <c r="E4610" s="576">
        <v>59851</v>
      </c>
      <c r="F4610" s="576">
        <v>154851</v>
      </c>
      <c r="G4610" s="576">
        <v>6651</v>
      </c>
      <c r="H4610" s="576">
        <v>6175</v>
      </c>
    </row>
    <row r="4611" spans="1:8">
      <c r="A4611" s="575" t="s">
        <v>645</v>
      </c>
      <c r="B4611" s="575">
        <v>96000</v>
      </c>
      <c r="C4611" s="576">
        <v>12</v>
      </c>
      <c r="D4611" s="576">
        <v>0.315</v>
      </c>
      <c r="E4611" s="576">
        <v>30241</v>
      </c>
      <c r="F4611" s="576">
        <v>126241</v>
      </c>
      <c r="G4611" s="576">
        <v>3361</v>
      </c>
      <c r="H4611" s="576">
        <v>10240</v>
      </c>
    </row>
    <row r="4612" spans="1:8">
      <c r="A4612" s="575" t="s">
        <v>645</v>
      </c>
      <c r="B4612" s="575">
        <v>96000</v>
      </c>
      <c r="C4612" s="576">
        <v>18</v>
      </c>
      <c r="D4612" s="576">
        <v>0.315</v>
      </c>
      <c r="E4612" s="576">
        <v>45373</v>
      </c>
      <c r="F4612" s="576">
        <v>141373</v>
      </c>
      <c r="G4612" s="576">
        <v>5041</v>
      </c>
      <c r="H4612" s="576">
        <v>7574</v>
      </c>
    </row>
    <row r="4613" spans="1:8">
      <c r="A4613" s="575" t="s">
        <v>645</v>
      </c>
      <c r="B4613" s="575">
        <v>96000</v>
      </c>
      <c r="C4613" s="576">
        <v>24</v>
      </c>
      <c r="D4613" s="576">
        <v>0.315</v>
      </c>
      <c r="E4613" s="576">
        <v>60481</v>
      </c>
      <c r="F4613" s="576">
        <v>156481</v>
      </c>
      <c r="G4613" s="576">
        <v>6721</v>
      </c>
      <c r="H4613" s="576">
        <v>6240</v>
      </c>
    </row>
    <row r="4614" spans="1:8">
      <c r="A4614" s="575" t="s">
        <v>645</v>
      </c>
      <c r="B4614" s="575">
        <v>97000</v>
      </c>
      <c r="C4614" s="576">
        <v>12</v>
      </c>
      <c r="D4614" s="576">
        <v>0.315</v>
      </c>
      <c r="E4614" s="576">
        <v>30560</v>
      </c>
      <c r="F4614" s="576">
        <v>127560</v>
      </c>
      <c r="G4614" s="576">
        <v>3396</v>
      </c>
      <c r="H4614" s="576">
        <v>10347</v>
      </c>
    </row>
    <row r="4615" spans="1:8">
      <c r="A4615" s="575" t="s">
        <v>645</v>
      </c>
      <c r="B4615" s="575">
        <v>97000</v>
      </c>
      <c r="C4615" s="576">
        <v>18</v>
      </c>
      <c r="D4615" s="576">
        <v>0.315</v>
      </c>
      <c r="E4615" s="576">
        <v>45847</v>
      </c>
      <c r="F4615" s="576">
        <v>142847</v>
      </c>
      <c r="G4615" s="576">
        <v>5093</v>
      </c>
      <c r="H4615" s="576">
        <v>7653</v>
      </c>
    </row>
    <row r="4616" spans="1:8">
      <c r="A4616" s="575" t="s">
        <v>645</v>
      </c>
      <c r="B4616" s="575">
        <v>97000</v>
      </c>
      <c r="C4616" s="576">
        <v>24</v>
      </c>
      <c r="D4616" s="576">
        <v>0.315</v>
      </c>
      <c r="E4616" s="576">
        <v>61111</v>
      </c>
      <c r="F4616" s="576">
        <v>158111</v>
      </c>
      <c r="G4616" s="576">
        <v>6791</v>
      </c>
      <c r="H4616" s="576">
        <v>6305</v>
      </c>
    </row>
    <row r="4617" spans="1:8">
      <c r="A4617" s="575" t="s">
        <v>645</v>
      </c>
      <c r="B4617" s="575">
        <v>98000</v>
      </c>
      <c r="C4617" s="576">
        <v>12</v>
      </c>
      <c r="D4617" s="576">
        <v>0.315</v>
      </c>
      <c r="E4617" s="576">
        <v>30879</v>
      </c>
      <c r="F4617" s="576">
        <v>128879</v>
      </c>
      <c r="G4617" s="576">
        <v>3431</v>
      </c>
      <c r="H4617" s="576">
        <v>10454</v>
      </c>
    </row>
    <row r="4618" spans="1:8">
      <c r="A4618" s="575" t="s">
        <v>645</v>
      </c>
      <c r="B4618" s="575">
        <v>98000</v>
      </c>
      <c r="C4618" s="576">
        <v>18</v>
      </c>
      <c r="D4618" s="576">
        <v>0.315</v>
      </c>
      <c r="E4618" s="576">
        <v>46322</v>
      </c>
      <c r="F4618" s="576">
        <v>144322</v>
      </c>
      <c r="G4618" s="576">
        <v>5146</v>
      </c>
      <c r="H4618" s="576">
        <v>7732</v>
      </c>
    </row>
    <row r="4619" spans="1:8">
      <c r="A4619" s="575" t="s">
        <v>645</v>
      </c>
      <c r="B4619" s="575">
        <v>98000</v>
      </c>
      <c r="C4619" s="576">
        <v>24</v>
      </c>
      <c r="D4619" s="576">
        <v>0.315</v>
      </c>
      <c r="E4619" s="576">
        <v>61741</v>
      </c>
      <c r="F4619" s="576">
        <v>159741</v>
      </c>
      <c r="G4619" s="576">
        <v>6861</v>
      </c>
      <c r="H4619" s="576">
        <v>6370</v>
      </c>
    </row>
    <row r="4620" spans="1:8">
      <c r="A4620" s="575" t="s">
        <v>645</v>
      </c>
      <c r="B4620" s="575">
        <v>99000</v>
      </c>
      <c r="C4620" s="576">
        <v>12</v>
      </c>
      <c r="D4620" s="576">
        <v>0.315</v>
      </c>
      <c r="E4620" s="576">
        <v>31186</v>
      </c>
      <c r="F4620" s="576">
        <v>130186</v>
      </c>
      <c r="G4620" s="576">
        <v>3466</v>
      </c>
      <c r="H4620" s="576">
        <v>10560</v>
      </c>
    </row>
    <row r="4621" spans="1:8">
      <c r="A4621" s="575" t="s">
        <v>645</v>
      </c>
      <c r="B4621" s="575">
        <v>99000</v>
      </c>
      <c r="C4621" s="576">
        <v>18</v>
      </c>
      <c r="D4621" s="576">
        <v>0.315</v>
      </c>
      <c r="E4621" s="576">
        <v>46778</v>
      </c>
      <c r="F4621" s="576">
        <v>145778</v>
      </c>
      <c r="G4621" s="576">
        <v>5198</v>
      </c>
      <c r="H4621" s="576">
        <v>7810</v>
      </c>
    </row>
    <row r="4622" spans="1:8">
      <c r="A4622" s="575" t="s">
        <v>645</v>
      </c>
      <c r="B4622" s="575">
        <v>99000</v>
      </c>
      <c r="C4622" s="576">
        <v>24</v>
      </c>
      <c r="D4622" s="576">
        <v>0.315</v>
      </c>
      <c r="E4622" s="576">
        <v>62371</v>
      </c>
      <c r="F4622" s="576">
        <v>161371</v>
      </c>
      <c r="G4622" s="576">
        <v>6931</v>
      </c>
      <c r="H4622" s="576">
        <v>6435</v>
      </c>
    </row>
    <row r="4623" spans="1:8">
      <c r="A4623" s="575" t="s">
        <v>645</v>
      </c>
      <c r="B4623" s="575">
        <v>100000</v>
      </c>
      <c r="C4623" s="576">
        <v>12</v>
      </c>
      <c r="D4623" s="576">
        <v>0.315</v>
      </c>
      <c r="E4623" s="576">
        <v>31505</v>
      </c>
      <c r="F4623" s="576">
        <v>131505</v>
      </c>
      <c r="G4623" s="576">
        <v>3501</v>
      </c>
      <c r="H4623" s="576">
        <v>10667</v>
      </c>
    </row>
    <row r="4624" spans="1:8">
      <c r="A4624" s="575" t="s">
        <v>645</v>
      </c>
      <c r="B4624" s="575">
        <v>100000</v>
      </c>
      <c r="C4624" s="576">
        <v>18</v>
      </c>
      <c r="D4624" s="576">
        <v>0.315</v>
      </c>
      <c r="E4624" s="576">
        <v>47253</v>
      </c>
      <c r="F4624" s="576">
        <v>147253</v>
      </c>
      <c r="G4624" s="576">
        <v>5251</v>
      </c>
      <c r="H4624" s="576">
        <v>7889</v>
      </c>
    </row>
    <row r="4625" spans="1:8">
      <c r="A4625" s="575" t="s">
        <v>645</v>
      </c>
      <c r="B4625" s="575">
        <v>100000</v>
      </c>
      <c r="C4625" s="576">
        <v>24</v>
      </c>
      <c r="D4625" s="576">
        <v>0.315</v>
      </c>
      <c r="E4625" s="576">
        <v>63001</v>
      </c>
      <c r="F4625" s="576">
        <v>163001</v>
      </c>
      <c r="G4625" s="576">
        <v>7001</v>
      </c>
      <c r="H4625" s="576">
        <v>6500</v>
      </c>
    </row>
    <row r="4626" spans="1:8">
      <c r="A4626" s="575" t="s">
        <v>645</v>
      </c>
      <c r="B4626" s="575">
        <v>101000</v>
      </c>
      <c r="C4626" s="576">
        <v>12</v>
      </c>
      <c r="D4626" s="576">
        <v>0.315</v>
      </c>
      <c r="E4626" s="576">
        <v>31824</v>
      </c>
      <c r="F4626" s="576">
        <v>132824</v>
      </c>
      <c r="G4626" s="576">
        <v>3536</v>
      </c>
      <c r="H4626" s="576">
        <v>10774</v>
      </c>
    </row>
    <row r="4627" spans="1:8">
      <c r="A4627" s="575" t="s">
        <v>645</v>
      </c>
      <c r="B4627" s="575">
        <v>101000</v>
      </c>
      <c r="C4627" s="576">
        <v>18</v>
      </c>
      <c r="D4627" s="576">
        <v>0.315</v>
      </c>
      <c r="E4627" s="576">
        <v>47727</v>
      </c>
      <c r="F4627" s="576">
        <v>148727</v>
      </c>
      <c r="G4627" s="576">
        <v>5303</v>
      </c>
      <c r="H4627" s="576">
        <v>7968</v>
      </c>
    </row>
    <row r="4628" spans="1:8">
      <c r="A4628" s="575" t="s">
        <v>645</v>
      </c>
      <c r="B4628" s="575">
        <v>101000</v>
      </c>
      <c r="C4628" s="576">
        <v>24</v>
      </c>
      <c r="D4628" s="576">
        <v>0.315</v>
      </c>
      <c r="E4628" s="576">
        <v>63631</v>
      </c>
      <c r="F4628" s="576">
        <v>164631</v>
      </c>
      <c r="G4628" s="576">
        <v>7071</v>
      </c>
      <c r="H4628" s="576">
        <v>6565</v>
      </c>
    </row>
    <row r="4629" spans="1:8">
      <c r="A4629" s="575" t="s">
        <v>645</v>
      </c>
      <c r="B4629" s="575">
        <v>102000</v>
      </c>
      <c r="C4629" s="576">
        <v>12</v>
      </c>
      <c r="D4629" s="576">
        <v>0.315</v>
      </c>
      <c r="E4629" s="576">
        <v>32131</v>
      </c>
      <c r="F4629" s="576">
        <v>134131</v>
      </c>
      <c r="G4629" s="576">
        <v>3571</v>
      </c>
      <c r="H4629" s="576">
        <v>10880</v>
      </c>
    </row>
    <row r="4630" spans="1:8">
      <c r="A4630" s="575" t="s">
        <v>645</v>
      </c>
      <c r="B4630" s="575">
        <v>102000</v>
      </c>
      <c r="C4630" s="576">
        <v>18</v>
      </c>
      <c r="D4630" s="576">
        <v>0.315</v>
      </c>
      <c r="E4630" s="576">
        <v>48202</v>
      </c>
      <c r="F4630" s="576">
        <v>150202</v>
      </c>
      <c r="G4630" s="576">
        <v>5356</v>
      </c>
      <c r="H4630" s="576">
        <v>8047</v>
      </c>
    </row>
    <row r="4631" spans="1:8">
      <c r="A4631" s="575" t="s">
        <v>645</v>
      </c>
      <c r="B4631" s="575">
        <v>102000</v>
      </c>
      <c r="C4631" s="576">
        <v>24</v>
      </c>
      <c r="D4631" s="576">
        <v>0.315</v>
      </c>
      <c r="E4631" s="576">
        <v>64261</v>
      </c>
      <c r="F4631" s="576">
        <v>166261</v>
      </c>
      <c r="G4631" s="576">
        <v>7141</v>
      </c>
      <c r="H4631" s="576">
        <v>6630</v>
      </c>
    </row>
    <row r="4632" spans="1:8">
      <c r="A4632" s="575" t="s">
        <v>645</v>
      </c>
      <c r="B4632" s="575">
        <v>103000</v>
      </c>
      <c r="C4632" s="576">
        <v>12</v>
      </c>
      <c r="D4632" s="576">
        <v>0.315</v>
      </c>
      <c r="E4632" s="576">
        <v>32450</v>
      </c>
      <c r="F4632" s="576">
        <v>135450</v>
      </c>
      <c r="G4632" s="576">
        <v>3606</v>
      </c>
      <c r="H4632" s="576">
        <v>10987</v>
      </c>
    </row>
    <row r="4633" spans="1:8">
      <c r="A4633" s="575" t="s">
        <v>645</v>
      </c>
      <c r="B4633" s="575">
        <v>103000</v>
      </c>
      <c r="C4633" s="576">
        <v>18</v>
      </c>
      <c r="D4633" s="576">
        <v>0.315</v>
      </c>
      <c r="E4633" s="576">
        <v>48676</v>
      </c>
      <c r="F4633" s="576">
        <v>151676</v>
      </c>
      <c r="G4633" s="576">
        <v>5408</v>
      </c>
      <c r="H4633" s="576">
        <v>8126</v>
      </c>
    </row>
    <row r="4634" spans="1:8">
      <c r="A4634" s="575" t="s">
        <v>645</v>
      </c>
      <c r="B4634" s="575">
        <v>103000</v>
      </c>
      <c r="C4634" s="576">
        <v>24</v>
      </c>
      <c r="D4634" s="576">
        <v>0.315</v>
      </c>
      <c r="E4634" s="576">
        <v>64891</v>
      </c>
      <c r="F4634" s="576">
        <v>167891</v>
      </c>
      <c r="G4634" s="576">
        <v>7211</v>
      </c>
      <c r="H4634" s="576">
        <v>6695</v>
      </c>
    </row>
    <row r="4635" spans="1:8">
      <c r="A4635" s="575" t="s">
        <v>645</v>
      </c>
      <c r="B4635" s="575">
        <v>104000</v>
      </c>
      <c r="C4635" s="576">
        <v>12</v>
      </c>
      <c r="D4635" s="576">
        <v>0.315</v>
      </c>
      <c r="E4635" s="576">
        <v>32769</v>
      </c>
      <c r="F4635" s="576">
        <v>136769</v>
      </c>
      <c r="G4635" s="576">
        <v>3641</v>
      </c>
      <c r="H4635" s="576">
        <v>11094</v>
      </c>
    </row>
    <row r="4636" spans="1:8">
      <c r="A4636" s="575" t="s">
        <v>645</v>
      </c>
      <c r="B4636" s="575">
        <v>104000</v>
      </c>
      <c r="C4636" s="576">
        <v>18</v>
      </c>
      <c r="D4636" s="576">
        <v>0.315</v>
      </c>
      <c r="E4636" s="576">
        <v>49151</v>
      </c>
      <c r="F4636" s="576">
        <v>153151</v>
      </c>
      <c r="G4636" s="576">
        <v>5461</v>
      </c>
      <c r="H4636" s="576">
        <v>8205</v>
      </c>
    </row>
    <row r="4637" spans="1:8">
      <c r="A4637" s="575" t="s">
        <v>645</v>
      </c>
      <c r="B4637" s="575">
        <v>104000</v>
      </c>
      <c r="C4637" s="576">
        <v>24</v>
      </c>
      <c r="D4637" s="576">
        <v>0.315</v>
      </c>
      <c r="E4637" s="576">
        <v>65521</v>
      </c>
      <c r="F4637" s="576">
        <v>169521</v>
      </c>
      <c r="G4637" s="576">
        <v>7281</v>
      </c>
      <c r="H4637" s="576">
        <v>6760</v>
      </c>
    </row>
    <row r="4638" spans="1:8">
      <c r="A4638" s="575" t="s">
        <v>645</v>
      </c>
      <c r="B4638" s="575">
        <v>105000</v>
      </c>
      <c r="C4638" s="576">
        <v>12</v>
      </c>
      <c r="D4638" s="576">
        <v>0.315</v>
      </c>
      <c r="E4638" s="576">
        <v>33076</v>
      </c>
      <c r="F4638" s="576">
        <v>138076</v>
      </c>
      <c r="G4638" s="576">
        <v>3676</v>
      </c>
      <c r="H4638" s="576">
        <v>11200</v>
      </c>
    </row>
    <row r="4639" spans="1:8">
      <c r="A4639" s="575" t="s">
        <v>645</v>
      </c>
      <c r="B4639" s="575">
        <v>105000</v>
      </c>
      <c r="C4639" s="576">
        <v>18</v>
      </c>
      <c r="D4639" s="576">
        <v>0.315</v>
      </c>
      <c r="E4639" s="576">
        <v>49625</v>
      </c>
      <c r="F4639" s="576">
        <v>154625</v>
      </c>
      <c r="G4639" s="576">
        <v>5513</v>
      </c>
      <c r="H4639" s="576">
        <v>8284</v>
      </c>
    </row>
    <row r="4640" spans="1:8">
      <c r="A4640" s="575" t="s">
        <v>645</v>
      </c>
      <c r="B4640" s="575">
        <v>105000</v>
      </c>
      <c r="C4640" s="576">
        <v>24</v>
      </c>
      <c r="D4640" s="576">
        <v>0.315</v>
      </c>
      <c r="E4640" s="576">
        <v>66151</v>
      </c>
      <c r="F4640" s="576">
        <v>171151</v>
      </c>
      <c r="G4640" s="576">
        <v>7351</v>
      </c>
      <c r="H4640" s="576">
        <v>6825</v>
      </c>
    </row>
    <row r="4641" spans="1:8">
      <c r="A4641" s="575" t="s">
        <v>645</v>
      </c>
      <c r="B4641" s="575">
        <v>106000</v>
      </c>
      <c r="C4641" s="576">
        <v>12</v>
      </c>
      <c r="D4641" s="576">
        <v>0.315</v>
      </c>
      <c r="E4641" s="576">
        <v>33395</v>
      </c>
      <c r="F4641" s="576">
        <v>139395</v>
      </c>
      <c r="G4641" s="576">
        <v>3711</v>
      </c>
      <c r="H4641" s="576">
        <v>11307</v>
      </c>
    </row>
    <row r="4642" spans="1:8">
      <c r="A4642" s="575" t="s">
        <v>645</v>
      </c>
      <c r="B4642" s="575">
        <v>106000</v>
      </c>
      <c r="C4642" s="576">
        <v>18</v>
      </c>
      <c r="D4642" s="576">
        <v>0.315</v>
      </c>
      <c r="E4642" s="576">
        <v>50100</v>
      </c>
      <c r="F4642" s="576">
        <v>156100</v>
      </c>
      <c r="G4642" s="576">
        <v>5566</v>
      </c>
      <c r="H4642" s="576">
        <v>8363</v>
      </c>
    </row>
    <row r="4643" spans="1:8">
      <c r="A4643" s="575" t="s">
        <v>645</v>
      </c>
      <c r="B4643" s="575">
        <v>106000</v>
      </c>
      <c r="C4643" s="576">
        <v>24</v>
      </c>
      <c r="D4643" s="576">
        <v>0.315</v>
      </c>
      <c r="E4643" s="576">
        <v>66781</v>
      </c>
      <c r="F4643" s="576">
        <v>172781</v>
      </c>
      <c r="G4643" s="576">
        <v>7421</v>
      </c>
      <c r="H4643" s="576">
        <v>6890</v>
      </c>
    </row>
    <row r="4644" spans="1:8">
      <c r="A4644" s="575" t="s">
        <v>645</v>
      </c>
      <c r="B4644" s="575">
        <v>107000</v>
      </c>
      <c r="C4644" s="576">
        <v>12</v>
      </c>
      <c r="D4644" s="576">
        <v>0.315</v>
      </c>
      <c r="E4644" s="576">
        <v>33714</v>
      </c>
      <c r="F4644" s="576">
        <v>140714</v>
      </c>
      <c r="G4644" s="576">
        <v>3746</v>
      </c>
      <c r="H4644" s="576">
        <v>11414</v>
      </c>
    </row>
    <row r="4645" spans="1:8">
      <c r="A4645" s="575" t="s">
        <v>645</v>
      </c>
      <c r="B4645" s="575">
        <v>107000</v>
      </c>
      <c r="C4645" s="576">
        <v>18</v>
      </c>
      <c r="D4645" s="576">
        <v>0.315</v>
      </c>
      <c r="E4645" s="576">
        <v>50574</v>
      </c>
      <c r="F4645" s="576">
        <v>157574</v>
      </c>
      <c r="G4645" s="576">
        <v>5618</v>
      </c>
      <c r="H4645" s="576">
        <v>8442</v>
      </c>
    </row>
    <row r="4646" spans="1:8">
      <c r="A4646" s="575" t="s">
        <v>645</v>
      </c>
      <c r="B4646" s="575">
        <v>107000</v>
      </c>
      <c r="C4646" s="576">
        <v>24</v>
      </c>
      <c r="D4646" s="576">
        <v>0.315</v>
      </c>
      <c r="E4646" s="576">
        <v>67411</v>
      </c>
      <c r="F4646" s="576">
        <v>174411</v>
      </c>
      <c r="G4646" s="576">
        <v>7491</v>
      </c>
      <c r="H4646" s="576">
        <v>6955</v>
      </c>
    </row>
    <row r="4647" spans="1:8">
      <c r="A4647" s="575" t="s">
        <v>645</v>
      </c>
      <c r="B4647" s="575">
        <v>108000</v>
      </c>
      <c r="C4647" s="576">
        <v>12</v>
      </c>
      <c r="D4647" s="576">
        <v>0.315</v>
      </c>
      <c r="E4647" s="576">
        <v>34021</v>
      </c>
      <c r="F4647" s="576">
        <v>142021</v>
      </c>
      <c r="G4647" s="576">
        <v>3781</v>
      </c>
      <c r="H4647" s="576">
        <v>11520</v>
      </c>
    </row>
    <row r="4648" spans="1:8">
      <c r="A4648" s="575" t="s">
        <v>645</v>
      </c>
      <c r="B4648" s="575">
        <v>108000</v>
      </c>
      <c r="C4648" s="576">
        <v>18</v>
      </c>
      <c r="D4648" s="576">
        <v>0.315</v>
      </c>
      <c r="E4648" s="576">
        <v>51031</v>
      </c>
      <c r="F4648" s="576">
        <v>159031</v>
      </c>
      <c r="G4648" s="576">
        <v>5671</v>
      </c>
      <c r="H4648" s="576">
        <v>8520</v>
      </c>
    </row>
    <row r="4649" spans="1:8">
      <c r="A4649" s="575" t="s">
        <v>645</v>
      </c>
      <c r="B4649" s="575">
        <v>108000</v>
      </c>
      <c r="C4649" s="576">
        <v>24</v>
      </c>
      <c r="D4649" s="576">
        <v>0.315</v>
      </c>
      <c r="E4649" s="576">
        <v>68041</v>
      </c>
      <c r="F4649" s="576">
        <v>176041</v>
      </c>
      <c r="G4649" s="576">
        <v>7561</v>
      </c>
      <c r="H4649" s="576">
        <v>7020</v>
      </c>
    </row>
    <row r="4650" spans="1:8">
      <c r="A4650" s="575" t="s">
        <v>645</v>
      </c>
      <c r="B4650" s="575">
        <v>109000</v>
      </c>
      <c r="C4650" s="576">
        <v>12</v>
      </c>
      <c r="D4650" s="576">
        <v>0.315</v>
      </c>
      <c r="E4650" s="576">
        <v>34340</v>
      </c>
      <c r="F4650" s="576">
        <v>143340</v>
      </c>
      <c r="G4650" s="576">
        <v>3816</v>
      </c>
      <c r="H4650" s="576">
        <v>11627</v>
      </c>
    </row>
    <row r="4651" spans="1:8">
      <c r="A4651" s="575" t="s">
        <v>645</v>
      </c>
      <c r="B4651" s="575">
        <v>109000</v>
      </c>
      <c r="C4651" s="576">
        <v>18</v>
      </c>
      <c r="D4651" s="576">
        <v>0.315</v>
      </c>
      <c r="E4651" s="576">
        <v>51505</v>
      </c>
      <c r="F4651" s="576">
        <v>160505</v>
      </c>
      <c r="G4651" s="576">
        <v>5723</v>
      </c>
      <c r="H4651" s="576">
        <v>8599</v>
      </c>
    </row>
    <row r="4652" spans="1:8">
      <c r="A4652" s="575" t="s">
        <v>645</v>
      </c>
      <c r="B4652" s="575">
        <v>109000</v>
      </c>
      <c r="C4652" s="576">
        <v>24</v>
      </c>
      <c r="D4652" s="576">
        <v>0.315</v>
      </c>
      <c r="E4652" s="576">
        <v>68671</v>
      </c>
      <c r="F4652" s="576">
        <v>177671</v>
      </c>
      <c r="G4652" s="576">
        <v>7631</v>
      </c>
      <c r="H4652" s="576">
        <v>7085</v>
      </c>
    </row>
    <row r="4653" spans="1:8">
      <c r="A4653" s="575" t="s">
        <v>645</v>
      </c>
      <c r="B4653" s="575">
        <v>110000</v>
      </c>
      <c r="C4653" s="576">
        <v>12</v>
      </c>
      <c r="D4653" s="576">
        <v>0.315</v>
      </c>
      <c r="E4653" s="576">
        <v>34659</v>
      </c>
      <c r="F4653" s="576">
        <v>144659</v>
      </c>
      <c r="G4653" s="576">
        <v>3851</v>
      </c>
      <c r="H4653" s="576">
        <v>11734</v>
      </c>
    </row>
    <row r="4654" spans="1:8">
      <c r="A4654" s="575" t="s">
        <v>645</v>
      </c>
      <c r="B4654" s="575">
        <v>110000</v>
      </c>
      <c r="C4654" s="576">
        <v>18</v>
      </c>
      <c r="D4654" s="576">
        <v>0.315</v>
      </c>
      <c r="E4654" s="576">
        <v>51980</v>
      </c>
      <c r="F4654" s="576">
        <v>161980</v>
      </c>
      <c r="G4654" s="576">
        <v>5776</v>
      </c>
      <c r="H4654" s="576">
        <v>8678</v>
      </c>
    </row>
    <row r="4655" spans="1:8">
      <c r="A4655" s="575" t="s">
        <v>645</v>
      </c>
      <c r="B4655" s="575">
        <v>110000</v>
      </c>
      <c r="C4655" s="576">
        <v>24</v>
      </c>
      <c r="D4655" s="576">
        <v>0.315</v>
      </c>
      <c r="E4655" s="576">
        <v>69301</v>
      </c>
      <c r="F4655" s="576">
        <v>179301</v>
      </c>
      <c r="G4655" s="576">
        <v>7701</v>
      </c>
      <c r="H4655" s="576">
        <v>7150</v>
      </c>
    </row>
    <row r="4656" spans="1:8">
      <c r="A4656" s="575" t="s">
        <v>645</v>
      </c>
      <c r="B4656" s="575">
        <v>111000</v>
      </c>
      <c r="C4656" s="576">
        <v>12</v>
      </c>
      <c r="D4656" s="576">
        <v>0.315</v>
      </c>
      <c r="E4656" s="576">
        <v>34966</v>
      </c>
      <c r="F4656" s="576">
        <v>145966</v>
      </c>
      <c r="G4656" s="576">
        <v>3886</v>
      </c>
      <c r="H4656" s="576">
        <v>11840</v>
      </c>
    </row>
    <row r="4657" spans="1:8">
      <c r="A4657" s="575" t="s">
        <v>645</v>
      </c>
      <c r="B4657" s="575">
        <v>111000</v>
      </c>
      <c r="C4657" s="576">
        <v>18</v>
      </c>
      <c r="D4657" s="576">
        <v>0.315</v>
      </c>
      <c r="E4657" s="576">
        <v>52454</v>
      </c>
      <c r="F4657" s="576">
        <v>163454</v>
      </c>
      <c r="G4657" s="576">
        <v>5828</v>
      </c>
      <c r="H4657" s="576">
        <v>8757</v>
      </c>
    </row>
    <row r="4658" spans="1:8">
      <c r="A4658" s="575" t="s">
        <v>645</v>
      </c>
      <c r="B4658" s="575">
        <v>111000</v>
      </c>
      <c r="C4658" s="576">
        <v>24</v>
      </c>
      <c r="D4658" s="576">
        <v>0.315</v>
      </c>
      <c r="E4658" s="576">
        <v>69931</v>
      </c>
      <c r="F4658" s="576">
        <v>180931</v>
      </c>
      <c r="G4658" s="576">
        <v>7771</v>
      </c>
      <c r="H4658" s="576">
        <v>7215</v>
      </c>
    </row>
    <row r="4659" spans="1:8">
      <c r="A4659" s="575" t="s">
        <v>645</v>
      </c>
      <c r="B4659" s="575">
        <v>112000</v>
      </c>
      <c r="C4659" s="576">
        <v>12</v>
      </c>
      <c r="D4659" s="576">
        <v>0.315</v>
      </c>
      <c r="E4659" s="576">
        <v>35285</v>
      </c>
      <c r="F4659" s="576">
        <v>147285</v>
      </c>
      <c r="G4659" s="576">
        <v>3921</v>
      </c>
      <c r="H4659" s="576">
        <v>11947</v>
      </c>
    </row>
    <row r="4660" spans="1:8">
      <c r="A4660" s="575" t="s">
        <v>645</v>
      </c>
      <c r="B4660" s="575">
        <v>112000</v>
      </c>
      <c r="C4660" s="576">
        <v>18</v>
      </c>
      <c r="D4660" s="576">
        <v>0.315</v>
      </c>
      <c r="E4660" s="576">
        <v>52929</v>
      </c>
      <c r="F4660" s="576">
        <v>164929</v>
      </c>
      <c r="G4660" s="576">
        <v>5881</v>
      </c>
      <c r="H4660" s="576">
        <v>8836</v>
      </c>
    </row>
    <row r="4661" spans="1:8">
      <c r="A4661" s="575" t="s">
        <v>645</v>
      </c>
      <c r="B4661" s="575">
        <v>112000</v>
      </c>
      <c r="C4661" s="576">
        <v>24</v>
      </c>
      <c r="D4661" s="576">
        <v>0.315</v>
      </c>
      <c r="E4661" s="576">
        <v>70561</v>
      </c>
      <c r="F4661" s="576">
        <v>182561</v>
      </c>
      <c r="G4661" s="576">
        <v>7841</v>
      </c>
      <c r="H4661" s="576">
        <v>7280</v>
      </c>
    </row>
    <row r="4662" spans="1:8">
      <c r="A4662" s="575" t="s">
        <v>645</v>
      </c>
      <c r="B4662" s="575">
        <v>113000</v>
      </c>
      <c r="C4662" s="576">
        <v>12</v>
      </c>
      <c r="D4662" s="576">
        <v>0.315</v>
      </c>
      <c r="E4662" s="576">
        <v>35604</v>
      </c>
      <c r="F4662" s="576">
        <v>148604</v>
      </c>
      <c r="G4662" s="576">
        <v>3956</v>
      </c>
      <c r="H4662" s="576">
        <v>12054</v>
      </c>
    </row>
    <row r="4663" spans="1:8">
      <c r="A4663" s="575" t="s">
        <v>645</v>
      </c>
      <c r="B4663" s="575">
        <v>113000</v>
      </c>
      <c r="C4663" s="576">
        <v>18</v>
      </c>
      <c r="D4663" s="576">
        <v>0.315</v>
      </c>
      <c r="E4663" s="576">
        <v>53403</v>
      </c>
      <c r="F4663" s="576">
        <v>166403</v>
      </c>
      <c r="G4663" s="576">
        <v>5933</v>
      </c>
      <c r="H4663" s="576">
        <v>8915</v>
      </c>
    </row>
    <row r="4664" spans="1:8">
      <c r="A4664" s="575" t="s">
        <v>645</v>
      </c>
      <c r="B4664" s="575">
        <v>113000</v>
      </c>
      <c r="C4664" s="576">
        <v>24</v>
      </c>
      <c r="D4664" s="576">
        <v>0.315</v>
      </c>
      <c r="E4664" s="576">
        <v>71191</v>
      </c>
      <c r="F4664" s="576">
        <v>184191</v>
      </c>
      <c r="G4664" s="576">
        <v>7911</v>
      </c>
      <c r="H4664" s="576">
        <v>7345</v>
      </c>
    </row>
    <row r="4665" spans="1:8">
      <c r="A4665" s="575" t="s">
        <v>645</v>
      </c>
      <c r="B4665" s="575">
        <v>114000</v>
      </c>
      <c r="C4665" s="576">
        <v>12</v>
      </c>
      <c r="D4665" s="576">
        <v>0.315</v>
      </c>
      <c r="E4665" s="576">
        <v>35911</v>
      </c>
      <c r="F4665" s="576">
        <v>149911</v>
      </c>
      <c r="G4665" s="576">
        <v>3991</v>
      </c>
      <c r="H4665" s="576">
        <v>12160</v>
      </c>
    </row>
    <row r="4666" spans="1:8">
      <c r="A4666" s="575" t="s">
        <v>645</v>
      </c>
      <c r="B4666" s="575">
        <v>114000</v>
      </c>
      <c r="C4666" s="576">
        <v>18</v>
      </c>
      <c r="D4666" s="576">
        <v>0.315</v>
      </c>
      <c r="E4666" s="576">
        <v>53878</v>
      </c>
      <c r="F4666" s="576">
        <v>167878</v>
      </c>
      <c r="G4666" s="576">
        <v>5986</v>
      </c>
      <c r="H4666" s="576">
        <v>8994</v>
      </c>
    </row>
    <row r="4667" spans="1:8">
      <c r="A4667" s="575" t="s">
        <v>645</v>
      </c>
      <c r="B4667" s="575">
        <v>114000</v>
      </c>
      <c r="C4667" s="576">
        <v>24</v>
      </c>
      <c r="D4667" s="576">
        <v>0.315</v>
      </c>
      <c r="E4667" s="576">
        <v>71821</v>
      </c>
      <c r="F4667" s="576">
        <v>185821</v>
      </c>
      <c r="G4667" s="576">
        <v>7981</v>
      </c>
      <c r="H4667" s="576">
        <v>7410</v>
      </c>
    </row>
    <row r="4668" spans="1:8">
      <c r="A4668" s="575" t="s">
        <v>645</v>
      </c>
      <c r="B4668" s="575">
        <v>115000</v>
      </c>
      <c r="C4668" s="576">
        <v>12</v>
      </c>
      <c r="D4668" s="576">
        <v>0.315</v>
      </c>
      <c r="E4668" s="576">
        <v>36230</v>
      </c>
      <c r="F4668" s="576">
        <v>151230</v>
      </c>
      <c r="G4668" s="576">
        <v>4026</v>
      </c>
      <c r="H4668" s="576">
        <v>12267</v>
      </c>
    </row>
    <row r="4669" spans="1:8">
      <c r="A4669" s="575" t="s">
        <v>645</v>
      </c>
      <c r="B4669" s="575">
        <v>115000</v>
      </c>
      <c r="C4669" s="576">
        <v>18</v>
      </c>
      <c r="D4669" s="576">
        <v>0.315</v>
      </c>
      <c r="E4669" s="576">
        <v>54352</v>
      </c>
      <c r="F4669" s="576">
        <v>169352</v>
      </c>
      <c r="G4669" s="576">
        <v>6038</v>
      </c>
      <c r="H4669" s="576">
        <v>9073</v>
      </c>
    </row>
    <row r="4670" spans="1:8">
      <c r="A4670" s="575" t="s">
        <v>645</v>
      </c>
      <c r="B4670" s="575">
        <v>115000</v>
      </c>
      <c r="C4670" s="576">
        <v>24</v>
      </c>
      <c r="D4670" s="576">
        <v>0.315</v>
      </c>
      <c r="E4670" s="576">
        <v>72451</v>
      </c>
      <c r="F4670" s="576">
        <v>187451</v>
      </c>
      <c r="G4670" s="576">
        <v>8051</v>
      </c>
      <c r="H4670" s="576">
        <v>7475</v>
      </c>
    </row>
    <row r="4671" spans="1:8">
      <c r="A4671" s="575" t="s">
        <v>645</v>
      </c>
      <c r="B4671" s="575">
        <v>116000</v>
      </c>
      <c r="C4671" s="576">
        <v>12</v>
      </c>
      <c r="D4671" s="576">
        <v>0.315</v>
      </c>
      <c r="E4671" s="576">
        <v>36549</v>
      </c>
      <c r="F4671" s="576">
        <v>152549</v>
      </c>
      <c r="G4671" s="576">
        <v>4061</v>
      </c>
      <c r="H4671" s="576">
        <v>12374</v>
      </c>
    </row>
    <row r="4672" spans="1:8">
      <c r="A4672" s="575" t="s">
        <v>645</v>
      </c>
      <c r="B4672" s="575">
        <v>116000</v>
      </c>
      <c r="C4672" s="576">
        <v>18</v>
      </c>
      <c r="D4672" s="576">
        <v>0.315</v>
      </c>
      <c r="E4672" s="576">
        <v>54827</v>
      </c>
      <c r="F4672" s="576">
        <v>170827</v>
      </c>
      <c r="G4672" s="576">
        <v>6091</v>
      </c>
      <c r="H4672" s="576">
        <v>9152</v>
      </c>
    </row>
    <row r="4673" spans="1:8">
      <c r="A4673" s="575" t="s">
        <v>645</v>
      </c>
      <c r="B4673" s="575">
        <v>116000</v>
      </c>
      <c r="C4673" s="576">
        <v>24</v>
      </c>
      <c r="D4673" s="576">
        <v>0.315</v>
      </c>
      <c r="E4673" s="576">
        <v>73081</v>
      </c>
      <c r="F4673" s="576">
        <v>189081</v>
      </c>
      <c r="G4673" s="576">
        <v>8121</v>
      </c>
      <c r="H4673" s="576">
        <v>7540</v>
      </c>
    </row>
    <row r="4674" spans="1:8">
      <c r="A4674" s="575" t="s">
        <v>645</v>
      </c>
      <c r="B4674" s="575">
        <v>117000</v>
      </c>
      <c r="C4674" s="576">
        <v>12</v>
      </c>
      <c r="D4674" s="576">
        <v>0.315</v>
      </c>
      <c r="E4674" s="576">
        <v>36856</v>
      </c>
      <c r="F4674" s="576">
        <v>153856</v>
      </c>
      <c r="G4674" s="576">
        <v>4096</v>
      </c>
      <c r="H4674" s="576">
        <v>12480</v>
      </c>
    </row>
    <row r="4675" spans="1:8">
      <c r="A4675" s="575" t="s">
        <v>645</v>
      </c>
      <c r="B4675" s="575">
        <v>117000</v>
      </c>
      <c r="C4675" s="576">
        <v>18</v>
      </c>
      <c r="D4675" s="576">
        <v>0.315</v>
      </c>
      <c r="E4675" s="576">
        <v>55283</v>
      </c>
      <c r="F4675" s="576">
        <v>172283</v>
      </c>
      <c r="G4675" s="576">
        <v>6143</v>
      </c>
      <c r="H4675" s="576">
        <v>9230</v>
      </c>
    </row>
    <row r="4676" spans="1:8">
      <c r="A4676" s="575" t="s">
        <v>645</v>
      </c>
      <c r="B4676" s="575">
        <v>117000</v>
      </c>
      <c r="C4676" s="576">
        <v>24</v>
      </c>
      <c r="D4676" s="576">
        <v>0.315</v>
      </c>
      <c r="E4676" s="576">
        <v>73711</v>
      </c>
      <c r="F4676" s="576">
        <v>190711</v>
      </c>
      <c r="G4676" s="576">
        <v>8191</v>
      </c>
      <c r="H4676" s="576">
        <v>7605</v>
      </c>
    </row>
    <row r="4677" spans="1:8">
      <c r="A4677" s="575" t="s">
        <v>645</v>
      </c>
      <c r="B4677" s="575">
        <v>118000</v>
      </c>
      <c r="C4677" s="576">
        <v>12</v>
      </c>
      <c r="D4677" s="576">
        <v>0.315</v>
      </c>
      <c r="E4677" s="576">
        <v>37175</v>
      </c>
      <c r="F4677" s="576">
        <v>155175</v>
      </c>
      <c r="G4677" s="576">
        <v>4131</v>
      </c>
      <c r="H4677" s="576">
        <v>12587</v>
      </c>
    </row>
    <row r="4678" spans="1:8">
      <c r="A4678" s="575" t="s">
        <v>645</v>
      </c>
      <c r="B4678" s="575">
        <v>118000</v>
      </c>
      <c r="C4678" s="576">
        <v>18</v>
      </c>
      <c r="D4678" s="576">
        <v>0.315</v>
      </c>
      <c r="E4678" s="576">
        <v>55758</v>
      </c>
      <c r="F4678" s="576">
        <v>173758</v>
      </c>
      <c r="G4678" s="576">
        <v>6196</v>
      </c>
      <c r="H4678" s="576">
        <v>9309</v>
      </c>
    </row>
    <row r="4679" spans="1:8">
      <c r="A4679" s="575" t="s">
        <v>645</v>
      </c>
      <c r="B4679" s="575">
        <v>118000</v>
      </c>
      <c r="C4679" s="576">
        <v>24</v>
      </c>
      <c r="D4679" s="576">
        <v>0.315</v>
      </c>
      <c r="E4679" s="576">
        <v>74341</v>
      </c>
      <c r="F4679" s="576">
        <v>192341</v>
      </c>
      <c r="G4679" s="576">
        <v>8261</v>
      </c>
      <c r="H4679" s="576">
        <v>7670</v>
      </c>
    </row>
    <row r="4680" spans="1:8">
      <c r="A4680" s="575" t="s">
        <v>645</v>
      </c>
      <c r="B4680" s="575">
        <v>119000</v>
      </c>
      <c r="C4680" s="576">
        <v>12</v>
      </c>
      <c r="D4680" s="576">
        <v>0.315</v>
      </c>
      <c r="E4680" s="576">
        <v>37494</v>
      </c>
      <c r="F4680" s="576">
        <v>156494</v>
      </c>
      <c r="G4680" s="576">
        <v>4166</v>
      </c>
      <c r="H4680" s="576">
        <v>12694</v>
      </c>
    </row>
    <row r="4681" spans="1:8">
      <c r="A4681" s="575" t="s">
        <v>645</v>
      </c>
      <c r="B4681" s="575">
        <v>119000</v>
      </c>
      <c r="C4681" s="576">
        <v>18</v>
      </c>
      <c r="D4681" s="576">
        <v>0.315</v>
      </c>
      <c r="E4681" s="576">
        <v>56232</v>
      </c>
      <c r="F4681" s="576">
        <v>175232</v>
      </c>
      <c r="G4681" s="576">
        <v>6248</v>
      </c>
      <c r="H4681" s="576">
        <v>9388</v>
      </c>
    </row>
    <row r="4682" spans="1:8">
      <c r="A4682" s="575" t="s">
        <v>645</v>
      </c>
      <c r="B4682" s="575">
        <v>119000</v>
      </c>
      <c r="C4682" s="576">
        <v>24</v>
      </c>
      <c r="D4682" s="576">
        <v>0.315</v>
      </c>
      <c r="E4682" s="576">
        <v>74971</v>
      </c>
      <c r="F4682" s="576">
        <v>193971</v>
      </c>
      <c r="G4682" s="576">
        <v>8331</v>
      </c>
      <c r="H4682" s="576">
        <v>7735</v>
      </c>
    </row>
    <row r="4683" spans="1:8">
      <c r="A4683" s="575" t="s">
        <v>645</v>
      </c>
      <c r="B4683" s="575">
        <v>120000</v>
      </c>
      <c r="C4683" s="576">
        <v>12</v>
      </c>
      <c r="D4683" s="576">
        <v>0.315</v>
      </c>
      <c r="E4683" s="576">
        <v>37801</v>
      </c>
      <c r="F4683" s="576">
        <v>157801</v>
      </c>
      <c r="G4683" s="576">
        <v>4201</v>
      </c>
      <c r="H4683" s="576">
        <v>12800</v>
      </c>
    </row>
    <row r="4684" spans="1:8">
      <c r="A4684" s="575" t="s">
        <v>645</v>
      </c>
      <c r="B4684" s="575">
        <v>120000</v>
      </c>
      <c r="C4684" s="576">
        <v>18</v>
      </c>
      <c r="D4684" s="576">
        <v>0.315</v>
      </c>
      <c r="E4684" s="576">
        <v>56707</v>
      </c>
      <c r="F4684" s="576">
        <v>176707</v>
      </c>
      <c r="G4684" s="576">
        <v>6301</v>
      </c>
      <c r="H4684" s="576">
        <v>9467</v>
      </c>
    </row>
    <row r="4685" spans="1:8">
      <c r="A4685" s="575" t="s">
        <v>645</v>
      </c>
      <c r="B4685" s="575">
        <v>120000</v>
      </c>
      <c r="C4685" s="576">
        <v>24</v>
      </c>
      <c r="D4685" s="576">
        <v>0.315</v>
      </c>
      <c r="E4685" s="576">
        <v>75601</v>
      </c>
      <c r="F4685" s="576">
        <v>195601</v>
      </c>
      <c r="G4685" s="576">
        <v>8401</v>
      </c>
      <c r="H4685" s="576">
        <v>7800</v>
      </c>
    </row>
    <row r="4686" spans="1:8">
      <c r="A4686" s="575" t="s">
        <v>645</v>
      </c>
      <c r="B4686" s="575">
        <v>121000</v>
      </c>
      <c r="C4686" s="576">
        <v>12</v>
      </c>
      <c r="D4686" s="576">
        <v>0.315</v>
      </c>
      <c r="E4686" s="576">
        <v>38120</v>
      </c>
      <c r="F4686" s="576">
        <v>159120</v>
      </c>
      <c r="G4686" s="576">
        <v>4236</v>
      </c>
      <c r="H4686" s="576">
        <v>12907</v>
      </c>
    </row>
    <row r="4687" spans="1:8">
      <c r="A4687" s="575" t="s">
        <v>645</v>
      </c>
      <c r="B4687" s="575">
        <v>121000</v>
      </c>
      <c r="C4687" s="576">
        <v>18</v>
      </c>
      <c r="D4687" s="576">
        <v>0.315</v>
      </c>
      <c r="E4687" s="576">
        <v>57181</v>
      </c>
      <c r="F4687" s="576">
        <v>178181</v>
      </c>
      <c r="G4687" s="576">
        <v>6353</v>
      </c>
      <c r="H4687" s="576">
        <v>9546</v>
      </c>
    </row>
    <row r="4688" spans="1:8">
      <c r="A4688" s="575" t="s">
        <v>645</v>
      </c>
      <c r="B4688" s="575">
        <v>121000</v>
      </c>
      <c r="C4688" s="576">
        <v>24</v>
      </c>
      <c r="D4688" s="576">
        <v>0.315</v>
      </c>
      <c r="E4688" s="576">
        <v>76231</v>
      </c>
      <c r="F4688" s="576">
        <v>197231</v>
      </c>
      <c r="G4688" s="576">
        <v>8471</v>
      </c>
      <c r="H4688" s="576">
        <v>7865</v>
      </c>
    </row>
    <row r="4689" spans="1:8">
      <c r="A4689" s="575" t="s">
        <v>645</v>
      </c>
      <c r="B4689" s="575">
        <v>122000</v>
      </c>
      <c r="C4689" s="576">
        <v>12</v>
      </c>
      <c r="D4689" s="576">
        <v>0.315</v>
      </c>
      <c r="E4689" s="576">
        <v>38439</v>
      </c>
      <c r="F4689" s="576">
        <v>160439</v>
      </c>
      <c r="G4689" s="576">
        <v>4271</v>
      </c>
      <c r="H4689" s="576">
        <v>13014</v>
      </c>
    </row>
    <row r="4690" spans="1:8">
      <c r="A4690" s="575" t="s">
        <v>645</v>
      </c>
      <c r="B4690" s="575">
        <v>122000</v>
      </c>
      <c r="C4690" s="576">
        <v>18</v>
      </c>
      <c r="D4690" s="576">
        <v>0.315</v>
      </c>
      <c r="E4690" s="576">
        <v>57656</v>
      </c>
      <c r="F4690" s="576">
        <v>179656</v>
      </c>
      <c r="G4690" s="576">
        <v>6406</v>
      </c>
      <c r="H4690" s="576">
        <v>9625</v>
      </c>
    </row>
    <row r="4691" spans="1:8">
      <c r="A4691" s="575" t="s">
        <v>645</v>
      </c>
      <c r="B4691" s="575">
        <v>122000</v>
      </c>
      <c r="C4691" s="576">
        <v>24</v>
      </c>
      <c r="D4691" s="576">
        <v>0.315</v>
      </c>
      <c r="E4691" s="576">
        <v>76861</v>
      </c>
      <c r="F4691" s="576">
        <v>198861</v>
      </c>
      <c r="G4691" s="576">
        <v>8541</v>
      </c>
      <c r="H4691" s="576">
        <v>7930</v>
      </c>
    </row>
    <row r="4692" spans="1:8">
      <c r="A4692" s="575" t="s">
        <v>645</v>
      </c>
      <c r="B4692" s="575">
        <v>123000</v>
      </c>
      <c r="C4692" s="576">
        <v>12</v>
      </c>
      <c r="D4692" s="576">
        <v>0.315</v>
      </c>
      <c r="E4692" s="576">
        <v>38746</v>
      </c>
      <c r="F4692" s="576">
        <v>161746</v>
      </c>
      <c r="G4692" s="576">
        <v>4306</v>
      </c>
      <c r="H4692" s="576">
        <v>13120</v>
      </c>
    </row>
    <row r="4693" spans="1:8">
      <c r="A4693" s="575" t="s">
        <v>645</v>
      </c>
      <c r="B4693" s="575">
        <v>123000</v>
      </c>
      <c r="C4693" s="576">
        <v>18</v>
      </c>
      <c r="D4693" s="576">
        <v>0.315</v>
      </c>
      <c r="E4693" s="576">
        <v>58130</v>
      </c>
      <c r="F4693" s="576">
        <v>181130</v>
      </c>
      <c r="G4693" s="576">
        <v>6458</v>
      </c>
      <c r="H4693" s="576">
        <v>9704</v>
      </c>
    </row>
    <row r="4694" spans="1:8">
      <c r="A4694" s="575" t="s">
        <v>645</v>
      </c>
      <c r="B4694" s="575">
        <v>123000</v>
      </c>
      <c r="C4694" s="576">
        <v>24</v>
      </c>
      <c r="D4694" s="576">
        <v>0.315</v>
      </c>
      <c r="E4694" s="576">
        <v>77491</v>
      </c>
      <c r="F4694" s="576">
        <v>200491</v>
      </c>
      <c r="G4694" s="576">
        <v>8611</v>
      </c>
      <c r="H4694" s="576">
        <v>7995</v>
      </c>
    </row>
    <row r="4695" spans="1:8">
      <c r="A4695" s="575" t="s">
        <v>645</v>
      </c>
      <c r="B4695" s="575">
        <v>124000</v>
      </c>
      <c r="C4695" s="576">
        <v>12</v>
      </c>
      <c r="D4695" s="576">
        <v>0.315</v>
      </c>
      <c r="E4695" s="576">
        <v>39065</v>
      </c>
      <c r="F4695" s="576">
        <v>163065</v>
      </c>
      <c r="G4695" s="576">
        <v>4341</v>
      </c>
      <c r="H4695" s="576">
        <v>13227</v>
      </c>
    </row>
    <row r="4696" spans="1:8">
      <c r="A4696" s="575" t="s">
        <v>645</v>
      </c>
      <c r="B4696" s="575">
        <v>124000</v>
      </c>
      <c r="C4696" s="576">
        <v>18</v>
      </c>
      <c r="D4696" s="576">
        <v>0.315</v>
      </c>
      <c r="E4696" s="576">
        <v>58605</v>
      </c>
      <c r="F4696" s="576">
        <v>182605</v>
      </c>
      <c r="G4696" s="576">
        <v>6511</v>
      </c>
      <c r="H4696" s="576">
        <v>9783</v>
      </c>
    </row>
    <row r="4697" spans="1:8">
      <c r="A4697" s="575" t="s">
        <v>645</v>
      </c>
      <c r="B4697" s="575">
        <v>124000</v>
      </c>
      <c r="C4697" s="576">
        <v>24</v>
      </c>
      <c r="D4697" s="576">
        <v>0.315</v>
      </c>
      <c r="E4697" s="576">
        <v>78121</v>
      </c>
      <c r="F4697" s="576">
        <v>202121</v>
      </c>
      <c r="G4697" s="576">
        <v>8681</v>
      </c>
      <c r="H4697" s="576">
        <v>8060</v>
      </c>
    </row>
    <row r="4698" spans="1:8">
      <c r="A4698" s="575" t="s">
        <v>645</v>
      </c>
      <c r="B4698" s="575">
        <v>125000</v>
      </c>
      <c r="C4698" s="576">
        <v>12</v>
      </c>
      <c r="D4698" s="576">
        <v>0.315</v>
      </c>
      <c r="E4698" s="576">
        <v>39384</v>
      </c>
      <c r="F4698" s="576">
        <v>164384</v>
      </c>
      <c r="G4698" s="576">
        <v>4376</v>
      </c>
      <c r="H4698" s="576">
        <v>13334</v>
      </c>
    </row>
    <row r="4699" spans="1:8">
      <c r="A4699" s="575" t="s">
        <v>645</v>
      </c>
      <c r="B4699" s="575">
        <v>125000</v>
      </c>
      <c r="C4699" s="576">
        <v>18</v>
      </c>
      <c r="D4699" s="576">
        <v>0.315</v>
      </c>
      <c r="E4699" s="576">
        <v>59079</v>
      </c>
      <c r="F4699" s="576">
        <v>184079</v>
      </c>
      <c r="G4699" s="576">
        <v>6563</v>
      </c>
      <c r="H4699" s="576">
        <v>9862</v>
      </c>
    </row>
    <row r="4700" spans="1:8">
      <c r="A4700" s="575" t="s">
        <v>645</v>
      </c>
      <c r="B4700" s="575">
        <v>125000</v>
      </c>
      <c r="C4700" s="576">
        <v>24</v>
      </c>
      <c r="D4700" s="576">
        <v>0.315</v>
      </c>
      <c r="E4700" s="576">
        <v>78751</v>
      </c>
      <c r="F4700" s="576">
        <v>203751</v>
      </c>
      <c r="G4700" s="576">
        <v>8751</v>
      </c>
      <c r="H4700" s="576">
        <v>8125</v>
      </c>
    </row>
    <row r="4701" spans="1:8">
      <c r="A4701" s="575" t="s">
        <v>645</v>
      </c>
      <c r="B4701" s="575">
        <v>126000</v>
      </c>
      <c r="C4701" s="576">
        <v>12</v>
      </c>
      <c r="D4701" s="576">
        <v>0.315</v>
      </c>
      <c r="E4701" s="576">
        <v>39691</v>
      </c>
      <c r="F4701" s="576">
        <v>165691</v>
      </c>
      <c r="G4701" s="576">
        <v>4411</v>
      </c>
      <c r="H4701" s="576">
        <v>13440</v>
      </c>
    </row>
    <row r="4702" spans="1:8">
      <c r="A4702" s="575" t="s">
        <v>645</v>
      </c>
      <c r="B4702" s="575">
        <v>126000</v>
      </c>
      <c r="C4702" s="576">
        <v>18</v>
      </c>
      <c r="D4702" s="576">
        <v>0.315</v>
      </c>
      <c r="E4702" s="576">
        <v>59536</v>
      </c>
      <c r="F4702" s="576">
        <v>185536</v>
      </c>
      <c r="G4702" s="576">
        <v>6616</v>
      </c>
      <c r="H4702" s="576">
        <v>9940</v>
      </c>
    </row>
    <row r="4703" spans="1:8">
      <c r="A4703" s="575" t="s">
        <v>645</v>
      </c>
      <c r="B4703" s="575">
        <v>126000</v>
      </c>
      <c r="C4703" s="576">
        <v>24</v>
      </c>
      <c r="D4703" s="576">
        <v>0.315</v>
      </c>
      <c r="E4703" s="576">
        <v>79381</v>
      </c>
      <c r="F4703" s="576">
        <v>205381</v>
      </c>
      <c r="G4703" s="576">
        <v>8821</v>
      </c>
      <c r="H4703" s="576">
        <v>8190</v>
      </c>
    </row>
    <row r="4704" spans="1:8">
      <c r="A4704" s="575" t="s">
        <v>645</v>
      </c>
      <c r="B4704" s="575">
        <v>127000</v>
      </c>
      <c r="C4704" s="576">
        <v>12</v>
      </c>
      <c r="D4704" s="576">
        <v>0.315</v>
      </c>
      <c r="E4704" s="576">
        <v>40010</v>
      </c>
      <c r="F4704" s="576">
        <v>167010</v>
      </c>
      <c r="G4704" s="576">
        <v>4446</v>
      </c>
      <c r="H4704" s="576">
        <v>13547</v>
      </c>
    </row>
    <row r="4705" spans="1:8">
      <c r="A4705" s="575" t="s">
        <v>645</v>
      </c>
      <c r="B4705" s="575">
        <v>127000</v>
      </c>
      <c r="C4705" s="576">
        <v>18</v>
      </c>
      <c r="D4705" s="576">
        <v>0.315</v>
      </c>
      <c r="E4705" s="576">
        <v>60010</v>
      </c>
      <c r="F4705" s="576">
        <v>187010</v>
      </c>
      <c r="G4705" s="576">
        <v>6668</v>
      </c>
      <c r="H4705" s="576">
        <v>10019</v>
      </c>
    </row>
    <row r="4706" spans="1:8">
      <c r="A4706" s="575" t="s">
        <v>645</v>
      </c>
      <c r="B4706" s="575">
        <v>127000</v>
      </c>
      <c r="C4706" s="576">
        <v>24</v>
      </c>
      <c r="D4706" s="576">
        <v>0.315</v>
      </c>
      <c r="E4706" s="576">
        <v>80011</v>
      </c>
      <c r="F4706" s="576">
        <v>207011</v>
      </c>
      <c r="G4706" s="576">
        <v>8891</v>
      </c>
      <c r="H4706" s="576">
        <v>8255</v>
      </c>
    </row>
    <row r="4707" spans="1:8">
      <c r="A4707" s="575" t="s">
        <v>645</v>
      </c>
      <c r="B4707" s="575">
        <v>128000</v>
      </c>
      <c r="C4707" s="576">
        <v>12</v>
      </c>
      <c r="D4707" s="576">
        <v>0.315</v>
      </c>
      <c r="E4707" s="576">
        <v>40329</v>
      </c>
      <c r="F4707" s="576">
        <v>168329</v>
      </c>
      <c r="G4707" s="576">
        <v>4481</v>
      </c>
      <c r="H4707" s="576">
        <v>13654</v>
      </c>
    </row>
    <row r="4708" spans="1:8">
      <c r="A4708" s="575" t="s">
        <v>645</v>
      </c>
      <c r="B4708" s="575">
        <v>128000</v>
      </c>
      <c r="C4708" s="576">
        <v>18</v>
      </c>
      <c r="D4708" s="576">
        <v>0.315</v>
      </c>
      <c r="E4708" s="576">
        <v>60485</v>
      </c>
      <c r="F4708" s="576">
        <v>188485</v>
      </c>
      <c r="G4708" s="576">
        <v>6721</v>
      </c>
      <c r="H4708" s="576">
        <v>10098</v>
      </c>
    </row>
    <row r="4709" spans="1:8">
      <c r="A4709" s="575" t="s">
        <v>645</v>
      </c>
      <c r="B4709" s="575">
        <v>128000</v>
      </c>
      <c r="C4709" s="576">
        <v>24</v>
      </c>
      <c r="D4709" s="576">
        <v>0.315</v>
      </c>
      <c r="E4709" s="576">
        <v>80641</v>
      </c>
      <c r="F4709" s="576">
        <v>208641</v>
      </c>
      <c r="G4709" s="576">
        <v>8961</v>
      </c>
      <c r="H4709" s="576">
        <v>8320</v>
      </c>
    </row>
    <row r="4710" spans="1:8">
      <c r="A4710" s="575" t="s">
        <v>645</v>
      </c>
      <c r="B4710" s="575">
        <v>129000</v>
      </c>
      <c r="C4710" s="576">
        <v>12</v>
      </c>
      <c r="D4710" s="576">
        <v>0.315</v>
      </c>
      <c r="E4710" s="576">
        <v>40636</v>
      </c>
      <c r="F4710" s="576">
        <v>169636</v>
      </c>
      <c r="G4710" s="576">
        <v>4516</v>
      </c>
      <c r="H4710" s="576">
        <v>13760</v>
      </c>
    </row>
    <row r="4711" spans="1:8">
      <c r="A4711" s="575" t="s">
        <v>645</v>
      </c>
      <c r="B4711" s="575">
        <v>129000</v>
      </c>
      <c r="C4711" s="576">
        <v>18</v>
      </c>
      <c r="D4711" s="576">
        <v>0.315</v>
      </c>
      <c r="E4711" s="576">
        <v>60959</v>
      </c>
      <c r="F4711" s="576">
        <v>189959</v>
      </c>
      <c r="G4711" s="576">
        <v>6773</v>
      </c>
      <c r="H4711" s="576">
        <v>10177</v>
      </c>
    </row>
    <row r="4712" spans="1:8">
      <c r="A4712" s="575" t="s">
        <v>645</v>
      </c>
      <c r="B4712" s="575">
        <v>129000</v>
      </c>
      <c r="C4712" s="576">
        <v>24</v>
      </c>
      <c r="D4712" s="576">
        <v>0.315</v>
      </c>
      <c r="E4712" s="576">
        <v>81271</v>
      </c>
      <c r="F4712" s="576">
        <v>210271</v>
      </c>
      <c r="G4712" s="576">
        <v>9031</v>
      </c>
      <c r="H4712" s="576">
        <v>8385</v>
      </c>
    </row>
    <row r="4713" spans="1:8">
      <c r="A4713" s="575" t="s">
        <v>645</v>
      </c>
      <c r="B4713" s="575">
        <v>130000</v>
      </c>
      <c r="C4713" s="576">
        <v>12</v>
      </c>
      <c r="D4713" s="576">
        <v>0.315</v>
      </c>
      <c r="E4713" s="576">
        <v>40955</v>
      </c>
      <c r="F4713" s="576">
        <v>170955</v>
      </c>
      <c r="G4713" s="576">
        <v>4551</v>
      </c>
      <c r="H4713" s="576">
        <v>13867</v>
      </c>
    </row>
    <row r="4714" spans="1:8">
      <c r="A4714" s="575" t="s">
        <v>645</v>
      </c>
      <c r="B4714" s="575">
        <v>130000</v>
      </c>
      <c r="C4714" s="576">
        <v>18</v>
      </c>
      <c r="D4714" s="576">
        <v>0.315</v>
      </c>
      <c r="E4714" s="576">
        <v>61434</v>
      </c>
      <c r="F4714" s="576">
        <v>191434</v>
      </c>
      <c r="G4714" s="576">
        <v>6826</v>
      </c>
      <c r="H4714" s="576">
        <v>10256</v>
      </c>
    </row>
    <row r="4715" spans="1:8">
      <c r="A4715" s="575" t="s">
        <v>645</v>
      </c>
      <c r="B4715" s="575">
        <v>130000</v>
      </c>
      <c r="C4715" s="576">
        <v>24</v>
      </c>
      <c r="D4715" s="576">
        <v>0.315</v>
      </c>
      <c r="E4715" s="576">
        <v>81901</v>
      </c>
      <c r="F4715" s="576">
        <v>211901</v>
      </c>
      <c r="G4715" s="576">
        <v>9101</v>
      </c>
      <c r="H4715" s="576">
        <v>8450</v>
      </c>
    </row>
    <row r="4716" spans="1:8">
      <c r="A4716" s="575" t="s">
        <v>645</v>
      </c>
      <c r="B4716" s="575">
        <v>131000</v>
      </c>
      <c r="C4716" s="576">
        <v>12</v>
      </c>
      <c r="D4716" s="576">
        <v>0.315</v>
      </c>
      <c r="E4716" s="576">
        <v>41274</v>
      </c>
      <c r="F4716" s="576">
        <v>172274</v>
      </c>
      <c r="G4716" s="576">
        <v>4586</v>
      </c>
      <c r="H4716" s="576">
        <v>13974</v>
      </c>
    </row>
    <row r="4717" spans="1:8">
      <c r="A4717" s="575" t="s">
        <v>645</v>
      </c>
      <c r="B4717" s="575">
        <v>131000</v>
      </c>
      <c r="C4717" s="576">
        <v>18</v>
      </c>
      <c r="D4717" s="576">
        <v>0.315</v>
      </c>
      <c r="E4717" s="576">
        <v>61908</v>
      </c>
      <c r="F4717" s="576">
        <v>192908</v>
      </c>
      <c r="G4717" s="576">
        <v>6878</v>
      </c>
      <c r="H4717" s="576">
        <v>10335</v>
      </c>
    </row>
    <row r="4718" spans="1:8">
      <c r="A4718" s="575" t="s">
        <v>645</v>
      </c>
      <c r="B4718" s="575">
        <v>131000</v>
      </c>
      <c r="C4718" s="576">
        <v>24</v>
      </c>
      <c r="D4718" s="576">
        <v>0.315</v>
      </c>
      <c r="E4718" s="576">
        <v>82531</v>
      </c>
      <c r="F4718" s="576">
        <v>213531</v>
      </c>
      <c r="G4718" s="576">
        <v>9171</v>
      </c>
      <c r="H4718" s="576">
        <v>8515</v>
      </c>
    </row>
    <row r="4719" spans="1:8">
      <c r="A4719" s="575" t="s">
        <v>645</v>
      </c>
      <c r="B4719" s="575">
        <v>132000</v>
      </c>
      <c r="C4719" s="576">
        <v>12</v>
      </c>
      <c r="D4719" s="576">
        <v>0.315</v>
      </c>
      <c r="E4719" s="576">
        <v>41581</v>
      </c>
      <c r="F4719" s="576">
        <v>173581</v>
      </c>
      <c r="G4719" s="576">
        <v>4621</v>
      </c>
      <c r="H4719" s="576">
        <v>14080</v>
      </c>
    </row>
    <row r="4720" spans="1:8">
      <c r="A4720" s="575" t="s">
        <v>645</v>
      </c>
      <c r="B4720" s="575">
        <v>132000</v>
      </c>
      <c r="C4720" s="576">
        <v>18</v>
      </c>
      <c r="D4720" s="576">
        <v>0.315</v>
      </c>
      <c r="E4720" s="576">
        <v>62383</v>
      </c>
      <c r="F4720" s="576">
        <v>194383</v>
      </c>
      <c r="G4720" s="576">
        <v>6931</v>
      </c>
      <c r="H4720" s="576">
        <v>10414</v>
      </c>
    </row>
    <row r="4721" spans="1:8">
      <c r="A4721" s="575" t="s">
        <v>645</v>
      </c>
      <c r="B4721" s="575">
        <v>132000</v>
      </c>
      <c r="C4721" s="576">
        <v>24</v>
      </c>
      <c r="D4721" s="576">
        <v>0.315</v>
      </c>
      <c r="E4721" s="576">
        <v>83161</v>
      </c>
      <c r="F4721" s="576">
        <v>215161</v>
      </c>
      <c r="G4721" s="576">
        <v>9241</v>
      </c>
      <c r="H4721" s="576">
        <v>8580</v>
      </c>
    </row>
    <row r="4722" spans="1:8">
      <c r="A4722" s="575" t="s">
        <v>645</v>
      </c>
      <c r="B4722" s="575">
        <v>133000</v>
      </c>
      <c r="C4722" s="576">
        <v>12</v>
      </c>
      <c r="D4722" s="576">
        <v>0.315</v>
      </c>
      <c r="E4722" s="576">
        <v>41900</v>
      </c>
      <c r="F4722" s="576">
        <v>174900</v>
      </c>
      <c r="G4722" s="576">
        <v>4656</v>
      </c>
      <c r="H4722" s="576">
        <v>14187</v>
      </c>
    </row>
    <row r="4723" spans="1:8">
      <c r="A4723" s="575" t="s">
        <v>645</v>
      </c>
      <c r="B4723" s="575">
        <v>133000</v>
      </c>
      <c r="C4723" s="576">
        <v>18</v>
      </c>
      <c r="D4723" s="576">
        <v>0.315</v>
      </c>
      <c r="E4723" s="576">
        <v>62857</v>
      </c>
      <c r="F4723" s="576">
        <v>195857</v>
      </c>
      <c r="G4723" s="576">
        <v>6983</v>
      </c>
      <c r="H4723" s="576">
        <v>10493</v>
      </c>
    </row>
    <row r="4724" spans="1:8">
      <c r="A4724" s="575" t="s">
        <v>645</v>
      </c>
      <c r="B4724" s="575">
        <v>133000</v>
      </c>
      <c r="C4724" s="576">
        <v>24</v>
      </c>
      <c r="D4724" s="576">
        <v>0.315</v>
      </c>
      <c r="E4724" s="576">
        <v>83791</v>
      </c>
      <c r="F4724" s="576">
        <v>216791</v>
      </c>
      <c r="G4724" s="576">
        <v>9311</v>
      </c>
      <c r="H4724" s="576">
        <v>8645</v>
      </c>
    </row>
    <row r="4725" spans="1:8">
      <c r="A4725" s="575" t="s">
        <v>645</v>
      </c>
      <c r="B4725" s="575">
        <v>134000</v>
      </c>
      <c r="C4725" s="576">
        <v>12</v>
      </c>
      <c r="D4725" s="576">
        <v>0.315</v>
      </c>
      <c r="E4725" s="576">
        <v>42219</v>
      </c>
      <c r="F4725" s="576">
        <v>176219</v>
      </c>
      <c r="G4725" s="576">
        <v>4691</v>
      </c>
      <c r="H4725" s="576">
        <v>14294</v>
      </c>
    </row>
    <row r="4726" spans="1:8">
      <c r="A4726" s="575" t="s">
        <v>645</v>
      </c>
      <c r="B4726" s="575">
        <v>134000</v>
      </c>
      <c r="C4726" s="576">
        <v>18</v>
      </c>
      <c r="D4726" s="576">
        <v>0.315</v>
      </c>
      <c r="E4726" s="576">
        <v>63332</v>
      </c>
      <c r="F4726" s="576">
        <v>197332</v>
      </c>
      <c r="G4726" s="576">
        <v>7036</v>
      </c>
      <c r="H4726" s="576">
        <v>10572</v>
      </c>
    </row>
    <row r="4727" spans="1:8">
      <c r="A4727" s="575" t="s">
        <v>645</v>
      </c>
      <c r="B4727" s="575">
        <v>134000</v>
      </c>
      <c r="C4727" s="576">
        <v>24</v>
      </c>
      <c r="D4727" s="576">
        <v>0.315</v>
      </c>
      <c r="E4727" s="576">
        <v>84421</v>
      </c>
      <c r="F4727" s="576">
        <v>218421</v>
      </c>
      <c r="G4727" s="576">
        <v>9381</v>
      </c>
      <c r="H4727" s="576">
        <v>8710</v>
      </c>
    </row>
    <row r="4728" spans="1:8">
      <c r="A4728" s="575" t="s">
        <v>645</v>
      </c>
      <c r="B4728" s="575">
        <v>135000</v>
      </c>
      <c r="C4728" s="576">
        <v>12</v>
      </c>
      <c r="D4728" s="576">
        <v>0.315</v>
      </c>
      <c r="E4728" s="576">
        <v>42526</v>
      </c>
      <c r="F4728" s="576">
        <v>177526</v>
      </c>
      <c r="G4728" s="576">
        <v>4726</v>
      </c>
      <c r="H4728" s="576">
        <v>14400</v>
      </c>
    </row>
    <row r="4729" spans="1:8">
      <c r="A4729" s="575" t="s">
        <v>645</v>
      </c>
      <c r="B4729" s="575">
        <v>135000</v>
      </c>
      <c r="C4729" s="576">
        <v>18</v>
      </c>
      <c r="D4729" s="576">
        <v>0.315</v>
      </c>
      <c r="E4729" s="576">
        <v>63788</v>
      </c>
      <c r="F4729" s="576">
        <v>198788</v>
      </c>
      <c r="G4729" s="576">
        <v>7088</v>
      </c>
      <c r="H4729" s="576">
        <v>10650</v>
      </c>
    </row>
    <row r="4730" spans="1:8">
      <c r="A4730" s="575" t="s">
        <v>645</v>
      </c>
      <c r="B4730" s="575">
        <v>135000</v>
      </c>
      <c r="C4730" s="576">
        <v>24</v>
      </c>
      <c r="D4730" s="576">
        <v>0.315</v>
      </c>
      <c r="E4730" s="576">
        <v>85051</v>
      </c>
      <c r="F4730" s="576">
        <v>220051</v>
      </c>
      <c r="G4730" s="576">
        <v>9451</v>
      </c>
      <c r="H4730" s="576">
        <v>8775</v>
      </c>
    </row>
    <row r="4731" spans="1:8">
      <c r="A4731" s="575" t="s">
        <v>645</v>
      </c>
      <c r="B4731" s="575">
        <v>136000</v>
      </c>
      <c r="C4731" s="576">
        <v>12</v>
      </c>
      <c r="D4731" s="576">
        <v>0.315</v>
      </c>
      <c r="E4731" s="576">
        <v>42845</v>
      </c>
      <c r="F4731" s="576">
        <v>178845</v>
      </c>
      <c r="G4731" s="576">
        <v>4761</v>
      </c>
      <c r="H4731" s="576">
        <v>14507</v>
      </c>
    </row>
    <row r="4732" spans="1:8">
      <c r="A4732" s="575" t="s">
        <v>645</v>
      </c>
      <c r="B4732" s="575">
        <v>136000</v>
      </c>
      <c r="C4732" s="576">
        <v>18</v>
      </c>
      <c r="D4732" s="576">
        <v>0.315</v>
      </c>
      <c r="E4732" s="576">
        <v>64263</v>
      </c>
      <c r="F4732" s="576">
        <v>200263</v>
      </c>
      <c r="G4732" s="576">
        <v>7141</v>
      </c>
      <c r="H4732" s="576">
        <v>10729</v>
      </c>
    </row>
    <row r="4733" spans="1:8">
      <c r="A4733" s="575" t="s">
        <v>645</v>
      </c>
      <c r="B4733" s="575">
        <v>136000</v>
      </c>
      <c r="C4733" s="576">
        <v>24</v>
      </c>
      <c r="D4733" s="576">
        <v>0.315</v>
      </c>
      <c r="E4733" s="576">
        <v>85681</v>
      </c>
      <c r="F4733" s="576">
        <v>221681</v>
      </c>
      <c r="G4733" s="576">
        <v>9521</v>
      </c>
      <c r="H4733" s="576">
        <v>8840</v>
      </c>
    </row>
    <row r="4734" spans="1:8">
      <c r="A4734" s="575" t="s">
        <v>645</v>
      </c>
      <c r="B4734" s="575">
        <v>137000</v>
      </c>
      <c r="C4734" s="576">
        <v>12</v>
      </c>
      <c r="D4734" s="576">
        <v>0.315</v>
      </c>
      <c r="E4734" s="576">
        <v>43164</v>
      </c>
      <c r="F4734" s="576">
        <v>180164</v>
      </c>
      <c r="G4734" s="576">
        <v>4796</v>
      </c>
      <c r="H4734" s="576">
        <v>14614</v>
      </c>
    </row>
    <row r="4735" spans="1:8">
      <c r="A4735" s="575" t="s">
        <v>645</v>
      </c>
      <c r="B4735" s="575">
        <v>137000</v>
      </c>
      <c r="C4735" s="576">
        <v>18</v>
      </c>
      <c r="D4735" s="576">
        <v>0.315</v>
      </c>
      <c r="E4735" s="576">
        <v>64737</v>
      </c>
      <c r="F4735" s="576">
        <v>201737</v>
      </c>
      <c r="G4735" s="576">
        <v>7193</v>
      </c>
      <c r="H4735" s="576">
        <v>10808</v>
      </c>
    </row>
    <row r="4736" spans="1:8">
      <c r="A4736" s="575" t="s">
        <v>645</v>
      </c>
      <c r="B4736" s="575">
        <v>137000</v>
      </c>
      <c r="C4736" s="576">
        <v>24</v>
      </c>
      <c r="D4736" s="576">
        <v>0.315</v>
      </c>
      <c r="E4736" s="576">
        <v>86311</v>
      </c>
      <c r="F4736" s="576">
        <v>223311</v>
      </c>
      <c r="G4736" s="576">
        <v>9591</v>
      </c>
      <c r="H4736" s="576">
        <v>8905</v>
      </c>
    </row>
    <row r="4737" spans="1:8">
      <c r="A4737" s="575" t="s">
        <v>645</v>
      </c>
      <c r="B4737" s="575">
        <v>138000</v>
      </c>
      <c r="C4737" s="576">
        <v>12</v>
      </c>
      <c r="D4737" s="576">
        <v>0.315</v>
      </c>
      <c r="E4737" s="576">
        <v>43471</v>
      </c>
      <c r="F4737" s="576">
        <v>181471</v>
      </c>
      <c r="G4737" s="576">
        <v>4831</v>
      </c>
      <c r="H4737" s="576">
        <v>14720</v>
      </c>
    </row>
    <row r="4738" spans="1:8">
      <c r="A4738" s="575" t="s">
        <v>645</v>
      </c>
      <c r="B4738" s="575">
        <v>138000</v>
      </c>
      <c r="C4738" s="576">
        <v>18</v>
      </c>
      <c r="D4738" s="576">
        <v>0.315</v>
      </c>
      <c r="E4738" s="576">
        <v>65212</v>
      </c>
      <c r="F4738" s="576">
        <v>203212</v>
      </c>
      <c r="G4738" s="576">
        <v>7246</v>
      </c>
      <c r="H4738" s="576">
        <v>10887</v>
      </c>
    </row>
    <row r="4739" spans="1:8">
      <c r="A4739" s="575" t="s">
        <v>645</v>
      </c>
      <c r="B4739" s="575">
        <v>138000</v>
      </c>
      <c r="C4739" s="576">
        <v>24</v>
      </c>
      <c r="D4739" s="576">
        <v>0.315</v>
      </c>
      <c r="E4739" s="576">
        <v>86941</v>
      </c>
      <c r="F4739" s="576">
        <v>224941</v>
      </c>
      <c r="G4739" s="576">
        <v>9661</v>
      </c>
      <c r="H4739" s="576">
        <v>8970</v>
      </c>
    </row>
    <row r="4740" spans="1:8">
      <c r="A4740" s="575" t="s">
        <v>645</v>
      </c>
      <c r="B4740" s="575">
        <v>139000</v>
      </c>
      <c r="C4740" s="576">
        <v>12</v>
      </c>
      <c r="D4740" s="576">
        <v>0.315</v>
      </c>
      <c r="E4740" s="576">
        <v>43790</v>
      </c>
      <c r="F4740" s="576">
        <v>182790</v>
      </c>
      <c r="G4740" s="576">
        <v>4866</v>
      </c>
      <c r="H4740" s="576">
        <v>14827</v>
      </c>
    </row>
    <row r="4741" spans="1:8">
      <c r="A4741" s="575" t="s">
        <v>645</v>
      </c>
      <c r="B4741" s="575">
        <v>139000</v>
      </c>
      <c r="C4741" s="576">
        <v>18</v>
      </c>
      <c r="D4741" s="576">
        <v>0.315</v>
      </c>
      <c r="E4741" s="576">
        <v>65686</v>
      </c>
      <c r="F4741" s="576">
        <v>204686</v>
      </c>
      <c r="G4741" s="576">
        <v>7298</v>
      </c>
      <c r="H4741" s="576">
        <v>10966</v>
      </c>
    </row>
    <row r="4742" spans="1:8">
      <c r="A4742" s="575" t="s">
        <v>645</v>
      </c>
      <c r="B4742" s="575">
        <v>139000</v>
      </c>
      <c r="C4742" s="576">
        <v>24</v>
      </c>
      <c r="D4742" s="576">
        <v>0.315</v>
      </c>
      <c r="E4742" s="576">
        <v>87571</v>
      </c>
      <c r="F4742" s="576">
        <v>226571</v>
      </c>
      <c r="G4742" s="576">
        <v>9731</v>
      </c>
      <c r="H4742" s="576">
        <v>9035</v>
      </c>
    </row>
    <row r="4743" spans="1:8">
      <c r="A4743" s="575" t="s">
        <v>645</v>
      </c>
      <c r="B4743" s="575">
        <v>140000</v>
      </c>
      <c r="C4743" s="576">
        <v>12</v>
      </c>
      <c r="D4743" s="576">
        <v>0.315</v>
      </c>
      <c r="E4743" s="576">
        <v>44109</v>
      </c>
      <c r="F4743" s="576">
        <v>184109</v>
      </c>
      <c r="G4743" s="576">
        <v>4901</v>
      </c>
      <c r="H4743" s="576">
        <v>14934</v>
      </c>
    </row>
    <row r="4744" spans="1:8">
      <c r="A4744" s="575" t="s">
        <v>645</v>
      </c>
      <c r="B4744" s="575">
        <v>140000</v>
      </c>
      <c r="C4744" s="576">
        <v>18</v>
      </c>
      <c r="D4744" s="576">
        <v>0.315</v>
      </c>
      <c r="E4744" s="576">
        <v>66161</v>
      </c>
      <c r="F4744" s="576">
        <v>206161</v>
      </c>
      <c r="G4744" s="576">
        <v>7351</v>
      </c>
      <c r="H4744" s="576">
        <v>11045</v>
      </c>
    </row>
    <row r="4745" spans="1:8">
      <c r="A4745" s="575" t="s">
        <v>645</v>
      </c>
      <c r="B4745" s="575">
        <v>140000</v>
      </c>
      <c r="C4745" s="576">
        <v>24</v>
      </c>
      <c r="D4745" s="576">
        <v>0.315</v>
      </c>
      <c r="E4745" s="576">
        <v>88201</v>
      </c>
      <c r="F4745" s="576">
        <v>228201</v>
      </c>
      <c r="G4745" s="576">
        <v>9801</v>
      </c>
      <c r="H4745" s="576">
        <v>9100</v>
      </c>
    </row>
    <row r="4746" spans="1:8">
      <c r="A4746" s="575" t="s">
        <v>645</v>
      </c>
      <c r="B4746" s="575">
        <v>141000</v>
      </c>
      <c r="C4746" s="576">
        <v>12</v>
      </c>
      <c r="D4746" s="576">
        <v>0.315</v>
      </c>
      <c r="E4746" s="576">
        <v>44416</v>
      </c>
      <c r="F4746" s="576">
        <v>185416</v>
      </c>
      <c r="G4746" s="576">
        <v>4936</v>
      </c>
      <c r="H4746" s="576">
        <v>15040</v>
      </c>
    </row>
    <row r="4747" spans="1:8">
      <c r="A4747" s="575" t="s">
        <v>645</v>
      </c>
      <c r="B4747" s="575">
        <v>141000</v>
      </c>
      <c r="C4747" s="576">
        <v>18</v>
      </c>
      <c r="D4747" s="576">
        <v>0.315</v>
      </c>
      <c r="E4747" s="576">
        <v>66635</v>
      </c>
      <c r="F4747" s="576">
        <v>207635</v>
      </c>
      <c r="G4747" s="576">
        <v>7403</v>
      </c>
      <c r="H4747" s="576">
        <v>11124</v>
      </c>
    </row>
    <row r="4748" spans="1:8">
      <c r="A4748" s="575" t="s">
        <v>645</v>
      </c>
      <c r="B4748" s="575">
        <v>141000</v>
      </c>
      <c r="C4748" s="576">
        <v>24</v>
      </c>
      <c r="D4748" s="576">
        <v>0.315</v>
      </c>
      <c r="E4748" s="576">
        <v>88831</v>
      </c>
      <c r="F4748" s="576">
        <v>229831</v>
      </c>
      <c r="G4748" s="576">
        <v>9871</v>
      </c>
      <c r="H4748" s="576">
        <v>9165</v>
      </c>
    </row>
    <row r="4749" spans="1:8">
      <c r="A4749" s="575" t="s">
        <v>645</v>
      </c>
      <c r="B4749" s="575">
        <v>142000</v>
      </c>
      <c r="C4749" s="576">
        <v>12</v>
      </c>
      <c r="D4749" s="576">
        <v>0.315</v>
      </c>
      <c r="E4749" s="576">
        <v>44735</v>
      </c>
      <c r="F4749" s="576">
        <v>186735</v>
      </c>
      <c r="G4749" s="576">
        <v>4971</v>
      </c>
      <c r="H4749" s="576">
        <v>15147</v>
      </c>
    </row>
    <row r="4750" spans="1:8">
      <c r="A4750" s="575" t="s">
        <v>645</v>
      </c>
      <c r="B4750" s="575">
        <v>142000</v>
      </c>
      <c r="C4750" s="576">
        <v>18</v>
      </c>
      <c r="D4750" s="576">
        <v>0.315</v>
      </c>
      <c r="E4750" s="576">
        <v>67110</v>
      </c>
      <c r="F4750" s="576">
        <v>209110</v>
      </c>
      <c r="G4750" s="576">
        <v>7456</v>
      </c>
      <c r="H4750" s="576">
        <v>11203</v>
      </c>
    </row>
    <row r="4751" spans="1:8">
      <c r="A4751" s="575" t="s">
        <v>645</v>
      </c>
      <c r="B4751" s="575">
        <v>142000</v>
      </c>
      <c r="C4751" s="576">
        <v>24</v>
      </c>
      <c r="D4751" s="576">
        <v>0.315</v>
      </c>
      <c r="E4751" s="576">
        <v>89461</v>
      </c>
      <c r="F4751" s="576">
        <v>231461</v>
      </c>
      <c r="G4751" s="576">
        <v>9941</v>
      </c>
      <c r="H4751" s="576">
        <v>9230</v>
      </c>
    </row>
    <row r="4752" spans="1:8">
      <c r="A4752" s="575" t="s">
        <v>645</v>
      </c>
      <c r="B4752" s="575">
        <v>143000</v>
      </c>
      <c r="C4752" s="576">
        <v>12</v>
      </c>
      <c r="D4752" s="576">
        <v>0.315</v>
      </c>
      <c r="E4752" s="576">
        <v>45054</v>
      </c>
      <c r="F4752" s="576">
        <v>188054</v>
      </c>
      <c r="G4752" s="576">
        <v>5006</v>
      </c>
      <c r="H4752" s="576">
        <v>15254</v>
      </c>
    </row>
    <row r="4753" spans="1:8">
      <c r="A4753" s="575" t="s">
        <v>645</v>
      </c>
      <c r="B4753" s="575">
        <v>143000</v>
      </c>
      <c r="C4753" s="576">
        <v>18</v>
      </c>
      <c r="D4753" s="576">
        <v>0.315</v>
      </c>
      <c r="E4753" s="576">
        <v>67584</v>
      </c>
      <c r="F4753" s="576">
        <v>210584</v>
      </c>
      <c r="G4753" s="576">
        <v>7508</v>
      </c>
      <c r="H4753" s="576">
        <v>11282</v>
      </c>
    </row>
    <row r="4754" spans="1:8">
      <c r="A4754" s="575" t="s">
        <v>645</v>
      </c>
      <c r="B4754" s="575">
        <v>143000</v>
      </c>
      <c r="C4754" s="576">
        <v>24</v>
      </c>
      <c r="D4754" s="576">
        <v>0.315</v>
      </c>
      <c r="E4754" s="576">
        <v>90091</v>
      </c>
      <c r="F4754" s="576">
        <v>233091</v>
      </c>
      <c r="G4754" s="576">
        <v>10011</v>
      </c>
      <c r="H4754" s="576">
        <v>9295</v>
      </c>
    </row>
    <row r="4755" spans="1:8">
      <c r="A4755" s="575" t="s">
        <v>645</v>
      </c>
      <c r="B4755" s="575">
        <v>144000</v>
      </c>
      <c r="C4755" s="576">
        <v>12</v>
      </c>
      <c r="D4755" s="576">
        <v>0.315</v>
      </c>
      <c r="E4755" s="576">
        <v>45361</v>
      </c>
      <c r="F4755" s="576">
        <v>189361</v>
      </c>
      <c r="G4755" s="576">
        <v>5041</v>
      </c>
      <c r="H4755" s="576">
        <v>15360</v>
      </c>
    </row>
    <row r="4756" spans="1:8">
      <c r="A4756" s="575" t="s">
        <v>645</v>
      </c>
      <c r="B4756" s="575">
        <v>144000</v>
      </c>
      <c r="C4756" s="576">
        <v>18</v>
      </c>
      <c r="D4756" s="576">
        <v>0.315</v>
      </c>
      <c r="E4756" s="576">
        <v>68041</v>
      </c>
      <c r="F4756" s="576">
        <v>212041</v>
      </c>
      <c r="G4756" s="576">
        <v>7561</v>
      </c>
      <c r="H4756" s="576">
        <v>11360</v>
      </c>
    </row>
    <row r="4757" spans="1:8">
      <c r="A4757" s="575" t="s">
        <v>645</v>
      </c>
      <c r="B4757" s="575">
        <v>144000</v>
      </c>
      <c r="C4757" s="576">
        <v>24</v>
      </c>
      <c r="D4757" s="576">
        <v>0.315</v>
      </c>
      <c r="E4757" s="576">
        <v>90721</v>
      </c>
      <c r="F4757" s="576">
        <v>234721</v>
      </c>
      <c r="G4757" s="576">
        <v>10081</v>
      </c>
      <c r="H4757" s="576">
        <v>9360</v>
      </c>
    </row>
    <row r="4758" spans="1:8">
      <c r="A4758" s="575" t="s">
        <v>645</v>
      </c>
      <c r="B4758" s="575">
        <v>145000</v>
      </c>
      <c r="C4758" s="576">
        <v>12</v>
      </c>
      <c r="D4758" s="576">
        <v>0.315</v>
      </c>
      <c r="E4758" s="576">
        <v>45680</v>
      </c>
      <c r="F4758" s="576">
        <v>190680</v>
      </c>
      <c r="G4758" s="576">
        <v>5076</v>
      </c>
      <c r="H4758" s="576">
        <v>15467</v>
      </c>
    </row>
    <row r="4759" spans="1:8">
      <c r="A4759" s="575" t="s">
        <v>645</v>
      </c>
      <c r="B4759" s="575">
        <v>145000</v>
      </c>
      <c r="C4759" s="576">
        <v>18</v>
      </c>
      <c r="D4759" s="576">
        <v>0.315</v>
      </c>
      <c r="E4759" s="576">
        <v>68515</v>
      </c>
      <c r="F4759" s="576">
        <v>213515</v>
      </c>
      <c r="G4759" s="576">
        <v>7613</v>
      </c>
      <c r="H4759" s="576">
        <v>11439</v>
      </c>
    </row>
    <row r="4760" spans="1:8">
      <c r="A4760" s="575" t="s">
        <v>645</v>
      </c>
      <c r="B4760" s="575">
        <v>145000</v>
      </c>
      <c r="C4760" s="576">
        <v>24</v>
      </c>
      <c r="D4760" s="576">
        <v>0.315</v>
      </c>
      <c r="E4760" s="576">
        <v>91351</v>
      </c>
      <c r="F4760" s="576">
        <v>236351</v>
      </c>
      <c r="G4760" s="576">
        <v>10151</v>
      </c>
      <c r="H4760" s="576">
        <v>9425</v>
      </c>
    </row>
    <row r="4761" spans="1:8">
      <c r="A4761" s="575" t="s">
        <v>645</v>
      </c>
      <c r="B4761" s="575">
        <v>146000</v>
      </c>
      <c r="C4761" s="576">
        <v>12</v>
      </c>
      <c r="D4761" s="576">
        <v>0.315</v>
      </c>
      <c r="E4761" s="576">
        <v>45999</v>
      </c>
      <c r="F4761" s="576">
        <v>191999</v>
      </c>
      <c r="G4761" s="576">
        <v>5111</v>
      </c>
      <c r="H4761" s="576">
        <v>15574</v>
      </c>
    </row>
    <row r="4762" spans="1:8">
      <c r="A4762" s="575" t="s">
        <v>645</v>
      </c>
      <c r="B4762" s="575">
        <v>146000</v>
      </c>
      <c r="C4762" s="576">
        <v>18</v>
      </c>
      <c r="D4762" s="576">
        <v>0.315</v>
      </c>
      <c r="E4762" s="576">
        <v>68990</v>
      </c>
      <c r="F4762" s="576">
        <v>214990</v>
      </c>
      <c r="G4762" s="576">
        <v>7666</v>
      </c>
      <c r="H4762" s="576">
        <v>11518</v>
      </c>
    </row>
    <row r="4763" spans="1:8">
      <c r="A4763" s="575" t="s">
        <v>645</v>
      </c>
      <c r="B4763" s="575">
        <v>146000</v>
      </c>
      <c r="C4763" s="576">
        <v>24</v>
      </c>
      <c r="D4763" s="576">
        <v>0.315</v>
      </c>
      <c r="E4763" s="576">
        <v>91981</v>
      </c>
      <c r="F4763" s="576">
        <v>237981</v>
      </c>
      <c r="G4763" s="576">
        <v>10221</v>
      </c>
      <c r="H4763" s="576">
        <v>9490</v>
      </c>
    </row>
    <row r="4764" spans="1:8">
      <c r="A4764" s="575" t="s">
        <v>645</v>
      </c>
      <c r="B4764" s="575">
        <v>147000</v>
      </c>
      <c r="C4764" s="576">
        <v>12</v>
      </c>
      <c r="D4764" s="576">
        <v>0.315</v>
      </c>
      <c r="E4764" s="576">
        <v>46306</v>
      </c>
      <c r="F4764" s="576">
        <v>193306</v>
      </c>
      <c r="G4764" s="576">
        <v>5146</v>
      </c>
      <c r="H4764" s="576">
        <v>15680</v>
      </c>
    </row>
    <row r="4765" spans="1:8">
      <c r="A4765" s="575" t="s">
        <v>645</v>
      </c>
      <c r="B4765" s="575">
        <v>147000</v>
      </c>
      <c r="C4765" s="576">
        <v>18</v>
      </c>
      <c r="D4765" s="576">
        <v>0.315</v>
      </c>
      <c r="E4765" s="576">
        <v>69464</v>
      </c>
      <c r="F4765" s="576">
        <v>216464</v>
      </c>
      <c r="G4765" s="576">
        <v>7718</v>
      </c>
      <c r="H4765" s="576">
        <v>11597</v>
      </c>
    </row>
    <row r="4766" spans="1:8">
      <c r="A4766" s="575" t="s">
        <v>645</v>
      </c>
      <c r="B4766" s="575">
        <v>147000</v>
      </c>
      <c r="C4766" s="576">
        <v>24</v>
      </c>
      <c r="D4766" s="576">
        <v>0.315</v>
      </c>
      <c r="E4766" s="576">
        <v>92611</v>
      </c>
      <c r="F4766" s="576">
        <v>239611</v>
      </c>
      <c r="G4766" s="576">
        <v>10291</v>
      </c>
      <c r="H4766" s="576">
        <v>9555</v>
      </c>
    </row>
    <row r="4767" spans="1:8">
      <c r="A4767" s="575" t="s">
        <v>645</v>
      </c>
      <c r="B4767" s="575">
        <v>148000</v>
      </c>
      <c r="C4767" s="576">
        <v>12</v>
      </c>
      <c r="D4767" s="576">
        <v>0.315</v>
      </c>
      <c r="E4767" s="576">
        <v>46625</v>
      </c>
      <c r="F4767" s="576">
        <v>194625</v>
      </c>
      <c r="G4767" s="576">
        <v>5181</v>
      </c>
      <c r="H4767" s="576">
        <v>15787</v>
      </c>
    </row>
    <row r="4768" spans="1:8">
      <c r="A4768" s="575" t="s">
        <v>645</v>
      </c>
      <c r="B4768" s="575">
        <v>148000</v>
      </c>
      <c r="C4768" s="576">
        <v>18</v>
      </c>
      <c r="D4768" s="576">
        <v>0.315</v>
      </c>
      <c r="E4768" s="576">
        <v>69939</v>
      </c>
      <c r="F4768" s="576">
        <v>217939</v>
      </c>
      <c r="G4768" s="576">
        <v>7771</v>
      </c>
      <c r="H4768" s="576">
        <v>11676</v>
      </c>
    </row>
    <row r="4769" spans="1:8">
      <c r="A4769" s="575" t="s">
        <v>645</v>
      </c>
      <c r="B4769" s="575">
        <v>148000</v>
      </c>
      <c r="C4769" s="576">
        <v>24</v>
      </c>
      <c r="D4769" s="576">
        <v>0.315</v>
      </c>
      <c r="E4769" s="576">
        <v>93241</v>
      </c>
      <c r="F4769" s="576">
        <v>241241</v>
      </c>
      <c r="G4769" s="576">
        <v>10361</v>
      </c>
      <c r="H4769" s="576">
        <v>9620</v>
      </c>
    </row>
    <row r="4770" spans="1:8">
      <c r="A4770" s="575" t="s">
        <v>645</v>
      </c>
      <c r="B4770" s="575">
        <v>149000</v>
      </c>
      <c r="C4770" s="576">
        <v>12</v>
      </c>
      <c r="D4770" s="576">
        <v>0.315</v>
      </c>
      <c r="E4770" s="576">
        <v>46944</v>
      </c>
      <c r="F4770" s="576">
        <v>195944</v>
      </c>
      <c r="G4770" s="576">
        <v>5216</v>
      </c>
      <c r="H4770" s="576">
        <v>15894</v>
      </c>
    </row>
    <row r="4771" spans="1:8">
      <c r="A4771" s="575" t="s">
        <v>645</v>
      </c>
      <c r="B4771" s="575">
        <v>149000</v>
      </c>
      <c r="C4771" s="576">
        <v>18</v>
      </c>
      <c r="D4771" s="576">
        <v>0.315</v>
      </c>
      <c r="E4771" s="576">
        <v>70413</v>
      </c>
      <c r="F4771" s="576">
        <v>219413</v>
      </c>
      <c r="G4771" s="576">
        <v>7823</v>
      </c>
      <c r="H4771" s="576">
        <v>11755</v>
      </c>
    </row>
    <row r="4772" spans="1:8">
      <c r="A4772" s="575" t="s">
        <v>645</v>
      </c>
      <c r="B4772" s="575">
        <v>149000</v>
      </c>
      <c r="C4772" s="576">
        <v>24</v>
      </c>
      <c r="D4772" s="576">
        <v>0.315</v>
      </c>
      <c r="E4772" s="576">
        <v>93871</v>
      </c>
      <c r="F4772" s="576">
        <v>242871</v>
      </c>
      <c r="G4772" s="576">
        <v>10431</v>
      </c>
      <c r="H4772" s="576">
        <v>9685</v>
      </c>
    </row>
    <row r="4773" spans="1:8">
      <c r="A4773" s="575" t="s">
        <v>645</v>
      </c>
      <c r="B4773" s="575">
        <v>150000</v>
      </c>
      <c r="C4773" s="576">
        <v>12</v>
      </c>
      <c r="D4773" s="576">
        <v>0.315</v>
      </c>
      <c r="E4773" s="576">
        <v>47251</v>
      </c>
      <c r="F4773" s="576">
        <v>197251</v>
      </c>
      <c r="G4773" s="576">
        <v>5251</v>
      </c>
      <c r="H4773" s="576">
        <v>16000</v>
      </c>
    </row>
    <row r="4774" spans="1:8">
      <c r="A4774" s="575" t="s">
        <v>645</v>
      </c>
      <c r="B4774" s="575">
        <v>150000</v>
      </c>
      <c r="C4774" s="576">
        <v>18</v>
      </c>
      <c r="D4774" s="576">
        <v>0.315</v>
      </c>
      <c r="E4774" s="576">
        <v>70888</v>
      </c>
      <c r="F4774" s="576">
        <v>220888</v>
      </c>
      <c r="G4774" s="576">
        <v>7876</v>
      </c>
      <c r="H4774" s="576">
        <v>11834</v>
      </c>
    </row>
    <row r="4775" spans="1:8">
      <c r="A4775" s="575" t="s">
        <v>645</v>
      </c>
      <c r="B4775" s="575">
        <v>150000</v>
      </c>
      <c r="C4775" s="576">
        <v>24</v>
      </c>
      <c r="D4775" s="576">
        <v>0.315</v>
      </c>
      <c r="E4775" s="576">
        <v>94501</v>
      </c>
      <c r="F4775" s="576">
        <v>244501</v>
      </c>
      <c r="G4775" s="576">
        <v>10501</v>
      </c>
      <c r="H4775" s="576">
        <v>9750</v>
      </c>
    </row>
    <row r="4776" spans="1:8">
      <c r="A4776" s="575" t="s">
        <v>645</v>
      </c>
      <c r="B4776" s="575">
        <v>151000</v>
      </c>
      <c r="C4776" s="576">
        <v>12</v>
      </c>
      <c r="D4776" s="576">
        <v>0.315</v>
      </c>
      <c r="E4776" s="576">
        <v>47570</v>
      </c>
      <c r="F4776" s="576">
        <v>198570</v>
      </c>
      <c r="G4776" s="576">
        <v>5286</v>
      </c>
      <c r="H4776" s="576">
        <v>16107</v>
      </c>
    </row>
    <row r="4777" spans="1:8">
      <c r="A4777" s="575" t="s">
        <v>645</v>
      </c>
      <c r="B4777" s="575">
        <v>151000</v>
      </c>
      <c r="C4777" s="576">
        <v>18</v>
      </c>
      <c r="D4777" s="576">
        <v>0.315</v>
      </c>
      <c r="E4777" s="576">
        <v>71362</v>
      </c>
      <c r="F4777" s="576">
        <v>222362</v>
      </c>
      <c r="G4777" s="576">
        <v>7928</v>
      </c>
      <c r="H4777" s="576">
        <v>11913</v>
      </c>
    </row>
    <row r="4778" spans="1:8">
      <c r="A4778" s="575" t="s">
        <v>645</v>
      </c>
      <c r="B4778" s="575">
        <v>151000</v>
      </c>
      <c r="C4778" s="576">
        <v>24</v>
      </c>
      <c r="D4778" s="576">
        <v>0.315</v>
      </c>
      <c r="E4778" s="576">
        <v>95131</v>
      </c>
      <c r="F4778" s="576">
        <v>246131</v>
      </c>
      <c r="G4778" s="576">
        <v>10571</v>
      </c>
      <c r="H4778" s="576">
        <v>9815</v>
      </c>
    </row>
    <row r="4779" spans="1:8">
      <c r="A4779" s="575" t="s">
        <v>645</v>
      </c>
      <c r="B4779" s="575">
        <v>152000</v>
      </c>
      <c r="C4779" s="576">
        <v>12</v>
      </c>
      <c r="D4779" s="576">
        <v>0.315</v>
      </c>
      <c r="E4779" s="576">
        <v>47889</v>
      </c>
      <c r="F4779" s="576">
        <v>199889</v>
      </c>
      <c r="G4779" s="576">
        <v>5321</v>
      </c>
      <c r="H4779" s="576">
        <v>16214</v>
      </c>
    </row>
    <row r="4780" spans="1:8">
      <c r="A4780" s="575" t="s">
        <v>645</v>
      </c>
      <c r="B4780" s="575">
        <v>152000</v>
      </c>
      <c r="C4780" s="576">
        <v>18</v>
      </c>
      <c r="D4780" s="576">
        <v>0.315</v>
      </c>
      <c r="E4780" s="576">
        <v>71837</v>
      </c>
      <c r="F4780" s="576">
        <v>223837</v>
      </c>
      <c r="G4780" s="576">
        <v>7981</v>
      </c>
      <c r="H4780" s="576">
        <v>11992</v>
      </c>
    </row>
    <row r="4781" spans="1:8">
      <c r="A4781" s="575" t="s">
        <v>645</v>
      </c>
      <c r="B4781" s="575">
        <v>152000</v>
      </c>
      <c r="C4781" s="576">
        <v>24</v>
      </c>
      <c r="D4781" s="576">
        <v>0.315</v>
      </c>
      <c r="E4781" s="576">
        <v>95761</v>
      </c>
      <c r="F4781" s="576">
        <v>247761</v>
      </c>
      <c r="G4781" s="576">
        <v>10641</v>
      </c>
      <c r="H4781" s="576">
        <v>9880</v>
      </c>
    </row>
    <row r="4782" spans="1:8">
      <c r="A4782" s="575" t="s">
        <v>645</v>
      </c>
      <c r="B4782" s="575">
        <v>153000</v>
      </c>
      <c r="C4782" s="576">
        <v>12</v>
      </c>
      <c r="D4782" s="576">
        <v>0.315</v>
      </c>
      <c r="E4782" s="576">
        <v>48196</v>
      </c>
      <c r="F4782" s="576">
        <v>201196</v>
      </c>
      <c r="G4782" s="576">
        <v>5356</v>
      </c>
      <c r="H4782" s="576">
        <v>16320</v>
      </c>
    </row>
    <row r="4783" spans="1:8">
      <c r="A4783" s="575" t="s">
        <v>645</v>
      </c>
      <c r="B4783" s="575">
        <v>153000</v>
      </c>
      <c r="C4783" s="576">
        <v>18</v>
      </c>
      <c r="D4783" s="576">
        <v>0.315</v>
      </c>
      <c r="E4783" s="576">
        <v>72293</v>
      </c>
      <c r="F4783" s="576">
        <v>225293</v>
      </c>
      <c r="G4783" s="576">
        <v>8033</v>
      </c>
      <c r="H4783" s="576">
        <v>12070</v>
      </c>
    </row>
    <row r="4784" spans="1:8">
      <c r="A4784" s="575" t="s">
        <v>645</v>
      </c>
      <c r="B4784" s="575">
        <v>153000</v>
      </c>
      <c r="C4784" s="576">
        <v>24</v>
      </c>
      <c r="D4784" s="576">
        <v>0.315</v>
      </c>
      <c r="E4784" s="576">
        <v>96391</v>
      </c>
      <c r="F4784" s="576">
        <v>249391</v>
      </c>
      <c r="G4784" s="576">
        <v>10711</v>
      </c>
      <c r="H4784" s="576">
        <v>9945</v>
      </c>
    </row>
    <row r="4785" spans="1:8">
      <c r="A4785" s="575" t="s">
        <v>645</v>
      </c>
      <c r="B4785" s="575">
        <v>154000</v>
      </c>
      <c r="C4785" s="576">
        <v>12</v>
      </c>
      <c r="D4785" s="576">
        <v>0.315</v>
      </c>
      <c r="E4785" s="576">
        <v>48515</v>
      </c>
      <c r="F4785" s="576">
        <v>202515</v>
      </c>
      <c r="G4785" s="576">
        <v>5391</v>
      </c>
      <c r="H4785" s="576">
        <v>16427</v>
      </c>
    </row>
    <row r="4786" spans="1:8">
      <c r="A4786" s="575" t="s">
        <v>645</v>
      </c>
      <c r="B4786" s="575">
        <v>154000</v>
      </c>
      <c r="C4786" s="576">
        <v>18</v>
      </c>
      <c r="D4786" s="576">
        <v>0.315</v>
      </c>
      <c r="E4786" s="576">
        <v>72768</v>
      </c>
      <c r="F4786" s="576">
        <v>226768</v>
      </c>
      <c r="G4786" s="576">
        <v>8086</v>
      </c>
      <c r="H4786" s="576">
        <v>12149</v>
      </c>
    </row>
    <row r="4787" spans="1:8">
      <c r="A4787" s="575" t="s">
        <v>645</v>
      </c>
      <c r="B4787" s="575">
        <v>154000</v>
      </c>
      <c r="C4787" s="576">
        <v>24</v>
      </c>
      <c r="D4787" s="576">
        <v>0.315</v>
      </c>
      <c r="E4787" s="576">
        <v>97021</v>
      </c>
      <c r="F4787" s="576">
        <v>251021</v>
      </c>
      <c r="G4787" s="576">
        <v>10781</v>
      </c>
      <c r="H4787" s="576">
        <v>10010</v>
      </c>
    </row>
    <row r="4788" spans="1:8">
      <c r="A4788" s="575" t="s">
        <v>645</v>
      </c>
      <c r="B4788" s="575">
        <v>155000</v>
      </c>
      <c r="C4788" s="576">
        <v>12</v>
      </c>
      <c r="D4788" s="576">
        <v>0.315</v>
      </c>
      <c r="E4788" s="576">
        <v>48834</v>
      </c>
      <c r="F4788" s="576">
        <v>203834</v>
      </c>
      <c r="G4788" s="576">
        <v>5426</v>
      </c>
      <c r="H4788" s="576">
        <v>16534</v>
      </c>
    </row>
    <row r="4789" spans="1:8">
      <c r="A4789" s="575" t="s">
        <v>645</v>
      </c>
      <c r="B4789" s="575">
        <v>155000</v>
      </c>
      <c r="C4789" s="576">
        <v>18</v>
      </c>
      <c r="D4789" s="576">
        <v>0.315</v>
      </c>
      <c r="E4789" s="576">
        <v>73242</v>
      </c>
      <c r="F4789" s="576">
        <v>228242</v>
      </c>
      <c r="G4789" s="576">
        <v>8138</v>
      </c>
      <c r="H4789" s="576">
        <v>12228</v>
      </c>
    </row>
    <row r="4790" spans="1:8">
      <c r="A4790" s="575" t="s">
        <v>645</v>
      </c>
      <c r="B4790" s="575">
        <v>155000</v>
      </c>
      <c r="C4790" s="576">
        <v>24</v>
      </c>
      <c r="D4790" s="576">
        <v>0.315</v>
      </c>
      <c r="E4790" s="576">
        <v>97651</v>
      </c>
      <c r="F4790" s="576">
        <v>252651</v>
      </c>
      <c r="G4790" s="576">
        <v>10851</v>
      </c>
      <c r="H4790" s="576">
        <v>10075</v>
      </c>
    </row>
    <row r="4791" spans="1:8">
      <c r="A4791" s="575" t="s">
        <v>645</v>
      </c>
      <c r="B4791" s="575">
        <v>156000</v>
      </c>
      <c r="C4791" s="576">
        <v>12</v>
      </c>
      <c r="D4791" s="576">
        <v>0.315</v>
      </c>
      <c r="E4791" s="576">
        <v>49141</v>
      </c>
      <c r="F4791" s="576">
        <v>205141</v>
      </c>
      <c r="G4791" s="576">
        <v>5461</v>
      </c>
      <c r="H4791" s="576">
        <v>16640</v>
      </c>
    </row>
    <row r="4792" spans="1:8">
      <c r="A4792" s="575" t="s">
        <v>645</v>
      </c>
      <c r="B4792" s="575">
        <v>156000</v>
      </c>
      <c r="C4792" s="576">
        <v>18</v>
      </c>
      <c r="D4792" s="576">
        <v>0.315</v>
      </c>
      <c r="E4792" s="576">
        <v>73717</v>
      </c>
      <c r="F4792" s="576">
        <v>229717</v>
      </c>
      <c r="G4792" s="576">
        <v>8191</v>
      </c>
      <c r="H4792" s="576">
        <v>12307</v>
      </c>
    </row>
    <row r="4793" spans="1:8">
      <c r="A4793" s="575" t="s">
        <v>645</v>
      </c>
      <c r="B4793" s="575">
        <v>156000</v>
      </c>
      <c r="C4793" s="576">
        <v>24</v>
      </c>
      <c r="D4793" s="576">
        <v>0.315</v>
      </c>
      <c r="E4793" s="576">
        <v>98281</v>
      </c>
      <c r="F4793" s="576">
        <v>254281</v>
      </c>
      <c r="G4793" s="576">
        <v>10921</v>
      </c>
      <c r="H4793" s="576">
        <v>10140</v>
      </c>
    </row>
    <row r="4794" spans="1:8">
      <c r="A4794" s="575" t="s">
        <v>645</v>
      </c>
      <c r="B4794" s="575">
        <v>157000</v>
      </c>
      <c r="C4794" s="576">
        <v>12</v>
      </c>
      <c r="D4794" s="576">
        <v>0.315</v>
      </c>
      <c r="E4794" s="576">
        <v>49460</v>
      </c>
      <c r="F4794" s="576">
        <v>206460</v>
      </c>
      <c r="G4794" s="576">
        <v>5496</v>
      </c>
      <c r="H4794" s="576">
        <v>16747</v>
      </c>
    </row>
    <row r="4795" spans="1:8">
      <c r="A4795" s="575" t="s">
        <v>645</v>
      </c>
      <c r="B4795" s="575">
        <v>157000</v>
      </c>
      <c r="C4795" s="576">
        <v>18</v>
      </c>
      <c r="D4795" s="576">
        <v>0.315</v>
      </c>
      <c r="E4795" s="576">
        <v>74191</v>
      </c>
      <c r="F4795" s="576">
        <v>231191</v>
      </c>
      <c r="G4795" s="576">
        <v>8243</v>
      </c>
      <c r="H4795" s="576">
        <v>12386</v>
      </c>
    </row>
    <row r="4796" spans="1:8">
      <c r="A4796" s="575" t="s">
        <v>645</v>
      </c>
      <c r="B4796" s="575">
        <v>157000</v>
      </c>
      <c r="C4796" s="576">
        <v>24</v>
      </c>
      <c r="D4796" s="576">
        <v>0.315</v>
      </c>
      <c r="E4796" s="576">
        <v>98911</v>
      </c>
      <c r="F4796" s="576">
        <v>255911</v>
      </c>
      <c r="G4796" s="576">
        <v>10991</v>
      </c>
      <c r="H4796" s="576">
        <v>10205</v>
      </c>
    </row>
    <row r="4797" spans="1:8">
      <c r="A4797" s="575" t="s">
        <v>645</v>
      </c>
      <c r="B4797" s="575">
        <v>158000</v>
      </c>
      <c r="C4797" s="576">
        <v>12</v>
      </c>
      <c r="D4797" s="576">
        <v>0.315</v>
      </c>
      <c r="E4797" s="576">
        <v>49779</v>
      </c>
      <c r="F4797" s="576">
        <v>207779</v>
      </c>
      <c r="G4797" s="576">
        <v>5531</v>
      </c>
      <c r="H4797" s="576">
        <v>16854</v>
      </c>
    </row>
    <row r="4798" spans="1:8">
      <c r="A4798" s="575" t="s">
        <v>645</v>
      </c>
      <c r="B4798" s="575">
        <v>158000</v>
      </c>
      <c r="C4798" s="576">
        <v>18</v>
      </c>
      <c r="D4798" s="576">
        <v>0.315</v>
      </c>
      <c r="E4798" s="576">
        <v>74666</v>
      </c>
      <c r="F4798" s="576">
        <v>232666</v>
      </c>
      <c r="G4798" s="576">
        <v>8296</v>
      </c>
      <c r="H4798" s="576">
        <v>12465</v>
      </c>
    </row>
    <row r="4799" spans="1:8">
      <c r="A4799" s="575" t="s">
        <v>645</v>
      </c>
      <c r="B4799" s="575">
        <v>158000</v>
      </c>
      <c r="C4799" s="576">
        <v>24</v>
      </c>
      <c r="D4799" s="576">
        <v>0.315</v>
      </c>
      <c r="E4799" s="576">
        <v>99541</v>
      </c>
      <c r="F4799" s="576">
        <v>257541</v>
      </c>
      <c r="G4799" s="576">
        <v>11061</v>
      </c>
      <c r="H4799" s="576">
        <v>10270</v>
      </c>
    </row>
    <row r="4800" spans="1:8">
      <c r="A4800" s="575" t="s">
        <v>645</v>
      </c>
      <c r="B4800" s="575">
        <v>159000</v>
      </c>
      <c r="C4800" s="576">
        <v>12</v>
      </c>
      <c r="D4800" s="576">
        <v>0.315</v>
      </c>
      <c r="E4800" s="576">
        <v>50086</v>
      </c>
      <c r="F4800" s="576">
        <v>209086</v>
      </c>
      <c r="G4800" s="576">
        <v>5566</v>
      </c>
      <c r="H4800" s="576">
        <v>16960</v>
      </c>
    </row>
    <row r="4801" spans="1:8">
      <c r="A4801" s="575" t="s">
        <v>645</v>
      </c>
      <c r="B4801" s="575">
        <v>159000</v>
      </c>
      <c r="C4801" s="576">
        <v>18</v>
      </c>
      <c r="D4801" s="576">
        <v>0.315</v>
      </c>
      <c r="E4801" s="576">
        <v>75140</v>
      </c>
      <c r="F4801" s="576">
        <v>234140</v>
      </c>
      <c r="G4801" s="576">
        <v>8348</v>
      </c>
      <c r="H4801" s="576">
        <v>12544</v>
      </c>
    </row>
    <row r="4802" spans="1:8">
      <c r="A4802" s="575" t="s">
        <v>645</v>
      </c>
      <c r="B4802" s="575">
        <v>159000</v>
      </c>
      <c r="C4802" s="576">
        <v>24</v>
      </c>
      <c r="D4802" s="576">
        <v>0.315</v>
      </c>
      <c r="E4802" s="576">
        <v>100171</v>
      </c>
      <c r="F4802" s="576">
        <v>259171</v>
      </c>
      <c r="G4802" s="576">
        <v>11131</v>
      </c>
      <c r="H4802" s="576">
        <v>10335</v>
      </c>
    </row>
    <row r="4803" spans="1:8">
      <c r="A4803" s="575" t="s">
        <v>645</v>
      </c>
      <c r="B4803" s="575">
        <v>160000</v>
      </c>
      <c r="C4803" s="576">
        <v>12</v>
      </c>
      <c r="D4803" s="576">
        <v>0.315</v>
      </c>
      <c r="E4803" s="576">
        <v>50405</v>
      </c>
      <c r="F4803" s="576">
        <v>210405</v>
      </c>
      <c r="G4803" s="576">
        <v>5601</v>
      </c>
      <c r="H4803" s="576">
        <v>17067</v>
      </c>
    </row>
    <row r="4804" spans="1:8">
      <c r="A4804" s="575" t="s">
        <v>645</v>
      </c>
      <c r="B4804" s="575">
        <v>160000</v>
      </c>
      <c r="C4804" s="576">
        <v>18</v>
      </c>
      <c r="D4804" s="576">
        <v>0.315</v>
      </c>
      <c r="E4804" s="576">
        <v>75615</v>
      </c>
      <c r="F4804" s="576">
        <v>235615</v>
      </c>
      <c r="G4804" s="576">
        <v>8401</v>
      </c>
      <c r="H4804" s="576">
        <v>12623</v>
      </c>
    </row>
    <row r="4805" spans="1:8">
      <c r="A4805" s="575" t="s">
        <v>645</v>
      </c>
      <c r="B4805" s="575">
        <v>160000</v>
      </c>
      <c r="C4805" s="576">
        <v>24</v>
      </c>
      <c r="D4805" s="576">
        <v>0.315</v>
      </c>
      <c r="E4805" s="576">
        <v>100801</v>
      </c>
      <c r="F4805" s="576">
        <v>260801</v>
      </c>
      <c r="G4805" s="576">
        <v>11201</v>
      </c>
      <c r="H4805" s="576">
        <v>10400</v>
      </c>
    </row>
    <row r="4806" spans="1:8">
      <c r="A4806" s="575" t="s">
        <v>645</v>
      </c>
      <c r="B4806" s="575">
        <v>161000</v>
      </c>
      <c r="C4806" s="576">
        <v>12</v>
      </c>
      <c r="D4806" s="576">
        <v>0.315</v>
      </c>
      <c r="E4806" s="576">
        <v>50724</v>
      </c>
      <c r="F4806" s="576">
        <v>211724</v>
      </c>
      <c r="G4806" s="576">
        <v>5636</v>
      </c>
      <c r="H4806" s="576">
        <v>17174</v>
      </c>
    </row>
    <row r="4807" spans="1:8">
      <c r="A4807" s="575" t="s">
        <v>645</v>
      </c>
      <c r="B4807" s="575">
        <v>161000</v>
      </c>
      <c r="C4807" s="576">
        <v>18</v>
      </c>
      <c r="D4807" s="576">
        <v>0.315</v>
      </c>
      <c r="E4807" s="576">
        <v>76089</v>
      </c>
      <c r="F4807" s="576">
        <v>237089</v>
      </c>
      <c r="G4807" s="576">
        <v>8453</v>
      </c>
      <c r="H4807" s="576">
        <v>12702</v>
      </c>
    </row>
    <row r="4808" spans="1:8">
      <c r="A4808" s="575" t="s">
        <v>645</v>
      </c>
      <c r="B4808" s="575">
        <v>161000</v>
      </c>
      <c r="C4808" s="576">
        <v>24</v>
      </c>
      <c r="D4808" s="576">
        <v>0.315</v>
      </c>
      <c r="E4808" s="576">
        <v>101431</v>
      </c>
      <c r="F4808" s="576">
        <v>262431</v>
      </c>
      <c r="G4808" s="576">
        <v>11271</v>
      </c>
      <c r="H4808" s="576">
        <v>10465</v>
      </c>
    </row>
    <row r="4809" spans="1:8">
      <c r="A4809" s="575" t="s">
        <v>645</v>
      </c>
      <c r="B4809" s="575">
        <v>162000</v>
      </c>
      <c r="C4809" s="576">
        <v>12</v>
      </c>
      <c r="D4809" s="576">
        <v>0.315</v>
      </c>
      <c r="E4809" s="576">
        <v>51031</v>
      </c>
      <c r="F4809" s="576">
        <v>213031</v>
      </c>
      <c r="G4809" s="576">
        <v>5671</v>
      </c>
      <c r="H4809" s="576">
        <v>17280</v>
      </c>
    </row>
    <row r="4810" spans="1:8">
      <c r="A4810" s="575" t="s">
        <v>645</v>
      </c>
      <c r="B4810" s="575">
        <v>162000</v>
      </c>
      <c r="C4810" s="576">
        <v>18</v>
      </c>
      <c r="D4810" s="576">
        <v>0.315</v>
      </c>
      <c r="E4810" s="576">
        <v>76546</v>
      </c>
      <c r="F4810" s="576">
        <v>238546</v>
      </c>
      <c r="G4810" s="576">
        <v>8506</v>
      </c>
      <c r="H4810" s="576">
        <v>12780</v>
      </c>
    </row>
    <row r="4811" spans="1:8">
      <c r="A4811" s="575" t="s">
        <v>645</v>
      </c>
      <c r="B4811" s="575">
        <v>162000</v>
      </c>
      <c r="C4811" s="576">
        <v>24</v>
      </c>
      <c r="D4811" s="576">
        <v>0.315</v>
      </c>
      <c r="E4811" s="576">
        <v>102061</v>
      </c>
      <c r="F4811" s="576">
        <v>264061</v>
      </c>
      <c r="G4811" s="576">
        <v>11341</v>
      </c>
      <c r="H4811" s="576">
        <v>10530</v>
      </c>
    </row>
    <row r="4812" spans="1:8">
      <c r="A4812" s="575" t="s">
        <v>645</v>
      </c>
      <c r="B4812" s="575">
        <v>163000</v>
      </c>
      <c r="C4812" s="576">
        <v>12</v>
      </c>
      <c r="D4812" s="576">
        <v>0.315</v>
      </c>
      <c r="E4812" s="576">
        <v>51350</v>
      </c>
      <c r="F4812" s="576">
        <v>214350</v>
      </c>
      <c r="G4812" s="576">
        <v>5706</v>
      </c>
      <c r="H4812" s="576">
        <v>17387</v>
      </c>
    </row>
    <row r="4813" spans="1:8">
      <c r="A4813" s="575" t="s">
        <v>645</v>
      </c>
      <c r="B4813" s="575">
        <v>163000</v>
      </c>
      <c r="C4813" s="576">
        <v>18</v>
      </c>
      <c r="D4813" s="576">
        <v>0.315</v>
      </c>
      <c r="E4813" s="576">
        <v>77020</v>
      </c>
      <c r="F4813" s="576">
        <v>240020</v>
      </c>
      <c r="G4813" s="576">
        <v>8558</v>
      </c>
      <c r="H4813" s="576">
        <v>12859</v>
      </c>
    </row>
    <row r="4814" spans="1:8">
      <c r="A4814" s="575" t="s">
        <v>645</v>
      </c>
      <c r="B4814" s="575">
        <v>163000</v>
      </c>
      <c r="C4814" s="576">
        <v>24</v>
      </c>
      <c r="D4814" s="576">
        <v>0.315</v>
      </c>
      <c r="E4814" s="576">
        <v>102691</v>
      </c>
      <c r="F4814" s="576">
        <v>265691</v>
      </c>
      <c r="G4814" s="576">
        <v>11411</v>
      </c>
      <c r="H4814" s="576">
        <v>10595</v>
      </c>
    </row>
    <row r="4815" spans="1:8">
      <c r="A4815" s="575" t="s">
        <v>645</v>
      </c>
      <c r="B4815" s="575">
        <v>164000</v>
      </c>
      <c r="C4815" s="576">
        <v>12</v>
      </c>
      <c r="D4815" s="576">
        <v>0.315</v>
      </c>
      <c r="E4815" s="576">
        <v>51669</v>
      </c>
      <c r="F4815" s="576">
        <v>215669</v>
      </c>
      <c r="G4815" s="576">
        <v>5741</v>
      </c>
      <c r="H4815" s="576">
        <v>17494</v>
      </c>
    </row>
    <row r="4816" spans="1:8">
      <c r="A4816" s="575" t="s">
        <v>645</v>
      </c>
      <c r="B4816" s="575">
        <v>164000</v>
      </c>
      <c r="C4816" s="576">
        <v>18</v>
      </c>
      <c r="D4816" s="576">
        <v>0.315</v>
      </c>
      <c r="E4816" s="576">
        <v>77495</v>
      </c>
      <c r="F4816" s="576">
        <v>241495</v>
      </c>
      <c r="G4816" s="576">
        <v>8611</v>
      </c>
      <c r="H4816" s="576">
        <v>12938</v>
      </c>
    </row>
    <row r="4817" spans="1:8">
      <c r="A4817" s="575" t="s">
        <v>645</v>
      </c>
      <c r="B4817" s="575">
        <v>164000</v>
      </c>
      <c r="C4817" s="576">
        <v>24</v>
      </c>
      <c r="D4817" s="576">
        <v>0.315</v>
      </c>
      <c r="E4817" s="576">
        <v>103321</v>
      </c>
      <c r="F4817" s="576">
        <v>267321</v>
      </c>
      <c r="G4817" s="576">
        <v>11481</v>
      </c>
      <c r="H4817" s="576">
        <v>10660</v>
      </c>
    </row>
    <row r="4818" spans="1:8">
      <c r="A4818" s="575" t="s">
        <v>645</v>
      </c>
      <c r="B4818" s="575">
        <v>165000</v>
      </c>
      <c r="C4818" s="576">
        <v>12</v>
      </c>
      <c r="D4818" s="576">
        <v>0.315</v>
      </c>
      <c r="E4818" s="576">
        <v>51976</v>
      </c>
      <c r="F4818" s="576">
        <v>216976</v>
      </c>
      <c r="G4818" s="576">
        <v>5776</v>
      </c>
      <c r="H4818" s="576">
        <v>17600</v>
      </c>
    </row>
    <row r="4819" spans="1:8">
      <c r="A4819" s="575" t="s">
        <v>645</v>
      </c>
      <c r="B4819" s="575">
        <v>165000</v>
      </c>
      <c r="C4819" s="576">
        <v>18</v>
      </c>
      <c r="D4819" s="576">
        <v>0.315</v>
      </c>
      <c r="E4819" s="576">
        <v>77969</v>
      </c>
      <c r="F4819" s="576">
        <v>242969</v>
      </c>
      <c r="G4819" s="576">
        <v>8663</v>
      </c>
      <c r="H4819" s="576">
        <v>13017</v>
      </c>
    </row>
    <row r="4820" spans="1:8">
      <c r="A4820" s="575" t="s">
        <v>645</v>
      </c>
      <c r="B4820" s="575">
        <v>165000</v>
      </c>
      <c r="C4820" s="576">
        <v>24</v>
      </c>
      <c r="D4820" s="576">
        <v>0.315</v>
      </c>
      <c r="E4820" s="576">
        <v>103951</v>
      </c>
      <c r="F4820" s="576">
        <v>268951</v>
      </c>
      <c r="G4820" s="576">
        <v>11551</v>
      </c>
      <c r="H4820" s="576">
        <v>10725</v>
      </c>
    </row>
    <row r="4821" spans="1:8">
      <c r="A4821" s="575" t="s">
        <v>645</v>
      </c>
      <c r="B4821" s="575">
        <v>166000</v>
      </c>
      <c r="C4821" s="576">
        <v>12</v>
      </c>
      <c r="D4821" s="576">
        <v>0.315</v>
      </c>
      <c r="E4821" s="576">
        <v>52295</v>
      </c>
      <c r="F4821" s="576">
        <v>218295</v>
      </c>
      <c r="G4821" s="576">
        <v>5811</v>
      </c>
      <c r="H4821" s="576">
        <v>17707</v>
      </c>
    </row>
    <row r="4822" spans="1:8">
      <c r="A4822" s="575" t="s">
        <v>645</v>
      </c>
      <c r="B4822" s="575">
        <v>166000</v>
      </c>
      <c r="C4822" s="576">
        <v>18</v>
      </c>
      <c r="D4822" s="576">
        <v>0.315</v>
      </c>
      <c r="E4822" s="576">
        <v>78444</v>
      </c>
      <c r="F4822" s="576">
        <v>244444</v>
      </c>
      <c r="G4822" s="576">
        <v>8716</v>
      </c>
      <c r="H4822" s="576">
        <v>13096</v>
      </c>
    </row>
    <row r="4823" spans="1:8">
      <c r="A4823" s="575" t="s">
        <v>645</v>
      </c>
      <c r="B4823" s="575">
        <v>166000</v>
      </c>
      <c r="C4823" s="576">
        <v>24</v>
      </c>
      <c r="D4823" s="576">
        <v>0.315</v>
      </c>
      <c r="E4823" s="576">
        <v>104581</v>
      </c>
      <c r="F4823" s="576">
        <v>270581</v>
      </c>
      <c r="G4823" s="576">
        <v>11621</v>
      </c>
      <c r="H4823" s="576">
        <v>10790</v>
      </c>
    </row>
    <row r="4824" spans="1:8">
      <c r="A4824" s="575" t="s">
        <v>645</v>
      </c>
      <c r="B4824" s="575">
        <v>167000</v>
      </c>
      <c r="C4824" s="576">
        <v>12</v>
      </c>
      <c r="D4824" s="576">
        <v>0.315</v>
      </c>
      <c r="E4824" s="576">
        <v>52614</v>
      </c>
      <c r="F4824" s="576">
        <v>219614</v>
      </c>
      <c r="G4824" s="576">
        <v>5846</v>
      </c>
      <c r="H4824" s="576">
        <v>17814</v>
      </c>
    </row>
    <row r="4825" spans="1:8">
      <c r="A4825" s="575" t="s">
        <v>645</v>
      </c>
      <c r="B4825" s="575">
        <v>167000</v>
      </c>
      <c r="C4825" s="576">
        <v>18</v>
      </c>
      <c r="D4825" s="576">
        <v>0.315</v>
      </c>
      <c r="E4825" s="576">
        <v>78918</v>
      </c>
      <c r="F4825" s="576">
        <v>245918</v>
      </c>
      <c r="G4825" s="576">
        <v>8768</v>
      </c>
      <c r="H4825" s="576">
        <v>13175</v>
      </c>
    </row>
    <row r="4826" spans="1:8">
      <c r="A4826" s="575" t="s">
        <v>645</v>
      </c>
      <c r="B4826" s="575">
        <v>167000</v>
      </c>
      <c r="C4826" s="576">
        <v>24</v>
      </c>
      <c r="D4826" s="576">
        <v>0.315</v>
      </c>
      <c r="E4826" s="576">
        <v>105211</v>
      </c>
      <c r="F4826" s="576">
        <v>272211</v>
      </c>
      <c r="G4826" s="576">
        <v>11691</v>
      </c>
      <c r="H4826" s="576">
        <v>10855</v>
      </c>
    </row>
    <row r="4827" spans="1:8">
      <c r="A4827" s="575" t="s">
        <v>645</v>
      </c>
      <c r="B4827" s="575">
        <v>168000</v>
      </c>
      <c r="C4827" s="576">
        <v>12</v>
      </c>
      <c r="D4827" s="576">
        <v>0.315</v>
      </c>
      <c r="E4827" s="576">
        <v>52921</v>
      </c>
      <c r="F4827" s="576">
        <v>220921</v>
      </c>
      <c r="G4827" s="576">
        <v>5881</v>
      </c>
      <c r="H4827" s="576">
        <v>17920</v>
      </c>
    </row>
    <row r="4828" spans="1:8">
      <c r="A4828" s="575" t="s">
        <v>645</v>
      </c>
      <c r="B4828" s="575">
        <v>168000</v>
      </c>
      <c r="C4828" s="576">
        <v>18</v>
      </c>
      <c r="D4828" s="576">
        <v>0.315</v>
      </c>
      <c r="E4828" s="576">
        <v>79393</v>
      </c>
      <c r="F4828" s="576">
        <v>247393</v>
      </c>
      <c r="G4828" s="576">
        <v>8821</v>
      </c>
      <c r="H4828" s="576">
        <v>13254</v>
      </c>
    </row>
    <row r="4829" spans="1:8">
      <c r="A4829" s="575" t="s">
        <v>645</v>
      </c>
      <c r="B4829" s="575">
        <v>168000</v>
      </c>
      <c r="C4829" s="576">
        <v>24</v>
      </c>
      <c r="D4829" s="576">
        <v>0.315</v>
      </c>
      <c r="E4829" s="576">
        <v>105841</v>
      </c>
      <c r="F4829" s="576">
        <v>273841</v>
      </c>
      <c r="G4829" s="576">
        <v>11761</v>
      </c>
      <c r="H4829" s="576">
        <v>10920</v>
      </c>
    </row>
    <row r="4830" spans="1:8">
      <c r="A4830" s="575" t="s">
        <v>645</v>
      </c>
      <c r="B4830" s="575">
        <v>169000</v>
      </c>
      <c r="C4830" s="576">
        <v>12</v>
      </c>
      <c r="D4830" s="576">
        <v>0.315</v>
      </c>
      <c r="E4830" s="576">
        <v>53240</v>
      </c>
      <c r="F4830" s="576">
        <v>222240</v>
      </c>
      <c r="G4830" s="576">
        <v>5916</v>
      </c>
      <c r="H4830" s="576">
        <v>18027</v>
      </c>
    </row>
    <row r="4831" spans="1:8">
      <c r="A4831" s="575" t="s">
        <v>645</v>
      </c>
      <c r="B4831" s="575">
        <v>169000</v>
      </c>
      <c r="C4831" s="576">
        <v>18</v>
      </c>
      <c r="D4831" s="576">
        <v>0.315</v>
      </c>
      <c r="E4831" s="576">
        <v>79867</v>
      </c>
      <c r="F4831" s="576">
        <v>248867</v>
      </c>
      <c r="G4831" s="576">
        <v>8873</v>
      </c>
      <c r="H4831" s="576">
        <v>13333</v>
      </c>
    </row>
    <row r="4832" spans="1:8">
      <c r="A4832" s="575" t="s">
        <v>645</v>
      </c>
      <c r="B4832" s="575">
        <v>169000</v>
      </c>
      <c r="C4832" s="576">
        <v>24</v>
      </c>
      <c r="D4832" s="576">
        <v>0.315</v>
      </c>
      <c r="E4832" s="576">
        <v>106471</v>
      </c>
      <c r="F4832" s="576">
        <v>275471</v>
      </c>
      <c r="G4832" s="576">
        <v>11831</v>
      </c>
      <c r="H4832" s="576">
        <v>10985</v>
      </c>
    </row>
    <row r="4833" spans="1:8">
      <c r="A4833" s="575" t="s">
        <v>645</v>
      </c>
      <c r="B4833" s="575">
        <v>170000</v>
      </c>
      <c r="C4833" s="576">
        <v>12</v>
      </c>
      <c r="D4833" s="576">
        <v>0.315</v>
      </c>
      <c r="E4833" s="576">
        <v>53559</v>
      </c>
      <c r="F4833" s="576">
        <v>223559</v>
      </c>
      <c r="G4833" s="576">
        <v>5951</v>
      </c>
      <c r="H4833" s="576">
        <v>18134</v>
      </c>
    </row>
    <row r="4834" spans="1:8">
      <c r="A4834" s="575" t="s">
        <v>645</v>
      </c>
      <c r="B4834" s="575">
        <v>170000</v>
      </c>
      <c r="C4834" s="576">
        <v>18</v>
      </c>
      <c r="D4834" s="576">
        <v>0.315</v>
      </c>
      <c r="E4834" s="576">
        <v>80342</v>
      </c>
      <c r="F4834" s="576">
        <v>250342</v>
      </c>
      <c r="G4834" s="576">
        <v>8926</v>
      </c>
      <c r="H4834" s="576">
        <v>13412</v>
      </c>
    </row>
    <row r="4835" spans="1:8">
      <c r="A4835" s="575" t="s">
        <v>645</v>
      </c>
      <c r="B4835" s="575">
        <v>170000</v>
      </c>
      <c r="C4835" s="576">
        <v>24</v>
      </c>
      <c r="D4835" s="576">
        <v>0.315</v>
      </c>
      <c r="E4835" s="576">
        <v>107101</v>
      </c>
      <c r="F4835" s="576">
        <v>277101</v>
      </c>
      <c r="G4835" s="576">
        <v>11901</v>
      </c>
      <c r="H4835" s="576">
        <v>11050</v>
      </c>
    </row>
    <row r="4836" spans="1:8">
      <c r="A4836" s="575" t="s">
        <v>645</v>
      </c>
      <c r="B4836" s="575">
        <v>171000</v>
      </c>
      <c r="C4836" s="576">
        <v>12</v>
      </c>
      <c r="D4836" s="576">
        <v>0.315</v>
      </c>
      <c r="E4836" s="576">
        <v>53866</v>
      </c>
      <c r="F4836" s="576">
        <v>224866</v>
      </c>
      <c r="G4836" s="576">
        <v>5986</v>
      </c>
      <c r="H4836" s="576">
        <v>18240</v>
      </c>
    </row>
    <row r="4837" spans="1:8">
      <c r="A4837" s="575" t="s">
        <v>645</v>
      </c>
      <c r="B4837" s="575">
        <v>171000</v>
      </c>
      <c r="C4837" s="576">
        <v>18</v>
      </c>
      <c r="D4837" s="576">
        <v>0.315</v>
      </c>
      <c r="E4837" s="576">
        <v>80798</v>
      </c>
      <c r="F4837" s="576">
        <v>251798</v>
      </c>
      <c r="G4837" s="576">
        <v>8978</v>
      </c>
      <c r="H4837" s="576">
        <v>13490</v>
      </c>
    </row>
    <row r="4838" spans="1:8">
      <c r="A4838" s="575" t="s">
        <v>645</v>
      </c>
      <c r="B4838" s="575">
        <v>171000</v>
      </c>
      <c r="C4838" s="576">
        <v>24</v>
      </c>
      <c r="D4838" s="576">
        <v>0.315</v>
      </c>
      <c r="E4838" s="576">
        <v>107731</v>
      </c>
      <c r="F4838" s="576">
        <v>278731</v>
      </c>
      <c r="G4838" s="576">
        <v>11971</v>
      </c>
      <c r="H4838" s="576">
        <v>11115</v>
      </c>
    </row>
    <row r="4839" spans="1:8">
      <c r="A4839" s="575" t="s">
        <v>645</v>
      </c>
      <c r="B4839" s="575">
        <v>172000</v>
      </c>
      <c r="C4839" s="576">
        <v>12</v>
      </c>
      <c r="D4839" s="576">
        <v>0.315</v>
      </c>
      <c r="E4839" s="576">
        <v>54185</v>
      </c>
      <c r="F4839" s="576">
        <v>226185</v>
      </c>
      <c r="G4839" s="576">
        <v>6021</v>
      </c>
      <c r="H4839" s="576">
        <v>18347</v>
      </c>
    </row>
    <row r="4840" spans="1:8">
      <c r="A4840" s="575" t="s">
        <v>645</v>
      </c>
      <c r="B4840" s="575">
        <v>172000</v>
      </c>
      <c r="C4840" s="576">
        <v>18</v>
      </c>
      <c r="D4840" s="576">
        <v>0.315</v>
      </c>
      <c r="E4840" s="576">
        <v>81273</v>
      </c>
      <c r="F4840" s="576">
        <v>253273</v>
      </c>
      <c r="G4840" s="576">
        <v>9031</v>
      </c>
      <c r="H4840" s="576">
        <v>13569</v>
      </c>
    </row>
    <row r="4841" spans="1:8">
      <c r="A4841" s="575" t="s">
        <v>645</v>
      </c>
      <c r="B4841" s="575">
        <v>172000</v>
      </c>
      <c r="C4841" s="576">
        <v>24</v>
      </c>
      <c r="D4841" s="576">
        <v>0.315</v>
      </c>
      <c r="E4841" s="576">
        <v>108361</v>
      </c>
      <c r="F4841" s="576">
        <v>280361</v>
      </c>
      <c r="G4841" s="576">
        <v>12041</v>
      </c>
      <c r="H4841" s="576">
        <v>11180</v>
      </c>
    </row>
    <row r="4842" spans="1:8">
      <c r="A4842" s="575" t="s">
        <v>645</v>
      </c>
      <c r="B4842" s="575">
        <v>173000</v>
      </c>
      <c r="C4842" s="576">
        <v>12</v>
      </c>
      <c r="D4842" s="576">
        <v>0.315</v>
      </c>
      <c r="E4842" s="576">
        <v>54504</v>
      </c>
      <c r="F4842" s="576">
        <v>227504</v>
      </c>
      <c r="G4842" s="576">
        <v>6056</v>
      </c>
      <c r="H4842" s="576">
        <v>18454</v>
      </c>
    </row>
    <row r="4843" spans="1:8">
      <c r="A4843" s="575" t="s">
        <v>645</v>
      </c>
      <c r="B4843" s="575">
        <v>173000</v>
      </c>
      <c r="C4843" s="576">
        <v>18</v>
      </c>
      <c r="D4843" s="576">
        <v>0.315</v>
      </c>
      <c r="E4843" s="576">
        <v>81747</v>
      </c>
      <c r="F4843" s="576">
        <v>254747</v>
      </c>
      <c r="G4843" s="576">
        <v>9083</v>
      </c>
      <c r="H4843" s="576">
        <v>13648</v>
      </c>
    </row>
    <row r="4844" spans="1:8">
      <c r="A4844" s="575" t="s">
        <v>645</v>
      </c>
      <c r="B4844" s="575">
        <v>173000</v>
      </c>
      <c r="C4844" s="576">
        <v>24</v>
      </c>
      <c r="D4844" s="576">
        <v>0.315</v>
      </c>
      <c r="E4844" s="576">
        <v>108991</v>
      </c>
      <c r="F4844" s="576">
        <v>281991</v>
      </c>
      <c r="G4844" s="576">
        <v>12111</v>
      </c>
      <c r="H4844" s="576">
        <v>11245</v>
      </c>
    </row>
    <row r="4845" spans="1:8">
      <c r="A4845" s="575" t="s">
        <v>645</v>
      </c>
      <c r="B4845" s="575">
        <v>174000</v>
      </c>
      <c r="C4845" s="576">
        <v>12</v>
      </c>
      <c r="D4845" s="576">
        <v>0.315</v>
      </c>
      <c r="E4845" s="576">
        <v>54811</v>
      </c>
      <c r="F4845" s="576">
        <v>228811</v>
      </c>
      <c r="G4845" s="576">
        <v>6091</v>
      </c>
      <c r="H4845" s="576">
        <v>18560</v>
      </c>
    </row>
    <row r="4846" spans="1:8">
      <c r="A4846" s="575" t="s">
        <v>645</v>
      </c>
      <c r="B4846" s="575">
        <v>174000</v>
      </c>
      <c r="C4846" s="576">
        <v>18</v>
      </c>
      <c r="D4846" s="576">
        <v>0.315</v>
      </c>
      <c r="E4846" s="576">
        <v>82222</v>
      </c>
      <c r="F4846" s="576">
        <v>256222</v>
      </c>
      <c r="G4846" s="576">
        <v>9136</v>
      </c>
      <c r="H4846" s="576">
        <v>13727</v>
      </c>
    </row>
    <row r="4847" spans="1:8">
      <c r="A4847" s="575" t="s">
        <v>645</v>
      </c>
      <c r="B4847" s="575">
        <v>174000</v>
      </c>
      <c r="C4847" s="576">
        <v>24</v>
      </c>
      <c r="D4847" s="576">
        <v>0.315</v>
      </c>
      <c r="E4847" s="576">
        <v>109621</v>
      </c>
      <c r="F4847" s="576">
        <v>283621</v>
      </c>
      <c r="G4847" s="576">
        <v>12181</v>
      </c>
      <c r="H4847" s="576">
        <v>11310</v>
      </c>
    </row>
    <row r="4848" spans="1:8">
      <c r="A4848" s="575" t="s">
        <v>645</v>
      </c>
      <c r="B4848" s="575">
        <v>175000</v>
      </c>
      <c r="C4848" s="576">
        <v>12</v>
      </c>
      <c r="D4848" s="576">
        <v>0.315</v>
      </c>
      <c r="E4848" s="576">
        <v>55130</v>
      </c>
      <c r="F4848" s="576">
        <v>230130</v>
      </c>
      <c r="G4848" s="576">
        <v>6126</v>
      </c>
      <c r="H4848" s="576">
        <v>18667</v>
      </c>
    </row>
    <row r="4849" spans="1:8">
      <c r="A4849" s="575" t="s">
        <v>645</v>
      </c>
      <c r="B4849" s="575">
        <v>175000</v>
      </c>
      <c r="C4849" s="576">
        <v>18</v>
      </c>
      <c r="D4849" s="576">
        <v>0.315</v>
      </c>
      <c r="E4849" s="576">
        <v>82696</v>
      </c>
      <c r="F4849" s="576">
        <v>257696</v>
      </c>
      <c r="G4849" s="576">
        <v>9188</v>
      </c>
      <c r="H4849" s="576">
        <v>13806</v>
      </c>
    </row>
    <row r="4850" spans="1:8">
      <c r="A4850" s="575" t="s">
        <v>645</v>
      </c>
      <c r="B4850" s="575">
        <v>175000</v>
      </c>
      <c r="C4850" s="576">
        <v>24</v>
      </c>
      <c r="D4850" s="576">
        <v>0.315</v>
      </c>
      <c r="E4850" s="576">
        <v>110251</v>
      </c>
      <c r="F4850" s="576">
        <v>285251</v>
      </c>
      <c r="G4850" s="576">
        <v>12251</v>
      </c>
      <c r="H4850" s="576">
        <v>11375</v>
      </c>
    </row>
    <row r="4851" spans="1:8">
      <c r="A4851" s="575" t="s">
        <v>645</v>
      </c>
      <c r="B4851" s="575">
        <v>176000</v>
      </c>
      <c r="C4851" s="576">
        <v>12</v>
      </c>
      <c r="D4851" s="576">
        <v>0.315</v>
      </c>
      <c r="E4851" s="576">
        <v>55449</v>
      </c>
      <c r="F4851" s="576">
        <v>231449</v>
      </c>
      <c r="G4851" s="576">
        <v>6161</v>
      </c>
      <c r="H4851" s="576">
        <v>18774</v>
      </c>
    </row>
    <row r="4852" spans="1:8">
      <c r="A4852" s="575" t="s">
        <v>645</v>
      </c>
      <c r="B4852" s="575">
        <v>176000</v>
      </c>
      <c r="C4852" s="576">
        <v>18</v>
      </c>
      <c r="D4852" s="576">
        <v>0.315</v>
      </c>
      <c r="E4852" s="576">
        <v>83171</v>
      </c>
      <c r="F4852" s="576">
        <v>259171</v>
      </c>
      <c r="G4852" s="576">
        <v>9241</v>
      </c>
      <c r="H4852" s="576">
        <v>13885</v>
      </c>
    </row>
    <row r="4853" spans="1:8">
      <c r="A4853" s="575" t="s">
        <v>645</v>
      </c>
      <c r="B4853" s="575">
        <v>176000</v>
      </c>
      <c r="C4853" s="576">
        <v>24</v>
      </c>
      <c r="D4853" s="576">
        <v>0.315</v>
      </c>
      <c r="E4853" s="576">
        <v>110881</v>
      </c>
      <c r="F4853" s="576">
        <v>286881</v>
      </c>
      <c r="G4853" s="576">
        <v>12321</v>
      </c>
      <c r="H4853" s="576">
        <v>11440</v>
      </c>
    </row>
    <row r="4854" spans="1:8">
      <c r="A4854" s="575" t="s">
        <v>645</v>
      </c>
      <c r="B4854" s="575">
        <v>177000</v>
      </c>
      <c r="C4854" s="576">
        <v>12</v>
      </c>
      <c r="D4854" s="576">
        <v>0.315</v>
      </c>
      <c r="E4854" s="576">
        <v>55756</v>
      </c>
      <c r="F4854" s="576">
        <v>232756</v>
      </c>
      <c r="G4854" s="576">
        <v>6196</v>
      </c>
      <c r="H4854" s="576">
        <v>18880</v>
      </c>
    </row>
    <row r="4855" spans="1:8">
      <c r="A4855" s="575" t="s">
        <v>645</v>
      </c>
      <c r="B4855" s="575">
        <v>177000</v>
      </c>
      <c r="C4855" s="576">
        <v>18</v>
      </c>
      <c r="D4855" s="576">
        <v>0.315</v>
      </c>
      <c r="E4855" s="576">
        <v>83645</v>
      </c>
      <c r="F4855" s="576">
        <v>260645</v>
      </c>
      <c r="G4855" s="576">
        <v>9293</v>
      </c>
      <c r="H4855" s="576">
        <v>13964</v>
      </c>
    </row>
    <row r="4856" spans="1:8">
      <c r="A4856" s="575" t="s">
        <v>645</v>
      </c>
      <c r="B4856" s="575">
        <v>177000</v>
      </c>
      <c r="C4856" s="576">
        <v>24</v>
      </c>
      <c r="D4856" s="576">
        <v>0.315</v>
      </c>
      <c r="E4856" s="576">
        <v>111511</v>
      </c>
      <c r="F4856" s="576">
        <v>288511</v>
      </c>
      <c r="G4856" s="576">
        <v>12391</v>
      </c>
      <c r="H4856" s="576">
        <v>11505</v>
      </c>
    </row>
    <row r="4857" spans="1:8">
      <c r="A4857" s="575" t="s">
        <v>645</v>
      </c>
      <c r="B4857" s="575">
        <v>178000</v>
      </c>
      <c r="C4857" s="576">
        <v>12</v>
      </c>
      <c r="D4857" s="576">
        <v>0.315</v>
      </c>
      <c r="E4857" s="576">
        <v>56075</v>
      </c>
      <c r="F4857" s="576">
        <v>234075</v>
      </c>
      <c r="G4857" s="576">
        <v>6231</v>
      </c>
      <c r="H4857" s="576">
        <v>18987</v>
      </c>
    </row>
    <row r="4858" spans="1:8">
      <c r="A4858" s="575" t="s">
        <v>645</v>
      </c>
      <c r="B4858" s="575">
        <v>178000</v>
      </c>
      <c r="C4858" s="576">
        <v>18</v>
      </c>
      <c r="D4858" s="576">
        <v>0.315</v>
      </c>
      <c r="E4858" s="576">
        <v>84120</v>
      </c>
      <c r="F4858" s="576">
        <v>262120</v>
      </c>
      <c r="G4858" s="576">
        <v>9346</v>
      </c>
      <c r="H4858" s="576">
        <v>14043</v>
      </c>
    </row>
    <row r="4859" spans="1:8">
      <c r="A4859" s="575" t="s">
        <v>645</v>
      </c>
      <c r="B4859" s="575">
        <v>178000</v>
      </c>
      <c r="C4859" s="576">
        <v>24</v>
      </c>
      <c r="D4859" s="576">
        <v>0.315</v>
      </c>
      <c r="E4859" s="576">
        <v>112141</v>
      </c>
      <c r="F4859" s="576">
        <v>290141</v>
      </c>
      <c r="G4859" s="576">
        <v>12461</v>
      </c>
      <c r="H4859" s="576">
        <v>11570</v>
      </c>
    </row>
    <row r="4860" spans="1:8">
      <c r="A4860" s="575" t="s">
        <v>645</v>
      </c>
      <c r="B4860" s="575">
        <v>179000</v>
      </c>
      <c r="C4860" s="576">
        <v>12</v>
      </c>
      <c r="D4860" s="576">
        <v>0.315</v>
      </c>
      <c r="E4860" s="576">
        <v>56394</v>
      </c>
      <c r="F4860" s="576">
        <v>235394</v>
      </c>
      <c r="G4860" s="576">
        <v>6266</v>
      </c>
      <c r="H4860" s="576">
        <v>19094</v>
      </c>
    </row>
    <row r="4861" spans="1:8">
      <c r="A4861" s="575" t="s">
        <v>645</v>
      </c>
      <c r="B4861" s="575">
        <v>179000</v>
      </c>
      <c r="C4861" s="576">
        <v>18</v>
      </c>
      <c r="D4861" s="576">
        <v>0.315</v>
      </c>
      <c r="E4861" s="576">
        <v>84594</v>
      </c>
      <c r="F4861" s="576">
        <v>263594</v>
      </c>
      <c r="G4861" s="576">
        <v>9398</v>
      </c>
      <c r="H4861" s="576">
        <v>14122</v>
      </c>
    </row>
    <row r="4862" spans="1:8">
      <c r="A4862" s="575" t="s">
        <v>645</v>
      </c>
      <c r="B4862" s="575">
        <v>179000</v>
      </c>
      <c r="C4862" s="576">
        <v>24</v>
      </c>
      <c r="D4862" s="576">
        <v>0.315</v>
      </c>
      <c r="E4862" s="576">
        <v>112771</v>
      </c>
      <c r="F4862" s="576">
        <v>291771</v>
      </c>
      <c r="G4862" s="576">
        <v>12531</v>
      </c>
      <c r="H4862" s="576">
        <v>11635</v>
      </c>
    </row>
    <row r="4863" spans="1:8">
      <c r="A4863" s="575" t="s">
        <v>645</v>
      </c>
      <c r="B4863" s="575">
        <v>180000</v>
      </c>
      <c r="C4863" s="576">
        <v>12</v>
      </c>
      <c r="D4863" s="576">
        <v>0.315</v>
      </c>
      <c r="E4863" s="576">
        <v>56701</v>
      </c>
      <c r="F4863" s="576">
        <v>236701</v>
      </c>
      <c r="G4863" s="576">
        <v>6301</v>
      </c>
      <c r="H4863" s="576">
        <v>19200</v>
      </c>
    </row>
    <row r="4864" spans="1:8">
      <c r="A4864" s="575" t="s">
        <v>645</v>
      </c>
      <c r="B4864" s="575">
        <v>180000</v>
      </c>
      <c r="C4864" s="576">
        <v>18</v>
      </c>
      <c r="D4864" s="576">
        <v>0.315</v>
      </c>
      <c r="E4864" s="576">
        <v>85051</v>
      </c>
      <c r="F4864" s="576">
        <v>265051</v>
      </c>
      <c r="G4864" s="576">
        <v>9451</v>
      </c>
      <c r="H4864" s="576">
        <v>14200</v>
      </c>
    </row>
    <row r="4865" spans="1:8">
      <c r="A4865" s="575" t="s">
        <v>645</v>
      </c>
      <c r="B4865" s="575">
        <v>180000</v>
      </c>
      <c r="C4865" s="576">
        <v>24</v>
      </c>
      <c r="D4865" s="576">
        <v>0.315</v>
      </c>
      <c r="E4865" s="576">
        <v>113401</v>
      </c>
      <c r="F4865" s="576">
        <v>293401</v>
      </c>
      <c r="G4865" s="576">
        <v>12601</v>
      </c>
      <c r="H4865" s="576">
        <v>11700</v>
      </c>
    </row>
    <row r="4866" spans="1:8">
      <c r="A4866" s="575" t="s">
        <v>645</v>
      </c>
      <c r="B4866" s="575">
        <v>181000</v>
      </c>
      <c r="C4866" s="576">
        <v>12</v>
      </c>
      <c r="D4866" s="576">
        <v>0.315</v>
      </c>
      <c r="E4866" s="576">
        <v>57020</v>
      </c>
      <c r="F4866" s="576">
        <v>238020</v>
      </c>
      <c r="G4866" s="576">
        <v>6336</v>
      </c>
      <c r="H4866" s="576">
        <v>19307</v>
      </c>
    </row>
    <row r="4867" spans="1:8">
      <c r="A4867" s="575" t="s">
        <v>645</v>
      </c>
      <c r="B4867" s="575">
        <v>181000</v>
      </c>
      <c r="C4867" s="576">
        <v>18</v>
      </c>
      <c r="D4867" s="576">
        <v>0.315</v>
      </c>
      <c r="E4867" s="576">
        <v>85525</v>
      </c>
      <c r="F4867" s="576">
        <v>266525</v>
      </c>
      <c r="G4867" s="576">
        <v>9503</v>
      </c>
      <c r="H4867" s="576">
        <v>14279</v>
      </c>
    </row>
    <row r="4868" spans="1:8">
      <c r="A4868" s="575" t="s">
        <v>645</v>
      </c>
      <c r="B4868" s="575">
        <v>181000</v>
      </c>
      <c r="C4868" s="576">
        <v>24</v>
      </c>
      <c r="D4868" s="576">
        <v>0.315</v>
      </c>
      <c r="E4868" s="576">
        <v>114031</v>
      </c>
      <c r="F4868" s="576">
        <v>295031</v>
      </c>
      <c r="G4868" s="576">
        <v>12671</v>
      </c>
      <c r="H4868" s="576">
        <v>11765</v>
      </c>
    </row>
    <row r="4869" spans="1:8">
      <c r="A4869" s="575" t="s">
        <v>645</v>
      </c>
      <c r="B4869" s="575">
        <v>182000</v>
      </c>
      <c r="C4869" s="576">
        <v>12</v>
      </c>
      <c r="D4869" s="576">
        <v>0.315</v>
      </c>
      <c r="E4869" s="576">
        <v>57339</v>
      </c>
      <c r="F4869" s="576">
        <v>239339</v>
      </c>
      <c r="G4869" s="576">
        <v>6371</v>
      </c>
      <c r="H4869" s="576">
        <v>19414</v>
      </c>
    </row>
    <row r="4870" spans="1:8">
      <c r="A4870" s="575" t="s">
        <v>645</v>
      </c>
      <c r="B4870" s="575">
        <v>182000</v>
      </c>
      <c r="C4870" s="576">
        <v>18</v>
      </c>
      <c r="D4870" s="576">
        <v>0.315</v>
      </c>
      <c r="E4870" s="576">
        <v>86000</v>
      </c>
      <c r="F4870" s="576">
        <v>268000</v>
      </c>
      <c r="G4870" s="576">
        <v>9556</v>
      </c>
      <c r="H4870" s="576">
        <v>14358</v>
      </c>
    </row>
    <row r="4871" spans="1:8">
      <c r="A4871" s="575" t="s">
        <v>645</v>
      </c>
      <c r="B4871" s="575">
        <v>182000</v>
      </c>
      <c r="C4871" s="576">
        <v>24</v>
      </c>
      <c r="D4871" s="576">
        <v>0.315</v>
      </c>
      <c r="E4871" s="576">
        <v>114661</v>
      </c>
      <c r="F4871" s="576">
        <v>296661</v>
      </c>
      <c r="G4871" s="576">
        <v>12741</v>
      </c>
      <c r="H4871" s="576">
        <v>11830</v>
      </c>
    </row>
    <row r="4872" spans="1:8">
      <c r="A4872" s="575" t="s">
        <v>645</v>
      </c>
      <c r="B4872" s="575">
        <v>183000</v>
      </c>
      <c r="C4872" s="576">
        <v>12</v>
      </c>
      <c r="D4872" s="576">
        <v>0.315</v>
      </c>
      <c r="E4872" s="576">
        <v>57646</v>
      </c>
      <c r="F4872" s="576">
        <v>240646</v>
      </c>
      <c r="G4872" s="576">
        <v>6406</v>
      </c>
      <c r="H4872" s="576">
        <v>19520</v>
      </c>
    </row>
    <row r="4873" spans="1:8">
      <c r="A4873" s="575" t="s">
        <v>645</v>
      </c>
      <c r="B4873" s="575">
        <v>183000</v>
      </c>
      <c r="C4873" s="576">
        <v>18</v>
      </c>
      <c r="D4873" s="576">
        <v>0.315</v>
      </c>
      <c r="E4873" s="576">
        <v>86474</v>
      </c>
      <c r="F4873" s="576">
        <v>269474</v>
      </c>
      <c r="G4873" s="576">
        <v>9608</v>
      </c>
      <c r="H4873" s="576">
        <v>14437</v>
      </c>
    </row>
    <row r="4874" spans="1:8">
      <c r="A4874" s="575" t="s">
        <v>645</v>
      </c>
      <c r="B4874" s="575">
        <v>183000</v>
      </c>
      <c r="C4874" s="576">
        <v>24</v>
      </c>
      <c r="D4874" s="576">
        <v>0.315</v>
      </c>
      <c r="E4874" s="576">
        <v>115291</v>
      </c>
      <c r="F4874" s="576">
        <v>298291</v>
      </c>
      <c r="G4874" s="576">
        <v>12811</v>
      </c>
      <c r="H4874" s="576">
        <v>11895</v>
      </c>
    </row>
    <row r="4875" spans="1:8">
      <c r="A4875" s="575" t="s">
        <v>645</v>
      </c>
      <c r="B4875" s="575">
        <v>184000</v>
      </c>
      <c r="C4875" s="576">
        <v>12</v>
      </c>
      <c r="D4875" s="576">
        <v>0.315</v>
      </c>
      <c r="E4875" s="576">
        <v>57965</v>
      </c>
      <c r="F4875" s="576">
        <v>241965</v>
      </c>
      <c r="G4875" s="576">
        <v>6441</v>
      </c>
      <c r="H4875" s="576">
        <v>19627</v>
      </c>
    </row>
    <row r="4876" spans="1:8">
      <c r="A4876" s="575" t="s">
        <v>645</v>
      </c>
      <c r="B4876" s="575">
        <v>184000</v>
      </c>
      <c r="C4876" s="576">
        <v>18</v>
      </c>
      <c r="D4876" s="576">
        <v>0.315</v>
      </c>
      <c r="E4876" s="576">
        <v>86949</v>
      </c>
      <c r="F4876" s="576">
        <v>270949</v>
      </c>
      <c r="G4876" s="576">
        <v>9661</v>
      </c>
      <c r="H4876" s="576">
        <v>14516</v>
      </c>
    </row>
    <row r="4877" spans="1:8">
      <c r="A4877" s="575" t="s">
        <v>645</v>
      </c>
      <c r="B4877" s="575">
        <v>184000</v>
      </c>
      <c r="C4877" s="576">
        <v>24</v>
      </c>
      <c r="D4877" s="576">
        <v>0.315</v>
      </c>
      <c r="E4877" s="576">
        <v>115921</v>
      </c>
      <c r="F4877" s="576">
        <v>299921</v>
      </c>
      <c r="G4877" s="576">
        <v>12881</v>
      </c>
      <c r="H4877" s="576">
        <v>11960</v>
      </c>
    </row>
    <row r="4878" spans="1:8">
      <c r="A4878" s="575" t="s">
        <v>645</v>
      </c>
      <c r="B4878" s="575">
        <v>185000</v>
      </c>
      <c r="C4878" s="576">
        <v>12</v>
      </c>
      <c r="D4878" s="576">
        <v>0.315</v>
      </c>
      <c r="E4878" s="576">
        <v>58284</v>
      </c>
      <c r="F4878" s="576">
        <v>243284</v>
      </c>
      <c r="G4878" s="576">
        <v>6476</v>
      </c>
      <c r="H4878" s="576">
        <v>19734</v>
      </c>
    </row>
    <row r="4879" spans="1:8">
      <c r="A4879" s="575" t="s">
        <v>645</v>
      </c>
      <c r="B4879" s="575">
        <v>185000</v>
      </c>
      <c r="C4879" s="576">
        <v>18</v>
      </c>
      <c r="D4879" s="576">
        <v>0.315</v>
      </c>
      <c r="E4879" s="576">
        <v>87423</v>
      </c>
      <c r="F4879" s="576">
        <v>272423</v>
      </c>
      <c r="G4879" s="576">
        <v>9713</v>
      </c>
      <c r="H4879" s="576">
        <v>14595</v>
      </c>
    </row>
    <row r="4880" spans="1:8">
      <c r="A4880" s="575" t="s">
        <v>645</v>
      </c>
      <c r="B4880" s="575">
        <v>185000</v>
      </c>
      <c r="C4880" s="576">
        <v>24</v>
      </c>
      <c r="D4880" s="576">
        <v>0.315</v>
      </c>
      <c r="E4880" s="576">
        <v>116551</v>
      </c>
      <c r="F4880" s="576">
        <v>301551</v>
      </c>
      <c r="G4880" s="576">
        <v>12951</v>
      </c>
      <c r="H4880" s="576">
        <v>12025</v>
      </c>
    </row>
    <row r="4881" spans="1:8">
      <c r="A4881" s="575" t="s">
        <v>645</v>
      </c>
      <c r="B4881" s="575">
        <v>186000</v>
      </c>
      <c r="C4881" s="576">
        <v>12</v>
      </c>
      <c r="D4881" s="576">
        <v>0.315</v>
      </c>
      <c r="E4881" s="576">
        <v>58591</v>
      </c>
      <c r="F4881" s="576">
        <v>244591</v>
      </c>
      <c r="G4881" s="576">
        <v>6511</v>
      </c>
      <c r="H4881" s="576">
        <v>19840</v>
      </c>
    </row>
    <row r="4882" spans="1:8">
      <c r="A4882" s="575" t="s">
        <v>645</v>
      </c>
      <c r="B4882" s="575">
        <v>186000</v>
      </c>
      <c r="C4882" s="576">
        <v>18</v>
      </c>
      <c r="D4882" s="576">
        <v>0.315</v>
      </c>
      <c r="E4882" s="576">
        <v>87898</v>
      </c>
      <c r="F4882" s="576">
        <v>273898</v>
      </c>
      <c r="G4882" s="576">
        <v>9766</v>
      </c>
      <c r="H4882" s="576">
        <v>14674</v>
      </c>
    </row>
    <row r="4883" spans="1:8">
      <c r="A4883" s="575" t="s">
        <v>645</v>
      </c>
      <c r="B4883" s="575">
        <v>186000</v>
      </c>
      <c r="C4883" s="576">
        <v>24</v>
      </c>
      <c r="D4883" s="576">
        <v>0.315</v>
      </c>
      <c r="E4883" s="576">
        <v>117181</v>
      </c>
      <c r="F4883" s="576">
        <v>303181</v>
      </c>
      <c r="G4883" s="576">
        <v>13021</v>
      </c>
      <c r="H4883" s="576">
        <v>12090</v>
      </c>
    </row>
    <row r="4884" spans="1:8">
      <c r="A4884" s="575" t="s">
        <v>645</v>
      </c>
      <c r="B4884" s="575">
        <v>187000</v>
      </c>
      <c r="C4884" s="576">
        <v>12</v>
      </c>
      <c r="D4884" s="576">
        <v>0.315</v>
      </c>
      <c r="E4884" s="576">
        <v>58910</v>
      </c>
      <c r="F4884" s="576">
        <v>245910</v>
      </c>
      <c r="G4884" s="576">
        <v>6546</v>
      </c>
      <c r="H4884" s="576">
        <v>19947</v>
      </c>
    </row>
    <row r="4885" spans="1:8">
      <c r="A4885" s="575" t="s">
        <v>645</v>
      </c>
      <c r="B4885" s="575">
        <v>187000</v>
      </c>
      <c r="C4885" s="576">
        <v>18</v>
      </c>
      <c r="D4885" s="576">
        <v>0.315</v>
      </c>
      <c r="E4885" s="576">
        <v>88372</v>
      </c>
      <c r="F4885" s="576">
        <v>275372</v>
      </c>
      <c r="G4885" s="576">
        <v>9818</v>
      </c>
      <c r="H4885" s="576">
        <v>14753</v>
      </c>
    </row>
    <row r="4886" spans="1:8">
      <c r="A4886" s="575" t="s">
        <v>645</v>
      </c>
      <c r="B4886" s="575">
        <v>187000</v>
      </c>
      <c r="C4886" s="576">
        <v>24</v>
      </c>
      <c r="D4886" s="576">
        <v>0.315</v>
      </c>
      <c r="E4886" s="576">
        <v>117811</v>
      </c>
      <c r="F4886" s="576">
        <v>304811</v>
      </c>
      <c r="G4886" s="576">
        <v>13091</v>
      </c>
      <c r="H4886" s="576">
        <v>12155</v>
      </c>
    </row>
    <row r="4887" spans="1:8">
      <c r="A4887" s="575" t="s">
        <v>645</v>
      </c>
      <c r="B4887" s="575">
        <v>188000</v>
      </c>
      <c r="C4887" s="576">
        <v>12</v>
      </c>
      <c r="D4887" s="576">
        <v>0.315</v>
      </c>
      <c r="E4887" s="576">
        <v>59229</v>
      </c>
      <c r="F4887" s="576">
        <v>247229</v>
      </c>
      <c r="G4887" s="576">
        <v>6581</v>
      </c>
      <c r="H4887" s="576">
        <v>20054</v>
      </c>
    </row>
    <row r="4888" spans="1:8">
      <c r="A4888" s="575" t="s">
        <v>645</v>
      </c>
      <c r="B4888" s="575">
        <v>188000</v>
      </c>
      <c r="C4888" s="576">
        <v>18</v>
      </c>
      <c r="D4888" s="576">
        <v>0.315</v>
      </c>
      <c r="E4888" s="576">
        <v>88847</v>
      </c>
      <c r="F4888" s="576">
        <v>276847</v>
      </c>
      <c r="G4888" s="576">
        <v>9871</v>
      </c>
      <c r="H4888" s="576">
        <v>14832</v>
      </c>
    </row>
    <row r="4889" spans="1:8">
      <c r="A4889" s="575" t="s">
        <v>645</v>
      </c>
      <c r="B4889" s="575">
        <v>188000</v>
      </c>
      <c r="C4889" s="576">
        <v>24</v>
      </c>
      <c r="D4889" s="576">
        <v>0.315</v>
      </c>
      <c r="E4889" s="576">
        <v>118441</v>
      </c>
      <c r="F4889" s="576">
        <v>306441</v>
      </c>
      <c r="G4889" s="576">
        <v>13161</v>
      </c>
      <c r="H4889" s="576">
        <v>12220</v>
      </c>
    </row>
    <row r="4890" spans="1:8">
      <c r="A4890" s="575" t="s">
        <v>645</v>
      </c>
      <c r="B4890" s="575">
        <v>189000</v>
      </c>
      <c r="C4890" s="576">
        <v>12</v>
      </c>
      <c r="D4890" s="576">
        <v>0.315</v>
      </c>
      <c r="E4890" s="576">
        <v>59536</v>
      </c>
      <c r="F4890" s="576">
        <v>248536</v>
      </c>
      <c r="G4890" s="576">
        <v>6616</v>
      </c>
      <c r="H4890" s="576">
        <v>20160</v>
      </c>
    </row>
    <row r="4891" spans="1:8">
      <c r="A4891" s="575" t="s">
        <v>645</v>
      </c>
      <c r="B4891" s="575">
        <v>189000</v>
      </c>
      <c r="C4891" s="576">
        <v>18</v>
      </c>
      <c r="D4891" s="576">
        <v>0.315</v>
      </c>
      <c r="E4891" s="576">
        <v>89303</v>
      </c>
      <c r="F4891" s="576">
        <v>278303</v>
      </c>
      <c r="G4891" s="576">
        <v>9923</v>
      </c>
      <c r="H4891" s="576">
        <v>14910</v>
      </c>
    </row>
    <row r="4892" spans="1:8">
      <c r="A4892" s="575" t="s">
        <v>645</v>
      </c>
      <c r="B4892" s="575">
        <v>189000</v>
      </c>
      <c r="C4892" s="576">
        <v>24</v>
      </c>
      <c r="D4892" s="576">
        <v>0.315</v>
      </c>
      <c r="E4892" s="576">
        <v>119071</v>
      </c>
      <c r="F4892" s="576">
        <v>308071</v>
      </c>
      <c r="G4892" s="576">
        <v>13231</v>
      </c>
      <c r="H4892" s="576">
        <v>12285</v>
      </c>
    </row>
    <row r="4893" spans="1:8">
      <c r="A4893" s="575" t="s">
        <v>645</v>
      </c>
      <c r="B4893" s="575">
        <v>190000</v>
      </c>
      <c r="C4893" s="576">
        <v>12</v>
      </c>
      <c r="D4893" s="576">
        <v>0.315</v>
      </c>
      <c r="E4893" s="576">
        <v>59855</v>
      </c>
      <c r="F4893" s="576">
        <v>249855</v>
      </c>
      <c r="G4893" s="576">
        <v>6651</v>
      </c>
      <c r="H4893" s="576">
        <v>20267</v>
      </c>
    </row>
    <row r="4894" spans="1:8">
      <c r="A4894" s="575" t="s">
        <v>645</v>
      </c>
      <c r="B4894" s="575">
        <v>190000</v>
      </c>
      <c r="C4894" s="576">
        <v>18</v>
      </c>
      <c r="D4894" s="576">
        <v>0.315</v>
      </c>
      <c r="E4894" s="576">
        <v>89778</v>
      </c>
      <c r="F4894" s="576">
        <v>279778</v>
      </c>
      <c r="G4894" s="576">
        <v>9976</v>
      </c>
      <c r="H4894" s="576">
        <v>14989</v>
      </c>
    </row>
    <row r="4895" spans="1:8">
      <c r="A4895" s="575" t="s">
        <v>645</v>
      </c>
      <c r="B4895" s="575">
        <v>190000</v>
      </c>
      <c r="C4895" s="576">
        <v>24</v>
      </c>
      <c r="D4895" s="576">
        <v>0.315</v>
      </c>
      <c r="E4895" s="576">
        <v>119701</v>
      </c>
      <c r="F4895" s="576">
        <v>309701</v>
      </c>
      <c r="G4895" s="576">
        <v>13301</v>
      </c>
      <c r="H4895" s="576">
        <v>12350</v>
      </c>
    </row>
    <row r="4896" spans="1:8">
      <c r="A4896" s="575" t="s">
        <v>645</v>
      </c>
      <c r="B4896" s="575">
        <v>191000</v>
      </c>
      <c r="C4896" s="576">
        <v>12</v>
      </c>
      <c r="D4896" s="576">
        <v>0.315</v>
      </c>
      <c r="E4896" s="576">
        <v>60174</v>
      </c>
      <c r="F4896" s="576">
        <v>251174</v>
      </c>
      <c r="G4896" s="576">
        <v>6686</v>
      </c>
      <c r="H4896" s="576">
        <v>20374</v>
      </c>
    </row>
    <row r="4897" spans="1:8">
      <c r="A4897" s="575" t="s">
        <v>645</v>
      </c>
      <c r="B4897" s="575">
        <v>191000</v>
      </c>
      <c r="C4897" s="576">
        <v>18</v>
      </c>
      <c r="D4897" s="576">
        <v>0.315</v>
      </c>
      <c r="E4897" s="576">
        <v>90252</v>
      </c>
      <c r="F4897" s="576">
        <v>281252</v>
      </c>
      <c r="G4897" s="576">
        <v>10028</v>
      </c>
      <c r="H4897" s="576">
        <v>15068</v>
      </c>
    </row>
    <row r="4898" spans="1:8">
      <c r="A4898" s="575" t="s">
        <v>645</v>
      </c>
      <c r="B4898" s="575">
        <v>191000</v>
      </c>
      <c r="C4898" s="576">
        <v>24</v>
      </c>
      <c r="D4898" s="576">
        <v>0.315</v>
      </c>
      <c r="E4898" s="576">
        <v>120331</v>
      </c>
      <c r="F4898" s="576">
        <v>311331</v>
      </c>
      <c r="G4898" s="576">
        <v>13371</v>
      </c>
      <c r="H4898" s="576">
        <v>12415</v>
      </c>
    </row>
    <row r="4899" spans="1:8">
      <c r="A4899" s="575" t="s">
        <v>645</v>
      </c>
      <c r="B4899" s="575">
        <v>192000</v>
      </c>
      <c r="C4899" s="576">
        <v>12</v>
      </c>
      <c r="D4899" s="576">
        <v>0.315</v>
      </c>
      <c r="E4899" s="576">
        <v>60481</v>
      </c>
      <c r="F4899" s="576">
        <v>252481</v>
      </c>
      <c r="G4899" s="576">
        <v>6721</v>
      </c>
      <c r="H4899" s="576">
        <v>20480</v>
      </c>
    </row>
    <row r="4900" spans="1:8">
      <c r="A4900" s="575" t="s">
        <v>645</v>
      </c>
      <c r="B4900" s="575">
        <v>192000</v>
      </c>
      <c r="C4900" s="576">
        <v>18</v>
      </c>
      <c r="D4900" s="576">
        <v>0.315</v>
      </c>
      <c r="E4900" s="576">
        <v>90727</v>
      </c>
      <c r="F4900" s="576">
        <v>282727</v>
      </c>
      <c r="G4900" s="576">
        <v>10081</v>
      </c>
      <c r="H4900" s="576">
        <v>15147</v>
      </c>
    </row>
    <row r="4901" spans="1:8">
      <c r="A4901" s="575" t="s">
        <v>645</v>
      </c>
      <c r="B4901" s="575">
        <v>192000</v>
      </c>
      <c r="C4901" s="576">
        <v>24</v>
      </c>
      <c r="D4901" s="576">
        <v>0.315</v>
      </c>
      <c r="E4901" s="576">
        <v>120961</v>
      </c>
      <c r="F4901" s="576">
        <v>312961</v>
      </c>
      <c r="G4901" s="576">
        <v>13441</v>
      </c>
      <c r="H4901" s="576">
        <v>12480</v>
      </c>
    </row>
    <row r="4902" spans="1:8">
      <c r="A4902" s="575" t="s">
        <v>645</v>
      </c>
      <c r="B4902" s="575">
        <v>193000</v>
      </c>
      <c r="C4902" s="576">
        <v>12</v>
      </c>
      <c r="D4902" s="576">
        <v>0.315</v>
      </c>
      <c r="E4902" s="576">
        <v>60800</v>
      </c>
      <c r="F4902" s="576">
        <v>253800</v>
      </c>
      <c r="G4902" s="576">
        <v>6756</v>
      </c>
      <c r="H4902" s="576">
        <v>20587</v>
      </c>
    </row>
    <row r="4903" spans="1:8">
      <c r="A4903" s="575" t="s">
        <v>645</v>
      </c>
      <c r="B4903" s="575">
        <v>193000</v>
      </c>
      <c r="C4903" s="576">
        <v>18</v>
      </c>
      <c r="D4903" s="576">
        <v>0.315</v>
      </c>
      <c r="E4903" s="576">
        <v>91201</v>
      </c>
      <c r="F4903" s="576">
        <v>284201</v>
      </c>
      <c r="G4903" s="576">
        <v>10133</v>
      </c>
      <c r="H4903" s="576">
        <v>15226</v>
      </c>
    </row>
    <row r="4904" spans="1:8">
      <c r="A4904" s="575" t="s">
        <v>645</v>
      </c>
      <c r="B4904" s="575">
        <v>193000</v>
      </c>
      <c r="C4904" s="576">
        <v>24</v>
      </c>
      <c r="D4904" s="576">
        <v>0.315</v>
      </c>
      <c r="E4904" s="576">
        <v>121591</v>
      </c>
      <c r="F4904" s="576">
        <v>314591</v>
      </c>
      <c r="G4904" s="576">
        <v>13511</v>
      </c>
      <c r="H4904" s="576">
        <v>12545</v>
      </c>
    </row>
    <row r="4905" spans="1:8">
      <c r="A4905" s="575" t="s">
        <v>645</v>
      </c>
      <c r="B4905" s="575">
        <v>194000</v>
      </c>
      <c r="C4905" s="576">
        <v>12</v>
      </c>
      <c r="D4905" s="576">
        <v>0.315</v>
      </c>
      <c r="E4905" s="576">
        <v>61119</v>
      </c>
      <c r="F4905" s="576">
        <v>255119</v>
      </c>
      <c r="G4905" s="576">
        <v>6791</v>
      </c>
      <c r="H4905" s="576">
        <v>20694</v>
      </c>
    </row>
    <row r="4906" spans="1:8">
      <c r="A4906" s="575" t="s">
        <v>645</v>
      </c>
      <c r="B4906" s="575">
        <v>194000</v>
      </c>
      <c r="C4906" s="576">
        <v>18</v>
      </c>
      <c r="D4906" s="576">
        <v>0.315</v>
      </c>
      <c r="E4906" s="576">
        <v>91676</v>
      </c>
      <c r="F4906" s="576">
        <v>285676</v>
      </c>
      <c r="G4906" s="576">
        <v>10186</v>
      </c>
      <c r="H4906" s="576">
        <v>15305</v>
      </c>
    </row>
    <row r="4907" spans="1:8">
      <c r="A4907" s="575" t="s">
        <v>645</v>
      </c>
      <c r="B4907" s="575">
        <v>194000</v>
      </c>
      <c r="C4907" s="576">
        <v>24</v>
      </c>
      <c r="D4907" s="576">
        <v>0.315</v>
      </c>
      <c r="E4907" s="576">
        <v>122221</v>
      </c>
      <c r="F4907" s="576">
        <v>316221</v>
      </c>
      <c r="G4907" s="576">
        <v>13581</v>
      </c>
      <c r="H4907" s="576">
        <v>12610</v>
      </c>
    </row>
    <row r="4908" spans="1:8">
      <c r="A4908" s="575" t="s">
        <v>645</v>
      </c>
      <c r="B4908" s="575">
        <v>195000</v>
      </c>
      <c r="C4908" s="576">
        <v>12</v>
      </c>
      <c r="D4908" s="576">
        <v>0.315</v>
      </c>
      <c r="E4908" s="576">
        <v>61426</v>
      </c>
      <c r="F4908" s="576">
        <v>256426</v>
      </c>
      <c r="G4908" s="576">
        <v>6826</v>
      </c>
      <c r="H4908" s="576">
        <v>20800</v>
      </c>
    </row>
    <row r="4909" spans="1:8">
      <c r="A4909" s="575" t="s">
        <v>645</v>
      </c>
      <c r="B4909" s="575">
        <v>195000</v>
      </c>
      <c r="C4909" s="576">
        <v>18</v>
      </c>
      <c r="D4909" s="576">
        <v>0.315</v>
      </c>
      <c r="E4909" s="576">
        <v>92150</v>
      </c>
      <c r="F4909" s="576">
        <v>287150</v>
      </c>
      <c r="G4909" s="576">
        <v>10238</v>
      </c>
      <c r="H4909" s="576">
        <v>15384</v>
      </c>
    </row>
    <row r="4910" spans="1:8">
      <c r="A4910" s="575" t="s">
        <v>645</v>
      </c>
      <c r="B4910" s="575">
        <v>195000</v>
      </c>
      <c r="C4910" s="576">
        <v>24</v>
      </c>
      <c r="D4910" s="576">
        <v>0.315</v>
      </c>
      <c r="E4910" s="576">
        <v>122851</v>
      </c>
      <c r="F4910" s="576">
        <v>317851</v>
      </c>
      <c r="G4910" s="576">
        <v>13651</v>
      </c>
      <c r="H4910" s="576">
        <v>12675</v>
      </c>
    </row>
    <row r="4911" spans="1:8">
      <c r="A4911" s="575" t="s">
        <v>645</v>
      </c>
      <c r="B4911" s="575">
        <v>196000</v>
      </c>
      <c r="C4911" s="576">
        <v>12</v>
      </c>
      <c r="D4911" s="576">
        <v>0.315</v>
      </c>
      <c r="E4911" s="576">
        <v>61745</v>
      </c>
      <c r="F4911" s="576">
        <v>257745</v>
      </c>
      <c r="G4911" s="576">
        <v>6861</v>
      </c>
      <c r="H4911" s="576">
        <v>20907</v>
      </c>
    </row>
    <row r="4912" spans="1:8">
      <c r="A4912" s="575" t="s">
        <v>645</v>
      </c>
      <c r="B4912" s="575">
        <v>196000</v>
      </c>
      <c r="C4912" s="576">
        <v>18</v>
      </c>
      <c r="D4912" s="576">
        <v>0.315</v>
      </c>
      <c r="E4912" s="576">
        <v>92625</v>
      </c>
      <c r="F4912" s="576">
        <v>288625</v>
      </c>
      <c r="G4912" s="576">
        <v>10291</v>
      </c>
      <c r="H4912" s="576">
        <v>15463</v>
      </c>
    </row>
    <row r="4913" spans="1:8">
      <c r="A4913" s="575" t="s">
        <v>645</v>
      </c>
      <c r="B4913" s="575">
        <v>196000</v>
      </c>
      <c r="C4913" s="576">
        <v>24</v>
      </c>
      <c r="D4913" s="576">
        <v>0.315</v>
      </c>
      <c r="E4913" s="576">
        <v>123481</v>
      </c>
      <c r="F4913" s="576">
        <v>319481</v>
      </c>
      <c r="G4913" s="576">
        <v>13721</v>
      </c>
      <c r="H4913" s="576">
        <v>12740</v>
      </c>
    </row>
    <row r="4914" spans="1:8">
      <c r="A4914" s="575" t="s">
        <v>645</v>
      </c>
      <c r="B4914" s="575">
        <v>197000</v>
      </c>
      <c r="C4914" s="576">
        <v>12</v>
      </c>
      <c r="D4914" s="576">
        <v>0.315</v>
      </c>
      <c r="E4914" s="576">
        <v>62064</v>
      </c>
      <c r="F4914" s="576">
        <v>259064</v>
      </c>
      <c r="G4914" s="576">
        <v>6896</v>
      </c>
      <c r="H4914" s="576">
        <v>21014</v>
      </c>
    </row>
    <row r="4915" spans="1:8">
      <c r="A4915" s="575" t="s">
        <v>645</v>
      </c>
      <c r="B4915" s="575">
        <v>197000</v>
      </c>
      <c r="C4915" s="576">
        <v>18</v>
      </c>
      <c r="D4915" s="576">
        <v>0.315</v>
      </c>
      <c r="E4915" s="576">
        <v>93099</v>
      </c>
      <c r="F4915" s="576">
        <v>290099</v>
      </c>
      <c r="G4915" s="576">
        <v>10343</v>
      </c>
      <c r="H4915" s="576">
        <v>15542</v>
      </c>
    </row>
    <row r="4916" spans="1:8">
      <c r="A4916" s="575" t="s">
        <v>645</v>
      </c>
      <c r="B4916" s="575">
        <v>197000</v>
      </c>
      <c r="C4916" s="576">
        <v>24</v>
      </c>
      <c r="D4916" s="576">
        <v>0.315</v>
      </c>
      <c r="E4916" s="576">
        <v>124111</v>
      </c>
      <c r="F4916" s="576">
        <v>321111</v>
      </c>
      <c r="G4916" s="576">
        <v>13791</v>
      </c>
      <c r="H4916" s="576">
        <v>12805</v>
      </c>
    </row>
    <row r="4917" spans="1:8">
      <c r="A4917" s="575" t="s">
        <v>645</v>
      </c>
      <c r="B4917" s="575">
        <v>198000</v>
      </c>
      <c r="C4917" s="576">
        <v>12</v>
      </c>
      <c r="D4917" s="576">
        <v>0.315</v>
      </c>
      <c r="E4917" s="576">
        <v>62371</v>
      </c>
      <c r="F4917" s="576">
        <v>260371</v>
      </c>
      <c r="G4917" s="576">
        <v>6931</v>
      </c>
      <c r="H4917" s="576">
        <v>21120</v>
      </c>
    </row>
    <row r="4918" spans="1:8">
      <c r="A4918" s="575" t="s">
        <v>645</v>
      </c>
      <c r="B4918" s="575">
        <v>198000</v>
      </c>
      <c r="C4918" s="576">
        <v>18</v>
      </c>
      <c r="D4918" s="576">
        <v>0.315</v>
      </c>
      <c r="E4918" s="576">
        <v>93556</v>
      </c>
      <c r="F4918" s="576">
        <v>291556</v>
      </c>
      <c r="G4918" s="576">
        <v>10396</v>
      </c>
      <c r="H4918" s="576">
        <v>15620</v>
      </c>
    </row>
    <row r="4919" spans="1:8">
      <c r="A4919" s="575" t="s">
        <v>645</v>
      </c>
      <c r="B4919" s="575">
        <v>198000</v>
      </c>
      <c r="C4919" s="576">
        <v>24</v>
      </c>
      <c r="D4919" s="576">
        <v>0.315</v>
      </c>
      <c r="E4919" s="576">
        <v>124741</v>
      </c>
      <c r="F4919" s="576">
        <v>322741</v>
      </c>
      <c r="G4919" s="576">
        <v>13861</v>
      </c>
      <c r="H4919" s="576">
        <v>12870</v>
      </c>
    </row>
    <row r="4920" spans="1:8">
      <c r="A4920" s="575" t="s">
        <v>645</v>
      </c>
      <c r="B4920" s="575">
        <v>199000</v>
      </c>
      <c r="C4920" s="576">
        <v>12</v>
      </c>
      <c r="D4920" s="576">
        <v>0.315</v>
      </c>
      <c r="E4920" s="576">
        <v>62690</v>
      </c>
      <c r="F4920" s="576">
        <v>261690</v>
      </c>
      <c r="G4920" s="576">
        <v>6966</v>
      </c>
      <c r="H4920" s="576">
        <v>21227</v>
      </c>
    </row>
    <row r="4921" spans="1:8">
      <c r="A4921" s="575" t="s">
        <v>645</v>
      </c>
      <c r="B4921" s="575">
        <v>199000</v>
      </c>
      <c r="C4921" s="576">
        <v>18</v>
      </c>
      <c r="D4921" s="576">
        <v>0.315</v>
      </c>
      <c r="E4921" s="576">
        <v>94030</v>
      </c>
      <c r="F4921" s="576">
        <v>293030</v>
      </c>
      <c r="G4921" s="576">
        <v>10448</v>
      </c>
      <c r="H4921" s="576">
        <v>15699</v>
      </c>
    </row>
    <row r="4922" spans="1:8">
      <c r="A4922" s="575" t="s">
        <v>645</v>
      </c>
      <c r="B4922" s="575">
        <v>199000</v>
      </c>
      <c r="C4922" s="576">
        <v>24</v>
      </c>
      <c r="D4922" s="576">
        <v>0.315</v>
      </c>
      <c r="E4922" s="576">
        <v>125371</v>
      </c>
      <c r="F4922" s="576">
        <v>324371</v>
      </c>
      <c r="G4922" s="576">
        <v>13931</v>
      </c>
      <c r="H4922" s="576">
        <v>12935</v>
      </c>
    </row>
    <row r="4923" spans="1:8">
      <c r="A4923" s="575" t="s">
        <v>645</v>
      </c>
      <c r="B4923" s="575">
        <v>200000</v>
      </c>
      <c r="C4923" s="576">
        <v>12</v>
      </c>
      <c r="D4923" s="576">
        <v>0.315</v>
      </c>
      <c r="E4923" s="576">
        <v>63009</v>
      </c>
      <c r="F4923" s="576">
        <v>263009</v>
      </c>
      <c r="G4923" s="576">
        <v>7001</v>
      </c>
      <c r="H4923" s="576">
        <v>21334</v>
      </c>
    </row>
    <row r="4924" spans="1:8">
      <c r="A4924" s="575" t="s">
        <v>645</v>
      </c>
      <c r="B4924" s="575">
        <v>200000</v>
      </c>
      <c r="C4924" s="576">
        <v>18</v>
      </c>
      <c r="D4924" s="576">
        <v>0.315</v>
      </c>
      <c r="E4924" s="576">
        <v>94505</v>
      </c>
      <c r="F4924" s="576">
        <v>294505</v>
      </c>
      <c r="G4924" s="576">
        <v>10501</v>
      </c>
      <c r="H4924" s="576">
        <v>15778</v>
      </c>
    </row>
    <row r="4925" spans="1:8">
      <c r="A4925" s="575" t="s">
        <v>645</v>
      </c>
      <c r="B4925" s="575">
        <v>200000</v>
      </c>
      <c r="C4925" s="576">
        <v>24</v>
      </c>
      <c r="D4925" s="576">
        <v>0.315</v>
      </c>
      <c r="E4925" s="576">
        <v>126001</v>
      </c>
      <c r="F4925" s="576">
        <v>326001</v>
      </c>
      <c r="G4925" s="576">
        <v>14001</v>
      </c>
      <c r="H4925" s="576">
        <v>13000</v>
      </c>
    </row>
    <row r="4926" spans="1:8">
      <c r="A4926" s="575" t="s">
        <v>645</v>
      </c>
      <c r="B4926" s="575">
        <v>201000</v>
      </c>
      <c r="C4926" s="576">
        <v>12</v>
      </c>
      <c r="D4926" s="576">
        <v>0.315</v>
      </c>
      <c r="E4926" s="576">
        <v>63316</v>
      </c>
      <c r="F4926" s="576">
        <v>264316</v>
      </c>
      <c r="G4926" s="576">
        <v>7036</v>
      </c>
      <c r="H4926" s="576">
        <v>21440</v>
      </c>
    </row>
    <row r="4927" spans="1:8">
      <c r="A4927" s="575" t="s">
        <v>645</v>
      </c>
      <c r="B4927" s="575">
        <v>201000</v>
      </c>
      <c r="C4927" s="576">
        <v>18</v>
      </c>
      <c r="D4927" s="576">
        <v>0.315</v>
      </c>
      <c r="E4927" s="576">
        <v>94979</v>
      </c>
      <c r="F4927" s="576">
        <v>295979</v>
      </c>
      <c r="G4927" s="576">
        <v>10553</v>
      </c>
      <c r="H4927" s="576">
        <v>15857</v>
      </c>
    </row>
    <row r="4928" spans="1:8">
      <c r="A4928" s="575" t="s">
        <v>645</v>
      </c>
      <c r="B4928" s="575">
        <v>201000</v>
      </c>
      <c r="C4928" s="576">
        <v>24</v>
      </c>
      <c r="D4928" s="576">
        <v>0.315</v>
      </c>
      <c r="E4928" s="576">
        <v>126631</v>
      </c>
      <c r="F4928" s="576">
        <v>327631</v>
      </c>
      <c r="G4928" s="576">
        <v>14071</v>
      </c>
      <c r="H4928" s="576">
        <v>13065</v>
      </c>
    </row>
    <row r="4929" spans="1:8">
      <c r="A4929" s="575" t="s">
        <v>645</v>
      </c>
      <c r="B4929" s="575">
        <v>202000</v>
      </c>
      <c r="C4929" s="576">
        <v>12</v>
      </c>
      <c r="D4929" s="576">
        <v>0.315</v>
      </c>
      <c r="E4929" s="576">
        <v>63635</v>
      </c>
      <c r="F4929" s="576">
        <v>265635</v>
      </c>
      <c r="G4929" s="576">
        <v>7071</v>
      </c>
      <c r="H4929" s="576">
        <v>21547</v>
      </c>
    </row>
    <row r="4930" spans="1:8">
      <c r="A4930" s="575" t="s">
        <v>645</v>
      </c>
      <c r="B4930" s="575">
        <v>202000</v>
      </c>
      <c r="C4930" s="576">
        <v>18</v>
      </c>
      <c r="D4930" s="576">
        <v>0.315</v>
      </c>
      <c r="E4930" s="576">
        <v>95454</v>
      </c>
      <c r="F4930" s="576">
        <v>297454</v>
      </c>
      <c r="G4930" s="576">
        <v>10606</v>
      </c>
      <c r="H4930" s="576">
        <v>15936</v>
      </c>
    </row>
    <row r="4931" spans="1:8">
      <c r="A4931" s="575" t="s">
        <v>645</v>
      </c>
      <c r="B4931" s="575">
        <v>202000</v>
      </c>
      <c r="C4931" s="576">
        <v>24</v>
      </c>
      <c r="D4931" s="576">
        <v>0.315</v>
      </c>
      <c r="E4931" s="576">
        <v>127261</v>
      </c>
      <c r="F4931" s="576">
        <v>329261</v>
      </c>
      <c r="G4931" s="576">
        <v>14141</v>
      </c>
      <c r="H4931" s="576">
        <v>13130</v>
      </c>
    </row>
    <row r="4932" spans="1:8">
      <c r="A4932" s="575" t="s">
        <v>645</v>
      </c>
      <c r="B4932" s="575">
        <v>203000</v>
      </c>
      <c r="C4932" s="576">
        <v>12</v>
      </c>
      <c r="D4932" s="576">
        <v>0.315</v>
      </c>
      <c r="E4932" s="576">
        <v>63954</v>
      </c>
      <c r="F4932" s="576">
        <v>266954</v>
      </c>
      <c r="G4932" s="576">
        <v>7106</v>
      </c>
      <c r="H4932" s="576">
        <v>21654</v>
      </c>
    </row>
    <row r="4933" spans="1:8">
      <c r="A4933" s="575" t="s">
        <v>645</v>
      </c>
      <c r="B4933" s="575">
        <v>203000</v>
      </c>
      <c r="C4933" s="576">
        <v>18</v>
      </c>
      <c r="D4933" s="576">
        <v>0.315</v>
      </c>
      <c r="E4933" s="576">
        <v>95928</v>
      </c>
      <c r="F4933" s="576">
        <v>298928</v>
      </c>
      <c r="G4933" s="576">
        <v>10658</v>
      </c>
      <c r="H4933" s="576">
        <v>16015</v>
      </c>
    </row>
    <row r="4934" spans="1:8">
      <c r="A4934" s="575" t="s">
        <v>645</v>
      </c>
      <c r="B4934" s="575">
        <v>203000</v>
      </c>
      <c r="C4934" s="576">
        <v>24</v>
      </c>
      <c r="D4934" s="576">
        <v>0.315</v>
      </c>
      <c r="E4934" s="576">
        <v>127891</v>
      </c>
      <c r="F4934" s="576">
        <v>330891</v>
      </c>
      <c r="G4934" s="576">
        <v>14211</v>
      </c>
      <c r="H4934" s="576">
        <v>13195</v>
      </c>
    </row>
    <row r="4935" spans="1:8">
      <c r="A4935" s="575" t="s">
        <v>645</v>
      </c>
      <c r="B4935" s="575">
        <v>204000</v>
      </c>
      <c r="C4935" s="576">
        <v>12</v>
      </c>
      <c r="D4935" s="576">
        <v>0.315</v>
      </c>
      <c r="E4935" s="576">
        <v>64261</v>
      </c>
      <c r="F4935" s="576">
        <v>268261</v>
      </c>
      <c r="G4935" s="576">
        <v>7141</v>
      </c>
      <c r="H4935" s="576">
        <v>21760</v>
      </c>
    </row>
    <row r="4936" spans="1:8">
      <c r="A4936" s="575" t="s">
        <v>645</v>
      </c>
      <c r="B4936" s="575">
        <v>204000</v>
      </c>
      <c r="C4936" s="576">
        <v>18</v>
      </c>
      <c r="D4936" s="576">
        <v>0.315</v>
      </c>
      <c r="E4936" s="576">
        <v>96403</v>
      </c>
      <c r="F4936" s="576">
        <v>300403</v>
      </c>
      <c r="G4936" s="576">
        <v>10711</v>
      </c>
      <c r="H4936" s="576">
        <v>16094</v>
      </c>
    </row>
    <row r="4937" spans="1:8">
      <c r="A4937" s="575" t="s">
        <v>645</v>
      </c>
      <c r="B4937" s="575">
        <v>204000</v>
      </c>
      <c r="C4937" s="576">
        <v>24</v>
      </c>
      <c r="D4937" s="576">
        <v>0.315</v>
      </c>
      <c r="E4937" s="576">
        <v>128521</v>
      </c>
      <c r="F4937" s="576">
        <v>332521</v>
      </c>
      <c r="G4937" s="576">
        <v>14281</v>
      </c>
      <c r="H4937" s="576">
        <v>13260</v>
      </c>
    </row>
    <row r="4938" spans="1:8">
      <c r="A4938" s="575" t="s">
        <v>645</v>
      </c>
      <c r="B4938" s="575">
        <v>205000</v>
      </c>
      <c r="C4938" s="576">
        <v>12</v>
      </c>
      <c r="D4938" s="576">
        <v>0.315</v>
      </c>
      <c r="E4938" s="576">
        <v>64580</v>
      </c>
      <c r="F4938" s="576">
        <v>269580</v>
      </c>
      <c r="G4938" s="576">
        <v>7176</v>
      </c>
      <c r="H4938" s="576">
        <v>21867</v>
      </c>
    </row>
    <row r="4939" spans="1:8">
      <c r="A4939" s="575" t="s">
        <v>645</v>
      </c>
      <c r="B4939" s="575">
        <v>205000</v>
      </c>
      <c r="C4939" s="576">
        <v>18</v>
      </c>
      <c r="D4939" s="576">
        <v>0.315</v>
      </c>
      <c r="E4939" s="576">
        <v>96877</v>
      </c>
      <c r="F4939" s="576">
        <v>301877</v>
      </c>
      <c r="G4939" s="576">
        <v>10763</v>
      </c>
      <c r="H4939" s="576">
        <v>16173</v>
      </c>
    </row>
    <row r="4940" spans="1:8">
      <c r="A4940" s="575" t="s">
        <v>645</v>
      </c>
      <c r="B4940" s="575">
        <v>205000</v>
      </c>
      <c r="C4940" s="576">
        <v>24</v>
      </c>
      <c r="D4940" s="576">
        <v>0.315</v>
      </c>
      <c r="E4940" s="576">
        <v>129151</v>
      </c>
      <c r="F4940" s="576">
        <v>334151</v>
      </c>
      <c r="G4940" s="576">
        <v>14351</v>
      </c>
      <c r="H4940" s="576">
        <v>13325</v>
      </c>
    </row>
    <row r="4941" spans="1:8">
      <c r="A4941" s="575" t="s">
        <v>645</v>
      </c>
      <c r="B4941" s="575">
        <v>206000</v>
      </c>
      <c r="C4941" s="576">
        <v>12</v>
      </c>
      <c r="D4941" s="576">
        <v>0.315</v>
      </c>
      <c r="E4941" s="576">
        <v>64899</v>
      </c>
      <c r="F4941" s="576">
        <v>270899</v>
      </c>
      <c r="G4941" s="576">
        <v>7211</v>
      </c>
      <c r="H4941" s="576">
        <v>21974</v>
      </c>
    </row>
    <row r="4942" spans="1:8">
      <c r="A4942" s="575" t="s">
        <v>645</v>
      </c>
      <c r="B4942" s="575">
        <v>206000</v>
      </c>
      <c r="C4942" s="576">
        <v>18</v>
      </c>
      <c r="D4942" s="576">
        <v>0.315</v>
      </c>
      <c r="E4942" s="576">
        <v>97352</v>
      </c>
      <c r="F4942" s="576">
        <v>303352</v>
      </c>
      <c r="G4942" s="576">
        <v>10816</v>
      </c>
      <c r="H4942" s="576">
        <v>16252</v>
      </c>
    </row>
    <row r="4943" spans="1:8">
      <c r="A4943" s="575" t="s">
        <v>645</v>
      </c>
      <c r="B4943" s="575">
        <v>206000</v>
      </c>
      <c r="C4943" s="576">
        <v>24</v>
      </c>
      <c r="D4943" s="576">
        <v>0.315</v>
      </c>
      <c r="E4943" s="576">
        <v>129781</v>
      </c>
      <c r="F4943" s="576">
        <v>335781</v>
      </c>
      <c r="G4943" s="576">
        <v>14421</v>
      </c>
      <c r="H4943" s="576">
        <v>13390</v>
      </c>
    </row>
    <row r="4944" spans="1:8">
      <c r="A4944" s="575" t="s">
        <v>645</v>
      </c>
      <c r="B4944" s="575">
        <v>207000</v>
      </c>
      <c r="C4944" s="576">
        <v>12</v>
      </c>
      <c r="D4944" s="576">
        <v>0.315</v>
      </c>
      <c r="E4944" s="576">
        <v>65206</v>
      </c>
      <c r="F4944" s="576">
        <v>272206</v>
      </c>
      <c r="G4944" s="576">
        <v>7246</v>
      </c>
      <c r="H4944" s="576">
        <v>22080</v>
      </c>
    </row>
    <row r="4945" spans="1:8">
      <c r="A4945" s="575" t="s">
        <v>645</v>
      </c>
      <c r="B4945" s="575">
        <v>207000</v>
      </c>
      <c r="C4945" s="576">
        <v>18</v>
      </c>
      <c r="D4945" s="576">
        <v>0.315</v>
      </c>
      <c r="E4945" s="576">
        <v>97808</v>
      </c>
      <c r="F4945" s="576">
        <v>304808</v>
      </c>
      <c r="G4945" s="576">
        <v>10868</v>
      </c>
      <c r="H4945" s="576">
        <v>16330</v>
      </c>
    </row>
    <row r="4946" spans="1:8">
      <c r="A4946" s="575" t="s">
        <v>645</v>
      </c>
      <c r="B4946" s="575">
        <v>207000</v>
      </c>
      <c r="C4946" s="576">
        <v>24</v>
      </c>
      <c r="D4946" s="576">
        <v>0.315</v>
      </c>
      <c r="E4946" s="576">
        <v>130411</v>
      </c>
      <c r="F4946" s="576">
        <v>337411</v>
      </c>
      <c r="G4946" s="576">
        <v>14491</v>
      </c>
      <c r="H4946" s="576">
        <v>13455</v>
      </c>
    </row>
    <row r="4947" spans="1:8">
      <c r="A4947" s="575" t="s">
        <v>645</v>
      </c>
      <c r="B4947" s="575">
        <v>208000</v>
      </c>
      <c r="C4947" s="576">
        <v>12</v>
      </c>
      <c r="D4947" s="576">
        <v>0.315</v>
      </c>
      <c r="E4947" s="576">
        <v>65525</v>
      </c>
      <c r="F4947" s="576">
        <v>273525</v>
      </c>
      <c r="G4947" s="576">
        <v>7281</v>
      </c>
      <c r="H4947" s="576">
        <v>22187</v>
      </c>
    </row>
    <row r="4948" spans="1:8">
      <c r="A4948" s="575" t="s">
        <v>645</v>
      </c>
      <c r="B4948" s="575">
        <v>208000</v>
      </c>
      <c r="C4948" s="576">
        <v>18</v>
      </c>
      <c r="D4948" s="576">
        <v>0.315</v>
      </c>
      <c r="E4948" s="576">
        <v>98283</v>
      </c>
      <c r="F4948" s="576">
        <v>306283</v>
      </c>
      <c r="G4948" s="576">
        <v>10921</v>
      </c>
      <c r="H4948" s="576">
        <v>16409</v>
      </c>
    </row>
    <row r="4949" spans="1:8">
      <c r="A4949" s="575" t="s">
        <v>645</v>
      </c>
      <c r="B4949" s="575">
        <v>208000</v>
      </c>
      <c r="C4949" s="576">
        <v>24</v>
      </c>
      <c r="D4949" s="576">
        <v>0.315</v>
      </c>
      <c r="E4949" s="576">
        <v>131041</v>
      </c>
      <c r="F4949" s="576">
        <v>339041</v>
      </c>
      <c r="G4949" s="576">
        <v>14561</v>
      </c>
      <c r="H4949" s="576">
        <v>13520</v>
      </c>
    </row>
    <row r="4950" spans="1:8">
      <c r="A4950" s="575" t="s">
        <v>645</v>
      </c>
      <c r="B4950" s="575">
        <v>209000</v>
      </c>
      <c r="C4950" s="576">
        <v>12</v>
      </c>
      <c r="D4950" s="576">
        <v>0.315</v>
      </c>
      <c r="E4950" s="576">
        <v>65844</v>
      </c>
      <c r="F4950" s="576">
        <v>274844</v>
      </c>
      <c r="G4950" s="576">
        <v>7316</v>
      </c>
      <c r="H4950" s="576">
        <v>22294</v>
      </c>
    </row>
    <row r="4951" spans="1:8">
      <c r="A4951" s="575" t="s">
        <v>645</v>
      </c>
      <c r="B4951" s="575">
        <v>209000</v>
      </c>
      <c r="C4951" s="576">
        <v>18</v>
      </c>
      <c r="D4951" s="576">
        <v>0.315</v>
      </c>
      <c r="E4951" s="576">
        <v>98757</v>
      </c>
      <c r="F4951" s="576">
        <v>307757</v>
      </c>
      <c r="G4951" s="576">
        <v>10973</v>
      </c>
      <c r="H4951" s="576">
        <v>16488</v>
      </c>
    </row>
    <row r="4952" spans="1:8">
      <c r="A4952" s="575" t="s">
        <v>645</v>
      </c>
      <c r="B4952" s="575">
        <v>209000</v>
      </c>
      <c r="C4952" s="576">
        <v>24</v>
      </c>
      <c r="D4952" s="576">
        <v>0.315</v>
      </c>
      <c r="E4952" s="576">
        <v>131671</v>
      </c>
      <c r="F4952" s="576">
        <v>340671</v>
      </c>
      <c r="G4952" s="576">
        <v>14631</v>
      </c>
      <c r="H4952" s="576">
        <v>13585</v>
      </c>
    </row>
    <row r="4953" spans="1:8">
      <c r="A4953" s="575" t="s">
        <v>645</v>
      </c>
      <c r="B4953" s="575">
        <v>210000</v>
      </c>
      <c r="C4953" s="576">
        <v>12</v>
      </c>
      <c r="D4953" s="576">
        <v>0.315</v>
      </c>
      <c r="E4953" s="576">
        <v>66151</v>
      </c>
      <c r="F4953" s="576">
        <v>276151</v>
      </c>
      <c r="G4953" s="576">
        <v>7351</v>
      </c>
      <c r="H4953" s="576">
        <v>22400</v>
      </c>
    </row>
    <row r="4954" spans="1:8">
      <c r="A4954" s="575" t="s">
        <v>645</v>
      </c>
      <c r="B4954" s="575">
        <v>210000</v>
      </c>
      <c r="C4954" s="576">
        <v>18</v>
      </c>
      <c r="D4954" s="576">
        <v>0.315</v>
      </c>
      <c r="E4954" s="576">
        <v>99232</v>
      </c>
      <c r="F4954" s="576">
        <v>309232</v>
      </c>
      <c r="G4954" s="576">
        <v>11026</v>
      </c>
      <c r="H4954" s="576">
        <v>16567</v>
      </c>
    </row>
    <row r="4955" spans="1:8">
      <c r="A4955" s="575" t="s">
        <v>645</v>
      </c>
      <c r="B4955" s="575">
        <v>210000</v>
      </c>
      <c r="C4955" s="576">
        <v>24</v>
      </c>
      <c r="D4955" s="576">
        <v>0.315</v>
      </c>
      <c r="E4955" s="576">
        <v>132301</v>
      </c>
      <c r="F4955" s="576">
        <v>342301</v>
      </c>
      <c r="G4955" s="576">
        <v>14701</v>
      </c>
      <c r="H4955" s="576">
        <v>13650</v>
      </c>
    </row>
    <row r="4956" spans="1:8">
      <c r="A4956" s="575" t="s">
        <v>645</v>
      </c>
      <c r="B4956" s="575">
        <v>211000</v>
      </c>
      <c r="C4956" s="576">
        <v>12</v>
      </c>
      <c r="D4956" s="576">
        <v>0.315</v>
      </c>
      <c r="E4956" s="576">
        <v>66470</v>
      </c>
      <c r="F4956" s="576">
        <v>277470</v>
      </c>
      <c r="G4956" s="576">
        <v>7386</v>
      </c>
      <c r="H4956" s="576">
        <v>22507</v>
      </c>
    </row>
    <row r="4957" spans="1:8">
      <c r="A4957" s="575" t="s">
        <v>645</v>
      </c>
      <c r="B4957" s="575">
        <v>211000</v>
      </c>
      <c r="C4957" s="576">
        <v>18</v>
      </c>
      <c r="D4957" s="576">
        <v>0.315</v>
      </c>
      <c r="E4957" s="576">
        <v>99706</v>
      </c>
      <c r="F4957" s="576">
        <v>310706</v>
      </c>
      <c r="G4957" s="576">
        <v>11078</v>
      </c>
      <c r="H4957" s="576">
        <v>16646</v>
      </c>
    </row>
    <row r="4958" spans="1:8">
      <c r="A4958" s="575" t="s">
        <v>645</v>
      </c>
      <c r="B4958" s="575">
        <v>211000</v>
      </c>
      <c r="C4958" s="576">
        <v>24</v>
      </c>
      <c r="D4958" s="576">
        <v>0.315</v>
      </c>
      <c r="E4958" s="576">
        <v>132931</v>
      </c>
      <c r="F4958" s="576">
        <v>343931</v>
      </c>
      <c r="G4958" s="576">
        <v>14771</v>
      </c>
      <c r="H4958" s="576">
        <v>13715</v>
      </c>
    </row>
    <row r="4959" spans="1:8">
      <c r="A4959" s="575" t="s">
        <v>645</v>
      </c>
      <c r="B4959" s="575">
        <v>212000</v>
      </c>
      <c r="C4959" s="576">
        <v>12</v>
      </c>
      <c r="D4959" s="576">
        <v>0.315</v>
      </c>
      <c r="E4959" s="576">
        <v>66789</v>
      </c>
      <c r="F4959" s="576">
        <v>278789</v>
      </c>
      <c r="G4959" s="576">
        <v>7421</v>
      </c>
      <c r="H4959" s="576">
        <v>22614</v>
      </c>
    </row>
    <row r="4960" spans="1:8">
      <c r="A4960" s="575" t="s">
        <v>645</v>
      </c>
      <c r="B4960" s="575">
        <v>212000</v>
      </c>
      <c r="C4960" s="576">
        <v>18</v>
      </c>
      <c r="D4960" s="576">
        <v>0.315</v>
      </c>
      <c r="E4960" s="576">
        <v>100181</v>
      </c>
      <c r="F4960" s="576">
        <v>312181</v>
      </c>
      <c r="G4960" s="576">
        <v>11131</v>
      </c>
      <c r="H4960" s="576">
        <v>16725</v>
      </c>
    </row>
    <row r="4961" spans="1:8">
      <c r="A4961" s="575" t="s">
        <v>645</v>
      </c>
      <c r="B4961" s="575">
        <v>212000</v>
      </c>
      <c r="C4961" s="576">
        <v>24</v>
      </c>
      <c r="D4961" s="576">
        <v>0.315</v>
      </c>
      <c r="E4961" s="576">
        <v>133561</v>
      </c>
      <c r="F4961" s="576">
        <v>345561</v>
      </c>
      <c r="G4961" s="576">
        <v>14841</v>
      </c>
      <c r="H4961" s="576">
        <v>13780</v>
      </c>
    </row>
    <row r="4962" spans="1:8">
      <c r="A4962" s="575" t="s">
        <v>645</v>
      </c>
      <c r="B4962" s="575">
        <v>213000</v>
      </c>
      <c r="C4962" s="576">
        <v>12</v>
      </c>
      <c r="D4962" s="576">
        <v>0.315</v>
      </c>
      <c r="E4962" s="576">
        <v>67096</v>
      </c>
      <c r="F4962" s="576">
        <v>280096</v>
      </c>
      <c r="G4962" s="576">
        <v>7456</v>
      </c>
      <c r="H4962" s="576">
        <v>22720</v>
      </c>
    </row>
    <row r="4963" spans="1:8">
      <c r="A4963" s="575" t="s">
        <v>645</v>
      </c>
      <c r="B4963" s="575">
        <v>213000</v>
      </c>
      <c r="C4963" s="576">
        <v>18</v>
      </c>
      <c r="D4963" s="576">
        <v>0.315</v>
      </c>
      <c r="E4963" s="576">
        <v>100655</v>
      </c>
      <c r="F4963" s="576">
        <v>313655</v>
      </c>
      <c r="G4963" s="576">
        <v>11183</v>
      </c>
      <c r="H4963" s="576">
        <v>16804</v>
      </c>
    </row>
    <row r="4964" spans="1:8">
      <c r="A4964" s="575" t="s">
        <v>645</v>
      </c>
      <c r="B4964" s="575">
        <v>213000</v>
      </c>
      <c r="C4964" s="576">
        <v>24</v>
      </c>
      <c r="D4964" s="576">
        <v>0.315</v>
      </c>
      <c r="E4964" s="576">
        <v>134191</v>
      </c>
      <c r="F4964" s="576">
        <v>347191</v>
      </c>
      <c r="G4964" s="576">
        <v>14911</v>
      </c>
      <c r="H4964" s="576">
        <v>13845</v>
      </c>
    </row>
    <row r="4965" spans="1:8">
      <c r="A4965" s="575" t="s">
        <v>645</v>
      </c>
      <c r="B4965" s="575">
        <v>214000</v>
      </c>
      <c r="C4965" s="576">
        <v>12</v>
      </c>
      <c r="D4965" s="576">
        <v>0.315</v>
      </c>
      <c r="E4965" s="576">
        <v>67415</v>
      </c>
      <c r="F4965" s="576">
        <v>281415</v>
      </c>
      <c r="G4965" s="576">
        <v>7491</v>
      </c>
      <c r="H4965" s="576">
        <v>22827</v>
      </c>
    </row>
    <row r="4966" spans="1:8">
      <c r="A4966" s="575" t="s">
        <v>645</v>
      </c>
      <c r="B4966" s="575">
        <v>214000</v>
      </c>
      <c r="C4966" s="576">
        <v>18</v>
      </c>
      <c r="D4966" s="576">
        <v>0.315</v>
      </c>
      <c r="E4966" s="576">
        <v>101130</v>
      </c>
      <c r="F4966" s="576">
        <v>315130</v>
      </c>
      <c r="G4966" s="576">
        <v>11236</v>
      </c>
      <c r="H4966" s="576">
        <v>16883</v>
      </c>
    </row>
    <row r="4967" spans="1:8">
      <c r="A4967" s="575" t="s">
        <v>645</v>
      </c>
      <c r="B4967" s="575">
        <v>214000</v>
      </c>
      <c r="C4967" s="576">
        <v>24</v>
      </c>
      <c r="D4967" s="576">
        <v>0.315</v>
      </c>
      <c r="E4967" s="576">
        <v>134821</v>
      </c>
      <c r="F4967" s="576">
        <v>348821</v>
      </c>
      <c r="G4967" s="576">
        <v>14981</v>
      </c>
      <c r="H4967" s="576">
        <v>13910</v>
      </c>
    </row>
    <row r="4968" spans="1:8">
      <c r="A4968" s="575" t="s">
        <v>645</v>
      </c>
      <c r="B4968" s="575">
        <v>215000</v>
      </c>
      <c r="C4968" s="576">
        <v>12</v>
      </c>
      <c r="D4968" s="576">
        <v>0.315</v>
      </c>
      <c r="E4968" s="576">
        <v>67734</v>
      </c>
      <c r="F4968" s="576">
        <v>282734</v>
      </c>
      <c r="G4968" s="576">
        <v>7526</v>
      </c>
      <c r="H4968" s="576">
        <v>22934</v>
      </c>
    </row>
    <row r="4969" spans="1:8">
      <c r="A4969" s="575" t="s">
        <v>645</v>
      </c>
      <c r="B4969" s="575">
        <v>215000</v>
      </c>
      <c r="C4969" s="576">
        <v>18</v>
      </c>
      <c r="D4969" s="576">
        <v>0.315</v>
      </c>
      <c r="E4969" s="576">
        <v>101604</v>
      </c>
      <c r="F4969" s="576">
        <v>316604</v>
      </c>
      <c r="G4969" s="576">
        <v>11288</v>
      </c>
      <c r="H4969" s="576">
        <v>16962</v>
      </c>
    </row>
    <row r="4970" spans="1:8">
      <c r="A4970" s="575" t="s">
        <v>645</v>
      </c>
      <c r="B4970" s="575">
        <v>215000</v>
      </c>
      <c r="C4970" s="576">
        <v>24</v>
      </c>
      <c r="D4970" s="576">
        <v>0.315</v>
      </c>
      <c r="E4970" s="576">
        <v>135451</v>
      </c>
      <c r="F4970" s="576">
        <v>350451</v>
      </c>
      <c r="G4970" s="576">
        <v>15051</v>
      </c>
      <c r="H4970" s="576">
        <v>13975</v>
      </c>
    </row>
    <row r="4971" spans="1:8">
      <c r="A4971" s="575" t="s">
        <v>645</v>
      </c>
      <c r="B4971" s="575">
        <v>216000</v>
      </c>
      <c r="C4971" s="576">
        <v>12</v>
      </c>
      <c r="D4971" s="576">
        <v>0.315</v>
      </c>
      <c r="E4971" s="576">
        <v>68041</v>
      </c>
      <c r="F4971" s="576">
        <v>284041</v>
      </c>
      <c r="G4971" s="576">
        <v>7561</v>
      </c>
      <c r="H4971" s="576">
        <v>23040</v>
      </c>
    </row>
    <row r="4972" spans="1:8">
      <c r="A4972" s="575" t="s">
        <v>645</v>
      </c>
      <c r="B4972" s="575">
        <v>216000</v>
      </c>
      <c r="C4972" s="576">
        <v>18</v>
      </c>
      <c r="D4972" s="576">
        <v>0.315</v>
      </c>
      <c r="E4972" s="576">
        <v>102061</v>
      </c>
      <c r="F4972" s="576">
        <v>318061</v>
      </c>
      <c r="G4972" s="576">
        <v>11341</v>
      </c>
      <c r="H4972" s="576">
        <v>17040</v>
      </c>
    </row>
    <row r="4973" spans="1:8">
      <c r="A4973" s="575" t="s">
        <v>645</v>
      </c>
      <c r="B4973" s="575">
        <v>216000</v>
      </c>
      <c r="C4973" s="576">
        <v>24</v>
      </c>
      <c r="D4973" s="576">
        <v>0.315</v>
      </c>
      <c r="E4973" s="576">
        <v>136081</v>
      </c>
      <c r="F4973" s="576">
        <v>352081</v>
      </c>
      <c r="G4973" s="576">
        <v>15121</v>
      </c>
      <c r="H4973" s="576">
        <v>14040</v>
      </c>
    </row>
    <row r="4974" spans="1:8">
      <c r="A4974" s="575" t="s">
        <v>645</v>
      </c>
      <c r="B4974" s="575">
        <v>217000</v>
      </c>
      <c r="C4974" s="576">
        <v>12</v>
      </c>
      <c r="D4974" s="576">
        <v>0.315</v>
      </c>
      <c r="E4974" s="576">
        <v>68360</v>
      </c>
      <c r="F4974" s="576">
        <v>285360</v>
      </c>
      <c r="G4974" s="576">
        <v>7596</v>
      </c>
      <c r="H4974" s="576">
        <v>23147</v>
      </c>
    </row>
    <row r="4975" spans="1:8">
      <c r="A4975" s="575" t="s">
        <v>645</v>
      </c>
      <c r="B4975" s="575">
        <v>217000</v>
      </c>
      <c r="C4975" s="576">
        <v>18</v>
      </c>
      <c r="D4975" s="576">
        <v>0.315</v>
      </c>
      <c r="E4975" s="576">
        <v>102535</v>
      </c>
      <c r="F4975" s="576">
        <v>319535</v>
      </c>
      <c r="G4975" s="576">
        <v>11393</v>
      </c>
      <c r="H4975" s="576">
        <v>17119</v>
      </c>
    </row>
    <row r="4976" spans="1:8">
      <c r="A4976" s="575" t="s">
        <v>645</v>
      </c>
      <c r="B4976" s="575">
        <v>217000</v>
      </c>
      <c r="C4976" s="576">
        <v>24</v>
      </c>
      <c r="D4976" s="576">
        <v>0.315</v>
      </c>
      <c r="E4976" s="576">
        <v>136711</v>
      </c>
      <c r="F4976" s="576">
        <v>353711</v>
      </c>
      <c r="G4976" s="576">
        <v>15191</v>
      </c>
      <c r="H4976" s="576">
        <v>14105</v>
      </c>
    </row>
    <row r="4977" spans="1:8">
      <c r="A4977" s="575" t="s">
        <v>645</v>
      </c>
      <c r="B4977" s="575">
        <v>218000</v>
      </c>
      <c r="C4977" s="576">
        <v>12</v>
      </c>
      <c r="D4977" s="576">
        <v>0.315</v>
      </c>
      <c r="E4977" s="576">
        <v>68679</v>
      </c>
      <c r="F4977" s="576">
        <v>286679</v>
      </c>
      <c r="G4977" s="576">
        <v>7631</v>
      </c>
      <c r="H4977" s="576">
        <v>23254</v>
      </c>
    </row>
    <row r="4978" spans="1:8">
      <c r="A4978" s="575" t="s">
        <v>645</v>
      </c>
      <c r="B4978" s="575">
        <v>218000</v>
      </c>
      <c r="C4978" s="576">
        <v>18</v>
      </c>
      <c r="D4978" s="576">
        <v>0.315</v>
      </c>
      <c r="E4978" s="576">
        <v>103010</v>
      </c>
      <c r="F4978" s="576">
        <v>321010</v>
      </c>
      <c r="G4978" s="576">
        <v>11446</v>
      </c>
      <c r="H4978" s="576">
        <v>17198</v>
      </c>
    </row>
    <row r="4979" spans="1:8">
      <c r="A4979" s="575" t="s">
        <v>645</v>
      </c>
      <c r="B4979" s="575">
        <v>218000</v>
      </c>
      <c r="C4979" s="576">
        <v>24</v>
      </c>
      <c r="D4979" s="576">
        <v>0.315</v>
      </c>
      <c r="E4979" s="576">
        <v>137341</v>
      </c>
      <c r="F4979" s="576">
        <v>355341</v>
      </c>
      <c r="G4979" s="576">
        <v>15261</v>
      </c>
      <c r="H4979" s="576">
        <v>14170</v>
      </c>
    </row>
    <row r="4980" spans="1:8">
      <c r="A4980" s="575" t="s">
        <v>645</v>
      </c>
      <c r="B4980" s="575">
        <v>219000</v>
      </c>
      <c r="C4980" s="576">
        <v>12</v>
      </c>
      <c r="D4980" s="576">
        <v>0.315</v>
      </c>
      <c r="E4980" s="576">
        <v>68986</v>
      </c>
      <c r="F4980" s="576">
        <v>287986</v>
      </c>
      <c r="G4980" s="576">
        <v>7666</v>
      </c>
      <c r="H4980" s="576">
        <v>23360</v>
      </c>
    </row>
    <row r="4981" spans="1:8">
      <c r="A4981" s="575" t="s">
        <v>645</v>
      </c>
      <c r="B4981" s="575">
        <v>219000</v>
      </c>
      <c r="C4981" s="576">
        <v>18</v>
      </c>
      <c r="D4981" s="576">
        <v>0.315</v>
      </c>
      <c r="E4981" s="576">
        <v>103484</v>
      </c>
      <c r="F4981" s="576">
        <v>322484</v>
      </c>
      <c r="G4981" s="576">
        <v>11498</v>
      </c>
      <c r="H4981" s="576">
        <v>17277</v>
      </c>
    </row>
    <row r="4982" spans="1:8">
      <c r="A4982" s="575" t="s">
        <v>645</v>
      </c>
      <c r="B4982" s="575">
        <v>219000</v>
      </c>
      <c r="C4982" s="576">
        <v>24</v>
      </c>
      <c r="D4982" s="576">
        <v>0.315</v>
      </c>
      <c r="E4982" s="576">
        <v>137971</v>
      </c>
      <c r="F4982" s="576">
        <v>356971</v>
      </c>
      <c r="G4982" s="576">
        <v>15331</v>
      </c>
      <c r="H4982" s="576">
        <v>14235</v>
      </c>
    </row>
    <row r="4983" spans="1:8">
      <c r="A4983" s="575" t="s">
        <v>645</v>
      </c>
      <c r="B4983" s="575">
        <v>220000</v>
      </c>
      <c r="C4983" s="576">
        <v>12</v>
      </c>
      <c r="D4983" s="576">
        <v>0.315</v>
      </c>
      <c r="E4983" s="576">
        <v>69305</v>
      </c>
      <c r="F4983" s="576">
        <v>289305</v>
      </c>
      <c r="G4983" s="576">
        <v>7701</v>
      </c>
      <c r="H4983" s="576">
        <v>23467</v>
      </c>
    </row>
    <row r="4984" spans="1:8">
      <c r="A4984" s="575" t="s">
        <v>645</v>
      </c>
      <c r="B4984" s="575">
        <v>220000</v>
      </c>
      <c r="C4984" s="576">
        <v>18</v>
      </c>
      <c r="D4984" s="576">
        <v>0.315</v>
      </c>
      <c r="E4984" s="576">
        <v>103959</v>
      </c>
      <c r="F4984" s="576">
        <v>323959</v>
      </c>
      <c r="G4984" s="576">
        <v>11551</v>
      </c>
      <c r="H4984" s="576">
        <v>17356</v>
      </c>
    </row>
    <row r="4985" spans="1:8">
      <c r="A4985" s="575" t="s">
        <v>645</v>
      </c>
      <c r="B4985" s="575">
        <v>220000</v>
      </c>
      <c r="C4985" s="576">
        <v>24</v>
      </c>
      <c r="D4985" s="576">
        <v>0.315</v>
      </c>
      <c r="E4985" s="576">
        <v>138601</v>
      </c>
      <c r="F4985" s="576">
        <v>358601</v>
      </c>
      <c r="G4985" s="576">
        <v>15401</v>
      </c>
      <c r="H4985" s="576">
        <v>14300</v>
      </c>
    </row>
    <row r="4986" spans="1:8">
      <c r="A4986" s="575" t="s">
        <v>645</v>
      </c>
      <c r="B4986" s="575">
        <v>221000</v>
      </c>
      <c r="C4986" s="576">
        <v>12</v>
      </c>
      <c r="D4986" s="576">
        <v>0.315</v>
      </c>
      <c r="E4986" s="576">
        <v>69624</v>
      </c>
      <c r="F4986" s="576">
        <v>290624</v>
      </c>
      <c r="G4986" s="576">
        <v>7736</v>
      </c>
      <c r="H4986" s="576">
        <v>23574</v>
      </c>
    </row>
    <row r="4987" spans="1:8">
      <c r="A4987" s="575" t="s">
        <v>645</v>
      </c>
      <c r="B4987" s="575">
        <v>221000</v>
      </c>
      <c r="C4987" s="576">
        <v>18</v>
      </c>
      <c r="D4987" s="576">
        <v>0.315</v>
      </c>
      <c r="E4987" s="576">
        <v>104433</v>
      </c>
      <c r="F4987" s="576">
        <v>325433</v>
      </c>
      <c r="G4987" s="576">
        <v>11603</v>
      </c>
      <c r="H4987" s="576">
        <v>17435</v>
      </c>
    </row>
    <row r="4988" spans="1:8">
      <c r="A4988" s="575" t="s">
        <v>645</v>
      </c>
      <c r="B4988" s="575">
        <v>221000</v>
      </c>
      <c r="C4988" s="576">
        <v>24</v>
      </c>
      <c r="D4988" s="576">
        <v>0.315</v>
      </c>
      <c r="E4988" s="576">
        <v>139231</v>
      </c>
      <c r="F4988" s="576">
        <v>360231</v>
      </c>
      <c r="G4988" s="576">
        <v>15471</v>
      </c>
      <c r="H4988" s="576">
        <v>14365</v>
      </c>
    </row>
    <row r="4989" spans="1:8">
      <c r="A4989" s="575" t="s">
        <v>645</v>
      </c>
      <c r="B4989" s="575">
        <v>222000</v>
      </c>
      <c r="C4989" s="576">
        <v>12</v>
      </c>
      <c r="D4989" s="576">
        <v>0.315</v>
      </c>
      <c r="E4989" s="576">
        <v>69931</v>
      </c>
      <c r="F4989" s="576">
        <v>291931</v>
      </c>
      <c r="G4989" s="576">
        <v>7771</v>
      </c>
      <c r="H4989" s="576">
        <v>23680</v>
      </c>
    </row>
    <row r="4990" spans="1:8">
      <c r="A4990" s="575" t="s">
        <v>645</v>
      </c>
      <c r="B4990" s="575">
        <v>222000</v>
      </c>
      <c r="C4990" s="576">
        <v>18</v>
      </c>
      <c r="D4990" s="576">
        <v>0.315</v>
      </c>
      <c r="E4990" s="576">
        <v>104908</v>
      </c>
      <c r="F4990" s="576">
        <v>326908</v>
      </c>
      <c r="G4990" s="576">
        <v>11656</v>
      </c>
      <c r="H4990" s="576">
        <v>17514</v>
      </c>
    </row>
    <row r="4991" spans="1:8">
      <c r="A4991" s="575" t="s">
        <v>645</v>
      </c>
      <c r="B4991" s="575">
        <v>222000</v>
      </c>
      <c r="C4991" s="576">
        <v>24</v>
      </c>
      <c r="D4991" s="576">
        <v>0.315</v>
      </c>
      <c r="E4991" s="576">
        <v>139861</v>
      </c>
      <c r="F4991" s="576">
        <v>361861</v>
      </c>
      <c r="G4991" s="576">
        <v>15541</v>
      </c>
      <c r="H4991" s="576">
        <v>14430</v>
      </c>
    </row>
    <row r="4992" spans="1:8">
      <c r="A4992" s="575" t="s">
        <v>645</v>
      </c>
      <c r="B4992" s="575">
        <v>223000</v>
      </c>
      <c r="C4992" s="576">
        <v>12</v>
      </c>
      <c r="D4992" s="576">
        <v>0.315</v>
      </c>
      <c r="E4992" s="576">
        <v>70250</v>
      </c>
      <c r="F4992" s="576">
        <v>293250</v>
      </c>
      <c r="G4992" s="576">
        <v>7806</v>
      </c>
      <c r="H4992" s="576">
        <v>23787</v>
      </c>
    </row>
    <row r="4993" spans="1:8">
      <c r="A4993" s="575" t="s">
        <v>645</v>
      </c>
      <c r="B4993" s="575">
        <v>223000</v>
      </c>
      <c r="C4993" s="576">
        <v>18</v>
      </c>
      <c r="D4993" s="576">
        <v>0.315</v>
      </c>
      <c r="E4993" s="576">
        <v>105382</v>
      </c>
      <c r="F4993" s="576">
        <v>328382</v>
      </c>
      <c r="G4993" s="576">
        <v>11708</v>
      </c>
      <c r="H4993" s="576">
        <v>17593</v>
      </c>
    </row>
    <row r="4994" spans="1:8">
      <c r="A4994" s="575" t="s">
        <v>645</v>
      </c>
      <c r="B4994" s="575">
        <v>223000</v>
      </c>
      <c r="C4994" s="576">
        <v>24</v>
      </c>
      <c r="D4994" s="576">
        <v>0.315</v>
      </c>
      <c r="E4994" s="576">
        <v>140491</v>
      </c>
      <c r="F4994" s="576">
        <v>363491</v>
      </c>
      <c r="G4994" s="576">
        <v>15611</v>
      </c>
      <c r="H4994" s="576">
        <v>14495</v>
      </c>
    </row>
    <row r="4995" spans="1:8">
      <c r="A4995" s="575" t="s">
        <v>645</v>
      </c>
      <c r="B4995" s="575">
        <v>224000</v>
      </c>
      <c r="C4995" s="576">
        <v>12</v>
      </c>
      <c r="D4995" s="576">
        <v>0.315</v>
      </c>
      <c r="E4995" s="576">
        <v>70569</v>
      </c>
      <c r="F4995" s="576">
        <v>294569</v>
      </c>
      <c r="G4995" s="576">
        <v>7841</v>
      </c>
      <c r="H4995" s="576">
        <v>23894</v>
      </c>
    </row>
    <row r="4996" spans="1:8">
      <c r="A4996" s="575" t="s">
        <v>645</v>
      </c>
      <c r="B4996" s="575">
        <v>224000</v>
      </c>
      <c r="C4996" s="576">
        <v>18</v>
      </c>
      <c r="D4996" s="576">
        <v>0.315</v>
      </c>
      <c r="E4996" s="576">
        <v>105857</v>
      </c>
      <c r="F4996" s="576">
        <v>329857</v>
      </c>
      <c r="G4996" s="576">
        <v>11761</v>
      </c>
      <c r="H4996" s="576">
        <v>17672</v>
      </c>
    </row>
    <row r="4997" spans="1:8">
      <c r="A4997" s="575" t="s">
        <v>645</v>
      </c>
      <c r="B4997" s="575">
        <v>224000</v>
      </c>
      <c r="C4997" s="576">
        <v>24</v>
      </c>
      <c r="D4997" s="576">
        <v>0.315</v>
      </c>
      <c r="E4997" s="576">
        <v>141121</v>
      </c>
      <c r="F4997" s="576">
        <v>365121</v>
      </c>
      <c r="G4997" s="576">
        <v>15681</v>
      </c>
      <c r="H4997" s="576">
        <v>14560</v>
      </c>
    </row>
    <row r="4998" spans="1:8">
      <c r="A4998" s="575" t="s">
        <v>645</v>
      </c>
      <c r="B4998" s="575">
        <v>225000</v>
      </c>
      <c r="C4998" s="576">
        <v>12</v>
      </c>
      <c r="D4998" s="576">
        <v>0.315</v>
      </c>
      <c r="E4998" s="576">
        <v>70876</v>
      </c>
      <c r="F4998" s="576">
        <v>295876</v>
      </c>
      <c r="G4998" s="576">
        <v>7876</v>
      </c>
      <c r="H4998" s="576">
        <v>24000</v>
      </c>
    </row>
    <row r="4999" spans="1:8">
      <c r="A4999" s="575" t="s">
        <v>645</v>
      </c>
      <c r="B4999" s="575">
        <v>225000</v>
      </c>
      <c r="C4999" s="576">
        <v>18</v>
      </c>
      <c r="D4999" s="576">
        <v>0.315</v>
      </c>
      <c r="E4999" s="576">
        <v>106313</v>
      </c>
      <c r="F4999" s="576">
        <v>331313</v>
      </c>
      <c r="G4999" s="576">
        <v>11813</v>
      </c>
      <c r="H4999" s="576">
        <v>17750</v>
      </c>
    </row>
    <row r="5000" spans="1:8">
      <c r="A5000" s="575" t="s">
        <v>645</v>
      </c>
      <c r="B5000" s="575">
        <v>225000</v>
      </c>
      <c r="C5000" s="576">
        <v>24</v>
      </c>
      <c r="D5000" s="576">
        <v>0.315</v>
      </c>
      <c r="E5000" s="576">
        <v>141751</v>
      </c>
      <c r="F5000" s="576">
        <v>366751</v>
      </c>
      <c r="G5000" s="576">
        <v>15751</v>
      </c>
      <c r="H5000" s="576">
        <v>14625</v>
      </c>
    </row>
    <row r="5001" spans="1:8">
      <c r="A5001" s="575" t="s">
        <v>645</v>
      </c>
      <c r="B5001" s="575">
        <v>226000</v>
      </c>
      <c r="C5001" s="576">
        <v>12</v>
      </c>
      <c r="D5001" s="576">
        <v>0.315</v>
      </c>
      <c r="E5001" s="576">
        <v>71195</v>
      </c>
      <c r="F5001" s="576">
        <v>297195</v>
      </c>
      <c r="G5001" s="576">
        <v>7911</v>
      </c>
      <c r="H5001" s="576">
        <v>24107</v>
      </c>
    </row>
    <row r="5002" spans="1:8">
      <c r="A5002" s="575" t="s">
        <v>645</v>
      </c>
      <c r="B5002" s="575">
        <v>226000</v>
      </c>
      <c r="C5002" s="576">
        <v>18</v>
      </c>
      <c r="D5002" s="576">
        <v>0.315</v>
      </c>
      <c r="E5002" s="576">
        <v>106788</v>
      </c>
      <c r="F5002" s="576">
        <v>332788</v>
      </c>
      <c r="G5002" s="576">
        <v>11866</v>
      </c>
      <c r="H5002" s="576">
        <v>17829</v>
      </c>
    </row>
    <row r="5003" spans="1:8">
      <c r="A5003" s="575" t="s">
        <v>645</v>
      </c>
      <c r="B5003" s="575">
        <v>226000</v>
      </c>
      <c r="C5003" s="576">
        <v>24</v>
      </c>
      <c r="D5003" s="576">
        <v>0.315</v>
      </c>
      <c r="E5003" s="576">
        <v>142381</v>
      </c>
      <c r="F5003" s="576">
        <v>368381</v>
      </c>
      <c r="G5003" s="576">
        <v>15821</v>
      </c>
      <c r="H5003" s="576">
        <v>14690</v>
      </c>
    </row>
    <row r="5004" spans="1:8">
      <c r="A5004" s="575" t="s">
        <v>645</v>
      </c>
      <c r="B5004" s="575">
        <v>227000</v>
      </c>
      <c r="C5004" s="576">
        <v>12</v>
      </c>
      <c r="D5004" s="576">
        <v>0.315</v>
      </c>
      <c r="E5004" s="576">
        <v>71514</v>
      </c>
      <c r="F5004" s="576">
        <v>298514</v>
      </c>
      <c r="G5004" s="576">
        <v>7946</v>
      </c>
      <c r="H5004" s="576">
        <v>24214</v>
      </c>
    </row>
    <row r="5005" spans="1:8">
      <c r="A5005" s="575" t="s">
        <v>645</v>
      </c>
      <c r="B5005" s="575">
        <v>227000</v>
      </c>
      <c r="C5005" s="576">
        <v>18</v>
      </c>
      <c r="D5005" s="576">
        <v>0.315</v>
      </c>
      <c r="E5005" s="576">
        <v>107262</v>
      </c>
      <c r="F5005" s="576">
        <v>334262</v>
      </c>
      <c r="G5005" s="576">
        <v>11918</v>
      </c>
      <c r="H5005" s="576">
        <v>17908</v>
      </c>
    </row>
    <row r="5006" spans="1:8">
      <c r="A5006" s="575" t="s">
        <v>645</v>
      </c>
      <c r="B5006" s="575">
        <v>227000</v>
      </c>
      <c r="C5006" s="576">
        <v>24</v>
      </c>
      <c r="D5006" s="576">
        <v>0.315</v>
      </c>
      <c r="E5006" s="576">
        <v>143011</v>
      </c>
      <c r="F5006" s="576">
        <v>370011</v>
      </c>
      <c r="G5006" s="576">
        <v>15891</v>
      </c>
      <c r="H5006" s="576">
        <v>14755</v>
      </c>
    </row>
    <row r="5007" spans="1:8">
      <c r="A5007" s="575" t="s">
        <v>645</v>
      </c>
      <c r="B5007" s="575">
        <v>228000</v>
      </c>
      <c r="C5007" s="576">
        <v>12</v>
      </c>
      <c r="D5007" s="576">
        <v>0.315</v>
      </c>
      <c r="E5007" s="576">
        <v>71821</v>
      </c>
      <c r="F5007" s="576">
        <v>299821</v>
      </c>
      <c r="G5007" s="576">
        <v>7981</v>
      </c>
      <c r="H5007" s="576">
        <v>24320</v>
      </c>
    </row>
    <row r="5008" spans="1:8">
      <c r="A5008" s="575" t="s">
        <v>645</v>
      </c>
      <c r="B5008" s="575">
        <v>228000</v>
      </c>
      <c r="C5008" s="576">
        <v>18</v>
      </c>
      <c r="D5008" s="576">
        <v>0.315</v>
      </c>
      <c r="E5008" s="576">
        <v>107737</v>
      </c>
      <c r="F5008" s="576">
        <v>335737</v>
      </c>
      <c r="G5008" s="576">
        <v>11971</v>
      </c>
      <c r="H5008" s="576">
        <v>17987</v>
      </c>
    </row>
    <row r="5009" spans="1:8">
      <c r="A5009" s="575" t="s">
        <v>645</v>
      </c>
      <c r="B5009" s="575">
        <v>228000</v>
      </c>
      <c r="C5009" s="576">
        <v>24</v>
      </c>
      <c r="D5009" s="576">
        <v>0.315</v>
      </c>
      <c r="E5009" s="576">
        <v>143641</v>
      </c>
      <c r="F5009" s="576">
        <v>371641</v>
      </c>
      <c r="G5009" s="576">
        <v>15961</v>
      </c>
      <c r="H5009" s="576">
        <v>14820</v>
      </c>
    </row>
    <row r="5010" spans="1:8">
      <c r="A5010" s="575" t="s">
        <v>645</v>
      </c>
      <c r="B5010" s="575">
        <v>229000</v>
      </c>
      <c r="C5010" s="576">
        <v>12</v>
      </c>
      <c r="D5010" s="576">
        <v>0.315</v>
      </c>
      <c r="E5010" s="576">
        <v>72140</v>
      </c>
      <c r="F5010" s="576">
        <v>301140</v>
      </c>
      <c r="G5010" s="576">
        <v>8016</v>
      </c>
      <c r="H5010" s="576">
        <v>24427</v>
      </c>
    </row>
    <row r="5011" spans="1:8">
      <c r="A5011" s="575" t="s">
        <v>645</v>
      </c>
      <c r="B5011" s="575">
        <v>229000</v>
      </c>
      <c r="C5011" s="576">
        <v>18</v>
      </c>
      <c r="D5011" s="576">
        <v>0.315</v>
      </c>
      <c r="E5011" s="576">
        <v>108211</v>
      </c>
      <c r="F5011" s="576">
        <v>337211</v>
      </c>
      <c r="G5011" s="576">
        <v>12023</v>
      </c>
      <c r="H5011" s="576">
        <v>18066</v>
      </c>
    </row>
    <row r="5012" spans="1:8">
      <c r="A5012" s="575" t="s">
        <v>645</v>
      </c>
      <c r="B5012" s="575">
        <v>229000</v>
      </c>
      <c r="C5012" s="576">
        <v>24</v>
      </c>
      <c r="D5012" s="576">
        <v>0.315</v>
      </c>
      <c r="E5012" s="576">
        <v>144271</v>
      </c>
      <c r="F5012" s="576">
        <v>373271</v>
      </c>
      <c r="G5012" s="576">
        <v>16031</v>
      </c>
      <c r="H5012" s="576">
        <v>14885</v>
      </c>
    </row>
    <row r="5013" spans="1:8">
      <c r="A5013" s="575" t="s">
        <v>645</v>
      </c>
      <c r="B5013" s="575">
        <v>230000</v>
      </c>
      <c r="C5013" s="576">
        <v>12</v>
      </c>
      <c r="D5013" s="576">
        <v>0.315</v>
      </c>
      <c r="E5013" s="576">
        <v>72459</v>
      </c>
      <c r="F5013" s="576">
        <v>302459</v>
      </c>
      <c r="G5013" s="576">
        <v>8051</v>
      </c>
      <c r="H5013" s="576">
        <v>24534</v>
      </c>
    </row>
    <row r="5014" spans="1:8">
      <c r="A5014" s="575" t="s">
        <v>645</v>
      </c>
      <c r="B5014" s="575">
        <v>230000</v>
      </c>
      <c r="C5014" s="576">
        <v>18</v>
      </c>
      <c r="D5014" s="576">
        <v>0.315</v>
      </c>
      <c r="E5014" s="576">
        <v>108686</v>
      </c>
      <c r="F5014" s="576">
        <v>338686</v>
      </c>
      <c r="G5014" s="576">
        <v>12076</v>
      </c>
      <c r="H5014" s="576">
        <v>18145</v>
      </c>
    </row>
    <row r="5015" spans="1:8">
      <c r="A5015" s="575" t="s">
        <v>645</v>
      </c>
      <c r="B5015" s="575">
        <v>230000</v>
      </c>
      <c r="C5015" s="576">
        <v>24</v>
      </c>
      <c r="D5015" s="576">
        <v>0.315</v>
      </c>
      <c r="E5015" s="576">
        <v>144901</v>
      </c>
      <c r="F5015" s="576">
        <v>374901</v>
      </c>
      <c r="G5015" s="576">
        <v>16101</v>
      </c>
      <c r="H5015" s="576">
        <v>14950</v>
      </c>
    </row>
    <row r="5016" spans="1:8">
      <c r="A5016" s="575" t="s">
        <v>645</v>
      </c>
      <c r="B5016" s="575">
        <v>231000</v>
      </c>
      <c r="C5016" s="576">
        <v>12</v>
      </c>
      <c r="D5016" s="576">
        <v>0.315</v>
      </c>
      <c r="E5016" s="576">
        <v>72766</v>
      </c>
      <c r="F5016" s="576">
        <v>303766</v>
      </c>
      <c r="G5016" s="576">
        <v>8086</v>
      </c>
      <c r="H5016" s="576">
        <v>24640</v>
      </c>
    </row>
    <row r="5017" spans="1:8">
      <c r="A5017" s="575" t="s">
        <v>645</v>
      </c>
      <c r="B5017" s="575">
        <v>231000</v>
      </c>
      <c r="C5017" s="576">
        <v>18</v>
      </c>
      <c r="D5017" s="576">
        <v>0.315</v>
      </c>
      <c r="E5017" s="576">
        <v>109160</v>
      </c>
      <c r="F5017" s="576">
        <v>340160</v>
      </c>
      <c r="G5017" s="576">
        <v>12128</v>
      </c>
      <c r="H5017" s="576">
        <v>18224</v>
      </c>
    </row>
    <row r="5018" spans="1:8">
      <c r="A5018" s="575" t="s">
        <v>645</v>
      </c>
      <c r="B5018" s="575">
        <v>231000</v>
      </c>
      <c r="C5018" s="576">
        <v>24</v>
      </c>
      <c r="D5018" s="576">
        <v>0.315</v>
      </c>
      <c r="E5018" s="576">
        <v>145531</v>
      </c>
      <c r="F5018" s="576">
        <v>376531</v>
      </c>
      <c r="G5018" s="576">
        <v>16171</v>
      </c>
      <c r="H5018" s="576">
        <v>15015</v>
      </c>
    </row>
    <row r="5019" spans="1:8">
      <c r="A5019" s="575" t="s">
        <v>645</v>
      </c>
      <c r="B5019" s="575">
        <v>232000</v>
      </c>
      <c r="C5019" s="576">
        <v>12</v>
      </c>
      <c r="D5019" s="576">
        <v>0.315</v>
      </c>
      <c r="E5019" s="576">
        <v>73085</v>
      </c>
      <c r="F5019" s="576">
        <v>305085</v>
      </c>
      <c r="G5019" s="576">
        <v>8121</v>
      </c>
      <c r="H5019" s="576">
        <v>24747</v>
      </c>
    </row>
    <row r="5020" spans="1:8">
      <c r="A5020" s="575" t="s">
        <v>645</v>
      </c>
      <c r="B5020" s="575">
        <v>232000</v>
      </c>
      <c r="C5020" s="576">
        <v>18</v>
      </c>
      <c r="D5020" s="576">
        <v>0.315</v>
      </c>
      <c r="E5020" s="576">
        <v>109635</v>
      </c>
      <c r="F5020" s="576">
        <v>341635</v>
      </c>
      <c r="G5020" s="576">
        <v>12181</v>
      </c>
      <c r="H5020" s="576">
        <v>18303</v>
      </c>
    </row>
    <row r="5021" spans="1:8">
      <c r="A5021" s="575" t="s">
        <v>645</v>
      </c>
      <c r="B5021" s="575">
        <v>232000</v>
      </c>
      <c r="C5021" s="576">
        <v>24</v>
      </c>
      <c r="D5021" s="576">
        <v>0.315</v>
      </c>
      <c r="E5021" s="576">
        <v>146161</v>
      </c>
      <c r="F5021" s="576">
        <v>378161</v>
      </c>
      <c r="G5021" s="576">
        <v>16241</v>
      </c>
      <c r="H5021" s="576">
        <v>15080</v>
      </c>
    </row>
    <row r="5022" spans="1:8">
      <c r="A5022" s="575" t="s">
        <v>645</v>
      </c>
      <c r="B5022" s="575">
        <v>233000</v>
      </c>
      <c r="C5022" s="576">
        <v>12</v>
      </c>
      <c r="D5022" s="576">
        <v>0.315</v>
      </c>
      <c r="E5022" s="576">
        <v>73404</v>
      </c>
      <c r="F5022" s="576">
        <v>306404</v>
      </c>
      <c r="G5022" s="576">
        <v>8156</v>
      </c>
      <c r="H5022" s="576">
        <v>24854</v>
      </c>
    </row>
    <row r="5023" spans="1:8">
      <c r="A5023" s="575" t="s">
        <v>645</v>
      </c>
      <c r="B5023" s="575">
        <v>233000</v>
      </c>
      <c r="C5023" s="576">
        <v>18</v>
      </c>
      <c r="D5023" s="576">
        <v>0.315</v>
      </c>
      <c r="E5023" s="576">
        <v>110109</v>
      </c>
      <c r="F5023" s="576">
        <v>343109</v>
      </c>
      <c r="G5023" s="576">
        <v>12233</v>
      </c>
      <c r="H5023" s="576">
        <v>18382</v>
      </c>
    </row>
    <row r="5024" spans="1:8">
      <c r="A5024" s="575" t="s">
        <v>645</v>
      </c>
      <c r="B5024" s="575">
        <v>233000</v>
      </c>
      <c r="C5024" s="576">
        <v>24</v>
      </c>
      <c r="D5024" s="576">
        <v>0.315</v>
      </c>
      <c r="E5024" s="576">
        <v>146791</v>
      </c>
      <c r="F5024" s="576">
        <v>379791</v>
      </c>
      <c r="G5024" s="576">
        <v>16311</v>
      </c>
      <c r="H5024" s="576">
        <v>15145</v>
      </c>
    </row>
    <row r="5025" spans="1:8">
      <c r="A5025" s="575" t="s">
        <v>645</v>
      </c>
      <c r="B5025" s="575">
        <v>234000</v>
      </c>
      <c r="C5025" s="576">
        <v>12</v>
      </c>
      <c r="D5025" s="576">
        <v>0.315</v>
      </c>
      <c r="E5025" s="576">
        <v>73711</v>
      </c>
      <c r="F5025" s="576">
        <v>307711</v>
      </c>
      <c r="G5025" s="576">
        <v>8191</v>
      </c>
      <c r="H5025" s="576">
        <v>24960</v>
      </c>
    </row>
    <row r="5026" spans="1:8">
      <c r="A5026" s="575" t="s">
        <v>645</v>
      </c>
      <c r="B5026" s="575">
        <v>234000</v>
      </c>
      <c r="C5026" s="576">
        <v>18</v>
      </c>
      <c r="D5026" s="576">
        <v>0.315</v>
      </c>
      <c r="E5026" s="576">
        <v>110566</v>
      </c>
      <c r="F5026" s="576">
        <v>344566</v>
      </c>
      <c r="G5026" s="576">
        <v>12286</v>
      </c>
      <c r="H5026" s="576">
        <v>18460</v>
      </c>
    </row>
    <row r="5027" spans="1:8">
      <c r="A5027" s="575" t="s">
        <v>645</v>
      </c>
      <c r="B5027" s="575">
        <v>234000</v>
      </c>
      <c r="C5027" s="576">
        <v>24</v>
      </c>
      <c r="D5027" s="576">
        <v>0.315</v>
      </c>
      <c r="E5027" s="576">
        <v>147421</v>
      </c>
      <c r="F5027" s="576">
        <v>381421</v>
      </c>
      <c r="G5027" s="576">
        <v>16381</v>
      </c>
      <c r="H5027" s="576">
        <v>15210</v>
      </c>
    </row>
    <row r="5028" spans="1:8">
      <c r="A5028" s="575" t="s">
        <v>645</v>
      </c>
      <c r="B5028" s="575">
        <v>235000</v>
      </c>
      <c r="C5028" s="576">
        <v>12</v>
      </c>
      <c r="D5028" s="576">
        <v>0.315</v>
      </c>
      <c r="E5028" s="576">
        <v>74030</v>
      </c>
      <c r="F5028" s="576">
        <v>309030</v>
      </c>
      <c r="G5028" s="576">
        <v>8226</v>
      </c>
      <c r="H5028" s="576">
        <v>25067</v>
      </c>
    </row>
    <row r="5029" spans="1:8">
      <c r="A5029" s="575" t="s">
        <v>645</v>
      </c>
      <c r="B5029" s="575">
        <v>235000</v>
      </c>
      <c r="C5029" s="576">
        <v>18</v>
      </c>
      <c r="D5029" s="576">
        <v>0.315</v>
      </c>
      <c r="E5029" s="576">
        <v>111040</v>
      </c>
      <c r="F5029" s="576">
        <v>346040</v>
      </c>
      <c r="G5029" s="576">
        <v>12338</v>
      </c>
      <c r="H5029" s="576">
        <v>18539</v>
      </c>
    </row>
    <row r="5030" spans="1:8">
      <c r="A5030" s="575" t="s">
        <v>645</v>
      </c>
      <c r="B5030" s="575">
        <v>235000</v>
      </c>
      <c r="C5030" s="576">
        <v>24</v>
      </c>
      <c r="D5030" s="576">
        <v>0.315</v>
      </c>
      <c r="E5030" s="576">
        <v>148051</v>
      </c>
      <c r="F5030" s="576">
        <v>383051</v>
      </c>
      <c r="G5030" s="576">
        <v>16451</v>
      </c>
      <c r="H5030" s="576">
        <v>15275</v>
      </c>
    </row>
    <row r="5031" spans="1:8">
      <c r="A5031" s="575" t="s">
        <v>645</v>
      </c>
      <c r="B5031" s="575">
        <v>236000</v>
      </c>
      <c r="C5031" s="576">
        <v>12</v>
      </c>
      <c r="D5031" s="576">
        <v>0.315</v>
      </c>
      <c r="E5031" s="576">
        <v>74349</v>
      </c>
      <c r="F5031" s="576">
        <v>310349</v>
      </c>
      <c r="G5031" s="576">
        <v>8261</v>
      </c>
      <c r="H5031" s="576">
        <v>25174</v>
      </c>
    </row>
    <row r="5032" spans="1:8">
      <c r="A5032" s="575" t="s">
        <v>645</v>
      </c>
      <c r="B5032" s="575">
        <v>236000</v>
      </c>
      <c r="C5032" s="576">
        <v>18</v>
      </c>
      <c r="D5032" s="576">
        <v>0.315</v>
      </c>
      <c r="E5032" s="576">
        <v>111515</v>
      </c>
      <c r="F5032" s="576">
        <v>347515</v>
      </c>
      <c r="G5032" s="576">
        <v>12391</v>
      </c>
      <c r="H5032" s="576">
        <v>18618</v>
      </c>
    </row>
    <row r="5033" spans="1:8">
      <c r="A5033" s="575" t="s">
        <v>645</v>
      </c>
      <c r="B5033" s="575">
        <v>236000</v>
      </c>
      <c r="C5033" s="576">
        <v>24</v>
      </c>
      <c r="D5033" s="576">
        <v>0.315</v>
      </c>
      <c r="E5033" s="576">
        <v>148681</v>
      </c>
      <c r="F5033" s="576">
        <v>384681</v>
      </c>
      <c r="G5033" s="576">
        <v>16521</v>
      </c>
      <c r="H5033" s="576">
        <v>15340</v>
      </c>
    </row>
    <row r="5034" spans="1:8">
      <c r="A5034" s="575" t="s">
        <v>645</v>
      </c>
      <c r="B5034" s="575">
        <v>237000</v>
      </c>
      <c r="C5034" s="576">
        <v>12</v>
      </c>
      <c r="D5034" s="576">
        <v>0.315</v>
      </c>
      <c r="E5034" s="576">
        <v>74656</v>
      </c>
      <c r="F5034" s="576">
        <v>311656</v>
      </c>
      <c r="G5034" s="576">
        <v>8296</v>
      </c>
      <c r="H5034" s="576">
        <v>25280</v>
      </c>
    </row>
    <row r="5035" spans="1:8">
      <c r="A5035" s="575" t="s">
        <v>645</v>
      </c>
      <c r="B5035" s="575">
        <v>237000</v>
      </c>
      <c r="C5035" s="576">
        <v>18</v>
      </c>
      <c r="D5035" s="576">
        <v>0.315</v>
      </c>
      <c r="E5035" s="576">
        <v>111989</v>
      </c>
      <c r="F5035" s="576">
        <v>348989</v>
      </c>
      <c r="G5035" s="576">
        <v>12443</v>
      </c>
      <c r="H5035" s="576">
        <v>18697</v>
      </c>
    </row>
    <row r="5036" spans="1:8">
      <c r="A5036" s="575" t="s">
        <v>645</v>
      </c>
      <c r="B5036" s="575">
        <v>237000</v>
      </c>
      <c r="C5036" s="576">
        <v>24</v>
      </c>
      <c r="D5036" s="576">
        <v>0.315</v>
      </c>
      <c r="E5036" s="576">
        <v>149311</v>
      </c>
      <c r="F5036" s="576">
        <v>386311</v>
      </c>
      <c r="G5036" s="576">
        <v>16591</v>
      </c>
      <c r="H5036" s="576">
        <v>15405</v>
      </c>
    </row>
    <row r="5037" spans="1:8">
      <c r="A5037" s="575" t="s">
        <v>645</v>
      </c>
      <c r="B5037" s="575">
        <v>238000</v>
      </c>
      <c r="C5037" s="576">
        <v>12</v>
      </c>
      <c r="D5037" s="576">
        <v>0.315</v>
      </c>
      <c r="E5037" s="576">
        <v>74975</v>
      </c>
      <c r="F5037" s="576">
        <v>312975</v>
      </c>
      <c r="G5037" s="576">
        <v>8331</v>
      </c>
      <c r="H5037" s="576">
        <v>25387</v>
      </c>
    </row>
    <row r="5038" spans="1:8">
      <c r="A5038" s="575" t="s">
        <v>645</v>
      </c>
      <c r="B5038" s="575">
        <v>238000</v>
      </c>
      <c r="C5038" s="576">
        <v>18</v>
      </c>
      <c r="D5038" s="576">
        <v>0.315</v>
      </c>
      <c r="E5038" s="576">
        <v>112464</v>
      </c>
      <c r="F5038" s="576">
        <v>350464</v>
      </c>
      <c r="G5038" s="576">
        <v>12496</v>
      </c>
      <c r="H5038" s="576">
        <v>18776</v>
      </c>
    </row>
    <row r="5039" spans="1:8">
      <c r="A5039" s="575" t="s">
        <v>645</v>
      </c>
      <c r="B5039" s="575">
        <v>238000</v>
      </c>
      <c r="C5039" s="576">
        <v>24</v>
      </c>
      <c r="D5039" s="576">
        <v>0.315</v>
      </c>
      <c r="E5039" s="576">
        <v>149941</v>
      </c>
      <c r="F5039" s="576">
        <v>387941</v>
      </c>
      <c r="G5039" s="576">
        <v>16661</v>
      </c>
      <c r="H5039" s="576">
        <v>15470</v>
      </c>
    </row>
    <row r="5040" spans="1:8">
      <c r="A5040" s="575" t="s">
        <v>645</v>
      </c>
      <c r="B5040" s="575">
        <v>239000</v>
      </c>
      <c r="C5040" s="576">
        <v>12</v>
      </c>
      <c r="D5040" s="576">
        <v>0.315</v>
      </c>
      <c r="E5040" s="576">
        <v>75294</v>
      </c>
      <c r="F5040" s="576">
        <v>314294</v>
      </c>
      <c r="G5040" s="576">
        <v>8366</v>
      </c>
      <c r="H5040" s="576">
        <v>25494</v>
      </c>
    </row>
    <row r="5041" spans="1:8">
      <c r="A5041" s="575" t="s">
        <v>645</v>
      </c>
      <c r="B5041" s="575">
        <v>239000</v>
      </c>
      <c r="C5041" s="576">
        <v>18</v>
      </c>
      <c r="D5041" s="576">
        <v>0.315</v>
      </c>
      <c r="E5041" s="576">
        <v>112938</v>
      </c>
      <c r="F5041" s="576">
        <v>351938</v>
      </c>
      <c r="G5041" s="576">
        <v>12548</v>
      </c>
      <c r="H5041" s="576">
        <v>18855</v>
      </c>
    </row>
    <row r="5042" spans="1:8">
      <c r="A5042" s="575" t="s">
        <v>645</v>
      </c>
      <c r="B5042" s="575">
        <v>239000</v>
      </c>
      <c r="C5042" s="576">
        <v>24</v>
      </c>
      <c r="D5042" s="576">
        <v>0.315</v>
      </c>
      <c r="E5042" s="576">
        <v>150571</v>
      </c>
      <c r="F5042" s="576">
        <v>389571</v>
      </c>
      <c r="G5042" s="576">
        <v>16731</v>
      </c>
      <c r="H5042" s="576">
        <v>15535</v>
      </c>
    </row>
    <row r="5043" spans="1:8">
      <c r="A5043" s="575" t="s">
        <v>645</v>
      </c>
      <c r="B5043" s="575">
        <v>240000</v>
      </c>
      <c r="C5043" s="576">
        <v>12</v>
      </c>
      <c r="D5043" s="576">
        <v>0.315</v>
      </c>
      <c r="E5043" s="576">
        <v>75601</v>
      </c>
      <c r="F5043" s="576">
        <v>315601</v>
      </c>
      <c r="G5043" s="576">
        <v>8401</v>
      </c>
      <c r="H5043" s="576">
        <v>25600</v>
      </c>
    </row>
    <row r="5044" spans="1:8">
      <c r="A5044" s="575" t="s">
        <v>645</v>
      </c>
      <c r="B5044" s="575">
        <v>240000</v>
      </c>
      <c r="C5044" s="576">
        <v>18</v>
      </c>
      <c r="D5044" s="576">
        <v>0.315</v>
      </c>
      <c r="E5044" s="576">
        <v>113413</v>
      </c>
      <c r="F5044" s="576">
        <v>353413</v>
      </c>
      <c r="G5044" s="576">
        <v>12601</v>
      </c>
      <c r="H5044" s="576">
        <v>18934</v>
      </c>
    </row>
    <row r="5045" spans="1:8">
      <c r="A5045" s="575" t="s">
        <v>645</v>
      </c>
      <c r="B5045" s="575">
        <v>240000</v>
      </c>
      <c r="C5045" s="576">
        <v>24</v>
      </c>
      <c r="D5045" s="576">
        <v>0.315</v>
      </c>
      <c r="E5045" s="576">
        <v>151201</v>
      </c>
      <c r="F5045" s="576">
        <v>391201</v>
      </c>
      <c r="G5045" s="576">
        <v>16801</v>
      </c>
      <c r="H5045" s="576">
        <v>15600</v>
      </c>
    </row>
    <row r="5046" spans="1:8">
      <c r="A5046" s="575" t="s">
        <v>645</v>
      </c>
      <c r="B5046" s="575">
        <v>241000</v>
      </c>
      <c r="C5046" s="576">
        <v>12</v>
      </c>
      <c r="D5046" s="576">
        <v>0.315</v>
      </c>
      <c r="E5046" s="576">
        <v>75920</v>
      </c>
      <c r="F5046" s="576">
        <v>316920</v>
      </c>
      <c r="G5046" s="576">
        <v>8436</v>
      </c>
      <c r="H5046" s="576">
        <v>25707</v>
      </c>
    </row>
    <row r="5047" spans="1:8">
      <c r="A5047" s="575" t="s">
        <v>645</v>
      </c>
      <c r="B5047" s="575">
        <v>241000</v>
      </c>
      <c r="C5047" s="576">
        <v>18</v>
      </c>
      <c r="D5047" s="576">
        <v>0.315</v>
      </c>
      <c r="E5047" s="576">
        <v>113887</v>
      </c>
      <c r="F5047" s="576">
        <v>354887</v>
      </c>
      <c r="G5047" s="576">
        <v>12653</v>
      </c>
      <c r="H5047" s="576">
        <v>19013</v>
      </c>
    </row>
    <row r="5048" spans="1:8">
      <c r="A5048" s="575" t="s">
        <v>645</v>
      </c>
      <c r="B5048" s="575">
        <v>241000</v>
      </c>
      <c r="C5048" s="576">
        <v>24</v>
      </c>
      <c r="D5048" s="576">
        <v>0.315</v>
      </c>
      <c r="E5048" s="576">
        <v>151831</v>
      </c>
      <c r="F5048" s="576">
        <v>392831</v>
      </c>
      <c r="G5048" s="576">
        <v>16871</v>
      </c>
      <c r="H5048" s="576">
        <v>15665</v>
      </c>
    </row>
    <row r="5049" spans="1:8">
      <c r="A5049" s="575" t="s">
        <v>645</v>
      </c>
      <c r="B5049" s="575">
        <v>242000</v>
      </c>
      <c r="C5049" s="576">
        <v>12</v>
      </c>
      <c r="D5049" s="576">
        <v>0.315</v>
      </c>
      <c r="E5049" s="576">
        <v>76239</v>
      </c>
      <c r="F5049" s="576">
        <v>318239</v>
      </c>
      <c r="G5049" s="576">
        <v>8471</v>
      </c>
      <c r="H5049" s="576">
        <v>25814</v>
      </c>
    </row>
    <row r="5050" spans="1:8">
      <c r="A5050" s="575" t="s">
        <v>645</v>
      </c>
      <c r="B5050" s="575">
        <v>242000</v>
      </c>
      <c r="C5050" s="576">
        <v>18</v>
      </c>
      <c r="D5050" s="576">
        <v>0.315</v>
      </c>
      <c r="E5050" s="576">
        <v>114362</v>
      </c>
      <c r="F5050" s="576">
        <v>356362</v>
      </c>
      <c r="G5050" s="576">
        <v>12706</v>
      </c>
      <c r="H5050" s="576">
        <v>19092</v>
      </c>
    </row>
    <row r="5051" spans="1:8">
      <c r="A5051" s="575" t="s">
        <v>645</v>
      </c>
      <c r="B5051" s="575">
        <v>242000</v>
      </c>
      <c r="C5051" s="576">
        <v>24</v>
      </c>
      <c r="D5051" s="576">
        <v>0.315</v>
      </c>
      <c r="E5051" s="576">
        <v>152461</v>
      </c>
      <c r="F5051" s="576">
        <v>394461</v>
      </c>
      <c r="G5051" s="576">
        <v>16941</v>
      </c>
      <c r="H5051" s="576">
        <v>15730</v>
      </c>
    </row>
    <row r="5052" spans="1:8">
      <c r="A5052" s="575" t="s">
        <v>645</v>
      </c>
      <c r="B5052" s="575">
        <v>243000</v>
      </c>
      <c r="C5052" s="576">
        <v>12</v>
      </c>
      <c r="D5052" s="576">
        <v>0.315</v>
      </c>
      <c r="E5052" s="576">
        <v>76546</v>
      </c>
      <c r="F5052" s="576">
        <v>319546</v>
      </c>
      <c r="G5052" s="576">
        <v>8506</v>
      </c>
      <c r="H5052" s="576">
        <v>25920</v>
      </c>
    </row>
    <row r="5053" spans="1:8">
      <c r="A5053" s="575" t="s">
        <v>645</v>
      </c>
      <c r="B5053" s="575">
        <v>243000</v>
      </c>
      <c r="C5053" s="576">
        <v>18</v>
      </c>
      <c r="D5053" s="576">
        <v>0.315</v>
      </c>
      <c r="E5053" s="576">
        <v>114818</v>
      </c>
      <c r="F5053" s="576">
        <v>357818</v>
      </c>
      <c r="G5053" s="576">
        <v>12758</v>
      </c>
      <c r="H5053" s="576">
        <v>19170</v>
      </c>
    </row>
    <row r="5054" spans="1:8">
      <c r="A5054" s="575" t="s">
        <v>645</v>
      </c>
      <c r="B5054" s="575">
        <v>243000</v>
      </c>
      <c r="C5054" s="576">
        <v>24</v>
      </c>
      <c r="D5054" s="576">
        <v>0.315</v>
      </c>
      <c r="E5054" s="576">
        <v>153091</v>
      </c>
      <c r="F5054" s="576">
        <v>396091</v>
      </c>
      <c r="G5054" s="576">
        <v>17011</v>
      </c>
      <c r="H5054" s="576">
        <v>15795</v>
      </c>
    </row>
    <row r="5055" spans="1:8">
      <c r="A5055" s="575" t="s">
        <v>645</v>
      </c>
      <c r="B5055" s="575">
        <v>244000</v>
      </c>
      <c r="C5055" s="576">
        <v>12</v>
      </c>
      <c r="D5055" s="576">
        <v>0.315</v>
      </c>
      <c r="E5055" s="576">
        <v>76865</v>
      </c>
      <c r="F5055" s="576">
        <v>320865</v>
      </c>
      <c r="G5055" s="576">
        <v>8541</v>
      </c>
      <c r="H5055" s="576">
        <v>26027</v>
      </c>
    </row>
    <row r="5056" spans="1:8">
      <c r="A5056" s="575" t="s">
        <v>645</v>
      </c>
      <c r="B5056" s="575">
        <v>244000</v>
      </c>
      <c r="C5056" s="576">
        <v>18</v>
      </c>
      <c r="D5056" s="576">
        <v>0.315</v>
      </c>
      <c r="E5056" s="576">
        <v>115293</v>
      </c>
      <c r="F5056" s="576">
        <v>359293</v>
      </c>
      <c r="G5056" s="576">
        <v>12811</v>
      </c>
      <c r="H5056" s="576">
        <v>19249</v>
      </c>
    </row>
    <row r="5057" spans="1:8">
      <c r="A5057" s="575" t="s">
        <v>645</v>
      </c>
      <c r="B5057" s="575">
        <v>244000</v>
      </c>
      <c r="C5057" s="576">
        <v>24</v>
      </c>
      <c r="D5057" s="576">
        <v>0.315</v>
      </c>
      <c r="E5057" s="576">
        <v>153721</v>
      </c>
      <c r="F5057" s="576">
        <v>397721</v>
      </c>
      <c r="G5057" s="576">
        <v>17081</v>
      </c>
      <c r="H5057" s="576">
        <v>15860</v>
      </c>
    </row>
    <row r="5058" spans="1:8">
      <c r="A5058" s="575" t="s">
        <v>645</v>
      </c>
      <c r="B5058" s="575">
        <v>245000</v>
      </c>
      <c r="C5058" s="576">
        <v>12</v>
      </c>
      <c r="D5058" s="576">
        <v>0.315</v>
      </c>
      <c r="E5058" s="576">
        <v>77184</v>
      </c>
      <c r="F5058" s="576">
        <v>322184</v>
      </c>
      <c r="G5058" s="576">
        <v>8576</v>
      </c>
      <c r="H5058" s="576">
        <v>26134</v>
      </c>
    </row>
    <row r="5059" spans="1:8">
      <c r="A5059" s="575" t="s">
        <v>645</v>
      </c>
      <c r="B5059" s="575">
        <v>245000</v>
      </c>
      <c r="C5059" s="576">
        <v>18</v>
      </c>
      <c r="D5059" s="576">
        <v>0.315</v>
      </c>
      <c r="E5059" s="576">
        <v>115767</v>
      </c>
      <c r="F5059" s="576">
        <v>360767</v>
      </c>
      <c r="G5059" s="576">
        <v>12863</v>
      </c>
      <c r="H5059" s="576">
        <v>19328</v>
      </c>
    </row>
    <row r="5060" spans="1:8">
      <c r="A5060" s="575" t="s">
        <v>645</v>
      </c>
      <c r="B5060" s="575">
        <v>245000</v>
      </c>
      <c r="C5060" s="576">
        <v>24</v>
      </c>
      <c r="D5060" s="576">
        <v>0.315</v>
      </c>
      <c r="E5060" s="576">
        <v>154351</v>
      </c>
      <c r="F5060" s="576">
        <v>399351</v>
      </c>
      <c r="G5060" s="576">
        <v>17151</v>
      </c>
      <c r="H5060" s="576">
        <v>15925</v>
      </c>
    </row>
    <row r="5061" spans="1:8">
      <c r="A5061" s="575" t="s">
        <v>645</v>
      </c>
      <c r="B5061" s="575">
        <v>246000</v>
      </c>
      <c r="C5061" s="576">
        <v>12</v>
      </c>
      <c r="D5061" s="576">
        <v>0.315</v>
      </c>
      <c r="E5061" s="576">
        <v>77491</v>
      </c>
      <c r="F5061" s="576">
        <v>323491</v>
      </c>
      <c r="G5061" s="576">
        <v>8611</v>
      </c>
      <c r="H5061" s="576">
        <v>26240</v>
      </c>
    </row>
    <row r="5062" spans="1:8">
      <c r="A5062" s="575" t="s">
        <v>645</v>
      </c>
      <c r="B5062" s="575">
        <v>246000</v>
      </c>
      <c r="C5062" s="576">
        <v>18</v>
      </c>
      <c r="D5062" s="576">
        <v>0.315</v>
      </c>
      <c r="E5062" s="576">
        <v>116242</v>
      </c>
      <c r="F5062" s="576">
        <v>362242</v>
      </c>
      <c r="G5062" s="576">
        <v>12916</v>
      </c>
      <c r="H5062" s="576">
        <v>19407</v>
      </c>
    </row>
    <row r="5063" spans="1:8">
      <c r="A5063" s="575" t="s">
        <v>645</v>
      </c>
      <c r="B5063" s="575">
        <v>246000</v>
      </c>
      <c r="C5063" s="576">
        <v>24</v>
      </c>
      <c r="D5063" s="576">
        <v>0.315</v>
      </c>
      <c r="E5063" s="576">
        <v>154981</v>
      </c>
      <c r="F5063" s="576">
        <v>400981</v>
      </c>
      <c r="G5063" s="576">
        <v>17221</v>
      </c>
      <c r="H5063" s="576">
        <v>15990</v>
      </c>
    </row>
    <row r="5064" spans="1:8">
      <c r="A5064" s="575" t="s">
        <v>645</v>
      </c>
      <c r="B5064" s="575">
        <v>247000</v>
      </c>
      <c r="C5064" s="576">
        <v>12</v>
      </c>
      <c r="D5064" s="576">
        <v>0.315</v>
      </c>
      <c r="E5064" s="576">
        <v>77810</v>
      </c>
      <c r="F5064" s="576">
        <v>324810</v>
      </c>
      <c r="G5064" s="576">
        <v>8646</v>
      </c>
      <c r="H5064" s="576">
        <v>26347</v>
      </c>
    </row>
    <row r="5065" spans="1:8">
      <c r="A5065" s="575" t="s">
        <v>645</v>
      </c>
      <c r="B5065" s="575">
        <v>247000</v>
      </c>
      <c r="C5065" s="576">
        <v>18</v>
      </c>
      <c r="D5065" s="576">
        <v>0.315</v>
      </c>
      <c r="E5065" s="576">
        <v>116716</v>
      </c>
      <c r="F5065" s="576">
        <v>363716</v>
      </c>
      <c r="G5065" s="576">
        <v>12968</v>
      </c>
      <c r="H5065" s="576">
        <v>19486</v>
      </c>
    </row>
    <row r="5066" spans="1:8">
      <c r="A5066" s="575" t="s">
        <v>645</v>
      </c>
      <c r="B5066" s="575">
        <v>247000</v>
      </c>
      <c r="C5066" s="576">
        <v>24</v>
      </c>
      <c r="D5066" s="576">
        <v>0.315</v>
      </c>
      <c r="E5066" s="576">
        <v>155611</v>
      </c>
      <c r="F5066" s="576">
        <v>402611</v>
      </c>
      <c r="G5066" s="576">
        <v>17291</v>
      </c>
      <c r="H5066" s="576">
        <v>16055</v>
      </c>
    </row>
    <row r="5067" spans="1:8">
      <c r="A5067" s="575" t="s">
        <v>645</v>
      </c>
      <c r="B5067" s="575">
        <v>248000</v>
      </c>
      <c r="C5067" s="576">
        <v>12</v>
      </c>
      <c r="D5067" s="576">
        <v>0.315</v>
      </c>
      <c r="E5067" s="576">
        <v>78129</v>
      </c>
      <c r="F5067" s="576">
        <v>326129</v>
      </c>
      <c r="G5067" s="576">
        <v>8681</v>
      </c>
      <c r="H5067" s="576">
        <v>26454</v>
      </c>
    </row>
    <row r="5068" spans="1:8">
      <c r="A5068" s="575" t="s">
        <v>645</v>
      </c>
      <c r="B5068" s="575">
        <v>248000</v>
      </c>
      <c r="C5068" s="576">
        <v>18</v>
      </c>
      <c r="D5068" s="576">
        <v>0.315</v>
      </c>
      <c r="E5068" s="576">
        <v>117191</v>
      </c>
      <c r="F5068" s="576">
        <v>365191</v>
      </c>
      <c r="G5068" s="576">
        <v>13021</v>
      </c>
      <c r="H5068" s="576">
        <v>19565</v>
      </c>
    </row>
    <row r="5069" spans="1:8">
      <c r="A5069" s="575" t="s">
        <v>645</v>
      </c>
      <c r="B5069" s="575">
        <v>248000</v>
      </c>
      <c r="C5069" s="576">
        <v>24</v>
      </c>
      <c r="D5069" s="576">
        <v>0.315</v>
      </c>
      <c r="E5069" s="576">
        <v>156241</v>
      </c>
      <c r="F5069" s="576">
        <v>404241</v>
      </c>
      <c r="G5069" s="576">
        <v>17361</v>
      </c>
      <c r="H5069" s="576">
        <v>16120</v>
      </c>
    </row>
    <row r="5070" spans="1:8">
      <c r="A5070" s="575" t="s">
        <v>645</v>
      </c>
      <c r="B5070" s="575">
        <v>249000</v>
      </c>
      <c r="C5070" s="576">
        <v>12</v>
      </c>
      <c r="D5070" s="576">
        <v>0.315</v>
      </c>
      <c r="E5070" s="576">
        <v>78436</v>
      </c>
      <c r="F5070" s="576">
        <v>327436</v>
      </c>
      <c r="G5070" s="576">
        <v>8716</v>
      </c>
      <c r="H5070" s="576">
        <v>26560</v>
      </c>
    </row>
    <row r="5071" spans="1:8">
      <c r="A5071" s="575" t="s">
        <v>645</v>
      </c>
      <c r="B5071" s="575">
        <v>249000</v>
      </c>
      <c r="C5071" s="576">
        <v>18</v>
      </c>
      <c r="D5071" s="576">
        <v>0.315</v>
      </c>
      <c r="E5071" s="576">
        <v>117665</v>
      </c>
      <c r="F5071" s="576">
        <v>366665</v>
      </c>
      <c r="G5071" s="576">
        <v>13073</v>
      </c>
      <c r="H5071" s="576">
        <v>19644</v>
      </c>
    </row>
    <row r="5072" spans="1:8">
      <c r="A5072" s="575" t="s">
        <v>645</v>
      </c>
      <c r="B5072" s="575">
        <v>249000</v>
      </c>
      <c r="C5072" s="576">
        <v>24</v>
      </c>
      <c r="D5072" s="576">
        <v>0.315</v>
      </c>
      <c r="E5072" s="576">
        <v>156871</v>
      </c>
      <c r="F5072" s="576">
        <v>405871</v>
      </c>
      <c r="G5072" s="576">
        <v>17431</v>
      </c>
      <c r="H5072" s="576">
        <v>16185</v>
      </c>
    </row>
    <row r="5073" spans="1:8">
      <c r="A5073" s="575" t="s">
        <v>645</v>
      </c>
      <c r="B5073" s="575">
        <v>250000</v>
      </c>
      <c r="C5073" s="576">
        <v>12</v>
      </c>
      <c r="D5073" s="576">
        <v>0.315</v>
      </c>
      <c r="E5073" s="576">
        <v>78755</v>
      </c>
      <c r="F5073" s="576">
        <v>328755</v>
      </c>
      <c r="G5073" s="576">
        <v>8751</v>
      </c>
      <c r="H5073" s="576">
        <v>26667</v>
      </c>
    </row>
    <row r="5074" spans="1:8">
      <c r="A5074" s="575" t="s">
        <v>645</v>
      </c>
      <c r="B5074" s="575">
        <v>250000</v>
      </c>
      <c r="C5074" s="576">
        <v>18</v>
      </c>
      <c r="D5074" s="576">
        <v>0.315</v>
      </c>
      <c r="E5074" s="576">
        <v>118140</v>
      </c>
      <c r="F5074" s="576">
        <v>368140</v>
      </c>
      <c r="G5074" s="576">
        <v>13126</v>
      </c>
      <c r="H5074" s="576">
        <v>19723</v>
      </c>
    </row>
    <row r="5075" spans="1:8">
      <c r="A5075" s="575" t="s">
        <v>645</v>
      </c>
      <c r="B5075" s="575">
        <v>250000</v>
      </c>
      <c r="C5075" s="576">
        <v>24</v>
      </c>
      <c r="D5075" s="576">
        <v>0.315</v>
      </c>
      <c r="E5075" s="576">
        <v>157501</v>
      </c>
      <c r="F5075" s="576">
        <v>407501</v>
      </c>
      <c r="G5075" s="576">
        <v>17501</v>
      </c>
      <c r="H5075" s="576">
        <v>16250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B1:L73"/>
  <sheetViews>
    <sheetView rightToLeft="1" view="pageBreakPreview" topLeftCell="A44" zoomScaleNormal="70" zoomScaleSheetLayoutView="100" workbookViewId="0">
      <selection activeCell="G74" sqref="G74"/>
    </sheetView>
  </sheetViews>
  <sheetFormatPr defaultColWidth="8.85546875" defaultRowHeight="15"/>
  <cols>
    <col min="1" max="1" width="1.85546875" style="196" customWidth="1"/>
    <col min="2" max="2" width="4" style="196" customWidth="1"/>
    <col min="3" max="3" width="5.28515625" style="196" customWidth="1"/>
    <col min="4" max="4" width="1" style="196" customWidth="1"/>
    <col min="5" max="5" width="2.5703125" style="196" customWidth="1"/>
    <col min="6" max="6" width="22.28515625" style="196" customWidth="1"/>
    <col min="7" max="7" width="9.7109375" style="196" customWidth="1"/>
    <col min="8" max="8" width="7.85546875" style="196" customWidth="1"/>
    <col min="9" max="9" width="13" style="196" customWidth="1"/>
    <col min="10" max="10" width="15.5703125" style="196" customWidth="1"/>
    <col min="11" max="11" width="16.5703125" style="196" customWidth="1"/>
    <col min="12" max="12" width="33.85546875" style="196" customWidth="1"/>
    <col min="13" max="13" width="3.7109375" style="196" customWidth="1"/>
    <col min="14" max="16384" width="8.85546875" style="196"/>
  </cols>
  <sheetData>
    <row r="1" spans="2:12" ht="15.75" thickBot="1">
      <c r="B1" s="195"/>
      <c r="C1" s="195"/>
      <c r="D1" s="195"/>
      <c r="E1" s="195"/>
      <c r="F1" s="195"/>
      <c r="G1" s="195"/>
      <c r="H1" s="195"/>
      <c r="I1" s="195"/>
      <c r="J1" s="195"/>
      <c r="K1" s="195"/>
      <c r="L1" s="195"/>
    </row>
    <row r="2" spans="2:12" ht="9" customHeight="1" thickTop="1">
      <c r="B2" s="197"/>
      <c r="C2" s="198"/>
      <c r="D2" s="198"/>
      <c r="E2" s="198"/>
      <c r="F2" s="198"/>
      <c r="G2" s="198"/>
      <c r="H2" s="198"/>
      <c r="I2" s="198"/>
      <c r="J2" s="198"/>
      <c r="K2" s="198"/>
      <c r="L2" s="199"/>
    </row>
    <row r="3" spans="2:12" ht="30.6" customHeight="1">
      <c r="B3" s="200"/>
      <c r="C3" s="195"/>
      <c r="D3" s="195"/>
      <c r="E3" s="195"/>
      <c r="F3" s="195"/>
      <c r="G3" s="195"/>
      <c r="H3" s="195"/>
      <c r="I3" s="195"/>
      <c r="J3" s="195"/>
      <c r="K3" s="195"/>
      <c r="L3" s="201"/>
    </row>
    <row r="4" spans="2:12" ht="20.45" customHeight="1">
      <c r="B4" s="200"/>
      <c r="C4" s="195"/>
      <c r="D4" s="195"/>
      <c r="E4" s="195"/>
      <c r="F4" s="195"/>
      <c r="G4" s="195"/>
      <c r="H4" s="195"/>
      <c r="I4" s="195"/>
      <c r="J4" s="195"/>
      <c r="K4" s="195"/>
      <c r="L4" s="201"/>
    </row>
    <row r="5" spans="2:12" ht="15.75" customHeight="1">
      <c r="B5" s="200"/>
      <c r="C5" s="195"/>
      <c r="D5" s="195"/>
      <c r="E5" s="195"/>
      <c r="F5" s="195"/>
      <c r="G5" s="195"/>
      <c r="H5" s="195"/>
      <c r="I5" s="195"/>
      <c r="J5" s="195"/>
      <c r="K5" s="195"/>
      <c r="L5" s="201"/>
    </row>
    <row r="6" spans="2:12" ht="8.25" customHeight="1">
      <c r="B6" s="200"/>
      <c r="C6" s="195"/>
      <c r="D6" s="195"/>
      <c r="E6" s="195"/>
      <c r="F6" s="195"/>
      <c r="G6" s="195"/>
      <c r="H6" s="195"/>
      <c r="I6" s="195"/>
      <c r="J6" s="195"/>
      <c r="K6" s="195"/>
      <c r="L6" s="201"/>
    </row>
    <row r="7" spans="2:12" ht="20.25">
      <c r="B7" s="200"/>
      <c r="C7" s="195"/>
      <c r="D7" s="195"/>
      <c r="E7" s="195"/>
      <c r="F7" s="195"/>
      <c r="G7" s="195"/>
      <c r="H7" s="195"/>
      <c r="I7" s="202" t="s">
        <v>659</v>
      </c>
      <c r="J7" s="195"/>
      <c r="K7" s="195"/>
      <c r="L7" s="201"/>
    </row>
    <row r="8" spans="2:12" hidden="1">
      <c r="B8" s="200"/>
      <c r="C8" s="195"/>
      <c r="D8" s="195"/>
      <c r="E8" s="195"/>
      <c r="F8" s="195"/>
      <c r="G8" s="195"/>
      <c r="H8" s="195"/>
      <c r="I8" s="195"/>
      <c r="J8" s="195"/>
      <c r="K8" s="195"/>
      <c r="L8" s="201"/>
    </row>
    <row r="9" spans="2:12" ht="12" customHeight="1">
      <c r="B9" s="200"/>
      <c r="C9" s="195"/>
      <c r="D9" s="195"/>
      <c r="E9" s="195"/>
      <c r="F9" s="195"/>
      <c r="G9" s="195"/>
      <c r="I9" s="195"/>
      <c r="J9" s="195"/>
      <c r="K9" s="195"/>
      <c r="L9" s="201"/>
    </row>
    <row r="10" spans="2:12" hidden="1">
      <c r="B10" s="200"/>
      <c r="C10" s="195"/>
      <c r="D10" s="195"/>
      <c r="E10" s="195"/>
      <c r="F10" s="195"/>
      <c r="G10" s="195"/>
      <c r="H10" s="195"/>
      <c r="I10" s="195"/>
      <c r="J10" s="195"/>
      <c r="K10" s="195"/>
      <c r="L10" s="201"/>
    </row>
    <row r="11" spans="2:12" ht="27.75">
      <c r="B11" s="203" t="s">
        <v>660</v>
      </c>
      <c r="C11" s="204"/>
      <c r="D11" s="204"/>
      <c r="E11" s="195"/>
      <c r="F11" s="195"/>
      <c r="G11" s="241" t="str">
        <f>عقد!C9</f>
        <v>منتصر نخله روس شنوده</v>
      </c>
      <c r="H11" s="242"/>
      <c r="I11" s="242"/>
      <c r="J11" s="195"/>
      <c r="K11" s="195"/>
      <c r="L11" s="201"/>
    </row>
    <row r="12" spans="2:12" ht="15" hidden="1" customHeight="1">
      <c r="B12" s="205"/>
      <c r="C12" s="204"/>
      <c r="D12" s="204"/>
      <c r="E12" s="195"/>
      <c r="F12" s="195"/>
      <c r="G12" s="195"/>
      <c r="H12" s="195"/>
      <c r="I12" s="195"/>
      <c r="J12" s="195"/>
      <c r="K12" s="195"/>
      <c r="L12" s="201"/>
    </row>
    <row r="13" spans="2:12" ht="27.75">
      <c r="B13" s="203" t="s">
        <v>661</v>
      </c>
      <c r="C13" s="204"/>
      <c r="D13" s="204"/>
      <c r="E13" s="195"/>
      <c r="F13" s="772">
        <f>عقد!C10</f>
        <v>27703292700272</v>
      </c>
      <c r="G13" s="773"/>
      <c r="H13" s="206"/>
      <c r="I13" s="207" t="s">
        <v>662</v>
      </c>
      <c r="J13" s="774">
        <f>عقد!M1</f>
        <v>374</v>
      </c>
      <c r="K13" s="775"/>
      <c r="L13" s="201"/>
    </row>
    <row r="14" spans="2:12" ht="15" hidden="1" customHeight="1">
      <c r="B14" s="203"/>
      <c r="C14" s="204"/>
      <c r="D14" s="204"/>
      <c r="E14" s="195"/>
      <c r="F14" s="206"/>
      <c r="G14" s="206"/>
      <c r="H14" s="206"/>
      <c r="I14" s="206"/>
      <c r="J14" s="206"/>
      <c r="K14" s="206"/>
      <c r="L14" s="201"/>
    </row>
    <row r="15" spans="2:12" ht="27.75">
      <c r="B15" s="208" t="s">
        <v>663</v>
      </c>
      <c r="C15" s="209"/>
      <c r="D15" s="209"/>
      <c r="E15" s="195"/>
      <c r="F15" s="776">
        <f>عقد!C11</f>
        <v>0</v>
      </c>
      <c r="G15" s="776"/>
      <c r="H15" s="776"/>
      <c r="I15" s="776"/>
      <c r="J15" s="776"/>
      <c r="K15" s="776"/>
      <c r="L15" s="201"/>
    </row>
    <row r="16" spans="2:12" ht="15" hidden="1" customHeight="1">
      <c r="B16" s="203"/>
      <c r="C16" s="204"/>
      <c r="D16" s="204"/>
      <c r="E16" s="195"/>
      <c r="F16" s="206"/>
      <c r="G16" s="206"/>
      <c r="H16" s="206"/>
      <c r="I16" s="206"/>
      <c r="J16" s="206"/>
      <c r="K16" s="206"/>
      <c r="L16" s="201"/>
    </row>
    <row r="17" spans="2:12" ht="27.75">
      <c r="B17" s="208" t="s">
        <v>664</v>
      </c>
      <c r="C17" s="209"/>
      <c r="D17" s="209"/>
      <c r="E17" s="195"/>
      <c r="F17" s="777">
        <f>عقد!L14</f>
        <v>1272219004</v>
      </c>
      <c r="G17" s="777"/>
      <c r="H17" s="206"/>
      <c r="I17" s="206"/>
      <c r="J17" s="206"/>
      <c r="K17" s="206"/>
      <c r="L17" s="201"/>
    </row>
    <row r="18" spans="2:12" ht="15" hidden="1" customHeight="1">
      <c r="B18" s="205"/>
      <c r="C18" s="204"/>
      <c r="D18" s="204"/>
      <c r="E18" s="195"/>
      <c r="F18" s="195"/>
      <c r="G18" s="195"/>
      <c r="H18" s="195"/>
      <c r="I18" s="195"/>
      <c r="J18" s="195"/>
      <c r="K18" s="195"/>
      <c r="L18" s="201"/>
    </row>
    <row r="19" spans="2:12" ht="27.75" customHeight="1">
      <c r="B19" s="210" t="s">
        <v>665</v>
      </c>
      <c r="C19" s="211"/>
      <c r="D19" s="211"/>
      <c r="E19" s="211"/>
      <c r="F19" s="211"/>
      <c r="G19" s="211"/>
      <c r="H19" s="211"/>
      <c r="I19" s="211"/>
      <c r="J19" s="211"/>
      <c r="K19" s="211"/>
      <c r="L19" s="212"/>
    </row>
    <row r="20" spans="2:12" ht="33" customHeight="1">
      <c r="B20" s="213" t="s">
        <v>666</v>
      </c>
      <c r="C20" s="214"/>
      <c r="D20" s="214"/>
      <c r="E20" s="209"/>
      <c r="F20" s="209"/>
      <c r="G20" s="209"/>
      <c r="H20" s="209"/>
      <c r="I20" s="209"/>
      <c r="J20" s="209"/>
      <c r="K20" s="209"/>
      <c r="L20" s="215"/>
    </row>
    <row r="21" spans="2:12" ht="15" hidden="1" customHeight="1">
      <c r="B21" s="205"/>
      <c r="C21" s="204"/>
      <c r="D21" s="204"/>
      <c r="E21" s="195"/>
      <c r="F21" s="195"/>
      <c r="G21" s="195"/>
      <c r="H21" s="195"/>
      <c r="I21" s="195"/>
      <c r="J21" s="195"/>
      <c r="K21" s="195"/>
      <c r="L21" s="201"/>
    </row>
    <row r="22" spans="2:12" ht="27.75">
      <c r="B22" s="200"/>
      <c r="C22" s="216" t="s">
        <v>667</v>
      </c>
      <c r="D22" s="195"/>
      <c r="E22" s="209" t="s">
        <v>668</v>
      </c>
      <c r="F22" s="195"/>
      <c r="G22" s="195"/>
      <c r="H22" s="195"/>
      <c r="I22" s="195"/>
      <c r="J22" s="195"/>
      <c r="K22" s="195"/>
      <c r="L22" s="201"/>
    </row>
    <row r="23" spans="2:12" ht="11.25" customHeight="1">
      <c r="B23" s="205"/>
      <c r="C23" s="204"/>
      <c r="D23" s="204"/>
      <c r="E23" s="195"/>
      <c r="F23" s="195"/>
      <c r="G23" s="195"/>
      <c r="H23" s="195"/>
      <c r="I23" s="195"/>
      <c r="J23" s="195"/>
      <c r="K23" s="195"/>
      <c r="L23" s="201"/>
    </row>
    <row r="24" spans="2:12" ht="26.25" customHeight="1">
      <c r="B24" s="200"/>
      <c r="C24" s="217"/>
      <c r="D24" s="195"/>
      <c r="E24" s="209" t="s">
        <v>669</v>
      </c>
      <c r="F24" s="195"/>
      <c r="H24" s="218"/>
      <c r="I24" s="218"/>
      <c r="J24" s="218"/>
      <c r="K24" s="218"/>
      <c r="L24" s="219"/>
    </row>
    <row r="25" spans="2:12" ht="11.25" customHeight="1">
      <c r="B25" s="208"/>
      <c r="C25" s="209"/>
      <c r="D25" s="195"/>
      <c r="E25" s="195"/>
      <c r="F25" s="195"/>
      <c r="G25" s="218"/>
      <c r="H25" s="218"/>
      <c r="I25" s="218"/>
      <c r="J25" s="218"/>
      <c r="K25" s="218"/>
      <c r="L25" s="219"/>
    </row>
    <row r="26" spans="2:12" ht="27.75">
      <c r="B26" s="200"/>
      <c r="C26" s="220"/>
      <c r="D26" s="221"/>
      <c r="E26" s="221" t="s">
        <v>670</v>
      </c>
      <c r="F26" s="195"/>
      <c r="G26" s="221"/>
      <c r="H26" s="221"/>
      <c r="I26" s="221"/>
      <c r="J26" s="221"/>
      <c r="K26" s="221"/>
      <c r="L26" s="222"/>
    </row>
    <row r="27" spans="2:12" ht="27.75">
      <c r="B27" s="223"/>
      <c r="C27" s="209"/>
      <c r="D27" s="209"/>
      <c r="E27" s="209" t="s">
        <v>671</v>
      </c>
      <c r="F27" s="195"/>
      <c r="G27" s="209"/>
      <c r="H27" s="209"/>
      <c r="I27" s="209"/>
      <c r="J27" s="209"/>
      <c r="K27" s="209"/>
      <c r="L27" s="215"/>
    </row>
    <row r="28" spans="2:12" ht="27.75" hidden="1">
      <c r="B28" s="223"/>
      <c r="C28" s="209"/>
      <c r="D28" s="209"/>
      <c r="E28" s="209"/>
      <c r="F28" s="195"/>
      <c r="G28" s="209"/>
      <c r="H28" s="209"/>
      <c r="I28" s="209"/>
      <c r="J28" s="209"/>
      <c r="K28" s="209"/>
      <c r="L28" s="215"/>
    </row>
    <row r="29" spans="2:12" ht="27.75">
      <c r="B29" s="203" t="s">
        <v>672</v>
      </c>
      <c r="C29" s="204"/>
      <c r="D29" s="204"/>
      <c r="E29" s="195"/>
      <c r="F29" s="241">
        <f>الكفالة!E4</f>
        <v>0</v>
      </c>
      <c r="G29" s="243"/>
      <c r="H29" s="206"/>
      <c r="I29" s="206"/>
      <c r="J29" s="206"/>
      <c r="K29" s="206"/>
      <c r="L29" s="201"/>
    </row>
    <row r="30" spans="2:12" ht="15" hidden="1" customHeight="1">
      <c r="B30" s="205"/>
      <c r="C30" s="204"/>
      <c r="D30" s="204"/>
      <c r="E30" s="195"/>
      <c r="F30" s="206"/>
      <c r="G30" s="206"/>
      <c r="H30" s="206"/>
      <c r="I30" s="206"/>
      <c r="J30" s="206"/>
      <c r="K30" s="206"/>
      <c r="L30" s="201"/>
    </row>
    <row r="31" spans="2:12" ht="27.75">
      <c r="B31" s="203" t="s">
        <v>661</v>
      </c>
      <c r="C31" s="204"/>
      <c r="D31" s="204"/>
      <c r="E31" s="195"/>
      <c r="F31" s="772">
        <f>الكفالة!L4</f>
        <v>0</v>
      </c>
      <c r="G31" s="773"/>
      <c r="H31" s="206"/>
      <c r="I31" s="207"/>
      <c r="J31" s="772"/>
      <c r="K31" s="773"/>
      <c r="L31" s="201"/>
    </row>
    <row r="32" spans="2:12" ht="15" hidden="1" customHeight="1">
      <c r="B32" s="205"/>
      <c r="C32" s="204"/>
      <c r="D32" s="204"/>
      <c r="E32" s="195"/>
      <c r="F32" s="206"/>
      <c r="G32" s="206"/>
      <c r="H32" s="206"/>
      <c r="I32" s="206"/>
      <c r="J32" s="206"/>
      <c r="K32" s="206"/>
      <c r="L32" s="201"/>
    </row>
    <row r="33" spans="2:12" ht="27.75">
      <c r="B33" s="208" t="s">
        <v>663</v>
      </c>
      <c r="C33" s="209"/>
      <c r="D33" s="209"/>
      <c r="E33" s="195"/>
      <c r="F33" s="776">
        <f>الكفالة!E6</f>
        <v>0</v>
      </c>
      <c r="G33" s="776"/>
      <c r="H33" s="776"/>
      <c r="I33" s="776"/>
      <c r="J33" s="776"/>
      <c r="K33" s="776"/>
      <c r="L33" s="201"/>
    </row>
    <row r="34" spans="2:12" ht="15" hidden="1" customHeight="1">
      <c r="B34" s="205"/>
      <c r="C34" s="204"/>
      <c r="D34" s="204"/>
      <c r="E34" s="195"/>
      <c r="F34" s="206"/>
      <c r="G34" s="206"/>
      <c r="H34" s="206"/>
      <c r="I34" s="206"/>
      <c r="J34" s="206"/>
      <c r="K34" s="206"/>
      <c r="L34" s="201"/>
    </row>
    <row r="35" spans="2:12" ht="27.75">
      <c r="B35" s="208" t="s">
        <v>664</v>
      </c>
      <c r="C35" s="209"/>
      <c r="D35" s="209"/>
      <c r="E35" s="195"/>
      <c r="F35" s="777">
        <f>الكفالة!L5</f>
        <v>0</v>
      </c>
      <c r="G35" s="777"/>
      <c r="H35" s="206"/>
      <c r="I35" s="206"/>
      <c r="J35" s="206"/>
      <c r="K35" s="206"/>
      <c r="L35" s="201"/>
    </row>
    <row r="36" spans="2:12" ht="15" hidden="1" customHeight="1">
      <c r="B36" s="205"/>
      <c r="C36" s="204"/>
      <c r="D36" s="204"/>
      <c r="E36" s="195"/>
      <c r="F36" s="195"/>
      <c r="G36" s="195"/>
      <c r="H36" s="195"/>
      <c r="I36" s="195"/>
      <c r="J36" s="195"/>
      <c r="K36" s="195"/>
      <c r="L36" s="201"/>
    </row>
    <row r="37" spans="2:12" ht="26.25" customHeight="1">
      <c r="B37" s="210" t="s">
        <v>673</v>
      </c>
      <c r="C37" s="211"/>
      <c r="D37" s="211"/>
      <c r="E37" s="211"/>
      <c r="F37" s="211"/>
      <c r="G37" s="211"/>
      <c r="H37" s="211"/>
      <c r="I37" s="211"/>
      <c r="J37" s="211"/>
      <c r="K37" s="211"/>
      <c r="L37" s="212"/>
    </row>
    <row r="38" spans="2:12" ht="33" customHeight="1">
      <c r="B38" s="213" t="s">
        <v>674</v>
      </c>
      <c r="C38" s="214"/>
      <c r="D38" s="214"/>
      <c r="E38" s="209"/>
      <c r="F38" s="209"/>
      <c r="G38" s="209"/>
      <c r="H38" s="209"/>
      <c r="I38" s="209"/>
      <c r="J38" s="209"/>
      <c r="K38" s="209"/>
      <c r="L38" s="215"/>
    </row>
    <row r="39" spans="2:12" ht="15" hidden="1" customHeight="1">
      <c r="B39" s="205"/>
      <c r="C39" s="204"/>
      <c r="D39" s="204"/>
      <c r="E39" s="195"/>
      <c r="F39" s="195"/>
      <c r="G39" s="195"/>
      <c r="H39" s="195"/>
      <c r="I39" s="195"/>
      <c r="J39" s="195"/>
      <c r="K39" s="195"/>
      <c r="L39" s="201"/>
    </row>
    <row r="40" spans="2:12" ht="27.75">
      <c r="B40" s="200"/>
      <c r="C40" s="216" t="s">
        <v>667</v>
      </c>
      <c r="D40" s="195"/>
      <c r="E40" s="209" t="s">
        <v>675</v>
      </c>
      <c r="F40" s="195"/>
      <c r="G40" s="195"/>
      <c r="H40" s="195"/>
      <c r="I40" s="195"/>
      <c r="J40" s="195"/>
      <c r="K40" s="195"/>
      <c r="L40" s="201"/>
    </row>
    <row r="41" spans="2:12" ht="11.25" customHeight="1">
      <c r="B41" s="205"/>
      <c r="C41" s="204"/>
      <c r="D41" s="204"/>
      <c r="E41" s="195"/>
      <c r="F41" s="195"/>
      <c r="G41" s="195"/>
      <c r="H41" s="195"/>
      <c r="I41" s="195"/>
      <c r="J41" s="195"/>
      <c r="K41" s="195"/>
      <c r="L41" s="201"/>
    </row>
    <row r="42" spans="2:12" ht="27.75">
      <c r="B42" s="200"/>
      <c r="C42" s="217"/>
      <c r="D42" s="195"/>
      <c r="E42" s="209" t="s">
        <v>676</v>
      </c>
      <c r="F42" s="195"/>
      <c r="H42" s="218"/>
      <c r="I42" s="218"/>
      <c r="J42" s="218"/>
      <c r="K42" s="218"/>
      <c r="L42" s="219"/>
    </row>
    <row r="43" spans="2:12" ht="11.25" customHeight="1">
      <c r="B43" s="208" t="s">
        <v>677</v>
      </c>
      <c r="C43" s="209"/>
      <c r="D43" s="195"/>
      <c r="E43" s="195"/>
      <c r="F43" s="195"/>
      <c r="G43" s="218"/>
      <c r="H43" s="218"/>
      <c r="I43" s="218"/>
      <c r="J43" s="218"/>
      <c r="K43" s="218"/>
      <c r="L43" s="219"/>
    </row>
    <row r="44" spans="2:12" ht="27.75">
      <c r="B44" s="200"/>
      <c r="C44" s="220"/>
      <c r="D44" s="221"/>
      <c r="E44" s="221" t="s">
        <v>678</v>
      </c>
      <c r="F44" s="195"/>
      <c r="G44" s="221"/>
      <c r="H44" s="221"/>
      <c r="I44" s="221"/>
      <c r="J44" s="221"/>
      <c r="K44" s="221"/>
      <c r="L44" s="222"/>
    </row>
    <row r="45" spans="2:12" ht="27.75">
      <c r="B45" s="223"/>
      <c r="C45" s="209"/>
      <c r="D45" s="209"/>
      <c r="E45" s="209" t="s">
        <v>679</v>
      </c>
      <c r="F45" s="195"/>
      <c r="G45" s="209"/>
      <c r="H45" s="209"/>
      <c r="I45" s="209"/>
      <c r="J45" s="209"/>
      <c r="K45" s="209"/>
      <c r="L45" s="215"/>
    </row>
    <row r="46" spans="2:12" ht="27.75" hidden="1">
      <c r="B46" s="223"/>
      <c r="C46" s="209"/>
      <c r="D46" s="209"/>
      <c r="E46" s="209"/>
      <c r="F46" s="195"/>
      <c r="G46" s="209"/>
      <c r="H46" s="209"/>
      <c r="I46" s="209"/>
      <c r="J46" s="209"/>
      <c r="K46" s="209"/>
      <c r="L46" s="215"/>
    </row>
    <row r="47" spans="2:12" ht="27.75">
      <c r="B47" s="203" t="s">
        <v>672</v>
      </c>
      <c r="C47" s="204"/>
      <c r="D47" s="204"/>
      <c r="E47" s="195"/>
      <c r="F47" s="241">
        <f>الكفالة!E18</f>
        <v>0</v>
      </c>
      <c r="G47" s="243"/>
      <c r="H47" s="206"/>
      <c r="I47" s="206"/>
      <c r="J47" s="206"/>
      <c r="K47" s="206"/>
      <c r="L47" s="201"/>
    </row>
    <row r="48" spans="2:12" ht="15" hidden="1" customHeight="1">
      <c r="B48" s="205"/>
      <c r="C48" s="204"/>
      <c r="D48" s="204"/>
      <c r="E48" s="195"/>
      <c r="F48" s="206"/>
      <c r="G48" s="206"/>
      <c r="H48" s="206"/>
      <c r="I48" s="206"/>
      <c r="J48" s="206"/>
      <c r="K48" s="206"/>
      <c r="L48" s="201"/>
    </row>
    <row r="49" spans="2:12" ht="27.75">
      <c r="B49" s="203" t="s">
        <v>661</v>
      </c>
      <c r="C49" s="204"/>
      <c r="D49" s="204"/>
      <c r="E49" s="195"/>
      <c r="F49" s="772">
        <f>الكفالة!L18</f>
        <v>0</v>
      </c>
      <c r="G49" s="773"/>
      <c r="H49" s="206"/>
      <c r="I49" s="207"/>
      <c r="J49" s="772"/>
      <c r="K49" s="773"/>
      <c r="L49" s="201"/>
    </row>
    <row r="50" spans="2:12" ht="15" hidden="1" customHeight="1">
      <c r="B50" s="205"/>
      <c r="C50" s="204"/>
      <c r="D50" s="204"/>
      <c r="E50" s="195"/>
      <c r="F50" s="206"/>
      <c r="G50" s="206"/>
      <c r="H50" s="206"/>
      <c r="I50" s="206"/>
      <c r="J50" s="206"/>
      <c r="K50" s="206"/>
      <c r="L50" s="201"/>
    </row>
    <row r="51" spans="2:12" ht="27.75">
      <c r="B51" s="208" t="s">
        <v>663</v>
      </c>
      <c r="C51" s="209"/>
      <c r="D51" s="209"/>
      <c r="E51" s="195"/>
      <c r="F51" s="776">
        <f>الكفالة!E20</f>
        <v>0</v>
      </c>
      <c r="G51" s="776"/>
      <c r="H51" s="776"/>
      <c r="I51" s="776"/>
      <c r="J51" s="776"/>
      <c r="K51" s="776"/>
      <c r="L51" s="201"/>
    </row>
    <row r="52" spans="2:12" ht="15" hidden="1" customHeight="1">
      <c r="B52" s="205"/>
      <c r="C52" s="204"/>
      <c r="D52" s="204"/>
      <c r="E52" s="195"/>
      <c r="F52" s="206"/>
      <c r="G52" s="206"/>
      <c r="H52" s="206"/>
      <c r="I52" s="206"/>
      <c r="J52" s="206"/>
      <c r="K52" s="206"/>
      <c r="L52" s="201"/>
    </row>
    <row r="53" spans="2:12" ht="27.75">
      <c r="B53" s="208" t="s">
        <v>664</v>
      </c>
      <c r="C53" s="209"/>
      <c r="D53" s="209"/>
      <c r="E53" s="195"/>
      <c r="F53" s="777">
        <f>الكفالة!L19</f>
        <v>0</v>
      </c>
      <c r="G53" s="777"/>
      <c r="H53" s="206"/>
      <c r="I53" s="206"/>
      <c r="J53" s="206"/>
      <c r="K53" s="206"/>
      <c r="L53" s="201"/>
    </row>
    <row r="54" spans="2:12" ht="15" hidden="1" customHeight="1">
      <c r="B54" s="205"/>
      <c r="C54" s="204"/>
      <c r="D54" s="204"/>
      <c r="E54" s="195"/>
      <c r="F54" s="195"/>
      <c r="G54" s="195"/>
      <c r="H54" s="195"/>
      <c r="I54" s="195"/>
      <c r="J54" s="195"/>
      <c r="K54" s="195"/>
      <c r="L54" s="201"/>
    </row>
    <row r="55" spans="2:12" ht="27.75" customHeight="1">
      <c r="B55" s="210" t="s">
        <v>680</v>
      </c>
      <c r="C55" s="211"/>
      <c r="D55" s="211"/>
      <c r="E55" s="211"/>
      <c r="F55" s="211"/>
      <c r="G55" s="211"/>
      <c r="H55" s="211"/>
      <c r="I55" s="211"/>
      <c r="J55" s="211"/>
      <c r="K55" s="211"/>
      <c r="L55" s="212"/>
    </row>
    <row r="56" spans="2:12" ht="31.15" customHeight="1">
      <c r="B56" s="213" t="s">
        <v>666</v>
      </c>
      <c r="C56" s="214"/>
      <c r="D56" s="214"/>
      <c r="E56" s="209"/>
      <c r="F56" s="209"/>
      <c r="G56" s="209"/>
      <c r="H56" s="209"/>
      <c r="I56" s="209"/>
      <c r="J56" s="209"/>
      <c r="K56" s="209"/>
      <c r="L56" s="215"/>
    </row>
    <row r="57" spans="2:12" ht="27.75">
      <c r="B57" s="200"/>
      <c r="C57" s="216" t="s">
        <v>667</v>
      </c>
      <c r="D57" s="195"/>
      <c r="E57" s="209" t="s">
        <v>675</v>
      </c>
      <c r="F57" s="195"/>
      <c r="G57" s="195"/>
      <c r="H57" s="195"/>
      <c r="I57" s="195"/>
      <c r="J57" s="195"/>
      <c r="K57" s="195"/>
      <c r="L57" s="201"/>
    </row>
    <row r="58" spans="2:12" ht="11.25" customHeight="1">
      <c r="B58" s="205"/>
      <c r="C58" s="204"/>
      <c r="D58" s="204"/>
      <c r="E58" s="195"/>
      <c r="F58" s="195"/>
      <c r="G58" s="195"/>
      <c r="H58" s="195"/>
      <c r="I58" s="195"/>
      <c r="J58" s="195"/>
      <c r="K58" s="195"/>
      <c r="L58" s="201"/>
    </row>
    <row r="59" spans="2:12" ht="27.75">
      <c r="B59" s="200"/>
      <c r="C59" s="217"/>
      <c r="D59" s="195"/>
      <c r="E59" s="209" t="s">
        <v>676</v>
      </c>
      <c r="F59" s="195"/>
      <c r="H59" s="218"/>
      <c r="I59" s="218"/>
      <c r="J59" s="218"/>
      <c r="K59" s="218"/>
      <c r="L59" s="219"/>
    </row>
    <row r="60" spans="2:12" ht="11.25" customHeight="1">
      <c r="B60" s="208"/>
      <c r="C60" s="209"/>
      <c r="D60" s="195"/>
      <c r="E60" s="195"/>
      <c r="F60" s="195"/>
      <c r="G60" s="218"/>
      <c r="H60" s="218"/>
      <c r="I60" s="218"/>
      <c r="J60" s="218"/>
      <c r="K60" s="218"/>
      <c r="L60" s="219"/>
    </row>
    <row r="61" spans="2:12" ht="27.75">
      <c r="B61" s="200"/>
      <c r="C61" s="220"/>
      <c r="D61" s="221"/>
      <c r="E61" s="221" t="s">
        <v>681</v>
      </c>
      <c r="F61" s="195"/>
      <c r="G61" s="221"/>
      <c r="H61" s="221"/>
      <c r="I61" s="221"/>
      <c r="J61" s="221"/>
      <c r="K61" s="221"/>
      <c r="L61" s="222"/>
    </row>
    <row r="62" spans="2:12" ht="27.75">
      <c r="B62" s="223"/>
      <c r="C62" s="209"/>
      <c r="D62" s="209"/>
      <c r="E62" s="209" t="s">
        <v>671</v>
      </c>
      <c r="F62" s="195"/>
      <c r="G62" s="209"/>
      <c r="H62" s="209"/>
      <c r="I62" s="209"/>
      <c r="J62" s="209"/>
      <c r="K62" s="209"/>
      <c r="L62" s="215"/>
    </row>
    <row r="63" spans="2:12" ht="27.75" hidden="1">
      <c r="B63" s="223"/>
      <c r="C63" s="209"/>
      <c r="D63" s="209"/>
      <c r="E63" s="209"/>
      <c r="F63" s="195"/>
      <c r="G63" s="209"/>
      <c r="H63" s="209"/>
      <c r="I63" s="209"/>
      <c r="J63" s="209"/>
      <c r="K63" s="209"/>
      <c r="L63" s="215"/>
    </row>
    <row r="64" spans="2:12" ht="32.25" customHeight="1">
      <c r="B64" s="224"/>
      <c r="C64" s="225"/>
      <c r="D64" s="225"/>
      <c r="E64" s="195"/>
      <c r="F64" s="225" t="s">
        <v>682</v>
      </c>
      <c r="G64" s="778">
        <f>'Data Validation'!P2-1</f>
        <v>45905</v>
      </c>
      <c r="H64" s="778"/>
      <c r="I64" s="195"/>
      <c r="J64" s="225" t="s">
        <v>683</v>
      </c>
      <c r="K64" s="195"/>
      <c r="L64" s="201"/>
    </row>
    <row r="65" spans="2:12" ht="31.5" hidden="1" customHeight="1">
      <c r="B65" s="205"/>
      <c r="C65" s="204"/>
      <c r="D65" s="204"/>
      <c r="E65" s="209"/>
      <c r="I65" s="195"/>
      <c r="J65" s="195"/>
      <c r="K65" s="195"/>
      <c r="L65" s="201"/>
    </row>
    <row r="66" spans="2:12" ht="27.75">
      <c r="B66" s="200"/>
      <c r="C66" s="195"/>
      <c r="D66" s="195"/>
      <c r="E66" s="195"/>
      <c r="F66" s="195"/>
      <c r="G66" s="195"/>
      <c r="H66" s="195"/>
      <c r="I66" s="195"/>
      <c r="J66" s="195"/>
      <c r="K66" s="226" t="s">
        <v>186</v>
      </c>
      <c r="L66" s="201"/>
    </row>
    <row r="67" spans="2:12" ht="13.5" customHeight="1">
      <c r="B67" s="200"/>
      <c r="C67" s="195"/>
      <c r="D67" s="195"/>
      <c r="E67" s="195"/>
      <c r="F67" s="195"/>
      <c r="G67" s="195"/>
      <c r="H67" s="195"/>
      <c r="I67" s="195"/>
      <c r="J67" s="195"/>
      <c r="K67" s="227"/>
      <c r="L67" s="201"/>
    </row>
    <row r="68" spans="2:12" ht="27.75">
      <c r="B68" s="200"/>
      <c r="C68" s="195"/>
      <c r="D68" s="195"/>
      <c r="E68" s="195"/>
      <c r="F68" s="195"/>
      <c r="G68" s="195"/>
      <c r="H68" s="195"/>
      <c r="I68" s="195"/>
      <c r="K68" s="209" t="s">
        <v>684</v>
      </c>
      <c r="L68" s="228"/>
    </row>
    <row r="69" spans="2:12" ht="27.75" hidden="1">
      <c r="B69" s="200"/>
      <c r="C69" s="195"/>
      <c r="D69" s="195"/>
      <c r="E69" s="195"/>
      <c r="F69" s="195"/>
      <c r="G69" s="195"/>
      <c r="H69" s="195"/>
      <c r="I69" s="195"/>
      <c r="J69" s="195"/>
      <c r="K69" s="229"/>
      <c r="L69" s="201"/>
    </row>
    <row r="70" spans="2:12" hidden="1">
      <c r="B70" s="200"/>
      <c r="C70" s="195"/>
      <c r="D70" s="195"/>
      <c r="E70" s="195"/>
      <c r="F70" s="195"/>
      <c r="G70" s="195"/>
      <c r="H70" s="195"/>
      <c r="I70" s="195"/>
      <c r="J70" s="195"/>
      <c r="K70" s="195"/>
      <c r="L70" s="201"/>
    </row>
    <row r="71" spans="2:12">
      <c r="B71" s="200"/>
      <c r="C71" s="195"/>
      <c r="D71" s="195"/>
      <c r="E71" s="195"/>
      <c r="F71" s="195"/>
      <c r="G71" s="195"/>
      <c r="H71" s="195"/>
      <c r="I71" s="195"/>
      <c r="J71" s="195"/>
      <c r="K71" s="195"/>
      <c r="L71" s="201"/>
    </row>
    <row r="72" spans="2:12" ht="15.75" thickBot="1">
      <c r="B72" s="230"/>
      <c r="C72" s="231"/>
      <c r="D72" s="231"/>
      <c r="E72" s="231"/>
      <c r="F72" s="231"/>
      <c r="G72" s="231"/>
      <c r="H72" s="231"/>
      <c r="I72" s="231"/>
      <c r="J72" s="231"/>
      <c r="K72" s="231"/>
      <c r="L72" s="232"/>
    </row>
    <row r="73" spans="2:12" ht="15.75" thickTop="1"/>
  </sheetData>
  <sheetProtection sheet="1" selectLockedCells="1"/>
  <mergeCells count="13">
    <mergeCell ref="G64:H64"/>
    <mergeCell ref="F33:K33"/>
    <mergeCell ref="F35:G35"/>
    <mergeCell ref="F49:G49"/>
    <mergeCell ref="J49:K49"/>
    <mergeCell ref="F51:K51"/>
    <mergeCell ref="F53:G53"/>
    <mergeCell ref="F13:G13"/>
    <mergeCell ref="J13:K13"/>
    <mergeCell ref="F15:K15"/>
    <mergeCell ref="F17:G17"/>
    <mergeCell ref="F31:G31"/>
    <mergeCell ref="J31:K31"/>
  </mergeCells>
  <printOptions horizontalCentered="1" verticalCentered="1"/>
  <pageMargins left="0" right="0" top="0" bottom="0" header="0" footer="0"/>
  <pageSetup paperSize="9" scale="74"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9" tint="0.39997558519241921"/>
    <pageSetUpPr fitToPage="1"/>
  </sheetPr>
  <dimension ref="A1:P60"/>
  <sheetViews>
    <sheetView rightToLeft="1" view="pageBreakPreview" topLeftCell="A12" zoomScaleNormal="100" zoomScaleSheetLayoutView="100" workbookViewId="0">
      <selection activeCell="B43" sqref="B43:D43"/>
    </sheetView>
  </sheetViews>
  <sheetFormatPr defaultColWidth="8.85546875" defaultRowHeight="17.45" customHeight="1"/>
  <cols>
    <col min="1" max="1" width="11.140625" style="141" customWidth="1"/>
    <col min="2" max="4" width="11.7109375" style="141" customWidth="1"/>
    <col min="5" max="5" width="8.85546875" style="141"/>
    <col min="6" max="6" width="14" style="141" customWidth="1"/>
    <col min="7" max="7" width="11.5703125" style="141" customWidth="1"/>
    <col min="8" max="8" width="13.28515625" style="141" customWidth="1"/>
    <col min="9" max="11" width="8.85546875" style="141"/>
    <col min="12" max="12" width="11.42578125" style="141" bestFit="1" customWidth="1"/>
    <col min="13" max="13" width="10.42578125" style="141" bestFit="1" customWidth="1"/>
    <col min="14" max="15" width="8.85546875" style="141"/>
    <col min="16" max="16" width="12.5703125" style="141" customWidth="1"/>
    <col min="17" max="16384" width="8.85546875" style="141"/>
  </cols>
  <sheetData>
    <row r="1" spans="1:16" s="130" customFormat="1" ht="5.45" customHeight="1"/>
    <row r="2" spans="1:16" s="130" customFormat="1" ht="5.45" customHeight="1">
      <c r="B2" s="847"/>
      <c r="C2" s="847"/>
      <c r="E2" s="131"/>
    </row>
    <row r="3" spans="1:16" s="130" customFormat="1" ht="5.45" customHeight="1">
      <c r="B3" s="848"/>
      <c r="C3" s="848"/>
    </row>
    <row r="4" spans="1:16" s="130" customFormat="1" ht="17.45" customHeight="1">
      <c r="A4" s="849" t="s">
        <v>207</v>
      </c>
      <c r="B4" s="850"/>
      <c r="C4" s="850"/>
      <c r="D4" s="850"/>
      <c r="E4" s="850"/>
      <c r="F4" s="246" t="str">
        <f>IF(AND(INDEX(تفصيلي!O6:O205,MATCH(J4,تفصيلي!B6:B205,0))&gt;=L11,INDEX(تفصيلي!O6:O205,MATCH(J4,تفصيلي!B6:B205,0))&lt;=M11),"منخفض المخاطر",IF(AND(INDEX(تفصيلي!O6:O205,MATCH(J4,تفصيلي!B6:B205,0))&gt;=L12,INDEX(تفصيلي!O6:O205,MATCH(J4,تفصيلي!B6:B205,0))&lt;=M12),"متوسط المخاطر",IF(AND(INDEX(تفصيلي!O6:O205,MATCH(J4,تفصيلي!B6:B205,0))&gt;=L13,INDEX(تفصيلي!O6:O205,MATCH(J4,تفصيلي!B6:B205,0))&lt;=M13),"مرتفع المخاطر")))</f>
        <v>متوسط المخاطر</v>
      </c>
      <c r="G4" s="254"/>
      <c r="H4" s="255"/>
      <c r="I4" s="130" t="s">
        <v>11</v>
      </c>
      <c r="J4" s="275">
        <f>عقد!M1</f>
        <v>374</v>
      </c>
    </row>
    <row r="5" spans="1:16" s="130" customFormat="1" ht="17.45" customHeight="1">
      <c r="A5" s="851" t="s">
        <v>78</v>
      </c>
      <c r="B5" s="852"/>
      <c r="C5" s="852"/>
      <c r="D5" s="852"/>
      <c r="E5" s="852"/>
      <c r="F5" s="852"/>
      <c r="G5" s="852"/>
      <c r="H5" s="853"/>
    </row>
    <row r="6" spans="1:16" s="130" customFormat="1" ht="17.45" customHeight="1">
      <c r="A6" s="846" t="s">
        <v>79</v>
      </c>
      <c r="B6" s="846"/>
      <c r="C6" s="846"/>
      <c r="D6" s="846"/>
      <c r="E6" s="846"/>
      <c r="F6" s="248" t="s">
        <v>210</v>
      </c>
      <c r="G6" s="854"/>
      <c r="H6" s="854"/>
    </row>
    <row r="7" spans="1:16" s="130" customFormat="1" ht="17.45" customHeight="1">
      <c r="A7" s="826" t="s">
        <v>80</v>
      </c>
      <c r="B7" s="826"/>
      <c r="C7" s="826"/>
      <c r="D7" s="826"/>
      <c r="E7" s="826"/>
      <c r="F7" s="845" t="s">
        <v>81</v>
      </c>
      <c r="G7" s="845"/>
      <c r="H7" s="845"/>
    </row>
    <row r="8" spans="1:16" s="130" customFormat="1" ht="17.45" customHeight="1">
      <c r="A8" s="846" t="s">
        <v>215</v>
      </c>
      <c r="B8" s="846"/>
      <c r="C8" s="846"/>
      <c r="D8" s="846"/>
      <c r="E8" s="846"/>
      <c r="F8" s="256">
        <f>INDEX(تفصيلي!V6:V205,MATCH('افصاح-مواعيد'!J4,تفصيلي!B6:B205,0))</f>
        <v>0.21</v>
      </c>
      <c r="G8" s="146" t="s">
        <v>83</v>
      </c>
      <c r="H8" s="248" t="s">
        <v>84</v>
      </c>
    </row>
    <row r="9" spans="1:16" s="130" customFormat="1" ht="17.45" customHeight="1">
      <c r="A9" s="842" t="s">
        <v>225</v>
      </c>
      <c r="B9" s="843"/>
      <c r="C9" s="843"/>
      <c r="D9" s="843"/>
      <c r="E9" s="844"/>
      <c r="F9" s="257">
        <f>F8-F10</f>
        <v>0.17499999999999999</v>
      </c>
      <c r="G9" s="148" t="s">
        <v>83</v>
      </c>
      <c r="H9" s="249"/>
      <c r="L9" s="821" t="s">
        <v>699</v>
      </c>
      <c r="M9" s="821"/>
      <c r="N9" s="821"/>
      <c r="O9" s="258"/>
    </row>
    <row r="10" spans="1:16" s="130" customFormat="1" ht="17.45" customHeight="1">
      <c r="A10" s="842" t="s">
        <v>224</v>
      </c>
      <c r="B10" s="843"/>
      <c r="C10" s="843"/>
      <c r="D10" s="843"/>
      <c r="E10" s="844"/>
      <c r="F10" s="259">
        <f>IF(AND(INDEX(تفصيلي!O6:O205,MATCH(J4,تفصيلي!B6:B205,0))&gt;=L11,INDEX(تفصيلي!O6:O205,MATCH(J4,تفصيلي!B6:B205,0))&lt;=M11),P11,IF(AND(INDEX(تفصيلي!O6:O205,MATCH(J4,تفصيلي!B6:B205,0))&gt;=L12,INDEX(تفصيلي!O6:O205,MATCH(J4,تفصيلي!B6:B205,0))&lt;=M12),P12,IF(AND(INDEX(تفصيلي!O6:O205,MATCH(J4,تفصيلي!B6:B205,0))&gt;=L13,INDEX(تفصيلي!O6:O205,MATCH(J4,تفصيلي!B6:B205,0))&lt;=M13),P13)))</f>
        <v>3.5000000000000003E-2</v>
      </c>
      <c r="G10" s="126" t="s">
        <v>83</v>
      </c>
      <c r="H10" s="247" t="s">
        <v>84</v>
      </c>
      <c r="L10" s="260" t="s">
        <v>700</v>
      </c>
      <c r="M10" s="260" t="s">
        <v>701</v>
      </c>
      <c r="N10" s="260" t="s">
        <v>59</v>
      </c>
      <c r="O10" s="260" t="s">
        <v>702</v>
      </c>
      <c r="P10" s="132" t="s">
        <v>703</v>
      </c>
    </row>
    <row r="11" spans="1:16" s="130" customFormat="1" ht="17.45" customHeight="1">
      <c r="A11" s="823" t="s">
        <v>89</v>
      </c>
      <c r="B11" s="824"/>
      <c r="C11" s="824"/>
      <c r="D11" s="824"/>
      <c r="E11" s="824"/>
      <c r="F11" s="824"/>
      <c r="G11" s="824"/>
      <c r="H11" s="825"/>
      <c r="L11" s="276">
        <v>6000</v>
      </c>
      <c r="M11" s="276">
        <v>14000</v>
      </c>
      <c r="N11" s="277" t="s">
        <v>704</v>
      </c>
      <c r="O11" s="276" t="s">
        <v>705</v>
      </c>
      <c r="P11" s="283">
        <v>0.03</v>
      </c>
    </row>
    <row r="12" spans="1:16" s="130" customFormat="1" ht="17.45" customHeight="1">
      <c r="A12" s="826" t="s">
        <v>90</v>
      </c>
      <c r="B12" s="826"/>
      <c r="C12" s="826"/>
      <c r="D12" s="826"/>
      <c r="E12" s="826"/>
      <c r="F12" s="826"/>
      <c r="G12" s="132"/>
      <c r="H12" s="827"/>
      <c r="L12" s="276">
        <v>14001</v>
      </c>
      <c r="M12" s="276">
        <v>50000</v>
      </c>
      <c r="N12" s="277" t="s">
        <v>706</v>
      </c>
      <c r="O12" s="276" t="s">
        <v>707</v>
      </c>
      <c r="P12" s="283">
        <v>3.5000000000000003E-2</v>
      </c>
    </row>
    <row r="13" spans="1:16" s="130" customFormat="1" ht="17.45" customHeight="1">
      <c r="A13" s="826" t="s">
        <v>91</v>
      </c>
      <c r="B13" s="826"/>
      <c r="C13" s="826"/>
      <c r="D13" s="826"/>
      <c r="E13" s="826"/>
      <c r="F13" s="826"/>
      <c r="G13" s="132"/>
      <c r="H13" s="828"/>
      <c r="L13" s="276">
        <v>50001</v>
      </c>
      <c r="M13" s="276">
        <v>150000</v>
      </c>
      <c r="N13" s="277" t="s">
        <v>708</v>
      </c>
      <c r="O13" s="276" t="s">
        <v>709</v>
      </c>
      <c r="P13" s="283">
        <v>3.5000000000000003E-2</v>
      </c>
    </row>
    <row r="14" spans="1:16" s="130" customFormat="1" ht="17.45" customHeight="1">
      <c r="A14" s="830" t="s">
        <v>226</v>
      </c>
      <c r="B14" s="831"/>
      <c r="C14" s="831"/>
      <c r="D14" s="831"/>
      <c r="E14" s="831"/>
      <c r="F14" s="832"/>
      <c r="G14" s="133"/>
      <c r="H14" s="828"/>
      <c r="L14" s="276"/>
      <c r="M14" s="276"/>
      <c r="N14" s="278"/>
      <c r="O14" s="276"/>
      <c r="P14" s="283"/>
    </row>
    <row r="15" spans="1:16" s="130" customFormat="1" ht="17.45" customHeight="1">
      <c r="A15" s="833" t="s">
        <v>218</v>
      </c>
      <c r="B15" s="834"/>
      <c r="C15" s="834"/>
      <c r="D15" s="834"/>
      <c r="E15" s="834"/>
      <c r="F15" s="835"/>
      <c r="G15" s="134"/>
      <c r="H15" s="828"/>
      <c r="L15" s="276"/>
      <c r="M15" s="276"/>
      <c r="N15" s="278"/>
      <c r="O15" s="276"/>
      <c r="P15" s="283"/>
    </row>
    <row r="16" spans="1:16" s="130" customFormat="1" ht="17.45" customHeight="1">
      <c r="A16" s="836" t="s">
        <v>219</v>
      </c>
      <c r="B16" s="831"/>
      <c r="C16" s="831"/>
      <c r="D16" s="831"/>
      <c r="E16" s="831"/>
      <c r="F16" s="832"/>
      <c r="G16" s="135"/>
      <c r="H16" s="829"/>
      <c r="L16" s="276"/>
      <c r="M16" s="276"/>
      <c r="N16" s="278"/>
      <c r="O16" s="276"/>
      <c r="P16" s="283"/>
    </row>
    <row r="17" spans="1:16" s="130" customFormat="1" ht="17.45" customHeight="1">
      <c r="A17" s="809" t="s">
        <v>98</v>
      </c>
      <c r="B17" s="809"/>
      <c r="C17" s="809"/>
      <c r="D17" s="809"/>
      <c r="E17" s="809"/>
      <c r="F17" s="809"/>
      <c r="G17" s="809"/>
      <c r="H17" s="261"/>
      <c r="L17" s="275"/>
      <c r="M17" s="275"/>
      <c r="N17" s="275"/>
      <c r="O17" s="275"/>
      <c r="P17" s="275"/>
    </row>
    <row r="18" spans="1:16" s="130" customFormat="1" ht="17.45" customHeight="1">
      <c r="A18" s="837" t="s">
        <v>227</v>
      </c>
      <c r="B18" s="838"/>
      <c r="C18" s="838"/>
      <c r="D18" s="838"/>
      <c r="E18" s="838"/>
      <c r="F18" s="839"/>
      <c r="G18" s="262" t="str">
        <f>IF(AND(INDEX(تفصيلي!O6:O205,MATCH(J4,تفصيلي!B6:B205,0))&gt;=L11,INDEX(تفصيلي!O6:O205,MATCH(J4,تفصيلي!B6:B205,0))&lt;=M11),M24,IF(AND(INDEX(تفصيلي!O6:O205,MATCH(J4,تفصيلي!B6:B205,0))&gt;=L12,INDEX(تفصيلي!O6:O205,MATCH(J4,تفصيلي!B6:B205,0))&lt;=M12),M25,IF(AND(INDEX(تفصيلي!O6:O205,MATCH(J4,تفصيلي!B6:B205,0))&gt;=L13,INDEX(تفصيلي!O6:O205,MATCH(J4,تفصيلي!B6:B205,0))&lt;=M13),M26)))</f>
        <v>من 15 الي 20</v>
      </c>
      <c r="H18" s="128"/>
      <c r="L18" s="840" t="s">
        <v>710</v>
      </c>
      <c r="M18" s="840"/>
      <c r="N18" s="279" t="s">
        <v>711</v>
      </c>
      <c r="O18" s="279" t="s">
        <v>721</v>
      </c>
      <c r="P18" s="275"/>
    </row>
    <row r="19" spans="1:16" s="130" customFormat="1" ht="17.45" customHeight="1">
      <c r="A19" s="806" t="s">
        <v>216</v>
      </c>
      <c r="B19" s="806"/>
      <c r="C19" s="806"/>
      <c r="D19" s="806"/>
      <c r="E19" s="806"/>
      <c r="F19" s="806"/>
      <c r="G19" s="125"/>
      <c r="H19" s="129"/>
      <c r="I19" s="136"/>
      <c r="J19" s="136"/>
      <c r="L19" s="280" t="s">
        <v>712</v>
      </c>
      <c r="M19" s="284">
        <v>2.3300000000000001E-2</v>
      </c>
      <c r="N19" s="281" t="e">
        <f ca="1">INDEX(تفصيلي!U6:U205,MATCH('افصاح-مواعيد'!J4,تفصيلي!B6:B205))</f>
        <v>#N/A</v>
      </c>
      <c r="O19" s="290"/>
      <c r="P19" s="275"/>
    </row>
    <row r="20" spans="1:16" s="130" customFormat="1" ht="17.45" customHeight="1">
      <c r="A20" s="841" t="s">
        <v>223</v>
      </c>
      <c r="B20" s="841"/>
      <c r="C20" s="841"/>
      <c r="D20" s="841"/>
      <c r="E20" s="841"/>
      <c r="F20" s="841"/>
      <c r="G20" s="125"/>
      <c r="H20" s="129"/>
      <c r="I20" s="137"/>
      <c r="J20" s="137"/>
      <c r="L20" s="280" t="s">
        <v>713</v>
      </c>
      <c r="M20" s="284">
        <v>2.3E-2</v>
      </c>
      <c r="N20" s="285"/>
      <c r="O20" s="275"/>
      <c r="P20" s="275"/>
    </row>
    <row r="21" spans="1:16" s="130" customFormat="1" ht="17.45" customHeight="1">
      <c r="A21" s="822" t="s">
        <v>217</v>
      </c>
      <c r="B21" s="822"/>
      <c r="C21" s="822"/>
      <c r="D21" s="822"/>
      <c r="E21" s="822"/>
      <c r="F21" s="822"/>
      <c r="G21" s="125"/>
      <c r="H21" s="127"/>
      <c r="L21" s="280" t="s">
        <v>714</v>
      </c>
      <c r="M21" s="284">
        <v>2.1999999999999999E-2</v>
      </c>
      <c r="N21" s="285"/>
      <c r="O21" s="275" t="e">
        <f ca="1">N19*G39</f>
        <v>#N/A</v>
      </c>
      <c r="P21" s="275"/>
    </row>
    <row r="22" spans="1:16" s="130" customFormat="1" ht="17.45" customHeight="1">
      <c r="A22" s="809" t="s">
        <v>104</v>
      </c>
      <c r="B22" s="809"/>
      <c r="C22" s="809"/>
      <c r="D22" s="809"/>
      <c r="E22" s="809"/>
      <c r="F22" s="809"/>
      <c r="G22" s="809"/>
      <c r="H22" s="265"/>
      <c r="I22" s="137"/>
      <c r="J22" s="137"/>
      <c r="L22" s="282"/>
      <c r="M22" s="285"/>
      <c r="N22" s="285"/>
      <c r="O22" s="275"/>
      <c r="P22" s="275"/>
    </row>
    <row r="23" spans="1:16" s="130" customFormat="1" ht="17.45" customHeight="1">
      <c r="A23" s="810" t="s">
        <v>105</v>
      </c>
      <c r="B23" s="811"/>
      <c r="C23" s="811"/>
      <c r="D23" s="811"/>
      <c r="E23" s="811"/>
      <c r="F23" s="811"/>
      <c r="G23" s="812"/>
      <c r="H23" s="266" t="e">
        <f ca="1">CEILING(IF(F4=L19,N19*M19,IF(F4=L20,N19*M20,IF(F4=L21,N19*M21))),1)</f>
        <v>#N/A</v>
      </c>
      <c r="I23" s="138"/>
      <c r="J23" s="136"/>
      <c r="L23" s="281" t="s">
        <v>715</v>
      </c>
      <c r="M23" s="281"/>
      <c r="N23" s="285"/>
      <c r="O23" s="275"/>
      <c r="P23" s="275"/>
    </row>
    <row r="24" spans="1:16" s="130" customFormat="1" ht="17.45" customHeight="1">
      <c r="A24" s="813" t="s">
        <v>106</v>
      </c>
      <c r="B24" s="814"/>
      <c r="C24" s="814"/>
      <c r="D24" s="814"/>
      <c r="E24" s="814"/>
      <c r="F24" s="814"/>
      <c r="G24" s="815"/>
      <c r="H24" s="247">
        <f>INDEX(تفصيلي!O6:O205,MATCH('افصاح-مواعيد'!J4,تفصيلي!B6:B205,0))</f>
        <v>50000</v>
      </c>
      <c r="L24" s="280" t="s">
        <v>714</v>
      </c>
      <c r="M24" s="284" t="s">
        <v>716</v>
      </c>
      <c r="N24" s="285"/>
      <c r="O24" s="275"/>
      <c r="P24" s="275"/>
    </row>
    <row r="25" spans="1:16" s="130" customFormat="1" ht="17.45" customHeight="1">
      <c r="A25" s="816" t="s">
        <v>107</v>
      </c>
      <c r="B25" s="817"/>
      <c r="C25" s="817"/>
      <c r="D25" s="818"/>
      <c r="E25" s="819" t="s">
        <v>108</v>
      </c>
      <c r="F25" s="250" t="s">
        <v>109</v>
      </c>
      <c r="G25" s="819" t="s">
        <v>110</v>
      </c>
      <c r="H25" s="801"/>
      <c r="L25" s="280" t="s">
        <v>713</v>
      </c>
      <c r="M25" s="284" t="s">
        <v>717</v>
      </c>
      <c r="N25" s="285"/>
      <c r="O25" s="275"/>
      <c r="P25" s="275"/>
    </row>
    <row r="26" spans="1:16" s="130" customFormat="1" ht="17.45" customHeight="1">
      <c r="A26" s="803" t="s">
        <v>111</v>
      </c>
      <c r="B26" s="804"/>
      <c r="C26" s="804"/>
      <c r="D26" s="805"/>
      <c r="E26" s="820"/>
      <c r="F26" s="251" t="s">
        <v>112</v>
      </c>
      <c r="G26" s="820"/>
      <c r="H26" s="802"/>
      <c r="L26" s="263" t="s">
        <v>712</v>
      </c>
      <c r="M26" s="286">
        <v>20</v>
      </c>
      <c r="N26" s="285"/>
    </row>
    <row r="27" spans="1:16" s="130" customFormat="1" ht="17.45" customHeight="1">
      <c r="A27" s="806"/>
      <c r="B27" s="806"/>
      <c r="C27" s="806"/>
      <c r="D27" s="806"/>
      <c r="E27" s="267"/>
      <c r="F27" s="268"/>
      <c r="G27" s="269">
        <f ca="1">INDEX(تفصيلي!W6:W205,MATCH('افصاح-مواعيد'!J4,تفصيلي!B6:B205,0))</f>
        <v>2250</v>
      </c>
      <c r="H27" s="266">
        <f ca="1">SUM(E27:G27)</f>
        <v>2250</v>
      </c>
      <c r="I27" s="130" t="s">
        <v>658</v>
      </c>
      <c r="J27" s="130" t="s">
        <v>658</v>
      </c>
      <c r="N27" s="264"/>
    </row>
    <row r="28" spans="1:16" s="130" customFormat="1" ht="17.45" customHeight="1">
      <c r="A28" s="806" t="s">
        <v>116</v>
      </c>
      <c r="B28" s="806"/>
      <c r="C28" s="806"/>
      <c r="D28" s="806"/>
      <c r="E28" s="806"/>
      <c r="F28" s="806"/>
      <c r="G28" s="806"/>
      <c r="H28" s="270">
        <f ca="1">H24-H27</f>
        <v>47750</v>
      </c>
    </row>
    <row r="29" spans="1:16" s="130" customFormat="1" ht="17.45" customHeight="1"/>
    <row r="30" spans="1:16" s="130" customFormat="1" ht="17.45" customHeight="1">
      <c r="B30" s="139" t="s">
        <v>220</v>
      </c>
      <c r="D30" s="139" t="s">
        <v>221</v>
      </c>
      <c r="E30" s="139"/>
      <c r="F30" s="140" t="s">
        <v>118</v>
      </c>
      <c r="H30" s="139" t="s">
        <v>119</v>
      </c>
    </row>
    <row r="31" spans="1:16" s="130" customFormat="1" ht="17.45" customHeight="1">
      <c r="A31" s="807" t="s">
        <v>718</v>
      </c>
      <c r="B31" s="807"/>
      <c r="C31" s="807"/>
      <c r="D31" s="808">
        <f>عقد!E7</f>
        <v>45875</v>
      </c>
      <c r="E31" s="808"/>
      <c r="F31" s="807" t="s">
        <v>222</v>
      </c>
      <c r="G31" s="807"/>
      <c r="H31" s="273">
        <f>D31</f>
        <v>45875</v>
      </c>
    </row>
    <row r="32" spans="1:16" s="130" customFormat="1" ht="17.45" customHeight="1">
      <c r="A32" s="253"/>
      <c r="B32" s="253"/>
      <c r="C32" s="253"/>
      <c r="D32" s="252"/>
      <c r="E32" s="252"/>
      <c r="F32" s="253"/>
      <c r="G32" s="253"/>
      <c r="H32" s="147"/>
    </row>
    <row r="33" spans="1:8" s="130" customFormat="1" ht="28.9" customHeight="1">
      <c r="A33" s="253"/>
      <c r="B33" s="253"/>
      <c r="C33" s="253"/>
      <c r="D33" s="252"/>
      <c r="E33" s="252"/>
      <c r="F33" s="253"/>
      <c r="G33" s="253"/>
      <c r="H33" s="147"/>
    </row>
    <row r="34" spans="1:8" s="130" customFormat="1" ht="4.9000000000000004" customHeight="1">
      <c r="A34" s="793"/>
      <c r="B34" s="793"/>
      <c r="C34" s="793"/>
      <c r="D34" s="793"/>
      <c r="E34" s="793"/>
      <c r="F34" s="793"/>
      <c r="G34" s="793"/>
      <c r="H34" s="793"/>
    </row>
    <row r="35" spans="1:8" s="130" customFormat="1" ht="4.9000000000000004" customHeight="1">
      <c r="A35" s="794"/>
      <c r="B35" s="794"/>
      <c r="C35" s="794"/>
      <c r="D35" s="794"/>
      <c r="E35" s="794"/>
      <c r="F35" s="794"/>
      <c r="G35" s="794"/>
      <c r="H35" s="794"/>
    </row>
    <row r="36" spans="1:8" ht="26.45" customHeight="1">
      <c r="A36" s="795" t="s">
        <v>722</v>
      </c>
      <c r="B36" s="796"/>
      <c r="C36" s="796"/>
      <c r="D36" s="796"/>
      <c r="E36" s="796"/>
      <c r="F36" s="796"/>
      <c r="G36" s="796"/>
      <c r="H36" s="797"/>
    </row>
    <row r="37" spans="1:8" ht="17.45" customHeight="1">
      <c r="A37" s="142" t="s">
        <v>176</v>
      </c>
      <c r="B37" s="798" t="str">
        <f>عقد!C9</f>
        <v>منتصر نخله روس شنوده</v>
      </c>
      <c r="C37" s="798"/>
      <c r="D37" s="798"/>
      <c r="E37" s="798"/>
      <c r="F37" s="141" t="s">
        <v>177</v>
      </c>
      <c r="G37" s="291">
        <f>عقد!M1</f>
        <v>374</v>
      </c>
      <c r="H37" s="143"/>
    </row>
    <row r="38" spans="1:8" ht="17.45" customHeight="1">
      <c r="A38" s="142" t="s">
        <v>178</v>
      </c>
      <c r="B38" s="788">
        <f>عقد!K19</f>
        <v>50000</v>
      </c>
      <c r="C38" s="788"/>
      <c r="D38" s="788"/>
      <c r="E38" s="788"/>
      <c r="F38" s="141" t="s">
        <v>179</v>
      </c>
      <c r="G38" s="799" t="str">
        <f>IFERROR(VLOOKUP(G37,تفصيلي!B6:R205,11,FALSE),"")</f>
        <v>تجارة بقالة</v>
      </c>
      <c r="H38" s="800"/>
    </row>
    <row r="39" spans="1:8" ht="17.45" customHeight="1">
      <c r="A39" s="142" t="s">
        <v>180</v>
      </c>
      <c r="B39" s="788">
        <f ca="1">IFERROR(VLOOKUP($G$37,تفصيلي!B6:AW205,20,FALSE),"")</f>
        <v>3528</v>
      </c>
      <c r="C39" s="788"/>
      <c r="D39" s="788"/>
      <c r="E39" s="788"/>
      <c r="F39" s="141" t="s">
        <v>181</v>
      </c>
      <c r="G39" s="274">
        <f>عقد!B23</f>
        <v>18</v>
      </c>
      <c r="H39" s="143"/>
    </row>
    <row r="40" spans="1:8" ht="17.45" customHeight="1">
      <c r="A40" s="789" t="s">
        <v>182</v>
      </c>
      <c r="B40" s="790"/>
      <c r="C40" s="790"/>
      <c r="D40" s="790"/>
      <c r="E40" s="790"/>
      <c r="F40" s="790"/>
      <c r="G40" s="790"/>
      <c r="H40" s="791"/>
    </row>
    <row r="41" spans="1:8" ht="17.45" customHeight="1">
      <c r="A41" s="271" t="s">
        <v>7</v>
      </c>
      <c r="B41" s="792" t="s">
        <v>183</v>
      </c>
      <c r="C41" s="792"/>
      <c r="D41" s="792"/>
      <c r="E41" s="271" t="s">
        <v>7</v>
      </c>
      <c r="F41" s="792" t="s">
        <v>183</v>
      </c>
      <c r="G41" s="792"/>
      <c r="H41" s="792"/>
    </row>
    <row r="42" spans="1:8" ht="17.45" customHeight="1">
      <c r="A42" s="272">
        <v>1</v>
      </c>
      <c r="B42" s="784">
        <f>عقد!K24</f>
        <v>45906</v>
      </c>
      <c r="C42" s="784"/>
      <c r="D42" s="784"/>
      <c r="E42" s="272">
        <v>13</v>
      </c>
      <c r="F42" s="785">
        <f>IF(E42&lt;=$G$39,VLOOKUP(E42,'Data Validation'!$O$2:$P$25,2,FALSE),"ــــــــــــــــــــــــــــــــــــــــــ")</f>
        <v>46270</v>
      </c>
      <c r="G42" s="786"/>
      <c r="H42" s="787"/>
    </row>
    <row r="43" spans="1:8" ht="17.45" customHeight="1">
      <c r="A43" s="272">
        <v>2</v>
      </c>
      <c r="B43" s="784">
        <f>IF(A43&lt;=$G$39,VLOOKUP(A43,'Data Validation'!$O$2:$P$25,2,FALSE),"ــــــــــــــــــــــــــــــــــــــــــ")</f>
        <v>45935</v>
      </c>
      <c r="C43" s="784"/>
      <c r="D43" s="784"/>
      <c r="E43" s="272">
        <v>14</v>
      </c>
      <c r="F43" s="785">
        <f>IF(E43&lt;=$G$39,VLOOKUP(E43,'Data Validation'!$O$2:$P$25,2,FALSE),"ــــــــــــــــــــــــــــــــــــــــــ")</f>
        <v>46300</v>
      </c>
      <c r="G43" s="786"/>
      <c r="H43" s="787"/>
    </row>
    <row r="44" spans="1:8" ht="17.45" customHeight="1">
      <c r="A44" s="272">
        <v>3</v>
      </c>
      <c r="B44" s="784">
        <f>IF(A44&lt;=$G$39,VLOOKUP(A44,'Data Validation'!$O$2:$P$25,2,FALSE),"ــــــــــــــــــــــــــــــــــــــــــ")</f>
        <v>45966</v>
      </c>
      <c r="C44" s="784"/>
      <c r="D44" s="784"/>
      <c r="E44" s="272">
        <v>15</v>
      </c>
      <c r="F44" s="785">
        <f>IF(E44&lt;=$G$39,VLOOKUP(E44,'Data Validation'!$O$2:$P$25,2,FALSE),"ــــــــــــــــــــــــــــــــــــــــــ")</f>
        <v>46331</v>
      </c>
      <c r="G44" s="786"/>
      <c r="H44" s="787"/>
    </row>
    <row r="45" spans="1:8" ht="17.45" customHeight="1">
      <c r="A45" s="272">
        <v>4</v>
      </c>
      <c r="B45" s="784">
        <f>IF(A45&lt;=$G$39,VLOOKUP(A45,'Data Validation'!$O$2:$P$25,2,FALSE),"ــــــــــــــــــــــــــــــــــــــــــ")</f>
        <v>45996</v>
      </c>
      <c r="C45" s="784"/>
      <c r="D45" s="784"/>
      <c r="E45" s="272">
        <v>16</v>
      </c>
      <c r="F45" s="785">
        <f>IF(E45&lt;=$G$39,VLOOKUP(E45,'Data Validation'!$O$2:$P$25,2,FALSE),"ــــــــــــــــــــــــــــــــــــــــــ")</f>
        <v>46361</v>
      </c>
      <c r="G45" s="786"/>
      <c r="H45" s="787"/>
    </row>
    <row r="46" spans="1:8" ht="17.45" customHeight="1">
      <c r="A46" s="272">
        <v>5</v>
      </c>
      <c r="B46" s="784">
        <f>IF(A46&lt;=$G$39,VLOOKUP(A46,'Data Validation'!$O$2:$P$25,2,FALSE),"ــــــــــــــــــــــــــــــــــــــــــ")</f>
        <v>46027</v>
      </c>
      <c r="C46" s="784"/>
      <c r="D46" s="784"/>
      <c r="E46" s="272">
        <v>17</v>
      </c>
      <c r="F46" s="785">
        <f>IF(E46&lt;=$G$39,VLOOKUP(E46,'Data Validation'!$O$2:$P$25,2,FALSE),"ــــــــــــــــــــــــــــــــــــــــــ")</f>
        <v>46392</v>
      </c>
      <c r="G46" s="786"/>
      <c r="H46" s="787"/>
    </row>
    <row r="47" spans="1:8" ht="17.45" customHeight="1">
      <c r="A47" s="272">
        <v>6</v>
      </c>
      <c r="B47" s="784">
        <f>IF(A47&lt;=$G$39,VLOOKUP(A47,'Data Validation'!$O$2:$P$25,2,FALSE),"ــــــــــــــــــــــــــــــــــــــــــ")</f>
        <v>46058</v>
      </c>
      <c r="C47" s="784"/>
      <c r="D47" s="784"/>
      <c r="E47" s="272">
        <v>18</v>
      </c>
      <c r="F47" s="785">
        <f>IF(E47&lt;=$G$39,VLOOKUP(E47,'Data Validation'!$O$2:$P$25,2,FALSE),"ــــــــــــــــــــــــــــــــــــــــــ")</f>
        <v>46423</v>
      </c>
      <c r="G47" s="786"/>
      <c r="H47" s="787"/>
    </row>
    <row r="48" spans="1:8" ht="17.45" customHeight="1">
      <c r="A48" s="272">
        <v>7</v>
      </c>
      <c r="B48" s="784">
        <f>IF(A48&lt;=$G$39,VLOOKUP(A48,'Data Validation'!$O$2:$P$25,2,FALSE),"ــــــــــــــــــــــــــــــــــــــــــ")</f>
        <v>46086</v>
      </c>
      <c r="C48" s="784"/>
      <c r="D48" s="784"/>
      <c r="E48" s="272">
        <v>19</v>
      </c>
      <c r="F48" s="785" t="str">
        <f>IF(E48&lt;=$G$39,VLOOKUP(E48,'Data Validation'!$O$2:$P$25,2,FALSE),"ــــــــــــــــــــــــــــــــــــــــــ")</f>
        <v>ــــــــــــــــــــــــــــــــــــــــــ</v>
      </c>
      <c r="G48" s="786"/>
      <c r="H48" s="787"/>
    </row>
    <row r="49" spans="1:8" ht="17.45" customHeight="1">
      <c r="A49" s="272">
        <v>8</v>
      </c>
      <c r="B49" s="784">
        <f>IF(A49&lt;=$G$39,VLOOKUP(A49,'Data Validation'!$O$2:$P$25,2,FALSE),"ــــــــــــــــــــــــــــــــــــــــــ")</f>
        <v>46117</v>
      </c>
      <c r="C49" s="784"/>
      <c r="D49" s="784"/>
      <c r="E49" s="272">
        <v>20</v>
      </c>
      <c r="F49" s="785" t="str">
        <f>IF(E49&lt;=$G$39,VLOOKUP(E49,'Data Validation'!$O$2:$P$25,2,FALSE),"ــــــــــــــــــــــــــــــــــــــــــ")</f>
        <v>ــــــــــــــــــــــــــــــــــــــــــ</v>
      </c>
      <c r="G49" s="786"/>
      <c r="H49" s="787"/>
    </row>
    <row r="50" spans="1:8" ht="17.45" customHeight="1">
      <c r="A50" s="272">
        <v>9</v>
      </c>
      <c r="B50" s="784">
        <f>IF(A50&lt;=$G$39,VLOOKUP(A50,'Data Validation'!$O$2:$P$25,2,FALSE),"ــــــــــــــــــــــــــــــــــــــــــ")</f>
        <v>46147</v>
      </c>
      <c r="C50" s="784"/>
      <c r="D50" s="784"/>
      <c r="E50" s="272">
        <v>21</v>
      </c>
      <c r="F50" s="785" t="str">
        <f>IF(E50&lt;=$G$39,VLOOKUP(E50,'Data Validation'!$O$2:$P$25,2,FALSE),"ــــــــــــــــــــــــــــــــــــــــــ")</f>
        <v>ــــــــــــــــــــــــــــــــــــــــــ</v>
      </c>
      <c r="G50" s="786"/>
      <c r="H50" s="787"/>
    </row>
    <row r="51" spans="1:8" ht="17.45" customHeight="1">
      <c r="A51" s="272">
        <v>10</v>
      </c>
      <c r="B51" s="784">
        <f>IF(A51&lt;=$G$39,VLOOKUP(A51,'Data Validation'!$O$2:$P$25,2,FALSE),"ــــــــــــــــــــــــــــــــــــــــــ")</f>
        <v>46178</v>
      </c>
      <c r="C51" s="784"/>
      <c r="D51" s="784"/>
      <c r="E51" s="272">
        <v>22</v>
      </c>
      <c r="F51" s="785" t="str">
        <f>IF(E51&lt;=$G$39,VLOOKUP(E51,'Data Validation'!$O$2:$P$25,2,FALSE),"ــــــــــــــــــــــــــــــــــــــــــ")</f>
        <v>ــــــــــــــــــــــــــــــــــــــــــ</v>
      </c>
      <c r="G51" s="786"/>
      <c r="H51" s="787"/>
    </row>
    <row r="52" spans="1:8" ht="17.45" customHeight="1">
      <c r="A52" s="272">
        <v>11</v>
      </c>
      <c r="B52" s="784">
        <f>IF(A52&lt;=$G$39,VLOOKUP(A52,'Data Validation'!$O$2:$P$25,2,FALSE),"ــــــــــــــــــــــــــــــــــــــــــ")</f>
        <v>46208</v>
      </c>
      <c r="C52" s="784"/>
      <c r="D52" s="784"/>
      <c r="E52" s="272">
        <v>23</v>
      </c>
      <c r="F52" s="785" t="str">
        <f>IF(E52&lt;=$G$39,VLOOKUP(E52,'Data Validation'!$O$2:$P$25,2,FALSE),"ــــــــــــــــــــــــــــــــــــــــــ")</f>
        <v>ــــــــــــــــــــــــــــــــــــــــــ</v>
      </c>
      <c r="G52" s="786"/>
      <c r="H52" s="787"/>
    </row>
    <row r="53" spans="1:8" ht="17.45" customHeight="1">
      <c r="A53" s="272">
        <v>12</v>
      </c>
      <c r="B53" s="784">
        <f>IF(A53&lt;=$G$39,VLOOKUP(A53,'Data Validation'!$O$2:$P$25,2,FALSE),"ــــــــــــــــــــــــــــــــــــــــــ")</f>
        <v>46239</v>
      </c>
      <c r="C53" s="784"/>
      <c r="D53" s="784"/>
      <c r="E53" s="272">
        <v>24</v>
      </c>
      <c r="F53" s="785" t="str">
        <f>IF(E53&lt;=$G$39,VLOOKUP(E53,'Data Validation'!$O$2:$P$25,2,FALSE),"ــــــــــــــــــــــــــــــــــــــــــ")</f>
        <v>ــــــــــــــــــــــــــــــــــــــــــ</v>
      </c>
      <c r="G53" s="786"/>
      <c r="H53" s="787"/>
    </row>
    <row r="54" spans="1:8" ht="17.45" customHeight="1">
      <c r="A54" s="144" t="s">
        <v>184</v>
      </c>
    </row>
    <row r="55" spans="1:8" ht="17.45" customHeight="1">
      <c r="A55" s="780" t="s">
        <v>211</v>
      </c>
      <c r="B55" s="780"/>
      <c r="C55" s="780"/>
      <c r="D55" s="780"/>
      <c r="E55" s="780"/>
      <c r="F55" s="780"/>
      <c r="G55" s="780"/>
      <c r="H55" s="780"/>
    </row>
    <row r="56" spans="1:8" ht="34.15" customHeight="1">
      <c r="A56" s="779" t="s">
        <v>212</v>
      </c>
      <c r="B56" s="779"/>
      <c r="C56" s="779"/>
      <c r="D56" s="779"/>
      <c r="E56" s="779"/>
      <c r="F56" s="779"/>
      <c r="G56" s="779"/>
      <c r="H56" s="779"/>
    </row>
    <row r="57" spans="1:8" ht="33.6" customHeight="1">
      <c r="A57" s="779" t="s">
        <v>213</v>
      </c>
      <c r="B57" s="779"/>
      <c r="C57" s="779"/>
      <c r="D57" s="779"/>
      <c r="E57" s="779"/>
      <c r="F57" s="779"/>
      <c r="G57" s="779"/>
      <c r="H57" s="779"/>
    </row>
    <row r="58" spans="1:8" ht="17.45" customHeight="1">
      <c r="A58" s="780" t="s">
        <v>214</v>
      </c>
      <c r="B58" s="780"/>
      <c r="C58" s="780"/>
      <c r="D58" s="780"/>
      <c r="E58" s="780"/>
      <c r="F58" s="780"/>
      <c r="G58" s="780"/>
      <c r="H58" s="780"/>
    </row>
    <row r="59" spans="1:8" ht="17.45" customHeight="1">
      <c r="A59" s="781" t="s">
        <v>185</v>
      </c>
      <c r="B59" s="781"/>
      <c r="C59" s="781"/>
      <c r="D59" s="782" t="s">
        <v>186</v>
      </c>
      <c r="E59" s="782"/>
      <c r="F59" s="783" t="s">
        <v>187</v>
      </c>
      <c r="G59" s="783"/>
      <c r="H59" s="783"/>
    </row>
    <row r="60" spans="1:8" ht="17.45" customHeight="1">
      <c r="A60" s="145"/>
    </row>
  </sheetData>
  <sheetProtection sheet="1" objects="1" scenarios="1" selectLockedCells="1"/>
  <mergeCells count="79">
    <mergeCell ref="A7:E7"/>
    <mergeCell ref="F7:H7"/>
    <mergeCell ref="A8:E8"/>
    <mergeCell ref="A9:E9"/>
    <mergeCell ref="B2:C2"/>
    <mergeCell ref="B3:C3"/>
    <mergeCell ref="A4:E4"/>
    <mergeCell ref="A5:H5"/>
    <mergeCell ref="A6:E6"/>
    <mergeCell ref="G6:H6"/>
    <mergeCell ref="L9:N9"/>
    <mergeCell ref="A21:F21"/>
    <mergeCell ref="A11:H11"/>
    <mergeCell ref="A12:F12"/>
    <mergeCell ref="H12:H16"/>
    <mergeCell ref="A13:F13"/>
    <mergeCell ref="A14:F14"/>
    <mergeCell ref="A15:F15"/>
    <mergeCell ref="A16:F16"/>
    <mergeCell ref="A17:G17"/>
    <mergeCell ref="A18:F18"/>
    <mergeCell ref="L18:M18"/>
    <mergeCell ref="A19:F19"/>
    <mergeCell ref="A20:F20"/>
    <mergeCell ref="A10:E10"/>
    <mergeCell ref="A22:G22"/>
    <mergeCell ref="A23:G23"/>
    <mergeCell ref="A24:G24"/>
    <mergeCell ref="A25:D25"/>
    <mergeCell ref="E25:E26"/>
    <mergeCell ref="G25:G26"/>
    <mergeCell ref="H25:H26"/>
    <mergeCell ref="A26:D26"/>
    <mergeCell ref="A27:D27"/>
    <mergeCell ref="A28:G28"/>
    <mergeCell ref="A31:C31"/>
    <mergeCell ref="D31:E31"/>
    <mergeCell ref="F31:G31"/>
    <mergeCell ref="A34:H34"/>
    <mergeCell ref="A35:H35"/>
    <mergeCell ref="A36:H36"/>
    <mergeCell ref="B37:E37"/>
    <mergeCell ref="B38:E38"/>
    <mergeCell ref="G38:H38"/>
    <mergeCell ref="B39:E39"/>
    <mergeCell ref="A40:H40"/>
    <mergeCell ref="B41:D41"/>
    <mergeCell ref="F41:H41"/>
    <mergeCell ref="B42:D42"/>
    <mergeCell ref="F42:H42"/>
    <mergeCell ref="B43:D43"/>
    <mergeCell ref="F43:H43"/>
    <mergeCell ref="B44:D44"/>
    <mergeCell ref="F44:H44"/>
    <mergeCell ref="B45:D45"/>
    <mergeCell ref="F45:H45"/>
    <mergeCell ref="B46:D46"/>
    <mergeCell ref="F46:H46"/>
    <mergeCell ref="B47:D47"/>
    <mergeCell ref="F47:H47"/>
    <mergeCell ref="B48:D48"/>
    <mergeCell ref="F48:H48"/>
    <mergeCell ref="A56:H56"/>
    <mergeCell ref="B49:D49"/>
    <mergeCell ref="F49:H49"/>
    <mergeCell ref="B50:D50"/>
    <mergeCell ref="F50:H50"/>
    <mergeCell ref="B51:D51"/>
    <mergeCell ref="F51:H51"/>
    <mergeCell ref="B52:D52"/>
    <mergeCell ref="F52:H52"/>
    <mergeCell ref="B53:D53"/>
    <mergeCell ref="F53:H53"/>
    <mergeCell ref="A55:H55"/>
    <mergeCell ref="A57:H57"/>
    <mergeCell ref="A58:H58"/>
    <mergeCell ref="A59:C59"/>
    <mergeCell ref="D59:E59"/>
    <mergeCell ref="F59:H59"/>
  </mergeCells>
  <printOptions horizontalCentered="1"/>
  <pageMargins left="0.11811023622047245" right="0.11811023622047245" top="0.15748031496062992" bottom="0.15748031496062992" header="0.11811023622047245" footer="0.11811023622047245"/>
  <pageSetup paperSize="9" scale="80"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327"/>
  <sheetViews>
    <sheetView rightToLeft="1" topLeftCell="G1" zoomScale="70" zoomScaleNormal="70" workbookViewId="0">
      <selection activeCell="H2" sqref="H2"/>
    </sheetView>
  </sheetViews>
  <sheetFormatPr defaultColWidth="8.85546875" defaultRowHeight="20.45" customHeight="1"/>
  <cols>
    <col min="1" max="1" width="8.85546875" style="152" customWidth="1"/>
    <col min="2" max="2" width="23.42578125" style="152" customWidth="1"/>
    <col min="3" max="3" width="8.85546875" style="152" customWidth="1"/>
    <col min="4" max="4" width="41.140625" style="152" customWidth="1"/>
    <col min="5" max="5" width="8.85546875" style="152" customWidth="1"/>
    <col min="6" max="6" width="39.7109375" style="152" customWidth="1"/>
    <col min="7" max="7" width="4.7109375" style="152" customWidth="1"/>
    <col min="8" max="8" width="28.28515625" style="152" customWidth="1"/>
    <col min="9" max="9" width="8.85546875" style="152" customWidth="1"/>
    <col min="10" max="10" width="43.7109375" style="152" customWidth="1"/>
    <col min="11" max="11" width="38.85546875" style="152" customWidth="1"/>
    <col min="12" max="12" width="18.5703125" style="152" customWidth="1"/>
    <col min="13" max="13" width="8.85546875" style="152" customWidth="1"/>
    <col min="14" max="14" width="56.140625" style="152" customWidth="1"/>
    <col min="15" max="15" width="8.85546875" style="152"/>
    <col min="16" max="16" width="35.5703125" style="194" customWidth="1"/>
    <col min="17" max="16384" width="8.85546875" style="152"/>
  </cols>
  <sheetData>
    <row r="1" spans="1:16" s="163" customFormat="1" ht="30" customHeight="1">
      <c r="A1" s="855" t="s">
        <v>616</v>
      </c>
      <c r="B1" s="855"/>
      <c r="C1" s="855"/>
      <c r="D1" s="855"/>
      <c r="E1" s="855"/>
      <c r="F1" s="855"/>
      <c r="H1" s="163" t="s">
        <v>43</v>
      </c>
      <c r="J1" s="163" t="s">
        <v>638</v>
      </c>
      <c r="K1" s="163" t="s">
        <v>652</v>
      </c>
      <c r="L1" s="163" t="s">
        <v>617</v>
      </c>
      <c r="N1" s="163" t="s">
        <v>618</v>
      </c>
      <c r="P1" s="192" t="s">
        <v>656</v>
      </c>
    </row>
    <row r="2" spans="1:16" ht="22.9" customHeight="1">
      <c r="A2" s="151"/>
      <c r="B2" s="158" t="s">
        <v>235</v>
      </c>
      <c r="C2" s="151"/>
      <c r="D2" s="158" t="s">
        <v>236</v>
      </c>
      <c r="E2" s="151"/>
      <c r="F2" s="158" t="s">
        <v>237</v>
      </c>
      <c r="H2" s="153"/>
      <c r="J2" s="152" t="s">
        <v>639</v>
      </c>
      <c r="L2" s="152" t="s">
        <v>622</v>
      </c>
      <c r="N2" s="152" t="s">
        <v>72</v>
      </c>
      <c r="O2" s="191">
        <v>1</v>
      </c>
      <c r="P2" s="193">
        <v>45906</v>
      </c>
    </row>
    <row r="3" spans="1:16" ht="22.9" customHeight="1">
      <c r="A3" s="154"/>
      <c r="B3" s="159" t="s">
        <v>238</v>
      </c>
      <c r="C3" s="154"/>
      <c r="D3" s="159" t="s">
        <v>239</v>
      </c>
      <c r="E3" s="154"/>
      <c r="F3" s="155" t="s">
        <v>239</v>
      </c>
      <c r="H3" s="152" t="s">
        <v>626</v>
      </c>
      <c r="J3" s="152" t="s">
        <v>640</v>
      </c>
      <c r="L3" s="152" t="s">
        <v>623</v>
      </c>
      <c r="N3" s="152" t="s">
        <v>619</v>
      </c>
      <c r="O3" s="191">
        <v>2</v>
      </c>
      <c r="P3" s="193">
        <v>45935</v>
      </c>
    </row>
    <row r="4" spans="1:16" ht="22.9" customHeight="1">
      <c r="A4" s="154"/>
      <c r="B4" s="160" t="s">
        <v>256</v>
      </c>
      <c r="C4" s="154"/>
      <c r="D4" s="159" t="s">
        <v>244</v>
      </c>
      <c r="E4" s="154"/>
      <c r="F4" s="155" t="s">
        <v>240</v>
      </c>
      <c r="H4" s="152" t="s">
        <v>58</v>
      </c>
      <c r="J4" s="152" t="s">
        <v>641</v>
      </c>
      <c r="L4" s="152" t="s">
        <v>624</v>
      </c>
      <c r="N4" s="152" t="s">
        <v>620</v>
      </c>
      <c r="O4" s="191">
        <v>3</v>
      </c>
      <c r="P4" s="193">
        <v>45966</v>
      </c>
    </row>
    <row r="5" spans="1:16" ht="22.9" customHeight="1">
      <c r="A5" s="154"/>
      <c r="B5" s="160" t="s">
        <v>422</v>
      </c>
      <c r="C5" s="154"/>
      <c r="D5" s="159" t="s">
        <v>245</v>
      </c>
      <c r="E5" s="154"/>
      <c r="F5" s="155" t="s">
        <v>241</v>
      </c>
      <c r="H5" s="152" t="s">
        <v>627</v>
      </c>
      <c r="J5" s="152" t="s">
        <v>642</v>
      </c>
      <c r="L5" s="152" t="s">
        <v>134</v>
      </c>
      <c r="N5" s="152" t="s">
        <v>621</v>
      </c>
      <c r="O5" s="191">
        <v>4</v>
      </c>
      <c r="P5" s="193">
        <v>45996</v>
      </c>
    </row>
    <row r="6" spans="1:16" ht="22.9" customHeight="1">
      <c r="A6" s="154"/>
      <c r="B6" s="159" t="s">
        <v>488</v>
      </c>
      <c r="C6" s="154"/>
      <c r="D6" s="159" t="s">
        <v>248</v>
      </c>
      <c r="E6" s="154"/>
      <c r="F6" s="155" t="s">
        <v>242</v>
      </c>
      <c r="H6" s="152" t="s">
        <v>628</v>
      </c>
      <c r="J6" s="152" t="s">
        <v>643</v>
      </c>
      <c r="O6" s="191">
        <v>5</v>
      </c>
      <c r="P6" s="193">
        <v>46027</v>
      </c>
    </row>
    <row r="7" spans="1:16" ht="22.9" customHeight="1">
      <c r="A7" s="154"/>
      <c r="B7" s="159"/>
      <c r="C7" s="154"/>
      <c r="D7" s="159" t="s">
        <v>249</v>
      </c>
      <c r="E7" s="154"/>
      <c r="F7" s="155" t="s">
        <v>243</v>
      </c>
      <c r="H7" s="152" t="s">
        <v>629</v>
      </c>
      <c r="J7" s="152" t="s">
        <v>655</v>
      </c>
      <c r="O7" s="191">
        <v>6</v>
      </c>
      <c r="P7" s="193">
        <v>46058</v>
      </c>
    </row>
    <row r="8" spans="1:16" ht="22.9" customHeight="1">
      <c r="A8" s="154"/>
      <c r="B8" s="159"/>
      <c r="C8" s="154"/>
      <c r="D8" s="159" t="s">
        <v>251</v>
      </c>
      <c r="E8" s="154"/>
      <c r="F8" s="155" t="s">
        <v>244</v>
      </c>
      <c r="H8" s="152" t="s">
        <v>630</v>
      </c>
      <c r="J8" s="152" t="s">
        <v>644</v>
      </c>
      <c r="O8" s="191">
        <v>7</v>
      </c>
      <c r="P8" s="193">
        <v>46086</v>
      </c>
    </row>
    <row r="9" spans="1:16" ht="22.9" customHeight="1">
      <c r="A9" s="154"/>
      <c r="B9" s="159"/>
      <c r="C9" s="154"/>
      <c r="D9" s="159" t="s">
        <v>252</v>
      </c>
      <c r="E9" s="154"/>
      <c r="F9" s="155" t="s">
        <v>245</v>
      </c>
      <c r="H9" s="152" t="s">
        <v>631</v>
      </c>
      <c r="J9" s="152" t="s">
        <v>645</v>
      </c>
      <c r="O9" s="191">
        <v>8</v>
      </c>
      <c r="P9" s="193">
        <v>46117</v>
      </c>
    </row>
    <row r="10" spans="1:16" ht="22.9" customHeight="1">
      <c r="A10" s="154"/>
      <c r="B10" s="159"/>
      <c r="C10" s="154"/>
      <c r="D10" s="159" t="s">
        <v>254</v>
      </c>
      <c r="E10" s="154"/>
      <c r="F10" s="155" t="s">
        <v>246</v>
      </c>
      <c r="H10" s="152" t="s">
        <v>632</v>
      </c>
      <c r="J10" s="152" t="s">
        <v>646</v>
      </c>
      <c r="O10" s="191">
        <v>9</v>
      </c>
      <c r="P10" s="193">
        <v>46147</v>
      </c>
    </row>
    <row r="11" spans="1:16" ht="22.9" customHeight="1">
      <c r="A11" s="154"/>
      <c r="B11" s="159"/>
      <c r="C11" s="154"/>
      <c r="D11" s="159" t="s">
        <v>257</v>
      </c>
      <c r="E11" s="154"/>
      <c r="F11" s="155" t="s">
        <v>247</v>
      </c>
      <c r="H11" s="152" t="s">
        <v>633</v>
      </c>
      <c r="O11" s="191">
        <v>10</v>
      </c>
      <c r="P11" s="193">
        <v>46178</v>
      </c>
    </row>
    <row r="12" spans="1:16" ht="22.9" customHeight="1">
      <c r="A12" s="154"/>
      <c r="B12" s="159"/>
      <c r="C12" s="154"/>
      <c r="D12" s="159" t="s">
        <v>273</v>
      </c>
      <c r="E12" s="154"/>
      <c r="F12" s="155" t="s">
        <v>248</v>
      </c>
      <c r="H12" s="152" t="s">
        <v>634</v>
      </c>
      <c r="O12" s="191">
        <v>11</v>
      </c>
      <c r="P12" s="193">
        <v>46208</v>
      </c>
    </row>
    <row r="13" spans="1:16" ht="22.9" customHeight="1">
      <c r="A13" s="154"/>
      <c r="B13" s="159"/>
      <c r="C13" s="154"/>
      <c r="D13" s="159" t="s">
        <v>295</v>
      </c>
      <c r="E13" s="154"/>
      <c r="F13" s="155" t="s">
        <v>250</v>
      </c>
      <c r="H13" s="152" t="s">
        <v>635</v>
      </c>
      <c r="O13" s="191">
        <v>12</v>
      </c>
      <c r="P13" s="193">
        <v>46239</v>
      </c>
    </row>
    <row r="14" spans="1:16" ht="22.9" customHeight="1">
      <c r="A14" s="154"/>
      <c r="B14" s="159"/>
      <c r="C14" s="154"/>
      <c r="D14" s="159" t="s">
        <v>308</v>
      </c>
      <c r="E14" s="154"/>
      <c r="F14" s="155" t="s">
        <v>251</v>
      </c>
      <c r="H14" s="152" t="s">
        <v>636</v>
      </c>
      <c r="O14" s="191">
        <v>13</v>
      </c>
      <c r="P14" s="193">
        <v>46270</v>
      </c>
    </row>
    <row r="15" spans="1:16" ht="22.9" customHeight="1">
      <c r="A15" s="154"/>
      <c r="B15" s="159"/>
      <c r="C15" s="154"/>
      <c r="D15" s="159" t="s">
        <v>315</v>
      </c>
      <c r="E15" s="154"/>
      <c r="F15" s="155" t="s">
        <v>253</v>
      </c>
      <c r="H15" s="152" t="s">
        <v>637</v>
      </c>
      <c r="O15" s="191">
        <v>14</v>
      </c>
      <c r="P15" s="193">
        <v>46300</v>
      </c>
    </row>
    <row r="16" spans="1:16" ht="22.9" customHeight="1">
      <c r="A16" s="154"/>
      <c r="B16" s="159"/>
      <c r="C16" s="154"/>
      <c r="D16" s="159" t="s">
        <v>319</v>
      </c>
      <c r="E16" s="154"/>
      <c r="F16" s="155" t="s">
        <v>255</v>
      </c>
      <c r="O16" s="191">
        <v>15</v>
      </c>
      <c r="P16" s="193">
        <v>46331</v>
      </c>
    </row>
    <row r="17" spans="1:16" ht="22.9" customHeight="1">
      <c r="A17" s="154"/>
      <c r="C17" s="154"/>
      <c r="D17" s="159" t="s">
        <v>337</v>
      </c>
      <c r="E17" s="154"/>
      <c r="F17" s="155" t="s">
        <v>258</v>
      </c>
      <c r="O17" s="191">
        <v>16</v>
      </c>
      <c r="P17" s="193">
        <v>46361</v>
      </c>
    </row>
    <row r="18" spans="1:16" ht="22.9" customHeight="1">
      <c r="A18" s="154"/>
      <c r="B18" s="160"/>
      <c r="C18" s="154"/>
      <c r="D18" s="159" t="s">
        <v>339</v>
      </c>
      <c r="E18" s="154"/>
      <c r="F18" s="155" t="s">
        <v>259</v>
      </c>
      <c r="O18" s="191">
        <v>17</v>
      </c>
      <c r="P18" s="193">
        <v>46392</v>
      </c>
    </row>
    <row r="19" spans="1:16" ht="22.9" customHeight="1">
      <c r="A19" s="154"/>
      <c r="B19" s="160"/>
      <c r="C19" s="154"/>
      <c r="D19" s="159" t="s">
        <v>348</v>
      </c>
      <c r="E19" s="154"/>
      <c r="F19" s="155" t="s">
        <v>260</v>
      </c>
      <c r="O19" s="191">
        <v>18</v>
      </c>
      <c r="P19" s="193">
        <v>46423</v>
      </c>
    </row>
    <row r="20" spans="1:16" ht="22.9" customHeight="1">
      <c r="A20" s="154"/>
      <c r="B20" s="160"/>
      <c r="C20" s="154"/>
      <c r="D20" s="159" t="s">
        <v>350</v>
      </c>
      <c r="E20" s="154"/>
      <c r="F20" s="155" t="s">
        <v>261</v>
      </c>
      <c r="O20" s="191">
        <v>19</v>
      </c>
      <c r="P20" s="193"/>
    </row>
    <row r="21" spans="1:16" ht="22.9" customHeight="1">
      <c r="A21" s="154"/>
      <c r="B21" s="160"/>
      <c r="C21" s="154"/>
      <c r="D21" s="159" t="s">
        <v>353</v>
      </c>
      <c r="E21" s="154"/>
      <c r="F21" s="155" t="s">
        <v>262</v>
      </c>
      <c r="O21" s="191">
        <v>20</v>
      </c>
      <c r="P21" s="193"/>
    </row>
    <row r="22" spans="1:16" ht="22.9" customHeight="1">
      <c r="A22" s="154"/>
      <c r="B22" s="160"/>
      <c r="C22" s="154"/>
      <c r="D22" s="159" t="s">
        <v>364</v>
      </c>
      <c r="E22" s="154"/>
      <c r="F22" s="155" t="s">
        <v>263</v>
      </c>
      <c r="O22" s="191">
        <v>21</v>
      </c>
      <c r="P22" s="193"/>
    </row>
    <row r="23" spans="1:16" ht="22.9" customHeight="1">
      <c r="A23" s="154"/>
      <c r="B23" s="160"/>
      <c r="C23" s="154"/>
      <c r="D23" s="159" t="s">
        <v>371</v>
      </c>
      <c r="E23" s="154"/>
      <c r="F23" s="155" t="s">
        <v>264</v>
      </c>
      <c r="O23" s="191">
        <v>22</v>
      </c>
      <c r="P23" s="193"/>
    </row>
    <row r="24" spans="1:16" ht="22.9" customHeight="1">
      <c r="A24" s="154"/>
      <c r="B24" s="160"/>
      <c r="C24" s="154"/>
      <c r="D24" s="159" t="s">
        <v>382</v>
      </c>
      <c r="E24" s="154"/>
      <c r="F24" s="155" t="s">
        <v>265</v>
      </c>
      <c r="O24" s="191">
        <v>23</v>
      </c>
      <c r="P24" s="193"/>
    </row>
    <row r="25" spans="1:16" ht="22.9" customHeight="1">
      <c r="A25" s="154"/>
      <c r="B25" s="160"/>
      <c r="C25" s="154"/>
      <c r="D25" s="159" t="s">
        <v>387</v>
      </c>
      <c r="E25" s="154"/>
      <c r="F25" s="155" t="s">
        <v>266</v>
      </c>
      <c r="O25" s="191">
        <v>24</v>
      </c>
      <c r="P25" s="193"/>
    </row>
    <row r="26" spans="1:16" ht="20.45" customHeight="1">
      <c r="A26" s="154"/>
      <c r="B26" s="160"/>
      <c r="C26" s="154"/>
      <c r="D26" s="159" t="s">
        <v>393</v>
      </c>
      <c r="E26" s="154"/>
      <c r="F26" s="155" t="s">
        <v>267</v>
      </c>
    </row>
    <row r="27" spans="1:16" ht="20.45" customHeight="1">
      <c r="A27" s="154"/>
      <c r="B27" s="160"/>
      <c r="C27" s="154"/>
      <c r="D27" s="159" t="s">
        <v>397</v>
      </c>
      <c r="E27" s="154"/>
      <c r="F27" s="155" t="s">
        <v>268</v>
      </c>
    </row>
    <row r="28" spans="1:16" ht="20.45" customHeight="1">
      <c r="A28" s="154"/>
      <c r="B28" s="160"/>
      <c r="C28" s="154"/>
      <c r="D28" s="159" t="s">
        <v>402</v>
      </c>
      <c r="E28" s="154"/>
      <c r="F28" s="155" t="s">
        <v>269</v>
      </c>
    </row>
    <row r="29" spans="1:16" ht="20.45" customHeight="1">
      <c r="A29" s="154"/>
      <c r="B29" s="160"/>
      <c r="C29" s="154"/>
      <c r="D29" s="159" t="s">
        <v>409</v>
      </c>
      <c r="E29" s="154"/>
      <c r="F29" s="155" t="s">
        <v>270</v>
      </c>
    </row>
    <row r="30" spans="1:16" ht="20.45" customHeight="1">
      <c r="A30" s="154"/>
      <c r="B30" s="160"/>
      <c r="C30" s="154"/>
      <c r="D30" s="159" t="s">
        <v>411</v>
      </c>
      <c r="E30" s="154"/>
      <c r="F30" s="155" t="s">
        <v>271</v>
      </c>
    </row>
    <row r="31" spans="1:16" ht="20.45" customHeight="1">
      <c r="A31" s="154"/>
      <c r="B31" s="160"/>
      <c r="C31" s="154"/>
      <c r="D31" s="159" t="s">
        <v>415</v>
      </c>
      <c r="E31" s="154"/>
      <c r="F31" s="155" t="s">
        <v>272</v>
      </c>
    </row>
    <row r="32" spans="1:16" ht="20.45" customHeight="1">
      <c r="A32" s="154"/>
      <c r="B32" s="160"/>
      <c r="C32" s="154"/>
      <c r="D32" s="159" t="s">
        <v>417</v>
      </c>
      <c r="E32" s="154"/>
      <c r="F32" s="155" t="s">
        <v>274</v>
      </c>
    </row>
    <row r="33" spans="1:6" ht="20.45" customHeight="1">
      <c r="A33" s="154"/>
      <c r="B33" s="160"/>
      <c r="C33" s="154"/>
      <c r="D33" s="159" t="s">
        <v>625</v>
      </c>
      <c r="E33" s="154"/>
      <c r="F33" s="155" t="s">
        <v>275</v>
      </c>
    </row>
    <row r="34" spans="1:6" ht="20.45" customHeight="1">
      <c r="A34" s="154"/>
      <c r="B34" s="160"/>
      <c r="C34" s="154"/>
      <c r="D34" s="159" t="s">
        <v>419</v>
      </c>
      <c r="E34" s="154"/>
      <c r="F34" s="155" t="s">
        <v>276</v>
      </c>
    </row>
    <row r="35" spans="1:6" ht="20.45" customHeight="1">
      <c r="A35" s="154"/>
      <c r="B35" s="160"/>
      <c r="C35" s="154"/>
      <c r="D35" s="159" t="s">
        <v>420</v>
      </c>
      <c r="E35" s="154"/>
      <c r="F35" s="155" t="s">
        <v>277</v>
      </c>
    </row>
    <row r="36" spans="1:6" ht="20.45" customHeight="1">
      <c r="A36" s="154"/>
      <c r="B36" s="160"/>
      <c r="C36" s="154"/>
      <c r="D36" s="159" t="s">
        <v>421</v>
      </c>
      <c r="E36" s="154"/>
      <c r="F36" s="155" t="s">
        <v>278</v>
      </c>
    </row>
    <row r="37" spans="1:6" ht="20.45" customHeight="1">
      <c r="A37" s="154"/>
      <c r="B37" s="160"/>
      <c r="C37" s="154"/>
      <c r="D37" s="159" t="s">
        <v>423</v>
      </c>
      <c r="E37" s="154"/>
      <c r="F37" s="155" t="s">
        <v>279</v>
      </c>
    </row>
    <row r="38" spans="1:6" ht="20.45" customHeight="1">
      <c r="A38" s="154"/>
      <c r="B38" s="160"/>
      <c r="C38" s="154"/>
      <c r="D38" s="159" t="s">
        <v>430</v>
      </c>
      <c r="E38" s="154"/>
      <c r="F38" s="155" t="s">
        <v>280</v>
      </c>
    </row>
    <row r="39" spans="1:6" ht="20.45" customHeight="1">
      <c r="A39" s="154"/>
      <c r="B39" s="160"/>
      <c r="C39" s="154"/>
      <c r="D39" s="159" t="s">
        <v>439</v>
      </c>
      <c r="E39" s="154"/>
      <c r="F39" s="155" t="s">
        <v>281</v>
      </c>
    </row>
    <row r="40" spans="1:6" ht="20.45" customHeight="1">
      <c r="A40" s="154"/>
      <c r="B40" s="160"/>
      <c r="C40" s="154"/>
      <c r="D40" s="159" t="s">
        <v>445</v>
      </c>
      <c r="E40" s="154"/>
      <c r="F40" s="155" t="s">
        <v>282</v>
      </c>
    </row>
    <row r="41" spans="1:6" ht="20.45" customHeight="1">
      <c r="A41" s="154"/>
      <c r="B41" s="160"/>
      <c r="C41" s="154"/>
      <c r="D41" s="159" t="s">
        <v>458</v>
      </c>
      <c r="E41" s="154"/>
      <c r="F41" s="155" t="s">
        <v>283</v>
      </c>
    </row>
    <row r="42" spans="1:6" ht="20.45" customHeight="1">
      <c r="A42" s="154"/>
      <c r="B42" s="160"/>
      <c r="C42" s="154"/>
      <c r="D42" s="159" t="s">
        <v>460</v>
      </c>
      <c r="E42" s="154"/>
      <c r="F42" s="155" t="s">
        <v>284</v>
      </c>
    </row>
    <row r="43" spans="1:6" ht="20.45" customHeight="1">
      <c r="A43" s="154"/>
      <c r="B43" s="160"/>
      <c r="C43" s="154"/>
      <c r="D43" s="159" t="s">
        <v>465</v>
      </c>
      <c r="E43" s="154"/>
      <c r="F43" s="155" t="s">
        <v>285</v>
      </c>
    </row>
    <row r="44" spans="1:6" ht="20.45" customHeight="1">
      <c r="A44" s="154"/>
      <c r="B44" s="160"/>
      <c r="C44" s="154"/>
      <c r="D44" s="159" t="s">
        <v>468</v>
      </c>
      <c r="E44" s="154"/>
      <c r="F44" s="155" t="s">
        <v>286</v>
      </c>
    </row>
    <row r="45" spans="1:6" ht="20.45" customHeight="1">
      <c r="A45" s="154"/>
      <c r="B45" s="160"/>
      <c r="C45" s="154"/>
      <c r="D45" s="159" t="s">
        <v>472</v>
      </c>
      <c r="E45" s="154"/>
      <c r="F45" s="155" t="s">
        <v>287</v>
      </c>
    </row>
    <row r="46" spans="1:6" ht="20.45" customHeight="1">
      <c r="A46" s="154"/>
      <c r="B46" s="160"/>
      <c r="C46" s="154"/>
      <c r="D46" s="159" t="s">
        <v>474</v>
      </c>
      <c r="E46" s="154"/>
      <c r="F46" s="155" t="s">
        <v>288</v>
      </c>
    </row>
    <row r="47" spans="1:6" ht="20.45" customHeight="1">
      <c r="A47" s="154"/>
      <c r="B47" s="160"/>
      <c r="C47" s="154"/>
      <c r="D47" s="159" t="s">
        <v>479</v>
      </c>
      <c r="E47" s="154"/>
      <c r="F47" s="155" t="s">
        <v>289</v>
      </c>
    </row>
    <row r="48" spans="1:6" ht="20.45" customHeight="1">
      <c r="A48" s="154"/>
      <c r="B48" s="160"/>
      <c r="C48" s="154"/>
      <c r="D48" s="159" t="s">
        <v>482</v>
      </c>
      <c r="E48" s="154"/>
      <c r="F48" s="155" t="s">
        <v>290</v>
      </c>
    </row>
    <row r="49" spans="1:6" ht="20.45" customHeight="1">
      <c r="A49" s="154"/>
      <c r="B49" s="160"/>
      <c r="C49" s="154"/>
      <c r="D49" s="159" t="s">
        <v>484</v>
      </c>
      <c r="E49" s="154"/>
      <c r="F49" s="155" t="s">
        <v>291</v>
      </c>
    </row>
    <row r="50" spans="1:6" ht="20.45" customHeight="1">
      <c r="A50" s="154"/>
      <c r="B50" s="160"/>
      <c r="C50" s="154"/>
      <c r="D50" s="159" t="s">
        <v>489</v>
      </c>
      <c r="E50" s="154"/>
      <c r="F50" s="155" t="s">
        <v>292</v>
      </c>
    </row>
    <row r="51" spans="1:6" ht="20.45" customHeight="1">
      <c r="A51" s="154"/>
      <c r="B51" s="160"/>
      <c r="C51" s="154"/>
      <c r="D51" s="159" t="s">
        <v>499</v>
      </c>
      <c r="E51" s="154"/>
      <c r="F51" s="155" t="s">
        <v>293</v>
      </c>
    </row>
    <row r="52" spans="1:6" ht="20.45" customHeight="1">
      <c r="A52" s="154"/>
      <c r="B52" s="160"/>
      <c r="C52" s="154"/>
      <c r="D52" s="159" t="s">
        <v>504</v>
      </c>
      <c r="E52" s="154"/>
      <c r="F52" s="155" t="s">
        <v>294</v>
      </c>
    </row>
    <row r="53" spans="1:6" ht="20.45" customHeight="1">
      <c r="A53" s="154"/>
      <c r="B53" s="160"/>
      <c r="C53" s="154"/>
      <c r="D53" s="159" t="s">
        <v>512</v>
      </c>
      <c r="E53" s="154"/>
      <c r="F53" s="155" t="s">
        <v>296</v>
      </c>
    </row>
    <row r="54" spans="1:6" ht="20.45" customHeight="1">
      <c r="A54" s="154"/>
      <c r="B54" s="160"/>
      <c r="C54" s="154"/>
      <c r="D54" s="159" t="s">
        <v>514</v>
      </c>
      <c r="E54" s="154"/>
      <c r="F54" s="155" t="s">
        <v>297</v>
      </c>
    </row>
    <row r="55" spans="1:6" ht="20.45" customHeight="1">
      <c r="A55" s="154"/>
      <c r="B55" s="160"/>
      <c r="C55" s="154"/>
      <c r="D55" s="159" t="s">
        <v>525</v>
      </c>
      <c r="E55" s="154"/>
      <c r="F55" s="155" t="s">
        <v>298</v>
      </c>
    </row>
    <row r="56" spans="1:6" ht="20.45" customHeight="1">
      <c r="A56" s="154"/>
      <c r="B56" s="160"/>
      <c r="C56" s="154"/>
      <c r="D56" s="159" t="s">
        <v>528</v>
      </c>
      <c r="E56" s="154"/>
      <c r="F56" s="155" t="s">
        <v>299</v>
      </c>
    </row>
    <row r="57" spans="1:6" ht="20.45" customHeight="1">
      <c r="A57" s="154"/>
      <c r="B57" s="160"/>
      <c r="C57" s="154"/>
      <c r="D57" s="159" t="s">
        <v>533</v>
      </c>
      <c r="E57" s="154"/>
      <c r="F57" s="155" t="s">
        <v>300</v>
      </c>
    </row>
    <row r="58" spans="1:6" ht="20.45" customHeight="1">
      <c r="A58" s="154"/>
      <c r="B58" s="160"/>
      <c r="C58" s="154"/>
      <c r="D58" s="159" t="s">
        <v>551</v>
      </c>
      <c r="E58" s="154"/>
      <c r="F58" s="155" t="s">
        <v>301</v>
      </c>
    </row>
    <row r="59" spans="1:6" ht="20.45" customHeight="1">
      <c r="A59" s="154"/>
      <c r="B59" s="160"/>
      <c r="C59" s="154"/>
      <c r="D59" s="159" t="s">
        <v>591</v>
      </c>
      <c r="E59" s="154"/>
      <c r="F59" s="155" t="s">
        <v>302</v>
      </c>
    </row>
    <row r="60" spans="1:6" ht="20.45" customHeight="1">
      <c r="A60" s="154"/>
      <c r="B60" s="160"/>
      <c r="C60" s="154"/>
      <c r="D60" s="159" t="s">
        <v>601</v>
      </c>
      <c r="E60" s="154"/>
      <c r="F60" s="155" t="s">
        <v>303</v>
      </c>
    </row>
    <row r="61" spans="1:6" ht="20.45" customHeight="1">
      <c r="A61" s="154"/>
      <c r="B61" s="160"/>
      <c r="C61" s="154"/>
      <c r="D61" s="159" t="s">
        <v>603</v>
      </c>
      <c r="E61" s="154"/>
      <c r="F61" s="155" t="s">
        <v>304</v>
      </c>
    </row>
    <row r="62" spans="1:6" ht="20.45" customHeight="1">
      <c r="A62" s="154"/>
      <c r="B62" s="160"/>
      <c r="C62" s="154"/>
      <c r="D62" s="159" t="s">
        <v>605</v>
      </c>
      <c r="E62" s="154"/>
      <c r="F62" s="155" t="s">
        <v>305</v>
      </c>
    </row>
    <row r="63" spans="1:6" ht="20.45" customHeight="1">
      <c r="A63" s="154"/>
      <c r="B63" s="160"/>
      <c r="C63" s="154"/>
      <c r="D63" s="159" t="s">
        <v>607</v>
      </c>
      <c r="E63" s="154"/>
      <c r="F63" s="155" t="s">
        <v>306</v>
      </c>
    </row>
    <row r="64" spans="1:6" ht="20.45" customHeight="1">
      <c r="A64" s="154"/>
      <c r="B64" s="160"/>
      <c r="C64" s="154"/>
      <c r="D64" s="159" t="s">
        <v>609</v>
      </c>
      <c r="E64" s="154"/>
      <c r="F64" s="155" t="s">
        <v>307</v>
      </c>
    </row>
    <row r="65" spans="1:6" ht="20.45" customHeight="1">
      <c r="A65" s="154"/>
      <c r="B65" s="160"/>
      <c r="C65" s="154"/>
      <c r="D65" s="159" t="s">
        <v>610</v>
      </c>
      <c r="E65" s="154"/>
      <c r="F65" s="155" t="s">
        <v>309</v>
      </c>
    </row>
    <row r="66" spans="1:6" ht="20.45" customHeight="1">
      <c r="A66" s="154"/>
      <c r="B66" s="160"/>
      <c r="C66" s="154"/>
      <c r="D66" s="159" t="s">
        <v>611</v>
      </c>
      <c r="E66" s="154"/>
      <c r="F66" s="155" t="s">
        <v>310</v>
      </c>
    </row>
    <row r="67" spans="1:6" ht="20.45" customHeight="1">
      <c r="A67" s="154"/>
      <c r="B67" s="160"/>
      <c r="C67" s="154"/>
      <c r="D67" s="159" t="s">
        <v>612</v>
      </c>
      <c r="E67" s="154"/>
      <c r="F67" s="155" t="s">
        <v>311</v>
      </c>
    </row>
    <row r="68" spans="1:6" ht="20.45" customHeight="1">
      <c r="A68" s="154"/>
      <c r="B68" s="160"/>
      <c r="C68" s="154"/>
      <c r="D68" s="159" t="s">
        <v>613</v>
      </c>
      <c r="E68" s="154"/>
      <c r="F68" s="155" t="s">
        <v>312</v>
      </c>
    </row>
    <row r="69" spans="1:6" ht="20.45" customHeight="1">
      <c r="A69" s="154"/>
      <c r="B69" s="160"/>
      <c r="C69" s="154"/>
      <c r="D69" s="159" t="s">
        <v>614</v>
      </c>
      <c r="E69" s="154"/>
      <c r="F69" s="155" t="s">
        <v>313</v>
      </c>
    </row>
    <row r="70" spans="1:6" ht="20.45" customHeight="1">
      <c r="A70" s="154"/>
      <c r="B70" s="160"/>
      <c r="C70" s="154"/>
      <c r="D70" s="159" t="s">
        <v>615</v>
      </c>
      <c r="E70" s="154"/>
      <c r="F70" s="155" t="s">
        <v>314</v>
      </c>
    </row>
    <row r="71" spans="1:6" ht="20.45" customHeight="1">
      <c r="A71" s="154"/>
      <c r="B71" s="160"/>
      <c r="C71" s="154"/>
      <c r="D71" s="159"/>
      <c r="E71" s="154"/>
      <c r="F71" s="155" t="s">
        <v>316</v>
      </c>
    </row>
    <row r="72" spans="1:6" ht="20.45" customHeight="1">
      <c r="A72" s="154"/>
      <c r="B72" s="160"/>
      <c r="C72" s="154"/>
      <c r="D72" s="159"/>
      <c r="E72" s="154"/>
      <c r="F72" s="155" t="s">
        <v>317</v>
      </c>
    </row>
    <row r="73" spans="1:6" ht="20.45" customHeight="1">
      <c r="A73" s="154"/>
      <c r="B73" s="160"/>
      <c r="C73" s="154"/>
      <c r="D73" s="159"/>
      <c r="E73" s="154"/>
      <c r="F73" s="155" t="s">
        <v>318</v>
      </c>
    </row>
    <row r="74" spans="1:6" ht="20.45" customHeight="1">
      <c r="A74" s="154"/>
      <c r="B74" s="160"/>
      <c r="C74" s="154"/>
      <c r="D74" s="159"/>
      <c r="E74" s="154"/>
      <c r="F74" s="155" t="s">
        <v>320</v>
      </c>
    </row>
    <row r="75" spans="1:6" ht="20.45" customHeight="1">
      <c r="A75" s="154"/>
      <c r="B75" s="160"/>
      <c r="C75" s="154"/>
      <c r="D75" s="159"/>
      <c r="E75" s="154"/>
      <c r="F75" s="155" t="s">
        <v>321</v>
      </c>
    </row>
    <row r="76" spans="1:6" ht="20.45" customHeight="1">
      <c r="A76" s="154"/>
      <c r="B76" s="160"/>
      <c r="C76" s="154"/>
      <c r="D76" s="159"/>
      <c r="E76" s="154"/>
      <c r="F76" s="155" t="s">
        <v>322</v>
      </c>
    </row>
    <row r="77" spans="1:6" ht="20.45" customHeight="1">
      <c r="A77" s="154"/>
      <c r="B77" s="160"/>
      <c r="C77" s="154"/>
      <c r="D77" s="159"/>
      <c r="E77" s="154"/>
      <c r="F77" s="155" t="s">
        <v>323</v>
      </c>
    </row>
    <row r="78" spans="1:6" ht="20.45" customHeight="1">
      <c r="A78" s="154"/>
      <c r="B78" s="160"/>
      <c r="C78" s="154"/>
      <c r="D78" s="159"/>
      <c r="E78" s="154"/>
      <c r="F78" s="155" t="s">
        <v>324</v>
      </c>
    </row>
    <row r="79" spans="1:6" ht="20.45" customHeight="1">
      <c r="A79" s="154"/>
      <c r="B79" s="160"/>
      <c r="C79" s="154"/>
      <c r="D79" s="159"/>
      <c r="E79" s="154"/>
      <c r="F79" s="155" t="s">
        <v>325</v>
      </c>
    </row>
    <row r="80" spans="1:6" ht="20.45" customHeight="1">
      <c r="A80" s="154"/>
      <c r="B80" s="160"/>
      <c r="C80" s="154"/>
      <c r="D80" s="159"/>
      <c r="E80" s="154"/>
      <c r="F80" s="155" t="s">
        <v>326</v>
      </c>
    </row>
    <row r="81" spans="1:6" ht="20.45" customHeight="1">
      <c r="A81" s="154"/>
      <c r="B81" s="160"/>
      <c r="C81" s="154"/>
      <c r="D81" s="159"/>
      <c r="E81" s="154"/>
      <c r="F81" s="155" t="s">
        <v>327</v>
      </c>
    </row>
    <row r="82" spans="1:6" ht="20.45" customHeight="1">
      <c r="A82" s="154"/>
      <c r="B82" s="160"/>
      <c r="C82" s="154"/>
      <c r="D82" s="159"/>
      <c r="E82" s="154"/>
      <c r="F82" s="155" t="s">
        <v>328</v>
      </c>
    </row>
    <row r="83" spans="1:6" ht="20.45" customHeight="1">
      <c r="A83" s="154"/>
      <c r="B83" s="160"/>
      <c r="C83" s="154"/>
      <c r="D83" s="159"/>
      <c r="E83" s="154"/>
      <c r="F83" s="155" t="s">
        <v>329</v>
      </c>
    </row>
    <row r="84" spans="1:6" ht="20.45" customHeight="1">
      <c r="A84" s="154"/>
      <c r="B84" s="160"/>
      <c r="C84" s="154"/>
      <c r="D84" s="159"/>
      <c r="E84" s="154"/>
      <c r="F84" s="155" t="s">
        <v>330</v>
      </c>
    </row>
    <row r="85" spans="1:6" ht="20.45" customHeight="1">
      <c r="A85" s="154"/>
      <c r="B85" s="160"/>
      <c r="C85" s="154"/>
      <c r="D85" s="159"/>
      <c r="E85" s="154"/>
      <c r="F85" s="155" t="s">
        <v>331</v>
      </c>
    </row>
    <row r="86" spans="1:6" ht="20.45" customHeight="1">
      <c r="A86" s="154"/>
      <c r="B86" s="160"/>
      <c r="C86" s="154"/>
      <c r="D86" s="159"/>
      <c r="E86" s="154"/>
      <c r="F86" s="155" t="s">
        <v>332</v>
      </c>
    </row>
    <row r="87" spans="1:6" ht="20.45" customHeight="1">
      <c r="A87" s="154"/>
      <c r="B87" s="160"/>
      <c r="C87" s="154"/>
      <c r="D87" s="159"/>
      <c r="E87" s="154"/>
      <c r="F87" s="155" t="s">
        <v>333</v>
      </c>
    </row>
    <row r="88" spans="1:6" ht="20.45" customHeight="1">
      <c r="A88" s="154"/>
      <c r="B88" s="160"/>
      <c r="C88" s="154"/>
      <c r="D88" s="159"/>
      <c r="E88" s="154"/>
      <c r="F88" s="155" t="s">
        <v>334</v>
      </c>
    </row>
    <row r="89" spans="1:6" ht="20.45" customHeight="1">
      <c r="A89" s="154"/>
      <c r="B89" s="160"/>
      <c r="C89" s="154"/>
      <c r="D89" s="159"/>
      <c r="E89" s="154"/>
      <c r="F89" s="155" t="s">
        <v>335</v>
      </c>
    </row>
    <row r="90" spans="1:6" ht="20.45" customHeight="1">
      <c r="A90" s="154"/>
      <c r="B90" s="160"/>
      <c r="C90" s="154"/>
      <c r="D90" s="159"/>
      <c r="E90" s="154"/>
      <c r="F90" s="155" t="s">
        <v>336</v>
      </c>
    </row>
    <row r="91" spans="1:6" ht="20.45" customHeight="1">
      <c r="A91" s="154"/>
      <c r="B91" s="160"/>
      <c r="C91" s="154"/>
      <c r="D91" s="159"/>
      <c r="E91" s="154"/>
      <c r="F91" s="155" t="s">
        <v>338</v>
      </c>
    </row>
    <row r="92" spans="1:6" ht="20.45" customHeight="1">
      <c r="A92" s="154"/>
      <c r="B92" s="160"/>
      <c r="C92" s="154"/>
      <c r="D92" s="159"/>
      <c r="E92" s="154"/>
      <c r="F92" s="155" t="s">
        <v>340</v>
      </c>
    </row>
    <row r="93" spans="1:6" ht="20.45" customHeight="1">
      <c r="A93" s="154"/>
      <c r="B93" s="160"/>
      <c r="C93" s="154"/>
      <c r="D93" s="159"/>
      <c r="E93" s="154"/>
      <c r="F93" s="155" t="s">
        <v>341</v>
      </c>
    </row>
    <row r="94" spans="1:6" ht="20.45" customHeight="1">
      <c r="A94" s="154"/>
      <c r="B94" s="160"/>
      <c r="C94" s="154"/>
      <c r="D94" s="159"/>
      <c r="E94" s="154"/>
      <c r="F94" s="155" t="s">
        <v>342</v>
      </c>
    </row>
    <row r="95" spans="1:6" ht="20.45" customHeight="1">
      <c r="A95" s="154"/>
      <c r="B95" s="160"/>
      <c r="C95" s="154"/>
      <c r="D95" s="159"/>
      <c r="E95" s="154"/>
      <c r="F95" s="155" t="s">
        <v>343</v>
      </c>
    </row>
    <row r="96" spans="1:6" ht="20.45" customHeight="1">
      <c r="A96" s="154"/>
      <c r="B96" s="160"/>
      <c r="C96" s="154"/>
      <c r="D96" s="159"/>
      <c r="E96" s="154"/>
      <c r="F96" s="155" t="s">
        <v>344</v>
      </c>
    </row>
    <row r="97" spans="1:6" ht="20.45" customHeight="1">
      <c r="A97" s="154"/>
      <c r="B97" s="160"/>
      <c r="C97" s="154"/>
      <c r="D97" s="159"/>
      <c r="E97" s="154"/>
      <c r="F97" s="155" t="s">
        <v>345</v>
      </c>
    </row>
    <row r="98" spans="1:6" ht="20.45" customHeight="1">
      <c r="A98" s="154"/>
      <c r="B98" s="160"/>
      <c r="C98" s="154"/>
      <c r="D98" s="159"/>
      <c r="E98" s="154"/>
      <c r="F98" s="155" t="s">
        <v>346</v>
      </c>
    </row>
    <row r="99" spans="1:6" ht="20.45" customHeight="1">
      <c r="A99" s="154"/>
      <c r="B99" s="160"/>
      <c r="C99" s="154"/>
      <c r="D99" s="159"/>
      <c r="E99" s="154"/>
      <c r="F99" s="155" t="s">
        <v>347</v>
      </c>
    </row>
    <row r="100" spans="1:6" ht="20.45" customHeight="1">
      <c r="A100" s="154"/>
      <c r="B100" s="160"/>
      <c r="C100" s="154"/>
      <c r="D100" s="159"/>
      <c r="E100" s="154"/>
      <c r="F100" s="155" t="s">
        <v>349</v>
      </c>
    </row>
    <row r="101" spans="1:6" ht="20.45" customHeight="1">
      <c r="A101" s="154"/>
      <c r="B101" s="160"/>
      <c r="C101" s="154"/>
      <c r="D101" s="159"/>
      <c r="E101" s="154"/>
      <c r="F101" s="155" t="s">
        <v>351</v>
      </c>
    </row>
    <row r="102" spans="1:6" ht="20.45" customHeight="1">
      <c r="A102" s="154"/>
      <c r="B102" s="160"/>
      <c r="C102" s="154"/>
      <c r="D102" s="159"/>
      <c r="E102" s="154"/>
      <c r="F102" s="155" t="s">
        <v>352</v>
      </c>
    </row>
    <row r="103" spans="1:6" ht="20.45" customHeight="1">
      <c r="A103" s="154"/>
      <c r="B103" s="160"/>
      <c r="C103" s="154"/>
      <c r="D103" s="159"/>
      <c r="E103" s="154"/>
      <c r="F103" s="155" t="s">
        <v>350</v>
      </c>
    </row>
    <row r="104" spans="1:6" ht="20.45" customHeight="1">
      <c r="A104" s="154"/>
      <c r="B104" s="160"/>
      <c r="C104" s="154"/>
      <c r="D104" s="159"/>
      <c r="E104" s="154"/>
      <c r="F104" s="155" t="s">
        <v>354</v>
      </c>
    </row>
    <row r="105" spans="1:6" ht="20.45" customHeight="1">
      <c r="A105" s="154"/>
      <c r="B105" s="160"/>
      <c r="C105" s="154"/>
      <c r="D105" s="159"/>
      <c r="E105" s="154"/>
      <c r="F105" s="155" t="s">
        <v>355</v>
      </c>
    </row>
    <row r="106" spans="1:6" ht="20.45" customHeight="1">
      <c r="A106" s="154"/>
      <c r="B106" s="160"/>
      <c r="C106" s="154"/>
      <c r="D106" s="159"/>
      <c r="E106" s="154"/>
      <c r="F106" s="155" t="s">
        <v>356</v>
      </c>
    </row>
    <row r="107" spans="1:6" ht="20.45" customHeight="1">
      <c r="A107" s="154"/>
      <c r="B107" s="160"/>
      <c r="C107" s="154"/>
      <c r="D107" s="159"/>
      <c r="E107" s="154"/>
      <c r="F107" s="155" t="s">
        <v>357</v>
      </c>
    </row>
    <row r="108" spans="1:6" ht="20.45" customHeight="1">
      <c r="A108" s="154"/>
      <c r="B108" s="160"/>
      <c r="C108" s="154"/>
      <c r="D108" s="159"/>
      <c r="E108" s="154"/>
      <c r="F108" s="155" t="s">
        <v>358</v>
      </c>
    </row>
    <row r="109" spans="1:6" ht="20.45" customHeight="1">
      <c r="A109" s="154"/>
      <c r="B109" s="160"/>
      <c r="C109" s="154"/>
      <c r="D109" s="159"/>
      <c r="E109" s="154"/>
      <c r="F109" s="155" t="s">
        <v>359</v>
      </c>
    </row>
    <row r="110" spans="1:6" ht="20.45" customHeight="1">
      <c r="A110" s="154"/>
      <c r="B110" s="160"/>
      <c r="C110" s="154"/>
      <c r="D110" s="159"/>
      <c r="E110" s="154"/>
      <c r="F110" s="155" t="s">
        <v>360</v>
      </c>
    </row>
    <row r="111" spans="1:6" ht="20.45" customHeight="1">
      <c r="A111" s="154"/>
      <c r="B111" s="160"/>
      <c r="C111" s="154"/>
      <c r="D111" s="159"/>
      <c r="E111" s="154"/>
      <c r="F111" s="155" t="s">
        <v>361</v>
      </c>
    </row>
    <row r="112" spans="1:6" ht="20.45" customHeight="1">
      <c r="A112" s="154"/>
      <c r="B112" s="160"/>
      <c r="C112" s="154"/>
      <c r="D112" s="159"/>
      <c r="E112" s="154"/>
      <c r="F112" s="155" t="s">
        <v>362</v>
      </c>
    </row>
    <row r="113" spans="1:6" ht="20.45" customHeight="1">
      <c r="A113" s="154"/>
      <c r="B113" s="160"/>
      <c r="C113" s="154"/>
      <c r="D113" s="159"/>
      <c r="E113" s="154"/>
      <c r="F113" s="155" t="s">
        <v>363</v>
      </c>
    </row>
    <row r="114" spans="1:6" ht="20.45" customHeight="1">
      <c r="A114" s="154"/>
      <c r="B114" s="160"/>
      <c r="C114" s="154"/>
      <c r="D114" s="159"/>
      <c r="E114" s="154"/>
      <c r="F114" s="155" t="s">
        <v>365</v>
      </c>
    </row>
    <row r="115" spans="1:6" ht="20.45" customHeight="1">
      <c r="A115" s="154"/>
      <c r="B115" s="160"/>
      <c r="C115" s="154"/>
      <c r="D115" s="159"/>
      <c r="E115" s="154"/>
      <c r="F115" s="155" t="s">
        <v>366</v>
      </c>
    </row>
    <row r="116" spans="1:6" ht="20.45" customHeight="1">
      <c r="A116" s="154"/>
      <c r="B116" s="160"/>
      <c r="C116" s="154"/>
      <c r="D116" s="159"/>
      <c r="E116" s="154"/>
      <c r="F116" s="155" t="s">
        <v>367</v>
      </c>
    </row>
    <row r="117" spans="1:6" ht="20.45" customHeight="1">
      <c r="A117" s="154"/>
      <c r="B117" s="160"/>
      <c r="C117" s="154"/>
      <c r="D117" s="159"/>
      <c r="E117" s="154"/>
      <c r="F117" s="155" t="s">
        <v>368</v>
      </c>
    </row>
    <row r="118" spans="1:6" ht="20.45" customHeight="1">
      <c r="A118" s="154"/>
      <c r="B118" s="160"/>
      <c r="C118" s="154"/>
      <c r="D118" s="159"/>
      <c r="E118" s="154"/>
      <c r="F118" s="155" t="s">
        <v>369</v>
      </c>
    </row>
    <row r="119" spans="1:6" ht="20.45" customHeight="1">
      <c r="A119" s="154"/>
      <c r="B119" s="160"/>
      <c r="C119" s="154"/>
      <c r="D119" s="159"/>
      <c r="E119" s="154"/>
      <c r="F119" s="155" t="s">
        <v>370</v>
      </c>
    </row>
    <row r="120" spans="1:6" ht="20.45" customHeight="1">
      <c r="A120" s="154"/>
      <c r="B120" s="160"/>
      <c r="C120" s="154"/>
      <c r="D120" s="159"/>
      <c r="E120" s="154"/>
      <c r="F120" s="155" t="s">
        <v>372</v>
      </c>
    </row>
    <row r="121" spans="1:6" ht="20.45" customHeight="1">
      <c r="A121" s="154"/>
      <c r="B121" s="160"/>
      <c r="C121" s="154"/>
      <c r="D121" s="159"/>
      <c r="E121" s="154"/>
      <c r="F121" s="155" t="s">
        <v>373</v>
      </c>
    </row>
    <row r="122" spans="1:6" ht="20.45" customHeight="1">
      <c r="A122" s="154"/>
      <c r="B122" s="160"/>
      <c r="C122" s="154"/>
      <c r="D122" s="159"/>
      <c r="E122" s="154"/>
      <c r="F122" s="155" t="s">
        <v>374</v>
      </c>
    </row>
    <row r="123" spans="1:6" ht="20.45" customHeight="1">
      <c r="A123" s="154"/>
      <c r="B123" s="160"/>
      <c r="C123" s="154"/>
      <c r="D123" s="159"/>
      <c r="E123" s="154"/>
      <c r="F123" s="155" t="s">
        <v>375</v>
      </c>
    </row>
    <row r="124" spans="1:6" ht="20.45" customHeight="1">
      <c r="A124" s="154"/>
      <c r="B124" s="160"/>
      <c r="C124" s="154"/>
      <c r="D124" s="159"/>
      <c r="E124" s="154"/>
      <c r="F124" s="155" t="s">
        <v>376</v>
      </c>
    </row>
    <row r="125" spans="1:6" ht="20.45" customHeight="1">
      <c r="A125" s="154"/>
      <c r="B125" s="160"/>
      <c r="C125" s="154"/>
      <c r="D125" s="159"/>
      <c r="E125" s="154"/>
      <c r="F125" s="155" t="s">
        <v>377</v>
      </c>
    </row>
    <row r="126" spans="1:6" ht="20.45" customHeight="1">
      <c r="A126" s="154"/>
      <c r="B126" s="160"/>
      <c r="C126" s="154"/>
      <c r="D126" s="159"/>
      <c r="E126" s="154"/>
      <c r="F126" s="155" t="s">
        <v>378</v>
      </c>
    </row>
    <row r="127" spans="1:6" ht="20.45" customHeight="1">
      <c r="A127" s="154"/>
      <c r="B127" s="160"/>
      <c r="C127" s="154"/>
      <c r="D127" s="159"/>
      <c r="E127" s="154"/>
      <c r="F127" s="155" t="s">
        <v>379</v>
      </c>
    </row>
    <row r="128" spans="1:6" ht="20.45" customHeight="1">
      <c r="A128" s="154"/>
      <c r="B128" s="160"/>
      <c r="C128" s="154"/>
      <c r="D128" s="159"/>
      <c r="E128" s="154"/>
      <c r="F128" s="155" t="s">
        <v>380</v>
      </c>
    </row>
    <row r="129" spans="1:6" ht="20.45" customHeight="1">
      <c r="A129" s="154"/>
      <c r="B129" s="160"/>
      <c r="C129" s="154"/>
      <c r="D129" s="159"/>
      <c r="E129" s="154"/>
      <c r="F129" s="155" t="s">
        <v>381</v>
      </c>
    </row>
    <row r="130" spans="1:6" ht="20.45" customHeight="1">
      <c r="A130" s="154"/>
      <c r="B130" s="160"/>
      <c r="C130" s="154"/>
      <c r="D130" s="159"/>
      <c r="E130" s="154"/>
      <c r="F130" s="155" t="s">
        <v>383</v>
      </c>
    </row>
    <row r="131" spans="1:6" ht="20.45" customHeight="1">
      <c r="A131" s="154"/>
      <c r="B131" s="160"/>
      <c r="C131" s="154"/>
      <c r="D131" s="159"/>
      <c r="E131" s="154"/>
      <c r="F131" s="155" t="s">
        <v>384</v>
      </c>
    </row>
    <row r="132" spans="1:6" ht="20.45" customHeight="1">
      <c r="A132" s="154"/>
      <c r="B132" s="160"/>
      <c r="C132" s="154"/>
      <c r="D132" s="159"/>
      <c r="E132" s="154"/>
      <c r="F132" s="155" t="s">
        <v>385</v>
      </c>
    </row>
    <row r="133" spans="1:6" ht="20.45" customHeight="1">
      <c r="A133" s="154"/>
      <c r="B133" s="160"/>
      <c r="C133" s="154"/>
      <c r="D133" s="159"/>
      <c r="E133" s="154"/>
      <c r="F133" s="155" t="s">
        <v>386</v>
      </c>
    </row>
    <row r="134" spans="1:6" ht="20.45" customHeight="1">
      <c r="A134" s="154"/>
      <c r="B134" s="160"/>
      <c r="C134" s="154"/>
      <c r="D134" s="159"/>
      <c r="E134" s="154"/>
      <c r="F134" s="155" t="s">
        <v>388</v>
      </c>
    </row>
    <row r="135" spans="1:6" ht="20.45" customHeight="1">
      <c r="A135" s="154"/>
      <c r="B135" s="160"/>
      <c r="C135" s="154"/>
      <c r="D135" s="159"/>
      <c r="E135" s="154"/>
      <c r="F135" s="155" t="s">
        <v>389</v>
      </c>
    </row>
    <row r="136" spans="1:6" ht="20.45" customHeight="1">
      <c r="A136" s="154"/>
      <c r="B136" s="160"/>
      <c r="C136" s="154"/>
      <c r="D136" s="159"/>
      <c r="E136" s="154"/>
      <c r="F136" s="155" t="s">
        <v>390</v>
      </c>
    </row>
    <row r="137" spans="1:6" ht="20.45" customHeight="1">
      <c r="A137" s="154"/>
      <c r="B137" s="160"/>
      <c r="C137" s="154"/>
      <c r="D137" s="159"/>
      <c r="E137" s="154"/>
      <c r="F137" s="155" t="s">
        <v>391</v>
      </c>
    </row>
    <row r="138" spans="1:6" ht="20.45" customHeight="1">
      <c r="A138" s="154"/>
      <c r="B138" s="160"/>
      <c r="C138" s="154"/>
      <c r="D138" s="159"/>
      <c r="E138" s="154"/>
      <c r="F138" s="155" t="s">
        <v>392</v>
      </c>
    </row>
    <row r="139" spans="1:6" ht="20.45" customHeight="1">
      <c r="A139" s="154"/>
      <c r="B139" s="160"/>
      <c r="C139" s="154"/>
      <c r="D139" s="159"/>
      <c r="E139" s="154"/>
      <c r="F139" s="155" t="s">
        <v>394</v>
      </c>
    </row>
    <row r="140" spans="1:6" ht="20.45" customHeight="1">
      <c r="A140" s="154"/>
      <c r="B140" s="160"/>
      <c r="C140" s="154"/>
      <c r="D140" s="159"/>
      <c r="E140" s="154"/>
      <c r="F140" s="155" t="s">
        <v>395</v>
      </c>
    </row>
    <row r="141" spans="1:6" ht="20.45" customHeight="1">
      <c r="A141" s="154"/>
      <c r="B141" s="160"/>
      <c r="C141" s="154"/>
      <c r="D141" s="159"/>
      <c r="E141" s="154"/>
      <c r="F141" s="155" t="s">
        <v>396</v>
      </c>
    </row>
    <row r="142" spans="1:6" ht="20.45" customHeight="1">
      <c r="A142" s="154"/>
      <c r="B142" s="160"/>
      <c r="C142" s="154"/>
      <c r="D142" s="159"/>
      <c r="E142" s="154"/>
      <c r="F142" s="155" t="s">
        <v>398</v>
      </c>
    </row>
    <row r="143" spans="1:6" ht="20.45" customHeight="1">
      <c r="A143" s="154"/>
      <c r="B143" s="160"/>
      <c r="C143" s="154"/>
      <c r="D143" s="159"/>
      <c r="E143" s="154"/>
      <c r="F143" s="155" t="s">
        <v>399</v>
      </c>
    </row>
    <row r="144" spans="1:6" ht="20.45" customHeight="1">
      <c r="A144" s="154"/>
      <c r="B144" s="160"/>
      <c r="C144" s="154"/>
      <c r="D144" s="159"/>
      <c r="E144" s="154"/>
      <c r="F144" s="155" t="s">
        <v>400</v>
      </c>
    </row>
    <row r="145" spans="1:6" ht="20.45" customHeight="1">
      <c r="A145" s="154"/>
      <c r="B145" s="160"/>
      <c r="C145" s="154"/>
      <c r="D145" s="159"/>
      <c r="E145" s="154"/>
      <c r="F145" s="155" t="s">
        <v>401</v>
      </c>
    </row>
    <row r="146" spans="1:6" ht="20.45" customHeight="1">
      <c r="A146" s="154"/>
      <c r="B146" s="160"/>
      <c r="C146" s="154"/>
      <c r="D146" s="159"/>
      <c r="E146" s="154"/>
      <c r="F146" s="155" t="s">
        <v>403</v>
      </c>
    </row>
    <row r="147" spans="1:6" ht="20.45" customHeight="1">
      <c r="A147" s="154"/>
      <c r="B147" s="160"/>
      <c r="C147" s="154"/>
      <c r="D147" s="159"/>
      <c r="E147" s="154"/>
      <c r="F147" s="155" t="s">
        <v>404</v>
      </c>
    </row>
    <row r="148" spans="1:6" ht="20.45" customHeight="1">
      <c r="A148" s="154"/>
      <c r="B148" s="160"/>
      <c r="C148" s="154"/>
      <c r="D148" s="159"/>
      <c r="E148" s="154"/>
      <c r="F148" s="155" t="s">
        <v>405</v>
      </c>
    </row>
    <row r="149" spans="1:6" ht="20.45" customHeight="1">
      <c r="A149" s="154"/>
      <c r="B149" s="160"/>
      <c r="C149" s="154"/>
      <c r="D149" s="159"/>
      <c r="E149" s="154"/>
      <c r="F149" s="155" t="s">
        <v>406</v>
      </c>
    </row>
    <row r="150" spans="1:6" ht="20.45" customHeight="1">
      <c r="A150" s="154"/>
      <c r="B150" s="160"/>
      <c r="C150" s="154"/>
      <c r="D150" s="159"/>
      <c r="E150" s="154"/>
      <c r="F150" s="155" t="s">
        <v>407</v>
      </c>
    </row>
    <row r="151" spans="1:6" ht="20.45" customHeight="1">
      <c r="A151" s="154"/>
      <c r="B151" s="160"/>
      <c r="C151" s="154"/>
      <c r="D151" s="159"/>
      <c r="E151" s="154"/>
      <c r="F151" s="155" t="s">
        <v>408</v>
      </c>
    </row>
    <row r="152" spans="1:6" ht="20.45" customHeight="1">
      <c r="A152" s="154"/>
      <c r="B152" s="160"/>
      <c r="C152" s="154"/>
      <c r="D152" s="159"/>
      <c r="E152" s="154"/>
      <c r="F152" s="155" t="s">
        <v>410</v>
      </c>
    </row>
    <row r="153" spans="1:6" ht="20.45" customHeight="1">
      <c r="A153" s="154"/>
      <c r="B153" s="160"/>
      <c r="C153" s="154"/>
      <c r="D153" s="159"/>
      <c r="E153" s="154"/>
      <c r="F153" s="155" t="s">
        <v>409</v>
      </c>
    </row>
    <row r="154" spans="1:6" ht="20.45" customHeight="1">
      <c r="A154" s="154"/>
      <c r="B154" s="160"/>
      <c r="C154" s="154"/>
      <c r="D154" s="159"/>
      <c r="E154" s="154"/>
      <c r="F154" s="155" t="s">
        <v>412</v>
      </c>
    </row>
    <row r="155" spans="1:6" ht="20.45" customHeight="1">
      <c r="A155" s="154"/>
      <c r="B155" s="160"/>
      <c r="C155" s="154"/>
      <c r="D155" s="159"/>
      <c r="E155" s="154"/>
      <c r="F155" s="155" t="s">
        <v>413</v>
      </c>
    </row>
    <row r="156" spans="1:6" ht="20.45" customHeight="1">
      <c r="A156" s="154"/>
      <c r="B156" s="160"/>
      <c r="C156" s="154"/>
      <c r="D156" s="159"/>
      <c r="E156" s="154"/>
      <c r="F156" s="155" t="s">
        <v>414</v>
      </c>
    </row>
    <row r="157" spans="1:6" ht="20.45" customHeight="1">
      <c r="A157" s="154"/>
      <c r="B157" s="160"/>
      <c r="C157" s="154"/>
      <c r="D157" s="159"/>
      <c r="E157" s="154"/>
      <c r="F157" s="155" t="s">
        <v>416</v>
      </c>
    </row>
    <row r="158" spans="1:6" ht="20.45" customHeight="1">
      <c r="A158" s="154"/>
      <c r="B158" s="160"/>
      <c r="C158" s="154"/>
      <c r="D158" s="159"/>
      <c r="E158" s="154"/>
      <c r="F158" s="155" t="s">
        <v>418</v>
      </c>
    </row>
    <row r="159" spans="1:6" ht="20.45" customHeight="1">
      <c r="A159" s="154"/>
      <c r="B159" s="160"/>
      <c r="C159" s="154"/>
      <c r="D159" s="159"/>
      <c r="E159" s="154"/>
      <c r="F159" s="159" t="s">
        <v>651</v>
      </c>
    </row>
    <row r="160" spans="1:6" ht="20.45" customHeight="1">
      <c r="A160" s="154"/>
      <c r="B160" s="160"/>
      <c r="C160" s="154"/>
      <c r="D160" s="159"/>
      <c r="E160" s="154"/>
      <c r="F160" s="159" t="s">
        <v>419</v>
      </c>
    </row>
    <row r="161" spans="1:6" ht="20.45" customHeight="1">
      <c r="A161" s="154"/>
      <c r="B161" s="160"/>
      <c r="C161" s="154"/>
      <c r="D161" s="159"/>
      <c r="E161" s="154"/>
      <c r="F161" s="159" t="s">
        <v>420</v>
      </c>
    </row>
    <row r="162" spans="1:6" ht="20.45" customHeight="1">
      <c r="A162" s="154"/>
      <c r="B162" s="160"/>
      <c r="C162" s="154"/>
      <c r="D162" s="159"/>
      <c r="E162" s="154"/>
      <c r="F162" s="159" t="s">
        <v>421</v>
      </c>
    </row>
    <row r="163" spans="1:6" ht="20.45" customHeight="1">
      <c r="A163" s="154"/>
      <c r="C163" s="154"/>
      <c r="D163" s="159"/>
      <c r="E163" s="154"/>
      <c r="F163" s="155" t="s">
        <v>424</v>
      </c>
    </row>
    <row r="164" spans="1:6" ht="20.45" customHeight="1">
      <c r="A164" s="154"/>
      <c r="B164" s="160"/>
      <c r="C164" s="154"/>
      <c r="D164" s="159"/>
      <c r="E164" s="154"/>
      <c r="F164" s="155" t="s">
        <v>425</v>
      </c>
    </row>
    <row r="165" spans="1:6" ht="20.45" customHeight="1">
      <c r="A165" s="154"/>
      <c r="B165" s="160"/>
      <c r="C165" s="154"/>
      <c r="D165" s="159"/>
      <c r="E165" s="154"/>
      <c r="F165" s="155" t="s">
        <v>426</v>
      </c>
    </row>
    <row r="166" spans="1:6" ht="20.45" customHeight="1">
      <c r="A166" s="154"/>
      <c r="B166" s="160"/>
      <c r="C166" s="154"/>
      <c r="D166" s="159"/>
      <c r="E166" s="154"/>
      <c r="F166" s="155" t="s">
        <v>427</v>
      </c>
    </row>
    <row r="167" spans="1:6" ht="20.45" customHeight="1">
      <c r="A167" s="154"/>
      <c r="B167" s="160"/>
      <c r="C167" s="154"/>
      <c r="D167" s="159"/>
      <c r="E167" s="154"/>
      <c r="F167" s="155" t="s">
        <v>428</v>
      </c>
    </row>
    <row r="168" spans="1:6" ht="20.45" customHeight="1">
      <c r="A168" s="154"/>
      <c r="B168" s="160"/>
      <c r="C168" s="154"/>
      <c r="D168" s="159"/>
      <c r="E168" s="154"/>
      <c r="F168" s="155" t="s">
        <v>429</v>
      </c>
    </row>
    <row r="169" spans="1:6" ht="20.45" customHeight="1">
      <c r="A169" s="154"/>
      <c r="B169" s="160"/>
      <c r="C169" s="154"/>
      <c r="D169" s="159"/>
      <c r="E169" s="154"/>
      <c r="F169" s="155" t="s">
        <v>431</v>
      </c>
    </row>
    <row r="170" spans="1:6" ht="20.45" customHeight="1">
      <c r="A170" s="154"/>
      <c r="B170" s="160"/>
      <c r="C170" s="154"/>
      <c r="D170" s="159"/>
      <c r="E170" s="154"/>
      <c r="F170" s="155" t="s">
        <v>432</v>
      </c>
    </row>
    <row r="171" spans="1:6" ht="20.45" customHeight="1">
      <c r="A171" s="154"/>
      <c r="B171" s="160"/>
      <c r="C171" s="154"/>
      <c r="D171" s="159"/>
      <c r="E171" s="154"/>
      <c r="F171" s="155" t="s">
        <v>433</v>
      </c>
    </row>
    <row r="172" spans="1:6" ht="20.45" customHeight="1">
      <c r="A172" s="154"/>
      <c r="B172" s="160"/>
      <c r="C172" s="154"/>
      <c r="D172" s="159"/>
      <c r="E172" s="154"/>
      <c r="F172" s="155" t="s">
        <v>434</v>
      </c>
    </row>
    <row r="173" spans="1:6" ht="20.45" customHeight="1">
      <c r="A173" s="154"/>
      <c r="B173" s="160"/>
      <c r="C173" s="154"/>
      <c r="D173" s="159"/>
      <c r="E173" s="154"/>
      <c r="F173" s="155" t="s">
        <v>435</v>
      </c>
    </row>
    <row r="174" spans="1:6" ht="20.45" customHeight="1">
      <c r="A174" s="154"/>
      <c r="B174" s="160"/>
      <c r="C174" s="154"/>
      <c r="D174" s="159"/>
      <c r="E174" s="154"/>
      <c r="F174" s="155" t="s">
        <v>436</v>
      </c>
    </row>
    <row r="175" spans="1:6" ht="20.45" customHeight="1">
      <c r="A175" s="154"/>
      <c r="B175" s="160"/>
      <c r="C175" s="154"/>
      <c r="D175" s="159"/>
      <c r="E175" s="154"/>
      <c r="F175" s="155" t="s">
        <v>437</v>
      </c>
    </row>
    <row r="176" spans="1:6" ht="20.45" customHeight="1">
      <c r="A176" s="154"/>
      <c r="B176" s="160"/>
      <c r="C176" s="154"/>
      <c r="D176" s="159"/>
      <c r="E176" s="154"/>
      <c r="F176" s="155" t="s">
        <v>438</v>
      </c>
    </row>
    <row r="177" spans="1:6" ht="20.45" customHeight="1">
      <c r="A177" s="154"/>
      <c r="B177" s="160"/>
      <c r="C177" s="154"/>
      <c r="D177" s="159"/>
      <c r="E177" s="154"/>
      <c r="F177" s="155" t="s">
        <v>440</v>
      </c>
    </row>
    <row r="178" spans="1:6" ht="20.45" customHeight="1">
      <c r="A178" s="154"/>
      <c r="B178" s="160"/>
      <c r="C178" s="154"/>
      <c r="D178" s="159"/>
      <c r="E178" s="154"/>
      <c r="F178" s="155" t="s">
        <v>441</v>
      </c>
    </row>
    <row r="179" spans="1:6" ht="20.45" customHeight="1">
      <c r="A179" s="154"/>
      <c r="B179" s="160"/>
      <c r="C179" s="154"/>
      <c r="D179" s="159"/>
      <c r="E179" s="154"/>
      <c r="F179" s="155" t="s">
        <v>442</v>
      </c>
    </row>
    <row r="180" spans="1:6" ht="20.45" customHeight="1">
      <c r="A180" s="154"/>
      <c r="B180" s="160"/>
      <c r="C180" s="154"/>
      <c r="D180" s="159"/>
      <c r="E180" s="154"/>
      <c r="F180" s="155" t="s">
        <v>443</v>
      </c>
    </row>
    <row r="181" spans="1:6" ht="20.45" customHeight="1">
      <c r="A181" s="154"/>
      <c r="B181" s="160"/>
      <c r="C181" s="154"/>
      <c r="D181" s="159"/>
      <c r="E181" s="154"/>
      <c r="F181" s="155" t="s">
        <v>444</v>
      </c>
    </row>
    <row r="182" spans="1:6" ht="20.45" customHeight="1">
      <c r="A182" s="154"/>
      <c r="B182" s="160"/>
      <c r="C182" s="154"/>
      <c r="D182" s="159"/>
      <c r="E182" s="154"/>
      <c r="F182" s="155" t="s">
        <v>446</v>
      </c>
    </row>
    <row r="183" spans="1:6" ht="20.45" customHeight="1">
      <c r="A183" s="154"/>
      <c r="B183" s="160"/>
      <c r="C183" s="154"/>
      <c r="D183" s="159"/>
      <c r="E183" s="154"/>
      <c r="F183" s="155" t="s">
        <v>447</v>
      </c>
    </row>
    <row r="184" spans="1:6" ht="20.45" customHeight="1">
      <c r="A184" s="154"/>
      <c r="B184" s="160"/>
      <c r="C184" s="154"/>
      <c r="D184" s="159"/>
      <c r="E184" s="154"/>
      <c r="F184" s="155" t="s">
        <v>448</v>
      </c>
    </row>
    <row r="185" spans="1:6" ht="20.45" customHeight="1">
      <c r="A185" s="154"/>
      <c r="B185" s="160"/>
      <c r="C185" s="154"/>
      <c r="D185" s="159"/>
      <c r="E185" s="154"/>
      <c r="F185" s="155" t="s">
        <v>449</v>
      </c>
    </row>
    <row r="186" spans="1:6" ht="20.45" customHeight="1">
      <c r="A186" s="154"/>
      <c r="B186" s="160"/>
      <c r="C186" s="154"/>
      <c r="D186" s="159"/>
      <c r="E186" s="154"/>
      <c r="F186" s="155" t="s">
        <v>450</v>
      </c>
    </row>
    <row r="187" spans="1:6" ht="20.45" customHeight="1">
      <c r="A187" s="154"/>
      <c r="B187" s="160"/>
      <c r="C187" s="154"/>
      <c r="D187" s="159"/>
      <c r="E187" s="154"/>
      <c r="F187" s="155" t="s">
        <v>451</v>
      </c>
    </row>
    <row r="188" spans="1:6" ht="20.45" customHeight="1">
      <c r="A188" s="154"/>
      <c r="B188" s="160"/>
      <c r="C188" s="154"/>
      <c r="D188" s="159"/>
      <c r="E188" s="154"/>
      <c r="F188" s="155" t="s">
        <v>452</v>
      </c>
    </row>
    <row r="189" spans="1:6" ht="20.45" customHeight="1">
      <c r="A189" s="154"/>
      <c r="B189" s="160"/>
      <c r="C189" s="154"/>
      <c r="D189" s="159"/>
      <c r="E189" s="154"/>
      <c r="F189" s="155" t="s">
        <v>453</v>
      </c>
    </row>
    <row r="190" spans="1:6" ht="20.45" customHeight="1">
      <c r="A190" s="154"/>
      <c r="B190" s="160"/>
      <c r="C190" s="154"/>
      <c r="D190" s="159"/>
      <c r="E190" s="154"/>
      <c r="F190" s="155" t="s">
        <v>454</v>
      </c>
    </row>
    <row r="191" spans="1:6" ht="20.45" customHeight="1">
      <c r="A191" s="154"/>
      <c r="B191" s="160"/>
      <c r="C191" s="154"/>
      <c r="D191" s="159"/>
      <c r="E191" s="154"/>
      <c r="F191" s="155" t="s">
        <v>455</v>
      </c>
    </row>
    <row r="192" spans="1:6" ht="20.45" customHeight="1">
      <c r="A192" s="154"/>
      <c r="B192" s="160"/>
      <c r="C192" s="154"/>
      <c r="D192" s="159"/>
      <c r="E192" s="154"/>
      <c r="F192" s="155" t="s">
        <v>456</v>
      </c>
    </row>
    <row r="193" spans="1:6" ht="20.45" customHeight="1">
      <c r="A193" s="154"/>
      <c r="B193" s="160"/>
      <c r="C193" s="154"/>
      <c r="D193" s="159"/>
      <c r="E193" s="154"/>
      <c r="F193" s="155" t="s">
        <v>457</v>
      </c>
    </row>
    <row r="194" spans="1:6" ht="20.45" customHeight="1">
      <c r="A194" s="154"/>
      <c r="B194" s="160"/>
      <c r="C194" s="154"/>
      <c r="D194" s="159"/>
      <c r="E194" s="154"/>
      <c r="F194" s="155" t="s">
        <v>459</v>
      </c>
    </row>
    <row r="195" spans="1:6" ht="20.45" customHeight="1">
      <c r="A195" s="154"/>
      <c r="B195" s="160"/>
      <c r="C195" s="154"/>
      <c r="D195" s="159"/>
      <c r="E195" s="154"/>
      <c r="F195" s="155" t="s">
        <v>461</v>
      </c>
    </row>
    <row r="196" spans="1:6" ht="20.45" customHeight="1">
      <c r="A196" s="154"/>
      <c r="B196" s="160"/>
      <c r="C196" s="154"/>
      <c r="D196" s="159"/>
      <c r="E196" s="154"/>
      <c r="F196" s="155" t="s">
        <v>462</v>
      </c>
    </row>
    <row r="197" spans="1:6" ht="20.45" customHeight="1">
      <c r="A197" s="154"/>
      <c r="B197" s="160"/>
      <c r="C197" s="154"/>
      <c r="D197" s="159"/>
      <c r="E197" s="154"/>
      <c r="F197" s="155" t="s">
        <v>463</v>
      </c>
    </row>
    <row r="198" spans="1:6" ht="20.45" customHeight="1">
      <c r="A198" s="154"/>
      <c r="B198" s="160"/>
      <c r="C198" s="154"/>
      <c r="D198" s="159"/>
      <c r="E198" s="154"/>
      <c r="F198" s="155" t="s">
        <v>464</v>
      </c>
    </row>
    <row r="199" spans="1:6" ht="20.45" customHeight="1">
      <c r="A199" s="154"/>
      <c r="B199" s="160"/>
      <c r="C199" s="154"/>
      <c r="D199" s="159"/>
      <c r="E199" s="154"/>
      <c r="F199" s="155" t="s">
        <v>466</v>
      </c>
    </row>
    <row r="200" spans="1:6" ht="20.45" customHeight="1">
      <c r="A200" s="154"/>
      <c r="B200" s="160"/>
      <c r="C200" s="154"/>
      <c r="D200" s="159"/>
      <c r="E200" s="154"/>
      <c r="F200" s="155" t="s">
        <v>467</v>
      </c>
    </row>
    <row r="201" spans="1:6" ht="20.45" customHeight="1">
      <c r="A201" s="154"/>
      <c r="B201" s="160"/>
      <c r="C201" s="154"/>
      <c r="D201" s="159"/>
      <c r="E201" s="154"/>
      <c r="F201" s="155" t="s">
        <v>469</v>
      </c>
    </row>
    <row r="202" spans="1:6" ht="20.45" customHeight="1">
      <c r="A202" s="154"/>
      <c r="B202" s="160"/>
      <c r="C202" s="154"/>
      <c r="D202" s="159"/>
      <c r="E202" s="154"/>
      <c r="F202" s="155" t="s">
        <v>470</v>
      </c>
    </row>
    <row r="203" spans="1:6" ht="20.45" customHeight="1">
      <c r="A203" s="154"/>
      <c r="B203" s="160"/>
      <c r="C203" s="154"/>
      <c r="D203" s="159"/>
      <c r="E203" s="154"/>
      <c r="F203" s="155" t="s">
        <v>471</v>
      </c>
    </row>
    <row r="204" spans="1:6" ht="20.45" customHeight="1">
      <c r="A204" s="154"/>
      <c r="B204" s="160"/>
      <c r="C204" s="154"/>
      <c r="D204" s="159"/>
      <c r="E204" s="154"/>
      <c r="F204" s="155" t="s">
        <v>473</v>
      </c>
    </row>
    <row r="205" spans="1:6" ht="20.45" customHeight="1">
      <c r="A205" s="154"/>
      <c r="B205" s="160"/>
      <c r="C205" s="154"/>
      <c r="D205" s="159"/>
      <c r="E205" s="154"/>
      <c r="F205" s="155" t="s">
        <v>475</v>
      </c>
    </row>
    <row r="206" spans="1:6" ht="20.45" customHeight="1">
      <c r="A206" s="154"/>
      <c r="B206" s="160"/>
      <c r="C206" s="154"/>
      <c r="D206" s="159"/>
      <c r="E206" s="154"/>
      <c r="F206" s="155" t="s">
        <v>476</v>
      </c>
    </row>
    <row r="207" spans="1:6" ht="20.45" customHeight="1">
      <c r="A207" s="154"/>
      <c r="B207" s="160"/>
      <c r="C207" s="154"/>
      <c r="D207" s="159"/>
      <c r="E207" s="154"/>
      <c r="F207" s="155" t="s">
        <v>477</v>
      </c>
    </row>
    <row r="208" spans="1:6" ht="20.45" customHeight="1">
      <c r="A208" s="154"/>
      <c r="B208" s="160"/>
      <c r="C208" s="154"/>
      <c r="D208" s="159"/>
      <c r="E208" s="154"/>
      <c r="F208" s="155" t="s">
        <v>478</v>
      </c>
    </row>
    <row r="209" spans="1:6" ht="20.45" customHeight="1">
      <c r="A209" s="154"/>
      <c r="B209" s="160"/>
      <c r="C209" s="154"/>
      <c r="D209" s="159"/>
      <c r="E209" s="154"/>
      <c r="F209" s="155" t="s">
        <v>480</v>
      </c>
    </row>
    <row r="210" spans="1:6" ht="20.45" customHeight="1">
      <c r="A210" s="154"/>
      <c r="B210" s="160"/>
      <c r="C210" s="154"/>
      <c r="D210" s="159"/>
      <c r="E210" s="154"/>
      <c r="F210" s="155" t="s">
        <v>481</v>
      </c>
    </row>
    <row r="211" spans="1:6" ht="20.45" customHeight="1">
      <c r="A211" s="154"/>
      <c r="B211" s="160"/>
      <c r="C211" s="154"/>
      <c r="D211" s="159"/>
      <c r="E211" s="154"/>
      <c r="F211" s="155" t="s">
        <v>483</v>
      </c>
    </row>
    <row r="212" spans="1:6" ht="20.45" customHeight="1">
      <c r="A212" s="154"/>
      <c r="B212" s="160"/>
      <c r="C212" s="154"/>
      <c r="D212" s="159"/>
      <c r="E212" s="154"/>
      <c r="F212" s="155" t="s">
        <v>485</v>
      </c>
    </row>
    <row r="213" spans="1:6" ht="20.45" customHeight="1">
      <c r="A213" s="154"/>
      <c r="B213" s="160"/>
      <c r="C213" s="154"/>
      <c r="D213" s="159"/>
      <c r="E213" s="154"/>
      <c r="F213" s="155" t="s">
        <v>486</v>
      </c>
    </row>
    <row r="214" spans="1:6" ht="20.45" customHeight="1">
      <c r="A214" s="154"/>
      <c r="B214" s="160"/>
      <c r="C214" s="154"/>
      <c r="D214" s="159"/>
      <c r="E214" s="154"/>
      <c r="F214" s="155" t="s">
        <v>487</v>
      </c>
    </row>
    <row r="215" spans="1:6" ht="20.45" customHeight="1">
      <c r="A215" s="154"/>
      <c r="B215" s="160"/>
      <c r="C215" s="154"/>
      <c r="D215" s="159"/>
      <c r="E215" s="154"/>
      <c r="F215" s="155" t="s">
        <v>490</v>
      </c>
    </row>
    <row r="216" spans="1:6" ht="20.45" customHeight="1">
      <c r="A216" s="154"/>
      <c r="B216" s="160"/>
      <c r="C216" s="154"/>
      <c r="D216" s="159"/>
      <c r="E216" s="154"/>
      <c r="F216" s="155" t="s">
        <v>491</v>
      </c>
    </row>
    <row r="217" spans="1:6" ht="20.45" customHeight="1">
      <c r="A217" s="154"/>
      <c r="B217" s="160"/>
      <c r="C217" s="154"/>
      <c r="D217" s="159"/>
      <c r="E217" s="154"/>
      <c r="F217" s="155" t="s">
        <v>492</v>
      </c>
    </row>
    <row r="218" spans="1:6" ht="20.45" customHeight="1">
      <c r="A218" s="154"/>
      <c r="B218" s="160"/>
      <c r="C218" s="154"/>
      <c r="D218" s="159"/>
      <c r="E218" s="154"/>
      <c r="F218" s="155" t="s">
        <v>493</v>
      </c>
    </row>
    <row r="219" spans="1:6" ht="20.45" customHeight="1">
      <c r="A219" s="154"/>
      <c r="B219" s="160"/>
      <c r="C219" s="154"/>
      <c r="D219" s="159"/>
      <c r="E219" s="154"/>
      <c r="F219" s="155" t="s">
        <v>494</v>
      </c>
    </row>
    <row r="220" spans="1:6" ht="20.45" customHeight="1">
      <c r="A220" s="154"/>
      <c r="B220" s="160"/>
      <c r="C220" s="154"/>
      <c r="D220" s="159"/>
      <c r="E220" s="154"/>
      <c r="F220" s="155" t="s">
        <v>495</v>
      </c>
    </row>
    <row r="221" spans="1:6" ht="20.45" customHeight="1">
      <c r="A221" s="154"/>
      <c r="B221" s="160"/>
      <c r="C221" s="154"/>
      <c r="D221" s="159"/>
      <c r="E221" s="154"/>
      <c r="F221" s="155" t="s">
        <v>496</v>
      </c>
    </row>
    <row r="222" spans="1:6" ht="20.45" customHeight="1">
      <c r="A222" s="154"/>
      <c r="B222" s="160"/>
      <c r="C222" s="154"/>
      <c r="D222" s="159"/>
      <c r="E222" s="154"/>
      <c r="F222" s="155" t="s">
        <v>497</v>
      </c>
    </row>
    <row r="223" spans="1:6" ht="20.45" customHeight="1">
      <c r="A223" s="154"/>
      <c r="B223" s="160"/>
      <c r="C223" s="154"/>
      <c r="D223" s="159"/>
      <c r="E223" s="154"/>
      <c r="F223" s="155" t="s">
        <v>498</v>
      </c>
    </row>
    <row r="224" spans="1:6" ht="20.45" customHeight="1">
      <c r="A224" s="154"/>
      <c r="B224" s="160"/>
      <c r="C224" s="154"/>
      <c r="D224" s="159"/>
      <c r="E224" s="154"/>
      <c r="F224" s="155" t="s">
        <v>500</v>
      </c>
    </row>
    <row r="225" spans="1:6" ht="20.45" customHeight="1">
      <c r="A225" s="154"/>
      <c r="B225" s="160"/>
      <c r="C225" s="154"/>
      <c r="D225" s="159"/>
      <c r="E225" s="154"/>
      <c r="F225" s="155" t="s">
        <v>501</v>
      </c>
    </row>
    <row r="226" spans="1:6" ht="20.45" customHeight="1">
      <c r="A226" s="154"/>
      <c r="B226" s="160"/>
      <c r="C226" s="154"/>
      <c r="D226" s="159"/>
      <c r="E226" s="154"/>
      <c r="F226" s="155" t="s">
        <v>502</v>
      </c>
    </row>
    <row r="227" spans="1:6" ht="20.45" customHeight="1">
      <c r="A227" s="154"/>
      <c r="B227" s="160"/>
      <c r="C227" s="154"/>
      <c r="D227" s="159"/>
      <c r="E227" s="154"/>
      <c r="F227" s="155" t="s">
        <v>503</v>
      </c>
    </row>
    <row r="228" spans="1:6" ht="20.45" customHeight="1">
      <c r="A228" s="154"/>
      <c r="B228" s="160"/>
      <c r="C228" s="154"/>
      <c r="D228" s="159"/>
      <c r="E228" s="154"/>
      <c r="F228" s="155" t="s">
        <v>505</v>
      </c>
    </row>
    <row r="229" spans="1:6" ht="20.45" customHeight="1">
      <c r="A229" s="154"/>
      <c r="B229" s="160"/>
      <c r="C229" s="154"/>
      <c r="D229" s="159"/>
      <c r="E229" s="154"/>
      <c r="F229" s="155" t="s">
        <v>506</v>
      </c>
    </row>
    <row r="230" spans="1:6" ht="20.45" customHeight="1">
      <c r="A230" s="154"/>
      <c r="B230" s="160"/>
      <c r="C230" s="154"/>
      <c r="D230" s="159"/>
      <c r="E230" s="154"/>
      <c r="F230" s="155" t="s">
        <v>507</v>
      </c>
    </row>
    <row r="231" spans="1:6" ht="20.45" customHeight="1">
      <c r="A231" s="154"/>
      <c r="B231" s="160"/>
      <c r="C231" s="154"/>
      <c r="D231" s="159"/>
      <c r="E231" s="154"/>
      <c r="F231" s="155" t="s">
        <v>508</v>
      </c>
    </row>
    <row r="232" spans="1:6" ht="20.45" customHeight="1">
      <c r="A232" s="154"/>
      <c r="B232" s="160"/>
      <c r="C232" s="154"/>
      <c r="D232" s="159"/>
      <c r="E232" s="154"/>
      <c r="F232" s="155" t="s">
        <v>509</v>
      </c>
    </row>
    <row r="233" spans="1:6" ht="20.45" customHeight="1">
      <c r="A233" s="154"/>
      <c r="B233" s="160"/>
      <c r="C233" s="154"/>
      <c r="D233" s="159"/>
      <c r="E233" s="154"/>
      <c r="F233" s="155" t="s">
        <v>510</v>
      </c>
    </row>
    <row r="234" spans="1:6" ht="20.45" customHeight="1">
      <c r="A234" s="154"/>
      <c r="B234" s="160"/>
      <c r="C234" s="154"/>
      <c r="D234" s="159"/>
      <c r="E234" s="154"/>
      <c r="F234" s="155" t="s">
        <v>511</v>
      </c>
    </row>
    <row r="235" spans="1:6" ht="20.45" customHeight="1">
      <c r="A235" s="154"/>
      <c r="B235" s="160"/>
      <c r="C235" s="154"/>
      <c r="D235" s="159"/>
      <c r="E235" s="154"/>
      <c r="F235" s="155" t="s">
        <v>513</v>
      </c>
    </row>
    <row r="236" spans="1:6" ht="20.45" customHeight="1">
      <c r="A236" s="154"/>
      <c r="B236" s="160"/>
      <c r="C236" s="154"/>
      <c r="D236" s="159"/>
      <c r="E236" s="154"/>
      <c r="F236" s="155" t="s">
        <v>515</v>
      </c>
    </row>
    <row r="237" spans="1:6" ht="20.45" customHeight="1">
      <c r="A237" s="154"/>
      <c r="B237" s="160"/>
      <c r="C237" s="154"/>
      <c r="D237" s="159"/>
      <c r="E237" s="154"/>
      <c r="F237" s="155" t="s">
        <v>516</v>
      </c>
    </row>
    <row r="238" spans="1:6" ht="20.45" customHeight="1">
      <c r="A238" s="154"/>
      <c r="B238" s="160"/>
      <c r="C238" s="154"/>
      <c r="D238" s="159"/>
      <c r="E238" s="154"/>
      <c r="F238" s="155" t="s">
        <v>517</v>
      </c>
    </row>
    <row r="239" spans="1:6" ht="20.45" customHeight="1">
      <c r="A239" s="154"/>
      <c r="B239" s="160"/>
      <c r="C239" s="154"/>
      <c r="D239" s="159"/>
      <c r="E239" s="154"/>
      <c r="F239" s="155" t="s">
        <v>518</v>
      </c>
    </row>
    <row r="240" spans="1:6" ht="20.45" customHeight="1">
      <c r="A240" s="154"/>
      <c r="B240" s="160"/>
      <c r="C240" s="154"/>
      <c r="D240" s="159"/>
      <c r="E240" s="154"/>
      <c r="F240" s="155" t="s">
        <v>519</v>
      </c>
    </row>
    <row r="241" spans="1:6" ht="20.45" customHeight="1">
      <c r="A241" s="154"/>
      <c r="B241" s="160"/>
      <c r="C241" s="154"/>
      <c r="D241" s="159"/>
      <c r="E241" s="154"/>
      <c r="F241" s="155" t="s">
        <v>520</v>
      </c>
    </row>
    <row r="242" spans="1:6" ht="20.45" customHeight="1">
      <c r="A242" s="154"/>
      <c r="B242" s="160"/>
      <c r="C242" s="154"/>
      <c r="D242" s="159"/>
      <c r="E242" s="154"/>
      <c r="F242" s="155" t="s">
        <v>521</v>
      </c>
    </row>
    <row r="243" spans="1:6" ht="20.45" customHeight="1">
      <c r="A243" s="154"/>
      <c r="B243" s="160"/>
      <c r="C243" s="154"/>
      <c r="D243" s="159"/>
      <c r="E243" s="154"/>
      <c r="F243" s="155" t="s">
        <v>522</v>
      </c>
    </row>
    <row r="244" spans="1:6" ht="20.45" customHeight="1">
      <c r="A244" s="154"/>
      <c r="B244" s="160"/>
      <c r="C244" s="154"/>
      <c r="D244" s="159"/>
      <c r="E244" s="154"/>
      <c r="F244" s="155" t="s">
        <v>523</v>
      </c>
    </row>
    <row r="245" spans="1:6" ht="20.45" customHeight="1">
      <c r="A245" s="154"/>
      <c r="B245" s="160"/>
      <c r="C245" s="154"/>
      <c r="D245" s="159"/>
      <c r="E245" s="154"/>
      <c r="F245" s="155" t="s">
        <v>524</v>
      </c>
    </row>
    <row r="246" spans="1:6" ht="20.45" customHeight="1">
      <c r="A246" s="154"/>
      <c r="B246" s="160"/>
      <c r="C246" s="154"/>
      <c r="D246" s="159"/>
      <c r="E246" s="154"/>
      <c r="F246" s="155" t="s">
        <v>526</v>
      </c>
    </row>
    <row r="247" spans="1:6" ht="20.45" customHeight="1">
      <c r="A247" s="154"/>
      <c r="B247" s="160"/>
      <c r="C247" s="154"/>
      <c r="D247" s="159"/>
      <c r="E247" s="154"/>
      <c r="F247" s="155" t="s">
        <v>527</v>
      </c>
    </row>
    <row r="248" spans="1:6" ht="20.45" customHeight="1">
      <c r="A248" s="154"/>
      <c r="B248" s="160"/>
      <c r="C248" s="154"/>
      <c r="D248" s="159"/>
      <c r="E248" s="154"/>
      <c r="F248" s="155" t="s">
        <v>529</v>
      </c>
    </row>
    <row r="249" spans="1:6" ht="20.45" customHeight="1">
      <c r="A249" s="154"/>
      <c r="B249" s="160"/>
      <c r="C249" s="154"/>
      <c r="D249" s="159"/>
      <c r="E249" s="154"/>
      <c r="F249" s="155" t="s">
        <v>530</v>
      </c>
    </row>
    <row r="250" spans="1:6" ht="20.45" customHeight="1">
      <c r="A250" s="154"/>
      <c r="B250" s="160"/>
      <c r="C250" s="154"/>
      <c r="D250" s="159"/>
      <c r="E250" s="154"/>
      <c r="F250" s="155" t="s">
        <v>531</v>
      </c>
    </row>
    <row r="251" spans="1:6" ht="20.45" customHeight="1">
      <c r="A251" s="154"/>
      <c r="B251" s="160"/>
      <c r="C251" s="154"/>
      <c r="D251" s="159"/>
      <c r="E251" s="154"/>
      <c r="F251" s="155" t="s">
        <v>532</v>
      </c>
    </row>
    <row r="252" spans="1:6" ht="20.45" customHeight="1">
      <c r="A252" s="154"/>
      <c r="B252" s="160"/>
      <c r="C252" s="154"/>
      <c r="D252" s="159"/>
      <c r="E252" s="154"/>
      <c r="F252" s="155" t="s">
        <v>534</v>
      </c>
    </row>
    <row r="253" spans="1:6" ht="20.45" customHeight="1">
      <c r="A253" s="154"/>
      <c r="B253" s="160"/>
      <c r="C253" s="154"/>
      <c r="D253" s="159"/>
      <c r="E253" s="154"/>
      <c r="F253" s="155" t="s">
        <v>535</v>
      </c>
    </row>
    <row r="254" spans="1:6" ht="20.45" customHeight="1">
      <c r="A254" s="154"/>
      <c r="B254" s="160"/>
      <c r="C254" s="154"/>
      <c r="D254" s="159"/>
      <c r="E254" s="154"/>
      <c r="F254" s="155" t="s">
        <v>536</v>
      </c>
    </row>
    <row r="255" spans="1:6" ht="20.45" customHeight="1">
      <c r="A255" s="154"/>
      <c r="B255" s="160"/>
      <c r="C255" s="154"/>
      <c r="D255" s="159"/>
      <c r="E255" s="154"/>
      <c r="F255" s="155" t="s">
        <v>537</v>
      </c>
    </row>
    <row r="256" spans="1:6" ht="20.45" customHeight="1">
      <c r="A256" s="154"/>
      <c r="B256" s="160"/>
      <c r="C256" s="154"/>
      <c r="D256" s="159"/>
      <c r="E256" s="154"/>
      <c r="F256" s="155" t="s">
        <v>538</v>
      </c>
    </row>
    <row r="257" spans="1:6" ht="20.45" customHeight="1">
      <c r="A257" s="154"/>
      <c r="B257" s="160"/>
      <c r="C257" s="154"/>
      <c r="D257" s="159"/>
      <c r="E257" s="154"/>
      <c r="F257" s="155" t="s">
        <v>539</v>
      </c>
    </row>
    <row r="258" spans="1:6" ht="20.45" customHeight="1">
      <c r="A258" s="154"/>
      <c r="B258" s="160"/>
      <c r="C258" s="154"/>
      <c r="D258" s="159"/>
      <c r="E258" s="154"/>
      <c r="F258" s="155" t="s">
        <v>540</v>
      </c>
    </row>
    <row r="259" spans="1:6" ht="20.45" customHeight="1">
      <c r="A259" s="154"/>
      <c r="B259" s="160"/>
      <c r="C259" s="154"/>
      <c r="D259" s="159"/>
      <c r="E259" s="154"/>
      <c r="F259" s="155" t="s">
        <v>541</v>
      </c>
    </row>
    <row r="260" spans="1:6" ht="20.45" customHeight="1">
      <c r="A260" s="154"/>
      <c r="B260" s="160"/>
      <c r="C260" s="154"/>
      <c r="D260" s="159"/>
      <c r="E260" s="154"/>
      <c r="F260" s="155" t="s">
        <v>542</v>
      </c>
    </row>
    <row r="261" spans="1:6" ht="20.45" customHeight="1">
      <c r="A261" s="154"/>
      <c r="B261" s="160"/>
      <c r="C261" s="154"/>
      <c r="D261" s="159"/>
      <c r="E261" s="154"/>
      <c r="F261" s="155" t="s">
        <v>543</v>
      </c>
    </row>
    <row r="262" spans="1:6" ht="20.45" customHeight="1">
      <c r="A262" s="154"/>
      <c r="B262" s="160"/>
      <c r="C262" s="154"/>
      <c r="D262" s="159"/>
      <c r="E262" s="154"/>
      <c r="F262" s="155" t="s">
        <v>544</v>
      </c>
    </row>
    <row r="263" spans="1:6" ht="20.45" customHeight="1">
      <c r="A263" s="154"/>
      <c r="B263" s="160"/>
      <c r="C263" s="154"/>
      <c r="D263" s="159"/>
      <c r="E263" s="154"/>
      <c r="F263" s="155" t="s">
        <v>545</v>
      </c>
    </row>
    <row r="264" spans="1:6" ht="20.45" customHeight="1">
      <c r="A264" s="154"/>
      <c r="B264" s="160"/>
      <c r="C264" s="154"/>
      <c r="D264" s="159"/>
      <c r="E264" s="154"/>
      <c r="F264" s="155" t="s">
        <v>546</v>
      </c>
    </row>
    <row r="265" spans="1:6" ht="20.45" customHeight="1">
      <c r="A265" s="154"/>
      <c r="B265" s="160"/>
      <c r="C265" s="154"/>
      <c r="D265" s="159"/>
      <c r="E265" s="154"/>
      <c r="F265" s="155" t="s">
        <v>547</v>
      </c>
    </row>
    <row r="266" spans="1:6" ht="20.45" customHeight="1">
      <c r="A266" s="154"/>
      <c r="B266" s="160"/>
      <c r="C266" s="154"/>
      <c r="D266" s="159"/>
      <c r="E266" s="154"/>
      <c r="F266" s="155" t="s">
        <v>548</v>
      </c>
    </row>
    <row r="267" spans="1:6" ht="20.45" customHeight="1">
      <c r="A267" s="154"/>
      <c r="B267" s="160"/>
      <c r="C267" s="154"/>
      <c r="D267" s="159"/>
      <c r="E267" s="154"/>
      <c r="F267" s="155" t="s">
        <v>549</v>
      </c>
    </row>
    <row r="268" spans="1:6" ht="20.45" customHeight="1">
      <c r="A268" s="154"/>
      <c r="B268" s="160"/>
      <c r="C268" s="154"/>
      <c r="D268" s="159"/>
      <c r="E268" s="154"/>
      <c r="F268" s="155" t="s">
        <v>550</v>
      </c>
    </row>
    <row r="269" spans="1:6" ht="20.45" customHeight="1">
      <c r="A269" s="154"/>
      <c r="B269" s="160"/>
      <c r="C269" s="154"/>
      <c r="D269" s="159"/>
      <c r="E269" s="154"/>
      <c r="F269" s="155" t="s">
        <v>552</v>
      </c>
    </row>
    <row r="270" spans="1:6" ht="20.45" customHeight="1">
      <c r="A270" s="154"/>
      <c r="B270" s="160"/>
      <c r="C270" s="154"/>
      <c r="D270" s="159"/>
      <c r="E270" s="154"/>
      <c r="F270" s="155" t="s">
        <v>553</v>
      </c>
    </row>
    <row r="271" spans="1:6" ht="20.45" customHeight="1">
      <c r="A271" s="154"/>
      <c r="B271" s="160"/>
      <c r="C271" s="154"/>
      <c r="D271" s="159"/>
      <c r="E271" s="154"/>
      <c r="F271" s="155" t="s">
        <v>554</v>
      </c>
    </row>
    <row r="272" spans="1:6" ht="20.45" customHeight="1">
      <c r="A272" s="154"/>
      <c r="B272" s="160"/>
      <c r="C272" s="154"/>
      <c r="D272" s="159"/>
      <c r="E272" s="154"/>
      <c r="F272" s="155" t="s">
        <v>555</v>
      </c>
    </row>
    <row r="273" spans="1:6" ht="20.45" customHeight="1">
      <c r="A273" s="154"/>
      <c r="B273" s="160"/>
      <c r="C273" s="154"/>
      <c r="D273" s="159"/>
      <c r="E273" s="154"/>
      <c r="F273" s="155" t="s">
        <v>556</v>
      </c>
    </row>
    <row r="274" spans="1:6" ht="20.45" customHeight="1">
      <c r="A274" s="154"/>
      <c r="B274" s="160"/>
      <c r="C274" s="154"/>
      <c r="D274" s="159"/>
      <c r="E274" s="154"/>
      <c r="F274" s="155" t="s">
        <v>557</v>
      </c>
    </row>
    <row r="275" spans="1:6" ht="20.45" customHeight="1">
      <c r="A275" s="154"/>
      <c r="B275" s="160"/>
      <c r="C275" s="154"/>
      <c r="D275" s="159"/>
      <c r="E275" s="154"/>
      <c r="F275" s="155" t="s">
        <v>558</v>
      </c>
    </row>
    <row r="276" spans="1:6" ht="20.45" customHeight="1">
      <c r="A276" s="154"/>
      <c r="B276" s="160"/>
      <c r="C276" s="154"/>
      <c r="D276" s="159"/>
      <c r="E276" s="154"/>
      <c r="F276" s="155" t="s">
        <v>559</v>
      </c>
    </row>
    <row r="277" spans="1:6" ht="20.45" customHeight="1">
      <c r="A277" s="154"/>
      <c r="B277" s="160"/>
      <c r="C277" s="154"/>
      <c r="D277" s="159"/>
      <c r="E277" s="154"/>
      <c r="F277" s="155" t="s">
        <v>560</v>
      </c>
    </row>
    <row r="278" spans="1:6" ht="20.45" customHeight="1">
      <c r="A278" s="154"/>
      <c r="B278" s="160"/>
      <c r="C278" s="154"/>
      <c r="D278" s="159"/>
      <c r="E278" s="154"/>
      <c r="F278" s="155" t="s">
        <v>561</v>
      </c>
    </row>
    <row r="279" spans="1:6" ht="20.45" customHeight="1">
      <c r="A279" s="154"/>
      <c r="B279" s="160"/>
      <c r="C279" s="154"/>
      <c r="D279" s="159"/>
      <c r="E279" s="154"/>
      <c r="F279" s="155" t="s">
        <v>562</v>
      </c>
    </row>
    <row r="280" spans="1:6" ht="20.45" customHeight="1">
      <c r="A280" s="154"/>
      <c r="B280" s="160"/>
      <c r="C280" s="154"/>
      <c r="D280" s="159"/>
      <c r="E280" s="154"/>
      <c r="F280" s="155" t="s">
        <v>563</v>
      </c>
    </row>
    <row r="281" spans="1:6" ht="20.45" customHeight="1">
      <c r="A281" s="154"/>
      <c r="B281" s="160"/>
      <c r="C281" s="154"/>
      <c r="D281" s="159"/>
      <c r="E281" s="154"/>
      <c r="F281" s="155" t="s">
        <v>564</v>
      </c>
    </row>
    <row r="282" spans="1:6" ht="20.45" customHeight="1">
      <c r="A282" s="154"/>
      <c r="B282" s="160"/>
      <c r="C282" s="154"/>
      <c r="D282" s="159"/>
      <c r="E282" s="154"/>
      <c r="F282" s="155" t="s">
        <v>565</v>
      </c>
    </row>
    <row r="283" spans="1:6" ht="20.45" customHeight="1">
      <c r="A283" s="154"/>
      <c r="B283" s="160"/>
      <c r="C283" s="154"/>
      <c r="D283" s="159"/>
      <c r="E283" s="154"/>
      <c r="F283" s="155" t="s">
        <v>566</v>
      </c>
    </row>
    <row r="284" spans="1:6" ht="20.45" customHeight="1">
      <c r="A284" s="154"/>
      <c r="B284" s="160"/>
      <c r="C284" s="154"/>
      <c r="D284" s="159"/>
      <c r="E284" s="154"/>
      <c r="F284" s="155" t="s">
        <v>567</v>
      </c>
    </row>
    <row r="285" spans="1:6" ht="20.45" customHeight="1">
      <c r="A285" s="154"/>
      <c r="B285" s="160"/>
      <c r="C285" s="154"/>
      <c r="D285" s="159"/>
      <c r="E285" s="154"/>
      <c r="F285" s="155" t="s">
        <v>568</v>
      </c>
    </row>
    <row r="286" spans="1:6" ht="20.45" customHeight="1">
      <c r="A286" s="154"/>
      <c r="B286" s="160"/>
      <c r="C286" s="154"/>
      <c r="D286" s="159"/>
      <c r="E286" s="154"/>
      <c r="F286" s="155" t="s">
        <v>569</v>
      </c>
    </row>
    <row r="287" spans="1:6" ht="20.45" customHeight="1">
      <c r="A287" s="154"/>
      <c r="B287" s="160"/>
      <c r="C287" s="154"/>
      <c r="D287" s="159"/>
      <c r="E287" s="154"/>
      <c r="F287" s="155" t="s">
        <v>570</v>
      </c>
    </row>
    <row r="288" spans="1:6" ht="20.45" customHeight="1">
      <c r="A288" s="154"/>
      <c r="B288" s="160"/>
      <c r="C288" s="154"/>
      <c r="D288" s="159"/>
      <c r="E288" s="154"/>
      <c r="F288" s="155" t="s">
        <v>571</v>
      </c>
    </row>
    <row r="289" spans="1:6" ht="20.45" customHeight="1">
      <c r="A289" s="154"/>
      <c r="B289" s="160"/>
      <c r="C289" s="154"/>
      <c r="D289" s="159"/>
      <c r="E289" s="154"/>
      <c r="F289" s="155" t="s">
        <v>572</v>
      </c>
    </row>
    <row r="290" spans="1:6" ht="20.45" customHeight="1">
      <c r="A290" s="154"/>
      <c r="B290" s="160"/>
      <c r="C290" s="154"/>
      <c r="D290" s="159"/>
      <c r="E290" s="154"/>
      <c r="F290" s="155" t="s">
        <v>573</v>
      </c>
    </row>
    <row r="291" spans="1:6" ht="20.45" customHeight="1">
      <c r="A291" s="154"/>
      <c r="B291" s="160"/>
      <c r="C291" s="154"/>
      <c r="D291" s="159"/>
      <c r="E291" s="154"/>
      <c r="F291" s="155" t="s">
        <v>574</v>
      </c>
    </row>
    <row r="292" spans="1:6" ht="20.45" customHeight="1">
      <c r="A292" s="154"/>
      <c r="B292" s="160"/>
      <c r="C292" s="154"/>
      <c r="D292" s="159"/>
      <c r="E292" s="154"/>
      <c r="F292" s="155" t="s">
        <v>575</v>
      </c>
    </row>
    <row r="293" spans="1:6" ht="20.45" customHeight="1">
      <c r="A293" s="154"/>
      <c r="B293" s="160"/>
      <c r="C293" s="154"/>
      <c r="D293" s="159"/>
      <c r="E293" s="154"/>
      <c r="F293" s="155" t="s">
        <v>576</v>
      </c>
    </row>
    <row r="294" spans="1:6" ht="20.45" customHeight="1">
      <c r="A294" s="154"/>
      <c r="B294" s="160"/>
      <c r="C294" s="154"/>
      <c r="D294" s="159"/>
      <c r="E294" s="154"/>
      <c r="F294" s="155" t="s">
        <v>577</v>
      </c>
    </row>
    <row r="295" spans="1:6" ht="20.45" customHeight="1">
      <c r="A295" s="154"/>
      <c r="B295" s="160"/>
      <c r="C295" s="154"/>
      <c r="D295" s="159"/>
      <c r="E295" s="154"/>
      <c r="F295" s="155" t="s">
        <v>578</v>
      </c>
    </row>
    <row r="296" spans="1:6" ht="20.45" customHeight="1">
      <c r="A296" s="154"/>
      <c r="B296" s="160"/>
      <c r="C296" s="154"/>
      <c r="D296" s="159"/>
      <c r="E296" s="154"/>
      <c r="F296" s="155" t="s">
        <v>579</v>
      </c>
    </row>
    <row r="297" spans="1:6" ht="20.45" customHeight="1">
      <c r="A297" s="154"/>
      <c r="B297" s="160"/>
      <c r="C297" s="154"/>
      <c r="D297" s="159"/>
      <c r="E297" s="154"/>
      <c r="F297" s="155" t="s">
        <v>580</v>
      </c>
    </row>
    <row r="298" spans="1:6" ht="20.45" customHeight="1">
      <c r="A298" s="154"/>
      <c r="B298" s="160"/>
      <c r="C298" s="154"/>
      <c r="D298" s="159"/>
      <c r="E298" s="154"/>
      <c r="F298" s="155" t="s">
        <v>581</v>
      </c>
    </row>
    <row r="299" spans="1:6" ht="20.45" customHeight="1">
      <c r="A299" s="154"/>
      <c r="B299" s="160"/>
      <c r="C299" s="154"/>
      <c r="D299" s="159"/>
      <c r="E299" s="154"/>
      <c r="F299" s="155" t="s">
        <v>582</v>
      </c>
    </row>
    <row r="300" spans="1:6" ht="20.45" customHeight="1">
      <c r="A300" s="154"/>
      <c r="B300" s="160"/>
      <c r="C300" s="154"/>
      <c r="D300" s="159"/>
      <c r="E300" s="154"/>
      <c r="F300" s="155" t="s">
        <v>583</v>
      </c>
    </row>
    <row r="301" spans="1:6" ht="20.45" customHeight="1">
      <c r="A301" s="154"/>
      <c r="B301" s="160"/>
      <c r="C301" s="154"/>
      <c r="D301" s="159"/>
      <c r="E301" s="154"/>
      <c r="F301" s="155" t="s">
        <v>584</v>
      </c>
    </row>
    <row r="302" spans="1:6" ht="20.45" customHeight="1">
      <c r="A302" s="154"/>
      <c r="B302" s="160"/>
      <c r="C302" s="154"/>
      <c r="D302" s="159"/>
      <c r="E302" s="154"/>
      <c r="F302" s="155" t="s">
        <v>585</v>
      </c>
    </row>
    <row r="303" spans="1:6" ht="20.45" customHeight="1">
      <c r="A303" s="154"/>
      <c r="B303" s="160"/>
      <c r="C303" s="154"/>
      <c r="D303" s="159"/>
      <c r="E303" s="154"/>
      <c r="F303" s="155" t="s">
        <v>586</v>
      </c>
    </row>
    <row r="304" spans="1:6" ht="20.45" customHeight="1">
      <c r="A304" s="154"/>
      <c r="B304" s="160"/>
      <c r="C304" s="154"/>
      <c r="D304" s="159"/>
      <c r="E304" s="154"/>
      <c r="F304" s="155" t="s">
        <v>587</v>
      </c>
    </row>
    <row r="305" spans="1:6" ht="20.45" customHeight="1">
      <c r="A305" s="154"/>
      <c r="B305" s="160"/>
      <c r="C305" s="154"/>
      <c r="D305" s="159"/>
      <c r="E305" s="154"/>
      <c r="F305" s="155" t="s">
        <v>588</v>
      </c>
    </row>
    <row r="306" spans="1:6" ht="20.45" customHeight="1">
      <c r="A306" s="154"/>
      <c r="B306" s="160"/>
      <c r="C306" s="154"/>
      <c r="D306" s="159"/>
      <c r="E306" s="154"/>
      <c r="F306" s="155" t="s">
        <v>589</v>
      </c>
    </row>
    <row r="307" spans="1:6" ht="20.45" customHeight="1">
      <c r="A307" s="154"/>
      <c r="B307" s="160"/>
      <c r="C307" s="154"/>
      <c r="D307" s="159"/>
      <c r="E307" s="154"/>
      <c r="F307" s="155" t="s">
        <v>590</v>
      </c>
    </row>
    <row r="308" spans="1:6" ht="20.45" customHeight="1">
      <c r="A308" s="154"/>
      <c r="B308" s="160"/>
      <c r="C308" s="154"/>
      <c r="D308" s="159"/>
      <c r="E308" s="154"/>
      <c r="F308" s="155" t="s">
        <v>592</v>
      </c>
    </row>
    <row r="309" spans="1:6" ht="20.45" customHeight="1">
      <c r="A309" s="154"/>
      <c r="B309" s="160"/>
      <c r="C309" s="154"/>
      <c r="D309" s="159"/>
      <c r="E309" s="154"/>
      <c r="F309" s="155" t="s">
        <v>593</v>
      </c>
    </row>
    <row r="310" spans="1:6" ht="20.45" customHeight="1">
      <c r="A310" s="154"/>
      <c r="B310" s="160"/>
      <c r="C310" s="154"/>
      <c r="D310" s="159"/>
      <c r="E310" s="154"/>
      <c r="F310" s="155" t="s">
        <v>594</v>
      </c>
    </row>
    <row r="311" spans="1:6" ht="20.45" customHeight="1">
      <c r="A311" s="154"/>
      <c r="B311" s="160"/>
      <c r="C311" s="154"/>
      <c r="D311" s="159"/>
      <c r="E311" s="154"/>
      <c r="F311" s="155" t="s">
        <v>595</v>
      </c>
    </row>
    <row r="312" spans="1:6" ht="20.45" customHeight="1">
      <c r="A312" s="154"/>
      <c r="B312" s="160"/>
      <c r="C312" s="154"/>
      <c r="D312" s="159"/>
      <c r="E312" s="154"/>
      <c r="F312" s="155" t="s">
        <v>596</v>
      </c>
    </row>
    <row r="313" spans="1:6" ht="20.45" customHeight="1">
      <c r="A313" s="154"/>
      <c r="B313" s="160"/>
      <c r="C313" s="154"/>
      <c r="D313" s="159"/>
      <c r="E313" s="154"/>
      <c r="F313" s="155" t="s">
        <v>597</v>
      </c>
    </row>
    <row r="314" spans="1:6" ht="20.45" customHeight="1">
      <c r="A314" s="154"/>
      <c r="B314" s="160"/>
      <c r="C314" s="154"/>
      <c r="D314" s="159"/>
      <c r="E314" s="154"/>
      <c r="F314" s="155" t="s">
        <v>598</v>
      </c>
    </row>
    <row r="315" spans="1:6" ht="20.45" customHeight="1">
      <c r="A315" s="154"/>
      <c r="B315" s="160"/>
      <c r="C315" s="154"/>
      <c r="D315" s="159"/>
      <c r="E315" s="154"/>
      <c r="F315" s="155" t="s">
        <v>599</v>
      </c>
    </row>
    <row r="316" spans="1:6" ht="20.45" customHeight="1">
      <c r="A316" s="154"/>
      <c r="B316" s="160"/>
      <c r="C316" s="154"/>
      <c r="D316" s="159"/>
      <c r="E316" s="154"/>
      <c r="F316" s="155" t="s">
        <v>600</v>
      </c>
    </row>
    <row r="317" spans="1:6" ht="20.45" customHeight="1">
      <c r="A317" s="154"/>
      <c r="B317" s="160"/>
      <c r="C317" s="154"/>
      <c r="D317" s="159"/>
      <c r="E317" s="154"/>
      <c r="F317" s="155" t="s">
        <v>602</v>
      </c>
    </row>
    <row r="318" spans="1:6" ht="20.45" customHeight="1">
      <c r="A318" s="154"/>
      <c r="B318" s="160"/>
      <c r="C318" s="154"/>
      <c r="D318" s="159"/>
      <c r="E318" s="154"/>
      <c r="F318" s="155" t="s">
        <v>604</v>
      </c>
    </row>
    <row r="319" spans="1:6" ht="20.45" customHeight="1">
      <c r="A319" s="154"/>
      <c r="B319" s="160"/>
      <c r="C319" s="154"/>
      <c r="D319" s="159"/>
      <c r="E319" s="154"/>
      <c r="F319" s="155" t="s">
        <v>606</v>
      </c>
    </row>
    <row r="320" spans="1:6" ht="20.45" customHeight="1">
      <c r="A320" s="154"/>
      <c r="B320" s="160"/>
      <c r="C320" s="154"/>
      <c r="D320" s="159"/>
      <c r="E320" s="154"/>
      <c r="F320" s="155" t="s">
        <v>608</v>
      </c>
    </row>
    <row r="321" spans="1:6" ht="20.45" customHeight="1">
      <c r="A321" s="154"/>
      <c r="B321" s="160"/>
      <c r="C321" s="154"/>
      <c r="D321" s="159"/>
      <c r="E321" s="154"/>
      <c r="F321" s="155" t="s">
        <v>609</v>
      </c>
    </row>
    <row r="322" spans="1:6" ht="20.45" customHeight="1">
      <c r="A322" s="154"/>
      <c r="B322" s="160"/>
      <c r="C322" s="154"/>
      <c r="D322" s="159"/>
      <c r="E322" s="154"/>
      <c r="F322" s="155" t="s">
        <v>610</v>
      </c>
    </row>
    <row r="323" spans="1:6" ht="20.45" customHeight="1">
      <c r="A323" s="154"/>
      <c r="B323" s="160"/>
      <c r="C323" s="154"/>
      <c r="D323" s="159"/>
      <c r="E323" s="154"/>
      <c r="F323" s="155" t="s">
        <v>611</v>
      </c>
    </row>
    <row r="324" spans="1:6" ht="20.45" customHeight="1">
      <c r="A324" s="154"/>
      <c r="B324" s="160"/>
      <c r="C324" s="154"/>
      <c r="D324" s="159"/>
      <c r="E324" s="154"/>
      <c r="F324" s="155" t="s">
        <v>612</v>
      </c>
    </row>
    <row r="325" spans="1:6" ht="20.45" customHeight="1">
      <c r="A325" s="154"/>
      <c r="B325" s="160"/>
      <c r="C325" s="154"/>
      <c r="D325" s="159"/>
      <c r="E325" s="154"/>
      <c r="F325" s="155" t="s">
        <v>613</v>
      </c>
    </row>
    <row r="326" spans="1:6" ht="20.45" customHeight="1">
      <c r="A326" s="154"/>
      <c r="B326" s="160"/>
      <c r="C326" s="154"/>
      <c r="D326" s="159"/>
      <c r="E326" s="154"/>
      <c r="F326" s="155" t="s">
        <v>614</v>
      </c>
    </row>
    <row r="327" spans="1:6" ht="20.45" customHeight="1">
      <c r="A327" s="156"/>
      <c r="B327" s="161"/>
      <c r="C327" s="156"/>
      <c r="D327" s="162"/>
      <c r="E327" s="156"/>
      <c r="F327" s="157" t="s">
        <v>615</v>
      </c>
    </row>
  </sheetData>
  <mergeCells count="1">
    <mergeCell ref="A1:F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K30"/>
  <sheetViews>
    <sheetView rightToLeft="1" view="pageBreakPreview" zoomScaleNormal="100" zoomScaleSheetLayoutView="100" workbookViewId="0">
      <selection activeCell="C8" sqref="C8:H8"/>
    </sheetView>
  </sheetViews>
  <sheetFormatPr defaultColWidth="8.85546875" defaultRowHeight="12.75"/>
  <cols>
    <col min="1" max="1" width="2" style="337" customWidth="1"/>
    <col min="2" max="2" width="8.85546875" style="337"/>
    <col min="3" max="3" width="14.140625" style="337" bestFit="1" customWidth="1"/>
    <col min="4" max="5" width="8.85546875" style="337"/>
    <col min="6" max="6" width="18.5703125" style="337" customWidth="1"/>
    <col min="7" max="7" width="8.85546875" style="337"/>
    <col min="8" max="8" width="15.28515625" style="337" customWidth="1"/>
    <col min="9" max="16384" width="8.85546875" style="337"/>
  </cols>
  <sheetData>
    <row r="2" spans="1:11" ht="36.6" customHeight="1">
      <c r="A2" s="856" t="s">
        <v>733</v>
      </c>
      <c r="B2" s="856"/>
      <c r="C2" s="856"/>
      <c r="D2" s="856"/>
      <c r="E2" s="856"/>
      <c r="F2" s="856"/>
      <c r="G2" s="856"/>
      <c r="H2" s="856"/>
      <c r="I2" s="856"/>
      <c r="J2" s="336"/>
      <c r="K2" s="336"/>
    </row>
    <row r="4" spans="1:11" s="338" customFormat="1" ht="20.45" customHeight="1">
      <c r="B4" s="338" t="s">
        <v>734</v>
      </c>
      <c r="C4" s="338" t="str">
        <f>عقد!C9</f>
        <v>منتصر نخله روس شنوده</v>
      </c>
    </row>
    <row r="5" spans="1:11" s="338" customFormat="1" ht="10.15" customHeight="1"/>
    <row r="6" spans="1:11" s="338" customFormat="1" ht="20.25">
      <c r="B6" s="338" t="s">
        <v>735</v>
      </c>
      <c r="G6" s="857" t="s">
        <v>641</v>
      </c>
      <c r="H6" s="857"/>
    </row>
    <row r="7" spans="1:11" s="338" customFormat="1" ht="10.15" customHeight="1"/>
    <row r="8" spans="1:11" s="338" customFormat="1" ht="20.25">
      <c r="B8" s="338" t="s">
        <v>736</v>
      </c>
      <c r="C8" s="858"/>
      <c r="D8" s="858"/>
      <c r="E8" s="858"/>
      <c r="F8" s="858"/>
      <c r="G8" s="858"/>
      <c r="H8" s="858"/>
    </row>
    <row r="9" spans="1:11" s="338" customFormat="1" ht="20.25"/>
    <row r="10" spans="1:11" s="338" customFormat="1" ht="20.25"/>
    <row r="11" spans="1:11" s="338" customFormat="1" ht="20.25">
      <c r="F11" s="338" t="s">
        <v>737</v>
      </c>
    </row>
    <row r="12" spans="1:11" s="338" customFormat="1" ht="20.25">
      <c r="F12" s="339" t="s">
        <v>738</v>
      </c>
    </row>
    <row r="13" spans="1:11" s="338" customFormat="1" ht="20.25"/>
    <row r="14" spans="1:11" s="338" customFormat="1" ht="20.25">
      <c r="E14" s="340" t="s">
        <v>739</v>
      </c>
      <c r="F14" s="859">
        <f>عقد!C10</f>
        <v>27703292700272</v>
      </c>
      <c r="G14" s="859"/>
    </row>
    <row r="15" spans="1:11" s="338" customFormat="1" ht="20.25">
      <c r="E15" s="340" t="s">
        <v>740</v>
      </c>
      <c r="F15" s="860">
        <f>عقد!L14</f>
        <v>1272219004</v>
      </c>
      <c r="G15" s="860"/>
    </row>
    <row r="16" spans="1:11" s="338" customFormat="1" ht="20.25"/>
    <row r="17" s="338" customFormat="1" ht="20.25"/>
    <row r="18" s="338" customFormat="1" ht="20.25"/>
    <row r="19" s="338" customFormat="1" ht="20.25"/>
    <row r="20" s="338" customFormat="1" ht="20.25"/>
    <row r="21" s="338" customFormat="1" ht="20.25"/>
    <row r="22" s="338" customFormat="1" ht="20.25"/>
    <row r="23" s="338" customFormat="1" ht="20.25"/>
    <row r="24" s="338" customFormat="1" ht="20.25"/>
    <row r="25" s="338" customFormat="1" ht="20.25"/>
    <row r="26" s="338" customFormat="1" ht="20.25"/>
    <row r="27" s="338" customFormat="1" ht="20.25"/>
    <row r="28" s="338" customFormat="1" ht="20.25"/>
    <row r="29" s="338" customFormat="1" ht="20.25"/>
    <row r="30" s="338" customFormat="1" ht="20.25"/>
  </sheetData>
  <sheetProtection sheet="1" objects="1" scenarios="1" selectLockedCells="1"/>
  <mergeCells count="5">
    <mergeCell ref="A2:I2"/>
    <mergeCell ref="G6:H6"/>
    <mergeCell ref="C8:H8"/>
    <mergeCell ref="F14:G14"/>
    <mergeCell ref="F15:G15"/>
  </mergeCells>
  <pageMargins left="0.7" right="0.7" top="0.75" bottom="0.75" header="0.3" footer="0.3"/>
  <pageSetup scale="91"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N944"/>
  <sheetViews>
    <sheetView rightToLeft="1" view="pageBreakPreview" zoomScale="55" zoomScaleNormal="120" zoomScaleSheetLayoutView="55" workbookViewId="0">
      <pane xSplit="2" ySplit="3" topLeftCell="C332" activePane="bottomRight" state="frozen"/>
      <selection pane="topRight" activeCell="B1" sqref="B1"/>
      <selection pane="bottomLeft" activeCell="A4" sqref="A4"/>
      <selection pane="bottomRight" activeCell="F363" sqref="F363"/>
    </sheetView>
  </sheetViews>
  <sheetFormatPr defaultColWidth="9.140625" defaultRowHeight="18"/>
  <cols>
    <col min="1" max="1" width="15.140625" style="401" customWidth="1"/>
    <col min="2" max="2" width="15.7109375" style="402" customWidth="1"/>
    <col min="3" max="3" width="15.7109375" style="403" customWidth="1"/>
    <col min="4" max="9" width="15.7109375" style="402" customWidth="1"/>
    <col min="10" max="10" width="3" style="351" hidden="1" customWidth="1"/>
    <col min="11" max="11" width="19.28515625" style="351" customWidth="1"/>
    <col min="12" max="12" width="17.42578125" style="350" customWidth="1"/>
    <col min="13" max="13" width="9.140625" style="350"/>
    <col min="14" max="16384" width="9.140625" style="351"/>
  </cols>
  <sheetData>
    <row r="1" spans="1:14" ht="51" customHeight="1" thickBot="1">
      <c r="A1" s="348"/>
      <c r="B1" s="874" t="s">
        <v>45</v>
      </c>
      <c r="C1" s="874"/>
      <c r="D1" s="874"/>
      <c r="E1" s="874"/>
      <c r="F1" s="874"/>
      <c r="G1" s="874"/>
      <c r="H1" s="874"/>
      <c r="I1" s="874"/>
      <c r="J1" s="349"/>
      <c r="K1" s="349"/>
    </row>
    <row r="2" spans="1:14" ht="18.75" thickTop="1">
      <c r="A2" s="861" t="s">
        <v>59</v>
      </c>
      <c r="B2" s="863" t="s">
        <v>29</v>
      </c>
      <c r="C2" s="865" t="s">
        <v>30</v>
      </c>
      <c r="D2" s="867" t="s">
        <v>39</v>
      </c>
      <c r="E2" s="867" t="s">
        <v>40</v>
      </c>
      <c r="F2" s="867" t="s">
        <v>41</v>
      </c>
      <c r="G2" s="875" t="s">
        <v>42</v>
      </c>
      <c r="H2" s="876"/>
      <c r="I2" s="877"/>
      <c r="J2" s="869"/>
      <c r="K2" s="870" t="s">
        <v>44</v>
      </c>
      <c r="L2" s="872" t="s">
        <v>61</v>
      </c>
      <c r="M2" s="873" t="s">
        <v>62</v>
      </c>
    </row>
    <row r="3" spans="1:14" ht="18.75" thickBot="1">
      <c r="A3" s="862"/>
      <c r="B3" s="864"/>
      <c r="C3" s="866"/>
      <c r="D3" s="868"/>
      <c r="E3" s="868"/>
      <c r="F3" s="868"/>
      <c r="G3" s="352" t="s">
        <v>33</v>
      </c>
      <c r="H3" s="353" t="s">
        <v>32</v>
      </c>
      <c r="I3" s="354" t="s">
        <v>31</v>
      </c>
      <c r="J3" s="869"/>
      <c r="K3" s="871"/>
      <c r="L3" s="872"/>
      <c r="M3" s="873"/>
    </row>
    <row r="4" spans="1:14" ht="24" customHeight="1" thickTop="1">
      <c r="A4" s="355" t="s">
        <v>60</v>
      </c>
      <c r="B4" s="356">
        <v>6000</v>
      </c>
      <c r="C4" s="357">
        <v>4</v>
      </c>
      <c r="D4" s="358">
        <v>400</v>
      </c>
      <c r="E4" s="358">
        <v>6424</v>
      </c>
      <c r="F4" s="358">
        <v>60</v>
      </c>
      <c r="G4" s="358">
        <v>1500</v>
      </c>
      <c r="H4" s="358">
        <v>91</v>
      </c>
      <c r="I4" s="358">
        <v>1591</v>
      </c>
      <c r="K4" s="359">
        <v>0</v>
      </c>
      <c r="L4" s="350">
        <v>0.21</v>
      </c>
      <c r="M4" s="350">
        <v>0.03</v>
      </c>
      <c r="N4" s="351" t="str">
        <f>CONCATENATE(B4,C4)</f>
        <v>60004</v>
      </c>
    </row>
    <row r="5" spans="1:14" ht="23.25">
      <c r="A5" s="360" t="s">
        <v>60</v>
      </c>
      <c r="B5" s="361">
        <v>6000</v>
      </c>
      <c r="C5" s="362">
        <v>6</v>
      </c>
      <c r="D5" s="363">
        <v>600</v>
      </c>
      <c r="E5" s="363">
        <v>6636</v>
      </c>
      <c r="F5" s="363">
        <v>90</v>
      </c>
      <c r="G5" s="363">
        <v>1000</v>
      </c>
      <c r="H5" s="364">
        <v>91</v>
      </c>
      <c r="I5" s="364">
        <v>1091</v>
      </c>
      <c r="K5" s="362">
        <v>0</v>
      </c>
      <c r="L5" s="350">
        <v>0.21</v>
      </c>
      <c r="M5" s="350">
        <v>0.03</v>
      </c>
      <c r="N5" s="351" t="str">
        <f t="shared" ref="N5:N68" si="0">CONCATENATE(B5,C5)</f>
        <v>60006</v>
      </c>
    </row>
    <row r="6" spans="1:14" ht="23.25">
      <c r="A6" s="360" t="s">
        <v>60</v>
      </c>
      <c r="B6" s="361">
        <v>6000</v>
      </c>
      <c r="C6" s="365">
        <v>8</v>
      </c>
      <c r="D6" s="366">
        <v>800</v>
      </c>
      <c r="E6" s="366">
        <v>6848</v>
      </c>
      <c r="F6" s="366">
        <v>120</v>
      </c>
      <c r="G6" s="366">
        <v>750</v>
      </c>
      <c r="H6" s="366">
        <v>91</v>
      </c>
      <c r="I6" s="366">
        <v>841</v>
      </c>
      <c r="K6" s="365">
        <v>0</v>
      </c>
      <c r="L6" s="350">
        <v>0.21</v>
      </c>
      <c r="M6" s="350">
        <v>0.03</v>
      </c>
      <c r="N6" s="351" t="str">
        <f t="shared" si="0"/>
        <v>60008</v>
      </c>
    </row>
    <row r="7" spans="1:14" ht="23.25">
      <c r="A7" s="360" t="s">
        <v>60</v>
      </c>
      <c r="B7" s="361">
        <v>6000</v>
      </c>
      <c r="C7" s="367">
        <v>10</v>
      </c>
      <c r="D7" s="368">
        <v>1000</v>
      </c>
      <c r="E7" s="368">
        <v>7060</v>
      </c>
      <c r="F7" s="368">
        <v>150</v>
      </c>
      <c r="G7" s="368">
        <v>600</v>
      </c>
      <c r="H7" s="368">
        <v>91</v>
      </c>
      <c r="I7" s="368">
        <v>691</v>
      </c>
      <c r="K7" s="367">
        <v>0</v>
      </c>
      <c r="L7" s="350">
        <v>0.21</v>
      </c>
      <c r="M7" s="350">
        <v>0.03</v>
      </c>
      <c r="N7" s="351" t="str">
        <f t="shared" si="0"/>
        <v>600010</v>
      </c>
    </row>
    <row r="8" spans="1:14" ht="23.25">
      <c r="A8" s="360" t="s">
        <v>60</v>
      </c>
      <c r="B8" s="361">
        <v>6000</v>
      </c>
      <c r="C8" s="365">
        <v>12</v>
      </c>
      <c r="D8" s="366">
        <v>1200</v>
      </c>
      <c r="E8" s="366">
        <v>7272</v>
      </c>
      <c r="F8" s="366">
        <v>180</v>
      </c>
      <c r="G8" s="366">
        <v>500</v>
      </c>
      <c r="H8" s="366">
        <v>91</v>
      </c>
      <c r="I8" s="366">
        <v>591</v>
      </c>
      <c r="K8" s="365">
        <v>0</v>
      </c>
      <c r="L8" s="350">
        <v>0.21</v>
      </c>
      <c r="M8" s="350">
        <v>0.03</v>
      </c>
      <c r="N8" s="351" t="str">
        <f t="shared" si="0"/>
        <v>600012</v>
      </c>
    </row>
    <row r="9" spans="1:14" ht="23.25">
      <c r="A9" s="360" t="s">
        <v>60</v>
      </c>
      <c r="B9" s="361">
        <v>6000</v>
      </c>
      <c r="C9" s="367">
        <v>14</v>
      </c>
      <c r="D9" s="368">
        <v>1406</v>
      </c>
      <c r="E9" s="368">
        <v>7476</v>
      </c>
      <c r="F9" s="368">
        <v>210</v>
      </c>
      <c r="G9" s="368">
        <v>429</v>
      </c>
      <c r="H9" s="368">
        <v>90</v>
      </c>
      <c r="I9" s="368">
        <v>519</v>
      </c>
      <c r="K9" s="367">
        <v>0</v>
      </c>
      <c r="L9" s="350">
        <v>0.21</v>
      </c>
      <c r="M9" s="350">
        <v>0.03</v>
      </c>
      <c r="N9" s="351" t="str">
        <f t="shared" si="0"/>
        <v>600014</v>
      </c>
    </row>
    <row r="10" spans="1:14" ht="23.25">
      <c r="A10" s="360" t="s">
        <v>60</v>
      </c>
      <c r="B10" s="361">
        <v>6000</v>
      </c>
      <c r="C10" s="365">
        <v>16</v>
      </c>
      <c r="D10" s="366">
        <v>1600</v>
      </c>
      <c r="E10" s="366">
        <v>7696</v>
      </c>
      <c r="F10" s="366">
        <v>240</v>
      </c>
      <c r="G10" s="366">
        <v>375</v>
      </c>
      <c r="H10" s="366">
        <v>91</v>
      </c>
      <c r="I10" s="366">
        <v>466</v>
      </c>
      <c r="K10" s="365">
        <v>0</v>
      </c>
      <c r="L10" s="350">
        <v>0.21</v>
      </c>
      <c r="M10" s="350">
        <v>0.03</v>
      </c>
      <c r="N10" s="351" t="str">
        <f t="shared" si="0"/>
        <v>600016</v>
      </c>
    </row>
    <row r="11" spans="1:14" ht="24" thickBot="1">
      <c r="A11" s="369" t="s">
        <v>60</v>
      </c>
      <c r="B11" s="370">
        <v>6000</v>
      </c>
      <c r="C11" s="371">
        <v>18</v>
      </c>
      <c r="D11" s="372">
        <v>1812</v>
      </c>
      <c r="E11" s="372">
        <v>7902</v>
      </c>
      <c r="F11" s="372">
        <v>270</v>
      </c>
      <c r="G11" s="372">
        <v>334</v>
      </c>
      <c r="H11" s="373">
        <v>90</v>
      </c>
      <c r="I11" s="372">
        <v>424</v>
      </c>
      <c r="K11" s="371">
        <v>0</v>
      </c>
      <c r="L11" s="350">
        <v>0.21</v>
      </c>
      <c r="M11" s="350">
        <v>0.03</v>
      </c>
      <c r="N11" s="351" t="str">
        <f t="shared" si="0"/>
        <v>600018</v>
      </c>
    </row>
    <row r="12" spans="1:14" ht="24" thickTop="1">
      <c r="A12" s="374" t="s">
        <v>60</v>
      </c>
      <c r="B12" s="375">
        <v>7000</v>
      </c>
      <c r="C12" s="357">
        <v>4</v>
      </c>
      <c r="D12" s="358">
        <v>470</v>
      </c>
      <c r="E12" s="358">
        <v>7494</v>
      </c>
      <c r="F12" s="358">
        <v>70</v>
      </c>
      <c r="G12" s="358">
        <v>1750</v>
      </c>
      <c r="H12" s="376">
        <v>106</v>
      </c>
      <c r="I12" s="358">
        <v>1856</v>
      </c>
      <c r="K12" s="357">
        <v>0</v>
      </c>
      <c r="L12" s="350">
        <v>0.21</v>
      </c>
      <c r="M12" s="350">
        <v>0.03</v>
      </c>
      <c r="N12" s="351" t="str">
        <f t="shared" si="0"/>
        <v>70004</v>
      </c>
    </row>
    <row r="13" spans="1:14" ht="24" customHeight="1">
      <c r="A13" s="377" t="s">
        <v>60</v>
      </c>
      <c r="B13" s="378">
        <v>7000</v>
      </c>
      <c r="C13" s="362">
        <v>6</v>
      </c>
      <c r="D13" s="363">
        <v>706</v>
      </c>
      <c r="E13" s="363">
        <v>7737</v>
      </c>
      <c r="F13" s="363">
        <v>105</v>
      </c>
      <c r="G13" s="363">
        <v>1167</v>
      </c>
      <c r="H13" s="364">
        <v>105</v>
      </c>
      <c r="I13" s="364">
        <v>1272</v>
      </c>
      <c r="K13" s="362">
        <v>0</v>
      </c>
      <c r="L13" s="350">
        <v>0.21</v>
      </c>
      <c r="M13" s="350">
        <v>0.03</v>
      </c>
      <c r="N13" s="351" t="str">
        <f t="shared" si="0"/>
        <v>70006</v>
      </c>
    </row>
    <row r="14" spans="1:14" ht="23.25">
      <c r="A14" s="377" t="s">
        <v>60</v>
      </c>
      <c r="B14" s="378">
        <v>7000</v>
      </c>
      <c r="C14" s="365">
        <v>8</v>
      </c>
      <c r="D14" s="366">
        <v>939</v>
      </c>
      <c r="E14" s="366">
        <v>7988</v>
      </c>
      <c r="F14" s="366">
        <v>140</v>
      </c>
      <c r="G14" s="366">
        <v>875</v>
      </c>
      <c r="H14" s="366">
        <v>106</v>
      </c>
      <c r="I14" s="366">
        <v>981</v>
      </c>
      <c r="K14" s="365">
        <v>0</v>
      </c>
      <c r="L14" s="350">
        <v>0.21</v>
      </c>
      <c r="M14" s="350">
        <v>0.03</v>
      </c>
      <c r="N14" s="351" t="str">
        <f t="shared" si="0"/>
        <v>70008</v>
      </c>
    </row>
    <row r="15" spans="1:14" ht="23.25">
      <c r="A15" s="377" t="s">
        <v>60</v>
      </c>
      <c r="B15" s="378">
        <v>7000</v>
      </c>
      <c r="C15" s="367">
        <v>10</v>
      </c>
      <c r="D15" s="368">
        <v>1174</v>
      </c>
      <c r="E15" s="368">
        <v>8235</v>
      </c>
      <c r="F15" s="368">
        <v>175</v>
      </c>
      <c r="G15" s="368">
        <v>700</v>
      </c>
      <c r="H15" s="368">
        <v>106</v>
      </c>
      <c r="I15" s="368">
        <v>806</v>
      </c>
      <c r="K15" s="367">
        <v>0</v>
      </c>
      <c r="L15" s="350">
        <v>0.21</v>
      </c>
      <c r="M15" s="350">
        <v>0.03</v>
      </c>
      <c r="N15" s="351" t="str">
        <f t="shared" si="0"/>
        <v>700010</v>
      </c>
    </row>
    <row r="16" spans="1:14" ht="23.25">
      <c r="A16" s="379" t="s">
        <v>60</v>
      </c>
      <c r="B16" s="380">
        <v>7000</v>
      </c>
      <c r="C16" s="365">
        <v>12</v>
      </c>
      <c r="D16" s="366">
        <v>1404</v>
      </c>
      <c r="E16" s="366">
        <v>8478</v>
      </c>
      <c r="F16" s="366">
        <v>210</v>
      </c>
      <c r="G16" s="366">
        <v>584</v>
      </c>
      <c r="H16" s="366">
        <v>105</v>
      </c>
      <c r="I16" s="366">
        <v>689</v>
      </c>
      <c r="K16" s="365">
        <v>0</v>
      </c>
      <c r="L16" s="350">
        <v>0.21</v>
      </c>
      <c r="M16" s="350">
        <v>0.03</v>
      </c>
      <c r="N16" s="351" t="str">
        <f t="shared" si="0"/>
        <v>700012</v>
      </c>
    </row>
    <row r="17" spans="1:14" ht="23.25">
      <c r="A17" s="377" t="s">
        <v>60</v>
      </c>
      <c r="B17" s="378">
        <v>7000</v>
      </c>
      <c r="C17" s="367">
        <v>14</v>
      </c>
      <c r="D17" s="368">
        <v>1643</v>
      </c>
      <c r="E17" s="368">
        <v>8729</v>
      </c>
      <c r="F17" s="368">
        <v>245</v>
      </c>
      <c r="G17" s="368">
        <v>500</v>
      </c>
      <c r="H17" s="368">
        <v>106</v>
      </c>
      <c r="I17" s="368">
        <v>606</v>
      </c>
      <c r="K17" s="367">
        <v>0</v>
      </c>
      <c r="L17" s="350">
        <v>0.21</v>
      </c>
      <c r="M17" s="350">
        <v>0.03</v>
      </c>
      <c r="N17" s="351" t="str">
        <f t="shared" si="0"/>
        <v>700014</v>
      </c>
    </row>
    <row r="18" spans="1:14" ht="23.25">
      <c r="A18" s="377" t="s">
        <v>60</v>
      </c>
      <c r="B18" s="378">
        <v>7000</v>
      </c>
      <c r="C18" s="365">
        <v>16</v>
      </c>
      <c r="D18" s="366">
        <v>1870</v>
      </c>
      <c r="E18" s="366">
        <v>8968</v>
      </c>
      <c r="F18" s="366">
        <v>280</v>
      </c>
      <c r="G18" s="366">
        <v>438</v>
      </c>
      <c r="H18" s="366">
        <v>105</v>
      </c>
      <c r="I18" s="366">
        <v>543</v>
      </c>
      <c r="K18" s="365">
        <v>0</v>
      </c>
      <c r="L18" s="350">
        <v>0.21</v>
      </c>
      <c r="M18" s="350">
        <v>0.03</v>
      </c>
      <c r="N18" s="351" t="str">
        <f t="shared" si="0"/>
        <v>700016</v>
      </c>
    </row>
    <row r="19" spans="1:14" ht="24" thickBot="1">
      <c r="A19" s="377" t="s">
        <v>60</v>
      </c>
      <c r="B19" s="378">
        <v>7000</v>
      </c>
      <c r="C19" s="371">
        <v>18</v>
      </c>
      <c r="D19" s="372">
        <v>2114</v>
      </c>
      <c r="E19" s="372">
        <v>9207</v>
      </c>
      <c r="F19" s="372">
        <v>315</v>
      </c>
      <c r="G19" s="372">
        <v>389</v>
      </c>
      <c r="H19" s="372">
        <v>105</v>
      </c>
      <c r="I19" s="372">
        <v>494</v>
      </c>
      <c r="K19" s="367">
        <v>0</v>
      </c>
      <c r="L19" s="350">
        <v>0.21</v>
      </c>
      <c r="M19" s="350">
        <v>0.03</v>
      </c>
      <c r="N19" s="351" t="str">
        <f t="shared" si="0"/>
        <v>700018</v>
      </c>
    </row>
    <row r="20" spans="1:14" ht="24.75" thickTop="1" thickBot="1">
      <c r="A20" s="355" t="s">
        <v>60</v>
      </c>
      <c r="B20" s="356">
        <v>8000</v>
      </c>
      <c r="C20" s="357">
        <v>4</v>
      </c>
      <c r="D20" s="358">
        <v>535</v>
      </c>
      <c r="E20" s="358">
        <v>8564</v>
      </c>
      <c r="F20" s="358">
        <v>80</v>
      </c>
      <c r="G20" s="358">
        <v>2000</v>
      </c>
      <c r="H20" s="358">
        <v>121</v>
      </c>
      <c r="I20" s="358">
        <v>2121</v>
      </c>
      <c r="K20" s="381">
        <v>0</v>
      </c>
      <c r="L20" s="350">
        <v>0.21</v>
      </c>
      <c r="M20" s="350">
        <v>0.03</v>
      </c>
      <c r="N20" s="351" t="str">
        <f t="shared" si="0"/>
        <v>80004</v>
      </c>
    </row>
    <row r="21" spans="1:14" ht="24" thickTop="1">
      <c r="A21" s="382" t="s">
        <v>60</v>
      </c>
      <c r="B21" s="383">
        <v>8000</v>
      </c>
      <c r="C21" s="362">
        <v>6</v>
      </c>
      <c r="D21" s="363">
        <v>800</v>
      </c>
      <c r="E21" s="363">
        <v>8844</v>
      </c>
      <c r="F21" s="363">
        <v>120</v>
      </c>
      <c r="G21" s="363">
        <v>1334</v>
      </c>
      <c r="H21" s="364">
        <v>120</v>
      </c>
      <c r="I21" s="363">
        <v>1454</v>
      </c>
      <c r="K21" s="362">
        <v>0</v>
      </c>
      <c r="L21" s="350">
        <v>0.21</v>
      </c>
      <c r="M21" s="350">
        <v>0.03</v>
      </c>
      <c r="N21" s="351" t="str">
        <f t="shared" si="0"/>
        <v>80006</v>
      </c>
    </row>
    <row r="22" spans="1:14" ht="24" customHeight="1">
      <c r="A22" s="360" t="s">
        <v>60</v>
      </c>
      <c r="B22" s="361">
        <v>8000</v>
      </c>
      <c r="C22" s="365">
        <v>8</v>
      </c>
      <c r="D22" s="366">
        <v>1070</v>
      </c>
      <c r="E22" s="366">
        <v>9128</v>
      </c>
      <c r="F22" s="366">
        <v>160</v>
      </c>
      <c r="G22" s="366">
        <v>1000</v>
      </c>
      <c r="H22" s="366">
        <v>121</v>
      </c>
      <c r="I22" s="366">
        <v>1121</v>
      </c>
      <c r="K22" s="365">
        <v>0</v>
      </c>
      <c r="L22" s="350">
        <v>0.21</v>
      </c>
      <c r="M22" s="350">
        <v>0.03</v>
      </c>
      <c r="N22" s="351" t="str">
        <f t="shared" si="0"/>
        <v>80008</v>
      </c>
    </row>
    <row r="23" spans="1:14" ht="23.25">
      <c r="A23" s="360" t="s">
        <v>60</v>
      </c>
      <c r="B23" s="361">
        <v>8000</v>
      </c>
      <c r="C23" s="367">
        <v>10</v>
      </c>
      <c r="D23" s="368">
        <v>1337</v>
      </c>
      <c r="E23" s="368">
        <v>9410</v>
      </c>
      <c r="F23" s="368">
        <v>200</v>
      </c>
      <c r="G23" s="368">
        <v>800</v>
      </c>
      <c r="H23" s="368">
        <v>121</v>
      </c>
      <c r="I23" s="368">
        <v>921</v>
      </c>
      <c r="K23" s="367">
        <v>0</v>
      </c>
      <c r="L23" s="350">
        <v>0.21</v>
      </c>
      <c r="M23" s="350">
        <v>0.03</v>
      </c>
      <c r="N23" s="351" t="str">
        <f t="shared" si="0"/>
        <v>800010</v>
      </c>
    </row>
    <row r="24" spans="1:14" ht="23.25">
      <c r="A24" s="360" t="s">
        <v>60</v>
      </c>
      <c r="B24" s="361">
        <v>8000</v>
      </c>
      <c r="C24" s="365">
        <v>12</v>
      </c>
      <c r="D24" s="366">
        <v>1608</v>
      </c>
      <c r="E24" s="366">
        <v>9684</v>
      </c>
      <c r="F24" s="366">
        <v>240</v>
      </c>
      <c r="G24" s="366">
        <v>667</v>
      </c>
      <c r="H24" s="366">
        <v>120</v>
      </c>
      <c r="I24" s="366">
        <v>787</v>
      </c>
      <c r="K24" s="365">
        <v>0</v>
      </c>
      <c r="L24" s="350">
        <v>0.21</v>
      </c>
      <c r="M24" s="350">
        <v>0.03</v>
      </c>
      <c r="N24" s="351" t="str">
        <f t="shared" si="0"/>
        <v>800012</v>
      </c>
    </row>
    <row r="25" spans="1:14" ht="23.25">
      <c r="A25" s="360" t="s">
        <v>60</v>
      </c>
      <c r="B25" s="361">
        <v>8000</v>
      </c>
      <c r="C25" s="367">
        <v>14</v>
      </c>
      <c r="D25" s="368">
        <v>1880</v>
      </c>
      <c r="E25" s="368">
        <v>9968</v>
      </c>
      <c r="F25" s="368">
        <v>280</v>
      </c>
      <c r="G25" s="368">
        <v>572</v>
      </c>
      <c r="H25" s="368">
        <v>120</v>
      </c>
      <c r="I25" s="368">
        <v>692</v>
      </c>
      <c r="K25" s="367">
        <v>0</v>
      </c>
      <c r="L25" s="350">
        <v>0.21</v>
      </c>
      <c r="M25" s="350">
        <v>0.03</v>
      </c>
      <c r="N25" s="351" t="str">
        <f t="shared" si="0"/>
        <v>800014</v>
      </c>
    </row>
    <row r="26" spans="1:14" ht="23.25">
      <c r="A26" s="360" t="s">
        <v>60</v>
      </c>
      <c r="B26" s="361">
        <v>8000</v>
      </c>
      <c r="C26" s="365">
        <v>16</v>
      </c>
      <c r="D26" s="366">
        <v>2139</v>
      </c>
      <c r="E26" s="366">
        <v>10256</v>
      </c>
      <c r="F26" s="366">
        <v>320</v>
      </c>
      <c r="G26" s="366">
        <v>500</v>
      </c>
      <c r="H26" s="366">
        <v>121</v>
      </c>
      <c r="I26" s="366">
        <v>621</v>
      </c>
      <c r="K26" s="365">
        <v>0</v>
      </c>
      <c r="L26" s="350">
        <v>0.21</v>
      </c>
      <c r="M26" s="350">
        <v>0.03</v>
      </c>
      <c r="N26" s="351" t="str">
        <f t="shared" si="0"/>
        <v>800016</v>
      </c>
    </row>
    <row r="27" spans="1:14" ht="24" thickBot="1">
      <c r="A27" s="369" t="s">
        <v>60</v>
      </c>
      <c r="B27" s="370">
        <v>8000</v>
      </c>
      <c r="C27" s="371">
        <v>18</v>
      </c>
      <c r="D27" s="372">
        <v>2416</v>
      </c>
      <c r="E27" s="372">
        <v>10530</v>
      </c>
      <c r="F27" s="372">
        <v>360</v>
      </c>
      <c r="G27" s="372">
        <v>445</v>
      </c>
      <c r="H27" s="373">
        <v>120</v>
      </c>
      <c r="I27" s="372">
        <v>565</v>
      </c>
      <c r="K27" s="371">
        <v>0</v>
      </c>
      <c r="L27" s="350">
        <v>0.21</v>
      </c>
      <c r="M27" s="350">
        <v>0.03</v>
      </c>
      <c r="N27" s="351" t="str">
        <f t="shared" si="0"/>
        <v>800018</v>
      </c>
    </row>
    <row r="28" spans="1:14" ht="24" thickTop="1">
      <c r="A28" s="384" t="s">
        <v>60</v>
      </c>
      <c r="B28" s="385">
        <v>9000</v>
      </c>
      <c r="C28" s="357">
        <v>4</v>
      </c>
      <c r="D28" s="358">
        <v>600</v>
      </c>
      <c r="E28" s="358">
        <v>9634</v>
      </c>
      <c r="F28" s="358">
        <v>90</v>
      </c>
      <c r="G28" s="358">
        <v>2250</v>
      </c>
      <c r="H28" s="376">
        <v>136</v>
      </c>
      <c r="I28" s="358">
        <v>2386</v>
      </c>
      <c r="K28" s="357">
        <v>0</v>
      </c>
      <c r="L28" s="350">
        <v>0.21</v>
      </c>
      <c r="M28" s="350">
        <v>0.03</v>
      </c>
      <c r="N28" s="351" t="str">
        <f t="shared" si="0"/>
        <v>90004</v>
      </c>
    </row>
    <row r="29" spans="1:14" ht="23.25">
      <c r="A29" s="386" t="s">
        <v>60</v>
      </c>
      <c r="B29" s="387">
        <v>9000</v>
      </c>
      <c r="C29" s="388">
        <v>6</v>
      </c>
      <c r="D29" s="364">
        <v>900</v>
      </c>
      <c r="E29" s="364">
        <v>9951</v>
      </c>
      <c r="F29" s="364">
        <v>135</v>
      </c>
      <c r="G29" s="364">
        <v>1500</v>
      </c>
      <c r="H29" s="364">
        <v>136</v>
      </c>
      <c r="I29" s="364">
        <v>1636</v>
      </c>
      <c r="K29" s="388">
        <v>0</v>
      </c>
      <c r="L29" s="350">
        <v>0.21</v>
      </c>
      <c r="M29" s="350">
        <v>0.03</v>
      </c>
      <c r="N29" s="351" t="str">
        <f t="shared" si="0"/>
        <v>90006</v>
      </c>
    </row>
    <row r="30" spans="1:14" ht="23.25">
      <c r="A30" s="386" t="s">
        <v>60</v>
      </c>
      <c r="B30" s="387">
        <v>9000</v>
      </c>
      <c r="C30" s="365">
        <v>8</v>
      </c>
      <c r="D30" s="366">
        <v>1200</v>
      </c>
      <c r="E30" s="366">
        <v>10268</v>
      </c>
      <c r="F30" s="366">
        <v>180</v>
      </c>
      <c r="G30" s="366">
        <v>1125</v>
      </c>
      <c r="H30" s="366">
        <v>136</v>
      </c>
      <c r="I30" s="366">
        <v>1261</v>
      </c>
      <c r="K30" s="365">
        <v>0</v>
      </c>
      <c r="L30" s="350">
        <v>0.21</v>
      </c>
      <c r="M30" s="350">
        <v>0.03</v>
      </c>
      <c r="N30" s="351" t="str">
        <f t="shared" si="0"/>
        <v>90008</v>
      </c>
    </row>
    <row r="31" spans="1:14" ht="24" customHeight="1">
      <c r="A31" s="386" t="s">
        <v>60</v>
      </c>
      <c r="B31" s="387">
        <v>9000</v>
      </c>
      <c r="C31" s="367">
        <v>10</v>
      </c>
      <c r="D31" s="368">
        <v>1500</v>
      </c>
      <c r="E31" s="368">
        <v>10585</v>
      </c>
      <c r="F31" s="368">
        <v>225</v>
      </c>
      <c r="G31" s="368">
        <v>900</v>
      </c>
      <c r="H31" s="368">
        <v>136</v>
      </c>
      <c r="I31" s="368">
        <v>1036</v>
      </c>
      <c r="K31" s="367">
        <v>0</v>
      </c>
      <c r="L31" s="350">
        <v>0.21</v>
      </c>
      <c r="M31" s="350">
        <v>0.03</v>
      </c>
      <c r="N31" s="351" t="str">
        <f t="shared" si="0"/>
        <v>900010</v>
      </c>
    </row>
    <row r="32" spans="1:14" ht="23.25">
      <c r="A32" s="386" t="s">
        <v>60</v>
      </c>
      <c r="B32" s="387">
        <v>9000</v>
      </c>
      <c r="C32" s="365">
        <v>12</v>
      </c>
      <c r="D32" s="366">
        <v>1800</v>
      </c>
      <c r="E32" s="366">
        <v>10902</v>
      </c>
      <c r="F32" s="366">
        <v>270</v>
      </c>
      <c r="G32" s="366">
        <v>750</v>
      </c>
      <c r="H32" s="366">
        <v>136</v>
      </c>
      <c r="I32" s="366">
        <v>886</v>
      </c>
      <c r="K32" s="365">
        <v>0</v>
      </c>
      <c r="L32" s="350">
        <v>0.21</v>
      </c>
      <c r="M32" s="350">
        <v>0.03</v>
      </c>
      <c r="N32" s="351" t="str">
        <f t="shared" si="0"/>
        <v>900012</v>
      </c>
    </row>
    <row r="33" spans="1:14" ht="23.25">
      <c r="A33" s="386" t="s">
        <v>60</v>
      </c>
      <c r="B33" s="387">
        <v>9000</v>
      </c>
      <c r="C33" s="367">
        <v>14</v>
      </c>
      <c r="D33" s="368">
        <v>2102</v>
      </c>
      <c r="E33" s="368">
        <v>11207</v>
      </c>
      <c r="F33" s="368">
        <v>315</v>
      </c>
      <c r="G33" s="368">
        <v>643</v>
      </c>
      <c r="H33" s="368">
        <v>135</v>
      </c>
      <c r="I33" s="368">
        <v>778</v>
      </c>
      <c r="K33" s="367">
        <v>0</v>
      </c>
      <c r="L33" s="350">
        <v>0.21</v>
      </c>
      <c r="M33" s="350">
        <v>0.03</v>
      </c>
      <c r="N33" s="351" t="str">
        <f t="shared" si="0"/>
        <v>900014</v>
      </c>
    </row>
    <row r="34" spans="1:14" ht="23.25">
      <c r="A34" s="386" t="s">
        <v>60</v>
      </c>
      <c r="B34" s="387">
        <v>9000</v>
      </c>
      <c r="C34" s="365">
        <v>16</v>
      </c>
      <c r="D34" s="366">
        <v>2408</v>
      </c>
      <c r="E34" s="366">
        <v>11528</v>
      </c>
      <c r="F34" s="366">
        <v>360</v>
      </c>
      <c r="G34" s="366">
        <v>563</v>
      </c>
      <c r="H34" s="366">
        <v>135</v>
      </c>
      <c r="I34" s="366">
        <v>698</v>
      </c>
      <c r="K34" s="365">
        <v>0</v>
      </c>
      <c r="L34" s="350">
        <v>0.21</v>
      </c>
      <c r="M34" s="350">
        <v>0.03</v>
      </c>
      <c r="N34" s="351" t="str">
        <f t="shared" si="0"/>
        <v>900016</v>
      </c>
    </row>
    <row r="35" spans="1:14" ht="24" thickBot="1">
      <c r="A35" s="389" t="s">
        <v>60</v>
      </c>
      <c r="B35" s="390">
        <v>9000</v>
      </c>
      <c r="C35" s="391">
        <v>18</v>
      </c>
      <c r="D35" s="373">
        <v>2700</v>
      </c>
      <c r="E35" s="373">
        <v>11853</v>
      </c>
      <c r="F35" s="373">
        <v>405</v>
      </c>
      <c r="G35" s="373">
        <v>500</v>
      </c>
      <c r="H35" s="372">
        <v>136</v>
      </c>
      <c r="I35" s="373">
        <v>636</v>
      </c>
      <c r="K35" s="391">
        <v>0</v>
      </c>
      <c r="L35" s="350">
        <v>0.21</v>
      </c>
      <c r="M35" s="350">
        <v>0.03</v>
      </c>
      <c r="N35" s="351" t="str">
        <f t="shared" si="0"/>
        <v>900018</v>
      </c>
    </row>
    <row r="36" spans="1:14" ht="24" thickTop="1">
      <c r="A36" s="355" t="s">
        <v>60</v>
      </c>
      <c r="B36" s="356">
        <v>10000</v>
      </c>
      <c r="C36" s="357">
        <v>4</v>
      </c>
      <c r="D36" s="358">
        <v>670</v>
      </c>
      <c r="E36" s="358">
        <v>10704</v>
      </c>
      <c r="F36" s="358">
        <v>100</v>
      </c>
      <c r="G36" s="358">
        <v>2500</v>
      </c>
      <c r="H36" s="358">
        <v>151</v>
      </c>
      <c r="I36" s="358">
        <v>2651</v>
      </c>
      <c r="K36" s="357">
        <v>0</v>
      </c>
      <c r="L36" s="350">
        <v>0.21</v>
      </c>
      <c r="M36" s="350">
        <v>0.03</v>
      </c>
      <c r="N36" s="351" t="str">
        <f t="shared" si="0"/>
        <v>100004</v>
      </c>
    </row>
    <row r="37" spans="1:14" ht="23.25">
      <c r="A37" s="360" t="s">
        <v>60</v>
      </c>
      <c r="B37" s="361">
        <v>10000</v>
      </c>
      <c r="C37" s="388">
        <v>6</v>
      </c>
      <c r="D37" s="364">
        <v>1006</v>
      </c>
      <c r="E37" s="364">
        <v>11052</v>
      </c>
      <c r="F37" s="364">
        <v>150</v>
      </c>
      <c r="G37" s="364">
        <v>1667</v>
      </c>
      <c r="H37" s="364">
        <v>150</v>
      </c>
      <c r="I37" s="364">
        <v>1817</v>
      </c>
      <c r="K37" s="388">
        <v>0</v>
      </c>
      <c r="L37" s="350">
        <v>0.21</v>
      </c>
      <c r="M37" s="350">
        <v>0.03</v>
      </c>
      <c r="N37" s="351" t="str">
        <f t="shared" si="0"/>
        <v>100006</v>
      </c>
    </row>
    <row r="38" spans="1:14" ht="23.25">
      <c r="A38" s="360" t="s">
        <v>60</v>
      </c>
      <c r="B38" s="361">
        <v>10000</v>
      </c>
      <c r="C38" s="365">
        <v>8</v>
      </c>
      <c r="D38" s="366">
        <v>1339</v>
      </c>
      <c r="E38" s="366">
        <v>11408</v>
      </c>
      <c r="F38" s="366">
        <v>200</v>
      </c>
      <c r="G38" s="366">
        <v>1250</v>
      </c>
      <c r="H38" s="366">
        <v>151</v>
      </c>
      <c r="I38" s="366">
        <v>1401</v>
      </c>
      <c r="K38" s="365">
        <v>0</v>
      </c>
      <c r="L38" s="350">
        <v>0.21</v>
      </c>
      <c r="M38" s="350">
        <v>0.03</v>
      </c>
      <c r="N38" s="351" t="str">
        <f t="shared" si="0"/>
        <v>100008</v>
      </c>
    </row>
    <row r="39" spans="1:14" ht="23.25">
      <c r="A39" s="360" t="s">
        <v>60</v>
      </c>
      <c r="B39" s="361">
        <v>10000</v>
      </c>
      <c r="C39" s="367">
        <v>10</v>
      </c>
      <c r="D39" s="368">
        <v>1674</v>
      </c>
      <c r="E39" s="368">
        <v>11760</v>
      </c>
      <c r="F39" s="368">
        <v>250</v>
      </c>
      <c r="G39" s="368">
        <v>1000</v>
      </c>
      <c r="H39" s="368">
        <v>151</v>
      </c>
      <c r="I39" s="368">
        <v>1151</v>
      </c>
      <c r="K39" s="367">
        <v>0</v>
      </c>
      <c r="L39" s="350">
        <v>0.21</v>
      </c>
      <c r="M39" s="350">
        <v>0.03</v>
      </c>
      <c r="N39" s="351" t="str">
        <f t="shared" si="0"/>
        <v>1000010</v>
      </c>
    </row>
    <row r="40" spans="1:14" ht="24" customHeight="1">
      <c r="A40" s="360" t="s">
        <v>60</v>
      </c>
      <c r="B40" s="361">
        <v>10000</v>
      </c>
      <c r="C40" s="365">
        <v>12</v>
      </c>
      <c r="D40" s="366">
        <v>2004</v>
      </c>
      <c r="E40" s="366">
        <v>12108</v>
      </c>
      <c r="F40" s="366">
        <v>300</v>
      </c>
      <c r="G40" s="366">
        <v>834</v>
      </c>
      <c r="H40" s="366">
        <v>150</v>
      </c>
      <c r="I40" s="366">
        <v>984</v>
      </c>
      <c r="K40" s="365">
        <v>0</v>
      </c>
      <c r="L40" s="350">
        <v>0.21</v>
      </c>
      <c r="M40" s="350">
        <v>0.03</v>
      </c>
      <c r="N40" s="351" t="str">
        <f t="shared" si="0"/>
        <v>1000012</v>
      </c>
    </row>
    <row r="41" spans="1:14" ht="23.25">
      <c r="A41" s="360" t="s">
        <v>60</v>
      </c>
      <c r="B41" s="361">
        <v>10000</v>
      </c>
      <c r="C41" s="367">
        <v>14</v>
      </c>
      <c r="D41" s="368">
        <v>2339</v>
      </c>
      <c r="E41" s="368">
        <v>12460</v>
      </c>
      <c r="F41" s="368">
        <v>350</v>
      </c>
      <c r="G41" s="368">
        <v>715</v>
      </c>
      <c r="H41" s="368">
        <v>150</v>
      </c>
      <c r="I41" s="368">
        <v>865</v>
      </c>
      <c r="K41" s="367">
        <v>0</v>
      </c>
      <c r="L41" s="350">
        <v>0.21</v>
      </c>
      <c r="M41" s="350">
        <v>0.03</v>
      </c>
      <c r="N41" s="351" t="str">
        <f t="shared" si="0"/>
        <v>1000014</v>
      </c>
    </row>
    <row r="42" spans="1:14" ht="23.25">
      <c r="A42" s="360" t="s">
        <v>60</v>
      </c>
      <c r="B42" s="361">
        <v>10000</v>
      </c>
      <c r="C42" s="365">
        <v>16</v>
      </c>
      <c r="D42" s="366">
        <v>2678</v>
      </c>
      <c r="E42" s="366">
        <v>12816</v>
      </c>
      <c r="F42" s="366">
        <v>400</v>
      </c>
      <c r="G42" s="366">
        <v>625</v>
      </c>
      <c r="H42" s="366">
        <v>151</v>
      </c>
      <c r="I42" s="366">
        <v>776</v>
      </c>
      <c r="K42" s="365">
        <v>0</v>
      </c>
      <c r="L42" s="350">
        <v>0.21</v>
      </c>
      <c r="M42" s="350">
        <v>0.03</v>
      </c>
      <c r="N42" s="351" t="str">
        <f t="shared" si="0"/>
        <v>1000016</v>
      </c>
    </row>
    <row r="43" spans="1:14" ht="24" thickBot="1">
      <c r="A43" s="392" t="s">
        <v>60</v>
      </c>
      <c r="B43" s="393">
        <v>10000</v>
      </c>
      <c r="C43" s="391">
        <v>18</v>
      </c>
      <c r="D43" s="373">
        <v>3002</v>
      </c>
      <c r="E43" s="373">
        <v>13158</v>
      </c>
      <c r="F43" s="373">
        <v>450</v>
      </c>
      <c r="G43" s="373">
        <v>556</v>
      </c>
      <c r="H43" s="373">
        <v>150</v>
      </c>
      <c r="I43" s="373">
        <v>706</v>
      </c>
      <c r="K43" s="391">
        <v>0</v>
      </c>
      <c r="L43" s="350">
        <v>0.21</v>
      </c>
      <c r="M43" s="350">
        <v>0.03</v>
      </c>
      <c r="N43" s="351" t="str">
        <f t="shared" si="0"/>
        <v>1000018</v>
      </c>
    </row>
    <row r="44" spans="1:14" ht="24" thickTop="1">
      <c r="A44" s="384" t="s">
        <v>60</v>
      </c>
      <c r="B44" s="385">
        <v>11000</v>
      </c>
      <c r="C44" s="357">
        <v>4</v>
      </c>
      <c r="D44" s="358">
        <v>735</v>
      </c>
      <c r="E44" s="358">
        <v>11774</v>
      </c>
      <c r="F44" s="358">
        <v>110</v>
      </c>
      <c r="G44" s="358">
        <v>2750</v>
      </c>
      <c r="H44" s="376">
        <v>166</v>
      </c>
      <c r="I44" s="358">
        <v>2916</v>
      </c>
      <c r="K44" s="357">
        <v>0</v>
      </c>
      <c r="L44" s="350">
        <v>0.21</v>
      </c>
      <c r="M44" s="350">
        <v>0.03</v>
      </c>
      <c r="N44" s="351" t="str">
        <f t="shared" si="0"/>
        <v>110004</v>
      </c>
    </row>
    <row r="45" spans="1:14" ht="23.25">
      <c r="A45" s="386" t="s">
        <v>60</v>
      </c>
      <c r="B45" s="387">
        <v>11000</v>
      </c>
      <c r="C45" s="388">
        <v>6</v>
      </c>
      <c r="D45" s="364">
        <v>1100</v>
      </c>
      <c r="E45" s="364">
        <v>12159</v>
      </c>
      <c r="F45" s="364">
        <v>165</v>
      </c>
      <c r="G45" s="364">
        <v>1834</v>
      </c>
      <c r="H45" s="364">
        <v>165</v>
      </c>
      <c r="I45" s="364">
        <v>1999</v>
      </c>
      <c r="K45" s="388">
        <v>0</v>
      </c>
      <c r="L45" s="350">
        <v>0.21</v>
      </c>
      <c r="M45" s="350">
        <v>0.03</v>
      </c>
      <c r="N45" s="351" t="str">
        <f t="shared" si="0"/>
        <v>110006</v>
      </c>
    </row>
    <row r="46" spans="1:14" ht="23.25">
      <c r="A46" s="386" t="s">
        <v>60</v>
      </c>
      <c r="B46" s="387">
        <v>11000</v>
      </c>
      <c r="C46" s="365">
        <v>8</v>
      </c>
      <c r="D46" s="366">
        <v>1470</v>
      </c>
      <c r="E46" s="366">
        <v>12548</v>
      </c>
      <c r="F46" s="366">
        <v>220</v>
      </c>
      <c r="G46" s="366">
        <v>1375</v>
      </c>
      <c r="H46" s="366">
        <v>166</v>
      </c>
      <c r="I46" s="366">
        <v>1541</v>
      </c>
      <c r="K46" s="365">
        <v>0</v>
      </c>
      <c r="L46" s="350">
        <v>0.21</v>
      </c>
      <c r="M46" s="350">
        <v>0.03</v>
      </c>
      <c r="N46" s="351" t="str">
        <f t="shared" si="0"/>
        <v>110008</v>
      </c>
    </row>
    <row r="47" spans="1:14" ht="23.25">
      <c r="A47" s="386" t="s">
        <v>60</v>
      </c>
      <c r="B47" s="387">
        <v>11000</v>
      </c>
      <c r="C47" s="367">
        <v>10</v>
      </c>
      <c r="D47" s="368">
        <v>1837</v>
      </c>
      <c r="E47" s="368">
        <v>12935</v>
      </c>
      <c r="F47" s="368">
        <v>275</v>
      </c>
      <c r="G47" s="368">
        <v>1100</v>
      </c>
      <c r="H47" s="368">
        <v>166</v>
      </c>
      <c r="I47" s="368">
        <v>1266</v>
      </c>
      <c r="K47" s="367">
        <v>0</v>
      </c>
      <c r="L47" s="350">
        <v>0.21</v>
      </c>
      <c r="M47" s="350">
        <v>0.03</v>
      </c>
      <c r="N47" s="351" t="str">
        <f t="shared" si="0"/>
        <v>1100010</v>
      </c>
    </row>
    <row r="48" spans="1:14" ht="23.25">
      <c r="A48" s="386" t="s">
        <v>60</v>
      </c>
      <c r="B48" s="387">
        <v>11000</v>
      </c>
      <c r="C48" s="365">
        <v>12</v>
      </c>
      <c r="D48" s="366">
        <v>2208</v>
      </c>
      <c r="E48" s="366">
        <v>13314</v>
      </c>
      <c r="F48" s="366">
        <v>330</v>
      </c>
      <c r="G48" s="366">
        <v>917</v>
      </c>
      <c r="H48" s="366">
        <v>165</v>
      </c>
      <c r="I48" s="366">
        <v>1082</v>
      </c>
      <c r="K48" s="365">
        <v>0</v>
      </c>
      <c r="L48" s="350">
        <v>0.21</v>
      </c>
      <c r="M48" s="350">
        <v>0.03</v>
      </c>
      <c r="N48" s="351" t="str">
        <f t="shared" si="0"/>
        <v>1100012</v>
      </c>
    </row>
    <row r="49" spans="1:14" ht="24" customHeight="1">
      <c r="A49" s="386" t="s">
        <v>60</v>
      </c>
      <c r="B49" s="387">
        <v>11000</v>
      </c>
      <c r="C49" s="367">
        <v>14</v>
      </c>
      <c r="D49" s="368">
        <v>2576</v>
      </c>
      <c r="E49" s="368">
        <v>13699</v>
      </c>
      <c r="F49" s="368">
        <v>385</v>
      </c>
      <c r="G49" s="368">
        <v>786</v>
      </c>
      <c r="H49" s="368">
        <v>165</v>
      </c>
      <c r="I49" s="368">
        <v>951</v>
      </c>
      <c r="K49" s="367">
        <v>0</v>
      </c>
      <c r="L49" s="350">
        <v>0.21</v>
      </c>
      <c r="M49" s="350">
        <v>0.03</v>
      </c>
      <c r="N49" s="351" t="str">
        <f t="shared" si="0"/>
        <v>1100014</v>
      </c>
    </row>
    <row r="50" spans="1:14" ht="23.25">
      <c r="A50" s="386" t="s">
        <v>60</v>
      </c>
      <c r="B50" s="387">
        <v>11000</v>
      </c>
      <c r="C50" s="365">
        <v>16</v>
      </c>
      <c r="D50" s="366">
        <v>2947</v>
      </c>
      <c r="E50" s="366">
        <v>14088</v>
      </c>
      <c r="F50" s="366">
        <v>440</v>
      </c>
      <c r="G50" s="366">
        <v>688</v>
      </c>
      <c r="H50" s="366">
        <v>165</v>
      </c>
      <c r="I50" s="366">
        <v>853</v>
      </c>
      <c r="K50" s="365">
        <v>0</v>
      </c>
      <c r="L50" s="350">
        <v>0.21</v>
      </c>
      <c r="M50" s="350">
        <v>0.03</v>
      </c>
      <c r="N50" s="351" t="str">
        <f t="shared" si="0"/>
        <v>1100016</v>
      </c>
    </row>
    <row r="51" spans="1:14" ht="24" thickBot="1">
      <c r="A51" s="389" t="s">
        <v>60</v>
      </c>
      <c r="B51" s="390">
        <v>11000</v>
      </c>
      <c r="C51" s="391">
        <v>18</v>
      </c>
      <c r="D51" s="373">
        <v>3304</v>
      </c>
      <c r="E51" s="373">
        <v>14481</v>
      </c>
      <c r="F51" s="373">
        <v>495</v>
      </c>
      <c r="G51" s="373">
        <v>612</v>
      </c>
      <c r="H51" s="372">
        <v>165</v>
      </c>
      <c r="I51" s="373">
        <v>777</v>
      </c>
      <c r="K51" s="391">
        <v>0</v>
      </c>
      <c r="L51" s="350">
        <v>0.21</v>
      </c>
      <c r="M51" s="350">
        <v>0.03</v>
      </c>
      <c r="N51" s="351" t="str">
        <f t="shared" si="0"/>
        <v>1100018</v>
      </c>
    </row>
    <row r="52" spans="1:14" ht="24" thickTop="1">
      <c r="A52" s="355" t="s">
        <v>60</v>
      </c>
      <c r="B52" s="356">
        <v>12000</v>
      </c>
      <c r="C52" s="357">
        <v>4</v>
      </c>
      <c r="D52" s="358">
        <v>800</v>
      </c>
      <c r="E52" s="358">
        <v>12844</v>
      </c>
      <c r="F52" s="358">
        <v>120</v>
      </c>
      <c r="G52" s="358">
        <v>3000</v>
      </c>
      <c r="H52" s="358">
        <v>181</v>
      </c>
      <c r="I52" s="358">
        <v>3181</v>
      </c>
      <c r="K52" s="357">
        <v>0</v>
      </c>
      <c r="L52" s="350">
        <v>0.21</v>
      </c>
      <c r="M52" s="350">
        <v>0.03</v>
      </c>
      <c r="N52" s="351" t="str">
        <f t="shared" si="0"/>
        <v>120004</v>
      </c>
    </row>
    <row r="53" spans="1:14" ht="23.25">
      <c r="A53" s="360" t="s">
        <v>60</v>
      </c>
      <c r="B53" s="361">
        <v>12000</v>
      </c>
      <c r="C53" s="388">
        <v>6</v>
      </c>
      <c r="D53" s="364">
        <v>1200</v>
      </c>
      <c r="E53" s="364">
        <v>13266</v>
      </c>
      <c r="F53" s="364">
        <v>180</v>
      </c>
      <c r="G53" s="364">
        <v>2000</v>
      </c>
      <c r="H53" s="364">
        <v>181</v>
      </c>
      <c r="I53" s="364">
        <v>2181</v>
      </c>
      <c r="K53" s="388">
        <v>0</v>
      </c>
      <c r="L53" s="350">
        <v>0.21</v>
      </c>
      <c r="M53" s="350">
        <v>0.03</v>
      </c>
      <c r="N53" s="351" t="str">
        <f t="shared" si="0"/>
        <v>120006</v>
      </c>
    </row>
    <row r="54" spans="1:14" ht="23.25">
      <c r="A54" s="360" t="s">
        <v>60</v>
      </c>
      <c r="B54" s="361">
        <v>12000</v>
      </c>
      <c r="C54" s="365">
        <v>8</v>
      </c>
      <c r="D54" s="366">
        <v>1600</v>
      </c>
      <c r="E54" s="366">
        <v>13688</v>
      </c>
      <c r="F54" s="366">
        <v>240</v>
      </c>
      <c r="G54" s="366">
        <v>1500</v>
      </c>
      <c r="H54" s="366">
        <v>181</v>
      </c>
      <c r="I54" s="366">
        <v>1681</v>
      </c>
      <c r="K54" s="365">
        <v>0</v>
      </c>
      <c r="L54" s="350">
        <v>0.21</v>
      </c>
      <c r="M54" s="350">
        <v>0.03</v>
      </c>
      <c r="N54" s="351" t="str">
        <f t="shared" si="0"/>
        <v>120008</v>
      </c>
    </row>
    <row r="55" spans="1:14" ht="23.25">
      <c r="A55" s="360" t="s">
        <v>60</v>
      </c>
      <c r="B55" s="361">
        <v>12000</v>
      </c>
      <c r="C55" s="367">
        <v>10</v>
      </c>
      <c r="D55" s="368">
        <v>2000</v>
      </c>
      <c r="E55" s="368">
        <v>14110</v>
      </c>
      <c r="F55" s="368">
        <v>300</v>
      </c>
      <c r="G55" s="368">
        <v>1200</v>
      </c>
      <c r="H55" s="368">
        <v>181</v>
      </c>
      <c r="I55" s="368">
        <v>1381</v>
      </c>
      <c r="K55" s="367">
        <v>0</v>
      </c>
      <c r="L55" s="350">
        <v>0.21</v>
      </c>
      <c r="M55" s="350">
        <v>0.03</v>
      </c>
      <c r="N55" s="351" t="str">
        <f t="shared" si="0"/>
        <v>1200010</v>
      </c>
    </row>
    <row r="56" spans="1:14" ht="23.25">
      <c r="A56" s="360" t="s">
        <v>60</v>
      </c>
      <c r="B56" s="361">
        <v>12000</v>
      </c>
      <c r="C56" s="365">
        <v>12</v>
      </c>
      <c r="D56" s="366">
        <v>2400</v>
      </c>
      <c r="E56" s="366">
        <v>14532</v>
      </c>
      <c r="F56" s="366">
        <v>360</v>
      </c>
      <c r="G56" s="366">
        <v>1000</v>
      </c>
      <c r="H56" s="366">
        <v>181</v>
      </c>
      <c r="I56" s="366">
        <v>1181</v>
      </c>
      <c r="K56" s="365">
        <v>0</v>
      </c>
      <c r="L56" s="350">
        <v>0.21</v>
      </c>
      <c r="M56" s="350">
        <v>0.03</v>
      </c>
      <c r="N56" s="351" t="str">
        <f t="shared" si="0"/>
        <v>1200012</v>
      </c>
    </row>
    <row r="57" spans="1:14" ht="23.25">
      <c r="A57" s="360" t="s">
        <v>60</v>
      </c>
      <c r="B57" s="361">
        <v>12000</v>
      </c>
      <c r="C57" s="367">
        <v>14</v>
      </c>
      <c r="D57" s="368">
        <v>2812</v>
      </c>
      <c r="E57" s="368">
        <v>14952</v>
      </c>
      <c r="F57" s="368">
        <v>420</v>
      </c>
      <c r="G57" s="368">
        <v>858</v>
      </c>
      <c r="H57" s="368">
        <v>180</v>
      </c>
      <c r="I57" s="368">
        <v>1038</v>
      </c>
      <c r="K57" s="367">
        <v>0</v>
      </c>
      <c r="L57" s="350">
        <v>0.21</v>
      </c>
      <c r="M57" s="350">
        <v>0.03</v>
      </c>
      <c r="N57" s="351" t="str">
        <f t="shared" si="0"/>
        <v>1200014</v>
      </c>
    </row>
    <row r="58" spans="1:14" ht="24" customHeight="1">
      <c r="A58" s="360" t="s">
        <v>60</v>
      </c>
      <c r="B58" s="361">
        <v>12000</v>
      </c>
      <c r="C58" s="365">
        <v>16</v>
      </c>
      <c r="D58" s="366">
        <v>3200</v>
      </c>
      <c r="E58" s="366">
        <v>15376</v>
      </c>
      <c r="F58" s="366">
        <v>480</v>
      </c>
      <c r="G58" s="366">
        <v>750</v>
      </c>
      <c r="H58" s="366">
        <v>181</v>
      </c>
      <c r="I58" s="366">
        <v>931</v>
      </c>
      <c r="K58" s="365">
        <v>0</v>
      </c>
      <c r="L58" s="350">
        <v>0.21</v>
      </c>
      <c r="M58" s="350">
        <v>0.03</v>
      </c>
      <c r="N58" s="351" t="str">
        <f t="shared" si="0"/>
        <v>1200016</v>
      </c>
    </row>
    <row r="59" spans="1:14" ht="24" thickBot="1">
      <c r="A59" s="392" t="s">
        <v>60</v>
      </c>
      <c r="B59" s="393">
        <v>12000</v>
      </c>
      <c r="C59" s="391">
        <v>18</v>
      </c>
      <c r="D59" s="373">
        <v>3606</v>
      </c>
      <c r="E59" s="373">
        <v>15786</v>
      </c>
      <c r="F59" s="373">
        <v>540</v>
      </c>
      <c r="G59" s="373">
        <v>667</v>
      </c>
      <c r="H59" s="373">
        <v>180</v>
      </c>
      <c r="I59" s="373">
        <v>847</v>
      </c>
      <c r="K59" s="391">
        <v>0</v>
      </c>
      <c r="L59" s="350">
        <v>0.21</v>
      </c>
      <c r="M59" s="350">
        <v>0.03</v>
      </c>
      <c r="N59" s="351" t="str">
        <f t="shared" si="0"/>
        <v>1200018</v>
      </c>
    </row>
    <row r="60" spans="1:14" ht="24" thickTop="1">
      <c r="A60" s="384" t="s">
        <v>60</v>
      </c>
      <c r="B60" s="385">
        <v>13000</v>
      </c>
      <c r="C60" s="357">
        <v>4</v>
      </c>
      <c r="D60" s="358">
        <v>870</v>
      </c>
      <c r="E60" s="358">
        <v>13914</v>
      </c>
      <c r="F60" s="358">
        <v>130</v>
      </c>
      <c r="G60" s="358">
        <v>3250</v>
      </c>
      <c r="H60" s="376">
        <v>196</v>
      </c>
      <c r="I60" s="358">
        <v>3446</v>
      </c>
      <c r="K60" s="357">
        <v>0</v>
      </c>
      <c r="L60" s="350">
        <v>0.21</v>
      </c>
      <c r="M60" s="350">
        <v>0.03</v>
      </c>
      <c r="N60" s="351" t="str">
        <f t="shared" si="0"/>
        <v>130004</v>
      </c>
    </row>
    <row r="61" spans="1:14" ht="23.25">
      <c r="A61" s="386" t="s">
        <v>60</v>
      </c>
      <c r="B61" s="387">
        <v>13000</v>
      </c>
      <c r="C61" s="388">
        <v>6</v>
      </c>
      <c r="D61" s="364">
        <v>1306</v>
      </c>
      <c r="E61" s="364">
        <v>14367</v>
      </c>
      <c r="F61" s="364">
        <v>195</v>
      </c>
      <c r="G61" s="364">
        <v>2167</v>
      </c>
      <c r="H61" s="364">
        <v>195</v>
      </c>
      <c r="I61" s="364">
        <v>2362</v>
      </c>
      <c r="K61" s="388">
        <v>0</v>
      </c>
      <c r="L61" s="350">
        <v>0.21</v>
      </c>
      <c r="M61" s="350">
        <v>0.03</v>
      </c>
      <c r="N61" s="351" t="str">
        <f t="shared" si="0"/>
        <v>130006</v>
      </c>
    </row>
    <row r="62" spans="1:14" ht="23.25">
      <c r="A62" s="386" t="s">
        <v>60</v>
      </c>
      <c r="B62" s="387">
        <v>13000</v>
      </c>
      <c r="C62" s="365">
        <v>8</v>
      </c>
      <c r="D62" s="366">
        <v>1739</v>
      </c>
      <c r="E62" s="366">
        <v>14828</v>
      </c>
      <c r="F62" s="366">
        <v>260</v>
      </c>
      <c r="G62" s="366">
        <v>1625</v>
      </c>
      <c r="H62" s="366">
        <v>196</v>
      </c>
      <c r="I62" s="366">
        <v>1821</v>
      </c>
      <c r="K62" s="365">
        <v>0</v>
      </c>
      <c r="L62" s="350">
        <v>0.21</v>
      </c>
      <c r="M62" s="350">
        <v>0.03</v>
      </c>
      <c r="N62" s="351" t="str">
        <f t="shared" si="0"/>
        <v>130008</v>
      </c>
    </row>
    <row r="63" spans="1:14" ht="23.25">
      <c r="A63" s="386" t="s">
        <v>60</v>
      </c>
      <c r="B63" s="387">
        <v>13000</v>
      </c>
      <c r="C63" s="367">
        <v>10</v>
      </c>
      <c r="D63" s="368">
        <v>2174</v>
      </c>
      <c r="E63" s="368">
        <v>15285</v>
      </c>
      <c r="F63" s="368">
        <v>325</v>
      </c>
      <c r="G63" s="368">
        <v>1300</v>
      </c>
      <c r="H63" s="368">
        <v>196</v>
      </c>
      <c r="I63" s="368">
        <v>1496</v>
      </c>
      <c r="K63" s="367">
        <v>0</v>
      </c>
      <c r="L63" s="350">
        <v>0.21</v>
      </c>
      <c r="M63" s="350">
        <v>0.03</v>
      </c>
      <c r="N63" s="351" t="str">
        <f t="shared" si="0"/>
        <v>1300010</v>
      </c>
    </row>
    <row r="64" spans="1:14" ht="23.25">
      <c r="A64" s="386" t="s">
        <v>60</v>
      </c>
      <c r="B64" s="387">
        <v>13000</v>
      </c>
      <c r="C64" s="365">
        <v>12</v>
      </c>
      <c r="D64" s="366">
        <v>2604</v>
      </c>
      <c r="E64" s="366">
        <v>15738</v>
      </c>
      <c r="F64" s="366">
        <v>390</v>
      </c>
      <c r="G64" s="366">
        <v>1084</v>
      </c>
      <c r="H64" s="366">
        <v>195</v>
      </c>
      <c r="I64" s="366">
        <v>1279</v>
      </c>
      <c r="K64" s="365">
        <v>0</v>
      </c>
      <c r="L64" s="350">
        <v>0.21</v>
      </c>
      <c r="M64" s="350">
        <v>0.03</v>
      </c>
      <c r="N64" s="351" t="str">
        <f t="shared" si="0"/>
        <v>1300012</v>
      </c>
    </row>
    <row r="65" spans="1:14" ht="23.25">
      <c r="A65" s="386" t="s">
        <v>60</v>
      </c>
      <c r="B65" s="387">
        <v>13000</v>
      </c>
      <c r="C65" s="367">
        <v>14</v>
      </c>
      <c r="D65" s="368">
        <v>3035</v>
      </c>
      <c r="E65" s="368">
        <v>16191</v>
      </c>
      <c r="F65" s="368">
        <v>455</v>
      </c>
      <c r="G65" s="368">
        <v>929</v>
      </c>
      <c r="H65" s="368">
        <v>195</v>
      </c>
      <c r="I65" s="368">
        <v>1124</v>
      </c>
      <c r="K65" s="367">
        <v>0</v>
      </c>
      <c r="L65" s="350">
        <v>0.21</v>
      </c>
      <c r="M65" s="350">
        <v>0.03</v>
      </c>
      <c r="N65" s="351" t="str">
        <f t="shared" si="0"/>
        <v>1300014</v>
      </c>
    </row>
    <row r="66" spans="1:14" ht="23.25">
      <c r="A66" s="386" t="s">
        <v>60</v>
      </c>
      <c r="B66" s="387">
        <v>13000</v>
      </c>
      <c r="C66" s="365">
        <v>16</v>
      </c>
      <c r="D66" s="366">
        <v>3470</v>
      </c>
      <c r="E66" s="366">
        <v>16648</v>
      </c>
      <c r="F66" s="366">
        <v>520</v>
      </c>
      <c r="G66" s="366">
        <v>813</v>
      </c>
      <c r="H66" s="366">
        <v>195</v>
      </c>
      <c r="I66" s="366">
        <v>1008</v>
      </c>
      <c r="K66" s="365">
        <v>0</v>
      </c>
      <c r="L66" s="350">
        <v>0.21</v>
      </c>
      <c r="M66" s="350">
        <v>0.03</v>
      </c>
      <c r="N66" s="351" t="str">
        <f t="shared" si="0"/>
        <v>1300016</v>
      </c>
    </row>
    <row r="67" spans="1:14" ht="24" customHeight="1" thickBot="1">
      <c r="A67" s="389" t="s">
        <v>60</v>
      </c>
      <c r="B67" s="390">
        <v>13000</v>
      </c>
      <c r="C67" s="391">
        <v>18</v>
      </c>
      <c r="D67" s="373">
        <v>3908</v>
      </c>
      <c r="E67" s="373">
        <v>17109</v>
      </c>
      <c r="F67" s="373">
        <v>585</v>
      </c>
      <c r="G67" s="373">
        <v>723</v>
      </c>
      <c r="H67" s="372">
        <v>195</v>
      </c>
      <c r="I67" s="373">
        <v>918</v>
      </c>
      <c r="K67" s="391">
        <v>0</v>
      </c>
      <c r="L67" s="350">
        <v>0.21</v>
      </c>
      <c r="M67" s="350">
        <v>0.03</v>
      </c>
      <c r="N67" s="351" t="str">
        <f t="shared" si="0"/>
        <v>1300018</v>
      </c>
    </row>
    <row r="68" spans="1:14" ht="24" thickTop="1">
      <c r="A68" s="360" t="s">
        <v>60</v>
      </c>
      <c r="B68" s="361">
        <v>14000</v>
      </c>
      <c r="C68" s="394">
        <v>4</v>
      </c>
      <c r="D68" s="395">
        <v>935</v>
      </c>
      <c r="E68" s="395">
        <v>14984</v>
      </c>
      <c r="F68" s="395">
        <v>140</v>
      </c>
      <c r="G68" s="395">
        <v>3500</v>
      </c>
      <c r="H68" s="358">
        <v>211</v>
      </c>
      <c r="I68" s="395">
        <v>3711</v>
      </c>
      <c r="K68" s="394">
        <v>0</v>
      </c>
      <c r="L68" s="350">
        <v>0.21</v>
      </c>
      <c r="M68" s="350">
        <v>0.03</v>
      </c>
      <c r="N68" s="351" t="str">
        <f t="shared" si="0"/>
        <v>140004</v>
      </c>
    </row>
    <row r="69" spans="1:14" ht="23.25">
      <c r="A69" s="360" t="s">
        <v>60</v>
      </c>
      <c r="B69" s="361">
        <v>14000</v>
      </c>
      <c r="C69" s="362">
        <v>6</v>
      </c>
      <c r="D69" s="363">
        <v>1400</v>
      </c>
      <c r="E69" s="363">
        <v>15474</v>
      </c>
      <c r="F69" s="363">
        <v>210</v>
      </c>
      <c r="G69" s="363">
        <v>2334</v>
      </c>
      <c r="H69" s="364">
        <v>210</v>
      </c>
      <c r="I69" s="364">
        <v>2544</v>
      </c>
      <c r="K69" s="362">
        <v>0</v>
      </c>
      <c r="L69" s="350">
        <v>0.21</v>
      </c>
      <c r="M69" s="350">
        <v>0.03</v>
      </c>
      <c r="N69" s="351" t="str">
        <f t="shared" ref="N69:N132" si="1">CONCATENATE(B69,C69)</f>
        <v>140006</v>
      </c>
    </row>
    <row r="70" spans="1:14" ht="23.25">
      <c r="A70" s="360" t="s">
        <v>60</v>
      </c>
      <c r="B70" s="361">
        <v>14000</v>
      </c>
      <c r="C70" s="365">
        <v>8</v>
      </c>
      <c r="D70" s="366">
        <v>1870</v>
      </c>
      <c r="E70" s="366">
        <v>15968</v>
      </c>
      <c r="F70" s="366">
        <v>280</v>
      </c>
      <c r="G70" s="366">
        <v>1750</v>
      </c>
      <c r="H70" s="366">
        <v>211</v>
      </c>
      <c r="I70" s="366">
        <v>1961</v>
      </c>
      <c r="K70" s="365">
        <v>0</v>
      </c>
      <c r="L70" s="350">
        <v>0.21</v>
      </c>
      <c r="M70" s="350">
        <v>0.03</v>
      </c>
      <c r="N70" s="351" t="str">
        <f t="shared" si="1"/>
        <v>140008</v>
      </c>
    </row>
    <row r="71" spans="1:14" ht="23.25">
      <c r="A71" s="360" t="s">
        <v>60</v>
      </c>
      <c r="B71" s="361">
        <v>14000</v>
      </c>
      <c r="C71" s="367">
        <v>10</v>
      </c>
      <c r="D71" s="368">
        <v>2337</v>
      </c>
      <c r="E71" s="368">
        <v>16460</v>
      </c>
      <c r="F71" s="368">
        <v>350</v>
      </c>
      <c r="G71" s="368">
        <v>1400</v>
      </c>
      <c r="H71" s="368">
        <v>211</v>
      </c>
      <c r="I71" s="368">
        <v>1611</v>
      </c>
      <c r="K71" s="367">
        <v>0</v>
      </c>
      <c r="L71" s="350">
        <v>0.21</v>
      </c>
      <c r="M71" s="350">
        <v>0.03</v>
      </c>
      <c r="N71" s="351" t="str">
        <f t="shared" si="1"/>
        <v>1400010</v>
      </c>
    </row>
    <row r="72" spans="1:14" ht="23.25">
      <c r="A72" s="360" t="s">
        <v>60</v>
      </c>
      <c r="B72" s="361">
        <v>14000</v>
      </c>
      <c r="C72" s="365">
        <v>12</v>
      </c>
      <c r="D72" s="366">
        <v>2808</v>
      </c>
      <c r="E72" s="366">
        <v>16944</v>
      </c>
      <c r="F72" s="366">
        <v>420</v>
      </c>
      <c r="G72" s="366">
        <v>1167</v>
      </c>
      <c r="H72" s="366">
        <v>210</v>
      </c>
      <c r="I72" s="366">
        <v>1377</v>
      </c>
      <c r="K72" s="365">
        <v>0</v>
      </c>
      <c r="L72" s="350">
        <v>0.21</v>
      </c>
      <c r="M72" s="350">
        <v>0.03</v>
      </c>
      <c r="N72" s="351" t="str">
        <f t="shared" si="1"/>
        <v>1400012</v>
      </c>
    </row>
    <row r="73" spans="1:14" ht="23.25">
      <c r="A73" s="360" t="s">
        <v>60</v>
      </c>
      <c r="B73" s="361">
        <v>14000</v>
      </c>
      <c r="C73" s="367">
        <v>14</v>
      </c>
      <c r="D73" s="368">
        <v>3272</v>
      </c>
      <c r="E73" s="368">
        <v>17444</v>
      </c>
      <c r="F73" s="368">
        <v>490</v>
      </c>
      <c r="G73" s="368">
        <v>1000</v>
      </c>
      <c r="H73" s="368">
        <v>211</v>
      </c>
      <c r="I73" s="368">
        <v>1211</v>
      </c>
      <c r="K73" s="367">
        <v>0</v>
      </c>
      <c r="L73" s="350">
        <v>0.21</v>
      </c>
      <c r="M73" s="350">
        <v>0.03</v>
      </c>
      <c r="N73" s="351" t="str">
        <f t="shared" si="1"/>
        <v>1400014</v>
      </c>
    </row>
    <row r="74" spans="1:14" ht="23.25">
      <c r="A74" s="360" t="s">
        <v>60</v>
      </c>
      <c r="B74" s="361">
        <v>14000</v>
      </c>
      <c r="C74" s="365">
        <v>16</v>
      </c>
      <c r="D74" s="366">
        <v>3739</v>
      </c>
      <c r="E74" s="366">
        <v>17936</v>
      </c>
      <c r="F74" s="366">
        <v>560</v>
      </c>
      <c r="G74" s="366">
        <v>875</v>
      </c>
      <c r="H74" s="366">
        <v>211</v>
      </c>
      <c r="I74" s="366">
        <v>1086</v>
      </c>
      <c r="K74" s="365">
        <v>0</v>
      </c>
      <c r="L74" s="350">
        <v>0.21</v>
      </c>
      <c r="M74" s="350">
        <v>0.03</v>
      </c>
      <c r="N74" s="351" t="str">
        <f t="shared" si="1"/>
        <v>1400016</v>
      </c>
    </row>
    <row r="75" spans="1:14" ht="24" thickBot="1">
      <c r="A75" s="369" t="s">
        <v>60</v>
      </c>
      <c r="B75" s="370">
        <v>14000</v>
      </c>
      <c r="C75" s="371">
        <v>18</v>
      </c>
      <c r="D75" s="372">
        <v>4210</v>
      </c>
      <c r="E75" s="372">
        <v>18414</v>
      </c>
      <c r="F75" s="372">
        <v>630</v>
      </c>
      <c r="G75" s="372">
        <v>778</v>
      </c>
      <c r="H75" s="373">
        <v>210</v>
      </c>
      <c r="I75" s="372">
        <v>988</v>
      </c>
      <c r="K75" s="371">
        <v>0</v>
      </c>
      <c r="L75" s="350">
        <v>0.21</v>
      </c>
      <c r="M75" s="350">
        <v>0.03</v>
      </c>
      <c r="N75" s="351" t="str">
        <f t="shared" si="1"/>
        <v>1400018</v>
      </c>
    </row>
    <row r="76" spans="1:14" ht="24" customHeight="1" thickTop="1">
      <c r="A76" s="384" t="s">
        <v>60</v>
      </c>
      <c r="B76" s="385">
        <v>15000</v>
      </c>
      <c r="C76" s="357">
        <v>4</v>
      </c>
      <c r="D76" s="358">
        <v>1000</v>
      </c>
      <c r="E76" s="358">
        <v>16054</v>
      </c>
      <c r="F76" s="358">
        <v>150</v>
      </c>
      <c r="G76" s="358">
        <v>3750</v>
      </c>
      <c r="H76" s="376">
        <v>226</v>
      </c>
      <c r="I76" s="358">
        <v>3976</v>
      </c>
      <c r="K76" s="357">
        <v>0</v>
      </c>
      <c r="L76" s="350">
        <v>0.21</v>
      </c>
      <c r="M76" s="350">
        <v>0.03</v>
      </c>
      <c r="N76" s="351" t="str">
        <f t="shared" si="1"/>
        <v>150004</v>
      </c>
    </row>
    <row r="77" spans="1:14" ht="23.25">
      <c r="A77" s="386" t="s">
        <v>60</v>
      </c>
      <c r="B77" s="387">
        <v>15000</v>
      </c>
      <c r="C77" s="388">
        <v>6</v>
      </c>
      <c r="D77" s="364">
        <v>1500</v>
      </c>
      <c r="E77" s="364">
        <v>16581</v>
      </c>
      <c r="F77" s="364">
        <v>225</v>
      </c>
      <c r="G77" s="364">
        <v>2500</v>
      </c>
      <c r="H77" s="364">
        <v>226</v>
      </c>
      <c r="I77" s="364">
        <v>2726</v>
      </c>
      <c r="K77" s="388">
        <v>0</v>
      </c>
      <c r="L77" s="350">
        <v>0.21</v>
      </c>
      <c r="M77" s="350">
        <v>0.03</v>
      </c>
      <c r="N77" s="351" t="str">
        <f t="shared" si="1"/>
        <v>150006</v>
      </c>
    </row>
    <row r="78" spans="1:14" ht="23.25">
      <c r="A78" s="386" t="s">
        <v>60</v>
      </c>
      <c r="B78" s="387">
        <v>15000</v>
      </c>
      <c r="C78" s="365">
        <v>8</v>
      </c>
      <c r="D78" s="366">
        <v>2000</v>
      </c>
      <c r="E78" s="366">
        <v>17108</v>
      </c>
      <c r="F78" s="366">
        <v>300</v>
      </c>
      <c r="G78" s="366">
        <v>1875</v>
      </c>
      <c r="H78" s="366">
        <v>226</v>
      </c>
      <c r="I78" s="366">
        <v>2101</v>
      </c>
      <c r="K78" s="365">
        <v>0</v>
      </c>
      <c r="L78" s="350">
        <v>0.21</v>
      </c>
      <c r="M78" s="350">
        <v>0.03</v>
      </c>
      <c r="N78" s="351" t="str">
        <f t="shared" si="1"/>
        <v>150008</v>
      </c>
    </row>
    <row r="79" spans="1:14" ht="23.25">
      <c r="A79" s="386" t="s">
        <v>60</v>
      </c>
      <c r="B79" s="387">
        <v>15000</v>
      </c>
      <c r="C79" s="367">
        <v>10</v>
      </c>
      <c r="D79" s="368">
        <v>2500</v>
      </c>
      <c r="E79" s="368">
        <v>17635</v>
      </c>
      <c r="F79" s="368">
        <v>375</v>
      </c>
      <c r="G79" s="368">
        <v>1500</v>
      </c>
      <c r="H79" s="368">
        <v>226</v>
      </c>
      <c r="I79" s="368">
        <v>1726</v>
      </c>
      <c r="K79" s="367">
        <v>0</v>
      </c>
      <c r="L79" s="350">
        <v>0.21</v>
      </c>
      <c r="M79" s="350">
        <v>0.03</v>
      </c>
      <c r="N79" s="351" t="str">
        <f t="shared" si="1"/>
        <v>1500010</v>
      </c>
    </row>
    <row r="80" spans="1:14" ht="23.25">
      <c r="A80" s="386" t="s">
        <v>60</v>
      </c>
      <c r="B80" s="387">
        <v>15000</v>
      </c>
      <c r="C80" s="365">
        <v>12</v>
      </c>
      <c r="D80" s="366">
        <v>3000</v>
      </c>
      <c r="E80" s="366">
        <v>18162</v>
      </c>
      <c r="F80" s="366">
        <v>450</v>
      </c>
      <c r="G80" s="366">
        <v>1250</v>
      </c>
      <c r="H80" s="366">
        <v>226</v>
      </c>
      <c r="I80" s="366">
        <v>1476</v>
      </c>
      <c r="K80" s="365">
        <v>0</v>
      </c>
      <c r="L80" s="350">
        <v>0.21</v>
      </c>
      <c r="M80" s="350">
        <v>0.03</v>
      </c>
      <c r="N80" s="351" t="str">
        <f t="shared" si="1"/>
        <v>1500012</v>
      </c>
    </row>
    <row r="81" spans="1:14" ht="23.25">
      <c r="A81" s="386" t="s">
        <v>60</v>
      </c>
      <c r="B81" s="387">
        <v>15000</v>
      </c>
      <c r="C81" s="367">
        <v>14</v>
      </c>
      <c r="D81" s="368">
        <v>3508</v>
      </c>
      <c r="E81" s="368">
        <v>18683</v>
      </c>
      <c r="F81" s="368">
        <v>525</v>
      </c>
      <c r="G81" s="368">
        <v>1072</v>
      </c>
      <c r="H81" s="368">
        <v>225</v>
      </c>
      <c r="I81" s="368">
        <v>1297</v>
      </c>
      <c r="K81" s="367">
        <v>0</v>
      </c>
      <c r="L81" s="350">
        <v>0.21</v>
      </c>
      <c r="M81" s="350">
        <v>0.03</v>
      </c>
      <c r="N81" s="351" t="str">
        <f t="shared" si="1"/>
        <v>1500014</v>
      </c>
    </row>
    <row r="82" spans="1:14" ht="23.25">
      <c r="A82" s="386" t="s">
        <v>60</v>
      </c>
      <c r="B82" s="387">
        <v>15000</v>
      </c>
      <c r="C82" s="365">
        <v>16</v>
      </c>
      <c r="D82" s="366">
        <v>4008</v>
      </c>
      <c r="E82" s="366">
        <v>19208</v>
      </c>
      <c r="F82" s="366">
        <v>600</v>
      </c>
      <c r="G82" s="366">
        <v>938</v>
      </c>
      <c r="H82" s="366">
        <v>225</v>
      </c>
      <c r="I82" s="366">
        <v>1163</v>
      </c>
      <c r="K82" s="365">
        <v>0</v>
      </c>
      <c r="L82" s="350">
        <v>0.21</v>
      </c>
      <c r="M82" s="350">
        <v>0.03</v>
      </c>
      <c r="N82" s="351" t="str">
        <f t="shared" si="1"/>
        <v>1500016</v>
      </c>
    </row>
    <row r="83" spans="1:14" ht="24" thickBot="1">
      <c r="A83" s="389" t="s">
        <v>60</v>
      </c>
      <c r="B83" s="390">
        <v>15000</v>
      </c>
      <c r="C83" s="391">
        <v>18</v>
      </c>
      <c r="D83" s="373">
        <v>4512</v>
      </c>
      <c r="E83" s="373">
        <v>19737</v>
      </c>
      <c r="F83" s="373">
        <v>675</v>
      </c>
      <c r="G83" s="373">
        <v>834</v>
      </c>
      <c r="H83" s="372">
        <v>225</v>
      </c>
      <c r="I83" s="373">
        <v>1059</v>
      </c>
      <c r="K83" s="391">
        <v>0</v>
      </c>
      <c r="L83" s="350">
        <v>0.21</v>
      </c>
      <c r="M83" s="350">
        <v>0.03</v>
      </c>
      <c r="N83" s="351" t="str">
        <f t="shared" si="1"/>
        <v>1500018</v>
      </c>
    </row>
    <row r="84" spans="1:14" ht="24" thickTop="1">
      <c r="A84" s="355" t="s">
        <v>60</v>
      </c>
      <c r="B84" s="356">
        <v>16000</v>
      </c>
      <c r="C84" s="357">
        <v>4</v>
      </c>
      <c r="D84" s="358">
        <v>1070</v>
      </c>
      <c r="E84" s="358">
        <v>17124</v>
      </c>
      <c r="F84" s="358">
        <v>160</v>
      </c>
      <c r="G84" s="358">
        <v>4000</v>
      </c>
      <c r="H84" s="358">
        <v>241</v>
      </c>
      <c r="I84" s="358">
        <v>4241</v>
      </c>
      <c r="K84" s="357">
        <v>0</v>
      </c>
      <c r="L84" s="350">
        <v>0.21</v>
      </c>
      <c r="M84" s="350">
        <v>0.03</v>
      </c>
      <c r="N84" s="351" t="str">
        <f t="shared" si="1"/>
        <v>160004</v>
      </c>
    </row>
    <row r="85" spans="1:14" ht="24" customHeight="1">
      <c r="A85" s="360" t="s">
        <v>60</v>
      </c>
      <c r="B85" s="361">
        <v>16000</v>
      </c>
      <c r="C85" s="388">
        <v>6</v>
      </c>
      <c r="D85" s="364">
        <v>1606</v>
      </c>
      <c r="E85" s="364">
        <v>17682</v>
      </c>
      <c r="F85" s="364">
        <v>240</v>
      </c>
      <c r="G85" s="364">
        <v>2667</v>
      </c>
      <c r="H85" s="364">
        <v>240</v>
      </c>
      <c r="I85" s="364">
        <v>2907</v>
      </c>
      <c r="K85" s="388">
        <v>0</v>
      </c>
      <c r="L85" s="350">
        <v>0.21</v>
      </c>
      <c r="M85" s="350">
        <v>0.03</v>
      </c>
      <c r="N85" s="351" t="str">
        <f t="shared" si="1"/>
        <v>160006</v>
      </c>
    </row>
    <row r="86" spans="1:14" ht="23.25">
      <c r="A86" s="360" t="s">
        <v>60</v>
      </c>
      <c r="B86" s="361">
        <v>16000</v>
      </c>
      <c r="C86" s="365">
        <v>8</v>
      </c>
      <c r="D86" s="366">
        <v>2139</v>
      </c>
      <c r="E86" s="366">
        <v>18248</v>
      </c>
      <c r="F86" s="366">
        <v>320</v>
      </c>
      <c r="G86" s="366">
        <v>2000</v>
      </c>
      <c r="H86" s="366">
        <v>241</v>
      </c>
      <c r="I86" s="366">
        <v>2241</v>
      </c>
      <c r="K86" s="365">
        <v>0</v>
      </c>
      <c r="L86" s="350">
        <v>0.21</v>
      </c>
      <c r="M86" s="350">
        <v>0.03</v>
      </c>
      <c r="N86" s="351" t="str">
        <f t="shared" si="1"/>
        <v>160008</v>
      </c>
    </row>
    <row r="87" spans="1:14" ht="23.25">
      <c r="A87" s="360" t="s">
        <v>60</v>
      </c>
      <c r="B87" s="361">
        <v>16000</v>
      </c>
      <c r="C87" s="367">
        <v>10</v>
      </c>
      <c r="D87" s="368">
        <v>2674</v>
      </c>
      <c r="E87" s="368">
        <v>18810</v>
      </c>
      <c r="F87" s="368">
        <v>400</v>
      </c>
      <c r="G87" s="368">
        <v>1600</v>
      </c>
      <c r="H87" s="368">
        <v>241</v>
      </c>
      <c r="I87" s="368">
        <v>1841</v>
      </c>
      <c r="K87" s="367">
        <v>0</v>
      </c>
      <c r="L87" s="350">
        <v>0.21</v>
      </c>
      <c r="M87" s="350">
        <v>0.03</v>
      </c>
      <c r="N87" s="351" t="str">
        <f t="shared" si="1"/>
        <v>1600010</v>
      </c>
    </row>
    <row r="88" spans="1:14" ht="23.25">
      <c r="A88" s="360" t="s">
        <v>60</v>
      </c>
      <c r="B88" s="361">
        <v>16000</v>
      </c>
      <c r="C88" s="365">
        <v>12</v>
      </c>
      <c r="D88" s="366">
        <v>3204</v>
      </c>
      <c r="E88" s="366">
        <v>19368</v>
      </c>
      <c r="F88" s="366">
        <v>480</v>
      </c>
      <c r="G88" s="366">
        <v>1334</v>
      </c>
      <c r="H88" s="366">
        <v>240</v>
      </c>
      <c r="I88" s="366">
        <v>1574</v>
      </c>
      <c r="K88" s="365">
        <v>0</v>
      </c>
      <c r="L88" s="350">
        <v>0.21</v>
      </c>
      <c r="M88" s="350">
        <v>0.03</v>
      </c>
      <c r="N88" s="351" t="str">
        <f t="shared" si="1"/>
        <v>1600012</v>
      </c>
    </row>
    <row r="89" spans="1:14" ht="23.25">
      <c r="A89" s="360" t="s">
        <v>60</v>
      </c>
      <c r="B89" s="361">
        <v>16000</v>
      </c>
      <c r="C89" s="367">
        <v>14</v>
      </c>
      <c r="D89" s="368">
        <v>3745</v>
      </c>
      <c r="E89" s="368">
        <v>19922</v>
      </c>
      <c r="F89" s="368">
        <v>560</v>
      </c>
      <c r="G89" s="368">
        <v>1143</v>
      </c>
      <c r="H89" s="368">
        <v>240</v>
      </c>
      <c r="I89" s="368">
        <v>1383</v>
      </c>
      <c r="K89" s="367">
        <v>0</v>
      </c>
      <c r="L89" s="350">
        <v>0.21</v>
      </c>
      <c r="M89" s="350">
        <v>0.03</v>
      </c>
      <c r="N89" s="351" t="str">
        <f t="shared" si="1"/>
        <v>1600014</v>
      </c>
    </row>
    <row r="90" spans="1:14" ht="23.25">
      <c r="A90" s="360" t="s">
        <v>60</v>
      </c>
      <c r="B90" s="361">
        <v>16000</v>
      </c>
      <c r="C90" s="365">
        <v>16</v>
      </c>
      <c r="D90" s="366">
        <v>4278</v>
      </c>
      <c r="E90" s="366">
        <v>20496</v>
      </c>
      <c r="F90" s="366">
        <v>640</v>
      </c>
      <c r="G90" s="366">
        <v>1000</v>
      </c>
      <c r="H90" s="366">
        <v>241</v>
      </c>
      <c r="I90" s="366">
        <v>1241</v>
      </c>
      <c r="K90" s="365">
        <v>0</v>
      </c>
      <c r="L90" s="350">
        <v>0.21</v>
      </c>
      <c r="M90" s="350">
        <v>0.03</v>
      </c>
      <c r="N90" s="351" t="str">
        <f t="shared" si="1"/>
        <v>1600016</v>
      </c>
    </row>
    <row r="91" spans="1:14" ht="24" thickBot="1">
      <c r="A91" s="392" t="s">
        <v>60</v>
      </c>
      <c r="B91" s="393">
        <v>16000</v>
      </c>
      <c r="C91" s="391">
        <v>18</v>
      </c>
      <c r="D91" s="373">
        <v>4814</v>
      </c>
      <c r="E91" s="373">
        <v>21042</v>
      </c>
      <c r="F91" s="373">
        <v>720</v>
      </c>
      <c r="G91" s="373">
        <v>889</v>
      </c>
      <c r="H91" s="373">
        <v>240</v>
      </c>
      <c r="I91" s="373">
        <v>1129</v>
      </c>
      <c r="K91" s="391">
        <v>0</v>
      </c>
      <c r="L91" s="350">
        <v>0.21</v>
      </c>
      <c r="M91" s="350">
        <v>0.03</v>
      </c>
      <c r="N91" s="351" t="str">
        <f t="shared" si="1"/>
        <v>1600018</v>
      </c>
    </row>
    <row r="92" spans="1:14" ht="24" thickTop="1">
      <c r="A92" s="384" t="s">
        <v>60</v>
      </c>
      <c r="B92" s="385">
        <v>17000</v>
      </c>
      <c r="C92" s="357">
        <v>4</v>
      </c>
      <c r="D92" s="358">
        <v>1135</v>
      </c>
      <c r="E92" s="358">
        <v>18194</v>
      </c>
      <c r="F92" s="358">
        <v>170</v>
      </c>
      <c r="G92" s="358">
        <v>4250</v>
      </c>
      <c r="H92" s="376">
        <v>256</v>
      </c>
      <c r="I92" s="358">
        <v>4506</v>
      </c>
      <c r="K92" s="357">
        <v>0</v>
      </c>
      <c r="L92" s="350">
        <v>0.21</v>
      </c>
      <c r="M92" s="350">
        <v>0.03</v>
      </c>
      <c r="N92" s="351" t="str">
        <f t="shared" si="1"/>
        <v>170004</v>
      </c>
    </row>
    <row r="93" spans="1:14" ht="23.25">
      <c r="A93" s="386" t="s">
        <v>60</v>
      </c>
      <c r="B93" s="387">
        <v>17000</v>
      </c>
      <c r="C93" s="388">
        <v>6</v>
      </c>
      <c r="D93" s="364">
        <v>1700</v>
      </c>
      <c r="E93" s="364">
        <v>18789</v>
      </c>
      <c r="F93" s="364">
        <v>255</v>
      </c>
      <c r="G93" s="364">
        <v>2834</v>
      </c>
      <c r="H93" s="364">
        <v>255</v>
      </c>
      <c r="I93" s="364">
        <v>3089</v>
      </c>
      <c r="K93" s="388">
        <v>0</v>
      </c>
      <c r="L93" s="350">
        <v>0.21</v>
      </c>
      <c r="M93" s="350">
        <v>0.03</v>
      </c>
      <c r="N93" s="351" t="str">
        <f t="shared" si="1"/>
        <v>170006</v>
      </c>
    </row>
    <row r="94" spans="1:14" ht="24" customHeight="1">
      <c r="A94" s="386" t="s">
        <v>60</v>
      </c>
      <c r="B94" s="387">
        <v>17000</v>
      </c>
      <c r="C94" s="365">
        <v>8</v>
      </c>
      <c r="D94" s="366">
        <v>2270</v>
      </c>
      <c r="E94" s="366">
        <v>19388</v>
      </c>
      <c r="F94" s="366">
        <v>340</v>
      </c>
      <c r="G94" s="366">
        <v>2125</v>
      </c>
      <c r="H94" s="366">
        <v>256</v>
      </c>
      <c r="I94" s="366">
        <v>2381</v>
      </c>
      <c r="K94" s="365">
        <v>0</v>
      </c>
      <c r="L94" s="350">
        <v>0.21</v>
      </c>
      <c r="M94" s="350">
        <v>0.03</v>
      </c>
      <c r="N94" s="351" t="str">
        <f t="shared" si="1"/>
        <v>170008</v>
      </c>
    </row>
    <row r="95" spans="1:14" ht="23.25">
      <c r="A95" s="386" t="s">
        <v>60</v>
      </c>
      <c r="B95" s="387">
        <v>17000</v>
      </c>
      <c r="C95" s="367">
        <v>10</v>
      </c>
      <c r="D95" s="368">
        <v>2837</v>
      </c>
      <c r="E95" s="368">
        <v>19985</v>
      </c>
      <c r="F95" s="368">
        <v>425</v>
      </c>
      <c r="G95" s="368">
        <v>1700</v>
      </c>
      <c r="H95" s="368">
        <v>256</v>
      </c>
      <c r="I95" s="368">
        <v>1956</v>
      </c>
      <c r="K95" s="367">
        <v>0</v>
      </c>
      <c r="L95" s="350">
        <v>0.21</v>
      </c>
      <c r="M95" s="350">
        <v>0.03</v>
      </c>
      <c r="N95" s="351" t="str">
        <f t="shared" si="1"/>
        <v>1700010</v>
      </c>
    </row>
    <row r="96" spans="1:14" ht="23.25">
      <c r="A96" s="386" t="s">
        <v>60</v>
      </c>
      <c r="B96" s="387">
        <v>17000</v>
      </c>
      <c r="C96" s="365">
        <v>12</v>
      </c>
      <c r="D96" s="366">
        <v>3408</v>
      </c>
      <c r="E96" s="366">
        <v>20574</v>
      </c>
      <c r="F96" s="366">
        <v>510</v>
      </c>
      <c r="G96" s="366">
        <v>1417</v>
      </c>
      <c r="H96" s="366">
        <v>255</v>
      </c>
      <c r="I96" s="366">
        <v>1672</v>
      </c>
      <c r="K96" s="365">
        <v>0</v>
      </c>
      <c r="L96" s="350">
        <v>0.21</v>
      </c>
      <c r="M96" s="350">
        <v>0.03</v>
      </c>
      <c r="N96" s="351" t="str">
        <f t="shared" si="1"/>
        <v>1700012</v>
      </c>
    </row>
    <row r="97" spans="1:14" ht="23.25">
      <c r="A97" s="386" t="s">
        <v>60</v>
      </c>
      <c r="B97" s="387">
        <v>17000</v>
      </c>
      <c r="C97" s="367">
        <v>14</v>
      </c>
      <c r="D97" s="368">
        <v>3968</v>
      </c>
      <c r="E97" s="368">
        <v>21175</v>
      </c>
      <c r="F97" s="368">
        <v>595</v>
      </c>
      <c r="G97" s="368">
        <v>1215</v>
      </c>
      <c r="H97" s="368">
        <v>255</v>
      </c>
      <c r="I97" s="368">
        <v>1470</v>
      </c>
      <c r="K97" s="367">
        <v>0</v>
      </c>
      <c r="L97" s="350">
        <v>0.21</v>
      </c>
      <c r="M97" s="350">
        <v>0.03</v>
      </c>
      <c r="N97" s="351" t="str">
        <f t="shared" si="1"/>
        <v>1700014</v>
      </c>
    </row>
    <row r="98" spans="1:14" ht="23.25">
      <c r="A98" s="386" t="s">
        <v>60</v>
      </c>
      <c r="B98" s="387">
        <v>17000</v>
      </c>
      <c r="C98" s="365">
        <v>16</v>
      </c>
      <c r="D98" s="366">
        <v>4547</v>
      </c>
      <c r="E98" s="366">
        <v>21768</v>
      </c>
      <c r="F98" s="366">
        <v>680</v>
      </c>
      <c r="G98" s="366">
        <v>1063</v>
      </c>
      <c r="H98" s="366">
        <v>255</v>
      </c>
      <c r="I98" s="366">
        <v>1318</v>
      </c>
      <c r="K98" s="365">
        <v>0</v>
      </c>
      <c r="L98" s="350">
        <v>0.21</v>
      </c>
      <c r="M98" s="350">
        <v>0.03</v>
      </c>
      <c r="N98" s="351" t="str">
        <f t="shared" si="1"/>
        <v>1700016</v>
      </c>
    </row>
    <row r="99" spans="1:14" ht="24" thickBot="1">
      <c r="A99" s="389" t="s">
        <v>60</v>
      </c>
      <c r="B99" s="390">
        <v>17000</v>
      </c>
      <c r="C99" s="391">
        <v>18</v>
      </c>
      <c r="D99" s="373">
        <v>5116</v>
      </c>
      <c r="E99" s="373">
        <v>22365</v>
      </c>
      <c r="F99" s="373">
        <v>765</v>
      </c>
      <c r="G99" s="373">
        <v>945</v>
      </c>
      <c r="H99" s="372">
        <v>255</v>
      </c>
      <c r="I99" s="373">
        <v>1200</v>
      </c>
      <c r="K99" s="391">
        <v>0</v>
      </c>
      <c r="L99" s="350">
        <v>0.21</v>
      </c>
      <c r="M99" s="350">
        <v>0.03</v>
      </c>
      <c r="N99" s="351" t="str">
        <f t="shared" si="1"/>
        <v>1700018</v>
      </c>
    </row>
    <row r="100" spans="1:14" ht="24" thickTop="1">
      <c r="A100" s="355" t="s">
        <v>60</v>
      </c>
      <c r="B100" s="356">
        <v>18000</v>
      </c>
      <c r="C100" s="357">
        <v>4</v>
      </c>
      <c r="D100" s="358">
        <v>1200</v>
      </c>
      <c r="E100" s="358">
        <v>19264</v>
      </c>
      <c r="F100" s="358">
        <v>180</v>
      </c>
      <c r="G100" s="358">
        <v>4500</v>
      </c>
      <c r="H100" s="358">
        <v>271</v>
      </c>
      <c r="I100" s="358">
        <v>4771</v>
      </c>
      <c r="K100" s="357">
        <v>0</v>
      </c>
      <c r="L100" s="350">
        <v>0.21</v>
      </c>
      <c r="M100" s="350">
        <v>0.03</v>
      </c>
      <c r="N100" s="351" t="str">
        <f t="shared" si="1"/>
        <v>180004</v>
      </c>
    </row>
    <row r="101" spans="1:14" ht="23.25">
      <c r="A101" s="360" t="s">
        <v>60</v>
      </c>
      <c r="B101" s="361">
        <v>18000</v>
      </c>
      <c r="C101" s="388">
        <v>6</v>
      </c>
      <c r="D101" s="364">
        <v>1800</v>
      </c>
      <c r="E101" s="364">
        <v>19896</v>
      </c>
      <c r="F101" s="364">
        <v>270</v>
      </c>
      <c r="G101" s="364">
        <v>3000</v>
      </c>
      <c r="H101" s="364">
        <v>271</v>
      </c>
      <c r="I101" s="364">
        <v>3271</v>
      </c>
      <c r="K101" s="388">
        <v>0</v>
      </c>
      <c r="L101" s="350">
        <v>0.21</v>
      </c>
      <c r="M101" s="350">
        <v>0.03</v>
      </c>
      <c r="N101" s="351" t="str">
        <f t="shared" si="1"/>
        <v>180006</v>
      </c>
    </row>
    <row r="102" spans="1:14" ht="23.25">
      <c r="A102" s="360" t="s">
        <v>60</v>
      </c>
      <c r="B102" s="361">
        <v>18000</v>
      </c>
      <c r="C102" s="365">
        <v>8</v>
      </c>
      <c r="D102" s="366">
        <v>2400</v>
      </c>
      <c r="E102" s="366">
        <v>20528</v>
      </c>
      <c r="F102" s="366">
        <v>360</v>
      </c>
      <c r="G102" s="366">
        <v>2250</v>
      </c>
      <c r="H102" s="366">
        <v>271</v>
      </c>
      <c r="I102" s="366">
        <v>2521</v>
      </c>
      <c r="K102" s="365">
        <v>0</v>
      </c>
      <c r="L102" s="350">
        <v>0.21</v>
      </c>
      <c r="M102" s="350">
        <v>0.03</v>
      </c>
      <c r="N102" s="351" t="str">
        <f t="shared" si="1"/>
        <v>180008</v>
      </c>
    </row>
    <row r="103" spans="1:14" ht="24" customHeight="1">
      <c r="A103" s="360" t="s">
        <v>60</v>
      </c>
      <c r="B103" s="361">
        <v>18000</v>
      </c>
      <c r="C103" s="367">
        <v>10</v>
      </c>
      <c r="D103" s="368">
        <v>3000</v>
      </c>
      <c r="E103" s="368">
        <v>21160</v>
      </c>
      <c r="F103" s="368">
        <v>450</v>
      </c>
      <c r="G103" s="368">
        <v>1800</v>
      </c>
      <c r="H103" s="368">
        <v>271</v>
      </c>
      <c r="I103" s="368">
        <v>2071</v>
      </c>
      <c r="K103" s="367">
        <v>0</v>
      </c>
      <c r="L103" s="350">
        <v>0.21</v>
      </c>
      <c r="M103" s="350">
        <v>0.03</v>
      </c>
      <c r="N103" s="351" t="str">
        <f t="shared" si="1"/>
        <v>1800010</v>
      </c>
    </row>
    <row r="104" spans="1:14" ht="23.25">
      <c r="A104" s="360" t="s">
        <v>60</v>
      </c>
      <c r="B104" s="361">
        <v>18000</v>
      </c>
      <c r="C104" s="365">
        <v>12</v>
      </c>
      <c r="D104" s="366">
        <v>3600</v>
      </c>
      <c r="E104" s="366">
        <v>21792</v>
      </c>
      <c r="F104" s="366">
        <v>540</v>
      </c>
      <c r="G104" s="366">
        <v>1500</v>
      </c>
      <c r="H104" s="366">
        <v>271</v>
      </c>
      <c r="I104" s="366">
        <v>1771</v>
      </c>
      <c r="K104" s="365">
        <v>0</v>
      </c>
      <c r="L104" s="350">
        <v>0.21</v>
      </c>
      <c r="M104" s="350">
        <v>0.03</v>
      </c>
      <c r="N104" s="351" t="str">
        <f t="shared" si="1"/>
        <v>1800012</v>
      </c>
    </row>
    <row r="105" spans="1:14" ht="23.25">
      <c r="A105" s="360" t="s">
        <v>60</v>
      </c>
      <c r="B105" s="361">
        <v>18000</v>
      </c>
      <c r="C105" s="367">
        <v>14</v>
      </c>
      <c r="D105" s="368">
        <v>4204</v>
      </c>
      <c r="E105" s="368">
        <v>22414</v>
      </c>
      <c r="F105" s="368">
        <v>630</v>
      </c>
      <c r="G105" s="368">
        <v>1286</v>
      </c>
      <c r="H105" s="368">
        <v>270</v>
      </c>
      <c r="I105" s="368">
        <v>1556</v>
      </c>
      <c r="K105" s="367">
        <v>0</v>
      </c>
      <c r="L105" s="350">
        <v>0.21</v>
      </c>
      <c r="M105" s="350">
        <v>0.03</v>
      </c>
      <c r="N105" s="351" t="str">
        <f t="shared" si="1"/>
        <v>1800014</v>
      </c>
    </row>
    <row r="106" spans="1:14" ht="23.25">
      <c r="A106" s="360" t="s">
        <v>60</v>
      </c>
      <c r="B106" s="361">
        <v>18000</v>
      </c>
      <c r="C106" s="365">
        <v>16</v>
      </c>
      <c r="D106" s="366">
        <v>4800</v>
      </c>
      <c r="E106" s="366">
        <v>23056</v>
      </c>
      <c r="F106" s="366">
        <v>720</v>
      </c>
      <c r="G106" s="366">
        <v>1125</v>
      </c>
      <c r="H106" s="366">
        <v>271</v>
      </c>
      <c r="I106" s="366">
        <v>1396</v>
      </c>
      <c r="K106" s="365">
        <v>0</v>
      </c>
      <c r="L106" s="350">
        <v>0.21</v>
      </c>
      <c r="M106" s="350">
        <v>0.03</v>
      </c>
      <c r="N106" s="351" t="str">
        <f t="shared" si="1"/>
        <v>1800016</v>
      </c>
    </row>
    <row r="107" spans="1:14" ht="24" thickBot="1">
      <c r="A107" s="392" t="s">
        <v>60</v>
      </c>
      <c r="B107" s="393">
        <v>18000</v>
      </c>
      <c r="C107" s="391">
        <v>18</v>
      </c>
      <c r="D107" s="373">
        <v>5400</v>
      </c>
      <c r="E107" s="373">
        <v>23688</v>
      </c>
      <c r="F107" s="373">
        <v>810</v>
      </c>
      <c r="G107" s="373">
        <v>1000</v>
      </c>
      <c r="H107" s="373">
        <v>271</v>
      </c>
      <c r="I107" s="373">
        <v>1271</v>
      </c>
      <c r="K107" s="391">
        <v>0</v>
      </c>
      <c r="L107" s="350">
        <v>0.21</v>
      </c>
      <c r="M107" s="350">
        <v>0.03</v>
      </c>
      <c r="N107" s="351" t="str">
        <f t="shared" si="1"/>
        <v>1800018</v>
      </c>
    </row>
    <row r="108" spans="1:14" ht="24" thickTop="1">
      <c r="A108" s="384" t="s">
        <v>60</v>
      </c>
      <c r="B108" s="385">
        <v>19000</v>
      </c>
      <c r="C108" s="357">
        <v>4</v>
      </c>
      <c r="D108" s="358">
        <v>1270</v>
      </c>
      <c r="E108" s="358">
        <v>20334</v>
      </c>
      <c r="F108" s="358">
        <v>190</v>
      </c>
      <c r="G108" s="358">
        <v>4750</v>
      </c>
      <c r="H108" s="376">
        <v>286</v>
      </c>
      <c r="I108" s="358">
        <v>5036</v>
      </c>
      <c r="K108" s="357">
        <v>0</v>
      </c>
      <c r="L108" s="350">
        <v>0.21</v>
      </c>
      <c r="M108" s="350">
        <v>0.03</v>
      </c>
      <c r="N108" s="351" t="str">
        <f t="shared" si="1"/>
        <v>190004</v>
      </c>
    </row>
    <row r="109" spans="1:14" ht="23.25">
      <c r="A109" s="386" t="s">
        <v>60</v>
      </c>
      <c r="B109" s="387">
        <v>19000</v>
      </c>
      <c r="C109" s="388">
        <v>6</v>
      </c>
      <c r="D109" s="364">
        <v>1906</v>
      </c>
      <c r="E109" s="364">
        <v>20997</v>
      </c>
      <c r="F109" s="364">
        <v>285</v>
      </c>
      <c r="G109" s="364">
        <v>3167</v>
      </c>
      <c r="H109" s="364">
        <v>285</v>
      </c>
      <c r="I109" s="364">
        <v>3452</v>
      </c>
      <c r="K109" s="388">
        <v>0</v>
      </c>
      <c r="L109" s="350">
        <v>0.21</v>
      </c>
      <c r="M109" s="350">
        <v>0.03</v>
      </c>
      <c r="N109" s="351" t="str">
        <f t="shared" si="1"/>
        <v>190006</v>
      </c>
    </row>
    <row r="110" spans="1:14" ht="23.25">
      <c r="A110" s="386" t="s">
        <v>60</v>
      </c>
      <c r="B110" s="387">
        <v>19000</v>
      </c>
      <c r="C110" s="365">
        <v>8</v>
      </c>
      <c r="D110" s="366">
        <v>2539</v>
      </c>
      <c r="E110" s="366">
        <v>21668</v>
      </c>
      <c r="F110" s="366">
        <v>380</v>
      </c>
      <c r="G110" s="366">
        <v>2375</v>
      </c>
      <c r="H110" s="366">
        <v>286</v>
      </c>
      <c r="I110" s="366">
        <v>2661</v>
      </c>
      <c r="K110" s="365">
        <v>0</v>
      </c>
      <c r="L110" s="350">
        <v>0.21</v>
      </c>
      <c r="M110" s="350">
        <v>0.03</v>
      </c>
      <c r="N110" s="351" t="str">
        <f t="shared" si="1"/>
        <v>190008</v>
      </c>
    </row>
    <row r="111" spans="1:14" ht="23.25">
      <c r="A111" s="386" t="s">
        <v>60</v>
      </c>
      <c r="B111" s="387">
        <v>19000</v>
      </c>
      <c r="C111" s="367">
        <v>10</v>
      </c>
      <c r="D111" s="368">
        <v>3174</v>
      </c>
      <c r="E111" s="368">
        <v>22335</v>
      </c>
      <c r="F111" s="368">
        <v>475</v>
      </c>
      <c r="G111" s="368">
        <v>1900</v>
      </c>
      <c r="H111" s="368">
        <v>286</v>
      </c>
      <c r="I111" s="368">
        <v>2186</v>
      </c>
      <c r="K111" s="367">
        <v>0</v>
      </c>
      <c r="L111" s="350">
        <v>0.21</v>
      </c>
      <c r="M111" s="350">
        <v>0.03</v>
      </c>
      <c r="N111" s="351" t="str">
        <f t="shared" si="1"/>
        <v>1900010</v>
      </c>
    </row>
    <row r="112" spans="1:14" ht="24" customHeight="1">
      <c r="A112" s="386" t="s">
        <v>60</v>
      </c>
      <c r="B112" s="387">
        <v>19000</v>
      </c>
      <c r="C112" s="365">
        <v>12</v>
      </c>
      <c r="D112" s="366">
        <v>3804</v>
      </c>
      <c r="E112" s="366">
        <v>22998</v>
      </c>
      <c r="F112" s="366">
        <v>570</v>
      </c>
      <c r="G112" s="366">
        <v>1584</v>
      </c>
      <c r="H112" s="366">
        <v>285</v>
      </c>
      <c r="I112" s="366">
        <v>1869</v>
      </c>
      <c r="K112" s="365">
        <v>0</v>
      </c>
      <c r="L112" s="350">
        <v>0.21</v>
      </c>
      <c r="M112" s="350">
        <v>0.03</v>
      </c>
      <c r="N112" s="351" t="str">
        <f t="shared" si="1"/>
        <v>1900012</v>
      </c>
    </row>
    <row r="113" spans="1:14" ht="23.25">
      <c r="A113" s="386" t="s">
        <v>60</v>
      </c>
      <c r="B113" s="387">
        <v>19000</v>
      </c>
      <c r="C113" s="367">
        <v>14</v>
      </c>
      <c r="D113" s="368">
        <v>4441</v>
      </c>
      <c r="E113" s="368">
        <v>23667</v>
      </c>
      <c r="F113" s="368">
        <v>665</v>
      </c>
      <c r="G113" s="368">
        <v>1358</v>
      </c>
      <c r="H113" s="368">
        <v>285</v>
      </c>
      <c r="I113" s="368">
        <v>1643</v>
      </c>
      <c r="K113" s="367">
        <v>0</v>
      </c>
      <c r="L113" s="350">
        <v>0.21</v>
      </c>
      <c r="M113" s="350">
        <v>0.03</v>
      </c>
      <c r="N113" s="351" t="str">
        <f t="shared" si="1"/>
        <v>1900014</v>
      </c>
    </row>
    <row r="114" spans="1:14" ht="23.25">
      <c r="A114" s="386" t="s">
        <v>60</v>
      </c>
      <c r="B114" s="387">
        <v>19000</v>
      </c>
      <c r="C114" s="365">
        <v>16</v>
      </c>
      <c r="D114" s="366">
        <v>5070</v>
      </c>
      <c r="E114" s="366">
        <v>24328</v>
      </c>
      <c r="F114" s="366">
        <v>760</v>
      </c>
      <c r="G114" s="366">
        <v>1188</v>
      </c>
      <c r="H114" s="366">
        <v>285</v>
      </c>
      <c r="I114" s="366">
        <v>1473</v>
      </c>
      <c r="K114" s="365">
        <v>0</v>
      </c>
      <c r="L114" s="350">
        <v>0.21</v>
      </c>
      <c r="M114" s="350">
        <v>0.03</v>
      </c>
      <c r="N114" s="351" t="str">
        <f t="shared" si="1"/>
        <v>1900016</v>
      </c>
    </row>
    <row r="115" spans="1:14" ht="24" thickBot="1">
      <c r="A115" s="389" t="s">
        <v>60</v>
      </c>
      <c r="B115" s="390">
        <v>19000</v>
      </c>
      <c r="C115" s="391">
        <v>18</v>
      </c>
      <c r="D115" s="373">
        <v>5702</v>
      </c>
      <c r="E115" s="373">
        <v>24993</v>
      </c>
      <c r="F115" s="373">
        <v>855</v>
      </c>
      <c r="G115" s="373">
        <v>1056</v>
      </c>
      <c r="H115" s="372">
        <v>285</v>
      </c>
      <c r="I115" s="373">
        <v>1341</v>
      </c>
      <c r="K115" s="391">
        <v>0</v>
      </c>
      <c r="L115" s="350">
        <v>0.21</v>
      </c>
      <c r="M115" s="350">
        <v>0.03</v>
      </c>
      <c r="N115" s="351" t="str">
        <f t="shared" si="1"/>
        <v>1900018</v>
      </c>
    </row>
    <row r="116" spans="1:14" ht="24" thickTop="1">
      <c r="A116" s="355" t="s">
        <v>60</v>
      </c>
      <c r="B116" s="356">
        <v>20000</v>
      </c>
      <c r="C116" s="357">
        <v>4</v>
      </c>
      <c r="D116" s="358">
        <v>1335</v>
      </c>
      <c r="E116" s="358">
        <v>21404</v>
      </c>
      <c r="F116" s="358">
        <v>200</v>
      </c>
      <c r="G116" s="358">
        <v>5000</v>
      </c>
      <c r="H116" s="358">
        <v>301</v>
      </c>
      <c r="I116" s="358">
        <v>5301</v>
      </c>
      <c r="K116" s="357">
        <v>0</v>
      </c>
      <c r="L116" s="350">
        <v>0.21</v>
      </c>
      <c r="M116" s="350">
        <v>0.03</v>
      </c>
      <c r="N116" s="351" t="str">
        <f t="shared" si="1"/>
        <v>200004</v>
      </c>
    </row>
    <row r="117" spans="1:14" ht="23.25">
      <c r="A117" s="360" t="s">
        <v>60</v>
      </c>
      <c r="B117" s="361">
        <v>20000</v>
      </c>
      <c r="C117" s="388">
        <v>6</v>
      </c>
      <c r="D117" s="364">
        <v>2000</v>
      </c>
      <c r="E117" s="364">
        <v>22104</v>
      </c>
      <c r="F117" s="364">
        <v>300</v>
      </c>
      <c r="G117" s="364">
        <v>3334</v>
      </c>
      <c r="H117" s="364">
        <v>300</v>
      </c>
      <c r="I117" s="364">
        <v>3634</v>
      </c>
      <c r="K117" s="388">
        <v>0</v>
      </c>
      <c r="L117" s="350">
        <v>0.21</v>
      </c>
      <c r="M117" s="350">
        <v>0.03</v>
      </c>
      <c r="N117" s="351" t="str">
        <f t="shared" si="1"/>
        <v>200006</v>
      </c>
    </row>
    <row r="118" spans="1:14" ht="23.25">
      <c r="A118" s="360" t="s">
        <v>60</v>
      </c>
      <c r="B118" s="361">
        <v>20000</v>
      </c>
      <c r="C118" s="365">
        <v>8</v>
      </c>
      <c r="D118" s="366">
        <v>2670</v>
      </c>
      <c r="E118" s="366">
        <v>22808</v>
      </c>
      <c r="F118" s="366">
        <v>400</v>
      </c>
      <c r="G118" s="366">
        <v>2500</v>
      </c>
      <c r="H118" s="366">
        <v>301</v>
      </c>
      <c r="I118" s="366">
        <v>2801</v>
      </c>
      <c r="K118" s="365">
        <v>0</v>
      </c>
      <c r="L118" s="350">
        <v>0.21</v>
      </c>
      <c r="M118" s="350">
        <v>0.03</v>
      </c>
      <c r="N118" s="351" t="str">
        <f t="shared" si="1"/>
        <v>200008</v>
      </c>
    </row>
    <row r="119" spans="1:14" ht="23.25">
      <c r="A119" s="360" t="s">
        <v>60</v>
      </c>
      <c r="B119" s="361">
        <v>20000</v>
      </c>
      <c r="C119" s="367">
        <v>10</v>
      </c>
      <c r="D119" s="368">
        <v>3337</v>
      </c>
      <c r="E119" s="368">
        <v>23510</v>
      </c>
      <c r="F119" s="368">
        <v>500</v>
      </c>
      <c r="G119" s="368">
        <v>2000</v>
      </c>
      <c r="H119" s="368">
        <v>301</v>
      </c>
      <c r="I119" s="368">
        <v>2301</v>
      </c>
      <c r="K119" s="367">
        <v>0</v>
      </c>
      <c r="L119" s="350">
        <v>0.21</v>
      </c>
      <c r="M119" s="350">
        <v>0.03</v>
      </c>
      <c r="N119" s="351" t="str">
        <f t="shared" si="1"/>
        <v>2000010</v>
      </c>
    </row>
    <row r="120" spans="1:14" ht="23.25">
      <c r="A120" s="360" t="s">
        <v>60</v>
      </c>
      <c r="B120" s="361">
        <v>20000</v>
      </c>
      <c r="C120" s="365">
        <v>12</v>
      </c>
      <c r="D120" s="366">
        <v>4008</v>
      </c>
      <c r="E120" s="366">
        <v>24204</v>
      </c>
      <c r="F120" s="366">
        <v>600</v>
      </c>
      <c r="G120" s="366">
        <v>1667</v>
      </c>
      <c r="H120" s="366">
        <v>300</v>
      </c>
      <c r="I120" s="366">
        <v>1967</v>
      </c>
      <c r="K120" s="365">
        <v>0</v>
      </c>
      <c r="L120" s="350">
        <v>0.21</v>
      </c>
      <c r="M120" s="350">
        <v>0.03</v>
      </c>
      <c r="N120" s="351" t="str">
        <f t="shared" si="1"/>
        <v>2000012</v>
      </c>
    </row>
    <row r="121" spans="1:14" ht="24" customHeight="1">
      <c r="A121" s="360" t="s">
        <v>60</v>
      </c>
      <c r="B121" s="361">
        <v>20000</v>
      </c>
      <c r="C121" s="367">
        <v>14</v>
      </c>
      <c r="D121" s="368">
        <v>4678</v>
      </c>
      <c r="E121" s="368">
        <v>24906</v>
      </c>
      <c r="F121" s="368">
        <v>700</v>
      </c>
      <c r="G121" s="368">
        <v>1429</v>
      </c>
      <c r="H121" s="368">
        <v>300</v>
      </c>
      <c r="I121" s="368">
        <v>1729</v>
      </c>
      <c r="K121" s="367">
        <v>0</v>
      </c>
      <c r="L121" s="350">
        <v>0.21</v>
      </c>
      <c r="M121" s="350">
        <v>0.03</v>
      </c>
      <c r="N121" s="351" t="str">
        <f t="shared" si="1"/>
        <v>2000014</v>
      </c>
    </row>
    <row r="122" spans="1:14" ht="23.25">
      <c r="A122" s="360" t="s">
        <v>60</v>
      </c>
      <c r="B122" s="361">
        <v>20000</v>
      </c>
      <c r="C122" s="365">
        <v>16</v>
      </c>
      <c r="D122" s="366">
        <v>5339</v>
      </c>
      <c r="E122" s="366">
        <v>25616</v>
      </c>
      <c r="F122" s="366">
        <v>800</v>
      </c>
      <c r="G122" s="366">
        <v>1250</v>
      </c>
      <c r="H122" s="366">
        <v>301</v>
      </c>
      <c r="I122" s="366">
        <v>1551</v>
      </c>
      <c r="K122" s="365">
        <v>0</v>
      </c>
      <c r="L122" s="350">
        <v>0.21</v>
      </c>
      <c r="M122" s="350">
        <v>0.03</v>
      </c>
      <c r="N122" s="351" t="str">
        <f t="shared" si="1"/>
        <v>2000016</v>
      </c>
    </row>
    <row r="123" spans="1:14" ht="24" thickBot="1">
      <c r="A123" s="392" t="s">
        <v>60</v>
      </c>
      <c r="B123" s="393">
        <v>20000</v>
      </c>
      <c r="C123" s="391">
        <v>18</v>
      </c>
      <c r="D123" s="373">
        <v>6004</v>
      </c>
      <c r="E123" s="373">
        <v>26316</v>
      </c>
      <c r="F123" s="373">
        <v>900</v>
      </c>
      <c r="G123" s="373">
        <v>1112</v>
      </c>
      <c r="H123" s="373">
        <v>300</v>
      </c>
      <c r="I123" s="373">
        <v>1412</v>
      </c>
      <c r="K123" s="391">
        <v>0</v>
      </c>
      <c r="L123" s="350">
        <v>0.21</v>
      </c>
      <c r="M123" s="350">
        <v>0.03</v>
      </c>
      <c r="N123" s="351" t="str">
        <f t="shared" si="1"/>
        <v>2000018</v>
      </c>
    </row>
    <row r="124" spans="1:14" ht="24" thickTop="1">
      <c r="A124" s="384" t="s">
        <v>60</v>
      </c>
      <c r="B124" s="385">
        <v>21000</v>
      </c>
      <c r="C124" s="357">
        <v>4</v>
      </c>
      <c r="D124" s="358">
        <v>1473</v>
      </c>
      <c r="E124" s="358">
        <v>22474</v>
      </c>
      <c r="F124" s="358">
        <v>210</v>
      </c>
      <c r="G124" s="358">
        <v>5250</v>
      </c>
      <c r="H124" s="376">
        <v>316</v>
      </c>
      <c r="I124" s="358">
        <v>5566</v>
      </c>
      <c r="K124" s="357">
        <v>0</v>
      </c>
      <c r="L124" s="350">
        <v>0.21</v>
      </c>
      <c r="M124" s="350">
        <v>0.03</v>
      </c>
      <c r="N124" s="351" t="str">
        <f t="shared" si="1"/>
        <v>210004</v>
      </c>
    </row>
    <row r="125" spans="1:14" ht="23.25">
      <c r="A125" s="386" t="s">
        <v>60</v>
      </c>
      <c r="B125" s="387">
        <v>21000</v>
      </c>
      <c r="C125" s="388">
        <v>6</v>
      </c>
      <c r="D125" s="364">
        <v>2209</v>
      </c>
      <c r="E125" s="364">
        <v>23211</v>
      </c>
      <c r="F125" s="364">
        <v>315</v>
      </c>
      <c r="G125" s="364">
        <v>3500</v>
      </c>
      <c r="H125" s="364">
        <v>316</v>
      </c>
      <c r="I125" s="364">
        <v>3816</v>
      </c>
      <c r="K125" s="388">
        <v>0</v>
      </c>
      <c r="L125" s="350">
        <v>0.21</v>
      </c>
      <c r="M125" s="350">
        <v>0.03</v>
      </c>
      <c r="N125" s="351" t="str">
        <f t="shared" si="1"/>
        <v>210006</v>
      </c>
    </row>
    <row r="126" spans="1:14" ht="23.25">
      <c r="A126" s="386" t="s">
        <v>60</v>
      </c>
      <c r="B126" s="387">
        <v>21000</v>
      </c>
      <c r="C126" s="365">
        <v>8</v>
      </c>
      <c r="D126" s="366">
        <v>2945</v>
      </c>
      <c r="E126" s="366">
        <v>23948</v>
      </c>
      <c r="F126" s="366">
        <v>420</v>
      </c>
      <c r="G126" s="366">
        <v>2625</v>
      </c>
      <c r="H126" s="366">
        <v>316</v>
      </c>
      <c r="I126" s="366">
        <v>2941</v>
      </c>
      <c r="K126" s="365">
        <v>0</v>
      </c>
      <c r="L126" s="350">
        <v>0.21</v>
      </c>
      <c r="M126" s="350">
        <v>0.03</v>
      </c>
      <c r="N126" s="351" t="str">
        <f t="shared" si="1"/>
        <v>210008</v>
      </c>
    </row>
    <row r="127" spans="1:14" ht="23.25">
      <c r="A127" s="386" t="s">
        <v>60</v>
      </c>
      <c r="B127" s="387">
        <v>21000</v>
      </c>
      <c r="C127" s="367">
        <v>10</v>
      </c>
      <c r="D127" s="368">
        <v>3681</v>
      </c>
      <c r="E127" s="368">
        <v>24685</v>
      </c>
      <c r="F127" s="368">
        <v>525</v>
      </c>
      <c r="G127" s="368">
        <v>2100</v>
      </c>
      <c r="H127" s="368">
        <v>316</v>
      </c>
      <c r="I127" s="368">
        <v>2416</v>
      </c>
      <c r="K127" s="367">
        <v>0</v>
      </c>
      <c r="L127" s="350">
        <v>0.21</v>
      </c>
      <c r="M127" s="350">
        <v>0.03</v>
      </c>
      <c r="N127" s="351" t="str">
        <f t="shared" si="1"/>
        <v>2100010</v>
      </c>
    </row>
    <row r="128" spans="1:14" ht="23.25">
      <c r="A128" s="386" t="s">
        <v>60</v>
      </c>
      <c r="B128" s="387">
        <v>21000</v>
      </c>
      <c r="C128" s="365">
        <v>12</v>
      </c>
      <c r="D128" s="366">
        <v>4417</v>
      </c>
      <c r="E128" s="366">
        <v>25422</v>
      </c>
      <c r="F128" s="366">
        <v>630</v>
      </c>
      <c r="G128" s="366">
        <v>1750</v>
      </c>
      <c r="H128" s="366">
        <v>316</v>
      </c>
      <c r="I128" s="366">
        <v>2066</v>
      </c>
      <c r="K128" s="365">
        <v>0</v>
      </c>
      <c r="L128" s="350">
        <v>0.21</v>
      </c>
      <c r="M128" s="350">
        <v>0.03</v>
      </c>
      <c r="N128" s="351" t="str">
        <f t="shared" si="1"/>
        <v>2100012</v>
      </c>
    </row>
    <row r="129" spans="1:14" ht="23.25">
      <c r="A129" s="386" t="s">
        <v>60</v>
      </c>
      <c r="B129" s="387">
        <v>21000</v>
      </c>
      <c r="C129" s="367">
        <v>14</v>
      </c>
      <c r="D129" s="368">
        <v>5153</v>
      </c>
      <c r="E129" s="368">
        <v>26159</v>
      </c>
      <c r="F129" s="368">
        <v>735</v>
      </c>
      <c r="G129" s="368">
        <v>1500</v>
      </c>
      <c r="H129" s="368">
        <v>316</v>
      </c>
      <c r="I129" s="368">
        <v>1816</v>
      </c>
      <c r="K129" s="367">
        <v>0</v>
      </c>
      <c r="L129" s="350">
        <v>0.21</v>
      </c>
      <c r="M129" s="350">
        <v>0.03</v>
      </c>
      <c r="N129" s="351" t="str">
        <f t="shared" si="1"/>
        <v>2100014</v>
      </c>
    </row>
    <row r="130" spans="1:14" ht="24" customHeight="1">
      <c r="A130" s="386" t="s">
        <v>60</v>
      </c>
      <c r="B130" s="387">
        <v>21000</v>
      </c>
      <c r="C130" s="365">
        <v>16</v>
      </c>
      <c r="D130" s="366">
        <v>5881</v>
      </c>
      <c r="E130" s="366">
        <v>26888</v>
      </c>
      <c r="F130" s="366">
        <v>840</v>
      </c>
      <c r="G130" s="366">
        <v>1313</v>
      </c>
      <c r="H130" s="366">
        <v>315</v>
      </c>
      <c r="I130" s="366">
        <v>1628</v>
      </c>
      <c r="K130" s="365">
        <v>0</v>
      </c>
      <c r="L130" s="350">
        <v>0.21</v>
      </c>
      <c r="M130" s="350">
        <v>0.03</v>
      </c>
      <c r="N130" s="351" t="str">
        <f t="shared" si="1"/>
        <v>2100016</v>
      </c>
    </row>
    <row r="131" spans="1:14" ht="24" thickBot="1">
      <c r="A131" s="389" t="s">
        <v>60</v>
      </c>
      <c r="B131" s="390">
        <v>21000</v>
      </c>
      <c r="C131" s="391">
        <v>18</v>
      </c>
      <c r="D131" s="373">
        <v>6631</v>
      </c>
      <c r="E131" s="373">
        <v>27621</v>
      </c>
      <c r="F131" s="373">
        <v>945</v>
      </c>
      <c r="G131" s="373">
        <v>1167</v>
      </c>
      <c r="H131" s="372">
        <v>315</v>
      </c>
      <c r="I131" s="373">
        <v>1482</v>
      </c>
      <c r="K131" s="391">
        <v>0</v>
      </c>
      <c r="L131" s="350">
        <v>0.21</v>
      </c>
      <c r="M131" s="350">
        <v>0.03</v>
      </c>
      <c r="N131" s="351" t="str">
        <f t="shared" si="1"/>
        <v>2100018</v>
      </c>
    </row>
    <row r="132" spans="1:14" ht="24" thickTop="1">
      <c r="A132" s="355" t="s">
        <v>60</v>
      </c>
      <c r="B132" s="356">
        <v>22000</v>
      </c>
      <c r="C132" s="357">
        <v>4</v>
      </c>
      <c r="D132" s="358">
        <v>1542</v>
      </c>
      <c r="E132" s="358">
        <v>23544</v>
      </c>
      <c r="F132" s="358">
        <v>220</v>
      </c>
      <c r="G132" s="358">
        <v>5500</v>
      </c>
      <c r="H132" s="358">
        <v>331</v>
      </c>
      <c r="I132" s="358">
        <v>5831</v>
      </c>
      <c r="K132" s="357">
        <v>0</v>
      </c>
      <c r="L132" s="350">
        <v>0.21</v>
      </c>
      <c r="M132" s="350">
        <v>0.03</v>
      </c>
      <c r="N132" s="351" t="str">
        <f t="shared" si="1"/>
        <v>220004</v>
      </c>
    </row>
    <row r="133" spans="1:14" ht="23.25">
      <c r="A133" s="360" t="s">
        <v>60</v>
      </c>
      <c r="B133" s="361">
        <v>22000</v>
      </c>
      <c r="C133" s="388">
        <v>6</v>
      </c>
      <c r="D133" s="364">
        <v>2315</v>
      </c>
      <c r="E133" s="364">
        <v>24312</v>
      </c>
      <c r="F133" s="364">
        <v>330</v>
      </c>
      <c r="G133" s="364">
        <v>3667</v>
      </c>
      <c r="H133" s="364">
        <v>330</v>
      </c>
      <c r="I133" s="364">
        <v>3997</v>
      </c>
      <c r="K133" s="388">
        <v>0</v>
      </c>
      <c r="L133" s="350">
        <v>0.21</v>
      </c>
      <c r="M133" s="350">
        <v>0.03</v>
      </c>
      <c r="N133" s="351" t="str">
        <f t="shared" ref="N133:N196" si="2">CONCATENATE(B133,C133)</f>
        <v>220006</v>
      </c>
    </row>
    <row r="134" spans="1:14" ht="23.25">
      <c r="A134" s="360" t="s">
        <v>60</v>
      </c>
      <c r="B134" s="361">
        <v>22000</v>
      </c>
      <c r="C134" s="365">
        <v>8</v>
      </c>
      <c r="D134" s="366">
        <v>3083</v>
      </c>
      <c r="E134" s="366">
        <v>25088</v>
      </c>
      <c r="F134" s="366">
        <v>440</v>
      </c>
      <c r="G134" s="366">
        <v>2750</v>
      </c>
      <c r="H134" s="366">
        <v>331</v>
      </c>
      <c r="I134" s="366">
        <v>3081</v>
      </c>
      <c r="K134" s="365">
        <v>0</v>
      </c>
      <c r="L134" s="350">
        <v>0.21</v>
      </c>
      <c r="M134" s="350">
        <v>0.03</v>
      </c>
      <c r="N134" s="351" t="str">
        <f t="shared" si="2"/>
        <v>220008</v>
      </c>
    </row>
    <row r="135" spans="1:14" ht="23.25">
      <c r="A135" s="360" t="s">
        <v>60</v>
      </c>
      <c r="B135" s="361">
        <v>22000</v>
      </c>
      <c r="C135" s="367">
        <v>10</v>
      </c>
      <c r="D135" s="368">
        <v>3854</v>
      </c>
      <c r="E135" s="368">
        <v>25860</v>
      </c>
      <c r="F135" s="368">
        <v>550</v>
      </c>
      <c r="G135" s="368">
        <v>2200</v>
      </c>
      <c r="H135" s="368">
        <v>331</v>
      </c>
      <c r="I135" s="368">
        <v>2531</v>
      </c>
      <c r="K135" s="367">
        <v>0</v>
      </c>
      <c r="L135" s="350">
        <v>0.21</v>
      </c>
      <c r="M135" s="350">
        <v>0.03</v>
      </c>
      <c r="N135" s="351" t="str">
        <f t="shared" si="2"/>
        <v>2200010</v>
      </c>
    </row>
    <row r="136" spans="1:14" ht="23.25">
      <c r="A136" s="360" t="s">
        <v>60</v>
      </c>
      <c r="B136" s="361">
        <v>22000</v>
      </c>
      <c r="C136" s="365">
        <v>12</v>
      </c>
      <c r="D136" s="366">
        <v>4621</v>
      </c>
      <c r="E136" s="366">
        <v>26628</v>
      </c>
      <c r="F136" s="366">
        <v>660</v>
      </c>
      <c r="G136" s="366">
        <v>1834</v>
      </c>
      <c r="H136" s="366">
        <v>330</v>
      </c>
      <c r="I136" s="366">
        <v>2164</v>
      </c>
      <c r="K136" s="365">
        <v>0</v>
      </c>
      <c r="L136" s="350">
        <v>0.21</v>
      </c>
      <c r="M136" s="350">
        <v>0.03</v>
      </c>
      <c r="N136" s="351" t="str">
        <f t="shared" si="2"/>
        <v>2200012</v>
      </c>
    </row>
    <row r="137" spans="1:14" ht="23.25">
      <c r="A137" s="360" t="s">
        <v>60</v>
      </c>
      <c r="B137" s="361">
        <v>22000</v>
      </c>
      <c r="C137" s="367">
        <v>14</v>
      </c>
      <c r="D137" s="368">
        <v>5403</v>
      </c>
      <c r="E137" s="368">
        <v>27398</v>
      </c>
      <c r="F137" s="368">
        <v>770</v>
      </c>
      <c r="G137" s="368">
        <v>1572</v>
      </c>
      <c r="H137" s="368">
        <v>330</v>
      </c>
      <c r="I137" s="368">
        <v>1902</v>
      </c>
      <c r="K137" s="367">
        <v>0</v>
      </c>
      <c r="L137" s="350">
        <v>0.21</v>
      </c>
      <c r="M137" s="350">
        <v>0.03</v>
      </c>
      <c r="N137" s="351" t="str">
        <f t="shared" si="2"/>
        <v>2200014</v>
      </c>
    </row>
    <row r="138" spans="1:14" ht="23.25">
      <c r="A138" s="360" t="s">
        <v>60</v>
      </c>
      <c r="B138" s="361">
        <v>22000</v>
      </c>
      <c r="C138" s="365">
        <v>16</v>
      </c>
      <c r="D138" s="366">
        <v>6166</v>
      </c>
      <c r="E138" s="366">
        <v>28176</v>
      </c>
      <c r="F138" s="366">
        <v>880</v>
      </c>
      <c r="G138" s="366">
        <v>1375</v>
      </c>
      <c r="H138" s="366">
        <v>331</v>
      </c>
      <c r="I138" s="366">
        <v>1706</v>
      </c>
      <c r="K138" s="365">
        <v>0</v>
      </c>
      <c r="L138" s="350">
        <v>0.21</v>
      </c>
      <c r="M138" s="350">
        <v>0.03</v>
      </c>
      <c r="N138" s="351" t="str">
        <f t="shared" si="2"/>
        <v>2200016</v>
      </c>
    </row>
    <row r="139" spans="1:14" ht="24" customHeight="1" thickBot="1">
      <c r="A139" s="392" t="s">
        <v>60</v>
      </c>
      <c r="B139" s="393">
        <v>22000</v>
      </c>
      <c r="C139" s="391">
        <v>18</v>
      </c>
      <c r="D139" s="373">
        <v>6933</v>
      </c>
      <c r="E139" s="373">
        <v>28944</v>
      </c>
      <c r="F139" s="373">
        <v>990</v>
      </c>
      <c r="G139" s="373">
        <v>1223</v>
      </c>
      <c r="H139" s="373">
        <v>330</v>
      </c>
      <c r="I139" s="373">
        <v>1553</v>
      </c>
      <c r="K139" s="391">
        <v>0</v>
      </c>
      <c r="L139" s="350">
        <v>0.21</v>
      </c>
      <c r="M139" s="350">
        <v>0.03</v>
      </c>
      <c r="N139" s="351" t="str">
        <f t="shared" si="2"/>
        <v>2200018</v>
      </c>
    </row>
    <row r="140" spans="1:14" ht="24" thickTop="1">
      <c r="A140" s="384" t="s">
        <v>60</v>
      </c>
      <c r="B140" s="385">
        <v>23000</v>
      </c>
      <c r="C140" s="357">
        <v>4</v>
      </c>
      <c r="D140" s="358">
        <v>1611</v>
      </c>
      <c r="E140" s="358">
        <v>24614</v>
      </c>
      <c r="F140" s="358">
        <v>230</v>
      </c>
      <c r="G140" s="358">
        <v>5750</v>
      </c>
      <c r="H140" s="376">
        <v>346</v>
      </c>
      <c r="I140" s="358">
        <v>6096</v>
      </c>
      <c r="K140" s="357">
        <v>0</v>
      </c>
      <c r="L140" s="350">
        <v>0.21</v>
      </c>
      <c r="M140" s="350">
        <v>0.03</v>
      </c>
      <c r="N140" s="351" t="str">
        <f t="shared" si="2"/>
        <v>230004</v>
      </c>
    </row>
    <row r="141" spans="1:14" ht="23.25">
      <c r="A141" s="386" t="s">
        <v>60</v>
      </c>
      <c r="B141" s="387">
        <v>23000</v>
      </c>
      <c r="C141" s="388">
        <v>6</v>
      </c>
      <c r="D141" s="364">
        <v>2421</v>
      </c>
      <c r="E141" s="364">
        <v>25419</v>
      </c>
      <c r="F141" s="364">
        <v>345</v>
      </c>
      <c r="G141" s="364">
        <v>3834</v>
      </c>
      <c r="H141" s="364">
        <v>345</v>
      </c>
      <c r="I141" s="364">
        <v>4179</v>
      </c>
      <c r="K141" s="388">
        <v>0</v>
      </c>
      <c r="L141" s="350">
        <v>0.21</v>
      </c>
      <c r="M141" s="350">
        <v>0.03</v>
      </c>
      <c r="N141" s="351" t="str">
        <f t="shared" si="2"/>
        <v>230006</v>
      </c>
    </row>
    <row r="142" spans="1:14" ht="23.25">
      <c r="A142" s="386" t="s">
        <v>60</v>
      </c>
      <c r="B142" s="387">
        <v>23000</v>
      </c>
      <c r="C142" s="365">
        <v>8</v>
      </c>
      <c r="D142" s="366">
        <v>3222</v>
      </c>
      <c r="E142" s="366">
        <v>26228</v>
      </c>
      <c r="F142" s="366">
        <v>460</v>
      </c>
      <c r="G142" s="366">
        <v>2875</v>
      </c>
      <c r="H142" s="366">
        <v>346</v>
      </c>
      <c r="I142" s="366">
        <v>3221</v>
      </c>
      <c r="K142" s="365">
        <v>0</v>
      </c>
      <c r="L142" s="350">
        <v>0.21</v>
      </c>
      <c r="M142" s="350">
        <v>0.03</v>
      </c>
      <c r="N142" s="351" t="str">
        <f t="shared" si="2"/>
        <v>230008</v>
      </c>
    </row>
    <row r="143" spans="1:14" ht="23.25">
      <c r="A143" s="386" t="s">
        <v>60</v>
      </c>
      <c r="B143" s="387">
        <v>23000</v>
      </c>
      <c r="C143" s="367">
        <v>10</v>
      </c>
      <c r="D143" s="368">
        <v>4027</v>
      </c>
      <c r="E143" s="368">
        <v>27035</v>
      </c>
      <c r="F143" s="368">
        <v>575</v>
      </c>
      <c r="G143" s="368">
        <v>2300</v>
      </c>
      <c r="H143" s="368">
        <v>346</v>
      </c>
      <c r="I143" s="368">
        <v>2646</v>
      </c>
      <c r="K143" s="367">
        <v>0</v>
      </c>
      <c r="L143" s="350">
        <v>0.21</v>
      </c>
      <c r="M143" s="350">
        <v>0.03</v>
      </c>
      <c r="N143" s="351" t="str">
        <f t="shared" si="2"/>
        <v>2300010</v>
      </c>
    </row>
    <row r="144" spans="1:14" ht="23.25">
      <c r="A144" s="386" t="s">
        <v>60</v>
      </c>
      <c r="B144" s="387">
        <v>23000</v>
      </c>
      <c r="C144" s="365">
        <v>12</v>
      </c>
      <c r="D144" s="366">
        <v>4837</v>
      </c>
      <c r="E144" s="366">
        <v>27834</v>
      </c>
      <c r="F144" s="366">
        <v>690</v>
      </c>
      <c r="G144" s="366">
        <v>1917</v>
      </c>
      <c r="H144" s="366">
        <v>345</v>
      </c>
      <c r="I144" s="366">
        <v>2262</v>
      </c>
      <c r="K144" s="365">
        <v>0</v>
      </c>
      <c r="L144" s="350">
        <v>0.21</v>
      </c>
      <c r="M144" s="350">
        <v>0.03</v>
      </c>
      <c r="N144" s="351" t="str">
        <f t="shared" si="2"/>
        <v>2300012</v>
      </c>
    </row>
    <row r="145" spans="1:14" ht="23.25">
      <c r="A145" s="386" t="s">
        <v>60</v>
      </c>
      <c r="B145" s="387">
        <v>23000</v>
      </c>
      <c r="C145" s="367">
        <v>14</v>
      </c>
      <c r="D145" s="368">
        <v>5640</v>
      </c>
      <c r="E145" s="368">
        <v>28637</v>
      </c>
      <c r="F145" s="368">
        <v>805</v>
      </c>
      <c r="G145" s="368">
        <v>1643</v>
      </c>
      <c r="H145" s="368">
        <v>345</v>
      </c>
      <c r="I145" s="368">
        <v>1988</v>
      </c>
      <c r="K145" s="367">
        <v>0</v>
      </c>
      <c r="L145" s="350">
        <v>0.21</v>
      </c>
      <c r="M145" s="350">
        <v>0.03</v>
      </c>
      <c r="N145" s="351" t="str">
        <f t="shared" si="2"/>
        <v>2300014</v>
      </c>
    </row>
    <row r="146" spans="1:14" ht="23.25">
      <c r="A146" s="386" t="s">
        <v>60</v>
      </c>
      <c r="B146" s="387">
        <v>23000</v>
      </c>
      <c r="C146" s="365">
        <v>16</v>
      </c>
      <c r="D146" s="366">
        <v>6451</v>
      </c>
      <c r="E146" s="366">
        <v>29448</v>
      </c>
      <c r="F146" s="366">
        <v>920</v>
      </c>
      <c r="G146" s="366">
        <v>1438</v>
      </c>
      <c r="H146" s="366">
        <v>345</v>
      </c>
      <c r="I146" s="366">
        <v>1783</v>
      </c>
      <c r="K146" s="365">
        <v>0</v>
      </c>
      <c r="L146" s="350">
        <v>0.21</v>
      </c>
      <c r="M146" s="350">
        <v>0.03</v>
      </c>
      <c r="N146" s="351" t="str">
        <f t="shared" si="2"/>
        <v>2300016</v>
      </c>
    </row>
    <row r="147" spans="1:14" ht="24" thickBot="1">
      <c r="A147" s="389" t="s">
        <v>60</v>
      </c>
      <c r="B147" s="390">
        <v>23000</v>
      </c>
      <c r="C147" s="391">
        <v>18</v>
      </c>
      <c r="D147" s="373">
        <v>7253</v>
      </c>
      <c r="E147" s="373">
        <v>30249</v>
      </c>
      <c r="F147" s="373">
        <v>1035</v>
      </c>
      <c r="G147" s="373">
        <v>1278</v>
      </c>
      <c r="H147" s="372">
        <v>345</v>
      </c>
      <c r="I147" s="373">
        <v>1623</v>
      </c>
      <c r="K147" s="391">
        <v>0</v>
      </c>
      <c r="L147" s="350">
        <v>0.21</v>
      </c>
      <c r="M147" s="350">
        <v>0.03</v>
      </c>
      <c r="N147" s="351" t="str">
        <f t="shared" si="2"/>
        <v>2300018</v>
      </c>
    </row>
    <row r="148" spans="1:14" ht="24" customHeight="1" thickTop="1">
      <c r="A148" s="355" t="s">
        <v>60</v>
      </c>
      <c r="B148" s="356">
        <v>24000</v>
      </c>
      <c r="C148" s="357">
        <v>4</v>
      </c>
      <c r="D148" s="358">
        <v>1681</v>
      </c>
      <c r="E148" s="358">
        <v>25684</v>
      </c>
      <c r="F148" s="358">
        <v>240</v>
      </c>
      <c r="G148" s="358">
        <v>6000</v>
      </c>
      <c r="H148" s="358">
        <v>361</v>
      </c>
      <c r="I148" s="358">
        <v>6361</v>
      </c>
      <c r="K148" s="357">
        <v>0</v>
      </c>
      <c r="L148" s="350">
        <v>0.21</v>
      </c>
      <c r="M148" s="350">
        <v>0.03</v>
      </c>
      <c r="N148" s="351" t="str">
        <f t="shared" si="2"/>
        <v>240004</v>
      </c>
    </row>
    <row r="149" spans="1:14" ht="23.25">
      <c r="A149" s="360" t="s">
        <v>60</v>
      </c>
      <c r="B149" s="361">
        <v>24000</v>
      </c>
      <c r="C149" s="388">
        <v>6</v>
      </c>
      <c r="D149" s="364">
        <v>2521</v>
      </c>
      <c r="E149" s="364">
        <v>26526</v>
      </c>
      <c r="F149" s="364">
        <v>360</v>
      </c>
      <c r="G149" s="364">
        <v>4000</v>
      </c>
      <c r="H149" s="364">
        <v>361</v>
      </c>
      <c r="I149" s="364">
        <v>4361</v>
      </c>
      <c r="K149" s="388">
        <v>0</v>
      </c>
      <c r="L149" s="350">
        <v>0.21</v>
      </c>
      <c r="M149" s="350">
        <v>0.03</v>
      </c>
      <c r="N149" s="351" t="str">
        <f t="shared" si="2"/>
        <v>240006</v>
      </c>
    </row>
    <row r="150" spans="1:14" ht="23.25">
      <c r="A150" s="360" t="s">
        <v>60</v>
      </c>
      <c r="B150" s="361">
        <v>24000</v>
      </c>
      <c r="C150" s="365">
        <v>8</v>
      </c>
      <c r="D150" s="366">
        <v>3361</v>
      </c>
      <c r="E150" s="366">
        <v>27368</v>
      </c>
      <c r="F150" s="366">
        <v>480</v>
      </c>
      <c r="G150" s="366">
        <v>3000</v>
      </c>
      <c r="H150" s="366">
        <v>361</v>
      </c>
      <c r="I150" s="366">
        <v>3361</v>
      </c>
      <c r="K150" s="365">
        <v>0</v>
      </c>
      <c r="L150" s="350">
        <v>0.21</v>
      </c>
      <c r="M150" s="350">
        <v>0.03</v>
      </c>
      <c r="N150" s="351" t="str">
        <f t="shared" si="2"/>
        <v>240008</v>
      </c>
    </row>
    <row r="151" spans="1:14" ht="23.25">
      <c r="A151" s="360" t="s">
        <v>60</v>
      </c>
      <c r="B151" s="361">
        <v>24000</v>
      </c>
      <c r="C151" s="367">
        <v>10</v>
      </c>
      <c r="D151" s="368">
        <v>4201</v>
      </c>
      <c r="E151" s="368">
        <v>28210</v>
      </c>
      <c r="F151" s="368">
        <v>600</v>
      </c>
      <c r="G151" s="368">
        <v>2400</v>
      </c>
      <c r="H151" s="368">
        <v>361</v>
      </c>
      <c r="I151" s="368">
        <v>2761</v>
      </c>
      <c r="K151" s="367">
        <v>0</v>
      </c>
      <c r="L151" s="350">
        <v>0.21</v>
      </c>
      <c r="M151" s="350">
        <v>0.03</v>
      </c>
      <c r="N151" s="351" t="str">
        <f t="shared" si="2"/>
        <v>2400010</v>
      </c>
    </row>
    <row r="152" spans="1:14" ht="23.25">
      <c r="A152" s="360" t="s">
        <v>60</v>
      </c>
      <c r="B152" s="361">
        <v>24000</v>
      </c>
      <c r="C152" s="365">
        <v>12</v>
      </c>
      <c r="D152" s="366">
        <v>5041</v>
      </c>
      <c r="E152" s="366">
        <v>29052</v>
      </c>
      <c r="F152" s="366">
        <v>720</v>
      </c>
      <c r="G152" s="366">
        <v>2000</v>
      </c>
      <c r="H152" s="366">
        <v>361</v>
      </c>
      <c r="I152" s="366">
        <v>2361</v>
      </c>
      <c r="K152" s="365">
        <v>0</v>
      </c>
      <c r="L152" s="350">
        <v>0.21</v>
      </c>
      <c r="M152" s="350">
        <v>0.03</v>
      </c>
      <c r="N152" s="351" t="str">
        <f t="shared" si="2"/>
        <v>2400012</v>
      </c>
    </row>
    <row r="153" spans="1:14" ht="23.25">
      <c r="A153" s="360" t="s">
        <v>60</v>
      </c>
      <c r="B153" s="361">
        <v>24000</v>
      </c>
      <c r="C153" s="367">
        <v>14</v>
      </c>
      <c r="D153" s="368">
        <v>5891</v>
      </c>
      <c r="E153" s="368">
        <v>29890</v>
      </c>
      <c r="F153" s="368">
        <v>840</v>
      </c>
      <c r="G153" s="368">
        <v>1715</v>
      </c>
      <c r="H153" s="368">
        <v>360</v>
      </c>
      <c r="I153" s="368">
        <v>2075</v>
      </c>
      <c r="K153" s="367">
        <v>0</v>
      </c>
      <c r="L153" s="350">
        <v>0.21</v>
      </c>
      <c r="M153" s="350">
        <v>0.03</v>
      </c>
      <c r="N153" s="351" t="str">
        <f t="shared" si="2"/>
        <v>2400014</v>
      </c>
    </row>
    <row r="154" spans="1:14" ht="23.25">
      <c r="A154" s="360" t="s">
        <v>60</v>
      </c>
      <c r="B154" s="361">
        <v>24000</v>
      </c>
      <c r="C154" s="365">
        <v>16</v>
      </c>
      <c r="D154" s="366">
        <v>6721</v>
      </c>
      <c r="E154" s="366">
        <v>30736</v>
      </c>
      <c r="F154" s="366">
        <v>960</v>
      </c>
      <c r="G154" s="366">
        <v>1500</v>
      </c>
      <c r="H154" s="366">
        <v>361</v>
      </c>
      <c r="I154" s="366">
        <v>1861</v>
      </c>
      <c r="K154" s="365">
        <v>0</v>
      </c>
      <c r="L154" s="350">
        <v>0.21</v>
      </c>
      <c r="M154" s="350">
        <v>0.03</v>
      </c>
      <c r="N154" s="351" t="str">
        <f t="shared" si="2"/>
        <v>2400016</v>
      </c>
    </row>
    <row r="155" spans="1:14" ht="24" thickBot="1">
      <c r="A155" s="392" t="s">
        <v>60</v>
      </c>
      <c r="B155" s="393">
        <v>24000</v>
      </c>
      <c r="C155" s="391">
        <v>18</v>
      </c>
      <c r="D155" s="373">
        <v>7573</v>
      </c>
      <c r="E155" s="373">
        <v>31572</v>
      </c>
      <c r="F155" s="373">
        <v>1080</v>
      </c>
      <c r="G155" s="373">
        <v>1334</v>
      </c>
      <c r="H155" s="373">
        <v>360</v>
      </c>
      <c r="I155" s="373">
        <v>1694</v>
      </c>
      <c r="K155" s="391">
        <v>0</v>
      </c>
      <c r="L155" s="350">
        <v>0.21</v>
      </c>
      <c r="M155" s="350">
        <v>0.03</v>
      </c>
      <c r="N155" s="351" t="str">
        <f t="shared" si="2"/>
        <v>2400018</v>
      </c>
    </row>
    <row r="156" spans="1:14" ht="24" thickTop="1">
      <c r="A156" s="384" t="s">
        <v>60</v>
      </c>
      <c r="B156" s="385">
        <v>25000</v>
      </c>
      <c r="C156" s="357">
        <v>4</v>
      </c>
      <c r="D156" s="358">
        <v>1754</v>
      </c>
      <c r="E156" s="358">
        <v>26754</v>
      </c>
      <c r="F156" s="358">
        <v>250</v>
      </c>
      <c r="G156" s="358">
        <v>6250</v>
      </c>
      <c r="H156" s="358">
        <v>376</v>
      </c>
      <c r="I156" s="358">
        <v>6626</v>
      </c>
      <c r="K156" s="357">
        <v>0</v>
      </c>
      <c r="L156" s="350">
        <v>0.21</v>
      </c>
      <c r="M156" s="350">
        <v>0.03</v>
      </c>
      <c r="N156" s="351" t="str">
        <f t="shared" si="2"/>
        <v>250004</v>
      </c>
    </row>
    <row r="157" spans="1:14" ht="24" customHeight="1">
      <c r="A157" s="386" t="s">
        <v>60</v>
      </c>
      <c r="B157" s="387">
        <v>25000</v>
      </c>
      <c r="C157" s="388">
        <v>6</v>
      </c>
      <c r="D157" s="364">
        <v>2627</v>
      </c>
      <c r="E157" s="364">
        <v>27627</v>
      </c>
      <c r="F157" s="364">
        <v>375</v>
      </c>
      <c r="G157" s="364">
        <v>4167</v>
      </c>
      <c r="H157" s="364">
        <v>375</v>
      </c>
      <c r="I157" s="364">
        <v>4542</v>
      </c>
      <c r="K157" s="388">
        <v>0</v>
      </c>
      <c r="L157" s="350">
        <v>0.21</v>
      </c>
      <c r="M157" s="350">
        <v>0.03</v>
      </c>
      <c r="N157" s="351" t="str">
        <f t="shared" si="2"/>
        <v>250006</v>
      </c>
    </row>
    <row r="158" spans="1:14" ht="23.25">
      <c r="A158" s="386" t="s">
        <v>60</v>
      </c>
      <c r="B158" s="387">
        <v>25000</v>
      </c>
      <c r="C158" s="365">
        <v>8</v>
      </c>
      <c r="D158" s="366">
        <v>3507</v>
      </c>
      <c r="E158" s="366">
        <v>28508</v>
      </c>
      <c r="F158" s="366">
        <v>500</v>
      </c>
      <c r="G158" s="366">
        <v>3125</v>
      </c>
      <c r="H158" s="366">
        <v>376</v>
      </c>
      <c r="I158" s="366">
        <v>3501</v>
      </c>
      <c r="K158" s="365">
        <v>0</v>
      </c>
      <c r="L158" s="350">
        <v>0.21</v>
      </c>
      <c r="M158" s="350">
        <v>0.03</v>
      </c>
      <c r="N158" s="351" t="str">
        <f t="shared" si="2"/>
        <v>250008</v>
      </c>
    </row>
    <row r="159" spans="1:14" ht="23.25">
      <c r="A159" s="386" t="s">
        <v>60</v>
      </c>
      <c r="B159" s="387">
        <v>25000</v>
      </c>
      <c r="C159" s="367">
        <v>10</v>
      </c>
      <c r="D159" s="368">
        <v>4384</v>
      </c>
      <c r="E159" s="368">
        <v>29385</v>
      </c>
      <c r="F159" s="368">
        <v>625</v>
      </c>
      <c r="G159" s="368">
        <v>2500</v>
      </c>
      <c r="H159" s="368">
        <v>376</v>
      </c>
      <c r="I159" s="368">
        <v>2876</v>
      </c>
      <c r="K159" s="367">
        <v>0</v>
      </c>
      <c r="L159" s="350">
        <v>0.21</v>
      </c>
      <c r="M159" s="350">
        <v>0.03</v>
      </c>
      <c r="N159" s="351" t="str">
        <f t="shared" si="2"/>
        <v>2500010</v>
      </c>
    </row>
    <row r="160" spans="1:14" ht="23.25">
      <c r="A160" s="386" t="s">
        <v>60</v>
      </c>
      <c r="B160" s="387">
        <v>25000</v>
      </c>
      <c r="C160" s="365">
        <v>12</v>
      </c>
      <c r="D160" s="366">
        <v>5257</v>
      </c>
      <c r="E160" s="366">
        <v>30258</v>
      </c>
      <c r="F160" s="366">
        <v>750</v>
      </c>
      <c r="G160" s="366">
        <v>2084</v>
      </c>
      <c r="H160" s="366">
        <v>375</v>
      </c>
      <c r="I160" s="366">
        <v>2459</v>
      </c>
      <c r="K160" s="365">
        <v>0</v>
      </c>
      <c r="L160" s="350">
        <v>0.21</v>
      </c>
      <c r="M160" s="350">
        <v>0.03</v>
      </c>
      <c r="N160" s="351" t="str">
        <f t="shared" si="2"/>
        <v>2500012</v>
      </c>
    </row>
    <row r="161" spans="1:14" ht="23.25">
      <c r="A161" s="386" t="s">
        <v>60</v>
      </c>
      <c r="B161" s="387">
        <v>25000</v>
      </c>
      <c r="C161" s="367">
        <v>14</v>
      </c>
      <c r="D161" s="368">
        <v>6127</v>
      </c>
      <c r="E161" s="368">
        <v>31129</v>
      </c>
      <c r="F161" s="368">
        <v>875</v>
      </c>
      <c r="G161" s="368">
        <v>1786</v>
      </c>
      <c r="H161" s="368">
        <v>375</v>
      </c>
      <c r="I161" s="368">
        <v>2161</v>
      </c>
      <c r="K161" s="367">
        <v>0</v>
      </c>
      <c r="L161" s="350">
        <v>0.21</v>
      </c>
      <c r="M161" s="350">
        <v>0.03</v>
      </c>
      <c r="N161" s="351" t="str">
        <f t="shared" si="2"/>
        <v>2500014</v>
      </c>
    </row>
    <row r="162" spans="1:14" ht="23.25">
      <c r="A162" s="386" t="s">
        <v>60</v>
      </c>
      <c r="B162" s="387">
        <v>25000</v>
      </c>
      <c r="C162" s="365">
        <v>16</v>
      </c>
      <c r="D162" s="366">
        <v>7006</v>
      </c>
      <c r="E162" s="366">
        <v>32008</v>
      </c>
      <c r="F162" s="366">
        <v>1000</v>
      </c>
      <c r="G162" s="366">
        <v>1563</v>
      </c>
      <c r="H162" s="366">
        <v>375</v>
      </c>
      <c r="I162" s="366">
        <v>1938</v>
      </c>
      <c r="K162" s="365">
        <v>0</v>
      </c>
      <c r="L162" s="350">
        <v>0.21</v>
      </c>
      <c r="M162" s="350">
        <v>0.03</v>
      </c>
      <c r="N162" s="351" t="str">
        <f t="shared" si="2"/>
        <v>2500016</v>
      </c>
    </row>
    <row r="163" spans="1:14" ht="24" thickBot="1">
      <c r="A163" s="386" t="s">
        <v>60</v>
      </c>
      <c r="B163" s="387">
        <v>25000</v>
      </c>
      <c r="C163" s="367">
        <v>18</v>
      </c>
      <c r="D163" s="368">
        <v>7893</v>
      </c>
      <c r="E163" s="368">
        <v>32877</v>
      </c>
      <c r="F163" s="368">
        <v>1125</v>
      </c>
      <c r="G163" s="368">
        <v>1389</v>
      </c>
      <c r="H163" s="372">
        <v>375</v>
      </c>
      <c r="I163" s="368">
        <v>1764</v>
      </c>
      <c r="K163" s="367">
        <v>0</v>
      </c>
      <c r="L163" s="350">
        <v>0.21</v>
      </c>
      <c r="M163" s="350">
        <v>0.03</v>
      </c>
      <c r="N163" s="351" t="str">
        <f t="shared" si="2"/>
        <v>2500018</v>
      </c>
    </row>
    <row r="164" spans="1:14" ht="24" thickTop="1">
      <c r="A164" s="355" t="s">
        <v>60</v>
      </c>
      <c r="B164" s="356">
        <v>26000</v>
      </c>
      <c r="C164" s="396">
        <v>4</v>
      </c>
      <c r="D164" s="397">
        <v>1823</v>
      </c>
      <c r="E164" s="397">
        <v>27824</v>
      </c>
      <c r="F164" s="397">
        <v>260</v>
      </c>
      <c r="G164" s="397">
        <v>6500</v>
      </c>
      <c r="H164" s="397">
        <v>391</v>
      </c>
      <c r="I164" s="397">
        <v>6891</v>
      </c>
      <c r="K164" s="396">
        <v>0</v>
      </c>
      <c r="L164" s="350">
        <v>0.21</v>
      </c>
      <c r="M164" s="350">
        <v>0.03</v>
      </c>
      <c r="N164" s="351" t="str">
        <f t="shared" si="2"/>
        <v>260004</v>
      </c>
    </row>
    <row r="165" spans="1:14" ht="23.25">
      <c r="A165" s="360" t="s">
        <v>60</v>
      </c>
      <c r="B165" s="361">
        <v>26000</v>
      </c>
      <c r="C165" s="365">
        <v>6</v>
      </c>
      <c r="D165" s="366">
        <v>2733</v>
      </c>
      <c r="E165" s="366">
        <v>28734</v>
      </c>
      <c r="F165" s="366">
        <v>390</v>
      </c>
      <c r="G165" s="366">
        <v>4334</v>
      </c>
      <c r="H165" s="366">
        <v>390</v>
      </c>
      <c r="I165" s="366">
        <v>4724</v>
      </c>
      <c r="K165" s="365">
        <v>0</v>
      </c>
      <c r="L165" s="350">
        <v>0.21</v>
      </c>
      <c r="M165" s="350">
        <v>0.03</v>
      </c>
      <c r="N165" s="351" t="str">
        <f t="shared" si="2"/>
        <v>260006</v>
      </c>
    </row>
    <row r="166" spans="1:14" ht="23.25">
      <c r="A166" s="360" t="s">
        <v>60</v>
      </c>
      <c r="B166" s="361">
        <v>26000</v>
      </c>
      <c r="C166" s="367">
        <v>8</v>
      </c>
      <c r="D166" s="368">
        <v>3646</v>
      </c>
      <c r="E166" s="368">
        <v>29648</v>
      </c>
      <c r="F166" s="368">
        <v>520</v>
      </c>
      <c r="G166" s="368">
        <v>3250</v>
      </c>
      <c r="H166" s="364">
        <v>391</v>
      </c>
      <c r="I166" s="368">
        <v>3641</v>
      </c>
      <c r="K166" s="367">
        <v>0</v>
      </c>
      <c r="L166" s="350">
        <v>0.21</v>
      </c>
      <c r="M166" s="350">
        <v>0.03</v>
      </c>
      <c r="N166" s="351" t="str">
        <f t="shared" si="2"/>
        <v>260008</v>
      </c>
    </row>
    <row r="167" spans="1:14" ht="23.25">
      <c r="A167" s="360" t="s">
        <v>60</v>
      </c>
      <c r="B167" s="361">
        <v>26000</v>
      </c>
      <c r="C167" s="365">
        <v>10</v>
      </c>
      <c r="D167" s="366">
        <v>4557</v>
      </c>
      <c r="E167" s="366">
        <v>30560</v>
      </c>
      <c r="F167" s="366">
        <v>650</v>
      </c>
      <c r="G167" s="366">
        <v>2600</v>
      </c>
      <c r="H167" s="366">
        <v>391</v>
      </c>
      <c r="I167" s="366">
        <v>2991</v>
      </c>
      <c r="K167" s="365">
        <v>0</v>
      </c>
      <c r="L167" s="350">
        <v>0.21</v>
      </c>
      <c r="M167" s="350">
        <v>0.03</v>
      </c>
      <c r="N167" s="351" t="str">
        <f t="shared" si="2"/>
        <v>2600010</v>
      </c>
    </row>
    <row r="168" spans="1:14" ht="23.25">
      <c r="A168" s="360" t="s">
        <v>60</v>
      </c>
      <c r="B168" s="361">
        <v>26000</v>
      </c>
      <c r="C168" s="367">
        <v>12</v>
      </c>
      <c r="D168" s="368">
        <v>5461</v>
      </c>
      <c r="E168" s="368">
        <v>31464</v>
      </c>
      <c r="F168" s="368">
        <v>780</v>
      </c>
      <c r="G168" s="368">
        <v>2167</v>
      </c>
      <c r="H168" s="368">
        <v>390</v>
      </c>
      <c r="I168" s="368">
        <v>2557</v>
      </c>
      <c r="K168" s="367">
        <v>0</v>
      </c>
      <c r="L168" s="350">
        <v>0.21</v>
      </c>
      <c r="M168" s="350">
        <v>0.03</v>
      </c>
      <c r="N168" s="351" t="str">
        <f t="shared" si="2"/>
        <v>2600012</v>
      </c>
    </row>
    <row r="169" spans="1:14" ht="23.25">
      <c r="A169" s="360" t="s">
        <v>60</v>
      </c>
      <c r="B169" s="361">
        <v>26000</v>
      </c>
      <c r="C169" s="365">
        <v>14</v>
      </c>
      <c r="D169" s="366">
        <v>6378</v>
      </c>
      <c r="E169" s="366">
        <v>32382</v>
      </c>
      <c r="F169" s="366">
        <v>910</v>
      </c>
      <c r="G169" s="366">
        <v>1858</v>
      </c>
      <c r="H169" s="366">
        <v>390</v>
      </c>
      <c r="I169" s="366">
        <v>2248</v>
      </c>
      <c r="K169" s="365">
        <v>0</v>
      </c>
      <c r="L169" s="350">
        <v>0.21</v>
      </c>
      <c r="M169" s="350">
        <v>0.03</v>
      </c>
      <c r="N169" s="351" t="str">
        <f t="shared" si="2"/>
        <v>2600014</v>
      </c>
    </row>
    <row r="170" spans="1:14" ht="23.25">
      <c r="A170" s="360" t="s">
        <v>60</v>
      </c>
      <c r="B170" s="361">
        <v>26000</v>
      </c>
      <c r="C170" s="367">
        <v>16</v>
      </c>
      <c r="D170" s="368">
        <v>7291</v>
      </c>
      <c r="E170" s="368">
        <v>33296</v>
      </c>
      <c r="F170" s="368">
        <v>1040</v>
      </c>
      <c r="G170" s="368">
        <v>1625</v>
      </c>
      <c r="H170" s="368">
        <v>391</v>
      </c>
      <c r="I170" s="368">
        <v>2016</v>
      </c>
      <c r="K170" s="367">
        <v>0</v>
      </c>
      <c r="L170" s="350">
        <v>0.21</v>
      </c>
      <c r="M170" s="350">
        <v>0.03</v>
      </c>
      <c r="N170" s="351" t="str">
        <f t="shared" si="2"/>
        <v>2600016</v>
      </c>
    </row>
    <row r="171" spans="1:14" ht="24" thickBot="1">
      <c r="A171" s="360" t="s">
        <v>60</v>
      </c>
      <c r="B171" s="361">
        <v>26000</v>
      </c>
      <c r="C171" s="365">
        <v>18</v>
      </c>
      <c r="D171" s="366">
        <v>8195</v>
      </c>
      <c r="E171" s="366">
        <v>34200</v>
      </c>
      <c r="F171" s="366">
        <v>1170</v>
      </c>
      <c r="G171" s="366">
        <v>1445</v>
      </c>
      <c r="H171" s="366">
        <v>390</v>
      </c>
      <c r="I171" s="366">
        <v>1835</v>
      </c>
      <c r="K171" s="365">
        <v>0</v>
      </c>
      <c r="L171" s="350">
        <v>0.21</v>
      </c>
      <c r="M171" s="350">
        <v>0.03</v>
      </c>
      <c r="N171" s="351" t="str">
        <f t="shared" si="2"/>
        <v>2600018</v>
      </c>
    </row>
    <row r="172" spans="1:14" ht="24" thickTop="1">
      <c r="A172" s="384" t="s">
        <v>60</v>
      </c>
      <c r="B172" s="385">
        <v>27000</v>
      </c>
      <c r="C172" s="357">
        <v>4</v>
      </c>
      <c r="D172" s="358">
        <v>1893</v>
      </c>
      <c r="E172" s="358">
        <v>28894</v>
      </c>
      <c r="F172" s="358">
        <v>270</v>
      </c>
      <c r="G172" s="358">
        <v>6750</v>
      </c>
      <c r="H172" s="358">
        <v>406</v>
      </c>
      <c r="I172" s="358">
        <v>7156</v>
      </c>
      <c r="K172" s="357">
        <v>0</v>
      </c>
      <c r="L172" s="350">
        <v>0.21</v>
      </c>
      <c r="M172" s="350">
        <v>0.03</v>
      </c>
      <c r="N172" s="351" t="str">
        <f t="shared" si="2"/>
        <v>270004</v>
      </c>
    </row>
    <row r="173" spans="1:14" ht="23.25">
      <c r="A173" s="386" t="s">
        <v>60</v>
      </c>
      <c r="B173" s="387">
        <v>27000</v>
      </c>
      <c r="C173" s="388">
        <v>6</v>
      </c>
      <c r="D173" s="364">
        <v>2839</v>
      </c>
      <c r="E173" s="364">
        <v>29841</v>
      </c>
      <c r="F173" s="364">
        <v>405</v>
      </c>
      <c r="G173" s="364">
        <v>4500</v>
      </c>
      <c r="H173" s="364">
        <v>406</v>
      </c>
      <c r="I173" s="364">
        <v>4906</v>
      </c>
      <c r="K173" s="388">
        <v>0</v>
      </c>
      <c r="L173" s="350">
        <v>0.21</v>
      </c>
      <c r="M173" s="350">
        <v>0.03</v>
      </c>
      <c r="N173" s="351" t="str">
        <f t="shared" si="2"/>
        <v>270006</v>
      </c>
    </row>
    <row r="174" spans="1:14" ht="23.25">
      <c r="A174" s="386" t="s">
        <v>60</v>
      </c>
      <c r="B174" s="387">
        <v>27000</v>
      </c>
      <c r="C174" s="365">
        <v>8</v>
      </c>
      <c r="D174" s="366">
        <v>3785</v>
      </c>
      <c r="E174" s="366">
        <v>30788</v>
      </c>
      <c r="F174" s="366">
        <v>540</v>
      </c>
      <c r="G174" s="366">
        <v>3375</v>
      </c>
      <c r="H174" s="366">
        <v>406</v>
      </c>
      <c r="I174" s="366">
        <v>3781</v>
      </c>
      <c r="K174" s="365">
        <v>0</v>
      </c>
      <c r="L174" s="350">
        <v>0.21</v>
      </c>
      <c r="M174" s="350">
        <v>0.03</v>
      </c>
      <c r="N174" s="351" t="str">
        <f t="shared" si="2"/>
        <v>270008</v>
      </c>
    </row>
    <row r="175" spans="1:14" ht="23.25">
      <c r="A175" s="386" t="s">
        <v>60</v>
      </c>
      <c r="B175" s="387">
        <v>27000</v>
      </c>
      <c r="C175" s="367">
        <v>10</v>
      </c>
      <c r="D175" s="368">
        <v>4731</v>
      </c>
      <c r="E175" s="368">
        <v>31735</v>
      </c>
      <c r="F175" s="368">
        <v>675</v>
      </c>
      <c r="G175" s="368">
        <v>2700</v>
      </c>
      <c r="H175" s="368">
        <v>406</v>
      </c>
      <c r="I175" s="368">
        <v>3106</v>
      </c>
      <c r="K175" s="367">
        <v>0</v>
      </c>
      <c r="L175" s="350">
        <v>0.21</v>
      </c>
      <c r="M175" s="350">
        <v>0.03</v>
      </c>
      <c r="N175" s="351" t="str">
        <f t="shared" si="2"/>
        <v>2700010</v>
      </c>
    </row>
    <row r="176" spans="1:14" ht="23.25">
      <c r="A176" s="386" t="s">
        <v>60</v>
      </c>
      <c r="B176" s="387">
        <v>27000</v>
      </c>
      <c r="C176" s="365">
        <v>12</v>
      </c>
      <c r="D176" s="366">
        <v>5677</v>
      </c>
      <c r="E176" s="366">
        <v>32682</v>
      </c>
      <c r="F176" s="366">
        <v>810</v>
      </c>
      <c r="G176" s="366">
        <v>2250</v>
      </c>
      <c r="H176" s="366">
        <v>406</v>
      </c>
      <c r="I176" s="366">
        <v>2656</v>
      </c>
      <c r="K176" s="365">
        <v>0</v>
      </c>
      <c r="L176" s="350">
        <v>0.21</v>
      </c>
      <c r="M176" s="350">
        <v>0.03</v>
      </c>
      <c r="N176" s="351" t="str">
        <f t="shared" si="2"/>
        <v>2700012</v>
      </c>
    </row>
    <row r="177" spans="1:14" ht="23.25">
      <c r="A177" s="386" t="s">
        <v>60</v>
      </c>
      <c r="B177" s="387">
        <v>27000</v>
      </c>
      <c r="C177" s="367">
        <v>14</v>
      </c>
      <c r="D177" s="368">
        <v>6629</v>
      </c>
      <c r="E177" s="368">
        <v>33621</v>
      </c>
      <c r="F177" s="368">
        <v>945</v>
      </c>
      <c r="G177" s="368">
        <v>1929</v>
      </c>
      <c r="H177" s="368">
        <v>405</v>
      </c>
      <c r="I177" s="368">
        <v>2334</v>
      </c>
      <c r="K177" s="367">
        <v>0</v>
      </c>
      <c r="L177" s="350">
        <v>0.21</v>
      </c>
      <c r="M177" s="350">
        <v>0.03</v>
      </c>
      <c r="N177" s="351" t="str">
        <f t="shared" si="2"/>
        <v>2700014</v>
      </c>
    </row>
    <row r="178" spans="1:14" ht="23.25">
      <c r="A178" s="386" t="s">
        <v>60</v>
      </c>
      <c r="B178" s="387">
        <v>27000</v>
      </c>
      <c r="C178" s="365">
        <v>16</v>
      </c>
      <c r="D178" s="366">
        <v>7561</v>
      </c>
      <c r="E178" s="366">
        <v>34568</v>
      </c>
      <c r="F178" s="366">
        <v>1080</v>
      </c>
      <c r="G178" s="366">
        <v>1688</v>
      </c>
      <c r="H178" s="366">
        <v>405</v>
      </c>
      <c r="I178" s="366">
        <v>2093</v>
      </c>
      <c r="K178" s="365">
        <v>0</v>
      </c>
      <c r="L178" s="350">
        <v>0.21</v>
      </c>
      <c r="M178" s="350">
        <v>0.03</v>
      </c>
      <c r="N178" s="351" t="str">
        <f t="shared" si="2"/>
        <v>2700016</v>
      </c>
    </row>
    <row r="179" spans="1:14" ht="24" thickBot="1">
      <c r="A179" s="386" t="s">
        <v>60</v>
      </c>
      <c r="B179" s="387">
        <v>27000</v>
      </c>
      <c r="C179" s="367">
        <v>18</v>
      </c>
      <c r="D179" s="368">
        <v>8515</v>
      </c>
      <c r="E179" s="368">
        <v>35523</v>
      </c>
      <c r="F179" s="368">
        <v>1215</v>
      </c>
      <c r="G179" s="368">
        <v>1500</v>
      </c>
      <c r="H179" s="372">
        <v>406</v>
      </c>
      <c r="I179" s="368">
        <v>1906</v>
      </c>
      <c r="K179" s="367">
        <v>0</v>
      </c>
      <c r="L179" s="350">
        <v>0.21</v>
      </c>
      <c r="M179" s="350">
        <v>0.03</v>
      </c>
      <c r="N179" s="351" t="str">
        <f t="shared" si="2"/>
        <v>2700018</v>
      </c>
    </row>
    <row r="180" spans="1:14" ht="24" thickTop="1">
      <c r="A180" s="355" t="s">
        <v>60</v>
      </c>
      <c r="B180" s="356">
        <v>28000</v>
      </c>
      <c r="C180" s="396">
        <v>4</v>
      </c>
      <c r="D180" s="397">
        <v>1962</v>
      </c>
      <c r="E180" s="397">
        <v>29964</v>
      </c>
      <c r="F180" s="397">
        <v>280</v>
      </c>
      <c r="G180" s="397">
        <v>7000</v>
      </c>
      <c r="H180" s="397">
        <v>421</v>
      </c>
      <c r="I180" s="397">
        <v>7421</v>
      </c>
      <c r="K180" s="396">
        <v>0</v>
      </c>
      <c r="L180" s="350">
        <v>0.21</v>
      </c>
      <c r="M180" s="350">
        <v>0.03</v>
      </c>
      <c r="N180" s="351" t="str">
        <f t="shared" si="2"/>
        <v>280004</v>
      </c>
    </row>
    <row r="181" spans="1:14" ht="23.25">
      <c r="A181" s="360" t="s">
        <v>60</v>
      </c>
      <c r="B181" s="361">
        <v>28000</v>
      </c>
      <c r="C181" s="365">
        <v>6</v>
      </c>
      <c r="D181" s="366">
        <v>2945</v>
      </c>
      <c r="E181" s="366">
        <v>30942</v>
      </c>
      <c r="F181" s="366">
        <v>420</v>
      </c>
      <c r="G181" s="366">
        <v>4667</v>
      </c>
      <c r="H181" s="366">
        <v>420</v>
      </c>
      <c r="I181" s="366">
        <v>5087</v>
      </c>
      <c r="K181" s="365">
        <v>0</v>
      </c>
      <c r="L181" s="350">
        <v>0.21</v>
      </c>
      <c r="M181" s="350">
        <v>0.03</v>
      </c>
      <c r="N181" s="351" t="str">
        <f t="shared" si="2"/>
        <v>280006</v>
      </c>
    </row>
    <row r="182" spans="1:14" ht="23.25">
      <c r="A182" s="360" t="s">
        <v>60</v>
      </c>
      <c r="B182" s="361">
        <v>28000</v>
      </c>
      <c r="C182" s="367">
        <v>8</v>
      </c>
      <c r="D182" s="368">
        <v>3923</v>
      </c>
      <c r="E182" s="368">
        <v>31928</v>
      </c>
      <c r="F182" s="368">
        <v>560</v>
      </c>
      <c r="G182" s="368">
        <v>3500</v>
      </c>
      <c r="H182" s="364">
        <v>421</v>
      </c>
      <c r="I182" s="368">
        <v>3921</v>
      </c>
      <c r="K182" s="367">
        <v>0</v>
      </c>
      <c r="L182" s="350">
        <v>0.21</v>
      </c>
      <c r="M182" s="350">
        <v>0.03</v>
      </c>
      <c r="N182" s="351" t="str">
        <f t="shared" si="2"/>
        <v>280008</v>
      </c>
    </row>
    <row r="183" spans="1:14" ht="23.25">
      <c r="A183" s="360" t="s">
        <v>60</v>
      </c>
      <c r="B183" s="361">
        <v>28000</v>
      </c>
      <c r="C183" s="365">
        <v>10</v>
      </c>
      <c r="D183" s="366">
        <v>4904</v>
      </c>
      <c r="E183" s="366">
        <v>32910</v>
      </c>
      <c r="F183" s="366">
        <v>700</v>
      </c>
      <c r="G183" s="366">
        <v>2800</v>
      </c>
      <c r="H183" s="366">
        <v>421</v>
      </c>
      <c r="I183" s="366">
        <v>3221</v>
      </c>
      <c r="K183" s="365">
        <v>0</v>
      </c>
      <c r="L183" s="350">
        <v>0.21</v>
      </c>
      <c r="M183" s="350">
        <v>0.03</v>
      </c>
      <c r="N183" s="351" t="str">
        <f t="shared" si="2"/>
        <v>2800010</v>
      </c>
    </row>
    <row r="184" spans="1:14" ht="23.25">
      <c r="A184" s="360" t="s">
        <v>60</v>
      </c>
      <c r="B184" s="361">
        <v>28000</v>
      </c>
      <c r="C184" s="367">
        <v>12</v>
      </c>
      <c r="D184" s="368">
        <v>5881</v>
      </c>
      <c r="E184" s="368">
        <v>33888</v>
      </c>
      <c r="F184" s="368">
        <v>840</v>
      </c>
      <c r="G184" s="368">
        <v>2334</v>
      </c>
      <c r="H184" s="368">
        <v>420</v>
      </c>
      <c r="I184" s="368">
        <v>2754</v>
      </c>
      <c r="K184" s="367">
        <v>0</v>
      </c>
      <c r="L184" s="350">
        <v>0.21</v>
      </c>
      <c r="M184" s="350">
        <v>0.03</v>
      </c>
      <c r="N184" s="351" t="str">
        <f t="shared" si="2"/>
        <v>2800012</v>
      </c>
    </row>
    <row r="185" spans="1:14" ht="23.25">
      <c r="A185" s="360" t="s">
        <v>60</v>
      </c>
      <c r="B185" s="361">
        <v>28000</v>
      </c>
      <c r="C185" s="365">
        <v>14</v>
      </c>
      <c r="D185" s="366">
        <v>6865</v>
      </c>
      <c r="E185" s="366">
        <v>34874</v>
      </c>
      <c r="F185" s="366">
        <v>980</v>
      </c>
      <c r="G185" s="366">
        <v>2000</v>
      </c>
      <c r="H185" s="366">
        <v>421</v>
      </c>
      <c r="I185" s="366">
        <v>2421</v>
      </c>
      <c r="K185" s="365">
        <v>0</v>
      </c>
      <c r="L185" s="350">
        <v>0.21</v>
      </c>
      <c r="M185" s="350">
        <v>0.03</v>
      </c>
      <c r="N185" s="351" t="str">
        <f t="shared" si="2"/>
        <v>2800014</v>
      </c>
    </row>
    <row r="186" spans="1:14" ht="23.25">
      <c r="A186" s="360" t="s">
        <v>60</v>
      </c>
      <c r="B186" s="361">
        <v>28000</v>
      </c>
      <c r="C186" s="367">
        <v>16</v>
      </c>
      <c r="D186" s="368">
        <v>7846</v>
      </c>
      <c r="E186" s="368">
        <v>35856</v>
      </c>
      <c r="F186" s="368">
        <v>1120</v>
      </c>
      <c r="G186" s="368">
        <v>1750</v>
      </c>
      <c r="H186" s="368">
        <v>421</v>
      </c>
      <c r="I186" s="368">
        <v>2171</v>
      </c>
      <c r="K186" s="367">
        <v>0</v>
      </c>
      <c r="L186" s="350">
        <v>0.21</v>
      </c>
      <c r="M186" s="350">
        <v>0.03</v>
      </c>
      <c r="N186" s="351" t="str">
        <f t="shared" si="2"/>
        <v>2800016</v>
      </c>
    </row>
    <row r="187" spans="1:14" ht="24" thickBot="1">
      <c r="A187" s="360" t="s">
        <v>60</v>
      </c>
      <c r="B187" s="361">
        <v>28000</v>
      </c>
      <c r="C187" s="365">
        <v>18</v>
      </c>
      <c r="D187" s="366">
        <v>8835</v>
      </c>
      <c r="E187" s="366">
        <v>36828</v>
      </c>
      <c r="F187" s="366">
        <v>1260</v>
      </c>
      <c r="G187" s="366">
        <v>1556</v>
      </c>
      <c r="H187" s="366">
        <v>420</v>
      </c>
      <c r="I187" s="366">
        <v>1976</v>
      </c>
      <c r="K187" s="365">
        <v>0</v>
      </c>
      <c r="L187" s="350">
        <v>0.21</v>
      </c>
      <c r="M187" s="350">
        <v>0.03</v>
      </c>
      <c r="N187" s="351" t="str">
        <f t="shared" si="2"/>
        <v>2800018</v>
      </c>
    </row>
    <row r="188" spans="1:14" ht="24" thickTop="1">
      <c r="A188" s="384" t="s">
        <v>60</v>
      </c>
      <c r="B188" s="385">
        <v>29000</v>
      </c>
      <c r="C188" s="357">
        <v>4</v>
      </c>
      <c r="D188" s="358">
        <v>2031</v>
      </c>
      <c r="E188" s="358">
        <v>31034</v>
      </c>
      <c r="F188" s="358">
        <v>290</v>
      </c>
      <c r="G188" s="358">
        <v>7250</v>
      </c>
      <c r="H188" s="358">
        <v>436</v>
      </c>
      <c r="I188" s="358">
        <v>7686</v>
      </c>
      <c r="K188" s="357">
        <v>0</v>
      </c>
      <c r="L188" s="350">
        <v>0.21</v>
      </c>
      <c r="M188" s="350">
        <v>0.03</v>
      </c>
      <c r="N188" s="351" t="str">
        <f t="shared" si="2"/>
        <v>290004</v>
      </c>
    </row>
    <row r="189" spans="1:14" ht="23.25">
      <c r="A189" s="386" t="s">
        <v>60</v>
      </c>
      <c r="B189" s="387">
        <v>29000</v>
      </c>
      <c r="C189" s="388">
        <v>6</v>
      </c>
      <c r="D189" s="364">
        <v>3051</v>
      </c>
      <c r="E189" s="364">
        <v>32049</v>
      </c>
      <c r="F189" s="364">
        <v>435</v>
      </c>
      <c r="G189" s="364">
        <v>4834</v>
      </c>
      <c r="H189" s="364">
        <v>435</v>
      </c>
      <c r="I189" s="364">
        <v>5269</v>
      </c>
      <c r="K189" s="388">
        <v>0</v>
      </c>
      <c r="L189" s="350">
        <v>0.21</v>
      </c>
      <c r="M189" s="350">
        <v>0.03</v>
      </c>
      <c r="N189" s="351" t="str">
        <f t="shared" si="2"/>
        <v>290006</v>
      </c>
    </row>
    <row r="190" spans="1:14" ht="23.25">
      <c r="A190" s="386" t="s">
        <v>60</v>
      </c>
      <c r="B190" s="387">
        <v>29000</v>
      </c>
      <c r="C190" s="365">
        <v>8</v>
      </c>
      <c r="D190" s="366">
        <v>4062</v>
      </c>
      <c r="E190" s="366">
        <v>33068</v>
      </c>
      <c r="F190" s="366">
        <v>580</v>
      </c>
      <c r="G190" s="366">
        <v>3625</v>
      </c>
      <c r="H190" s="366">
        <v>436</v>
      </c>
      <c r="I190" s="366">
        <v>4061</v>
      </c>
      <c r="K190" s="365">
        <v>0</v>
      </c>
      <c r="L190" s="350">
        <v>0.21</v>
      </c>
      <c r="M190" s="350">
        <v>0.03</v>
      </c>
      <c r="N190" s="351" t="str">
        <f t="shared" si="2"/>
        <v>290008</v>
      </c>
    </row>
    <row r="191" spans="1:14" ht="23.25">
      <c r="A191" s="386" t="s">
        <v>60</v>
      </c>
      <c r="B191" s="387">
        <v>29000</v>
      </c>
      <c r="C191" s="367">
        <v>10</v>
      </c>
      <c r="D191" s="368">
        <v>5077</v>
      </c>
      <c r="E191" s="368">
        <v>34085</v>
      </c>
      <c r="F191" s="368">
        <v>725</v>
      </c>
      <c r="G191" s="368">
        <v>2900</v>
      </c>
      <c r="H191" s="368">
        <v>436</v>
      </c>
      <c r="I191" s="368">
        <v>3336</v>
      </c>
      <c r="K191" s="367">
        <v>0</v>
      </c>
      <c r="L191" s="350">
        <v>0.21</v>
      </c>
      <c r="M191" s="350">
        <v>0.03</v>
      </c>
      <c r="N191" s="351" t="str">
        <f t="shared" si="2"/>
        <v>2900010</v>
      </c>
    </row>
    <row r="192" spans="1:14" ht="23.25">
      <c r="A192" s="386" t="s">
        <v>60</v>
      </c>
      <c r="B192" s="387">
        <v>29000</v>
      </c>
      <c r="C192" s="365">
        <v>12</v>
      </c>
      <c r="D192" s="366">
        <v>6097</v>
      </c>
      <c r="E192" s="366">
        <v>35094</v>
      </c>
      <c r="F192" s="366">
        <v>870</v>
      </c>
      <c r="G192" s="366">
        <v>2417</v>
      </c>
      <c r="H192" s="366">
        <v>435</v>
      </c>
      <c r="I192" s="366">
        <v>2852</v>
      </c>
      <c r="K192" s="365">
        <v>0</v>
      </c>
      <c r="L192" s="350">
        <v>0.21</v>
      </c>
      <c r="M192" s="350">
        <v>0.03</v>
      </c>
      <c r="N192" s="351" t="str">
        <f t="shared" si="2"/>
        <v>2900012</v>
      </c>
    </row>
    <row r="193" spans="1:14" ht="23.25">
      <c r="A193" s="386" t="s">
        <v>60</v>
      </c>
      <c r="B193" s="387">
        <v>29000</v>
      </c>
      <c r="C193" s="367">
        <v>14</v>
      </c>
      <c r="D193" s="368">
        <v>7116</v>
      </c>
      <c r="E193" s="368">
        <v>36113</v>
      </c>
      <c r="F193" s="368">
        <v>1015</v>
      </c>
      <c r="G193" s="368">
        <v>2072</v>
      </c>
      <c r="H193" s="368">
        <v>435</v>
      </c>
      <c r="I193" s="368">
        <v>2507</v>
      </c>
      <c r="K193" s="367">
        <v>0</v>
      </c>
      <c r="L193" s="350">
        <v>0.21</v>
      </c>
      <c r="M193" s="350">
        <v>0.03</v>
      </c>
      <c r="N193" s="351" t="str">
        <f t="shared" si="2"/>
        <v>2900014</v>
      </c>
    </row>
    <row r="194" spans="1:14" ht="23.25">
      <c r="A194" s="386" t="s">
        <v>60</v>
      </c>
      <c r="B194" s="387">
        <v>29000</v>
      </c>
      <c r="C194" s="365">
        <v>16</v>
      </c>
      <c r="D194" s="366">
        <v>8131</v>
      </c>
      <c r="E194" s="366">
        <v>37128</v>
      </c>
      <c r="F194" s="366">
        <v>1160</v>
      </c>
      <c r="G194" s="366">
        <v>1813</v>
      </c>
      <c r="H194" s="366">
        <v>435</v>
      </c>
      <c r="I194" s="366">
        <v>2248</v>
      </c>
      <c r="K194" s="365">
        <v>0</v>
      </c>
      <c r="L194" s="350">
        <v>0.21</v>
      </c>
      <c r="M194" s="350">
        <v>0.03</v>
      </c>
      <c r="N194" s="351" t="str">
        <f t="shared" si="2"/>
        <v>2900016</v>
      </c>
    </row>
    <row r="195" spans="1:14" ht="24" thickBot="1">
      <c r="A195" s="386" t="s">
        <v>60</v>
      </c>
      <c r="B195" s="387">
        <v>29000</v>
      </c>
      <c r="C195" s="367">
        <v>18</v>
      </c>
      <c r="D195" s="368">
        <v>9137</v>
      </c>
      <c r="E195" s="368">
        <v>38151</v>
      </c>
      <c r="F195" s="368">
        <v>1305</v>
      </c>
      <c r="G195" s="368">
        <v>1612</v>
      </c>
      <c r="H195" s="372">
        <v>435</v>
      </c>
      <c r="I195" s="368">
        <v>2047</v>
      </c>
      <c r="K195" s="367">
        <v>0</v>
      </c>
      <c r="L195" s="350">
        <v>0.21</v>
      </c>
      <c r="M195" s="350">
        <v>0.03</v>
      </c>
      <c r="N195" s="351" t="str">
        <f t="shared" si="2"/>
        <v>2900018</v>
      </c>
    </row>
    <row r="196" spans="1:14" ht="24" thickTop="1">
      <c r="A196" s="355" t="s">
        <v>60</v>
      </c>
      <c r="B196" s="356">
        <v>30000</v>
      </c>
      <c r="C196" s="396">
        <v>4</v>
      </c>
      <c r="D196" s="397">
        <v>2101</v>
      </c>
      <c r="E196" s="397">
        <v>32104</v>
      </c>
      <c r="F196" s="397">
        <v>300</v>
      </c>
      <c r="G196" s="397">
        <v>7500</v>
      </c>
      <c r="H196" s="397">
        <v>451</v>
      </c>
      <c r="I196" s="397">
        <v>7951</v>
      </c>
      <c r="K196" s="396">
        <v>0</v>
      </c>
      <c r="L196" s="350">
        <v>0.21</v>
      </c>
      <c r="M196" s="350">
        <v>0.03</v>
      </c>
      <c r="N196" s="351" t="str">
        <f t="shared" si="2"/>
        <v>300004</v>
      </c>
    </row>
    <row r="197" spans="1:14" ht="23.25">
      <c r="A197" s="360" t="s">
        <v>60</v>
      </c>
      <c r="B197" s="361">
        <v>30000</v>
      </c>
      <c r="C197" s="365">
        <v>6</v>
      </c>
      <c r="D197" s="366">
        <v>3151</v>
      </c>
      <c r="E197" s="366">
        <v>33156</v>
      </c>
      <c r="F197" s="366">
        <v>450</v>
      </c>
      <c r="G197" s="366">
        <v>5000</v>
      </c>
      <c r="H197" s="366">
        <v>451</v>
      </c>
      <c r="I197" s="366">
        <v>5451</v>
      </c>
      <c r="K197" s="365">
        <v>0</v>
      </c>
      <c r="L197" s="350">
        <v>0.21</v>
      </c>
      <c r="M197" s="350">
        <v>0.03</v>
      </c>
      <c r="N197" s="351" t="str">
        <f t="shared" ref="N197:N260" si="3">CONCATENATE(B197,C197)</f>
        <v>300006</v>
      </c>
    </row>
    <row r="198" spans="1:14" ht="23.25">
      <c r="A198" s="360" t="s">
        <v>60</v>
      </c>
      <c r="B198" s="361">
        <v>30000</v>
      </c>
      <c r="C198" s="367">
        <v>8</v>
      </c>
      <c r="D198" s="368">
        <v>4201</v>
      </c>
      <c r="E198" s="368">
        <v>34208</v>
      </c>
      <c r="F198" s="368">
        <v>600</v>
      </c>
      <c r="G198" s="368">
        <v>3750</v>
      </c>
      <c r="H198" s="364">
        <v>451</v>
      </c>
      <c r="I198" s="368">
        <v>4201</v>
      </c>
      <c r="K198" s="367">
        <v>0</v>
      </c>
      <c r="L198" s="350">
        <v>0.21</v>
      </c>
      <c r="M198" s="350">
        <v>0.03</v>
      </c>
      <c r="N198" s="351" t="str">
        <f t="shared" si="3"/>
        <v>300008</v>
      </c>
    </row>
    <row r="199" spans="1:14" ht="23.25">
      <c r="A199" s="360" t="s">
        <v>60</v>
      </c>
      <c r="B199" s="361">
        <v>30000</v>
      </c>
      <c r="C199" s="365">
        <v>10</v>
      </c>
      <c r="D199" s="366">
        <v>5251</v>
      </c>
      <c r="E199" s="366">
        <v>35260</v>
      </c>
      <c r="F199" s="366">
        <v>750</v>
      </c>
      <c r="G199" s="366">
        <v>3000</v>
      </c>
      <c r="H199" s="366">
        <v>451</v>
      </c>
      <c r="I199" s="366">
        <v>3451</v>
      </c>
      <c r="K199" s="365">
        <v>0</v>
      </c>
      <c r="L199" s="350">
        <v>0.21</v>
      </c>
      <c r="M199" s="350">
        <v>0.03</v>
      </c>
      <c r="N199" s="351" t="str">
        <f t="shared" si="3"/>
        <v>3000010</v>
      </c>
    </row>
    <row r="200" spans="1:14" ht="23.25">
      <c r="A200" s="360" t="s">
        <v>60</v>
      </c>
      <c r="B200" s="361">
        <v>30000</v>
      </c>
      <c r="C200" s="367">
        <v>12</v>
      </c>
      <c r="D200" s="368">
        <v>6301</v>
      </c>
      <c r="E200" s="368">
        <v>36312</v>
      </c>
      <c r="F200" s="368">
        <v>900</v>
      </c>
      <c r="G200" s="368">
        <v>2500</v>
      </c>
      <c r="H200" s="368">
        <v>451</v>
      </c>
      <c r="I200" s="368">
        <v>2951</v>
      </c>
      <c r="K200" s="367">
        <v>0</v>
      </c>
      <c r="L200" s="350">
        <v>0.21</v>
      </c>
      <c r="M200" s="350">
        <v>0.03</v>
      </c>
      <c r="N200" s="351" t="str">
        <f t="shared" si="3"/>
        <v>3000012</v>
      </c>
    </row>
    <row r="201" spans="1:14" ht="23.25">
      <c r="A201" s="360" t="s">
        <v>60</v>
      </c>
      <c r="B201" s="361">
        <v>30000</v>
      </c>
      <c r="C201" s="365">
        <v>14</v>
      </c>
      <c r="D201" s="366">
        <v>7353</v>
      </c>
      <c r="E201" s="366">
        <v>37352</v>
      </c>
      <c r="F201" s="366">
        <v>1050</v>
      </c>
      <c r="G201" s="366">
        <v>2143</v>
      </c>
      <c r="H201" s="366">
        <v>450</v>
      </c>
      <c r="I201" s="366">
        <v>2593</v>
      </c>
      <c r="K201" s="365">
        <v>0</v>
      </c>
      <c r="L201" s="350">
        <v>0.21</v>
      </c>
      <c r="M201" s="350">
        <v>0.03</v>
      </c>
      <c r="N201" s="351" t="str">
        <f t="shared" si="3"/>
        <v>3000014</v>
      </c>
    </row>
    <row r="202" spans="1:14" ht="23.25">
      <c r="A202" s="360" t="s">
        <v>60</v>
      </c>
      <c r="B202" s="361">
        <v>30000</v>
      </c>
      <c r="C202" s="367">
        <v>16</v>
      </c>
      <c r="D202" s="368">
        <v>8401</v>
      </c>
      <c r="E202" s="368">
        <v>38416</v>
      </c>
      <c r="F202" s="368">
        <v>1200</v>
      </c>
      <c r="G202" s="368">
        <v>1875</v>
      </c>
      <c r="H202" s="368">
        <v>451</v>
      </c>
      <c r="I202" s="368">
        <v>2326</v>
      </c>
      <c r="K202" s="367">
        <v>0</v>
      </c>
      <c r="L202" s="350">
        <v>0.21</v>
      </c>
      <c r="M202" s="350">
        <v>0.03</v>
      </c>
      <c r="N202" s="351" t="str">
        <f t="shared" si="3"/>
        <v>3000016</v>
      </c>
    </row>
    <row r="203" spans="1:14" ht="24" thickBot="1">
      <c r="A203" s="360" t="s">
        <v>60</v>
      </c>
      <c r="B203" s="361">
        <v>30000</v>
      </c>
      <c r="C203" s="365">
        <v>18</v>
      </c>
      <c r="D203" s="366">
        <v>9457</v>
      </c>
      <c r="E203" s="366">
        <v>39456</v>
      </c>
      <c r="F203" s="366">
        <v>1350</v>
      </c>
      <c r="G203" s="366">
        <v>1667</v>
      </c>
      <c r="H203" s="366">
        <v>450</v>
      </c>
      <c r="I203" s="366">
        <v>2117</v>
      </c>
      <c r="K203" s="365">
        <v>0</v>
      </c>
      <c r="L203" s="350">
        <v>0.21</v>
      </c>
      <c r="M203" s="350">
        <v>0.03</v>
      </c>
      <c r="N203" s="351" t="str">
        <f t="shared" si="3"/>
        <v>3000018</v>
      </c>
    </row>
    <row r="204" spans="1:14" ht="24" thickTop="1">
      <c r="A204" s="384" t="s">
        <v>60</v>
      </c>
      <c r="B204" s="385">
        <v>31000</v>
      </c>
      <c r="C204" s="357">
        <v>4</v>
      </c>
      <c r="D204" s="358">
        <v>2174</v>
      </c>
      <c r="E204" s="358">
        <v>33174</v>
      </c>
      <c r="F204" s="358">
        <v>310</v>
      </c>
      <c r="G204" s="358">
        <v>7750</v>
      </c>
      <c r="H204" s="358">
        <v>466</v>
      </c>
      <c r="I204" s="358">
        <v>8216</v>
      </c>
      <c r="K204" s="357">
        <v>0</v>
      </c>
      <c r="L204" s="350">
        <v>0.21</v>
      </c>
      <c r="M204" s="350">
        <v>0.03</v>
      </c>
      <c r="N204" s="351" t="str">
        <f t="shared" si="3"/>
        <v>310004</v>
      </c>
    </row>
    <row r="205" spans="1:14" ht="23.25">
      <c r="A205" s="386" t="s">
        <v>60</v>
      </c>
      <c r="B205" s="387">
        <v>31000</v>
      </c>
      <c r="C205" s="388">
        <v>6</v>
      </c>
      <c r="D205" s="364">
        <v>3257</v>
      </c>
      <c r="E205" s="364">
        <v>34257</v>
      </c>
      <c r="F205" s="364">
        <v>465</v>
      </c>
      <c r="G205" s="364">
        <v>5167</v>
      </c>
      <c r="H205" s="364">
        <v>465</v>
      </c>
      <c r="I205" s="364">
        <v>5632</v>
      </c>
      <c r="K205" s="388">
        <v>0</v>
      </c>
      <c r="L205" s="350">
        <v>0.21</v>
      </c>
      <c r="M205" s="350">
        <v>0.03</v>
      </c>
      <c r="N205" s="351" t="str">
        <f t="shared" si="3"/>
        <v>310006</v>
      </c>
    </row>
    <row r="206" spans="1:14" ht="23.25">
      <c r="A206" s="386" t="s">
        <v>60</v>
      </c>
      <c r="B206" s="387">
        <v>31000</v>
      </c>
      <c r="C206" s="365">
        <v>8</v>
      </c>
      <c r="D206" s="366">
        <v>4347</v>
      </c>
      <c r="E206" s="366">
        <v>35348</v>
      </c>
      <c r="F206" s="366">
        <v>620</v>
      </c>
      <c r="G206" s="366">
        <v>3875</v>
      </c>
      <c r="H206" s="366">
        <v>466</v>
      </c>
      <c r="I206" s="366">
        <v>4341</v>
      </c>
      <c r="K206" s="365">
        <v>0</v>
      </c>
      <c r="L206" s="350">
        <v>0.21</v>
      </c>
      <c r="M206" s="350">
        <v>0.03</v>
      </c>
      <c r="N206" s="351" t="str">
        <f t="shared" si="3"/>
        <v>310008</v>
      </c>
    </row>
    <row r="207" spans="1:14" ht="23.25">
      <c r="A207" s="386" t="s">
        <v>60</v>
      </c>
      <c r="B207" s="387">
        <v>31000</v>
      </c>
      <c r="C207" s="367">
        <v>10</v>
      </c>
      <c r="D207" s="368">
        <v>5434</v>
      </c>
      <c r="E207" s="368">
        <v>36435</v>
      </c>
      <c r="F207" s="368">
        <v>775</v>
      </c>
      <c r="G207" s="368">
        <v>3100</v>
      </c>
      <c r="H207" s="368">
        <v>466</v>
      </c>
      <c r="I207" s="368">
        <v>3566</v>
      </c>
      <c r="K207" s="367">
        <v>0</v>
      </c>
      <c r="L207" s="350">
        <v>0.21</v>
      </c>
      <c r="M207" s="350">
        <v>0.03</v>
      </c>
      <c r="N207" s="351" t="str">
        <f t="shared" si="3"/>
        <v>3100010</v>
      </c>
    </row>
    <row r="208" spans="1:14" ht="23.25">
      <c r="A208" s="386" t="s">
        <v>60</v>
      </c>
      <c r="B208" s="387">
        <v>31000</v>
      </c>
      <c r="C208" s="365">
        <v>12</v>
      </c>
      <c r="D208" s="366">
        <v>6517</v>
      </c>
      <c r="E208" s="366">
        <v>37518</v>
      </c>
      <c r="F208" s="366">
        <v>930</v>
      </c>
      <c r="G208" s="366">
        <v>2584</v>
      </c>
      <c r="H208" s="366">
        <v>465</v>
      </c>
      <c r="I208" s="366">
        <v>3049</v>
      </c>
      <c r="K208" s="365">
        <v>0</v>
      </c>
      <c r="L208" s="350">
        <v>0.21</v>
      </c>
      <c r="M208" s="350">
        <v>0.03</v>
      </c>
      <c r="N208" s="351" t="str">
        <f t="shared" si="3"/>
        <v>3100012</v>
      </c>
    </row>
    <row r="209" spans="1:14" ht="23.25">
      <c r="A209" s="386" t="s">
        <v>60</v>
      </c>
      <c r="B209" s="387">
        <v>31000</v>
      </c>
      <c r="C209" s="367">
        <v>14</v>
      </c>
      <c r="D209" s="368">
        <v>7603</v>
      </c>
      <c r="E209" s="368">
        <v>38605</v>
      </c>
      <c r="F209" s="368">
        <v>1085</v>
      </c>
      <c r="G209" s="368">
        <v>2215</v>
      </c>
      <c r="H209" s="368">
        <v>465</v>
      </c>
      <c r="I209" s="368">
        <v>2680</v>
      </c>
      <c r="K209" s="367">
        <v>0</v>
      </c>
      <c r="L209" s="350">
        <v>0.21</v>
      </c>
      <c r="M209" s="350">
        <v>0.03</v>
      </c>
      <c r="N209" s="351" t="str">
        <f t="shared" si="3"/>
        <v>3100014</v>
      </c>
    </row>
    <row r="210" spans="1:14" ht="23.25">
      <c r="A210" s="386" t="s">
        <v>60</v>
      </c>
      <c r="B210" s="387">
        <v>31000</v>
      </c>
      <c r="C210" s="365">
        <v>16</v>
      </c>
      <c r="D210" s="366">
        <v>8686</v>
      </c>
      <c r="E210" s="366">
        <v>39688</v>
      </c>
      <c r="F210" s="366">
        <v>1240</v>
      </c>
      <c r="G210" s="366">
        <v>1938</v>
      </c>
      <c r="H210" s="366">
        <v>465</v>
      </c>
      <c r="I210" s="366">
        <v>2403</v>
      </c>
      <c r="K210" s="365">
        <v>0</v>
      </c>
      <c r="L210" s="350">
        <v>0.21</v>
      </c>
      <c r="M210" s="350">
        <v>0.03</v>
      </c>
      <c r="N210" s="351" t="str">
        <f t="shared" si="3"/>
        <v>3100016</v>
      </c>
    </row>
    <row r="211" spans="1:14" ht="24" thickBot="1">
      <c r="A211" s="386" t="s">
        <v>60</v>
      </c>
      <c r="B211" s="387">
        <v>31000</v>
      </c>
      <c r="C211" s="367">
        <v>18</v>
      </c>
      <c r="D211" s="368">
        <v>9777</v>
      </c>
      <c r="E211" s="368">
        <v>40779</v>
      </c>
      <c r="F211" s="368">
        <v>1395</v>
      </c>
      <c r="G211" s="368">
        <v>1723</v>
      </c>
      <c r="H211" s="372">
        <v>465</v>
      </c>
      <c r="I211" s="368">
        <v>2188</v>
      </c>
      <c r="K211" s="367">
        <v>0</v>
      </c>
      <c r="L211" s="350">
        <v>0.21</v>
      </c>
      <c r="M211" s="350">
        <v>0.03</v>
      </c>
      <c r="N211" s="351" t="str">
        <f t="shared" si="3"/>
        <v>3100018</v>
      </c>
    </row>
    <row r="212" spans="1:14" ht="24" thickTop="1">
      <c r="A212" s="355" t="s">
        <v>60</v>
      </c>
      <c r="B212" s="356">
        <v>32000</v>
      </c>
      <c r="C212" s="396">
        <v>4</v>
      </c>
      <c r="D212" s="397">
        <v>2243</v>
      </c>
      <c r="E212" s="397">
        <v>34244</v>
      </c>
      <c r="F212" s="397">
        <v>320</v>
      </c>
      <c r="G212" s="397">
        <v>8000</v>
      </c>
      <c r="H212" s="397">
        <v>481</v>
      </c>
      <c r="I212" s="397">
        <v>8481</v>
      </c>
      <c r="K212" s="396">
        <v>0</v>
      </c>
      <c r="L212" s="350">
        <v>0.21</v>
      </c>
      <c r="M212" s="350">
        <v>0.03</v>
      </c>
      <c r="N212" s="351" t="str">
        <f t="shared" si="3"/>
        <v>320004</v>
      </c>
    </row>
    <row r="213" spans="1:14" ht="23.25">
      <c r="A213" s="360" t="s">
        <v>60</v>
      </c>
      <c r="B213" s="361">
        <v>32000</v>
      </c>
      <c r="C213" s="365">
        <v>6</v>
      </c>
      <c r="D213" s="366">
        <v>3363</v>
      </c>
      <c r="E213" s="366">
        <v>35364</v>
      </c>
      <c r="F213" s="366">
        <v>480</v>
      </c>
      <c r="G213" s="366">
        <v>5334</v>
      </c>
      <c r="H213" s="366">
        <v>480</v>
      </c>
      <c r="I213" s="366">
        <v>5814</v>
      </c>
      <c r="K213" s="365">
        <v>0</v>
      </c>
      <c r="L213" s="350">
        <v>0.21</v>
      </c>
      <c r="M213" s="350">
        <v>0.03</v>
      </c>
      <c r="N213" s="351" t="str">
        <f t="shared" si="3"/>
        <v>320006</v>
      </c>
    </row>
    <row r="214" spans="1:14" ht="23.25">
      <c r="A214" s="360" t="s">
        <v>60</v>
      </c>
      <c r="B214" s="361">
        <v>32000</v>
      </c>
      <c r="C214" s="367">
        <v>8</v>
      </c>
      <c r="D214" s="368">
        <v>4486</v>
      </c>
      <c r="E214" s="368">
        <v>36488</v>
      </c>
      <c r="F214" s="368">
        <v>640</v>
      </c>
      <c r="G214" s="368">
        <v>4000</v>
      </c>
      <c r="H214" s="364">
        <v>481</v>
      </c>
      <c r="I214" s="368">
        <v>4481</v>
      </c>
      <c r="K214" s="367">
        <v>0</v>
      </c>
      <c r="L214" s="350">
        <v>0.21</v>
      </c>
      <c r="M214" s="350">
        <v>0.03</v>
      </c>
      <c r="N214" s="351" t="str">
        <f t="shared" si="3"/>
        <v>320008</v>
      </c>
    </row>
    <row r="215" spans="1:14" ht="23.25">
      <c r="A215" s="360" t="s">
        <v>60</v>
      </c>
      <c r="B215" s="361">
        <v>32000</v>
      </c>
      <c r="C215" s="365">
        <v>10</v>
      </c>
      <c r="D215" s="366">
        <v>5607</v>
      </c>
      <c r="E215" s="366">
        <v>37610</v>
      </c>
      <c r="F215" s="366">
        <v>800</v>
      </c>
      <c r="G215" s="366">
        <v>3200</v>
      </c>
      <c r="H215" s="366">
        <v>481</v>
      </c>
      <c r="I215" s="366">
        <v>3681</v>
      </c>
      <c r="K215" s="365">
        <v>0</v>
      </c>
      <c r="L215" s="350">
        <v>0.21</v>
      </c>
      <c r="M215" s="350">
        <v>0.03</v>
      </c>
      <c r="N215" s="351" t="str">
        <f t="shared" si="3"/>
        <v>3200010</v>
      </c>
    </row>
    <row r="216" spans="1:14" ht="23.25">
      <c r="A216" s="360" t="s">
        <v>60</v>
      </c>
      <c r="B216" s="361">
        <v>32000</v>
      </c>
      <c r="C216" s="367">
        <v>12</v>
      </c>
      <c r="D216" s="368">
        <v>6721</v>
      </c>
      <c r="E216" s="368">
        <v>38724</v>
      </c>
      <c r="F216" s="368">
        <v>960</v>
      </c>
      <c r="G216" s="368">
        <v>2667</v>
      </c>
      <c r="H216" s="368">
        <v>480</v>
      </c>
      <c r="I216" s="368">
        <v>3147</v>
      </c>
      <c r="K216" s="367">
        <v>0</v>
      </c>
      <c r="L216" s="350">
        <v>0.21</v>
      </c>
      <c r="M216" s="350">
        <v>0.03</v>
      </c>
      <c r="N216" s="351" t="str">
        <f t="shared" si="3"/>
        <v>3200012</v>
      </c>
    </row>
    <row r="217" spans="1:14" ht="23.25">
      <c r="A217" s="360" t="s">
        <v>60</v>
      </c>
      <c r="B217" s="361">
        <v>32000</v>
      </c>
      <c r="C217" s="365">
        <v>14</v>
      </c>
      <c r="D217" s="366">
        <v>7854</v>
      </c>
      <c r="E217" s="366">
        <v>39844</v>
      </c>
      <c r="F217" s="366">
        <v>1120</v>
      </c>
      <c r="G217" s="366">
        <v>2286</v>
      </c>
      <c r="H217" s="366">
        <v>480</v>
      </c>
      <c r="I217" s="366">
        <v>2766</v>
      </c>
      <c r="K217" s="365">
        <v>0</v>
      </c>
      <c r="L217" s="350">
        <v>0.21</v>
      </c>
      <c r="M217" s="350">
        <v>0.03</v>
      </c>
      <c r="N217" s="351" t="str">
        <f t="shared" si="3"/>
        <v>3200014</v>
      </c>
    </row>
    <row r="218" spans="1:14" ht="23.25">
      <c r="A218" s="360" t="s">
        <v>60</v>
      </c>
      <c r="B218" s="361">
        <v>32000</v>
      </c>
      <c r="C218" s="367">
        <v>16</v>
      </c>
      <c r="D218" s="368">
        <v>8971</v>
      </c>
      <c r="E218" s="368">
        <v>40976</v>
      </c>
      <c r="F218" s="368">
        <v>1280</v>
      </c>
      <c r="G218" s="368">
        <v>2000</v>
      </c>
      <c r="H218" s="368">
        <v>481</v>
      </c>
      <c r="I218" s="368">
        <v>2481</v>
      </c>
      <c r="K218" s="367">
        <v>0</v>
      </c>
      <c r="L218" s="350">
        <v>0.21</v>
      </c>
      <c r="M218" s="350">
        <v>0.03</v>
      </c>
      <c r="N218" s="351" t="str">
        <f t="shared" si="3"/>
        <v>3200016</v>
      </c>
    </row>
    <row r="219" spans="1:14" ht="24" thickBot="1">
      <c r="A219" s="360" t="s">
        <v>60</v>
      </c>
      <c r="B219" s="361">
        <v>32000</v>
      </c>
      <c r="C219" s="365">
        <v>18</v>
      </c>
      <c r="D219" s="366">
        <v>10097</v>
      </c>
      <c r="E219" s="366">
        <v>42084</v>
      </c>
      <c r="F219" s="366">
        <v>1440</v>
      </c>
      <c r="G219" s="366">
        <v>1778</v>
      </c>
      <c r="H219" s="366">
        <v>480</v>
      </c>
      <c r="I219" s="366">
        <v>2258</v>
      </c>
      <c r="K219" s="365">
        <v>0</v>
      </c>
      <c r="L219" s="350">
        <v>0.21</v>
      </c>
      <c r="M219" s="350">
        <v>0.03</v>
      </c>
      <c r="N219" s="351" t="str">
        <f t="shared" si="3"/>
        <v>3200018</v>
      </c>
    </row>
    <row r="220" spans="1:14" ht="24" thickTop="1">
      <c r="A220" s="384" t="s">
        <v>60</v>
      </c>
      <c r="B220" s="385">
        <v>33000</v>
      </c>
      <c r="C220" s="357">
        <v>4</v>
      </c>
      <c r="D220" s="358">
        <v>2313</v>
      </c>
      <c r="E220" s="358">
        <v>35314</v>
      </c>
      <c r="F220" s="358">
        <v>330</v>
      </c>
      <c r="G220" s="358">
        <v>8250</v>
      </c>
      <c r="H220" s="358">
        <v>496</v>
      </c>
      <c r="I220" s="358">
        <v>8746</v>
      </c>
      <c r="K220" s="357">
        <v>0</v>
      </c>
      <c r="L220" s="350">
        <v>0.21</v>
      </c>
      <c r="M220" s="350">
        <v>0.03</v>
      </c>
      <c r="N220" s="351" t="str">
        <f t="shared" si="3"/>
        <v>330004</v>
      </c>
    </row>
    <row r="221" spans="1:14" ht="23.25">
      <c r="A221" s="386" t="s">
        <v>60</v>
      </c>
      <c r="B221" s="387">
        <v>33000</v>
      </c>
      <c r="C221" s="388">
        <v>6</v>
      </c>
      <c r="D221" s="364">
        <v>3469</v>
      </c>
      <c r="E221" s="364">
        <v>36471</v>
      </c>
      <c r="F221" s="364">
        <v>495</v>
      </c>
      <c r="G221" s="364">
        <v>5500</v>
      </c>
      <c r="H221" s="364">
        <v>496</v>
      </c>
      <c r="I221" s="364">
        <v>5996</v>
      </c>
      <c r="K221" s="388">
        <v>0</v>
      </c>
      <c r="L221" s="350">
        <v>0.21</v>
      </c>
      <c r="M221" s="350">
        <v>0.03</v>
      </c>
      <c r="N221" s="351" t="str">
        <f t="shared" si="3"/>
        <v>330006</v>
      </c>
    </row>
    <row r="222" spans="1:14" ht="23.25">
      <c r="A222" s="386" t="s">
        <v>60</v>
      </c>
      <c r="B222" s="387">
        <v>33000</v>
      </c>
      <c r="C222" s="365">
        <v>8</v>
      </c>
      <c r="D222" s="366">
        <v>4625</v>
      </c>
      <c r="E222" s="366">
        <v>37628</v>
      </c>
      <c r="F222" s="366">
        <v>660</v>
      </c>
      <c r="G222" s="366">
        <v>4125</v>
      </c>
      <c r="H222" s="366">
        <v>496</v>
      </c>
      <c r="I222" s="366">
        <v>4621</v>
      </c>
      <c r="K222" s="365">
        <v>0</v>
      </c>
      <c r="L222" s="350">
        <v>0.21</v>
      </c>
      <c r="M222" s="350">
        <v>0.03</v>
      </c>
      <c r="N222" s="351" t="str">
        <f t="shared" si="3"/>
        <v>330008</v>
      </c>
    </row>
    <row r="223" spans="1:14" ht="23.25">
      <c r="A223" s="386" t="s">
        <v>60</v>
      </c>
      <c r="B223" s="387">
        <v>33000</v>
      </c>
      <c r="C223" s="367">
        <v>10</v>
      </c>
      <c r="D223" s="368">
        <v>5781</v>
      </c>
      <c r="E223" s="368">
        <v>38785</v>
      </c>
      <c r="F223" s="368">
        <v>825</v>
      </c>
      <c r="G223" s="368">
        <v>3300</v>
      </c>
      <c r="H223" s="368">
        <v>496</v>
      </c>
      <c r="I223" s="368">
        <v>3796</v>
      </c>
      <c r="K223" s="367">
        <v>0</v>
      </c>
      <c r="L223" s="350">
        <v>0.21</v>
      </c>
      <c r="M223" s="350">
        <v>0.03</v>
      </c>
      <c r="N223" s="351" t="str">
        <f t="shared" si="3"/>
        <v>3300010</v>
      </c>
    </row>
    <row r="224" spans="1:14" ht="23.25">
      <c r="A224" s="386" t="s">
        <v>60</v>
      </c>
      <c r="B224" s="387">
        <v>33000</v>
      </c>
      <c r="C224" s="365">
        <v>12</v>
      </c>
      <c r="D224" s="366">
        <v>6937</v>
      </c>
      <c r="E224" s="366">
        <v>39942</v>
      </c>
      <c r="F224" s="366">
        <v>990</v>
      </c>
      <c r="G224" s="366">
        <v>2750</v>
      </c>
      <c r="H224" s="366">
        <v>496</v>
      </c>
      <c r="I224" s="366">
        <v>3246</v>
      </c>
      <c r="K224" s="365">
        <v>0</v>
      </c>
      <c r="L224" s="350">
        <v>0.21</v>
      </c>
      <c r="M224" s="350">
        <v>0.03</v>
      </c>
      <c r="N224" s="351" t="str">
        <f t="shared" si="3"/>
        <v>3300012</v>
      </c>
    </row>
    <row r="225" spans="1:14" ht="23.25">
      <c r="A225" s="386" t="s">
        <v>60</v>
      </c>
      <c r="B225" s="387">
        <v>33000</v>
      </c>
      <c r="C225" s="367">
        <v>14</v>
      </c>
      <c r="D225" s="368">
        <v>8091</v>
      </c>
      <c r="E225" s="368">
        <v>41097</v>
      </c>
      <c r="F225" s="368">
        <v>1155</v>
      </c>
      <c r="G225" s="368">
        <v>2358</v>
      </c>
      <c r="H225" s="368">
        <v>495</v>
      </c>
      <c r="I225" s="368">
        <v>2853</v>
      </c>
      <c r="K225" s="367">
        <v>0</v>
      </c>
      <c r="L225" s="350">
        <v>0.21</v>
      </c>
      <c r="M225" s="350">
        <v>0.03</v>
      </c>
      <c r="N225" s="351" t="str">
        <f t="shared" si="3"/>
        <v>3300014</v>
      </c>
    </row>
    <row r="226" spans="1:14" ht="23.25">
      <c r="A226" s="386" t="s">
        <v>60</v>
      </c>
      <c r="B226" s="387">
        <v>33000</v>
      </c>
      <c r="C226" s="365">
        <v>16</v>
      </c>
      <c r="D226" s="366">
        <v>9241</v>
      </c>
      <c r="E226" s="366">
        <v>42248</v>
      </c>
      <c r="F226" s="366">
        <v>1320</v>
      </c>
      <c r="G226" s="366">
        <v>2063</v>
      </c>
      <c r="H226" s="366">
        <v>495</v>
      </c>
      <c r="I226" s="366">
        <v>2558</v>
      </c>
      <c r="K226" s="365">
        <v>0</v>
      </c>
      <c r="L226" s="350">
        <v>0.21</v>
      </c>
      <c r="M226" s="350">
        <v>0.03</v>
      </c>
      <c r="N226" s="351" t="str">
        <f t="shared" si="3"/>
        <v>3300016</v>
      </c>
    </row>
    <row r="227" spans="1:14" ht="24" thickBot="1">
      <c r="A227" s="386" t="s">
        <v>60</v>
      </c>
      <c r="B227" s="387">
        <v>33000</v>
      </c>
      <c r="C227" s="367">
        <v>18</v>
      </c>
      <c r="D227" s="368">
        <v>10399</v>
      </c>
      <c r="E227" s="368">
        <v>43407</v>
      </c>
      <c r="F227" s="368">
        <v>1485</v>
      </c>
      <c r="G227" s="368">
        <v>1834</v>
      </c>
      <c r="H227" s="372">
        <v>495</v>
      </c>
      <c r="I227" s="368">
        <v>2329</v>
      </c>
      <c r="K227" s="367">
        <v>0</v>
      </c>
      <c r="L227" s="350">
        <v>0.21</v>
      </c>
      <c r="M227" s="350">
        <v>0.03</v>
      </c>
      <c r="N227" s="351" t="str">
        <f t="shared" si="3"/>
        <v>3300018</v>
      </c>
    </row>
    <row r="228" spans="1:14" ht="24" thickTop="1">
      <c r="A228" s="355" t="s">
        <v>60</v>
      </c>
      <c r="B228" s="356">
        <v>34000</v>
      </c>
      <c r="C228" s="396">
        <v>4</v>
      </c>
      <c r="D228" s="397">
        <v>2382</v>
      </c>
      <c r="E228" s="397">
        <v>36384</v>
      </c>
      <c r="F228" s="397">
        <v>340</v>
      </c>
      <c r="G228" s="397">
        <v>8500</v>
      </c>
      <c r="H228" s="397">
        <v>511</v>
      </c>
      <c r="I228" s="397">
        <v>9011</v>
      </c>
      <c r="K228" s="396">
        <v>0</v>
      </c>
      <c r="L228" s="350">
        <v>0.21</v>
      </c>
      <c r="M228" s="350">
        <v>0.03</v>
      </c>
      <c r="N228" s="351" t="str">
        <f t="shared" si="3"/>
        <v>340004</v>
      </c>
    </row>
    <row r="229" spans="1:14" ht="23.25">
      <c r="A229" s="360" t="s">
        <v>60</v>
      </c>
      <c r="B229" s="361">
        <v>34000</v>
      </c>
      <c r="C229" s="365">
        <v>6</v>
      </c>
      <c r="D229" s="366">
        <v>3575</v>
      </c>
      <c r="E229" s="366">
        <v>37572</v>
      </c>
      <c r="F229" s="366">
        <v>510</v>
      </c>
      <c r="G229" s="366">
        <v>5667</v>
      </c>
      <c r="H229" s="366">
        <v>510</v>
      </c>
      <c r="I229" s="366">
        <v>6177</v>
      </c>
      <c r="K229" s="365">
        <v>0</v>
      </c>
      <c r="L229" s="350">
        <v>0.21</v>
      </c>
      <c r="M229" s="350">
        <v>0.03</v>
      </c>
      <c r="N229" s="351" t="str">
        <f t="shared" si="3"/>
        <v>340006</v>
      </c>
    </row>
    <row r="230" spans="1:14" ht="23.25">
      <c r="A230" s="360" t="s">
        <v>60</v>
      </c>
      <c r="B230" s="361">
        <v>34000</v>
      </c>
      <c r="C230" s="367">
        <v>8</v>
      </c>
      <c r="D230" s="368">
        <v>4763</v>
      </c>
      <c r="E230" s="368">
        <v>38768</v>
      </c>
      <c r="F230" s="368">
        <v>680</v>
      </c>
      <c r="G230" s="368">
        <v>4250</v>
      </c>
      <c r="H230" s="364">
        <v>511</v>
      </c>
      <c r="I230" s="368">
        <v>4761</v>
      </c>
      <c r="K230" s="367">
        <v>0</v>
      </c>
      <c r="L230" s="350">
        <v>0.21</v>
      </c>
      <c r="M230" s="350">
        <v>0.03</v>
      </c>
      <c r="N230" s="351" t="str">
        <f t="shared" si="3"/>
        <v>340008</v>
      </c>
    </row>
    <row r="231" spans="1:14" ht="23.25">
      <c r="A231" s="360" t="s">
        <v>60</v>
      </c>
      <c r="B231" s="361">
        <v>34000</v>
      </c>
      <c r="C231" s="365">
        <v>10</v>
      </c>
      <c r="D231" s="366">
        <v>5954</v>
      </c>
      <c r="E231" s="366">
        <v>39960</v>
      </c>
      <c r="F231" s="366">
        <v>850</v>
      </c>
      <c r="G231" s="366">
        <v>3400</v>
      </c>
      <c r="H231" s="366">
        <v>511</v>
      </c>
      <c r="I231" s="366">
        <v>3911</v>
      </c>
      <c r="K231" s="365">
        <v>0</v>
      </c>
      <c r="L231" s="350">
        <v>0.21</v>
      </c>
      <c r="M231" s="350">
        <v>0.03</v>
      </c>
      <c r="N231" s="351" t="str">
        <f t="shared" si="3"/>
        <v>3400010</v>
      </c>
    </row>
    <row r="232" spans="1:14" ht="23.25">
      <c r="A232" s="360" t="s">
        <v>60</v>
      </c>
      <c r="B232" s="361">
        <v>34000</v>
      </c>
      <c r="C232" s="367">
        <v>12</v>
      </c>
      <c r="D232" s="368">
        <v>7141</v>
      </c>
      <c r="E232" s="368">
        <v>41148</v>
      </c>
      <c r="F232" s="368">
        <v>1020</v>
      </c>
      <c r="G232" s="368">
        <v>2834</v>
      </c>
      <c r="H232" s="368">
        <v>510</v>
      </c>
      <c r="I232" s="368">
        <v>3344</v>
      </c>
      <c r="K232" s="367">
        <v>0</v>
      </c>
      <c r="L232" s="350">
        <v>0.21</v>
      </c>
      <c r="M232" s="350">
        <v>0.03</v>
      </c>
      <c r="N232" s="351" t="str">
        <f t="shared" si="3"/>
        <v>3400012</v>
      </c>
    </row>
    <row r="233" spans="1:14" ht="23.25">
      <c r="A233" s="360" t="s">
        <v>60</v>
      </c>
      <c r="B233" s="361">
        <v>34000</v>
      </c>
      <c r="C233" s="365">
        <v>14</v>
      </c>
      <c r="D233" s="366">
        <v>8341</v>
      </c>
      <c r="E233" s="366">
        <v>42336</v>
      </c>
      <c r="F233" s="366">
        <v>1190</v>
      </c>
      <c r="G233" s="366">
        <v>2429</v>
      </c>
      <c r="H233" s="366">
        <v>510</v>
      </c>
      <c r="I233" s="366">
        <v>2939</v>
      </c>
      <c r="K233" s="365">
        <v>0</v>
      </c>
      <c r="L233" s="350">
        <v>0.21</v>
      </c>
      <c r="M233" s="350">
        <v>0.03</v>
      </c>
      <c r="N233" s="351" t="str">
        <f t="shared" si="3"/>
        <v>3400014</v>
      </c>
    </row>
    <row r="234" spans="1:14" ht="23.25">
      <c r="A234" s="360" t="s">
        <v>60</v>
      </c>
      <c r="B234" s="361">
        <v>34000</v>
      </c>
      <c r="C234" s="367">
        <v>16</v>
      </c>
      <c r="D234" s="368">
        <v>9526</v>
      </c>
      <c r="E234" s="368">
        <v>43536</v>
      </c>
      <c r="F234" s="368">
        <v>1360</v>
      </c>
      <c r="G234" s="368">
        <v>2125</v>
      </c>
      <c r="H234" s="368">
        <v>511</v>
      </c>
      <c r="I234" s="368">
        <v>2636</v>
      </c>
      <c r="K234" s="367">
        <v>0</v>
      </c>
      <c r="L234" s="350">
        <v>0.21</v>
      </c>
      <c r="M234" s="350">
        <v>0.03</v>
      </c>
      <c r="N234" s="351" t="str">
        <f t="shared" si="3"/>
        <v>3400016</v>
      </c>
    </row>
    <row r="235" spans="1:14" ht="24" thickBot="1">
      <c r="A235" s="360" t="s">
        <v>60</v>
      </c>
      <c r="B235" s="361">
        <v>34000</v>
      </c>
      <c r="C235" s="365">
        <v>18</v>
      </c>
      <c r="D235" s="366">
        <v>10719</v>
      </c>
      <c r="E235" s="366">
        <v>44712</v>
      </c>
      <c r="F235" s="366">
        <v>1530</v>
      </c>
      <c r="G235" s="366">
        <v>1889</v>
      </c>
      <c r="H235" s="366">
        <v>510</v>
      </c>
      <c r="I235" s="366">
        <v>2399</v>
      </c>
      <c r="K235" s="365">
        <v>0</v>
      </c>
      <c r="L235" s="350">
        <v>0.21</v>
      </c>
      <c r="M235" s="350">
        <v>0.03</v>
      </c>
      <c r="N235" s="351" t="str">
        <f t="shared" si="3"/>
        <v>3400018</v>
      </c>
    </row>
    <row r="236" spans="1:14" ht="24" thickTop="1">
      <c r="A236" s="384" t="s">
        <v>60</v>
      </c>
      <c r="B236" s="385">
        <v>35000</v>
      </c>
      <c r="C236" s="357">
        <v>4</v>
      </c>
      <c r="D236" s="358">
        <v>2451</v>
      </c>
      <c r="E236" s="358">
        <v>37454</v>
      </c>
      <c r="F236" s="358">
        <v>350</v>
      </c>
      <c r="G236" s="358">
        <v>8750</v>
      </c>
      <c r="H236" s="358">
        <v>526</v>
      </c>
      <c r="I236" s="358">
        <v>9276</v>
      </c>
      <c r="K236" s="357">
        <v>0</v>
      </c>
      <c r="L236" s="350">
        <v>0.21</v>
      </c>
      <c r="M236" s="350">
        <v>0.03</v>
      </c>
      <c r="N236" s="351" t="str">
        <f t="shared" si="3"/>
        <v>350004</v>
      </c>
    </row>
    <row r="237" spans="1:14" ht="23.25">
      <c r="A237" s="386" t="s">
        <v>60</v>
      </c>
      <c r="B237" s="387">
        <v>35000</v>
      </c>
      <c r="C237" s="388">
        <v>6</v>
      </c>
      <c r="D237" s="364">
        <v>3681</v>
      </c>
      <c r="E237" s="364">
        <v>38679</v>
      </c>
      <c r="F237" s="364">
        <v>525</v>
      </c>
      <c r="G237" s="364">
        <v>5834</v>
      </c>
      <c r="H237" s="364">
        <v>525</v>
      </c>
      <c r="I237" s="364">
        <v>6359</v>
      </c>
      <c r="K237" s="388">
        <v>0</v>
      </c>
      <c r="L237" s="350">
        <v>0.21</v>
      </c>
      <c r="M237" s="350">
        <v>0.03</v>
      </c>
      <c r="N237" s="351" t="str">
        <f t="shared" si="3"/>
        <v>350006</v>
      </c>
    </row>
    <row r="238" spans="1:14" ht="23.25">
      <c r="A238" s="386" t="s">
        <v>60</v>
      </c>
      <c r="B238" s="387">
        <v>35000</v>
      </c>
      <c r="C238" s="365">
        <v>8</v>
      </c>
      <c r="D238" s="366">
        <v>4902</v>
      </c>
      <c r="E238" s="366">
        <v>39908</v>
      </c>
      <c r="F238" s="366">
        <v>700</v>
      </c>
      <c r="G238" s="366">
        <v>4375</v>
      </c>
      <c r="H238" s="366">
        <v>526</v>
      </c>
      <c r="I238" s="366">
        <v>4901</v>
      </c>
      <c r="K238" s="365">
        <v>0</v>
      </c>
      <c r="L238" s="350">
        <v>0.21</v>
      </c>
      <c r="M238" s="350">
        <v>0.03</v>
      </c>
      <c r="N238" s="351" t="str">
        <f t="shared" si="3"/>
        <v>350008</v>
      </c>
    </row>
    <row r="239" spans="1:14" ht="23.25">
      <c r="A239" s="386" t="s">
        <v>60</v>
      </c>
      <c r="B239" s="387">
        <v>35000</v>
      </c>
      <c r="C239" s="367">
        <v>10</v>
      </c>
      <c r="D239" s="368">
        <v>6127</v>
      </c>
      <c r="E239" s="368">
        <v>41135</v>
      </c>
      <c r="F239" s="368">
        <v>875</v>
      </c>
      <c r="G239" s="368">
        <v>3500</v>
      </c>
      <c r="H239" s="368">
        <v>526</v>
      </c>
      <c r="I239" s="368">
        <v>4026</v>
      </c>
      <c r="K239" s="367">
        <v>0</v>
      </c>
      <c r="L239" s="350">
        <v>0.21</v>
      </c>
      <c r="M239" s="350">
        <v>0.03</v>
      </c>
      <c r="N239" s="351" t="str">
        <f t="shared" si="3"/>
        <v>3500010</v>
      </c>
    </row>
    <row r="240" spans="1:14" ht="23.25">
      <c r="A240" s="386" t="s">
        <v>60</v>
      </c>
      <c r="B240" s="387">
        <v>35000</v>
      </c>
      <c r="C240" s="365">
        <v>12</v>
      </c>
      <c r="D240" s="366">
        <v>7357</v>
      </c>
      <c r="E240" s="366">
        <v>42354</v>
      </c>
      <c r="F240" s="366">
        <v>1050</v>
      </c>
      <c r="G240" s="366">
        <v>2917</v>
      </c>
      <c r="H240" s="366">
        <v>525</v>
      </c>
      <c r="I240" s="366">
        <v>3442</v>
      </c>
      <c r="K240" s="365">
        <v>0</v>
      </c>
      <c r="L240" s="350">
        <v>0.21</v>
      </c>
      <c r="M240" s="350">
        <v>0.03</v>
      </c>
      <c r="N240" s="351" t="str">
        <f t="shared" si="3"/>
        <v>3500012</v>
      </c>
    </row>
    <row r="241" spans="1:14" ht="23.25">
      <c r="A241" s="386" t="s">
        <v>60</v>
      </c>
      <c r="B241" s="387">
        <v>35000</v>
      </c>
      <c r="C241" s="367">
        <v>14</v>
      </c>
      <c r="D241" s="368">
        <v>8578</v>
      </c>
      <c r="E241" s="368">
        <v>43589</v>
      </c>
      <c r="F241" s="368">
        <v>1225</v>
      </c>
      <c r="G241" s="368">
        <v>2500</v>
      </c>
      <c r="H241" s="368">
        <v>526</v>
      </c>
      <c r="I241" s="368">
        <v>3026</v>
      </c>
      <c r="K241" s="367">
        <v>0</v>
      </c>
      <c r="L241" s="350">
        <v>0.21</v>
      </c>
      <c r="M241" s="350">
        <v>0.03</v>
      </c>
      <c r="N241" s="351" t="str">
        <f t="shared" si="3"/>
        <v>3500014</v>
      </c>
    </row>
    <row r="242" spans="1:14" ht="23.25">
      <c r="A242" s="386" t="s">
        <v>60</v>
      </c>
      <c r="B242" s="387">
        <v>35000</v>
      </c>
      <c r="C242" s="365">
        <v>16</v>
      </c>
      <c r="D242" s="366">
        <v>9811</v>
      </c>
      <c r="E242" s="366">
        <v>44808</v>
      </c>
      <c r="F242" s="366">
        <v>1400</v>
      </c>
      <c r="G242" s="366">
        <v>2188</v>
      </c>
      <c r="H242" s="366">
        <v>525</v>
      </c>
      <c r="I242" s="366">
        <v>2713</v>
      </c>
      <c r="K242" s="365">
        <v>0</v>
      </c>
      <c r="L242" s="350">
        <v>0.21</v>
      </c>
      <c r="M242" s="350">
        <v>0.03</v>
      </c>
      <c r="N242" s="351" t="str">
        <f t="shared" si="3"/>
        <v>3500016</v>
      </c>
    </row>
    <row r="243" spans="1:14" ht="24" thickBot="1">
      <c r="A243" s="386" t="s">
        <v>60</v>
      </c>
      <c r="B243" s="387">
        <v>35000</v>
      </c>
      <c r="C243" s="367">
        <v>18</v>
      </c>
      <c r="D243" s="368">
        <v>11039</v>
      </c>
      <c r="E243" s="368">
        <v>46035</v>
      </c>
      <c r="F243" s="368">
        <v>1575</v>
      </c>
      <c r="G243" s="368">
        <v>1945</v>
      </c>
      <c r="H243" s="372">
        <v>525</v>
      </c>
      <c r="I243" s="368">
        <v>2470</v>
      </c>
      <c r="K243" s="367">
        <v>0</v>
      </c>
      <c r="L243" s="350">
        <v>0.21</v>
      </c>
      <c r="M243" s="350">
        <v>0.03</v>
      </c>
      <c r="N243" s="351" t="str">
        <f t="shared" si="3"/>
        <v>3500018</v>
      </c>
    </row>
    <row r="244" spans="1:14" ht="24" thickTop="1">
      <c r="A244" s="355" t="s">
        <v>60</v>
      </c>
      <c r="B244" s="356">
        <v>36000</v>
      </c>
      <c r="C244" s="396">
        <v>4</v>
      </c>
      <c r="D244" s="397">
        <v>2521</v>
      </c>
      <c r="E244" s="397">
        <v>38524</v>
      </c>
      <c r="F244" s="397">
        <v>360</v>
      </c>
      <c r="G244" s="397">
        <v>9000</v>
      </c>
      <c r="H244" s="397">
        <v>541</v>
      </c>
      <c r="I244" s="397">
        <v>9541</v>
      </c>
      <c r="K244" s="396">
        <v>0</v>
      </c>
      <c r="L244" s="350">
        <v>0.21</v>
      </c>
      <c r="M244" s="350">
        <v>0.03</v>
      </c>
      <c r="N244" s="351" t="str">
        <f t="shared" si="3"/>
        <v>360004</v>
      </c>
    </row>
    <row r="245" spans="1:14" ht="23.25">
      <c r="A245" s="360" t="s">
        <v>60</v>
      </c>
      <c r="B245" s="361">
        <v>36000</v>
      </c>
      <c r="C245" s="365">
        <v>6</v>
      </c>
      <c r="D245" s="366">
        <v>3781</v>
      </c>
      <c r="E245" s="366">
        <v>39786</v>
      </c>
      <c r="F245" s="366">
        <v>540</v>
      </c>
      <c r="G245" s="366">
        <v>6000</v>
      </c>
      <c r="H245" s="366">
        <v>541</v>
      </c>
      <c r="I245" s="366">
        <v>6541</v>
      </c>
      <c r="K245" s="365">
        <v>0</v>
      </c>
      <c r="L245" s="350">
        <v>0.21</v>
      </c>
      <c r="M245" s="350">
        <v>0.03</v>
      </c>
      <c r="N245" s="351" t="str">
        <f t="shared" si="3"/>
        <v>360006</v>
      </c>
    </row>
    <row r="246" spans="1:14" ht="23.25">
      <c r="A246" s="360" t="s">
        <v>60</v>
      </c>
      <c r="B246" s="361">
        <v>36000</v>
      </c>
      <c r="C246" s="367">
        <v>8</v>
      </c>
      <c r="D246" s="368">
        <v>5041</v>
      </c>
      <c r="E246" s="368">
        <v>41048</v>
      </c>
      <c r="F246" s="368">
        <v>720</v>
      </c>
      <c r="G246" s="368">
        <v>4500</v>
      </c>
      <c r="H246" s="364">
        <v>541</v>
      </c>
      <c r="I246" s="368">
        <v>5041</v>
      </c>
      <c r="K246" s="367">
        <v>0</v>
      </c>
      <c r="L246" s="350">
        <v>0.21</v>
      </c>
      <c r="M246" s="350">
        <v>0.03</v>
      </c>
      <c r="N246" s="351" t="str">
        <f t="shared" si="3"/>
        <v>360008</v>
      </c>
    </row>
    <row r="247" spans="1:14" ht="23.25">
      <c r="A247" s="360" t="s">
        <v>60</v>
      </c>
      <c r="B247" s="361">
        <v>36000</v>
      </c>
      <c r="C247" s="365">
        <v>10</v>
      </c>
      <c r="D247" s="366">
        <v>6301</v>
      </c>
      <c r="E247" s="366">
        <v>42310</v>
      </c>
      <c r="F247" s="366">
        <v>900</v>
      </c>
      <c r="G247" s="366">
        <v>3600</v>
      </c>
      <c r="H247" s="366">
        <v>541</v>
      </c>
      <c r="I247" s="366">
        <v>4141</v>
      </c>
      <c r="K247" s="365">
        <v>0</v>
      </c>
      <c r="L247" s="350">
        <v>0.21</v>
      </c>
      <c r="M247" s="350">
        <v>0.03</v>
      </c>
      <c r="N247" s="351" t="str">
        <f t="shared" si="3"/>
        <v>3600010</v>
      </c>
    </row>
    <row r="248" spans="1:14" ht="23.25">
      <c r="A248" s="360" t="s">
        <v>60</v>
      </c>
      <c r="B248" s="361">
        <v>36000</v>
      </c>
      <c r="C248" s="367">
        <v>12</v>
      </c>
      <c r="D248" s="368">
        <v>7561</v>
      </c>
      <c r="E248" s="368">
        <v>43572</v>
      </c>
      <c r="F248" s="368">
        <v>1080</v>
      </c>
      <c r="G248" s="368">
        <v>3000</v>
      </c>
      <c r="H248" s="368">
        <v>541</v>
      </c>
      <c r="I248" s="368">
        <v>3541</v>
      </c>
      <c r="K248" s="367">
        <v>0</v>
      </c>
      <c r="L248" s="350">
        <v>0.21</v>
      </c>
      <c r="M248" s="350">
        <v>0.03</v>
      </c>
      <c r="N248" s="351" t="str">
        <f t="shared" si="3"/>
        <v>3600012</v>
      </c>
    </row>
    <row r="249" spans="1:14" ht="23.25">
      <c r="A249" s="360" t="s">
        <v>60</v>
      </c>
      <c r="B249" s="361">
        <v>36000</v>
      </c>
      <c r="C249" s="365">
        <v>14</v>
      </c>
      <c r="D249" s="366">
        <v>8829</v>
      </c>
      <c r="E249" s="366">
        <v>44828</v>
      </c>
      <c r="F249" s="366">
        <v>1260</v>
      </c>
      <c r="G249" s="366">
        <v>2572</v>
      </c>
      <c r="H249" s="366">
        <v>540</v>
      </c>
      <c r="I249" s="366">
        <v>3112</v>
      </c>
      <c r="K249" s="365">
        <v>0</v>
      </c>
      <c r="L249" s="350">
        <v>0.21</v>
      </c>
      <c r="M249" s="350">
        <v>0.03</v>
      </c>
      <c r="N249" s="351" t="str">
        <f t="shared" si="3"/>
        <v>3600014</v>
      </c>
    </row>
    <row r="250" spans="1:14" ht="23.25">
      <c r="A250" s="360" t="s">
        <v>60</v>
      </c>
      <c r="B250" s="361">
        <v>36000</v>
      </c>
      <c r="C250" s="367">
        <v>16</v>
      </c>
      <c r="D250" s="368">
        <v>10081</v>
      </c>
      <c r="E250" s="368">
        <v>46096</v>
      </c>
      <c r="F250" s="368">
        <v>1440</v>
      </c>
      <c r="G250" s="368">
        <v>2250</v>
      </c>
      <c r="H250" s="368">
        <v>541</v>
      </c>
      <c r="I250" s="368">
        <v>2791</v>
      </c>
      <c r="K250" s="367">
        <v>0</v>
      </c>
      <c r="L250" s="350">
        <v>0.21</v>
      </c>
      <c r="M250" s="350">
        <v>0.03</v>
      </c>
      <c r="N250" s="351" t="str">
        <f t="shared" si="3"/>
        <v>3600016</v>
      </c>
    </row>
    <row r="251" spans="1:14" ht="24" thickBot="1">
      <c r="A251" s="360" t="s">
        <v>60</v>
      </c>
      <c r="B251" s="361">
        <v>36000</v>
      </c>
      <c r="C251" s="365">
        <v>18</v>
      </c>
      <c r="D251" s="366">
        <v>11341</v>
      </c>
      <c r="E251" s="366">
        <v>47358</v>
      </c>
      <c r="F251" s="366">
        <v>1620</v>
      </c>
      <c r="G251" s="366">
        <v>2000</v>
      </c>
      <c r="H251" s="366">
        <v>541</v>
      </c>
      <c r="I251" s="366">
        <v>2541</v>
      </c>
      <c r="K251" s="365">
        <v>0</v>
      </c>
      <c r="L251" s="350">
        <v>0.21</v>
      </c>
      <c r="M251" s="350">
        <v>0.03</v>
      </c>
      <c r="N251" s="351" t="str">
        <f t="shared" si="3"/>
        <v>3600018</v>
      </c>
    </row>
    <row r="252" spans="1:14" ht="24" thickTop="1">
      <c r="A252" s="384" t="s">
        <v>60</v>
      </c>
      <c r="B252" s="385">
        <v>37000</v>
      </c>
      <c r="C252" s="357">
        <v>4</v>
      </c>
      <c r="D252" s="358">
        <v>2594</v>
      </c>
      <c r="E252" s="358">
        <v>39594</v>
      </c>
      <c r="F252" s="358">
        <v>370</v>
      </c>
      <c r="G252" s="358">
        <v>9250</v>
      </c>
      <c r="H252" s="358">
        <v>556</v>
      </c>
      <c r="I252" s="358">
        <v>9806</v>
      </c>
      <c r="K252" s="357">
        <v>0</v>
      </c>
      <c r="L252" s="350">
        <v>0.21</v>
      </c>
      <c r="M252" s="350">
        <v>0.03</v>
      </c>
      <c r="N252" s="351" t="str">
        <f t="shared" si="3"/>
        <v>370004</v>
      </c>
    </row>
    <row r="253" spans="1:14" ht="23.25">
      <c r="A253" s="386" t="s">
        <v>60</v>
      </c>
      <c r="B253" s="387">
        <v>37000</v>
      </c>
      <c r="C253" s="388">
        <v>6</v>
      </c>
      <c r="D253" s="364">
        <v>3887</v>
      </c>
      <c r="E253" s="364">
        <v>40887</v>
      </c>
      <c r="F253" s="364">
        <v>555</v>
      </c>
      <c r="G253" s="364">
        <v>6167</v>
      </c>
      <c r="H253" s="364">
        <v>555</v>
      </c>
      <c r="I253" s="364">
        <v>6722</v>
      </c>
      <c r="K253" s="388">
        <v>0</v>
      </c>
      <c r="L253" s="350">
        <v>0.21</v>
      </c>
      <c r="M253" s="350">
        <v>0.03</v>
      </c>
      <c r="N253" s="351" t="str">
        <f t="shared" si="3"/>
        <v>370006</v>
      </c>
    </row>
    <row r="254" spans="1:14" ht="23.25">
      <c r="A254" s="386" t="s">
        <v>60</v>
      </c>
      <c r="B254" s="387">
        <v>37000</v>
      </c>
      <c r="C254" s="365">
        <v>8</v>
      </c>
      <c r="D254" s="366">
        <v>5187</v>
      </c>
      <c r="E254" s="366">
        <v>42188</v>
      </c>
      <c r="F254" s="366">
        <v>740</v>
      </c>
      <c r="G254" s="366">
        <v>4625</v>
      </c>
      <c r="H254" s="366">
        <v>556</v>
      </c>
      <c r="I254" s="366">
        <v>5181</v>
      </c>
      <c r="K254" s="365">
        <v>0</v>
      </c>
      <c r="L254" s="350">
        <v>0.21</v>
      </c>
      <c r="M254" s="350">
        <v>0.03</v>
      </c>
      <c r="N254" s="351" t="str">
        <f t="shared" si="3"/>
        <v>370008</v>
      </c>
    </row>
    <row r="255" spans="1:14" ht="23.25">
      <c r="A255" s="386" t="s">
        <v>60</v>
      </c>
      <c r="B255" s="387">
        <v>37000</v>
      </c>
      <c r="C255" s="367">
        <v>10</v>
      </c>
      <c r="D255" s="368">
        <v>6484</v>
      </c>
      <c r="E255" s="368">
        <v>43485</v>
      </c>
      <c r="F255" s="368">
        <v>925</v>
      </c>
      <c r="G255" s="368">
        <v>3700</v>
      </c>
      <c r="H255" s="368">
        <v>556</v>
      </c>
      <c r="I255" s="368">
        <v>4256</v>
      </c>
      <c r="K255" s="367">
        <v>0</v>
      </c>
      <c r="L255" s="350">
        <v>0.21</v>
      </c>
      <c r="M255" s="350">
        <v>0.03</v>
      </c>
      <c r="N255" s="351" t="str">
        <f t="shared" si="3"/>
        <v>3700010</v>
      </c>
    </row>
    <row r="256" spans="1:14" ht="23.25">
      <c r="A256" s="386" t="s">
        <v>60</v>
      </c>
      <c r="B256" s="387">
        <v>37000</v>
      </c>
      <c r="C256" s="365">
        <v>12</v>
      </c>
      <c r="D256" s="366">
        <v>7777</v>
      </c>
      <c r="E256" s="366">
        <v>44778</v>
      </c>
      <c r="F256" s="366">
        <v>1110</v>
      </c>
      <c r="G256" s="366">
        <v>3084</v>
      </c>
      <c r="H256" s="366">
        <v>555</v>
      </c>
      <c r="I256" s="366">
        <v>3639</v>
      </c>
      <c r="K256" s="365">
        <v>0</v>
      </c>
      <c r="L256" s="350">
        <v>0.21</v>
      </c>
      <c r="M256" s="350">
        <v>0.03</v>
      </c>
      <c r="N256" s="351" t="str">
        <f t="shared" si="3"/>
        <v>3700012</v>
      </c>
    </row>
    <row r="257" spans="1:14" ht="23.25">
      <c r="A257" s="386" t="s">
        <v>60</v>
      </c>
      <c r="B257" s="387">
        <v>37000</v>
      </c>
      <c r="C257" s="367">
        <v>14</v>
      </c>
      <c r="D257" s="368">
        <v>9079</v>
      </c>
      <c r="E257" s="368">
        <v>46067</v>
      </c>
      <c r="F257" s="368">
        <v>1295</v>
      </c>
      <c r="G257" s="368">
        <v>2643</v>
      </c>
      <c r="H257" s="368">
        <v>555</v>
      </c>
      <c r="I257" s="368">
        <v>3198</v>
      </c>
      <c r="K257" s="367">
        <v>0</v>
      </c>
      <c r="L257" s="350">
        <v>0.21</v>
      </c>
      <c r="M257" s="350">
        <v>0.03</v>
      </c>
      <c r="N257" s="351" t="str">
        <f t="shared" si="3"/>
        <v>3700014</v>
      </c>
    </row>
    <row r="258" spans="1:14" ht="23.25">
      <c r="A258" s="386" t="s">
        <v>60</v>
      </c>
      <c r="B258" s="387">
        <v>37000</v>
      </c>
      <c r="C258" s="365">
        <v>16</v>
      </c>
      <c r="D258" s="366">
        <v>10366</v>
      </c>
      <c r="E258" s="366">
        <v>47368</v>
      </c>
      <c r="F258" s="366">
        <v>1480</v>
      </c>
      <c r="G258" s="366">
        <v>2313</v>
      </c>
      <c r="H258" s="366">
        <v>555</v>
      </c>
      <c r="I258" s="366">
        <v>2868</v>
      </c>
      <c r="K258" s="365">
        <v>0</v>
      </c>
      <c r="L258" s="350">
        <v>0.21</v>
      </c>
      <c r="M258" s="350">
        <v>0.03</v>
      </c>
      <c r="N258" s="351" t="str">
        <f t="shared" si="3"/>
        <v>3700016</v>
      </c>
    </row>
    <row r="259" spans="1:14" ht="24" thickBot="1">
      <c r="A259" s="386" t="s">
        <v>60</v>
      </c>
      <c r="B259" s="387">
        <v>37000</v>
      </c>
      <c r="C259" s="367">
        <v>18</v>
      </c>
      <c r="D259" s="368">
        <v>11661</v>
      </c>
      <c r="E259" s="368">
        <v>48663</v>
      </c>
      <c r="F259" s="368">
        <v>1665</v>
      </c>
      <c r="G259" s="368">
        <v>2056</v>
      </c>
      <c r="H259" s="372">
        <v>555</v>
      </c>
      <c r="I259" s="368">
        <v>2611</v>
      </c>
      <c r="K259" s="367">
        <v>0</v>
      </c>
      <c r="L259" s="350">
        <v>0.21</v>
      </c>
      <c r="M259" s="350">
        <v>0.03</v>
      </c>
      <c r="N259" s="351" t="str">
        <f t="shared" si="3"/>
        <v>3700018</v>
      </c>
    </row>
    <row r="260" spans="1:14" ht="24" thickTop="1">
      <c r="A260" s="355" t="s">
        <v>60</v>
      </c>
      <c r="B260" s="356">
        <v>38000</v>
      </c>
      <c r="C260" s="396">
        <v>4</v>
      </c>
      <c r="D260" s="397">
        <v>2663</v>
      </c>
      <c r="E260" s="397">
        <v>40664</v>
      </c>
      <c r="F260" s="397">
        <v>380</v>
      </c>
      <c r="G260" s="397">
        <v>9500</v>
      </c>
      <c r="H260" s="397">
        <v>571</v>
      </c>
      <c r="I260" s="397">
        <v>10071</v>
      </c>
      <c r="K260" s="396">
        <v>0</v>
      </c>
      <c r="L260" s="350">
        <v>0.21</v>
      </c>
      <c r="M260" s="350">
        <v>0.03</v>
      </c>
      <c r="N260" s="351" t="str">
        <f t="shared" si="3"/>
        <v>380004</v>
      </c>
    </row>
    <row r="261" spans="1:14" ht="23.25">
      <c r="A261" s="360" t="s">
        <v>60</v>
      </c>
      <c r="B261" s="361">
        <v>38000</v>
      </c>
      <c r="C261" s="365">
        <v>6</v>
      </c>
      <c r="D261" s="366">
        <v>3993</v>
      </c>
      <c r="E261" s="366">
        <v>41994</v>
      </c>
      <c r="F261" s="366">
        <v>570</v>
      </c>
      <c r="G261" s="366">
        <v>6334</v>
      </c>
      <c r="H261" s="366">
        <v>570</v>
      </c>
      <c r="I261" s="366">
        <v>6904</v>
      </c>
      <c r="K261" s="365">
        <v>0</v>
      </c>
      <c r="L261" s="350">
        <v>0.21</v>
      </c>
      <c r="M261" s="350">
        <v>0.03</v>
      </c>
      <c r="N261" s="351" t="str">
        <f t="shared" ref="N261:N324" si="4">CONCATENATE(B261,C261)</f>
        <v>380006</v>
      </c>
    </row>
    <row r="262" spans="1:14" ht="23.25">
      <c r="A262" s="360" t="s">
        <v>60</v>
      </c>
      <c r="B262" s="361">
        <v>38000</v>
      </c>
      <c r="C262" s="367">
        <v>8</v>
      </c>
      <c r="D262" s="368">
        <v>5326</v>
      </c>
      <c r="E262" s="368">
        <v>43328</v>
      </c>
      <c r="F262" s="368">
        <v>760</v>
      </c>
      <c r="G262" s="368">
        <v>4750</v>
      </c>
      <c r="H262" s="364">
        <v>571</v>
      </c>
      <c r="I262" s="368">
        <v>5321</v>
      </c>
      <c r="K262" s="367">
        <v>0</v>
      </c>
      <c r="L262" s="350">
        <v>0.21</v>
      </c>
      <c r="M262" s="350">
        <v>0.03</v>
      </c>
      <c r="N262" s="351" t="str">
        <f t="shared" si="4"/>
        <v>380008</v>
      </c>
    </row>
    <row r="263" spans="1:14" ht="23.25">
      <c r="A263" s="360" t="s">
        <v>60</v>
      </c>
      <c r="B263" s="361">
        <v>38000</v>
      </c>
      <c r="C263" s="365">
        <v>10</v>
      </c>
      <c r="D263" s="366">
        <v>6657</v>
      </c>
      <c r="E263" s="366">
        <v>44660</v>
      </c>
      <c r="F263" s="366">
        <v>950</v>
      </c>
      <c r="G263" s="366">
        <v>3800</v>
      </c>
      <c r="H263" s="366">
        <v>571</v>
      </c>
      <c r="I263" s="366">
        <v>4371</v>
      </c>
      <c r="K263" s="365">
        <v>0</v>
      </c>
      <c r="L263" s="350">
        <v>0.21</v>
      </c>
      <c r="M263" s="350">
        <v>0.03</v>
      </c>
      <c r="N263" s="351" t="str">
        <f t="shared" si="4"/>
        <v>3800010</v>
      </c>
    </row>
    <row r="264" spans="1:14" ht="23.25">
      <c r="A264" s="360" t="s">
        <v>60</v>
      </c>
      <c r="B264" s="361">
        <v>38000</v>
      </c>
      <c r="C264" s="367">
        <v>12</v>
      </c>
      <c r="D264" s="368">
        <v>7981</v>
      </c>
      <c r="E264" s="368">
        <v>45984</v>
      </c>
      <c r="F264" s="368">
        <v>1140</v>
      </c>
      <c r="G264" s="368">
        <v>3167</v>
      </c>
      <c r="H264" s="368">
        <v>570</v>
      </c>
      <c r="I264" s="368">
        <v>3737</v>
      </c>
      <c r="K264" s="367">
        <v>0</v>
      </c>
      <c r="L264" s="350">
        <v>0.21</v>
      </c>
      <c r="M264" s="350">
        <v>0.03</v>
      </c>
      <c r="N264" s="351" t="str">
        <f t="shared" si="4"/>
        <v>3800012</v>
      </c>
    </row>
    <row r="265" spans="1:14" ht="23.25">
      <c r="A265" s="360" t="s">
        <v>60</v>
      </c>
      <c r="B265" s="361">
        <v>38000</v>
      </c>
      <c r="C265" s="365">
        <v>14</v>
      </c>
      <c r="D265" s="366">
        <v>9316</v>
      </c>
      <c r="E265" s="366">
        <v>47320</v>
      </c>
      <c r="F265" s="366">
        <v>1330</v>
      </c>
      <c r="G265" s="366">
        <v>2715</v>
      </c>
      <c r="H265" s="366">
        <v>570</v>
      </c>
      <c r="I265" s="366">
        <v>3285</v>
      </c>
      <c r="K265" s="365">
        <v>0</v>
      </c>
      <c r="L265" s="350">
        <v>0.21</v>
      </c>
      <c r="M265" s="350">
        <v>0.03</v>
      </c>
      <c r="N265" s="351" t="str">
        <f t="shared" si="4"/>
        <v>3800014</v>
      </c>
    </row>
    <row r="266" spans="1:14" ht="23.25">
      <c r="A266" s="360" t="s">
        <v>60</v>
      </c>
      <c r="B266" s="361">
        <v>38000</v>
      </c>
      <c r="C266" s="367">
        <v>16</v>
      </c>
      <c r="D266" s="368">
        <v>10651</v>
      </c>
      <c r="E266" s="368">
        <v>48656</v>
      </c>
      <c r="F266" s="368">
        <v>1520</v>
      </c>
      <c r="G266" s="368">
        <v>2375</v>
      </c>
      <c r="H266" s="368">
        <v>571</v>
      </c>
      <c r="I266" s="368">
        <v>2946</v>
      </c>
      <c r="K266" s="367">
        <v>0</v>
      </c>
      <c r="L266" s="350">
        <v>0.21</v>
      </c>
      <c r="M266" s="350">
        <v>0.03</v>
      </c>
      <c r="N266" s="351" t="str">
        <f t="shared" si="4"/>
        <v>3800016</v>
      </c>
    </row>
    <row r="267" spans="1:14" ht="24" thickBot="1">
      <c r="A267" s="360" t="s">
        <v>60</v>
      </c>
      <c r="B267" s="361">
        <v>38000</v>
      </c>
      <c r="C267" s="365">
        <v>18</v>
      </c>
      <c r="D267" s="366">
        <v>11981</v>
      </c>
      <c r="E267" s="366">
        <v>49986</v>
      </c>
      <c r="F267" s="366">
        <v>1710</v>
      </c>
      <c r="G267" s="366">
        <v>2112</v>
      </c>
      <c r="H267" s="366">
        <v>570</v>
      </c>
      <c r="I267" s="366">
        <v>2682</v>
      </c>
      <c r="K267" s="365">
        <v>0</v>
      </c>
      <c r="L267" s="350">
        <v>0.21</v>
      </c>
      <c r="M267" s="350">
        <v>0.03</v>
      </c>
      <c r="N267" s="351" t="str">
        <f t="shared" si="4"/>
        <v>3800018</v>
      </c>
    </row>
    <row r="268" spans="1:14" ht="24" thickTop="1">
      <c r="A268" s="384" t="s">
        <v>60</v>
      </c>
      <c r="B268" s="385">
        <v>39000</v>
      </c>
      <c r="C268" s="357">
        <v>4</v>
      </c>
      <c r="D268" s="358">
        <v>2733</v>
      </c>
      <c r="E268" s="358">
        <v>41734</v>
      </c>
      <c r="F268" s="358">
        <v>390</v>
      </c>
      <c r="G268" s="358">
        <v>9750</v>
      </c>
      <c r="H268" s="358">
        <v>586</v>
      </c>
      <c r="I268" s="358">
        <v>10336</v>
      </c>
      <c r="K268" s="357">
        <v>0</v>
      </c>
      <c r="L268" s="350">
        <v>0.21</v>
      </c>
      <c r="M268" s="350">
        <v>0.03</v>
      </c>
      <c r="N268" s="351" t="str">
        <f t="shared" si="4"/>
        <v>390004</v>
      </c>
    </row>
    <row r="269" spans="1:14" ht="23.25">
      <c r="A269" s="386" t="s">
        <v>60</v>
      </c>
      <c r="B269" s="387">
        <v>39000</v>
      </c>
      <c r="C269" s="388">
        <v>6</v>
      </c>
      <c r="D269" s="364">
        <v>4099</v>
      </c>
      <c r="E269" s="364">
        <v>43101</v>
      </c>
      <c r="F269" s="364">
        <v>585</v>
      </c>
      <c r="G269" s="364">
        <v>6500</v>
      </c>
      <c r="H269" s="364">
        <v>586</v>
      </c>
      <c r="I269" s="364">
        <v>7086</v>
      </c>
      <c r="K269" s="388">
        <v>0</v>
      </c>
      <c r="L269" s="350">
        <v>0.21</v>
      </c>
      <c r="M269" s="350">
        <v>0.03</v>
      </c>
      <c r="N269" s="351" t="str">
        <f t="shared" si="4"/>
        <v>390006</v>
      </c>
    </row>
    <row r="270" spans="1:14" ht="23.25">
      <c r="A270" s="386" t="s">
        <v>60</v>
      </c>
      <c r="B270" s="387">
        <v>39000</v>
      </c>
      <c r="C270" s="365">
        <v>8</v>
      </c>
      <c r="D270" s="366">
        <v>5465</v>
      </c>
      <c r="E270" s="366">
        <v>44468</v>
      </c>
      <c r="F270" s="366">
        <v>780</v>
      </c>
      <c r="G270" s="366">
        <v>4875</v>
      </c>
      <c r="H270" s="366">
        <v>586</v>
      </c>
      <c r="I270" s="366">
        <v>5461</v>
      </c>
      <c r="K270" s="365">
        <v>0</v>
      </c>
      <c r="L270" s="350">
        <v>0.21</v>
      </c>
      <c r="M270" s="350">
        <v>0.03</v>
      </c>
      <c r="N270" s="351" t="str">
        <f t="shared" si="4"/>
        <v>390008</v>
      </c>
    </row>
    <row r="271" spans="1:14" ht="23.25">
      <c r="A271" s="386" t="s">
        <v>60</v>
      </c>
      <c r="B271" s="387">
        <v>39000</v>
      </c>
      <c r="C271" s="367">
        <v>10</v>
      </c>
      <c r="D271" s="368">
        <v>6831</v>
      </c>
      <c r="E271" s="368">
        <v>45835</v>
      </c>
      <c r="F271" s="368">
        <v>975</v>
      </c>
      <c r="G271" s="368">
        <v>3900</v>
      </c>
      <c r="H271" s="368">
        <v>586</v>
      </c>
      <c r="I271" s="368">
        <v>4486</v>
      </c>
      <c r="K271" s="367">
        <v>0</v>
      </c>
      <c r="L271" s="350">
        <v>0.21</v>
      </c>
      <c r="M271" s="350">
        <v>0.03</v>
      </c>
      <c r="N271" s="351" t="str">
        <f t="shared" si="4"/>
        <v>3900010</v>
      </c>
    </row>
    <row r="272" spans="1:14" ht="23.25">
      <c r="A272" s="386" t="s">
        <v>60</v>
      </c>
      <c r="B272" s="387">
        <v>39000</v>
      </c>
      <c r="C272" s="365">
        <v>12</v>
      </c>
      <c r="D272" s="366">
        <v>8197</v>
      </c>
      <c r="E272" s="366">
        <v>47202</v>
      </c>
      <c r="F272" s="366">
        <v>1170</v>
      </c>
      <c r="G272" s="366">
        <v>3250</v>
      </c>
      <c r="H272" s="366">
        <v>586</v>
      </c>
      <c r="I272" s="366">
        <v>3836</v>
      </c>
      <c r="K272" s="365">
        <v>0</v>
      </c>
      <c r="L272" s="350">
        <v>0.21</v>
      </c>
      <c r="M272" s="350">
        <v>0.03</v>
      </c>
      <c r="N272" s="351" t="str">
        <f t="shared" si="4"/>
        <v>3900012</v>
      </c>
    </row>
    <row r="273" spans="1:14" ht="23.25">
      <c r="A273" s="386" t="s">
        <v>60</v>
      </c>
      <c r="B273" s="387">
        <v>39000</v>
      </c>
      <c r="C273" s="367">
        <v>14</v>
      </c>
      <c r="D273" s="368">
        <v>9567</v>
      </c>
      <c r="E273" s="368">
        <v>48559</v>
      </c>
      <c r="F273" s="368">
        <v>1365</v>
      </c>
      <c r="G273" s="368">
        <v>2786</v>
      </c>
      <c r="H273" s="368">
        <v>585</v>
      </c>
      <c r="I273" s="368">
        <v>3371</v>
      </c>
      <c r="K273" s="367">
        <v>0</v>
      </c>
      <c r="L273" s="350">
        <v>0.21</v>
      </c>
      <c r="M273" s="350">
        <v>0.03</v>
      </c>
      <c r="N273" s="351" t="str">
        <f t="shared" si="4"/>
        <v>3900014</v>
      </c>
    </row>
    <row r="274" spans="1:14" ht="23.25">
      <c r="A274" s="386" t="s">
        <v>60</v>
      </c>
      <c r="B274" s="387">
        <v>39000</v>
      </c>
      <c r="C274" s="365">
        <v>16</v>
      </c>
      <c r="D274" s="366">
        <v>10921</v>
      </c>
      <c r="E274" s="366">
        <v>49928</v>
      </c>
      <c r="F274" s="366">
        <v>1560</v>
      </c>
      <c r="G274" s="366">
        <v>2438</v>
      </c>
      <c r="H274" s="366">
        <v>585</v>
      </c>
      <c r="I274" s="366">
        <v>3023</v>
      </c>
      <c r="K274" s="365">
        <v>0</v>
      </c>
      <c r="L274" s="350">
        <v>0.21</v>
      </c>
      <c r="M274" s="350">
        <v>0.03</v>
      </c>
      <c r="N274" s="351" t="str">
        <f t="shared" si="4"/>
        <v>3900016</v>
      </c>
    </row>
    <row r="275" spans="1:14" ht="24" thickBot="1">
      <c r="A275" s="386" t="s">
        <v>60</v>
      </c>
      <c r="B275" s="387">
        <v>39000</v>
      </c>
      <c r="C275" s="367">
        <v>18</v>
      </c>
      <c r="D275" s="368">
        <v>12301</v>
      </c>
      <c r="E275" s="368">
        <v>51291</v>
      </c>
      <c r="F275" s="368">
        <v>1755</v>
      </c>
      <c r="G275" s="368">
        <v>2167</v>
      </c>
      <c r="H275" s="372">
        <v>585</v>
      </c>
      <c r="I275" s="368">
        <v>2752</v>
      </c>
      <c r="K275" s="367">
        <v>0</v>
      </c>
      <c r="L275" s="350">
        <v>0.21</v>
      </c>
      <c r="M275" s="350">
        <v>0.03</v>
      </c>
      <c r="N275" s="351" t="str">
        <f t="shared" si="4"/>
        <v>3900018</v>
      </c>
    </row>
    <row r="276" spans="1:14" ht="24" thickTop="1">
      <c r="A276" s="355" t="s">
        <v>60</v>
      </c>
      <c r="B276" s="356">
        <v>40000</v>
      </c>
      <c r="C276" s="396">
        <v>4</v>
      </c>
      <c r="D276" s="397">
        <v>2802</v>
      </c>
      <c r="E276" s="397">
        <v>42804</v>
      </c>
      <c r="F276" s="397">
        <v>400</v>
      </c>
      <c r="G276" s="397">
        <v>10000</v>
      </c>
      <c r="H276" s="397">
        <v>601</v>
      </c>
      <c r="I276" s="397">
        <v>10601</v>
      </c>
      <c r="K276" s="396">
        <v>0</v>
      </c>
      <c r="L276" s="350">
        <v>0.21</v>
      </c>
      <c r="M276" s="350">
        <v>0.03</v>
      </c>
      <c r="N276" s="351" t="str">
        <f t="shared" si="4"/>
        <v>400004</v>
      </c>
    </row>
    <row r="277" spans="1:14" ht="23.25">
      <c r="A277" s="360" t="s">
        <v>60</v>
      </c>
      <c r="B277" s="361">
        <v>40000</v>
      </c>
      <c r="C277" s="365">
        <v>6</v>
      </c>
      <c r="D277" s="366">
        <v>4205</v>
      </c>
      <c r="E277" s="366">
        <v>44202</v>
      </c>
      <c r="F277" s="366">
        <v>600</v>
      </c>
      <c r="G277" s="366">
        <v>6667</v>
      </c>
      <c r="H277" s="366">
        <v>600</v>
      </c>
      <c r="I277" s="366">
        <v>7267</v>
      </c>
      <c r="K277" s="365">
        <v>0</v>
      </c>
      <c r="L277" s="350">
        <v>0.21</v>
      </c>
      <c r="M277" s="350">
        <v>0.03</v>
      </c>
      <c r="N277" s="351" t="str">
        <f t="shared" si="4"/>
        <v>400006</v>
      </c>
    </row>
    <row r="278" spans="1:14" ht="23.25">
      <c r="A278" s="360" t="s">
        <v>60</v>
      </c>
      <c r="B278" s="361">
        <v>40000</v>
      </c>
      <c r="C278" s="367">
        <v>8</v>
      </c>
      <c r="D278" s="368">
        <v>5603</v>
      </c>
      <c r="E278" s="368">
        <v>45608</v>
      </c>
      <c r="F278" s="368">
        <v>800</v>
      </c>
      <c r="G278" s="368">
        <v>5000</v>
      </c>
      <c r="H278" s="364">
        <v>601</v>
      </c>
      <c r="I278" s="368">
        <v>5601</v>
      </c>
      <c r="K278" s="367">
        <v>0</v>
      </c>
      <c r="L278" s="350">
        <v>0.21</v>
      </c>
      <c r="M278" s="350">
        <v>0.03</v>
      </c>
      <c r="N278" s="351" t="str">
        <f t="shared" si="4"/>
        <v>400008</v>
      </c>
    </row>
    <row r="279" spans="1:14" ht="23.25">
      <c r="A279" s="360" t="s">
        <v>60</v>
      </c>
      <c r="B279" s="361">
        <v>40000</v>
      </c>
      <c r="C279" s="365">
        <v>10</v>
      </c>
      <c r="D279" s="366">
        <v>7004</v>
      </c>
      <c r="E279" s="366">
        <v>47010</v>
      </c>
      <c r="F279" s="366">
        <v>1000</v>
      </c>
      <c r="G279" s="366">
        <v>4000</v>
      </c>
      <c r="H279" s="366">
        <v>601</v>
      </c>
      <c r="I279" s="366">
        <v>4601</v>
      </c>
      <c r="K279" s="365">
        <v>0</v>
      </c>
      <c r="L279" s="350">
        <v>0.21</v>
      </c>
      <c r="M279" s="350">
        <v>0.03</v>
      </c>
      <c r="N279" s="351" t="str">
        <f t="shared" si="4"/>
        <v>4000010</v>
      </c>
    </row>
    <row r="280" spans="1:14" ht="23.25">
      <c r="A280" s="360" t="s">
        <v>60</v>
      </c>
      <c r="B280" s="361">
        <v>40000</v>
      </c>
      <c r="C280" s="367">
        <v>12</v>
      </c>
      <c r="D280" s="368">
        <v>8401</v>
      </c>
      <c r="E280" s="368">
        <v>48408</v>
      </c>
      <c r="F280" s="368">
        <v>1200</v>
      </c>
      <c r="G280" s="368">
        <v>3334</v>
      </c>
      <c r="H280" s="368">
        <v>600</v>
      </c>
      <c r="I280" s="368">
        <v>3934</v>
      </c>
      <c r="K280" s="367">
        <v>0</v>
      </c>
      <c r="L280" s="350">
        <v>0.21</v>
      </c>
      <c r="M280" s="350">
        <v>0.03</v>
      </c>
      <c r="N280" s="351" t="str">
        <f t="shared" si="4"/>
        <v>4000012</v>
      </c>
    </row>
    <row r="281" spans="1:14" ht="23.25">
      <c r="A281" s="360" t="s">
        <v>60</v>
      </c>
      <c r="B281" s="361">
        <v>40000</v>
      </c>
      <c r="C281" s="365">
        <v>14</v>
      </c>
      <c r="D281" s="366">
        <v>9803</v>
      </c>
      <c r="E281" s="366">
        <v>49812</v>
      </c>
      <c r="F281" s="366">
        <v>1400</v>
      </c>
      <c r="G281" s="366">
        <v>2858</v>
      </c>
      <c r="H281" s="366">
        <v>600</v>
      </c>
      <c r="I281" s="366">
        <v>3458</v>
      </c>
      <c r="K281" s="365">
        <v>0</v>
      </c>
      <c r="L281" s="350">
        <v>0.21</v>
      </c>
      <c r="M281" s="350">
        <v>0.03</v>
      </c>
      <c r="N281" s="351" t="str">
        <f t="shared" si="4"/>
        <v>4000014</v>
      </c>
    </row>
    <row r="282" spans="1:14" ht="23.25">
      <c r="A282" s="360" t="s">
        <v>60</v>
      </c>
      <c r="B282" s="361">
        <v>40000</v>
      </c>
      <c r="C282" s="367">
        <v>16</v>
      </c>
      <c r="D282" s="368">
        <v>11206</v>
      </c>
      <c r="E282" s="368">
        <v>51216</v>
      </c>
      <c r="F282" s="368">
        <v>1600</v>
      </c>
      <c r="G282" s="368">
        <v>2500</v>
      </c>
      <c r="H282" s="368">
        <v>601</v>
      </c>
      <c r="I282" s="368">
        <v>3101</v>
      </c>
      <c r="K282" s="367">
        <v>0</v>
      </c>
      <c r="L282" s="350">
        <v>0.21</v>
      </c>
      <c r="M282" s="350">
        <v>0.03</v>
      </c>
      <c r="N282" s="351" t="str">
        <f t="shared" si="4"/>
        <v>4000016</v>
      </c>
    </row>
    <row r="283" spans="1:14" ht="24" thickBot="1">
      <c r="A283" s="360" t="s">
        <v>60</v>
      </c>
      <c r="B283" s="361">
        <v>40000</v>
      </c>
      <c r="C283" s="365">
        <v>18</v>
      </c>
      <c r="D283" s="366">
        <v>12603</v>
      </c>
      <c r="E283" s="366">
        <v>52614</v>
      </c>
      <c r="F283" s="366">
        <v>1800</v>
      </c>
      <c r="G283" s="366">
        <v>2223</v>
      </c>
      <c r="H283" s="366">
        <v>600</v>
      </c>
      <c r="I283" s="366">
        <v>2823</v>
      </c>
      <c r="K283" s="365">
        <v>0</v>
      </c>
      <c r="L283" s="350">
        <v>0.21</v>
      </c>
      <c r="M283" s="350">
        <v>0.03</v>
      </c>
      <c r="N283" s="351" t="str">
        <f t="shared" si="4"/>
        <v>4000018</v>
      </c>
    </row>
    <row r="284" spans="1:14" ht="24" thickTop="1">
      <c r="A284" s="384" t="s">
        <v>60</v>
      </c>
      <c r="B284" s="385">
        <v>41000</v>
      </c>
      <c r="C284" s="357">
        <v>4</v>
      </c>
      <c r="D284" s="358">
        <v>2871</v>
      </c>
      <c r="E284" s="358">
        <v>43874</v>
      </c>
      <c r="F284" s="358">
        <v>410</v>
      </c>
      <c r="G284" s="358">
        <v>10250</v>
      </c>
      <c r="H284" s="358">
        <v>616</v>
      </c>
      <c r="I284" s="358">
        <v>10866</v>
      </c>
      <c r="K284" s="357">
        <v>0</v>
      </c>
      <c r="L284" s="350">
        <v>0.21</v>
      </c>
      <c r="M284" s="350">
        <v>0.03</v>
      </c>
      <c r="N284" s="351" t="str">
        <f t="shared" si="4"/>
        <v>410004</v>
      </c>
    </row>
    <row r="285" spans="1:14" ht="23.25">
      <c r="A285" s="386" t="s">
        <v>60</v>
      </c>
      <c r="B285" s="387">
        <v>41000</v>
      </c>
      <c r="C285" s="388">
        <v>6</v>
      </c>
      <c r="D285" s="364">
        <v>4311</v>
      </c>
      <c r="E285" s="364">
        <v>45309</v>
      </c>
      <c r="F285" s="364">
        <v>615</v>
      </c>
      <c r="G285" s="364">
        <v>6834</v>
      </c>
      <c r="H285" s="364">
        <v>615</v>
      </c>
      <c r="I285" s="364">
        <v>7449</v>
      </c>
      <c r="K285" s="388">
        <v>0</v>
      </c>
      <c r="L285" s="350">
        <v>0.21</v>
      </c>
      <c r="M285" s="350">
        <v>0.03</v>
      </c>
      <c r="N285" s="351" t="str">
        <f t="shared" si="4"/>
        <v>410006</v>
      </c>
    </row>
    <row r="286" spans="1:14" ht="23.25">
      <c r="A286" s="386" t="s">
        <v>60</v>
      </c>
      <c r="B286" s="387">
        <v>41000</v>
      </c>
      <c r="C286" s="365">
        <v>8</v>
      </c>
      <c r="D286" s="366">
        <v>5742</v>
      </c>
      <c r="E286" s="366">
        <v>46748</v>
      </c>
      <c r="F286" s="366">
        <v>820</v>
      </c>
      <c r="G286" s="366">
        <v>5125</v>
      </c>
      <c r="H286" s="366">
        <v>616</v>
      </c>
      <c r="I286" s="366">
        <v>5741</v>
      </c>
      <c r="K286" s="365">
        <v>0</v>
      </c>
      <c r="L286" s="350">
        <v>0.21</v>
      </c>
      <c r="M286" s="350">
        <v>0.03</v>
      </c>
      <c r="N286" s="351" t="str">
        <f t="shared" si="4"/>
        <v>410008</v>
      </c>
    </row>
    <row r="287" spans="1:14" ht="23.25">
      <c r="A287" s="386" t="s">
        <v>60</v>
      </c>
      <c r="B287" s="387">
        <v>41000</v>
      </c>
      <c r="C287" s="367">
        <v>10</v>
      </c>
      <c r="D287" s="368">
        <v>7177</v>
      </c>
      <c r="E287" s="368">
        <v>48185</v>
      </c>
      <c r="F287" s="368">
        <v>1025</v>
      </c>
      <c r="G287" s="368">
        <v>4100</v>
      </c>
      <c r="H287" s="368">
        <v>616</v>
      </c>
      <c r="I287" s="368">
        <v>4716</v>
      </c>
      <c r="K287" s="367">
        <v>0</v>
      </c>
      <c r="L287" s="350">
        <v>0.21</v>
      </c>
      <c r="M287" s="350">
        <v>0.03</v>
      </c>
      <c r="N287" s="351" t="str">
        <f t="shared" si="4"/>
        <v>4100010</v>
      </c>
    </row>
    <row r="288" spans="1:14" ht="23.25">
      <c r="A288" s="386" t="s">
        <v>60</v>
      </c>
      <c r="B288" s="387">
        <v>41000</v>
      </c>
      <c r="C288" s="365">
        <v>12</v>
      </c>
      <c r="D288" s="366">
        <v>8617</v>
      </c>
      <c r="E288" s="366">
        <v>49614</v>
      </c>
      <c r="F288" s="366">
        <v>1230</v>
      </c>
      <c r="G288" s="366">
        <v>3417</v>
      </c>
      <c r="H288" s="366">
        <v>615</v>
      </c>
      <c r="I288" s="366">
        <v>4032</v>
      </c>
      <c r="K288" s="365">
        <v>0</v>
      </c>
      <c r="L288" s="350">
        <v>0.21</v>
      </c>
      <c r="M288" s="350">
        <v>0.03</v>
      </c>
      <c r="N288" s="351" t="str">
        <f t="shared" si="4"/>
        <v>4100012</v>
      </c>
    </row>
    <row r="289" spans="1:14" ht="23.25">
      <c r="A289" s="386" t="s">
        <v>60</v>
      </c>
      <c r="B289" s="387">
        <v>41000</v>
      </c>
      <c r="C289" s="367">
        <v>14</v>
      </c>
      <c r="D289" s="368">
        <v>10054</v>
      </c>
      <c r="E289" s="368">
        <v>51051</v>
      </c>
      <c r="F289" s="368">
        <v>1435</v>
      </c>
      <c r="G289" s="368">
        <v>2929</v>
      </c>
      <c r="H289" s="368">
        <v>615</v>
      </c>
      <c r="I289" s="368">
        <v>3544</v>
      </c>
      <c r="K289" s="367">
        <v>0</v>
      </c>
      <c r="L289" s="350">
        <v>0.21</v>
      </c>
      <c r="M289" s="350">
        <v>0.03</v>
      </c>
      <c r="N289" s="351" t="str">
        <f t="shared" si="4"/>
        <v>4100014</v>
      </c>
    </row>
    <row r="290" spans="1:14" ht="23.25">
      <c r="A290" s="386" t="s">
        <v>60</v>
      </c>
      <c r="B290" s="387">
        <v>41000</v>
      </c>
      <c r="C290" s="365">
        <v>16</v>
      </c>
      <c r="D290" s="366">
        <v>11491</v>
      </c>
      <c r="E290" s="366">
        <v>52488</v>
      </c>
      <c r="F290" s="366">
        <v>1640</v>
      </c>
      <c r="G290" s="366">
        <v>2563</v>
      </c>
      <c r="H290" s="366">
        <v>615</v>
      </c>
      <c r="I290" s="366">
        <v>3178</v>
      </c>
      <c r="K290" s="365">
        <v>0</v>
      </c>
      <c r="L290" s="350">
        <v>0.21</v>
      </c>
      <c r="M290" s="350">
        <v>0.03</v>
      </c>
      <c r="N290" s="351" t="str">
        <f t="shared" si="4"/>
        <v>4100016</v>
      </c>
    </row>
    <row r="291" spans="1:14" ht="23.25">
      <c r="A291" s="386" t="s">
        <v>60</v>
      </c>
      <c r="B291" s="387">
        <v>41000</v>
      </c>
      <c r="C291" s="367">
        <v>18</v>
      </c>
      <c r="D291" s="368">
        <v>12923</v>
      </c>
      <c r="E291" s="368">
        <v>53919</v>
      </c>
      <c r="F291" s="368">
        <v>1845</v>
      </c>
      <c r="G291" s="368">
        <v>2278</v>
      </c>
      <c r="H291" s="372">
        <v>615</v>
      </c>
      <c r="I291" s="368">
        <v>2893</v>
      </c>
      <c r="K291" s="367">
        <v>0</v>
      </c>
      <c r="L291" s="350">
        <v>0.21</v>
      </c>
      <c r="M291" s="350">
        <v>0.03</v>
      </c>
      <c r="N291" s="351" t="str">
        <f t="shared" si="4"/>
        <v>4100018</v>
      </c>
    </row>
    <row r="292" spans="1:14" ht="23.25">
      <c r="A292" s="386" t="s">
        <v>60</v>
      </c>
      <c r="B292" s="387">
        <v>42000</v>
      </c>
      <c r="C292" s="365">
        <v>4</v>
      </c>
      <c r="D292" s="366">
        <v>2941</v>
      </c>
      <c r="E292" s="366">
        <v>44944</v>
      </c>
      <c r="F292" s="366">
        <v>420</v>
      </c>
      <c r="G292" s="366">
        <v>10500</v>
      </c>
      <c r="H292" s="366">
        <v>631</v>
      </c>
      <c r="I292" s="366">
        <v>11131</v>
      </c>
      <c r="K292" s="365">
        <v>0</v>
      </c>
      <c r="L292" s="350">
        <v>0.21</v>
      </c>
      <c r="M292" s="350">
        <v>0.03</v>
      </c>
      <c r="N292" s="351" t="str">
        <f t="shared" si="4"/>
        <v>420004</v>
      </c>
    </row>
    <row r="293" spans="1:14" ht="23.25">
      <c r="A293" s="386" t="s">
        <v>60</v>
      </c>
      <c r="B293" s="387">
        <v>42000</v>
      </c>
      <c r="C293" s="388">
        <v>6</v>
      </c>
      <c r="D293" s="364">
        <v>4411</v>
      </c>
      <c r="E293" s="364">
        <v>46416</v>
      </c>
      <c r="F293" s="364">
        <v>630</v>
      </c>
      <c r="G293" s="364">
        <v>7000</v>
      </c>
      <c r="H293" s="364">
        <v>631</v>
      </c>
      <c r="I293" s="364">
        <v>7631</v>
      </c>
      <c r="K293" s="388">
        <v>0</v>
      </c>
      <c r="L293" s="350">
        <v>0.21</v>
      </c>
      <c r="M293" s="350">
        <v>0.03</v>
      </c>
      <c r="N293" s="351" t="str">
        <f t="shared" si="4"/>
        <v>420006</v>
      </c>
    </row>
    <row r="294" spans="1:14" ht="24" thickBot="1">
      <c r="A294" s="389" t="s">
        <v>60</v>
      </c>
      <c r="B294" s="390">
        <v>42000</v>
      </c>
      <c r="C294" s="381">
        <v>8</v>
      </c>
      <c r="D294" s="398">
        <v>5881</v>
      </c>
      <c r="E294" s="398">
        <v>47888</v>
      </c>
      <c r="F294" s="398">
        <v>840</v>
      </c>
      <c r="G294" s="398">
        <v>5250</v>
      </c>
      <c r="H294" s="366">
        <v>631</v>
      </c>
      <c r="I294" s="398">
        <v>5881</v>
      </c>
      <c r="K294" s="381">
        <v>0</v>
      </c>
      <c r="L294" s="350">
        <v>0.21</v>
      </c>
      <c r="M294" s="350">
        <v>0.03</v>
      </c>
      <c r="N294" s="351" t="str">
        <f t="shared" si="4"/>
        <v>420008</v>
      </c>
    </row>
    <row r="295" spans="1:14" ht="24" thickTop="1">
      <c r="A295" s="355" t="s">
        <v>60</v>
      </c>
      <c r="B295" s="356">
        <v>42000</v>
      </c>
      <c r="C295" s="396">
        <v>10</v>
      </c>
      <c r="D295" s="397">
        <v>7351</v>
      </c>
      <c r="E295" s="397">
        <v>49360</v>
      </c>
      <c r="F295" s="397">
        <v>1050</v>
      </c>
      <c r="G295" s="397">
        <v>4200</v>
      </c>
      <c r="H295" s="397">
        <v>631</v>
      </c>
      <c r="I295" s="397">
        <v>4831</v>
      </c>
      <c r="K295" s="396">
        <v>0</v>
      </c>
      <c r="L295" s="350">
        <v>0.21</v>
      </c>
      <c r="M295" s="350">
        <v>0.03</v>
      </c>
      <c r="N295" s="351" t="str">
        <f t="shared" si="4"/>
        <v>4200010</v>
      </c>
    </row>
    <row r="296" spans="1:14" ht="23.25">
      <c r="A296" s="360" t="s">
        <v>60</v>
      </c>
      <c r="B296" s="361">
        <v>42000</v>
      </c>
      <c r="C296" s="365">
        <v>12</v>
      </c>
      <c r="D296" s="366">
        <v>8821</v>
      </c>
      <c r="E296" s="366">
        <v>50832</v>
      </c>
      <c r="F296" s="366">
        <v>1260</v>
      </c>
      <c r="G296" s="366">
        <v>3500</v>
      </c>
      <c r="H296" s="366">
        <v>631</v>
      </c>
      <c r="I296" s="366">
        <v>4131</v>
      </c>
      <c r="K296" s="365">
        <v>0</v>
      </c>
      <c r="L296" s="350">
        <v>0.21</v>
      </c>
      <c r="M296" s="350">
        <v>0.03</v>
      </c>
      <c r="N296" s="351" t="str">
        <f t="shared" si="4"/>
        <v>4200012</v>
      </c>
    </row>
    <row r="297" spans="1:14" ht="23.25">
      <c r="A297" s="360" t="s">
        <v>60</v>
      </c>
      <c r="B297" s="361">
        <v>42000</v>
      </c>
      <c r="C297" s="367">
        <v>14</v>
      </c>
      <c r="D297" s="368">
        <v>10291</v>
      </c>
      <c r="E297" s="368">
        <v>52304</v>
      </c>
      <c r="F297" s="368">
        <v>1470</v>
      </c>
      <c r="G297" s="368">
        <v>3000</v>
      </c>
      <c r="H297" s="364">
        <v>631</v>
      </c>
      <c r="I297" s="368">
        <v>3631</v>
      </c>
      <c r="K297" s="367">
        <v>0</v>
      </c>
      <c r="L297" s="350">
        <v>0.21</v>
      </c>
      <c r="M297" s="350">
        <v>0.03</v>
      </c>
      <c r="N297" s="351" t="str">
        <f t="shared" si="4"/>
        <v>4200014</v>
      </c>
    </row>
    <row r="298" spans="1:14" ht="23.25">
      <c r="A298" s="360" t="s">
        <v>60</v>
      </c>
      <c r="B298" s="361">
        <v>42000</v>
      </c>
      <c r="C298" s="365">
        <v>16</v>
      </c>
      <c r="D298" s="366">
        <v>11761</v>
      </c>
      <c r="E298" s="366">
        <v>53776</v>
      </c>
      <c r="F298" s="366">
        <v>1680</v>
      </c>
      <c r="G298" s="366">
        <v>2625</v>
      </c>
      <c r="H298" s="366">
        <v>631</v>
      </c>
      <c r="I298" s="366">
        <v>3256</v>
      </c>
      <c r="K298" s="365">
        <v>0</v>
      </c>
      <c r="L298" s="350">
        <v>0.21</v>
      </c>
      <c r="M298" s="350">
        <v>0.03</v>
      </c>
      <c r="N298" s="351" t="str">
        <f t="shared" si="4"/>
        <v>4200016</v>
      </c>
    </row>
    <row r="299" spans="1:14" ht="23.25">
      <c r="A299" s="360" t="s">
        <v>60</v>
      </c>
      <c r="B299" s="361">
        <v>42000</v>
      </c>
      <c r="C299" s="367">
        <v>18</v>
      </c>
      <c r="D299" s="368">
        <v>13243</v>
      </c>
      <c r="E299" s="368">
        <v>55242</v>
      </c>
      <c r="F299" s="368">
        <v>1890</v>
      </c>
      <c r="G299" s="368">
        <v>2334</v>
      </c>
      <c r="H299" s="368">
        <v>630</v>
      </c>
      <c r="I299" s="368">
        <v>2964</v>
      </c>
      <c r="K299" s="367">
        <v>0</v>
      </c>
      <c r="L299" s="350">
        <v>0.21</v>
      </c>
      <c r="M299" s="350">
        <v>0.03</v>
      </c>
      <c r="N299" s="351" t="str">
        <f t="shared" si="4"/>
        <v>4200018</v>
      </c>
    </row>
    <row r="300" spans="1:14" ht="23.25">
      <c r="A300" s="360" t="s">
        <v>60</v>
      </c>
      <c r="B300" s="361">
        <v>43000</v>
      </c>
      <c r="C300" s="365">
        <v>4</v>
      </c>
      <c r="D300" s="366">
        <v>3014</v>
      </c>
      <c r="E300" s="366">
        <v>46014</v>
      </c>
      <c r="F300" s="366">
        <v>430</v>
      </c>
      <c r="G300" s="366">
        <v>10750</v>
      </c>
      <c r="H300" s="366">
        <v>646</v>
      </c>
      <c r="I300" s="366">
        <v>11396</v>
      </c>
      <c r="K300" s="365">
        <v>0</v>
      </c>
      <c r="L300" s="350">
        <v>0.21</v>
      </c>
      <c r="M300" s="350">
        <v>0.03</v>
      </c>
      <c r="N300" s="351" t="str">
        <f t="shared" si="4"/>
        <v>430004</v>
      </c>
    </row>
    <row r="301" spans="1:14" ht="23.25">
      <c r="A301" s="360" t="s">
        <v>60</v>
      </c>
      <c r="B301" s="361">
        <v>43000</v>
      </c>
      <c r="C301" s="367">
        <v>6</v>
      </c>
      <c r="D301" s="368">
        <v>4517</v>
      </c>
      <c r="E301" s="368">
        <v>47517</v>
      </c>
      <c r="F301" s="368">
        <v>645</v>
      </c>
      <c r="G301" s="368">
        <v>7167</v>
      </c>
      <c r="H301" s="368">
        <v>645</v>
      </c>
      <c r="I301" s="368">
        <v>7812</v>
      </c>
      <c r="K301" s="367">
        <v>0</v>
      </c>
      <c r="L301" s="350">
        <v>0.21</v>
      </c>
      <c r="M301" s="350">
        <v>0.03</v>
      </c>
      <c r="N301" s="351" t="str">
        <f t="shared" si="4"/>
        <v>430006</v>
      </c>
    </row>
    <row r="302" spans="1:14" ht="23.25">
      <c r="A302" s="360" t="s">
        <v>60</v>
      </c>
      <c r="B302" s="361">
        <v>43000</v>
      </c>
      <c r="C302" s="365">
        <v>8</v>
      </c>
      <c r="D302" s="366">
        <v>6027</v>
      </c>
      <c r="E302" s="366">
        <v>49028</v>
      </c>
      <c r="F302" s="366">
        <v>860</v>
      </c>
      <c r="G302" s="366">
        <v>5375</v>
      </c>
      <c r="H302" s="366">
        <v>646</v>
      </c>
      <c r="I302" s="366">
        <v>6021</v>
      </c>
      <c r="K302" s="365">
        <v>0</v>
      </c>
      <c r="L302" s="350">
        <v>0.21</v>
      </c>
      <c r="M302" s="350">
        <v>0.03</v>
      </c>
      <c r="N302" s="351" t="str">
        <f t="shared" si="4"/>
        <v>430008</v>
      </c>
    </row>
    <row r="303" spans="1:14" ht="23.25">
      <c r="A303" s="360" t="s">
        <v>60</v>
      </c>
      <c r="B303" s="361">
        <v>43000</v>
      </c>
      <c r="C303" s="388">
        <v>10</v>
      </c>
      <c r="D303" s="364">
        <v>7534</v>
      </c>
      <c r="E303" s="364">
        <v>50535</v>
      </c>
      <c r="F303" s="364">
        <v>1075</v>
      </c>
      <c r="G303" s="364">
        <v>4300</v>
      </c>
      <c r="H303" s="372">
        <v>646</v>
      </c>
      <c r="I303" s="364">
        <v>4946</v>
      </c>
      <c r="K303" s="388">
        <v>0</v>
      </c>
      <c r="L303" s="350">
        <v>0.21</v>
      </c>
      <c r="M303" s="350">
        <v>0.03</v>
      </c>
      <c r="N303" s="351" t="str">
        <f t="shared" si="4"/>
        <v>4300010</v>
      </c>
    </row>
    <row r="304" spans="1:14" ht="23.25">
      <c r="A304" s="360" t="s">
        <v>60</v>
      </c>
      <c r="B304" s="361">
        <v>43000</v>
      </c>
      <c r="C304" s="365">
        <v>12</v>
      </c>
      <c r="D304" s="366">
        <v>9037</v>
      </c>
      <c r="E304" s="366">
        <v>52038</v>
      </c>
      <c r="F304" s="366">
        <v>1290</v>
      </c>
      <c r="G304" s="366">
        <v>3584</v>
      </c>
      <c r="H304" s="366">
        <v>645</v>
      </c>
      <c r="I304" s="366">
        <v>4229</v>
      </c>
      <c r="K304" s="365">
        <v>0</v>
      </c>
      <c r="L304" s="350">
        <v>0.21</v>
      </c>
      <c r="M304" s="350">
        <v>0.03</v>
      </c>
      <c r="N304" s="351" t="str">
        <f t="shared" si="4"/>
        <v>4300012</v>
      </c>
    </row>
    <row r="305" spans="1:14" ht="24" thickBot="1">
      <c r="A305" s="392" t="s">
        <v>60</v>
      </c>
      <c r="B305" s="393">
        <v>43000</v>
      </c>
      <c r="C305" s="399">
        <v>14</v>
      </c>
      <c r="D305" s="400">
        <v>10541</v>
      </c>
      <c r="E305" s="400">
        <v>53543</v>
      </c>
      <c r="F305" s="400">
        <v>1505</v>
      </c>
      <c r="G305" s="400">
        <v>3072</v>
      </c>
      <c r="H305" s="364">
        <v>645</v>
      </c>
      <c r="I305" s="400">
        <v>3717</v>
      </c>
      <c r="K305" s="399">
        <v>0</v>
      </c>
      <c r="L305" s="350">
        <v>0.21</v>
      </c>
      <c r="M305" s="350">
        <v>0.03</v>
      </c>
      <c r="N305" s="351" t="str">
        <f t="shared" si="4"/>
        <v>4300014</v>
      </c>
    </row>
    <row r="306" spans="1:14" ht="24" thickTop="1">
      <c r="A306" s="384" t="s">
        <v>60</v>
      </c>
      <c r="B306" s="385">
        <v>43000</v>
      </c>
      <c r="C306" s="357">
        <v>16</v>
      </c>
      <c r="D306" s="358">
        <v>12046</v>
      </c>
      <c r="E306" s="358">
        <v>55048</v>
      </c>
      <c r="F306" s="358">
        <v>1720</v>
      </c>
      <c r="G306" s="358">
        <v>2688</v>
      </c>
      <c r="H306" s="358">
        <v>645</v>
      </c>
      <c r="I306" s="358">
        <v>3333</v>
      </c>
      <c r="K306" s="357">
        <v>0</v>
      </c>
      <c r="L306" s="350">
        <v>0.21</v>
      </c>
      <c r="M306" s="350">
        <v>0.03</v>
      </c>
      <c r="N306" s="351" t="str">
        <f t="shared" si="4"/>
        <v>4300016</v>
      </c>
    </row>
    <row r="307" spans="1:14" ht="23.25">
      <c r="A307" s="386" t="s">
        <v>60</v>
      </c>
      <c r="B307" s="387">
        <v>43000</v>
      </c>
      <c r="C307" s="388">
        <v>18</v>
      </c>
      <c r="D307" s="364">
        <v>13563</v>
      </c>
      <c r="E307" s="364">
        <v>56547</v>
      </c>
      <c r="F307" s="364">
        <v>1935</v>
      </c>
      <c r="G307" s="364">
        <v>2389</v>
      </c>
      <c r="H307" s="364">
        <v>645</v>
      </c>
      <c r="I307" s="364">
        <v>3034</v>
      </c>
      <c r="K307" s="388">
        <v>0</v>
      </c>
      <c r="L307" s="350">
        <v>0.21</v>
      </c>
      <c r="M307" s="350">
        <v>0.03</v>
      </c>
      <c r="N307" s="351" t="str">
        <f t="shared" si="4"/>
        <v>4300018</v>
      </c>
    </row>
    <row r="308" spans="1:14" ht="23.25">
      <c r="A308" s="386" t="s">
        <v>60</v>
      </c>
      <c r="B308" s="387">
        <v>44000</v>
      </c>
      <c r="C308" s="365">
        <v>4</v>
      </c>
      <c r="D308" s="366">
        <v>3083</v>
      </c>
      <c r="E308" s="366">
        <v>47084</v>
      </c>
      <c r="F308" s="366">
        <v>440</v>
      </c>
      <c r="G308" s="366">
        <v>11000</v>
      </c>
      <c r="H308" s="366">
        <v>661</v>
      </c>
      <c r="I308" s="366">
        <v>11661</v>
      </c>
      <c r="K308" s="365">
        <v>0</v>
      </c>
      <c r="L308" s="350">
        <v>0.21</v>
      </c>
      <c r="M308" s="350">
        <v>0.03</v>
      </c>
      <c r="N308" s="351" t="str">
        <f t="shared" si="4"/>
        <v>440004</v>
      </c>
    </row>
    <row r="309" spans="1:14" ht="23.25">
      <c r="A309" s="386" t="s">
        <v>60</v>
      </c>
      <c r="B309" s="387">
        <v>44000</v>
      </c>
      <c r="C309" s="367">
        <v>6</v>
      </c>
      <c r="D309" s="368">
        <v>4623</v>
      </c>
      <c r="E309" s="368">
        <v>48624</v>
      </c>
      <c r="F309" s="368">
        <v>660</v>
      </c>
      <c r="G309" s="368">
        <v>7334</v>
      </c>
      <c r="H309" s="368">
        <v>660</v>
      </c>
      <c r="I309" s="368">
        <v>7994</v>
      </c>
      <c r="K309" s="367">
        <v>0</v>
      </c>
      <c r="L309" s="350">
        <v>0.21</v>
      </c>
      <c r="M309" s="350">
        <v>0.03</v>
      </c>
      <c r="N309" s="351" t="str">
        <f t="shared" si="4"/>
        <v>440006</v>
      </c>
    </row>
    <row r="310" spans="1:14" ht="23.25">
      <c r="A310" s="386" t="s">
        <v>60</v>
      </c>
      <c r="B310" s="387">
        <v>44000</v>
      </c>
      <c r="C310" s="365">
        <v>8</v>
      </c>
      <c r="D310" s="366">
        <v>6166</v>
      </c>
      <c r="E310" s="366">
        <v>50168</v>
      </c>
      <c r="F310" s="366">
        <v>880</v>
      </c>
      <c r="G310" s="366">
        <v>5500</v>
      </c>
      <c r="H310" s="366">
        <v>661</v>
      </c>
      <c r="I310" s="366">
        <v>6161</v>
      </c>
      <c r="K310" s="365">
        <v>0</v>
      </c>
      <c r="L310" s="350">
        <v>0.21</v>
      </c>
      <c r="M310" s="350">
        <v>0.03</v>
      </c>
      <c r="N310" s="351" t="str">
        <f t="shared" si="4"/>
        <v>440008</v>
      </c>
    </row>
    <row r="311" spans="1:14" ht="23.25">
      <c r="A311" s="386" t="s">
        <v>60</v>
      </c>
      <c r="B311" s="387">
        <v>44000</v>
      </c>
      <c r="C311" s="367">
        <v>10</v>
      </c>
      <c r="D311" s="368">
        <v>7707</v>
      </c>
      <c r="E311" s="368">
        <v>51710</v>
      </c>
      <c r="F311" s="368">
        <v>1100</v>
      </c>
      <c r="G311" s="368">
        <v>4400</v>
      </c>
      <c r="H311" s="368">
        <v>661</v>
      </c>
      <c r="I311" s="368">
        <v>5061</v>
      </c>
      <c r="K311" s="367">
        <v>0</v>
      </c>
      <c r="L311" s="350">
        <v>0.21</v>
      </c>
      <c r="M311" s="350">
        <v>0.03</v>
      </c>
      <c r="N311" s="351" t="str">
        <f t="shared" si="4"/>
        <v>4400010</v>
      </c>
    </row>
    <row r="312" spans="1:14" ht="23.25">
      <c r="A312" s="386" t="s">
        <v>60</v>
      </c>
      <c r="B312" s="387">
        <v>44000</v>
      </c>
      <c r="C312" s="365">
        <v>12</v>
      </c>
      <c r="D312" s="366">
        <v>9241</v>
      </c>
      <c r="E312" s="366">
        <v>53244</v>
      </c>
      <c r="F312" s="366">
        <v>1320</v>
      </c>
      <c r="G312" s="366">
        <v>3667</v>
      </c>
      <c r="H312" s="366">
        <v>660</v>
      </c>
      <c r="I312" s="366">
        <v>4327</v>
      </c>
      <c r="K312" s="365">
        <v>0</v>
      </c>
      <c r="L312" s="350">
        <v>0.21</v>
      </c>
      <c r="M312" s="350">
        <v>0.03</v>
      </c>
      <c r="N312" s="351" t="str">
        <f t="shared" si="4"/>
        <v>4400012</v>
      </c>
    </row>
    <row r="313" spans="1:14" ht="23.25">
      <c r="A313" s="386" t="s">
        <v>60</v>
      </c>
      <c r="B313" s="387">
        <v>44000</v>
      </c>
      <c r="C313" s="367">
        <v>14</v>
      </c>
      <c r="D313" s="368">
        <v>10792</v>
      </c>
      <c r="E313" s="368">
        <v>54782</v>
      </c>
      <c r="F313" s="368">
        <v>1540</v>
      </c>
      <c r="G313" s="368">
        <v>3143</v>
      </c>
      <c r="H313" s="372">
        <v>660</v>
      </c>
      <c r="I313" s="368">
        <v>3803</v>
      </c>
      <c r="K313" s="367">
        <v>0</v>
      </c>
      <c r="L313" s="350">
        <v>0.21</v>
      </c>
      <c r="M313" s="350">
        <v>0.03</v>
      </c>
      <c r="N313" s="351" t="str">
        <f t="shared" si="4"/>
        <v>4400014</v>
      </c>
    </row>
    <row r="314" spans="1:14" ht="23.25">
      <c r="A314" s="386" t="s">
        <v>60</v>
      </c>
      <c r="B314" s="387">
        <v>44000</v>
      </c>
      <c r="C314" s="365">
        <v>16</v>
      </c>
      <c r="D314" s="366">
        <v>12331</v>
      </c>
      <c r="E314" s="366">
        <v>56336</v>
      </c>
      <c r="F314" s="366">
        <v>1760</v>
      </c>
      <c r="G314" s="366">
        <v>2750</v>
      </c>
      <c r="H314" s="366">
        <v>661</v>
      </c>
      <c r="I314" s="366">
        <v>3411</v>
      </c>
      <c r="K314" s="365">
        <v>0</v>
      </c>
      <c r="L314" s="350">
        <v>0.21</v>
      </c>
      <c r="M314" s="350">
        <v>0.03</v>
      </c>
      <c r="N314" s="351" t="str">
        <f t="shared" si="4"/>
        <v>4400016</v>
      </c>
    </row>
    <row r="315" spans="1:14" ht="23.25">
      <c r="A315" s="386" t="s">
        <v>60</v>
      </c>
      <c r="B315" s="387">
        <v>44000</v>
      </c>
      <c r="C315" s="388">
        <v>18</v>
      </c>
      <c r="D315" s="364">
        <v>13865</v>
      </c>
      <c r="E315" s="364">
        <v>57870</v>
      </c>
      <c r="F315" s="364">
        <v>1980</v>
      </c>
      <c r="G315" s="364">
        <v>2445</v>
      </c>
      <c r="H315" s="364">
        <v>660</v>
      </c>
      <c r="I315" s="364">
        <v>3105</v>
      </c>
      <c r="K315" s="388">
        <v>0</v>
      </c>
      <c r="L315" s="350">
        <v>0.21</v>
      </c>
      <c r="M315" s="350">
        <v>0.03</v>
      </c>
      <c r="N315" s="351" t="str">
        <f t="shared" si="4"/>
        <v>4400018</v>
      </c>
    </row>
    <row r="316" spans="1:14" ht="24" thickBot="1">
      <c r="A316" s="389" t="s">
        <v>60</v>
      </c>
      <c r="B316" s="390">
        <v>45000</v>
      </c>
      <c r="C316" s="381">
        <v>4</v>
      </c>
      <c r="D316" s="398">
        <v>3153</v>
      </c>
      <c r="E316" s="398">
        <v>48154</v>
      </c>
      <c r="F316" s="398">
        <v>450</v>
      </c>
      <c r="G316" s="398">
        <v>11250</v>
      </c>
      <c r="H316" s="366">
        <v>676</v>
      </c>
      <c r="I316" s="398">
        <v>11926</v>
      </c>
      <c r="K316" s="381">
        <v>0</v>
      </c>
      <c r="L316" s="350">
        <v>0.21</v>
      </c>
      <c r="M316" s="350">
        <v>0.03</v>
      </c>
      <c r="N316" s="351" t="str">
        <f t="shared" si="4"/>
        <v>450004</v>
      </c>
    </row>
    <row r="317" spans="1:14" ht="24" thickTop="1">
      <c r="A317" s="355" t="s">
        <v>60</v>
      </c>
      <c r="B317" s="356">
        <v>45000</v>
      </c>
      <c r="C317" s="396">
        <v>6</v>
      </c>
      <c r="D317" s="397">
        <v>4729</v>
      </c>
      <c r="E317" s="397">
        <v>49731</v>
      </c>
      <c r="F317" s="397">
        <v>675</v>
      </c>
      <c r="G317" s="397">
        <v>7500</v>
      </c>
      <c r="H317" s="397">
        <v>676</v>
      </c>
      <c r="I317" s="397">
        <v>8176</v>
      </c>
      <c r="K317" s="396">
        <v>0</v>
      </c>
      <c r="L317" s="350">
        <v>0.21</v>
      </c>
      <c r="M317" s="350">
        <v>0.03</v>
      </c>
      <c r="N317" s="351" t="str">
        <f t="shared" si="4"/>
        <v>450006</v>
      </c>
    </row>
    <row r="318" spans="1:14" ht="23.25">
      <c r="A318" s="360" t="s">
        <v>60</v>
      </c>
      <c r="B318" s="361">
        <v>45000</v>
      </c>
      <c r="C318" s="365">
        <v>8</v>
      </c>
      <c r="D318" s="366">
        <v>6305</v>
      </c>
      <c r="E318" s="366">
        <v>51308</v>
      </c>
      <c r="F318" s="366">
        <v>900</v>
      </c>
      <c r="G318" s="366">
        <v>5625</v>
      </c>
      <c r="H318" s="366">
        <v>676</v>
      </c>
      <c r="I318" s="366">
        <v>6301</v>
      </c>
      <c r="K318" s="365">
        <v>0</v>
      </c>
      <c r="L318" s="350">
        <v>0.21</v>
      </c>
      <c r="M318" s="350">
        <v>0.03</v>
      </c>
      <c r="N318" s="351" t="str">
        <f t="shared" si="4"/>
        <v>450008</v>
      </c>
    </row>
    <row r="319" spans="1:14" ht="23.25">
      <c r="A319" s="360" t="s">
        <v>60</v>
      </c>
      <c r="B319" s="361">
        <v>45000</v>
      </c>
      <c r="C319" s="367">
        <v>10</v>
      </c>
      <c r="D319" s="368">
        <v>7881</v>
      </c>
      <c r="E319" s="368">
        <v>52885</v>
      </c>
      <c r="F319" s="368">
        <v>1125</v>
      </c>
      <c r="G319" s="368">
        <v>4500</v>
      </c>
      <c r="H319" s="364">
        <v>676</v>
      </c>
      <c r="I319" s="368">
        <v>5176</v>
      </c>
      <c r="K319" s="367">
        <v>0</v>
      </c>
      <c r="L319" s="350">
        <v>0.21</v>
      </c>
      <c r="M319" s="350">
        <v>0.03</v>
      </c>
      <c r="N319" s="351" t="str">
        <f t="shared" si="4"/>
        <v>4500010</v>
      </c>
    </row>
    <row r="320" spans="1:14" ht="23.25">
      <c r="A320" s="360" t="s">
        <v>60</v>
      </c>
      <c r="B320" s="361">
        <v>45000</v>
      </c>
      <c r="C320" s="365">
        <v>12</v>
      </c>
      <c r="D320" s="366">
        <v>9457</v>
      </c>
      <c r="E320" s="366">
        <v>54462</v>
      </c>
      <c r="F320" s="366">
        <v>1350</v>
      </c>
      <c r="G320" s="366">
        <v>3750</v>
      </c>
      <c r="H320" s="366">
        <v>676</v>
      </c>
      <c r="I320" s="366">
        <v>4426</v>
      </c>
      <c r="K320" s="365">
        <v>0</v>
      </c>
      <c r="L320" s="350">
        <v>0.21</v>
      </c>
      <c r="M320" s="350">
        <v>0.03</v>
      </c>
      <c r="N320" s="351" t="str">
        <f t="shared" si="4"/>
        <v>4500012</v>
      </c>
    </row>
    <row r="321" spans="1:14" ht="23.25">
      <c r="A321" s="360" t="s">
        <v>60</v>
      </c>
      <c r="B321" s="361">
        <v>45000</v>
      </c>
      <c r="C321" s="367">
        <v>14</v>
      </c>
      <c r="D321" s="368">
        <v>11029</v>
      </c>
      <c r="E321" s="368">
        <v>56035</v>
      </c>
      <c r="F321" s="368">
        <v>1575</v>
      </c>
      <c r="G321" s="368">
        <v>3215</v>
      </c>
      <c r="H321" s="368">
        <v>675</v>
      </c>
      <c r="I321" s="368">
        <v>3890</v>
      </c>
      <c r="K321" s="367">
        <v>0</v>
      </c>
      <c r="L321" s="350">
        <v>0.21</v>
      </c>
      <c r="M321" s="350">
        <v>0.03</v>
      </c>
      <c r="N321" s="351" t="str">
        <f t="shared" si="4"/>
        <v>4500014</v>
      </c>
    </row>
    <row r="322" spans="1:14" ht="23.25">
      <c r="A322" s="360" t="s">
        <v>60</v>
      </c>
      <c r="B322" s="361">
        <v>45000</v>
      </c>
      <c r="C322" s="365">
        <v>16</v>
      </c>
      <c r="D322" s="366">
        <v>12601</v>
      </c>
      <c r="E322" s="366">
        <v>57608</v>
      </c>
      <c r="F322" s="366">
        <v>1800</v>
      </c>
      <c r="G322" s="366">
        <v>2813</v>
      </c>
      <c r="H322" s="366">
        <v>675</v>
      </c>
      <c r="I322" s="366">
        <v>3488</v>
      </c>
      <c r="K322" s="365">
        <v>0</v>
      </c>
      <c r="L322" s="350">
        <v>0.21</v>
      </c>
      <c r="M322" s="350">
        <v>0.03</v>
      </c>
      <c r="N322" s="351" t="str">
        <f t="shared" si="4"/>
        <v>4500016</v>
      </c>
    </row>
    <row r="323" spans="1:14" ht="23.25">
      <c r="A323" s="360" t="s">
        <v>60</v>
      </c>
      <c r="B323" s="361">
        <v>45000</v>
      </c>
      <c r="C323" s="367">
        <v>18</v>
      </c>
      <c r="D323" s="368">
        <v>14185</v>
      </c>
      <c r="E323" s="368">
        <v>59193</v>
      </c>
      <c r="F323" s="368">
        <v>2025</v>
      </c>
      <c r="G323" s="368">
        <v>2500</v>
      </c>
      <c r="H323" s="368">
        <v>676</v>
      </c>
      <c r="I323" s="368">
        <v>3176</v>
      </c>
      <c r="K323" s="367">
        <v>0</v>
      </c>
      <c r="L323" s="350">
        <v>0.21</v>
      </c>
      <c r="M323" s="350">
        <v>0.03</v>
      </c>
      <c r="N323" s="351" t="str">
        <f t="shared" si="4"/>
        <v>4500018</v>
      </c>
    </row>
    <row r="324" spans="1:14" ht="23.25">
      <c r="A324" s="360" t="s">
        <v>60</v>
      </c>
      <c r="B324" s="361">
        <v>46000</v>
      </c>
      <c r="C324" s="365">
        <v>4</v>
      </c>
      <c r="D324" s="366">
        <v>3222</v>
      </c>
      <c r="E324" s="366">
        <v>49224</v>
      </c>
      <c r="F324" s="366">
        <v>460</v>
      </c>
      <c r="G324" s="366">
        <v>11500</v>
      </c>
      <c r="H324" s="366">
        <v>691</v>
      </c>
      <c r="I324" s="366">
        <v>12191</v>
      </c>
      <c r="K324" s="365">
        <v>0</v>
      </c>
      <c r="L324" s="350">
        <v>0.21</v>
      </c>
      <c r="M324" s="350">
        <v>0.03</v>
      </c>
      <c r="N324" s="351" t="str">
        <f t="shared" si="4"/>
        <v>460004</v>
      </c>
    </row>
    <row r="325" spans="1:14" ht="23.25">
      <c r="A325" s="360" t="s">
        <v>60</v>
      </c>
      <c r="B325" s="361">
        <v>46000</v>
      </c>
      <c r="C325" s="388">
        <v>6</v>
      </c>
      <c r="D325" s="364">
        <v>4835</v>
      </c>
      <c r="E325" s="364">
        <v>50832</v>
      </c>
      <c r="F325" s="364">
        <v>690</v>
      </c>
      <c r="G325" s="364">
        <v>7667</v>
      </c>
      <c r="H325" s="372">
        <v>690</v>
      </c>
      <c r="I325" s="364">
        <v>8357</v>
      </c>
      <c r="K325" s="388">
        <v>0</v>
      </c>
      <c r="L325" s="350">
        <v>0.21</v>
      </c>
      <c r="M325" s="350">
        <v>0.03</v>
      </c>
      <c r="N325" s="351" t="str">
        <f t="shared" ref="N325:N387" si="5">CONCATENATE(B325,C325)</f>
        <v>460006</v>
      </c>
    </row>
    <row r="326" spans="1:14" ht="23.25">
      <c r="A326" s="360" t="s">
        <v>60</v>
      </c>
      <c r="B326" s="361">
        <v>46000</v>
      </c>
      <c r="C326" s="365">
        <v>8</v>
      </c>
      <c r="D326" s="366">
        <v>6443</v>
      </c>
      <c r="E326" s="366">
        <v>52448</v>
      </c>
      <c r="F326" s="366">
        <v>920</v>
      </c>
      <c r="G326" s="366">
        <v>5750</v>
      </c>
      <c r="H326" s="366">
        <v>691</v>
      </c>
      <c r="I326" s="366">
        <v>6441</v>
      </c>
      <c r="K326" s="365">
        <v>0</v>
      </c>
      <c r="L326" s="350">
        <v>0.21</v>
      </c>
      <c r="M326" s="350">
        <v>0.03</v>
      </c>
      <c r="N326" s="351" t="str">
        <f t="shared" si="5"/>
        <v>460008</v>
      </c>
    </row>
    <row r="327" spans="1:14" ht="24" thickBot="1">
      <c r="A327" s="392" t="s">
        <v>60</v>
      </c>
      <c r="B327" s="393">
        <v>46000</v>
      </c>
      <c r="C327" s="399">
        <v>10</v>
      </c>
      <c r="D327" s="400">
        <v>8054</v>
      </c>
      <c r="E327" s="400">
        <v>54060</v>
      </c>
      <c r="F327" s="400">
        <v>1150</v>
      </c>
      <c r="G327" s="400">
        <v>4600</v>
      </c>
      <c r="H327" s="364">
        <v>691</v>
      </c>
      <c r="I327" s="400">
        <v>5291</v>
      </c>
      <c r="K327" s="399">
        <v>0</v>
      </c>
      <c r="L327" s="350">
        <v>0.21</v>
      </c>
      <c r="M327" s="350">
        <v>0.03</v>
      </c>
      <c r="N327" s="351" t="str">
        <f t="shared" si="5"/>
        <v>4600010</v>
      </c>
    </row>
    <row r="328" spans="1:14" ht="24" thickTop="1">
      <c r="A328" s="384" t="s">
        <v>60</v>
      </c>
      <c r="B328" s="385">
        <v>46000</v>
      </c>
      <c r="C328" s="357">
        <v>12</v>
      </c>
      <c r="D328" s="358">
        <v>9661</v>
      </c>
      <c r="E328" s="358">
        <v>55668</v>
      </c>
      <c r="F328" s="358">
        <v>1380</v>
      </c>
      <c r="G328" s="358">
        <v>3834</v>
      </c>
      <c r="H328" s="358">
        <v>690</v>
      </c>
      <c r="I328" s="358">
        <v>4524</v>
      </c>
      <c r="K328" s="357">
        <v>0</v>
      </c>
      <c r="L328" s="350">
        <v>0.21</v>
      </c>
      <c r="M328" s="350">
        <v>0.03</v>
      </c>
      <c r="N328" s="351" t="str">
        <f t="shared" si="5"/>
        <v>4600012</v>
      </c>
    </row>
    <row r="329" spans="1:14" ht="23.25">
      <c r="A329" s="386" t="s">
        <v>60</v>
      </c>
      <c r="B329" s="387">
        <v>46000</v>
      </c>
      <c r="C329" s="388">
        <v>14</v>
      </c>
      <c r="D329" s="364">
        <v>11279</v>
      </c>
      <c r="E329" s="364">
        <v>57274</v>
      </c>
      <c r="F329" s="364">
        <v>1610</v>
      </c>
      <c r="G329" s="364">
        <v>3286</v>
      </c>
      <c r="H329" s="364">
        <v>690</v>
      </c>
      <c r="I329" s="364">
        <v>3976</v>
      </c>
      <c r="K329" s="388">
        <v>0</v>
      </c>
      <c r="L329" s="350">
        <v>0.21</v>
      </c>
      <c r="M329" s="350">
        <v>0.03</v>
      </c>
      <c r="N329" s="351" t="str">
        <f t="shared" si="5"/>
        <v>4600014</v>
      </c>
    </row>
    <row r="330" spans="1:14" ht="23.25">
      <c r="A330" s="386" t="s">
        <v>60</v>
      </c>
      <c r="B330" s="387">
        <v>46000</v>
      </c>
      <c r="C330" s="365">
        <v>16</v>
      </c>
      <c r="D330" s="366">
        <v>12886</v>
      </c>
      <c r="E330" s="366">
        <v>58896</v>
      </c>
      <c r="F330" s="366">
        <v>1840</v>
      </c>
      <c r="G330" s="366">
        <v>2875</v>
      </c>
      <c r="H330" s="366">
        <v>691</v>
      </c>
      <c r="I330" s="366">
        <v>3566</v>
      </c>
      <c r="K330" s="365">
        <v>0</v>
      </c>
      <c r="L330" s="350">
        <v>0.21</v>
      </c>
      <c r="M330" s="350">
        <v>0.03</v>
      </c>
      <c r="N330" s="351" t="str">
        <f t="shared" si="5"/>
        <v>4600016</v>
      </c>
    </row>
    <row r="331" spans="1:14" ht="23.25">
      <c r="A331" s="386" t="s">
        <v>60</v>
      </c>
      <c r="B331" s="387">
        <v>46000</v>
      </c>
      <c r="C331" s="367">
        <v>18</v>
      </c>
      <c r="D331" s="368">
        <v>14505</v>
      </c>
      <c r="E331" s="368">
        <v>60498</v>
      </c>
      <c r="F331" s="368">
        <v>2070</v>
      </c>
      <c r="G331" s="368">
        <v>2556</v>
      </c>
      <c r="H331" s="368">
        <v>690</v>
      </c>
      <c r="I331" s="368">
        <v>3246</v>
      </c>
      <c r="K331" s="367">
        <v>0</v>
      </c>
      <c r="L331" s="350">
        <v>0.21</v>
      </c>
      <c r="M331" s="350">
        <v>0.03</v>
      </c>
      <c r="N331" s="351" t="str">
        <f t="shared" si="5"/>
        <v>4600018</v>
      </c>
    </row>
    <row r="332" spans="1:14" ht="23.25">
      <c r="A332" s="386" t="s">
        <v>60</v>
      </c>
      <c r="B332" s="387">
        <v>47000</v>
      </c>
      <c r="C332" s="365">
        <v>4</v>
      </c>
      <c r="D332" s="366">
        <v>3291</v>
      </c>
      <c r="E332" s="366">
        <v>50294</v>
      </c>
      <c r="F332" s="366">
        <v>470</v>
      </c>
      <c r="G332" s="366">
        <v>11750</v>
      </c>
      <c r="H332" s="366">
        <v>706</v>
      </c>
      <c r="I332" s="366">
        <v>12456</v>
      </c>
      <c r="K332" s="365">
        <v>0</v>
      </c>
      <c r="L332" s="350">
        <v>0.21</v>
      </c>
      <c r="M332" s="350">
        <v>0.03</v>
      </c>
      <c r="N332" s="351" t="str">
        <f t="shared" si="5"/>
        <v>470004</v>
      </c>
    </row>
    <row r="333" spans="1:14" ht="23.25">
      <c r="A333" s="386" t="s">
        <v>60</v>
      </c>
      <c r="B333" s="387">
        <v>47000</v>
      </c>
      <c r="C333" s="367">
        <v>6</v>
      </c>
      <c r="D333" s="368">
        <v>4941</v>
      </c>
      <c r="E333" s="368">
        <v>51939</v>
      </c>
      <c r="F333" s="368">
        <v>705</v>
      </c>
      <c r="G333" s="368">
        <v>7834</v>
      </c>
      <c r="H333" s="368">
        <v>705</v>
      </c>
      <c r="I333" s="368">
        <v>8539</v>
      </c>
      <c r="K333" s="367">
        <v>0</v>
      </c>
      <c r="L333" s="350">
        <v>0.21</v>
      </c>
      <c r="M333" s="350">
        <v>0.03</v>
      </c>
      <c r="N333" s="351" t="str">
        <f t="shared" si="5"/>
        <v>470006</v>
      </c>
    </row>
    <row r="334" spans="1:14" ht="23.25">
      <c r="A334" s="386" t="s">
        <v>60</v>
      </c>
      <c r="B334" s="387">
        <v>47000</v>
      </c>
      <c r="C334" s="365">
        <v>8</v>
      </c>
      <c r="D334" s="366">
        <v>6582</v>
      </c>
      <c r="E334" s="366">
        <v>53588</v>
      </c>
      <c r="F334" s="366">
        <v>940</v>
      </c>
      <c r="G334" s="366">
        <v>5875</v>
      </c>
      <c r="H334" s="366">
        <v>706</v>
      </c>
      <c r="I334" s="366">
        <v>6581</v>
      </c>
      <c r="K334" s="365">
        <v>0</v>
      </c>
      <c r="L334" s="350">
        <v>0.21</v>
      </c>
      <c r="M334" s="350">
        <v>0.03</v>
      </c>
      <c r="N334" s="351" t="str">
        <f t="shared" si="5"/>
        <v>470008</v>
      </c>
    </row>
    <row r="335" spans="1:14" ht="23.25">
      <c r="A335" s="386" t="s">
        <v>60</v>
      </c>
      <c r="B335" s="387">
        <v>47000</v>
      </c>
      <c r="C335" s="367">
        <v>10</v>
      </c>
      <c r="D335" s="368">
        <v>8227</v>
      </c>
      <c r="E335" s="368">
        <v>55235</v>
      </c>
      <c r="F335" s="368">
        <v>1175</v>
      </c>
      <c r="G335" s="368">
        <v>4700</v>
      </c>
      <c r="H335" s="372">
        <v>706</v>
      </c>
      <c r="I335" s="368">
        <v>5406</v>
      </c>
      <c r="K335" s="367">
        <v>0</v>
      </c>
      <c r="L335" s="350">
        <v>0.21</v>
      </c>
      <c r="M335" s="350">
        <v>0.03</v>
      </c>
      <c r="N335" s="351" t="str">
        <f t="shared" si="5"/>
        <v>4700010</v>
      </c>
    </row>
    <row r="336" spans="1:14" ht="23.25">
      <c r="A336" s="386" t="s">
        <v>60</v>
      </c>
      <c r="B336" s="387">
        <v>47000</v>
      </c>
      <c r="C336" s="365">
        <v>12</v>
      </c>
      <c r="D336" s="366">
        <v>9877</v>
      </c>
      <c r="E336" s="366">
        <v>56874</v>
      </c>
      <c r="F336" s="366">
        <v>1410</v>
      </c>
      <c r="G336" s="366">
        <v>3917</v>
      </c>
      <c r="H336" s="366">
        <v>705</v>
      </c>
      <c r="I336" s="366">
        <v>4622</v>
      </c>
      <c r="K336" s="365">
        <v>0</v>
      </c>
      <c r="L336" s="350">
        <v>0.21</v>
      </c>
      <c r="M336" s="350">
        <v>0.03</v>
      </c>
      <c r="N336" s="351" t="str">
        <f t="shared" si="5"/>
        <v>4700012</v>
      </c>
    </row>
    <row r="337" spans="1:14" ht="23.25">
      <c r="A337" s="386" t="s">
        <v>60</v>
      </c>
      <c r="B337" s="387">
        <v>47000</v>
      </c>
      <c r="C337" s="388">
        <v>14</v>
      </c>
      <c r="D337" s="364">
        <v>11516</v>
      </c>
      <c r="E337" s="364">
        <v>58527</v>
      </c>
      <c r="F337" s="364">
        <v>1645</v>
      </c>
      <c r="G337" s="364">
        <v>3358</v>
      </c>
      <c r="H337" s="364">
        <v>705</v>
      </c>
      <c r="I337" s="364">
        <v>4063</v>
      </c>
      <c r="K337" s="388">
        <v>0</v>
      </c>
      <c r="L337" s="350">
        <v>0.21</v>
      </c>
      <c r="M337" s="350">
        <v>0.03</v>
      </c>
      <c r="N337" s="351" t="str">
        <f t="shared" si="5"/>
        <v>4700014</v>
      </c>
    </row>
    <row r="338" spans="1:14" ht="24" thickBot="1">
      <c r="A338" s="389" t="s">
        <v>60</v>
      </c>
      <c r="B338" s="390">
        <v>47000</v>
      </c>
      <c r="C338" s="381">
        <v>16</v>
      </c>
      <c r="D338" s="398">
        <v>13171</v>
      </c>
      <c r="E338" s="398">
        <v>60168</v>
      </c>
      <c r="F338" s="398">
        <v>1880</v>
      </c>
      <c r="G338" s="398">
        <v>2938</v>
      </c>
      <c r="H338" s="366">
        <v>705</v>
      </c>
      <c r="I338" s="398">
        <v>3643</v>
      </c>
      <c r="K338" s="381">
        <v>0</v>
      </c>
      <c r="L338" s="350">
        <v>0.21</v>
      </c>
      <c r="M338" s="350">
        <v>0.03</v>
      </c>
      <c r="N338" s="351" t="str">
        <f t="shared" si="5"/>
        <v>4700016</v>
      </c>
    </row>
    <row r="339" spans="1:14" ht="24" thickTop="1">
      <c r="A339" s="355" t="s">
        <v>60</v>
      </c>
      <c r="B339" s="356">
        <v>47000</v>
      </c>
      <c r="C339" s="396">
        <v>18</v>
      </c>
      <c r="D339" s="397">
        <v>14807</v>
      </c>
      <c r="E339" s="397">
        <v>61821</v>
      </c>
      <c r="F339" s="397">
        <v>2115</v>
      </c>
      <c r="G339" s="397">
        <v>2612</v>
      </c>
      <c r="H339" s="397">
        <v>705</v>
      </c>
      <c r="I339" s="397">
        <v>3317</v>
      </c>
      <c r="K339" s="396">
        <v>0</v>
      </c>
      <c r="L339" s="350">
        <v>0.21</v>
      </c>
      <c r="M339" s="350">
        <v>0.03</v>
      </c>
      <c r="N339" s="351" t="str">
        <f t="shared" si="5"/>
        <v>4700018</v>
      </c>
    </row>
    <row r="340" spans="1:14" ht="23.25">
      <c r="A340" s="360" t="s">
        <v>60</v>
      </c>
      <c r="B340" s="361">
        <v>48000</v>
      </c>
      <c r="C340" s="365">
        <v>4</v>
      </c>
      <c r="D340" s="366">
        <v>3361</v>
      </c>
      <c r="E340" s="366">
        <v>51364</v>
      </c>
      <c r="F340" s="366">
        <v>480</v>
      </c>
      <c r="G340" s="366">
        <v>12000</v>
      </c>
      <c r="H340" s="366">
        <v>721</v>
      </c>
      <c r="I340" s="366">
        <v>12721</v>
      </c>
      <c r="K340" s="365">
        <v>0</v>
      </c>
      <c r="L340" s="350">
        <v>0.21</v>
      </c>
      <c r="M340" s="350">
        <v>0.03</v>
      </c>
      <c r="N340" s="351" t="str">
        <f t="shared" si="5"/>
        <v>480004</v>
      </c>
    </row>
    <row r="341" spans="1:14" ht="23.25">
      <c r="A341" s="360" t="s">
        <v>60</v>
      </c>
      <c r="B341" s="361">
        <v>48000</v>
      </c>
      <c r="C341" s="367">
        <v>6</v>
      </c>
      <c r="D341" s="368">
        <v>5041</v>
      </c>
      <c r="E341" s="368">
        <v>53046</v>
      </c>
      <c r="F341" s="368">
        <v>720</v>
      </c>
      <c r="G341" s="368">
        <v>8000</v>
      </c>
      <c r="H341" s="364">
        <v>721</v>
      </c>
      <c r="I341" s="368">
        <v>8721</v>
      </c>
      <c r="K341" s="367">
        <v>0</v>
      </c>
      <c r="L341" s="350">
        <v>0.21</v>
      </c>
      <c r="M341" s="350">
        <v>0.03</v>
      </c>
      <c r="N341" s="351" t="str">
        <f t="shared" si="5"/>
        <v>480006</v>
      </c>
    </row>
    <row r="342" spans="1:14" ht="23.25">
      <c r="A342" s="360" t="s">
        <v>60</v>
      </c>
      <c r="B342" s="361">
        <v>48000</v>
      </c>
      <c r="C342" s="365">
        <v>8</v>
      </c>
      <c r="D342" s="366">
        <v>6721</v>
      </c>
      <c r="E342" s="366">
        <v>54728</v>
      </c>
      <c r="F342" s="366">
        <v>960</v>
      </c>
      <c r="G342" s="366">
        <v>6000</v>
      </c>
      <c r="H342" s="366">
        <v>721</v>
      </c>
      <c r="I342" s="366">
        <v>6721</v>
      </c>
      <c r="K342" s="365">
        <v>0</v>
      </c>
      <c r="L342" s="350">
        <v>0.21</v>
      </c>
      <c r="M342" s="350">
        <v>0.03</v>
      </c>
      <c r="N342" s="351" t="str">
        <f t="shared" si="5"/>
        <v>480008</v>
      </c>
    </row>
    <row r="343" spans="1:14" ht="23.25">
      <c r="A343" s="360" t="s">
        <v>60</v>
      </c>
      <c r="B343" s="361">
        <v>48000</v>
      </c>
      <c r="C343" s="367">
        <v>10</v>
      </c>
      <c r="D343" s="368">
        <v>8401</v>
      </c>
      <c r="E343" s="368">
        <v>56410</v>
      </c>
      <c r="F343" s="368">
        <v>1200</v>
      </c>
      <c r="G343" s="368">
        <v>4800</v>
      </c>
      <c r="H343" s="368">
        <v>721</v>
      </c>
      <c r="I343" s="368">
        <v>5521</v>
      </c>
      <c r="K343" s="367">
        <v>0</v>
      </c>
      <c r="L343" s="350">
        <v>0.21</v>
      </c>
      <c r="M343" s="350">
        <v>0.03</v>
      </c>
      <c r="N343" s="351" t="str">
        <f t="shared" si="5"/>
        <v>4800010</v>
      </c>
    </row>
    <row r="344" spans="1:14" ht="23.25">
      <c r="A344" s="360" t="s">
        <v>60</v>
      </c>
      <c r="B344" s="361">
        <v>48000</v>
      </c>
      <c r="C344" s="365">
        <v>12</v>
      </c>
      <c r="D344" s="366">
        <v>10081</v>
      </c>
      <c r="E344" s="366">
        <v>58092</v>
      </c>
      <c r="F344" s="366">
        <v>1440</v>
      </c>
      <c r="G344" s="366">
        <v>4000</v>
      </c>
      <c r="H344" s="366">
        <v>721</v>
      </c>
      <c r="I344" s="366">
        <v>4721</v>
      </c>
      <c r="K344" s="365">
        <v>0</v>
      </c>
      <c r="L344" s="350">
        <v>0.21</v>
      </c>
      <c r="M344" s="350">
        <v>0.03</v>
      </c>
      <c r="N344" s="351" t="str">
        <f t="shared" si="5"/>
        <v>4800012</v>
      </c>
    </row>
    <row r="345" spans="1:14" ht="23.25">
      <c r="A345" s="360" t="s">
        <v>60</v>
      </c>
      <c r="B345" s="361">
        <v>48000</v>
      </c>
      <c r="C345" s="367">
        <v>14</v>
      </c>
      <c r="D345" s="368">
        <v>11767</v>
      </c>
      <c r="E345" s="368">
        <v>59766</v>
      </c>
      <c r="F345" s="368">
        <v>1680</v>
      </c>
      <c r="G345" s="368">
        <v>3429</v>
      </c>
      <c r="H345" s="368">
        <v>720</v>
      </c>
      <c r="I345" s="368">
        <v>4149</v>
      </c>
      <c r="K345" s="367">
        <v>0</v>
      </c>
      <c r="L345" s="350">
        <v>0.21</v>
      </c>
      <c r="M345" s="350">
        <v>0.03</v>
      </c>
      <c r="N345" s="351" t="str">
        <f t="shared" si="5"/>
        <v>4800014</v>
      </c>
    </row>
    <row r="346" spans="1:14" ht="23.25">
      <c r="A346" s="360" t="s">
        <v>60</v>
      </c>
      <c r="B346" s="361">
        <v>48000</v>
      </c>
      <c r="C346" s="365">
        <v>16</v>
      </c>
      <c r="D346" s="366">
        <v>13441</v>
      </c>
      <c r="E346" s="366">
        <v>61456</v>
      </c>
      <c r="F346" s="366">
        <v>1920</v>
      </c>
      <c r="G346" s="366">
        <v>3000</v>
      </c>
      <c r="H346" s="366">
        <v>721</v>
      </c>
      <c r="I346" s="366">
        <v>3721</v>
      </c>
      <c r="K346" s="365">
        <v>0</v>
      </c>
      <c r="L346" s="350">
        <v>0.21</v>
      </c>
      <c r="M346" s="350">
        <v>0.03</v>
      </c>
      <c r="N346" s="351" t="str">
        <f t="shared" si="5"/>
        <v>4800016</v>
      </c>
    </row>
    <row r="347" spans="1:14" ht="23.25">
      <c r="A347" s="360" t="s">
        <v>60</v>
      </c>
      <c r="B347" s="361">
        <v>48000</v>
      </c>
      <c r="C347" s="388">
        <v>18</v>
      </c>
      <c r="D347" s="364">
        <v>15127</v>
      </c>
      <c r="E347" s="364">
        <v>63126</v>
      </c>
      <c r="F347" s="364">
        <v>2160</v>
      </c>
      <c r="G347" s="364">
        <v>2667</v>
      </c>
      <c r="H347" s="372">
        <v>720</v>
      </c>
      <c r="I347" s="364">
        <v>3387</v>
      </c>
      <c r="K347" s="388">
        <v>0</v>
      </c>
      <c r="L347" s="350">
        <v>0.21</v>
      </c>
      <c r="M347" s="350">
        <v>0.03</v>
      </c>
      <c r="N347" s="351" t="str">
        <f t="shared" si="5"/>
        <v>4800018</v>
      </c>
    </row>
    <row r="348" spans="1:14" ht="23.25">
      <c r="A348" s="360" t="s">
        <v>60</v>
      </c>
      <c r="B348" s="361">
        <v>49000</v>
      </c>
      <c r="C348" s="365">
        <v>4</v>
      </c>
      <c r="D348" s="366">
        <v>3434</v>
      </c>
      <c r="E348" s="366">
        <v>52434</v>
      </c>
      <c r="F348" s="366">
        <v>490</v>
      </c>
      <c r="G348" s="366">
        <v>12250</v>
      </c>
      <c r="H348" s="366">
        <v>736</v>
      </c>
      <c r="I348" s="366">
        <v>12986</v>
      </c>
      <c r="K348" s="365">
        <v>0</v>
      </c>
      <c r="L348" s="350">
        <v>0.21</v>
      </c>
      <c r="M348" s="350">
        <v>0.03</v>
      </c>
      <c r="N348" s="351" t="str">
        <f t="shared" si="5"/>
        <v>490004</v>
      </c>
    </row>
    <row r="349" spans="1:14" ht="24" thickBot="1">
      <c r="A349" s="392" t="s">
        <v>60</v>
      </c>
      <c r="B349" s="393">
        <v>49000</v>
      </c>
      <c r="C349" s="399">
        <v>6</v>
      </c>
      <c r="D349" s="400">
        <v>5147</v>
      </c>
      <c r="E349" s="400">
        <v>54147</v>
      </c>
      <c r="F349" s="400">
        <v>735</v>
      </c>
      <c r="G349" s="400">
        <v>8167</v>
      </c>
      <c r="H349" s="364">
        <v>735</v>
      </c>
      <c r="I349" s="400">
        <v>8902</v>
      </c>
      <c r="K349" s="399">
        <v>0</v>
      </c>
      <c r="L349" s="350">
        <v>0.21</v>
      </c>
      <c r="M349" s="350">
        <v>0.03</v>
      </c>
      <c r="N349" s="351" t="str">
        <f t="shared" si="5"/>
        <v>490006</v>
      </c>
    </row>
    <row r="350" spans="1:14" ht="24" thickTop="1">
      <c r="A350" s="384" t="s">
        <v>60</v>
      </c>
      <c r="B350" s="385">
        <v>49000</v>
      </c>
      <c r="C350" s="357">
        <v>8</v>
      </c>
      <c r="D350" s="358">
        <v>6867</v>
      </c>
      <c r="E350" s="358">
        <v>55868</v>
      </c>
      <c r="F350" s="358">
        <v>980</v>
      </c>
      <c r="G350" s="358">
        <v>6125</v>
      </c>
      <c r="H350" s="358">
        <v>736</v>
      </c>
      <c r="I350" s="358">
        <v>6861</v>
      </c>
      <c r="K350" s="357">
        <v>0</v>
      </c>
      <c r="L350" s="350">
        <v>0.21</v>
      </c>
      <c r="M350" s="350">
        <v>0.03</v>
      </c>
      <c r="N350" s="351" t="str">
        <f t="shared" si="5"/>
        <v>490008</v>
      </c>
    </row>
    <row r="351" spans="1:14" ht="23.25">
      <c r="A351" s="386" t="s">
        <v>60</v>
      </c>
      <c r="B351" s="387">
        <v>49000</v>
      </c>
      <c r="C351" s="388">
        <v>10</v>
      </c>
      <c r="D351" s="364">
        <v>8584</v>
      </c>
      <c r="E351" s="364">
        <v>57585</v>
      </c>
      <c r="F351" s="364">
        <v>1225</v>
      </c>
      <c r="G351" s="364">
        <v>4900</v>
      </c>
      <c r="H351" s="364">
        <v>736</v>
      </c>
      <c r="I351" s="364">
        <v>5636</v>
      </c>
      <c r="K351" s="388">
        <v>0</v>
      </c>
      <c r="L351" s="350">
        <v>0.21</v>
      </c>
      <c r="M351" s="350">
        <v>0.03</v>
      </c>
      <c r="N351" s="351" t="str">
        <f t="shared" si="5"/>
        <v>4900010</v>
      </c>
    </row>
    <row r="352" spans="1:14" ht="23.25">
      <c r="A352" s="386" t="s">
        <v>60</v>
      </c>
      <c r="B352" s="387">
        <v>49000</v>
      </c>
      <c r="C352" s="365">
        <v>12</v>
      </c>
      <c r="D352" s="366">
        <v>10297</v>
      </c>
      <c r="E352" s="366">
        <v>59298</v>
      </c>
      <c r="F352" s="366">
        <v>1470</v>
      </c>
      <c r="G352" s="366">
        <v>4084</v>
      </c>
      <c r="H352" s="366">
        <v>735</v>
      </c>
      <c r="I352" s="366">
        <v>4819</v>
      </c>
      <c r="K352" s="365">
        <v>0</v>
      </c>
      <c r="L352" s="350">
        <v>0.21</v>
      </c>
      <c r="M352" s="350">
        <v>0.03</v>
      </c>
      <c r="N352" s="351" t="str">
        <f t="shared" si="5"/>
        <v>4900012</v>
      </c>
    </row>
    <row r="353" spans="1:14" ht="23.25">
      <c r="A353" s="386" t="s">
        <v>60</v>
      </c>
      <c r="B353" s="387">
        <v>49000</v>
      </c>
      <c r="C353" s="367">
        <v>14</v>
      </c>
      <c r="D353" s="368">
        <v>12017</v>
      </c>
      <c r="E353" s="368">
        <v>61019</v>
      </c>
      <c r="F353" s="368">
        <v>1715</v>
      </c>
      <c r="G353" s="368">
        <v>3500</v>
      </c>
      <c r="H353" s="368">
        <v>736</v>
      </c>
      <c r="I353" s="368">
        <v>4236</v>
      </c>
      <c r="K353" s="367">
        <v>0</v>
      </c>
      <c r="L353" s="350">
        <v>0.21</v>
      </c>
      <c r="M353" s="350">
        <v>0.03</v>
      </c>
      <c r="N353" s="351" t="str">
        <f t="shared" si="5"/>
        <v>4900014</v>
      </c>
    </row>
    <row r="354" spans="1:14" ht="23.25">
      <c r="A354" s="386" t="s">
        <v>60</v>
      </c>
      <c r="B354" s="387">
        <v>49000</v>
      </c>
      <c r="C354" s="365">
        <v>16</v>
      </c>
      <c r="D354" s="366">
        <v>13726</v>
      </c>
      <c r="E354" s="366">
        <v>62728</v>
      </c>
      <c r="F354" s="366">
        <v>1960</v>
      </c>
      <c r="G354" s="366">
        <v>3063</v>
      </c>
      <c r="H354" s="366">
        <v>735</v>
      </c>
      <c r="I354" s="366">
        <v>3798</v>
      </c>
      <c r="K354" s="365">
        <v>0</v>
      </c>
      <c r="L354" s="350">
        <v>0.21</v>
      </c>
      <c r="M354" s="350">
        <v>0.03</v>
      </c>
      <c r="N354" s="351" t="str">
        <f t="shared" si="5"/>
        <v>4900016</v>
      </c>
    </row>
    <row r="355" spans="1:14" ht="23.25">
      <c r="A355" s="386" t="s">
        <v>60</v>
      </c>
      <c r="B355" s="387">
        <v>49000</v>
      </c>
      <c r="C355" s="367">
        <v>18</v>
      </c>
      <c r="D355" s="368">
        <v>15447</v>
      </c>
      <c r="E355" s="368">
        <v>64449</v>
      </c>
      <c r="F355" s="368">
        <v>2205</v>
      </c>
      <c r="G355" s="368">
        <v>2723</v>
      </c>
      <c r="H355" s="368">
        <v>735</v>
      </c>
      <c r="I355" s="368">
        <v>3458</v>
      </c>
      <c r="K355" s="367">
        <v>0</v>
      </c>
      <c r="L355" s="350">
        <v>0.21</v>
      </c>
      <c r="M355" s="350">
        <v>0.03</v>
      </c>
      <c r="N355" s="351" t="str">
        <f t="shared" si="5"/>
        <v>4900018</v>
      </c>
    </row>
    <row r="356" spans="1:14" ht="23.25">
      <c r="A356" s="386" t="s">
        <v>60</v>
      </c>
      <c r="B356" s="387">
        <v>50000</v>
      </c>
      <c r="C356" s="365">
        <v>4</v>
      </c>
      <c r="D356" s="366">
        <v>3503</v>
      </c>
      <c r="E356" s="366">
        <v>53504</v>
      </c>
      <c r="F356" s="366">
        <v>500</v>
      </c>
      <c r="G356" s="366">
        <v>12500</v>
      </c>
      <c r="H356" s="366">
        <v>751</v>
      </c>
      <c r="I356" s="366">
        <v>13251</v>
      </c>
      <c r="K356" s="365">
        <v>0</v>
      </c>
      <c r="L356" s="350">
        <v>0.21</v>
      </c>
      <c r="M356" s="350">
        <v>0.03</v>
      </c>
      <c r="N356" s="351" t="str">
        <f t="shared" si="5"/>
        <v>500004</v>
      </c>
    </row>
    <row r="357" spans="1:14" ht="23.25">
      <c r="A357" s="386" t="s">
        <v>60</v>
      </c>
      <c r="B357" s="387">
        <v>50000</v>
      </c>
      <c r="C357" s="367">
        <v>6</v>
      </c>
      <c r="D357" s="368">
        <v>5253</v>
      </c>
      <c r="E357" s="368">
        <v>55254</v>
      </c>
      <c r="F357" s="368">
        <v>750</v>
      </c>
      <c r="G357" s="372">
        <v>8334</v>
      </c>
      <c r="H357" s="372">
        <v>750</v>
      </c>
      <c r="I357" s="368">
        <v>9084</v>
      </c>
      <c r="K357" s="367">
        <v>0</v>
      </c>
      <c r="L357" s="350">
        <v>0.21</v>
      </c>
      <c r="M357" s="350">
        <v>0.03</v>
      </c>
      <c r="N357" s="351" t="str">
        <f t="shared" si="5"/>
        <v>500006</v>
      </c>
    </row>
    <row r="358" spans="1:14" ht="23.25">
      <c r="A358" s="386" t="s">
        <v>60</v>
      </c>
      <c r="B358" s="387">
        <v>50000</v>
      </c>
      <c r="C358" s="365">
        <v>8</v>
      </c>
      <c r="D358" s="366">
        <v>7006</v>
      </c>
      <c r="E358" s="366">
        <v>57008</v>
      </c>
      <c r="F358" s="366">
        <v>1000</v>
      </c>
      <c r="G358" s="366">
        <v>6250</v>
      </c>
      <c r="H358" s="366">
        <v>751</v>
      </c>
      <c r="I358" s="366">
        <v>7001</v>
      </c>
      <c r="K358" s="365">
        <v>0</v>
      </c>
      <c r="L358" s="350">
        <v>0.21</v>
      </c>
      <c r="M358" s="350">
        <v>0.03</v>
      </c>
      <c r="N358" s="351" t="str">
        <f t="shared" si="5"/>
        <v>500008</v>
      </c>
    </row>
    <row r="359" spans="1:14" ht="23.25">
      <c r="A359" s="386" t="s">
        <v>60</v>
      </c>
      <c r="B359" s="387">
        <v>50000</v>
      </c>
      <c r="C359" s="388">
        <v>10</v>
      </c>
      <c r="D359" s="364">
        <v>8757</v>
      </c>
      <c r="E359" s="364">
        <v>58760</v>
      </c>
      <c r="F359" s="364">
        <v>1250</v>
      </c>
      <c r="G359" s="364">
        <v>5000</v>
      </c>
      <c r="H359" s="364">
        <v>751</v>
      </c>
      <c r="I359" s="364">
        <v>5751</v>
      </c>
      <c r="K359" s="388">
        <v>0</v>
      </c>
      <c r="L359" s="350">
        <v>0.21</v>
      </c>
      <c r="M359" s="350">
        <v>0.03</v>
      </c>
      <c r="N359" s="351" t="str">
        <f t="shared" si="5"/>
        <v>5000010</v>
      </c>
    </row>
    <row r="360" spans="1:14" ht="24" thickBot="1">
      <c r="A360" s="389" t="s">
        <v>60</v>
      </c>
      <c r="B360" s="390">
        <v>50000</v>
      </c>
      <c r="C360" s="381">
        <v>12</v>
      </c>
      <c r="D360" s="398">
        <v>10501</v>
      </c>
      <c r="E360" s="398">
        <v>60504</v>
      </c>
      <c r="F360" s="398">
        <v>1500</v>
      </c>
      <c r="G360" s="366">
        <v>4167</v>
      </c>
      <c r="H360" s="366">
        <v>750</v>
      </c>
      <c r="I360" s="398">
        <v>4917</v>
      </c>
      <c r="K360" s="381">
        <v>0</v>
      </c>
      <c r="L360" s="350">
        <v>0.21</v>
      </c>
      <c r="M360" s="350">
        <v>0.03</v>
      </c>
      <c r="N360" s="351" t="str">
        <f t="shared" si="5"/>
        <v>5000012</v>
      </c>
    </row>
    <row r="361" spans="1:14" ht="24" thickTop="1">
      <c r="A361" s="355" t="s">
        <v>60</v>
      </c>
      <c r="B361" s="356">
        <v>50000</v>
      </c>
      <c r="C361" s="396">
        <v>14</v>
      </c>
      <c r="D361" s="397">
        <v>12254</v>
      </c>
      <c r="E361" s="397">
        <v>62258</v>
      </c>
      <c r="F361" s="397">
        <v>1750</v>
      </c>
      <c r="G361" s="397">
        <v>3572</v>
      </c>
      <c r="H361" s="397">
        <v>750</v>
      </c>
      <c r="I361" s="397">
        <v>4322</v>
      </c>
      <c r="K361" s="396">
        <v>0</v>
      </c>
      <c r="L361" s="350">
        <v>0.21</v>
      </c>
      <c r="M361" s="350">
        <v>0.03</v>
      </c>
      <c r="N361" s="351" t="str">
        <f t="shared" si="5"/>
        <v>5000014</v>
      </c>
    </row>
    <row r="362" spans="1:14" ht="23.25">
      <c r="A362" s="360" t="s">
        <v>60</v>
      </c>
      <c r="B362" s="361">
        <v>50000</v>
      </c>
      <c r="C362" s="365">
        <v>16</v>
      </c>
      <c r="D362" s="366">
        <v>14011</v>
      </c>
      <c r="E362" s="366">
        <v>64016</v>
      </c>
      <c r="F362" s="366">
        <v>2000</v>
      </c>
      <c r="G362" s="366">
        <v>3125</v>
      </c>
      <c r="H362" s="366">
        <v>751</v>
      </c>
      <c r="I362" s="366">
        <v>3876</v>
      </c>
      <c r="K362" s="365">
        <v>0</v>
      </c>
      <c r="L362" s="350">
        <v>0.21</v>
      </c>
      <c r="M362" s="350">
        <v>0.03</v>
      </c>
      <c r="N362" s="351" t="str">
        <f t="shared" si="5"/>
        <v>5000016</v>
      </c>
    </row>
    <row r="363" spans="1:14" ht="23.25">
      <c r="A363" s="360" t="s">
        <v>60</v>
      </c>
      <c r="B363" s="361">
        <v>50000</v>
      </c>
      <c r="C363" s="367">
        <v>18</v>
      </c>
      <c r="D363" s="368">
        <v>15767</v>
      </c>
      <c r="E363" s="368">
        <v>65754</v>
      </c>
      <c r="F363" s="368">
        <v>2250</v>
      </c>
      <c r="G363" s="368">
        <v>2778</v>
      </c>
      <c r="H363" s="364">
        <v>750</v>
      </c>
      <c r="I363" s="368">
        <v>3528</v>
      </c>
      <c r="K363" s="367">
        <v>0</v>
      </c>
      <c r="L363" s="350">
        <v>0.21</v>
      </c>
      <c r="M363" s="350">
        <v>0.03</v>
      </c>
      <c r="N363" s="351" t="str">
        <f t="shared" si="5"/>
        <v>5000018</v>
      </c>
    </row>
    <row r="364" spans="1:14" ht="23.25">
      <c r="A364" s="360" t="s">
        <v>783</v>
      </c>
      <c r="B364" s="361">
        <v>48000</v>
      </c>
      <c r="C364" s="365">
        <v>4</v>
      </c>
      <c r="D364" s="366">
        <v>3361</v>
      </c>
      <c r="E364" s="366">
        <v>51204</v>
      </c>
      <c r="F364" s="366">
        <v>400</v>
      </c>
      <c r="G364" s="366">
        <v>12000</v>
      </c>
      <c r="H364" s="366">
        <v>701</v>
      </c>
      <c r="I364" s="366">
        <v>12701</v>
      </c>
      <c r="K364" s="365">
        <v>0</v>
      </c>
      <c r="L364" s="350">
        <v>0.21</v>
      </c>
      <c r="M364" s="577">
        <v>0.03</v>
      </c>
      <c r="N364" s="351" t="str">
        <f t="shared" si="5"/>
        <v>480004</v>
      </c>
    </row>
    <row r="365" spans="1:14" ht="23.25">
      <c r="A365" s="360" t="s">
        <v>783</v>
      </c>
      <c r="B365" s="361">
        <v>48000</v>
      </c>
      <c r="C365" s="367">
        <v>6</v>
      </c>
      <c r="D365" s="368">
        <v>5041</v>
      </c>
      <c r="E365" s="368">
        <v>52806</v>
      </c>
      <c r="F365" s="368">
        <v>600</v>
      </c>
      <c r="G365" s="368">
        <v>8000</v>
      </c>
      <c r="H365" s="368">
        <v>701</v>
      </c>
      <c r="I365" s="368">
        <v>8701</v>
      </c>
      <c r="K365" s="367">
        <v>0</v>
      </c>
      <c r="L365" s="350">
        <v>0.21</v>
      </c>
      <c r="M365" s="577">
        <v>0.03</v>
      </c>
      <c r="N365" s="351" t="str">
        <f t="shared" si="5"/>
        <v>480006</v>
      </c>
    </row>
    <row r="366" spans="1:14" ht="23.25">
      <c r="A366" s="360" t="s">
        <v>783</v>
      </c>
      <c r="B366" s="361">
        <v>48000</v>
      </c>
      <c r="C366" s="365">
        <v>8</v>
      </c>
      <c r="D366" s="366">
        <v>6721</v>
      </c>
      <c r="E366" s="366">
        <v>54408</v>
      </c>
      <c r="F366" s="366">
        <v>800</v>
      </c>
      <c r="G366" s="366">
        <v>6000</v>
      </c>
      <c r="H366" s="366">
        <v>701</v>
      </c>
      <c r="I366" s="366">
        <v>6701</v>
      </c>
      <c r="K366" s="365">
        <v>0</v>
      </c>
      <c r="L366" s="350">
        <v>0.21</v>
      </c>
      <c r="M366" s="577">
        <v>0.03</v>
      </c>
      <c r="N366" s="351" t="str">
        <f t="shared" si="5"/>
        <v>480008</v>
      </c>
    </row>
    <row r="367" spans="1:14" ht="23.25">
      <c r="A367" s="360" t="s">
        <v>783</v>
      </c>
      <c r="B367" s="361">
        <v>48000</v>
      </c>
      <c r="C367" s="367">
        <v>10</v>
      </c>
      <c r="D367" s="368">
        <v>8401</v>
      </c>
      <c r="E367" s="368">
        <v>56010</v>
      </c>
      <c r="F367" s="368">
        <v>1000</v>
      </c>
      <c r="G367" s="368">
        <v>4800</v>
      </c>
      <c r="H367" s="368">
        <v>701</v>
      </c>
      <c r="I367" s="368">
        <v>5501</v>
      </c>
      <c r="K367" s="367">
        <v>0</v>
      </c>
      <c r="L367" s="350">
        <v>0.21</v>
      </c>
      <c r="M367" s="577">
        <v>0.03</v>
      </c>
      <c r="N367" s="351" t="str">
        <f t="shared" si="5"/>
        <v>4800010</v>
      </c>
    </row>
    <row r="368" spans="1:14" ht="23.25">
      <c r="A368" s="360" t="s">
        <v>783</v>
      </c>
      <c r="B368" s="361">
        <v>48000</v>
      </c>
      <c r="C368" s="365">
        <v>12</v>
      </c>
      <c r="D368" s="366">
        <v>10081</v>
      </c>
      <c r="E368" s="366">
        <v>57612</v>
      </c>
      <c r="F368" s="366">
        <v>1200</v>
      </c>
      <c r="G368" s="366">
        <v>4000</v>
      </c>
      <c r="H368" s="366">
        <v>701</v>
      </c>
      <c r="I368" s="366">
        <v>4701</v>
      </c>
      <c r="K368" s="365">
        <v>0</v>
      </c>
      <c r="L368" s="350">
        <v>0.21</v>
      </c>
      <c r="M368" s="577">
        <v>0.03</v>
      </c>
      <c r="N368" s="351" t="str">
        <f t="shared" si="5"/>
        <v>4800012</v>
      </c>
    </row>
    <row r="369" spans="1:14" ht="23.25">
      <c r="A369" s="360" t="s">
        <v>783</v>
      </c>
      <c r="B369" s="361">
        <v>48000</v>
      </c>
      <c r="C369" s="388">
        <v>14</v>
      </c>
      <c r="D369" s="364">
        <v>11767</v>
      </c>
      <c r="E369" s="364">
        <v>59206</v>
      </c>
      <c r="F369" s="364">
        <v>1400</v>
      </c>
      <c r="G369" s="364">
        <v>3429</v>
      </c>
      <c r="H369" s="372">
        <v>700</v>
      </c>
      <c r="I369" s="364">
        <v>4129</v>
      </c>
      <c r="K369" s="388">
        <v>0</v>
      </c>
      <c r="L369" s="350">
        <v>0.21</v>
      </c>
      <c r="M369" s="577">
        <v>0.03</v>
      </c>
      <c r="N369" s="351" t="str">
        <f t="shared" si="5"/>
        <v>4800014</v>
      </c>
    </row>
    <row r="370" spans="1:14" ht="23.25">
      <c r="A370" s="360" t="s">
        <v>783</v>
      </c>
      <c r="B370" s="361">
        <v>48000</v>
      </c>
      <c r="C370" s="365">
        <v>16</v>
      </c>
      <c r="D370" s="366">
        <v>13441</v>
      </c>
      <c r="E370" s="366">
        <v>60816</v>
      </c>
      <c r="F370" s="366">
        <v>1600</v>
      </c>
      <c r="G370" s="366">
        <v>3000</v>
      </c>
      <c r="H370" s="366">
        <v>701</v>
      </c>
      <c r="I370" s="366">
        <v>3701</v>
      </c>
      <c r="K370" s="365">
        <v>0</v>
      </c>
      <c r="L370" s="350">
        <v>0.21</v>
      </c>
      <c r="M370" s="577">
        <v>0.03</v>
      </c>
      <c r="N370" s="351" t="str">
        <f t="shared" si="5"/>
        <v>4800016</v>
      </c>
    </row>
    <row r="371" spans="1:14" ht="24" thickBot="1">
      <c r="A371" s="392" t="s">
        <v>783</v>
      </c>
      <c r="B371" s="393">
        <v>48000</v>
      </c>
      <c r="C371" s="399">
        <v>18</v>
      </c>
      <c r="D371" s="400">
        <v>15127</v>
      </c>
      <c r="E371" s="400">
        <v>62406</v>
      </c>
      <c r="F371" s="400">
        <v>1800</v>
      </c>
      <c r="G371" s="400">
        <v>2667</v>
      </c>
      <c r="H371" s="364">
        <v>700</v>
      </c>
      <c r="I371" s="400">
        <v>3367</v>
      </c>
      <c r="K371" s="399">
        <v>0</v>
      </c>
      <c r="L371" s="350">
        <v>0.21</v>
      </c>
      <c r="M371" s="577">
        <v>0.03</v>
      </c>
      <c r="N371" s="351" t="str">
        <f t="shared" si="5"/>
        <v>4800018</v>
      </c>
    </row>
    <row r="372" spans="1:14" ht="24" thickTop="1">
      <c r="A372" s="384" t="s">
        <v>783</v>
      </c>
      <c r="B372" s="385">
        <v>49000</v>
      </c>
      <c r="C372" s="357">
        <v>4</v>
      </c>
      <c r="D372" s="358">
        <v>3434</v>
      </c>
      <c r="E372" s="358">
        <v>52269</v>
      </c>
      <c r="F372" s="358">
        <v>409</v>
      </c>
      <c r="G372" s="358">
        <v>12250</v>
      </c>
      <c r="H372" s="358">
        <v>715</v>
      </c>
      <c r="I372" s="358">
        <v>12965</v>
      </c>
      <c r="K372" s="357">
        <v>0</v>
      </c>
      <c r="L372" s="350">
        <v>0.21</v>
      </c>
      <c r="M372" s="577">
        <v>0.03</v>
      </c>
      <c r="N372" s="351" t="str">
        <f t="shared" si="5"/>
        <v>490004</v>
      </c>
    </row>
    <row r="373" spans="1:14" ht="23.25">
      <c r="A373" s="386" t="s">
        <v>783</v>
      </c>
      <c r="B373" s="387">
        <v>49000</v>
      </c>
      <c r="C373" s="388">
        <v>6</v>
      </c>
      <c r="D373" s="364">
        <v>5147</v>
      </c>
      <c r="E373" s="364">
        <v>53905</v>
      </c>
      <c r="F373" s="364">
        <v>613</v>
      </c>
      <c r="G373" s="364">
        <v>8167</v>
      </c>
      <c r="H373" s="364">
        <v>715</v>
      </c>
      <c r="I373" s="364">
        <v>8882</v>
      </c>
      <c r="K373" s="388">
        <v>0</v>
      </c>
      <c r="L373" s="350">
        <v>0.21</v>
      </c>
      <c r="M373" s="577">
        <v>0.03</v>
      </c>
      <c r="N373" s="351" t="str">
        <f t="shared" si="5"/>
        <v>490006</v>
      </c>
    </row>
    <row r="374" spans="1:14" ht="23.25">
      <c r="A374" s="386" t="s">
        <v>783</v>
      </c>
      <c r="B374" s="387">
        <v>49000</v>
      </c>
      <c r="C374" s="365">
        <v>8</v>
      </c>
      <c r="D374" s="366">
        <v>6867</v>
      </c>
      <c r="E374" s="366">
        <v>55537</v>
      </c>
      <c r="F374" s="366">
        <v>817</v>
      </c>
      <c r="G374" s="366">
        <v>6125</v>
      </c>
      <c r="H374" s="366">
        <v>715</v>
      </c>
      <c r="I374" s="366">
        <v>6840</v>
      </c>
      <c r="K374" s="365">
        <v>0</v>
      </c>
      <c r="L374" s="350">
        <v>0.21</v>
      </c>
      <c r="M374" s="577">
        <v>0.03</v>
      </c>
      <c r="N374" s="351" t="str">
        <f t="shared" si="5"/>
        <v>490008</v>
      </c>
    </row>
    <row r="375" spans="1:14" ht="23.25">
      <c r="A375" s="386" t="s">
        <v>783</v>
      </c>
      <c r="B375" s="387">
        <v>49000</v>
      </c>
      <c r="C375" s="367">
        <v>10</v>
      </c>
      <c r="D375" s="368">
        <v>8584</v>
      </c>
      <c r="E375" s="368">
        <v>57171</v>
      </c>
      <c r="F375" s="368">
        <v>1021</v>
      </c>
      <c r="G375" s="368">
        <v>4900</v>
      </c>
      <c r="H375" s="368">
        <v>715</v>
      </c>
      <c r="I375" s="368">
        <v>5615</v>
      </c>
      <c r="K375" s="367">
        <v>0</v>
      </c>
      <c r="L375" s="350">
        <v>0.21</v>
      </c>
      <c r="M375" s="577">
        <v>0.03</v>
      </c>
      <c r="N375" s="351" t="str">
        <f t="shared" si="5"/>
        <v>4900010</v>
      </c>
    </row>
    <row r="376" spans="1:14" ht="23.25">
      <c r="A376" s="386" t="s">
        <v>783</v>
      </c>
      <c r="B376" s="387">
        <v>49000</v>
      </c>
      <c r="C376" s="365">
        <v>12</v>
      </c>
      <c r="D376" s="366">
        <v>10297</v>
      </c>
      <c r="E376" s="366">
        <v>58801</v>
      </c>
      <c r="F376" s="366">
        <v>1225</v>
      </c>
      <c r="G376" s="366">
        <v>4084</v>
      </c>
      <c r="H376" s="366">
        <v>714</v>
      </c>
      <c r="I376" s="366">
        <v>4798</v>
      </c>
      <c r="K376" s="365">
        <v>0</v>
      </c>
      <c r="L376" s="350">
        <v>0.21</v>
      </c>
      <c r="M376" s="577">
        <v>0.03</v>
      </c>
      <c r="N376" s="351" t="str">
        <f t="shared" si="5"/>
        <v>4900012</v>
      </c>
    </row>
    <row r="377" spans="1:14" ht="23.25">
      <c r="A377" s="386" t="s">
        <v>783</v>
      </c>
      <c r="B377" s="387">
        <v>49000</v>
      </c>
      <c r="C377" s="367">
        <v>14</v>
      </c>
      <c r="D377" s="368">
        <v>12017</v>
      </c>
      <c r="E377" s="368">
        <v>60440</v>
      </c>
      <c r="F377" s="368">
        <v>1430</v>
      </c>
      <c r="G377" s="368">
        <v>3500</v>
      </c>
      <c r="H377" s="368">
        <v>715</v>
      </c>
      <c r="I377" s="368">
        <v>4215</v>
      </c>
      <c r="K377" s="367">
        <v>0</v>
      </c>
      <c r="L377" s="350">
        <v>0.21</v>
      </c>
      <c r="M377" s="577">
        <v>0.03</v>
      </c>
      <c r="N377" s="351" t="str">
        <f t="shared" si="5"/>
        <v>4900014</v>
      </c>
    </row>
    <row r="378" spans="1:14" ht="23.25">
      <c r="A378" s="386" t="s">
        <v>783</v>
      </c>
      <c r="B378" s="387">
        <v>49000</v>
      </c>
      <c r="C378" s="365">
        <v>16</v>
      </c>
      <c r="D378" s="366">
        <v>13726</v>
      </c>
      <c r="E378" s="366">
        <v>62082</v>
      </c>
      <c r="F378" s="366">
        <v>1634</v>
      </c>
      <c r="G378" s="366">
        <v>3063</v>
      </c>
      <c r="H378" s="366">
        <v>715</v>
      </c>
      <c r="I378" s="366">
        <v>3778</v>
      </c>
      <c r="K378" s="365">
        <v>0</v>
      </c>
      <c r="L378" s="350">
        <v>0.21</v>
      </c>
      <c r="M378" s="577">
        <v>0.03</v>
      </c>
      <c r="N378" s="351" t="str">
        <f t="shared" si="5"/>
        <v>4900016</v>
      </c>
    </row>
    <row r="379" spans="1:14" ht="23.25">
      <c r="A379" s="386" t="s">
        <v>783</v>
      </c>
      <c r="B379" s="387">
        <v>49000</v>
      </c>
      <c r="C379" s="367">
        <v>18</v>
      </c>
      <c r="D379" s="368">
        <v>15447</v>
      </c>
      <c r="E379" s="368">
        <v>63704</v>
      </c>
      <c r="F379" s="368">
        <v>1838</v>
      </c>
      <c r="G379" s="368">
        <v>2723</v>
      </c>
      <c r="H379" s="372">
        <v>714</v>
      </c>
      <c r="I379" s="368">
        <v>3437</v>
      </c>
      <c r="K379" s="367">
        <v>0</v>
      </c>
      <c r="L379" s="350">
        <v>0.21</v>
      </c>
      <c r="M379" s="577">
        <v>0.03</v>
      </c>
      <c r="N379" s="351" t="str">
        <f t="shared" si="5"/>
        <v>4900018</v>
      </c>
    </row>
    <row r="380" spans="1:14" ht="23.25">
      <c r="A380" s="386" t="s">
        <v>783</v>
      </c>
      <c r="B380" s="387">
        <v>50000</v>
      </c>
      <c r="C380" s="365">
        <v>4</v>
      </c>
      <c r="D380" s="366">
        <v>3503</v>
      </c>
      <c r="E380" s="366">
        <v>53337</v>
      </c>
      <c r="F380" s="366">
        <v>417</v>
      </c>
      <c r="G380" s="366">
        <v>12500</v>
      </c>
      <c r="H380" s="366">
        <v>730</v>
      </c>
      <c r="I380" s="366">
        <v>13230</v>
      </c>
      <c r="K380" s="365">
        <v>0</v>
      </c>
      <c r="L380" s="350">
        <v>0.21</v>
      </c>
      <c r="M380" s="577">
        <v>0.03</v>
      </c>
      <c r="N380" s="351" t="str">
        <f t="shared" si="5"/>
        <v>500004</v>
      </c>
    </row>
    <row r="381" spans="1:14" ht="23.25">
      <c r="A381" s="386" t="s">
        <v>783</v>
      </c>
      <c r="B381" s="387">
        <v>50000</v>
      </c>
      <c r="C381" s="388">
        <v>6</v>
      </c>
      <c r="D381" s="364">
        <v>5253</v>
      </c>
      <c r="E381" s="364">
        <v>55003</v>
      </c>
      <c r="F381" s="364">
        <v>625</v>
      </c>
      <c r="G381" s="364">
        <v>8334</v>
      </c>
      <c r="H381" s="364">
        <v>729</v>
      </c>
      <c r="I381" s="364">
        <v>9063</v>
      </c>
      <c r="K381" s="388">
        <v>0</v>
      </c>
      <c r="L381" s="350">
        <v>0.21</v>
      </c>
      <c r="M381" s="577">
        <v>0.03</v>
      </c>
      <c r="N381" s="351" t="str">
        <f t="shared" si="5"/>
        <v>500006</v>
      </c>
    </row>
    <row r="382" spans="1:14" ht="24" thickBot="1">
      <c r="A382" s="389" t="s">
        <v>783</v>
      </c>
      <c r="B382" s="390">
        <v>50000</v>
      </c>
      <c r="C382" s="381">
        <v>8</v>
      </c>
      <c r="D382" s="398">
        <v>7006</v>
      </c>
      <c r="E382" s="398">
        <v>56674</v>
      </c>
      <c r="F382" s="398">
        <v>834</v>
      </c>
      <c r="G382" s="398">
        <v>6250</v>
      </c>
      <c r="H382" s="366">
        <v>730</v>
      </c>
      <c r="I382" s="398">
        <v>6980</v>
      </c>
      <c r="K382" s="381">
        <v>0</v>
      </c>
      <c r="L382" s="350">
        <v>0.21</v>
      </c>
      <c r="M382" s="577">
        <v>0.03</v>
      </c>
      <c r="N382" s="351" t="str">
        <f t="shared" si="5"/>
        <v>500008</v>
      </c>
    </row>
    <row r="383" spans="1:14" ht="24" thickTop="1">
      <c r="A383" s="355" t="s">
        <v>783</v>
      </c>
      <c r="B383" s="356">
        <v>50000</v>
      </c>
      <c r="C383" s="396">
        <v>10</v>
      </c>
      <c r="D383" s="397">
        <v>8757</v>
      </c>
      <c r="E383" s="397">
        <v>58342</v>
      </c>
      <c r="F383" s="397">
        <v>1042</v>
      </c>
      <c r="G383" s="397">
        <v>5000</v>
      </c>
      <c r="H383" s="397">
        <v>730</v>
      </c>
      <c r="I383" s="397">
        <v>5730</v>
      </c>
      <c r="K383" s="396">
        <v>0</v>
      </c>
      <c r="L383" s="350">
        <v>0.21</v>
      </c>
      <c r="M383" s="577">
        <v>0.03</v>
      </c>
      <c r="N383" s="351" t="str">
        <f t="shared" si="5"/>
        <v>5000010</v>
      </c>
    </row>
    <row r="384" spans="1:14" ht="23.25">
      <c r="A384" s="360" t="s">
        <v>783</v>
      </c>
      <c r="B384" s="361">
        <v>50000</v>
      </c>
      <c r="C384" s="365">
        <v>12</v>
      </c>
      <c r="D384" s="366">
        <v>10501</v>
      </c>
      <c r="E384" s="366">
        <v>60002</v>
      </c>
      <c r="F384" s="366">
        <v>1250</v>
      </c>
      <c r="G384" s="366">
        <v>4167</v>
      </c>
      <c r="H384" s="366">
        <v>729</v>
      </c>
      <c r="I384" s="366">
        <v>4896</v>
      </c>
      <c r="K384" s="365">
        <v>0</v>
      </c>
      <c r="L384" s="350">
        <v>0.21</v>
      </c>
      <c r="M384" s="577">
        <v>0.03</v>
      </c>
      <c r="N384" s="351" t="str">
        <f t="shared" si="5"/>
        <v>5000012</v>
      </c>
    </row>
    <row r="385" spans="1:14" ht="23.25">
      <c r="A385" s="360" t="s">
        <v>783</v>
      </c>
      <c r="B385" s="361">
        <v>50000</v>
      </c>
      <c r="C385" s="367">
        <v>14</v>
      </c>
      <c r="D385" s="368">
        <v>12254</v>
      </c>
      <c r="E385" s="368">
        <v>61673</v>
      </c>
      <c r="F385" s="368">
        <v>1459</v>
      </c>
      <c r="G385" s="368">
        <v>3572</v>
      </c>
      <c r="H385" s="364">
        <v>729</v>
      </c>
      <c r="I385" s="368">
        <v>4301</v>
      </c>
      <c r="K385" s="367">
        <v>0</v>
      </c>
      <c r="L385" s="350">
        <v>0.21</v>
      </c>
      <c r="M385" s="577">
        <v>0.03</v>
      </c>
      <c r="N385" s="351" t="str">
        <f t="shared" si="5"/>
        <v>5000014</v>
      </c>
    </row>
    <row r="386" spans="1:14" ht="23.25">
      <c r="A386" s="360" t="s">
        <v>783</v>
      </c>
      <c r="B386" s="361">
        <v>50000</v>
      </c>
      <c r="C386" s="365">
        <v>16</v>
      </c>
      <c r="D386" s="366">
        <v>14011</v>
      </c>
      <c r="E386" s="366">
        <v>63347</v>
      </c>
      <c r="F386" s="366">
        <v>1667</v>
      </c>
      <c r="G386" s="366">
        <v>3125</v>
      </c>
      <c r="H386" s="366">
        <v>730</v>
      </c>
      <c r="I386" s="366">
        <v>3855</v>
      </c>
      <c r="K386" s="365">
        <v>0</v>
      </c>
      <c r="L386" s="350">
        <v>0.21</v>
      </c>
      <c r="M386" s="577">
        <v>0.03</v>
      </c>
      <c r="N386" s="351" t="str">
        <f t="shared" si="5"/>
        <v>5000016</v>
      </c>
    </row>
    <row r="387" spans="1:14" ht="23.25">
      <c r="A387" s="360" t="s">
        <v>783</v>
      </c>
      <c r="B387" s="361">
        <v>50000</v>
      </c>
      <c r="C387" s="367">
        <v>18</v>
      </c>
      <c r="D387" s="368">
        <v>15767</v>
      </c>
      <c r="E387" s="368">
        <v>65001</v>
      </c>
      <c r="F387" s="368">
        <v>1875</v>
      </c>
      <c r="G387" s="368">
        <v>2778</v>
      </c>
      <c r="H387" s="368">
        <v>729</v>
      </c>
      <c r="I387" s="368">
        <v>3507</v>
      </c>
      <c r="K387" s="367">
        <v>0</v>
      </c>
      <c r="L387" s="350">
        <v>0.21</v>
      </c>
      <c r="M387" s="577">
        <v>0.03</v>
      </c>
      <c r="N387" s="351" t="str">
        <f t="shared" si="5"/>
        <v>5000018</v>
      </c>
    </row>
    <row r="388" spans="1:14" ht="23.25">
      <c r="A388" s="360"/>
      <c r="B388" s="361"/>
      <c r="C388" s="365"/>
      <c r="D388" s="366"/>
      <c r="E388" s="366"/>
      <c r="F388" s="366"/>
      <c r="G388" s="366"/>
      <c r="H388" s="366"/>
      <c r="I388" s="366"/>
      <c r="K388" s="365"/>
    </row>
    <row r="389" spans="1:14" ht="23.25">
      <c r="A389" s="360"/>
      <c r="B389" s="361"/>
      <c r="C389" s="367"/>
      <c r="D389" s="368"/>
      <c r="E389" s="368"/>
      <c r="F389" s="368"/>
      <c r="G389" s="368"/>
      <c r="H389" s="368"/>
      <c r="I389" s="368"/>
      <c r="K389" s="367"/>
    </row>
    <row r="390" spans="1:14" ht="23.25">
      <c r="A390" s="360"/>
      <c r="B390" s="361"/>
      <c r="C390" s="365"/>
      <c r="D390" s="366"/>
      <c r="E390" s="366"/>
      <c r="F390" s="366"/>
      <c r="G390" s="366"/>
      <c r="H390" s="366"/>
      <c r="I390" s="366"/>
      <c r="K390" s="365"/>
    </row>
    <row r="391" spans="1:14" ht="23.25">
      <c r="A391" s="360"/>
      <c r="B391" s="361"/>
      <c r="C391" s="388"/>
      <c r="D391" s="364"/>
      <c r="E391" s="364"/>
      <c r="F391" s="364"/>
      <c r="G391" s="364"/>
      <c r="H391" s="372"/>
      <c r="I391" s="364"/>
      <c r="K391" s="388"/>
    </row>
    <row r="392" spans="1:14" ht="23.25">
      <c r="A392" s="360"/>
      <c r="B392" s="361"/>
      <c r="C392" s="365"/>
      <c r="D392" s="366"/>
      <c r="E392" s="366"/>
      <c r="F392" s="366"/>
      <c r="G392" s="366"/>
      <c r="H392" s="366"/>
      <c r="I392" s="366"/>
      <c r="K392" s="365"/>
    </row>
    <row r="393" spans="1:14" ht="24" thickBot="1">
      <c r="A393" s="392"/>
      <c r="B393" s="393"/>
      <c r="C393" s="399"/>
      <c r="D393" s="400"/>
      <c r="E393" s="400"/>
      <c r="F393" s="400"/>
      <c r="G393" s="400"/>
      <c r="H393" s="364"/>
      <c r="I393" s="400"/>
      <c r="K393" s="399"/>
    </row>
    <row r="394" spans="1:14" ht="24" thickTop="1">
      <c r="A394" s="384"/>
      <c r="B394" s="385"/>
      <c r="C394" s="357"/>
      <c r="D394" s="358"/>
      <c r="E394" s="358"/>
      <c r="F394" s="358"/>
      <c r="G394" s="358"/>
      <c r="H394" s="358"/>
      <c r="I394" s="358"/>
      <c r="K394" s="357"/>
    </row>
    <row r="395" spans="1:14" ht="23.25">
      <c r="A395" s="386"/>
      <c r="B395" s="387"/>
      <c r="C395" s="388"/>
      <c r="D395" s="364"/>
      <c r="E395" s="364"/>
      <c r="F395" s="364"/>
      <c r="G395" s="364"/>
      <c r="H395" s="364"/>
      <c r="I395" s="364"/>
      <c r="K395" s="388"/>
    </row>
    <row r="396" spans="1:14" ht="23.25">
      <c r="A396" s="386"/>
      <c r="B396" s="387"/>
      <c r="C396" s="365"/>
      <c r="D396" s="366"/>
      <c r="E396" s="366"/>
      <c r="F396" s="366"/>
      <c r="G396" s="366"/>
      <c r="H396" s="366"/>
      <c r="I396" s="366"/>
      <c r="K396" s="365"/>
    </row>
    <row r="397" spans="1:14" ht="23.25">
      <c r="A397" s="386"/>
      <c r="B397" s="387"/>
      <c r="C397" s="367"/>
      <c r="D397" s="368"/>
      <c r="E397" s="368"/>
      <c r="F397" s="368"/>
      <c r="G397" s="368"/>
      <c r="H397" s="368"/>
      <c r="I397" s="368"/>
      <c r="K397" s="367"/>
    </row>
    <row r="398" spans="1:14" ht="23.25">
      <c r="A398" s="386"/>
      <c r="B398" s="387"/>
      <c r="C398" s="365"/>
      <c r="D398" s="366"/>
      <c r="E398" s="366"/>
      <c r="F398" s="366"/>
      <c r="G398" s="366"/>
      <c r="H398" s="366"/>
      <c r="I398" s="366"/>
      <c r="K398" s="365"/>
    </row>
    <row r="399" spans="1:14" ht="23.25">
      <c r="A399" s="386"/>
      <c r="B399" s="387"/>
      <c r="C399" s="367"/>
      <c r="D399" s="368"/>
      <c r="E399" s="368"/>
      <c r="F399" s="368"/>
      <c r="G399" s="368"/>
      <c r="H399" s="368"/>
      <c r="I399" s="368"/>
      <c r="K399" s="367"/>
    </row>
    <row r="400" spans="1:14" ht="23.25">
      <c r="A400" s="386"/>
      <c r="B400" s="387"/>
      <c r="C400" s="365"/>
      <c r="D400" s="366"/>
      <c r="E400" s="366"/>
      <c r="F400" s="366"/>
      <c r="G400" s="366"/>
      <c r="H400" s="366"/>
      <c r="I400" s="366"/>
      <c r="K400" s="365"/>
    </row>
    <row r="401" spans="1:11" ht="23.25">
      <c r="A401" s="386"/>
      <c r="B401" s="387"/>
      <c r="C401" s="367"/>
      <c r="D401" s="368"/>
      <c r="E401" s="368"/>
      <c r="F401" s="368"/>
      <c r="G401" s="368"/>
      <c r="H401" s="372"/>
      <c r="I401" s="368"/>
      <c r="K401" s="367"/>
    </row>
    <row r="402" spans="1:11" ht="23.25">
      <c r="A402" s="386"/>
      <c r="B402" s="387"/>
      <c r="C402" s="365"/>
      <c r="D402" s="366"/>
      <c r="E402" s="366"/>
      <c r="F402" s="366"/>
      <c r="G402" s="366"/>
      <c r="H402" s="366"/>
      <c r="I402" s="366"/>
      <c r="K402" s="365"/>
    </row>
    <row r="403" spans="1:11" ht="23.25">
      <c r="A403" s="386"/>
      <c r="B403" s="387"/>
      <c r="C403" s="388"/>
      <c r="D403" s="364"/>
      <c r="E403" s="364"/>
      <c r="F403" s="364"/>
      <c r="G403" s="364"/>
      <c r="H403" s="364"/>
      <c r="I403" s="364"/>
      <c r="K403" s="388"/>
    </row>
    <row r="404" spans="1:11" ht="24" thickBot="1">
      <c r="A404" s="389"/>
      <c r="B404" s="390"/>
      <c r="C404" s="381"/>
      <c r="D404" s="398"/>
      <c r="E404" s="398"/>
      <c r="F404" s="398"/>
      <c r="G404" s="398"/>
      <c r="H404" s="366"/>
      <c r="I404" s="398"/>
      <c r="K404" s="381"/>
    </row>
    <row r="405" spans="1:11" ht="24" thickTop="1">
      <c r="A405" s="355"/>
      <c r="B405" s="356"/>
      <c r="C405" s="396"/>
      <c r="D405" s="397"/>
      <c r="E405" s="397"/>
      <c r="F405" s="397"/>
      <c r="G405" s="397"/>
      <c r="H405" s="397"/>
      <c r="I405" s="397"/>
      <c r="K405" s="396"/>
    </row>
    <row r="406" spans="1:11" ht="23.25">
      <c r="A406" s="360"/>
      <c r="B406" s="361"/>
      <c r="C406" s="365"/>
      <c r="D406" s="366"/>
      <c r="E406" s="366"/>
      <c r="F406" s="366"/>
      <c r="G406" s="366"/>
      <c r="H406" s="366"/>
      <c r="I406" s="366"/>
      <c r="K406" s="365"/>
    </row>
    <row r="407" spans="1:11" ht="23.25">
      <c r="A407" s="360"/>
      <c r="B407" s="361"/>
      <c r="C407" s="367"/>
      <c r="D407" s="368"/>
      <c r="E407" s="368"/>
      <c r="F407" s="368"/>
      <c r="G407" s="368"/>
      <c r="H407" s="364"/>
      <c r="I407" s="368"/>
      <c r="K407" s="367"/>
    </row>
    <row r="408" spans="1:11" ht="23.25">
      <c r="A408" s="360"/>
      <c r="B408" s="361"/>
      <c r="C408" s="365"/>
      <c r="D408" s="366"/>
      <c r="E408" s="366"/>
      <c r="F408" s="366"/>
      <c r="G408" s="366"/>
      <c r="H408" s="366"/>
      <c r="I408" s="366"/>
      <c r="K408" s="365"/>
    </row>
    <row r="409" spans="1:11" ht="23.25">
      <c r="A409" s="360"/>
      <c r="B409" s="361"/>
      <c r="C409" s="367"/>
      <c r="D409" s="368"/>
      <c r="E409" s="368"/>
      <c r="F409" s="368"/>
      <c r="G409" s="368"/>
      <c r="H409" s="368"/>
      <c r="I409" s="368"/>
      <c r="K409" s="367"/>
    </row>
    <row r="410" spans="1:11" ht="23.25">
      <c r="A410" s="360"/>
      <c r="B410" s="361"/>
      <c r="C410" s="365"/>
      <c r="D410" s="366"/>
      <c r="E410" s="366"/>
      <c r="F410" s="366"/>
      <c r="G410" s="366"/>
      <c r="H410" s="366"/>
      <c r="I410" s="366"/>
      <c r="K410" s="365"/>
    </row>
    <row r="411" spans="1:11" ht="23.25">
      <c r="A411" s="360"/>
      <c r="B411" s="361"/>
      <c r="C411" s="367"/>
      <c r="D411" s="368"/>
      <c r="E411" s="368"/>
      <c r="F411" s="368"/>
      <c r="G411" s="368"/>
      <c r="H411" s="368"/>
      <c r="I411" s="368"/>
      <c r="K411" s="367"/>
    </row>
    <row r="412" spans="1:11" ht="23.25">
      <c r="A412" s="360"/>
      <c r="B412" s="361"/>
      <c r="C412" s="365"/>
      <c r="D412" s="366"/>
      <c r="E412" s="366"/>
      <c r="F412" s="366"/>
      <c r="G412" s="366"/>
      <c r="H412" s="366"/>
      <c r="I412" s="366"/>
      <c r="K412" s="365"/>
    </row>
    <row r="413" spans="1:11" ht="23.25">
      <c r="A413" s="360"/>
      <c r="B413" s="361"/>
      <c r="C413" s="388"/>
      <c r="D413" s="364"/>
      <c r="E413" s="364"/>
      <c r="F413" s="364"/>
      <c r="G413" s="364"/>
      <c r="H413" s="372"/>
      <c r="I413" s="364"/>
      <c r="K413" s="388"/>
    </row>
    <row r="414" spans="1:11" ht="23.25">
      <c r="A414" s="360"/>
      <c r="B414" s="361"/>
      <c r="C414" s="365"/>
      <c r="D414" s="366"/>
      <c r="E414" s="366"/>
      <c r="F414" s="366"/>
      <c r="G414" s="366"/>
      <c r="H414" s="366"/>
      <c r="I414" s="366"/>
      <c r="K414" s="365"/>
    </row>
    <row r="415" spans="1:11" ht="24" thickBot="1">
      <c r="A415" s="392"/>
      <c r="B415" s="393"/>
      <c r="C415" s="399"/>
      <c r="D415" s="400"/>
      <c r="E415" s="400"/>
      <c r="F415" s="400"/>
      <c r="G415" s="400"/>
      <c r="H415" s="364"/>
      <c r="I415" s="400"/>
      <c r="K415" s="399"/>
    </row>
    <row r="416" spans="1:11" ht="24" thickTop="1">
      <c r="A416" s="384"/>
      <c r="B416" s="385"/>
      <c r="C416" s="357"/>
      <c r="D416" s="358"/>
      <c r="E416" s="358"/>
      <c r="F416" s="358"/>
      <c r="G416" s="358"/>
      <c r="H416" s="358"/>
      <c r="I416" s="358"/>
      <c r="K416" s="357"/>
    </row>
    <row r="417" spans="1:11" ht="23.25">
      <c r="A417" s="386"/>
      <c r="B417" s="387"/>
      <c r="C417" s="388"/>
      <c r="D417" s="364"/>
      <c r="E417" s="364"/>
      <c r="F417" s="364"/>
      <c r="G417" s="364"/>
      <c r="H417" s="364"/>
      <c r="I417" s="364"/>
      <c r="K417" s="388"/>
    </row>
    <row r="418" spans="1:11" ht="23.25">
      <c r="A418" s="386"/>
      <c r="B418" s="387"/>
      <c r="C418" s="365"/>
      <c r="D418" s="366"/>
      <c r="E418" s="366"/>
      <c r="F418" s="366"/>
      <c r="G418" s="366"/>
      <c r="H418" s="366"/>
      <c r="I418" s="366"/>
      <c r="K418" s="365"/>
    </row>
    <row r="419" spans="1:11" ht="23.25">
      <c r="A419" s="386"/>
      <c r="B419" s="387"/>
      <c r="C419" s="367"/>
      <c r="D419" s="368"/>
      <c r="E419" s="368"/>
      <c r="F419" s="368"/>
      <c r="G419" s="368"/>
      <c r="H419" s="368"/>
      <c r="I419" s="368"/>
      <c r="K419" s="367"/>
    </row>
    <row r="420" spans="1:11" ht="23.25">
      <c r="A420" s="386"/>
      <c r="B420" s="387"/>
      <c r="C420" s="365"/>
      <c r="D420" s="366"/>
      <c r="E420" s="366"/>
      <c r="F420" s="366"/>
      <c r="G420" s="366"/>
      <c r="H420" s="366"/>
      <c r="I420" s="366"/>
      <c r="K420" s="365"/>
    </row>
    <row r="421" spans="1:11" ht="23.25">
      <c r="A421" s="386"/>
      <c r="B421" s="387"/>
      <c r="C421" s="367"/>
      <c r="D421" s="368"/>
      <c r="E421" s="368"/>
      <c r="F421" s="368"/>
      <c r="G421" s="368"/>
      <c r="H421" s="368"/>
      <c r="I421" s="368"/>
      <c r="K421" s="367"/>
    </row>
    <row r="422" spans="1:11" ht="23.25">
      <c r="A422" s="386"/>
      <c r="B422" s="387"/>
      <c r="C422" s="365"/>
      <c r="D422" s="366"/>
      <c r="E422" s="366"/>
      <c r="F422" s="366"/>
      <c r="G422" s="366"/>
      <c r="H422" s="366"/>
      <c r="I422" s="366"/>
      <c r="K422" s="365"/>
    </row>
    <row r="423" spans="1:11" ht="23.25">
      <c r="A423" s="386"/>
      <c r="B423" s="387"/>
      <c r="C423" s="367"/>
      <c r="D423" s="368"/>
      <c r="E423" s="368"/>
      <c r="F423" s="368"/>
      <c r="G423" s="368"/>
      <c r="H423" s="372"/>
      <c r="I423" s="368"/>
      <c r="K423" s="367"/>
    </row>
    <row r="424" spans="1:11" ht="23.25">
      <c r="A424" s="386"/>
      <c r="B424" s="387"/>
      <c r="C424" s="365"/>
      <c r="D424" s="366"/>
      <c r="E424" s="366"/>
      <c r="F424" s="366"/>
      <c r="G424" s="366"/>
      <c r="H424" s="366"/>
      <c r="I424" s="366"/>
      <c r="K424" s="365"/>
    </row>
    <row r="425" spans="1:11" ht="23.25">
      <c r="A425" s="386"/>
      <c r="B425" s="387"/>
      <c r="C425" s="388"/>
      <c r="D425" s="364"/>
      <c r="E425" s="364"/>
      <c r="F425" s="364"/>
      <c r="G425" s="364"/>
      <c r="H425" s="364"/>
      <c r="I425" s="364"/>
      <c r="K425" s="388"/>
    </row>
    <row r="426" spans="1:11" ht="24" thickBot="1">
      <c r="A426" s="389"/>
      <c r="B426" s="390"/>
      <c r="C426" s="381"/>
      <c r="D426" s="398"/>
      <c r="E426" s="398"/>
      <c r="F426" s="398"/>
      <c r="G426" s="398"/>
      <c r="H426" s="366"/>
      <c r="I426" s="398"/>
      <c r="K426" s="381"/>
    </row>
    <row r="427" spans="1:11" ht="24" thickTop="1">
      <c r="A427" s="355"/>
      <c r="B427" s="356"/>
      <c r="C427" s="396"/>
      <c r="D427" s="397"/>
      <c r="E427" s="397"/>
      <c r="F427" s="397"/>
      <c r="G427" s="397"/>
      <c r="H427" s="397"/>
      <c r="I427" s="397"/>
      <c r="K427" s="396"/>
    </row>
    <row r="428" spans="1:11" ht="23.25">
      <c r="A428" s="360"/>
      <c r="B428" s="361"/>
      <c r="C428" s="365"/>
      <c r="D428" s="366"/>
      <c r="E428" s="366"/>
      <c r="F428" s="366"/>
      <c r="G428" s="366"/>
      <c r="H428" s="366"/>
      <c r="I428" s="366"/>
      <c r="K428" s="365"/>
    </row>
    <row r="429" spans="1:11" ht="23.25">
      <c r="A429" s="360"/>
      <c r="B429" s="361"/>
      <c r="C429" s="367"/>
      <c r="D429" s="368"/>
      <c r="E429" s="368"/>
      <c r="F429" s="368"/>
      <c r="G429" s="368"/>
      <c r="H429" s="364"/>
      <c r="I429" s="368"/>
      <c r="K429" s="367"/>
    </row>
    <row r="430" spans="1:11" ht="23.25">
      <c r="A430" s="360"/>
      <c r="B430" s="361"/>
      <c r="C430" s="365"/>
      <c r="D430" s="366"/>
      <c r="E430" s="366"/>
      <c r="F430" s="366"/>
      <c r="G430" s="366"/>
      <c r="H430" s="366"/>
      <c r="I430" s="366"/>
      <c r="K430" s="365"/>
    </row>
    <row r="431" spans="1:11" ht="23.25">
      <c r="A431" s="360"/>
      <c r="B431" s="361"/>
      <c r="C431" s="367"/>
      <c r="D431" s="368"/>
      <c r="E431" s="368"/>
      <c r="F431" s="368"/>
      <c r="G431" s="368"/>
      <c r="H431" s="368"/>
      <c r="I431" s="368"/>
      <c r="K431" s="367"/>
    </row>
    <row r="432" spans="1:11" ht="23.25">
      <c r="A432" s="360"/>
      <c r="B432" s="361"/>
      <c r="C432" s="365"/>
      <c r="D432" s="366"/>
      <c r="E432" s="366"/>
      <c r="F432" s="366"/>
      <c r="G432" s="366"/>
      <c r="H432" s="366"/>
      <c r="I432" s="366"/>
      <c r="K432" s="365"/>
    </row>
    <row r="433" spans="1:11" ht="23.25">
      <c r="A433" s="360"/>
      <c r="B433" s="361"/>
      <c r="C433" s="367"/>
      <c r="D433" s="368"/>
      <c r="E433" s="368"/>
      <c r="F433" s="368"/>
      <c r="G433" s="368"/>
      <c r="H433" s="368"/>
      <c r="I433" s="368"/>
      <c r="K433" s="367"/>
    </row>
    <row r="434" spans="1:11" ht="23.25">
      <c r="A434" s="360"/>
      <c r="B434" s="361"/>
      <c r="C434" s="365"/>
      <c r="D434" s="366"/>
      <c r="E434" s="366"/>
      <c r="F434" s="366"/>
      <c r="G434" s="366"/>
      <c r="H434" s="366"/>
      <c r="I434" s="366"/>
      <c r="K434" s="365"/>
    </row>
    <row r="435" spans="1:11" ht="23.25">
      <c r="A435" s="360"/>
      <c r="B435" s="361"/>
      <c r="C435" s="388"/>
      <c r="D435" s="364"/>
      <c r="E435" s="364"/>
      <c r="F435" s="364"/>
      <c r="G435" s="364"/>
      <c r="H435" s="372"/>
      <c r="I435" s="364"/>
      <c r="K435" s="388"/>
    </row>
    <row r="436" spans="1:11" ht="23.25">
      <c r="A436" s="360"/>
      <c r="B436" s="361"/>
      <c r="C436" s="365"/>
      <c r="D436" s="366"/>
      <c r="E436" s="366"/>
      <c r="F436" s="366"/>
      <c r="G436" s="366"/>
      <c r="H436" s="366"/>
      <c r="I436" s="366"/>
      <c r="K436" s="365"/>
    </row>
    <row r="437" spans="1:11" ht="24" thickBot="1">
      <c r="A437" s="392"/>
      <c r="B437" s="393"/>
      <c r="C437" s="399"/>
      <c r="D437" s="400"/>
      <c r="E437" s="400"/>
      <c r="F437" s="400"/>
      <c r="G437" s="400"/>
      <c r="H437" s="400"/>
      <c r="I437" s="400"/>
      <c r="K437" s="399"/>
    </row>
    <row r="438" spans="1:11" ht="24" thickTop="1">
      <c r="A438" s="384"/>
      <c r="B438" s="385"/>
      <c r="C438" s="357"/>
      <c r="D438" s="358"/>
      <c r="E438" s="358"/>
      <c r="F438" s="358"/>
      <c r="G438" s="358"/>
      <c r="H438" s="358"/>
      <c r="I438" s="358"/>
      <c r="K438" s="357"/>
    </row>
    <row r="439" spans="1:11" ht="23.25">
      <c r="A439" s="386"/>
      <c r="B439" s="387"/>
      <c r="C439" s="388"/>
      <c r="D439" s="364"/>
      <c r="E439" s="364"/>
      <c r="F439" s="364"/>
      <c r="G439" s="364"/>
      <c r="H439" s="364"/>
      <c r="I439" s="364"/>
      <c r="K439" s="388"/>
    </row>
    <row r="440" spans="1:11" ht="23.25">
      <c r="A440" s="386"/>
      <c r="B440" s="387"/>
      <c r="C440" s="365"/>
      <c r="D440" s="366"/>
      <c r="E440" s="366"/>
      <c r="F440" s="366"/>
      <c r="G440" s="366"/>
      <c r="H440" s="366"/>
      <c r="I440" s="366"/>
      <c r="K440" s="365"/>
    </row>
    <row r="441" spans="1:11" ht="23.25">
      <c r="A441" s="386"/>
      <c r="B441" s="387"/>
      <c r="C441" s="367"/>
      <c r="D441" s="368"/>
      <c r="E441" s="368"/>
      <c r="F441" s="368"/>
      <c r="G441" s="368"/>
      <c r="H441" s="368"/>
      <c r="I441" s="368"/>
      <c r="K441" s="367"/>
    </row>
    <row r="442" spans="1:11" ht="23.25">
      <c r="A442" s="386"/>
      <c r="B442" s="387"/>
      <c r="C442" s="365"/>
      <c r="D442" s="366"/>
      <c r="E442" s="366"/>
      <c r="F442" s="366"/>
      <c r="G442" s="366"/>
      <c r="H442" s="366"/>
      <c r="I442" s="366"/>
      <c r="K442" s="365"/>
    </row>
    <row r="443" spans="1:11" ht="23.25">
      <c r="A443" s="386"/>
      <c r="B443" s="387"/>
      <c r="C443" s="367"/>
      <c r="D443" s="368"/>
      <c r="E443" s="368"/>
      <c r="F443" s="368"/>
      <c r="G443" s="368"/>
      <c r="H443" s="368"/>
      <c r="I443" s="368"/>
      <c r="K443" s="367"/>
    </row>
    <row r="444" spans="1:11" ht="23.25">
      <c r="A444" s="386"/>
      <c r="B444" s="387"/>
      <c r="C444" s="365"/>
      <c r="D444" s="366"/>
      <c r="E444" s="366"/>
      <c r="F444" s="366"/>
      <c r="G444" s="366"/>
      <c r="H444" s="366"/>
      <c r="I444" s="366"/>
      <c r="K444" s="365"/>
    </row>
    <row r="445" spans="1:11" ht="23.25">
      <c r="A445" s="386"/>
      <c r="B445" s="387"/>
      <c r="C445" s="367"/>
      <c r="D445" s="368"/>
      <c r="E445" s="368"/>
      <c r="F445" s="368"/>
      <c r="G445" s="368"/>
      <c r="H445" s="372"/>
      <c r="I445" s="368"/>
      <c r="K445" s="367"/>
    </row>
    <row r="446" spans="1:11" ht="23.25">
      <c r="A446" s="386"/>
      <c r="B446" s="387"/>
      <c r="C446" s="365"/>
      <c r="D446" s="366"/>
      <c r="E446" s="366"/>
      <c r="F446" s="366"/>
      <c r="G446" s="366"/>
      <c r="H446" s="366"/>
      <c r="I446" s="366"/>
      <c r="K446" s="365"/>
    </row>
    <row r="447" spans="1:11" ht="23.25">
      <c r="A447" s="386"/>
      <c r="B447" s="387"/>
      <c r="C447" s="388"/>
      <c r="D447" s="364"/>
      <c r="E447" s="364"/>
      <c r="F447" s="364"/>
      <c r="G447" s="364"/>
      <c r="H447" s="364"/>
      <c r="I447" s="364"/>
      <c r="K447" s="388"/>
    </row>
    <row r="448" spans="1:11" ht="24" thickBot="1">
      <c r="A448" s="389"/>
      <c r="B448" s="390"/>
      <c r="C448" s="381"/>
      <c r="D448" s="398"/>
      <c r="E448" s="398"/>
      <c r="F448" s="398"/>
      <c r="G448" s="398"/>
      <c r="H448" s="366"/>
      <c r="I448" s="398"/>
      <c r="K448" s="381"/>
    </row>
    <row r="449" spans="1:11" ht="24" thickTop="1">
      <c r="A449" s="355"/>
      <c r="B449" s="356"/>
      <c r="C449" s="396"/>
      <c r="D449" s="397"/>
      <c r="E449" s="397"/>
      <c r="F449" s="397"/>
      <c r="G449" s="397"/>
      <c r="H449" s="397"/>
      <c r="I449" s="397"/>
      <c r="K449" s="396"/>
    </row>
    <row r="450" spans="1:11" ht="23.25">
      <c r="A450" s="360"/>
      <c r="B450" s="361"/>
      <c r="C450" s="365"/>
      <c r="D450" s="366"/>
      <c r="E450" s="366"/>
      <c r="F450" s="366"/>
      <c r="G450" s="366"/>
      <c r="H450" s="366"/>
      <c r="I450" s="366"/>
      <c r="K450" s="365"/>
    </row>
    <row r="451" spans="1:11" ht="23.25">
      <c r="A451" s="360"/>
      <c r="B451" s="361"/>
      <c r="C451" s="367"/>
      <c r="D451" s="368"/>
      <c r="E451" s="368"/>
      <c r="F451" s="368"/>
      <c r="G451" s="368"/>
      <c r="H451" s="364"/>
      <c r="I451" s="368"/>
      <c r="K451" s="367"/>
    </row>
    <row r="452" spans="1:11" ht="23.25">
      <c r="A452" s="360"/>
      <c r="B452" s="361"/>
      <c r="C452" s="365"/>
      <c r="D452" s="366"/>
      <c r="E452" s="366"/>
      <c r="F452" s="366"/>
      <c r="G452" s="366"/>
      <c r="H452" s="366"/>
      <c r="I452" s="366"/>
      <c r="K452" s="365"/>
    </row>
    <row r="453" spans="1:11" ht="23.25">
      <c r="A453" s="360"/>
      <c r="B453" s="361"/>
      <c r="C453" s="367"/>
      <c r="D453" s="368"/>
      <c r="E453" s="368"/>
      <c r="F453" s="368"/>
      <c r="G453" s="368"/>
      <c r="H453" s="368"/>
      <c r="I453" s="368"/>
      <c r="K453" s="367"/>
    </row>
    <row r="454" spans="1:11" ht="23.25">
      <c r="A454" s="360"/>
      <c r="B454" s="361"/>
      <c r="C454" s="365"/>
      <c r="D454" s="366"/>
      <c r="E454" s="366"/>
      <c r="F454" s="366"/>
      <c r="G454" s="366"/>
      <c r="H454" s="366"/>
      <c r="I454" s="366"/>
      <c r="K454" s="365"/>
    </row>
    <row r="455" spans="1:11" ht="23.25">
      <c r="A455" s="360"/>
      <c r="B455" s="361"/>
      <c r="C455" s="367"/>
      <c r="D455" s="368"/>
      <c r="E455" s="368"/>
      <c r="F455" s="368"/>
      <c r="G455" s="368"/>
      <c r="H455" s="368"/>
      <c r="I455" s="368"/>
      <c r="K455" s="367"/>
    </row>
    <row r="456" spans="1:11" ht="23.25">
      <c r="A456" s="360"/>
      <c r="B456" s="361"/>
      <c r="C456" s="365"/>
      <c r="D456" s="366"/>
      <c r="E456" s="366"/>
      <c r="F456" s="366"/>
      <c r="G456" s="366"/>
      <c r="H456" s="366"/>
      <c r="I456" s="366"/>
      <c r="K456" s="365"/>
    </row>
    <row r="457" spans="1:11" ht="23.25">
      <c r="A457" s="360"/>
      <c r="B457" s="361"/>
      <c r="C457" s="388"/>
      <c r="D457" s="364"/>
      <c r="E457" s="364"/>
      <c r="F457" s="364"/>
      <c r="G457" s="364"/>
      <c r="H457" s="372"/>
      <c r="I457" s="364"/>
      <c r="K457" s="388"/>
    </row>
    <row r="458" spans="1:11" ht="23.25">
      <c r="A458" s="360"/>
      <c r="B458" s="361"/>
      <c r="C458" s="365"/>
      <c r="D458" s="366"/>
      <c r="E458" s="366"/>
      <c r="F458" s="366"/>
      <c r="G458" s="366"/>
      <c r="H458" s="366"/>
      <c r="I458" s="366"/>
      <c r="K458" s="365"/>
    </row>
    <row r="459" spans="1:11" ht="24" thickBot="1">
      <c r="A459" s="392"/>
      <c r="B459" s="393"/>
      <c r="C459" s="399"/>
      <c r="D459" s="400"/>
      <c r="E459" s="400"/>
      <c r="F459" s="400"/>
      <c r="G459" s="400"/>
      <c r="H459" s="364"/>
      <c r="I459" s="400"/>
      <c r="K459" s="399"/>
    </row>
    <row r="460" spans="1:11" ht="24" thickTop="1">
      <c r="A460" s="384"/>
      <c r="B460" s="385"/>
      <c r="C460" s="357"/>
      <c r="D460" s="358"/>
      <c r="E460" s="358"/>
      <c r="F460" s="358"/>
      <c r="G460" s="358"/>
      <c r="H460" s="358"/>
      <c r="I460" s="358"/>
      <c r="K460" s="357"/>
    </row>
    <row r="461" spans="1:11" ht="23.25">
      <c r="A461" s="386"/>
      <c r="B461" s="387"/>
      <c r="C461" s="388"/>
      <c r="D461" s="364"/>
      <c r="E461" s="364"/>
      <c r="F461" s="364"/>
      <c r="G461" s="364"/>
      <c r="H461" s="364"/>
      <c r="I461" s="364"/>
      <c r="K461" s="388"/>
    </row>
    <row r="462" spans="1:11" ht="23.25">
      <c r="A462" s="386"/>
      <c r="B462" s="387"/>
      <c r="C462" s="365"/>
      <c r="D462" s="366"/>
      <c r="E462" s="366"/>
      <c r="F462" s="366"/>
      <c r="G462" s="366"/>
      <c r="H462" s="366"/>
      <c r="I462" s="366"/>
      <c r="K462" s="365"/>
    </row>
    <row r="463" spans="1:11" ht="23.25">
      <c r="A463" s="386"/>
      <c r="B463" s="387"/>
      <c r="C463" s="367"/>
      <c r="D463" s="368"/>
      <c r="E463" s="368"/>
      <c r="F463" s="368"/>
      <c r="G463" s="368"/>
      <c r="H463" s="368"/>
      <c r="I463" s="368"/>
      <c r="K463" s="367"/>
    </row>
    <row r="464" spans="1:11" ht="23.25">
      <c r="A464" s="386"/>
      <c r="B464" s="387"/>
      <c r="C464" s="365"/>
      <c r="D464" s="366"/>
      <c r="E464" s="366"/>
      <c r="F464" s="366"/>
      <c r="G464" s="366"/>
      <c r="H464" s="366"/>
      <c r="I464" s="366"/>
      <c r="K464" s="365"/>
    </row>
    <row r="465" spans="1:11" ht="23.25">
      <c r="A465" s="386"/>
      <c r="B465" s="387"/>
      <c r="C465" s="367"/>
      <c r="D465" s="368"/>
      <c r="E465" s="368"/>
      <c r="F465" s="368"/>
      <c r="G465" s="368"/>
      <c r="H465" s="368"/>
      <c r="I465" s="368"/>
      <c r="K465" s="367"/>
    </row>
    <row r="466" spans="1:11" ht="23.25">
      <c r="A466" s="386"/>
      <c r="B466" s="387"/>
      <c r="C466" s="365"/>
      <c r="D466" s="366"/>
      <c r="E466" s="366"/>
      <c r="F466" s="366"/>
      <c r="G466" s="366"/>
      <c r="H466" s="366"/>
      <c r="I466" s="366"/>
      <c r="K466" s="365"/>
    </row>
    <row r="467" spans="1:11" ht="23.25">
      <c r="A467" s="386"/>
      <c r="B467" s="387"/>
      <c r="C467" s="367"/>
      <c r="D467" s="368"/>
      <c r="E467" s="368"/>
      <c r="F467" s="368"/>
      <c r="G467" s="368"/>
      <c r="H467" s="372"/>
      <c r="I467" s="368"/>
      <c r="K467" s="367"/>
    </row>
    <row r="468" spans="1:11" ht="23.25">
      <c r="A468" s="386"/>
      <c r="B468" s="387"/>
      <c r="C468" s="365"/>
      <c r="D468" s="366"/>
      <c r="E468" s="366"/>
      <c r="F468" s="366"/>
      <c r="G468" s="366"/>
      <c r="H468" s="366"/>
      <c r="I468" s="366"/>
      <c r="K468" s="365"/>
    </row>
    <row r="469" spans="1:11" ht="23.25">
      <c r="A469" s="386"/>
      <c r="B469" s="387"/>
      <c r="C469" s="388"/>
      <c r="D469" s="364"/>
      <c r="E469" s="364"/>
      <c r="F469" s="364"/>
      <c r="G469" s="364"/>
      <c r="H469" s="364"/>
      <c r="I469" s="364"/>
      <c r="K469" s="388"/>
    </row>
    <row r="470" spans="1:11" ht="24" thickBot="1">
      <c r="A470" s="389"/>
      <c r="B470" s="390"/>
      <c r="C470" s="381"/>
      <c r="D470" s="398"/>
      <c r="E470" s="398"/>
      <c r="F470" s="398"/>
      <c r="G470" s="398"/>
      <c r="H470" s="366"/>
      <c r="I470" s="398"/>
      <c r="K470" s="381"/>
    </row>
    <row r="471" spans="1:11" ht="24" thickTop="1">
      <c r="A471" s="355"/>
      <c r="B471" s="356"/>
      <c r="C471" s="396"/>
      <c r="D471" s="397"/>
      <c r="E471" s="397"/>
      <c r="F471" s="397"/>
      <c r="G471" s="397"/>
      <c r="H471" s="397"/>
      <c r="I471" s="397"/>
      <c r="K471" s="396"/>
    </row>
    <row r="472" spans="1:11" ht="23.25">
      <c r="A472" s="360"/>
      <c r="B472" s="361"/>
      <c r="C472" s="365"/>
      <c r="D472" s="366"/>
      <c r="E472" s="366"/>
      <c r="F472" s="366"/>
      <c r="G472" s="366"/>
      <c r="H472" s="366"/>
      <c r="I472" s="366"/>
      <c r="K472" s="365"/>
    </row>
    <row r="473" spans="1:11" ht="23.25">
      <c r="A473" s="360"/>
      <c r="B473" s="361"/>
      <c r="C473" s="367"/>
      <c r="D473" s="368"/>
      <c r="E473" s="368"/>
      <c r="F473" s="368"/>
      <c r="G473" s="368"/>
      <c r="H473" s="364"/>
      <c r="I473" s="368"/>
      <c r="K473" s="367"/>
    </row>
    <row r="474" spans="1:11" ht="23.25">
      <c r="A474" s="360"/>
      <c r="B474" s="361"/>
      <c r="C474" s="365"/>
      <c r="D474" s="366"/>
      <c r="E474" s="366"/>
      <c r="F474" s="366"/>
      <c r="G474" s="366"/>
      <c r="H474" s="366"/>
      <c r="I474" s="366"/>
      <c r="K474" s="365"/>
    </row>
    <row r="475" spans="1:11" ht="23.25">
      <c r="A475" s="360"/>
      <c r="B475" s="361"/>
      <c r="C475" s="367"/>
      <c r="D475" s="368"/>
      <c r="E475" s="368"/>
      <c r="F475" s="368"/>
      <c r="G475" s="368"/>
      <c r="H475" s="368"/>
      <c r="I475" s="368"/>
      <c r="K475" s="367"/>
    </row>
    <row r="476" spans="1:11" ht="23.25">
      <c r="A476" s="360"/>
      <c r="B476" s="361"/>
      <c r="C476" s="365"/>
      <c r="D476" s="366"/>
      <c r="E476" s="366"/>
      <c r="F476" s="366"/>
      <c r="G476" s="366"/>
      <c r="H476" s="366"/>
      <c r="I476" s="366"/>
      <c r="K476" s="365"/>
    </row>
    <row r="477" spans="1:11" ht="23.25">
      <c r="A477" s="360"/>
      <c r="B477" s="361"/>
      <c r="C477" s="367"/>
      <c r="D477" s="368"/>
      <c r="E477" s="368"/>
      <c r="F477" s="368"/>
      <c r="G477" s="368"/>
      <c r="H477" s="368"/>
      <c r="I477" s="368"/>
      <c r="K477" s="367"/>
    </row>
    <row r="478" spans="1:11" ht="23.25">
      <c r="A478" s="360"/>
      <c r="B478" s="361"/>
      <c r="C478" s="365"/>
      <c r="D478" s="366"/>
      <c r="E478" s="366"/>
      <c r="F478" s="366"/>
      <c r="G478" s="366"/>
      <c r="H478" s="366"/>
      <c r="I478" s="366"/>
      <c r="K478" s="365"/>
    </row>
    <row r="479" spans="1:11" ht="23.25">
      <c r="A479" s="360"/>
      <c r="B479" s="361"/>
      <c r="C479" s="388"/>
      <c r="D479" s="364"/>
      <c r="E479" s="364"/>
      <c r="F479" s="364"/>
      <c r="G479" s="364"/>
      <c r="H479" s="372"/>
      <c r="I479" s="364"/>
      <c r="K479" s="388"/>
    </row>
    <row r="480" spans="1:11" ht="23.25">
      <c r="A480" s="360"/>
      <c r="B480" s="361"/>
      <c r="C480" s="365"/>
      <c r="D480" s="366"/>
      <c r="E480" s="366"/>
      <c r="F480" s="366"/>
      <c r="G480" s="366"/>
      <c r="H480" s="366"/>
      <c r="I480" s="366"/>
      <c r="K480" s="365"/>
    </row>
    <row r="481" spans="1:11" ht="24" thickBot="1">
      <c r="A481" s="392"/>
      <c r="B481" s="393"/>
      <c r="C481" s="399"/>
      <c r="D481" s="400"/>
      <c r="E481" s="400"/>
      <c r="F481" s="400"/>
      <c r="G481" s="400"/>
      <c r="H481" s="364"/>
      <c r="I481" s="400"/>
      <c r="K481" s="399"/>
    </row>
    <row r="482" spans="1:11" ht="24" thickTop="1">
      <c r="A482" s="384"/>
      <c r="B482" s="385"/>
      <c r="C482" s="357"/>
      <c r="D482" s="358"/>
      <c r="E482" s="358"/>
      <c r="F482" s="358"/>
      <c r="G482" s="358"/>
      <c r="H482" s="358"/>
      <c r="I482" s="358"/>
      <c r="K482" s="357"/>
    </row>
    <row r="483" spans="1:11" ht="23.25">
      <c r="A483" s="386"/>
      <c r="B483" s="387"/>
      <c r="C483" s="388"/>
      <c r="D483" s="364"/>
      <c r="E483" s="364"/>
      <c r="F483" s="364"/>
      <c r="G483" s="364"/>
      <c r="H483" s="364"/>
      <c r="I483" s="364"/>
      <c r="K483" s="388"/>
    </row>
    <row r="484" spans="1:11" ht="23.25">
      <c r="A484" s="386"/>
      <c r="B484" s="387"/>
      <c r="C484" s="365"/>
      <c r="D484" s="366"/>
      <c r="E484" s="366"/>
      <c r="F484" s="366"/>
      <c r="G484" s="366"/>
      <c r="H484" s="366"/>
      <c r="I484" s="366"/>
      <c r="K484" s="365"/>
    </row>
    <row r="485" spans="1:11" ht="23.25">
      <c r="A485" s="386"/>
      <c r="B485" s="387"/>
      <c r="C485" s="367"/>
      <c r="D485" s="368"/>
      <c r="E485" s="368"/>
      <c r="F485" s="368"/>
      <c r="G485" s="368"/>
      <c r="H485" s="368"/>
      <c r="I485" s="368"/>
      <c r="K485" s="367"/>
    </row>
    <row r="486" spans="1:11" ht="23.25">
      <c r="A486" s="386"/>
      <c r="B486" s="387"/>
      <c r="C486" s="365"/>
      <c r="D486" s="366"/>
      <c r="E486" s="366"/>
      <c r="F486" s="366"/>
      <c r="G486" s="366"/>
      <c r="H486" s="366"/>
      <c r="I486" s="366"/>
      <c r="K486" s="365"/>
    </row>
    <row r="487" spans="1:11" ht="23.25">
      <c r="A487" s="386"/>
      <c r="B487" s="387"/>
      <c r="C487" s="367"/>
      <c r="D487" s="368"/>
      <c r="E487" s="368"/>
      <c r="F487" s="368"/>
      <c r="G487" s="368"/>
      <c r="H487" s="368"/>
      <c r="I487" s="368"/>
      <c r="K487" s="367"/>
    </row>
    <row r="488" spans="1:11" ht="23.25">
      <c r="A488" s="386"/>
      <c r="B488" s="387"/>
      <c r="C488" s="365"/>
      <c r="D488" s="366"/>
      <c r="E488" s="366"/>
      <c r="F488" s="366"/>
      <c r="G488" s="366"/>
      <c r="H488" s="366"/>
      <c r="I488" s="366"/>
      <c r="K488" s="365"/>
    </row>
    <row r="489" spans="1:11" ht="23.25">
      <c r="A489" s="386"/>
      <c r="B489" s="387"/>
      <c r="C489" s="367"/>
      <c r="D489" s="368"/>
      <c r="E489" s="368"/>
      <c r="F489" s="368"/>
      <c r="G489" s="368"/>
      <c r="H489" s="372"/>
      <c r="I489" s="368"/>
      <c r="K489" s="367"/>
    </row>
    <row r="490" spans="1:11" ht="23.25">
      <c r="A490" s="386"/>
      <c r="B490" s="387"/>
      <c r="C490" s="365"/>
      <c r="D490" s="366"/>
      <c r="E490" s="366"/>
      <c r="F490" s="366"/>
      <c r="G490" s="366"/>
      <c r="H490" s="366"/>
      <c r="I490" s="366"/>
      <c r="K490" s="365"/>
    </row>
    <row r="491" spans="1:11" ht="23.25">
      <c r="A491" s="386"/>
      <c r="B491" s="387"/>
      <c r="C491" s="388"/>
      <c r="D491" s="364"/>
      <c r="E491" s="364"/>
      <c r="F491" s="364"/>
      <c r="G491" s="364"/>
      <c r="H491" s="364"/>
      <c r="I491" s="364"/>
      <c r="K491" s="388"/>
    </row>
    <row r="492" spans="1:11" ht="24" thickBot="1">
      <c r="A492" s="389"/>
      <c r="B492" s="390"/>
      <c r="C492" s="381"/>
      <c r="D492" s="398"/>
      <c r="E492" s="398"/>
      <c r="F492" s="398"/>
      <c r="G492" s="398"/>
      <c r="H492" s="366"/>
      <c r="I492" s="398"/>
      <c r="K492" s="381"/>
    </row>
    <row r="493" spans="1:11" ht="24" thickTop="1">
      <c r="A493" s="355"/>
      <c r="B493" s="356"/>
      <c r="C493" s="396"/>
      <c r="D493" s="397"/>
      <c r="E493" s="397"/>
      <c r="F493" s="397"/>
      <c r="G493" s="397"/>
      <c r="H493" s="397"/>
      <c r="I493" s="397"/>
      <c r="K493" s="396"/>
    </row>
    <row r="494" spans="1:11" ht="23.25">
      <c r="A494" s="360"/>
      <c r="B494" s="361"/>
      <c r="C494" s="365"/>
      <c r="D494" s="366"/>
      <c r="E494" s="366"/>
      <c r="F494" s="366"/>
      <c r="G494" s="366"/>
      <c r="H494" s="366"/>
      <c r="I494" s="366"/>
      <c r="K494" s="365"/>
    </row>
    <row r="495" spans="1:11" ht="23.25">
      <c r="A495" s="360"/>
      <c r="B495" s="361"/>
      <c r="C495" s="367"/>
      <c r="D495" s="368"/>
      <c r="E495" s="368"/>
      <c r="F495" s="368"/>
      <c r="G495" s="368"/>
      <c r="H495" s="364"/>
      <c r="I495" s="368"/>
      <c r="K495" s="367"/>
    </row>
    <row r="496" spans="1:11" ht="23.25">
      <c r="A496" s="360"/>
      <c r="B496" s="361"/>
      <c r="C496" s="365"/>
      <c r="D496" s="366"/>
      <c r="E496" s="366"/>
      <c r="F496" s="366"/>
      <c r="G496" s="366"/>
      <c r="H496" s="366"/>
      <c r="I496" s="366"/>
      <c r="K496" s="365"/>
    </row>
    <row r="497" spans="1:11" ht="23.25">
      <c r="A497" s="360"/>
      <c r="B497" s="361"/>
      <c r="C497" s="367"/>
      <c r="D497" s="368"/>
      <c r="E497" s="368"/>
      <c r="F497" s="368"/>
      <c r="G497" s="368"/>
      <c r="H497" s="368"/>
      <c r="I497" s="368"/>
      <c r="K497" s="367"/>
    </row>
    <row r="498" spans="1:11" ht="23.25">
      <c r="A498" s="360"/>
      <c r="B498" s="361"/>
      <c r="C498" s="365"/>
      <c r="D498" s="366"/>
      <c r="E498" s="366"/>
      <c r="F498" s="366"/>
      <c r="G498" s="366"/>
      <c r="H498" s="366"/>
      <c r="I498" s="366"/>
      <c r="K498" s="365"/>
    </row>
    <row r="499" spans="1:11" ht="23.25">
      <c r="A499" s="360"/>
      <c r="B499" s="361"/>
      <c r="C499" s="367"/>
      <c r="D499" s="368"/>
      <c r="E499" s="368"/>
      <c r="F499" s="368"/>
      <c r="G499" s="368"/>
      <c r="H499" s="368"/>
      <c r="I499" s="368"/>
      <c r="K499" s="367"/>
    </row>
    <row r="500" spans="1:11" ht="23.25">
      <c r="A500" s="360"/>
      <c r="B500" s="361"/>
      <c r="C500" s="365"/>
      <c r="D500" s="366"/>
      <c r="E500" s="366"/>
      <c r="F500" s="366"/>
      <c r="G500" s="366"/>
      <c r="H500" s="366"/>
      <c r="I500" s="366"/>
      <c r="K500" s="365"/>
    </row>
    <row r="501" spans="1:11" ht="23.25">
      <c r="A501" s="360"/>
      <c r="B501" s="361"/>
      <c r="C501" s="388"/>
      <c r="D501" s="364"/>
      <c r="E501" s="364"/>
      <c r="F501" s="364"/>
      <c r="G501" s="364"/>
      <c r="H501" s="372"/>
      <c r="I501" s="364"/>
      <c r="K501" s="388"/>
    </row>
    <row r="502" spans="1:11" ht="23.25">
      <c r="A502" s="360"/>
      <c r="B502" s="361"/>
      <c r="C502" s="365"/>
      <c r="D502" s="366"/>
      <c r="E502" s="366"/>
      <c r="F502" s="366"/>
      <c r="G502" s="366"/>
      <c r="H502" s="366"/>
      <c r="I502" s="366"/>
      <c r="K502" s="365"/>
    </row>
    <row r="503" spans="1:11" ht="24" thickBot="1">
      <c r="A503" s="392"/>
      <c r="B503" s="393"/>
      <c r="C503" s="399"/>
      <c r="D503" s="400"/>
      <c r="E503" s="400"/>
      <c r="F503" s="400"/>
      <c r="G503" s="400"/>
      <c r="H503" s="364"/>
      <c r="I503" s="400"/>
      <c r="K503" s="399"/>
    </row>
    <row r="504" spans="1:11" ht="24" thickTop="1">
      <c r="A504" s="384"/>
      <c r="B504" s="385"/>
      <c r="C504" s="357"/>
      <c r="D504" s="358"/>
      <c r="E504" s="358"/>
      <c r="F504" s="358"/>
      <c r="G504" s="358"/>
      <c r="H504" s="358"/>
      <c r="I504" s="358"/>
      <c r="K504" s="357"/>
    </row>
    <row r="505" spans="1:11" ht="23.25">
      <c r="A505" s="386"/>
      <c r="B505" s="387"/>
      <c r="C505" s="388"/>
      <c r="D505" s="364"/>
      <c r="E505" s="364"/>
      <c r="F505" s="364"/>
      <c r="G505" s="364"/>
      <c r="H505" s="364"/>
      <c r="I505" s="364"/>
      <c r="K505" s="388"/>
    </row>
    <row r="506" spans="1:11" ht="23.25">
      <c r="A506" s="386"/>
      <c r="B506" s="387"/>
      <c r="C506" s="365"/>
      <c r="D506" s="366"/>
      <c r="E506" s="366"/>
      <c r="F506" s="366"/>
      <c r="G506" s="366"/>
      <c r="H506" s="366"/>
      <c r="I506" s="366"/>
      <c r="K506" s="365"/>
    </row>
    <row r="507" spans="1:11" ht="23.25">
      <c r="A507" s="386"/>
      <c r="B507" s="387"/>
      <c r="C507" s="367"/>
      <c r="D507" s="368"/>
      <c r="E507" s="368"/>
      <c r="F507" s="368"/>
      <c r="G507" s="368"/>
      <c r="H507" s="368"/>
      <c r="I507" s="368"/>
      <c r="K507" s="367"/>
    </row>
    <row r="508" spans="1:11" ht="23.25">
      <c r="A508" s="386"/>
      <c r="B508" s="387"/>
      <c r="C508" s="365"/>
      <c r="D508" s="366"/>
      <c r="E508" s="366"/>
      <c r="F508" s="366"/>
      <c r="G508" s="366"/>
      <c r="H508" s="366"/>
      <c r="I508" s="366"/>
      <c r="K508" s="365"/>
    </row>
    <row r="509" spans="1:11" ht="23.25">
      <c r="A509" s="386"/>
      <c r="B509" s="387"/>
      <c r="C509" s="367"/>
      <c r="D509" s="368"/>
      <c r="E509" s="368"/>
      <c r="F509" s="368"/>
      <c r="G509" s="368"/>
      <c r="H509" s="368"/>
      <c r="I509" s="368"/>
      <c r="K509" s="367"/>
    </row>
    <row r="510" spans="1:11" ht="23.25">
      <c r="A510" s="386"/>
      <c r="B510" s="387"/>
      <c r="C510" s="365"/>
      <c r="D510" s="366"/>
      <c r="E510" s="366"/>
      <c r="F510" s="366"/>
      <c r="G510" s="366"/>
      <c r="H510" s="366"/>
      <c r="I510" s="366"/>
      <c r="K510" s="365"/>
    </row>
    <row r="511" spans="1:11" ht="23.25">
      <c r="A511" s="386"/>
      <c r="B511" s="387"/>
      <c r="C511" s="367"/>
      <c r="D511" s="368"/>
      <c r="E511" s="368"/>
      <c r="F511" s="368"/>
      <c r="G511" s="372"/>
      <c r="H511" s="372"/>
      <c r="I511" s="368"/>
      <c r="K511" s="367"/>
    </row>
    <row r="512" spans="1:11" ht="23.25">
      <c r="A512" s="386"/>
      <c r="B512" s="387"/>
      <c r="C512" s="365"/>
      <c r="D512" s="366"/>
      <c r="E512" s="366"/>
      <c r="F512" s="366"/>
      <c r="G512" s="366"/>
      <c r="H512" s="366"/>
      <c r="I512" s="366"/>
      <c r="K512" s="365"/>
    </row>
    <row r="513" spans="1:11" ht="23.25">
      <c r="A513" s="386"/>
      <c r="B513" s="387"/>
      <c r="C513" s="388"/>
      <c r="D513" s="364"/>
      <c r="E513" s="364"/>
      <c r="F513" s="364"/>
      <c r="G513" s="364"/>
      <c r="H513" s="364"/>
      <c r="I513" s="364"/>
      <c r="K513" s="388"/>
    </row>
    <row r="514" spans="1:11" ht="24" thickBot="1">
      <c r="A514" s="389"/>
      <c r="B514" s="390"/>
      <c r="C514" s="381"/>
      <c r="D514" s="398"/>
      <c r="E514" s="398"/>
      <c r="F514" s="398"/>
      <c r="G514" s="366"/>
      <c r="H514" s="366"/>
      <c r="I514" s="398"/>
      <c r="K514" s="381"/>
    </row>
    <row r="515" spans="1:11" ht="24" thickTop="1">
      <c r="A515" s="355"/>
      <c r="B515" s="356"/>
      <c r="C515" s="396"/>
      <c r="D515" s="397"/>
      <c r="E515" s="397"/>
      <c r="F515" s="397"/>
      <c r="G515" s="397"/>
      <c r="H515" s="397"/>
      <c r="I515" s="397"/>
      <c r="K515" s="396"/>
    </row>
    <row r="516" spans="1:11" ht="23.25">
      <c r="A516" s="360"/>
      <c r="B516" s="361"/>
      <c r="C516" s="365"/>
      <c r="D516" s="366"/>
      <c r="E516" s="366"/>
      <c r="F516" s="366"/>
      <c r="G516" s="366"/>
      <c r="H516" s="366"/>
      <c r="I516" s="366"/>
      <c r="K516" s="365"/>
    </row>
    <row r="517" spans="1:11" ht="23.25">
      <c r="A517" s="360"/>
      <c r="B517" s="361"/>
      <c r="C517" s="367"/>
      <c r="D517" s="368"/>
      <c r="E517" s="368"/>
      <c r="F517" s="368"/>
      <c r="G517" s="368"/>
      <c r="H517" s="364"/>
      <c r="I517" s="368"/>
      <c r="K517" s="367"/>
    </row>
    <row r="518" spans="1:11" ht="23.25">
      <c r="A518" s="360"/>
      <c r="B518" s="361"/>
      <c r="C518" s="365"/>
      <c r="D518" s="366"/>
      <c r="E518" s="366"/>
      <c r="F518" s="366"/>
      <c r="G518" s="366"/>
      <c r="H518" s="366"/>
      <c r="I518" s="366"/>
      <c r="K518" s="365"/>
    </row>
    <row r="519" spans="1:11" ht="23.25">
      <c r="A519" s="360"/>
      <c r="B519" s="361"/>
      <c r="C519" s="367"/>
      <c r="D519" s="368"/>
      <c r="E519" s="368"/>
      <c r="F519" s="368"/>
      <c r="G519" s="368"/>
      <c r="H519" s="368"/>
      <c r="I519" s="368"/>
      <c r="K519" s="367"/>
    </row>
    <row r="520" spans="1:11" ht="23.25">
      <c r="A520" s="360"/>
      <c r="B520" s="361"/>
      <c r="C520" s="365"/>
      <c r="D520" s="366"/>
      <c r="E520" s="366"/>
      <c r="F520" s="366"/>
      <c r="G520" s="366"/>
      <c r="H520" s="366"/>
      <c r="I520" s="366"/>
      <c r="K520" s="365"/>
    </row>
    <row r="521" spans="1:11" ht="23.25">
      <c r="A521" s="360"/>
      <c r="B521" s="361"/>
      <c r="C521" s="367"/>
      <c r="D521" s="368"/>
      <c r="E521" s="368"/>
      <c r="F521" s="368"/>
      <c r="G521" s="368"/>
      <c r="H521" s="368"/>
      <c r="I521" s="368"/>
      <c r="K521" s="367"/>
    </row>
    <row r="522" spans="1:11" ht="23.25">
      <c r="A522" s="360"/>
      <c r="B522" s="361"/>
      <c r="C522" s="365"/>
      <c r="D522" s="366"/>
      <c r="E522" s="366"/>
      <c r="F522" s="366"/>
      <c r="G522" s="366"/>
      <c r="H522" s="366"/>
      <c r="I522" s="366"/>
      <c r="K522" s="365"/>
    </row>
    <row r="523" spans="1:11" ht="23.25">
      <c r="A523" s="360"/>
      <c r="B523" s="361"/>
      <c r="C523" s="388"/>
      <c r="D523" s="364"/>
      <c r="E523" s="364"/>
      <c r="F523" s="364"/>
      <c r="G523" s="364"/>
      <c r="H523" s="372"/>
      <c r="I523" s="364"/>
      <c r="K523" s="388"/>
    </row>
    <row r="524" spans="1:11" ht="23.25">
      <c r="A524" s="360"/>
      <c r="B524" s="361"/>
      <c r="C524" s="365"/>
      <c r="D524" s="366"/>
      <c r="E524" s="366"/>
      <c r="F524" s="366"/>
      <c r="G524" s="366"/>
      <c r="H524" s="366"/>
      <c r="I524" s="366"/>
      <c r="K524" s="365"/>
    </row>
    <row r="525" spans="1:11" ht="24" thickBot="1">
      <c r="A525" s="392"/>
      <c r="B525" s="393"/>
      <c r="C525" s="399"/>
      <c r="D525" s="400"/>
      <c r="E525" s="400"/>
      <c r="F525" s="400"/>
      <c r="G525" s="400"/>
      <c r="H525" s="364"/>
      <c r="I525" s="400"/>
      <c r="K525" s="399"/>
    </row>
    <row r="526" spans="1:11" ht="24" thickTop="1">
      <c r="A526" s="384"/>
      <c r="B526" s="385"/>
      <c r="C526" s="357"/>
      <c r="D526" s="358"/>
      <c r="E526" s="358"/>
      <c r="F526" s="358"/>
      <c r="G526" s="358"/>
      <c r="H526" s="358"/>
      <c r="I526" s="358"/>
      <c r="K526" s="357"/>
    </row>
    <row r="527" spans="1:11" ht="23.25">
      <c r="A527" s="386"/>
      <c r="B527" s="387"/>
      <c r="C527" s="388"/>
      <c r="D527" s="364"/>
      <c r="E527" s="364"/>
      <c r="F527" s="364"/>
      <c r="G527" s="364"/>
      <c r="H527" s="364"/>
      <c r="I527" s="364"/>
      <c r="K527" s="388"/>
    </row>
    <row r="528" spans="1:11" ht="23.25">
      <c r="A528" s="386"/>
      <c r="B528" s="387"/>
      <c r="C528" s="365"/>
      <c r="D528" s="366"/>
      <c r="E528" s="366"/>
      <c r="F528" s="366"/>
      <c r="G528" s="366"/>
      <c r="H528" s="366"/>
      <c r="I528" s="366"/>
      <c r="K528" s="365"/>
    </row>
    <row r="529" spans="1:11" ht="23.25">
      <c r="A529" s="386"/>
      <c r="B529" s="387"/>
      <c r="C529" s="367"/>
      <c r="D529" s="368"/>
      <c r="E529" s="368"/>
      <c r="F529" s="368"/>
      <c r="G529" s="368"/>
      <c r="H529" s="368"/>
      <c r="I529" s="368"/>
      <c r="K529" s="367"/>
    </row>
    <row r="530" spans="1:11" ht="23.25">
      <c r="A530" s="386"/>
      <c r="B530" s="387"/>
      <c r="C530" s="365"/>
      <c r="D530" s="366"/>
      <c r="E530" s="366"/>
      <c r="F530" s="366"/>
      <c r="G530" s="366"/>
      <c r="H530" s="366"/>
      <c r="I530" s="366"/>
      <c r="K530" s="365"/>
    </row>
    <row r="531" spans="1:11" ht="23.25">
      <c r="A531" s="386"/>
      <c r="B531" s="387"/>
      <c r="C531" s="367"/>
      <c r="D531" s="368"/>
      <c r="E531" s="368"/>
      <c r="F531" s="368"/>
      <c r="G531" s="368"/>
      <c r="H531" s="368"/>
      <c r="I531" s="368"/>
      <c r="K531" s="367"/>
    </row>
    <row r="532" spans="1:11" ht="23.25">
      <c r="A532" s="386"/>
      <c r="B532" s="387"/>
      <c r="C532" s="365"/>
      <c r="D532" s="366"/>
      <c r="E532" s="366"/>
      <c r="F532" s="366"/>
      <c r="G532" s="366"/>
      <c r="H532" s="366"/>
      <c r="I532" s="366"/>
      <c r="K532" s="365"/>
    </row>
    <row r="533" spans="1:11" ht="23.25">
      <c r="A533" s="386"/>
      <c r="B533" s="387"/>
      <c r="C533" s="367"/>
      <c r="D533" s="368"/>
      <c r="E533" s="368"/>
      <c r="F533" s="368"/>
      <c r="G533" s="368"/>
      <c r="H533" s="372"/>
      <c r="I533" s="368"/>
      <c r="K533" s="367"/>
    </row>
    <row r="534" spans="1:11" ht="23.25">
      <c r="A534" s="386"/>
      <c r="B534" s="387"/>
      <c r="C534" s="365"/>
      <c r="D534" s="366"/>
      <c r="E534" s="366"/>
      <c r="F534" s="366"/>
      <c r="G534" s="366"/>
      <c r="H534" s="366"/>
      <c r="I534" s="366"/>
      <c r="K534" s="365"/>
    </row>
    <row r="535" spans="1:11" ht="23.25">
      <c r="A535" s="386"/>
      <c r="B535" s="387"/>
      <c r="C535" s="388"/>
      <c r="D535" s="364"/>
      <c r="E535" s="364"/>
      <c r="F535" s="364"/>
      <c r="G535" s="364"/>
      <c r="H535" s="364"/>
      <c r="I535" s="364"/>
      <c r="K535" s="388"/>
    </row>
    <row r="536" spans="1:11" ht="24" thickBot="1">
      <c r="A536" s="389"/>
      <c r="B536" s="390"/>
      <c r="C536" s="381"/>
      <c r="D536" s="398"/>
      <c r="E536" s="398"/>
      <c r="F536" s="398"/>
      <c r="G536" s="398"/>
      <c r="H536" s="366"/>
      <c r="I536" s="398"/>
      <c r="K536" s="381"/>
    </row>
    <row r="537" spans="1:11" ht="24" thickTop="1">
      <c r="A537" s="355"/>
      <c r="B537" s="356"/>
      <c r="C537" s="396"/>
      <c r="D537" s="397"/>
      <c r="E537" s="397"/>
      <c r="F537" s="397"/>
      <c r="G537" s="397"/>
      <c r="H537" s="397"/>
      <c r="I537" s="397"/>
      <c r="K537" s="396"/>
    </row>
    <row r="538" spans="1:11" ht="23.25">
      <c r="A538" s="360"/>
      <c r="B538" s="361"/>
      <c r="C538" s="365"/>
      <c r="D538" s="366"/>
      <c r="E538" s="366"/>
      <c r="F538" s="366"/>
      <c r="G538" s="366"/>
      <c r="H538" s="366"/>
      <c r="I538" s="366"/>
      <c r="K538" s="365"/>
    </row>
    <row r="539" spans="1:11" ht="23.25">
      <c r="A539" s="360"/>
      <c r="B539" s="361"/>
      <c r="C539" s="367"/>
      <c r="D539" s="368"/>
      <c r="E539" s="368"/>
      <c r="F539" s="368"/>
      <c r="G539" s="368"/>
      <c r="H539" s="364"/>
      <c r="I539" s="368"/>
      <c r="K539" s="367"/>
    </row>
    <row r="540" spans="1:11" ht="23.25">
      <c r="A540" s="360"/>
      <c r="B540" s="361"/>
      <c r="C540" s="365"/>
      <c r="D540" s="366"/>
      <c r="E540" s="366"/>
      <c r="F540" s="366"/>
      <c r="G540" s="366"/>
      <c r="H540" s="366"/>
      <c r="I540" s="366"/>
      <c r="K540" s="365"/>
    </row>
    <row r="541" spans="1:11" ht="23.25">
      <c r="A541" s="360"/>
      <c r="B541" s="361"/>
      <c r="C541" s="367"/>
      <c r="D541" s="368"/>
      <c r="E541" s="368"/>
      <c r="F541" s="368"/>
      <c r="G541" s="368"/>
      <c r="H541" s="368"/>
      <c r="I541" s="368"/>
      <c r="K541" s="367"/>
    </row>
    <row r="542" spans="1:11" ht="23.25">
      <c r="A542" s="360"/>
      <c r="B542" s="361"/>
      <c r="C542" s="365"/>
      <c r="D542" s="366"/>
      <c r="E542" s="366"/>
      <c r="F542" s="366"/>
      <c r="G542" s="366"/>
      <c r="H542" s="366"/>
      <c r="I542" s="366"/>
      <c r="K542" s="365"/>
    </row>
    <row r="543" spans="1:11" ht="23.25">
      <c r="A543" s="360"/>
      <c r="B543" s="361"/>
      <c r="C543" s="367"/>
      <c r="D543" s="368"/>
      <c r="E543" s="368"/>
      <c r="F543" s="368"/>
      <c r="G543" s="368"/>
      <c r="H543" s="368"/>
      <c r="I543" s="368"/>
      <c r="K543" s="367"/>
    </row>
    <row r="544" spans="1:11" ht="23.25">
      <c r="A544" s="360"/>
      <c r="B544" s="361"/>
      <c r="C544" s="365"/>
      <c r="D544" s="366"/>
      <c r="E544" s="366"/>
      <c r="F544" s="366"/>
      <c r="G544" s="366"/>
      <c r="H544" s="366"/>
      <c r="I544" s="366"/>
      <c r="K544" s="365"/>
    </row>
    <row r="545" spans="1:11" ht="23.25">
      <c r="A545" s="360"/>
      <c r="B545" s="361"/>
      <c r="C545" s="388"/>
      <c r="D545" s="364"/>
      <c r="E545" s="364"/>
      <c r="F545" s="364"/>
      <c r="G545" s="364"/>
      <c r="H545" s="372"/>
      <c r="I545" s="364"/>
      <c r="K545" s="388"/>
    </row>
    <row r="546" spans="1:11" ht="23.25">
      <c r="A546" s="360"/>
      <c r="B546" s="361"/>
      <c r="C546" s="365"/>
      <c r="D546" s="366"/>
      <c r="E546" s="366"/>
      <c r="F546" s="366"/>
      <c r="G546" s="366"/>
      <c r="H546" s="366"/>
      <c r="I546" s="366"/>
      <c r="K546" s="365"/>
    </row>
    <row r="547" spans="1:11" ht="24" thickBot="1">
      <c r="A547" s="392"/>
      <c r="B547" s="393"/>
      <c r="C547" s="399"/>
      <c r="D547" s="400"/>
      <c r="E547" s="400"/>
      <c r="F547" s="400"/>
      <c r="G547" s="400"/>
      <c r="H547" s="364"/>
      <c r="I547" s="400"/>
      <c r="K547" s="399"/>
    </row>
    <row r="548" spans="1:11" ht="24" thickTop="1">
      <c r="A548" s="384"/>
      <c r="B548" s="385"/>
      <c r="C548" s="357"/>
      <c r="D548" s="358"/>
      <c r="E548" s="358"/>
      <c r="F548" s="358"/>
      <c r="G548" s="358"/>
      <c r="H548" s="358"/>
      <c r="I548" s="358"/>
      <c r="K548" s="357"/>
    </row>
    <row r="549" spans="1:11" ht="23.25">
      <c r="A549" s="386"/>
      <c r="B549" s="387"/>
      <c r="C549" s="388"/>
      <c r="D549" s="364"/>
      <c r="E549" s="364"/>
      <c r="F549" s="364"/>
      <c r="G549" s="364"/>
      <c r="H549" s="364"/>
      <c r="I549" s="364"/>
      <c r="K549" s="388"/>
    </row>
    <row r="550" spans="1:11" ht="23.25">
      <c r="A550" s="386"/>
      <c r="B550" s="387"/>
      <c r="C550" s="365"/>
      <c r="D550" s="366"/>
      <c r="E550" s="366"/>
      <c r="F550" s="366"/>
      <c r="G550" s="366"/>
      <c r="H550" s="366"/>
      <c r="I550" s="366"/>
      <c r="K550" s="365"/>
    </row>
    <row r="551" spans="1:11" ht="23.25">
      <c r="A551" s="386"/>
      <c r="B551" s="387"/>
      <c r="C551" s="367"/>
      <c r="D551" s="368"/>
      <c r="E551" s="368"/>
      <c r="F551" s="368"/>
      <c r="G551" s="368"/>
      <c r="H551" s="368"/>
      <c r="I551" s="368"/>
      <c r="K551" s="367"/>
    </row>
    <row r="552" spans="1:11" ht="23.25">
      <c r="A552" s="386"/>
      <c r="B552" s="387"/>
      <c r="C552" s="365"/>
      <c r="D552" s="366"/>
      <c r="E552" s="366"/>
      <c r="F552" s="366"/>
      <c r="G552" s="366"/>
      <c r="H552" s="366"/>
      <c r="I552" s="366"/>
      <c r="K552" s="365"/>
    </row>
    <row r="553" spans="1:11" ht="23.25">
      <c r="A553" s="386"/>
      <c r="B553" s="387"/>
      <c r="C553" s="367"/>
      <c r="D553" s="368"/>
      <c r="E553" s="368"/>
      <c r="F553" s="368"/>
      <c r="G553" s="368"/>
      <c r="H553" s="368"/>
      <c r="I553" s="368"/>
      <c r="K553" s="367"/>
    </row>
    <row r="554" spans="1:11" ht="23.25">
      <c r="A554" s="386"/>
      <c r="B554" s="387"/>
      <c r="C554" s="365"/>
      <c r="D554" s="366"/>
      <c r="E554" s="366"/>
      <c r="F554" s="366"/>
      <c r="G554" s="366"/>
      <c r="H554" s="366"/>
      <c r="I554" s="366"/>
      <c r="K554" s="365"/>
    </row>
    <row r="555" spans="1:11" ht="23.25">
      <c r="A555" s="386"/>
      <c r="B555" s="387"/>
      <c r="C555" s="367"/>
      <c r="D555" s="368"/>
      <c r="E555" s="368"/>
      <c r="F555" s="368"/>
      <c r="G555" s="368"/>
      <c r="H555" s="372"/>
      <c r="I555" s="368"/>
      <c r="K555" s="367"/>
    </row>
    <row r="556" spans="1:11" ht="23.25">
      <c r="A556" s="386"/>
      <c r="B556" s="387"/>
      <c r="C556" s="365"/>
      <c r="D556" s="366"/>
      <c r="E556" s="366"/>
      <c r="F556" s="366"/>
      <c r="G556" s="366"/>
      <c r="H556" s="366"/>
      <c r="I556" s="366"/>
      <c r="K556" s="365"/>
    </row>
    <row r="557" spans="1:11" ht="23.25">
      <c r="A557" s="386"/>
      <c r="B557" s="387"/>
      <c r="C557" s="388"/>
      <c r="D557" s="364"/>
      <c r="E557" s="364"/>
      <c r="F557" s="364"/>
      <c r="G557" s="364"/>
      <c r="H557" s="364"/>
      <c r="I557" s="364"/>
      <c r="K557" s="388"/>
    </row>
    <row r="558" spans="1:11" ht="24" thickBot="1">
      <c r="A558" s="389"/>
      <c r="B558" s="390"/>
      <c r="C558" s="381"/>
      <c r="D558" s="398"/>
      <c r="E558" s="398"/>
      <c r="F558" s="398"/>
      <c r="G558" s="398"/>
      <c r="H558" s="366"/>
      <c r="I558" s="398"/>
      <c r="K558" s="381"/>
    </row>
    <row r="559" spans="1:11" ht="24" thickTop="1">
      <c r="A559" s="355"/>
      <c r="B559" s="356"/>
      <c r="C559" s="396"/>
      <c r="D559" s="397"/>
      <c r="E559" s="397"/>
      <c r="F559" s="397"/>
      <c r="G559" s="397"/>
      <c r="H559" s="397"/>
      <c r="I559" s="397"/>
      <c r="K559" s="396"/>
    </row>
    <row r="560" spans="1:11" ht="23.25">
      <c r="A560" s="360"/>
      <c r="B560" s="361"/>
      <c r="C560" s="365"/>
      <c r="D560" s="366"/>
      <c r="E560" s="366"/>
      <c r="F560" s="366"/>
      <c r="G560" s="366"/>
      <c r="H560" s="366"/>
      <c r="I560" s="366"/>
      <c r="K560" s="365"/>
    </row>
    <row r="561" spans="1:11" ht="23.25">
      <c r="A561" s="360"/>
      <c r="B561" s="361"/>
      <c r="C561" s="367"/>
      <c r="D561" s="368"/>
      <c r="E561" s="368"/>
      <c r="F561" s="368"/>
      <c r="G561" s="368"/>
      <c r="H561" s="364"/>
      <c r="I561" s="368"/>
      <c r="K561" s="367"/>
    </row>
    <row r="562" spans="1:11" ht="23.25">
      <c r="A562" s="360"/>
      <c r="B562" s="361"/>
      <c r="C562" s="365"/>
      <c r="D562" s="366"/>
      <c r="E562" s="366"/>
      <c r="F562" s="366"/>
      <c r="G562" s="366"/>
      <c r="H562" s="366"/>
      <c r="I562" s="366"/>
      <c r="K562" s="365"/>
    </row>
    <row r="563" spans="1:11" ht="23.25">
      <c r="A563" s="360"/>
      <c r="B563" s="361"/>
      <c r="C563" s="367"/>
      <c r="D563" s="368"/>
      <c r="E563" s="368"/>
      <c r="F563" s="368"/>
      <c r="G563" s="368"/>
      <c r="H563" s="368"/>
      <c r="I563" s="368"/>
      <c r="K563" s="367"/>
    </row>
    <row r="564" spans="1:11" ht="23.25">
      <c r="A564" s="360"/>
      <c r="B564" s="361"/>
      <c r="C564" s="365"/>
      <c r="D564" s="366"/>
      <c r="E564" s="366"/>
      <c r="F564" s="366"/>
      <c r="G564" s="366"/>
      <c r="H564" s="366"/>
      <c r="I564" s="366"/>
      <c r="K564" s="365"/>
    </row>
    <row r="565" spans="1:11" ht="23.25">
      <c r="A565" s="360"/>
      <c r="B565" s="361"/>
      <c r="C565" s="367"/>
      <c r="D565" s="368"/>
      <c r="E565" s="368"/>
      <c r="F565" s="368"/>
      <c r="G565" s="368"/>
      <c r="H565" s="368"/>
      <c r="I565" s="368"/>
      <c r="K565" s="367"/>
    </row>
    <row r="566" spans="1:11" ht="23.25">
      <c r="A566" s="360"/>
      <c r="B566" s="361"/>
      <c r="C566" s="365"/>
      <c r="D566" s="366"/>
      <c r="E566" s="366"/>
      <c r="F566" s="366"/>
      <c r="G566" s="366"/>
      <c r="H566" s="366"/>
      <c r="I566" s="366"/>
      <c r="K566" s="365"/>
    </row>
    <row r="567" spans="1:11" ht="23.25">
      <c r="A567" s="360"/>
      <c r="B567" s="361"/>
      <c r="C567" s="388"/>
      <c r="D567" s="364"/>
      <c r="E567" s="364"/>
      <c r="F567" s="364"/>
      <c r="G567" s="364"/>
      <c r="H567" s="372"/>
      <c r="I567" s="364"/>
      <c r="K567" s="388"/>
    </row>
    <row r="568" spans="1:11" ht="23.25">
      <c r="A568" s="360"/>
      <c r="B568" s="361"/>
      <c r="C568" s="365"/>
      <c r="D568" s="366"/>
      <c r="E568" s="366"/>
      <c r="F568" s="366"/>
      <c r="G568" s="366"/>
      <c r="H568" s="366"/>
      <c r="I568" s="366"/>
      <c r="K568" s="365"/>
    </row>
    <row r="569" spans="1:11" ht="24" thickBot="1">
      <c r="A569" s="392"/>
      <c r="B569" s="393"/>
      <c r="C569" s="399"/>
      <c r="D569" s="400"/>
      <c r="E569" s="400"/>
      <c r="F569" s="400"/>
      <c r="G569" s="400"/>
      <c r="H569" s="364"/>
      <c r="I569" s="400"/>
      <c r="K569" s="399"/>
    </row>
    <row r="570" spans="1:11" ht="24" thickTop="1">
      <c r="A570" s="384"/>
      <c r="B570" s="385"/>
      <c r="C570" s="357"/>
      <c r="D570" s="358"/>
      <c r="E570" s="358"/>
      <c r="F570" s="358"/>
      <c r="G570" s="358"/>
      <c r="H570" s="358"/>
      <c r="I570" s="358"/>
      <c r="K570" s="357"/>
    </row>
    <row r="571" spans="1:11" ht="23.25">
      <c r="A571" s="386"/>
      <c r="B571" s="387"/>
      <c r="C571" s="388"/>
      <c r="D571" s="364"/>
      <c r="E571" s="364"/>
      <c r="F571" s="364"/>
      <c r="G571" s="364"/>
      <c r="H571" s="364"/>
      <c r="I571" s="364"/>
      <c r="K571" s="388"/>
    </row>
    <row r="572" spans="1:11" ht="23.25">
      <c r="A572" s="386"/>
      <c r="B572" s="387"/>
      <c r="C572" s="365"/>
      <c r="D572" s="366"/>
      <c r="E572" s="366"/>
      <c r="F572" s="366"/>
      <c r="G572" s="366"/>
      <c r="H572" s="366"/>
      <c r="I572" s="366"/>
      <c r="K572" s="365"/>
    </row>
    <row r="573" spans="1:11" ht="23.25">
      <c r="A573" s="386"/>
      <c r="B573" s="387"/>
      <c r="C573" s="367"/>
      <c r="D573" s="368"/>
      <c r="E573" s="368"/>
      <c r="F573" s="368"/>
      <c r="G573" s="368"/>
      <c r="H573" s="368"/>
      <c r="I573" s="368"/>
      <c r="K573" s="367"/>
    </row>
    <row r="574" spans="1:11" ht="23.25">
      <c r="A574" s="386"/>
      <c r="B574" s="387"/>
      <c r="C574" s="365"/>
      <c r="D574" s="366"/>
      <c r="E574" s="366"/>
      <c r="F574" s="366"/>
      <c r="G574" s="366"/>
      <c r="H574" s="366"/>
      <c r="I574" s="366"/>
      <c r="K574" s="365"/>
    </row>
    <row r="575" spans="1:11" ht="23.25">
      <c r="A575" s="386"/>
      <c r="B575" s="387"/>
      <c r="C575" s="367"/>
      <c r="D575" s="368"/>
      <c r="E575" s="368"/>
      <c r="F575" s="368"/>
      <c r="G575" s="368"/>
      <c r="H575" s="368"/>
      <c r="I575" s="368"/>
      <c r="K575" s="367"/>
    </row>
    <row r="576" spans="1:11" ht="23.25">
      <c r="A576" s="386"/>
      <c r="B576" s="387"/>
      <c r="C576" s="365"/>
      <c r="D576" s="366"/>
      <c r="E576" s="366"/>
      <c r="F576" s="366"/>
      <c r="G576" s="366"/>
      <c r="H576" s="366"/>
      <c r="I576" s="366"/>
      <c r="K576" s="365"/>
    </row>
    <row r="577" spans="1:11" ht="23.25">
      <c r="A577" s="386"/>
      <c r="B577" s="387"/>
      <c r="C577" s="367"/>
      <c r="D577" s="368"/>
      <c r="E577" s="368"/>
      <c r="F577" s="368"/>
      <c r="G577" s="368"/>
      <c r="H577" s="372"/>
      <c r="I577" s="368"/>
      <c r="K577" s="367"/>
    </row>
    <row r="578" spans="1:11" ht="23.25">
      <c r="A578" s="386"/>
      <c r="B578" s="387"/>
      <c r="C578" s="365"/>
      <c r="D578" s="366"/>
      <c r="E578" s="366"/>
      <c r="F578" s="366"/>
      <c r="G578" s="366"/>
      <c r="H578" s="366"/>
      <c r="I578" s="366"/>
      <c r="K578" s="365"/>
    </row>
    <row r="579" spans="1:11" ht="23.25">
      <c r="A579" s="386"/>
      <c r="B579" s="387"/>
      <c r="C579" s="388"/>
      <c r="D579" s="364"/>
      <c r="E579" s="364"/>
      <c r="F579" s="364"/>
      <c r="G579" s="364"/>
      <c r="H579" s="364"/>
      <c r="I579" s="364"/>
      <c r="K579" s="388"/>
    </row>
    <row r="580" spans="1:11" ht="24" thickBot="1">
      <c r="A580" s="389"/>
      <c r="B580" s="390"/>
      <c r="C580" s="381"/>
      <c r="D580" s="398"/>
      <c r="E580" s="398"/>
      <c r="F580" s="398"/>
      <c r="G580" s="398"/>
      <c r="H580" s="366"/>
      <c r="I580" s="398"/>
      <c r="K580" s="381"/>
    </row>
    <row r="581" spans="1:11" ht="24" thickTop="1">
      <c r="A581" s="355"/>
      <c r="B581" s="356"/>
      <c r="C581" s="396"/>
      <c r="D581" s="397"/>
      <c r="E581" s="397"/>
      <c r="F581" s="397"/>
      <c r="G581" s="397"/>
      <c r="H581" s="397"/>
      <c r="I581" s="397"/>
      <c r="K581" s="396"/>
    </row>
    <row r="582" spans="1:11" ht="23.25">
      <c r="A582" s="360"/>
      <c r="B582" s="361"/>
      <c r="C582" s="365"/>
      <c r="D582" s="366"/>
      <c r="E582" s="366"/>
      <c r="F582" s="366"/>
      <c r="G582" s="366"/>
      <c r="H582" s="366"/>
      <c r="I582" s="366"/>
      <c r="K582" s="365"/>
    </row>
    <row r="583" spans="1:11" ht="23.25">
      <c r="A583" s="360"/>
      <c r="B583" s="361"/>
      <c r="C583" s="367"/>
      <c r="D583" s="368"/>
      <c r="E583" s="368"/>
      <c r="F583" s="368"/>
      <c r="G583" s="368"/>
      <c r="H583" s="364"/>
      <c r="I583" s="368"/>
      <c r="K583" s="367"/>
    </row>
    <row r="584" spans="1:11" ht="23.25">
      <c r="A584" s="360"/>
      <c r="B584" s="361"/>
      <c r="C584" s="365"/>
      <c r="D584" s="366"/>
      <c r="E584" s="366"/>
      <c r="F584" s="366"/>
      <c r="G584" s="366"/>
      <c r="H584" s="366"/>
      <c r="I584" s="366"/>
      <c r="K584" s="365"/>
    </row>
    <row r="585" spans="1:11" ht="23.25">
      <c r="A585" s="360"/>
      <c r="B585" s="361"/>
      <c r="C585" s="367"/>
      <c r="D585" s="368"/>
      <c r="E585" s="368"/>
      <c r="F585" s="368"/>
      <c r="G585" s="368"/>
      <c r="H585" s="368"/>
      <c r="I585" s="368"/>
      <c r="K585" s="367"/>
    </row>
    <row r="586" spans="1:11" ht="23.25">
      <c r="A586" s="360"/>
      <c r="B586" s="361"/>
      <c r="C586" s="365"/>
      <c r="D586" s="366"/>
      <c r="E586" s="366"/>
      <c r="F586" s="366"/>
      <c r="G586" s="366"/>
      <c r="H586" s="366"/>
      <c r="I586" s="366"/>
      <c r="K586" s="365"/>
    </row>
    <row r="587" spans="1:11" ht="23.25">
      <c r="A587" s="360"/>
      <c r="B587" s="361"/>
      <c r="C587" s="367"/>
      <c r="D587" s="368"/>
      <c r="E587" s="368"/>
      <c r="F587" s="368"/>
      <c r="G587" s="368"/>
      <c r="H587" s="368"/>
      <c r="I587" s="368"/>
      <c r="K587" s="367"/>
    </row>
    <row r="588" spans="1:11" ht="23.25">
      <c r="A588" s="360"/>
      <c r="B588" s="361"/>
      <c r="C588" s="365"/>
      <c r="D588" s="366"/>
      <c r="E588" s="366"/>
      <c r="F588" s="366"/>
      <c r="G588" s="366"/>
      <c r="H588" s="366"/>
      <c r="I588" s="366"/>
      <c r="K588" s="365"/>
    </row>
    <row r="589" spans="1:11" ht="23.25">
      <c r="A589" s="360"/>
      <c r="B589" s="361"/>
      <c r="C589" s="388"/>
      <c r="D589" s="364"/>
      <c r="E589" s="364"/>
      <c r="F589" s="364"/>
      <c r="G589" s="364"/>
      <c r="H589" s="372"/>
      <c r="I589" s="364"/>
      <c r="K589" s="388"/>
    </row>
    <row r="590" spans="1:11" ht="23.25">
      <c r="A590" s="360"/>
      <c r="B590" s="361"/>
      <c r="C590" s="365"/>
      <c r="D590" s="366"/>
      <c r="E590" s="366"/>
      <c r="F590" s="366"/>
      <c r="G590" s="366"/>
      <c r="H590" s="366"/>
      <c r="I590" s="366"/>
      <c r="K590" s="365"/>
    </row>
    <row r="591" spans="1:11" ht="24" thickBot="1">
      <c r="A591" s="392"/>
      <c r="B591" s="393"/>
      <c r="C591" s="399"/>
      <c r="D591" s="400"/>
      <c r="E591" s="400"/>
      <c r="F591" s="400"/>
      <c r="G591" s="400"/>
      <c r="H591" s="400"/>
      <c r="I591" s="400"/>
      <c r="K591" s="399"/>
    </row>
    <row r="592" spans="1:11" ht="24" thickTop="1">
      <c r="A592" s="384"/>
      <c r="B592" s="385"/>
      <c r="C592" s="357"/>
      <c r="D592" s="358"/>
      <c r="E592" s="358"/>
      <c r="F592" s="358"/>
      <c r="G592" s="358"/>
      <c r="H592" s="358"/>
      <c r="I592" s="358"/>
      <c r="K592" s="357"/>
    </row>
    <row r="593" spans="1:11" ht="23.25">
      <c r="A593" s="386"/>
      <c r="B593" s="387"/>
      <c r="C593" s="388"/>
      <c r="D593" s="364"/>
      <c r="E593" s="364"/>
      <c r="F593" s="364"/>
      <c r="G593" s="364"/>
      <c r="H593" s="364"/>
      <c r="I593" s="364"/>
      <c r="K593" s="388"/>
    </row>
    <row r="594" spans="1:11" ht="23.25">
      <c r="A594" s="386"/>
      <c r="B594" s="387"/>
      <c r="C594" s="365"/>
      <c r="D594" s="366"/>
      <c r="E594" s="366"/>
      <c r="F594" s="366"/>
      <c r="G594" s="366"/>
      <c r="H594" s="366"/>
      <c r="I594" s="366"/>
      <c r="K594" s="365"/>
    </row>
    <row r="595" spans="1:11" ht="23.25">
      <c r="A595" s="386"/>
      <c r="B595" s="387"/>
      <c r="C595" s="367"/>
      <c r="D595" s="368"/>
      <c r="E595" s="368"/>
      <c r="F595" s="368"/>
      <c r="G595" s="368"/>
      <c r="H595" s="368"/>
      <c r="I595" s="368"/>
      <c r="K595" s="367"/>
    </row>
    <row r="596" spans="1:11" ht="23.25">
      <c r="A596" s="386"/>
      <c r="B596" s="387"/>
      <c r="C596" s="365"/>
      <c r="D596" s="366"/>
      <c r="E596" s="366"/>
      <c r="F596" s="366"/>
      <c r="G596" s="366"/>
      <c r="H596" s="366"/>
      <c r="I596" s="366"/>
      <c r="K596" s="365"/>
    </row>
    <row r="597" spans="1:11" ht="23.25">
      <c r="A597" s="386"/>
      <c r="B597" s="387"/>
      <c r="C597" s="367"/>
      <c r="D597" s="368"/>
      <c r="E597" s="368"/>
      <c r="F597" s="368"/>
      <c r="G597" s="368"/>
      <c r="H597" s="368"/>
      <c r="I597" s="368"/>
      <c r="K597" s="367"/>
    </row>
    <row r="598" spans="1:11" ht="23.25">
      <c r="A598" s="386"/>
      <c r="B598" s="387"/>
      <c r="C598" s="365"/>
      <c r="D598" s="366"/>
      <c r="E598" s="366"/>
      <c r="F598" s="366"/>
      <c r="G598" s="366"/>
      <c r="H598" s="366"/>
      <c r="I598" s="366"/>
      <c r="K598" s="365"/>
    </row>
    <row r="599" spans="1:11" ht="23.25">
      <c r="A599" s="386"/>
      <c r="B599" s="387"/>
      <c r="C599" s="367"/>
      <c r="D599" s="368"/>
      <c r="E599" s="368"/>
      <c r="F599" s="368"/>
      <c r="G599" s="368"/>
      <c r="H599" s="372"/>
      <c r="I599" s="368"/>
      <c r="K599" s="367"/>
    </row>
    <row r="600" spans="1:11" ht="23.25">
      <c r="A600" s="386"/>
      <c r="B600" s="387"/>
      <c r="C600" s="365"/>
      <c r="D600" s="366"/>
      <c r="E600" s="366"/>
      <c r="F600" s="366"/>
      <c r="G600" s="366"/>
      <c r="H600" s="366"/>
      <c r="I600" s="366"/>
      <c r="K600" s="365"/>
    </row>
    <row r="601" spans="1:11" ht="23.25">
      <c r="A601" s="386"/>
      <c r="B601" s="387"/>
      <c r="C601" s="388"/>
      <c r="D601" s="364"/>
      <c r="E601" s="364"/>
      <c r="F601" s="364"/>
      <c r="G601" s="364"/>
      <c r="H601" s="364"/>
      <c r="I601" s="364"/>
      <c r="K601" s="388"/>
    </row>
    <row r="602" spans="1:11" ht="24" thickBot="1">
      <c r="A602" s="389"/>
      <c r="B602" s="390"/>
      <c r="C602" s="381"/>
      <c r="D602" s="398"/>
      <c r="E602" s="398"/>
      <c r="F602" s="398"/>
      <c r="G602" s="398"/>
      <c r="H602" s="366"/>
      <c r="I602" s="398"/>
      <c r="K602" s="381"/>
    </row>
    <row r="603" spans="1:11" ht="24" thickTop="1">
      <c r="A603" s="355"/>
      <c r="B603" s="356"/>
      <c r="C603" s="396"/>
      <c r="D603" s="397"/>
      <c r="E603" s="397"/>
      <c r="F603" s="397"/>
      <c r="G603" s="397"/>
      <c r="H603" s="397"/>
      <c r="I603" s="397"/>
      <c r="K603" s="396"/>
    </row>
    <row r="604" spans="1:11" ht="23.25">
      <c r="A604" s="360"/>
      <c r="B604" s="361"/>
      <c r="C604" s="365"/>
      <c r="D604" s="366"/>
      <c r="E604" s="366"/>
      <c r="F604" s="366"/>
      <c r="G604" s="366"/>
      <c r="H604" s="366"/>
      <c r="I604" s="366"/>
      <c r="K604" s="365"/>
    </row>
    <row r="605" spans="1:11" ht="23.25">
      <c r="A605" s="360"/>
      <c r="B605" s="361"/>
      <c r="C605" s="367"/>
      <c r="D605" s="368"/>
      <c r="E605" s="368"/>
      <c r="F605" s="368"/>
      <c r="G605" s="368"/>
      <c r="H605" s="364"/>
      <c r="I605" s="368"/>
      <c r="K605" s="367"/>
    </row>
    <row r="606" spans="1:11" ht="23.25">
      <c r="A606" s="360"/>
      <c r="B606" s="361"/>
      <c r="C606" s="365"/>
      <c r="D606" s="366"/>
      <c r="E606" s="366"/>
      <c r="F606" s="366"/>
      <c r="G606" s="366"/>
      <c r="H606" s="366"/>
      <c r="I606" s="366"/>
      <c r="K606" s="365"/>
    </row>
    <row r="607" spans="1:11" ht="23.25">
      <c r="A607" s="360"/>
      <c r="B607" s="361"/>
      <c r="C607" s="367"/>
      <c r="D607" s="368"/>
      <c r="E607" s="368"/>
      <c r="F607" s="368"/>
      <c r="G607" s="368"/>
      <c r="H607" s="368"/>
      <c r="I607" s="368"/>
      <c r="K607" s="367"/>
    </row>
    <row r="608" spans="1:11" ht="23.25">
      <c r="A608" s="360"/>
      <c r="B608" s="361"/>
      <c r="C608" s="365"/>
      <c r="D608" s="366"/>
      <c r="E608" s="366"/>
      <c r="F608" s="366"/>
      <c r="G608" s="366"/>
      <c r="H608" s="366"/>
      <c r="I608" s="366"/>
      <c r="K608" s="365"/>
    </row>
    <row r="609" spans="1:11" ht="23.25">
      <c r="A609" s="360"/>
      <c r="B609" s="361"/>
      <c r="C609" s="367"/>
      <c r="D609" s="368"/>
      <c r="E609" s="368"/>
      <c r="F609" s="368"/>
      <c r="G609" s="368"/>
      <c r="H609" s="368"/>
      <c r="I609" s="368"/>
      <c r="K609" s="367"/>
    </row>
    <row r="610" spans="1:11" ht="23.25">
      <c r="A610" s="360"/>
      <c r="B610" s="361"/>
      <c r="C610" s="365"/>
      <c r="D610" s="366"/>
      <c r="E610" s="366"/>
      <c r="F610" s="366"/>
      <c r="G610" s="366"/>
      <c r="H610" s="366"/>
      <c r="I610" s="366"/>
      <c r="K610" s="365"/>
    </row>
    <row r="611" spans="1:11" ht="23.25">
      <c r="A611" s="360"/>
      <c r="B611" s="361"/>
      <c r="C611" s="388"/>
      <c r="D611" s="364"/>
      <c r="E611" s="364"/>
      <c r="F611" s="364"/>
      <c r="G611" s="364"/>
      <c r="H611" s="372"/>
      <c r="I611" s="364"/>
      <c r="K611" s="388"/>
    </row>
    <row r="612" spans="1:11" ht="23.25">
      <c r="A612" s="360"/>
      <c r="B612" s="361"/>
      <c r="C612" s="365"/>
      <c r="D612" s="366"/>
      <c r="E612" s="366"/>
      <c r="F612" s="366"/>
      <c r="G612" s="366"/>
      <c r="H612" s="366"/>
      <c r="I612" s="366"/>
      <c r="K612" s="365"/>
    </row>
    <row r="613" spans="1:11" ht="24" thickBot="1">
      <c r="A613" s="392"/>
      <c r="B613" s="393"/>
      <c r="C613" s="399"/>
      <c r="D613" s="400"/>
      <c r="E613" s="400"/>
      <c r="F613" s="400"/>
      <c r="G613" s="400"/>
      <c r="H613" s="364"/>
      <c r="I613" s="400"/>
      <c r="K613" s="399"/>
    </row>
    <row r="614" spans="1:11" ht="24" thickTop="1">
      <c r="A614" s="384"/>
      <c r="B614" s="385"/>
      <c r="C614" s="357"/>
      <c r="D614" s="358"/>
      <c r="E614" s="358"/>
      <c r="F614" s="358"/>
      <c r="G614" s="358"/>
      <c r="H614" s="358"/>
      <c r="I614" s="358"/>
      <c r="K614" s="357"/>
    </row>
    <row r="615" spans="1:11" ht="23.25">
      <c r="A615" s="386"/>
      <c r="B615" s="387"/>
      <c r="C615" s="388"/>
      <c r="D615" s="364"/>
      <c r="E615" s="364"/>
      <c r="F615" s="364"/>
      <c r="G615" s="364"/>
      <c r="H615" s="364"/>
      <c r="I615" s="364"/>
      <c r="K615" s="388"/>
    </row>
    <row r="616" spans="1:11" ht="23.25">
      <c r="A616" s="386"/>
      <c r="B616" s="387"/>
      <c r="C616" s="365"/>
      <c r="D616" s="366"/>
      <c r="E616" s="366"/>
      <c r="F616" s="366"/>
      <c r="G616" s="366"/>
      <c r="H616" s="366"/>
      <c r="I616" s="366"/>
      <c r="K616" s="365"/>
    </row>
    <row r="617" spans="1:11" ht="23.25">
      <c r="A617" s="386"/>
      <c r="B617" s="387"/>
      <c r="C617" s="367"/>
      <c r="D617" s="368"/>
      <c r="E617" s="368"/>
      <c r="F617" s="368"/>
      <c r="G617" s="368"/>
      <c r="H617" s="368"/>
      <c r="I617" s="368"/>
      <c r="K617" s="367"/>
    </row>
    <row r="618" spans="1:11" ht="23.25">
      <c r="A618" s="386"/>
      <c r="B618" s="387"/>
      <c r="C618" s="365"/>
      <c r="D618" s="366"/>
      <c r="E618" s="366"/>
      <c r="F618" s="366"/>
      <c r="G618" s="366"/>
      <c r="H618" s="366"/>
      <c r="I618" s="366"/>
      <c r="K618" s="365"/>
    </row>
    <row r="619" spans="1:11" ht="23.25">
      <c r="A619" s="386"/>
      <c r="B619" s="387"/>
      <c r="C619" s="367"/>
      <c r="D619" s="368"/>
      <c r="E619" s="368"/>
      <c r="F619" s="368"/>
      <c r="G619" s="368"/>
      <c r="H619" s="368"/>
      <c r="I619" s="368"/>
      <c r="K619" s="367"/>
    </row>
    <row r="620" spans="1:11" ht="23.25">
      <c r="A620" s="386"/>
      <c r="B620" s="387"/>
      <c r="C620" s="365"/>
      <c r="D620" s="366"/>
      <c r="E620" s="366"/>
      <c r="F620" s="366"/>
      <c r="G620" s="366"/>
      <c r="H620" s="366"/>
      <c r="I620" s="366"/>
      <c r="K620" s="365"/>
    </row>
    <row r="621" spans="1:11" ht="23.25">
      <c r="A621" s="386"/>
      <c r="B621" s="387"/>
      <c r="C621" s="367"/>
      <c r="D621" s="368"/>
      <c r="E621" s="368"/>
      <c r="F621" s="368"/>
      <c r="G621" s="368"/>
      <c r="H621" s="372"/>
      <c r="I621" s="368"/>
      <c r="K621" s="367"/>
    </row>
    <row r="622" spans="1:11" ht="23.25">
      <c r="A622" s="386"/>
      <c r="B622" s="387"/>
      <c r="C622" s="365"/>
      <c r="D622" s="366"/>
      <c r="E622" s="366"/>
      <c r="F622" s="366"/>
      <c r="G622" s="366"/>
      <c r="H622" s="366"/>
      <c r="I622" s="366"/>
      <c r="K622" s="365"/>
    </row>
    <row r="623" spans="1:11" ht="23.25">
      <c r="A623" s="386"/>
      <c r="B623" s="387"/>
      <c r="C623" s="388"/>
      <c r="D623" s="364"/>
      <c r="E623" s="364"/>
      <c r="F623" s="364"/>
      <c r="G623" s="364"/>
      <c r="H623" s="364"/>
      <c r="I623" s="364"/>
      <c r="K623" s="388"/>
    </row>
    <row r="624" spans="1:11" ht="24" thickBot="1">
      <c r="A624" s="389"/>
      <c r="B624" s="390"/>
      <c r="C624" s="381"/>
      <c r="D624" s="398"/>
      <c r="E624" s="398"/>
      <c r="F624" s="398"/>
      <c r="G624" s="398"/>
      <c r="H624" s="366"/>
      <c r="I624" s="398"/>
      <c r="K624" s="381"/>
    </row>
    <row r="625" spans="1:11" ht="24" thickTop="1">
      <c r="A625" s="355"/>
      <c r="B625" s="356"/>
      <c r="C625" s="396"/>
      <c r="D625" s="397"/>
      <c r="E625" s="397"/>
      <c r="F625" s="397"/>
      <c r="G625" s="397"/>
      <c r="H625" s="397"/>
      <c r="I625" s="397"/>
      <c r="K625" s="396"/>
    </row>
    <row r="626" spans="1:11" ht="23.25">
      <c r="A626" s="360"/>
      <c r="B626" s="361"/>
      <c r="C626" s="365"/>
      <c r="D626" s="366"/>
      <c r="E626" s="366"/>
      <c r="F626" s="366"/>
      <c r="G626" s="366"/>
      <c r="H626" s="366"/>
      <c r="I626" s="366"/>
      <c r="K626" s="365"/>
    </row>
    <row r="627" spans="1:11" ht="23.25">
      <c r="A627" s="360"/>
      <c r="B627" s="361"/>
      <c r="C627" s="367"/>
      <c r="D627" s="368"/>
      <c r="E627" s="368"/>
      <c r="F627" s="368"/>
      <c r="G627" s="368"/>
      <c r="H627" s="364"/>
      <c r="I627" s="368"/>
      <c r="K627" s="367"/>
    </row>
    <row r="628" spans="1:11" ht="23.25">
      <c r="A628" s="360"/>
      <c r="B628" s="361"/>
      <c r="C628" s="365"/>
      <c r="D628" s="366"/>
      <c r="E628" s="366"/>
      <c r="F628" s="366"/>
      <c r="G628" s="366"/>
      <c r="H628" s="366"/>
      <c r="I628" s="366"/>
      <c r="K628" s="365"/>
    </row>
    <row r="629" spans="1:11" ht="23.25">
      <c r="A629" s="360"/>
      <c r="B629" s="361"/>
      <c r="C629" s="367"/>
      <c r="D629" s="368"/>
      <c r="E629" s="368"/>
      <c r="F629" s="368"/>
      <c r="G629" s="368"/>
      <c r="H629" s="368"/>
      <c r="I629" s="368"/>
      <c r="K629" s="367"/>
    </row>
    <row r="630" spans="1:11" ht="23.25">
      <c r="A630" s="360"/>
      <c r="B630" s="361"/>
      <c r="C630" s="365"/>
      <c r="D630" s="366"/>
      <c r="E630" s="366"/>
      <c r="F630" s="366"/>
      <c r="G630" s="366"/>
      <c r="H630" s="366"/>
      <c r="I630" s="366"/>
      <c r="K630" s="365"/>
    </row>
    <row r="631" spans="1:11" ht="23.25">
      <c r="A631" s="360"/>
      <c r="B631" s="361"/>
      <c r="C631" s="367"/>
      <c r="D631" s="368"/>
      <c r="E631" s="368"/>
      <c r="F631" s="368"/>
      <c r="G631" s="368"/>
      <c r="H631" s="368"/>
      <c r="I631" s="368"/>
      <c r="K631" s="367"/>
    </row>
    <row r="632" spans="1:11" ht="23.25">
      <c r="A632" s="360"/>
      <c r="B632" s="361"/>
      <c r="C632" s="365"/>
      <c r="D632" s="366"/>
      <c r="E632" s="366"/>
      <c r="F632" s="366"/>
      <c r="G632" s="366"/>
      <c r="H632" s="366"/>
      <c r="I632" s="366"/>
      <c r="K632" s="365"/>
    </row>
    <row r="633" spans="1:11" ht="23.25">
      <c r="A633" s="360"/>
      <c r="B633" s="361"/>
      <c r="C633" s="388"/>
      <c r="D633" s="364"/>
      <c r="E633" s="364"/>
      <c r="F633" s="364"/>
      <c r="G633" s="364"/>
      <c r="H633" s="372"/>
      <c r="I633" s="364"/>
      <c r="K633" s="388"/>
    </row>
    <row r="634" spans="1:11" ht="23.25">
      <c r="A634" s="360"/>
      <c r="B634" s="361"/>
      <c r="C634" s="365"/>
      <c r="D634" s="366"/>
      <c r="E634" s="366"/>
      <c r="F634" s="366"/>
      <c r="G634" s="366"/>
      <c r="H634" s="366"/>
      <c r="I634" s="366"/>
      <c r="K634" s="365"/>
    </row>
    <row r="635" spans="1:11" ht="24" thickBot="1">
      <c r="A635" s="392"/>
      <c r="B635" s="393"/>
      <c r="C635" s="399"/>
      <c r="D635" s="400"/>
      <c r="E635" s="400"/>
      <c r="F635" s="400"/>
      <c r="G635" s="400"/>
      <c r="H635" s="364"/>
      <c r="I635" s="400"/>
      <c r="K635" s="399"/>
    </row>
    <row r="636" spans="1:11" ht="24" thickTop="1">
      <c r="A636" s="384"/>
      <c r="B636" s="385"/>
      <c r="C636" s="357"/>
      <c r="D636" s="358"/>
      <c r="E636" s="358"/>
      <c r="F636" s="358"/>
      <c r="G636" s="358"/>
      <c r="H636" s="358"/>
      <c r="I636" s="358"/>
      <c r="K636" s="357"/>
    </row>
    <row r="637" spans="1:11" ht="23.25">
      <c r="A637" s="386"/>
      <c r="B637" s="387"/>
      <c r="C637" s="388"/>
      <c r="D637" s="364"/>
      <c r="E637" s="364"/>
      <c r="F637" s="364"/>
      <c r="G637" s="364"/>
      <c r="H637" s="364"/>
      <c r="I637" s="364"/>
      <c r="K637" s="388"/>
    </row>
    <row r="638" spans="1:11" ht="23.25">
      <c r="A638" s="386"/>
      <c r="B638" s="387"/>
      <c r="C638" s="365"/>
      <c r="D638" s="366"/>
      <c r="E638" s="366"/>
      <c r="F638" s="366"/>
      <c r="G638" s="366"/>
      <c r="H638" s="366"/>
      <c r="I638" s="366"/>
      <c r="K638" s="365"/>
    </row>
    <row r="639" spans="1:11" ht="23.25">
      <c r="A639" s="386"/>
      <c r="B639" s="387"/>
      <c r="C639" s="367"/>
      <c r="D639" s="368"/>
      <c r="E639" s="368"/>
      <c r="F639" s="368"/>
      <c r="G639" s="368"/>
      <c r="H639" s="368"/>
      <c r="I639" s="368"/>
      <c r="K639" s="367"/>
    </row>
    <row r="640" spans="1:11" ht="23.25">
      <c r="A640" s="386"/>
      <c r="B640" s="387"/>
      <c r="C640" s="365"/>
      <c r="D640" s="366"/>
      <c r="E640" s="366"/>
      <c r="F640" s="366"/>
      <c r="G640" s="366"/>
      <c r="H640" s="366"/>
      <c r="I640" s="366"/>
      <c r="K640" s="365"/>
    </row>
    <row r="641" spans="1:11" ht="23.25">
      <c r="A641" s="386"/>
      <c r="B641" s="387"/>
      <c r="C641" s="367"/>
      <c r="D641" s="368"/>
      <c r="E641" s="368"/>
      <c r="F641" s="368"/>
      <c r="G641" s="368"/>
      <c r="H641" s="368"/>
      <c r="I641" s="368"/>
      <c r="K641" s="367"/>
    </row>
    <row r="642" spans="1:11" ht="23.25">
      <c r="A642" s="386"/>
      <c r="B642" s="387"/>
      <c r="C642" s="365"/>
      <c r="D642" s="366"/>
      <c r="E642" s="366"/>
      <c r="F642" s="366"/>
      <c r="G642" s="366"/>
      <c r="H642" s="366"/>
      <c r="I642" s="366"/>
      <c r="K642" s="365"/>
    </row>
    <row r="643" spans="1:11" ht="23.25">
      <c r="A643" s="386"/>
      <c r="B643" s="387"/>
      <c r="C643" s="367"/>
      <c r="D643" s="368"/>
      <c r="E643" s="368"/>
      <c r="F643" s="368"/>
      <c r="G643" s="368"/>
      <c r="H643" s="372"/>
      <c r="I643" s="368"/>
      <c r="K643" s="367"/>
    </row>
    <row r="644" spans="1:11" ht="23.25">
      <c r="A644" s="386"/>
      <c r="B644" s="387"/>
      <c r="C644" s="365"/>
      <c r="D644" s="366"/>
      <c r="E644" s="366"/>
      <c r="F644" s="366"/>
      <c r="G644" s="366"/>
      <c r="H644" s="366"/>
      <c r="I644" s="366"/>
      <c r="K644" s="365"/>
    </row>
    <row r="645" spans="1:11" ht="23.25">
      <c r="A645" s="386"/>
      <c r="B645" s="387"/>
      <c r="C645" s="388"/>
      <c r="D645" s="364"/>
      <c r="E645" s="364"/>
      <c r="F645" s="364"/>
      <c r="G645" s="364"/>
      <c r="H645" s="364"/>
      <c r="I645" s="364"/>
      <c r="K645" s="388"/>
    </row>
    <row r="646" spans="1:11" ht="24" thickBot="1">
      <c r="A646" s="389"/>
      <c r="B646" s="390"/>
      <c r="C646" s="381"/>
      <c r="D646" s="398"/>
      <c r="E646" s="398"/>
      <c r="F646" s="398"/>
      <c r="G646" s="398"/>
      <c r="H646" s="366"/>
      <c r="I646" s="398"/>
      <c r="K646" s="381"/>
    </row>
    <row r="647" spans="1:11" ht="24" thickTop="1">
      <c r="A647" s="355"/>
      <c r="B647" s="356"/>
      <c r="C647" s="396"/>
      <c r="D647" s="397"/>
      <c r="E647" s="397"/>
      <c r="F647" s="397"/>
      <c r="G647" s="397"/>
      <c r="H647" s="397"/>
      <c r="I647" s="397"/>
      <c r="K647" s="396"/>
    </row>
    <row r="648" spans="1:11" ht="23.25">
      <c r="A648" s="360"/>
      <c r="B648" s="361"/>
      <c r="C648" s="365"/>
      <c r="D648" s="366"/>
      <c r="E648" s="366"/>
      <c r="F648" s="366"/>
      <c r="G648" s="366"/>
      <c r="H648" s="366"/>
      <c r="I648" s="366"/>
      <c r="K648" s="365"/>
    </row>
    <row r="649" spans="1:11" ht="23.25">
      <c r="A649" s="360"/>
      <c r="B649" s="361"/>
      <c r="C649" s="367"/>
      <c r="D649" s="368"/>
      <c r="E649" s="368"/>
      <c r="F649" s="368"/>
      <c r="G649" s="368"/>
      <c r="H649" s="364"/>
      <c r="I649" s="368"/>
      <c r="K649" s="367"/>
    </row>
    <row r="650" spans="1:11" ht="23.25">
      <c r="A650" s="360"/>
      <c r="B650" s="361"/>
      <c r="C650" s="365"/>
      <c r="D650" s="366"/>
      <c r="E650" s="366"/>
      <c r="F650" s="366"/>
      <c r="G650" s="366"/>
      <c r="H650" s="366"/>
      <c r="I650" s="366"/>
      <c r="K650" s="365"/>
    </row>
    <row r="651" spans="1:11" ht="23.25">
      <c r="A651" s="360"/>
      <c r="B651" s="361"/>
      <c r="C651" s="367"/>
      <c r="D651" s="368"/>
      <c r="E651" s="368"/>
      <c r="F651" s="368"/>
      <c r="G651" s="368"/>
      <c r="H651" s="368"/>
      <c r="I651" s="368"/>
      <c r="K651" s="367"/>
    </row>
    <row r="652" spans="1:11" ht="23.25">
      <c r="A652" s="360"/>
      <c r="B652" s="361"/>
      <c r="C652" s="365"/>
      <c r="D652" s="366"/>
      <c r="E652" s="366"/>
      <c r="F652" s="366"/>
      <c r="G652" s="366"/>
      <c r="H652" s="366"/>
      <c r="I652" s="366"/>
      <c r="K652" s="365"/>
    </row>
    <row r="653" spans="1:11" ht="23.25">
      <c r="A653" s="360"/>
      <c r="B653" s="361"/>
      <c r="C653" s="367"/>
      <c r="D653" s="368"/>
      <c r="E653" s="368"/>
      <c r="F653" s="368"/>
      <c r="G653" s="368"/>
      <c r="H653" s="368"/>
      <c r="I653" s="368"/>
      <c r="K653" s="367"/>
    </row>
    <row r="654" spans="1:11" ht="23.25">
      <c r="A654" s="360"/>
      <c r="B654" s="361"/>
      <c r="C654" s="365"/>
      <c r="D654" s="366"/>
      <c r="E654" s="366"/>
      <c r="F654" s="366"/>
      <c r="G654" s="366"/>
      <c r="H654" s="366"/>
      <c r="I654" s="366"/>
      <c r="K654" s="365"/>
    </row>
    <row r="655" spans="1:11" ht="23.25">
      <c r="A655" s="360"/>
      <c r="B655" s="361"/>
      <c r="C655" s="388"/>
      <c r="D655" s="364"/>
      <c r="E655" s="364"/>
      <c r="F655" s="364"/>
      <c r="G655" s="364"/>
      <c r="H655" s="372"/>
      <c r="I655" s="364"/>
      <c r="K655" s="388"/>
    </row>
    <row r="656" spans="1:11" ht="23.25">
      <c r="A656" s="360"/>
      <c r="B656" s="361"/>
      <c r="C656" s="365"/>
      <c r="D656" s="366"/>
      <c r="E656" s="366"/>
      <c r="F656" s="366"/>
      <c r="G656" s="366"/>
      <c r="H656" s="366"/>
      <c r="I656" s="366"/>
      <c r="K656" s="365"/>
    </row>
    <row r="657" spans="1:11" ht="24" thickBot="1">
      <c r="A657" s="392"/>
      <c r="B657" s="393"/>
      <c r="C657" s="399"/>
      <c r="D657" s="400"/>
      <c r="E657" s="400"/>
      <c r="F657" s="400"/>
      <c r="G657" s="400"/>
      <c r="H657" s="364"/>
      <c r="I657" s="400"/>
      <c r="K657" s="399"/>
    </row>
    <row r="658" spans="1:11" ht="24" thickTop="1">
      <c r="A658" s="384"/>
      <c r="B658" s="385"/>
      <c r="C658" s="357"/>
      <c r="D658" s="358"/>
      <c r="E658" s="358"/>
      <c r="F658" s="358"/>
      <c r="G658" s="358"/>
      <c r="H658" s="358"/>
      <c r="I658" s="358"/>
      <c r="K658" s="357"/>
    </row>
    <row r="659" spans="1:11" ht="23.25">
      <c r="A659" s="386"/>
      <c r="B659" s="387"/>
      <c r="C659" s="388"/>
      <c r="D659" s="364"/>
      <c r="E659" s="364"/>
      <c r="F659" s="364"/>
      <c r="G659" s="364"/>
      <c r="H659" s="364"/>
      <c r="I659" s="364"/>
      <c r="K659" s="388"/>
    </row>
    <row r="660" spans="1:11" ht="23.25">
      <c r="A660" s="386"/>
      <c r="B660" s="387"/>
      <c r="C660" s="365"/>
      <c r="D660" s="366"/>
      <c r="E660" s="366"/>
      <c r="F660" s="366"/>
      <c r="G660" s="366"/>
      <c r="H660" s="366"/>
      <c r="I660" s="366"/>
      <c r="K660" s="365"/>
    </row>
    <row r="661" spans="1:11" ht="23.25">
      <c r="A661" s="386"/>
      <c r="B661" s="387"/>
      <c r="C661" s="367"/>
      <c r="D661" s="368"/>
      <c r="E661" s="368"/>
      <c r="F661" s="368"/>
      <c r="G661" s="368"/>
      <c r="H661" s="368"/>
      <c r="I661" s="368"/>
      <c r="K661" s="367"/>
    </row>
    <row r="662" spans="1:11" ht="23.25">
      <c r="A662" s="386"/>
      <c r="B662" s="387"/>
      <c r="C662" s="365"/>
      <c r="D662" s="366"/>
      <c r="E662" s="366"/>
      <c r="F662" s="366"/>
      <c r="G662" s="366"/>
      <c r="H662" s="366"/>
      <c r="I662" s="366"/>
      <c r="K662" s="365"/>
    </row>
    <row r="663" spans="1:11" ht="23.25">
      <c r="A663" s="386"/>
      <c r="B663" s="387"/>
      <c r="C663" s="367"/>
      <c r="D663" s="368"/>
      <c r="E663" s="368"/>
      <c r="F663" s="368"/>
      <c r="G663" s="368"/>
      <c r="H663" s="368"/>
      <c r="I663" s="368"/>
      <c r="K663" s="367"/>
    </row>
    <row r="664" spans="1:11" ht="23.25">
      <c r="A664" s="386"/>
      <c r="B664" s="387"/>
      <c r="C664" s="365"/>
      <c r="D664" s="366"/>
      <c r="E664" s="366"/>
      <c r="F664" s="366"/>
      <c r="G664" s="366"/>
      <c r="H664" s="366"/>
      <c r="I664" s="366"/>
      <c r="K664" s="365"/>
    </row>
    <row r="665" spans="1:11" ht="23.25">
      <c r="A665" s="386"/>
      <c r="B665" s="387"/>
      <c r="C665" s="367"/>
      <c r="D665" s="368"/>
      <c r="E665" s="368"/>
      <c r="F665" s="368"/>
      <c r="G665" s="372"/>
      <c r="H665" s="372"/>
      <c r="I665" s="368"/>
      <c r="K665" s="367"/>
    </row>
    <row r="666" spans="1:11" ht="23.25">
      <c r="A666" s="386"/>
      <c r="B666" s="387"/>
      <c r="C666" s="365"/>
      <c r="D666" s="366"/>
      <c r="E666" s="366"/>
      <c r="F666" s="366"/>
      <c r="G666" s="366"/>
      <c r="H666" s="366"/>
      <c r="I666" s="366"/>
      <c r="K666" s="365"/>
    </row>
    <row r="667" spans="1:11" ht="23.25">
      <c r="A667" s="386"/>
      <c r="B667" s="387"/>
      <c r="C667" s="388"/>
      <c r="D667" s="364"/>
      <c r="E667" s="364"/>
      <c r="F667" s="364"/>
      <c r="G667" s="364"/>
      <c r="H667" s="364"/>
      <c r="I667" s="364"/>
      <c r="K667" s="388"/>
    </row>
    <row r="668" spans="1:11" ht="24" thickBot="1">
      <c r="A668" s="389"/>
      <c r="B668" s="390"/>
      <c r="C668" s="381"/>
      <c r="D668" s="398"/>
      <c r="E668" s="398"/>
      <c r="F668" s="398"/>
      <c r="G668" s="366"/>
      <c r="H668" s="366"/>
      <c r="I668" s="398"/>
      <c r="K668" s="381"/>
    </row>
    <row r="669" spans="1:11" ht="24" thickTop="1">
      <c r="A669" s="355"/>
      <c r="B669" s="356"/>
      <c r="C669" s="396"/>
      <c r="D669" s="397"/>
      <c r="E669" s="397"/>
      <c r="F669" s="397"/>
      <c r="G669" s="397"/>
      <c r="H669" s="397"/>
      <c r="I669" s="397"/>
      <c r="K669" s="396"/>
    </row>
    <row r="670" spans="1:11" ht="23.25">
      <c r="A670" s="360"/>
      <c r="B670" s="361"/>
      <c r="C670" s="365"/>
      <c r="D670" s="366"/>
      <c r="E670" s="366"/>
      <c r="F670" s="366"/>
      <c r="G670" s="366"/>
      <c r="H670" s="366"/>
      <c r="I670" s="366"/>
      <c r="K670" s="365"/>
    </row>
    <row r="671" spans="1:11" ht="23.25">
      <c r="A671" s="360"/>
      <c r="B671" s="361"/>
      <c r="C671" s="367"/>
      <c r="D671" s="368"/>
      <c r="E671" s="368"/>
      <c r="F671" s="368"/>
      <c r="G671" s="368"/>
      <c r="H671" s="364"/>
      <c r="I671" s="368"/>
      <c r="K671" s="367"/>
    </row>
    <row r="672" spans="1:11" ht="23.25">
      <c r="A672" s="360"/>
      <c r="B672" s="361"/>
      <c r="C672" s="365"/>
      <c r="D672" s="366"/>
      <c r="E672" s="366"/>
      <c r="F672" s="366"/>
      <c r="G672" s="366"/>
      <c r="H672" s="366"/>
      <c r="I672" s="366"/>
      <c r="K672" s="365"/>
    </row>
    <row r="673" spans="1:11" ht="23.25">
      <c r="A673" s="360"/>
      <c r="B673" s="361"/>
      <c r="C673" s="367"/>
      <c r="D673" s="368"/>
      <c r="E673" s="368"/>
      <c r="F673" s="368"/>
      <c r="G673" s="368"/>
      <c r="H673" s="368"/>
      <c r="I673" s="368"/>
      <c r="K673" s="367"/>
    </row>
    <row r="674" spans="1:11" ht="23.25">
      <c r="A674" s="360"/>
      <c r="B674" s="361"/>
      <c r="C674" s="365"/>
      <c r="D674" s="366"/>
      <c r="E674" s="366"/>
      <c r="F674" s="366"/>
      <c r="G674" s="366"/>
      <c r="H674" s="366"/>
      <c r="I674" s="366"/>
      <c r="K674" s="365"/>
    </row>
    <row r="675" spans="1:11" ht="23.25">
      <c r="A675" s="360"/>
      <c r="B675" s="361"/>
      <c r="C675" s="367"/>
      <c r="D675" s="368"/>
      <c r="E675" s="368"/>
      <c r="F675" s="368"/>
      <c r="G675" s="368"/>
      <c r="H675" s="368"/>
      <c r="I675" s="368"/>
      <c r="K675" s="367"/>
    </row>
    <row r="676" spans="1:11" ht="23.25">
      <c r="A676" s="360"/>
      <c r="B676" s="361"/>
      <c r="C676" s="365"/>
      <c r="D676" s="366"/>
      <c r="E676" s="366"/>
      <c r="F676" s="366"/>
      <c r="G676" s="366"/>
      <c r="H676" s="366"/>
      <c r="I676" s="366"/>
      <c r="K676" s="365"/>
    </row>
    <row r="677" spans="1:11" ht="23.25">
      <c r="A677" s="360"/>
      <c r="B677" s="361"/>
      <c r="C677" s="388"/>
      <c r="D677" s="364"/>
      <c r="E677" s="364"/>
      <c r="F677" s="364"/>
      <c r="G677" s="364"/>
      <c r="H677" s="372"/>
      <c r="I677" s="364"/>
      <c r="K677" s="388"/>
    </row>
    <row r="678" spans="1:11" ht="23.25">
      <c r="A678" s="360"/>
      <c r="B678" s="361"/>
      <c r="C678" s="365"/>
      <c r="D678" s="366"/>
      <c r="E678" s="366"/>
      <c r="F678" s="366"/>
      <c r="G678" s="366"/>
      <c r="H678" s="366"/>
      <c r="I678" s="366"/>
      <c r="K678" s="365"/>
    </row>
    <row r="679" spans="1:11" ht="24" thickBot="1">
      <c r="A679" s="392"/>
      <c r="B679" s="393"/>
      <c r="C679" s="399"/>
      <c r="D679" s="400"/>
      <c r="E679" s="400"/>
      <c r="F679" s="400"/>
      <c r="G679" s="400"/>
      <c r="H679" s="364"/>
      <c r="I679" s="400"/>
      <c r="K679" s="399"/>
    </row>
    <row r="680" spans="1:11" ht="24" thickTop="1">
      <c r="A680" s="384"/>
      <c r="B680" s="385"/>
      <c r="C680" s="357"/>
      <c r="D680" s="358"/>
      <c r="E680" s="358"/>
      <c r="F680" s="358"/>
      <c r="G680" s="358"/>
      <c r="H680" s="358"/>
      <c r="I680" s="358"/>
      <c r="K680" s="357"/>
    </row>
    <row r="681" spans="1:11" ht="23.25">
      <c r="A681" s="386"/>
      <c r="B681" s="387"/>
      <c r="C681" s="388"/>
      <c r="D681" s="364"/>
      <c r="E681" s="364"/>
      <c r="F681" s="364"/>
      <c r="G681" s="364"/>
      <c r="H681" s="364"/>
      <c r="I681" s="364"/>
      <c r="K681" s="388"/>
    </row>
    <row r="682" spans="1:11" ht="23.25">
      <c r="A682" s="386"/>
      <c r="B682" s="387"/>
      <c r="C682" s="365"/>
      <c r="D682" s="366"/>
      <c r="E682" s="366"/>
      <c r="F682" s="366"/>
      <c r="G682" s="366"/>
      <c r="H682" s="366"/>
      <c r="I682" s="366"/>
      <c r="K682" s="365"/>
    </row>
    <row r="683" spans="1:11" ht="23.25">
      <c r="A683" s="386"/>
      <c r="B683" s="387"/>
      <c r="C683" s="367"/>
      <c r="D683" s="368"/>
      <c r="E683" s="368"/>
      <c r="F683" s="368"/>
      <c r="G683" s="368"/>
      <c r="H683" s="368"/>
      <c r="I683" s="368"/>
      <c r="K683" s="367"/>
    </row>
    <row r="684" spans="1:11" ht="23.25">
      <c r="A684" s="386"/>
      <c r="B684" s="387"/>
      <c r="C684" s="365"/>
      <c r="D684" s="366"/>
      <c r="E684" s="366"/>
      <c r="F684" s="366"/>
      <c r="G684" s="366"/>
      <c r="H684" s="366"/>
      <c r="I684" s="366"/>
      <c r="K684" s="365"/>
    </row>
    <row r="685" spans="1:11" ht="23.25">
      <c r="A685" s="386"/>
      <c r="B685" s="387"/>
      <c r="C685" s="367"/>
      <c r="D685" s="368"/>
      <c r="E685" s="368"/>
      <c r="F685" s="368"/>
      <c r="G685" s="368"/>
      <c r="H685" s="368"/>
      <c r="I685" s="368"/>
      <c r="K685" s="367"/>
    </row>
    <row r="686" spans="1:11" ht="23.25">
      <c r="A686" s="386"/>
      <c r="B686" s="387"/>
      <c r="C686" s="365"/>
      <c r="D686" s="366"/>
      <c r="E686" s="366"/>
      <c r="F686" s="366"/>
      <c r="G686" s="366"/>
      <c r="H686" s="366"/>
      <c r="I686" s="366"/>
      <c r="K686" s="365"/>
    </row>
    <row r="687" spans="1:11" ht="23.25">
      <c r="A687" s="386"/>
      <c r="B687" s="387"/>
      <c r="C687" s="367"/>
      <c r="D687" s="368"/>
      <c r="E687" s="368"/>
      <c r="F687" s="368"/>
      <c r="G687" s="368"/>
      <c r="H687" s="372"/>
      <c r="I687" s="368"/>
      <c r="K687" s="367"/>
    </row>
    <row r="688" spans="1:11" ht="23.25">
      <c r="A688" s="386"/>
      <c r="B688" s="387"/>
      <c r="C688" s="365"/>
      <c r="D688" s="366"/>
      <c r="E688" s="366"/>
      <c r="F688" s="366"/>
      <c r="G688" s="366"/>
      <c r="H688" s="366"/>
      <c r="I688" s="366"/>
      <c r="K688" s="365"/>
    </row>
    <row r="689" spans="1:11" ht="23.25">
      <c r="A689" s="386"/>
      <c r="B689" s="387"/>
      <c r="C689" s="388"/>
      <c r="D689" s="364"/>
      <c r="E689" s="364"/>
      <c r="F689" s="364"/>
      <c r="G689" s="364"/>
      <c r="H689" s="364"/>
      <c r="I689" s="364"/>
      <c r="K689" s="388"/>
    </row>
    <row r="690" spans="1:11" ht="24" thickBot="1">
      <c r="A690" s="389"/>
      <c r="B690" s="390"/>
      <c r="C690" s="381"/>
      <c r="D690" s="398"/>
      <c r="E690" s="398"/>
      <c r="F690" s="398"/>
      <c r="G690" s="398"/>
      <c r="H690" s="366"/>
      <c r="I690" s="398"/>
      <c r="K690" s="381"/>
    </row>
    <row r="691" spans="1:11" ht="24" thickTop="1">
      <c r="A691" s="355"/>
      <c r="B691" s="356"/>
      <c r="C691" s="396"/>
      <c r="D691" s="397"/>
      <c r="E691" s="397"/>
      <c r="F691" s="397"/>
      <c r="G691" s="397"/>
      <c r="H691" s="397"/>
      <c r="I691" s="397"/>
      <c r="K691" s="396"/>
    </row>
    <row r="692" spans="1:11" ht="23.25">
      <c r="A692" s="360"/>
      <c r="B692" s="361"/>
      <c r="C692" s="365"/>
      <c r="D692" s="366"/>
      <c r="E692" s="366"/>
      <c r="F692" s="366"/>
      <c r="G692" s="366"/>
      <c r="H692" s="366"/>
      <c r="I692" s="366"/>
      <c r="K692" s="365"/>
    </row>
    <row r="693" spans="1:11" ht="23.25">
      <c r="A693" s="360"/>
      <c r="B693" s="361"/>
      <c r="C693" s="367"/>
      <c r="D693" s="368"/>
      <c r="E693" s="368"/>
      <c r="F693" s="368"/>
      <c r="G693" s="368"/>
      <c r="H693" s="364"/>
      <c r="I693" s="368"/>
      <c r="K693" s="367"/>
    </row>
    <row r="694" spans="1:11" ht="23.25">
      <c r="A694" s="360"/>
      <c r="B694" s="361"/>
      <c r="C694" s="365"/>
      <c r="D694" s="366"/>
      <c r="E694" s="366"/>
      <c r="F694" s="366"/>
      <c r="G694" s="366"/>
      <c r="H694" s="366"/>
      <c r="I694" s="366"/>
      <c r="K694" s="365"/>
    </row>
    <row r="695" spans="1:11" ht="23.25">
      <c r="A695" s="360"/>
      <c r="B695" s="361"/>
      <c r="C695" s="367"/>
      <c r="D695" s="368"/>
      <c r="E695" s="368"/>
      <c r="F695" s="368"/>
      <c r="G695" s="368"/>
      <c r="H695" s="368"/>
      <c r="I695" s="368"/>
      <c r="K695" s="367"/>
    </row>
    <row r="696" spans="1:11" ht="23.25">
      <c r="A696" s="360"/>
      <c r="B696" s="361"/>
      <c r="C696" s="365"/>
      <c r="D696" s="366"/>
      <c r="E696" s="366"/>
      <c r="F696" s="366"/>
      <c r="G696" s="366"/>
      <c r="H696" s="366"/>
      <c r="I696" s="366"/>
      <c r="K696" s="365"/>
    </row>
    <row r="697" spans="1:11" ht="23.25">
      <c r="A697" s="360"/>
      <c r="B697" s="361"/>
      <c r="C697" s="367"/>
      <c r="D697" s="368"/>
      <c r="E697" s="368"/>
      <c r="F697" s="368"/>
      <c r="G697" s="368"/>
      <c r="H697" s="368"/>
      <c r="I697" s="368"/>
      <c r="K697" s="367"/>
    </row>
    <row r="698" spans="1:11" ht="23.25">
      <c r="A698" s="360"/>
      <c r="B698" s="361"/>
      <c r="C698" s="365"/>
      <c r="D698" s="366"/>
      <c r="E698" s="366"/>
      <c r="F698" s="366"/>
      <c r="G698" s="366"/>
      <c r="H698" s="366"/>
      <c r="I698" s="366"/>
      <c r="K698" s="365"/>
    </row>
    <row r="699" spans="1:11" ht="23.25">
      <c r="A699" s="360"/>
      <c r="B699" s="361"/>
      <c r="C699" s="388"/>
      <c r="D699" s="364"/>
      <c r="E699" s="364"/>
      <c r="F699" s="364"/>
      <c r="G699" s="364"/>
      <c r="H699" s="372"/>
      <c r="I699" s="364"/>
      <c r="K699" s="388"/>
    </row>
    <row r="700" spans="1:11" ht="23.25">
      <c r="A700" s="360"/>
      <c r="B700" s="361"/>
      <c r="C700" s="365"/>
      <c r="D700" s="366"/>
      <c r="E700" s="366"/>
      <c r="F700" s="366"/>
      <c r="G700" s="366"/>
      <c r="H700" s="366"/>
      <c r="I700" s="366"/>
      <c r="K700" s="365"/>
    </row>
    <row r="701" spans="1:11" ht="24" thickBot="1">
      <c r="A701" s="392"/>
      <c r="B701" s="393"/>
      <c r="C701" s="399"/>
      <c r="D701" s="400"/>
      <c r="E701" s="400"/>
      <c r="F701" s="400"/>
      <c r="G701" s="400"/>
      <c r="H701" s="364"/>
      <c r="I701" s="400"/>
      <c r="K701" s="399"/>
    </row>
    <row r="702" spans="1:11" ht="24" thickTop="1">
      <c r="A702" s="355"/>
      <c r="B702" s="356"/>
      <c r="C702" s="396"/>
      <c r="D702" s="397"/>
      <c r="E702" s="397"/>
      <c r="F702" s="397"/>
      <c r="G702" s="397"/>
      <c r="H702" s="397"/>
      <c r="I702" s="397"/>
      <c r="K702" s="396"/>
    </row>
    <row r="703" spans="1:11" ht="23.25">
      <c r="A703" s="360"/>
      <c r="B703" s="361"/>
      <c r="C703" s="365"/>
      <c r="D703" s="366"/>
      <c r="E703" s="366"/>
      <c r="F703" s="366"/>
      <c r="G703" s="366"/>
      <c r="H703" s="366"/>
      <c r="I703" s="366"/>
      <c r="K703" s="365"/>
    </row>
    <row r="704" spans="1:11" ht="23.25">
      <c r="A704" s="360"/>
      <c r="B704" s="361"/>
      <c r="C704" s="367"/>
      <c r="D704" s="368"/>
      <c r="E704" s="368"/>
      <c r="F704" s="368"/>
      <c r="G704" s="368"/>
      <c r="H704" s="364"/>
      <c r="I704" s="368"/>
      <c r="K704" s="367"/>
    </row>
    <row r="705" spans="1:11" ht="23.25">
      <c r="A705" s="360"/>
      <c r="B705" s="361"/>
      <c r="C705" s="365"/>
      <c r="D705" s="366"/>
      <c r="E705" s="366"/>
      <c r="F705" s="366"/>
      <c r="G705" s="366"/>
      <c r="H705" s="366"/>
      <c r="I705" s="366"/>
      <c r="K705" s="365"/>
    </row>
    <row r="706" spans="1:11" ht="23.25">
      <c r="A706" s="360"/>
      <c r="B706" s="361"/>
      <c r="C706" s="367"/>
      <c r="D706" s="368"/>
      <c r="E706" s="368"/>
      <c r="F706" s="368"/>
      <c r="G706" s="368"/>
      <c r="H706" s="368"/>
      <c r="I706" s="368"/>
      <c r="K706" s="367"/>
    </row>
    <row r="707" spans="1:11" ht="23.25">
      <c r="A707" s="360"/>
      <c r="B707" s="361"/>
      <c r="C707" s="365"/>
      <c r="D707" s="366"/>
      <c r="E707" s="366"/>
      <c r="F707" s="366"/>
      <c r="G707" s="366"/>
      <c r="H707" s="366"/>
      <c r="I707" s="366"/>
      <c r="K707" s="365"/>
    </row>
    <row r="708" spans="1:11" ht="23.25">
      <c r="A708" s="360"/>
      <c r="B708" s="361"/>
      <c r="C708" s="367"/>
      <c r="D708" s="368"/>
      <c r="E708" s="368"/>
      <c r="F708" s="368"/>
      <c r="G708" s="368"/>
      <c r="H708" s="368"/>
      <c r="I708" s="368"/>
      <c r="K708" s="367"/>
    </row>
    <row r="709" spans="1:11" ht="23.25">
      <c r="A709" s="360"/>
      <c r="B709" s="361"/>
      <c r="C709" s="365"/>
      <c r="D709" s="366"/>
      <c r="E709" s="366"/>
      <c r="F709" s="366"/>
      <c r="G709" s="366"/>
      <c r="H709" s="366"/>
      <c r="I709" s="366"/>
      <c r="K709" s="365"/>
    </row>
    <row r="710" spans="1:11" ht="23.25">
      <c r="A710" s="360"/>
      <c r="B710" s="361"/>
      <c r="C710" s="388"/>
      <c r="D710" s="364"/>
      <c r="E710" s="364"/>
      <c r="F710" s="364"/>
      <c r="G710" s="364"/>
      <c r="H710" s="372"/>
      <c r="I710" s="364"/>
      <c r="K710" s="388"/>
    </row>
    <row r="711" spans="1:11" ht="23.25">
      <c r="A711" s="360"/>
      <c r="B711" s="361"/>
      <c r="C711" s="365"/>
      <c r="D711" s="366"/>
      <c r="E711" s="366"/>
      <c r="F711" s="366"/>
      <c r="G711" s="366"/>
      <c r="H711" s="366"/>
      <c r="I711" s="366"/>
      <c r="K711" s="365"/>
    </row>
    <row r="712" spans="1:11" ht="24" thickBot="1">
      <c r="A712" s="392"/>
      <c r="B712" s="393"/>
      <c r="C712" s="399"/>
      <c r="D712" s="400"/>
      <c r="E712" s="400"/>
      <c r="F712" s="400"/>
      <c r="G712" s="400"/>
      <c r="H712" s="364"/>
      <c r="I712" s="400"/>
      <c r="K712" s="399"/>
    </row>
    <row r="713" spans="1:11" ht="24" thickTop="1">
      <c r="A713" s="384"/>
      <c r="B713" s="385"/>
      <c r="C713" s="357"/>
      <c r="D713" s="358"/>
      <c r="E713" s="358"/>
      <c r="F713" s="358"/>
      <c r="G713" s="358"/>
      <c r="H713" s="358"/>
      <c r="I713" s="358"/>
      <c r="K713" s="357"/>
    </row>
    <row r="714" spans="1:11" ht="23.25">
      <c r="A714" s="386"/>
      <c r="B714" s="387"/>
      <c r="C714" s="388"/>
      <c r="D714" s="364"/>
      <c r="E714" s="364"/>
      <c r="F714" s="364"/>
      <c r="G714" s="364"/>
      <c r="H714" s="364"/>
      <c r="I714" s="364"/>
      <c r="K714" s="388"/>
    </row>
    <row r="715" spans="1:11" ht="23.25">
      <c r="A715" s="386"/>
      <c r="B715" s="387"/>
      <c r="C715" s="365"/>
      <c r="D715" s="366"/>
      <c r="E715" s="366"/>
      <c r="F715" s="366"/>
      <c r="G715" s="366"/>
      <c r="H715" s="366"/>
      <c r="I715" s="366"/>
      <c r="K715" s="365"/>
    </row>
    <row r="716" spans="1:11" ht="23.25">
      <c r="A716" s="386"/>
      <c r="B716" s="387"/>
      <c r="C716" s="367"/>
      <c r="D716" s="368"/>
      <c r="E716" s="368"/>
      <c r="F716" s="368"/>
      <c r="G716" s="368"/>
      <c r="H716" s="368"/>
      <c r="I716" s="368"/>
      <c r="K716" s="367"/>
    </row>
    <row r="717" spans="1:11" ht="23.25">
      <c r="A717" s="386"/>
      <c r="B717" s="387"/>
      <c r="C717" s="365"/>
      <c r="D717" s="366"/>
      <c r="E717" s="366"/>
      <c r="F717" s="366"/>
      <c r="G717" s="366"/>
      <c r="H717" s="366"/>
      <c r="I717" s="366"/>
      <c r="K717" s="365"/>
    </row>
    <row r="718" spans="1:11" ht="23.25">
      <c r="A718" s="386"/>
      <c r="B718" s="387"/>
      <c r="C718" s="367"/>
      <c r="D718" s="368"/>
      <c r="E718" s="368"/>
      <c r="F718" s="368"/>
      <c r="G718" s="368"/>
      <c r="H718" s="368"/>
      <c r="I718" s="368"/>
      <c r="K718" s="367"/>
    </row>
    <row r="719" spans="1:11" ht="23.25">
      <c r="A719" s="386"/>
      <c r="B719" s="387"/>
      <c r="C719" s="365"/>
      <c r="D719" s="366"/>
      <c r="E719" s="366"/>
      <c r="F719" s="366"/>
      <c r="G719" s="366"/>
      <c r="H719" s="366"/>
      <c r="I719" s="366"/>
      <c r="K719" s="365"/>
    </row>
    <row r="720" spans="1:11" ht="23.25">
      <c r="A720" s="386"/>
      <c r="B720" s="387"/>
      <c r="C720" s="367"/>
      <c r="D720" s="368"/>
      <c r="E720" s="368"/>
      <c r="F720" s="368"/>
      <c r="G720" s="368"/>
      <c r="H720" s="372"/>
      <c r="I720" s="368"/>
      <c r="K720" s="367"/>
    </row>
    <row r="721" spans="1:11" ht="23.25">
      <c r="A721" s="386"/>
      <c r="B721" s="387"/>
      <c r="C721" s="365"/>
      <c r="D721" s="366"/>
      <c r="E721" s="366"/>
      <c r="F721" s="366"/>
      <c r="G721" s="366"/>
      <c r="H721" s="366"/>
      <c r="I721" s="366"/>
      <c r="K721" s="365"/>
    </row>
    <row r="722" spans="1:11" ht="23.25">
      <c r="A722" s="386"/>
      <c r="B722" s="387"/>
      <c r="C722" s="388"/>
      <c r="D722" s="364"/>
      <c r="E722" s="364"/>
      <c r="F722" s="364"/>
      <c r="G722" s="364"/>
      <c r="H722" s="364"/>
      <c r="I722" s="364"/>
      <c r="K722" s="388"/>
    </row>
    <row r="723" spans="1:11" ht="24" thickBot="1">
      <c r="A723" s="389"/>
      <c r="B723" s="390"/>
      <c r="C723" s="381"/>
      <c r="D723" s="398"/>
      <c r="E723" s="398"/>
      <c r="F723" s="398"/>
      <c r="G723" s="398"/>
      <c r="H723" s="366"/>
      <c r="I723" s="398"/>
      <c r="K723" s="381"/>
    </row>
    <row r="724" spans="1:11" ht="24" thickTop="1">
      <c r="A724" s="355"/>
      <c r="B724" s="356"/>
      <c r="C724" s="396"/>
      <c r="D724" s="397"/>
      <c r="E724" s="397"/>
      <c r="F724" s="397"/>
      <c r="G724" s="397"/>
      <c r="H724" s="397"/>
      <c r="I724" s="397"/>
      <c r="K724" s="396"/>
    </row>
    <row r="725" spans="1:11" ht="23.25">
      <c r="A725" s="360"/>
      <c r="B725" s="361"/>
      <c r="C725" s="365"/>
      <c r="D725" s="366"/>
      <c r="E725" s="366"/>
      <c r="F725" s="366"/>
      <c r="G725" s="366"/>
      <c r="H725" s="366"/>
      <c r="I725" s="366"/>
      <c r="K725" s="365"/>
    </row>
    <row r="726" spans="1:11" ht="23.25">
      <c r="A726" s="360"/>
      <c r="B726" s="361"/>
      <c r="C726" s="367"/>
      <c r="D726" s="368"/>
      <c r="E726" s="368"/>
      <c r="F726" s="368"/>
      <c r="G726" s="368"/>
      <c r="H726" s="364"/>
      <c r="I726" s="368"/>
      <c r="K726" s="367"/>
    </row>
    <row r="727" spans="1:11" ht="23.25">
      <c r="A727" s="360"/>
      <c r="B727" s="361"/>
      <c r="C727" s="365"/>
      <c r="D727" s="366"/>
      <c r="E727" s="366"/>
      <c r="F727" s="366"/>
      <c r="G727" s="366"/>
      <c r="H727" s="366"/>
      <c r="I727" s="366"/>
      <c r="K727" s="365"/>
    </row>
    <row r="728" spans="1:11" ht="23.25">
      <c r="A728" s="360"/>
      <c r="B728" s="361"/>
      <c r="C728" s="367"/>
      <c r="D728" s="368"/>
      <c r="E728" s="368"/>
      <c r="F728" s="368"/>
      <c r="G728" s="368"/>
      <c r="H728" s="368"/>
      <c r="I728" s="368"/>
      <c r="K728" s="367"/>
    </row>
    <row r="729" spans="1:11" ht="23.25">
      <c r="A729" s="360"/>
      <c r="B729" s="361"/>
      <c r="C729" s="365"/>
      <c r="D729" s="366"/>
      <c r="E729" s="366"/>
      <c r="F729" s="366"/>
      <c r="G729" s="366"/>
      <c r="H729" s="366"/>
      <c r="I729" s="366"/>
      <c r="K729" s="365"/>
    </row>
    <row r="730" spans="1:11" ht="23.25">
      <c r="A730" s="360"/>
      <c r="B730" s="361"/>
      <c r="C730" s="367"/>
      <c r="D730" s="368"/>
      <c r="E730" s="368"/>
      <c r="F730" s="368"/>
      <c r="G730" s="368"/>
      <c r="H730" s="368"/>
      <c r="I730" s="368"/>
      <c r="K730" s="367"/>
    </row>
    <row r="731" spans="1:11" ht="23.25">
      <c r="A731" s="360"/>
      <c r="B731" s="361"/>
      <c r="C731" s="365"/>
      <c r="D731" s="366"/>
      <c r="E731" s="366"/>
      <c r="F731" s="366"/>
      <c r="G731" s="366"/>
      <c r="H731" s="366"/>
      <c r="I731" s="366"/>
      <c r="K731" s="365"/>
    </row>
    <row r="732" spans="1:11" ht="23.25">
      <c r="A732" s="360"/>
      <c r="B732" s="361"/>
      <c r="C732" s="388"/>
      <c r="D732" s="364"/>
      <c r="E732" s="364"/>
      <c r="F732" s="364"/>
      <c r="G732" s="364"/>
      <c r="H732" s="372"/>
      <c r="I732" s="364"/>
      <c r="K732" s="388"/>
    </row>
    <row r="733" spans="1:11" ht="23.25">
      <c r="A733" s="360"/>
      <c r="B733" s="361"/>
      <c r="C733" s="365"/>
      <c r="D733" s="366"/>
      <c r="E733" s="366"/>
      <c r="F733" s="366"/>
      <c r="G733" s="366"/>
      <c r="H733" s="366"/>
      <c r="I733" s="366"/>
      <c r="K733" s="365"/>
    </row>
    <row r="734" spans="1:11" ht="24" thickBot="1">
      <c r="A734" s="392"/>
      <c r="B734" s="393"/>
      <c r="C734" s="399"/>
      <c r="D734" s="400"/>
      <c r="E734" s="400"/>
      <c r="F734" s="400"/>
      <c r="G734" s="400"/>
      <c r="H734" s="364"/>
      <c r="I734" s="400"/>
      <c r="K734" s="399"/>
    </row>
    <row r="735" spans="1:11" ht="24" thickTop="1">
      <c r="A735" s="384"/>
      <c r="B735" s="385"/>
      <c r="C735" s="357"/>
      <c r="D735" s="358"/>
      <c r="E735" s="358"/>
      <c r="F735" s="358"/>
      <c r="G735" s="358"/>
      <c r="H735" s="358"/>
      <c r="I735" s="358"/>
      <c r="K735" s="357"/>
    </row>
    <row r="736" spans="1:11" ht="23.25">
      <c r="A736" s="386"/>
      <c r="B736" s="387"/>
      <c r="C736" s="388"/>
      <c r="D736" s="364"/>
      <c r="E736" s="364"/>
      <c r="F736" s="364"/>
      <c r="G736" s="364"/>
      <c r="H736" s="364"/>
      <c r="I736" s="364"/>
      <c r="K736" s="388"/>
    </row>
    <row r="737" spans="1:11" ht="23.25">
      <c r="A737" s="386"/>
      <c r="B737" s="387"/>
      <c r="C737" s="365"/>
      <c r="D737" s="366"/>
      <c r="E737" s="366"/>
      <c r="F737" s="366"/>
      <c r="G737" s="366"/>
      <c r="H737" s="366"/>
      <c r="I737" s="366"/>
      <c r="K737" s="365"/>
    </row>
    <row r="738" spans="1:11" ht="23.25">
      <c r="A738" s="386"/>
      <c r="B738" s="387"/>
      <c r="C738" s="367"/>
      <c r="D738" s="368"/>
      <c r="E738" s="368"/>
      <c r="F738" s="368"/>
      <c r="G738" s="368"/>
      <c r="H738" s="368"/>
      <c r="I738" s="368"/>
      <c r="K738" s="367"/>
    </row>
    <row r="739" spans="1:11" ht="23.25">
      <c r="A739" s="386"/>
      <c r="B739" s="387"/>
      <c r="C739" s="365"/>
      <c r="D739" s="366"/>
      <c r="E739" s="366"/>
      <c r="F739" s="366"/>
      <c r="G739" s="366"/>
      <c r="H739" s="366"/>
      <c r="I739" s="366"/>
      <c r="K739" s="365"/>
    </row>
    <row r="740" spans="1:11" ht="23.25">
      <c r="A740" s="386"/>
      <c r="B740" s="387"/>
      <c r="C740" s="367"/>
      <c r="D740" s="368"/>
      <c r="E740" s="368"/>
      <c r="F740" s="368"/>
      <c r="G740" s="368"/>
      <c r="H740" s="368"/>
      <c r="I740" s="368"/>
      <c r="K740" s="367"/>
    </row>
    <row r="741" spans="1:11" ht="23.25">
      <c r="A741" s="386"/>
      <c r="B741" s="387"/>
      <c r="C741" s="365"/>
      <c r="D741" s="366"/>
      <c r="E741" s="366"/>
      <c r="F741" s="366"/>
      <c r="G741" s="366"/>
      <c r="H741" s="366"/>
      <c r="I741" s="366"/>
      <c r="K741" s="365"/>
    </row>
    <row r="742" spans="1:11" ht="23.25">
      <c r="A742" s="386"/>
      <c r="B742" s="387"/>
      <c r="C742" s="367"/>
      <c r="D742" s="368"/>
      <c r="E742" s="368"/>
      <c r="F742" s="368"/>
      <c r="G742" s="368"/>
      <c r="H742" s="372"/>
      <c r="I742" s="368"/>
      <c r="K742" s="367"/>
    </row>
    <row r="743" spans="1:11" ht="23.25">
      <c r="A743" s="386"/>
      <c r="B743" s="387"/>
      <c r="C743" s="365"/>
      <c r="D743" s="366"/>
      <c r="E743" s="366"/>
      <c r="F743" s="366"/>
      <c r="G743" s="366"/>
      <c r="H743" s="366"/>
      <c r="I743" s="366"/>
      <c r="K743" s="365"/>
    </row>
    <row r="744" spans="1:11" ht="23.25">
      <c r="A744" s="386"/>
      <c r="B744" s="387"/>
      <c r="C744" s="388"/>
      <c r="D744" s="364"/>
      <c r="E744" s="364"/>
      <c r="F744" s="364"/>
      <c r="G744" s="364"/>
      <c r="H744" s="364"/>
      <c r="I744" s="364"/>
      <c r="K744" s="388"/>
    </row>
    <row r="745" spans="1:11" ht="24" thickBot="1">
      <c r="A745" s="389"/>
      <c r="B745" s="390"/>
      <c r="C745" s="381"/>
      <c r="D745" s="398"/>
      <c r="E745" s="398"/>
      <c r="F745" s="398"/>
      <c r="G745" s="398"/>
      <c r="H745" s="366"/>
      <c r="I745" s="398"/>
      <c r="K745" s="381"/>
    </row>
    <row r="746" spans="1:11" ht="24" thickTop="1">
      <c r="A746" s="355"/>
      <c r="B746" s="356"/>
      <c r="C746" s="396"/>
      <c r="D746" s="397"/>
      <c r="E746" s="397"/>
      <c r="F746" s="397"/>
      <c r="G746" s="397"/>
      <c r="H746" s="397"/>
      <c r="I746" s="397"/>
      <c r="K746" s="396"/>
    </row>
    <row r="747" spans="1:11" ht="23.25">
      <c r="A747" s="360"/>
      <c r="B747" s="361"/>
      <c r="C747" s="365"/>
      <c r="D747" s="366"/>
      <c r="E747" s="366"/>
      <c r="F747" s="366"/>
      <c r="G747" s="366"/>
      <c r="H747" s="366"/>
      <c r="I747" s="366"/>
      <c r="K747" s="365"/>
    </row>
    <row r="748" spans="1:11" ht="23.25">
      <c r="A748" s="360"/>
      <c r="B748" s="361"/>
      <c r="C748" s="367"/>
      <c r="D748" s="368"/>
      <c r="E748" s="368"/>
      <c r="F748" s="368"/>
      <c r="G748" s="368"/>
      <c r="H748" s="364"/>
      <c r="I748" s="368"/>
      <c r="K748" s="367"/>
    </row>
    <row r="749" spans="1:11" ht="23.25">
      <c r="A749" s="360"/>
      <c r="B749" s="361"/>
      <c r="C749" s="365"/>
      <c r="D749" s="366"/>
      <c r="E749" s="366"/>
      <c r="F749" s="366"/>
      <c r="G749" s="366"/>
      <c r="H749" s="366"/>
      <c r="I749" s="366"/>
      <c r="K749" s="365"/>
    </row>
    <row r="750" spans="1:11" ht="23.25">
      <c r="A750" s="360"/>
      <c r="B750" s="361"/>
      <c r="C750" s="367"/>
      <c r="D750" s="368"/>
      <c r="E750" s="368"/>
      <c r="F750" s="368"/>
      <c r="G750" s="368"/>
      <c r="H750" s="368"/>
      <c r="I750" s="368"/>
      <c r="K750" s="367"/>
    </row>
    <row r="751" spans="1:11" ht="23.25">
      <c r="A751" s="360"/>
      <c r="B751" s="361"/>
      <c r="C751" s="365"/>
      <c r="D751" s="366"/>
      <c r="E751" s="366"/>
      <c r="F751" s="366"/>
      <c r="G751" s="366"/>
      <c r="H751" s="366"/>
      <c r="I751" s="366"/>
      <c r="K751" s="365"/>
    </row>
    <row r="752" spans="1:11" ht="23.25">
      <c r="A752" s="360"/>
      <c r="B752" s="361"/>
      <c r="C752" s="367"/>
      <c r="D752" s="368"/>
      <c r="E752" s="368"/>
      <c r="F752" s="368"/>
      <c r="G752" s="368"/>
      <c r="H752" s="368"/>
      <c r="I752" s="368"/>
      <c r="K752" s="367"/>
    </row>
    <row r="753" spans="1:11" ht="23.25">
      <c r="A753" s="360"/>
      <c r="B753" s="361"/>
      <c r="C753" s="365"/>
      <c r="D753" s="366"/>
      <c r="E753" s="366"/>
      <c r="F753" s="366"/>
      <c r="G753" s="366"/>
      <c r="H753" s="366"/>
      <c r="I753" s="366"/>
      <c r="K753" s="365"/>
    </row>
    <row r="754" spans="1:11" ht="23.25">
      <c r="A754" s="360"/>
      <c r="B754" s="361"/>
      <c r="C754" s="388"/>
      <c r="D754" s="364"/>
      <c r="E754" s="364"/>
      <c r="F754" s="364"/>
      <c r="G754" s="364"/>
      <c r="H754" s="372"/>
      <c r="I754" s="364"/>
      <c r="K754" s="388"/>
    </row>
    <row r="755" spans="1:11" ht="23.25">
      <c r="A755" s="360"/>
      <c r="B755" s="361"/>
      <c r="C755" s="365"/>
      <c r="D755" s="366"/>
      <c r="E755" s="366"/>
      <c r="F755" s="366"/>
      <c r="G755" s="366"/>
      <c r="H755" s="366"/>
      <c r="I755" s="366"/>
      <c r="K755" s="365"/>
    </row>
    <row r="756" spans="1:11" ht="24" thickBot="1">
      <c r="A756" s="392"/>
      <c r="B756" s="393"/>
      <c r="C756" s="399"/>
      <c r="D756" s="400"/>
      <c r="E756" s="400"/>
      <c r="F756" s="400"/>
      <c r="G756" s="400"/>
      <c r="H756" s="400"/>
      <c r="I756" s="400"/>
      <c r="K756" s="399"/>
    </row>
    <row r="757" spans="1:11" ht="24" thickTop="1">
      <c r="A757" s="384"/>
      <c r="B757" s="385"/>
      <c r="C757" s="357"/>
      <c r="D757" s="358"/>
      <c r="E757" s="358"/>
      <c r="F757" s="358"/>
      <c r="G757" s="358"/>
      <c r="H757" s="358"/>
      <c r="I757" s="358"/>
      <c r="K757" s="357"/>
    </row>
    <row r="758" spans="1:11" ht="23.25">
      <c r="A758" s="386"/>
      <c r="B758" s="387"/>
      <c r="C758" s="388"/>
      <c r="D758" s="364"/>
      <c r="E758" s="364"/>
      <c r="F758" s="364"/>
      <c r="G758" s="364"/>
      <c r="H758" s="364"/>
      <c r="I758" s="364"/>
      <c r="K758" s="388"/>
    </row>
    <row r="759" spans="1:11" ht="23.25">
      <c r="A759" s="386"/>
      <c r="B759" s="387"/>
      <c r="C759" s="365"/>
      <c r="D759" s="366"/>
      <c r="E759" s="366"/>
      <c r="F759" s="366"/>
      <c r="G759" s="366"/>
      <c r="H759" s="366"/>
      <c r="I759" s="366"/>
      <c r="K759" s="365"/>
    </row>
    <row r="760" spans="1:11" ht="23.25">
      <c r="A760" s="386"/>
      <c r="B760" s="387"/>
      <c r="C760" s="367"/>
      <c r="D760" s="368"/>
      <c r="E760" s="368"/>
      <c r="F760" s="368"/>
      <c r="G760" s="368"/>
      <c r="H760" s="368"/>
      <c r="I760" s="368"/>
      <c r="K760" s="367"/>
    </row>
    <row r="761" spans="1:11" ht="23.25">
      <c r="A761" s="386"/>
      <c r="B761" s="387"/>
      <c r="C761" s="365"/>
      <c r="D761" s="366"/>
      <c r="E761" s="366"/>
      <c r="F761" s="366"/>
      <c r="G761" s="366"/>
      <c r="H761" s="366"/>
      <c r="I761" s="366"/>
      <c r="K761" s="365"/>
    </row>
    <row r="762" spans="1:11" ht="23.25">
      <c r="A762" s="386"/>
      <c r="B762" s="387"/>
      <c r="C762" s="367"/>
      <c r="D762" s="368"/>
      <c r="E762" s="368"/>
      <c r="F762" s="368"/>
      <c r="G762" s="368"/>
      <c r="H762" s="368"/>
      <c r="I762" s="368"/>
      <c r="K762" s="367"/>
    </row>
    <row r="763" spans="1:11" ht="23.25">
      <c r="A763" s="386"/>
      <c r="B763" s="387"/>
      <c r="C763" s="365"/>
      <c r="D763" s="366"/>
      <c r="E763" s="366"/>
      <c r="F763" s="366"/>
      <c r="G763" s="366"/>
      <c r="H763" s="366"/>
      <c r="I763" s="366"/>
      <c r="K763" s="365"/>
    </row>
    <row r="764" spans="1:11" ht="23.25">
      <c r="A764" s="386"/>
      <c r="B764" s="387"/>
      <c r="C764" s="367"/>
      <c r="D764" s="368"/>
      <c r="E764" s="368"/>
      <c r="F764" s="368"/>
      <c r="G764" s="368"/>
      <c r="H764" s="372"/>
      <c r="I764" s="368"/>
      <c r="K764" s="367"/>
    </row>
    <row r="765" spans="1:11" ht="23.25">
      <c r="A765" s="386"/>
      <c r="B765" s="387"/>
      <c r="C765" s="365"/>
      <c r="D765" s="366"/>
      <c r="E765" s="366"/>
      <c r="F765" s="366"/>
      <c r="G765" s="366"/>
      <c r="H765" s="366"/>
      <c r="I765" s="366"/>
      <c r="K765" s="365"/>
    </row>
    <row r="766" spans="1:11" ht="23.25">
      <c r="A766" s="386"/>
      <c r="B766" s="387"/>
      <c r="C766" s="388"/>
      <c r="D766" s="364"/>
      <c r="E766" s="364"/>
      <c r="F766" s="364"/>
      <c r="G766" s="364"/>
      <c r="H766" s="364"/>
      <c r="I766" s="364"/>
      <c r="K766" s="388"/>
    </row>
    <row r="767" spans="1:11" ht="24" thickBot="1">
      <c r="A767" s="389"/>
      <c r="B767" s="390"/>
      <c r="C767" s="381"/>
      <c r="D767" s="398"/>
      <c r="E767" s="398"/>
      <c r="F767" s="398"/>
      <c r="G767" s="398"/>
      <c r="H767" s="366"/>
      <c r="I767" s="398"/>
      <c r="K767" s="381"/>
    </row>
    <row r="768" spans="1:11" ht="24" thickTop="1">
      <c r="A768" s="355"/>
      <c r="B768" s="356"/>
      <c r="C768" s="396"/>
      <c r="D768" s="397"/>
      <c r="E768" s="397"/>
      <c r="F768" s="397"/>
      <c r="G768" s="397"/>
      <c r="H768" s="397"/>
      <c r="I768" s="397"/>
      <c r="K768" s="396"/>
    </row>
    <row r="769" spans="1:11" ht="23.25">
      <c r="A769" s="360"/>
      <c r="B769" s="361"/>
      <c r="C769" s="365"/>
      <c r="D769" s="366"/>
      <c r="E769" s="366"/>
      <c r="F769" s="366"/>
      <c r="G769" s="366"/>
      <c r="H769" s="366"/>
      <c r="I769" s="366"/>
      <c r="K769" s="365"/>
    </row>
    <row r="770" spans="1:11" ht="23.25">
      <c r="A770" s="360"/>
      <c r="B770" s="361"/>
      <c r="C770" s="367"/>
      <c r="D770" s="368"/>
      <c r="E770" s="368"/>
      <c r="F770" s="368"/>
      <c r="G770" s="368"/>
      <c r="H770" s="364"/>
      <c r="I770" s="368"/>
      <c r="K770" s="367"/>
    </row>
    <row r="771" spans="1:11" ht="23.25">
      <c r="A771" s="360"/>
      <c r="B771" s="361"/>
      <c r="C771" s="365"/>
      <c r="D771" s="366"/>
      <c r="E771" s="366"/>
      <c r="F771" s="366"/>
      <c r="G771" s="366"/>
      <c r="H771" s="366"/>
      <c r="I771" s="366"/>
      <c r="K771" s="365"/>
    </row>
    <row r="772" spans="1:11" ht="23.25">
      <c r="A772" s="360"/>
      <c r="B772" s="361"/>
      <c r="C772" s="367"/>
      <c r="D772" s="368"/>
      <c r="E772" s="368"/>
      <c r="F772" s="368"/>
      <c r="G772" s="368"/>
      <c r="H772" s="368"/>
      <c r="I772" s="368"/>
      <c r="K772" s="367"/>
    </row>
    <row r="773" spans="1:11" ht="23.25">
      <c r="A773" s="360"/>
      <c r="B773" s="361"/>
      <c r="C773" s="365"/>
      <c r="D773" s="366"/>
      <c r="E773" s="366"/>
      <c r="F773" s="366"/>
      <c r="G773" s="366"/>
      <c r="H773" s="366"/>
      <c r="I773" s="366"/>
      <c r="K773" s="365"/>
    </row>
    <row r="774" spans="1:11" ht="23.25">
      <c r="A774" s="360"/>
      <c r="B774" s="361"/>
      <c r="C774" s="367"/>
      <c r="D774" s="368"/>
      <c r="E774" s="368"/>
      <c r="F774" s="368"/>
      <c r="G774" s="368"/>
      <c r="H774" s="368"/>
      <c r="I774" s="368"/>
      <c r="K774" s="367"/>
    </row>
    <row r="775" spans="1:11" ht="23.25">
      <c r="A775" s="360"/>
      <c r="B775" s="361"/>
      <c r="C775" s="365"/>
      <c r="D775" s="366"/>
      <c r="E775" s="366"/>
      <c r="F775" s="366"/>
      <c r="G775" s="366"/>
      <c r="H775" s="366"/>
      <c r="I775" s="366"/>
      <c r="K775" s="365"/>
    </row>
    <row r="776" spans="1:11" ht="23.25">
      <c r="A776" s="360"/>
      <c r="B776" s="361"/>
      <c r="C776" s="388"/>
      <c r="D776" s="364"/>
      <c r="E776" s="364"/>
      <c r="F776" s="364"/>
      <c r="G776" s="364"/>
      <c r="H776" s="372"/>
      <c r="I776" s="364"/>
      <c r="K776" s="388"/>
    </row>
    <row r="777" spans="1:11" ht="23.25">
      <c r="A777" s="360"/>
      <c r="B777" s="361"/>
      <c r="C777" s="365"/>
      <c r="D777" s="366"/>
      <c r="E777" s="366"/>
      <c r="F777" s="366"/>
      <c r="G777" s="366"/>
      <c r="H777" s="366"/>
      <c r="I777" s="366"/>
      <c r="K777" s="365"/>
    </row>
    <row r="778" spans="1:11" ht="24" thickBot="1">
      <c r="A778" s="392"/>
      <c r="B778" s="393"/>
      <c r="C778" s="399"/>
      <c r="D778" s="400"/>
      <c r="E778" s="400"/>
      <c r="F778" s="400"/>
      <c r="G778" s="400"/>
      <c r="H778" s="364"/>
      <c r="I778" s="400"/>
      <c r="K778" s="399"/>
    </row>
    <row r="779" spans="1:11" ht="24" thickTop="1">
      <c r="A779" s="384"/>
      <c r="B779" s="385"/>
      <c r="C779" s="357"/>
      <c r="D779" s="358"/>
      <c r="E779" s="358"/>
      <c r="F779" s="358"/>
      <c r="G779" s="358"/>
      <c r="H779" s="358"/>
      <c r="I779" s="358"/>
      <c r="K779" s="357"/>
    </row>
    <row r="780" spans="1:11" ht="23.25">
      <c r="A780" s="386"/>
      <c r="B780" s="387"/>
      <c r="C780" s="388"/>
      <c r="D780" s="364"/>
      <c r="E780" s="364"/>
      <c r="F780" s="364"/>
      <c r="G780" s="364"/>
      <c r="H780" s="364"/>
      <c r="I780" s="364"/>
      <c r="K780" s="388"/>
    </row>
    <row r="781" spans="1:11" ht="23.25">
      <c r="A781" s="386"/>
      <c r="B781" s="387"/>
      <c r="C781" s="365"/>
      <c r="D781" s="366"/>
      <c r="E781" s="366"/>
      <c r="F781" s="366"/>
      <c r="G781" s="366"/>
      <c r="H781" s="366"/>
      <c r="I781" s="366"/>
      <c r="K781" s="365"/>
    </row>
    <row r="782" spans="1:11" ht="23.25">
      <c r="A782" s="386"/>
      <c r="B782" s="387"/>
      <c r="C782" s="367"/>
      <c r="D782" s="368"/>
      <c r="E782" s="368"/>
      <c r="F782" s="368"/>
      <c r="G782" s="368"/>
      <c r="H782" s="368"/>
      <c r="I782" s="368"/>
      <c r="K782" s="367"/>
    </row>
    <row r="783" spans="1:11" ht="23.25">
      <c r="A783" s="386"/>
      <c r="B783" s="387"/>
      <c r="C783" s="365"/>
      <c r="D783" s="366"/>
      <c r="E783" s="366"/>
      <c r="F783" s="366"/>
      <c r="G783" s="366"/>
      <c r="H783" s="366"/>
      <c r="I783" s="366"/>
      <c r="K783" s="365"/>
    </row>
    <row r="784" spans="1:11" ht="23.25">
      <c r="A784" s="386"/>
      <c r="B784" s="387"/>
      <c r="C784" s="367"/>
      <c r="D784" s="368"/>
      <c r="E784" s="368"/>
      <c r="F784" s="368"/>
      <c r="G784" s="368"/>
      <c r="H784" s="368"/>
      <c r="I784" s="368"/>
      <c r="K784" s="367"/>
    </row>
    <row r="785" spans="1:11" ht="23.25">
      <c r="A785" s="386"/>
      <c r="B785" s="387"/>
      <c r="C785" s="365"/>
      <c r="D785" s="366"/>
      <c r="E785" s="366"/>
      <c r="F785" s="366"/>
      <c r="G785" s="366"/>
      <c r="H785" s="366"/>
      <c r="I785" s="366"/>
      <c r="K785" s="365"/>
    </row>
    <row r="786" spans="1:11" ht="23.25">
      <c r="A786" s="386"/>
      <c r="B786" s="387"/>
      <c r="C786" s="367"/>
      <c r="D786" s="368"/>
      <c r="E786" s="368"/>
      <c r="F786" s="368"/>
      <c r="G786" s="368"/>
      <c r="H786" s="372"/>
      <c r="I786" s="368"/>
      <c r="K786" s="367"/>
    </row>
    <row r="787" spans="1:11" ht="23.25">
      <c r="A787" s="386"/>
      <c r="B787" s="387"/>
      <c r="C787" s="365"/>
      <c r="D787" s="366"/>
      <c r="E787" s="366"/>
      <c r="F787" s="366"/>
      <c r="G787" s="366"/>
      <c r="H787" s="366"/>
      <c r="I787" s="366"/>
      <c r="K787" s="365"/>
    </row>
    <row r="788" spans="1:11" ht="23.25">
      <c r="A788" s="386"/>
      <c r="B788" s="387"/>
      <c r="C788" s="388"/>
      <c r="D788" s="364"/>
      <c r="E788" s="364"/>
      <c r="F788" s="364"/>
      <c r="G788" s="364"/>
      <c r="H788" s="364"/>
      <c r="I788" s="364"/>
      <c r="K788" s="388"/>
    </row>
    <row r="789" spans="1:11" ht="24" thickBot="1">
      <c r="A789" s="389"/>
      <c r="B789" s="390"/>
      <c r="C789" s="381"/>
      <c r="D789" s="398"/>
      <c r="E789" s="398"/>
      <c r="F789" s="398"/>
      <c r="G789" s="398"/>
      <c r="H789" s="366"/>
      <c r="I789" s="398"/>
      <c r="K789" s="381"/>
    </row>
    <row r="790" spans="1:11" ht="24" thickTop="1">
      <c r="A790" s="355"/>
      <c r="B790" s="356"/>
      <c r="C790" s="396"/>
      <c r="D790" s="397"/>
      <c r="E790" s="397"/>
      <c r="F790" s="397"/>
      <c r="G790" s="397"/>
      <c r="H790" s="397"/>
      <c r="I790" s="397"/>
      <c r="K790" s="396"/>
    </row>
    <row r="791" spans="1:11" ht="23.25">
      <c r="A791" s="360"/>
      <c r="B791" s="361"/>
      <c r="C791" s="365"/>
      <c r="D791" s="366"/>
      <c r="E791" s="366"/>
      <c r="F791" s="366"/>
      <c r="G791" s="366"/>
      <c r="H791" s="366"/>
      <c r="I791" s="366"/>
      <c r="K791" s="365"/>
    </row>
    <row r="792" spans="1:11" ht="23.25">
      <c r="A792" s="360"/>
      <c r="B792" s="361"/>
      <c r="C792" s="367"/>
      <c r="D792" s="368"/>
      <c r="E792" s="368"/>
      <c r="F792" s="368"/>
      <c r="G792" s="368"/>
      <c r="H792" s="364"/>
      <c r="I792" s="368"/>
      <c r="K792" s="367"/>
    </row>
    <row r="793" spans="1:11" ht="23.25">
      <c r="A793" s="360"/>
      <c r="B793" s="361"/>
      <c r="C793" s="365"/>
      <c r="D793" s="366"/>
      <c r="E793" s="366"/>
      <c r="F793" s="366"/>
      <c r="G793" s="366"/>
      <c r="H793" s="366"/>
      <c r="I793" s="366"/>
      <c r="K793" s="365"/>
    </row>
    <row r="794" spans="1:11" ht="23.25">
      <c r="A794" s="360"/>
      <c r="B794" s="361"/>
      <c r="C794" s="367"/>
      <c r="D794" s="368"/>
      <c r="E794" s="368"/>
      <c r="F794" s="368"/>
      <c r="G794" s="368"/>
      <c r="H794" s="368"/>
      <c r="I794" s="368"/>
      <c r="K794" s="367"/>
    </row>
    <row r="795" spans="1:11" ht="23.25">
      <c r="A795" s="360"/>
      <c r="B795" s="361"/>
      <c r="C795" s="365"/>
      <c r="D795" s="366"/>
      <c r="E795" s="366"/>
      <c r="F795" s="366"/>
      <c r="G795" s="366"/>
      <c r="H795" s="366"/>
      <c r="I795" s="366"/>
      <c r="K795" s="365"/>
    </row>
    <row r="796" spans="1:11" ht="23.25">
      <c r="A796" s="360"/>
      <c r="B796" s="361"/>
      <c r="C796" s="367"/>
      <c r="D796" s="368"/>
      <c r="E796" s="368"/>
      <c r="F796" s="368"/>
      <c r="G796" s="368"/>
      <c r="H796" s="368"/>
      <c r="I796" s="368"/>
      <c r="K796" s="367"/>
    </row>
    <row r="797" spans="1:11" ht="23.25">
      <c r="A797" s="360"/>
      <c r="B797" s="361"/>
      <c r="C797" s="365"/>
      <c r="D797" s="366"/>
      <c r="E797" s="366"/>
      <c r="F797" s="366"/>
      <c r="G797" s="366"/>
      <c r="H797" s="366"/>
      <c r="I797" s="366"/>
      <c r="K797" s="365"/>
    </row>
    <row r="798" spans="1:11" ht="23.25">
      <c r="A798" s="360"/>
      <c r="B798" s="361"/>
      <c r="C798" s="388"/>
      <c r="D798" s="364"/>
      <c r="E798" s="364"/>
      <c r="F798" s="364"/>
      <c r="G798" s="364"/>
      <c r="H798" s="372"/>
      <c r="I798" s="364"/>
      <c r="K798" s="388"/>
    </row>
    <row r="799" spans="1:11" ht="23.25">
      <c r="A799" s="360"/>
      <c r="B799" s="361"/>
      <c r="C799" s="365"/>
      <c r="D799" s="366"/>
      <c r="E799" s="366"/>
      <c r="F799" s="366"/>
      <c r="G799" s="366"/>
      <c r="H799" s="366"/>
      <c r="I799" s="366"/>
      <c r="K799" s="365"/>
    </row>
    <row r="800" spans="1:11" ht="24" thickBot="1">
      <c r="A800" s="392"/>
      <c r="B800" s="393"/>
      <c r="C800" s="399"/>
      <c r="D800" s="400"/>
      <c r="E800" s="400"/>
      <c r="F800" s="400"/>
      <c r="G800" s="400"/>
      <c r="H800" s="364"/>
      <c r="I800" s="400"/>
      <c r="K800" s="399"/>
    </row>
    <row r="801" spans="1:11" ht="24" thickTop="1">
      <c r="A801" s="384"/>
      <c r="B801" s="385"/>
      <c r="C801" s="357"/>
      <c r="D801" s="358"/>
      <c r="E801" s="358"/>
      <c r="F801" s="358"/>
      <c r="G801" s="358"/>
      <c r="H801" s="358"/>
      <c r="I801" s="358"/>
      <c r="K801" s="357"/>
    </row>
    <row r="802" spans="1:11" ht="23.25">
      <c r="A802" s="386"/>
      <c r="B802" s="387"/>
      <c r="C802" s="388"/>
      <c r="D802" s="364"/>
      <c r="E802" s="364"/>
      <c r="F802" s="364"/>
      <c r="G802" s="364"/>
      <c r="H802" s="364"/>
      <c r="I802" s="364"/>
      <c r="K802" s="388"/>
    </row>
    <row r="803" spans="1:11" ht="23.25">
      <c r="A803" s="386"/>
      <c r="B803" s="387"/>
      <c r="C803" s="365"/>
      <c r="D803" s="366"/>
      <c r="E803" s="366"/>
      <c r="F803" s="366"/>
      <c r="G803" s="366"/>
      <c r="H803" s="366"/>
      <c r="I803" s="366"/>
      <c r="K803" s="365"/>
    </row>
    <row r="804" spans="1:11" ht="23.25">
      <c r="A804" s="386"/>
      <c r="B804" s="387"/>
      <c r="C804" s="367"/>
      <c r="D804" s="368"/>
      <c r="E804" s="368"/>
      <c r="F804" s="368"/>
      <c r="G804" s="368"/>
      <c r="H804" s="368"/>
      <c r="I804" s="368"/>
      <c r="K804" s="367"/>
    </row>
    <row r="805" spans="1:11" ht="23.25">
      <c r="A805" s="386"/>
      <c r="B805" s="387"/>
      <c r="C805" s="365"/>
      <c r="D805" s="366"/>
      <c r="E805" s="366"/>
      <c r="F805" s="366"/>
      <c r="G805" s="366"/>
      <c r="H805" s="366"/>
      <c r="I805" s="366"/>
      <c r="K805" s="365"/>
    </row>
    <row r="806" spans="1:11" ht="23.25">
      <c r="A806" s="386"/>
      <c r="B806" s="387"/>
      <c r="C806" s="367"/>
      <c r="D806" s="368"/>
      <c r="E806" s="368"/>
      <c r="F806" s="368"/>
      <c r="G806" s="368"/>
      <c r="H806" s="368"/>
      <c r="I806" s="368"/>
      <c r="K806" s="367"/>
    </row>
    <row r="807" spans="1:11" ht="23.25">
      <c r="A807" s="386"/>
      <c r="B807" s="387"/>
      <c r="C807" s="365"/>
      <c r="D807" s="366"/>
      <c r="E807" s="366"/>
      <c r="F807" s="366"/>
      <c r="G807" s="366"/>
      <c r="H807" s="366"/>
      <c r="I807" s="366"/>
      <c r="K807" s="365"/>
    </row>
    <row r="808" spans="1:11" ht="23.25">
      <c r="A808" s="386"/>
      <c r="B808" s="387"/>
      <c r="C808" s="367"/>
      <c r="D808" s="368"/>
      <c r="E808" s="368"/>
      <c r="F808" s="368"/>
      <c r="G808" s="368"/>
      <c r="H808" s="372"/>
      <c r="I808" s="368"/>
      <c r="K808" s="367"/>
    </row>
    <row r="809" spans="1:11" ht="23.25">
      <c r="A809" s="386"/>
      <c r="B809" s="387"/>
      <c r="C809" s="365"/>
      <c r="D809" s="366"/>
      <c r="E809" s="366"/>
      <c r="F809" s="366"/>
      <c r="G809" s="366"/>
      <c r="H809" s="366"/>
      <c r="I809" s="366"/>
      <c r="K809" s="365"/>
    </row>
    <row r="810" spans="1:11" ht="23.25">
      <c r="A810" s="386"/>
      <c r="B810" s="387"/>
      <c r="C810" s="388"/>
      <c r="D810" s="364"/>
      <c r="E810" s="364"/>
      <c r="F810" s="364"/>
      <c r="G810" s="364"/>
      <c r="H810" s="364"/>
      <c r="I810" s="364"/>
      <c r="K810" s="388"/>
    </row>
    <row r="811" spans="1:11" ht="24" thickBot="1">
      <c r="A811" s="389"/>
      <c r="B811" s="390"/>
      <c r="C811" s="381"/>
      <c r="D811" s="398"/>
      <c r="E811" s="398"/>
      <c r="F811" s="398"/>
      <c r="G811" s="398"/>
      <c r="H811" s="366"/>
      <c r="I811" s="398"/>
      <c r="K811" s="381"/>
    </row>
    <row r="812" spans="1:11" ht="24" thickTop="1">
      <c r="A812" s="355"/>
      <c r="B812" s="356"/>
      <c r="C812" s="396"/>
      <c r="D812" s="397"/>
      <c r="E812" s="397"/>
      <c r="F812" s="397"/>
      <c r="G812" s="397"/>
      <c r="H812" s="397"/>
      <c r="I812" s="397"/>
      <c r="K812" s="396"/>
    </row>
    <row r="813" spans="1:11" ht="23.25">
      <c r="A813" s="360"/>
      <c r="B813" s="361"/>
      <c r="C813" s="365"/>
      <c r="D813" s="366"/>
      <c r="E813" s="366"/>
      <c r="F813" s="366"/>
      <c r="G813" s="366"/>
      <c r="H813" s="366"/>
      <c r="I813" s="366"/>
      <c r="K813" s="365"/>
    </row>
    <row r="814" spans="1:11" ht="23.25">
      <c r="A814" s="360"/>
      <c r="B814" s="361"/>
      <c r="C814" s="367"/>
      <c r="D814" s="368"/>
      <c r="E814" s="368"/>
      <c r="F814" s="368"/>
      <c r="G814" s="368"/>
      <c r="H814" s="364"/>
      <c r="I814" s="368"/>
      <c r="K814" s="367"/>
    </row>
    <row r="815" spans="1:11" ht="23.25">
      <c r="A815" s="360"/>
      <c r="B815" s="361"/>
      <c r="C815" s="365"/>
      <c r="D815" s="366"/>
      <c r="E815" s="366"/>
      <c r="F815" s="366"/>
      <c r="G815" s="366"/>
      <c r="H815" s="366"/>
      <c r="I815" s="366"/>
      <c r="K815" s="365"/>
    </row>
    <row r="816" spans="1:11" ht="23.25">
      <c r="A816" s="360"/>
      <c r="B816" s="361"/>
      <c r="C816" s="367"/>
      <c r="D816" s="368"/>
      <c r="E816" s="368"/>
      <c r="F816" s="368"/>
      <c r="G816" s="368"/>
      <c r="H816" s="368"/>
      <c r="I816" s="368"/>
      <c r="K816" s="367"/>
    </row>
    <row r="817" spans="1:11" ht="23.25">
      <c r="A817" s="360"/>
      <c r="B817" s="361"/>
      <c r="C817" s="365"/>
      <c r="D817" s="366"/>
      <c r="E817" s="366"/>
      <c r="F817" s="366"/>
      <c r="G817" s="366"/>
      <c r="H817" s="366"/>
      <c r="I817" s="366"/>
      <c r="K817" s="365"/>
    </row>
    <row r="818" spans="1:11" ht="23.25">
      <c r="A818" s="360"/>
      <c r="B818" s="361"/>
      <c r="C818" s="367"/>
      <c r="D818" s="368"/>
      <c r="E818" s="368"/>
      <c r="F818" s="368"/>
      <c r="G818" s="368"/>
      <c r="H818" s="368"/>
      <c r="I818" s="368"/>
      <c r="K818" s="367"/>
    </row>
    <row r="819" spans="1:11" ht="23.25">
      <c r="A819" s="360"/>
      <c r="B819" s="361"/>
      <c r="C819" s="365"/>
      <c r="D819" s="366"/>
      <c r="E819" s="366"/>
      <c r="F819" s="366"/>
      <c r="G819" s="366"/>
      <c r="H819" s="366"/>
      <c r="I819" s="366"/>
      <c r="K819" s="365"/>
    </row>
    <row r="820" spans="1:11" ht="23.25">
      <c r="A820" s="360"/>
      <c r="B820" s="361"/>
      <c r="C820" s="388"/>
      <c r="D820" s="364"/>
      <c r="E820" s="364"/>
      <c r="F820" s="364"/>
      <c r="G820" s="364"/>
      <c r="H820" s="372"/>
      <c r="I820" s="364"/>
      <c r="K820" s="388"/>
    </row>
    <row r="821" spans="1:11" ht="23.25">
      <c r="A821" s="360"/>
      <c r="B821" s="361"/>
      <c r="C821" s="365"/>
      <c r="D821" s="366"/>
      <c r="E821" s="366"/>
      <c r="F821" s="366"/>
      <c r="G821" s="366"/>
      <c r="H821" s="366"/>
      <c r="I821" s="366"/>
      <c r="K821" s="365"/>
    </row>
    <row r="822" spans="1:11" ht="24" thickBot="1">
      <c r="A822" s="392"/>
      <c r="B822" s="393"/>
      <c r="C822" s="399"/>
      <c r="D822" s="400"/>
      <c r="E822" s="400"/>
      <c r="F822" s="400"/>
      <c r="G822" s="400"/>
      <c r="H822" s="364"/>
      <c r="I822" s="400"/>
      <c r="K822" s="399"/>
    </row>
    <row r="823" spans="1:11" ht="24" thickTop="1">
      <c r="A823" s="384"/>
      <c r="B823" s="385"/>
      <c r="C823" s="357"/>
      <c r="D823" s="358"/>
      <c r="E823" s="358"/>
      <c r="F823" s="358"/>
      <c r="G823" s="358"/>
      <c r="H823" s="358"/>
      <c r="I823" s="358"/>
      <c r="K823" s="357"/>
    </row>
    <row r="824" spans="1:11" ht="23.25">
      <c r="A824" s="386"/>
      <c r="B824" s="387"/>
      <c r="C824" s="388"/>
      <c r="D824" s="364"/>
      <c r="E824" s="364"/>
      <c r="F824" s="364"/>
      <c r="G824" s="364"/>
      <c r="H824" s="364"/>
      <c r="I824" s="364"/>
      <c r="K824" s="388"/>
    </row>
    <row r="825" spans="1:11" ht="23.25">
      <c r="A825" s="386"/>
      <c r="B825" s="387"/>
      <c r="C825" s="365"/>
      <c r="D825" s="366"/>
      <c r="E825" s="366"/>
      <c r="F825" s="366"/>
      <c r="G825" s="366"/>
      <c r="H825" s="366"/>
      <c r="I825" s="366"/>
      <c r="K825" s="365"/>
    </row>
    <row r="826" spans="1:11" ht="23.25">
      <c r="A826" s="386"/>
      <c r="B826" s="387"/>
      <c r="C826" s="367"/>
      <c r="D826" s="368"/>
      <c r="E826" s="368"/>
      <c r="F826" s="368"/>
      <c r="G826" s="368"/>
      <c r="H826" s="368"/>
      <c r="I826" s="368"/>
      <c r="K826" s="367"/>
    </row>
    <row r="827" spans="1:11" ht="23.25">
      <c r="A827" s="386"/>
      <c r="B827" s="387"/>
      <c r="C827" s="365"/>
      <c r="D827" s="366"/>
      <c r="E827" s="366"/>
      <c r="F827" s="366"/>
      <c r="G827" s="366"/>
      <c r="H827" s="366"/>
      <c r="I827" s="366"/>
      <c r="K827" s="365"/>
    </row>
    <row r="828" spans="1:11" ht="23.25">
      <c r="A828" s="386"/>
      <c r="B828" s="387"/>
      <c r="C828" s="367"/>
      <c r="D828" s="368"/>
      <c r="E828" s="368"/>
      <c r="F828" s="368"/>
      <c r="G828" s="368"/>
      <c r="H828" s="368"/>
      <c r="I828" s="368"/>
      <c r="K828" s="367"/>
    </row>
    <row r="829" spans="1:11" ht="23.25">
      <c r="A829" s="386"/>
      <c r="B829" s="387"/>
      <c r="C829" s="365"/>
      <c r="D829" s="366"/>
      <c r="E829" s="366"/>
      <c r="F829" s="366"/>
      <c r="G829" s="366"/>
      <c r="H829" s="366"/>
      <c r="I829" s="366"/>
      <c r="K829" s="365"/>
    </row>
    <row r="830" spans="1:11" ht="23.25">
      <c r="A830" s="386"/>
      <c r="B830" s="387"/>
      <c r="C830" s="367"/>
      <c r="D830" s="368"/>
      <c r="E830" s="368"/>
      <c r="F830" s="368"/>
      <c r="G830" s="372"/>
      <c r="H830" s="372"/>
      <c r="I830" s="368"/>
      <c r="K830" s="367"/>
    </row>
    <row r="831" spans="1:11" ht="23.25">
      <c r="A831" s="386"/>
      <c r="B831" s="387"/>
      <c r="C831" s="365"/>
      <c r="D831" s="366"/>
      <c r="E831" s="366"/>
      <c r="F831" s="366"/>
      <c r="G831" s="366"/>
      <c r="H831" s="366"/>
      <c r="I831" s="366"/>
      <c r="K831" s="365"/>
    </row>
    <row r="832" spans="1:11" ht="23.25">
      <c r="A832" s="386"/>
      <c r="B832" s="387"/>
      <c r="C832" s="388"/>
      <c r="D832" s="364"/>
      <c r="E832" s="364"/>
      <c r="F832" s="364"/>
      <c r="G832" s="364"/>
      <c r="H832" s="364"/>
      <c r="I832" s="364"/>
      <c r="K832" s="388"/>
    </row>
    <row r="833" spans="1:11" ht="24" thickBot="1">
      <c r="A833" s="389"/>
      <c r="B833" s="390"/>
      <c r="C833" s="381"/>
      <c r="D833" s="398"/>
      <c r="E833" s="398"/>
      <c r="F833" s="398"/>
      <c r="G833" s="366"/>
      <c r="H833" s="366"/>
      <c r="I833" s="398"/>
      <c r="K833" s="381"/>
    </row>
    <row r="834" spans="1:11" ht="24" thickTop="1">
      <c r="A834" s="355"/>
      <c r="B834" s="356"/>
      <c r="C834" s="396"/>
      <c r="D834" s="397"/>
      <c r="E834" s="397"/>
      <c r="F834" s="397"/>
      <c r="G834" s="397"/>
      <c r="H834" s="397"/>
      <c r="I834" s="397"/>
      <c r="K834" s="396"/>
    </row>
    <row r="835" spans="1:11" ht="23.25">
      <c r="A835" s="360"/>
      <c r="B835" s="361"/>
      <c r="C835" s="365"/>
      <c r="D835" s="366"/>
      <c r="E835" s="366"/>
      <c r="F835" s="366"/>
      <c r="G835" s="366"/>
      <c r="H835" s="366"/>
      <c r="I835" s="366"/>
      <c r="K835" s="365"/>
    </row>
    <row r="836" spans="1:11" ht="23.25">
      <c r="A836" s="360"/>
      <c r="B836" s="361"/>
      <c r="C836" s="367"/>
      <c r="D836" s="368"/>
      <c r="E836" s="368"/>
      <c r="F836" s="368"/>
      <c r="G836" s="368"/>
      <c r="H836" s="364"/>
      <c r="I836" s="368"/>
      <c r="K836" s="367"/>
    </row>
    <row r="837" spans="1:11" ht="23.25">
      <c r="A837" s="360"/>
      <c r="B837" s="361"/>
      <c r="C837" s="365"/>
      <c r="D837" s="366"/>
      <c r="E837" s="366"/>
      <c r="F837" s="366"/>
      <c r="G837" s="366"/>
      <c r="H837" s="366"/>
      <c r="I837" s="366"/>
      <c r="K837" s="365"/>
    </row>
    <row r="838" spans="1:11" ht="23.25">
      <c r="A838" s="360"/>
      <c r="B838" s="361"/>
      <c r="C838" s="367"/>
      <c r="D838" s="368"/>
      <c r="E838" s="368"/>
      <c r="F838" s="368"/>
      <c r="G838" s="368"/>
      <c r="H838" s="368"/>
      <c r="I838" s="368"/>
      <c r="K838" s="367"/>
    </row>
    <row r="839" spans="1:11" ht="23.25">
      <c r="A839" s="360"/>
      <c r="B839" s="361"/>
      <c r="C839" s="365"/>
      <c r="D839" s="366"/>
      <c r="E839" s="366"/>
      <c r="F839" s="366"/>
      <c r="G839" s="366"/>
      <c r="H839" s="366"/>
      <c r="I839" s="366"/>
      <c r="K839" s="365"/>
    </row>
    <row r="840" spans="1:11" ht="23.25">
      <c r="A840" s="360"/>
      <c r="B840" s="361"/>
      <c r="C840" s="367"/>
      <c r="D840" s="368"/>
      <c r="E840" s="368"/>
      <c r="F840" s="368"/>
      <c r="G840" s="368"/>
      <c r="H840" s="368"/>
      <c r="I840" s="368"/>
      <c r="K840" s="367"/>
    </row>
    <row r="841" spans="1:11" ht="23.25">
      <c r="A841" s="360"/>
      <c r="B841" s="361"/>
      <c r="C841" s="365"/>
      <c r="D841" s="366"/>
      <c r="E841" s="366"/>
      <c r="F841" s="366"/>
      <c r="G841" s="366"/>
      <c r="H841" s="366"/>
      <c r="I841" s="366"/>
      <c r="K841" s="365"/>
    </row>
    <row r="842" spans="1:11" ht="23.25">
      <c r="A842" s="360"/>
      <c r="B842" s="361"/>
      <c r="C842" s="388"/>
      <c r="D842" s="364"/>
      <c r="E842" s="364"/>
      <c r="F842" s="364"/>
      <c r="G842" s="364"/>
      <c r="H842" s="372"/>
      <c r="I842" s="364"/>
      <c r="K842" s="388"/>
    </row>
    <row r="843" spans="1:11" ht="23.25">
      <c r="A843" s="360"/>
      <c r="B843" s="361"/>
      <c r="C843" s="365"/>
      <c r="D843" s="366"/>
      <c r="E843" s="366"/>
      <c r="F843" s="366"/>
      <c r="G843" s="366"/>
      <c r="H843" s="366"/>
      <c r="I843" s="366"/>
      <c r="K843" s="365"/>
    </row>
    <row r="844" spans="1:11" ht="24" thickBot="1">
      <c r="A844" s="392"/>
      <c r="B844" s="393"/>
      <c r="C844" s="399"/>
      <c r="D844" s="400"/>
      <c r="E844" s="400"/>
      <c r="F844" s="400"/>
      <c r="G844" s="400"/>
      <c r="H844" s="364"/>
      <c r="I844" s="400"/>
      <c r="K844" s="399"/>
    </row>
    <row r="845" spans="1:11" ht="24" thickTop="1">
      <c r="A845" s="384"/>
      <c r="B845" s="385"/>
      <c r="C845" s="357"/>
      <c r="D845" s="358"/>
      <c r="E845" s="358"/>
      <c r="F845" s="358"/>
      <c r="G845" s="358"/>
      <c r="H845" s="358"/>
      <c r="I845" s="358"/>
      <c r="K845" s="357"/>
    </row>
    <row r="846" spans="1:11" ht="23.25">
      <c r="A846" s="386"/>
      <c r="B846" s="387"/>
      <c r="C846" s="388"/>
      <c r="D846" s="364"/>
      <c r="E846" s="364"/>
      <c r="F846" s="364"/>
      <c r="G846" s="364"/>
      <c r="H846" s="364"/>
      <c r="I846" s="364"/>
      <c r="K846" s="388"/>
    </row>
    <row r="847" spans="1:11" ht="23.25">
      <c r="A847" s="386"/>
      <c r="B847" s="387"/>
      <c r="C847" s="365"/>
      <c r="D847" s="366"/>
      <c r="E847" s="366"/>
      <c r="F847" s="366"/>
      <c r="G847" s="366"/>
      <c r="H847" s="366"/>
      <c r="I847" s="366"/>
      <c r="K847" s="365"/>
    </row>
    <row r="848" spans="1:11" ht="23.25">
      <c r="A848" s="386"/>
      <c r="B848" s="387"/>
      <c r="C848" s="367"/>
      <c r="D848" s="368"/>
      <c r="E848" s="368"/>
      <c r="F848" s="368"/>
      <c r="G848" s="368"/>
      <c r="H848" s="368"/>
      <c r="I848" s="368"/>
      <c r="K848" s="367"/>
    </row>
    <row r="849" spans="1:11" ht="23.25">
      <c r="A849" s="386"/>
      <c r="B849" s="387"/>
      <c r="C849" s="365"/>
      <c r="D849" s="366"/>
      <c r="E849" s="366"/>
      <c r="F849" s="366"/>
      <c r="G849" s="366"/>
      <c r="H849" s="366"/>
      <c r="I849" s="366"/>
      <c r="K849" s="365"/>
    </row>
    <row r="850" spans="1:11" ht="23.25">
      <c r="A850" s="386"/>
      <c r="B850" s="387"/>
      <c r="C850" s="367"/>
      <c r="D850" s="368"/>
      <c r="E850" s="368"/>
      <c r="F850" s="368"/>
      <c r="G850" s="368"/>
      <c r="H850" s="368"/>
      <c r="I850" s="368"/>
      <c r="K850" s="367"/>
    </row>
    <row r="851" spans="1:11" ht="23.25">
      <c r="A851" s="386"/>
      <c r="B851" s="387"/>
      <c r="C851" s="365"/>
      <c r="D851" s="366"/>
      <c r="E851" s="366"/>
      <c r="F851" s="366"/>
      <c r="G851" s="366"/>
      <c r="H851" s="366"/>
      <c r="I851" s="366"/>
      <c r="K851" s="365"/>
    </row>
    <row r="852" spans="1:11" ht="23.25">
      <c r="A852" s="386"/>
      <c r="B852" s="387"/>
      <c r="C852" s="367"/>
      <c r="D852" s="368"/>
      <c r="E852" s="368"/>
      <c r="F852" s="368"/>
      <c r="G852" s="368"/>
      <c r="H852" s="372"/>
      <c r="I852" s="368"/>
      <c r="K852" s="367"/>
    </row>
    <row r="853" spans="1:11" ht="23.25">
      <c r="A853" s="386"/>
      <c r="B853" s="387"/>
      <c r="C853" s="365"/>
      <c r="D853" s="366"/>
      <c r="E853" s="366"/>
      <c r="F853" s="366"/>
      <c r="G853" s="366"/>
      <c r="H853" s="366"/>
      <c r="I853" s="366"/>
      <c r="K853" s="365"/>
    </row>
    <row r="854" spans="1:11" ht="23.25">
      <c r="A854" s="386"/>
      <c r="B854" s="387"/>
      <c r="C854" s="388"/>
      <c r="D854" s="364"/>
      <c r="E854" s="364"/>
      <c r="F854" s="364"/>
      <c r="G854" s="364"/>
      <c r="H854" s="364"/>
      <c r="I854" s="364"/>
      <c r="K854" s="388"/>
    </row>
    <row r="855" spans="1:11" ht="24" thickBot="1">
      <c r="A855" s="389"/>
      <c r="B855" s="390"/>
      <c r="C855" s="381"/>
      <c r="D855" s="398"/>
      <c r="E855" s="398"/>
      <c r="F855" s="398"/>
      <c r="G855" s="398"/>
      <c r="H855" s="366"/>
      <c r="I855" s="398"/>
      <c r="K855" s="381"/>
    </row>
    <row r="856" spans="1:11" ht="24" thickTop="1">
      <c r="A856" s="355"/>
      <c r="B856" s="356"/>
      <c r="C856" s="396"/>
      <c r="D856" s="397"/>
      <c r="E856" s="397"/>
      <c r="F856" s="397"/>
      <c r="G856" s="397"/>
      <c r="H856" s="397"/>
      <c r="I856" s="397"/>
      <c r="K856" s="396"/>
    </row>
    <row r="857" spans="1:11" ht="23.25">
      <c r="A857" s="360"/>
      <c r="B857" s="361"/>
      <c r="C857" s="365"/>
      <c r="D857" s="366"/>
      <c r="E857" s="366"/>
      <c r="F857" s="366"/>
      <c r="G857" s="366"/>
      <c r="H857" s="366"/>
      <c r="I857" s="366"/>
      <c r="K857" s="365"/>
    </row>
    <row r="858" spans="1:11" ht="23.25">
      <c r="A858" s="360"/>
      <c r="B858" s="361"/>
      <c r="C858" s="367"/>
      <c r="D858" s="368"/>
      <c r="E858" s="368"/>
      <c r="F858" s="368"/>
      <c r="G858" s="368"/>
      <c r="H858" s="364"/>
      <c r="I858" s="368"/>
      <c r="K858" s="367"/>
    </row>
    <row r="859" spans="1:11" ht="23.25">
      <c r="A859" s="360"/>
      <c r="B859" s="361"/>
      <c r="C859" s="365"/>
      <c r="D859" s="366"/>
      <c r="E859" s="366"/>
      <c r="F859" s="366"/>
      <c r="G859" s="366"/>
      <c r="H859" s="366"/>
      <c r="I859" s="366"/>
      <c r="K859" s="365"/>
    </row>
    <row r="860" spans="1:11" ht="23.25">
      <c r="A860" s="360"/>
      <c r="B860" s="361"/>
      <c r="C860" s="367"/>
      <c r="D860" s="368"/>
      <c r="E860" s="368"/>
      <c r="F860" s="368"/>
      <c r="G860" s="368"/>
      <c r="H860" s="368"/>
      <c r="I860" s="368"/>
      <c r="K860" s="367"/>
    </row>
    <row r="861" spans="1:11" ht="23.25">
      <c r="A861" s="360"/>
      <c r="B861" s="361"/>
      <c r="C861" s="365"/>
      <c r="D861" s="366"/>
      <c r="E861" s="366"/>
      <c r="F861" s="366"/>
      <c r="G861" s="366"/>
      <c r="H861" s="366"/>
      <c r="I861" s="366"/>
      <c r="K861" s="365"/>
    </row>
    <row r="862" spans="1:11" ht="23.25">
      <c r="A862" s="360"/>
      <c r="B862" s="361"/>
      <c r="C862" s="367"/>
      <c r="D862" s="368"/>
      <c r="E862" s="368"/>
      <c r="F862" s="368"/>
      <c r="G862" s="368"/>
      <c r="H862" s="368"/>
      <c r="I862" s="368"/>
      <c r="K862" s="367"/>
    </row>
    <row r="863" spans="1:11" ht="23.25">
      <c r="A863" s="360"/>
      <c r="B863" s="361"/>
      <c r="C863" s="365"/>
      <c r="D863" s="366"/>
      <c r="E863" s="366"/>
      <c r="F863" s="366"/>
      <c r="G863" s="366"/>
      <c r="H863" s="366"/>
      <c r="I863" s="366"/>
      <c r="K863" s="365"/>
    </row>
    <row r="864" spans="1:11" ht="23.25">
      <c r="A864" s="360"/>
      <c r="B864" s="361"/>
      <c r="C864" s="388"/>
      <c r="D864" s="364"/>
      <c r="E864" s="364"/>
      <c r="F864" s="364"/>
      <c r="G864" s="364"/>
      <c r="H864" s="372"/>
      <c r="I864" s="364"/>
      <c r="K864" s="388"/>
    </row>
    <row r="865" spans="1:11" ht="23.25">
      <c r="A865" s="360"/>
      <c r="B865" s="361"/>
      <c r="C865" s="365"/>
      <c r="D865" s="366"/>
      <c r="E865" s="366"/>
      <c r="F865" s="366"/>
      <c r="G865" s="366"/>
      <c r="H865" s="366"/>
      <c r="I865" s="366"/>
      <c r="K865" s="365"/>
    </row>
    <row r="866" spans="1:11" ht="24" thickBot="1">
      <c r="A866" s="392"/>
      <c r="B866" s="393"/>
      <c r="C866" s="399"/>
      <c r="D866" s="400"/>
      <c r="E866" s="400"/>
      <c r="F866" s="400"/>
      <c r="G866" s="400"/>
      <c r="H866" s="364"/>
      <c r="I866" s="400"/>
      <c r="K866" s="399"/>
    </row>
    <row r="867" spans="1:11" ht="24" thickTop="1">
      <c r="A867" s="384"/>
      <c r="B867" s="385"/>
      <c r="C867" s="357"/>
      <c r="D867" s="358"/>
      <c r="E867" s="358"/>
      <c r="F867" s="358"/>
      <c r="G867" s="358"/>
      <c r="H867" s="358"/>
      <c r="I867" s="358"/>
      <c r="K867" s="357"/>
    </row>
    <row r="868" spans="1:11" ht="23.25">
      <c r="A868" s="386"/>
      <c r="B868" s="387"/>
      <c r="C868" s="388"/>
      <c r="D868" s="364"/>
      <c r="E868" s="364"/>
      <c r="F868" s="364"/>
      <c r="G868" s="364"/>
      <c r="H868" s="364"/>
      <c r="I868" s="364"/>
      <c r="K868" s="388"/>
    </row>
    <row r="869" spans="1:11" ht="23.25">
      <c r="A869" s="386"/>
      <c r="B869" s="387"/>
      <c r="C869" s="365"/>
      <c r="D869" s="366"/>
      <c r="E869" s="366"/>
      <c r="F869" s="366"/>
      <c r="G869" s="366"/>
      <c r="H869" s="366"/>
      <c r="I869" s="366"/>
      <c r="K869" s="365"/>
    </row>
    <row r="870" spans="1:11" ht="23.25">
      <c r="A870" s="386"/>
      <c r="B870" s="387"/>
      <c r="C870" s="367"/>
      <c r="D870" s="368"/>
      <c r="E870" s="368"/>
      <c r="F870" s="368"/>
      <c r="G870" s="368"/>
      <c r="H870" s="368"/>
      <c r="I870" s="368"/>
      <c r="K870" s="367"/>
    </row>
    <row r="871" spans="1:11" ht="23.25">
      <c r="A871" s="386"/>
      <c r="B871" s="387"/>
      <c r="C871" s="365"/>
      <c r="D871" s="366"/>
      <c r="E871" s="366"/>
      <c r="F871" s="366"/>
      <c r="G871" s="366"/>
      <c r="H871" s="366"/>
      <c r="I871" s="366"/>
      <c r="K871" s="365"/>
    </row>
    <row r="872" spans="1:11" ht="23.25">
      <c r="A872" s="386"/>
      <c r="B872" s="387"/>
      <c r="C872" s="367"/>
      <c r="D872" s="368"/>
      <c r="E872" s="368"/>
      <c r="F872" s="368"/>
      <c r="G872" s="368"/>
      <c r="H872" s="368"/>
      <c r="I872" s="368"/>
      <c r="K872" s="367"/>
    </row>
    <row r="873" spans="1:11" ht="23.25">
      <c r="A873" s="386"/>
      <c r="B873" s="387"/>
      <c r="C873" s="365"/>
      <c r="D873" s="366"/>
      <c r="E873" s="366"/>
      <c r="F873" s="366"/>
      <c r="G873" s="366"/>
      <c r="H873" s="366"/>
      <c r="I873" s="366"/>
      <c r="K873" s="365"/>
    </row>
    <row r="874" spans="1:11" ht="23.25">
      <c r="A874" s="386"/>
      <c r="B874" s="387"/>
      <c r="C874" s="367"/>
      <c r="D874" s="368"/>
      <c r="E874" s="368"/>
      <c r="F874" s="368"/>
      <c r="G874" s="368"/>
      <c r="H874" s="372"/>
      <c r="I874" s="368"/>
      <c r="K874" s="367"/>
    </row>
    <row r="875" spans="1:11" ht="23.25">
      <c r="A875" s="386"/>
      <c r="B875" s="387"/>
      <c r="C875" s="365"/>
      <c r="D875" s="366"/>
      <c r="E875" s="366"/>
      <c r="F875" s="366"/>
      <c r="G875" s="366"/>
      <c r="H875" s="366"/>
      <c r="I875" s="366"/>
      <c r="K875" s="365"/>
    </row>
    <row r="876" spans="1:11" ht="23.25">
      <c r="A876" s="386"/>
      <c r="B876" s="387"/>
      <c r="C876" s="388"/>
      <c r="D876" s="364"/>
      <c r="E876" s="364"/>
      <c r="F876" s="364"/>
      <c r="G876" s="364"/>
      <c r="H876" s="364"/>
      <c r="I876" s="364"/>
      <c r="K876" s="388"/>
    </row>
    <row r="877" spans="1:11" ht="24" thickBot="1">
      <c r="A877" s="389"/>
      <c r="B877" s="390"/>
      <c r="C877" s="381"/>
      <c r="D877" s="398"/>
      <c r="E877" s="398"/>
      <c r="F877" s="398"/>
      <c r="G877" s="398"/>
      <c r="H877" s="366"/>
      <c r="I877" s="398"/>
      <c r="K877" s="381"/>
    </row>
    <row r="878" spans="1:11" ht="24" thickTop="1">
      <c r="A878" s="355"/>
      <c r="B878" s="356"/>
      <c r="C878" s="396"/>
      <c r="D878" s="397"/>
      <c r="E878" s="397"/>
      <c r="F878" s="397"/>
      <c r="G878" s="397"/>
      <c r="H878" s="397"/>
      <c r="I878" s="397"/>
      <c r="K878" s="396"/>
    </row>
    <row r="879" spans="1:11" ht="23.25">
      <c r="A879" s="360"/>
      <c r="B879" s="361"/>
      <c r="C879" s="365"/>
      <c r="D879" s="366"/>
      <c r="E879" s="366"/>
      <c r="F879" s="366"/>
      <c r="G879" s="366"/>
      <c r="H879" s="366"/>
      <c r="I879" s="366"/>
      <c r="K879" s="365"/>
    </row>
    <row r="880" spans="1:11" ht="23.25">
      <c r="A880" s="360"/>
      <c r="B880" s="361"/>
      <c r="C880" s="367"/>
      <c r="D880" s="368"/>
      <c r="E880" s="368"/>
      <c r="F880" s="368"/>
      <c r="G880" s="368"/>
      <c r="H880" s="364"/>
      <c r="I880" s="368"/>
      <c r="K880" s="367"/>
    </row>
    <row r="881" spans="1:11" ht="23.25">
      <c r="A881" s="360"/>
      <c r="B881" s="361"/>
      <c r="C881" s="365"/>
      <c r="D881" s="366"/>
      <c r="E881" s="366"/>
      <c r="F881" s="366"/>
      <c r="G881" s="366"/>
      <c r="H881" s="366"/>
      <c r="I881" s="366"/>
      <c r="K881" s="365"/>
    </row>
    <row r="882" spans="1:11" ht="23.25">
      <c r="A882" s="360"/>
      <c r="B882" s="361"/>
      <c r="C882" s="367"/>
      <c r="D882" s="368"/>
      <c r="E882" s="368"/>
      <c r="F882" s="368"/>
      <c r="G882" s="368"/>
      <c r="H882" s="368"/>
      <c r="I882" s="368"/>
      <c r="K882" s="367"/>
    </row>
    <row r="883" spans="1:11" ht="23.25">
      <c r="A883" s="360"/>
      <c r="B883" s="361"/>
      <c r="C883" s="365"/>
      <c r="D883" s="366"/>
      <c r="E883" s="366"/>
      <c r="F883" s="366"/>
      <c r="G883" s="366"/>
      <c r="H883" s="366"/>
      <c r="I883" s="366"/>
      <c r="K883" s="365"/>
    </row>
    <row r="884" spans="1:11" ht="23.25">
      <c r="A884" s="360"/>
      <c r="B884" s="361"/>
      <c r="C884" s="367"/>
      <c r="D884" s="368"/>
      <c r="E884" s="368"/>
      <c r="F884" s="368"/>
      <c r="G884" s="368"/>
      <c r="H884" s="368"/>
      <c r="I884" s="368"/>
      <c r="K884" s="367"/>
    </row>
    <row r="885" spans="1:11" ht="23.25">
      <c r="A885" s="360"/>
      <c r="B885" s="361"/>
      <c r="C885" s="365"/>
      <c r="D885" s="366"/>
      <c r="E885" s="366"/>
      <c r="F885" s="366"/>
      <c r="G885" s="366"/>
      <c r="H885" s="366"/>
      <c r="I885" s="366"/>
      <c r="K885" s="365"/>
    </row>
    <row r="886" spans="1:11" ht="23.25">
      <c r="A886" s="360"/>
      <c r="B886" s="361"/>
      <c r="C886" s="388"/>
      <c r="D886" s="364"/>
      <c r="E886" s="364"/>
      <c r="F886" s="364"/>
      <c r="G886" s="364"/>
      <c r="H886" s="372"/>
      <c r="I886" s="364"/>
      <c r="K886" s="388"/>
    </row>
    <row r="887" spans="1:11" ht="23.25">
      <c r="A887" s="360"/>
      <c r="B887" s="361"/>
      <c r="C887" s="365"/>
      <c r="D887" s="366"/>
      <c r="E887" s="366"/>
      <c r="F887" s="366"/>
      <c r="G887" s="366"/>
      <c r="H887" s="366"/>
      <c r="I887" s="366"/>
      <c r="K887" s="365"/>
    </row>
    <row r="888" spans="1:11" ht="24" thickBot="1">
      <c r="A888" s="392"/>
      <c r="B888" s="393"/>
      <c r="C888" s="399"/>
      <c r="D888" s="400"/>
      <c r="E888" s="400"/>
      <c r="F888" s="400"/>
      <c r="G888" s="400"/>
      <c r="H888" s="364"/>
      <c r="I888" s="400"/>
      <c r="K888" s="399"/>
    </row>
    <row r="889" spans="1:11" ht="24" thickTop="1">
      <c r="A889" s="384"/>
      <c r="B889" s="385"/>
      <c r="C889" s="357"/>
      <c r="D889" s="358"/>
      <c r="E889" s="358"/>
      <c r="F889" s="358"/>
      <c r="G889" s="358"/>
      <c r="H889" s="358"/>
      <c r="I889" s="358"/>
      <c r="K889" s="357"/>
    </row>
    <row r="890" spans="1:11" ht="23.25">
      <c r="A890" s="386"/>
      <c r="B890" s="387"/>
      <c r="C890" s="388"/>
      <c r="D890" s="364"/>
      <c r="E890" s="364"/>
      <c r="F890" s="364"/>
      <c r="G890" s="364"/>
      <c r="H890" s="364"/>
      <c r="I890" s="364"/>
      <c r="K890" s="388"/>
    </row>
    <row r="891" spans="1:11" ht="23.25">
      <c r="A891" s="386"/>
      <c r="B891" s="387"/>
      <c r="C891" s="365"/>
      <c r="D891" s="366"/>
      <c r="E891" s="366"/>
      <c r="F891" s="366"/>
      <c r="G891" s="366"/>
      <c r="H891" s="366"/>
      <c r="I891" s="366"/>
      <c r="K891" s="365"/>
    </row>
    <row r="892" spans="1:11" ht="23.25">
      <c r="A892" s="386"/>
      <c r="B892" s="387"/>
      <c r="C892" s="367"/>
      <c r="D892" s="368"/>
      <c r="E892" s="368"/>
      <c r="F892" s="368"/>
      <c r="G892" s="368"/>
      <c r="H892" s="368"/>
      <c r="I892" s="368"/>
      <c r="K892" s="367"/>
    </row>
    <row r="893" spans="1:11" ht="23.25">
      <c r="A893" s="386"/>
      <c r="B893" s="387"/>
      <c r="C893" s="365"/>
      <c r="D893" s="366"/>
      <c r="E893" s="366"/>
      <c r="F893" s="366"/>
      <c r="G893" s="366"/>
      <c r="H893" s="366"/>
      <c r="I893" s="366"/>
      <c r="K893" s="365"/>
    </row>
    <row r="894" spans="1:11" ht="23.25">
      <c r="A894" s="386"/>
      <c r="B894" s="387"/>
      <c r="C894" s="367"/>
      <c r="D894" s="368"/>
      <c r="E894" s="368"/>
      <c r="F894" s="368"/>
      <c r="G894" s="368"/>
      <c r="H894" s="368"/>
      <c r="I894" s="368"/>
      <c r="K894" s="367"/>
    </row>
    <row r="895" spans="1:11" ht="23.25">
      <c r="A895" s="386"/>
      <c r="B895" s="387"/>
      <c r="C895" s="365"/>
      <c r="D895" s="366"/>
      <c r="E895" s="366"/>
      <c r="F895" s="366"/>
      <c r="G895" s="366"/>
      <c r="H895" s="366"/>
      <c r="I895" s="366"/>
      <c r="K895" s="365"/>
    </row>
    <row r="896" spans="1:11" ht="23.25">
      <c r="A896" s="386"/>
      <c r="B896" s="387"/>
      <c r="C896" s="367"/>
      <c r="D896" s="368"/>
      <c r="E896" s="368"/>
      <c r="F896" s="368"/>
      <c r="G896" s="368"/>
      <c r="H896" s="372"/>
      <c r="I896" s="368"/>
      <c r="K896" s="367"/>
    </row>
    <row r="897" spans="1:11" ht="23.25">
      <c r="A897" s="386"/>
      <c r="B897" s="387"/>
      <c r="C897" s="365"/>
      <c r="D897" s="366"/>
      <c r="E897" s="366"/>
      <c r="F897" s="366"/>
      <c r="G897" s="366"/>
      <c r="H897" s="366"/>
      <c r="I897" s="366"/>
      <c r="K897" s="365"/>
    </row>
    <row r="898" spans="1:11" ht="23.25">
      <c r="A898" s="386"/>
      <c r="B898" s="387"/>
      <c r="C898" s="388"/>
      <c r="D898" s="364"/>
      <c r="E898" s="364"/>
      <c r="F898" s="364"/>
      <c r="G898" s="364"/>
      <c r="H898" s="364"/>
      <c r="I898" s="364"/>
      <c r="K898" s="388"/>
    </row>
    <row r="899" spans="1:11" ht="24" thickBot="1">
      <c r="A899" s="389"/>
      <c r="B899" s="390"/>
      <c r="C899" s="381"/>
      <c r="D899" s="398"/>
      <c r="E899" s="398"/>
      <c r="F899" s="398"/>
      <c r="G899" s="398"/>
      <c r="H899" s="366"/>
      <c r="I899" s="398"/>
      <c r="K899" s="381"/>
    </row>
    <row r="900" spans="1:11" ht="24" thickTop="1">
      <c r="A900" s="355"/>
      <c r="B900" s="356"/>
      <c r="C900" s="396"/>
      <c r="D900" s="397"/>
      <c r="E900" s="397"/>
      <c r="F900" s="397"/>
      <c r="G900" s="397"/>
      <c r="H900" s="397"/>
      <c r="I900" s="397"/>
      <c r="K900" s="396"/>
    </row>
    <row r="901" spans="1:11" ht="23.25">
      <c r="A901" s="360"/>
      <c r="B901" s="361"/>
      <c r="C901" s="365"/>
      <c r="D901" s="366"/>
      <c r="E901" s="366"/>
      <c r="F901" s="366"/>
      <c r="G901" s="366"/>
      <c r="H901" s="366"/>
      <c r="I901" s="366"/>
      <c r="K901" s="365"/>
    </row>
    <row r="902" spans="1:11" ht="23.25">
      <c r="A902" s="360"/>
      <c r="B902" s="361"/>
      <c r="C902" s="367"/>
      <c r="D902" s="368"/>
      <c r="E902" s="368"/>
      <c r="F902" s="368"/>
      <c r="G902" s="368"/>
      <c r="H902" s="364"/>
      <c r="I902" s="368"/>
      <c r="K902" s="367"/>
    </row>
    <row r="903" spans="1:11" ht="23.25">
      <c r="A903" s="360"/>
      <c r="B903" s="361"/>
      <c r="C903" s="365"/>
      <c r="D903" s="366"/>
      <c r="E903" s="366"/>
      <c r="F903" s="366"/>
      <c r="G903" s="366"/>
      <c r="H903" s="366"/>
      <c r="I903" s="366"/>
      <c r="K903" s="365"/>
    </row>
    <row r="904" spans="1:11" ht="23.25">
      <c r="A904" s="360"/>
      <c r="B904" s="361"/>
      <c r="C904" s="367"/>
      <c r="D904" s="368"/>
      <c r="E904" s="368"/>
      <c r="F904" s="368"/>
      <c r="G904" s="368"/>
      <c r="H904" s="368"/>
      <c r="I904" s="368"/>
      <c r="K904" s="367"/>
    </row>
    <row r="905" spans="1:11" ht="23.25">
      <c r="A905" s="360"/>
      <c r="B905" s="361"/>
      <c r="C905" s="365"/>
      <c r="D905" s="366"/>
      <c r="E905" s="366"/>
      <c r="F905" s="366"/>
      <c r="G905" s="366"/>
      <c r="H905" s="366"/>
      <c r="I905" s="366"/>
      <c r="K905" s="365"/>
    </row>
    <row r="906" spans="1:11" ht="23.25">
      <c r="A906" s="360"/>
      <c r="B906" s="361"/>
      <c r="C906" s="367"/>
      <c r="D906" s="368"/>
      <c r="E906" s="368"/>
      <c r="F906" s="368"/>
      <c r="G906" s="368"/>
      <c r="H906" s="368"/>
      <c r="I906" s="368"/>
      <c r="K906" s="367"/>
    </row>
    <row r="907" spans="1:11" ht="23.25">
      <c r="A907" s="360"/>
      <c r="B907" s="361"/>
      <c r="C907" s="365"/>
      <c r="D907" s="366"/>
      <c r="E907" s="366"/>
      <c r="F907" s="366"/>
      <c r="G907" s="366"/>
      <c r="H907" s="366"/>
      <c r="I907" s="366"/>
      <c r="K907" s="365"/>
    </row>
    <row r="908" spans="1:11" ht="23.25">
      <c r="A908" s="360"/>
      <c r="B908" s="361"/>
      <c r="C908" s="388"/>
      <c r="D908" s="364"/>
      <c r="E908" s="364"/>
      <c r="F908" s="364"/>
      <c r="G908" s="364"/>
      <c r="H908" s="372"/>
      <c r="I908" s="364"/>
      <c r="K908" s="388"/>
    </row>
    <row r="909" spans="1:11" ht="23.25">
      <c r="A909" s="360"/>
      <c r="B909" s="361"/>
      <c r="C909" s="365"/>
      <c r="D909" s="366"/>
      <c r="E909" s="366"/>
      <c r="F909" s="366"/>
      <c r="G909" s="366"/>
      <c r="H909" s="366"/>
      <c r="I909" s="366"/>
      <c r="K909" s="365"/>
    </row>
    <row r="910" spans="1:11" ht="24" thickBot="1">
      <c r="A910" s="392"/>
      <c r="B910" s="393"/>
      <c r="C910" s="399"/>
      <c r="D910" s="400"/>
      <c r="E910" s="400"/>
      <c r="F910" s="400"/>
      <c r="G910" s="400"/>
      <c r="H910" s="400"/>
      <c r="I910" s="400"/>
      <c r="K910" s="399"/>
    </row>
    <row r="911" spans="1:11" ht="24" thickTop="1">
      <c r="A911" s="355"/>
      <c r="B911" s="356"/>
      <c r="C911" s="396"/>
      <c r="D911" s="397"/>
      <c r="E911" s="397"/>
      <c r="F911" s="397"/>
      <c r="G911" s="397"/>
      <c r="H911" s="397"/>
      <c r="I911" s="397"/>
      <c r="K911" s="396"/>
    </row>
    <row r="912" spans="1:11" ht="23.25">
      <c r="A912" s="360"/>
      <c r="B912" s="361"/>
      <c r="C912" s="365"/>
      <c r="D912" s="366"/>
      <c r="E912" s="366"/>
      <c r="F912" s="366"/>
      <c r="G912" s="366"/>
      <c r="H912" s="366"/>
      <c r="I912" s="366"/>
      <c r="K912" s="365"/>
    </row>
    <row r="913" spans="1:11" ht="23.25">
      <c r="A913" s="360"/>
      <c r="B913" s="361"/>
      <c r="C913" s="367"/>
      <c r="D913" s="368"/>
      <c r="E913" s="368"/>
      <c r="F913" s="368"/>
      <c r="G913" s="368"/>
      <c r="H913" s="364"/>
      <c r="I913" s="368"/>
      <c r="K913" s="367"/>
    </row>
    <row r="914" spans="1:11" ht="23.25">
      <c r="A914" s="360"/>
      <c r="B914" s="361"/>
      <c r="C914" s="365"/>
      <c r="D914" s="366"/>
      <c r="E914" s="366"/>
      <c r="F914" s="366"/>
      <c r="G914" s="366"/>
      <c r="H914" s="366"/>
      <c r="I914" s="366"/>
      <c r="K914" s="365"/>
    </row>
    <row r="915" spans="1:11" ht="23.25">
      <c r="A915" s="360"/>
      <c r="B915" s="361"/>
      <c r="C915" s="367"/>
      <c r="D915" s="368"/>
      <c r="E915" s="368"/>
      <c r="F915" s="368"/>
      <c r="G915" s="368"/>
      <c r="H915" s="368"/>
      <c r="I915" s="368"/>
      <c r="K915" s="367"/>
    </row>
    <row r="916" spans="1:11" ht="23.25">
      <c r="A916" s="360"/>
      <c r="B916" s="361"/>
      <c r="C916" s="365"/>
      <c r="D916" s="366"/>
      <c r="E916" s="366"/>
      <c r="F916" s="366"/>
      <c r="G916" s="366"/>
      <c r="H916" s="366"/>
      <c r="I916" s="366"/>
      <c r="K916" s="365"/>
    </row>
    <row r="917" spans="1:11" ht="23.25">
      <c r="A917" s="360"/>
      <c r="B917" s="361"/>
      <c r="C917" s="367"/>
      <c r="D917" s="368"/>
      <c r="E917" s="368"/>
      <c r="F917" s="368"/>
      <c r="G917" s="368"/>
      <c r="H917" s="368"/>
      <c r="I917" s="368"/>
      <c r="K917" s="367"/>
    </row>
    <row r="918" spans="1:11" ht="23.25">
      <c r="A918" s="360"/>
      <c r="B918" s="361"/>
      <c r="C918" s="365"/>
      <c r="D918" s="366"/>
      <c r="E918" s="366"/>
      <c r="F918" s="366"/>
      <c r="G918" s="366"/>
      <c r="H918" s="366"/>
      <c r="I918" s="366"/>
      <c r="K918" s="365"/>
    </row>
    <row r="919" spans="1:11" ht="23.25">
      <c r="A919" s="360"/>
      <c r="B919" s="361"/>
      <c r="C919" s="388"/>
      <c r="D919" s="364"/>
      <c r="E919" s="364"/>
      <c r="F919" s="364"/>
      <c r="G919" s="364"/>
      <c r="H919" s="372"/>
      <c r="I919" s="364"/>
      <c r="K919" s="388"/>
    </row>
    <row r="920" spans="1:11" ht="23.25">
      <c r="A920" s="360"/>
      <c r="B920" s="361"/>
      <c r="C920" s="365"/>
      <c r="D920" s="366"/>
      <c r="E920" s="366"/>
      <c r="F920" s="366"/>
      <c r="G920" s="366"/>
      <c r="H920" s="366"/>
      <c r="I920" s="366"/>
      <c r="K920" s="365"/>
    </row>
    <row r="921" spans="1:11" ht="24" thickBot="1">
      <c r="A921" s="392"/>
      <c r="B921" s="393"/>
      <c r="C921" s="399"/>
      <c r="D921" s="400"/>
      <c r="E921" s="400"/>
      <c r="F921" s="400"/>
      <c r="G921" s="400"/>
      <c r="H921" s="364"/>
      <c r="I921" s="400"/>
      <c r="K921" s="399"/>
    </row>
    <row r="922" spans="1:11" ht="24" thickTop="1">
      <c r="A922" s="384"/>
      <c r="B922" s="385"/>
      <c r="C922" s="357"/>
      <c r="D922" s="358"/>
      <c r="E922" s="358"/>
      <c r="F922" s="358"/>
      <c r="G922" s="358"/>
      <c r="H922" s="358"/>
      <c r="I922" s="358"/>
      <c r="K922" s="357"/>
    </row>
    <row r="923" spans="1:11" ht="23.25">
      <c r="A923" s="386"/>
      <c r="B923" s="387"/>
      <c r="C923" s="388"/>
      <c r="D923" s="364"/>
      <c r="E923" s="364"/>
      <c r="F923" s="364"/>
      <c r="G923" s="364"/>
      <c r="H923" s="364"/>
      <c r="I923" s="364"/>
      <c r="K923" s="388"/>
    </row>
    <row r="924" spans="1:11" ht="23.25">
      <c r="A924" s="386"/>
      <c r="B924" s="387"/>
      <c r="C924" s="365"/>
      <c r="D924" s="366"/>
      <c r="E924" s="366"/>
      <c r="F924" s="366"/>
      <c r="G924" s="366"/>
      <c r="H924" s="366"/>
      <c r="I924" s="366"/>
      <c r="K924" s="365"/>
    </row>
    <row r="925" spans="1:11" ht="23.25">
      <c r="A925" s="386"/>
      <c r="B925" s="387"/>
      <c r="C925" s="367"/>
      <c r="D925" s="368"/>
      <c r="E925" s="368"/>
      <c r="F925" s="368"/>
      <c r="G925" s="368"/>
      <c r="H925" s="368"/>
      <c r="I925" s="368"/>
      <c r="K925" s="367"/>
    </row>
    <row r="926" spans="1:11" ht="23.25">
      <c r="A926" s="386"/>
      <c r="B926" s="387"/>
      <c r="C926" s="365"/>
      <c r="D926" s="366"/>
      <c r="E926" s="366"/>
      <c r="F926" s="366"/>
      <c r="G926" s="366"/>
      <c r="H926" s="366"/>
      <c r="I926" s="366"/>
      <c r="K926" s="365"/>
    </row>
    <row r="927" spans="1:11" ht="23.25">
      <c r="A927" s="386"/>
      <c r="B927" s="387"/>
      <c r="C927" s="367"/>
      <c r="D927" s="368"/>
      <c r="E927" s="368"/>
      <c r="F927" s="368"/>
      <c r="G927" s="368"/>
      <c r="H927" s="368"/>
      <c r="I927" s="368"/>
      <c r="K927" s="367"/>
    </row>
    <row r="928" spans="1:11" ht="23.25">
      <c r="A928" s="386"/>
      <c r="B928" s="387"/>
      <c r="C928" s="365"/>
      <c r="D928" s="366"/>
      <c r="E928" s="366"/>
      <c r="F928" s="366"/>
      <c r="G928" s="366"/>
      <c r="H928" s="366"/>
      <c r="I928" s="366"/>
      <c r="K928" s="365"/>
    </row>
    <row r="929" spans="1:14" ht="23.25">
      <c r="A929" s="386"/>
      <c r="B929" s="387"/>
      <c r="C929" s="367"/>
      <c r="D929" s="368"/>
      <c r="E929" s="368"/>
      <c r="F929" s="368"/>
      <c r="G929" s="368"/>
      <c r="H929" s="372"/>
      <c r="I929" s="368"/>
      <c r="K929" s="367"/>
    </row>
    <row r="930" spans="1:14" ht="23.25">
      <c r="A930" s="386"/>
      <c r="B930" s="387"/>
      <c r="C930" s="365"/>
      <c r="D930" s="366"/>
      <c r="E930" s="366"/>
      <c r="F930" s="366"/>
      <c r="G930" s="366"/>
      <c r="H930" s="366"/>
      <c r="I930" s="366"/>
      <c r="K930" s="365"/>
    </row>
    <row r="931" spans="1:14" ht="23.25">
      <c r="A931" s="386"/>
      <c r="B931" s="387"/>
      <c r="C931" s="388"/>
      <c r="D931" s="364"/>
      <c r="E931" s="364"/>
      <c r="F931" s="364"/>
      <c r="G931" s="364"/>
      <c r="H931" s="364"/>
      <c r="I931" s="364"/>
      <c r="K931" s="388"/>
    </row>
    <row r="932" spans="1:14" ht="24" thickBot="1">
      <c r="A932" s="389"/>
      <c r="B932" s="390"/>
      <c r="C932" s="381"/>
      <c r="D932" s="398"/>
      <c r="E932" s="398"/>
      <c r="F932" s="398"/>
      <c r="G932" s="398"/>
      <c r="H932" s="366"/>
      <c r="I932" s="398"/>
      <c r="K932" s="381"/>
    </row>
    <row r="933" spans="1:14" ht="24" thickTop="1">
      <c r="A933" s="355"/>
      <c r="B933" s="356"/>
      <c r="C933" s="396"/>
      <c r="D933" s="397"/>
      <c r="E933" s="397"/>
      <c r="F933" s="397"/>
      <c r="G933" s="397"/>
      <c r="H933" s="397"/>
      <c r="I933" s="397"/>
      <c r="K933" s="396"/>
    </row>
    <row r="934" spans="1:14" ht="23.25">
      <c r="A934" s="360"/>
      <c r="B934" s="361"/>
      <c r="C934" s="365"/>
      <c r="D934" s="366"/>
      <c r="E934" s="366"/>
      <c r="F934" s="366"/>
      <c r="G934" s="366"/>
      <c r="H934" s="366"/>
      <c r="I934" s="366"/>
      <c r="K934" s="365"/>
    </row>
    <row r="935" spans="1:14" ht="23.25">
      <c r="A935" s="360"/>
      <c r="B935" s="361"/>
      <c r="C935" s="367"/>
      <c r="D935" s="368"/>
      <c r="E935" s="368"/>
      <c r="F935" s="368"/>
      <c r="G935" s="368"/>
      <c r="H935" s="364"/>
      <c r="I935" s="368"/>
      <c r="K935" s="367"/>
    </row>
    <row r="936" spans="1:14" ht="23.25">
      <c r="A936" s="360"/>
      <c r="B936" s="361"/>
      <c r="C936" s="365"/>
      <c r="D936" s="366"/>
      <c r="E936" s="366"/>
      <c r="F936" s="366"/>
      <c r="G936" s="366"/>
      <c r="H936" s="366"/>
      <c r="I936" s="366"/>
      <c r="K936" s="365"/>
    </row>
    <row r="937" spans="1:14" ht="23.25">
      <c r="A937" s="360"/>
      <c r="B937" s="361"/>
      <c r="C937" s="367"/>
      <c r="D937" s="368"/>
      <c r="E937" s="368"/>
      <c r="F937" s="368"/>
      <c r="G937" s="368"/>
      <c r="H937" s="368"/>
      <c r="I937" s="368"/>
      <c r="K937" s="367"/>
    </row>
    <row r="938" spans="1:14" ht="23.25">
      <c r="A938" s="360"/>
      <c r="B938" s="361"/>
      <c r="C938" s="365"/>
      <c r="D938" s="366"/>
      <c r="E938" s="366"/>
      <c r="F938" s="366"/>
      <c r="G938" s="366"/>
      <c r="H938" s="366"/>
      <c r="I938" s="366">
        <f t="shared" ref="I938:I943" si="6">G938+H938</f>
        <v>0</v>
      </c>
      <c r="K938" s="365">
        <v>0</v>
      </c>
      <c r="M938" s="350">
        <v>0.04</v>
      </c>
      <c r="N938" s="351" t="str">
        <f t="shared" ref="N938:N943" si="7">CONCATENATE(B938,C938)</f>
        <v/>
      </c>
    </row>
    <row r="939" spans="1:14" ht="23.25">
      <c r="A939" s="360"/>
      <c r="B939" s="361"/>
      <c r="C939" s="367"/>
      <c r="D939" s="368"/>
      <c r="E939" s="368"/>
      <c r="F939" s="368"/>
      <c r="G939" s="368"/>
      <c r="H939" s="368"/>
      <c r="I939" s="368">
        <f t="shared" si="6"/>
        <v>0</v>
      </c>
      <c r="K939" s="367">
        <v>0</v>
      </c>
      <c r="M939" s="350">
        <v>0.04</v>
      </c>
      <c r="N939" s="351" t="str">
        <f t="shared" si="7"/>
        <v/>
      </c>
    </row>
    <row r="940" spans="1:14" ht="23.25">
      <c r="A940" s="360"/>
      <c r="B940" s="361"/>
      <c r="C940" s="365"/>
      <c r="D940" s="366"/>
      <c r="E940" s="366"/>
      <c r="F940" s="366"/>
      <c r="G940" s="366"/>
      <c r="H940" s="366"/>
      <c r="I940" s="366">
        <f t="shared" si="6"/>
        <v>0</v>
      </c>
      <c r="K940" s="365">
        <v>0</v>
      </c>
      <c r="M940" s="350">
        <v>0.04</v>
      </c>
      <c r="N940" s="351" t="str">
        <f t="shared" si="7"/>
        <v/>
      </c>
    </row>
    <row r="941" spans="1:14" ht="23.25">
      <c r="A941" s="360"/>
      <c r="B941" s="361"/>
      <c r="C941" s="388"/>
      <c r="D941" s="364"/>
      <c r="E941" s="364"/>
      <c r="F941" s="364"/>
      <c r="G941" s="364"/>
      <c r="H941" s="372"/>
      <c r="I941" s="364">
        <f t="shared" si="6"/>
        <v>0</v>
      </c>
      <c r="K941" s="388">
        <v>0</v>
      </c>
      <c r="M941" s="350">
        <v>0.04</v>
      </c>
      <c r="N941" s="351" t="str">
        <f t="shared" si="7"/>
        <v/>
      </c>
    </row>
    <row r="942" spans="1:14" ht="23.25">
      <c r="A942" s="360"/>
      <c r="B942" s="361"/>
      <c r="C942" s="365"/>
      <c r="D942" s="366"/>
      <c r="E942" s="366"/>
      <c r="F942" s="366"/>
      <c r="G942" s="366"/>
      <c r="H942" s="366"/>
      <c r="I942" s="366">
        <f t="shared" si="6"/>
        <v>0</v>
      </c>
      <c r="K942" s="365">
        <v>0</v>
      </c>
      <c r="M942" s="350">
        <v>0.04</v>
      </c>
      <c r="N942" s="351" t="str">
        <f t="shared" si="7"/>
        <v/>
      </c>
    </row>
    <row r="943" spans="1:14" ht="24" thickBot="1">
      <c r="A943" s="392"/>
      <c r="B943" s="393"/>
      <c r="C943" s="399"/>
      <c r="D943" s="400"/>
      <c r="E943" s="400"/>
      <c r="F943" s="400"/>
      <c r="G943" s="400"/>
      <c r="H943" s="400"/>
      <c r="I943" s="400">
        <f t="shared" si="6"/>
        <v>0</v>
      </c>
      <c r="K943" s="399">
        <v>0</v>
      </c>
      <c r="M943" s="350">
        <v>0.04</v>
      </c>
      <c r="N943" s="351" t="str">
        <f t="shared" si="7"/>
        <v/>
      </c>
    </row>
    <row r="944" spans="1:14" ht="18.75" thickTop="1"/>
  </sheetData>
  <mergeCells count="12">
    <mergeCell ref="J2:J3"/>
    <mergeCell ref="K2:K3"/>
    <mergeCell ref="L2:L3"/>
    <mergeCell ref="M2:M3"/>
    <mergeCell ref="B1:I1"/>
    <mergeCell ref="F2:F3"/>
    <mergeCell ref="G2:I2"/>
    <mergeCell ref="A2:A3"/>
    <mergeCell ref="B2:B3"/>
    <mergeCell ref="C2:C3"/>
    <mergeCell ref="D2:D3"/>
    <mergeCell ref="E2:E3"/>
  </mergeCells>
  <printOptions horizontalCentered="1" verticalCentered="1"/>
  <pageMargins left="0" right="0" top="0.15748031496062992" bottom="0.15748031496062992" header="0" footer="0.19685039370078741"/>
  <pageSetup paperSize="9" scale="51" fitToHeight="10" orientation="portrait" r:id="rId1"/>
  <headerFooter alignWithMargins="0"/>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1487"/>
  <sheetViews>
    <sheetView rightToLeft="1" view="pageBreakPreview" zoomScale="70" zoomScaleNormal="120" zoomScaleSheetLayoutView="70" workbookViewId="0">
      <pane xSplit="2" ySplit="3" topLeftCell="C4" activePane="bottomRight" state="frozen"/>
      <selection pane="topRight" activeCell="B1" sqref="B1"/>
      <selection pane="bottomLeft" activeCell="A4" sqref="A4"/>
      <selection pane="bottomRight" activeCell="N1" sqref="N1"/>
    </sheetView>
  </sheetViews>
  <sheetFormatPr defaultColWidth="9.140625" defaultRowHeight="18"/>
  <cols>
    <col min="1" max="1" width="15.140625" style="401" customWidth="1"/>
    <col min="2" max="2" width="15.7109375" style="402" customWidth="1"/>
    <col min="3" max="3" width="15.7109375" style="403" customWidth="1"/>
    <col min="4" max="9" width="15.7109375" style="402" customWidth="1"/>
    <col min="10" max="10" width="3" style="351" customWidth="1"/>
    <col min="11" max="11" width="19.28515625" style="351" customWidth="1"/>
    <col min="12" max="13" width="15.42578125" style="350" customWidth="1"/>
    <col min="14" max="14" width="15.42578125" style="351" customWidth="1"/>
    <col min="15" max="16384" width="9.140625" style="351"/>
  </cols>
  <sheetData>
    <row r="1" spans="1:16" ht="51" customHeight="1" thickBot="1">
      <c r="A1" s="348"/>
      <c r="B1" s="874" t="s">
        <v>45</v>
      </c>
      <c r="C1" s="874"/>
      <c r="D1" s="874"/>
      <c r="E1" s="874"/>
      <c r="F1" s="874"/>
      <c r="G1" s="874"/>
      <c r="H1" s="874"/>
      <c r="I1" s="874"/>
      <c r="J1" s="349"/>
      <c r="K1" s="349"/>
    </row>
    <row r="2" spans="1:16" ht="18.75" thickTop="1">
      <c r="A2" s="861" t="s">
        <v>59</v>
      </c>
      <c r="B2" s="863" t="s">
        <v>29</v>
      </c>
      <c r="C2" s="865" t="s">
        <v>30</v>
      </c>
      <c r="D2" s="867" t="s">
        <v>39</v>
      </c>
      <c r="E2" s="867" t="s">
        <v>40</v>
      </c>
      <c r="F2" s="867" t="s">
        <v>41</v>
      </c>
      <c r="G2" s="875" t="s">
        <v>42</v>
      </c>
      <c r="H2" s="876"/>
      <c r="I2" s="877"/>
      <c r="J2" s="869"/>
      <c r="K2" s="870" t="s">
        <v>44</v>
      </c>
      <c r="L2" s="872" t="s">
        <v>61</v>
      </c>
      <c r="M2" s="873" t="s">
        <v>62</v>
      </c>
    </row>
    <row r="3" spans="1:16" ht="18.75" thickBot="1">
      <c r="A3" s="862"/>
      <c r="B3" s="864"/>
      <c r="C3" s="866"/>
      <c r="D3" s="868"/>
      <c r="E3" s="868"/>
      <c r="F3" s="868"/>
      <c r="G3" s="352" t="s">
        <v>33</v>
      </c>
      <c r="H3" s="353" t="s">
        <v>32</v>
      </c>
      <c r="I3" s="354" t="s">
        <v>31</v>
      </c>
      <c r="J3" s="869"/>
      <c r="K3" s="871"/>
      <c r="L3" s="872"/>
      <c r="M3" s="873"/>
    </row>
    <row r="4" spans="1:16" ht="24" customHeight="1" thickTop="1">
      <c r="A4" s="355" t="s">
        <v>60</v>
      </c>
      <c r="B4" s="356">
        <v>3000</v>
      </c>
      <c r="C4" s="357">
        <v>4</v>
      </c>
      <c r="D4" s="358">
        <v>314</v>
      </c>
      <c r="E4" s="358">
        <v>3314</v>
      </c>
      <c r="F4" s="358">
        <v>30</v>
      </c>
      <c r="G4" s="358">
        <v>750</v>
      </c>
      <c r="H4" s="358">
        <v>71</v>
      </c>
      <c r="I4" s="358">
        <v>821</v>
      </c>
      <c r="K4" s="359">
        <v>0</v>
      </c>
      <c r="L4" s="350">
        <v>0.31</v>
      </c>
      <c r="M4" s="350">
        <v>0.03</v>
      </c>
      <c r="N4" s="616" t="str">
        <f>CONCATENATE(B4,C4)</f>
        <v>30004</v>
      </c>
      <c r="P4" s="351" t="str">
        <f t="shared" ref="P4:P67" si="0">IF((E4-F4)/C4=I4,"T","F")</f>
        <v>T</v>
      </c>
    </row>
    <row r="5" spans="1:16" ht="23.25">
      <c r="A5" s="360" t="s">
        <v>60</v>
      </c>
      <c r="B5" s="361">
        <v>3000</v>
      </c>
      <c r="C5" s="362">
        <v>6</v>
      </c>
      <c r="D5" s="363">
        <v>471</v>
      </c>
      <c r="E5" s="363">
        <v>3471</v>
      </c>
      <c r="F5" s="363">
        <v>45</v>
      </c>
      <c r="G5" s="363">
        <v>500</v>
      </c>
      <c r="H5" s="364">
        <v>71</v>
      </c>
      <c r="I5" s="364">
        <v>571</v>
      </c>
      <c r="K5" s="362">
        <v>0</v>
      </c>
      <c r="L5" s="350">
        <v>0.31</v>
      </c>
      <c r="M5" s="350">
        <v>0.03</v>
      </c>
      <c r="N5" s="616" t="str">
        <f t="shared" ref="N5:N68" si="1">CONCATENATE(B5,C5)</f>
        <v>30006</v>
      </c>
      <c r="P5" s="351" t="str">
        <f t="shared" si="0"/>
        <v>T</v>
      </c>
    </row>
    <row r="6" spans="1:16" ht="23.25">
      <c r="A6" s="360" t="s">
        <v>60</v>
      </c>
      <c r="B6" s="361">
        <v>3000</v>
      </c>
      <c r="C6" s="365">
        <v>8</v>
      </c>
      <c r="D6" s="366">
        <v>628</v>
      </c>
      <c r="E6" s="366">
        <v>3628</v>
      </c>
      <c r="F6" s="366">
        <v>60</v>
      </c>
      <c r="G6" s="366">
        <v>375</v>
      </c>
      <c r="H6" s="366">
        <v>71</v>
      </c>
      <c r="I6" s="366">
        <v>446</v>
      </c>
      <c r="K6" s="365">
        <v>0</v>
      </c>
      <c r="L6" s="350">
        <v>0.31</v>
      </c>
      <c r="M6" s="350">
        <v>0.03</v>
      </c>
      <c r="N6" s="616" t="str">
        <f t="shared" si="1"/>
        <v>30008</v>
      </c>
      <c r="P6" s="351" t="str">
        <f t="shared" si="0"/>
        <v>T</v>
      </c>
    </row>
    <row r="7" spans="1:16" ht="23.25">
      <c r="A7" s="360" t="s">
        <v>60</v>
      </c>
      <c r="B7" s="361">
        <v>3000</v>
      </c>
      <c r="C7" s="367">
        <v>10</v>
      </c>
      <c r="D7" s="368">
        <v>785</v>
      </c>
      <c r="E7" s="368">
        <v>3785</v>
      </c>
      <c r="F7" s="368">
        <v>75</v>
      </c>
      <c r="G7" s="368">
        <v>300</v>
      </c>
      <c r="H7" s="368">
        <v>71</v>
      </c>
      <c r="I7" s="368">
        <v>371</v>
      </c>
      <c r="K7" s="367">
        <v>0</v>
      </c>
      <c r="L7" s="350">
        <v>0.31</v>
      </c>
      <c r="M7" s="350">
        <v>0.03</v>
      </c>
      <c r="N7" s="616" t="str">
        <f t="shared" si="1"/>
        <v>300010</v>
      </c>
      <c r="P7" s="351" t="str">
        <f t="shared" si="0"/>
        <v>T</v>
      </c>
    </row>
    <row r="8" spans="1:16" ht="23.25">
      <c r="A8" s="360" t="s">
        <v>60</v>
      </c>
      <c r="B8" s="361">
        <v>3000</v>
      </c>
      <c r="C8" s="365">
        <v>12</v>
      </c>
      <c r="D8" s="366">
        <v>942</v>
      </c>
      <c r="E8" s="366">
        <v>3942</v>
      </c>
      <c r="F8" s="366">
        <v>90</v>
      </c>
      <c r="G8" s="366">
        <v>250</v>
      </c>
      <c r="H8" s="366">
        <v>71</v>
      </c>
      <c r="I8" s="366">
        <v>321</v>
      </c>
      <c r="K8" s="365">
        <v>0</v>
      </c>
      <c r="L8" s="350">
        <v>0.31</v>
      </c>
      <c r="M8" s="350">
        <v>0.03</v>
      </c>
      <c r="N8" s="616" t="str">
        <f t="shared" si="1"/>
        <v>300012</v>
      </c>
      <c r="P8" s="351" t="str">
        <f t="shared" si="0"/>
        <v>T</v>
      </c>
    </row>
    <row r="9" spans="1:16" ht="23.25">
      <c r="A9" s="360" t="s">
        <v>60</v>
      </c>
      <c r="B9" s="361">
        <v>3000</v>
      </c>
      <c r="C9" s="367">
        <v>14</v>
      </c>
      <c r="D9" s="368">
        <v>1095</v>
      </c>
      <c r="E9" s="368">
        <v>4095</v>
      </c>
      <c r="F9" s="368">
        <v>105</v>
      </c>
      <c r="G9" s="368">
        <v>215</v>
      </c>
      <c r="H9" s="368">
        <v>70</v>
      </c>
      <c r="I9" s="368">
        <v>285</v>
      </c>
      <c r="K9" s="367">
        <v>0</v>
      </c>
      <c r="L9" s="350">
        <v>0.31</v>
      </c>
      <c r="M9" s="350">
        <v>0.03</v>
      </c>
      <c r="N9" s="616" t="str">
        <f t="shared" si="1"/>
        <v>300014</v>
      </c>
      <c r="P9" s="351" t="str">
        <f t="shared" si="0"/>
        <v>T</v>
      </c>
    </row>
    <row r="10" spans="1:16" ht="23.25">
      <c r="A10" s="360" t="s">
        <v>60</v>
      </c>
      <c r="B10" s="361">
        <v>3000</v>
      </c>
      <c r="C10" s="365">
        <v>16</v>
      </c>
      <c r="D10" s="366">
        <v>1248</v>
      </c>
      <c r="E10" s="366">
        <v>4248</v>
      </c>
      <c r="F10" s="366">
        <v>120</v>
      </c>
      <c r="G10" s="366">
        <v>188</v>
      </c>
      <c r="H10" s="366">
        <v>70</v>
      </c>
      <c r="I10" s="366">
        <v>258</v>
      </c>
      <c r="K10" s="365">
        <v>0</v>
      </c>
      <c r="L10" s="350">
        <v>0.31</v>
      </c>
      <c r="M10" s="350">
        <v>0.03</v>
      </c>
      <c r="N10" s="616" t="str">
        <f t="shared" si="1"/>
        <v>300016</v>
      </c>
      <c r="P10" s="351" t="str">
        <f t="shared" si="0"/>
        <v>T</v>
      </c>
    </row>
    <row r="11" spans="1:16" ht="24" thickBot="1">
      <c r="A11" s="369" t="s">
        <v>60</v>
      </c>
      <c r="B11" s="370">
        <v>3000</v>
      </c>
      <c r="C11" s="371">
        <v>18</v>
      </c>
      <c r="D11" s="372">
        <v>1401</v>
      </c>
      <c r="E11" s="372">
        <v>4401</v>
      </c>
      <c r="F11" s="372">
        <v>135</v>
      </c>
      <c r="G11" s="372">
        <v>167</v>
      </c>
      <c r="H11" s="373">
        <v>70</v>
      </c>
      <c r="I11" s="372">
        <v>237</v>
      </c>
      <c r="K11" s="371">
        <v>0</v>
      </c>
      <c r="L11" s="350">
        <v>0.31</v>
      </c>
      <c r="M11" s="350">
        <v>0.03</v>
      </c>
      <c r="N11" s="616" t="str">
        <f t="shared" si="1"/>
        <v>300018</v>
      </c>
      <c r="P11" s="351" t="str">
        <f t="shared" si="0"/>
        <v>T</v>
      </c>
    </row>
    <row r="12" spans="1:16" ht="24" thickTop="1">
      <c r="A12" s="374" t="s">
        <v>60</v>
      </c>
      <c r="B12" s="375">
        <v>4000</v>
      </c>
      <c r="C12" s="357">
        <v>4</v>
      </c>
      <c r="D12" s="358">
        <v>416</v>
      </c>
      <c r="E12" s="358">
        <v>4416</v>
      </c>
      <c r="F12" s="358">
        <v>40</v>
      </c>
      <c r="G12" s="358">
        <v>1000</v>
      </c>
      <c r="H12" s="376">
        <v>94</v>
      </c>
      <c r="I12" s="358">
        <v>1094</v>
      </c>
      <c r="K12" s="357">
        <v>0</v>
      </c>
      <c r="L12" s="350">
        <v>0.31</v>
      </c>
      <c r="M12" s="350">
        <v>0.03</v>
      </c>
      <c r="N12" s="616" t="str">
        <f t="shared" si="1"/>
        <v>40004</v>
      </c>
      <c r="P12" s="351" t="str">
        <f t="shared" si="0"/>
        <v>T</v>
      </c>
    </row>
    <row r="13" spans="1:16" ht="24" customHeight="1">
      <c r="A13" s="377" t="s">
        <v>60</v>
      </c>
      <c r="B13" s="378">
        <v>4000</v>
      </c>
      <c r="C13" s="362">
        <v>6</v>
      </c>
      <c r="D13" s="363">
        <v>626</v>
      </c>
      <c r="E13" s="363">
        <v>4626</v>
      </c>
      <c r="F13" s="363">
        <v>60</v>
      </c>
      <c r="G13" s="363">
        <v>667</v>
      </c>
      <c r="H13" s="364">
        <v>94</v>
      </c>
      <c r="I13" s="364">
        <v>761</v>
      </c>
      <c r="K13" s="362">
        <v>0</v>
      </c>
      <c r="L13" s="350">
        <v>0.31</v>
      </c>
      <c r="M13" s="350">
        <v>0.03</v>
      </c>
      <c r="N13" s="616" t="str">
        <f t="shared" si="1"/>
        <v>40006</v>
      </c>
      <c r="P13" s="351" t="str">
        <f t="shared" si="0"/>
        <v>T</v>
      </c>
    </row>
    <row r="14" spans="1:16" ht="23.25">
      <c r="A14" s="377" t="s">
        <v>60</v>
      </c>
      <c r="B14" s="378">
        <v>4000</v>
      </c>
      <c r="C14" s="365">
        <v>8</v>
      </c>
      <c r="D14" s="366">
        <v>832</v>
      </c>
      <c r="E14" s="366">
        <v>4832</v>
      </c>
      <c r="F14" s="366">
        <v>80</v>
      </c>
      <c r="G14" s="366">
        <v>500</v>
      </c>
      <c r="H14" s="366">
        <v>94</v>
      </c>
      <c r="I14" s="366">
        <v>594</v>
      </c>
      <c r="K14" s="365">
        <v>0</v>
      </c>
      <c r="L14" s="350">
        <v>0.31</v>
      </c>
      <c r="M14" s="350">
        <v>0.03</v>
      </c>
      <c r="N14" s="616" t="str">
        <f t="shared" si="1"/>
        <v>40008</v>
      </c>
      <c r="P14" s="351" t="str">
        <f t="shared" si="0"/>
        <v>T</v>
      </c>
    </row>
    <row r="15" spans="1:16" ht="23.25">
      <c r="A15" s="377" t="s">
        <v>60</v>
      </c>
      <c r="B15" s="378">
        <v>4000</v>
      </c>
      <c r="C15" s="367">
        <v>10</v>
      </c>
      <c r="D15" s="368">
        <v>1040</v>
      </c>
      <c r="E15" s="368">
        <v>5040</v>
      </c>
      <c r="F15" s="368">
        <v>100</v>
      </c>
      <c r="G15" s="368">
        <v>400</v>
      </c>
      <c r="H15" s="368">
        <v>94</v>
      </c>
      <c r="I15" s="368">
        <v>494</v>
      </c>
      <c r="K15" s="367">
        <v>0</v>
      </c>
      <c r="L15" s="350">
        <v>0.31</v>
      </c>
      <c r="M15" s="350">
        <v>0.03</v>
      </c>
      <c r="N15" s="616" t="str">
        <f t="shared" si="1"/>
        <v>400010</v>
      </c>
      <c r="P15" s="351" t="str">
        <f t="shared" si="0"/>
        <v>T</v>
      </c>
    </row>
    <row r="16" spans="1:16" ht="23.25">
      <c r="A16" s="379" t="s">
        <v>60</v>
      </c>
      <c r="B16" s="380">
        <v>4000</v>
      </c>
      <c r="C16" s="365">
        <v>12</v>
      </c>
      <c r="D16" s="366">
        <v>1244</v>
      </c>
      <c r="E16" s="366">
        <v>5244</v>
      </c>
      <c r="F16" s="366">
        <v>120</v>
      </c>
      <c r="G16" s="366">
        <v>334</v>
      </c>
      <c r="H16" s="366">
        <v>93</v>
      </c>
      <c r="I16" s="366">
        <v>427</v>
      </c>
      <c r="K16" s="365">
        <v>0</v>
      </c>
      <c r="L16" s="350">
        <v>0.31</v>
      </c>
      <c r="M16" s="350">
        <v>0.03</v>
      </c>
      <c r="N16" s="616" t="str">
        <f t="shared" si="1"/>
        <v>400012</v>
      </c>
      <c r="P16" s="351" t="str">
        <f t="shared" si="0"/>
        <v>T</v>
      </c>
    </row>
    <row r="17" spans="1:16" ht="23.25">
      <c r="A17" s="377" t="s">
        <v>60</v>
      </c>
      <c r="B17" s="378">
        <v>4000</v>
      </c>
      <c r="C17" s="367">
        <v>14</v>
      </c>
      <c r="D17" s="368">
        <v>1460</v>
      </c>
      <c r="E17" s="368">
        <v>5460</v>
      </c>
      <c r="F17" s="368">
        <v>140</v>
      </c>
      <c r="G17" s="368">
        <v>286</v>
      </c>
      <c r="H17" s="368">
        <v>94</v>
      </c>
      <c r="I17" s="368">
        <v>380</v>
      </c>
      <c r="K17" s="367">
        <v>0</v>
      </c>
      <c r="L17" s="350">
        <v>0.31</v>
      </c>
      <c r="M17" s="350">
        <v>0.03</v>
      </c>
      <c r="N17" s="616" t="str">
        <f t="shared" si="1"/>
        <v>400014</v>
      </c>
      <c r="P17" s="351" t="str">
        <f t="shared" si="0"/>
        <v>T</v>
      </c>
    </row>
    <row r="18" spans="1:16" ht="23.25">
      <c r="A18" s="377" t="s">
        <v>60</v>
      </c>
      <c r="B18" s="378">
        <v>4000</v>
      </c>
      <c r="C18" s="365">
        <v>16</v>
      </c>
      <c r="D18" s="366">
        <v>1664</v>
      </c>
      <c r="E18" s="366">
        <v>5664</v>
      </c>
      <c r="F18" s="366">
        <v>160</v>
      </c>
      <c r="G18" s="366">
        <v>250</v>
      </c>
      <c r="H18" s="366">
        <v>94</v>
      </c>
      <c r="I18" s="366">
        <v>344</v>
      </c>
      <c r="K18" s="365">
        <v>0</v>
      </c>
      <c r="L18" s="350">
        <v>0.31</v>
      </c>
      <c r="M18" s="350">
        <v>0.03</v>
      </c>
      <c r="N18" s="616" t="str">
        <f t="shared" si="1"/>
        <v>400016</v>
      </c>
      <c r="P18" s="351" t="str">
        <f t="shared" si="0"/>
        <v>T</v>
      </c>
    </row>
    <row r="19" spans="1:16" ht="24" thickBot="1">
      <c r="A19" s="377" t="s">
        <v>60</v>
      </c>
      <c r="B19" s="378">
        <v>4000</v>
      </c>
      <c r="C19" s="371">
        <v>18</v>
      </c>
      <c r="D19" s="372">
        <v>1868</v>
      </c>
      <c r="E19" s="372">
        <v>5868</v>
      </c>
      <c r="F19" s="372">
        <v>180</v>
      </c>
      <c r="G19" s="372">
        <v>223</v>
      </c>
      <c r="H19" s="372">
        <v>93</v>
      </c>
      <c r="I19" s="372">
        <v>316</v>
      </c>
      <c r="K19" s="367">
        <v>0</v>
      </c>
      <c r="L19" s="350">
        <v>0.31</v>
      </c>
      <c r="M19" s="350">
        <v>0.03</v>
      </c>
      <c r="N19" s="616" t="str">
        <f t="shared" si="1"/>
        <v>400018</v>
      </c>
      <c r="P19" s="351" t="str">
        <f t="shared" si="0"/>
        <v>T</v>
      </c>
    </row>
    <row r="20" spans="1:16" ht="24.75" thickTop="1" thickBot="1">
      <c r="A20" s="355" t="s">
        <v>60</v>
      </c>
      <c r="B20" s="356">
        <v>5000</v>
      </c>
      <c r="C20" s="357">
        <v>4</v>
      </c>
      <c r="D20" s="358">
        <v>518</v>
      </c>
      <c r="E20" s="358">
        <v>5518</v>
      </c>
      <c r="F20" s="358">
        <v>50</v>
      </c>
      <c r="G20" s="358">
        <v>1250</v>
      </c>
      <c r="H20" s="358">
        <v>117</v>
      </c>
      <c r="I20" s="358">
        <v>1367</v>
      </c>
      <c r="K20" s="381">
        <v>0</v>
      </c>
      <c r="L20" s="350">
        <v>0.31</v>
      </c>
      <c r="M20" s="350">
        <v>0.03</v>
      </c>
      <c r="N20" s="616" t="str">
        <f t="shared" si="1"/>
        <v>50004</v>
      </c>
      <c r="P20" s="351" t="str">
        <f t="shared" si="0"/>
        <v>T</v>
      </c>
    </row>
    <row r="21" spans="1:16" ht="24" thickTop="1">
      <c r="A21" s="382" t="s">
        <v>60</v>
      </c>
      <c r="B21" s="383">
        <v>5000</v>
      </c>
      <c r="C21" s="362">
        <v>6</v>
      </c>
      <c r="D21" s="363">
        <v>781</v>
      </c>
      <c r="E21" s="363">
        <v>5781</v>
      </c>
      <c r="F21" s="363">
        <v>75</v>
      </c>
      <c r="G21" s="363">
        <v>834</v>
      </c>
      <c r="H21" s="364">
        <v>117</v>
      </c>
      <c r="I21" s="363">
        <v>951</v>
      </c>
      <c r="K21" s="362">
        <v>0</v>
      </c>
      <c r="L21" s="350">
        <v>0.31</v>
      </c>
      <c r="M21" s="350">
        <v>0.03</v>
      </c>
      <c r="N21" s="616" t="str">
        <f t="shared" si="1"/>
        <v>50006</v>
      </c>
      <c r="P21" s="351" t="str">
        <f t="shared" si="0"/>
        <v>T</v>
      </c>
    </row>
    <row r="22" spans="1:16" ht="24" customHeight="1">
      <c r="A22" s="360" t="s">
        <v>60</v>
      </c>
      <c r="B22" s="361">
        <v>5000</v>
      </c>
      <c r="C22" s="365">
        <v>8</v>
      </c>
      <c r="D22" s="366">
        <v>1036</v>
      </c>
      <c r="E22" s="366">
        <v>6036</v>
      </c>
      <c r="F22" s="366">
        <v>100</v>
      </c>
      <c r="G22" s="366">
        <v>625</v>
      </c>
      <c r="H22" s="366">
        <v>117</v>
      </c>
      <c r="I22" s="366">
        <v>742</v>
      </c>
      <c r="K22" s="365">
        <v>0</v>
      </c>
      <c r="L22" s="350">
        <v>0.31</v>
      </c>
      <c r="M22" s="350">
        <v>0.03</v>
      </c>
      <c r="N22" s="616" t="str">
        <f t="shared" si="1"/>
        <v>50008</v>
      </c>
      <c r="P22" s="351" t="str">
        <f t="shared" si="0"/>
        <v>T</v>
      </c>
    </row>
    <row r="23" spans="1:16" ht="23.25">
      <c r="A23" s="360" t="s">
        <v>60</v>
      </c>
      <c r="B23" s="361">
        <v>5000</v>
      </c>
      <c r="C23" s="367">
        <v>10</v>
      </c>
      <c r="D23" s="368">
        <v>1295</v>
      </c>
      <c r="E23" s="368">
        <v>6295</v>
      </c>
      <c r="F23" s="368">
        <v>125</v>
      </c>
      <c r="G23" s="368">
        <v>500</v>
      </c>
      <c r="H23" s="368">
        <v>117</v>
      </c>
      <c r="I23" s="368">
        <v>617</v>
      </c>
      <c r="K23" s="367">
        <v>0</v>
      </c>
      <c r="L23" s="350">
        <v>0.31</v>
      </c>
      <c r="M23" s="350">
        <v>0.03</v>
      </c>
      <c r="N23" s="616" t="str">
        <f t="shared" si="1"/>
        <v>500010</v>
      </c>
      <c r="P23" s="351" t="str">
        <f t="shared" si="0"/>
        <v>T</v>
      </c>
    </row>
    <row r="24" spans="1:16" ht="23.25">
      <c r="A24" s="360" t="s">
        <v>60</v>
      </c>
      <c r="B24" s="361">
        <v>5000</v>
      </c>
      <c r="C24" s="365">
        <v>12</v>
      </c>
      <c r="D24" s="366">
        <v>1558</v>
      </c>
      <c r="E24" s="366">
        <v>6558</v>
      </c>
      <c r="F24" s="366">
        <v>150</v>
      </c>
      <c r="G24" s="366">
        <v>417</v>
      </c>
      <c r="H24" s="366">
        <v>117</v>
      </c>
      <c r="I24" s="366">
        <v>534</v>
      </c>
      <c r="K24" s="365">
        <v>0</v>
      </c>
      <c r="L24" s="350">
        <v>0.31</v>
      </c>
      <c r="M24" s="350">
        <v>0.03</v>
      </c>
      <c r="N24" s="616" t="str">
        <f t="shared" si="1"/>
        <v>500012</v>
      </c>
      <c r="P24" s="351" t="str">
        <f t="shared" si="0"/>
        <v>T</v>
      </c>
    </row>
    <row r="25" spans="1:16" ht="23.25">
      <c r="A25" s="360" t="s">
        <v>60</v>
      </c>
      <c r="B25" s="361">
        <v>5000</v>
      </c>
      <c r="C25" s="367">
        <v>14</v>
      </c>
      <c r="D25" s="368">
        <v>1811</v>
      </c>
      <c r="E25" s="368">
        <v>6811</v>
      </c>
      <c r="F25" s="368">
        <v>175</v>
      </c>
      <c r="G25" s="368">
        <v>358</v>
      </c>
      <c r="H25" s="368">
        <v>116</v>
      </c>
      <c r="I25" s="368">
        <v>474</v>
      </c>
      <c r="K25" s="367">
        <v>0</v>
      </c>
      <c r="L25" s="350">
        <v>0.31</v>
      </c>
      <c r="M25" s="350">
        <v>0.03</v>
      </c>
      <c r="N25" s="616" t="str">
        <f t="shared" si="1"/>
        <v>500014</v>
      </c>
      <c r="P25" s="351" t="str">
        <f t="shared" si="0"/>
        <v>T</v>
      </c>
    </row>
    <row r="26" spans="1:16" ht="23.25">
      <c r="A26" s="360" t="s">
        <v>60</v>
      </c>
      <c r="B26" s="361">
        <v>5000</v>
      </c>
      <c r="C26" s="365">
        <v>16</v>
      </c>
      <c r="D26" s="366">
        <v>2080</v>
      </c>
      <c r="E26" s="366">
        <v>7080</v>
      </c>
      <c r="F26" s="366">
        <v>200</v>
      </c>
      <c r="G26" s="366">
        <v>313</v>
      </c>
      <c r="H26" s="366">
        <v>117</v>
      </c>
      <c r="I26" s="366">
        <v>430</v>
      </c>
      <c r="K26" s="365">
        <v>0</v>
      </c>
      <c r="L26" s="350">
        <v>0.31</v>
      </c>
      <c r="M26" s="350">
        <v>0.03</v>
      </c>
      <c r="N26" s="616" t="str">
        <f t="shared" si="1"/>
        <v>500016</v>
      </c>
      <c r="P26" s="351" t="str">
        <f t="shared" si="0"/>
        <v>T</v>
      </c>
    </row>
    <row r="27" spans="1:16" ht="24" thickBot="1">
      <c r="A27" s="369" t="s">
        <v>60</v>
      </c>
      <c r="B27" s="370">
        <v>5000</v>
      </c>
      <c r="C27" s="371">
        <v>18</v>
      </c>
      <c r="D27" s="372">
        <v>2335</v>
      </c>
      <c r="E27" s="372">
        <v>7335</v>
      </c>
      <c r="F27" s="372">
        <v>225</v>
      </c>
      <c r="G27" s="372">
        <v>278</v>
      </c>
      <c r="H27" s="373">
        <v>117</v>
      </c>
      <c r="I27" s="372">
        <v>395</v>
      </c>
      <c r="K27" s="371">
        <v>0</v>
      </c>
      <c r="L27" s="350">
        <v>0.31</v>
      </c>
      <c r="M27" s="350">
        <v>0.03</v>
      </c>
      <c r="N27" s="616" t="str">
        <f t="shared" si="1"/>
        <v>500018</v>
      </c>
      <c r="P27" s="351" t="str">
        <f t="shared" si="0"/>
        <v>T</v>
      </c>
    </row>
    <row r="28" spans="1:16" ht="24" thickTop="1">
      <c r="A28" s="384" t="s">
        <v>60</v>
      </c>
      <c r="B28" s="385">
        <v>6000</v>
      </c>
      <c r="C28" s="357">
        <v>4</v>
      </c>
      <c r="D28" s="358">
        <v>624</v>
      </c>
      <c r="E28" s="358">
        <v>6624</v>
      </c>
      <c r="F28" s="358">
        <v>60</v>
      </c>
      <c r="G28" s="358">
        <v>1500</v>
      </c>
      <c r="H28" s="376">
        <v>141</v>
      </c>
      <c r="I28" s="358">
        <v>1641</v>
      </c>
      <c r="K28" s="357">
        <v>0</v>
      </c>
      <c r="L28" s="350">
        <v>0.31</v>
      </c>
      <c r="M28" s="350">
        <v>0.03</v>
      </c>
      <c r="N28" s="616" t="str">
        <f t="shared" si="1"/>
        <v>60004</v>
      </c>
      <c r="P28" s="351" t="str">
        <f t="shared" si="0"/>
        <v>T</v>
      </c>
    </row>
    <row r="29" spans="1:16" ht="23.25">
      <c r="A29" s="386" t="s">
        <v>60</v>
      </c>
      <c r="B29" s="387">
        <v>6000</v>
      </c>
      <c r="C29" s="388">
        <v>6</v>
      </c>
      <c r="D29" s="364">
        <v>936</v>
      </c>
      <c r="E29" s="364">
        <v>6936</v>
      </c>
      <c r="F29" s="364">
        <v>90</v>
      </c>
      <c r="G29" s="364">
        <v>1000</v>
      </c>
      <c r="H29" s="364">
        <v>141</v>
      </c>
      <c r="I29" s="364">
        <v>1141</v>
      </c>
      <c r="K29" s="388">
        <v>0</v>
      </c>
      <c r="L29" s="350">
        <v>0.31</v>
      </c>
      <c r="M29" s="350">
        <v>0.03</v>
      </c>
      <c r="N29" s="616" t="str">
        <f t="shared" si="1"/>
        <v>60006</v>
      </c>
      <c r="P29" s="351" t="str">
        <f t="shared" si="0"/>
        <v>T</v>
      </c>
    </row>
    <row r="30" spans="1:16" ht="23.25">
      <c r="A30" s="386" t="s">
        <v>60</v>
      </c>
      <c r="B30" s="387">
        <v>6000</v>
      </c>
      <c r="C30" s="365">
        <v>8</v>
      </c>
      <c r="D30" s="366">
        <v>1248</v>
      </c>
      <c r="E30" s="366">
        <v>7248</v>
      </c>
      <c r="F30" s="366">
        <v>120</v>
      </c>
      <c r="G30" s="366">
        <v>750</v>
      </c>
      <c r="H30" s="366">
        <v>141</v>
      </c>
      <c r="I30" s="366">
        <v>891</v>
      </c>
      <c r="K30" s="365">
        <v>0</v>
      </c>
      <c r="L30" s="350">
        <v>0.31</v>
      </c>
      <c r="M30" s="350">
        <v>0.03</v>
      </c>
      <c r="N30" s="616" t="str">
        <f t="shared" si="1"/>
        <v>60008</v>
      </c>
      <c r="P30" s="351" t="str">
        <f t="shared" si="0"/>
        <v>T</v>
      </c>
    </row>
    <row r="31" spans="1:16" ht="24" customHeight="1">
      <c r="A31" s="386" t="s">
        <v>60</v>
      </c>
      <c r="B31" s="387">
        <v>6000</v>
      </c>
      <c r="C31" s="367">
        <v>10</v>
      </c>
      <c r="D31" s="368">
        <v>1560</v>
      </c>
      <c r="E31" s="368">
        <v>7560</v>
      </c>
      <c r="F31" s="368">
        <v>150</v>
      </c>
      <c r="G31" s="368">
        <v>600</v>
      </c>
      <c r="H31" s="368">
        <v>141</v>
      </c>
      <c r="I31" s="368">
        <v>741</v>
      </c>
      <c r="K31" s="367">
        <v>0</v>
      </c>
      <c r="L31" s="350">
        <v>0.31</v>
      </c>
      <c r="M31" s="350">
        <v>0.03</v>
      </c>
      <c r="N31" s="616" t="str">
        <f t="shared" si="1"/>
        <v>600010</v>
      </c>
      <c r="P31" s="351" t="str">
        <f t="shared" si="0"/>
        <v>T</v>
      </c>
    </row>
    <row r="32" spans="1:16" ht="23.25">
      <c r="A32" s="386" t="s">
        <v>60</v>
      </c>
      <c r="B32" s="387">
        <v>6000</v>
      </c>
      <c r="C32" s="365">
        <v>12</v>
      </c>
      <c r="D32" s="366">
        <v>1872</v>
      </c>
      <c r="E32" s="366">
        <v>7872</v>
      </c>
      <c r="F32" s="366">
        <v>180</v>
      </c>
      <c r="G32" s="366">
        <v>500</v>
      </c>
      <c r="H32" s="366">
        <v>141</v>
      </c>
      <c r="I32" s="366">
        <v>641</v>
      </c>
      <c r="K32" s="365">
        <v>0</v>
      </c>
      <c r="L32" s="350">
        <v>0.31</v>
      </c>
      <c r="M32" s="350">
        <v>0.03</v>
      </c>
      <c r="N32" s="616" t="str">
        <f t="shared" si="1"/>
        <v>600012</v>
      </c>
      <c r="P32" s="351" t="str">
        <f t="shared" si="0"/>
        <v>T</v>
      </c>
    </row>
    <row r="33" spans="1:16" ht="23.25">
      <c r="A33" s="386" t="s">
        <v>60</v>
      </c>
      <c r="B33" s="387">
        <v>6000</v>
      </c>
      <c r="C33" s="367">
        <v>14</v>
      </c>
      <c r="D33" s="368">
        <v>2176</v>
      </c>
      <c r="E33" s="368">
        <v>8176</v>
      </c>
      <c r="F33" s="368">
        <v>210</v>
      </c>
      <c r="G33" s="368">
        <v>429</v>
      </c>
      <c r="H33" s="368">
        <v>140</v>
      </c>
      <c r="I33" s="368">
        <v>569</v>
      </c>
      <c r="K33" s="367">
        <v>0</v>
      </c>
      <c r="L33" s="350">
        <v>0.31</v>
      </c>
      <c r="M33" s="350">
        <v>0.03</v>
      </c>
      <c r="N33" s="616" t="str">
        <f t="shared" si="1"/>
        <v>600014</v>
      </c>
      <c r="P33" s="351" t="str">
        <f t="shared" si="0"/>
        <v>T</v>
      </c>
    </row>
    <row r="34" spans="1:16" ht="23.25">
      <c r="A34" s="386" t="s">
        <v>60</v>
      </c>
      <c r="B34" s="387">
        <v>6000</v>
      </c>
      <c r="C34" s="365">
        <v>16</v>
      </c>
      <c r="D34" s="366">
        <v>2496</v>
      </c>
      <c r="E34" s="366">
        <v>8496</v>
      </c>
      <c r="F34" s="366">
        <v>240</v>
      </c>
      <c r="G34" s="366">
        <v>375</v>
      </c>
      <c r="H34" s="366">
        <v>141</v>
      </c>
      <c r="I34" s="366">
        <v>516</v>
      </c>
      <c r="K34" s="365">
        <v>0</v>
      </c>
      <c r="L34" s="350">
        <v>0.31</v>
      </c>
      <c r="M34" s="350">
        <v>0.03</v>
      </c>
      <c r="N34" s="616" t="str">
        <f t="shared" si="1"/>
        <v>600016</v>
      </c>
      <c r="P34" s="351" t="str">
        <f t="shared" si="0"/>
        <v>T</v>
      </c>
    </row>
    <row r="35" spans="1:16" ht="24" thickBot="1">
      <c r="A35" s="389" t="s">
        <v>60</v>
      </c>
      <c r="B35" s="390">
        <v>6000</v>
      </c>
      <c r="C35" s="391">
        <v>18</v>
      </c>
      <c r="D35" s="373">
        <v>2802</v>
      </c>
      <c r="E35" s="373">
        <v>8802</v>
      </c>
      <c r="F35" s="373">
        <v>270</v>
      </c>
      <c r="G35" s="373">
        <v>334</v>
      </c>
      <c r="H35" s="372">
        <v>140</v>
      </c>
      <c r="I35" s="373">
        <v>474</v>
      </c>
      <c r="K35" s="391">
        <v>0</v>
      </c>
      <c r="L35" s="350">
        <v>0.31</v>
      </c>
      <c r="M35" s="350">
        <v>0.03</v>
      </c>
      <c r="N35" s="616" t="str">
        <f t="shared" si="1"/>
        <v>600018</v>
      </c>
      <c r="P35" s="351" t="str">
        <f t="shared" si="0"/>
        <v>T</v>
      </c>
    </row>
    <row r="36" spans="1:16" ht="24" thickTop="1">
      <c r="A36" s="355" t="s">
        <v>60</v>
      </c>
      <c r="B36" s="356">
        <v>7000</v>
      </c>
      <c r="C36" s="357">
        <v>4</v>
      </c>
      <c r="D36" s="358">
        <v>726</v>
      </c>
      <c r="E36" s="358">
        <v>7726</v>
      </c>
      <c r="F36" s="358">
        <v>70</v>
      </c>
      <c r="G36" s="358">
        <v>1750</v>
      </c>
      <c r="H36" s="358">
        <v>164</v>
      </c>
      <c r="I36" s="358">
        <v>1914</v>
      </c>
      <c r="K36" s="357">
        <v>0</v>
      </c>
      <c r="L36" s="350">
        <v>0.31</v>
      </c>
      <c r="M36" s="350">
        <v>0.03</v>
      </c>
      <c r="N36" s="616" t="str">
        <f t="shared" si="1"/>
        <v>70004</v>
      </c>
      <c r="P36" s="351" t="str">
        <f t="shared" si="0"/>
        <v>T</v>
      </c>
    </row>
    <row r="37" spans="1:16" ht="23.25">
      <c r="A37" s="360" t="s">
        <v>60</v>
      </c>
      <c r="B37" s="361">
        <v>7000</v>
      </c>
      <c r="C37" s="388">
        <v>6</v>
      </c>
      <c r="D37" s="364">
        <v>1091</v>
      </c>
      <c r="E37" s="364">
        <v>8091</v>
      </c>
      <c r="F37" s="364">
        <v>105</v>
      </c>
      <c r="G37" s="364">
        <v>1167</v>
      </c>
      <c r="H37" s="364">
        <v>164</v>
      </c>
      <c r="I37" s="364">
        <v>1331</v>
      </c>
      <c r="K37" s="388">
        <v>0</v>
      </c>
      <c r="L37" s="350">
        <v>0.31</v>
      </c>
      <c r="M37" s="350">
        <v>0.03</v>
      </c>
      <c r="N37" s="616" t="str">
        <f t="shared" si="1"/>
        <v>70006</v>
      </c>
      <c r="P37" s="351" t="str">
        <f t="shared" si="0"/>
        <v>T</v>
      </c>
    </row>
    <row r="38" spans="1:16" ht="23.25">
      <c r="A38" s="360" t="s">
        <v>60</v>
      </c>
      <c r="B38" s="361">
        <v>7000</v>
      </c>
      <c r="C38" s="365">
        <v>8</v>
      </c>
      <c r="D38" s="366">
        <v>1452</v>
      </c>
      <c r="E38" s="366">
        <v>8452</v>
      </c>
      <c r="F38" s="366">
        <v>140</v>
      </c>
      <c r="G38" s="366">
        <v>875</v>
      </c>
      <c r="H38" s="366">
        <v>164</v>
      </c>
      <c r="I38" s="366">
        <v>1039</v>
      </c>
      <c r="K38" s="365">
        <v>0</v>
      </c>
      <c r="L38" s="350">
        <v>0.31</v>
      </c>
      <c r="M38" s="350">
        <v>0.03</v>
      </c>
      <c r="N38" s="616" t="str">
        <f t="shared" si="1"/>
        <v>70008</v>
      </c>
      <c r="P38" s="351" t="str">
        <f t="shared" si="0"/>
        <v>T</v>
      </c>
    </row>
    <row r="39" spans="1:16" ht="23.25">
      <c r="A39" s="360" t="s">
        <v>60</v>
      </c>
      <c r="B39" s="361">
        <v>7000</v>
      </c>
      <c r="C39" s="367">
        <v>10</v>
      </c>
      <c r="D39" s="368">
        <v>1815</v>
      </c>
      <c r="E39" s="368">
        <v>8815</v>
      </c>
      <c r="F39" s="368">
        <v>175</v>
      </c>
      <c r="G39" s="368">
        <v>700</v>
      </c>
      <c r="H39" s="368">
        <v>164</v>
      </c>
      <c r="I39" s="368">
        <v>864</v>
      </c>
      <c r="K39" s="367">
        <v>0</v>
      </c>
      <c r="L39" s="350">
        <v>0.31</v>
      </c>
      <c r="M39" s="350">
        <v>0.03</v>
      </c>
      <c r="N39" s="616" t="str">
        <f t="shared" si="1"/>
        <v>700010</v>
      </c>
      <c r="P39" s="351" t="str">
        <f t="shared" si="0"/>
        <v>T</v>
      </c>
    </row>
    <row r="40" spans="1:16" ht="24" customHeight="1">
      <c r="A40" s="360" t="s">
        <v>60</v>
      </c>
      <c r="B40" s="361">
        <v>7000</v>
      </c>
      <c r="C40" s="365">
        <v>12</v>
      </c>
      <c r="D40" s="366">
        <v>2174</v>
      </c>
      <c r="E40" s="366">
        <v>9174</v>
      </c>
      <c r="F40" s="366">
        <v>210</v>
      </c>
      <c r="G40" s="366">
        <v>584</v>
      </c>
      <c r="H40" s="366">
        <v>163</v>
      </c>
      <c r="I40" s="366">
        <v>747</v>
      </c>
      <c r="K40" s="365">
        <v>0</v>
      </c>
      <c r="L40" s="350">
        <v>0.31</v>
      </c>
      <c r="M40" s="350">
        <v>0.03</v>
      </c>
      <c r="N40" s="616" t="str">
        <f t="shared" si="1"/>
        <v>700012</v>
      </c>
      <c r="P40" s="351" t="str">
        <f t="shared" si="0"/>
        <v>T</v>
      </c>
    </row>
    <row r="41" spans="1:16" ht="23.25">
      <c r="A41" s="360" t="s">
        <v>60</v>
      </c>
      <c r="B41" s="361">
        <v>7000</v>
      </c>
      <c r="C41" s="367">
        <v>14</v>
      </c>
      <c r="D41" s="368">
        <v>2541</v>
      </c>
      <c r="E41" s="368">
        <v>9541</v>
      </c>
      <c r="F41" s="368">
        <v>245</v>
      </c>
      <c r="G41" s="368">
        <v>500</v>
      </c>
      <c r="H41" s="368">
        <v>164</v>
      </c>
      <c r="I41" s="368">
        <v>664</v>
      </c>
      <c r="K41" s="367">
        <v>0</v>
      </c>
      <c r="L41" s="350">
        <v>0.31</v>
      </c>
      <c r="M41" s="350">
        <v>0.03</v>
      </c>
      <c r="N41" s="616" t="str">
        <f t="shared" si="1"/>
        <v>700014</v>
      </c>
      <c r="P41" s="351" t="str">
        <f t="shared" si="0"/>
        <v>T</v>
      </c>
    </row>
    <row r="42" spans="1:16" ht="23.25">
      <c r="A42" s="360" t="s">
        <v>60</v>
      </c>
      <c r="B42" s="361">
        <v>7000</v>
      </c>
      <c r="C42" s="365">
        <v>16</v>
      </c>
      <c r="D42" s="366">
        <v>2896</v>
      </c>
      <c r="E42" s="366">
        <v>9896</v>
      </c>
      <c r="F42" s="366">
        <v>280</v>
      </c>
      <c r="G42" s="366">
        <v>438</v>
      </c>
      <c r="H42" s="366">
        <v>163</v>
      </c>
      <c r="I42" s="366">
        <v>601</v>
      </c>
      <c r="K42" s="365">
        <v>0</v>
      </c>
      <c r="L42" s="350">
        <v>0.31</v>
      </c>
      <c r="M42" s="350">
        <v>0.03</v>
      </c>
      <c r="N42" s="616" t="str">
        <f t="shared" si="1"/>
        <v>700016</v>
      </c>
      <c r="P42" s="351" t="str">
        <f t="shared" si="0"/>
        <v>T</v>
      </c>
    </row>
    <row r="43" spans="1:16" ht="24" thickBot="1">
      <c r="A43" s="392" t="s">
        <v>60</v>
      </c>
      <c r="B43" s="393">
        <v>7000</v>
      </c>
      <c r="C43" s="391">
        <v>18</v>
      </c>
      <c r="D43" s="373">
        <v>3269</v>
      </c>
      <c r="E43" s="373">
        <v>10269</v>
      </c>
      <c r="F43" s="373">
        <v>315</v>
      </c>
      <c r="G43" s="373">
        <v>389</v>
      </c>
      <c r="H43" s="373">
        <v>164</v>
      </c>
      <c r="I43" s="373">
        <v>553</v>
      </c>
      <c r="K43" s="391">
        <v>0</v>
      </c>
      <c r="L43" s="350">
        <v>0.31</v>
      </c>
      <c r="M43" s="350">
        <v>0.03</v>
      </c>
      <c r="N43" s="616" t="str">
        <f t="shared" si="1"/>
        <v>700018</v>
      </c>
      <c r="P43" s="351" t="str">
        <f t="shared" si="0"/>
        <v>T</v>
      </c>
    </row>
    <row r="44" spans="1:16" ht="24" thickTop="1">
      <c r="A44" s="384" t="s">
        <v>60</v>
      </c>
      <c r="B44" s="385">
        <v>8000</v>
      </c>
      <c r="C44" s="357">
        <v>4</v>
      </c>
      <c r="D44" s="358">
        <v>828</v>
      </c>
      <c r="E44" s="358">
        <v>8828</v>
      </c>
      <c r="F44" s="358">
        <v>80</v>
      </c>
      <c r="G44" s="358">
        <v>2000</v>
      </c>
      <c r="H44" s="376">
        <v>187</v>
      </c>
      <c r="I44" s="358">
        <v>2187</v>
      </c>
      <c r="K44" s="357">
        <v>0</v>
      </c>
      <c r="L44" s="350">
        <v>0.31</v>
      </c>
      <c r="M44" s="350">
        <v>0.03</v>
      </c>
      <c r="N44" s="616" t="str">
        <f t="shared" si="1"/>
        <v>80004</v>
      </c>
      <c r="P44" s="351" t="str">
        <f t="shared" si="0"/>
        <v>T</v>
      </c>
    </row>
    <row r="45" spans="1:16" ht="23.25">
      <c r="A45" s="386" t="s">
        <v>60</v>
      </c>
      <c r="B45" s="387">
        <v>8000</v>
      </c>
      <c r="C45" s="388">
        <v>6</v>
      </c>
      <c r="D45" s="364">
        <v>1246</v>
      </c>
      <c r="E45" s="364">
        <v>9246</v>
      </c>
      <c r="F45" s="364">
        <v>120</v>
      </c>
      <c r="G45" s="364">
        <v>1334</v>
      </c>
      <c r="H45" s="364">
        <v>187</v>
      </c>
      <c r="I45" s="364">
        <v>1521</v>
      </c>
      <c r="K45" s="388">
        <v>0</v>
      </c>
      <c r="L45" s="350">
        <v>0.31</v>
      </c>
      <c r="M45" s="350">
        <v>0.03</v>
      </c>
      <c r="N45" s="616" t="str">
        <f t="shared" si="1"/>
        <v>80006</v>
      </c>
      <c r="P45" s="351" t="str">
        <f t="shared" si="0"/>
        <v>T</v>
      </c>
    </row>
    <row r="46" spans="1:16" ht="23.25">
      <c r="A46" s="386" t="s">
        <v>60</v>
      </c>
      <c r="B46" s="387">
        <v>8000</v>
      </c>
      <c r="C46" s="365">
        <v>8</v>
      </c>
      <c r="D46" s="366">
        <v>1656</v>
      </c>
      <c r="E46" s="366">
        <v>9656</v>
      </c>
      <c r="F46" s="366">
        <v>160</v>
      </c>
      <c r="G46" s="366">
        <v>1000</v>
      </c>
      <c r="H46" s="366">
        <v>187</v>
      </c>
      <c r="I46" s="366">
        <v>1187</v>
      </c>
      <c r="K46" s="365">
        <v>0</v>
      </c>
      <c r="L46" s="350">
        <v>0.31</v>
      </c>
      <c r="M46" s="350">
        <v>0.03</v>
      </c>
      <c r="N46" s="616" t="str">
        <f t="shared" si="1"/>
        <v>80008</v>
      </c>
      <c r="P46" s="351" t="str">
        <f t="shared" si="0"/>
        <v>T</v>
      </c>
    </row>
    <row r="47" spans="1:16" ht="23.25">
      <c r="A47" s="386" t="s">
        <v>60</v>
      </c>
      <c r="B47" s="387">
        <v>8000</v>
      </c>
      <c r="C47" s="367">
        <v>10</v>
      </c>
      <c r="D47" s="368">
        <v>2070</v>
      </c>
      <c r="E47" s="368">
        <v>10070</v>
      </c>
      <c r="F47" s="368">
        <v>200</v>
      </c>
      <c r="G47" s="368">
        <v>800</v>
      </c>
      <c r="H47" s="368">
        <v>187</v>
      </c>
      <c r="I47" s="368">
        <v>987</v>
      </c>
      <c r="K47" s="367">
        <v>0</v>
      </c>
      <c r="L47" s="350">
        <v>0.31</v>
      </c>
      <c r="M47" s="350">
        <v>0.03</v>
      </c>
      <c r="N47" s="616" t="str">
        <f t="shared" si="1"/>
        <v>800010</v>
      </c>
      <c r="P47" s="351" t="str">
        <f t="shared" si="0"/>
        <v>T</v>
      </c>
    </row>
    <row r="48" spans="1:16" ht="23.25">
      <c r="A48" s="386" t="s">
        <v>60</v>
      </c>
      <c r="B48" s="387">
        <v>8000</v>
      </c>
      <c r="C48" s="365">
        <v>12</v>
      </c>
      <c r="D48" s="366">
        <v>2488</v>
      </c>
      <c r="E48" s="366">
        <v>10488</v>
      </c>
      <c r="F48" s="366">
        <v>240</v>
      </c>
      <c r="G48" s="366">
        <v>667</v>
      </c>
      <c r="H48" s="366">
        <v>187</v>
      </c>
      <c r="I48" s="366">
        <v>854</v>
      </c>
      <c r="K48" s="365">
        <v>0</v>
      </c>
      <c r="L48" s="350">
        <v>0.31</v>
      </c>
      <c r="M48" s="350">
        <v>0.03</v>
      </c>
      <c r="N48" s="616" t="str">
        <f t="shared" si="1"/>
        <v>800012</v>
      </c>
      <c r="P48" s="351" t="str">
        <f t="shared" si="0"/>
        <v>T</v>
      </c>
    </row>
    <row r="49" spans="1:16" ht="24" customHeight="1">
      <c r="A49" s="386" t="s">
        <v>60</v>
      </c>
      <c r="B49" s="387">
        <v>8000</v>
      </c>
      <c r="C49" s="367">
        <v>14</v>
      </c>
      <c r="D49" s="368">
        <v>2906</v>
      </c>
      <c r="E49" s="368">
        <v>10906</v>
      </c>
      <c r="F49" s="368">
        <v>280</v>
      </c>
      <c r="G49" s="368">
        <v>572</v>
      </c>
      <c r="H49" s="368">
        <v>187</v>
      </c>
      <c r="I49" s="368">
        <v>759</v>
      </c>
      <c r="K49" s="367">
        <v>0</v>
      </c>
      <c r="L49" s="350">
        <v>0.31</v>
      </c>
      <c r="M49" s="350">
        <v>0.03</v>
      </c>
      <c r="N49" s="616" t="str">
        <f t="shared" si="1"/>
        <v>800014</v>
      </c>
      <c r="P49" s="351" t="str">
        <f t="shared" si="0"/>
        <v>T</v>
      </c>
    </row>
    <row r="50" spans="1:16" ht="23.25">
      <c r="A50" s="386" t="s">
        <v>60</v>
      </c>
      <c r="B50" s="387">
        <v>8000</v>
      </c>
      <c r="C50" s="365">
        <v>16</v>
      </c>
      <c r="D50" s="366">
        <v>3312</v>
      </c>
      <c r="E50" s="366">
        <v>11312</v>
      </c>
      <c r="F50" s="366">
        <v>320</v>
      </c>
      <c r="G50" s="366">
        <v>500</v>
      </c>
      <c r="H50" s="366">
        <v>187</v>
      </c>
      <c r="I50" s="366">
        <v>687</v>
      </c>
      <c r="K50" s="365">
        <v>0</v>
      </c>
      <c r="L50" s="350">
        <v>0.31</v>
      </c>
      <c r="M50" s="350">
        <v>0.03</v>
      </c>
      <c r="N50" s="616" t="str">
        <f t="shared" si="1"/>
        <v>800016</v>
      </c>
      <c r="P50" s="351" t="str">
        <f t="shared" si="0"/>
        <v>T</v>
      </c>
    </row>
    <row r="51" spans="1:16" ht="24" thickBot="1">
      <c r="A51" s="389" t="s">
        <v>60</v>
      </c>
      <c r="B51" s="390">
        <v>8000</v>
      </c>
      <c r="C51" s="391">
        <v>18</v>
      </c>
      <c r="D51" s="373">
        <v>3736</v>
      </c>
      <c r="E51" s="373">
        <v>11736</v>
      </c>
      <c r="F51" s="373">
        <v>360</v>
      </c>
      <c r="G51" s="373">
        <v>445</v>
      </c>
      <c r="H51" s="372">
        <v>187</v>
      </c>
      <c r="I51" s="373">
        <v>632</v>
      </c>
      <c r="K51" s="391">
        <v>0</v>
      </c>
      <c r="L51" s="350">
        <v>0.31</v>
      </c>
      <c r="M51" s="350">
        <v>0.03</v>
      </c>
      <c r="N51" s="616" t="str">
        <f t="shared" si="1"/>
        <v>800018</v>
      </c>
      <c r="P51" s="351" t="str">
        <f t="shared" si="0"/>
        <v>T</v>
      </c>
    </row>
    <row r="52" spans="1:16" ht="24" thickTop="1">
      <c r="A52" s="355" t="s">
        <v>60</v>
      </c>
      <c r="B52" s="356">
        <v>9000</v>
      </c>
      <c r="C52" s="357">
        <v>4</v>
      </c>
      <c r="D52" s="358">
        <v>934</v>
      </c>
      <c r="E52" s="358">
        <v>9934</v>
      </c>
      <c r="F52" s="358">
        <v>90</v>
      </c>
      <c r="G52" s="358">
        <v>2250</v>
      </c>
      <c r="H52" s="358">
        <v>211</v>
      </c>
      <c r="I52" s="358">
        <v>2461</v>
      </c>
      <c r="K52" s="357">
        <v>0</v>
      </c>
      <c r="L52" s="350">
        <v>0.31</v>
      </c>
      <c r="M52" s="350">
        <v>0.03</v>
      </c>
      <c r="N52" s="616" t="str">
        <f t="shared" si="1"/>
        <v>90004</v>
      </c>
      <c r="P52" s="351" t="str">
        <f t="shared" si="0"/>
        <v>T</v>
      </c>
    </row>
    <row r="53" spans="1:16" ht="23.25">
      <c r="A53" s="360" t="s">
        <v>60</v>
      </c>
      <c r="B53" s="361">
        <v>9000</v>
      </c>
      <c r="C53" s="388">
        <v>6</v>
      </c>
      <c r="D53" s="364">
        <v>1401</v>
      </c>
      <c r="E53" s="364">
        <v>10401</v>
      </c>
      <c r="F53" s="364">
        <v>135</v>
      </c>
      <c r="G53" s="364">
        <v>1500</v>
      </c>
      <c r="H53" s="364">
        <v>211</v>
      </c>
      <c r="I53" s="364">
        <v>1711</v>
      </c>
      <c r="K53" s="388">
        <v>0</v>
      </c>
      <c r="L53" s="350">
        <v>0.31</v>
      </c>
      <c r="M53" s="350">
        <v>0.03</v>
      </c>
      <c r="N53" s="616" t="str">
        <f t="shared" si="1"/>
        <v>90006</v>
      </c>
      <c r="P53" s="351" t="str">
        <f t="shared" si="0"/>
        <v>T</v>
      </c>
    </row>
    <row r="54" spans="1:16" ht="23.25">
      <c r="A54" s="360" t="s">
        <v>60</v>
      </c>
      <c r="B54" s="361">
        <v>9000</v>
      </c>
      <c r="C54" s="365">
        <v>8</v>
      </c>
      <c r="D54" s="366">
        <v>1868</v>
      </c>
      <c r="E54" s="366">
        <v>10868</v>
      </c>
      <c r="F54" s="366">
        <v>180</v>
      </c>
      <c r="G54" s="366">
        <v>1125</v>
      </c>
      <c r="H54" s="366">
        <v>211</v>
      </c>
      <c r="I54" s="366">
        <v>1336</v>
      </c>
      <c r="K54" s="365">
        <v>0</v>
      </c>
      <c r="L54" s="350">
        <v>0.31</v>
      </c>
      <c r="M54" s="350">
        <v>0.03</v>
      </c>
      <c r="N54" s="616" t="str">
        <f t="shared" si="1"/>
        <v>90008</v>
      </c>
      <c r="P54" s="351" t="str">
        <f t="shared" si="0"/>
        <v>T</v>
      </c>
    </row>
    <row r="55" spans="1:16" ht="23.25">
      <c r="A55" s="360" t="s">
        <v>60</v>
      </c>
      <c r="B55" s="361">
        <v>9000</v>
      </c>
      <c r="C55" s="367">
        <v>10</v>
      </c>
      <c r="D55" s="368">
        <v>2335</v>
      </c>
      <c r="E55" s="368">
        <v>11335</v>
      </c>
      <c r="F55" s="368">
        <v>225</v>
      </c>
      <c r="G55" s="368">
        <v>900</v>
      </c>
      <c r="H55" s="368">
        <v>211</v>
      </c>
      <c r="I55" s="368">
        <v>1111</v>
      </c>
      <c r="K55" s="367">
        <v>0</v>
      </c>
      <c r="L55" s="350">
        <v>0.31</v>
      </c>
      <c r="M55" s="350">
        <v>0.03</v>
      </c>
      <c r="N55" s="616" t="str">
        <f t="shared" si="1"/>
        <v>900010</v>
      </c>
      <c r="P55" s="351" t="str">
        <f t="shared" si="0"/>
        <v>T</v>
      </c>
    </row>
    <row r="56" spans="1:16" ht="23.25">
      <c r="A56" s="360" t="s">
        <v>60</v>
      </c>
      <c r="B56" s="361">
        <v>9000</v>
      </c>
      <c r="C56" s="365">
        <v>12</v>
      </c>
      <c r="D56" s="366">
        <v>2802</v>
      </c>
      <c r="E56" s="366">
        <v>11802</v>
      </c>
      <c r="F56" s="366">
        <v>270</v>
      </c>
      <c r="G56" s="366">
        <v>750</v>
      </c>
      <c r="H56" s="366">
        <v>211</v>
      </c>
      <c r="I56" s="366">
        <v>961</v>
      </c>
      <c r="K56" s="365">
        <v>0</v>
      </c>
      <c r="L56" s="350">
        <v>0.31</v>
      </c>
      <c r="M56" s="350">
        <v>0.03</v>
      </c>
      <c r="N56" s="351" t="str">
        <f t="shared" si="1"/>
        <v>900012</v>
      </c>
      <c r="P56" s="351" t="str">
        <f t="shared" si="0"/>
        <v>T</v>
      </c>
    </row>
    <row r="57" spans="1:16" ht="23.25">
      <c r="A57" s="360" t="s">
        <v>60</v>
      </c>
      <c r="B57" s="361">
        <v>9000</v>
      </c>
      <c r="C57" s="367">
        <v>14</v>
      </c>
      <c r="D57" s="368">
        <v>3257</v>
      </c>
      <c r="E57" s="368">
        <v>12257</v>
      </c>
      <c r="F57" s="368">
        <v>315</v>
      </c>
      <c r="G57" s="368">
        <v>643</v>
      </c>
      <c r="H57" s="368">
        <v>210</v>
      </c>
      <c r="I57" s="368">
        <v>853</v>
      </c>
      <c r="K57" s="367">
        <v>0</v>
      </c>
      <c r="L57" s="350">
        <v>0.31</v>
      </c>
      <c r="M57" s="350">
        <v>0.03</v>
      </c>
      <c r="N57" s="351" t="str">
        <f t="shared" si="1"/>
        <v>900014</v>
      </c>
      <c r="P57" s="351" t="str">
        <f t="shared" si="0"/>
        <v>T</v>
      </c>
    </row>
    <row r="58" spans="1:16" ht="24" customHeight="1">
      <c r="A58" s="360" t="s">
        <v>60</v>
      </c>
      <c r="B58" s="361">
        <v>9000</v>
      </c>
      <c r="C58" s="365">
        <v>16</v>
      </c>
      <c r="D58" s="366">
        <v>3728</v>
      </c>
      <c r="E58" s="366">
        <v>12728</v>
      </c>
      <c r="F58" s="366">
        <v>360</v>
      </c>
      <c r="G58" s="366">
        <v>563</v>
      </c>
      <c r="H58" s="366">
        <v>210</v>
      </c>
      <c r="I58" s="366">
        <v>773</v>
      </c>
      <c r="K58" s="365">
        <v>0</v>
      </c>
      <c r="L58" s="350">
        <v>0.31</v>
      </c>
      <c r="M58" s="350">
        <v>0.03</v>
      </c>
      <c r="N58" s="351" t="str">
        <f t="shared" si="1"/>
        <v>900016</v>
      </c>
      <c r="P58" s="351" t="str">
        <f t="shared" si="0"/>
        <v>T</v>
      </c>
    </row>
    <row r="59" spans="1:16" ht="24" thickBot="1">
      <c r="A59" s="392" t="s">
        <v>60</v>
      </c>
      <c r="B59" s="393">
        <v>9000</v>
      </c>
      <c r="C59" s="391">
        <v>18</v>
      </c>
      <c r="D59" s="373">
        <v>4203</v>
      </c>
      <c r="E59" s="373">
        <v>13203</v>
      </c>
      <c r="F59" s="373">
        <v>405</v>
      </c>
      <c r="G59" s="373">
        <v>500</v>
      </c>
      <c r="H59" s="373">
        <v>211</v>
      </c>
      <c r="I59" s="373">
        <v>711</v>
      </c>
      <c r="K59" s="391">
        <v>0</v>
      </c>
      <c r="L59" s="350">
        <v>0.31</v>
      </c>
      <c r="M59" s="350">
        <v>0.03</v>
      </c>
      <c r="N59" s="351" t="str">
        <f t="shared" si="1"/>
        <v>900018</v>
      </c>
      <c r="P59" s="351" t="str">
        <f t="shared" si="0"/>
        <v>T</v>
      </c>
    </row>
    <row r="60" spans="1:16" ht="24" thickTop="1">
      <c r="A60" s="384" t="s">
        <v>60</v>
      </c>
      <c r="B60" s="385">
        <v>10000</v>
      </c>
      <c r="C60" s="357">
        <v>4</v>
      </c>
      <c r="D60" s="358">
        <v>1036</v>
      </c>
      <c r="E60" s="358">
        <v>11036</v>
      </c>
      <c r="F60" s="358">
        <v>100</v>
      </c>
      <c r="G60" s="358">
        <v>2500</v>
      </c>
      <c r="H60" s="376">
        <v>234</v>
      </c>
      <c r="I60" s="358">
        <v>2734</v>
      </c>
      <c r="K60" s="357">
        <v>0</v>
      </c>
      <c r="L60" s="350">
        <v>0.31</v>
      </c>
      <c r="M60" s="350">
        <v>0.03</v>
      </c>
      <c r="N60" s="351" t="str">
        <f t="shared" si="1"/>
        <v>100004</v>
      </c>
      <c r="P60" s="351" t="str">
        <f t="shared" si="0"/>
        <v>T</v>
      </c>
    </row>
    <row r="61" spans="1:16" ht="23.25">
      <c r="A61" s="386" t="s">
        <v>60</v>
      </c>
      <c r="B61" s="387">
        <v>10000</v>
      </c>
      <c r="C61" s="388">
        <v>6</v>
      </c>
      <c r="D61" s="364">
        <v>1556</v>
      </c>
      <c r="E61" s="364">
        <v>11556</v>
      </c>
      <c r="F61" s="364">
        <v>150</v>
      </c>
      <c r="G61" s="364">
        <v>1667</v>
      </c>
      <c r="H61" s="364">
        <v>234</v>
      </c>
      <c r="I61" s="364">
        <v>1901</v>
      </c>
      <c r="K61" s="388">
        <v>0</v>
      </c>
      <c r="L61" s="350">
        <v>0.31</v>
      </c>
      <c r="M61" s="350">
        <v>0.03</v>
      </c>
      <c r="N61" s="351" t="str">
        <f t="shared" si="1"/>
        <v>100006</v>
      </c>
      <c r="P61" s="351" t="str">
        <f t="shared" si="0"/>
        <v>T</v>
      </c>
    </row>
    <row r="62" spans="1:16" ht="23.25">
      <c r="A62" s="386" t="s">
        <v>60</v>
      </c>
      <c r="B62" s="387">
        <v>10000</v>
      </c>
      <c r="C62" s="365">
        <v>8</v>
      </c>
      <c r="D62" s="366">
        <v>2072</v>
      </c>
      <c r="E62" s="366">
        <v>12072</v>
      </c>
      <c r="F62" s="366">
        <v>200</v>
      </c>
      <c r="G62" s="366">
        <v>1250</v>
      </c>
      <c r="H62" s="366">
        <v>234</v>
      </c>
      <c r="I62" s="366">
        <v>1484</v>
      </c>
      <c r="K62" s="365">
        <v>0</v>
      </c>
      <c r="L62" s="350">
        <v>0.31</v>
      </c>
      <c r="M62" s="350">
        <v>0.03</v>
      </c>
      <c r="N62" s="351" t="str">
        <f t="shared" si="1"/>
        <v>100008</v>
      </c>
      <c r="P62" s="351" t="str">
        <f t="shared" si="0"/>
        <v>T</v>
      </c>
    </row>
    <row r="63" spans="1:16" ht="23.25">
      <c r="A63" s="386" t="s">
        <v>60</v>
      </c>
      <c r="B63" s="387">
        <v>10000</v>
      </c>
      <c r="C63" s="367">
        <v>10</v>
      </c>
      <c r="D63" s="368">
        <v>2590</v>
      </c>
      <c r="E63" s="368">
        <v>12590</v>
      </c>
      <c r="F63" s="368">
        <v>250</v>
      </c>
      <c r="G63" s="368">
        <v>1000</v>
      </c>
      <c r="H63" s="368">
        <v>234</v>
      </c>
      <c r="I63" s="368">
        <v>1234</v>
      </c>
      <c r="K63" s="367">
        <v>0</v>
      </c>
      <c r="L63" s="350">
        <v>0.31</v>
      </c>
      <c r="M63" s="350">
        <v>0.03</v>
      </c>
      <c r="N63" s="351" t="str">
        <f t="shared" si="1"/>
        <v>1000010</v>
      </c>
      <c r="P63" s="351" t="str">
        <f t="shared" si="0"/>
        <v>T</v>
      </c>
    </row>
    <row r="64" spans="1:16" ht="23.25">
      <c r="A64" s="386" t="s">
        <v>60</v>
      </c>
      <c r="B64" s="387">
        <v>10000</v>
      </c>
      <c r="C64" s="365">
        <v>12</v>
      </c>
      <c r="D64" s="366">
        <v>3104</v>
      </c>
      <c r="E64" s="366">
        <v>13104</v>
      </c>
      <c r="F64" s="366">
        <v>300</v>
      </c>
      <c r="G64" s="366">
        <v>834</v>
      </c>
      <c r="H64" s="366">
        <v>233</v>
      </c>
      <c r="I64" s="366">
        <v>1067</v>
      </c>
      <c r="K64" s="365">
        <v>0</v>
      </c>
      <c r="L64" s="350">
        <v>0.31</v>
      </c>
      <c r="M64" s="350">
        <v>0.03</v>
      </c>
      <c r="N64" s="351" t="str">
        <f t="shared" si="1"/>
        <v>1000012</v>
      </c>
      <c r="P64" s="351" t="str">
        <f t="shared" si="0"/>
        <v>T</v>
      </c>
    </row>
    <row r="65" spans="1:16" ht="23.25">
      <c r="A65" s="386" t="s">
        <v>60</v>
      </c>
      <c r="B65" s="387">
        <v>10000</v>
      </c>
      <c r="C65" s="367">
        <v>14</v>
      </c>
      <c r="D65" s="368">
        <v>3622</v>
      </c>
      <c r="E65" s="368">
        <v>13622</v>
      </c>
      <c r="F65" s="368">
        <v>350</v>
      </c>
      <c r="G65" s="368">
        <v>715</v>
      </c>
      <c r="H65" s="368">
        <v>233</v>
      </c>
      <c r="I65" s="368">
        <v>948</v>
      </c>
      <c r="K65" s="367">
        <v>0</v>
      </c>
      <c r="L65" s="350">
        <v>0.31</v>
      </c>
      <c r="M65" s="350">
        <v>0.03</v>
      </c>
      <c r="N65" s="351" t="str">
        <f t="shared" si="1"/>
        <v>1000014</v>
      </c>
      <c r="P65" s="351" t="str">
        <f t="shared" si="0"/>
        <v>T</v>
      </c>
    </row>
    <row r="66" spans="1:16" ht="23.25">
      <c r="A66" s="386" t="s">
        <v>60</v>
      </c>
      <c r="B66" s="387">
        <v>10000</v>
      </c>
      <c r="C66" s="365">
        <v>16</v>
      </c>
      <c r="D66" s="366">
        <v>4144</v>
      </c>
      <c r="E66" s="366">
        <v>14144</v>
      </c>
      <c r="F66" s="366">
        <v>400</v>
      </c>
      <c r="G66" s="366">
        <v>625</v>
      </c>
      <c r="H66" s="366">
        <v>234</v>
      </c>
      <c r="I66" s="366">
        <v>859</v>
      </c>
      <c r="K66" s="365">
        <v>0</v>
      </c>
      <c r="L66" s="350">
        <v>0.31</v>
      </c>
      <c r="M66" s="350">
        <v>0.03</v>
      </c>
      <c r="N66" s="351" t="str">
        <f t="shared" si="1"/>
        <v>1000016</v>
      </c>
      <c r="P66" s="351" t="str">
        <f t="shared" si="0"/>
        <v>T</v>
      </c>
    </row>
    <row r="67" spans="1:16" ht="24" customHeight="1" thickBot="1">
      <c r="A67" s="389" t="s">
        <v>60</v>
      </c>
      <c r="B67" s="390">
        <v>10000</v>
      </c>
      <c r="C67" s="391">
        <v>18</v>
      </c>
      <c r="D67" s="373">
        <v>4652</v>
      </c>
      <c r="E67" s="373">
        <v>14652</v>
      </c>
      <c r="F67" s="373">
        <v>450</v>
      </c>
      <c r="G67" s="373">
        <v>556</v>
      </c>
      <c r="H67" s="372">
        <v>233</v>
      </c>
      <c r="I67" s="373">
        <v>789</v>
      </c>
      <c r="K67" s="391">
        <v>0</v>
      </c>
      <c r="L67" s="350">
        <v>0.31</v>
      </c>
      <c r="M67" s="350">
        <v>0.03</v>
      </c>
      <c r="N67" s="351" t="str">
        <f t="shared" si="1"/>
        <v>1000018</v>
      </c>
      <c r="P67" s="351" t="str">
        <f t="shared" si="0"/>
        <v>T</v>
      </c>
    </row>
    <row r="68" spans="1:16" ht="24" thickTop="1">
      <c r="A68" s="360" t="s">
        <v>60</v>
      </c>
      <c r="B68" s="361">
        <v>11000</v>
      </c>
      <c r="C68" s="394">
        <v>4</v>
      </c>
      <c r="D68" s="395">
        <v>1138</v>
      </c>
      <c r="E68" s="395">
        <v>12138</v>
      </c>
      <c r="F68" s="395">
        <v>110</v>
      </c>
      <c r="G68" s="395">
        <v>2750</v>
      </c>
      <c r="H68" s="358">
        <v>257</v>
      </c>
      <c r="I68" s="395">
        <v>3007</v>
      </c>
      <c r="K68" s="394">
        <v>0</v>
      </c>
      <c r="L68" s="350">
        <v>0.31</v>
      </c>
      <c r="M68" s="350">
        <v>0.03</v>
      </c>
      <c r="N68" s="351" t="str">
        <f t="shared" si="1"/>
        <v>110004</v>
      </c>
      <c r="P68" s="351" t="str">
        <f t="shared" ref="P68:P79" si="2">IF((E68-F68)/C68=I68,"T","F")</f>
        <v>T</v>
      </c>
    </row>
    <row r="69" spans="1:16" ht="23.25">
      <c r="A69" s="360" t="s">
        <v>60</v>
      </c>
      <c r="B69" s="361">
        <v>11000</v>
      </c>
      <c r="C69" s="362">
        <v>6</v>
      </c>
      <c r="D69" s="363">
        <v>1711</v>
      </c>
      <c r="E69" s="363">
        <v>12711</v>
      </c>
      <c r="F69" s="363">
        <v>165</v>
      </c>
      <c r="G69" s="363">
        <v>1834</v>
      </c>
      <c r="H69" s="364">
        <v>257</v>
      </c>
      <c r="I69" s="364">
        <v>2091</v>
      </c>
      <c r="K69" s="362">
        <v>0</v>
      </c>
      <c r="L69" s="350">
        <v>0.31</v>
      </c>
      <c r="M69" s="350">
        <v>0.03</v>
      </c>
      <c r="N69" s="351" t="str">
        <f t="shared" ref="N69:N132" si="3">CONCATENATE(B69,C69)</f>
        <v>110006</v>
      </c>
      <c r="P69" s="351" t="str">
        <f t="shared" si="2"/>
        <v>T</v>
      </c>
    </row>
    <row r="70" spans="1:16" ht="23.25">
      <c r="A70" s="360" t="s">
        <v>60</v>
      </c>
      <c r="B70" s="361">
        <v>11000</v>
      </c>
      <c r="C70" s="365">
        <v>8</v>
      </c>
      <c r="D70" s="366">
        <v>2276</v>
      </c>
      <c r="E70" s="366">
        <v>13276</v>
      </c>
      <c r="F70" s="366">
        <v>220</v>
      </c>
      <c r="G70" s="366">
        <v>1375</v>
      </c>
      <c r="H70" s="366">
        <v>257</v>
      </c>
      <c r="I70" s="366">
        <v>1632</v>
      </c>
      <c r="K70" s="365">
        <v>0</v>
      </c>
      <c r="L70" s="350">
        <v>0.31</v>
      </c>
      <c r="M70" s="350">
        <v>0.03</v>
      </c>
      <c r="N70" s="351" t="str">
        <f t="shared" si="3"/>
        <v>110008</v>
      </c>
      <c r="P70" s="351" t="str">
        <f t="shared" si="2"/>
        <v>T</v>
      </c>
    </row>
    <row r="71" spans="1:16" ht="23.25">
      <c r="A71" s="360" t="s">
        <v>60</v>
      </c>
      <c r="B71" s="361">
        <v>11000</v>
      </c>
      <c r="C71" s="367">
        <v>10</v>
      </c>
      <c r="D71" s="368">
        <v>2845</v>
      </c>
      <c r="E71" s="368">
        <v>13845</v>
      </c>
      <c r="F71" s="368">
        <v>275</v>
      </c>
      <c r="G71" s="368">
        <v>1100</v>
      </c>
      <c r="H71" s="368">
        <v>257</v>
      </c>
      <c r="I71" s="368">
        <v>1357</v>
      </c>
      <c r="K71" s="367">
        <v>0</v>
      </c>
      <c r="L71" s="350">
        <v>0.31</v>
      </c>
      <c r="M71" s="350">
        <v>0.03</v>
      </c>
      <c r="N71" s="351" t="str">
        <f t="shared" si="3"/>
        <v>1100010</v>
      </c>
      <c r="P71" s="351" t="str">
        <f t="shared" si="2"/>
        <v>T</v>
      </c>
    </row>
    <row r="72" spans="1:16" ht="23.25">
      <c r="A72" s="360" t="s">
        <v>60</v>
      </c>
      <c r="B72" s="361">
        <v>11000</v>
      </c>
      <c r="C72" s="365">
        <v>12</v>
      </c>
      <c r="D72" s="366">
        <v>3418</v>
      </c>
      <c r="E72" s="366">
        <v>14418</v>
      </c>
      <c r="F72" s="366">
        <v>330</v>
      </c>
      <c r="G72" s="366">
        <v>917</v>
      </c>
      <c r="H72" s="366">
        <v>257</v>
      </c>
      <c r="I72" s="366">
        <v>1174</v>
      </c>
      <c r="K72" s="365">
        <v>0</v>
      </c>
      <c r="L72" s="350">
        <v>0.31</v>
      </c>
      <c r="M72" s="350">
        <v>0.03</v>
      </c>
      <c r="N72" s="351" t="str">
        <f t="shared" si="3"/>
        <v>1100012</v>
      </c>
      <c r="P72" s="351" t="str">
        <f t="shared" si="2"/>
        <v>T</v>
      </c>
    </row>
    <row r="73" spans="1:16" ht="23.25">
      <c r="A73" s="360" t="s">
        <v>60</v>
      </c>
      <c r="B73" s="361">
        <v>11000</v>
      </c>
      <c r="C73" s="367">
        <v>14</v>
      </c>
      <c r="D73" s="368">
        <v>3987</v>
      </c>
      <c r="E73" s="368">
        <v>14987</v>
      </c>
      <c r="F73" s="368">
        <v>385</v>
      </c>
      <c r="G73" s="368">
        <v>786</v>
      </c>
      <c r="H73" s="368">
        <v>257</v>
      </c>
      <c r="I73" s="368">
        <v>1043</v>
      </c>
      <c r="K73" s="367">
        <v>0</v>
      </c>
      <c r="L73" s="350">
        <v>0.31</v>
      </c>
      <c r="M73" s="350">
        <v>0.03</v>
      </c>
      <c r="N73" s="351" t="str">
        <f t="shared" si="3"/>
        <v>1100014</v>
      </c>
      <c r="P73" s="351" t="str">
        <f t="shared" si="2"/>
        <v>T</v>
      </c>
    </row>
    <row r="74" spans="1:16" ht="23.25">
      <c r="A74" s="360" t="s">
        <v>60</v>
      </c>
      <c r="B74" s="361">
        <v>11000</v>
      </c>
      <c r="C74" s="365">
        <v>16</v>
      </c>
      <c r="D74" s="366">
        <v>4560</v>
      </c>
      <c r="E74" s="366">
        <v>15560</v>
      </c>
      <c r="F74" s="366">
        <v>440</v>
      </c>
      <c r="G74" s="366">
        <v>688</v>
      </c>
      <c r="H74" s="366">
        <v>257</v>
      </c>
      <c r="I74" s="366">
        <v>945</v>
      </c>
      <c r="K74" s="365">
        <v>0</v>
      </c>
      <c r="L74" s="350">
        <v>0.31</v>
      </c>
      <c r="M74" s="350">
        <v>0.03</v>
      </c>
      <c r="N74" s="351" t="str">
        <f t="shared" si="3"/>
        <v>1100016</v>
      </c>
      <c r="P74" s="351" t="str">
        <f t="shared" si="2"/>
        <v>T</v>
      </c>
    </row>
    <row r="75" spans="1:16" ht="24" thickBot="1">
      <c r="A75" s="369" t="s">
        <v>60</v>
      </c>
      <c r="B75" s="370">
        <v>11000</v>
      </c>
      <c r="C75" s="371">
        <v>18</v>
      </c>
      <c r="D75" s="372">
        <v>5119</v>
      </c>
      <c r="E75" s="372">
        <v>16119</v>
      </c>
      <c r="F75" s="372">
        <v>495</v>
      </c>
      <c r="G75" s="372">
        <v>612</v>
      </c>
      <c r="H75" s="373">
        <v>256</v>
      </c>
      <c r="I75" s="372">
        <v>868</v>
      </c>
      <c r="K75" s="371">
        <v>0</v>
      </c>
      <c r="L75" s="350">
        <v>0.31</v>
      </c>
      <c r="M75" s="350">
        <v>0.03</v>
      </c>
      <c r="N75" s="351" t="str">
        <f t="shared" si="3"/>
        <v>1100018</v>
      </c>
      <c r="P75" s="351" t="str">
        <f t="shared" si="2"/>
        <v>T</v>
      </c>
    </row>
    <row r="76" spans="1:16" ht="24" customHeight="1" thickTop="1">
      <c r="A76" s="384" t="s">
        <v>60</v>
      </c>
      <c r="B76" s="385">
        <v>12000</v>
      </c>
      <c r="C76" s="357">
        <v>4</v>
      </c>
      <c r="D76" s="358">
        <v>1244</v>
      </c>
      <c r="E76" s="358">
        <v>13244</v>
      </c>
      <c r="F76" s="358">
        <v>120</v>
      </c>
      <c r="G76" s="358">
        <v>3000</v>
      </c>
      <c r="H76" s="376">
        <v>281</v>
      </c>
      <c r="I76" s="358">
        <v>3281</v>
      </c>
      <c r="K76" s="357">
        <v>0</v>
      </c>
      <c r="L76" s="350">
        <v>0.31</v>
      </c>
      <c r="M76" s="350">
        <v>0.03</v>
      </c>
      <c r="N76" s="351" t="str">
        <f t="shared" si="3"/>
        <v>120004</v>
      </c>
      <c r="P76" s="351" t="str">
        <f t="shared" si="2"/>
        <v>T</v>
      </c>
    </row>
    <row r="77" spans="1:16" ht="23.25">
      <c r="A77" s="386" t="s">
        <v>60</v>
      </c>
      <c r="B77" s="387">
        <v>12000</v>
      </c>
      <c r="C77" s="388">
        <v>6</v>
      </c>
      <c r="D77" s="364">
        <v>1866</v>
      </c>
      <c r="E77" s="364">
        <v>13866</v>
      </c>
      <c r="F77" s="364">
        <v>180</v>
      </c>
      <c r="G77" s="364">
        <v>2000</v>
      </c>
      <c r="H77" s="364">
        <v>281</v>
      </c>
      <c r="I77" s="364">
        <v>2281</v>
      </c>
      <c r="K77" s="388">
        <v>0</v>
      </c>
      <c r="L77" s="350">
        <v>0.31</v>
      </c>
      <c r="M77" s="350">
        <v>0.03</v>
      </c>
      <c r="N77" s="351" t="str">
        <f t="shared" si="3"/>
        <v>120006</v>
      </c>
      <c r="P77" s="351" t="str">
        <f t="shared" si="2"/>
        <v>T</v>
      </c>
    </row>
    <row r="78" spans="1:16" ht="23.25">
      <c r="A78" s="386" t="s">
        <v>60</v>
      </c>
      <c r="B78" s="387">
        <v>12000</v>
      </c>
      <c r="C78" s="365">
        <v>8</v>
      </c>
      <c r="D78" s="366">
        <v>2488</v>
      </c>
      <c r="E78" s="366">
        <v>14488</v>
      </c>
      <c r="F78" s="366">
        <v>240</v>
      </c>
      <c r="G78" s="366">
        <v>1500</v>
      </c>
      <c r="H78" s="366">
        <v>281</v>
      </c>
      <c r="I78" s="366">
        <v>1781</v>
      </c>
      <c r="K78" s="365">
        <v>0</v>
      </c>
      <c r="L78" s="350">
        <v>0.31</v>
      </c>
      <c r="M78" s="350">
        <v>0.03</v>
      </c>
      <c r="N78" s="351" t="str">
        <f t="shared" si="3"/>
        <v>120008</v>
      </c>
      <c r="P78" s="351" t="str">
        <f t="shared" si="2"/>
        <v>T</v>
      </c>
    </row>
    <row r="79" spans="1:16" ht="23.25">
      <c r="A79" s="386" t="s">
        <v>60</v>
      </c>
      <c r="B79" s="387">
        <v>12000</v>
      </c>
      <c r="C79" s="367">
        <v>10</v>
      </c>
      <c r="D79" s="368">
        <v>3110</v>
      </c>
      <c r="E79" s="368">
        <v>15110</v>
      </c>
      <c r="F79" s="368">
        <v>300</v>
      </c>
      <c r="G79" s="368">
        <v>1200</v>
      </c>
      <c r="H79" s="368">
        <v>281</v>
      </c>
      <c r="I79" s="368">
        <v>1481</v>
      </c>
      <c r="K79" s="367">
        <v>0</v>
      </c>
      <c r="L79" s="350">
        <v>0.31</v>
      </c>
      <c r="M79" s="350">
        <v>0.03</v>
      </c>
      <c r="N79" s="351" t="str">
        <f t="shared" si="3"/>
        <v>1200010</v>
      </c>
      <c r="P79" s="351" t="str">
        <f t="shared" si="2"/>
        <v>T</v>
      </c>
    </row>
    <row r="80" spans="1:16" ht="23.25">
      <c r="A80" s="386" t="s">
        <v>60</v>
      </c>
      <c r="B80" s="387">
        <v>12000</v>
      </c>
      <c r="C80" s="365">
        <v>12</v>
      </c>
      <c r="D80" s="366">
        <v>3732</v>
      </c>
      <c r="E80" s="366">
        <v>15732</v>
      </c>
      <c r="F80" s="366">
        <v>360</v>
      </c>
      <c r="G80" s="366">
        <v>1000</v>
      </c>
      <c r="H80" s="366">
        <v>281</v>
      </c>
      <c r="I80" s="366">
        <v>1281</v>
      </c>
      <c r="K80" s="365">
        <v>0</v>
      </c>
      <c r="L80" s="350">
        <v>0.31</v>
      </c>
      <c r="M80" s="350">
        <v>0.03</v>
      </c>
      <c r="N80" s="351" t="str">
        <f t="shared" si="3"/>
        <v>1200012</v>
      </c>
      <c r="P80" s="351" t="str">
        <f>IF((E80-F80)/C80=I80,"T","F")</f>
        <v>T</v>
      </c>
    </row>
    <row r="81" spans="1:16" ht="23.25">
      <c r="A81" s="386" t="s">
        <v>60</v>
      </c>
      <c r="B81" s="387">
        <v>12000</v>
      </c>
      <c r="C81" s="367">
        <v>14</v>
      </c>
      <c r="D81" s="368">
        <v>4352</v>
      </c>
      <c r="E81" s="368">
        <v>16352</v>
      </c>
      <c r="F81" s="368">
        <v>420</v>
      </c>
      <c r="G81" s="368">
        <v>858</v>
      </c>
      <c r="H81" s="368">
        <v>280</v>
      </c>
      <c r="I81" s="368">
        <v>1138</v>
      </c>
      <c r="K81" s="367">
        <v>0</v>
      </c>
      <c r="L81" s="350">
        <v>0.31</v>
      </c>
      <c r="M81" s="350">
        <v>0.03</v>
      </c>
      <c r="N81" s="351" t="str">
        <f t="shared" si="3"/>
        <v>1200014</v>
      </c>
      <c r="P81" s="351" t="str">
        <f t="shared" ref="P81:P144" si="4">IF((E81-F81)/C81=I81,"T","F")</f>
        <v>T</v>
      </c>
    </row>
    <row r="82" spans="1:16" ht="23.25">
      <c r="A82" s="386" t="s">
        <v>60</v>
      </c>
      <c r="B82" s="387">
        <v>12000</v>
      </c>
      <c r="C82" s="365">
        <v>16</v>
      </c>
      <c r="D82" s="366">
        <v>4976</v>
      </c>
      <c r="E82" s="366">
        <v>16976</v>
      </c>
      <c r="F82" s="366">
        <v>480</v>
      </c>
      <c r="G82" s="366">
        <v>750</v>
      </c>
      <c r="H82" s="366">
        <v>281</v>
      </c>
      <c r="I82" s="366">
        <v>1031</v>
      </c>
      <c r="K82" s="365">
        <v>0</v>
      </c>
      <c r="L82" s="350">
        <v>0.31</v>
      </c>
      <c r="M82" s="350">
        <v>0.03</v>
      </c>
      <c r="N82" s="351" t="str">
        <f t="shared" si="3"/>
        <v>1200016</v>
      </c>
      <c r="P82" s="351" t="str">
        <f t="shared" si="4"/>
        <v>T</v>
      </c>
    </row>
    <row r="83" spans="1:16" ht="24" thickBot="1">
      <c r="A83" s="389" t="s">
        <v>60</v>
      </c>
      <c r="B83" s="390">
        <v>12000</v>
      </c>
      <c r="C83" s="391">
        <v>18</v>
      </c>
      <c r="D83" s="373">
        <v>5586</v>
      </c>
      <c r="E83" s="373">
        <v>17586</v>
      </c>
      <c r="F83" s="373">
        <v>540</v>
      </c>
      <c r="G83" s="373">
        <v>667</v>
      </c>
      <c r="H83" s="372">
        <v>280</v>
      </c>
      <c r="I83" s="373">
        <v>947</v>
      </c>
      <c r="K83" s="391">
        <v>0</v>
      </c>
      <c r="L83" s="350">
        <v>0.31</v>
      </c>
      <c r="M83" s="350">
        <v>0.03</v>
      </c>
      <c r="N83" s="351" t="str">
        <f t="shared" si="3"/>
        <v>1200018</v>
      </c>
      <c r="P83" s="351" t="str">
        <f t="shared" si="4"/>
        <v>T</v>
      </c>
    </row>
    <row r="84" spans="1:16" ht="24" thickTop="1">
      <c r="A84" s="355" t="s">
        <v>60</v>
      </c>
      <c r="B84" s="356">
        <v>13000</v>
      </c>
      <c r="C84" s="357">
        <v>4</v>
      </c>
      <c r="D84" s="358">
        <v>1346</v>
      </c>
      <c r="E84" s="358">
        <v>14346</v>
      </c>
      <c r="F84" s="358">
        <v>130</v>
      </c>
      <c r="G84" s="358">
        <v>3250</v>
      </c>
      <c r="H84" s="358">
        <v>304</v>
      </c>
      <c r="I84" s="358">
        <v>3554</v>
      </c>
      <c r="K84" s="357">
        <v>0</v>
      </c>
      <c r="L84" s="350">
        <v>0.31</v>
      </c>
      <c r="M84" s="350">
        <v>0.03</v>
      </c>
      <c r="N84" s="351" t="str">
        <f t="shared" si="3"/>
        <v>130004</v>
      </c>
      <c r="P84" s="351" t="str">
        <f t="shared" si="4"/>
        <v>T</v>
      </c>
    </row>
    <row r="85" spans="1:16" ht="24" customHeight="1">
      <c r="A85" s="360" t="s">
        <v>60</v>
      </c>
      <c r="B85" s="361">
        <v>13000</v>
      </c>
      <c r="C85" s="388">
        <v>6</v>
      </c>
      <c r="D85" s="364">
        <v>2021</v>
      </c>
      <c r="E85" s="364">
        <v>15021</v>
      </c>
      <c r="F85" s="364">
        <v>195</v>
      </c>
      <c r="G85" s="364">
        <v>2167</v>
      </c>
      <c r="H85" s="364">
        <v>304</v>
      </c>
      <c r="I85" s="364">
        <v>2471</v>
      </c>
      <c r="K85" s="388">
        <v>0</v>
      </c>
      <c r="L85" s="350">
        <v>0.31</v>
      </c>
      <c r="M85" s="350">
        <v>0.03</v>
      </c>
      <c r="N85" s="351" t="str">
        <f t="shared" si="3"/>
        <v>130006</v>
      </c>
      <c r="P85" s="351" t="str">
        <f t="shared" si="4"/>
        <v>T</v>
      </c>
    </row>
    <row r="86" spans="1:16" ht="23.25">
      <c r="A86" s="360" t="s">
        <v>60</v>
      </c>
      <c r="B86" s="361">
        <v>13000</v>
      </c>
      <c r="C86" s="365">
        <v>8</v>
      </c>
      <c r="D86" s="366">
        <v>2692</v>
      </c>
      <c r="E86" s="366">
        <v>15692</v>
      </c>
      <c r="F86" s="366">
        <v>260</v>
      </c>
      <c r="G86" s="366">
        <v>1625</v>
      </c>
      <c r="H86" s="366">
        <v>304</v>
      </c>
      <c r="I86" s="366">
        <v>1929</v>
      </c>
      <c r="K86" s="365">
        <v>0</v>
      </c>
      <c r="L86" s="350">
        <v>0.31</v>
      </c>
      <c r="M86" s="350">
        <v>0.03</v>
      </c>
      <c r="N86" s="351" t="str">
        <f t="shared" si="3"/>
        <v>130008</v>
      </c>
      <c r="P86" s="351" t="str">
        <f t="shared" si="4"/>
        <v>T</v>
      </c>
    </row>
    <row r="87" spans="1:16" ht="23.25">
      <c r="A87" s="360" t="s">
        <v>60</v>
      </c>
      <c r="B87" s="361">
        <v>13000</v>
      </c>
      <c r="C87" s="367">
        <v>10</v>
      </c>
      <c r="D87" s="368">
        <v>3365</v>
      </c>
      <c r="E87" s="368">
        <v>16365</v>
      </c>
      <c r="F87" s="368">
        <v>325</v>
      </c>
      <c r="G87" s="368">
        <v>1300</v>
      </c>
      <c r="H87" s="368">
        <v>304</v>
      </c>
      <c r="I87" s="368">
        <v>1604</v>
      </c>
      <c r="K87" s="367">
        <v>0</v>
      </c>
      <c r="L87" s="350">
        <v>0.31</v>
      </c>
      <c r="M87" s="350">
        <v>0.03</v>
      </c>
      <c r="N87" s="351" t="str">
        <f t="shared" si="3"/>
        <v>1300010</v>
      </c>
      <c r="P87" s="351" t="str">
        <f t="shared" si="4"/>
        <v>T</v>
      </c>
    </row>
    <row r="88" spans="1:16" ht="23.25">
      <c r="A88" s="360" t="s">
        <v>60</v>
      </c>
      <c r="B88" s="361">
        <v>13000</v>
      </c>
      <c r="C88" s="365">
        <v>12</v>
      </c>
      <c r="D88" s="366">
        <v>4034</v>
      </c>
      <c r="E88" s="366">
        <v>17034</v>
      </c>
      <c r="F88" s="366">
        <v>390</v>
      </c>
      <c r="G88" s="366">
        <v>1084</v>
      </c>
      <c r="H88" s="366">
        <v>303</v>
      </c>
      <c r="I88" s="366">
        <v>1387</v>
      </c>
      <c r="K88" s="365">
        <v>0</v>
      </c>
      <c r="L88" s="350">
        <v>0.31</v>
      </c>
      <c r="M88" s="350">
        <v>0.03</v>
      </c>
      <c r="N88" s="351" t="str">
        <f t="shared" si="3"/>
        <v>1300012</v>
      </c>
      <c r="P88" s="351" t="str">
        <f t="shared" si="4"/>
        <v>T</v>
      </c>
    </row>
    <row r="89" spans="1:16" ht="23.25">
      <c r="A89" s="360" t="s">
        <v>60</v>
      </c>
      <c r="B89" s="361">
        <v>13000</v>
      </c>
      <c r="C89" s="367">
        <v>14</v>
      </c>
      <c r="D89" s="368">
        <v>4703</v>
      </c>
      <c r="E89" s="368">
        <v>17703</v>
      </c>
      <c r="F89" s="368">
        <v>455</v>
      </c>
      <c r="G89" s="368">
        <v>929</v>
      </c>
      <c r="H89" s="368">
        <v>303</v>
      </c>
      <c r="I89" s="368">
        <v>1232</v>
      </c>
      <c r="K89" s="367">
        <v>0</v>
      </c>
      <c r="L89" s="350">
        <v>0.31</v>
      </c>
      <c r="M89" s="350">
        <v>0.03</v>
      </c>
      <c r="N89" s="351" t="str">
        <f t="shared" si="3"/>
        <v>1300014</v>
      </c>
      <c r="P89" s="351" t="str">
        <f t="shared" si="4"/>
        <v>T</v>
      </c>
    </row>
    <row r="90" spans="1:16" ht="23.25">
      <c r="A90" s="360" t="s">
        <v>60</v>
      </c>
      <c r="B90" s="361">
        <v>13000</v>
      </c>
      <c r="C90" s="365">
        <v>16</v>
      </c>
      <c r="D90" s="366">
        <v>5376</v>
      </c>
      <c r="E90" s="366">
        <v>18376</v>
      </c>
      <c r="F90" s="366">
        <v>520</v>
      </c>
      <c r="G90" s="366">
        <v>813</v>
      </c>
      <c r="H90" s="366">
        <v>303</v>
      </c>
      <c r="I90" s="366">
        <v>1116</v>
      </c>
      <c r="K90" s="365">
        <v>0</v>
      </c>
      <c r="L90" s="350">
        <v>0.31</v>
      </c>
      <c r="M90" s="350">
        <v>0.03</v>
      </c>
      <c r="N90" s="351" t="str">
        <f t="shared" si="3"/>
        <v>1300016</v>
      </c>
      <c r="P90" s="351" t="str">
        <f t="shared" si="4"/>
        <v>T</v>
      </c>
    </row>
    <row r="91" spans="1:16" ht="24" thickBot="1">
      <c r="A91" s="392" t="s">
        <v>60</v>
      </c>
      <c r="B91" s="393">
        <v>13000</v>
      </c>
      <c r="C91" s="391">
        <v>18</v>
      </c>
      <c r="D91" s="373">
        <v>6053</v>
      </c>
      <c r="E91" s="373">
        <v>19053</v>
      </c>
      <c r="F91" s="373">
        <v>585</v>
      </c>
      <c r="G91" s="373">
        <v>723</v>
      </c>
      <c r="H91" s="373">
        <v>303</v>
      </c>
      <c r="I91" s="373">
        <v>1026</v>
      </c>
      <c r="K91" s="391">
        <v>0</v>
      </c>
      <c r="L91" s="350">
        <v>0.31</v>
      </c>
      <c r="M91" s="350">
        <v>0.03</v>
      </c>
      <c r="N91" s="351" t="str">
        <f t="shared" si="3"/>
        <v>1300018</v>
      </c>
      <c r="P91" s="351" t="str">
        <f t="shared" si="4"/>
        <v>T</v>
      </c>
    </row>
    <row r="92" spans="1:16" ht="24" thickTop="1">
      <c r="A92" s="384" t="s">
        <v>60</v>
      </c>
      <c r="B92" s="385">
        <v>14000</v>
      </c>
      <c r="C92" s="357">
        <v>4</v>
      </c>
      <c r="D92" s="358">
        <v>1448</v>
      </c>
      <c r="E92" s="358">
        <v>15448</v>
      </c>
      <c r="F92" s="358">
        <v>140</v>
      </c>
      <c r="G92" s="358">
        <v>3500</v>
      </c>
      <c r="H92" s="376">
        <v>327</v>
      </c>
      <c r="I92" s="358">
        <v>3827</v>
      </c>
      <c r="K92" s="357">
        <v>0</v>
      </c>
      <c r="L92" s="350">
        <v>0.31</v>
      </c>
      <c r="M92" s="350">
        <v>0.03</v>
      </c>
      <c r="N92" s="351" t="str">
        <f t="shared" si="3"/>
        <v>140004</v>
      </c>
      <c r="P92" s="351" t="str">
        <f t="shared" si="4"/>
        <v>T</v>
      </c>
    </row>
    <row r="93" spans="1:16" ht="23.25">
      <c r="A93" s="386" t="s">
        <v>60</v>
      </c>
      <c r="B93" s="387">
        <v>14000</v>
      </c>
      <c r="C93" s="388">
        <v>6</v>
      </c>
      <c r="D93" s="364">
        <v>2176</v>
      </c>
      <c r="E93" s="364">
        <v>16176</v>
      </c>
      <c r="F93" s="364">
        <v>210</v>
      </c>
      <c r="G93" s="364">
        <v>2334</v>
      </c>
      <c r="H93" s="364">
        <v>327</v>
      </c>
      <c r="I93" s="364">
        <v>2661</v>
      </c>
      <c r="K93" s="388">
        <v>0</v>
      </c>
      <c r="L93" s="350">
        <v>0.31</v>
      </c>
      <c r="M93" s="350">
        <v>0.03</v>
      </c>
      <c r="N93" s="351" t="str">
        <f t="shared" si="3"/>
        <v>140006</v>
      </c>
      <c r="P93" s="351" t="str">
        <f t="shared" si="4"/>
        <v>T</v>
      </c>
    </row>
    <row r="94" spans="1:16" ht="24" customHeight="1">
      <c r="A94" s="386" t="s">
        <v>60</v>
      </c>
      <c r="B94" s="387">
        <v>14000</v>
      </c>
      <c r="C94" s="365">
        <v>8</v>
      </c>
      <c r="D94" s="366">
        <v>2896</v>
      </c>
      <c r="E94" s="366">
        <v>16896</v>
      </c>
      <c r="F94" s="366">
        <v>280</v>
      </c>
      <c r="G94" s="366">
        <v>1750</v>
      </c>
      <c r="H94" s="366">
        <v>327</v>
      </c>
      <c r="I94" s="366">
        <v>2077</v>
      </c>
      <c r="K94" s="365">
        <v>0</v>
      </c>
      <c r="L94" s="350">
        <v>0.31</v>
      </c>
      <c r="M94" s="350">
        <v>0.03</v>
      </c>
      <c r="N94" s="351" t="str">
        <f t="shared" si="3"/>
        <v>140008</v>
      </c>
      <c r="P94" s="351" t="str">
        <f t="shared" si="4"/>
        <v>T</v>
      </c>
    </row>
    <row r="95" spans="1:16" ht="23.25">
      <c r="A95" s="386" t="s">
        <v>60</v>
      </c>
      <c r="B95" s="387">
        <v>14000</v>
      </c>
      <c r="C95" s="367">
        <v>10</v>
      </c>
      <c r="D95" s="368">
        <v>3620</v>
      </c>
      <c r="E95" s="368">
        <v>17620</v>
      </c>
      <c r="F95" s="368">
        <v>350</v>
      </c>
      <c r="G95" s="368">
        <v>1400</v>
      </c>
      <c r="H95" s="368">
        <v>327</v>
      </c>
      <c r="I95" s="368">
        <v>1727</v>
      </c>
      <c r="K95" s="367">
        <v>0</v>
      </c>
      <c r="L95" s="350">
        <v>0.31</v>
      </c>
      <c r="M95" s="350">
        <v>0.03</v>
      </c>
      <c r="N95" s="351" t="str">
        <f t="shared" si="3"/>
        <v>1400010</v>
      </c>
      <c r="P95" s="351" t="str">
        <f t="shared" si="4"/>
        <v>T</v>
      </c>
    </row>
    <row r="96" spans="1:16" ht="23.25">
      <c r="A96" s="386" t="s">
        <v>60</v>
      </c>
      <c r="B96" s="387">
        <v>14000</v>
      </c>
      <c r="C96" s="365">
        <v>12</v>
      </c>
      <c r="D96" s="366">
        <v>4348</v>
      </c>
      <c r="E96" s="366">
        <v>18348</v>
      </c>
      <c r="F96" s="366">
        <v>420</v>
      </c>
      <c r="G96" s="366">
        <v>1167</v>
      </c>
      <c r="H96" s="366">
        <v>327</v>
      </c>
      <c r="I96" s="366">
        <v>1494</v>
      </c>
      <c r="K96" s="365">
        <v>0</v>
      </c>
      <c r="L96" s="350">
        <v>0.31</v>
      </c>
      <c r="M96" s="350">
        <v>0.03</v>
      </c>
      <c r="N96" s="351" t="str">
        <f t="shared" si="3"/>
        <v>1400012</v>
      </c>
      <c r="P96" s="351" t="str">
        <f t="shared" si="4"/>
        <v>T</v>
      </c>
    </row>
    <row r="97" spans="1:16" ht="23.25">
      <c r="A97" s="386" t="s">
        <v>60</v>
      </c>
      <c r="B97" s="387">
        <v>14000</v>
      </c>
      <c r="C97" s="367">
        <v>14</v>
      </c>
      <c r="D97" s="368">
        <v>5068</v>
      </c>
      <c r="E97" s="368">
        <v>19068</v>
      </c>
      <c r="F97" s="368">
        <v>490</v>
      </c>
      <c r="G97" s="368">
        <v>1000</v>
      </c>
      <c r="H97" s="368">
        <v>327</v>
      </c>
      <c r="I97" s="368">
        <v>1327</v>
      </c>
      <c r="K97" s="367">
        <v>0</v>
      </c>
      <c r="L97" s="350">
        <v>0.31</v>
      </c>
      <c r="M97" s="350">
        <v>0.03</v>
      </c>
      <c r="N97" s="351" t="str">
        <f t="shared" si="3"/>
        <v>1400014</v>
      </c>
      <c r="P97" s="351" t="str">
        <f t="shared" si="4"/>
        <v>T</v>
      </c>
    </row>
    <row r="98" spans="1:16" ht="23.25">
      <c r="A98" s="386" t="s">
        <v>60</v>
      </c>
      <c r="B98" s="387">
        <v>14000</v>
      </c>
      <c r="C98" s="365">
        <v>16</v>
      </c>
      <c r="D98" s="366">
        <v>5792</v>
      </c>
      <c r="E98" s="366">
        <v>19792</v>
      </c>
      <c r="F98" s="366">
        <v>560</v>
      </c>
      <c r="G98" s="366">
        <v>875</v>
      </c>
      <c r="H98" s="366">
        <v>327</v>
      </c>
      <c r="I98" s="366">
        <v>1202</v>
      </c>
      <c r="K98" s="365">
        <v>0</v>
      </c>
      <c r="L98" s="350">
        <v>0.31</v>
      </c>
      <c r="M98" s="350">
        <v>0.03</v>
      </c>
      <c r="N98" s="351" t="str">
        <f t="shared" si="3"/>
        <v>1400016</v>
      </c>
      <c r="P98" s="351" t="str">
        <f t="shared" si="4"/>
        <v>T</v>
      </c>
    </row>
    <row r="99" spans="1:16" ht="24" thickBot="1">
      <c r="A99" s="389" t="s">
        <v>60</v>
      </c>
      <c r="B99" s="390">
        <v>14000</v>
      </c>
      <c r="C99" s="391">
        <v>18</v>
      </c>
      <c r="D99" s="373">
        <v>6520</v>
      </c>
      <c r="E99" s="373">
        <v>20520</v>
      </c>
      <c r="F99" s="373">
        <v>630</v>
      </c>
      <c r="G99" s="373">
        <v>778</v>
      </c>
      <c r="H99" s="372">
        <v>327</v>
      </c>
      <c r="I99" s="373">
        <v>1105</v>
      </c>
      <c r="K99" s="391">
        <v>0</v>
      </c>
      <c r="L99" s="350">
        <v>0.31</v>
      </c>
      <c r="M99" s="350">
        <v>0.03</v>
      </c>
      <c r="N99" s="351" t="str">
        <f t="shared" si="3"/>
        <v>1400018</v>
      </c>
      <c r="P99" s="351" t="str">
        <f t="shared" si="4"/>
        <v>T</v>
      </c>
    </row>
    <row r="100" spans="1:16" ht="24" thickTop="1">
      <c r="A100" s="355" t="s">
        <v>73</v>
      </c>
      <c r="B100" s="356">
        <v>15000</v>
      </c>
      <c r="C100" s="357">
        <v>4</v>
      </c>
      <c r="D100" s="358">
        <v>1551</v>
      </c>
      <c r="E100" s="358">
        <v>16551</v>
      </c>
      <c r="F100" s="358">
        <v>175</v>
      </c>
      <c r="G100" s="358">
        <v>3750</v>
      </c>
      <c r="H100" s="358">
        <v>344</v>
      </c>
      <c r="I100" s="358">
        <v>4094</v>
      </c>
      <c r="K100" s="357">
        <v>0</v>
      </c>
      <c r="L100" s="350">
        <v>0.31</v>
      </c>
      <c r="M100" s="350">
        <v>3.5000000000000003E-2</v>
      </c>
      <c r="N100" s="351" t="str">
        <f t="shared" si="3"/>
        <v>150004</v>
      </c>
      <c r="P100" s="351" t="str">
        <f t="shared" si="4"/>
        <v>T</v>
      </c>
    </row>
    <row r="101" spans="1:16" ht="23.25">
      <c r="A101" s="360" t="s">
        <v>73</v>
      </c>
      <c r="B101" s="361">
        <v>15000</v>
      </c>
      <c r="C101" s="388">
        <v>6</v>
      </c>
      <c r="D101" s="364">
        <v>2327</v>
      </c>
      <c r="E101" s="364">
        <v>17327</v>
      </c>
      <c r="F101" s="364">
        <v>263</v>
      </c>
      <c r="G101" s="364">
        <v>2500</v>
      </c>
      <c r="H101" s="364">
        <v>344</v>
      </c>
      <c r="I101" s="364">
        <v>2844</v>
      </c>
      <c r="K101" s="388">
        <v>0</v>
      </c>
      <c r="L101" s="350">
        <v>0.31</v>
      </c>
      <c r="M101" s="350">
        <v>3.5000000000000003E-2</v>
      </c>
      <c r="N101" s="351" t="str">
        <f t="shared" si="3"/>
        <v>150006</v>
      </c>
      <c r="P101" s="351" t="str">
        <f t="shared" si="4"/>
        <v>T</v>
      </c>
    </row>
    <row r="102" spans="1:16" ht="23.25">
      <c r="A102" s="360" t="s">
        <v>73</v>
      </c>
      <c r="B102" s="361">
        <v>15000</v>
      </c>
      <c r="C102" s="365">
        <v>8</v>
      </c>
      <c r="D102" s="366">
        <v>3102</v>
      </c>
      <c r="E102" s="366">
        <v>18102</v>
      </c>
      <c r="F102" s="366">
        <v>350</v>
      </c>
      <c r="G102" s="366">
        <v>1875</v>
      </c>
      <c r="H102" s="366">
        <v>344</v>
      </c>
      <c r="I102" s="366">
        <v>2219</v>
      </c>
      <c r="K102" s="365">
        <v>0</v>
      </c>
      <c r="L102" s="350">
        <v>0.31</v>
      </c>
      <c r="M102" s="350">
        <v>3.5000000000000003E-2</v>
      </c>
      <c r="N102" s="351" t="str">
        <f t="shared" si="3"/>
        <v>150008</v>
      </c>
      <c r="P102" s="351" t="str">
        <f t="shared" si="4"/>
        <v>T</v>
      </c>
    </row>
    <row r="103" spans="1:16" ht="24" customHeight="1">
      <c r="A103" s="360" t="s">
        <v>73</v>
      </c>
      <c r="B103" s="361">
        <v>15000</v>
      </c>
      <c r="C103" s="367">
        <v>10</v>
      </c>
      <c r="D103" s="368">
        <v>3878</v>
      </c>
      <c r="E103" s="368">
        <v>18878</v>
      </c>
      <c r="F103" s="368">
        <v>438</v>
      </c>
      <c r="G103" s="368">
        <v>1500</v>
      </c>
      <c r="H103" s="368">
        <v>344</v>
      </c>
      <c r="I103" s="368">
        <v>1844</v>
      </c>
      <c r="K103" s="367">
        <v>0</v>
      </c>
      <c r="L103" s="350">
        <v>0.31</v>
      </c>
      <c r="M103" s="350">
        <v>3.5000000000000003E-2</v>
      </c>
      <c r="N103" s="351" t="str">
        <f t="shared" si="3"/>
        <v>1500010</v>
      </c>
      <c r="P103" s="351" t="str">
        <f t="shared" si="4"/>
        <v>T</v>
      </c>
    </row>
    <row r="104" spans="1:16" ht="23.25">
      <c r="A104" s="360" t="s">
        <v>73</v>
      </c>
      <c r="B104" s="361">
        <v>15000</v>
      </c>
      <c r="C104" s="365">
        <v>12</v>
      </c>
      <c r="D104" s="366">
        <v>4653</v>
      </c>
      <c r="E104" s="366">
        <v>19653</v>
      </c>
      <c r="F104" s="366">
        <v>525</v>
      </c>
      <c r="G104" s="366">
        <v>1250</v>
      </c>
      <c r="H104" s="366">
        <v>344</v>
      </c>
      <c r="I104" s="366">
        <v>1594</v>
      </c>
      <c r="K104" s="365">
        <v>0</v>
      </c>
      <c r="L104" s="350">
        <v>0.31</v>
      </c>
      <c r="M104" s="350">
        <v>3.5000000000000003E-2</v>
      </c>
      <c r="N104" s="351" t="str">
        <f t="shared" si="3"/>
        <v>1500012</v>
      </c>
      <c r="P104" s="351" t="str">
        <f t="shared" si="4"/>
        <v>T</v>
      </c>
    </row>
    <row r="105" spans="1:16" ht="23.25">
      <c r="A105" s="360" t="s">
        <v>73</v>
      </c>
      <c r="B105" s="361">
        <v>15000</v>
      </c>
      <c r="C105" s="367">
        <v>14</v>
      </c>
      <c r="D105" s="368">
        <v>5437</v>
      </c>
      <c r="E105" s="368">
        <v>20437</v>
      </c>
      <c r="F105" s="368">
        <v>613</v>
      </c>
      <c r="G105" s="368">
        <v>1072</v>
      </c>
      <c r="H105" s="368">
        <v>344</v>
      </c>
      <c r="I105" s="368">
        <v>1416</v>
      </c>
      <c r="K105" s="367">
        <v>0</v>
      </c>
      <c r="L105" s="350">
        <v>0.31</v>
      </c>
      <c r="M105" s="350">
        <v>3.5000000000000003E-2</v>
      </c>
      <c r="N105" s="351" t="str">
        <f t="shared" si="3"/>
        <v>1500014</v>
      </c>
      <c r="P105" s="351" t="str">
        <f t="shared" si="4"/>
        <v>T</v>
      </c>
    </row>
    <row r="106" spans="1:16" ht="23.25">
      <c r="A106" s="360" t="s">
        <v>73</v>
      </c>
      <c r="B106" s="361">
        <v>15000</v>
      </c>
      <c r="C106" s="365">
        <v>16</v>
      </c>
      <c r="D106" s="366">
        <v>6212</v>
      </c>
      <c r="E106" s="366">
        <v>21212</v>
      </c>
      <c r="F106" s="366">
        <v>700</v>
      </c>
      <c r="G106" s="366">
        <v>938</v>
      </c>
      <c r="H106" s="366">
        <v>344</v>
      </c>
      <c r="I106" s="366">
        <v>1282</v>
      </c>
      <c r="K106" s="365">
        <v>0</v>
      </c>
      <c r="L106" s="350">
        <v>0.31</v>
      </c>
      <c r="M106" s="350">
        <v>3.5000000000000003E-2</v>
      </c>
      <c r="N106" s="351" t="str">
        <f t="shared" si="3"/>
        <v>1500016</v>
      </c>
      <c r="P106" s="351" t="str">
        <f t="shared" si="4"/>
        <v>T</v>
      </c>
    </row>
    <row r="107" spans="1:16" ht="24" thickBot="1">
      <c r="A107" s="392" t="s">
        <v>73</v>
      </c>
      <c r="B107" s="393">
        <v>15000</v>
      </c>
      <c r="C107" s="391">
        <v>18</v>
      </c>
      <c r="D107" s="373">
        <v>6992</v>
      </c>
      <c r="E107" s="373">
        <v>21992</v>
      </c>
      <c r="F107" s="373">
        <v>788</v>
      </c>
      <c r="G107" s="373">
        <v>834</v>
      </c>
      <c r="H107" s="373">
        <v>344</v>
      </c>
      <c r="I107" s="373">
        <v>1178</v>
      </c>
      <c r="K107" s="391">
        <v>0</v>
      </c>
      <c r="L107" s="350">
        <v>0.31</v>
      </c>
      <c r="M107" s="350">
        <v>3.5000000000000003E-2</v>
      </c>
      <c r="N107" s="351" t="str">
        <f t="shared" si="3"/>
        <v>1500018</v>
      </c>
      <c r="P107" s="351" t="str">
        <f t="shared" si="4"/>
        <v>T</v>
      </c>
    </row>
    <row r="108" spans="1:16" ht="24" thickTop="1">
      <c r="A108" s="384" t="s">
        <v>73</v>
      </c>
      <c r="B108" s="385">
        <v>16000</v>
      </c>
      <c r="C108" s="357">
        <v>4</v>
      </c>
      <c r="D108" s="358">
        <v>1655</v>
      </c>
      <c r="E108" s="358">
        <v>17655</v>
      </c>
      <c r="F108" s="358">
        <v>187</v>
      </c>
      <c r="G108" s="358">
        <v>4000</v>
      </c>
      <c r="H108" s="376">
        <v>367</v>
      </c>
      <c r="I108" s="358">
        <v>4367</v>
      </c>
      <c r="K108" s="357">
        <v>0</v>
      </c>
      <c r="L108" s="350">
        <v>0.31</v>
      </c>
      <c r="M108" s="350">
        <v>3.5000000000000003E-2</v>
      </c>
      <c r="N108" s="351" t="str">
        <f t="shared" si="3"/>
        <v>160004</v>
      </c>
      <c r="P108" s="351" t="str">
        <f t="shared" si="4"/>
        <v>T</v>
      </c>
    </row>
    <row r="109" spans="1:16" ht="23.25">
      <c r="A109" s="386" t="s">
        <v>73</v>
      </c>
      <c r="B109" s="387">
        <v>16000</v>
      </c>
      <c r="C109" s="388">
        <v>6</v>
      </c>
      <c r="D109" s="364">
        <v>2484</v>
      </c>
      <c r="E109" s="364">
        <v>18484</v>
      </c>
      <c r="F109" s="364">
        <v>280</v>
      </c>
      <c r="G109" s="364">
        <v>2667</v>
      </c>
      <c r="H109" s="364">
        <v>367</v>
      </c>
      <c r="I109" s="364">
        <v>3034</v>
      </c>
      <c r="K109" s="388">
        <v>0</v>
      </c>
      <c r="L109" s="350">
        <v>0.31</v>
      </c>
      <c r="M109" s="350">
        <v>3.5000000000000003E-2</v>
      </c>
      <c r="N109" s="351" t="str">
        <f t="shared" si="3"/>
        <v>160006</v>
      </c>
      <c r="P109" s="351" t="str">
        <f t="shared" si="4"/>
        <v>T</v>
      </c>
    </row>
    <row r="110" spans="1:16" ht="23.25">
      <c r="A110" s="386" t="s">
        <v>73</v>
      </c>
      <c r="B110" s="387">
        <v>16000</v>
      </c>
      <c r="C110" s="365">
        <v>8</v>
      </c>
      <c r="D110" s="366">
        <v>3310</v>
      </c>
      <c r="E110" s="366">
        <v>19310</v>
      </c>
      <c r="F110" s="366">
        <v>374</v>
      </c>
      <c r="G110" s="366">
        <v>2000</v>
      </c>
      <c r="H110" s="366">
        <v>367</v>
      </c>
      <c r="I110" s="366">
        <v>2367</v>
      </c>
      <c r="K110" s="365">
        <v>0</v>
      </c>
      <c r="L110" s="350">
        <v>0.31</v>
      </c>
      <c r="M110" s="350">
        <v>3.5000000000000003E-2</v>
      </c>
      <c r="N110" s="351" t="str">
        <f t="shared" si="3"/>
        <v>160008</v>
      </c>
      <c r="P110" s="351" t="str">
        <f t="shared" si="4"/>
        <v>T</v>
      </c>
    </row>
    <row r="111" spans="1:16" ht="23.25">
      <c r="A111" s="386" t="s">
        <v>73</v>
      </c>
      <c r="B111" s="387">
        <v>16000</v>
      </c>
      <c r="C111" s="367">
        <v>10</v>
      </c>
      <c r="D111" s="368">
        <v>4137</v>
      </c>
      <c r="E111" s="368">
        <v>20137</v>
      </c>
      <c r="F111" s="368">
        <v>467</v>
      </c>
      <c r="G111" s="368">
        <v>1600</v>
      </c>
      <c r="H111" s="368">
        <v>367</v>
      </c>
      <c r="I111" s="368">
        <v>1967</v>
      </c>
      <c r="K111" s="367">
        <v>0</v>
      </c>
      <c r="L111" s="350">
        <v>0.31</v>
      </c>
      <c r="M111" s="350">
        <v>3.5000000000000003E-2</v>
      </c>
      <c r="N111" s="351" t="str">
        <f t="shared" si="3"/>
        <v>1600010</v>
      </c>
      <c r="P111" s="351" t="str">
        <f t="shared" si="4"/>
        <v>T</v>
      </c>
    </row>
    <row r="112" spans="1:16" ht="24" customHeight="1">
      <c r="A112" s="386" t="s">
        <v>73</v>
      </c>
      <c r="B112" s="387">
        <v>16000</v>
      </c>
      <c r="C112" s="365">
        <v>12</v>
      </c>
      <c r="D112" s="366">
        <v>4972</v>
      </c>
      <c r="E112" s="366">
        <v>20972</v>
      </c>
      <c r="F112" s="366">
        <v>560</v>
      </c>
      <c r="G112" s="366">
        <v>1334</v>
      </c>
      <c r="H112" s="366">
        <v>367</v>
      </c>
      <c r="I112" s="366">
        <v>1701</v>
      </c>
      <c r="K112" s="365">
        <v>0</v>
      </c>
      <c r="L112" s="350">
        <v>0.31</v>
      </c>
      <c r="M112" s="350">
        <v>3.5000000000000003E-2</v>
      </c>
      <c r="N112" s="351" t="str">
        <f t="shared" si="3"/>
        <v>1600012</v>
      </c>
      <c r="P112" s="351" t="str">
        <f t="shared" si="4"/>
        <v>T</v>
      </c>
    </row>
    <row r="113" spans="1:16" ht="23.25">
      <c r="A113" s="386" t="s">
        <v>73</v>
      </c>
      <c r="B113" s="387">
        <v>16000</v>
      </c>
      <c r="C113" s="367">
        <v>14</v>
      </c>
      <c r="D113" s="368">
        <v>5794</v>
      </c>
      <c r="E113" s="368">
        <v>21794</v>
      </c>
      <c r="F113" s="368">
        <v>654</v>
      </c>
      <c r="G113" s="368">
        <v>1143</v>
      </c>
      <c r="H113" s="368">
        <v>367</v>
      </c>
      <c r="I113" s="368">
        <v>1510</v>
      </c>
      <c r="K113" s="367">
        <v>0</v>
      </c>
      <c r="L113" s="350">
        <v>0.31</v>
      </c>
      <c r="M113" s="350">
        <v>3.5000000000000003E-2</v>
      </c>
      <c r="N113" s="351" t="str">
        <f t="shared" si="3"/>
        <v>1600014</v>
      </c>
      <c r="P113" s="351" t="str">
        <f t="shared" si="4"/>
        <v>T</v>
      </c>
    </row>
    <row r="114" spans="1:16" ht="23.25">
      <c r="A114" s="386" t="s">
        <v>73</v>
      </c>
      <c r="B114" s="387">
        <v>16000</v>
      </c>
      <c r="C114" s="365">
        <v>16</v>
      </c>
      <c r="D114" s="366">
        <v>6619</v>
      </c>
      <c r="E114" s="366">
        <v>22619</v>
      </c>
      <c r="F114" s="366">
        <v>747</v>
      </c>
      <c r="G114" s="366">
        <v>1000</v>
      </c>
      <c r="H114" s="366">
        <v>367</v>
      </c>
      <c r="I114" s="366">
        <v>1367</v>
      </c>
      <c r="K114" s="365">
        <v>0</v>
      </c>
      <c r="L114" s="350">
        <v>0.31</v>
      </c>
      <c r="M114" s="350">
        <v>3.5000000000000003E-2</v>
      </c>
      <c r="N114" s="351" t="str">
        <f t="shared" si="3"/>
        <v>1600016</v>
      </c>
      <c r="P114" s="351" t="str">
        <f t="shared" si="4"/>
        <v>T</v>
      </c>
    </row>
    <row r="115" spans="1:16" ht="24" thickBot="1">
      <c r="A115" s="389" t="s">
        <v>73</v>
      </c>
      <c r="B115" s="390">
        <v>16000</v>
      </c>
      <c r="C115" s="391">
        <v>18</v>
      </c>
      <c r="D115" s="373">
        <v>7448</v>
      </c>
      <c r="E115" s="373">
        <v>23448</v>
      </c>
      <c r="F115" s="373">
        <v>840</v>
      </c>
      <c r="G115" s="373">
        <v>889</v>
      </c>
      <c r="H115" s="372">
        <v>367</v>
      </c>
      <c r="I115" s="373">
        <v>1256</v>
      </c>
      <c r="K115" s="391">
        <v>0</v>
      </c>
      <c r="L115" s="350">
        <v>0.31</v>
      </c>
      <c r="M115" s="350">
        <v>3.5000000000000003E-2</v>
      </c>
      <c r="N115" s="351" t="str">
        <f t="shared" si="3"/>
        <v>1600018</v>
      </c>
      <c r="P115" s="351" t="str">
        <f t="shared" si="4"/>
        <v>T</v>
      </c>
    </row>
    <row r="116" spans="1:16" ht="24" thickTop="1">
      <c r="A116" s="355" t="s">
        <v>73</v>
      </c>
      <c r="B116" s="356">
        <v>17000</v>
      </c>
      <c r="C116" s="357">
        <v>4</v>
      </c>
      <c r="D116" s="358">
        <v>1759</v>
      </c>
      <c r="E116" s="358">
        <v>18759</v>
      </c>
      <c r="F116" s="358">
        <v>199</v>
      </c>
      <c r="G116" s="358">
        <v>4250</v>
      </c>
      <c r="H116" s="358">
        <v>390</v>
      </c>
      <c r="I116" s="358">
        <v>4640</v>
      </c>
      <c r="K116" s="357">
        <v>0</v>
      </c>
      <c r="L116" s="350">
        <v>0.31</v>
      </c>
      <c r="M116" s="350">
        <v>3.5000000000000003E-2</v>
      </c>
      <c r="N116" s="351" t="str">
        <f t="shared" si="3"/>
        <v>170004</v>
      </c>
      <c r="P116" s="351" t="str">
        <f t="shared" si="4"/>
        <v>T</v>
      </c>
    </row>
    <row r="117" spans="1:16" ht="23.25">
      <c r="A117" s="360" t="s">
        <v>73</v>
      </c>
      <c r="B117" s="361">
        <v>17000</v>
      </c>
      <c r="C117" s="388">
        <v>6</v>
      </c>
      <c r="D117" s="364">
        <v>2636</v>
      </c>
      <c r="E117" s="364">
        <v>19636</v>
      </c>
      <c r="F117" s="364">
        <v>298</v>
      </c>
      <c r="G117" s="364">
        <v>2834</v>
      </c>
      <c r="H117" s="364">
        <v>389</v>
      </c>
      <c r="I117" s="364">
        <v>3223</v>
      </c>
      <c r="K117" s="388">
        <v>0</v>
      </c>
      <c r="L117" s="350">
        <v>0.31</v>
      </c>
      <c r="M117" s="350">
        <v>3.5000000000000003E-2</v>
      </c>
      <c r="N117" s="351" t="str">
        <f t="shared" si="3"/>
        <v>170006</v>
      </c>
      <c r="P117" s="351" t="str">
        <f t="shared" si="4"/>
        <v>T</v>
      </c>
    </row>
    <row r="118" spans="1:16" ht="23.25">
      <c r="A118" s="360" t="s">
        <v>73</v>
      </c>
      <c r="B118" s="361">
        <v>17000</v>
      </c>
      <c r="C118" s="365">
        <v>8</v>
      </c>
      <c r="D118" s="366">
        <v>3517</v>
      </c>
      <c r="E118" s="366">
        <v>20517</v>
      </c>
      <c r="F118" s="366">
        <v>397</v>
      </c>
      <c r="G118" s="366">
        <v>2125</v>
      </c>
      <c r="H118" s="366">
        <v>390</v>
      </c>
      <c r="I118" s="366">
        <v>2515</v>
      </c>
      <c r="K118" s="365">
        <v>0</v>
      </c>
      <c r="L118" s="350">
        <v>0.31</v>
      </c>
      <c r="M118" s="350">
        <v>3.5000000000000003E-2</v>
      </c>
      <c r="N118" s="351" t="str">
        <f t="shared" si="3"/>
        <v>170008</v>
      </c>
      <c r="P118" s="351" t="str">
        <f t="shared" si="4"/>
        <v>T</v>
      </c>
    </row>
    <row r="119" spans="1:16" ht="23.25">
      <c r="A119" s="360" t="s">
        <v>73</v>
      </c>
      <c r="B119" s="361">
        <v>17000</v>
      </c>
      <c r="C119" s="367">
        <v>10</v>
      </c>
      <c r="D119" s="368">
        <v>4396</v>
      </c>
      <c r="E119" s="368">
        <v>21396</v>
      </c>
      <c r="F119" s="368">
        <v>496</v>
      </c>
      <c r="G119" s="368">
        <v>1700</v>
      </c>
      <c r="H119" s="368">
        <v>390</v>
      </c>
      <c r="I119" s="368">
        <v>2090</v>
      </c>
      <c r="K119" s="367">
        <v>0</v>
      </c>
      <c r="L119" s="350">
        <v>0.31</v>
      </c>
      <c r="M119" s="350">
        <v>3.5000000000000003E-2</v>
      </c>
      <c r="N119" s="351" t="str">
        <f t="shared" si="3"/>
        <v>1700010</v>
      </c>
      <c r="P119" s="351" t="str">
        <f t="shared" si="4"/>
        <v>T</v>
      </c>
    </row>
    <row r="120" spans="1:16" ht="23.25">
      <c r="A120" s="360" t="s">
        <v>73</v>
      </c>
      <c r="B120" s="361">
        <v>17000</v>
      </c>
      <c r="C120" s="365">
        <v>12</v>
      </c>
      <c r="D120" s="366">
        <v>5279</v>
      </c>
      <c r="E120" s="366">
        <v>22279</v>
      </c>
      <c r="F120" s="366">
        <v>595</v>
      </c>
      <c r="G120" s="366">
        <v>1417</v>
      </c>
      <c r="H120" s="366">
        <v>390</v>
      </c>
      <c r="I120" s="366">
        <v>1807</v>
      </c>
      <c r="K120" s="365">
        <v>0</v>
      </c>
      <c r="L120" s="350">
        <v>0.31</v>
      </c>
      <c r="M120" s="350">
        <v>3.5000000000000003E-2</v>
      </c>
      <c r="N120" s="351" t="str">
        <f t="shared" si="3"/>
        <v>1700012</v>
      </c>
      <c r="P120" s="351" t="str">
        <f t="shared" si="4"/>
        <v>T</v>
      </c>
    </row>
    <row r="121" spans="1:16" ht="24" customHeight="1">
      <c r="A121" s="360" t="s">
        <v>73</v>
      </c>
      <c r="B121" s="361">
        <v>17000</v>
      </c>
      <c r="C121" s="367">
        <v>14</v>
      </c>
      <c r="D121" s="368">
        <v>6151</v>
      </c>
      <c r="E121" s="368">
        <v>23151</v>
      </c>
      <c r="F121" s="368">
        <v>695</v>
      </c>
      <c r="G121" s="368">
        <v>1215</v>
      </c>
      <c r="H121" s="368">
        <v>389</v>
      </c>
      <c r="I121" s="368">
        <v>1604</v>
      </c>
      <c r="K121" s="367">
        <v>0</v>
      </c>
      <c r="L121" s="350">
        <v>0.31</v>
      </c>
      <c r="M121" s="350">
        <v>3.5000000000000003E-2</v>
      </c>
      <c r="N121" s="351" t="str">
        <f t="shared" si="3"/>
        <v>1700014</v>
      </c>
      <c r="P121" s="351" t="str">
        <f t="shared" si="4"/>
        <v>T</v>
      </c>
    </row>
    <row r="122" spans="1:16" ht="23.25">
      <c r="A122" s="360" t="s">
        <v>73</v>
      </c>
      <c r="B122" s="361">
        <v>17000</v>
      </c>
      <c r="C122" s="365">
        <v>16</v>
      </c>
      <c r="D122" s="366">
        <v>7042</v>
      </c>
      <c r="E122" s="366">
        <v>24042</v>
      </c>
      <c r="F122" s="366">
        <v>794</v>
      </c>
      <c r="G122" s="366">
        <v>1063</v>
      </c>
      <c r="H122" s="366">
        <v>390</v>
      </c>
      <c r="I122" s="366">
        <v>1453</v>
      </c>
      <c r="K122" s="365">
        <v>0</v>
      </c>
      <c r="L122" s="350">
        <v>0.31</v>
      </c>
      <c r="M122" s="350">
        <v>3.5000000000000003E-2</v>
      </c>
      <c r="N122" s="351" t="str">
        <f t="shared" si="3"/>
        <v>1700016</v>
      </c>
      <c r="P122" s="351" t="str">
        <f t="shared" si="4"/>
        <v>T</v>
      </c>
    </row>
    <row r="123" spans="1:16" ht="24" thickBot="1">
      <c r="A123" s="392" t="s">
        <v>73</v>
      </c>
      <c r="B123" s="393">
        <v>17000</v>
      </c>
      <c r="C123" s="391">
        <v>18</v>
      </c>
      <c r="D123" s="373">
        <v>7923</v>
      </c>
      <c r="E123" s="373">
        <v>24923</v>
      </c>
      <c r="F123" s="373">
        <v>893</v>
      </c>
      <c r="G123" s="373">
        <v>945</v>
      </c>
      <c r="H123" s="373">
        <v>390</v>
      </c>
      <c r="I123" s="373">
        <v>1335</v>
      </c>
      <c r="K123" s="391">
        <v>0</v>
      </c>
      <c r="L123" s="350">
        <v>0.31</v>
      </c>
      <c r="M123" s="350">
        <v>3.5000000000000003E-2</v>
      </c>
      <c r="N123" s="351" t="str">
        <f t="shared" si="3"/>
        <v>1700018</v>
      </c>
      <c r="P123" s="351" t="str">
        <f t="shared" si="4"/>
        <v>T</v>
      </c>
    </row>
    <row r="124" spans="1:16" ht="24" thickTop="1">
      <c r="A124" s="384" t="s">
        <v>73</v>
      </c>
      <c r="B124" s="385">
        <v>18000</v>
      </c>
      <c r="C124" s="357">
        <v>4</v>
      </c>
      <c r="D124" s="358">
        <v>1862</v>
      </c>
      <c r="E124" s="358">
        <v>19862</v>
      </c>
      <c r="F124" s="358">
        <v>210</v>
      </c>
      <c r="G124" s="358">
        <v>4500</v>
      </c>
      <c r="H124" s="376">
        <v>413</v>
      </c>
      <c r="I124" s="358">
        <v>4913</v>
      </c>
      <c r="K124" s="357">
        <v>0</v>
      </c>
      <c r="L124" s="350">
        <v>0.31</v>
      </c>
      <c r="M124" s="350">
        <v>3.5000000000000003E-2</v>
      </c>
      <c r="N124" s="351" t="str">
        <f t="shared" si="3"/>
        <v>180004</v>
      </c>
      <c r="P124" s="351" t="str">
        <f t="shared" si="4"/>
        <v>T</v>
      </c>
    </row>
    <row r="125" spans="1:16" ht="23.25">
      <c r="A125" s="386" t="s">
        <v>73</v>
      </c>
      <c r="B125" s="387">
        <v>18000</v>
      </c>
      <c r="C125" s="388">
        <v>6</v>
      </c>
      <c r="D125" s="364">
        <v>2793</v>
      </c>
      <c r="E125" s="364">
        <v>20793</v>
      </c>
      <c r="F125" s="364">
        <v>315</v>
      </c>
      <c r="G125" s="364">
        <v>3000</v>
      </c>
      <c r="H125" s="364">
        <v>413</v>
      </c>
      <c r="I125" s="364">
        <v>3413</v>
      </c>
      <c r="K125" s="388">
        <v>0</v>
      </c>
      <c r="L125" s="350">
        <v>0.31</v>
      </c>
      <c r="M125" s="350">
        <v>3.5000000000000003E-2</v>
      </c>
      <c r="N125" s="351" t="str">
        <f t="shared" si="3"/>
        <v>180006</v>
      </c>
      <c r="P125" s="351" t="str">
        <f t="shared" si="4"/>
        <v>T</v>
      </c>
    </row>
    <row r="126" spans="1:16" ht="23.25">
      <c r="A126" s="386" t="s">
        <v>73</v>
      </c>
      <c r="B126" s="387">
        <v>18000</v>
      </c>
      <c r="C126" s="365">
        <v>8</v>
      </c>
      <c r="D126" s="366">
        <v>3724</v>
      </c>
      <c r="E126" s="366">
        <v>21724</v>
      </c>
      <c r="F126" s="366">
        <v>420</v>
      </c>
      <c r="G126" s="366">
        <v>2250</v>
      </c>
      <c r="H126" s="366">
        <v>413</v>
      </c>
      <c r="I126" s="366">
        <v>2663</v>
      </c>
      <c r="K126" s="365">
        <v>0</v>
      </c>
      <c r="L126" s="350">
        <v>0.31</v>
      </c>
      <c r="M126" s="350">
        <v>3.5000000000000003E-2</v>
      </c>
      <c r="N126" s="351" t="str">
        <f t="shared" si="3"/>
        <v>180008</v>
      </c>
      <c r="P126" s="351" t="str">
        <f t="shared" si="4"/>
        <v>T</v>
      </c>
    </row>
    <row r="127" spans="1:16" ht="23.25">
      <c r="A127" s="386" t="s">
        <v>73</v>
      </c>
      <c r="B127" s="387">
        <v>18000</v>
      </c>
      <c r="C127" s="367">
        <v>10</v>
      </c>
      <c r="D127" s="368">
        <v>4655</v>
      </c>
      <c r="E127" s="368">
        <v>22655</v>
      </c>
      <c r="F127" s="368">
        <v>525</v>
      </c>
      <c r="G127" s="368">
        <v>1800</v>
      </c>
      <c r="H127" s="368">
        <v>413</v>
      </c>
      <c r="I127" s="368">
        <v>2213</v>
      </c>
      <c r="K127" s="367">
        <v>0</v>
      </c>
      <c r="L127" s="350">
        <v>0.31</v>
      </c>
      <c r="M127" s="350">
        <v>3.5000000000000003E-2</v>
      </c>
      <c r="N127" s="351" t="str">
        <f t="shared" si="3"/>
        <v>1800010</v>
      </c>
      <c r="P127" s="351" t="str">
        <f t="shared" si="4"/>
        <v>T</v>
      </c>
    </row>
    <row r="128" spans="1:16" ht="23.25">
      <c r="A128" s="386" t="s">
        <v>73</v>
      </c>
      <c r="B128" s="387">
        <v>18000</v>
      </c>
      <c r="C128" s="365">
        <v>12</v>
      </c>
      <c r="D128" s="366">
        <v>5586</v>
      </c>
      <c r="E128" s="366">
        <v>23586</v>
      </c>
      <c r="F128" s="366">
        <v>630</v>
      </c>
      <c r="G128" s="366">
        <v>1500</v>
      </c>
      <c r="H128" s="366">
        <v>413</v>
      </c>
      <c r="I128" s="366">
        <v>1913</v>
      </c>
      <c r="K128" s="365">
        <v>0</v>
      </c>
      <c r="L128" s="350">
        <v>0.31</v>
      </c>
      <c r="M128" s="350">
        <v>3.5000000000000003E-2</v>
      </c>
      <c r="N128" s="351" t="str">
        <f t="shared" si="3"/>
        <v>1800012</v>
      </c>
      <c r="P128" s="351" t="str">
        <f t="shared" si="4"/>
        <v>T</v>
      </c>
    </row>
    <row r="129" spans="1:16" ht="23.25">
      <c r="A129" s="386" t="s">
        <v>73</v>
      </c>
      <c r="B129" s="387">
        <v>18000</v>
      </c>
      <c r="C129" s="367">
        <v>14</v>
      </c>
      <c r="D129" s="368">
        <v>6521</v>
      </c>
      <c r="E129" s="368">
        <v>24521</v>
      </c>
      <c r="F129" s="368">
        <v>735</v>
      </c>
      <c r="G129" s="368">
        <v>1286</v>
      </c>
      <c r="H129" s="368">
        <v>413</v>
      </c>
      <c r="I129" s="368">
        <v>1699</v>
      </c>
      <c r="K129" s="367">
        <v>0</v>
      </c>
      <c r="L129" s="350">
        <v>0.31</v>
      </c>
      <c r="M129" s="350">
        <v>3.5000000000000003E-2</v>
      </c>
      <c r="N129" s="351" t="str">
        <f t="shared" si="3"/>
        <v>1800014</v>
      </c>
      <c r="P129" s="351" t="str">
        <f t="shared" si="4"/>
        <v>T</v>
      </c>
    </row>
    <row r="130" spans="1:16" ht="24" customHeight="1">
      <c r="A130" s="386" t="s">
        <v>73</v>
      </c>
      <c r="B130" s="387">
        <v>18000</v>
      </c>
      <c r="C130" s="365">
        <v>16</v>
      </c>
      <c r="D130" s="366">
        <v>7448</v>
      </c>
      <c r="E130" s="366">
        <v>25448</v>
      </c>
      <c r="F130" s="366">
        <v>840</v>
      </c>
      <c r="G130" s="366">
        <v>1125</v>
      </c>
      <c r="H130" s="366">
        <v>413</v>
      </c>
      <c r="I130" s="366">
        <v>1538</v>
      </c>
      <c r="K130" s="365">
        <v>0</v>
      </c>
      <c r="L130" s="350">
        <v>0.31</v>
      </c>
      <c r="M130" s="350">
        <v>3.5000000000000003E-2</v>
      </c>
      <c r="N130" s="351" t="str">
        <f t="shared" si="3"/>
        <v>1800016</v>
      </c>
      <c r="P130" s="351" t="str">
        <f t="shared" si="4"/>
        <v>T</v>
      </c>
    </row>
    <row r="131" spans="1:16" ht="24" thickBot="1">
      <c r="A131" s="389" t="s">
        <v>73</v>
      </c>
      <c r="B131" s="390">
        <v>18000</v>
      </c>
      <c r="C131" s="391">
        <v>18</v>
      </c>
      <c r="D131" s="373">
        <v>8379</v>
      </c>
      <c r="E131" s="373">
        <v>26379</v>
      </c>
      <c r="F131" s="373">
        <v>945</v>
      </c>
      <c r="G131" s="373">
        <v>1000</v>
      </c>
      <c r="H131" s="372">
        <v>413</v>
      </c>
      <c r="I131" s="373">
        <v>1413</v>
      </c>
      <c r="K131" s="391">
        <v>0</v>
      </c>
      <c r="L131" s="350">
        <v>0.31</v>
      </c>
      <c r="M131" s="350">
        <v>3.5000000000000003E-2</v>
      </c>
      <c r="N131" s="351" t="str">
        <f t="shared" si="3"/>
        <v>1800018</v>
      </c>
      <c r="P131" s="351" t="str">
        <f t="shared" si="4"/>
        <v>T</v>
      </c>
    </row>
    <row r="132" spans="1:16" ht="24" thickTop="1">
      <c r="A132" s="355" t="s">
        <v>73</v>
      </c>
      <c r="B132" s="356">
        <v>19000</v>
      </c>
      <c r="C132" s="357">
        <v>4</v>
      </c>
      <c r="D132" s="358">
        <v>1966</v>
      </c>
      <c r="E132" s="358">
        <v>20966</v>
      </c>
      <c r="F132" s="358">
        <v>222</v>
      </c>
      <c r="G132" s="358">
        <v>4750</v>
      </c>
      <c r="H132" s="358">
        <v>436</v>
      </c>
      <c r="I132" s="358">
        <v>5186</v>
      </c>
      <c r="K132" s="357">
        <v>0</v>
      </c>
      <c r="L132" s="350">
        <v>0.31</v>
      </c>
      <c r="M132" s="350">
        <v>3.5000000000000003E-2</v>
      </c>
      <c r="N132" s="351" t="str">
        <f t="shared" si="3"/>
        <v>190004</v>
      </c>
      <c r="P132" s="351" t="str">
        <f t="shared" si="4"/>
        <v>T</v>
      </c>
    </row>
    <row r="133" spans="1:16" ht="23.25">
      <c r="A133" s="360" t="s">
        <v>73</v>
      </c>
      <c r="B133" s="361">
        <v>19000</v>
      </c>
      <c r="C133" s="388">
        <v>6</v>
      </c>
      <c r="D133" s="364">
        <v>2951</v>
      </c>
      <c r="E133" s="364">
        <v>21951</v>
      </c>
      <c r="F133" s="364">
        <v>333</v>
      </c>
      <c r="G133" s="364">
        <v>3167</v>
      </c>
      <c r="H133" s="364">
        <v>436</v>
      </c>
      <c r="I133" s="364">
        <v>3603</v>
      </c>
      <c r="K133" s="388">
        <v>0</v>
      </c>
      <c r="L133" s="350">
        <v>0.31</v>
      </c>
      <c r="M133" s="350">
        <v>3.5000000000000003E-2</v>
      </c>
      <c r="N133" s="351" t="str">
        <f t="shared" ref="N133:N196" si="5">CONCATENATE(B133,C133)</f>
        <v>190006</v>
      </c>
      <c r="P133" s="351" t="str">
        <f t="shared" si="4"/>
        <v>T</v>
      </c>
    </row>
    <row r="134" spans="1:16" ht="23.25">
      <c r="A134" s="360" t="s">
        <v>73</v>
      </c>
      <c r="B134" s="361">
        <v>19000</v>
      </c>
      <c r="C134" s="365">
        <v>8</v>
      </c>
      <c r="D134" s="366">
        <v>3932</v>
      </c>
      <c r="E134" s="366">
        <v>22932</v>
      </c>
      <c r="F134" s="366">
        <v>444</v>
      </c>
      <c r="G134" s="366">
        <v>2375</v>
      </c>
      <c r="H134" s="366">
        <v>436</v>
      </c>
      <c r="I134" s="366">
        <v>2811</v>
      </c>
      <c r="K134" s="365">
        <v>0</v>
      </c>
      <c r="L134" s="350">
        <v>0.31</v>
      </c>
      <c r="M134" s="350">
        <v>3.5000000000000003E-2</v>
      </c>
      <c r="N134" s="351" t="str">
        <f t="shared" si="5"/>
        <v>190008</v>
      </c>
      <c r="P134" s="351" t="str">
        <f t="shared" si="4"/>
        <v>T</v>
      </c>
    </row>
    <row r="135" spans="1:16" ht="23.25">
      <c r="A135" s="360" t="s">
        <v>73</v>
      </c>
      <c r="B135" s="361">
        <v>19000</v>
      </c>
      <c r="C135" s="367">
        <v>10</v>
      </c>
      <c r="D135" s="368">
        <v>4915</v>
      </c>
      <c r="E135" s="368">
        <v>23915</v>
      </c>
      <c r="F135" s="368">
        <v>555</v>
      </c>
      <c r="G135" s="368">
        <v>1900</v>
      </c>
      <c r="H135" s="368">
        <v>436</v>
      </c>
      <c r="I135" s="368">
        <v>2336</v>
      </c>
      <c r="K135" s="367">
        <v>0</v>
      </c>
      <c r="L135" s="350">
        <v>0.31</v>
      </c>
      <c r="M135" s="350">
        <v>3.5000000000000003E-2</v>
      </c>
      <c r="N135" s="351" t="str">
        <f t="shared" si="5"/>
        <v>1900010</v>
      </c>
      <c r="P135" s="351" t="str">
        <f t="shared" si="4"/>
        <v>T</v>
      </c>
    </row>
    <row r="136" spans="1:16" ht="23.25">
      <c r="A136" s="360" t="s">
        <v>73</v>
      </c>
      <c r="B136" s="361">
        <v>19000</v>
      </c>
      <c r="C136" s="365">
        <v>12</v>
      </c>
      <c r="D136" s="366">
        <v>5893</v>
      </c>
      <c r="E136" s="366">
        <v>24893</v>
      </c>
      <c r="F136" s="366">
        <v>665</v>
      </c>
      <c r="G136" s="366">
        <v>1584</v>
      </c>
      <c r="H136" s="366">
        <v>435</v>
      </c>
      <c r="I136" s="366">
        <v>2019</v>
      </c>
      <c r="K136" s="365">
        <v>0</v>
      </c>
      <c r="L136" s="350">
        <v>0.31</v>
      </c>
      <c r="M136" s="350">
        <v>3.5000000000000003E-2</v>
      </c>
      <c r="N136" s="351" t="str">
        <f t="shared" si="5"/>
        <v>1900012</v>
      </c>
      <c r="P136" s="351" t="str">
        <f t="shared" si="4"/>
        <v>T</v>
      </c>
    </row>
    <row r="137" spans="1:16" ht="23.25">
      <c r="A137" s="360" t="s">
        <v>73</v>
      </c>
      <c r="B137" s="361">
        <v>19000</v>
      </c>
      <c r="C137" s="367">
        <v>14</v>
      </c>
      <c r="D137" s="368">
        <v>6878</v>
      </c>
      <c r="E137" s="368">
        <v>25878</v>
      </c>
      <c r="F137" s="368">
        <v>776</v>
      </c>
      <c r="G137" s="368">
        <v>1358</v>
      </c>
      <c r="H137" s="368">
        <v>435</v>
      </c>
      <c r="I137" s="368">
        <v>1793</v>
      </c>
      <c r="K137" s="367">
        <v>0</v>
      </c>
      <c r="L137" s="350">
        <v>0.31</v>
      </c>
      <c r="M137" s="350">
        <v>3.5000000000000003E-2</v>
      </c>
      <c r="N137" s="351" t="str">
        <f t="shared" si="5"/>
        <v>1900014</v>
      </c>
      <c r="P137" s="351" t="str">
        <f t="shared" si="4"/>
        <v>T</v>
      </c>
    </row>
    <row r="138" spans="1:16" ht="23.25">
      <c r="A138" s="360" t="s">
        <v>73</v>
      </c>
      <c r="B138" s="361">
        <v>19000</v>
      </c>
      <c r="C138" s="365">
        <v>16</v>
      </c>
      <c r="D138" s="366">
        <v>7855</v>
      </c>
      <c r="E138" s="366">
        <v>26855</v>
      </c>
      <c r="F138" s="366">
        <v>887</v>
      </c>
      <c r="G138" s="366">
        <v>1188</v>
      </c>
      <c r="H138" s="366">
        <v>435</v>
      </c>
      <c r="I138" s="366">
        <v>1623</v>
      </c>
      <c r="K138" s="365">
        <v>0</v>
      </c>
      <c r="L138" s="350">
        <v>0.31</v>
      </c>
      <c r="M138" s="350">
        <v>3.5000000000000003E-2</v>
      </c>
      <c r="N138" s="351" t="str">
        <f t="shared" si="5"/>
        <v>1900016</v>
      </c>
      <c r="P138" s="351" t="str">
        <f t="shared" si="4"/>
        <v>T</v>
      </c>
    </row>
    <row r="139" spans="1:16" ht="24" customHeight="1" thickBot="1">
      <c r="A139" s="392" t="s">
        <v>73</v>
      </c>
      <c r="B139" s="393">
        <v>19000</v>
      </c>
      <c r="C139" s="391">
        <v>18</v>
      </c>
      <c r="D139" s="373">
        <v>8836</v>
      </c>
      <c r="E139" s="373">
        <v>27836</v>
      </c>
      <c r="F139" s="373">
        <v>998</v>
      </c>
      <c r="G139" s="373">
        <v>1056</v>
      </c>
      <c r="H139" s="373">
        <v>435</v>
      </c>
      <c r="I139" s="373">
        <v>1491</v>
      </c>
      <c r="K139" s="391">
        <v>0</v>
      </c>
      <c r="L139" s="350">
        <v>0.31</v>
      </c>
      <c r="M139" s="350">
        <v>3.5000000000000003E-2</v>
      </c>
      <c r="N139" s="351" t="str">
        <f t="shared" si="5"/>
        <v>1900018</v>
      </c>
      <c r="P139" s="351" t="str">
        <f t="shared" si="4"/>
        <v>T</v>
      </c>
    </row>
    <row r="140" spans="1:16" ht="24" thickTop="1">
      <c r="A140" s="384" t="s">
        <v>73</v>
      </c>
      <c r="B140" s="385">
        <v>20000</v>
      </c>
      <c r="C140" s="357">
        <v>4</v>
      </c>
      <c r="D140" s="358">
        <v>2070</v>
      </c>
      <c r="E140" s="358">
        <v>22070</v>
      </c>
      <c r="F140" s="358">
        <v>234</v>
      </c>
      <c r="G140" s="358">
        <v>5000</v>
      </c>
      <c r="H140" s="376">
        <v>459</v>
      </c>
      <c r="I140" s="358">
        <v>5459</v>
      </c>
      <c r="K140" s="357">
        <v>0</v>
      </c>
      <c r="L140" s="350">
        <v>0.31</v>
      </c>
      <c r="M140" s="350">
        <v>3.5000000000000003E-2</v>
      </c>
      <c r="N140" s="351" t="str">
        <f t="shared" si="5"/>
        <v>200004</v>
      </c>
      <c r="P140" s="351" t="str">
        <f t="shared" si="4"/>
        <v>T</v>
      </c>
    </row>
    <row r="141" spans="1:16" ht="23.25">
      <c r="A141" s="386" t="s">
        <v>73</v>
      </c>
      <c r="B141" s="387">
        <v>20000</v>
      </c>
      <c r="C141" s="388">
        <v>6</v>
      </c>
      <c r="D141" s="364">
        <v>3102</v>
      </c>
      <c r="E141" s="364">
        <v>23102</v>
      </c>
      <c r="F141" s="364">
        <v>350</v>
      </c>
      <c r="G141" s="364">
        <v>3334</v>
      </c>
      <c r="H141" s="364">
        <v>458</v>
      </c>
      <c r="I141" s="364">
        <v>3792</v>
      </c>
      <c r="K141" s="388">
        <v>0</v>
      </c>
      <c r="L141" s="350">
        <v>0.31</v>
      </c>
      <c r="M141" s="350">
        <v>3.5000000000000003E-2</v>
      </c>
      <c r="N141" s="351" t="str">
        <f t="shared" si="5"/>
        <v>200006</v>
      </c>
      <c r="P141" s="351" t="str">
        <f t="shared" si="4"/>
        <v>T</v>
      </c>
    </row>
    <row r="142" spans="1:16" ht="23.25">
      <c r="A142" s="386" t="s">
        <v>73</v>
      </c>
      <c r="B142" s="387">
        <v>20000</v>
      </c>
      <c r="C142" s="365">
        <v>8</v>
      </c>
      <c r="D142" s="366">
        <v>4139</v>
      </c>
      <c r="E142" s="366">
        <v>24139</v>
      </c>
      <c r="F142" s="366">
        <v>467</v>
      </c>
      <c r="G142" s="366">
        <v>2500</v>
      </c>
      <c r="H142" s="366">
        <v>459</v>
      </c>
      <c r="I142" s="366">
        <v>2959</v>
      </c>
      <c r="K142" s="365">
        <v>0</v>
      </c>
      <c r="L142" s="350">
        <v>0.31</v>
      </c>
      <c r="M142" s="350">
        <v>3.5000000000000003E-2</v>
      </c>
      <c r="N142" s="351" t="str">
        <f t="shared" si="5"/>
        <v>200008</v>
      </c>
      <c r="P142" s="351" t="str">
        <f t="shared" si="4"/>
        <v>T</v>
      </c>
    </row>
    <row r="143" spans="1:16" ht="23.25">
      <c r="A143" s="386" t="s">
        <v>73</v>
      </c>
      <c r="B143" s="387">
        <v>20000</v>
      </c>
      <c r="C143" s="367">
        <v>10</v>
      </c>
      <c r="D143" s="368">
        <v>5174</v>
      </c>
      <c r="E143" s="368">
        <v>25174</v>
      </c>
      <c r="F143" s="368">
        <v>584</v>
      </c>
      <c r="G143" s="368">
        <v>2000</v>
      </c>
      <c r="H143" s="368">
        <v>459</v>
      </c>
      <c r="I143" s="368">
        <v>2459</v>
      </c>
      <c r="K143" s="367">
        <v>0</v>
      </c>
      <c r="L143" s="350">
        <v>0.31</v>
      </c>
      <c r="M143" s="350">
        <v>3.5000000000000003E-2</v>
      </c>
      <c r="N143" s="351" t="str">
        <f t="shared" si="5"/>
        <v>2000010</v>
      </c>
      <c r="P143" s="351" t="str">
        <f t="shared" si="4"/>
        <v>T</v>
      </c>
    </row>
    <row r="144" spans="1:16" ht="23.25">
      <c r="A144" s="386" t="s">
        <v>73</v>
      </c>
      <c r="B144" s="387">
        <v>20000</v>
      </c>
      <c r="C144" s="365">
        <v>12</v>
      </c>
      <c r="D144" s="366">
        <v>6212</v>
      </c>
      <c r="E144" s="366">
        <v>26212</v>
      </c>
      <c r="F144" s="366">
        <v>700</v>
      </c>
      <c r="G144" s="366">
        <v>1667</v>
      </c>
      <c r="H144" s="366">
        <v>459</v>
      </c>
      <c r="I144" s="366">
        <v>2126</v>
      </c>
      <c r="K144" s="365">
        <v>0</v>
      </c>
      <c r="L144" s="350">
        <v>0.31</v>
      </c>
      <c r="M144" s="350">
        <v>3.5000000000000003E-2</v>
      </c>
      <c r="N144" s="351" t="str">
        <f t="shared" si="5"/>
        <v>2000012</v>
      </c>
      <c r="P144" s="351" t="str">
        <f t="shared" si="4"/>
        <v>T</v>
      </c>
    </row>
    <row r="145" spans="1:16" ht="23.25">
      <c r="A145" s="386" t="s">
        <v>73</v>
      </c>
      <c r="B145" s="387">
        <v>20000</v>
      </c>
      <c r="C145" s="367">
        <v>14</v>
      </c>
      <c r="D145" s="368">
        <v>7235</v>
      </c>
      <c r="E145" s="368">
        <v>27235</v>
      </c>
      <c r="F145" s="368">
        <v>817</v>
      </c>
      <c r="G145" s="368">
        <v>1429</v>
      </c>
      <c r="H145" s="368">
        <v>458</v>
      </c>
      <c r="I145" s="368">
        <v>1887</v>
      </c>
      <c r="K145" s="367">
        <v>0</v>
      </c>
      <c r="L145" s="350">
        <v>0.31</v>
      </c>
      <c r="M145" s="350">
        <v>3.5000000000000003E-2</v>
      </c>
      <c r="N145" s="351" t="str">
        <f t="shared" si="5"/>
        <v>2000014</v>
      </c>
      <c r="P145" s="351" t="str">
        <f t="shared" ref="P145:P208" si="6">IF((E145-F145)/C145=I145,"T","F")</f>
        <v>T</v>
      </c>
    </row>
    <row r="146" spans="1:16" ht="23.25">
      <c r="A146" s="386" t="s">
        <v>73</v>
      </c>
      <c r="B146" s="387">
        <v>20000</v>
      </c>
      <c r="C146" s="365">
        <v>16</v>
      </c>
      <c r="D146" s="366">
        <v>8278</v>
      </c>
      <c r="E146" s="366">
        <v>28278</v>
      </c>
      <c r="F146" s="366">
        <v>934</v>
      </c>
      <c r="G146" s="366">
        <v>1250</v>
      </c>
      <c r="H146" s="366">
        <v>459</v>
      </c>
      <c r="I146" s="366">
        <v>1709</v>
      </c>
      <c r="K146" s="365">
        <v>0</v>
      </c>
      <c r="L146" s="350">
        <v>0.31</v>
      </c>
      <c r="M146" s="350">
        <v>3.5000000000000003E-2</v>
      </c>
      <c r="N146" s="351" t="str">
        <f t="shared" si="5"/>
        <v>2000016</v>
      </c>
      <c r="P146" s="351" t="str">
        <f t="shared" si="6"/>
        <v>T</v>
      </c>
    </row>
    <row r="147" spans="1:16" ht="24" thickBot="1">
      <c r="A147" s="389" t="s">
        <v>73</v>
      </c>
      <c r="B147" s="390">
        <v>20000</v>
      </c>
      <c r="C147" s="391">
        <v>18</v>
      </c>
      <c r="D147" s="373">
        <v>9310</v>
      </c>
      <c r="E147" s="373">
        <v>29310</v>
      </c>
      <c r="F147" s="373">
        <v>1050</v>
      </c>
      <c r="G147" s="373">
        <v>1112</v>
      </c>
      <c r="H147" s="372">
        <v>458</v>
      </c>
      <c r="I147" s="373">
        <v>1570</v>
      </c>
      <c r="K147" s="391">
        <v>0</v>
      </c>
      <c r="L147" s="350">
        <v>0.31</v>
      </c>
      <c r="M147" s="350">
        <v>3.5000000000000003E-2</v>
      </c>
      <c r="N147" s="351" t="str">
        <f t="shared" si="5"/>
        <v>2000018</v>
      </c>
      <c r="P147" s="351" t="str">
        <f t="shared" si="6"/>
        <v>T</v>
      </c>
    </row>
    <row r="148" spans="1:16" ht="24" customHeight="1" thickTop="1">
      <c r="A148" s="355" t="s">
        <v>73</v>
      </c>
      <c r="B148" s="356">
        <v>21000</v>
      </c>
      <c r="C148" s="357">
        <v>4</v>
      </c>
      <c r="D148" s="358">
        <v>2173</v>
      </c>
      <c r="E148" s="358">
        <v>23173</v>
      </c>
      <c r="F148" s="358">
        <v>245</v>
      </c>
      <c r="G148" s="358">
        <v>5250</v>
      </c>
      <c r="H148" s="358">
        <v>482</v>
      </c>
      <c r="I148" s="358">
        <v>5732</v>
      </c>
      <c r="K148" s="357">
        <v>0</v>
      </c>
      <c r="L148" s="350">
        <v>0.31</v>
      </c>
      <c r="M148" s="350">
        <v>3.5000000000000003E-2</v>
      </c>
      <c r="N148" s="351" t="str">
        <f t="shared" si="5"/>
        <v>210004</v>
      </c>
      <c r="P148" s="351" t="str">
        <f t="shared" si="6"/>
        <v>T</v>
      </c>
    </row>
    <row r="149" spans="1:16" ht="23.25">
      <c r="A149" s="360" t="s">
        <v>73</v>
      </c>
      <c r="B149" s="361">
        <v>21000</v>
      </c>
      <c r="C149" s="388">
        <v>6</v>
      </c>
      <c r="D149" s="364">
        <v>3260</v>
      </c>
      <c r="E149" s="364">
        <v>24260</v>
      </c>
      <c r="F149" s="364">
        <v>368</v>
      </c>
      <c r="G149" s="364">
        <v>3500</v>
      </c>
      <c r="H149" s="364">
        <v>482</v>
      </c>
      <c r="I149" s="364">
        <v>3982</v>
      </c>
      <c r="K149" s="388">
        <v>0</v>
      </c>
      <c r="L149" s="350">
        <v>0.31</v>
      </c>
      <c r="M149" s="350">
        <v>3.5000000000000003E-2</v>
      </c>
      <c r="N149" s="351" t="str">
        <f t="shared" si="5"/>
        <v>210006</v>
      </c>
      <c r="P149" s="351" t="str">
        <f t="shared" si="6"/>
        <v>T</v>
      </c>
    </row>
    <row r="150" spans="1:16" ht="23.25">
      <c r="A150" s="360" t="s">
        <v>73</v>
      </c>
      <c r="B150" s="361">
        <v>21000</v>
      </c>
      <c r="C150" s="365">
        <v>8</v>
      </c>
      <c r="D150" s="366">
        <v>4346</v>
      </c>
      <c r="E150" s="366">
        <v>25346</v>
      </c>
      <c r="F150" s="366">
        <v>490</v>
      </c>
      <c r="G150" s="366">
        <v>2625</v>
      </c>
      <c r="H150" s="366">
        <v>482</v>
      </c>
      <c r="I150" s="366">
        <v>3107</v>
      </c>
      <c r="K150" s="365">
        <v>0</v>
      </c>
      <c r="L150" s="350">
        <v>0.31</v>
      </c>
      <c r="M150" s="350">
        <v>3.5000000000000003E-2</v>
      </c>
      <c r="N150" s="351" t="str">
        <f t="shared" si="5"/>
        <v>210008</v>
      </c>
      <c r="P150" s="351" t="str">
        <f t="shared" si="6"/>
        <v>T</v>
      </c>
    </row>
    <row r="151" spans="1:16" ht="23.25">
      <c r="A151" s="360" t="s">
        <v>73</v>
      </c>
      <c r="B151" s="361">
        <v>21000</v>
      </c>
      <c r="C151" s="367">
        <v>10</v>
      </c>
      <c r="D151" s="368">
        <v>5433</v>
      </c>
      <c r="E151" s="368">
        <v>26433</v>
      </c>
      <c r="F151" s="368">
        <v>613</v>
      </c>
      <c r="G151" s="368">
        <v>2100</v>
      </c>
      <c r="H151" s="368">
        <v>482</v>
      </c>
      <c r="I151" s="368">
        <v>2582</v>
      </c>
      <c r="K151" s="367">
        <v>0</v>
      </c>
      <c r="L151" s="350">
        <v>0.31</v>
      </c>
      <c r="M151" s="350">
        <v>3.5000000000000003E-2</v>
      </c>
      <c r="N151" s="351" t="str">
        <f t="shared" si="5"/>
        <v>2100010</v>
      </c>
      <c r="P151" s="351" t="str">
        <f t="shared" si="6"/>
        <v>T</v>
      </c>
    </row>
    <row r="152" spans="1:16" ht="23.25">
      <c r="A152" s="360" t="s">
        <v>73</v>
      </c>
      <c r="B152" s="361">
        <v>21000</v>
      </c>
      <c r="C152" s="365">
        <v>12</v>
      </c>
      <c r="D152" s="366">
        <v>6519</v>
      </c>
      <c r="E152" s="366">
        <v>27519</v>
      </c>
      <c r="F152" s="366">
        <v>735</v>
      </c>
      <c r="G152" s="366">
        <v>1750</v>
      </c>
      <c r="H152" s="366">
        <v>482</v>
      </c>
      <c r="I152" s="366">
        <v>2232</v>
      </c>
      <c r="K152" s="365">
        <v>0</v>
      </c>
      <c r="L152" s="350">
        <v>0.31</v>
      </c>
      <c r="M152" s="350">
        <v>3.5000000000000003E-2</v>
      </c>
      <c r="N152" s="351" t="str">
        <f t="shared" si="5"/>
        <v>2100012</v>
      </c>
      <c r="P152" s="351" t="str">
        <f t="shared" si="6"/>
        <v>T</v>
      </c>
    </row>
    <row r="153" spans="1:16" ht="23.25">
      <c r="A153" s="360" t="s">
        <v>73</v>
      </c>
      <c r="B153" s="361">
        <v>21000</v>
      </c>
      <c r="C153" s="367">
        <v>14</v>
      </c>
      <c r="D153" s="368">
        <v>7606</v>
      </c>
      <c r="E153" s="368">
        <v>28606</v>
      </c>
      <c r="F153" s="368">
        <v>858</v>
      </c>
      <c r="G153" s="368">
        <v>1500</v>
      </c>
      <c r="H153" s="368">
        <v>482</v>
      </c>
      <c r="I153" s="368">
        <v>1982</v>
      </c>
      <c r="K153" s="367">
        <v>0</v>
      </c>
      <c r="L153" s="350">
        <v>0.31</v>
      </c>
      <c r="M153" s="350">
        <v>3.5000000000000003E-2</v>
      </c>
      <c r="N153" s="351" t="str">
        <f t="shared" si="5"/>
        <v>2100014</v>
      </c>
      <c r="P153" s="351" t="str">
        <f t="shared" si="6"/>
        <v>T</v>
      </c>
    </row>
    <row r="154" spans="1:16" ht="23.25">
      <c r="A154" s="360" t="s">
        <v>73</v>
      </c>
      <c r="B154" s="361">
        <v>21000</v>
      </c>
      <c r="C154" s="365">
        <v>16</v>
      </c>
      <c r="D154" s="366">
        <v>8684</v>
      </c>
      <c r="E154" s="366">
        <v>29684</v>
      </c>
      <c r="F154" s="366">
        <v>980</v>
      </c>
      <c r="G154" s="366">
        <v>1313</v>
      </c>
      <c r="H154" s="366">
        <v>481</v>
      </c>
      <c r="I154" s="366">
        <v>1794</v>
      </c>
      <c r="K154" s="365">
        <v>0</v>
      </c>
      <c r="L154" s="350">
        <v>0.31</v>
      </c>
      <c r="M154" s="350">
        <v>3.5000000000000003E-2</v>
      </c>
      <c r="N154" s="351" t="str">
        <f t="shared" si="5"/>
        <v>2100016</v>
      </c>
      <c r="P154" s="351" t="str">
        <f t="shared" si="6"/>
        <v>T</v>
      </c>
    </row>
    <row r="155" spans="1:16" ht="24" thickBot="1">
      <c r="A155" s="392" t="s">
        <v>73</v>
      </c>
      <c r="B155" s="393">
        <v>21000</v>
      </c>
      <c r="C155" s="391">
        <v>18</v>
      </c>
      <c r="D155" s="373">
        <v>9767</v>
      </c>
      <c r="E155" s="373">
        <v>30767</v>
      </c>
      <c r="F155" s="373">
        <v>1103</v>
      </c>
      <c r="G155" s="373">
        <v>1167</v>
      </c>
      <c r="H155" s="373">
        <v>481</v>
      </c>
      <c r="I155" s="373">
        <v>1648</v>
      </c>
      <c r="K155" s="391">
        <v>0</v>
      </c>
      <c r="L155" s="350">
        <v>0.31</v>
      </c>
      <c r="M155" s="350">
        <v>3.5000000000000003E-2</v>
      </c>
      <c r="N155" s="351" t="str">
        <f t="shared" si="5"/>
        <v>2100018</v>
      </c>
      <c r="P155" s="351" t="str">
        <f t="shared" si="6"/>
        <v>T</v>
      </c>
    </row>
    <row r="156" spans="1:16" ht="24" thickTop="1">
      <c r="A156" s="384" t="s">
        <v>73</v>
      </c>
      <c r="B156" s="385">
        <v>22000</v>
      </c>
      <c r="C156" s="357">
        <v>4</v>
      </c>
      <c r="D156" s="358">
        <v>2277</v>
      </c>
      <c r="E156" s="358">
        <v>24277</v>
      </c>
      <c r="F156" s="358">
        <v>257</v>
      </c>
      <c r="G156" s="358">
        <v>5500</v>
      </c>
      <c r="H156" s="358">
        <v>505</v>
      </c>
      <c r="I156" s="358">
        <v>6005</v>
      </c>
      <c r="K156" s="357">
        <v>0</v>
      </c>
      <c r="L156" s="350">
        <v>0.31</v>
      </c>
      <c r="M156" s="350">
        <v>3.5000000000000003E-2</v>
      </c>
      <c r="N156" s="351" t="str">
        <f t="shared" si="5"/>
        <v>220004</v>
      </c>
      <c r="P156" s="351" t="str">
        <f t="shared" si="6"/>
        <v>T</v>
      </c>
    </row>
    <row r="157" spans="1:16" ht="24" customHeight="1">
      <c r="A157" s="386" t="s">
        <v>73</v>
      </c>
      <c r="B157" s="387">
        <v>22000</v>
      </c>
      <c r="C157" s="388">
        <v>6</v>
      </c>
      <c r="D157" s="364">
        <v>3411</v>
      </c>
      <c r="E157" s="364">
        <v>25411</v>
      </c>
      <c r="F157" s="364">
        <v>385</v>
      </c>
      <c r="G157" s="364">
        <v>3667</v>
      </c>
      <c r="H157" s="364">
        <v>504</v>
      </c>
      <c r="I157" s="364">
        <v>4171</v>
      </c>
      <c r="K157" s="388">
        <v>0</v>
      </c>
      <c r="L157" s="350">
        <v>0.31</v>
      </c>
      <c r="M157" s="350">
        <v>3.5000000000000003E-2</v>
      </c>
      <c r="N157" s="351" t="str">
        <f t="shared" si="5"/>
        <v>220006</v>
      </c>
      <c r="P157" s="351" t="str">
        <f t="shared" si="6"/>
        <v>T</v>
      </c>
    </row>
    <row r="158" spans="1:16" ht="23.25">
      <c r="A158" s="386" t="s">
        <v>73</v>
      </c>
      <c r="B158" s="387">
        <v>22000</v>
      </c>
      <c r="C158" s="365">
        <v>8</v>
      </c>
      <c r="D158" s="366">
        <v>4554</v>
      </c>
      <c r="E158" s="366">
        <v>26554</v>
      </c>
      <c r="F158" s="366">
        <v>514</v>
      </c>
      <c r="G158" s="366">
        <v>2750</v>
      </c>
      <c r="H158" s="366">
        <v>505</v>
      </c>
      <c r="I158" s="366">
        <v>3255</v>
      </c>
      <c r="K158" s="365">
        <v>0</v>
      </c>
      <c r="L158" s="350">
        <v>0.31</v>
      </c>
      <c r="M158" s="350">
        <v>3.5000000000000003E-2</v>
      </c>
      <c r="N158" s="351" t="str">
        <f t="shared" si="5"/>
        <v>220008</v>
      </c>
      <c r="P158" s="351" t="str">
        <f t="shared" si="6"/>
        <v>T</v>
      </c>
    </row>
    <row r="159" spans="1:16" ht="23.25">
      <c r="A159" s="386" t="s">
        <v>73</v>
      </c>
      <c r="B159" s="387">
        <v>22000</v>
      </c>
      <c r="C159" s="367">
        <v>10</v>
      </c>
      <c r="D159" s="368">
        <v>5692</v>
      </c>
      <c r="E159" s="368">
        <v>27692</v>
      </c>
      <c r="F159" s="368">
        <v>642</v>
      </c>
      <c r="G159" s="368">
        <v>2200</v>
      </c>
      <c r="H159" s="368">
        <v>505</v>
      </c>
      <c r="I159" s="368">
        <v>2705</v>
      </c>
      <c r="K159" s="367">
        <v>0</v>
      </c>
      <c r="L159" s="350">
        <v>0.31</v>
      </c>
      <c r="M159" s="350">
        <v>3.5000000000000003E-2</v>
      </c>
      <c r="N159" s="351" t="str">
        <f t="shared" si="5"/>
        <v>2200010</v>
      </c>
      <c r="P159" s="351" t="str">
        <f t="shared" si="6"/>
        <v>T</v>
      </c>
    </row>
    <row r="160" spans="1:16" ht="23.25">
      <c r="A160" s="386" t="s">
        <v>73</v>
      </c>
      <c r="B160" s="387">
        <v>22000</v>
      </c>
      <c r="C160" s="365">
        <v>12</v>
      </c>
      <c r="D160" s="366">
        <v>6826</v>
      </c>
      <c r="E160" s="366">
        <v>28826</v>
      </c>
      <c r="F160" s="366">
        <v>770</v>
      </c>
      <c r="G160" s="366">
        <v>1834</v>
      </c>
      <c r="H160" s="366">
        <v>504</v>
      </c>
      <c r="I160" s="366">
        <v>2338</v>
      </c>
      <c r="K160" s="365">
        <v>0</v>
      </c>
      <c r="L160" s="350">
        <v>0.31</v>
      </c>
      <c r="M160" s="350">
        <v>3.5000000000000003E-2</v>
      </c>
      <c r="N160" s="351" t="str">
        <f t="shared" si="5"/>
        <v>2200012</v>
      </c>
      <c r="P160" s="351" t="str">
        <f t="shared" si="6"/>
        <v>T</v>
      </c>
    </row>
    <row r="161" spans="1:16" ht="23.25">
      <c r="A161" s="386" t="s">
        <v>73</v>
      </c>
      <c r="B161" s="387">
        <v>22000</v>
      </c>
      <c r="C161" s="367">
        <v>14</v>
      </c>
      <c r="D161" s="368">
        <v>7963</v>
      </c>
      <c r="E161" s="368">
        <v>29963</v>
      </c>
      <c r="F161" s="368">
        <v>899</v>
      </c>
      <c r="G161" s="368">
        <v>1572</v>
      </c>
      <c r="H161" s="368">
        <v>504</v>
      </c>
      <c r="I161" s="368">
        <v>2076</v>
      </c>
      <c r="K161" s="367">
        <v>0</v>
      </c>
      <c r="L161" s="350">
        <v>0.31</v>
      </c>
      <c r="M161" s="350">
        <v>3.5000000000000003E-2</v>
      </c>
      <c r="N161" s="351" t="str">
        <f t="shared" si="5"/>
        <v>2200014</v>
      </c>
      <c r="P161" s="351" t="str">
        <f t="shared" si="6"/>
        <v>T</v>
      </c>
    </row>
    <row r="162" spans="1:16" ht="23.25">
      <c r="A162" s="386" t="s">
        <v>73</v>
      </c>
      <c r="B162" s="387">
        <v>22000</v>
      </c>
      <c r="C162" s="365">
        <v>16</v>
      </c>
      <c r="D162" s="366">
        <v>9107</v>
      </c>
      <c r="E162" s="366">
        <v>31107</v>
      </c>
      <c r="F162" s="366">
        <v>1027</v>
      </c>
      <c r="G162" s="366">
        <v>1375</v>
      </c>
      <c r="H162" s="366">
        <v>505</v>
      </c>
      <c r="I162" s="366">
        <v>1880</v>
      </c>
      <c r="K162" s="365">
        <v>0</v>
      </c>
      <c r="L162" s="350">
        <v>0.31</v>
      </c>
      <c r="M162" s="350">
        <v>3.5000000000000003E-2</v>
      </c>
      <c r="N162" s="351" t="str">
        <f t="shared" si="5"/>
        <v>2200016</v>
      </c>
      <c r="P162" s="351" t="str">
        <f t="shared" si="6"/>
        <v>T</v>
      </c>
    </row>
    <row r="163" spans="1:16" ht="24" thickBot="1">
      <c r="A163" s="386" t="s">
        <v>73</v>
      </c>
      <c r="B163" s="387">
        <v>22000</v>
      </c>
      <c r="C163" s="367">
        <v>18</v>
      </c>
      <c r="D163" s="368">
        <v>10241</v>
      </c>
      <c r="E163" s="368">
        <v>32241</v>
      </c>
      <c r="F163" s="368">
        <v>1155</v>
      </c>
      <c r="G163" s="368">
        <v>1223</v>
      </c>
      <c r="H163" s="372">
        <v>504</v>
      </c>
      <c r="I163" s="368">
        <v>1727</v>
      </c>
      <c r="K163" s="367">
        <v>0</v>
      </c>
      <c r="L163" s="350">
        <v>0.31</v>
      </c>
      <c r="M163" s="350">
        <v>3.5000000000000003E-2</v>
      </c>
      <c r="N163" s="351" t="str">
        <f t="shared" si="5"/>
        <v>2200018</v>
      </c>
      <c r="P163" s="351" t="str">
        <f t="shared" si="6"/>
        <v>T</v>
      </c>
    </row>
    <row r="164" spans="1:16" ht="24" thickTop="1">
      <c r="A164" s="355" t="s">
        <v>73</v>
      </c>
      <c r="B164" s="356">
        <v>23000</v>
      </c>
      <c r="C164" s="396">
        <v>4</v>
      </c>
      <c r="D164" s="397">
        <v>2381</v>
      </c>
      <c r="E164" s="397">
        <v>25381</v>
      </c>
      <c r="F164" s="397">
        <v>269</v>
      </c>
      <c r="G164" s="397">
        <v>5750</v>
      </c>
      <c r="H164" s="397">
        <v>528</v>
      </c>
      <c r="I164" s="397">
        <v>6278</v>
      </c>
      <c r="K164" s="396">
        <v>0</v>
      </c>
      <c r="L164" s="350">
        <v>0.31</v>
      </c>
      <c r="M164" s="350">
        <v>3.5000000000000003E-2</v>
      </c>
      <c r="N164" s="351" t="str">
        <f t="shared" si="5"/>
        <v>230004</v>
      </c>
      <c r="P164" s="351" t="str">
        <f t="shared" si="6"/>
        <v>T</v>
      </c>
    </row>
    <row r="165" spans="1:16" ht="23.25">
      <c r="A165" s="360" t="s">
        <v>73</v>
      </c>
      <c r="B165" s="361">
        <v>23000</v>
      </c>
      <c r="C165" s="365">
        <v>6</v>
      </c>
      <c r="D165" s="366">
        <v>3569</v>
      </c>
      <c r="E165" s="366">
        <v>26569</v>
      </c>
      <c r="F165" s="366">
        <v>403</v>
      </c>
      <c r="G165" s="366">
        <v>3834</v>
      </c>
      <c r="H165" s="366">
        <v>527</v>
      </c>
      <c r="I165" s="366">
        <v>4361</v>
      </c>
      <c r="K165" s="365">
        <v>0</v>
      </c>
      <c r="L165" s="350">
        <v>0.31</v>
      </c>
      <c r="M165" s="350">
        <v>3.5000000000000003E-2</v>
      </c>
      <c r="N165" s="351" t="str">
        <f t="shared" si="5"/>
        <v>230006</v>
      </c>
      <c r="P165" s="351" t="str">
        <f t="shared" si="6"/>
        <v>T</v>
      </c>
    </row>
    <row r="166" spans="1:16" ht="23.25">
      <c r="A166" s="360" t="s">
        <v>73</v>
      </c>
      <c r="B166" s="361">
        <v>23000</v>
      </c>
      <c r="C166" s="367">
        <v>8</v>
      </c>
      <c r="D166" s="368">
        <v>4761</v>
      </c>
      <c r="E166" s="368">
        <v>27761</v>
      </c>
      <c r="F166" s="368">
        <v>537</v>
      </c>
      <c r="G166" s="368">
        <v>2875</v>
      </c>
      <c r="H166" s="364">
        <v>528</v>
      </c>
      <c r="I166" s="368">
        <v>3403</v>
      </c>
      <c r="K166" s="367">
        <v>0</v>
      </c>
      <c r="L166" s="350">
        <v>0.31</v>
      </c>
      <c r="M166" s="350">
        <v>3.5000000000000003E-2</v>
      </c>
      <c r="N166" s="351" t="str">
        <f t="shared" si="5"/>
        <v>230008</v>
      </c>
      <c r="P166" s="351" t="str">
        <f t="shared" si="6"/>
        <v>T</v>
      </c>
    </row>
    <row r="167" spans="1:16" ht="23.25">
      <c r="A167" s="360" t="s">
        <v>73</v>
      </c>
      <c r="B167" s="361">
        <v>23000</v>
      </c>
      <c r="C167" s="365">
        <v>10</v>
      </c>
      <c r="D167" s="366">
        <v>5951</v>
      </c>
      <c r="E167" s="366">
        <v>28951</v>
      </c>
      <c r="F167" s="366">
        <v>671</v>
      </c>
      <c r="G167" s="366">
        <v>2300</v>
      </c>
      <c r="H167" s="366">
        <v>528</v>
      </c>
      <c r="I167" s="366">
        <v>2828</v>
      </c>
      <c r="K167" s="365">
        <v>0</v>
      </c>
      <c r="L167" s="350">
        <v>0.31</v>
      </c>
      <c r="M167" s="350">
        <v>3.5000000000000003E-2</v>
      </c>
      <c r="N167" s="351" t="str">
        <f t="shared" si="5"/>
        <v>2300010</v>
      </c>
      <c r="P167" s="351" t="str">
        <f t="shared" si="6"/>
        <v>T</v>
      </c>
    </row>
    <row r="168" spans="1:16" ht="23.25">
      <c r="A168" s="360" t="s">
        <v>73</v>
      </c>
      <c r="B168" s="361">
        <v>23000</v>
      </c>
      <c r="C168" s="367">
        <v>12</v>
      </c>
      <c r="D168" s="368">
        <v>7133</v>
      </c>
      <c r="E168" s="368">
        <v>30133</v>
      </c>
      <c r="F168" s="368">
        <v>805</v>
      </c>
      <c r="G168" s="368">
        <v>1917</v>
      </c>
      <c r="H168" s="368">
        <v>527</v>
      </c>
      <c r="I168" s="368">
        <v>2444</v>
      </c>
      <c r="K168" s="367">
        <v>0</v>
      </c>
      <c r="L168" s="350">
        <v>0.31</v>
      </c>
      <c r="M168" s="350">
        <v>3.5000000000000003E-2</v>
      </c>
      <c r="N168" s="351" t="str">
        <f t="shared" si="5"/>
        <v>2300012</v>
      </c>
      <c r="P168" s="351" t="str">
        <f t="shared" si="6"/>
        <v>T</v>
      </c>
    </row>
    <row r="169" spans="1:16" ht="23.25">
      <c r="A169" s="360" t="s">
        <v>73</v>
      </c>
      <c r="B169" s="361">
        <v>23000</v>
      </c>
      <c r="C169" s="365">
        <v>14</v>
      </c>
      <c r="D169" s="366">
        <v>8320</v>
      </c>
      <c r="E169" s="366">
        <v>31320</v>
      </c>
      <c r="F169" s="366">
        <v>940</v>
      </c>
      <c r="G169" s="366">
        <v>1643</v>
      </c>
      <c r="H169" s="366">
        <v>527</v>
      </c>
      <c r="I169" s="366">
        <v>2170</v>
      </c>
      <c r="K169" s="365">
        <v>0</v>
      </c>
      <c r="L169" s="350">
        <v>0.31</v>
      </c>
      <c r="M169" s="350">
        <v>3.5000000000000003E-2</v>
      </c>
      <c r="N169" s="351" t="str">
        <f t="shared" si="5"/>
        <v>2300014</v>
      </c>
      <c r="P169" s="351" t="str">
        <f t="shared" si="6"/>
        <v>T</v>
      </c>
    </row>
    <row r="170" spans="1:16" ht="23.25">
      <c r="A170" s="360" t="s">
        <v>73</v>
      </c>
      <c r="B170" s="361">
        <v>23000</v>
      </c>
      <c r="C170" s="367">
        <v>16</v>
      </c>
      <c r="D170" s="368">
        <v>9514</v>
      </c>
      <c r="E170" s="368">
        <v>32514</v>
      </c>
      <c r="F170" s="368">
        <v>1074</v>
      </c>
      <c r="G170" s="368">
        <v>1438</v>
      </c>
      <c r="H170" s="368">
        <v>527</v>
      </c>
      <c r="I170" s="368">
        <v>1965</v>
      </c>
      <c r="K170" s="367">
        <v>0</v>
      </c>
      <c r="L170" s="350">
        <v>0.31</v>
      </c>
      <c r="M170" s="350">
        <v>3.5000000000000003E-2</v>
      </c>
      <c r="N170" s="351" t="str">
        <f t="shared" si="5"/>
        <v>2300016</v>
      </c>
      <c r="P170" s="351" t="str">
        <f t="shared" si="6"/>
        <v>T</v>
      </c>
    </row>
    <row r="171" spans="1:16" ht="24" thickBot="1">
      <c r="A171" s="360" t="s">
        <v>73</v>
      </c>
      <c r="B171" s="361">
        <v>23000</v>
      </c>
      <c r="C171" s="365">
        <v>18</v>
      </c>
      <c r="D171" s="366">
        <v>10698</v>
      </c>
      <c r="E171" s="366">
        <v>33698</v>
      </c>
      <c r="F171" s="366">
        <v>1208</v>
      </c>
      <c r="G171" s="366">
        <v>1278</v>
      </c>
      <c r="H171" s="366">
        <v>527</v>
      </c>
      <c r="I171" s="366">
        <v>1805</v>
      </c>
      <c r="K171" s="365">
        <v>0</v>
      </c>
      <c r="L171" s="350">
        <v>0.31</v>
      </c>
      <c r="M171" s="350">
        <v>3.5000000000000003E-2</v>
      </c>
      <c r="N171" s="351" t="str">
        <f t="shared" si="5"/>
        <v>2300018</v>
      </c>
      <c r="P171" s="351" t="str">
        <f t="shared" si="6"/>
        <v>T</v>
      </c>
    </row>
    <row r="172" spans="1:16" ht="24" thickTop="1">
      <c r="A172" s="384" t="s">
        <v>73</v>
      </c>
      <c r="B172" s="385">
        <v>24000</v>
      </c>
      <c r="C172" s="357">
        <v>4</v>
      </c>
      <c r="D172" s="358">
        <v>2484</v>
      </c>
      <c r="E172" s="358">
        <v>26484</v>
      </c>
      <c r="F172" s="358">
        <v>280</v>
      </c>
      <c r="G172" s="358">
        <v>6000</v>
      </c>
      <c r="H172" s="358">
        <v>551</v>
      </c>
      <c r="I172" s="358">
        <v>6551</v>
      </c>
      <c r="K172" s="357">
        <v>0</v>
      </c>
      <c r="L172" s="350">
        <v>0.31</v>
      </c>
      <c r="M172" s="350">
        <v>3.5000000000000003E-2</v>
      </c>
      <c r="N172" s="351" t="str">
        <f t="shared" si="5"/>
        <v>240004</v>
      </c>
      <c r="P172" s="351" t="str">
        <f t="shared" si="6"/>
        <v>T</v>
      </c>
    </row>
    <row r="173" spans="1:16" ht="23.25">
      <c r="A173" s="386" t="s">
        <v>73</v>
      </c>
      <c r="B173" s="387">
        <v>24000</v>
      </c>
      <c r="C173" s="388">
        <v>6</v>
      </c>
      <c r="D173" s="364">
        <v>3726</v>
      </c>
      <c r="E173" s="364">
        <v>27726</v>
      </c>
      <c r="F173" s="364">
        <v>420</v>
      </c>
      <c r="G173" s="364">
        <v>4000</v>
      </c>
      <c r="H173" s="364">
        <v>551</v>
      </c>
      <c r="I173" s="364">
        <v>4551</v>
      </c>
      <c r="K173" s="388">
        <v>0</v>
      </c>
      <c r="L173" s="350">
        <v>0.31</v>
      </c>
      <c r="M173" s="350">
        <v>3.5000000000000003E-2</v>
      </c>
      <c r="N173" s="351" t="str">
        <f t="shared" si="5"/>
        <v>240006</v>
      </c>
      <c r="P173" s="351" t="str">
        <f t="shared" si="6"/>
        <v>T</v>
      </c>
    </row>
    <row r="174" spans="1:16" ht="23.25">
      <c r="A174" s="386" t="s">
        <v>73</v>
      </c>
      <c r="B174" s="387">
        <v>24000</v>
      </c>
      <c r="C174" s="365">
        <v>8</v>
      </c>
      <c r="D174" s="366">
        <v>4968</v>
      </c>
      <c r="E174" s="366">
        <v>28968</v>
      </c>
      <c r="F174" s="366">
        <v>560</v>
      </c>
      <c r="G174" s="366">
        <v>3000</v>
      </c>
      <c r="H174" s="366">
        <v>551</v>
      </c>
      <c r="I174" s="366">
        <v>3551</v>
      </c>
      <c r="K174" s="365">
        <v>0</v>
      </c>
      <c r="L174" s="350">
        <v>0.31</v>
      </c>
      <c r="M174" s="350">
        <v>3.5000000000000003E-2</v>
      </c>
      <c r="N174" s="351" t="str">
        <f t="shared" si="5"/>
        <v>240008</v>
      </c>
      <c r="P174" s="351" t="str">
        <f t="shared" si="6"/>
        <v>T</v>
      </c>
    </row>
    <row r="175" spans="1:16" ht="23.25">
      <c r="A175" s="386" t="s">
        <v>73</v>
      </c>
      <c r="B175" s="387">
        <v>24000</v>
      </c>
      <c r="C175" s="367">
        <v>10</v>
      </c>
      <c r="D175" s="368">
        <v>6210</v>
      </c>
      <c r="E175" s="368">
        <v>30210</v>
      </c>
      <c r="F175" s="368">
        <v>700</v>
      </c>
      <c r="G175" s="368">
        <v>2400</v>
      </c>
      <c r="H175" s="368">
        <v>551</v>
      </c>
      <c r="I175" s="368">
        <v>2951</v>
      </c>
      <c r="K175" s="367">
        <v>0</v>
      </c>
      <c r="L175" s="350">
        <v>0.31</v>
      </c>
      <c r="M175" s="350">
        <v>3.5000000000000003E-2</v>
      </c>
      <c r="N175" s="351" t="str">
        <f t="shared" si="5"/>
        <v>2400010</v>
      </c>
      <c r="P175" s="351" t="str">
        <f t="shared" si="6"/>
        <v>T</v>
      </c>
    </row>
    <row r="176" spans="1:16" ht="23.25">
      <c r="A176" s="386" t="s">
        <v>73</v>
      </c>
      <c r="B176" s="387">
        <v>24000</v>
      </c>
      <c r="C176" s="365">
        <v>12</v>
      </c>
      <c r="D176" s="366">
        <v>7452</v>
      </c>
      <c r="E176" s="366">
        <v>31452</v>
      </c>
      <c r="F176" s="366">
        <v>840</v>
      </c>
      <c r="G176" s="366">
        <v>2000</v>
      </c>
      <c r="H176" s="366">
        <v>551</v>
      </c>
      <c r="I176" s="366">
        <v>2551</v>
      </c>
      <c r="K176" s="365">
        <v>0</v>
      </c>
      <c r="L176" s="350">
        <v>0.31</v>
      </c>
      <c r="M176" s="350">
        <v>3.5000000000000003E-2</v>
      </c>
      <c r="N176" s="351" t="str">
        <f t="shared" si="5"/>
        <v>2400012</v>
      </c>
      <c r="P176" s="351" t="str">
        <f t="shared" si="6"/>
        <v>T</v>
      </c>
    </row>
    <row r="177" spans="1:16" ht="23.25">
      <c r="A177" s="386" t="s">
        <v>73</v>
      </c>
      <c r="B177" s="387">
        <v>24000</v>
      </c>
      <c r="C177" s="367">
        <v>14</v>
      </c>
      <c r="D177" s="368">
        <v>8690</v>
      </c>
      <c r="E177" s="368">
        <v>32690</v>
      </c>
      <c r="F177" s="368">
        <v>980</v>
      </c>
      <c r="G177" s="368">
        <v>1715</v>
      </c>
      <c r="H177" s="368">
        <v>550</v>
      </c>
      <c r="I177" s="368">
        <v>2265</v>
      </c>
      <c r="K177" s="367">
        <v>0</v>
      </c>
      <c r="L177" s="350">
        <v>0.31</v>
      </c>
      <c r="M177" s="350">
        <v>3.5000000000000003E-2</v>
      </c>
      <c r="N177" s="351" t="str">
        <f t="shared" si="5"/>
        <v>2400014</v>
      </c>
      <c r="P177" s="351" t="str">
        <f t="shared" si="6"/>
        <v>T</v>
      </c>
    </row>
    <row r="178" spans="1:16" ht="23.25">
      <c r="A178" s="386" t="s">
        <v>73</v>
      </c>
      <c r="B178" s="387">
        <v>24000</v>
      </c>
      <c r="C178" s="365">
        <v>16</v>
      </c>
      <c r="D178" s="366">
        <v>9936</v>
      </c>
      <c r="E178" s="366">
        <v>33936</v>
      </c>
      <c r="F178" s="366">
        <v>1120</v>
      </c>
      <c r="G178" s="366">
        <v>1500</v>
      </c>
      <c r="H178" s="366">
        <v>551</v>
      </c>
      <c r="I178" s="366">
        <v>2051</v>
      </c>
      <c r="K178" s="365">
        <v>0</v>
      </c>
      <c r="L178" s="350">
        <v>0.31</v>
      </c>
      <c r="M178" s="350">
        <v>3.5000000000000003E-2</v>
      </c>
      <c r="N178" s="351" t="str">
        <f t="shared" si="5"/>
        <v>2400016</v>
      </c>
      <c r="P178" s="351" t="str">
        <f t="shared" si="6"/>
        <v>T</v>
      </c>
    </row>
    <row r="179" spans="1:16" ht="24" thickBot="1">
      <c r="A179" s="386" t="s">
        <v>73</v>
      </c>
      <c r="B179" s="387">
        <v>24000</v>
      </c>
      <c r="C179" s="367">
        <v>18</v>
      </c>
      <c r="D179" s="368">
        <v>11172</v>
      </c>
      <c r="E179" s="368">
        <v>35172</v>
      </c>
      <c r="F179" s="368">
        <v>1260</v>
      </c>
      <c r="G179" s="368">
        <v>1334</v>
      </c>
      <c r="H179" s="372">
        <v>550</v>
      </c>
      <c r="I179" s="368">
        <v>1884</v>
      </c>
      <c r="K179" s="367">
        <v>0</v>
      </c>
      <c r="L179" s="350">
        <v>0.31</v>
      </c>
      <c r="M179" s="350">
        <v>3.5000000000000003E-2</v>
      </c>
      <c r="N179" s="351" t="str">
        <f t="shared" si="5"/>
        <v>2400018</v>
      </c>
      <c r="P179" s="351" t="str">
        <f t="shared" si="6"/>
        <v>T</v>
      </c>
    </row>
    <row r="180" spans="1:16" ht="24" thickTop="1">
      <c r="A180" s="355" t="s">
        <v>73</v>
      </c>
      <c r="B180" s="356">
        <v>25000</v>
      </c>
      <c r="C180" s="396">
        <v>4</v>
      </c>
      <c r="D180" s="397">
        <v>2584</v>
      </c>
      <c r="E180" s="397">
        <v>27584</v>
      </c>
      <c r="F180" s="397">
        <v>292</v>
      </c>
      <c r="G180" s="397">
        <v>6250</v>
      </c>
      <c r="H180" s="397">
        <v>573</v>
      </c>
      <c r="I180" s="397">
        <v>6823</v>
      </c>
      <c r="K180" s="396">
        <v>0</v>
      </c>
      <c r="L180" s="350">
        <v>0.31</v>
      </c>
      <c r="M180" s="350">
        <v>3.5000000000000003E-2</v>
      </c>
      <c r="N180" s="351" t="str">
        <f t="shared" si="5"/>
        <v>250004</v>
      </c>
      <c r="P180" s="351" t="str">
        <f t="shared" si="6"/>
        <v>T</v>
      </c>
    </row>
    <row r="181" spans="1:16" ht="23.25">
      <c r="A181" s="360" t="s">
        <v>73</v>
      </c>
      <c r="B181" s="361">
        <v>25000</v>
      </c>
      <c r="C181" s="365">
        <v>6</v>
      </c>
      <c r="D181" s="366">
        <v>3878</v>
      </c>
      <c r="E181" s="366">
        <v>28878</v>
      </c>
      <c r="F181" s="366">
        <v>438</v>
      </c>
      <c r="G181" s="366">
        <v>4167</v>
      </c>
      <c r="H181" s="366">
        <v>573</v>
      </c>
      <c r="I181" s="366">
        <v>4740</v>
      </c>
      <c r="K181" s="365">
        <v>0</v>
      </c>
      <c r="L181" s="350">
        <v>0.31</v>
      </c>
      <c r="M181" s="350">
        <v>3.5000000000000003E-2</v>
      </c>
      <c r="N181" s="351" t="str">
        <f t="shared" si="5"/>
        <v>250006</v>
      </c>
      <c r="P181" s="351" t="str">
        <f t="shared" si="6"/>
        <v>T</v>
      </c>
    </row>
    <row r="182" spans="1:16" ht="23.25">
      <c r="A182" s="360" t="s">
        <v>73</v>
      </c>
      <c r="B182" s="361">
        <v>25000</v>
      </c>
      <c r="C182" s="367">
        <v>8</v>
      </c>
      <c r="D182" s="368">
        <v>5168</v>
      </c>
      <c r="E182" s="368">
        <v>30168</v>
      </c>
      <c r="F182" s="368">
        <v>584</v>
      </c>
      <c r="G182" s="368">
        <v>3125</v>
      </c>
      <c r="H182" s="364">
        <v>573</v>
      </c>
      <c r="I182" s="368">
        <v>3698</v>
      </c>
      <c r="K182" s="367">
        <v>0</v>
      </c>
      <c r="L182" s="350">
        <v>0.31</v>
      </c>
      <c r="M182" s="350">
        <v>3.5000000000000003E-2</v>
      </c>
      <c r="N182" s="351" t="str">
        <f t="shared" si="5"/>
        <v>250008</v>
      </c>
      <c r="P182" s="351" t="str">
        <f t="shared" si="6"/>
        <v>T</v>
      </c>
    </row>
    <row r="183" spans="1:16" ht="23.25">
      <c r="A183" s="360" t="s">
        <v>73</v>
      </c>
      <c r="B183" s="361">
        <v>25000</v>
      </c>
      <c r="C183" s="365">
        <v>10</v>
      </c>
      <c r="D183" s="366">
        <v>6460</v>
      </c>
      <c r="E183" s="366">
        <v>31460</v>
      </c>
      <c r="F183" s="366">
        <v>730</v>
      </c>
      <c r="G183" s="366">
        <v>2500</v>
      </c>
      <c r="H183" s="366">
        <v>573</v>
      </c>
      <c r="I183" s="366">
        <v>3073</v>
      </c>
      <c r="K183" s="365">
        <v>0</v>
      </c>
      <c r="L183" s="350">
        <v>0.31</v>
      </c>
      <c r="M183" s="350">
        <v>3.5000000000000003E-2</v>
      </c>
      <c r="N183" s="351" t="str">
        <f t="shared" si="5"/>
        <v>2500010</v>
      </c>
      <c r="P183" s="351" t="str">
        <f t="shared" si="6"/>
        <v>T</v>
      </c>
    </row>
    <row r="184" spans="1:16" ht="23.25">
      <c r="A184" s="360" t="s">
        <v>73</v>
      </c>
      <c r="B184" s="361">
        <v>25000</v>
      </c>
      <c r="C184" s="367">
        <v>12</v>
      </c>
      <c r="D184" s="368">
        <v>7759</v>
      </c>
      <c r="E184" s="368">
        <v>32759</v>
      </c>
      <c r="F184" s="368">
        <v>875</v>
      </c>
      <c r="G184" s="368">
        <v>2084</v>
      </c>
      <c r="H184" s="368">
        <v>573</v>
      </c>
      <c r="I184" s="368">
        <v>2657</v>
      </c>
      <c r="K184" s="367">
        <v>0</v>
      </c>
      <c r="L184" s="350">
        <v>0.31</v>
      </c>
      <c r="M184" s="350">
        <v>3.5000000000000003E-2</v>
      </c>
      <c r="N184" s="351" t="str">
        <f t="shared" si="5"/>
        <v>2500012</v>
      </c>
      <c r="P184" s="351" t="str">
        <f t="shared" si="6"/>
        <v>T</v>
      </c>
    </row>
    <row r="185" spans="1:16" ht="23.25">
      <c r="A185" s="360" t="s">
        <v>73</v>
      </c>
      <c r="B185" s="361">
        <v>25000</v>
      </c>
      <c r="C185" s="365">
        <v>14</v>
      </c>
      <c r="D185" s="366">
        <v>9047</v>
      </c>
      <c r="E185" s="366">
        <v>34047</v>
      </c>
      <c r="F185" s="366">
        <v>1021</v>
      </c>
      <c r="G185" s="366">
        <v>1786</v>
      </c>
      <c r="H185" s="366">
        <v>573</v>
      </c>
      <c r="I185" s="366">
        <v>2359</v>
      </c>
      <c r="K185" s="365">
        <v>0</v>
      </c>
      <c r="L185" s="350">
        <v>0.31</v>
      </c>
      <c r="M185" s="350">
        <v>3.5000000000000003E-2</v>
      </c>
      <c r="N185" s="351" t="str">
        <f t="shared" si="5"/>
        <v>2500014</v>
      </c>
      <c r="P185" s="351" t="str">
        <f t="shared" si="6"/>
        <v>T</v>
      </c>
    </row>
    <row r="186" spans="1:16" ht="23.25">
      <c r="A186" s="360" t="s">
        <v>73</v>
      </c>
      <c r="B186" s="361">
        <v>25000</v>
      </c>
      <c r="C186" s="367">
        <v>16</v>
      </c>
      <c r="D186" s="368">
        <v>10343</v>
      </c>
      <c r="E186" s="368">
        <v>35343</v>
      </c>
      <c r="F186" s="368">
        <v>1167</v>
      </c>
      <c r="G186" s="368">
        <v>1563</v>
      </c>
      <c r="H186" s="368">
        <v>573</v>
      </c>
      <c r="I186" s="368">
        <v>2136</v>
      </c>
      <c r="K186" s="367">
        <v>0</v>
      </c>
      <c r="L186" s="350">
        <v>0.31</v>
      </c>
      <c r="M186" s="350">
        <v>3.5000000000000003E-2</v>
      </c>
      <c r="N186" s="351" t="str">
        <f t="shared" si="5"/>
        <v>2500016</v>
      </c>
      <c r="P186" s="351" t="str">
        <f t="shared" si="6"/>
        <v>T</v>
      </c>
    </row>
    <row r="187" spans="1:16" ht="24" thickBot="1">
      <c r="A187" s="360" t="s">
        <v>73</v>
      </c>
      <c r="B187" s="361">
        <v>25000</v>
      </c>
      <c r="C187" s="365">
        <v>18</v>
      </c>
      <c r="D187" s="366">
        <v>11629</v>
      </c>
      <c r="E187" s="366">
        <v>36629</v>
      </c>
      <c r="F187" s="366">
        <v>1313</v>
      </c>
      <c r="G187" s="366">
        <v>1389</v>
      </c>
      <c r="H187" s="366">
        <v>573</v>
      </c>
      <c r="I187" s="366">
        <v>1962</v>
      </c>
      <c r="K187" s="365">
        <v>0</v>
      </c>
      <c r="L187" s="350">
        <v>0.31</v>
      </c>
      <c r="M187" s="350">
        <v>3.5000000000000003E-2</v>
      </c>
      <c r="N187" s="351" t="str">
        <f t="shared" si="5"/>
        <v>2500018</v>
      </c>
      <c r="P187" s="351" t="str">
        <f t="shared" si="6"/>
        <v>T</v>
      </c>
    </row>
    <row r="188" spans="1:16" ht="24" thickTop="1">
      <c r="A188" s="384" t="s">
        <v>73</v>
      </c>
      <c r="B188" s="385">
        <v>26000</v>
      </c>
      <c r="C188" s="357">
        <v>4</v>
      </c>
      <c r="D188" s="358">
        <v>2688</v>
      </c>
      <c r="E188" s="358">
        <v>28688</v>
      </c>
      <c r="F188" s="358">
        <v>304</v>
      </c>
      <c r="G188" s="358">
        <v>6500</v>
      </c>
      <c r="H188" s="358">
        <v>596</v>
      </c>
      <c r="I188" s="358">
        <v>7096</v>
      </c>
      <c r="K188" s="357">
        <v>0</v>
      </c>
      <c r="L188" s="350">
        <v>0.31</v>
      </c>
      <c r="M188" s="350">
        <v>3.5000000000000003E-2</v>
      </c>
      <c r="N188" s="351" t="str">
        <f t="shared" si="5"/>
        <v>260004</v>
      </c>
      <c r="P188" s="351" t="str">
        <f t="shared" si="6"/>
        <v>T</v>
      </c>
    </row>
    <row r="189" spans="1:16" ht="23.25">
      <c r="A189" s="386" t="s">
        <v>73</v>
      </c>
      <c r="B189" s="387">
        <v>26000</v>
      </c>
      <c r="C189" s="388">
        <v>6</v>
      </c>
      <c r="D189" s="364">
        <v>4035</v>
      </c>
      <c r="E189" s="364">
        <v>30035</v>
      </c>
      <c r="F189" s="364">
        <v>455</v>
      </c>
      <c r="G189" s="364">
        <v>4334</v>
      </c>
      <c r="H189" s="364">
        <v>596</v>
      </c>
      <c r="I189" s="364">
        <v>4930</v>
      </c>
      <c r="K189" s="388">
        <v>0</v>
      </c>
      <c r="L189" s="350">
        <v>0.31</v>
      </c>
      <c r="M189" s="350">
        <v>3.5000000000000003E-2</v>
      </c>
      <c r="N189" s="351" t="str">
        <f t="shared" si="5"/>
        <v>260006</v>
      </c>
      <c r="P189" s="351" t="str">
        <f t="shared" si="6"/>
        <v>T</v>
      </c>
    </row>
    <row r="190" spans="1:16" ht="23.25">
      <c r="A190" s="386" t="s">
        <v>73</v>
      </c>
      <c r="B190" s="387">
        <v>26000</v>
      </c>
      <c r="C190" s="365">
        <v>8</v>
      </c>
      <c r="D190" s="366">
        <v>5375</v>
      </c>
      <c r="E190" s="366">
        <v>31375</v>
      </c>
      <c r="F190" s="366">
        <v>607</v>
      </c>
      <c r="G190" s="366">
        <v>3250</v>
      </c>
      <c r="H190" s="366">
        <v>596</v>
      </c>
      <c r="I190" s="366">
        <v>3846</v>
      </c>
      <c r="K190" s="365">
        <v>0</v>
      </c>
      <c r="L190" s="350">
        <v>0.31</v>
      </c>
      <c r="M190" s="350">
        <v>3.5000000000000003E-2</v>
      </c>
      <c r="N190" s="351" t="str">
        <f t="shared" si="5"/>
        <v>260008</v>
      </c>
      <c r="P190" s="351" t="str">
        <f t="shared" si="6"/>
        <v>T</v>
      </c>
    </row>
    <row r="191" spans="1:16" ht="23.25">
      <c r="A191" s="386" t="s">
        <v>73</v>
      </c>
      <c r="B191" s="387">
        <v>26000</v>
      </c>
      <c r="C191" s="367">
        <v>10</v>
      </c>
      <c r="D191" s="368">
        <v>6719</v>
      </c>
      <c r="E191" s="368">
        <v>32719</v>
      </c>
      <c r="F191" s="368">
        <v>759</v>
      </c>
      <c r="G191" s="368">
        <v>2600</v>
      </c>
      <c r="H191" s="368">
        <v>596</v>
      </c>
      <c r="I191" s="368">
        <v>3196</v>
      </c>
      <c r="K191" s="367">
        <v>0</v>
      </c>
      <c r="L191" s="350">
        <v>0.31</v>
      </c>
      <c r="M191" s="350">
        <v>3.5000000000000003E-2</v>
      </c>
      <c r="N191" s="351" t="str">
        <f t="shared" si="5"/>
        <v>2600010</v>
      </c>
      <c r="P191" s="351" t="str">
        <f t="shared" si="6"/>
        <v>T</v>
      </c>
    </row>
    <row r="192" spans="1:16" ht="23.25">
      <c r="A192" s="386" t="s">
        <v>73</v>
      </c>
      <c r="B192" s="387">
        <v>26000</v>
      </c>
      <c r="C192" s="365">
        <v>12</v>
      </c>
      <c r="D192" s="366">
        <v>8066</v>
      </c>
      <c r="E192" s="366">
        <v>34066</v>
      </c>
      <c r="F192" s="366">
        <v>910</v>
      </c>
      <c r="G192" s="366">
        <v>2167</v>
      </c>
      <c r="H192" s="366">
        <v>596</v>
      </c>
      <c r="I192" s="366">
        <v>2763</v>
      </c>
      <c r="K192" s="365">
        <v>0</v>
      </c>
      <c r="L192" s="350">
        <v>0.31</v>
      </c>
      <c r="M192" s="350">
        <v>3.5000000000000003E-2</v>
      </c>
      <c r="N192" s="351" t="str">
        <f t="shared" si="5"/>
        <v>2600012</v>
      </c>
      <c r="P192" s="351" t="str">
        <f t="shared" si="6"/>
        <v>T</v>
      </c>
    </row>
    <row r="193" spans="1:16" ht="23.25">
      <c r="A193" s="386" t="s">
        <v>73</v>
      </c>
      <c r="B193" s="387">
        <v>26000</v>
      </c>
      <c r="C193" s="367">
        <v>14</v>
      </c>
      <c r="D193" s="368">
        <v>9404</v>
      </c>
      <c r="E193" s="368">
        <v>35404</v>
      </c>
      <c r="F193" s="368">
        <v>1062</v>
      </c>
      <c r="G193" s="368">
        <v>1858</v>
      </c>
      <c r="H193" s="368">
        <v>595</v>
      </c>
      <c r="I193" s="368">
        <v>2453</v>
      </c>
      <c r="K193" s="367">
        <v>0</v>
      </c>
      <c r="L193" s="350">
        <v>0.31</v>
      </c>
      <c r="M193" s="350">
        <v>3.5000000000000003E-2</v>
      </c>
      <c r="N193" s="351" t="str">
        <f t="shared" si="5"/>
        <v>2600014</v>
      </c>
      <c r="P193" s="351" t="str">
        <f t="shared" si="6"/>
        <v>T</v>
      </c>
    </row>
    <row r="194" spans="1:16" ht="23.25">
      <c r="A194" s="386" t="s">
        <v>73</v>
      </c>
      <c r="B194" s="387">
        <v>26000</v>
      </c>
      <c r="C194" s="365">
        <v>16</v>
      </c>
      <c r="D194" s="366">
        <v>10750</v>
      </c>
      <c r="E194" s="366">
        <v>36750</v>
      </c>
      <c r="F194" s="366">
        <v>1214</v>
      </c>
      <c r="G194" s="366">
        <v>1625</v>
      </c>
      <c r="H194" s="366">
        <v>596</v>
      </c>
      <c r="I194" s="366">
        <v>2221</v>
      </c>
      <c r="K194" s="365">
        <v>0</v>
      </c>
      <c r="L194" s="350">
        <v>0.31</v>
      </c>
      <c r="M194" s="350">
        <v>3.5000000000000003E-2</v>
      </c>
      <c r="N194" s="351" t="str">
        <f t="shared" si="5"/>
        <v>2600016</v>
      </c>
      <c r="P194" s="351" t="str">
        <f t="shared" si="6"/>
        <v>T</v>
      </c>
    </row>
    <row r="195" spans="1:16" ht="24" thickBot="1">
      <c r="A195" s="386" t="s">
        <v>73</v>
      </c>
      <c r="B195" s="387">
        <v>26000</v>
      </c>
      <c r="C195" s="367">
        <v>18</v>
      </c>
      <c r="D195" s="368">
        <v>12103</v>
      </c>
      <c r="E195" s="368">
        <v>38103</v>
      </c>
      <c r="F195" s="368">
        <v>1365</v>
      </c>
      <c r="G195" s="368">
        <v>1445</v>
      </c>
      <c r="H195" s="372">
        <v>596</v>
      </c>
      <c r="I195" s="368">
        <v>2041</v>
      </c>
      <c r="K195" s="367">
        <v>0</v>
      </c>
      <c r="L195" s="350">
        <v>0.31</v>
      </c>
      <c r="M195" s="350">
        <v>3.5000000000000003E-2</v>
      </c>
      <c r="N195" s="351" t="str">
        <f t="shared" si="5"/>
        <v>2600018</v>
      </c>
      <c r="P195" s="351" t="str">
        <f t="shared" si="6"/>
        <v>T</v>
      </c>
    </row>
    <row r="196" spans="1:16" ht="24" thickTop="1">
      <c r="A196" s="355" t="s">
        <v>73</v>
      </c>
      <c r="B196" s="356">
        <v>27000</v>
      </c>
      <c r="C196" s="396">
        <v>4</v>
      </c>
      <c r="D196" s="397">
        <v>2791</v>
      </c>
      <c r="E196" s="397">
        <v>29791</v>
      </c>
      <c r="F196" s="397">
        <v>315</v>
      </c>
      <c r="G196" s="397">
        <v>6750</v>
      </c>
      <c r="H196" s="397">
        <v>619</v>
      </c>
      <c r="I196" s="397">
        <v>7369</v>
      </c>
      <c r="K196" s="396">
        <v>0</v>
      </c>
      <c r="L196" s="350">
        <v>0.31</v>
      </c>
      <c r="M196" s="350">
        <v>3.5000000000000003E-2</v>
      </c>
      <c r="N196" s="351" t="str">
        <f t="shared" si="5"/>
        <v>270004</v>
      </c>
      <c r="P196" s="351" t="str">
        <f t="shared" si="6"/>
        <v>T</v>
      </c>
    </row>
    <row r="197" spans="1:16" ht="23.25">
      <c r="A197" s="360" t="s">
        <v>73</v>
      </c>
      <c r="B197" s="361">
        <v>27000</v>
      </c>
      <c r="C197" s="365">
        <v>6</v>
      </c>
      <c r="D197" s="366">
        <v>4187</v>
      </c>
      <c r="E197" s="366">
        <v>31187</v>
      </c>
      <c r="F197" s="366">
        <v>473</v>
      </c>
      <c r="G197" s="366">
        <v>4500</v>
      </c>
      <c r="H197" s="366">
        <v>619</v>
      </c>
      <c r="I197" s="366">
        <v>5119</v>
      </c>
      <c r="K197" s="365">
        <v>0</v>
      </c>
      <c r="L197" s="350">
        <v>0.31</v>
      </c>
      <c r="M197" s="350">
        <v>3.5000000000000003E-2</v>
      </c>
      <c r="N197" s="351" t="str">
        <f t="shared" ref="N197:N260" si="7">CONCATENATE(B197,C197)</f>
        <v>270006</v>
      </c>
      <c r="P197" s="351" t="str">
        <f t="shared" si="6"/>
        <v>T</v>
      </c>
    </row>
    <row r="198" spans="1:16" ht="23.25">
      <c r="A198" s="360" t="s">
        <v>73</v>
      </c>
      <c r="B198" s="361">
        <v>27000</v>
      </c>
      <c r="C198" s="367">
        <v>8</v>
      </c>
      <c r="D198" s="368">
        <v>5582</v>
      </c>
      <c r="E198" s="368">
        <v>32582</v>
      </c>
      <c r="F198" s="368">
        <v>630</v>
      </c>
      <c r="G198" s="368">
        <v>3375</v>
      </c>
      <c r="H198" s="364">
        <v>619</v>
      </c>
      <c r="I198" s="368">
        <v>3994</v>
      </c>
      <c r="K198" s="367">
        <v>0</v>
      </c>
      <c r="L198" s="350">
        <v>0.31</v>
      </c>
      <c r="M198" s="350">
        <v>3.5000000000000003E-2</v>
      </c>
      <c r="N198" s="351" t="str">
        <f t="shared" si="7"/>
        <v>270008</v>
      </c>
      <c r="P198" s="351" t="str">
        <f t="shared" si="6"/>
        <v>T</v>
      </c>
    </row>
    <row r="199" spans="1:16" ht="23.25">
      <c r="A199" s="360" t="s">
        <v>73</v>
      </c>
      <c r="B199" s="361">
        <v>27000</v>
      </c>
      <c r="C199" s="365">
        <v>10</v>
      </c>
      <c r="D199" s="366">
        <v>6978</v>
      </c>
      <c r="E199" s="366">
        <v>33978</v>
      </c>
      <c r="F199" s="366">
        <v>788</v>
      </c>
      <c r="G199" s="366">
        <v>2700</v>
      </c>
      <c r="H199" s="366">
        <v>619</v>
      </c>
      <c r="I199" s="366">
        <v>3319</v>
      </c>
      <c r="K199" s="365">
        <v>0</v>
      </c>
      <c r="L199" s="350">
        <v>0.31</v>
      </c>
      <c r="M199" s="350">
        <v>3.5000000000000003E-2</v>
      </c>
      <c r="N199" s="351" t="str">
        <f t="shared" si="7"/>
        <v>2700010</v>
      </c>
      <c r="P199" s="351" t="str">
        <f t="shared" si="6"/>
        <v>T</v>
      </c>
    </row>
    <row r="200" spans="1:16" ht="23.25">
      <c r="A200" s="360" t="s">
        <v>73</v>
      </c>
      <c r="B200" s="361">
        <v>27000</v>
      </c>
      <c r="C200" s="367">
        <v>12</v>
      </c>
      <c r="D200" s="368">
        <v>8373</v>
      </c>
      <c r="E200" s="368">
        <v>35373</v>
      </c>
      <c r="F200" s="368">
        <v>945</v>
      </c>
      <c r="G200" s="368">
        <v>2250</v>
      </c>
      <c r="H200" s="368">
        <v>619</v>
      </c>
      <c r="I200" s="368">
        <v>2869</v>
      </c>
      <c r="K200" s="367">
        <v>0</v>
      </c>
      <c r="L200" s="350">
        <v>0.31</v>
      </c>
      <c r="M200" s="350">
        <v>3.5000000000000003E-2</v>
      </c>
      <c r="N200" s="351" t="str">
        <f t="shared" si="7"/>
        <v>2700012</v>
      </c>
      <c r="P200" s="351" t="str">
        <f t="shared" si="6"/>
        <v>T</v>
      </c>
    </row>
    <row r="201" spans="1:16" ht="23.25">
      <c r="A201" s="360" t="s">
        <v>73</v>
      </c>
      <c r="B201" s="361">
        <v>27000</v>
      </c>
      <c r="C201" s="365">
        <v>14</v>
      </c>
      <c r="D201" s="366">
        <v>9775</v>
      </c>
      <c r="E201" s="366">
        <v>36775</v>
      </c>
      <c r="F201" s="366">
        <v>1103</v>
      </c>
      <c r="G201" s="366">
        <v>1929</v>
      </c>
      <c r="H201" s="366">
        <v>619</v>
      </c>
      <c r="I201" s="366">
        <v>2548</v>
      </c>
      <c r="K201" s="365">
        <v>0</v>
      </c>
      <c r="L201" s="350">
        <v>0.31</v>
      </c>
      <c r="M201" s="350">
        <v>3.5000000000000003E-2</v>
      </c>
      <c r="N201" s="351" t="str">
        <f t="shared" si="7"/>
        <v>2700014</v>
      </c>
      <c r="P201" s="351" t="str">
        <f t="shared" si="6"/>
        <v>T</v>
      </c>
    </row>
    <row r="202" spans="1:16" ht="23.25">
      <c r="A202" s="360" t="s">
        <v>73</v>
      </c>
      <c r="B202" s="361">
        <v>27000</v>
      </c>
      <c r="C202" s="367">
        <v>16</v>
      </c>
      <c r="D202" s="368">
        <v>11172</v>
      </c>
      <c r="E202" s="368">
        <v>38172</v>
      </c>
      <c r="F202" s="368">
        <v>1260</v>
      </c>
      <c r="G202" s="368">
        <v>1688</v>
      </c>
      <c r="H202" s="368">
        <v>619</v>
      </c>
      <c r="I202" s="368">
        <v>2307</v>
      </c>
      <c r="K202" s="367">
        <v>0</v>
      </c>
      <c r="L202" s="350">
        <v>0.31</v>
      </c>
      <c r="M202" s="350">
        <v>3.5000000000000003E-2</v>
      </c>
      <c r="N202" s="351" t="str">
        <f t="shared" si="7"/>
        <v>2700016</v>
      </c>
      <c r="P202" s="351" t="str">
        <f t="shared" si="6"/>
        <v>T</v>
      </c>
    </row>
    <row r="203" spans="1:16" ht="24" thickBot="1">
      <c r="A203" s="360" t="s">
        <v>73</v>
      </c>
      <c r="B203" s="361">
        <v>27000</v>
      </c>
      <c r="C203" s="365">
        <v>18</v>
      </c>
      <c r="D203" s="366">
        <v>12560</v>
      </c>
      <c r="E203" s="366">
        <v>39560</v>
      </c>
      <c r="F203" s="366">
        <v>1418</v>
      </c>
      <c r="G203" s="366">
        <v>1500</v>
      </c>
      <c r="H203" s="366">
        <v>619</v>
      </c>
      <c r="I203" s="366">
        <v>2119</v>
      </c>
      <c r="K203" s="365">
        <v>0</v>
      </c>
      <c r="L203" s="350">
        <v>0.31</v>
      </c>
      <c r="M203" s="350">
        <v>3.5000000000000003E-2</v>
      </c>
      <c r="N203" s="351" t="str">
        <f t="shared" si="7"/>
        <v>2700018</v>
      </c>
      <c r="P203" s="351" t="str">
        <f t="shared" si="6"/>
        <v>T</v>
      </c>
    </row>
    <row r="204" spans="1:16" ht="24" thickTop="1">
      <c r="A204" s="384" t="s">
        <v>73</v>
      </c>
      <c r="B204" s="385">
        <v>28000</v>
      </c>
      <c r="C204" s="357">
        <v>4</v>
      </c>
      <c r="D204" s="358">
        <v>2895</v>
      </c>
      <c r="E204" s="358">
        <v>30895</v>
      </c>
      <c r="F204" s="358">
        <v>327</v>
      </c>
      <c r="G204" s="358">
        <v>7000</v>
      </c>
      <c r="H204" s="358">
        <v>642</v>
      </c>
      <c r="I204" s="358">
        <v>7642</v>
      </c>
      <c r="K204" s="357">
        <v>0</v>
      </c>
      <c r="L204" s="350">
        <v>0.31</v>
      </c>
      <c r="M204" s="350">
        <v>3.5000000000000003E-2</v>
      </c>
      <c r="N204" s="351" t="str">
        <f t="shared" si="7"/>
        <v>280004</v>
      </c>
      <c r="P204" s="351" t="str">
        <f t="shared" si="6"/>
        <v>T</v>
      </c>
    </row>
    <row r="205" spans="1:16" ht="23.25">
      <c r="A205" s="386" t="s">
        <v>73</v>
      </c>
      <c r="B205" s="387">
        <v>28000</v>
      </c>
      <c r="C205" s="388">
        <v>6</v>
      </c>
      <c r="D205" s="364">
        <v>4344</v>
      </c>
      <c r="E205" s="364">
        <v>32344</v>
      </c>
      <c r="F205" s="364">
        <v>490</v>
      </c>
      <c r="G205" s="364">
        <v>4667</v>
      </c>
      <c r="H205" s="364">
        <v>642</v>
      </c>
      <c r="I205" s="364">
        <v>5309</v>
      </c>
      <c r="K205" s="388">
        <v>0</v>
      </c>
      <c r="L205" s="350">
        <v>0.31</v>
      </c>
      <c r="M205" s="350">
        <v>3.5000000000000003E-2</v>
      </c>
      <c r="N205" s="351" t="str">
        <f t="shared" si="7"/>
        <v>280006</v>
      </c>
      <c r="P205" s="351" t="str">
        <f t="shared" si="6"/>
        <v>T</v>
      </c>
    </row>
    <row r="206" spans="1:16" ht="23.25">
      <c r="A206" s="386" t="s">
        <v>73</v>
      </c>
      <c r="B206" s="387">
        <v>28000</v>
      </c>
      <c r="C206" s="365">
        <v>8</v>
      </c>
      <c r="D206" s="366">
        <v>5790</v>
      </c>
      <c r="E206" s="366">
        <v>33790</v>
      </c>
      <c r="F206" s="366">
        <v>654</v>
      </c>
      <c r="G206" s="366">
        <v>3500</v>
      </c>
      <c r="H206" s="366">
        <v>642</v>
      </c>
      <c r="I206" s="366">
        <v>4142</v>
      </c>
      <c r="K206" s="365">
        <v>0</v>
      </c>
      <c r="L206" s="350">
        <v>0.31</v>
      </c>
      <c r="M206" s="350">
        <v>3.5000000000000003E-2</v>
      </c>
      <c r="N206" s="351" t="str">
        <f t="shared" si="7"/>
        <v>280008</v>
      </c>
      <c r="P206" s="351" t="str">
        <f t="shared" si="6"/>
        <v>T</v>
      </c>
    </row>
    <row r="207" spans="1:16" ht="23.25">
      <c r="A207" s="386" t="s">
        <v>73</v>
      </c>
      <c r="B207" s="387">
        <v>28000</v>
      </c>
      <c r="C207" s="367">
        <v>10</v>
      </c>
      <c r="D207" s="368">
        <v>7237</v>
      </c>
      <c r="E207" s="368">
        <v>35237</v>
      </c>
      <c r="F207" s="368">
        <v>817</v>
      </c>
      <c r="G207" s="368">
        <v>2800</v>
      </c>
      <c r="H207" s="368">
        <v>642</v>
      </c>
      <c r="I207" s="368">
        <v>3442</v>
      </c>
      <c r="K207" s="367">
        <v>0</v>
      </c>
      <c r="L207" s="350">
        <v>0.31</v>
      </c>
      <c r="M207" s="350">
        <v>3.5000000000000003E-2</v>
      </c>
      <c r="N207" s="351" t="str">
        <f t="shared" si="7"/>
        <v>2800010</v>
      </c>
      <c r="P207" s="351" t="str">
        <f t="shared" si="6"/>
        <v>T</v>
      </c>
    </row>
    <row r="208" spans="1:16" ht="23.25">
      <c r="A208" s="386" t="s">
        <v>73</v>
      </c>
      <c r="B208" s="387">
        <v>28000</v>
      </c>
      <c r="C208" s="365">
        <v>12</v>
      </c>
      <c r="D208" s="366">
        <v>8692</v>
      </c>
      <c r="E208" s="366">
        <v>36692</v>
      </c>
      <c r="F208" s="366">
        <v>980</v>
      </c>
      <c r="G208" s="366">
        <v>2334</v>
      </c>
      <c r="H208" s="366">
        <v>642</v>
      </c>
      <c r="I208" s="366">
        <v>2976</v>
      </c>
      <c r="K208" s="365">
        <v>0</v>
      </c>
      <c r="L208" s="350">
        <v>0.31</v>
      </c>
      <c r="M208" s="350">
        <v>3.5000000000000003E-2</v>
      </c>
      <c r="N208" s="351" t="str">
        <f t="shared" si="7"/>
        <v>2800012</v>
      </c>
      <c r="P208" s="351" t="str">
        <f t="shared" si="6"/>
        <v>T</v>
      </c>
    </row>
    <row r="209" spans="1:16" ht="23.25">
      <c r="A209" s="386" t="s">
        <v>73</v>
      </c>
      <c r="B209" s="387">
        <v>28000</v>
      </c>
      <c r="C209" s="367">
        <v>14</v>
      </c>
      <c r="D209" s="368">
        <v>10132</v>
      </c>
      <c r="E209" s="368">
        <v>38132</v>
      </c>
      <c r="F209" s="368">
        <v>1144</v>
      </c>
      <c r="G209" s="368">
        <v>2000</v>
      </c>
      <c r="H209" s="368">
        <v>642</v>
      </c>
      <c r="I209" s="368">
        <v>2642</v>
      </c>
      <c r="K209" s="367">
        <v>0</v>
      </c>
      <c r="L209" s="350">
        <v>0.31</v>
      </c>
      <c r="M209" s="350">
        <v>3.5000000000000003E-2</v>
      </c>
      <c r="N209" s="351" t="str">
        <f t="shared" si="7"/>
        <v>2800014</v>
      </c>
      <c r="P209" s="351" t="str">
        <f t="shared" ref="P209:P272" si="8">IF((E209-F209)/C209=I209,"T","F")</f>
        <v>T</v>
      </c>
    </row>
    <row r="210" spans="1:16" ht="23.25">
      <c r="A210" s="386" t="s">
        <v>73</v>
      </c>
      <c r="B210" s="387">
        <v>28000</v>
      </c>
      <c r="C210" s="365">
        <v>16</v>
      </c>
      <c r="D210" s="366">
        <v>11579</v>
      </c>
      <c r="E210" s="366">
        <v>39579</v>
      </c>
      <c r="F210" s="366">
        <v>1307</v>
      </c>
      <c r="G210" s="366">
        <v>1750</v>
      </c>
      <c r="H210" s="366">
        <v>642</v>
      </c>
      <c r="I210" s="366">
        <v>2392</v>
      </c>
      <c r="K210" s="365">
        <v>0</v>
      </c>
      <c r="L210" s="350">
        <v>0.31</v>
      </c>
      <c r="M210" s="350">
        <v>3.5000000000000003E-2</v>
      </c>
      <c r="N210" s="351" t="str">
        <f t="shared" si="7"/>
        <v>2800016</v>
      </c>
      <c r="P210" s="351" t="str">
        <f t="shared" si="8"/>
        <v>T</v>
      </c>
    </row>
    <row r="211" spans="1:16" ht="24" thickBot="1">
      <c r="A211" s="386" t="s">
        <v>73</v>
      </c>
      <c r="B211" s="387">
        <v>28000</v>
      </c>
      <c r="C211" s="367">
        <v>18</v>
      </c>
      <c r="D211" s="368">
        <v>13034</v>
      </c>
      <c r="E211" s="368">
        <v>41034</v>
      </c>
      <c r="F211" s="368">
        <v>1470</v>
      </c>
      <c r="G211" s="368">
        <v>1556</v>
      </c>
      <c r="H211" s="372">
        <v>642</v>
      </c>
      <c r="I211" s="368">
        <v>2198</v>
      </c>
      <c r="K211" s="367">
        <v>0</v>
      </c>
      <c r="L211" s="350">
        <v>0.31</v>
      </c>
      <c r="M211" s="350">
        <v>3.5000000000000003E-2</v>
      </c>
      <c r="N211" s="351" t="str">
        <f t="shared" si="7"/>
        <v>2800018</v>
      </c>
      <c r="P211" s="351" t="str">
        <f t="shared" si="8"/>
        <v>T</v>
      </c>
    </row>
    <row r="212" spans="1:16" ht="24" thickTop="1">
      <c r="A212" s="355" t="s">
        <v>73</v>
      </c>
      <c r="B212" s="356">
        <v>29000</v>
      </c>
      <c r="C212" s="396">
        <v>4</v>
      </c>
      <c r="D212" s="397">
        <v>2999</v>
      </c>
      <c r="E212" s="397">
        <v>31999</v>
      </c>
      <c r="F212" s="397">
        <v>339</v>
      </c>
      <c r="G212" s="397">
        <v>7250</v>
      </c>
      <c r="H212" s="397">
        <v>665</v>
      </c>
      <c r="I212" s="397">
        <v>7915</v>
      </c>
      <c r="K212" s="396">
        <v>0</v>
      </c>
      <c r="L212" s="350">
        <v>0.31</v>
      </c>
      <c r="M212" s="350">
        <v>3.5000000000000003E-2</v>
      </c>
      <c r="N212" s="351" t="str">
        <f t="shared" si="7"/>
        <v>290004</v>
      </c>
      <c r="P212" s="351" t="str">
        <f t="shared" si="8"/>
        <v>T</v>
      </c>
    </row>
    <row r="213" spans="1:16" ht="23.25">
      <c r="A213" s="360" t="s">
        <v>73</v>
      </c>
      <c r="B213" s="361">
        <v>29000</v>
      </c>
      <c r="C213" s="365">
        <v>6</v>
      </c>
      <c r="D213" s="366">
        <v>4496</v>
      </c>
      <c r="E213" s="366">
        <v>33496</v>
      </c>
      <c r="F213" s="366">
        <v>508</v>
      </c>
      <c r="G213" s="366">
        <v>4834</v>
      </c>
      <c r="H213" s="366">
        <v>664</v>
      </c>
      <c r="I213" s="366">
        <v>5498</v>
      </c>
      <c r="K213" s="365">
        <v>0</v>
      </c>
      <c r="L213" s="350">
        <v>0.31</v>
      </c>
      <c r="M213" s="350">
        <v>3.5000000000000003E-2</v>
      </c>
      <c r="N213" s="351" t="str">
        <f t="shared" si="7"/>
        <v>290006</v>
      </c>
      <c r="P213" s="351" t="str">
        <f t="shared" si="8"/>
        <v>T</v>
      </c>
    </row>
    <row r="214" spans="1:16" ht="23.25">
      <c r="A214" s="360" t="s">
        <v>73</v>
      </c>
      <c r="B214" s="361">
        <v>29000</v>
      </c>
      <c r="C214" s="367">
        <v>8</v>
      </c>
      <c r="D214" s="368">
        <v>5997</v>
      </c>
      <c r="E214" s="368">
        <v>34997</v>
      </c>
      <c r="F214" s="368">
        <v>677</v>
      </c>
      <c r="G214" s="368">
        <v>3625</v>
      </c>
      <c r="H214" s="364">
        <v>665</v>
      </c>
      <c r="I214" s="368">
        <v>4290</v>
      </c>
      <c r="K214" s="367">
        <v>0</v>
      </c>
      <c r="L214" s="350">
        <v>0.31</v>
      </c>
      <c r="M214" s="350">
        <v>3.5000000000000003E-2</v>
      </c>
      <c r="N214" s="351" t="str">
        <f t="shared" si="7"/>
        <v>290008</v>
      </c>
      <c r="P214" s="351" t="str">
        <f t="shared" si="8"/>
        <v>T</v>
      </c>
    </row>
    <row r="215" spans="1:16" ht="23.25">
      <c r="A215" s="360" t="s">
        <v>73</v>
      </c>
      <c r="B215" s="361">
        <v>29000</v>
      </c>
      <c r="C215" s="365">
        <v>10</v>
      </c>
      <c r="D215" s="366">
        <v>7496</v>
      </c>
      <c r="E215" s="366">
        <v>36496</v>
      </c>
      <c r="F215" s="366">
        <v>846</v>
      </c>
      <c r="G215" s="366">
        <v>2900</v>
      </c>
      <c r="H215" s="366">
        <v>665</v>
      </c>
      <c r="I215" s="366">
        <v>3565</v>
      </c>
      <c r="K215" s="365">
        <v>0</v>
      </c>
      <c r="L215" s="350">
        <v>0.31</v>
      </c>
      <c r="M215" s="350">
        <v>3.5000000000000003E-2</v>
      </c>
      <c r="N215" s="351" t="str">
        <f t="shared" si="7"/>
        <v>2900010</v>
      </c>
      <c r="P215" s="351" t="str">
        <f t="shared" si="8"/>
        <v>T</v>
      </c>
    </row>
    <row r="216" spans="1:16" ht="23.25">
      <c r="A216" s="360" t="s">
        <v>73</v>
      </c>
      <c r="B216" s="361">
        <v>29000</v>
      </c>
      <c r="C216" s="367">
        <v>12</v>
      </c>
      <c r="D216" s="368">
        <v>8999</v>
      </c>
      <c r="E216" s="368">
        <v>37999</v>
      </c>
      <c r="F216" s="368">
        <v>1015</v>
      </c>
      <c r="G216" s="368">
        <v>2417</v>
      </c>
      <c r="H216" s="368">
        <v>665</v>
      </c>
      <c r="I216" s="368">
        <v>3082</v>
      </c>
      <c r="K216" s="367">
        <v>0</v>
      </c>
      <c r="L216" s="350">
        <v>0.31</v>
      </c>
      <c r="M216" s="350">
        <v>3.5000000000000003E-2</v>
      </c>
      <c r="N216" s="351" t="str">
        <f t="shared" si="7"/>
        <v>2900012</v>
      </c>
      <c r="P216" s="351" t="str">
        <f t="shared" si="8"/>
        <v>T</v>
      </c>
    </row>
    <row r="217" spans="1:16" ht="23.25">
      <c r="A217" s="360" t="s">
        <v>73</v>
      </c>
      <c r="B217" s="361">
        <v>29000</v>
      </c>
      <c r="C217" s="365">
        <v>14</v>
      </c>
      <c r="D217" s="366">
        <v>10503</v>
      </c>
      <c r="E217" s="366">
        <v>39503</v>
      </c>
      <c r="F217" s="366">
        <v>1185</v>
      </c>
      <c r="G217" s="366">
        <v>2072</v>
      </c>
      <c r="H217" s="366">
        <v>665</v>
      </c>
      <c r="I217" s="366">
        <v>2737</v>
      </c>
      <c r="K217" s="365">
        <v>0</v>
      </c>
      <c r="L217" s="350">
        <v>0.31</v>
      </c>
      <c r="M217" s="350">
        <v>3.5000000000000003E-2</v>
      </c>
      <c r="N217" s="351" t="str">
        <f t="shared" si="7"/>
        <v>2900014</v>
      </c>
      <c r="P217" s="351" t="str">
        <f t="shared" si="8"/>
        <v>T</v>
      </c>
    </row>
    <row r="218" spans="1:16" ht="23.25">
      <c r="A218" s="360" t="s">
        <v>73</v>
      </c>
      <c r="B218" s="361">
        <v>29000</v>
      </c>
      <c r="C218" s="367">
        <v>16</v>
      </c>
      <c r="D218" s="368">
        <v>12002</v>
      </c>
      <c r="E218" s="368">
        <v>41002</v>
      </c>
      <c r="F218" s="368">
        <v>1354</v>
      </c>
      <c r="G218" s="368">
        <v>1813</v>
      </c>
      <c r="H218" s="368">
        <v>665</v>
      </c>
      <c r="I218" s="368">
        <v>2478</v>
      </c>
      <c r="K218" s="367">
        <v>0</v>
      </c>
      <c r="L218" s="350">
        <v>0.31</v>
      </c>
      <c r="M218" s="350">
        <v>3.5000000000000003E-2</v>
      </c>
      <c r="N218" s="351" t="str">
        <f t="shared" si="7"/>
        <v>2900016</v>
      </c>
      <c r="P218" s="351" t="str">
        <f t="shared" si="8"/>
        <v>T</v>
      </c>
    </row>
    <row r="219" spans="1:16" ht="24" thickBot="1">
      <c r="A219" s="360" t="s">
        <v>73</v>
      </c>
      <c r="B219" s="361">
        <v>29000</v>
      </c>
      <c r="C219" s="365">
        <v>18</v>
      </c>
      <c r="D219" s="366">
        <v>13491</v>
      </c>
      <c r="E219" s="366">
        <v>42491</v>
      </c>
      <c r="F219" s="366">
        <v>1523</v>
      </c>
      <c r="G219" s="366">
        <v>1612</v>
      </c>
      <c r="H219" s="366">
        <v>664</v>
      </c>
      <c r="I219" s="366">
        <v>2276</v>
      </c>
      <c r="K219" s="365">
        <v>0</v>
      </c>
      <c r="L219" s="350">
        <v>0.31</v>
      </c>
      <c r="M219" s="350">
        <v>3.5000000000000003E-2</v>
      </c>
      <c r="N219" s="351" t="str">
        <f t="shared" si="7"/>
        <v>2900018</v>
      </c>
      <c r="P219" s="351" t="str">
        <f t="shared" si="8"/>
        <v>T</v>
      </c>
    </row>
    <row r="220" spans="1:16" ht="24" thickTop="1">
      <c r="A220" s="384" t="s">
        <v>73</v>
      </c>
      <c r="B220" s="385">
        <v>30000</v>
      </c>
      <c r="C220" s="357">
        <v>4</v>
      </c>
      <c r="D220" s="358">
        <v>3102</v>
      </c>
      <c r="E220" s="358">
        <v>33102</v>
      </c>
      <c r="F220" s="358">
        <v>350</v>
      </c>
      <c r="G220" s="358">
        <v>7500</v>
      </c>
      <c r="H220" s="358">
        <v>688</v>
      </c>
      <c r="I220" s="358">
        <v>8188</v>
      </c>
      <c r="K220" s="357">
        <v>0</v>
      </c>
      <c r="L220" s="350">
        <v>0.31</v>
      </c>
      <c r="M220" s="350">
        <v>3.5000000000000003E-2</v>
      </c>
      <c r="N220" s="351" t="str">
        <f t="shared" si="7"/>
        <v>300004</v>
      </c>
      <c r="P220" s="351" t="str">
        <f t="shared" si="8"/>
        <v>T</v>
      </c>
    </row>
    <row r="221" spans="1:16" ht="23.25">
      <c r="A221" s="386" t="s">
        <v>73</v>
      </c>
      <c r="B221" s="387">
        <v>30000</v>
      </c>
      <c r="C221" s="388">
        <v>6</v>
      </c>
      <c r="D221" s="364">
        <v>4653</v>
      </c>
      <c r="E221" s="364">
        <v>34653</v>
      </c>
      <c r="F221" s="364">
        <v>525</v>
      </c>
      <c r="G221" s="364">
        <v>5000</v>
      </c>
      <c r="H221" s="364">
        <v>688</v>
      </c>
      <c r="I221" s="364">
        <v>5688</v>
      </c>
      <c r="K221" s="388">
        <v>0</v>
      </c>
      <c r="L221" s="350">
        <v>0.31</v>
      </c>
      <c r="M221" s="350">
        <v>3.5000000000000003E-2</v>
      </c>
      <c r="N221" s="351" t="str">
        <f t="shared" si="7"/>
        <v>300006</v>
      </c>
      <c r="P221" s="351" t="str">
        <f t="shared" si="8"/>
        <v>T</v>
      </c>
    </row>
    <row r="222" spans="1:16" ht="23.25">
      <c r="A222" s="386" t="s">
        <v>73</v>
      </c>
      <c r="B222" s="387">
        <v>30000</v>
      </c>
      <c r="C222" s="365">
        <v>8</v>
      </c>
      <c r="D222" s="366">
        <v>6204</v>
      </c>
      <c r="E222" s="366">
        <v>36204</v>
      </c>
      <c r="F222" s="366">
        <v>700</v>
      </c>
      <c r="G222" s="366">
        <v>3750</v>
      </c>
      <c r="H222" s="366">
        <v>688</v>
      </c>
      <c r="I222" s="366">
        <v>4438</v>
      </c>
      <c r="K222" s="365">
        <v>0</v>
      </c>
      <c r="L222" s="350">
        <v>0.31</v>
      </c>
      <c r="M222" s="350">
        <v>3.5000000000000003E-2</v>
      </c>
      <c r="N222" s="351" t="str">
        <f t="shared" si="7"/>
        <v>300008</v>
      </c>
      <c r="P222" s="351" t="str">
        <f t="shared" si="8"/>
        <v>T</v>
      </c>
    </row>
    <row r="223" spans="1:16" ht="23.25">
      <c r="A223" s="386" t="s">
        <v>73</v>
      </c>
      <c r="B223" s="387">
        <v>30000</v>
      </c>
      <c r="C223" s="367">
        <v>10</v>
      </c>
      <c r="D223" s="368">
        <v>7755</v>
      </c>
      <c r="E223" s="368">
        <v>37755</v>
      </c>
      <c r="F223" s="368">
        <v>875</v>
      </c>
      <c r="G223" s="368">
        <v>3000</v>
      </c>
      <c r="H223" s="368">
        <v>688</v>
      </c>
      <c r="I223" s="368">
        <v>3688</v>
      </c>
      <c r="K223" s="367">
        <v>0</v>
      </c>
      <c r="L223" s="350">
        <v>0.31</v>
      </c>
      <c r="M223" s="350">
        <v>3.5000000000000003E-2</v>
      </c>
      <c r="N223" s="351" t="str">
        <f t="shared" si="7"/>
        <v>3000010</v>
      </c>
      <c r="P223" s="351" t="str">
        <f t="shared" si="8"/>
        <v>T</v>
      </c>
    </row>
    <row r="224" spans="1:16" ht="23.25">
      <c r="A224" s="386" t="s">
        <v>73</v>
      </c>
      <c r="B224" s="387">
        <v>30000</v>
      </c>
      <c r="C224" s="365">
        <v>12</v>
      </c>
      <c r="D224" s="366">
        <v>9306</v>
      </c>
      <c r="E224" s="366">
        <v>39306</v>
      </c>
      <c r="F224" s="366">
        <v>1050</v>
      </c>
      <c r="G224" s="366">
        <v>2500</v>
      </c>
      <c r="H224" s="366">
        <v>688</v>
      </c>
      <c r="I224" s="366">
        <v>3188</v>
      </c>
      <c r="K224" s="365">
        <v>0</v>
      </c>
      <c r="L224" s="350">
        <v>0.31</v>
      </c>
      <c r="M224" s="350">
        <v>3.5000000000000003E-2</v>
      </c>
      <c r="N224" s="351" t="str">
        <f t="shared" si="7"/>
        <v>3000012</v>
      </c>
      <c r="P224" s="351" t="str">
        <f t="shared" si="8"/>
        <v>T</v>
      </c>
    </row>
    <row r="225" spans="1:16" ht="23.25">
      <c r="A225" s="386" t="s">
        <v>73</v>
      </c>
      <c r="B225" s="387">
        <v>30000</v>
      </c>
      <c r="C225" s="367">
        <v>14</v>
      </c>
      <c r="D225" s="368">
        <v>10859</v>
      </c>
      <c r="E225" s="368">
        <v>40859</v>
      </c>
      <c r="F225" s="368">
        <v>1225</v>
      </c>
      <c r="G225" s="368">
        <v>2143</v>
      </c>
      <c r="H225" s="368">
        <v>688</v>
      </c>
      <c r="I225" s="368">
        <v>2831</v>
      </c>
      <c r="K225" s="367">
        <v>0</v>
      </c>
      <c r="L225" s="350">
        <v>0.31</v>
      </c>
      <c r="M225" s="350">
        <v>3.5000000000000003E-2</v>
      </c>
      <c r="N225" s="351" t="str">
        <f t="shared" si="7"/>
        <v>3000014</v>
      </c>
      <c r="P225" s="351" t="str">
        <f t="shared" si="8"/>
        <v>T</v>
      </c>
    </row>
    <row r="226" spans="1:16" ht="23.25">
      <c r="A226" s="386" t="s">
        <v>73</v>
      </c>
      <c r="B226" s="387">
        <v>30000</v>
      </c>
      <c r="C226" s="365">
        <v>16</v>
      </c>
      <c r="D226" s="366">
        <v>12408</v>
      </c>
      <c r="E226" s="366">
        <v>42408</v>
      </c>
      <c r="F226" s="366">
        <v>1400</v>
      </c>
      <c r="G226" s="366">
        <v>1875</v>
      </c>
      <c r="H226" s="366">
        <v>688</v>
      </c>
      <c r="I226" s="366">
        <v>2563</v>
      </c>
      <c r="K226" s="365">
        <v>0</v>
      </c>
      <c r="L226" s="350">
        <v>0.31</v>
      </c>
      <c r="M226" s="350">
        <v>3.5000000000000003E-2</v>
      </c>
      <c r="N226" s="351" t="str">
        <f t="shared" si="7"/>
        <v>3000016</v>
      </c>
      <c r="P226" s="351" t="str">
        <f t="shared" si="8"/>
        <v>T</v>
      </c>
    </row>
    <row r="227" spans="1:16" ht="24" thickBot="1">
      <c r="A227" s="386" t="s">
        <v>73</v>
      </c>
      <c r="B227" s="387">
        <v>30000</v>
      </c>
      <c r="C227" s="367">
        <v>18</v>
      </c>
      <c r="D227" s="368">
        <v>13965</v>
      </c>
      <c r="E227" s="368">
        <v>43965</v>
      </c>
      <c r="F227" s="368">
        <v>1575</v>
      </c>
      <c r="G227" s="368">
        <v>1667</v>
      </c>
      <c r="H227" s="372">
        <v>688</v>
      </c>
      <c r="I227" s="368">
        <v>2355</v>
      </c>
      <c r="K227" s="367">
        <v>0</v>
      </c>
      <c r="L227" s="350">
        <v>0.31</v>
      </c>
      <c r="M227" s="350">
        <v>3.5000000000000003E-2</v>
      </c>
      <c r="N227" s="351" t="str">
        <f t="shared" si="7"/>
        <v>3000018</v>
      </c>
      <c r="P227" s="351" t="str">
        <f t="shared" si="8"/>
        <v>T</v>
      </c>
    </row>
    <row r="228" spans="1:16" ht="24" thickTop="1">
      <c r="A228" s="355" t="s">
        <v>73</v>
      </c>
      <c r="B228" s="356">
        <v>31000</v>
      </c>
      <c r="C228" s="396">
        <v>4</v>
      </c>
      <c r="D228" s="397">
        <v>3206</v>
      </c>
      <c r="E228" s="397">
        <v>34206</v>
      </c>
      <c r="F228" s="397">
        <v>362</v>
      </c>
      <c r="G228" s="397">
        <v>7750</v>
      </c>
      <c r="H228" s="397">
        <v>711</v>
      </c>
      <c r="I228" s="397">
        <v>8461</v>
      </c>
      <c r="K228" s="396">
        <v>0</v>
      </c>
      <c r="L228" s="350">
        <v>0.31</v>
      </c>
      <c r="M228" s="350">
        <v>3.5000000000000003E-2</v>
      </c>
      <c r="N228" s="351" t="str">
        <f t="shared" si="7"/>
        <v>310004</v>
      </c>
      <c r="P228" s="351" t="str">
        <f t="shared" si="8"/>
        <v>T</v>
      </c>
    </row>
    <row r="229" spans="1:16" ht="23.25">
      <c r="A229" s="360" t="s">
        <v>73</v>
      </c>
      <c r="B229" s="361">
        <v>31000</v>
      </c>
      <c r="C229" s="365">
        <v>6</v>
      </c>
      <c r="D229" s="366">
        <v>4811</v>
      </c>
      <c r="E229" s="366">
        <v>35811</v>
      </c>
      <c r="F229" s="366">
        <v>543</v>
      </c>
      <c r="G229" s="366">
        <v>5167</v>
      </c>
      <c r="H229" s="366">
        <v>711</v>
      </c>
      <c r="I229" s="366">
        <v>5878</v>
      </c>
      <c r="K229" s="365">
        <v>0</v>
      </c>
      <c r="L229" s="350">
        <v>0.31</v>
      </c>
      <c r="M229" s="350">
        <v>3.5000000000000003E-2</v>
      </c>
      <c r="N229" s="351" t="str">
        <f t="shared" si="7"/>
        <v>310006</v>
      </c>
      <c r="P229" s="351" t="str">
        <f t="shared" si="8"/>
        <v>T</v>
      </c>
    </row>
    <row r="230" spans="1:16" ht="23.25">
      <c r="A230" s="360" t="s">
        <v>73</v>
      </c>
      <c r="B230" s="361">
        <v>31000</v>
      </c>
      <c r="C230" s="367">
        <v>8</v>
      </c>
      <c r="D230" s="368">
        <v>6412</v>
      </c>
      <c r="E230" s="368">
        <v>37412</v>
      </c>
      <c r="F230" s="368">
        <v>724</v>
      </c>
      <c r="G230" s="368">
        <v>3875</v>
      </c>
      <c r="H230" s="364">
        <v>711</v>
      </c>
      <c r="I230" s="368">
        <v>4586</v>
      </c>
      <c r="K230" s="367">
        <v>0</v>
      </c>
      <c r="L230" s="350">
        <v>0.31</v>
      </c>
      <c r="M230" s="350">
        <v>3.5000000000000003E-2</v>
      </c>
      <c r="N230" s="351" t="str">
        <f t="shared" si="7"/>
        <v>310008</v>
      </c>
      <c r="P230" s="351" t="str">
        <f t="shared" si="8"/>
        <v>T</v>
      </c>
    </row>
    <row r="231" spans="1:16" ht="23.25">
      <c r="A231" s="360" t="s">
        <v>73</v>
      </c>
      <c r="B231" s="361">
        <v>31000</v>
      </c>
      <c r="C231" s="365">
        <v>10</v>
      </c>
      <c r="D231" s="366">
        <v>8015</v>
      </c>
      <c r="E231" s="366">
        <v>39015</v>
      </c>
      <c r="F231" s="366">
        <v>905</v>
      </c>
      <c r="G231" s="366">
        <v>3100</v>
      </c>
      <c r="H231" s="366">
        <v>711</v>
      </c>
      <c r="I231" s="366">
        <v>3811</v>
      </c>
      <c r="K231" s="365">
        <v>0</v>
      </c>
      <c r="L231" s="350">
        <v>0.31</v>
      </c>
      <c r="M231" s="350">
        <v>3.5000000000000003E-2</v>
      </c>
      <c r="N231" s="351" t="str">
        <f t="shared" si="7"/>
        <v>3100010</v>
      </c>
      <c r="P231" s="351" t="str">
        <f t="shared" si="8"/>
        <v>T</v>
      </c>
    </row>
    <row r="232" spans="1:16" ht="23.25">
      <c r="A232" s="360" t="s">
        <v>73</v>
      </c>
      <c r="B232" s="361">
        <v>31000</v>
      </c>
      <c r="C232" s="367">
        <v>12</v>
      </c>
      <c r="D232" s="368">
        <v>9613</v>
      </c>
      <c r="E232" s="368">
        <v>40613</v>
      </c>
      <c r="F232" s="368">
        <v>1085</v>
      </c>
      <c r="G232" s="368">
        <v>2584</v>
      </c>
      <c r="H232" s="368">
        <v>710</v>
      </c>
      <c r="I232" s="368">
        <v>3294</v>
      </c>
      <c r="K232" s="367">
        <v>0</v>
      </c>
      <c r="L232" s="350">
        <v>0.31</v>
      </c>
      <c r="M232" s="350">
        <v>3.5000000000000003E-2</v>
      </c>
      <c r="N232" s="351" t="str">
        <f t="shared" si="7"/>
        <v>3100012</v>
      </c>
      <c r="P232" s="351" t="str">
        <f t="shared" si="8"/>
        <v>T</v>
      </c>
    </row>
    <row r="233" spans="1:16" ht="23.25">
      <c r="A233" s="360" t="s">
        <v>73</v>
      </c>
      <c r="B233" s="361">
        <v>31000</v>
      </c>
      <c r="C233" s="365">
        <v>14</v>
      </c>
      <c r="D233" s="366">
        <v>11216</v>
      </c>
      <c r="E233" s="366">
        <v>42216</v>
      </c>
      <c r="F233" s="366">
        <v>1266</v>
      </c>
      <c r="G233" s="366">
        <v>2215</v>
      </c>
      <c r="H233" s="366">
        <v>710</v>
      </c>
      <c r="I233" s="366">
        <v>2925</v>
      </c>
      <c r="K233" s="365">
        <v>0</v>
      </c>
      <c r="L233" s="350">
        <v>0.31</v>
      </c>
      <c r="M233" s="350">
        <v>3.5000000000000003E-2</v>
      </c>
      <c r="N233" s="351" t="str">
        <f t="shared" si="7"/>
        <v>3100014</v>
      </c>
      <c r="P233" s="351" t="str">
        <f t="shared" si="8"/>
        <v>T</v>
      </c>
    </row>
    <row r="234" spans="1:16" ht="23.25">
      <c r="A234" s="360" t="s">
        <v>73</v>
      </c>
      <c r="B234" s="361">
        <v>31000</v>
      </c>
      <c r="C234" s="367">
        <v>16</v>
      </c>
      <c r="D234" s="368">
        <v>12815</v>
      </c>
      <c r="E234" s="368">
        <v>43815</v>
      </c>
      <c r="F234" s="368">
        <v>1447</v>
      </c>
      <c r="G234" s="368">
        <v>1938</v>
      </c>
      <c r="H234" s="368">
        <v>710</v>
      </c>
      <c r="I234" s="368">
        <v>2648</v>
      </c>
      <c r="K234" s="367">
        <v>0</v>
      </c>
      <c r="L234" s="350">
        <v>0.31</v>
      </c>
      <c r="M234" s="350">
        <v>3.5000000000000003E-2</v>
      </c>
      <c r="N234" s="351" t="str">
        <f t="shared" si="7"/>
        <v>3100016</v>
      </c>
      <c r="P234" s="351" t="str">
        <f t="shared" si="8"/>
        <v>T</v>
      </c>
    </row>
    <row r="235" spans="1:16" ht="24" thickBot="1">
      <c r="A235" s="360" t="s">
        <v>73</v>
      </c>
      <c r="B235" s="361">
        <v>31000</v>
      </c>
      <c r="C235" s="365">
        <v>18</v>
      </c>
      <c r="D235" s="366">
        <v>14422</v>
      </c>
      <c r="E235" s="366">
        <v>45422</v>
      </c>
      <c r="F235" s="366">
        <v>1628</v>
      </c>
      <c r="G235" s="366">
        <v>1723</v>
      </c>
      <c r="H235" s="366">
        <v>710</v>
      </c>
      <c r="I235" s="366">
        <v>2433</v>
      </c>
      <c r="K235" s="365">
        <v>0</v>
      </c>
      <c r="L235" s="350">
        <v>0.31</v>
      </c>
      <c r="M235" s="350">
        <v>3.5000000000000003E-2</v>
      </c>
      <c r="N235" s="351" t="str">
        <f t="shared" si="7"/>
        <v>3100018</v>
      </c>
      <c r="P235" s="351" t="str">
        <f t="shared" si="8"/>
        <v>T</v>
      </c>
    </row>
    <row r="236" spans="1:16" ht="24" thickTop="1">
      <c r="A236" s="384" t="s">
        <v>73</v>
      </c>
      <c r="B236" s="385">
        <v>32000</v>
      </c>
      <c r="C236" s="357">
        <v>4</v>
      </c>
      <c r="D236" s="358">
        <v>3310</v>
      </c>
      <c r="E236" s="358">
        <v>35310</v>
      </c>
      <c r="F236" s="358">
        <v>374</v>
      </c>
      <c r="G236" s="358">
        <v>8000</v>
      </c>
      <c r="H236" s="358">
        <v>734</v>
      </c>
      <c r="I236" s="358">
        <v>8734</v>
      </c>
      <c r="K236" s="357">
        <v>0</v>
      </c>
      <c r="L236" s="350">
        <v>0.31</v>
      </c>
      <c r="M236" s="350">
        <v>3.5000000000000003E-2</v>
      </c>
      <c r="N236" s="351" t="str">
        <f t="shared" si="7"/>
        <v>320004</v>
      </c>
      <c r="P236" s="351" t="str">
        <f t="shared" si="8"/>
        <v>T</v>
      </c>
    </row>
    <row r="237" spans="1:16" ht="23.25">
      <c r="A237" s="386" t="s">
        <v>73</v>
      </c>
      <c r="B237" s="387">
        <v>32000</v>
      </c>
      <c r="C237" s="388">
        <v>6</v>
      </c>
      <c r="D237" s="364">
        <v>4962</v>
      </c>
      <c r="E237" s="364">
        <v>36962</v>
      </c>
      <c r="F237" s="364">
        <v>560</v>
      </c>
      <c r="G237" s="364">
        <v>5334</v>
      </c>
      <c r="H237" s="364">
        <v>733</v>
      </c>
      <c r="I237" s="364">
        <v>6067</v>
      </c>
      <c r="K237" s="388">
        <v>0</v>
      </c>
      <c r="L237" s="350">
        <v>0.31</v>
      </c>
      <c r="M237" s="350">
        <v>3.5000000000000003E-2</v>
      </c>
      <c r="N237" s="351" t="str">
        <f t="shared" si="7"/>
        <v>320006</v>
      </c>
      <c r="P237" s="351" t="str">
        <f t="shared" si="8"/>
        <v>T</v>
      </c>
    </row>
    <row r="238" spans="1:16" ht="23.25">
      <c r="A238" s="386" t="s">
        <v>73</v>
      </c>
      <c r="B238" s="387">
        <v>32000</v>
      </c>
      <c r="C238" s="365">
        <v>8</v>
      </c>
      <c r="D238" s="366">
        <v>6619</v>
      </c>
      <c r="E238" s="366">
        <v>38619</v>
      </c>
      <c r="F238" s="366">
        <v>747</v>
      </c>
      <c r="G238" s="366">
        <v>4000</v>
      </c>
      <c r="H238" s="366">
        <v>734</v>
      </c>
      <c r="I238" s="366">
        <v>4734</v>
      </c>
      <c r="K238" s="365">
        <v>0</v>
      </c>
      <c r="L238" s="350">
        <v>0.31</v>
      </c>
      <c r="M238" s="350">
        <v>3.5000000000000003E-2</v>
      </c>
      <c r="N238" s="351" t="str">
        <f t="shared" si="7"/>
        <v>320008</v>
      </c>
      <c r="P238" s="351" t="str">
        <f t="shared" si="8"/>
        <v>T</v>
      </c>
    </row>
    <row r="239" spans="1:16" ht="23.25">
      <c r="A239" s="386" t="s">
        <v>73</v>
      </c>
      <c r="B239" s="387">
        <v>32000</v>
      </c>
      <c r="C239" s="367">
        <v>10</v>
      </c>
      <c r="D239" s="368">
        <v>8274</v>
      </c>
      <c r="E239" s="368">
        <v>40274</v>
      </c>
      <c r="F239" s="368">
        <v>934</v>
      </c>
      <c r="G239" s="368">
        <v>3200</v>
      </c>
      <c r="H239" s="368">
        <v>734</v>
      </c>
      <c r="I239" s="368">
        <v>3934</v>
      </c>
      <c r="K239" s="367">
        <v>0</v>
      </c>
      <c r="L239" s="350">
        <v>0.31</v>
      </c>
      <c r="M239" s="350">
        <v>3.5000000000000003E-2</v>
      </c>
      <c r="N239" s="351" t="str">
        <f t="shared" si="7"/>
        <v>3200010</v>
      </c>
      <c r="P239" s="351" t="str">
        <f t="shared" si="8"/>
        <v>T</v>
      </c>
    </row>
    <row r="240" spans="1:16" ht="23.25">
      <c r="A240" s="386" t="s">
        <v>73</v>
      </c>
      <c r="B240" s="387">
        <v>32000</v>
      </c>
      <c r="C240" s="365">
        <v>12</v>
      </c>
      <c r="D240" s="366">
        <v>9932</v>
      </c>
      <c r="E240" s="366">
        <v>41932</v>
      </c>
      <c r="F240" s="366">
        <v>1120</v>
      </c>
      <c r="G240" s="366">
        <v>2667</v>
      </c>
      <c r="H240" s="366">
        <v>734</v>
      </c>
      <c r="I240" s="366">
        <v>3401</v>
      </c>
      <c r="K240" s="365">
        <v>0</v>
      </c>
      <c r="L240" s="350">
        <v>0.31</v>
      </c>
      <c r="M240" s="350">
        <v>3.5000000000000003E-2</v>
      </c>
      <c r="N240" s="351" t="str">
        <f t="shared" si="7"/>
        <v>3200012</v>
      </c>
      <c r="P240" s="351" t="str">
        <f t="shared" si="8"/>
        <v>T</v>
      </c>
    </row>
    <row r="241" spans="1:16" ht="23.25">
      <c r="A241" s="386" t="s">
        <v>73</v>
      </c>
      <c r="B241" s="387">
        <v>32000</v>
      </c>
      <c r="C241" s="367">
        <v>14</v>
      </c>
      <c r="D241" s="368">
        <v>11587</v>
      </c>
      <c r="E241" s="368">
        <v>43587</v>
      </c>
      <c r="F241" s="368">
        <v>1307</v>
      </c>
      <c r="G241" s="368">
        <v>2286</v>
      </c>
      <c r="H241" s="368">
        <v>734</v>
      </c>
      <c r="I241" s="368">
        <v>3020</v>
      </c>
      <c r="K241" s="367">
        <v>0</v>
      </c>
      <c r="L241" s="350">
        <v>0.31</v>
      </c>
      <c r="M241" s="350">
        <v>3.5000000000000003E-2</v>
      </c>
      <c r="N241" s="351" t="str">
        <f t="shared" si="7"/>
        <v>3200014</v>
      </c>
      <c r="P241" s="351" t="str">
        <f t="shared" si="8"/>
        <v>T</v>
      </c>
    </row>
    <row r="242" spans="1:16" ht="23.25">
      <c r="A242" s="386" t="s">
        <v>73</v>
      </c>
      <c r="B242" s="387">
        <v>32000</v>
      </c>
      <c r="C242" s="365">
        <v>16</v>
      </c>
      <c r="D242" s="366">
        <v>13238</v>
      </c>
      <c r="E242" s="366">
        <v>45238</v>
      </c>
      <c r="F242" s="366">
        <v>1494</v>
      </c>
      <c r="G242" s="366">
        <v>2000</v>
      </c>
      <c r="H242" s="366">
        <v>734</v>
      </c>
      <c r="I242" s="366">
        <v>2734</v>
      </c>
      <c r="K242" s="365">
        <v>0</v>
      </c>
      <c r="L242" s="350">
        <v>0.31</v>
      </c>
      <c r="M242" s="350">
        <v>3.5000000000000003E-2</v>
      </c>
      <c r="N242" s="351" t="str">
        <f t="shared" si="7"/>
        <v>3200016</v>
      </c>
      <c r="P242" s="351" t="str">
        <f t="shared" si="8"/>
        <v>T</v>
      </c>
    </row>
    <row r="243" spans="1:16" ht="24" thickBot="1">
      <c r="A243" s="386" t="s">
        <v>73</v>
      </c>
      <c r="B243" s="387">
        <v>32000</v>
      </c>
      <c r="C243" s="367">
        <v>18</v>
      </c>
      <c r="D243" s="368">
        <v>14896</v>
      </c>
      <c r="E243" s="368">
        <v>46896</v>
      </c>
      <c r="F243" s="368">
        <v>1680</v>
      </c>
      <c r="G243" s="368">
        <v>1778</v>
      </c>
      <c r="H243" s="372">
        <v>734</v>
      </c>
      <c r="I243" s="368">
        <v>2512</v>
      </c>
      <c r="K243" s="367">
        <v>0</v>
      </c>
      <c r="L243" s="350">
        <v>0.31</v>
      </c>
      <c r="M243" s="350">
        <v>3.5000000000000003E-2</v>
      </c>
      <c r="N243" s="351" t="str">
        <f t="shared" si="7"/>
        <v>3200018</v>
      </c>
      <c r="P243" s="351" t="str">
        <f t="shared" si="8"/>
        <v>T</v>
      </c>
    </row>
    <row r="244" spans="1:16" ht="24" thickTop="1">
      <c r="A244" s="355" t="s">
        <v>73</v>
      </c>
      <c r="B244" s="356">
        <v>33000</v>
      </c>
      <c r="C244" s="396">
        <v>4</v>
      </c>
      <c r="D244" s="397">
        <v>3413</v>
      </c>
      <c r="E244" s="397">
        <v>36413</v>
      </c>
      <c r="F244" s="397">
        <v>385</v>
      </c>
      <c r="G244" s="397">
        <v>8250</v>
      </c>
      <c r="H244" s="397">
        <v>757</v>
      </c>
      <c r="I244" s="397">
        <v>9007</v>
      </c>
      <c r="K244" s="396">
        <v>0</v>
      </c>
      <c r="L244" s="350">
        <v>0.31</v>
      </c>
      <c r="M244" s="350">
        <v>3.5000000000000003E-2</v>
      </c>
      <c r="N244" s="351" t="str">
        <f t="shared" si="7"/>
        <v>330004</v>
      </c>
      <c r="P244" s="351" t="str">
        <f t="shared" si="8"/>
        <v>T</v>
      </c>
    </row>
    <row r="245" spans="1:16" ht="23.25">
      <c r="A245" s="360" t="s">
        <v>73</v>
      </c>
      <c r="B245" s="361">
        <v>33000</v>
      </c>
      <c r="C245" s="365">
        <v>6</v>
      </c>
      <c r="D245" s="366">
        <v>5120</v>
      </c>
      <c r="E245" s="366">
        <v>38120</v>
      </c>
      <c r="F245" s="366">
        <v>578</v>
      </c>
      <c r="G245" s="366">
        <v>5500</v>
      </c>
      <c r="H245" s="366">
        <v>757</v>
      </c>
      <c r="I245" s="366">
        <v>6257</v>
      </c>
      <c r="K245" s="365">
        <v>0</v>
      </c>
      <c r="L245" s="350">
        <v>0.31</v>
      </c>
      <c r="M245" s="350">
        <v>3.5000000000000003E-2</v>
      </c>
      <c r="N245" s="351" t="str">
        <f t="shared" si="7"/>
        <v>330006</v>
      </c>
      <c r="P245" s="351" t="str">
        <f t="shared" si="8"/>
        <v>T</v>
      </c>
    </row>
    <row r="246" spans="1:16" ht="23.25">
      <c r="A246" s="360" t="s">
        <v>73</v>
      </c>
      <c r="B246" s="361">
        <v>33000</v>
      </c>
      <c r="C246" s="367">
        <v>8</v>
      </c>
      <c r="D246" s="368">
        <v>6826</v>
      </c>
      <c r="E246" s="368">
        <v>39826</v>
      </c>
      <c r="F246" s="368">
        <v>770</v>
      </c>
      <c r="G246" s="368">
        <v>4125</v>
      </c>
      <c r="H246" s="364">
        <v>757</v>
      </c>
      <c r="I246" s="368">
        <v>4882</v>
      </c>
      <c r="K246" s="367">
        <v>0</v>
      </c>
      <c r="L246" s="350">
        <v>0.31</v>
      </c>
      <c r="M246" s="350">
        <v>3.5000000000000003E-2</v>
      </c>
      <c r="N246" s="351" t="str">
        <f t="shared" si="7"/>
        <v>330008</v>
      </c>
      <c r="P246" s="351" t="str">
        <f t="shared" si="8"/>
        <v>T</v>
      </c>
    </row>
    <row r="247" spans="1:16" ht="23.25">
      <c r="A247" s="360" t="s">
        <v>73</v>
      </c>
      <c r="B247" s="361">
        <v>33000</v>
      </c>
      <c r="C247" s="365">
        <v>10</v>
      </c>
      <c r="D247" s="366">
        <v>8533</v>
      </c>
      <c r="E247" s="366">
        <v>41533</v>
      </c>
      <c r="F247" s="366">
        <v>963</v>
      </c>
      <c r="G247" s="366">
        <v>3300</v>
      </c>
      <c r="H247" s="366">
        <v>757</v>
      </c>
      <c r="I247" s="366">
        <v>4057</v>
      </c>
      <c r="K247" s="365">
        <v>0</v>
      </c>
      <c r="L247" s="350">
        <v>0.31</v>
      </c>
      <c r="M247" s="350">
        <v>3.5000000000000003E-2</v>
      </c>
      <c r="N247" s="351" t="str">
        <f t="shared" si="7"/>
        <v>3300010</v>
      </c>
      <c r="P247" s="351" t="str">
        <f t="shared" si="8"/>
        <v>T</v>
      </c>
    </row>
    <row r="248" spans="1:16" ht="23.25">
      <c r="A248" s="360" t="s">
        <v>73</v>
      </c>
      <c r="B248" s="361">
        <v>33000</v>
      </c>
      <c r="C248" s="367">
        <v>12</v>
      </c>
      <c r="D248" s="368">
        <v>10239</v>
      </c>
      <c r="E248" s="368">
        <v>43239</v>
      </c>
      <c r="F248" s="368">
        <v>1155</v>
      </c>
      <c r="G248" s="368">
        <v>2750</v>
      </c>
      <c r="H248" s="368">
        <v>757</v>
      </c>
      <c r="I248" s="368">
        <v>3507</v>
      </c>
      <c r="K248" s="367">
        <v>0</v>
      </c>
      <c r="L248" s="350">
        <v>0.31</v>
      </c>
      <c r="M248" s="350">
        <v>3.5000000000000003E-2</v>
      </c>
      <c r="N248" s="351" t="str">
        <f t="shared" si="7"/>
        <v>3300012</v>
      </c>
      <c r="P248" s="351" t="str">
        <f t="shared" si="8"/>
        <v>T</v>
      </c>
    </row>
    <row r="249" spans="1:16" ht="23.25">
      <c r="A249" s="360" t="s">
        <v>73</v>
      </c>
      <c r="B249" s="361">
        <v>33000</v>
      </c>
      <c r="C249" s="365">
        <v>14</v>
      </c>
      <c r="D249" s="366">
        <v>11944</v>
      </c>
      <c r="E249" s="366">
        <v>44944</v>
      </c>
      <c r="F249" s="366">
        <v>1348</v>
      </c>
      <c r="G249" s="366">
        <v>2358</v>
      </c>
      <c r="H249" s="366">
        <v>756</v>
      </c>
      <c r="I249" s="366">
        <v>3114</v>
      </c>
      <c r="K249" s="365">
        <v>0</v>
      </c>
      <c r="L249" s="350">
        <v>0.31</v>
      </c>
      <c r="M249" s="350">
        <v>3.5000000000000003E-2</v>
      </c>
      <c r="N249" s="351" t="str">
        <f t="shared" si="7"/>
        <v>3300014</v>
      </c>
      <c r="P249" s="351" t="str">
        <f t="shared" si="8"/>
        <v>T</v>
      </c>
    </row>
    <row r="250" spans="1:16" ht="23.25">
      <c r="A250" s="360" t="s">
        <v>73</v>
      </c>
      <c r="B250" s="361">
        <v>33000</v>
      </c>
      <c r="C250" s="367">
        <v>16</v>
      </c>
      <c r="D250" s="368">
        <v>13644</v>
      </c>
      <c r="E250" s="368">
        <v>46644</v>
      </c>
      <c r="F250" s="368">
        <v>1540</v>
      </c>
      <c r="G250" s="368">
        <v>2063</v>
      </c>
      <c r="H250" s="368">
        <v>756</v>
      </c>
      <c r="I250" s="368">
        <v>2819</v>
      </c>
      <c r="K250" s="367">
        <v>0</v>
      </c>
      <c r="L250" s="350">
        <v>0.31</v>
      </c>
      <c r="M250" s="350">
        <v>3.5000000000000003E-2</v>
      </c>
      <c r="N250" s="351" t="str">
        <f t="shared" si="7"/>
        <v>3300016</v>
      </c>
      <c r="P250" s="351" t="str">
        <f t="shared" si="8"/>
        <v>T</v>
      </c>
    </row>
    <row r="251" spans="1:16" ht="24" thickBot="1">
      <c r="A251" s="360" t="s">
        <v>73</v>
      </c>
      <c r="B251" s="361">
        <v>33000</v>
      </c>
      <c r="C251" s="365">
        <v>18</v>
      </c>
      <c r="D251" s="366">
        <v>15353</v>
      </c>
      <c r="E251" s="366">
        <v>48353</v>
      </c>
      <c r="F251" s="366">
        <v>1733</v>
      </c>
      <c r="G251" s="366">
        <v>1834</v>
      </c>
      <c r="H251" s="366">
        <v>756</v>
      </c>
      <c r="I251" s="366">
        <v>2590</v>
      </c>
      <c r="K251" s="365">
        <v>0</v>
      </c>
      <c r="L251" s="350">
        <v>0.31</v>
      </c>
      <c r="M251" s="350">
        <v>3.5000000000000003E-2</v>
      </c>
      <c r="N251" s="351" t="str">
        <f t="shared" si="7"/>
        <v>3300018</v>
      </c>
      <c r="P251" s="351" t="str">
        <f t="shared" si="8"/>
        <v>T</v>
      </c>
    </row>
    <row r="252" spans="1:16" ht="24" thickTop="1">
      <c r="A252" s="384" t="s">
        <v>73</v>
      </c>
      <c r="B252" s="385">
        <v>34000</v>
      </c>
      <c r="C252" s="357">
        <v>4</v>
      </c>
      <c r="D252" s="358">
        <v>3517</v>
      </c>
      <c r="E252" s="358">
        <v>37517</v>
      </c>
      <c r="F252" s="358">
        <v>397</v>
      </c>
      <c r="G252" s="358">
        <v>8500</v>
      </c>
      <c r="H252" s="358">
        <v>780</v>
      </c>
      <c r="I252" s="358">
        <v>9280</v>
      </c>
      <c r="K252" s="357">
        <v>0</v>
      </c>
      <c r="L252" s="350">
        <v>0.31</v>
      </c>
      <c r="M252" s="350">
        <v>3.5000000000000003E-2</v>
      </c>
      <c r="N252" s="351" t="str">
        <f t="shared" si="7"/>
        <v>340004</v>
      </c>
      <c r="P252" s="351" t="str">
        <f t="shared" si="8"/>
        <v>T</v>
      </c>
    </row>
    <row r="253" spans="1:16" ht="23.25">
      <c r="A253" s="386" t="s">
        <v>73</v>
      </c>
      <c r="B253" s="387">
        <v>34000</v>
      </c>
      <c r="C253" s="388">
        <v>6</v>
      </c>
      <c r="D253" s="364">
        <v>5271</v>
      </c>
      <c r="E253" s="364">
        <v>39271</v>
      </c>
      <c r="F253" s="364">
        <v>595</v>
      </c>
      <c r="G253" s="364">
        <v>5667</v>
      </c>
      <c r="H253" s="364">
        <v>779</v>
      </c>
      <c r="I253" s="364">
        <v>6446</v>
      </c>
      <c r="K253" s="388">
        <v>0</v>
      </c>
      <c r="L253" s="350">
        <v>0.31</v>
      </c>
      <c r="M253" s="350">
        <v>3.5000000000000003E-2</v>
      </c>
      <c r="N253" s="351" t="str">
        <f t="shared" si="7"/>
        <v>340006</v>
      </c>
      <c r="P253" s="351" t="str">
        <f t="shared" si="8"/>
        <v>T</v>
      </c>
    </row>
    <row r="254" spans="1:16" ht="23.25">
      <c r="A254" s="386" t="s">
        <v>73</v>
      </c>
      <c r="B254" s="387">
        <v>34000</v>
      </c>
      <c r="C254" s="365">
        <v>8</v>
      </c>
      <c r="D254" s="366">
        <v>7034</v>
      </c>
      <c r="E254" s="366">
        <v>41034</v>
      </c>
      <c r="F254" s="366">
        <v>794</v>
      </c>
      <c r="G254" s="366">
        <v>4250</v>
      </c>
      <c r="H254" s="366">
        <v>780</v>
      </c>
      <c r="I254" s="366">
        <v>5030</v>
      </c>
      <c r="K254" s="365">
        <v>0</v>
      </c>
      <c r="L254" s="350">
        <v>0.31</v>
      </c>
      <c r="M254" s="350">
        <v>3.5000000000000003E-2</v>
      </c>
      <c r="N254" s="351" t="str">
        <f t="shared" si="7"/>
        <v>340008</v>
      </c>
      <c r="P254" s="351" t="str">
        <f t="shared" si="8"/>
        <v>T</v>
      </c>
    </row>
    <row r="255" spans="1:16" ht="23.25">
      <c r="A255" s="386" t="s">
        <v>73</v>
      </c>
      <c r="B255" s="387">
        <v>34000</v>
      </c>
      <c r="C255" s="367">
        <v>10</v>
      </c>
      <c r="D255" s="368">
        <v>8792</v>
      </c>
      <c r="E255" s="368">
        <v>42792</v>
      </c>
      <c r="F255" s="368">
        <v>992</v>
      </c>
      <c r="G255" s="368">
        <v>3400</v>
      </c>
      <c r="H255" s="368">
        <v>780</v>
      </c>
      <c r="I255" s="368">
        <v>4180</v>
      </c>
      <c r="K255" s="367">
        <v>0</v>
      </c>
      <c r="L255" s="350">
        <v>0.31</v>
      </c>
      <c r="M255" s="350">
        <v>3.5000000000000003E-2</v>
      </c>
      <c r="N255" s="351" t="str">
        <f t="shared" si="7"/>
        <v>3400010</v>
      </c>
      <c r="P255" s="351" t="str">
        <f t="shared" si="8"/>
        <v>T</v>
      </c>
    </row>
    <row r="256" spans="1:16" ht="23.25">
      <c r="A256" s="386" t="s">
        <v>73</v>
      </c>
      <c r="B256" s="387">
        <v>34000</v>
      </c>
      <c r="C256" s="365">
        <v>12</v>
      </c>
      <c r="D256" s="366">
        <v>10546</v>
      </c>
      <c r="E256" s="366">
        <v>44546</v>
      </c>
      <c r="F256" s="366">
        <v>1190</v>
      </c>
      <c r="G256" s="366">
        <v>2834</v>
      </c>
      <c r="H256" s="366">
        <v>779</v>
      </c>
      <c r="I256" s="366">
        <v>3613</v>
      </c>
      <c r="K256" s="365">
        <v>0</v>
      </c>
      <c r="L256" s="350">
        <v>0.31</v>
      </c>
      <c r="M256" s="350">
        <v>3.5000000000000003E-2</v>
      </c>
      <c r="N256" s="351" t="str">
        <f t="shared" si="7"/>
        <v>3400012</v>
      </c>
      <c r="P256" s="351" t="str">
        <f t="shared" si="8"/>
        <v>T</v>
      </c>
    </row>
    <row r="257" spans="1:16" ht="23.25">
      <c r="A257" s="386" t="s">
        <v>73</v>
      </c>
      <c r="B257" s="387">
        <v>34000</v>
      </c>
      <c r="C257" s="367">
        <v>14</v>
      </c>
      <c r="D257" s="368">
        <v>12301</v>
      </c>
      <c r="E257" s="368">
        <v>46301</v>
      </c>
      <c r="F257" s="368">
        <v>1389</v>
      </c>
      <c r="G257" s="368">
        <v>2429</v>
      </c>
      <c r="H257" s="368">
        <v>779</v>
      </c>
      <c r="I257" s="368">
        <v>3208</v>
      </c>
      <c r="K257" s="367">
        <v>0</v>
      </c>
      <c r="L257" s="350">
        <v>0.31</v>
      </c>
      <c r="M257" s="350">
        <v>3.5000000000000003E-2</v>
      </c>
      <c r="N257" s="351" t="str">
        <f t="shared" si="7"/>
        <v>3400014</v>
      </c>
      <c r="P257" s="351" t="str">
        <f t="shared" si="8"/>
        <v>T</v>
      </c>
    </row>
    <row r="258" spans="1:16" ht="23.25">
      <c r="A258" s="386" t="s">
        <v>73</v>
      </c>
      <c r="B258" s="387">
        <v>34000</v>
      </c>
      <c r="C258" s="365">
        <v>16</v>
      </c>
      <c r="D258" s="366">
        <v>14067</v>
      </c>
      <c r="E258" s="366">
        <v>48067</v>
      </c>
      <c r="F258" s="366">
        <v>1587</v>
      </c>
      <c r="G258" s="366">
        <v>2125</v>
      </c>
      <c r="H258" s="366">
        <v>780</v>
      </c>
      <c r="I258" s="366">
        <v>2905</v>
      </c>
      <c r="K258" s="365">
        <v>0</v>
      </c>
      <c r="L258" s="350">
        <v>0.31</v>
      </c>
      <c r="M258" s="350">
        <v>3.5000000000000003E-2</v>
      </c>
      <c r="N258" s="351" t="str">
        <f t="shared" si="7"/>
        <v>3400016</v>
      </c>
      <c r="P258" s="351" t="str">
        <f t="shared" si="8"/>
        <v>T</v>
      </c>
    </row>
    <row r="259" spans="1:16" ht="24" thickBot="1">
      <c r="A259" s="386" t="s">
        <v>73</v>
      </c>
      <c r="B259" s="387">
        <v>34000</v>
      </c>
      <c r="C259" s="367">
        <v>18</v>
      </c>
      <c r="D259" s="368">
        <v>15827</v>
      </c>
      <c r="E259" s="368">
        <v>49827</v>
      </c>
      <c r="F259" s="368">
        <v>1785</v>
      </c>
      <c r="G259" s="368">
        <v>1889</v>
      </c>
      <c r="H259" s="372">
        <v>780</v>
      </c>
      <c r="I259" s="368">
        <v>2669</v>
      </c>
      <c r="K259" s="367">
        <v>0</v>
      </c>
      <c r="L259" s="350">
        <v>0.31</v>
      </c>
      <c r="M259" s="350">
        <v>3.5000000000000003E-2</v>
      </c>
      <c r="N259" s="351" t="str">
        <f t="shared" si="7"/>
        <v>3400018</v>
      </c>
      <c r="P259" s="351" t="str">
        <f t="shared" si="8"/>
        <v>T</v>
      </c>
    </row>
    <row r="260" spans="1:16" ht="24" thickTop="1">
      <c r="A260" s="355" t="s">
        <v>73</v>
      </c>
      <c r="B260" s="356">
        <v>35000</v>
      </c>
      <c r="C260" s="396">
        <v>4</v>
      </c>
      <c r="D260" s="397">
        <v>3621</v>
      </c>
      <c r="E260" s="397">
        <v>38621</v>
      </c>
      <c r="F260" s="397">
        <v>409</v>
      </c>
      <c r="G260" s="397">
        <v>8750</v>
      </c>
      <c r="H260" s="397">
        <v>803</v>
      </c>
      <c r="I260" s="397">
        <v>9553</v>
      </c>
      <c r="K260" s="396">
        <v>0</v>
      </c>
      <c r="L260" s="350">
        <v>0.31</v>
      </c>
      <c r="M260" s="350">
        <v>3.5000000000000003E-2</v>
      </c>
      <c r="N260" s="351" t="str">
        <f t="shared" si="7"/>
        <v>350004</v>
      </c>
      <c r="P260" s="351" t="str">
        <f t="shared" si="8"/>
        <v>T</v>
      </c>
    </row>
    <row r="261" spans="1:16" ht="23.25">
      <c r="A261" s="360" t="s">
        <v>73</v>
      </c>
      <c r="B261" s="361">
        <v>35000</v>
      </c>
      <c r="C261" s="365">
        <v>6</v>
      </c>
      <c r="D261" s="366">
        <v>5429</v>
      </c>
      <c r="E261" s="366">
        <v>40429</v>
      </c>
      <c r="F261" s="366">
        <v>613</v>
      </c>
      <c r="G261" s="366">
        <v>5834</v>
      </c>
      <c r="H261" s="366">
        <v>802</v>
      </c>
      <c r="I261" s="366">
        <v>6636</v>
      </c>
      <c r="K261" s="365">
        <v>0</v>
      </c>
      <c r="L261" s="350">
        <v>0.31</v>
      </c>
      <c r="M261" s="350">
        <v>3.5000000000000003E-2</v>
      </c>
      <c r="N261" s="351" t="str">
        <f t="shared" ref="N261:N324" si="9">CONCATENATE(B261,C261)</f>
        <v>350006</v>
      </c>
      <c r="P261" s="351" t="str">
        <f t="shared" si="8"/>
        <v>T</v>
      </c>
    </row>
    <row r="262" spans="1:16" ht="23.25">
      <c r="A262" s="360" t="s">
        <v>73</v>
      </c>
      <c r="B262" s="361">
        <v>35000</v>
      </c>
      <c r="C262" s="367">
        <v>8</v>
      </c>
      <c r="D262" s="368">
        <v>7241</v>
      </c>
      <c r="E262" s="368">
        <v>42241</v>
      </c>
      <c r="F262" s="368">
        <v>817</v>
      </c>
      <c r="G262" s="368">
        <v>4375</v>
      </c>
      <c r="H262" s="364">
        <v>803</v>
      </c>
      <c r="I262" s="368">
        <v>5178</v>
      </c>
      <c r="K262" s="367">
        <v>0</v>
      </c>
      <c r="L262" s="350">
        <v>0.31</v>
      </c>
      <c r="M262" s="350">
        <v>3.5000000000000003E-2</v>
      </c>
      <c r="N262" s="351" t="str">
        <f t="shared" si="9"/>
        <v>350008</v>
      </c>
      <c r="P262" s="351" t="str">
        <f t="shared" si="8"/>
        <v>T</v>
      </c>
    </row>
    <row r="263" spans="1:16" ht="23.25">
      <c r="A263" s="360" t="s">
        <v>73</v>
      </c>
      <c r="B263" s="361">
        <v>35000</v>
      </c>
      <c r="C263" s="365">
        <v>10</v>
      </c>
      <c r="D263" s="366">
        <v>9051</v>
      </c>
      <c r="E263" s="366">
        <v>44051</v>
      </c>
      <c r="F263" s="366">
        <v>1021</v>
      </c>
      <c r="G263" s="366">
        <v>3500</v>
      </c>
      <c r="H263" s="366">
        <v>803</v>
      </c>
      <c r="I263" s="366">
        <v>4303</v>
      </c>
      <c r="K263" s="365">
        <v>0</v>
      </c>
      <c r="L263" s="350">
        <v>0.31</v>
      </c>
      <c r="M263" s="350">
        <v>3.5000000000000003E-2</v>
      </c>
      <c r="N263" s="351" t="str">
        <f t="shared" si="9"/>
        <v>3500010</v>
      </c>
      <c r="P263" s="351" t="str">
        <f t="shared" si="8"/>
        <v>T</v>
      </c>
    </row>
    <row r="264" spans="1:16" ht="23.25">
      <c r="A264" s="360" t="s">
        <v>73</v>
      </c>
      <c r="B264" s="361">
        <v>35000</v>
      </c>
      <c r="C264" s="367">
        <v>12</v>
      </c>
      <c r="D264" s="368">
        <v>10853</v>
      </c>
      <c r="E264" s="368">
        <v>45853</v>
      </c>
      <c r="F264" s="368">
        <v>1225</v>
      </c>
      <c r="G264" s="368">
        <v>2917</v>
      </c>
      <c r="H264" s="368">
        <v>802</v>
      </c>
      <c r="I264" s="368">
        <v>3719</v>
      </c>
      <c r="K264" s="367">
        <v>0</v>
      </c>
      <c r="L264" s="350">
        <v>0.31</v>
      </c>
      <c r="M264" s="350">
        <v>3.5000000000000003E-2</v>
      </c>
      <c r="N264" s="351" t="str">
        <f t="shared" si="9"/>
        <v>3500012</v>
      </c>
      <c r="P264" s="351" t="str">
        <f t="shared" si="8"/>
        <v>T</v>
      </c>
    </row>
    <row r="265" spans="1:16" ht="23.25">
      <c r="A265" s="360" t="s">
        <v>73</v>
      </c>
      <c r="B265" s="361">
        <v>35000</v>
      </c>
      <c r="C265" s="365">
        <v>14</v>
      </c>
      <c r="D265" s="366">
        <v>12672</v>
      </c>
      <c r="E265" s="366">
        <v>47672</v>
      </c>
      <c r="F265" s="366">
        <v>1430</v>
      </c>
      <c r="G265" s="366">
        <v>2500</v>
      </c>
      <c r="H265" s="366">
        <v>803</v>
      </c>
      <c r="I265" s="366">
        <v>3303</v>
      </c>
      <c r="K265" s="365">
        <v>0</v>
      </c>
      <c r="L265" s="350">
        <v>0.31</v>
      </c>
      <c r="M265" s="350">
        <v>3.5000000000000003E-2</v>
      </c>
      <c r="N265" s="351" t="str">
        <f t="shared" si="9"/>
        <v>3500014</v>
      </c>
      <c r="P265" s="351" t="str">
        <f t="shared" si="8"/>
        <v>T</v>
      </c>
    </row>
    <row r="266" spans="1:16" ht="23.25">
      <c r="A266" s="360" t="s">
        <v>73</v>
      </c>
      <c r="B266" s="361">
        <v>35000</v>
      </c>
      <c r="C266" s="367">
        <v>16</v>
      </c>
      <c r="D266" s="368">
        <v>14474</v>
      </c>
      <c r="E266" s="368">
        <v>49474</v>
      </c>
      <c r="F266" s="368">
        <v>1634</v>
      </c>
      <c r="G266" s="368">
        <v>2188</v>
      </c>
      <c r="H266" s="368">
        <v>802</v>
      </c>
      <c r="I266" s="368">
        <v>2990</v>
      </c>
      <c r="K266" s="367">
        <v>0</v>
      </c>
      <c r="L266" s="350">
        <v>0.31</v>
      </c>
      <c r="M266" s="350">
        <v>3.5000000000000003E-2</v>
      </c>
      <c r="N266" s="351" t="str">
        <f t="shared" si="9"/>
        <v>3500016</v>
      </c>
      <c r="P266" s="351" t="str">
        <f t="shared" si="8"/>
        <v>T</v>
      </c>
    </row>
    <row r="267" spans="1:16" ht="24" thickBot="1">
      <c r="A267" s="360" t="s">
        <v>73</v>
      </c>
      <c r="B267" s="361">
        <v>35000</v>
      </c>
      <c r="C267" s="365">
        <v>18</v>
      </c>
      <c r="D267" s="366">
        <v>16284</v>
      </c>
      <c r="E267" s="366">
        <v>51284</v>
      </c>
      <c r="F267" s="366">
        <v>1838</v>
      </c>
      <c r="G267" s="366">
        <v>1945</v>
      </c>
      <c r="H267" s="366">
        <v>802</v>
      </c>
      <c r="I267" s="366">
        <v>2747</v>
      </c>
      <c r="K267" s="365">
        <v>0</v>
      </c>
      <c r="L267" s="350">
        <v>0.31</v>
      </c>
      <c r="M267" s="350">
        <v>3.5000000000000003E-2</v>
      </c>
      <c r="N267" s="351" t="str">
        <f t="shared" si="9"/>
        <v>3500018</v>
      </c>
      <c r="P267" s="351" t="str">
        <f t="shared" si="8"/>
        <v>T</v>
      </c>
    </row>
    <row r="268" spans="1:16" ht="24" thickTop="1">
      <c r="A268" s="384" t="s">
        <v>73</v>
      </c>
      <c r="B268" s="385">
        <v>36000</v>
      </c>
      <c r="C268" s="357">
        <v>4</v>
      </c>
      <c r="D268" s="358">
        <v>3724</v>
      </c>
      <c r="E268" s="358">
        <v>39724</v>
      </c>
      <c r="F268" s="358">
        <v>420</v>
      </c>
      <c r="G268" s="358">
        <v>9000</v>
      </c>
      <c r="H268" s="358">
        <v>826</v>
      </c>
      <c r="I268" s="358">
        <v>9826</v>
      </c>
      <c r="K268" s="357">
        <v>0</v>
      </c>
      <c r="L268" s="350">
        <v>0.31</v>
      </c>
      <c r="M268" s="350">
        <v>3.5000000000000003E-2</v>
      </c>
      <c r="N268" s="351" t="str">
        <f t="shared" si="9"/>
        <v>360004</v>
      </c>
      <c r="P268" s="351" t="str">
        <f t="shared" si="8"/>
        <v>T</v>
      </c>
    </row>
    <row r="269" spans="1:16" ht="23.25">
      <c r="A269" s="386" t="s">
        <v>73</v>
      </c>
      <c r="B269" s="387">
        <v>36000</v>
      </c>
      <c r="C269" s="388">
        <v>6</v>
      </c>
      <c r="D269" s="364">
        <v>5586</v>
      </c>
      <c r="E269" s="364">
        <v>41586</v>
      </c>
      <c r="F269" s="364">
        <v>630</v>
      </c>
      <c r="G269" s="364">
        <v>6000</v>
      </c>
      <c r="H269" s="364">
        <v>826</v>
      </c>
      <c r="I269" s="364">
        <v>6826</v>
      </c>
      <c r="K269" s="388">
        <v>0</v>
      </c>
      <c r="L269" s="350">
        <v>0.31</v>
      </c>
      <c r="M269" s="350">
        <v>3.5000000000000003E-2</v>
      </c>
      <c r="N269" s="351" t="str">
        <f t="shared" si="9"/>
        <v>360006</v>
      </c>
      <c r="P269" s="351" t="str">
        <f t="shared" si="8"/>
        <v>T</v>
      </c>
    </row>
    <row r="270" spans="1:16" ht="23.25">
      <c r="A270" s="386" t="s">
        <v>73</v>
      </c>
      <c r="B270" s="387">
        <v>36000</v>
      </c>
      <c r="C270" s="365">
        <v>8</v>
      </c>
      <c r="D270" s="366">
        <v>7448</v>
      </c>
      <c r="E270" s="366">
        <v>43448</v>
      </c>
      <c r="F270" s="366">
        <v>840</v>
      </c>
      <c r="G270" s="366">
        <v>4500</v>
      </c>
      <c r="H270" s="366">
        <v>826</v>
      </c>
      <c r="I270" s="366">
        <v>5326</v>
      </c>
      <c r="K270" s="365">
        <v>0</v>
      </c>
      <c r="L270" s="350">
        <v>0.31</v>
      </c>
      <c r="M270" s="350">
        <v>3.5000000000000003E-2</v>
      </c>
      <c r="N270" s="351" t="str">
        <f t="shared" si="9"/>
        <v>360008</v>
      </c>
      <c r="P270" s="351" t="str">
        <f t="shared" si="8"/>
        <v>T</v>
      </c>
    </row>
    <row r="271" spans="1:16" ht="23.25">
      <c r="A271" s="386" t="s">
        <v>73</v>
      </c>
      <c r="B271" s="387">
        <v>36000</v>
      </c>
      <c r="C271" s="367">
        <v>10</v>
      </c>
      <c r="D271" s="368">
        <v>9310</v>
      </c>
      <c r="E271" s="368">
        <v>45310</v>
      </c>
      <c r="F271" s="368">
        <v>1050</v>
      </c>
      <c r="G271" s="368">
        <v>3600</v>
      </c>
      <c r="H271" s="368">
        <v>826</v>
      </c>
      <c r="I271" s="368">
        <v>4426</v>
      </c>
      <c r="K271" s="367">
        <v>0</v>
      </c>
      <c r="L271" s="350">
        <v>0.31</v>
      </c>
      <c r="M271" s="350">
        <v>3.5000000000000003E-2</v>
      </c>
      <c r="N271" s="351" t="str">
        <f t="shared" si="9"/>
        <v>3600010</v>
      </c>
      <c r="P271" s="351" t="str">
        <f t="shared" si="8"/>
        <v>T</v>
      </c>
    </row>
    <row r="272" spans="1:16" ht="23.25">
      <c r="A272" s="386" t="s">
        <v>73</v>
      </c>
      <c r="B272" s="387">
        <v>36000</v>
      </c>
      <c r="C272" s="365">
        <v>12</v>
      </c>
      <c r="D272" s="366">
        <v>11172</v>
      </c>
      <c r="E272" s="366">
        <v>47172</v>
      </c>
      <c r="F272" s="366">
        <v>1260</v>
      </c>
      <c r="G272" s="366">
        <v>3000</v>
      </c>
      <c r="H272" s="366">
        <v>826</v>
      </c>
      <c r="I272" s="366">
        <v>3826</v>
      </c>
      <c r="K272" s="365">
        <v>0</v>
      </c>
      <c r="L272" s="350">
        <v>0.31</v>
      </c>
      <c r="M272" s="350">
        <v>3.5000000000000003E-2</v>
      </c>
      <c r="N272" s="351" t="str">
        <f t="shared" si="9"/>
        <v>3600012</v>
      </c>
      <c r="P272" s="351" t="str">
        <f t="shared" si="8"/>
        <v>T</v>
      </c>
    </row>
    <row r="273" spans="1:16" ht="23.25">
      <c r="A273" s="386" t="s">
        <v>73</v>
      </c>
      <c r="B273" s="387">
        <v>36000</v>
      </c>
      <c r="C273" s="367">
        <v>14</v>
      </c>
      <c r="D273" s="368">
        <v>13028</v>
      </c>
      <c r="E273" s="368">
        <v>49028</v>
      </c>
      <c r="F273" s="368">
        <v>1470</v>
      </c>
      <c r="G273" s="368">
        <v>2572</v>
      </c>
      <c r="H273" s="368">
        <v>825</v>
      </c>
      <c r="I273" s="368">
        <v>3397</v>
      </c>
      <c r="K273" s="367">
        <v>0</v>
      </c>
      <c r="L273" s="350">
        <v>0.31</v>
      </c>
      <c r="M273" s="350">
        <v>3.5000000000000003E-2</v>
      </c>
      <c r="N273" s="351" t="str">
        <f t="shared" si="9"/>
        <v>3600014</v>
      </c>
      <c r="P273" s="351" t="str">
        <f t="shared" ref="P273:P336" si="10">IF((E273-F273)/C273=I273,"T","F")</f>
        <v>T</v>
      </c>
    </row>
    <row r="274" spans="1:16" ht="23.25">
      <c r="A274" s="386" t="s">
        <v>73</v>
      </c>
      <c r="B274" s="387">
        <v>36000</v>
      </c>
      <c r="C274" s="365">
        <v>16</v>
      </c>
      <c r="D274" s="366">
        <v>14896</v>
      </c>
      <c r="E274" s="366">
        <v>50896</v>
      </c>
      <c r="F274" s="366">
        <v>1680</v>
      </c>
      <c r="G274" s="366">
        <v>2250</v>
      </c>
      <c r="H274" s="366">
        <v>826</v>
      </c>
      <c r="I274" s="366">
        <v>3076</v>
      </c>
      <c r="K274" s="365">
        <v>0</v>
      </c>
      <c r="L274" s="350">
        <v>0.31</v>
      </c>
      <c r="M274" s="350">
        <v>3.5000000000000003E-2</v>
      </c>
      <c r="N274" s="351" t="str">
        <f t="shared" si="9"/>
        <v>3600016</v>
      </c>
      <c r="P274" s="351" t="str">
        <f t="shared" si="10"/>
        <v>T</v>
      </c>
    </row>
    <row r="275" spans="1:16" ht="24" thickBot="1">
      <c r="A275" s="386" t="s">
        <v>73</v>
      </c>
      <c r="B275" s="387">
        <v>36000</v>
      </c>
      <c r="C275" s="367">
        <v>18</v>
      </c>
      <c r="D275" s="368">
        <v>16758</v>
      </c>
      <c r="E275" s="368">
        <v>52758</v>
      </c>
      <c r="F275" s="368">
        <v>1890</v>
      </c>
      <c r="G275" s="368">
        <v>2000</v>
      </c>
      <c r="H275" s="372">
        <v>826</v>
      </c>
      <c r="I275" s="368">
        <v>2826</v>
      </c>
      <c r="K275" s="367">
        <v>0</v>
      </c>
      <c r="L275" s="350">
        <v>0.31</v>
      </c>
      <c r="M275" s="350">
        <v>3.5000000000000003E-2</v>
      </c>
      <c r="N275" s="351" t="str">
        <f t="shared" si="9"/>
        <v>3600018</v>
      </c>
      <c r="P275" s="351" t="str">
        <f t="shared" si="10"/>
        <v>T</v>
      </c>
    </row>
    <row r="276" spans="1:16" ht="24" thickTop="1">
      <c r="A276" s="355" t="s">
        <v>73</v>
      </c>
      <c r="B276" s="356">
        <v>37000</v>
      </c>
      <c r="C276" s="396">
        <v>4</v>
      </c>
      <c r="D276" s="397">
        <v>3824</v>
      </c>
      <c r="E276" s="397">
        <v>40824</v>
      </c>
      <c r="F276" s="397">
        <v>432</v>
      </c>
      <c r="G276" s="397">
        <v>9250</v>
      </c>
      <c r="H276" s="397">
        <v>848</v>
      </c>
      <c r="I276" s="397">
        <v>10098</v>
      </c>
      <c r="K276" s="396">
        <v>0</v>
      </c>
      <c r="L276" s="350">
        <v>0.31</v>
      </c>
      <c r="M276" s="350">
        <v>3.5000000000000003E-2</v>
      </c>
      <c r="N276" s="351" t="str">
        <f t="shared" si="9"/>
        <v>370004</v>
      </c>
      <c r="P276" s="351" t="str">
        <f t="shared" si="10"/>
        <v>T</v>
      </c>
    </row>
    <row r="277" spans="1:16" ht="23.25">
      <c r="A277" s="360" t="s">
        <v>73</v>
      </c>
      <c r="B277" s="361">
        <v>37000</v>
      </c>
      <c r="C277" s="365">
        <v>6</v>
      </c>
      <c r="D277" s="366">
        <v>5738</v>
      </c>
      <c r="E277" s="366">
        <v>42738</v>
      </c>
      <c r="F277" s="366">
        <v>648</v>
      </c>
      <c r="G277" s="366">
        <v>6167</v>
      </c>
      <c r="H277" s="366">
        <v>848</v>
      </c>
      <c r="I277" s="366">
        <v>7015</v>
      </c>
      <c r="K277" s="365">
        <v>0</v>
      </c>
      <c r="L277" s="350">
        <v>0.31</v>
      </c>
      <c r="M277" s="350">
        <v>3.5000000000000003E-2</v>
      </c>
      <c r="N277" s="351" t="str">
        <f t="shared" si="9"/>
        <v>370006</v>
      </c>
      <c r="P277" s="351" t="str">
        <f t="shared" si="10"/>
        <v>T</v>
      </c>
    </row>
    <row r="278" spans="1:16" ht="23.25">
      <c r="A278" s="360" t="s">
        <v>73</v>
      </c>
      <c r="B278" s="361">
        <v>37000</v>
      </c>
      <c r="C278" s="367">
        <v>8</v>
      </c>
      <c r="D278" s="368">
        <v>7648</v>
      </c>
      <c r="E278" s="368">
        <v>44648</v>
      </c>
      <c r="F278" s="368">
        <v>864</v>
      </c>
      <c r="G278" s="368">
        <v>4625</v>
      </c>
      <c r="H278" s="364">
        <v>848</v>
      </c>
      <c r="I278" s="368">
        <v>5473</v>
      </c>
      <c r="K278" s="367">
        <v>0</v>
      </c>
      <c r="L278" s="350">
        <v>0.31</v>
      </c>
      <c r="M278" s="350">
        <v>3.5000000000000003E-2</v>
      </c>
      <c r="N278" s="351" t="str">
        <f t="shared" si="9"/>
        <v>370008</v>
      </c>
      <c r="P278" s="351" t="str">
        <f t="shared" si="10"/>
        <v>T</v>
      </c>
    </row>
    <row r="279" spans="1:16" ht="23.25">
      <c r="A279" s="360" t="s">
        <v>73</v>
      </c>
      <c r="B279" s="361">
        <v>37000</v>
      </c>
      <c r="C279" s="365">
        <v>10</v>
      </c>
      <c r="D279" s="366">
        <v>9560</v>
      </c>
      <c r="E279" s="366">
        <v>46560</v>
      </c>
      <c r="F279" s="366">
        <v>1080</v>
      </c>
      <c r="G279" s="366">
        <v>3700</v>
      </c>
      <c r="H279" s="366">
        <v>848</v>
      </c>
      <c r="I279" s="366">
        <v>4548</v>
      </c>
      <c r="K279" s="365">
        <v>0</v>
      </c>
      <c r="L279" s="350">
        <v>0.31</v>
      </c>
      <c r="M279" s="350">
        <v>3.5000000000000003E-2</v>
      </c>
      <c r="N279" s="351" t="str">
        <f t="shared" si="9"/>
        <v>3700010</v>
      </c>
      <c r="P279" s="351" t="str">
        <f t="shared" si="10"/>
        <v>T</v>
      </c>
    </row>
    <row r="280" spans="1:16" ht="23.25">
      <c r="A280" s="360" t="s">
        <v>73</v>
      </c>
      <c r="B280" s="361">
        <v>37000</v>
      </c>
      <c r="C280" s="367">
        <v>12</v>
      </c>
      <c r="D280" s="368">
        <v>11479</v>
      </c>
      <c r="E280" s="368">
        <v>48479</v>
      </c>
      <c r="F280" s="368">
        <v>1295</v>
      </c>
      <c r="G280" s="368">
        <v>3084</v>
      </c>
      <c r="H280" s="368">
        <v>848</v>
      </c>
      <c r="I280" s="368">
        <v>3932</v>
      </c>
      <c r="K280" s="367">
        <v>0</v>
      </c>
      <c r="L280" s="350">
        <v>0.31</v>
      </c>
      <c r="M280" s="350">
        <v>3.5000000000000003E-2</v>
      </c>
      <c r="N280" s="351" t="str">
        <f t="shared" si="9"/>
        <v>3700012</v>
      </c>
      <c r="P280" s="351" t="str">
        <f t="shared" si="10"/>
        <v>T</v>
      </c>
    </row>
    <row r="281" spans="1:16" ht="23.25">
      <c r="A281" s="360" t="s">
        <v>73</v>
      </c>
      <c r="B281" s="361">
        <v>37000</v>
      </c>
      <c r="C281" s="365">
        <v>14</v>
      </c>
      <c r="D281" s="366">
        <v>13385</v>
      </c>
      <c r="E281" s="366">
        <v>50385</v>
      </c>
      <c r="F281" s="366">
        <v>1511</v>
      </c>
      <c r="G281" s="366">
        <v>2643</v>
      </c>
      <c r="H281" s="366">
        <v>848</v>
      </c>
      <c r="I281" s="366">
        <v>3491</v>
      </c>
      <c r="K281" s="365">
        <v>0</v>
      </c>
      <c r="L281" s="350">
        <v>0.31</v>
      </c>
      <c r="M281" s="350">
        <v>3.5000000000000003E-2</v>
      </c>
      <c r="N281" s="351" t="str">
        <f t="shared" si="9"/>
        <v>3700014</v>
      </c>
      <c r="P281" s="351" t="str">
        <f t="shared" si="10"/>
        <v>T</v>
      </c>
    </row>
    <row r="282" spans="1:16" ht="23.25">
      <c r="A282" s="360" t="s">
        <v>73</v>
      </c>
      <c r="B282" s="361">
        <v>37000</v>
      </c>
      <c r="C282" s="367">
        <v>16</v>
      </c>
      <c r="D282" s="368">
        <v>15303</v>
      </c>
      <c r="E282" s="368">
        <v>52303</v>
      </c>
      <c r="F282" s="368">
        <v>1727</v>
      </c>
      <c r="G282" s="368">
        <v>2313</v>
      </c>
      <c r="H282" s="368">
        <v>848</v>
      </c>
      <c r="I282" s="368">
        <v>3161</v>
      </c>
      <c r="K282" s="367">
        <v>0</v>
      </c>
      <c r="L282" s="350">
        <v>0.31</v>
      </c>
      <c r="M282" s="350">
        <v>3.5000000000000003E-2</v>
      </c>
      <c r="N282" s="351" t="str">
        <f t="shared" si="9"/>
        <v>3700016</v>
      </c>
      <c r="P282" s="351" t="str">
        <f t="shared" si="10"/>
        <v>T</v>
      </c>
    </row>
    <row r="283" spans="1:16" ht="24" thickBot="1">
      <c r="A283" s="360" t="s">
        <v>73</v>
      </c>
      <c r="B283" s="361">
        <v>37000</v>
      </c>
      <c r="C283" s="365">
        <v>18</v>
      </c>
      <c r="D283" s="366">
        <v>17215</v>
      </c>
      <c r="E283" s="366">
        <v>54215</v>
      </c>
      <c r="F283" s="366">
        <v>1943</v>
      </c>
      <c r="G283" s="366">
        <v>2056</v>
      </c>
      <c r="H283" s="366">
        <v>848</v>
      </c>
      <c r="I283" s="366">
        <v>2904</v>
      </c>
      <c r="K283" s="365">
        <v>0</v>
      </c>
      <c r="L283" s="350">
        <v>0.31</v>
      </c>
      <c r="M283" s="350">
        <v>3.5000000000000003E-2</v>
      </c>
      <c r="N283" s="351" t="str">
        <f t="shared" si="9"/>
        <v>3700018</v>
      </c>
      <c r="P283" s="351" t="str">
        <f t="shared" si="10"/>
        <v>T</v>
      </c>
    </row>
    <row r="284" spans="1:16" ht="24" thickTop="1">
      <c r="A284" s="384" t="s">
        <v>73</v>
      </c>
      <c r="B284" s="385">
        <v>38000</v>
      </c>
      <c r="C284" s="357">
        <v>4</v>
      </c>
      <c r="D284" s="358">
        <v>3928</v>
      </c>
      <c r="E284" s="358">
        <v>41928</v>
      </c>
      <c r="F284" s="358">
        <v>444</v>
      </c>
      <c r="G284" s="358">
        <v>9500</v>
      </c>
      <c r="H284" s="358">
        <v>871</v>
      </c>
      <c r="I284" s="358">
        <v>10371</v>
      </c>
      <c r="K284" s="357">
        <v>0</v>
      </c>
      <c r="L284" s="350">
        <v>0.31</v>
      </c>
      <c r="M284" s="350">
        <v>3.5000000000000003E-2</v>
      </c>
      <c r="N284" s="351" t="str">
        <f t="shared" si="9"/>
        <v>380004</v>
      </c>
      <c r="P284" s="351" t="str">
        <f t="shared" si="10"/>
        <v>T</v>
      </c>
    </row>
    <row r="285" spans="1:16" ht="23.25">
      <c r="A285" s="386" t="s">
        <v>73</v>
      </c>
      <c r="B285" s="387">
        <v>38000</v>
      </c>
      <c r="C285" s="388">
        <v>6</v>
      </c>
      <c r="D285" s="364">
        <v>5895</v>
      </c>
      <c r="E285" s="364">
        <v>43895</v>
      </c>
      <c r="F285" s="364">
        <v>665</v>
      </c>
      <c r="G285" s="364">
        <v>6334</v>
      </c>
      <c r="H285" s="364">
        <v>871</v>
      </c>
      <c r="I285" s="364">
        <v>7205</v>
      </c>
      <c r="K285" s="388">
        <v>0</v>
      </c>
      <c r="L285" s="350">
        <v>0.31</v>
      </c>
      <c r="M285" s="350">
        <v>3.5000000000000003E-2</v>
      </c>
      <c r="N285" s="351" t="str">
        <f t="shared" si="9"/>
        <v>380006</v>
      </c>
      <c r="P285" s="351" t="str">
        <f t="shared" si="10"/>
        <v>T</v>
      </c>
    </row>
    <row r="286" spans="1:16" ht="23.25">
      <c r="A286" s="386" t="s">
        <v>73</v>
      </c>
      <c r="B286" s="387">
        <v>38000</v>
      </c>
      <c r="C286" s="365">
        <v>8</v>
      </c>
      <c r="D286" s="366">
        <v>7855</v>
      </c>
      <c r="E286" s="366">
        <v>45855</v>
      </c>
      <c r="F286" s="366">
        <v>887</v>
      </c>
      <c r="G286" s="366">
        <v>4750</v>
      </c>
      <c r="H286" s="366">
        <v>871</v>
      </c>
      <c r="I286" s="366">
        <v>5621</v>
      </c>
      <c r="K286" s="365">
        <v>0</v>
      </c>
      <c r="L286" s="350">
        <v>0.31</v>
      </c>
      <c r="M286" s="350">
        <v>3.5000000000000003E-2</v>
      </c>
      <c r="N286" s="351" t="str">
        <f t="shared" si="9"/>
        <v>380008</v>
      </c>
      <c r="P286" s="351" t="str">
        <f t="shared" si="10"/>
        <v>T</v>
      </c>
    </row>
    <row r="287" spans="1:16" ht="23.25">
      <c r="A287" s="386" t="s">
        <v>73</v>
      </c>
      <c r="B287" s="387">
        <v>38000</v>
      </c>
      <c r="C287" s="367">
        <v>10</v>
      </c>
      <c r="D287" s="368">
        <v>9819</v>
      </c>
      <c r="E287" s="368">
        <v>47819</v>
      </c>
      <c r="F287" s="368">
        <v>1109</v>
      </c>
      <c r="G287" s="368">
        <v>3800</v>
      </c>
      <c r="H287" s="368">
        <v>871</v>
      </c>
      <c r="I287" s="368">
        <v>4671</v>
      </c>
      <c r="K287" s="367">
        <v>0</v>
      </c>
      <c r="L287" s="350">
        <v>0.31</v>
      </c>
      <c r="M287" s="350">
        <v>3.5000000000000003E-2</v>
      </c>
      <c r="N287" s="351" t="str">
        <f t="shared" si="9"/>
        <v>3800010</v>
      </c>
      <c r="P287" s="351" t="str">
        <f t="shared" si="10"/>
        <v>T</v>
      </c>
    </row>
    <row r="288" spans="1:16" ht="23.25">
      <c r="A288" s="386" t="s">
        <v>73</v>
      </c>
      <c r="B288" s="387">
        <v>38000</v>
      </c>
      <c r="C288" s="365">
        <v>12</v>
      </c>
      <c r="D288" s="366">
        <v>11786</v>
      </c>
      <c r="E288" s="366">
        <v>49786</v>
      </c>
      <c r="F288" s="366">
        <v>1330</v>
      </c>
      <c r="G288" s="366">
        <v>3167</v>
      </c>
      <c r="H288" s="366">
        <v>871</v>
      </c>
      <c r="I288" s="366">
        <v>4038</v>
      </c>
      <c r="K288" s="365">
        <v>0</v>
      </c>
      <c r="L288" s="350">
        <v>0.31</v>
      </c>
      <c r="M288" s="350">
        <v>3.5000000000000003E-2</v>
      </c>
      <c r="N288" s="351" t="str">
        <f t="shared" si="9"/>
        <v>3800012</v>
      </c>
      <c r="P288" s="351" t="str">
        <f t="shared" si="10"/>
        <v>T</v>
      </c>
    </row>
    <row r="289" spans="1:16" ht="23.25">
      <c r="A289" s="386" t="s">
        <v>73</v>
      </c>
      <c r="B289" s="387">
        <v>38000</v>
      </c>
      <c r="C289" s="367">
        <v>14</v>
      </c>
      <c r="D289" s="368">
        <v>13756</v>
      </c>
      <c r="E289" s="368">
        <v>51756</v>
      </c>
      <c r="F289" s="368">
        <v>1552</v>
      </c>
      <c r="G289" s="368">
        <v>2715</v>
      </c>
      <c r="H289" s="368">
        <v>871</v>
      </c>
      <c r="I289" s="368">
        <v>3586</v>
      </c>
      <c r="K289" s="367">
        <v>0</v>
      </c>
      <c r="L289" s="350">
        <v>0.31</v>
      </c>
      <c r="M289" s="350">
        <v>3.5000000000000003E-2</v>
      </c>
      <c r="N289" s="351" t="str">
        <f t="shared" si="9"/>
        <v>3800014</v>
      </c>
      <c r="P289" s="351" t="str">
        <f t="shared" si="10"/>
        <v>T</v>
      </c>
    </row>
    <row r="290" spans="1:16" ht="23.25">
      <c r="A290" s="386" t="s">
        <v>73</v>
      </c>
      <c r="B290" s="387">
        <v>38000</v>
      </c>
      <c r="C290" s="365">
        <v>16</v>
      </c>
      <c r="D290" s="366">
        <v>15710</v>
      </c>
      <c r="E290" s="366">
        <v>53710</v>
      </c>
      <c r="F290" s="366">
        <v>1774</v>
      </c>
      <c r="G290" s="366">
        <v>2375</v>
      </c>
      <c r="H290" s="366">
        <v>871</v>
      </c>
      <c r="I290" s="366">
        <v>3246</v>
      </c>
      <c r="K290" s="365">
        <v>0</v>
      </c>
      <c r="L290" s="350">
        <v>0.31</v>
      </c>
      <c r="M290" s="350">
        <v>3.5000000000000003E-2</v>
      </c>
      <c r="N290" s="351" t="str">
        <f t="shared" si="9"/>
        <v>3800016</v>
      </c>
      <c r="P290" s="351" t="str">
        <f t="shared" si="10"/>
        <v>T</v>
      </c>
    </row>
    <row r="291" spans="1:16" ht="23.25">
      <c r="A291" s="386" t="s">
        <v>73</v>
      </c>
      <c r="B291" s="387">
        <v>38000</v>
      </c>
      <c r="C291" s="367">
        <v>18</v>
      </c>
      <c r="D291" s="368">
        <v>17671</v>
      </c>
      <c r="E291" s="368">
        <v>55671</v>
      </c>
      <c r="F291" s="368">
        <v>1995</v>
      </c>
      <c r="G291" s="368">
        <v>2112</v>
      </c>
      <c r="H291" s="372">
        <v>870</v>
      </c>
      <c r="I291" s="368">
        <v>2982</v>
      </c>
      <c r="K291" s="367">
        <v>0</v>
      </c>
      <c r="L291" s="350">
        <v>0.31</v>
      </c>
      <c r="M291" s="350">
        <v>3.5000000000000003E-2</v>
      </c>
      <c r="N291" s="351" t="str">
        <f t="shared" si="9"/>
        <v>3800018</v>
      </c>
      <c r="P291" s="351" t="str">
        <f t="shared" si="10"/>
        <v>T</v>
      </c>
    </row>
    <row r="292" spans="1:16" ht="23.25">
      <c r="A292" s="386" t="s">
        <v>73</v>
      </c>
      <c r="B292" s="387">
        <v>39000</v>
      </c>
      <c r="C292" s="365">
        <v>4</v>
      </c>
      <c r="D292" s="366">
        <v>4031</v>
      </c>
      <c r="E292" s="366">
        <v>43031</v>
      </c>
      <c r="F292" s="366">
        <v>455</v>
      </c>
      <c r="G292" s="366">
        <v>9750</v>
      </c>
      <c r="H292" s="366">
        <v>894</v>
      </c>
      <c r="I292" s="366">
        <v>10644</v>
      </c>
      <c r="K292" s="365">
        <v>0</v>
      </c>
      <c r="L292" s="350">
        <v>0.31</v>
      </c>
      <c r="M292" s="350">
        <v>3.5000000000000003E-2</v>
      </c>
      <c r="N292" s="351" t="str">
        <f t="shared" si="9"/>
        <v>390004</v>
      </c>
      <c r="P292" s="351" t="str">
        <f t="shared" si="10"/>
        <v>T</v>
      </c>
    </row>
    <row r="293" spans="1:16" ht="23.25">
      <c r="A293" s="386" t="s">
        <v>73</v>
      </c>
      <c r="B293" s="387">
        <v>39000</v>
      </c>
      <c r="C293" s="388">
        <v>6</v>
      </c>
      <c r="D293" s="364">
        <v>6047</v>
      </c>
      <c r="E293" s="364">
        <v>45047</v>
      </c>
      <c r="F293" s="364">
        <v>683</v>
      </c>
      <c r="G293" s="364">
        <v>6500</v>
      </c>
      <c r="H293" s="364">
        <v>894</v>
      </c>
      <c r="I293" s="364">
        <v>7394</v>
      </c>
      <c r="K293" s="388">
        <v>0</v>
      </c>
      <c r="L293" s="350">
        <v>0.31</v>
      </c>
      <c r="M293" s="350">
        <v>3.5000000000000003E-2</v>
      </c>
      <c r="N293" s="351" t="str">
        <f t="shared" si="9"/>
        <v>390006</v>
      </c>
      <c r="P293" s="351" t="str">
        <f t="shared" si="10"/>
        <v>T</v>
      </c>
    </row>
    <row r="294" spans="1:16" ht="24" thickBot="1">
      <c r="A294" s="389" t="s">
        <v>73</v>
      </c>
      <c r="B294" s="390">
        <v>39000</v>
      </c>
      <c r="C294" s="381">
        <v>8</v>
      </c>
      <c r="D294" s="398">
        <v>8062</v>
      </c>
      <c r="E294" s="398">
        <v>47062</v>
      </c>
      <c r="F294" s="398">
        <v>910</v>
      </c>
      <c r="G294" s="398">
        <v>4875</v>
      </c>
      <c r="H294" s="366">
        <v>894</v>
      </c>
      <c r="I294" s="398">
        <v>5769</v>
      </c>
      <c r="K294" s="381">
        <v>0</v>
      </c>
      <c r="L294" s="350">
        <v>0.31</v>
      </c>
      <c r="M294" s="350">
        <v>3.5000000000000003E-2</v>
      </c>
      <c r="N294" s="351" t="str">
        <f t="shared" si="9"/>
        <v>390008</v>
      </c>
      <c r="P294" s="351" t="str">
        <f t="shared" si="10"/>
        <v>T</v>
      </c>
    </row>
    <row r="295" spans="1:16" ht="24" thickTop="1">
      <c r="A295" s="355" t="s">
        <v>73</v>
      </c>
      <c r="B295" s="356">
        <v>39000</v>
      </c>
      <c r="C295" s="396">
        <v>10</v>
      </c>
      <c r="D295" s="397">
        <v>10078</v>
      </c>
      <c r="E295" s="397">
        <v>49078</v>
      </c>
      <c r="F295" s="397">
        <v>1138</v>
      </c>
      <c r="G295" s="397">
        <v>3900</v>
      </c>
      <c r="H295" s="397">
        <v>894</v>
      </c>
      <c r="I295" s="397">
        <v>4794</v>
      </c>
      <c r="K295" s="396">
        <v>0</v>
      </c>
      <c r="L295" s="350">
        <v>0.31</v>
      </c>
      <c r="M295" s="350">
        <v>3.5000000000000003E-2</v>
      </c>
      <c r="N295" s="351" t="str">
        <f t="shared" si="9"/>
        <v>3900010</v>
      </c>
      <c r="P295" s="351" t="str">
        <f t="shared" si="10"/>
        <v>T</v>
      </c>
    </row>
    <row r="296" spans="1:16" ht="23.25">
      <c r="A296" s="360" t="s">
        <v>73</v>
      </c>
      <c r="B296" s="361">
        <v>39000</v>
      </c>
      <c r="C296" s="365">
        <v>12</v>
      </c>
      <c r="D296" s="366">
        <v>12093</v>
      </c>
      <c r="E296" s="366">
        <v>51093</v>
      </c>
      <c r="F296" s="366">
        <v>1365</v>
      </c>
      <c r="G296" s="366">
        <v>3250</v>
      </c>
      <c r="H296" s="366">
        <v>894</v>
      </c>
      <c r="I296" s="366">
        <v>4144</v>
      </c>
      <c r="K296" s="365">
        <v>0</v>
      </c>
      <c r="L296" s="350">
        <v>0.31</v>
      </c>
      <c r="M296" s="350">
        <v>3.5000000000000003E-2</v>
      </c>
      <c r="N296" s="351" t="str">
        <f t="shared" si="9"/>
        <v>3900012</v>
      </c>
      <c r="P296" s="351" t="str">
        <f t="shared" si="10"/>
        <v>T</v>
      </c>
    </row>
    <row r="297" spans="1:16" ht="23.25">
      <c r="A297" s="360" t="s">
        <v>73</v>
      </c>
      <c r="B297" s="361">
        <v>39000</v>
      </c>
      <c r="C297" s="367">
        <v>14</v>
      </c>
      <c r="D297" s="368">
        <v>14113</v>
      </c>
      <c r="E297" s="368">
        <v>53113</v>
      </c>
      <c r="F297" s="368">
        <v>1593</v>
      </c>
      <c r="G297" s="368">
        <v>2786</v>
      </c>
      <c r="H297" s="364">
        <v>894</v>
      </c>
      <c r="I297" s="368">
        <v>3680</v>
      </c>
      <c r="K297" s="367">
        <v>0</v>
      </c>
      <c r="L297" s="350">
        <v>0.31</v>
      </c>
      <c r="M297" s="350">
        <v>3.5000000000000003E-2</v>
      </c>
      <c r="N297" s="351" t="str">
        <f t="shared" si="9"/>
        <v>3900014</v>
      </c>
      <c r="P297" s="351" t="str">
        <f t="shared" si="10"/>
        <v>T</v>
      </c>
    </row>
    <row r="298" spans="1:16" ht="23.25">
      <c r="A298" s="360" t="s">
        <v>73</v>
      </c>
      <c r="B298" s="361">
        <v>39000</v>
      </c>
      <c r="C298" s="365">
        <v>16</v>
      </c>
      <c r="D298" s="366">
        <v>16132</v>
      </c>
      <c r="E298" s="366">
        <v>55132</v>
      </c>
      <c r="F298" s="366">
        <v>1820</v>
      </c>
      <c r="G298" s="366">
        <v>2438</v>
      </c>
      <c r="H298" s="366">
        <v>894</v>
      </c>
      <c r="I298" s="366">
        <v>3332</v>
      </c>
      <c r="K298" s="365">
        <v>0</v>
      </c>
      <c r="L298" s="350">
        <v>0.31</v>
      </c>
      <c r="M298" s="350">
        <v>3.5000000000000003E-2</v>
      </c>
      <c r="N298" s="351" t="str">
        <f t="shared" si="9"/>
        <v>3900016</v>
      </c>
      <c r="P298" s="351" t="str">
        <f t="shared" si="10"/>
        <v>T</v>
      </c>
    </row>
    <row r="299" spans="1:16" ht="23.25">
      <c r="A299" s="360" t="s">
        <v>73</v>
      </c>
      <c r="B299" s="361">
        <v>39000</v>
      </c>
      <c r="C299" s="367">
        <v>18</v>
      </c>
      <c r="D299" s="368">
        <v>18146</v>
      </c>
      <c r="E299" s="368">
        <v>57146</v>
      </c>
      <c r="F299" s="368">
        <v>2048</v>
      </c>
      <c r="G299" s="368">
        <v>2167</v>
      </c>
      <c r="H299" s="368">
        <v>894</v>
      </c>
      <c r="I299" s="368">
        <v>3061</v>
      </c>
      <c r="K299" s="367">
        <v>0</v>
      </c>
      <c r="L299" s="350">
        <v>0.31</v>
      </c>
      <c r="M299" s="350">
        <v>3.5000000000000003E-2</v>
      </c>
      <c r="N299" s="351" t="str">
        <f t="shared" si="9"/>
        <v>3900018</v>
      </c>
      <c r="P299" s="351" t="str">
        <f t="shared" si="10"/>
        <v>T</v>
      </c>
    </row>
    <row r="300" spans="1:16" ht="23.25">
      <c r="A300" s="360" t="s">
        <v>73</v>
      </c>
      <c r="B300" s="361">
        <v>40000</v>
      </c>
      <c r="C300" s="365">
        <v>4</v>
      </c>
      <c r="D300" s="366">
        <v>4135</v>
      </c>
      <c r="E300" s="366">
        <v>44135</v>
      </c>
      <c r="F300" s="366">
        <v>467</v>
      </c>
      <c r="G300" s="366">
        <v>10000</v>
      </c>
      <c r="H300" s="366">
        <v>917</v>
      </c>
      <c r="I300" s="366">
        <v>10917</v>
      </c>
      <c r="K300" s="365">
        <v>0</v>
      </c>
      <c r="L300" s="350">
        <v>0.31</v>
      </c>
      <c r="M300" s="350">
        <v>3.5000000000000003E-2</v>
      </c>
      <c r="N300" s="351" t="str">
        <f t="shared" si="9"/>
        <v>400004</v>
      </c>
      <c r="P300" s="351" t="str">
        <f t="shared" si="10"/>
        <v>T</v>
      </c>
    </row>
    <row r="301" spans="1:16" ht="23.25">
      <c r="A301" s="360" t="s">
        <v>73</v>
      </c>
      <c r="B301" s="361">
        <v>40000</v>
      </c>
      <c r="C301" s="367">
        <v>6</v>
      </c>
      <c r="D301" s="368">
        <v>6204</v>
      </c>
      <c r="E301" s="368">
        <v>46204</v>
      </c>
      <c r="F301" s="368">
        <v>700</v>
      </c>
      <c r="G301" s="368">
        <v>6667</v>
      </c>
      <c r="H301" s="368">
        <v>917</v>
      </c>
      <c r="I301" s="368">
        <v>7584</v>
      </c>
      <c r="K301" s="367">
        <v>0</v>
      </c>
      <c r="L301" s="350">
        <v>0.31</v>
      </c>
      <c r="M301" s="350">
        <v>3.5000000000000003E-2</v>
      </c>
      <c r="N301" s="351" t="str">
        <f t="shared" si="9"/>
        <v>400006</v>
      </c>
      <c r="P301" s="351" t="str">
        <f t="shared" si="10"/>
        <v>T</v>
      </c>
    </row>
    <row r="302" spans="1:16" ht="23.25">
      <c r="A302" s="360" t="s">
        <v>73</v>
      </c>
      <c r="B302" s="361">
        <v>40000</v>
      </c>
      <c r="C302" s="365">
        <v>8</v>
      </c>
      <c r="D302" s="366">
        <v>8270</v>
      </c>
      <c r="E302" s="366">
        <v>48270</v>
      </c>
      <c r="F302" s="366">
        <v>934</v>
      </c>
      <c r="G302" s="366">
        <v>5000</v>
      </c>
      <c r="H302" s="366">
        <v>917</v>
      </c>
      <c r="I302" s="366">
        <v>5917</v>
      </c>
      <c r="K302" s="365">
        <v>0</v>
      </c>
      <c r="L302" s="350">
        <v>0.31</v>
      </c>
      <c r="M302" s="350">
        <v>3.5000000000000003E-2</v>
      </c>
      <c r="N302" s="351" t="str">
        <f t="shared" si="9"/>
        <v>400008</v>
      </c>
      <c r="P302" s="351" t="str">
        <f t="shared" si="10"/>
        <v>T</v>
      </c>
    </row>
    <row r="303" spans="1:16" ht="23.25">
      <c r="A303" s="360" t="s">
        <v>73</v>
      </c>
      <c r="B303" s="361">
        <v>40000</v>
      </c>
      <c r="C303" s="388">
        <v>10</v>
      </c>
      <c r="D303" s="364">
        <v>10337</v>
      </c>
      <c r="E303" s="364">
        <v>50337</v>
      </c>
      <c r="F303" s="364">
        <v>1167</v>
      </c>
      <c r="G303" s="364">
        <v>4000</v>
      </c>
      <c r="H303" s="372">
        <v>917</v>
      </c>
      <c r="I303" s="364">
        <v>4917</v>
      </c>
      <c r="K303" s="388">
        <v>0</v>
      </c>
      <c r="L303" s="350">
        <v>0.31</v>
      </c>
      <c r="M303" s="350">
        <v>3.5000000000000003E-2</v>
      </c>
      <c r="N303" s="351" t="str">
        <f t="shared" si="9"/>
        <v>4000010</v>
      </c>
      <c r="P303" s="351" t="str">
        <f t="shared" si="10"/>
        <v>T</v>
      </c>
    </row>
    <row r="304" spans="1:16" ht="23.25">
      <c r="A304" s="360" t="s">
        <v>73</v>
      </c>
      <c r="B304" s="361">
        <v>40000</v>
      </c>
      <c r="C304" s="365">
        <v>12</v>
      </c>
      <c r="D304" s="366">
        <v>12412</v>
      </c>
      <c r="E304" s="366">
        <v>52412</v>
      </c>
      <c r="F304" s="366">
        <v>1400</v>
      </c>
      <c r="G304" s="366">
        <v>3334</v>
      </c>
      <c r="H304" s="366">
        <v>917</v>
      </c>
      <c r="I304" s="366">
        <v>4251</v>
      </c>
      <c r="K304" s="365">
        <v>0</v>
      </c>
      <c r="L304" s="350">
        <v>0.31</v>
      </c>
      <c r="M304" s="350">
        <v>3.5000000000000003E-2</v>
      </c>
      <c r="N304" s="351" t="str">
        <f t="shared" si="9"/>
        <v>4000012</v>
      </c>
      <c r="P304" s="351" t="str">
        <f t="shared" si="10"/>
        <v>T</v>
      </c>
    </row>
    <row r="305" spans="1:16" ht="24" thickBot="1">
      <c r="A305" s="392" t="s">
        <v>73</v>
      </c>
      <c r="B305" s="393">
        <v>40000</v>
      </c>
      <c r="C305" s="399">
        <v>14</v>
      </c>
      <c r="D305" s="400">
        <v>14470</v>
      </c>
      <c r="E305" s="400">
        <v>54470</v>
      </c>
      <c r="F305" s="400">
        <v>1634</v>
      </c>
      <c r="G305" s="400">
        <v>2858</v>
      </c>
      <c r="H305" s="364">
        <v>916</v>
      </c>
      <c r="I305" s="400">
        <v>3774</v>
      </c>
      <c r="K305" s="399">
        <v>0</v>
      </c>
      <c r="L305" s="350">
        <v>0.31</v>
      </c>
      <c r="M305" s="350">
        <v>3.5000000000000003E-2</v>
      </c>
      <c r="N305" s="351" t="str">
        <f t="shared" si="9"/>
        <v>4000014</v>
      </c>
      <c r="P305" s="351" t="str">
        <f t="shared" si="10"/>
        <v>T</v>
      </c>
    </row>
    <row r="306" spans="1:16" ht="24" thickTop="1">
      <c r="A306" s="384" t="s">
        <v>73</v>
      </c>
      <c r="B306" s="385">
        <v>40000</v>
      </c>
      <c r="C306" s="357">
        <v>16</v>
      </c>
      <c r="D306" s="358">
        <v>16539</v>
      </c>
      <c r="E306" s="358">
        <v>56539</v>
      </c>
      <c r="F306" s="358">
        <v>1867</v>
      </c>
      <c r="G306" s="358">
        <v>2500</v>
      </c>
      <c r="H306" s="358">
        <v>917</v>
      </c>
      <c r="I306" s="358">
        <v>3417</v>
      </c>
      <c r="K306" s="357">
        <v>0</v>
      </c>
      <c r="L306" s="350">
        <v>0.31</v>
      </c>
      <c r="M306" s="350">
        <v>3.5000000000000003E-2</v>
      </c>
      <c r="N306" s="351" t="str">
        <f t="shared" si="9"/>
        <v>4000016</v>
      </c>
      <c r="P306" s="351" t="str">
        <f t="shared" si="10"/>
        <v>T</v>
      </c>
    </row>
    <row r="307" spans="1:16" ht="23.25">
      <c r="A307" s="386" t="s">
        <v>73</v>
      </c>
      <c r="B307" s="387">
        <v>40000</v>
      </c>
      <c r="C307" s="388">
        <v>18</v>
      </c>
      <c r="D307" s="364">
        <v>18602</v>
      </c>
      <c r="E307" s="364">
        <v>58602</v>
      </c>
      <c r="F307" s="364">
        <v>2100</v>
      </c>
      <c r="G307" s="364">
        <v>2223</v>
      </c>
      <c r="H307" s="364">
        <v>916</v>
      </c>
      <c r="I307" s="364">
        <v>3139</v>
      </c>
      <c r="K307" s="388">
        <v>0</v>
      </c>
      <c r="L307" s="350">
        <v>0.31</v>
      </c>
      <c r="M307" s="350">
        <v>3.5000000000000003E-2</v>
      </c>
      <c r="N307" s="351" t="str">
        <f t="shared" si="9"/>
        <v>4000018</v>
      </c>
      <c r="P307" s="351" t="str">
        <f t="shared" si="10"/>
        <v>T</v>
      </c>
    </row>
    <row r="308" spans="1:16" ht="23.25">
      <c r="A308" s="386" t="s">
        <v>73</v>
      </c>
      <c r="B308" s="387">
        <v>41000</v>
      </c>
      <c r="C308" s="365">
        <v>4</v>
      </c>
      <c r="D308" s="366">
        <v>4239</v>
      </c>
      <c r="E308" s="366">
        <v>45239</v>
      </c>
      <c r="F308" s="366">
        <v>479</v>
      </c>
      <c r="G308" s="366">
        <v>10250</v>
      </c>
      <c r="H308" s="366">
        <v>940</v>
      </c>
      <c r="I308" s="366">
        <v>11190</v>
      </c>
      <c r="K308" s="365">
        <v>0</v>
      </c>
      <c r="L308" s="350">
        <v>0.31</v>
      </c>
      <c r="M308" s="350">
        <v>3.5000000000000003E-2</v>
      </c>
      <c r="N308" s="351" t="str">
        <f t="shared" si="9"/>
        <v>410004</v>
      </c>
      <c r="P308" s="351" t="str">
        <f t="shared" si="10"/>
        <v>T</v>
      </c>
    </row>
    <row r="309" spans="1:16" ht="23.25">
      <c r="A309" s="386" t="s">
        <v>73</v>
      </c>
      <c r="B309" s="387">
        <v>41000</v>
      </c>
      <c r="C309" s="367">
        <v>6</v>
      </c>
      <c r="D309" s="368">
        <v>6356</v>
      </c>
      <c r="E309" s="368">
        <v>47356</v>
      </c>
      <c r="F309" s="368">
        <v>718</v>
      </c>
      <c r="G309" s="368">
        <v>6834</v>
      </c>
      <c r="H309" s="368">
        <v>939</v>
      </c>
      <c r="I309" s="368">
        <v>7773</v>
      </c>
      <c r="K309" s="367">
        <v>0</v>
      </c>
      <c r="L309" s="350">
        <v>0.31</v>
      </c>
      <c r="M309" s="350">
        <v>3.5000000000000003E-2</v>
      </c>
      <c r="N309" s="351" t="str">
        <f t="shared" si="9"/>
        <v>410006</v>
      </c>
      <c r="P309" s="351" t="str">
        <f t="shared" si="10"/>
        <v>T</v>
      </c>
    </row>
    <row r="310" spans="1:16" ht="23.25">
      <c r="A310" s="386" t="s">
        <v>73</v>
      </c>
      <c r="B310" s="387">
        <v>41000</v>
      </c>
      <c r="C310" s="365">
        <v>8</v>
      </c>
      <c r="D310" s="366">
        <v>8477</v>
      </c>
      <c r="E310" s="366">
        <v>49477</v>
      </c>
      <c r="F310" s="366">
        <v>957</v>
      </c>
      <c r="G310" s="366">
        <v>5125</v>
      </c>
      <c r="H310" s="366">
        <v>940</v>
      </c>
      <c r="I310" s="366">
        <v>6065</v>
      </c>
      <c r="K310" s="365">
        <v>0</v>
      </c>
      <c r="L310" s="350">
        <v>0.31</v>
      </c>
      <c r="M310" s="350">
        <v>3.5000000000000003E-2</v>
      </c>
      <c r="N310" s="351" t="str">
        <f t="shared" si="9"/>
        <v>410008</v>
      </c>
      <c r="P310" s="351" t="str">
        <f t="shared" si="10"/>
        <v>T</v>
      </c>
    </row>
    <row r="311" spans="1:16" ht="23.25">
      <c r="A311" s="386" t="s">
        <v>73</v>
      </c>
      <c r="B311" s="387">
        <v>41000</v>
      </c>
      <c r="C311" s="367">
        <v>10</v>
      </c>
      <c r="D311" s="368">
        <v>10596</v>
      </c>
      <c r="E311" s="368">
        <v>51596</v>
      </c>
      <c r="F311" s="368">
        <v>1196</v>
      </c>
      <c r="G311" s="368">
        <v>4100</v>
      </c>
      <c r="H311" s="368">
        <v>940</v>
      </c>
      <c r="I311" s="368">
        <v>5040</v>
      </c>
      <c r="K311" s="367">
        <v>0</v>
      </c>
      <c r="L311" s="350">
        <v>0.31</v>
      </c>
      <c r="M311" s="350">
        <v>3.5000000000000003E-2</v>
      </c>
      <c r="N311" s="351" t="str">
        <f t="shared" si="9"/>
        <v>4100010</v>
      </c>
      <c r="P311" s="351" t="str">
        <f t="shared" si="10"/>
        <v>T</v>
      </c>
    </row>
    <row r="312" spans="1:16" ht="23.25">
      <c r="A312" s="386" t="s">
        <v>73</v>
      </c>
      <c r="B312" s="387">
        <v>41000</v>
      </c>
      <c r="C312" s="365">
        <v>12</v>
      </c>
      <c r="D312" s="366">
        <v>12719</v>
      </c>
      <c r="E312" s="366">
        <v>53719</v>
      </c>
      <c r="F312" s="366">
        <v>1435</v>
      </c>
      <c r="G312" s="366">
        <v>3417</v>
      </c>
      <c r="H312" s="366">
        <v>940</v>
      </c>
      <c r="I312" s="366">
        <v>4357</v>
      </c>
      <c r="K312" s="365">
        <v>0</v>
      </c>
      <c r="L312" s="350">
        <v>0.31</v>
      </c>
      <c r="M312" s="350">
        <v>3.5000000000000003E-2</v>
      </c>
      <c r="N312" s="351" t="str">
        <f t="shared" si="9"/>
        <v>4100012</v>
      </c>
      <c r="P312" s="351" t="str">
        <f t="shared" si="10"/>
        <v>T</v>
      </c>
    </row>
    <row r="313" spans="1:16" ht="23.25">
      <c r="A313" s="386" t="s">
        <v>73</v>
      </c>
      <c r="B313" s="387">
        <v>41000</v>
      </c>
      <c r="C313" s="367">
        <v>14</v>
      </c>
      <c r="D313" s="368">
        <v>14841</v>
      </c>
      <c r="E313" s="368">
        <v>55841</v>
      </c>
      <c r="F313" s="368">
        <v>1675</v>
      </c>
      <c r="G313" s="368">
        <v>2929</v>
      </c>
      <c r="H313" s="372">
        <v>940</v>
      </c>
      <c r="I313" s="368">
        <v>3869</v>
      </c>
      <c r="K313" s="367">
        <v>0</v>
      </c>
      <c r="L313" s="350">
        <v>0.31</v>
      </c>
      <c r="M313" s="350">
        <v>3.5000000000000003E-2</v>
      </c>
      <c r="N313" s="351" t="str">
        <f t="shared" si="9"/>
        <v>4100014</v>
      </c>
      <c r="P313" s="351" t="str">
        <f t="shared" si="10"/>
        <v>T</v>
      </c>
    </row>
    <row r="314" spans="1:16" ht="23.25">
      <c r="A314" s="386" t="s">
        <v>73</v>
      </c>
      <c r="B314" s="387">
        <v>41000</v>
      </c>
      <c r="C314" s="365">
        <v>16</v>
      </c>
      <c r="D314" s="366">
        <v>16962</v>
      </c>
      <c r="E314" s="366">
        <v>57962</v>
      </c>
      <c r="F314" s="366">
        <v>1914</v>
      </c>
      <c r="G314" s="366">
        <v>2563</v>
      </c>
      <c r="H314" s="366">
        <v>940</v>
      </c>
      <c r="I314" s="366">
        <v>3503</v>
      </c>
      <c r="K314" s="365">
        <v>0</v>
      </c>
      <c r="L314" s="350">
        <v>0.31</v>
      </c>
      <c r="M314" s="350">
        <v>3.5000000000000003E-2</v>
      </c>
      <c r="N314" s="351" t="str">
        <f t="shared" si="9"/>
        <v>4100016</v>
      </c>
      <c r="P314" s="351" t="str">
        <f t="shared" si="10"/>
        <v>T</v>
      </c>
    </row>
    <row r="315" spans="1:16" ht="23.25">
      <c r="A315" s="386" t="s">
        <v>73</v>
      </c>
      <c r="B315" s="387">
        <v>41000</v>
      </c>
      <c r="C315" s="388">
        <v>18</v>
      </c>
      <c r="D315" s="364">
        <v>19077</v>
      </c>
      <c r="E315" s="364">
        <v>60077</v>
      </c>
      <c r="F315" s="364">
        <v>2153</v>
      </c>
      <c r="G315" s="364">
        <v>2278</v>
      </c>
      <c r="H315" s="364">
        <v>940</v>
      </c>
      <c r="I315" s="364">
        <v>3218</v>
      </c>
      <c r="K315" s="388">
        <v>0</v>
      </c>
      <c r="L315" s="350">
        <v>0.31</v>
      </c>
      <c r="M315" s="350">
        <v>3.5000000000000003E-2</v>
      </c>
      <c r="N315" s="351" t="str">
        <f t="shared" si="9"/>
        <v>4100018</v>
      </c>
      <c r="P315" s="351" t="str">
        <f t="shared" si="10"/>
        <v>T</v>
      </c>
    </row>
    <row r="316" spans="1:16" ht="24" thickBot="1">
      <c r="A316" s="389" t="s">
        <v>73</v>
      </c>
      <c r="B316" s="390">
        <v>42000</v>
      </c>
      <c r="C316" s="381">
        <v>4</v>
      </c>
      <c r="D316" s="398">
        <v>4342</v>
      </c>
      <c r="E316" s="398">
        <v>46342</v>
      </c>
      <c r="F316" s="398">
        <v>490</v>
      </c>
      <c r="G316" s="398">
        <v>10500</v>
      </c>
      <c r="H316" s="366">
        <v>963</v>
      </c>
      <c r="I316" s="398">
        <v>11463</v>
      </c>
      <c r="K316" s="381">
        <v>0</v>
      </c>
      <c r="L316" s="350">
        <v>0.31</v>
      </c>
      <c r="M316" s="350">
        <v>3.5000000000000003E-2</v>
      </c>
      <c r="N316" s="351" t="str">
        <f t="shared" si="9"/>
        <v>420004</v>
      </c>
      <c r="P316" s="351" t="str">
        <f t="shared" si="10"/>
        <v>T</v>
      </c>
    </row>
    <row r="317" spans="1:16" ht="24" thickTop="1">
      <c r="A317" s="355" t="s">
        <v>73</v>
      </c>
      <c r="B317" s="356">
        <v>42000</v>
      </c>
      <c r="C317" s="396">
        <v>6</v>
      </c>
      <c r="D317" s="397">
        <v>6513</v>
      </c>
      <c r="E317" s="397">
        <v>48513</v>
      </c>
      <c r="F317" s="397">
        <v>735</v>
      </c>
      <c r="G317" s="397">
        <v>7000</v>
      </c>
      <c r="H317" s="397">
        <v>963</v>
      </c>
      <c r="I317" s="397">
        <v>7963</v>
      </c>
      <c r="K317" s="396">
        <v>0</v>
      </c>
      <c r="L317" s="350">
        <v>0.31</v>
      </c>
      <c r="M317" s="350">
        <v>3.5000000000000003E-2</v>
      </c>
      <c r="N317" s="351" t="str">
        <f t="shared" si="9"/>
        <v>420006</v>
      </c>
      <c r="P317" s="351" t="str">
        <f t="shared" si="10"/>
        <v>T</v>
      </c>
    </row>
    <row r="318" spans="1:16" ht="23.25">
      <c r="A318" s="360" t="s">
        <v>73</v>
      </c>
      <c r="B318" s="361">
        <v>42000</v>
      </c>
      <c r="C318" s="365">
        <v>8</v>
      </c>
      <c r="D318" s="366">
        <v>8684</v>
      </c>
      <c r="E318" s="366">
        <v>50684</v>
      </c>
      <c r="F318" s="366">
        <v>980</v>
      </c>
      <c r="G318" s="366">
        <v>5250</v>
      </c>
      <c r="H318" s="366">
        <v>963</v>
      </c>
      <c r="I318" s="366">
        <v>6213</v>
      </c>
      <c r="K318" s="365">
        <v>0</v>
      </c>
      <c r="L318" s="350">
        <v>0.31</v>
      </c>
      <c r="M318" s="350">
        <v>3.5000000000000003E-2</v>
      </c>
      <c r="N318" s="351" t="str">
        <f t="shared" si="9"/>
        <v>420008</v>
      </c>
      <c r="P318" s="351" t="str">
        <f t="shared" si="10"/>
        <v>T</v>
      </c>
    </row>
    <row r="319" spans="1:16" ht="23.25">
      <c r="A319" s="360" t="s">
        <v>73</v>
      </c>
      <c r="B319" s="361">
        <v>42000</v>
      </c>
      <c r="C319" s="367">
        <v>10</v>
      </c>
      <c r="D319" s="368">
        <v>10855</v>
      </c>
      <c r="E319" s="368">
        <v>52855</v>
      </c>
      <c r="F319" s="368">
        <v>1225</v>
      </c>
      <c r="G319" s="368">
        <v>4200</v>
      </c>
      <c r="H319" s="364">
        <v>963</v>
      </c>
      <c r="I319" s="368">
        <v>5163</v>
      </c>
      <c r="K319" s="367">
        <v>0</v>
      </c>
      <c r="L319" s="350">
        <v>0.31</v>
      </c>
      <c r="M319" s="350">
        <v>3.5000000000000003E-2</v>
      </c>
      <c r="N319" s="351" t="str">
        <f t="shared" si="9"/>
        <v>4200010</v>
      </c>
      <c r="P319" s="351" t="str">
        <f t="shared" si="10"/>
        <v>T</v>
      </c>
    </row>
    <row r="320" spans="1:16" ht="23.25">
      <c r="A320" s="360" t="s">
        <v>73</v>
      </c>
      <c r="B320" s="361">
        <v>42000</v>
      </c>
      <c r="C320" s="365">
        <v>12</v>
      </c>
      <c r="D320" s="366">
        <v>13026</v>
      </c>
      <c r="E320" s="366">
        <v>55026</v>
      </c>
      <c r="F320" s="366">
        <v>1470</v>
      </c>
      <c r="G320" s="366">
        <v>3500</v>
      </c>
      <c r="H320" s="366">
        <v>963</v>
      </c>
      <c r="I320" s="366">
        <v>4463</v>
      </c>
      <c r="K320" s="365">
        <v>0</v>
      </c>
      <c r="L320" s="350">
        <v>0.31</v>
      </c>
      <c r="M320" s="350">
        <v>3.5000000000000003E-2</v>
      </c>
      <c r="N320" s="351" t="str">
        <f t="shared" si="9"/>
        <v>4200012</v>
      </c>
      <c r="P320" s="351" t="str">
        <f t="shared" si="10"/>
        <v>T</v>
      </c>
    </row>
    <row r="321" spans="1:16" ht="23.25">
      <c r="A321" s="360" t="s">
        <v>73</v>
      </c>
      <c r="B321" s="361">
        <v>42000</v>
      </c>
      <c r="C321" s="367">
        <v>14</v>
      </c>
      <c r="D321" s="368">
        <v>15197</v>
      </c>
      <c r="E321" s="368">
        <v>57197</v>
      </c>
      <c r="F321" s="368">
        <v>1715</v>
      </c>
      <c r="G321" s="368">
        <v>3000</v>
      </c>
      <c r="H321" s="368">
        <v>963</v>
      </c>
      <c r="I321" s="368">
        <v>3963</v>
      </c>
      <c r="K321" s="367">
        <v>0</v>
      </c>
      <c r="L321" s="350">
        <v>0.31</v>
      </c>
      <c r="M321" s="350">
        <v>3.5000000000000003E-2</v>
      </c>
      <c r="N321" s="351" t="str">
        <f t="shared" si="9"/>
        <v>4200014</v>
      </c>
      <c r="P321" s="351" t="str">
        <f t="shared" si="10"/>
        <v>T</v>
      </c>
    </row>
    <row r="322" spans="1:16" ht="23.25">
      <c r="A322" s="360" t="s">
        <v>73</v>
      </c>
      <c r="B322" s="361">
        <v>42000</v>
      </c>
      <c r="C322" s="365">
        <v>16</v>
      </c>
      <c r="D322" s="366">
        <v>17368</v>
      </c>
      <c r="E322" s="366">
        <v>59368</v>
      </c>
      <c r="F322" s="366">
        <v>1960</v>
      </c>
      <c r="G322" s="366">
        <v>2625</v>
      </c>
      <c r="H322" s="366">
        <v>963</v>
      </c>
      <c r="I322" s="366">
        <v>3588</v>
      </c>
      <c r="K322" s="365">
        <v>0</v>
      </c>
      <c r="L322" s="350">
        <v>0.31</v>
      </c>
      <c r="M322" s="350">
        <v>3.5000000000000003E-2</v>
      </c>
      <c r="N322" s="351" t="str">
        <f t="shared" si="9"/>
        <v>4200016</v>
      </c>
      <c r="P322" s="351" t="str">
        <f t="shared" si="10"/>
        <v>T</v>
      </c>
    </row>
    <row r="323" spans="1:16" ht="23.25">
      <c r="A323" s="360" t="s">
        <v>73</v>
      </c>
      <c r="B323" s="361">
        <v>42000</v>
      </c>
      <c r="C323" s="367">
        <v>18</v>
      </c>
      <c r="D323" s="368">
        <v>19533</v>
      </c>
      <c r="E323" s="368">
        <v>61533</v>
      </c>
      <c r="F323" s="368">
        <v>2205</v>
      </c>
      <c r="G323" s="368">
        <v>2334</v>
      </c>
      <c r="H323" s="368">
        <v>962</v>
      </c>
      <c r="I323" s="368">
        <v>3296</v>
      </c>
      <c r="K323" s="367">
        <v>0</v>
      </c>
      <c r="L323" s="350">
        <v>0.31</v>
      </c>
      <c r="M323" s="350">
        <v>3.5000000000000003E-2</v>
      </c>
      <c r="N323" s="351" t="str">
        <f t="shared" si="9"/>
        <v>4200018</v>
      </c>
      <c r="P323" s="351" t="str">
        <f t="shared" si="10"/>
        <v>T</v>
      </c>
    </row>
    <row r="324" spans="1:16" ht="23.25">
      <c r="A324" s="360" t="s">
        <v>73</v>
      </c>
      <c r="B324" s="361">
        <v>43000</v>
      </c>
      <c r="C324" s="365">
        <v>4</v>
      </c>
      <c r="D324" s="366">
        <v>4446</v>
      </c>
      <c r="E324" s="366">
        <v>47446</v>
      </c>
      <c r="F324" s="366">
        <v>502</v>
      </c>
      <c r="G324" s="366">
        <v>10750</v>
      </c>
      <c r="H324" s="366">
        <v>986</v>
      </c>
      <c r="I324" s="366">
        <v>11736</v>
      </c>
      <c r="K324" s="365">
        <v>0</v>
      </c>
      <c r="L324" s="350">
        <v>0.31</v>
      </c>
      <c r="M324" s="350">
        <v>3.5000000000000003E-2</v>
      </c>
      <c r="N324" s="351" t="str">
        <f t="shared" si="9"/>
        <v>430004</v>
      </c>
      <c r="P324" s="351" t="str">
        <f t="shared" si="10"/>
        <v>T</v>
      </c>
    </row>
    <row r="325" spans="1:16" ht="23.25">
      <c r="A325" s="360" t="s">
        <v>73</v>
      </c>
      <c r="B325" s="361">
        <v>43000</v>
      </c>
      <c r="C325" s="388">
        <v>6</v>
      </c>
      <c r="D325" s="364">
        <v>6671</v>
      </c>
      <c r="E325" s="364">
        <v>49671</v>
      </c>
      <c r="F325" s="364">
        <v>753</v>
      </c>
      <c r="G325" s="364">
        <v>7167</v>
      </c>
      <c r="H325" s="372">
        <v>986</v>
      </c>
      <c r="I325" s="364">
        <v>8153</v>
      </c>
      <c r="K325" s="388">
        <v>0</v>
      </c>
      <c r="L325" s="350">
        <v>0.31</v>
      </c>
      <c r="M325" s="350">
        <v>3.5000000000000003E-2</v>
      </c>
      <c r="N325" s="351" t="str">
        <f t="shared" ref="N325:N388" si="11">CONCATENATE(B325,C325)</f>
        <v>430006</v>
      </c>
      <c r="P325" s="351" t="str">
        <f t="shared" si="10"/>
        <v>T</v>
      </c>
    </row>
    <row r="326" spans="1:16" ht="23.25">
      <c r="A326" s="360" t="s">
        <v>73</v>
      </c>
      <c r="B326" s="361">
        <v>43000</v>
      </c>
      <c r="C326" s="365">
        <v>8</v>
      </c>
      <c r="D326" s="366">
        <v>8892</v>
      </c>
      <c r="E326" s="366">
        <v>51892</v>
      </c>
      <c r="F326" s="366">
        <v>1004</v>
      </c>
      <c r="G326" s="366">
        <v>5375</v>
      </c>
      <c r="H326" s="366">
        <v>986</v>
      </c>
      <c r="I326" s="366">
        <v>6361</v>
      </c>
      <c r="K326" s="365">
        <v>0</v>
      </c>
      <c r="L326" s="350">
        <v>0.31</v>
      </c>
      <c r="M326" s="350">
        <v>3.5000000000000003E-2</v>
      </c>
      <c r="N326" s="351" t="str">
        <f t="shared" si="11"/>
        <v>430008</v>
      </c>
      <c r="P326" s="351" t="str">
        <f t="shared" si="10"/>
        <v>T</v>
      </c>
    </row>
    <row r="327" spans="1:16" ht="24" thickBot="1">
      <c r="A327" s="392" t="s">
        <v>73</v>
      </c>
      <c r="B327" s="393">
        <v>43000</v>
      </c>
      <c r="C327" s="399">
        <v>10</v>
      </c>
      <c r="D327" s="400">
        <v>11115</v>
      </c>
      <c r="E327" s="400">
        <v>54115</v>
      </c>
      <c r="F327" s="400">
        <v>1255</v>
      </c>
      <c r="G327" s="400">
        <v>4300</v>
      </c>
      <c r="H327" s="364">
        <v>986</v>
      </c>
      <c r="I327" s="400">
        <v>5286</v>
      </c>
      <c r="K327" s="399">
        <v>0</v>
      </c>
      <c r="L327" s="350">
        <v>0.31</v>
      </c>
      <c r="M327" s="350">
        <v>3.5000000000000003E-2</v>
      </c>
      <c r="N327" s="351" t="str">
        <f t="shared" si="11"/>
        <v>4300010</v>
      </c>
      <c r="P327" s="351" t="str">
        <f t="shared" si="10"/>
        <v>T</v>
      </c>
    </row>
    <row r="328" spans="1:16" ht="24" thickTop="1">
      <c r="A328" s="384" t="s">
        <v>73</v>
      </c>
      <c r="B328" s="385">
        <v>43000</v>
      </c>
      <c r="C328" s="357">
        <v>12</v>
      </c>
      <c r="D328" s="358">
        <v>13333</v>
      </c>
      <c r="E328" s="358">
        <v>56333</v>
      </c>
      <c r="F328" s="358">
        <v>1505</v>
      </c>
      <c r="G328" s="358">
        <v>3584</v>
      </c>
      <c r="H328" s="358">
        <v>985</v>
      </c>
      <c r="I328" s="358">
        <v>4569</v>
      </c>
      <c r="K328" s="357">
        <v>0</v>
      </c>
      <c r="L328" s="350">
        <v>0.31</v>
      </c>
      <c r="M328" s="350">
        <v>3.5000000000000003E-2</v>
      </c>
      <c r="N328" s="351" t="str">
        <f t="shared" si="11"/>
        <v>4300012</v>
      </c>
      <c r="P328" s="351" t="str">
        <f t="shared" si="10"/>
        <v>T</v>
      </c>
    </row>
    <row r="329" spans="1:16" ht="23.25">
      <c r="A329" s="386" t="s">
        <v>73</v>
      </c>
      <c r="B329" s="387">
        <v>43000</v>
      </c>
      <c r="C329" s="388">
        <v>14</v>
      </c>
      <c r="D329" s="364">
        <v>15554</v>
      </c>
      <c r="E329" s="364">
        <v>58554</v>
      </c>
      <c r="F329" s="364">
        <v>1756</v>
      </c>
      <c r="G329" s="364">
        <v>3072</v>
      </c>
      <c r="H329" s="364">
        <v>985</v>
      </c>
      <c r="I329" s="364">
        <v>4057</v>
      </c>
      <c r="K329" s="388">
        <v>0</v>
      </c>
      <c r="L329" s="350">
        <v>0.31</v>
      </c>
      <c r="M329" s="350">
        <v>3.5000000000000003E-2</v>
      </c>
      <c r="N329" s="351" t="str">
        <f t="shared" si="11"/>
        <v>4300014</v>
      </c>
      <c r="P329" s="351" t="str">
        <f t="shared" si="10"/>
        <v>T</v>
      </c>
    </row>
    <row r="330" spans="1:16" ht="23.25">
      <c r="A330" s="386" t="s">
        <v>73</v>
      </c>
      <c r="B330" s="387">
        <v>43000</v>
      </c>
      <c r="C330" s="365">
        <v>16</v>
      </c>
      <c r="D330" s="366">
        <v>17775</v>
      </c>
      <c r="E330" s="366">
        <v>60775</v>
      </c>
      <c r="F330" s="366">
        <v>2007</v>
      </c>
      <c r="G330" s="366">
        <v>2688</v>
      </c>
      <c r="H330" s="366">
        <v>985</v>
      </c>
      <c r="I330" s="366">
        <v>3673</v>
      </c>
      <c r="K330" s="365">
        <v>0</v>
      </c>
      <c r="L330" s="350">
        <v>0.31</v>
      </c>
      <c r="M330" s="350">
        <v>3.5000000000000003E-2</v>
      </c>
      <c r="N330" s="351" t="str">
        <f t="shared" si="11"/>
        <v>4300016</v>
      </c>
      <c r="P330" s="351" t="str">
        <f t="shared" si="10"/>
        <v>T</v>
      </c>
    </row>
    <row r="331" spans="1:16" ht="23.25">
      <c r="A331" s="386" t="s">
        <v>73</v>
      </c>
      <c r="B331" s="387">
        <v>43000</v>
      </c>
      <c r="C331" s="367">
        <v>18</v>
      </c>
      <c r="D331" s="368">
        <v>20008</v>
      </c>
      <c r="E331" s="368">
        <v>63008</v>
      </c>
      <c r="F331" s="368">
        <v>2258</v>
      </c>
      <c r="G331" s="368">
        <v>2389</v>
      </c>
      <c r="H331" s="368">
        <v>986</v>
      </c>
      <c r="I331" s="368">
        <v>3375</v>
      </c>
      <c r="K331" s="367">
        <v>0</v>
      </c>
      <c r="L331" s="350">
        <v>0.31</v>
      </c>
      <c r="M331" s="350">
        <v>3.5000000000000003E-2</v>
      </c>
      <c r="N331" s="351" t="str">
        <f t="shared" si="11"/>
        <v>4300018</v>
      </c>
      <c r="P331" s="351" t="str">
        <f t="shared" si="10"/>
        <v>T</v>
      </c>
    </row>
    <row r="332" spans="1:16" ht="23.25">
      <c r="A332" s="386" t="s">
        <v>73</v>
      </c>
      <c r="B332" s="387">
        <v>44000</v>
      </c>
      <c r="C332" s="365">
        <v>4</v>
      </c>
      <c r="D332" s="366">
        <v>4550</v>
      </c>
      <c r="E332" s="366">
        <v>48550</v>
      </c>
      <c r="F332" s="366">
        <v>514</v>
      </c>
      <c r="G332" s="366">
        <v>11000</v>
      </c>
      <c r="H332" s="366">
        <v>1009</v>
      </c>
      <c r="I332" s="366">
        <v>12009</v>
      </c>
      <c r="K332" s="365">
        <v>0</v>
      </c>
      <c r="L332" s="350">
        <v>0.31</v>
      </c>
      <c r="M332" s="350">
        <v>3.5000000000000003E-2</v>
      </c>
      <c r="N332" s="351" t="str">
        <f t="shared" si="11"/>
        <v>440004</v>
      </c>
      <c r="P332" s="351" t="str">
        <f t="shared" si="10"/>
        <v>T</v>
      </c>
    </row>
    <row r="333" spans="1:16" ht="23.25">
      <c r="A333" s="386" t="s">
        <v>73</v>
      </c>
      <c r="B333" s="387">
        <v>44000</v>
      </c>
      <c r="C333" s="367">
        <v>6</v>
      </c>
      <c r="D333" s="368">
        <v>6822</v>
      </c>
      <c r="E333" s="368">
        <v>50822</v>
      </c>
      <c r="F333" s="368">
        <v>770</v>
      </c>
      <c r="G333" s="368">
        <v>7334</v>
      </c>
      <c r="H333" s="368">
        <v>1008</v>
      </c>
      <c r="I333" s="368">
        <v>8342</v>
      </c>
      <c r="K333" s="367">
        <v>0</v>
      </c>
      <c r="L333" s="350">
        <v>0.31</v>
      </c>
      <c r="M333" s="350">
        <v>3.5000000000000003E-2</v>
      </c>
      <c r="N333" s="351" t="str">
        <f t="shared" si="11"/>
        <v>440006</v>
      </c>
      <c r="P333" s="351" t="str">
        <f t="shared" si="10"/>
        <v>T</v>
      </c>
    </row>
    <row r="334" spans="1:16" ht="23.25">
      <c r="A334" s="386" t="s">
        <v>73</v>
      </c>
      <c r="B334" s="387">
        <v>44000</v>
      </c>
      <c r="C334" s="365">
        <v>8</v>
      </c>
      <c r="D334" s="366">
        <v>9099</v>
      </c>
      <c r="E334" s="366">
        <v>53099</v>
      </c>
      <c r="F334" s="366">
        <v>1027</v>
      </c>
      <c r="G334" s="366">
        <v>5500</v>
      </c>
      <c r="H334" s="366">
        <v>1009</v>
      </c>
      <c r="I334" s="366">
        <v>6509</v>
      </c>
      <c r="K334" s="365">
        <v>0</v>
      </c>
      <c r="L334" s="350">
        <v>0.31</v>
      </c>
      <c r="M334" s="350">
        <v>3.5000000000000003E-2</v>
      </c>
      <c r="N334" s="351" t="str">
        <f t="shared" si="11"/>
        <v>440008</v>
      </c>
      <c r="P334" s="351" t="str">
        <f t="shared" si="10"/>
        <v>T</v>
      </c>
    </row>
    <row r="335" spans="1:16" ht="23.25">
      <c r="A335" s="386" t="s">
        <v>73</v>
      </c>
      <c r="B335" s="387">
        <v>44000</v>
      </c>
      <c r="C335" s="367">
        <v>10</v>
      </c>
      <c r="D335" s="368">
        <v>11374</v>
      </c>
      <c r="E335" s="368">
        <v>55374</v>
      </c>
      <c r="F335" s="368">
        <v>1284</v>
      </c>
      <c r="G335" s="368">
        <v>4400</v>
      </c>
      <c r="H335" s="372">
        <v>1009</v>
      </c>
      <c r="I335" s="368">
        <v>5409</v>
      </c>
      <c r="K335" s="367">
        <v>0</v>
      </c>
      <c r="L335" s="350">
        <v>0.31</v>
      </c>
      <c r="M335" s="350">
        <v>3.5000000000000003E-2</v>
      </c>
      <c r="N335" s="351" t="str">
        <f t="shared" si="11"/>
        <v>4400010</v>
      </c>
      <c r="P335" s="351" t="str">
        <f t="shared" si="10"/>
        <v>T</v>
      </c>
    </row>
    <row r="336" spans="1:16" ht="23.25">
      <c r="A336" s="386" t="s">
        <v>73</v>
      </c>
      <c r="B336" s="387">
        <v>44000</v>
      </c>
      <c r="C336" s="365">
        <v>12</v>
      </c>
      <c r="D336" s="366">
        <v>13652</v>
      </c>
      <c r="E336" s="366">
        <v>57652</v>
      </c>
      <c r="F336" s="366">
        <v>1540</v>
      </c>
      <c r="G336" s="366">
        <v>3667</v>
      </c>
      <c r="H336" s="366">
        <v>1009</v>
      </c>
      <c r="I336" s="366">
        <v>4676</v>
      </c>
      <c r="K336" s="365">
        <v>0</v>
      </c>
      <c r="L336" s="350">
        <v>0.31</v>
      </c>
      <c r="M336" s="350">
        <v>3.5000000000000003E-2</v>
      </c>
      <c r="N336" s="351" t="str">
        <f t="shared" si="11"/>
        <v>4400012</v>
      </c>
      <c r="P336" s="351" t="str">
        <f t="shared" si="10"/>
        <v>T</v>
      </c>
    </row>
    <row r="337" spans="1:16" ht="23.25">
      <c r="A337" s="386" t="s">
        <v>73</v>
      </c>
      <c r="B337" s="387">
        <v>44000</v>
      </c>
      <c r="C337" s="388">
        <v>14</v>
      </c>
      <c r="D337" s="364">
        <v>15925</v>
      </c>
      <c r="E337" s="364">
        <v>59925</v>
      </c>
      <c r="F337" s="364">
        <v>1797</v>
      </c>
      <c r="G337" s="364">
        <v>3143</v>
      </c>
      <c r="H337" s="364">
        <v>1009</v>
      </c>
      <c r="I337" s="364">
        <v>4152</v>
      </c>
      <c r="K337" s="388">
        <v>0</v>
      </c>
      <c r="L337" s="350">
        <v>0.31</v>
      </c>
      <c r="M337" s="350">
        <v>3.5000000000000003E-2</v>
      </c>
      <c r="N337" s="351" t="str">
        <f t="shared" si="11"/>
        <v>4400014</v>
      </c>
      <c r="P337" s="351" t="str">
        <f t="shared" ref="P337:P400" si="12">IF((E337-F337)/C337=I337,"T","F")</f>
        <v>T</v>
      </c>
    </row>
    <row r="338" spans="1:16" ht="24" thickBot="1">
      <c r="A338" s="389" t="s">
        <v>73</v>
      </c>
      <c r="B338" s="390">
        <v>44000</v>
      </c>
      <c r="C338" s="381">
        <v>16</v>
      </c>
      <c r="D338" s="398">
        <v>18198</v>
      </c>
      <c r="E338" s="398">
        <v>62198</v>
      </c>
      <c r="F338" s="398">
        <v>2054</v>
      </c>
      <c r="G338" s="398">
        <v>2750</v>
      </c>
      <c r="H338" s="366">
        <v>1009</v>
      </c>
      <c r="I338" s="398">
        <v>3759</v>
      </c>
      <c r="K338" s="381">
        <v>0</v>
      </c>
      <c r="L338" s="350">
        <v>0.31</v>
      </c>
      <c r="M338" s="350">
        <v>3.5000000000000003E-2</v>
      </c>
      <c r="N338" s="351" t="str">
        <f t="shared" si="11"/>
        <v>4400016</v>
      </c>
      <c r="P338" s="351" t="str">
        <f t="shared" si="12"/>
        <v>T</v>
      </c>
    </row>
    <row r="339" spans="1:16" ht="24" thickTop="1">
      <c r="A339" s="355" t="s">
        <v>73</v>
      </c>
      <c r="B339" s="356">
        <v>44000</v>
      </c>
      <c r="C339" s="396">
        <v>18</v>
      </c>
      <c r="D339" s="397">
        <v>20464</v>
      </c>
      <c r="E339" s="397">
        <v>64464</v>
      </c>
      <c r="F339" s="397">
        <v>2310</v>
      </c>
      <c r="G339" s="397">
        <v>2445</v>
      </c>
      <c r="H339" s="397">
        <v>1008</v>
      </c>
      <c r="I339" s="397">
        <v>3453</v>
      </c>
      <c r="K339" s="396">
        <v>0</v>
      </c>
      <c r="L339" s="350">
        <v>0.31</v>
      </c>
      <c r="M339" s="350">
        <v>3.5000000000000003E-2</v>
      </c>
      <c r="N339" s="351" t="str">
        <f t="shared" si="11"/>
        <v>4400018</v>
      </c>
      <c r="P339" s="351" t="str">
        <f t="shared" si="12"/>
        <v>T</v>
      </c>
    </row>
    <row r="340" spans="1:16" ht="23.25">
      <c r="A340" s="360" t="s">
        <v>73</v>
      </c>
      <c r="B340" s="361">
        <v>45000</v>
      </c>
      <c r="C340" s="365">
        <v>4</v>
      </c>
      <c r="D340" s="366">
        <v>4653</v>
      </c>
      <c r="E340" s="366">
        <v>49653</v>
      </c>
      <c r="F340" s="366">
        <v>525</v>
      </c>
      <c r="G340" s="366">
        <v>11250</v>
      </c>
      <c r="H340" s="366">
        <v>1032</v>
      </c>
      <c r="I340" s="366">
        <v>12282</v>
      </c>
      <c r="K340" s="365">
        <v>0</v>
      </c>
      <c r="L340" s="350">
        <v>0.31</v>
      </c>
      <c r="M340" s="350">
        <v>3.5000000000000003E-2</v>
      </c>
      <c r="N340" s="351" t="str">
        <f t="shared" si="11"/>
        <v>450004</v>
      </c>
      <c r="P340" s="351" t="str">
        <f t="shared" si="12"/>
        <v>T</v>
      </c>
    </row>
    <row r="341" spans="1:16" ht="23.25">
      <c r="A341" s="360" t="s">
        <v>73</v>
      </c>
      <c r="B341" s="361">
        <v>45000</v>
      </c>
      <c r="C341" s="367">
        <v>6</v>
      </c>
      <c r="D341" s="368">
        <v>6980</v>
      </c>
      <c r="E341" s="368">
        <v>51980</v>
      </c>
      <c r="F341" s="368">
        <v>788</v>
      </c>
      <c r="G341" s="368">
        <v>7500</v>
      </c>
      <c r="H341" s="364">
        <v>1032</v>
      </c>
      <c r="I341" s="368">
        <v>8532</v>
      </c>
      <c r="K341" s="367">
        <v>0</v>
      </c>
      <c r="L341" s="350">
        <v>0.31</v>
      </c>
      <c r="M341" s="350">
        <v>3.5000000000000003E-2</v>
      </c>
      <c r="N341" s="351" t="str">
        <f t="shared" si="11"/>
        <v>450006</v>
      </c>
      <c r="P341" s="351" t="str">
        <f t="shared" si="12"/>
        <v>T</v>
      </c>
    </row>
    <row r="342" spans="1:16" ht="23.25">
      <c r="A342" s="360" t="s">
        <v>73</v>
      </c>
      <c r="B342" s="361">
        <v>45000</v>
      </c>
      <c r="C342" s="365">
        <v>8</v>
      </c>
      <c r="D342" s="366">
        <v>9306</v>
      </c>
      <c r="E342" s="366">
        <v>54306</v>
      </c>
      <c r="F342" s="366">
        <v>1050</v>
      </c>
      <c r="G342" s="366">
        <v>5625</v>
      </c>
      <c r="H342" s="366">
        <v>1032</v>
      </c>
      <c r="I342" s="366">
        <v>6657</v>
      </c>
      <c r="K342" s="365">
        <v>0</v>
      </c>
      <c r="L342" s="350">
        <v>0.31</v>
      </c>
      <c r="M342" s="350">
        <v>3.5000000000000003E-2</v>
      </c>
      <c r="N342" s="351" t="str">
        <f t="shared" si="11"/>
        <v>450008</v>
      </c>
      <c r="P342" s="351" t="str">
        <f t="shared" si="12"/>
        <v>T</v>
      </c>
    </row>
    <row r="343" spans="1:16" ht="23.25">
      <c r="A343" s="360" t="s">
        <v>73</v>
      </c>
      <c r="B343" s="361">
        <v>45000</v>
      </c>
      <c r="C343" s="367">
        <v>10</v>
      </c>
      <c r="D343" s="368">
        <v>11633</v>
      </c>
      <c r="E343" s="368">
        <v>56633</v>
      </c>
      <c r="F343" s="368">
        <v>1313</v>
      </c>
      <c r="G343" s="368">
        <v>4500</v>
      </c>
      <c r="H343" s="368">
        <v>1032</v>
      </c>
      <c r="I343" s="368">
        <v>5532</v>
      </c>
      <c r="K343" s="367">
        <v>0</v>
      </c>
      <c r="L343" s="350">
        <v>0.31</v>
      </c>
      <c r="M343" s="350">
        <v>3.5000000000000003E-2</v>
      </c>
      <c r="N343" s="351" t="str">
        <f t="shared" si="11"/>
        <v>4500010</v>
      </c>
      <c r="P343" s="351" t="str">
        <f t="shared" si="12"/>
        <v>T</v>
      </c>
    </row>
    <row r="344" spans="1:16" ht="23.25">
      <c r="A344" s="360" t="s">
        <v>73</v>
      </c>
      <c r="B344" s="361">
        <v>45000</v>
      </c>
      <c r="C344" s="365">
        <v>12</v>
      </c>
      <c r="D344" s="366">
        <v>13959</v>
      </c>
      <c r="E344" s="366">
        <v>58959</v>
      </c>
      <c r="F344" s="366">
        <v>1575</v>
      </c>
      <c r="G344" s="366">
        <v>3750</v>
      </c>
      <c r="H344" s="366">
        <v>1032</v>
      </c>
      <c r="I344" s="366">
        <v>4782</v>
      </c>
      <c r="K344" s="365">
        <v>0</v>
      </c>
      <c r="L344" s="350">
        <v>0.31</v>
      </c>
      <c r="M344" s="350">
        <v>3.5000000000000003E-2</v>
      </c>
      <c r="N344" s="351" t="str">
        <f t="shared" si="11"/>
        <v>4500012</v>
      </c>
      <c r="P344" s="351" t="str">
        <f t="shared" si="12"/>
        <v>T</v>
      </c>
    </row>
    <row r="345" spans="1:16" ht="23.25">
      <c r="A345" s="360" t="s">
        <v>73</v>
      </c>
      <c r="B345" s="361">
        <v>45000</v>
      </c>
      <c r="C345" s="367">
        <v>14</v>
      </c>
      <c r="D345" s="368">
        <v>16282</v>
      </c>
      <c r="E345" s="368">
        <v>61282</v>
      </c>
      <c r="F345" s="368">
        <v>1838</v>
      </c>
      <c r="G345" s="368">
        <v>3215</v>
      </c>
      <c r="H345" s="368">
        <v>1031</v>
      </c>
      <c r="I345" s="368">
        <v>4246</v>
      </c>
      <c r="K345" s="367">
        <v>0</v>
      </c>
      <c r="L345" s="350">
        <v>0.31</v>
      </c>
      <c r="M345" s="350">
        <v>3.5000000000000003E-2</v>
      </c>
      <c r="N345" s="351" t="str">
        <f t="shared" si="11"/>
        <v>4500014</v>
      </c>
      <c r="P345" s="351" t="str">
        <f t="shared" si="12"/>
        <v>T</v>
      </c>
    </row>
    <row r="346" spans="1:16" ht="23.25">
      <c r="A346" s="360" t="s">
        <v>73</v>
      </c>
      <c r="B346" s="361">
        <v>45000</v>
      </c>
      <c r="C346" s="365">
        <v>16</v>
      </c>
      <c r="D346" s="366">
        <v>18604</v>
      </c>
      <c r="E346" s="366">
        <v>63604</v>
      </c>
      <c r="F346" s="366">
        <v>2100</v>
      </c>
      <c r="G346" s="366">
        <v>2813</v>
      </c>
      <c r="H346" s="366">
        <v>1031</v>
      </c>
      <c r="I346" s="366">
        <v>3844</v>
      </c>
      <c r="K346" s="365">
        <v>0</v>
      </c>
      <c r="L346" s="350">
        <v>0.31</v>
      </c>
      <c r="M346" s="350">
        <v>3.5000000000000003E-2</v>
      </c>
      <c r="N346" s="351" t="str">
        <f t="shared" si="11"/>
        <v>4500016</v>
      </c>
      <c r="P346" s="351" t="str">
        <f t="shared" si="12"/>
        <v>T</v>
      </c>
    </row>
    <row r="347" spans="1:16" ht="23.25">
      <c r="A347" s="360" t="s">
        <v>73</v>
      </c>
      <c r="B347" s="361">
        <v>45000</v>
      </c>
      <c r="C347" s="388">
        <v>18</v>
      </c>
      <c r="D347" s="364">
        <v>20939</v>
      </c>
      <c r="E347" s="364">
        <v>65939</v>
      </c>
      <c r="F347" s="364">
        <v>2363</v>
      </c>
      <c r="G347" s="364">
        <v>2500</v>
      </c>
      <c r="H347" s="372">
        <v>1032</v>
      </c>
      <c r="I347" s="364">
        <v>3532</v>
      </c>
      <c r="K347" s="388">
        <v>0</v>
      </c>
      <c r="L347" s="350">
        <v>0.31</v>
      </c>
      <c r="M347" s="350">
        <v>3.5000000000000003E-2</v>
      </c>
      <c r="N347" s="351" t="str">
        <f t="shared" si="11"/>
        <v>4500018</v>
      </c>
      <c r="P347" s="351" t="str">
        <f t="shared" si="12"/>
        <v>T</v>
      </c>
    </row>
    <row r="348" spans="1:16" ht="23.25">
      <c r="A348" s="360" t="s">
        <v>73</v>
      </c>
      <c r="B348" s="361">
        <v>46000</v>
      </c>
      <c r="C348" s="365">
        <v>4</v>
      </c>
      <c r="D348" s="366">
        <v>4757</v>
      </c>
      <c r="E348" s="366">
        <v>50757</v>
      </c>
      <c r="F348" s="366">
        <v>537</v>
      </c>
      <c r="G348" s="366">
        <v>11500</v>
      </c>
      <c r="H348" s="366">
        <v>1055</v>
      </c>
      <c r="I348" s="366">
        <v>12555</v>
      </c>
      <c r="K348" s="365">
        <v>0</v>
      </c>
      <c r="L348" s="350">
        <v>0.31</v>
      </c>
      <c r="M348" s="350">
        <v>3.5000000000000003E-2</v>
      </c>
      <c r="N348" s="351" t="str">
        <f t="shared" si="11"/>
        <v>460004</v>
      </c>
      <c r="P348" s="351" t="str">
        <f t="shared" si="12"/>
        <v>T</v>
      </c>
    </row>
    <row r="349" spans="1:16" ht="24" thickBot="1">
      <c r="A349" s="392" t="s">
        <v>73</v>
      </c>
      <c r="B349" s="393">
        <v>46000</v>
      </c>
      <c r="C349" s="399">
        <v>6</v>
      </c>
      <c r="D349" s="400">
        <v>7131</v>
      </c>
      <c r="E349" s="400">
        <v>53131</v>
      </c>
      <c r="F349" s="400">
        <v>805</v>
      </c>
      <c r="G349" s="400">
        <v>7667</v>
      </c>
      <c r="H349" s="364">
        <v>1054</v>
      </c>
      <c r="I349" s="400">
        <v>8721</v>
      </c>
      <c r="K349" s="399">
        <v>0</v>
      </c>
      <c r="L349" s="350">
        <v>0.31</v>
      </c>
      <c r="M349" s="350">
        <v>3.5000000000000003E-2</v>
      </c>
      <c r="N349" s="351" t="str">
        <f t="shared" si="11"/>
        <v>460006</v>
      </c>
      <c r="P349" s="351" t="str">
        <f t="shared" si="12"/>
        <v>T</v>
      </c>
    </row>
    <row r="350" spans="1:16" ht="24" thickTop="1">
      <c r="A350" s="384" t="s">
        <v>73</v>
      </c>
      <c r="B350" s="385">
        <v>46000</v>
      </c>
      <c r="C350" s="357">
        <v>8</v>
      </c>
      <c r="D350" s="358">
        <v>9514</v>
      </c>
      <c r="E350" s="358">
        <v>55514</v>
      </c>
      <c r="F350" s="358">
        <v>1074</v>
      </c>
      <c r="G350" s="358">
        <v>5750</v>
      </c>
      <c r="H350" s="358">
        <v>1055</v>
      </c>
      <c r="I350" s="358">
        <v>6805</v>
      </c>
      <c r="K350" s="357">
        <v>0</v>
      </c>
      <c r="L350" s="350">
        <v>0.31</v>
      </c>
      <c r="M350" s="350">
        <v>3.5000000000000003E-2</v>
      </c>
      <c r="N350" s="351" t="str">
        <f t="shared" si="11"/>
        <v>460008</v>
      </c>
      <c r="P350" s="351" t="str">
        <f t="shared" si="12"/>
        <v>T</v>
      </c>
    </row>
    <row r="351" spans="1:16" ht="23.25">
      <c r="A351" s="386" t="s">
        <v>73</v>
      </c>
      <c r="B351" s="387">
        <v>46000</v>
      </c>
      <c r="C351" s="388">
        <v>10</v>
      </c>
      <c r="D351" s="364">
        <v>11892</v>
      </c>
      <c r="E351" s="364">
        <v>57892</v>
      </c>
      <c r="F351" s="364">
        <v>1342</v>
      </c>
      <c r="G351" s="364">
        <v>4600</v>
      </c>
      <c r="H351" s="364">
        <v>1055</v>
      </c>
      <c r="I351" s="364">
        <v>5655</v>
      </c>
      <c r="K351" s="388">
        <v>0</v>
      </c>
      <c r="L351" s="350">
        <v>0.31</v>
      </c>
      <c r="M351" s="350">
        <v>3.5000000000000003E-2</v>
      </c>
      <c r="N351" s="351" t="str">
        <f t="shared" si="11"/>
        <v>4600010</v>
      </c>
      <c r="P351" s="351" t="str">
        <f t="shared" si="12"/>
        <v>T</v>
      </c>
    </row>
    <row r="352" spans="1:16" ht="23.25">
      <c r="A352" s="386" t="s">
        <v>73</v>
      </c>
      <c r="B352" s="387">
        <v>46000</v>
      </c>
      <c r="C352" s="365">
        <v>12</v>
      </c>
      <c r="D352" s="366">
        <v>14266</v>
      </c>
      <c r="E352" s="366">
        <v>60266</v>
      </c>
      <c r="F352" s="366">
        <v>1610</v>
      </c>
      <c r="G352" s="366">
        <v>3834</v>
      </c>
      <c r="H352" s="366">
        <v>1054</v>
      </c>
      <c r="I352" s="366">
        <v>4888</v>
      </c>
      <c r="K352" s="365">
        <v>0</v>
      </c>
      <c r="L352" s="350">
        <v>0.31</v>
      </c>
      <c r="M352" s="350">
        <v>3.5000000000000003E-2</v>
      </c>
      <c r="N352" s="351" t="str">
        <f t="shared" si="11"/>
        <v>4600012</v>
      </c>
      <c r="P352" s="351" t="str">
        <f t="shared" si="12"/>
        <v>T</v>
      </c>
    </row>
    <row r="353" spans="1:16" ht="23.25">
      <c r="A353" s="386" t="s">
        <v>73</v>
      </c>
      <c r="B353" s="387">
        <v>46000</v>
      </c>
      <c r="C353" s="367">
        <v>14</v>
      </c>
      <c r="D353" s="368">
        <v>16639</v>
      </c>
      <c r="E353" s="368">
        <v>62639</v>
      </c>
      <c r="F353" s="368">
        <v>1879</v>
      </c>
      <c r="G353" s="368">
        <v>3286</v>
      </c>
      <c r="H353" s="368">
        <v>1054</v>
      </c>
      <c r="I353" s="368">
        <v>4340</v>
      </c>
      <c r="K353" s="367">
        <v>0</v>
      </c>
      <c r="L353" s="350">
        <v>0.31</v>
      </c>
      <c r="M353" s="350">
        <v>3.5000000000000003E-2</v>
      </c>
      <c r="N353" s="351" t="str">
        <f t="shared" si="11"/>
        <v>4600014</v>
      </c>
      <c r="P353" s="351" t="str">
        <f t="shared" si="12"/>
        <v>T</v>
      </c>
    </row>
    <row r="354" spans="1:16" ht="23.25">
      <c r="A354" s="386" t="s">
        <v>73</v>
      </c>
      <c r="B354" s="387">
        <v>46000</v>
      </c>
      <c r="C354" s="365">
        <v>16</v>
      </c>
      <c r="D354" s="366">
        <v>19027</v>
      </c>
      <c r="E354" s="366">
        <v>65027</v>
      </c>
      <c r="F354" s="366">
        <v>2147</v>
      </c>
      <c r="G354" s="366">
        <v>2875</v>
      </c>
      <c r="H354" s="366">
        <v>1055</v>
      </c>
      <c r="I354" s="366">
        <v>3930</v>
      </c>
      <c r="K354" s="365">
        <v>0</v>
      </c>
      <c r="L354" s="350">
        <v>0.31</v>
      </c>
      <c r="M354" s="350">
        <v>3.5000000000000003E-2</v>
      </c>
      <c r="N354" s="351" t="str">
        <f t="shared" si="11"/>
        <v>4600016</v>
      </c>
      <c r="P354" s="351" t="str">
        <f t="shared" si="12"/>
        <v>T</v>
      </c>
    </row>
    <row r="355" spans="1:16" ht="23.25">
      <c r="A355" s="386" t="s">
        <v>73</v>
      </c>
      <c r="B355" s="387">
        <v>46000</v>
      </c>
      <c r="C355" s="367">
        <v>18</v>
      </c>
      <c r="D355" s="368">
        <v>21395</v>
      </c>
      <c r="E355" s="368">
        <v>67395</v>
      </c>
      <c r="F355" s="368">
        <v>2415</v>
      </c>
      <c r="G355" s="368">
        <v>2556</v>
      </c>
      <c r="H355" s="368">
        <v>1054</v>
      </c>
      <c r="I355" s="368">
        <v>3610</v>
      </c>
      <c r="K355" s="367">
        <v>0</v>
      </c>
      <c r="L355" s="350">
        <v>0.31</v>
      </c>
      <c r="M355" s="350">
        <v>3.5000000000000003E-2</v>
      </c>
      <c r="N355" s="351" t="str">
        <f t="shared" si="11"/>
        <v>4600018</v>
      </c>
      <c r="P355" s="351" t="str">
        <f t="shared" si="12"/>
        <v>T</v>
      </c>
    </row>
    <row r="356" spans="1:16" ht="23.25">
      <c r="A356" s="386" t="s">
        <v>73</v>
      </c>
      <c r="B356" s="387">
        <v>47000</v>
      </c>
      <c r="C356" s="365">
        <v>4</v>
      </c>
      <c r="D356" s="366">
        <v>4861</v>
      </c>
      <c r="E356" s="366">
        <v>51861</v>
      </c>
      <c r="F356" s="366">
        <v>549</v>
      </c>
      <c r="G356" s="366">
        <v>11750</v>
      </c>
      <c r="H356" s="366">
        <v>1078</v>
      </c>
      <c r="I356" s="366">
        <v>12828</v>
      </c>
      <c r="K356" s="365">
        <v>0</v>
      </c>
      <c r="L356" s="350">
        <v>0.31</v>
      </c>
      <c r="M356" s="350">
        <v>3.5000000000000003E-2</v>
      </c>
      <c r="N356" s="351" t="str">
        <f t="shared" si="11"/>
        <v>470004</v>
      </c>
      <c r="P356" s="351" t="str">
        <f t="shared" si="12"/>
        <v>T</v>
      </c>
    </row>
    <row r="357" spans="1:16" ht="23.25">
      <c r="A357" s="386" t="s">
        <v>73</v>
      </c>
      <c r="B357" s="387">
        <v>47000</v>
      </c>
      <c r="C357" s="367">
        <v>6</v>
      </c>
      <c r="D357" s="368">
        <v>7289</v>
      </c>
      <c r="E357" s="368">
        <v>54289</v>
      </c>
      <c r="F357" s="368">
        <v>823</v>
      </c>
      <c r="G357" s="372">
        <v>7834</v>
      </c>
      <c r="H357" s="372">
        <v>1077</v>
      </c>
      <c r="I357" s="368">
        <v>8911</v>
      </c>
      <c r="K357" s="367">
        <v>0</v>
      </c>
      <c r="L357" s="350">
        <v>0.31</v>
      </c>
      <c r="M357" s="350">
        <v>3.5000000000000003E-2</v>
      </c>
      <c r="N357" s="351" t="str">
        <f t="shared" si="11"/>
        <v>470006</v>
      </c>
      <c r="P357" s="351" t="str">
        <f t="shared" si="12"/>
        <v>T</v>
      </c>
    </row>
    <row r="358" spans="1:16" ht="23.25">
      <c r="A358" s="386" t="s">
        <v>73</v>
      </c>
      <c r="B358" s="387">
        <v>47000</v>
      </c>
      <c r="C358" s="365">
        <v>8</v>
      </c>
      <c r="D358" s="366">
        <v>9721</v>
      </c>
      <c r="E358" s="366">
        <v>56721</v>
      </c>
      <c r="F358" s="366">
        <v>1097</v>
      </c>
      <c r="G358" s="366">
        <v>5875</v>
      </c>
      <c r="H358" s="366">
        <v>1078</v>
      </c>
      <c r="I358" s="366">
        <v>6953</v>
      </c>
      <c r="K358" s="365">
        <v>0</v>
      </c>
      <c r="L358" s="350">
        <v>0.31</v>
      </c>
      <c r="M358" s="350">
        <v>3.5000000000000003E-2</v>
      </c>
      <c r="N358" s="351" t="str">
        <f t="shared" si="11"/>
        <v>470008</v>
      </c>
      <c r="P358" s="351" t="str">
        <f t="shared" si="12"/>
        <v>T</v>
      </c>
    </row>
    <row r="359" spans="1:16" ht="23.25">
      <c r="A359" s="386" t="s">
        <v>73</v>
      </c>
      <c r="B359" s="387">
        <v>47000</v>
      </c>
      <c r="C359" s="388">
        <v>10</v>
      </c>
      <c r="D359" s="364">
        <v>12151</v>
      </c>
      <c r="E359" s="364">
        <v>59151</v>
      </c>
      <c r="F359" s="364">
        <v>1371</v>
      </c>
      <c r="G359" s="364">
        <v>4700</v>
      </c>
      <c r="H359" s="364">
        <v>1078</v>
      </c>
      <c r="I359" s="364">
        <v>5778</v>
      </c>
      <c r="K359" s="388">
        <v>0</v>
      </c>
      <c r="L359" s="350">
        <v>0.31</v>
      </c>
      <c r="M359" s="350">
        <v>3.5000000000000003E-2</v>
      </c>
      <c r="N359" s="351" t="str">
        <f t="shared" si="11"/>
        <v>4700010</v>
      </c>
      <c r="P359" s="351" t="str">
        <f t="shared" si="12"/>
        <v>T</v>
      </c>
    </row>
    <row r="360" spans="1:16" ht="24" thickBot="1">
      <c r="A360" s="389" t="s">
        <v>73</v>
      </c>
      <c r="B360" s="390">
        <v>47000</v>
      </c>
      <c r="C360" s="381">
        <v>12</v>
      </c>
      <c r="D360" s="398">
        <v>14573</v>
      </c>
      <c r="E360" s="398">
        <v>61573</v>
      </c>
      <c r="F360" s="398">
        <v>1645</v>
      </c>
      <c r="G360" s="366">
        <v>3917</v>
      </c>
      <c r="H360" s="366">
        <v>1077</v>
      </c>
      <c r="I360" s="398">
        <v>4994</v>
      </c>
      <c r="K360" s="381">
        <v>0</v>
      </c>
      <c r="L360" s="350">
        <v>0.31</v>
      </c>
      <c r="M360" s="350">
        <v>3.5000000000000003E-2</v>
      </c>
      <c r="N360" s="351" t="str">
        <f t="shared" si="11"/>
        <v>4700012</v>
      </c>
      <c r="P360" s="351" t="str">
        <f t="shared" si="12"/>
        <v>T</v>
      </c>
    </row>
    <row r="361" spans="1:16" ht="24" thickTop="1">
      <c r="A361" s="355" t="s">
        <v>73</v>
      </c>
      <c r="B361" s="356">
        <v>47000</v>
      </c>
      <c r="C361" s="396">
        <v>14</v>
      </c>
      <c r="D361" s="397">
        <v>17010</v>
      </c>
      <c r="E361" s="397">
        <v>64010</v>
      </c>
      <c r="F361" s="397">
        <v>1920</v>
      </c>
      <c r="G361" s="397">
        <v>3358</v>
      </c>
      <c r="H361" s="397">
        <v>1077</v>
      </c>
      <c r="I361" s="397">
        <v>4435</v>
      </c>
      <c r="K361" s="396">
        <v>0</v>
      </c>
      <c r="L361" s="350">
        <v>0.31</v>
      </c>
      <c r="M361" s="350">
        <v>3.5000000000000003E-2</v>
      </c>
      <c r="N361" s="351" t="str">
        <f t="shared" si="11"/>
        <v>4700014</v>
      </c>
      <c r="P361" s="351" t="str">
        <f t="shared" si="12"/>
        <v>T</v>
      </c>
    </row>
    <row r="362" spans="1:16" ht="23.25">
      <c r="A362" s="360" t="s">
        <v>73</v>
      </c>
      <c r="B362" s="361">
        <v>47000</v>
      </c>
      <c r="C362" s="365">
        <v>16</v>
      </c>
      <c r="D362" s="366">
        <v>19434</v>
      </c>
      <c r="E362" s="366">
        <v>66434</v>
      </c>
      <c r="F362" s="366">
        <v>2194</v>
      </c>
      <c r="G362" s="366">
        <v>2938</v>
      </c>
      <c r="H362" s="366">
        <v>1077</v>
      </c>
      <c r="I362" s="366">
        <v>4015</v>
      </c>
      <c r="K362" s="365">
        <v>0</v>
      </c>
      <c r="L362" s="350">
        <v>0.31</v>
      </c>
      <c r="M362" s="350">
        <v>3.5000000000000003E-2</v>
      </c>
      <c r="N362" s="351" t="str">
        <f t="shared" si="11"/>
        <v>4700016</v>
      </c>
      <c r="P362" s="351" t="str">
        <f t="shared" si="12"/>
        <v>T</v>
      </c>
    </row>
    <row r="363" spans="1:16" ht="23.25">
      <c r="A363" s="360" t="s">
        <v>73</v>
      </c>
      <c r="B363" s="361">
        <v>47000</v>
      </c>
      <c r="C363" s="367">
        <v>18</v>
      </c>
      <c r="D363" s="368">
        <v>21870</v>
      </c>
      <c r="E363" s="368">
        <v>68870</v>
      </c>
      <c r="F363" s="368">
        <v>2468</v>
      </c>
      <c r="G363" s="368">
        <v>2612</v>
      </c>
      <c r="H363" s="364">
        <v>1077</v>
      </c>
      <c r="I363" s="368">
        <v>3689</v>
      </c>
      <c r="K363" s="367">
        <v>0</v>
      </c>
      <c r="L363" s="350">
        <v>0.31</v>
      </c>
      <c r="M363" s="350">
        <v>3.5000000000000003E-2</v>
      </c>
      <c r="N363" s="351" t="str">
        <f t="shared" si="11"/>
        <v>4700018</v>
      </c>
      <c r="P363" s="351" t="str">
        <f t="shared" si="12"/>
        <v>T</v>
      </c>
    </row>
    <row r="364" spans="1:16" ht="23.25">
      <c r="A364" s="360" t="s">
        <v>73</v>
      </c>
      <c r="B364" s="361">
        <v>48000</v>
      </c>
      <c r="C364" s="365">
        <v>4</v>
      </c>
      <c r="D364" s="366">
        <v>4964</v>
      </c>
      <c r="E364" s="366">
        <v>52964</v>
      </c>
      <c r="F364" s="366">
        <v>560</v>
      </c>
      <c r="G364" s="366">
        <v>12000</v>
      </c>
      <c r="H364" s="366">
        <v>1101</v>
      </c>
      <c r="I364" s="366">
        <v>13101</v>
      </c>
      <c r="K364" s="365">
        <v>0</v>
      </c>
      <c r="L364" s="350">
        <v>0.31</v>
      </c>
      <c r="M364" s="350">
        <v>3.5000000000000003E-2</v>
      </c>
      <c r="N364" s="351" t="str">
        <f t="shared" si="11"/>
        <v>480004</v>
      </c>
      <c r="P364" s="351" t="str">
        <f t="shared" si="12"/>
        <v>T</v>
      </c>
    </row>
    <row r="365" spans="1:16" ht="23.25">
      <c r="A365" s="360" t="s">
        <v>73</v>
      </c>
      <c r="B365" s="361">
        <v>48000</v>
      </c>
      <c r="C365" s="367">
        <v>6</v>
      </c>
      <c r="D365" s="368">
        <v>7446</v>
      </c>
      <c r="E365" s="368">
        <v>55446</v>
      </c>
      <c r="F365" s="368">
        <v>840</v>
      </c>
      <c r="G365" s="368">
        <v>8000</v>
      </c>
      <c r="H365" s="368">
        <v>1101</v>
      </c>
      <c r="I365" s="368">
        <v>9101</v>
      </c>
      <c r="K365" s="367">
        <v>0</v>
      </c>
      <c r="L365" s="350">
        <v>0.31</v>
      </c>
      <c r="M365" s="350">
        <v>3.5000000000000003E-2</v>
      </c>
      <c r="N365" s="351" t="str">
        <f t="shared" si="11"/>
        <v>480006</v>
      </c>
      <c r="P365" s="351" t="str">
        <f t="shared" si="12"/>
        <v>T</v>
      </c>
    </row>
    <row r="366" spans="1:16" ht="23.25">
      <c r="A366" s="360" t="s">
        <v>73</v>
      </c>
      <c r="B366" s="361">
        <v>48000</v>
      </c>
      <c r="C366" s="365">
        <v>8</v>
      </c>
      <c r="D366" s="366">
        <v>9928</v>
      </c>
      <c r="E366" s="366">
        <v>57928</v>
      </c>
      <c r="F366" s="366">
        <v>1120</v>
      </c>
      <c r="G366" s="366">
        <v>6000</v>
      </c>
      <c r="H366" s="366">
        <v>1101</v>
      </c>
      <c r="I366" s="366">
        <v>7101</v>
      </c>
      <c r="K366" s="365">
        <v>0</v>
      </c>
      <c r="L366" s="350">
        <v>0.31</v>
      </c>
      <c r="M366" s="350">
        <v>3.5000000000000003E-2</v>
      </c>
      <c r="N366" s="351" t="str">
        <f t="shared" si="11"/>
        <v>480008</v>
      </c>
      <c r="P366" s="351" t="str">
        <f t="shared" si="12"/>
        <v>T</v>
      </c>
    </row>
    <row r="367" spans="1:16" ht="23.25">
      <c r="A367" s="360" t="s">
        <v>73</v>
      </c>
      <c r="B367" s="361">
        <v>48000</v>
      </c>
      <c r="C367" s="367">
        <v>10</v>
      </c>
      <c r="D367" s="368">
        <v>12410</v>
      </c>
      <c r="E367" s="368">
        <v>60410</v>
      </c>
      <c r="F367" s="368">
        <v>1400</v>
      </c>
      <c r="G367" s="368">
        <v>4800</v>
      </c>
      <c r="H367" s="368">
        <v>1101</v>
      </c>
      <c r="I367" s="368">
        <v>5901</v>
      </c>
      <c r="K367" s="367">
        <v>0</v>
      </c>
      <c r="L367" s="350">
        <v>0.31</v>
      </c>
      <c r="M367" s="350">
        <v>3.5000000000000003E-2</v>
      </c>
      <c r="N367" s="351" t="str">
        <f t="shared" si="11"/>
        <v>4800010</v>
      </c>
      <c r="P367" s="351" t="str">
        <f t="shared" si="12"/>
        <v>T</v>
      </c>
    </row>
    <row r="368" spans="1:16" ht="23.25">
      <c r="A368" s="360" t="s">
        <v>73</v>
      </c>
      <c r="B368" s="361">
        <v>48000</v>
      </c>
      <c r="C368" s="365">
        <v>12</v>
      </c>
      <c r="D368" s="366">
        <v>14892</v>
      </c>
      <c r="E368" s="366">
        <v>62892</v>
      </c>
      <c r="F368" s="366">
        <v>1680</v>
      </c>
      <c r="G368" s="366">
        <v>4000</v>
      </c>
      <c r="H368" s="366">
        <v>1101</v>
      </c>
      <c r="I368" s="366">
        <v>5101</v>
      </c>
      <c r="K368" s="365">
        <v>0</v>
      </c>
      <c r="L368" s="350">
        <v>0.31</v>
      </c>
      <c r="M368" s="350">
        <v>3.5000000000000003E-2</v>
      </c>
      <c r="N368" s="351" t="str">
        <f t="shared" si="11"/>
        <v>4800012</v>
      </c>
      <c r="P368" s="351" t="str">
        <f t="shared" si="12"/>
        <v>T</v>
      </c>
    </row>
    <row r="369" spans="1:16" ht="23.25">
      <c r="A369" s="360" t="s">
        <v>73</v>
      </c>
      <c r="B369" s="361">
        <v>48000</v>
      </c>
      <c r="C369" s="388">
        <v>14</v>
      </c>
      <c r="D369" s="364">
        <v>17366</v>
      </c>
      <c r="E369" s="364">
        <v>65366</v>
      </c>
      <c r="F369" s="364">
        <v>1960</v>
      </c>
      <c r="G369" s="364">
        <v>3429</v>
      </c>
      <c r="H369" s="372">
        <v>1100</v>
      </c>
      <c r="I369" s="364">
        <v>4529</v>
      </c>
      <c r="K369" s="388">
        <v>0</v>
      </c>
      <c r="L369" s="350">
        <v>0.31</v>
      </c>
      <c r="M369" s="350">
        <v>3.5000000000000003E-2</v>
      </c>
      <c r="N369" s="351" t="str">
        <f t="shared" si="11"/>
        <v>4800014</v>
      </c>
      <c r="P369" s="351" t="str">
        <f t="shared" si="12"/>
        <v>T</v>
      </c>
    </row>
    <row r="370" spans="1:16" ht="23.25">
      <c r="A370" s="360" t="s">
        <v>73</v>
      </c>
      <c r="B370" s="361">
        <v>48000</v>
      </c>
      <c r="C370" s="365">
        <v>16</v>
      </c>
      <c r="D370" s="366">
        <v>19856</v>
      </c>
      <c r="E370" s="366">
        <v>67856</v>
      </c>
      <c r="F370" s="366">
        <v>2240</v>
      </c>
      <c r="G370" s="366">
        <v>3000</v>
      </c>
      <c r="H370" s="366">
        <v>1101</v>
      </c>
      <c r="I370" s="366">
        <v>4101</v>
      </c>
      <c r="K370" s="365">
        <v>0</v>
      </c>
      <c r="L370" s="350">
        <v>0.31</v>
      </c>
      <c r="M370" s="350">
        <v>3.5000000000000003E-2</v>
      </c>
      <c r="N370" s="351" t="str">
        <f t="shared" si="11"/>
        <v>4800016</v>
      </c>
      <c r="P370" s="351" t="str">
        <f t="shared" si="12"/>
        <v>T</v>
      </c>
    </row>
    <row r="371" spans="1:16" ht="24" thickBot="1">
      <c r="A371" s="392" t="s">
        <v>73</v>
      </c>
      <c r="B371" s="393">
        <v>48000</v>
      </c>
      <c r="C371" s="399">
        <v>18</v>
      </c>
      <c r="D371" s="400">
        <v>22326</v>
      </c>
      <c r="E371" s="400">
        <v>70326</v>
      </c>
      <c r="F371" s="400">
        <v>2520</v>
      </c>
      <c r="G371" s="400">
        <v>2667</v>
      </c>
      <c r="H371" s="364">
        <v>1100</v>
      </c>
      <c r="I371" s="400">
        <v>3767</v>
      </c>
      <c r="K371" s="399">
        <v>0</v>
      </c>
      <c r="L371" s="350">
        <v>0.31</v>
      </c>
      <c r="M371" s="350">
        <v>3.5000000000000003E-2</v>
      </c>
      <c r="N371" s="351" t="str">
        <f t="shared" si="11"/>
        <v>4800018</v>
      </c>
      <c r="P371" s="351" t="str">
        <f t="shared" si="12"/>
        <v>T</v>
      </c>
    </row>
    <row r="372" spans="1:16" ht="24" thickTop="1">
      <c r="A372" s="384" t="s">
        <v>73</v>
      </c>
      <c r="B372" s="385">
        <v>49000</v>
      </c>
      <c r="C372" s="357">
        <v>4</v>
      </c>
      <c r="D372" s="358">
        <v>5064</v>
      </c>
      <c r="E372" s="358">
        <v>54064</v>
      </c>
      <c r="F372" s="358">
        <v>572</v>
      </c>
      <c r="G372" s="358">
        <v>12250</v>
      </c>
      <c r="H372" s="358">
        <v>1123</v>
      </c>
      <c r="I372" s="358">
        <v>13373</v>
      </c>
      <c r="K372" s="357">
        <v>0</v>
      </c>
      <c r="L372" s="350">
        <v>0.31</v>
      </c>
      <c r="M372" s="350">
        <v>3.5000000000000003E-2</v>
      </c>
      <c r="N372" s="351" t="str">
        <f t="shared" si="11"/>
        <v>490004</v>
      </c>
      <c r="P372" s="351" t="str">
        <f t="shared" si="12"/>
        <v>T</v>
      </c>
    </row>
    <row r="373" spans="1:16" ht="23.25">
      <c r="A373" s="386" t="s">
        <v>73</v>
      </c>
      <c r="B373" s="387">
        <v>49000</v>
      </c>
      <c r="C373" s="388">
        <v>6</v>
      </c>
      <c r="D373" s="364">
        <v>7598</v>
      </c>
      <c r="E373" s="364">
        <v>56598</v>
      </c>
      <c r="F373" s="364">
        <v>858</v>
      </c>
      <c r="G373" s="364">
        <v>8167</v>
      </c>
      <c r="H373" s="364">
        <v>1123</v>
      </c>
      <c r="I373" s="364">
        <v>9290</v>
      </c>
      <c r="K373" s="388">
        <v>0</v>
      </c>
      <c r="L373" s="350">
        <v>0.31</v>
      </c>
      <c r="M373" s="350">
        <v>3.5000000000000003E-2</v>
      </c>
      <c r="N373" s="351" t="str">
        <f t="shared" si="11"/>
        <v>490006</v>
      </c>
      <c r="P373" s="351" t="str">
        <f t="shared" si="12"/>
        <v>T</v>
      </c>
    </row>
    <row r="374" spans="1:16" ht="23.25">
      <c r="A374" s="386" t="s">
        <v>73</v>
      </c>
      <c r="B374" s="387">
        <v>49000</v>
      </c>
      <c r="C374" s="365">
        <v>8</v>
      </c>
      <c r="D374" s="366">
        <v>10128</v>
      </c>
      <c r="E374" s="366">
        <v>59128</v>
      </c>
      <c r="F374" s="366">
        <v>1144</v>
      </c>
      <c r="G374" s="366">
        <v>6125</v>
      </c>
      <c r="H374" s="366">
        <v>1123</v>
      </c>
      <c r="I374" s="366">
        <v>7248</v>
      </c>
      <c r="K374" s="365">
        <v>0</v>
      </c>
      <c r="L374" s="350">
        <v>0.31</v>
      </c>
      <c r="M374" s="350">
        <v>3.5000000000000003E-2</v>
      </c>
      <c r="N374" s="351" t="str">
        <f t="shared" si="11"/>
        <v>490008</v>
      </c>
      <c r="P374" s="351" t="str">
        <f t="shared" si="12"/>
        <v>T</v>
      </c>
    </row>
    <row r="375" spans="1:16" ht="23.25">
      <c r="A375" s="386" t="s">
        <v>73</v>
      </c>
      <c r="B375" s="387">
        <v>49000</v>
      </c>
      <c r="C375" s="367">
        <v>10</v>
      </c>
      <c r="D375" s="368">
        <v>12660</v>
      </c>
      <c r="E375" s="368">
        <v>61660</v>
      </c>
      <c r="F375" s="368">
        <v>1430</v>
      </c>
      <c r="G375" s="368">
        <v>4900</v>
      </c>
      <c r="H375" s="368">
        <v>1123</v>
      </c>
      <c r="I375" s="368">
        <v>6023</v>
      </c>
      <c r="K375" s="367">
        <v>0</v>
      </c>
      <c r="L375" s="350">
        <v>0.31</v>
      </c>
      <c r="M375" s="350">
        <v>3.5000000000000003E-2</v>
      </c>
      <c r="N375" s="351" t="str">
        <f t="shared" si="11"/>
        <v>4900010</v>
      </c>
      <c r="P375" s="351" t="str">
        <f t="shared" si="12"/>
        <v>T</v>
      </c>
    </row>
    <row r="376" spans="1:16" ht="23.25">
      <c r="A376" s="386" t="s">
        <v>73</v>
      </c>
      <c r="B376" s="387">
        <v>49000</v>
      </c>
      <c r="C376" s="365">
        <v>12</v>
      </c>
      <c r="D376" s="366">
        <v>15199</v>
      </c>
      <c r="E376" s="366">
        <v>64199</v>
      </c>
      <c r="F376" s="366">
        <v>1715</v>
      </c>
      <c r="G376" s="366">
        <v>4084</v>
      </c>
      <c r="H376" s="366">
        <v>1123</v>
      </c>
      <c r="I376" s="366">
        <v>5207</v>
      </c>
      <c r="K376" s="365">
        <v>0</v>
      </c>
      <c r="L376" s="350">
        <v>0.31</v>
      </c>
      <c r="M376" s="350">
        <v>3.5000000000000003E-2</v>
      </c>
      <c r="N376" s="351" t="str">
        <f t="shared" si="11"/>
        <v>4900012</v>
      </c>
      <c r="P376" s="351" t="str">
        <f t="shared" si="12"/>
        <v>T</v>
      </c>
    </row>
    <row r="377" spans="1:16" ht="23.25">
      <c r="A377" s="386" t="s">
        <v>73</v>
      </c>
      <c r="B377" s="387">
        <v>49000</v>
      </c>
      <c r="C377" s="367">
        <v>14</v>
      </c>
      <c r="D377" s="368">
        <v>17723</v>
      </c>
      <c r="E377" s="368">
        <v>66723</v>
      </c>
      <c r="F377" s="368">
        <v>2001</v>
      </c>
      <c r="G377" s="368">
        <v>3500</v>
      </c>
      <c r="H377" s="368">
        <v>1123</v>
      </c>
      <c r="I377" s="368">
        <v>4623</v>
      </c>
      <c r="K377" s="367">
        <v>0</v>
      </c>
      <c r="L377" s="350">
        <v>0.31</v>
      </c>
      <c r="M377" s="350">
        <v>3.5000000000000003E-2</v>
      </c>
      <c r="N377" s="351" t="str">
        <f t="shared" si="11"/>
        <v>4900014</v>
      </c>
      <c r="P377" s="351" t="str">
        <f t="shared" si="12"/>
        <v>T</v>
      </c>
    </row>
    <row r="378" spans="1:16" ht="23.25">
      <c r="A378" s="386" t="s">
        <v>73</v>
      </c>
      <c r="B378" s="387">
        <v>49000</v>
      </c>
      <c r="C378" s="365">
        <v>16</v>
      </c>
      <c r="D378" s="366">
        <v>20263</v>
      </c>
      <c r="E378" s="366">
        <v>69263</v>
      </c>
      <c r="F378" s="366">
        <v>2287</v>
      </c>
      <c r="G378" s="366">
        <v>3063</v>
      </c>
      <c r="H378" s="366">
        <v>1123</v>
      </c>
      <c r="I378" s="366">
        <v>4186</v>
      </c>
      <c r="K378" s="365">
        <v>0</v>
      </c>
      <c r="L378" s="350">
        <v>0.31</v>
      </c>
      <c r="M378" s="350">
        <v>3.5000000000000003E-2</v>
      </c>
      <c r="N378" s="351" t="str">
        <f t="shared" si="11"/>
        <v>4900016</v>
      </c>
      <c r="P378" s="351" t="str">
        <f t="shared" si="12"/>
        <v>T</v>
      </c>
    </row>
    <row r="379" spans="1:16" ht="23.25">
      <c r="A379" s="386" t="s">
        <v>73</v>
      </c>
      <c r="B379" s="387">
        <v>49000</v>
      </c>
      <c r="C379" s="367">
        <v>18</v>
      </c>
      <c r="D379" s="368">
        <v>22801</v>
      </c>
      <c r="E379" s="368">
        <v>71801</v>
      </c>
      <c r="F379" s="368">
        <v>2573</v>
      </c>
      <c r="G379" s="368">
        <v>2723</v>
      </c>
      <c r="H379" s="372">
        <v>1123</v>
      </c>
      <c r="I379" s="368">
        <v>3846</v>
      </c>
      <c r="K379" s="367">
        <v>0</v>
      </c>
      <c r="L379" s="350">
        <v>0.31</v>
      </c>
      <c r="M379" s="350">
        <v>3.5000000000000003E-2</v>
      </c>
      <c r="N379" s="351" t="str">
        <f t="shared" si="11"/>
        <v>4900018</v>
      </c>
      <c r="P379" s="351" t="str">
        <f t="shared" si="12"/>
        <v>T</v>
      </c>
    </row>
    <row r="380" spans="1:16" ht="23.25">
      <c r="A380" s="386" t="s">
        <v>73</v>
      </c>
      <c r="B380" s="387">
        <v>50000</v>
      </c>
      <c r="C380" s="365">
        <v>4</v>
      </c>
      <c r="D380" s="366">
        <v>5168</v>
      </c>
      <c r="E380" s="366">
        <v>55168</v>
      </c>
      <c r="F380" s="366">
        <v>584</v>
      </c>
      <c r="G380" s="366">
        <v>12500</v>
      </c>
      <c r="H380" s="366">
        <v>1146</v>
      </c>
      <c r="I380" s="366">
        <v>13646</v>
      </c>
      <c r="K380" s="365">
        <v>0</v>
      </c>
      <c r="L380" s="350">
        <v>0.31</v>
      </c>
      <c r="M380" s="350">
        <v>3.5000000000000003E-2</v>
      </c>
      <c r="N380" s="351" t="str">
        <f t="shared" si="11"/>
        <v>500004</v>
      </c>
      <c r="P380" s="351" t="str">
        <f t="shared" si="12"/>
        <v>T</v>
      </c>
    </row>
    <row r="381" spans="1:16" ht="23.25">
      <c r="A381" s="386" t="s">
        <v>73</v>
      </c>
      <c r="B381" s="387">
        <v>50000</v>
      </c>
      <c r="C381" s="388">
        <v>6</v>
      </c>
      <c r="D381" s="364">
        <v>7755</v>
      </c>
      <c r="E381" s="364">
        <v>57755</v>
      </c>
      <c r="F381" s="364">
        <v>875</v>
      </c>
      <c r="G381" s="364">
        <v>8334</v>
      </c>
      <c r="H381" s="364">
        <v>1146</v>
      </c>
      <c r="I381" s="364">
        <v>9480</v>
      </c>
      <c r="K381" s="388">
        <v>0</v>
      </c>
      <c r="L381" s="350">
        <v>0.31</v>
      </c>
      <c r="M381" s="350">
        <v>3.5000000000000003E-2</v>
      </c>
      <c r="N381" s="351" t="str">
        <f t="shared" si="11"/>
        <v>500006</v>
      </c>
      <c r="P381" s="351" t="str">
        <f t="shared" si="12"/>
        <v>T</v>
      </c>
    </row>
    <row r="382" spans="1:16" ht="24" thickBot="1">
      <c r="A382" s="389" t="s">
        <v>73</v>
      </c>
      <c r="B382" s="390">
        <v>50000</v>
      </c>
      <c r="C382" s="381">
        <v>8</v>
      </c>
      <c r="D382" s="398">
        <v>10335</v>
      </c>
      <c r="E382" s="398">
        <v>60335</v>
      </c>
      <c r="F382" s="398">
        <v>1167</v>
      </c>
      <c r="G382" s="398">
        <v>6250</v>
      </c>
      <c r="H382" s="366">
        <v>1146</v>
      </c>
      <c r="I382" s="398">
        <v>7396</v>
      </c>
      <c r="K382" s="381">
        <v>0</v>
      </c>
      <c r="L382" s="350">
        <v>0.31</v>
      </c>
      <c r="M382" s="350">
        <v>3.5000000000000003E-2</v>
      </c>
      <c r="N382" s="351" t="str">
        <f t="shared" si="11"/>
        <v>500008</v>
      </c>
      <c r="P382" s="351" t="str">
        <f t="shared" si="12"/>
        <v>T</v>
      </c>
    </row>
    <row r="383" spans="1:16" ht="24" thickTop="1">
      <c r="A383" s="355" t="s">
        <v>73</v>
      </c>
      <c r="B383" s="356">
        <v>50000</v>
      </c>
      <c r="C383" s="396">
        <v>10</v>
      </c>
      <c r="D383" s="397">
        <v>12919</v>
      </c>
      <c r="E383" s="397">
        <v>62919</v>
      </c>
      <c r="F383" s="397">
        <v>1459</v>
      </c>
      <c r="G383" s="397">
        <v>5000</v>
      </c>
      <c r="H383" s="397">
        <v>1146</v>
      </c>
      <c r="I383" s="397">
        <v>6146</v>
      </c>
      <c r="K383" s="396">
        <v>0</v>
      </c>
      <c r="L383" s="350">
        <v>0.31</v>
      </c>
      <c r="M383" s="350">
        <v>3.5000000000000003E-2</v>
      </c>
      <c r="N383" s="351" t="str">
        <f t="shared" si="11"/>
        <v>5000010</v>
      </c>
      <c r="P383" s="351" t="str">
        <f t="shared" si="12"/>
        <v>T</v>
      </c>
    </row>
    <row r="384" spans="1:16" ht="23.25">
      <c r="A384" s="360" t="s">
        <v>73</v>
      </c>
      <c r="B384" s="361">
        <v>50000</v>
      </c>
      <c r="C384" s="365">
        <v>12</v>
      </c>
      <c r="D384" s="366">
        <v>15506</v>
      </c>
      <c r="E384" s="366">
        <v>65506</v>
      </c>
      <c r="F384" s="366">
        <v>1750</v>
      </c>
      <c r="G384" s="366">
        <v>4167</v>
      </c>
      <c r="H384" s="366">
        <v>1146</v>
      </c>
      <c r="I384" s="366">
        <v>5313</v>
      </c>
      <c r="K384" s="365">
        <v>0</v>
      </c>
      <c r="L384" s="350">
        <v>0.31</v>
      </c>
      <c r="M384" s="350">
        <v>3.5000000000000003E-2</v>
      </c>
      <c r="N384" s="351" t="str">
        <f t="shared" si="11"/>
        <v>5000012</v>
      </c>
      <c r="P384" s="351" t="str">
        <f t="shared" si="12"/>
        <v>T</v>
      </c>
    </row>
    <row r="385" spans="1:16" ht="23.25">
      <c r="A385" s="360" t="s">
        <v>73</v>
      </c>
      <c r="B385" s="361">
        <v>50000</v>
      </c>
      <c r="C385" s="367">
        <v>14</v>
      </c>
      <c r="D385" s="368">
        <v>18094</v>
      </c>
      <c r="E385" s="368">
        <v>68094</v>
      </c>
      <c r="F385" s="368">
        <v>2042</v>
      </c>
      <c r="G385" s="368">
        <v>3572</v>
      </c>
      <c r="H385" s="364">
        <v>1146</v>
      </c>
      <c r="I385" s="368">
        <v>4718</v>
      </c>
      <c r="K385" s="367">
        <v>0</v>
      </c>
      <c r="L385" s="350">
        <v>0.31</v>
      </c>
      <c r="M385" s="350">
        <v>3.5000000000000003E-2</v>
      </c>
      <c r="N385" s="351" t="str">
        <f t="shared" si="11"/>
        <v>5000014</v>
      </c>
      <c r="P385" s="351" t="str">
        <f t="shared" si="12"/>
        <v>T</v>
      </c>
    </row>
    <row r="386" spans="1:16" ht="23.25">
      <c r="A386" s="360" t="s">
        <v>73</v>
      </c>
      <c r="B386" s="361">
        <v>50000</v>
      </c>
      <c r="C386" s="365">
        <v>16</v>
      </c>
      <c r="D386" s="366">
        <v>20670</v>
      </c>
      <c r="E386" s="366">
        <v>70670</v>
      </c>
      <c r="F386" s="366">
        <v>2334</v>
      </c>
      <c r="G386" s="366">
        <v>3125</v>
      </c>
      <c r="H386" s="366">
        <v>1146</v>
      </c>
      <c r="I386" s="366">
        <v>4271</v>
      </c>
      <c r="K386" s="365">
        <v>0</v>
      </c>
      <c r="L386" s="350">
        <v>0.31</v>
      </c>
      <c r="M386" s="350">
        <v>3.5000000000000003E-2</v>
      </c>
      <c r="N386" s="351" t="str">
        <f t="shared" si="11"/>
        <v>5000016</v>
      </c>
      <c r="P386" s="351" t="str">
        <f t="shared" si="12"/>
        <v>T</v>
      </c>
    </row>
    <row r="387" spans="1:16" ht="23.25">
      <c r="A387" s="360" t="s">
        <v>73</v>
      </c>
      <c r="B387" s="361">
        <v>50000</v>
      </c>
      <c r="C387" s="367">
        <v>18</v>
      </c>
      <c r="D387" s="368">
        <v>23257</v>
      </c>
      <c r="E387" s="368">
        <v>73257</v>
      </c>
      <c r="F387" s="368">
        <v>2625</v>
      </c>
      <c r="G387" s="368">
        <v>2778</v>
      </c>
      <c r="H387" s="368">
        <v>1146</v>
      </c>
      <c r="I387" s="368">
        <v>3924</v>
      </c>
      <c r="K387" s="367">
        <v>0</v>
      </c>
      <c r="L387" s="350">
        <v>0.31</v>
      </c>
      <c r="M387" s="350">
        <v>3.5000000000000003E-2</v>
      </c>
      <c r="N387" s="351" t="str">
        <f t="shared" si="11"/>
        <v>5000018</v>
      </c>
      <c r="P387" s="351" t="str">
        <f t="shared" si="12"/>
        <v>T</v>
      </c>
    </row>
    <row r="388" spans="1:16" ht="23.25">
      <c r="A388" s="360" t="s">
        <v>74</v>
      </c>
      <c r="B388" s="361">
        <v>51000</v>
      </c>
      <c r="C388" s="365">
        <v>4</v>
      </c>
      <c r="D388" s="366">
        <v>5360</v>
      </c>
      <c r="E388" s="366">
        <v>56360</v>
      </c>
      <c r="F388" s="366">
        <v>596</v>
      </c>
      <c r="G388" s="366">
        <v>12750</v>
      </c>
      <c r="H388" s="366">
        <v>1191</v>
      </c>
      <c r="I388" s="366">
        <v>13941</v>
      </c>
      <c r="K388" s="365"/>
      <c r="L388" s="350">
        <v>0.315</v>
      </c>
      <c r="M388" s="350">
        <v>3.5000000000000003E-2</v>
      </c>
      <c r="N388" s="351" t="str">
        <f t="shared" si="11"/>
        <v>510004</v>
      </c>
      <c r="P388" s="351" t="str">
        <f t="shared" si="12"/>
        <v>T</v>
      </c>
    </row>
    <row r="389" spans="1:16" ht="23.25">
      <c r="A389" s="360" t="s">
        <v>74</v>
      </c>
      <c r="B389" s="361">
        <v>51000</v>
      </c>
      <c r="C389" s="367">
        <v>6</v>
      </c>
      <c r="D389" s="368">
        <v>8039</v>
      </c>
      <c r="E389" s="368">
        <v>59039</v>
      </c>
      <c r="F389" s="368">
        <v>893</v>
      </c>
      <c r="G389" s="368">
        <v>8500</v>
      </c>
      <c r="H389" s="368">
        <v>1191</v>
      </c>
      <c r="I389" s="368">
        <v>9691</v>
      </c>
      <c r="K389" s="367"/>
      <c r="L389" s="350">
        <v>0.315</v>
      </c>
      <c r="M389" s="350">
        <v>3.5000000000000003E-2</v>
      </c>
      <c r="N389" s="351" t="str">
        <f t="shared" ref="N389:N452" si="13">CONCATENATE(B389,C389)</f>
        <v>510006</v>
      </c>
      <c r="P389" s="351" t="str">
        <f t="shared" si="12"/>
        <v>T</v>
      </c>
    </row>
    <row r="390" spans="1:16" ht="23.25">
      <c r="A390" s="360" t="s">
        <v>74</v>
      </c>
      <c r="B390" s="361">
        <v>51000</v>
      </c>
      <c r="C390" s="365">
        <v>8</v>
      </c>
      <c r="D390" s="366">
        <v>10719</v>
      </c>
      <c r="E390" s="366">
        <v>61719</v>
      </c>
      <c r="F390" s="366">
        <v>1191</v>
      </c>
      <c r="G390" s="366">
        <v>6375</v>
      </c>
      <c r="H390" s="366">
        <v>1191</v>
      </c>
      <c r="I390" s="366">
        <v>7566</v>
      </c>
      <c r="K390" s="365"/>
      <c r="L390" s="350">
        <v>0.315</v>
      </c>
      <c r="M390" s="350">
        <v>3.5000000000000003E-2</v>
      </c>
      <c r="N390" s="351" t="str">
        <f t="shared" si="13"/>
        <v>510008</v>
      </c>
      <c r="P390" s="351" t="str">
        <f t="shared" si="12"/>
        <v>T</v>
      </c>
    </row>
    <row r="391" spans="1:16" ht="23.25">
      <c r="A391" s="360" t="s">
        <v>74</v>
      </c>
      <c r="B391" s="361">
        <v>51000</v>
      </c>
      <c r="C391" s="388">
        <v>10</v>
      </c>
      <c r="D391" s="364">
        <v>13398</v>
      </c>
      <c r="E391" s="364">
        <v>64398</v>
      </c>
      <c r="F391" s="364">
        <v>1488</v>
      </c>
      <c r="G391" s="364">
        <v>5100</v>
      </c>
      <c r="H391" s="372">
        <v>1191</v>
      </c>
      <c r="I391" s="364">
        <v>6291</v>
      </c>
      <c r="K391" s="388"/>
      <c r="L391" s="350">
        <v>0.315</v>
      </c>
      <c r="M391" s="350">
        <v>3.5000000000000003E-2</v>
      </c>
      <c r="N391" s="351" t="str">
        <f t="shared" si="13"/>
        <v>5100010</v>
      </c>
      <c r="P391" s="351" t="str">
        <f t="shared" si="12"/>
        <v>T</v>
      </c>
    </row>
    <row r="392" spans="1:16" ht="23.25">
      <c r="A392" s="360" t="s">
        <v>74</v>
      </c>
      <c r="B392" s="361">
        <v>51000</v>
      </c>
      <c r="C392" s="365">
        <v>12</v>
      </c>
      <c r="D392" s="366">
        <v>16078</v>
      </c>
      <c r="E392" s="366">
        <v>67078</v>
      </c>
      <c r="F392" s="366">
        <v>1786</v>
      </c>
      <c r="G392" s="366">
        <v>4250</v>
      </c>
      <c r="H392" s="366">
        <v>1191</v>
      </c>
      <c r="I392" s="366">
        <v>5441</v>
      </c>
      <c r="K392" s="365"/>
      <c r="L392" s="350">
        <v>0.315</v>
      </c>
      <c r="M392" s="350">
        <v>3.5000000000000003E-2</v>
      </c>
      <c r="N392" s="351" t="str">
        <f t="shared" si="13"/>
        <v>5100012</v>
      </c>
      <c r="P392" s="351" t="str">
        <f t="shared" si="12"/>
        <v>T</v>
      </c>
    </row>
    <row r="393" spans="1:16" ht="24" thickBot="1">
      <c r="A393" s="392" t="s">
        <v>74</v>
      </c>
      <c r="B393" s="393">
        <v>51000</v>
      </c>
      <c r="C393" s="399">
        <v>14</v>
      </c>
      <c r="D393" s="400">
        <v>18745</v>
      </c>
      <c r="E393" s="400">
        <v>69745</v>
      </c>
      <c r="F393" s="400">
        <v>2083</v>
      </c>
      <c r="G393" s="400">
        <v>3643</v>
      </c>
      <c r="H393" s="364">
        <v>1190</v>
      </c>
      <c r="I393" s="400">
        <v>4833</v>
      </c>
      <c r="K393" s="399"/>
      <c r="L393" s="350">
        <v>0.315</v>
      </c>
      <c r="M393" s="350">
        <v>3.5000000000000003E-2</v>
      </c>
      <c r="N393" s="351" t="str">
        <f t="shared" si="13"/>
        <v>5100014</v>
      </c>
      <c r="P393" s="351" t="str">
        <f t="shared" si="12"/>
        <v>T</v>
      </c>
    </row>
    <row r="394" spans="1:16" ht="24" thickTop="1">
      <c r="A394" s="384" t="s">
        <v>74</v>
      </c>
      <c r="B394" s="385">
        <v>51000</v>
      </c>
      <c r="C394" s="357">
        <v>16</v>
      </c>
      <c r="D394" s="358">
        <v>21429</v>
      </c>
      <c r="E394" s="358">
        <v>72429</v>
      </c>
      <c r="F394" s="358">
        <v>2381</v>
      </c>
      <c r="G394" s="358">
        <v>3188</v>
      </c>
      <c r="H394" s="358">
        <v>1190</v>
      </c>
      <c r="I394" s="358">
        <v>4378</v>
      </c>
      <c r="K394" s="357"/>
      <c r="L394" s="350">
        <v>0.315</v>
      </c>
      <c r="M394" s="350">
        <v>3.5000000000000003E-2</v>
      </c>
      <c r="N394" s="351" t="str">
        <f t="shared" si="13"/>
        <v>5100016</v>
      </c>
      <c r="P394" s="351" t="str">
        <f t="shared" si="12"/>
        <v>T</v>
      </c>
    </row>
    <row r="395" spans="1:16" ht="23.25">
      <c r="A395" s="386" t="s">
        <v>74</v>
      </c>
      <c r="B395" s="387">
        <v>51000</v>
      </c>
      <c r="C395" s="388">
        <v>18</v>
      </c>
      <c r="D395" s="364">
        <v>24110</v>
      </c>
      <c r="E395" s="364">
        <v>75110</v>
      </c>
      <c r="F395" s="364">
        <v>2678</v>
      </c>
      <c r="G395" s="364">
        <v>2834</v>
      </c>
      <c r="H395" s="364">
        <v>1190</v>
      </c>
      <c r="I395" s="364">
        <v>4024</v>
      </c>
      <c r="K395" s="388"/>
      <c r="L395" s="350">
        <v>0.315</v>
      </c>
      <c r="M395" s="350">
        <v>3.5000000000000003E-2</v>
      </c>
      <c r="N395" s="351" t="str">
        <f t="shared" si="13"/>
        <v>5100018</v>
      </c>
      <c r="P395" s="351" t="str">
        <f t="shared" si="12"/>
        <v>T</v>
      </c>
    </row>
    <row r="396" spans="1:16" ht="23.25">
      <c r="A396" s="386" t="s">
        <v>74</v>
      </c>
      <c r="B396" s="387">
        <v>51000</v>
      </c>
      <c r="C396" s="365">
        <v>20</v>
      </c>
      <c r="D396" s="366">
        <v>26796</v>
      </c>
      <c r="E396" s="366">
        <v>77796</v>
      </c>
      <c r="F396" s="366">
        <v>2976</v>
      </c>
      <c r="G396" s="366">
        <v>2550</v>
      </c>
      <c r="H396" s="366">
        <v>1191</v>
      </c>
      <c r="I396" s="366">
        <v>3741</v>
      </c>
      <c r="K396" s="365"/>
      <c r="L396" s="350">
        <v>0.315</v>
      </c>
      <c r="M396" s="350">
        <v>3.5000000000000003E-2</v>
      </c>
      <c r="N396" s="351" t="str">
        <f t="shared" si="13"/>
        <v>5100020</v>
      </c>
      <c r="P396" s="351" t="str">
        <f t="shared" si="12"/>
        <v>T</v>
      </c>
    </row>
    <row r="397" spans="1:16" ht="23.25">
      <c r="A397" s="386" t="s">
        <v>74</v>
      </c>
      <c r="B397" s="387">
        <v>51000</v>
      </c>
      <c r="C397" s="367">
        <v>22</v>
      </c>
      <c r="D397" s="368">
        <v>29471</v>
      </c>
      <c r="E397" s="368">
        <v>80471</v>
      </c>
      <c r="F397" s="368">
        <v>3273</v>
      </c>
      <c r="G397" s="368">
        <v>2319</v>
      </c>
      <c r="H397" s="368">
        <v>1190</v>
      </c>
      <c r="I397" s="368">
        <v>3509</v>
      </c>
      <c r="K397" s="367"/>
      <c r="L397" s="350">
        <v>0.315</v>
      </c>
      <c r="M397" s="350">
        <v>3.5000000000000003E-2</v>
      </c>
      <c r="N397" s="351" t="str">
        <f t="shared" si="13"/>
        <v>5100022</v>
      </c>
      <c r="P397" s="351" t="str">
        <f t="shared" si="12"/>
        <v>T</v>
      </c>
    </row>
    <row r="398" spans="1:16" ht="23.25">
      <c r="A398" s="386" t="s">
        <v>74</v>
      </c>
      <c r="B398" s="387">
        <v>51000</v>
      </c>
      <c r="C398" s="365">
        <v>24</v>
      </c>
      <c r="D398" s="366">
        <v>32155</v>
      </c>
      <c r="E398" s="366">
        <v>83155</v>
      </c>
      <c r="F398" s="366">
        <v>3571</v>
      </c>
      <c r="G398" s="366">
        <v>2125</v>
      </c>
      <c r="H398" s="366">
        <v>1191</v>
      </c>
      <c r="I398" s="366">
        <v>3316</v>
      </c>
      <c r="K398" s="365"/>
      <c r="L398" s="350">
        <v>0.315</v>
      </c>
      <c r="M398" s="350">
        <v>3.5000000000000003E-2</v>
      </c>
      <c r="N398" s="351" t="str">
        <f t="shared" si="13"/>
        <v>5100024</v>
      </c>
      <c r="P398" s="351" t="str">
        <f t="shared" si="12"/>
        <v>T</v>
      </c>
    </row>
    <row r="399" spans="1:16" ht="23.25">
      <c r="A399" s="386" t="s">
        <v>74</v>
      </c>
      <c r="B399" s="387">
        <v>52000</v>
      </c>
      <c r="C399" s="367">
        <v>4</v>
      </c>
      <c r="D399" s="368">
        <v>5463</v>
      </c>
      <c r="E399" s="368">
        <v>57463</v>
      </c>
      <c r="F399" s="368">
        <v>607</v>
      </c>
      <c r="G399" s="368">
        <v>13000</v>
      </c>
      <c r="H399" s="368">
        <v>1214</v>
      </c>
      <c r="I399" s="368">
        <v>14214</v>
      </c>
      <c r="K399" s="367"/>
      <c r="L399" s="350">
        <v>0.315</v>
      </c>
      <c r="M399" s="350">
        <v>3.5000000000000003E-2</v>
      </c>
      <c r="N399" s="351" t="str">
        <f t="shared" si="13"/>
        <v>520004</v>
      </c>
      <c r="P399" s="351" t="str">
        <f t="shared" si="12"/>
        <v>T</v>
      </c>
    </row>
    <row r="400" spans="1:16" ht="23.25">
      <c r="A400" s="386" t="s">
        <v>74</v>
      </c>
      <c r="B400" s="387">
        <v>52000</v>
      </c>
      <c r="C400" s="365">
        <v>6</v>
      </c>
      <c r="D400" s="366">
        <v>8197</v>
      </c>
      <c r="E400" s="366">
        <v>60197</v>
      </c>
      <c r="F400" s="366">
        <v>911</v>
      </c>
      <c r="G400" s="366">
        <v>8667</v>
      </c>
      <c r="H400" s="366">
        <v>1214</v>
      </c>
      <c r="I400" s="366">
        <v>9881</v>
      </c>
      <c r="K400" s="365"/>
      <c r="L400" s="350">
        <v>0.315</v>
      </c>
      <c r="M400" s="350">
        <v>3.5000000000000003E-2</v>
      </c>
      <c r="N400" s="351" t="str">
        <f t="shared" si="13"/>
        <v>520006</v>
      </c>
      <c r="P400" s="351" t="str">
        <f t="shared" si="12"/>
        <v>T</v>
      </c>
    </row>
    <row r="401" spans="1:16" ht="23.25">
      <c r="A401" s="386" t="s">
        <v>74</v>
      </c>
      <c r="B401" s="387">
        <v>52000</v>
      </c>
      <c r="C401" s="367">
        <v>8</v>
      </c>
      <c r="D401" s="368">
        <v>10926</v>
      </c>
      <c r="E401" s="368">
        <v>62926</v>
      </c>
      <c r="F401" s="368">
        <v>1214</v>
      </c>
      <c r="G401" s="368">
        <v>6500</v>
      </c>
      <c r="H401" s="372">
        <v>1214</v>
      </c>
      <c r="I401" s="368">
        <v>7714</v>
      </c>
      <c r="K401" s="367"/>
      <c r="L401" s="350">
        <v>0.315</v>
      </c>
      <c r="M401" s="350">
        <v>3.5000000000000003E-2</v>
      </c>
      <c r="N401" s="351" t="str">
        <f t="shared" si="13"/>
        <v>520008</v>
      </c>
      <c r="P401" s="351" t="str">
        <f t="shared" ref="P401:P464" si="14">IF((E401-F401)/C401=I401,"T","F")</f>
        <v>T</v>
      </c>
    </row>
    <row r="402" spans="1:16" ht="23.25">
      <c r="A402" s="386" t="s">
        <v>74</v>
      </c>
      <c r="B402" s="387">
        <v>52000</v>
      </c>
      <c r="C402" s="365">
        <v>10</v>
      </c>
      <c r="D402" s="366">
        <v>13657</v>
      </c>
      <c r="E402" s="366">
        <v>65657</v>
      </c>
      <c r="F402" s="366">
        <v>1517</v>
      </c>
      <c r="G402" s="366">
        <v>5200</v>
      </c>
      <c r="H402" s="366">
        <v>1214</v>
      </c>
      <c r="I402" s="366">
        <v>6414</v>
      </c>
      <c r="K402" s="365"/>
      <c r="L402" s="350">
        <v>0.315</v>
      </c>
      <c r="M402" s="350">
        <v>3.5000000000000003E-2</v>
      </c>
      <c r="N402" s="351" t="str">
        <f t="shared" si="13"/>
        <v>5200010</v>
      </c>
      <c r="P402" s="351" t="str">
        <f t="shared" si="14"/>
        <v>T</v>
      </c>
    </row>
    <row r="403" spans="1:16" ht="23.25">
      <c r="A403" s="386" t="s">
        <v>74</v>
      </c>
      <c r="B403" s="387">
        <v>52000</v>
      </c>
      <c r="C403" s="388">
        <v>12</v>
      </c>
      <c r="D403" s="364">
        <v>16385</v>
      </c>
      <c r="E403" s="364">
        <v>68385</v>
      </c>
      <c r="F403" s="364">
        <v>1821</v>
      </c>
      <c r="G403" s="364">
        <v>4334</v>
      </c>
      <c r="H403" s="364">
        <v>1213</v>
      </c>
      <c r="I403" s="364">
        <v>5547</v>
      </c>
      <c r="K403" s="388"/>
      <c r="L403" s="350">
        <v>0.315</v>
      </c>
      <c r="M403" s="350">
        <v>3.5000000000000003E-2</v>
      </c>
      <c r="N403" s="351" t="str">
        <f t="shared" si="13"/>
        <v>5200012</v>
      </c>
      <c r="P403" s="351" t="str">
        <f t="shared" si="14"/>
        <v>T</v>
      </c>
    </row>
    <row r="404" spans="1:16" ht="24" thickBot="1">
      <c r="A404" s="389" t="s">
        <v>74</v>
      </c>
      <c r="B404" s="390">
        <v>52000</v>
      </c>
      <c r="C404" s="381">
        <v>14</v>
      </c>
      <c r="D404" s="398">
        <v>19116</v>
      </c>
      <c r="E404" s="398">
        <v>71116</v>
      </c>
      <c r="F404" s="398">
        <v>2124</v>
      </c>
      <c r="G404" s="398">
        <v>3715</v>
      </c>
      <c r="H404" s="366">
        <v>1213</v>
      </c>
      <c r="I404" s="398">
        <v>4928</v>
      </c>
      <c r="K404" s="381"/>
      <c r="L404" s="350">
        <v>0.315</v>
      </c>
      <c r="M404" s="350">
        <v>3.5000000000000003E-2</v>
      </c>
      <c r="N404" s="351" t="str">
        <f t="shared" si="13"/>
        <v>5200014</v>
      </c>
      <c r="P404" s="351" t="str">
        <f t="shared" si="14"/>
        <v>T</v>
      </c>
    </row>
    <row r="405" spans="1:16" ht="24" thickTop="1">
      <c r="A405" s="355" t="s">
        <v>74</v>
      </c>
      <c r="B405" s="356">
        <v>52000</v>
      </c>
      <c r="C405" s="396">
        <v>16</v>
      </c>
      <c r="D405" s="397">
        <v>21851</v>
      </c>
      <c r="E405" s="397">
        <v>73851</v>
      </c>
      <c r="F405" s="397">
        <v>2427</v>
      </c>
      <c r="G405" s="397">
        <v>3250</v>
      </c>
      <c r="H405" s="397">
        <v>1214</v>
      </c>
      <c r="I405" s="397">
        <v>4464</v>
      </c>
      <c r="K405" s="396"/>
      <c r="L405" s="350">
        <v>0.315</v>
      </c>
      <c r="M405" s="350">
        <v>3.5000000000000003E-2</v>
      </c>
      <c r="N405" s="351" t="str">
        <f t="shared" si="13"/>
        <v>5200016</v>
      </c>
      <c r="P405" s="351" t="str">
        <f t="shared" si="14"/>
        <v>T</v>
      </c>
    </row>
    <row r="406" spans="1:16" ht="23.25">
      <c r="A406" s="360" t="s">
        <v>74</v>
      </c>
      <c r="B406" s="361">
        <v>52000</v>
      </c>
      <c r="C406" s="365">
        <v>18</v>
      </c>
      <c r="D406" s="366">
        <v>24585</v>
      </c>
      <c r="E406" s="366">
        <v>76585</v>
      </c>
      <c r="F406" s="366">
        <v>2731</v>
      </c>
      <c r="G406" s="366">
        <v>2889</v>
      </c>
      <c r="H406" s="366">
        <v>1214</v>
      </c>
      <c r="I406" s="366">
        <v>4103</v>
      </c>
      <c r="K406" s="365"/>
      <c r="L406" s="350">
        <v>0.315</v>
      </c>
      <c r="M406" s="350">
        <v>3.5000000000000003E-2</v>
      </c>
      <c r="N406" s="351" t="str">
        <f t="shared" si="13"/>
        <v>5200018</v>
      </c>
      <c r="P406" s="351" t="str">
        <f t="shared" si="14"/>
        <v>T</v>
      </c>
    </row>
    <row r="407" spans="1:16" ht="23.25">
      <c r="A407" s="360" t="s">
        <v>74</v>
      </c>
      <c r="B407" s="361">
        <v>52000</v>
      </c>
      <c r="C407" s="367">
        <v>20</v>
      </c>
      <c r="D407" s="368">
        <v>27314</v>
      </c>
      <c r="E407" s="368">
        <v>79314</v>
      </c>
      <c r="F407" s="368">
        <v>3034</v>
      </c>
      <c r="G407" s="368">
        <v>2600</v>
      </c>
      <c r="H407" s="364">
        <v>1214</v>
      </c>
      <c r="I407" s="368">
        <v>3814</v>
      </c>
      <c r="K407" s="367"/>
      <c r="L407" s="350">
        <v>0.315</v>
      </c>
      <c r="M407" s="350">
        <v>3.5000000000000003E-2</v>
      </c>
      <c r="N407" s="351" t="str">
        <f t="shared" si="13"/>
        <v>5200020</v>
      </c>
      <c r="P407" s="351" t="str">
        <f t="shared" si="14"/>
        <v>T</v>
      </c>
    </row>
    <row r="408" spans="1:16" ht="23.25">
      <c r="A408" s="360" t="s">
        <v>74</v>
      </c>
      <c r="B408" s="361">
        <v>52000</v>
      </c>
      <c r="C408" s="365">
        <v>22</v>
      </c>
      <c r="D408" s="366">
        <v>30031</v>
      </c>
      <c r="E408" s="366">
        <v>82031</v>
      </c>
      <c r="F408" s="366">
        <v>3337</v>
      </c>
      <c r="G408" s="366">
        <v>2364</v>
      </c>
      <c r="H408" s="366">
        <v>1213</v>
      </c>
      <c r="I408" s="366">
        <v>3577</v>
      </c>
      <c r="K408" s="365"/>
      <c r="L408" s="350">
        <v>0.315</v>
      </c>
      <c r="M408" s="350">
        <v>3.5000000000000003E-2</v>
      </c>
      <c r="N408" s="351" t="str">
        <f t="shared" si="13"/>
        <v>5200022</v>
      </c>
      <c r="P408" s="351" t="str">
        <f t="shared" si="14"/>
        <v>T</v>
      </c>
    </row>
    <row r="409" spans="1:16" ht="23.25">
      <c r="A409" s="360" t="s">
        <v>74</v>
      </c>
      <c r="B409" s="361">
        <v>52000</v>
      </c>
      <c r="C409" s="367">
        <v>24</v>
      </c>
      <c r="D409" s="368">
        <v>32785</v>
      </c>
      <c r="E409" s="368">
        <v>84785</v>
      </c>
      <c r="F409" s="368">
        <v>3641</v>
      </c>
      <c r="G409" s="368">
        <v>2167</v>
      </c>
      <c r="H409" s="368">
        <v>1214</v>
      </c>
      <c r="I409" s="368">
        <v>3381</v>
      </c>
      <c r="K409" s="367"/>
      <c r="L409" s="350">
        <v>0.315</v>
      </c>
      <c r="M409" s="350">
        <v>3.5000000000000003E-2</v>
      </c>
      <c r="N409" s="351" t="str">
        <f t="shared" si="13"/>
        <v>5200024</v>
      </c>
      <c r="P409" s="351" t="str">
        <f t="shared" si="14"/>
        <v>T</v>
      </c>
    </row>
    <row r="410" spans="1:16" ht="23.25">
      <c r="A410" s="360" t="s">
        <v>74</v>
      </c>
      <c r="B410" s="361">
        <v>53000</v>
      </c>
      <c r="C410" s="365">
        <v>4</v>
      </c>
      <c r="D410" s="366">
        <v>5567</v>
      </c>
      <c r="E410" s="366">
        <v>58567</v>
      </c>
      <c r="F410" s="366">
        <v>619</v>
      </c>
      <c r="G410" s="366">
        <v>13250</v>
      </c>
      <c r="H410" s="366">
        <v>1237</v>
      </c>
      <c r="I410" s="366">
        <v>14487</v>
      </c>
      <c r="K410" s="365"/>
      <c r="L410" s="350">
        <v>0.315</v>
      </c>
      <c r="M410" s="350">
        <v>3.5000000000000003E-2</v>
      </c>
      <c r="N410" s="351" t="str">
        <f t="shared" si="13"/>
        <v>530004</v>
      </c>
      <c r="P410" s="351" t="str">
        <f t="shared" si="14"/>
        <v>T</v>
      </c>
    </row>
    <row r="411" spans="1:16" ht="23.25">
      <c r="A411" s="360" t="s">
        <v>74</v>
      </c>
      <c r="B411" s="361">
        <v>53000</v>
      </c>
      <c r="C411" s="367">
        <v>6</v>
      </c>
      <c r="D411" s="368">
        <v>8354</v>
      </c>
      <c r="E411" s="368">
        <v>61354</v>
      </c>
      <c r="F411" s="368">
        <v>928</v>
      </c>
      <c r="G411" s="368">
        <v>8834</v>
      </c>
      <c r="H411" s="368">
        <v>1237</v>
      </c>
      <c r="I411" s="368">
        <v>10071</v>
      </c>
      <c r="K411" s="367"/>
      <c r="L411" s="350">
        <v>0.315</v>
      </c>
      <c r="M411" s="350">
        <v>3.5000000000000003E-2</v>
      </c>
      <c r="N411" s="351" t="str">
        <f t="shared" si="13"/>
        <v>530006</v>
      </c>
      <c r="P411" s="351" t="str">
        <f t="shared" si="14"/>
        <v>T</v>
      </c>
    </row>
    <row r="412" spans="1:16" ht="23.25">
      <c r="A412" s="360" t="s">
        <v>74</v>
      </c>
      <c r="B412" s="361">
        <v>53000</v>
      </c>
      <c r="C412" s="365">
        <v>8</v>
      </c>
      <c r="D412" s="366">
        <v>11133</v>
      </c>
      <c r="E412" s="366">
        <v>64133</v>
      </c>
      <c r="F412" s="366">
        <v>1237</v>
      </c>
      <c r="G412" s="366">
        <v>6625</v>
      </c>
      <c r="H412" s="366">
        <v>1237</v>
      </c>
      <c r="I412" s="366">
        <v>7862</v>
      </c>
      <c r="K412" s="365"/>
      <c r="L412" s="350">
        <v>0.315</v>
      </c>
      <c r="M412" s="350">
        <v>3.5000000000000003E-2</v>
      </c>
      <c r="N412" s="351" t="str">
        <f t="shared" si="13"/>
        <v>530008</v>
      </c>
      <c r="P412" s="351" t="str">
        <f t="shared" si="14"/>
        <v>T</v>
      </c>
    </row>
    <row r="413" spans="1:16" ht="23.25">
      <c r="A413" s="360" t="s">
        <v>74</v>
      </c>
      <c r="B413" s="361">
        <v>53000</v>
      </c>
      <c r="C413" s="388">
        <v>10</v>
      </c>
      <c r="D413" s="364">
        <v>13916</v>
      </c>
      <c r="E413" s="364">
        <v>66916</v>
      </c>
      <c r="F413" s="364">
        <v>1546</v>
      </c>
      <c r="G413" s="364">
        <v>5300</v>
      </c>
      <c r="H413" s="372">
        <v>1237</v>
      </c>
      <c r="I413" s="364">
        <v>6537</v>
      </c>
      <c r="K413" s="388"/>
      <c r="L413" s="350">
        <v>0.315</v>
      </c>
      <c r="M413" s="350">
        <v>3.5000000000000003E-2</v>
      </c>
      <c r="N413" s="351" t="str">
        <f t="shared" si="13"/>
        <v>5300010</v>
      </c>
      <c r="P413" s="351" t="str">
        <f t="shared" si="14"/>
        <v>T</v>
      </c>
    </row>
    <row r="414" spans="1:16" ht="23.25">
      <c r="A414" s="360" t="s">
        <v>74</v>
      </c>
      <c r="B414" s="361">
        <v>53000</v>
      </c>
      <c r="C414" s="365">
        <v>12</v>
      </c>
      <c r="D414" s="366">
        <v>16704</v>
      </c>
      <c r="E414" s="366">
        <v>69704</v>
      </c>
      <c r="F414" s="366">
        <v>1856</v>
      </c>
      <c r="G414" s="366">
        <v>4417</v>
      </c>
      <c r="H414" s="366">
        <v>1237</v>
      </c>
      <c r="I414" s="366">
        <v>5654</v>
      </c>
      <c r="K414" s="365"/>
      <c r="L414" s="350">
        <v>0.315</v>
      </c>
      <c r="M414" s="350">
        <v>3.5000000000000003E-2</v>
      </c>
      <c r="N414" s="351" t="str">
        <f t="shared" si="13"/>
        <v>5300012</v>
      </c>
      <c r="P414" s="351" t="str">
        <f t="shared" si="14"/>
        <v>T</v>
      </c>
    </row>
    <row r="415" spans="1:16" ht="24" thickBot="1">
      <c r="A415" s="392" t="s">
        <v>74</v>
      </c>
      <c r="B415" s="393">
        <v>53000</v>
      </c>
      <c r="C415" s="399">
        <v>14</v>
      </c>
      <c r="D415" s="400">
        <v>19487</v>
      </c>
      <c r="E415" s="400">
        <v>72487</v>
      </c>
      <c r="F415" s="400">
        <v>2165</v>
      </c>
      <c r="G415" s="400">
        <v>3786</v>
      </c>
      <c r="H415" s="364">
        <v>1237</v>
      </c>
      <c r="I415" s="400">
        <v>5023</v>
      </c>
      <c r="K415" s="399"/>
      <c r="L415" s="350">
        <v>0.315</v>
      </c>
      <c r="M415" s="350">
        <v>3.5000000000000003E-2</v>
      </c>
      <c r="N415" s="351" t="str">
        <f t="shared" si="13"/>
        <v>5300014</v>
      </c>
      <c r="P415" s="351" t="str">
        <f t="shared" si="14"/>
        <v>T</v>
      </c>
    </row>
    <row r="416" spans="1:16" ht="24" thickTop="1">
      <c r="A416" s="384" t="s">
        <v>74</v>
      </c>
      <c r="B416" s="385">
        <v>53000</v>
      </c>
      <c r="C416" s="357">
        <v>16</v>
      </c>
      <c r="D416" s="358">
        <v>22274</v>
      </c>
      <c r="E416" s="358">
        <v>75274</v>
      </c>
      <c r="F416" s="358">
        <v>2474</v>
      </c>
      <c r="G416" s="358">
        <v>3313</v>
      </c>
      <c r="H416" s="358">
        <v>1237</v>
      </c>
      <c r="I416" s="358">
        <v>4550</v>
      </c>
      <c r="K416" s="357"/>
      <c r="L416" s="350">
        <v>0.315</v>
      </c>
      <c r="M416" s="350">
        <v>3.5000000000000003E-2</v>
      </c>
      <c r="N416" s="351" t="str">
        <f t="shared" si="13"/>
        <v>5300016</v>
      </c>
      <c r="P416" s="351" t="str">
        <f t="shared" si="14"/>
        <v>T</v>
      </c>
    </row>
    <row r="417" spans="1:16" ht="23.25">
      <c r="A417" s="386" t="s">
        <v>74</v>
      </c>
      <c r="B417" s="387">
        <v>53000</v>
      </c>
      <c r="C417" s="388">
        <v>18</v>
      </c>
      <c r="D417" s="364">
        <v>25059</v>
      </c>
      <c r="E417" s="364">
        <v>78059</v>
      </c>
      <c r="F417" s="364">
        <v>2783</v>
      </c>
      <c r="G417" s="364">
        <v>2945</v>
      </c>
      <c r="H417" s="364">
        <v>1237</v>
      </c>
      <c r="I417" s="364">
        <v>4182</v>
      </c>
      <c r="K417" s="388"/>
      <c r="L417" s="350">
        <v>0.315</v>
      </c>
      <c r="M417" s="350">
        <v>3.5000000000000003E-2</v>
      </c>
      <c r="N417" s="351" t="str">
        <f t="shared" si="13"/>
        <v>5300018</v>
      </c>
      <c r="P417" s="351" t="str">
        <f t="shared" si="14"/>
        <v>T</v>
      </c>
    </row>
    <row r="418" spans="1:16" ht="23.25">
      <c r="A418" s="386" t="s">
        <v>74</v>
      </c>
      <c r="B418" s="387">
        <v>53000</v>
      </c>
      <c r="C418" s="365">
        <v>20</v>
      </c>
      <c r="D418" s="366">
        <v>27832</v>
      </c>
      <c r="E418" s="366">
        <v>80832</v>
      </c>
      <c r="F418" s="366">
        <v>3092</v>
      </c>
      <c r="G418" s="366">
        <v>2650</v>
      </c>
      <c r="H418" s="366">
        <v>1237</v>
      </c>
      <c r="I418" s="366">
        <v>3887</v>
      </c>
      <c r="K418" s="365"/>
      <c r="L418" s="350">
        <v>0.315</v>
      </c>
      <c r="M418" s="350">
        <v>3.5000000000000003E-2</v>
      </c>
      <c r="N418" s="351" t="str">
        <f t="shared" si="13"/>
        <v>5300020</v>
      </c>
      <c r="P418" s="351" t="str">
        <f t="shared" si="14"/>
        <v>T</v>
      </c>
    </row>
    <row r="419" spans="1:16" ht="23.25">
      <c r="A419" s="386" t="s">
        <v>74</v>
      </c>
      <c r="B419" s="387">
        <v>53000</v>
      </c>
      <c r="C419" s="367">
        <v>22</v>
      </c>
      <c r="D419" s="368">
        <v>30613</v>
      </c>
      <c r="E419" s="368">
        <v>83613</v>
      </c>
      <c r="F419" s="368">
        <v>3401</v>
      </c>
      <c r="G419" s="368">
        <v>2410</v>
      </c>
      <c r="H419" s="368">
        <v>1236</v>
      </c>
      <c r="I419" s="368">
        <v>3646</v>
      </c>
      <c r="K419" s="367"/>
      <c r="L419" s="350">
        <v>0.315</v>
      </c>
      <c r="M419" s="350">
        <v>3.5000000000000003E-2</v>
      </c>
      <c r="N419" s="351" t="str">
        <f t="shared" si="13"/>
        <v>5300022</v>
      </c>
      <c r="P419" s="351" t="str">
        <f t="shared" si="14"/>
        <v>T</v>
      </c>
    </row>
    <row r="420" spans="1:16" ht="23.25">
      <c r="A420" s="386" t="s">
        <v>74</v>
      </c>
      <c r="B420" s="387">
        <v>53000</v>
      </c>
      <c r="C420" s="365">
        <v>24</v>
      </c>
      <c r="D420" s="366">
        <v>33415</v>
      </c>
      <c r="E420" s="366">
        <v>86415</v>
      </c>
      <c r="F420" s="366">
        <v>3711</v>
      </c>
      <c r="G420" s="366">
        <v>2209</v>
      </c>
      <c r="H420" s="366">
        <v>1237</v>
      </c>
      <c r="I420" s="366">
        <v>3446</v>
      </c>
      <c r="K420" s="365"/>
      <c r="L420" s="350">
        <v>0.315</v>
      </c>
      <c r="M420" s="350">
        <v>3.5000000000000003E-2</v>
      </c>
      <c r="N420" s="351" t="str">
        <f t="shared" si="13"/>
        <v>5300024</v>
      </c>
      <c r="P420" s="351" t="str">
        <f t="shared" si="14"/>
        <v>T</v>
      </c>
    </row>
    <row r="421" spans="1:16" ht="23.25">
      <c r="A421" s="386" t="s">
        <v>74</v>
      </c>
      <c r="B421" s="387">
        <v>54000</v>
      </c>
      <c r="C421" s="367">
        <v>4</v>
      </c>
      <c r="D421" s="368">
        <v>5675</v>
      </c>
      <c r="E421" s="368">
        <v>59675</v>
      </c>
      <c r="F421" s="368">
        <v>631</v>
      </c>
      <c r="G421" s="368">
        <v>13500</v>
      </c>
      <c r="H421" s="368">
        <v>1261</v>
      </c>
      <c r="I421" s="368">
        <v>14761</v>
      </c>
      <c r="K421" s="367"/>
      <c r="L421" s="350">
        <v>0.315</v>
      </c>
      <c r="M421" s="350">
        <v>3.5000000000000003E-2</v>
      </c>
      <c r="N421" s="351" t="str">
        <f t="shared" si="13"/>
        <v>540004</v>
      </c>
      <c r="P421" s="351" t="str">
        <f t="shared" si="14"/>
        <v>T</v>
      </c>
    </row>
    <row r="422" spans="1:16" ht="23.25">
      <c r="A422" s="386" t="s">
        <v>74</v>
      </c>
      <c r="B422" s="387">
        <v>54000</v>
      </c>
      <c r="C422" s="365">
        <v>6</v>
      </c>
      <c r="D422" s="366">
        <v>8512</v>
      </c>
      <c r="E422" s="366">
        <v>62512</v>
      </c>
      <c r="F422" s="366">
        <v>946</v>
      </c>
      <c r="G422" s="366">
        <v>9000</v>
      </c>
      <c r="H422" s="366">
        <v>1261</v>
      </c>
      <c r="I422" s="366">
        <v>10261</v>
      </c>
      <c r="K422" s="365"/>
      <c r="L422" s="350">
        <v>0.315</v>
      </c>
      <c r="M422" s="350">
        <v>3.5000000000000003E-2</v>
      </c>
      <c r="N422" s="351" t="str">
        <f t="shared" si="13"/>
        <v>540006</v>
      </c>
      <c r="P422" s="351" t="str">
        <f t="shared" si="14"/>
        <v>T</v>
      </c>
    </row>
    <row r="423" spans="1:16" ht="23.25">
      <c r="A423" s="386" t="s">
        <v>74</v>
      </c>
      <c r="B423" s="387">
        <v>54000</v>
      </c>
      <c r="C423" s="367">
        <v>8</v>
      </c>
      <c r="D423" s="368">
        <v>11349</v>
      </c>
      <c r="E423" s="368">
        <v>65349</v>
      </c>
      <c r="F423" s="368">
        <v>1261</v>
      </c>
      <c r="G423" s="368">
        <v>6750</v>
      </c>
      <c r="H423" s="372">
        <v>1261</v>
      </c>
      <c r="I423" s="368">
        <v>8011</v>
      </c>
      <c r="K423" s="367"/>
      <c r="L423" s="350">
        <v>0.315</v>
      </c>
      <c r="M423" s="350">
        <v>3.5000000000000003E-2</v>
      </c>
      <c r="N423" s="351" t="str">
        <f t="shared" si="13"/>
        <v>540008</v>
      </c>
      <c r="P423" s="351" t="str">
        <f t="shared" si="14"/>
        <v>T</v>
      </c>
    </row>
    <row r="424" spans="1:16" ht="23.25">
      <c r="A424" s="386" t="s">
        <v>74</v>
      </c>
      <c r="B424" s="387">
        <v>54000</v>
      </c>
      <c r="C424" s="365">
        <v>10</v>
      </c>
      <c r="D424" s="366">
        <v>14186</v>
      </c>
      <c r="E424" s="366">
        <v>68186</v>
      </c>
      <c r="F424" s="366">
        <v>1576</v>
      </c>
      <c r="G424" s="366">
        <v>5400</v>
      </c>
      <c r="H424" s="366">
        <v>1261</v>
      </c>
      <c r="I424" s="366">
        <v>6661</v>
      </c>
      <c r="K424" s="365"/>
      <c r="L424" s="350">
        <v>0.315</v>
      </c>
      <c r="M424" s="350">
        <v>3.5000000000000003E-2</v>
      </c>
      <c r="N424" s="351" t="str">
        <f t="shared" si="13"/>
        <v>5400010</v>
      </c>
      <c r="P424" s="351" t="str">
        <f t="shared" si="14"/>
        <v>T</v>
      </c>
    </row>
    <row r="425" spans="1:16" ht="23.25">
      <c r="A425" s="386" t="s">
        <v>74</v>
      </c>
      <c r="B425" s="387">
        <v>54000</v>
      </c>
      <c r="C425" s="388">
        <v>12</v>
      </c>
      <c r="D425" s="364">
        <v>17023</v>
      </c>
      <c r="E425" s="364">
        <v>71023</v>
      </c>
      <c r="F425" s="364">
        <v>1891</v>
      </c>
      <c r="G425" s="364">
        <v>4500</v>
      </c>
      <c r="H425" s="364">
        <v>1261</v>
      </c>
      <c r="I425" s="364">
        <v>5761</v>
      </c>
      <c r="K425" s="388"/>
      <c r="L425" s="350">
        <v>0.315</v>
      </c>
      <c r="M425" s="350">
        <v>3.5000000000000003E-2</v>
      </c>
      <c r="N425" s="351" t="str">
        <f t="shared" si="13"/>
        <v>5400012</v>
      </c>
      <c r="P425" s="351" t="str">
        <f t="shared" si="14"/>
        <v>T</v>
      </c>
    </row>
    <row r="426" spans="1:16" ht="24" thickBot="1">
      <c r="A426" s="389" t="s">
        <v>74</v>
      </c>
      <c r="B426" s="390">
        <v>54000</v>
      </c>
      <c r="C426" s="381">
        <v>14</v>
      </c>
      <c r="D426" s="398">
        <v>19858</v>
      </c>
      <c r="E426" s="398">
        <v>73858</v>
      </c>
      <c r="F426" s="398">
        <v>2206</v>
      </c>
      <c r="G426" s="398">
        <v>3858</v>
      </c>
      <c r="H426" s="366">
        <v>1260</v>
      </c>
      <c r="I426" s="398">
        <v>5118</v>
      </c>
      <c r="K426" s="381"/>
      <c r="L426" s="350">
        <v>0.315</v>
      </c>
      <c r="M426" s="350">
        <v>3.5000000000000003E-2</v>
      </c>
      <c r="N426" s="351" t="str">
        <f t="shared" si="13"/>
        <v>5400014</v>
      </c>
      <c r="P426" s="351" t="str">
        <f t="shared" si="14"/>
        <v>T</v>
      </c>
    </row>
    <row r="427" spans="1:16" ht="24" thickTop="1">
      <c r="A427" s="355" t="s">
        <v>74</v>
      </c>
      <c r="B427" s="356">
        <v>54000</v>
      </c>
      <c r="C427" s="396">
        <v>16</v>
      </c>
      <c r="D427" s="397">
        <v>22697</v>
      </c>
      <c r="E427" s="397">
        <v>76697</v>
      </c>
      <c r="F427" s="397">
        <v>2521</v>
      </c>
      <c r="G427" s="397">
        <v>3375</v>
      </c>
      <c r="H427" s="397">
        <v>1261</v>
      </c>
      <c r="I427" s="397">
        <v>4636</v>
      </c>
      <c r="K427" s="396"/>
      <c r="L427" s="350">
        <v>0.315</v>
      </c>
      <c r="M427" s="350">
        <v>3.5000000000000003E-2</v>
      </c>
      <c r="N427" s="351" t="str">
        <f t="shared" si="13"/>
        <v>5400016</v>
      </c>
      <c r="P427" s="351" t="str">
        <f t="shared" si="14"/>
        <v>T</v>
      </c>
    </row>
    <row r="428" spans="1:16" ht="23.25">
      <c r="A428" s="360" t="s">
        <v>74</v>
      </c>
      <c r="B428" s="361">
        <v>54000</v>
      </c>
      <c r="C428" s="365">
        <v>18</v>
      </c>
      <c r="D428" s="366">
        <v>25534</v>
      </c>
      <c r="E428" s="366">
        <v>79534</v>
      </c>
      <c r="F428" s="366">
        <v>2836</v>
      </c>
      <c r="G428" s="366">
        <v>3000</v>
      </c>
      <c r="H428" s="366">
        <v>1261</v>
      </c>
      <c r="I428" s="366">
        <v>4261</v>
      </c>
      <c r="K428" s="365"/>
      <c r="L428" s="350">
        <v>0.315</v>
      </c>
      <c r="M428" s="350">
        <v>3.5000000000000003E-2</v>
      </c>
      <c r="N428" s="351" t="str">
        <f t="shared" si="13"/>
        <v>5400018</v>
      </c>
      <c r="P428" s="351" t="str">
        <f t="shared" si="14"/>
        <v>T</v>
      </c>
    </row>
    <row r="429" spans="1:16" ht="23.25">
      <c r="A429" s="360" t="s">
        <v>74</v>
      </c>
      <c r="B429" s="361">
        <v>54000</v>
      </c>
      <c r="C429" s="367">
        <v>20</v>
      </c>
      <c r="D429" s="368">
        <v>28371</v>
      </c>
      <c r="E429" s="368">
        <v>82371</v>
      </c>
      <c r="F429" s="368">
        <v>3151</v>
      </c>
      <c r="G429" s="368">
        <v>2700</v>
      </c>
      <c r="H429" s="364">
        <v>1261</v>
      </c>
      <c r="I429" s="368">
        <v>3961</v>
      </c>
      <c r="K429" s="367"/>
      <c r="L429" s="350">
        <v>0.315</v>
      </c>
      <c r="M429" s="350">
        <v>3.5000000000000003E-2</v>
      </c>
      <c r="N429" s="351" t="str">
        <f t="shared" si="13"/>
        <v>5400020</v>
      </c>
      <c r="P429" s="351" t="str">
        <f t="shared" si="14"/>
        <v>T</v>
      </c>
    </row>
    <row r="430" spans="1:16" ht="23.25">
      <c r="A430" s="360" t="s">
        <v>74</v>
      </c>
      <c r="B430" s="361">
        <v>54000</v>
      </c>
      <c r="C430" s="365">
        <v>22</v>
      </c>
      <c r="D430" s="366">
        <v>31196</v>
      </c>
      <c r="E430" s="366">
        <v>85196</v>
      </c>
      <c r="F430" s="366">
        <v>3466</v>
      </c>
      <c r="G430" s="366">
        <v>2455</v>
      </c>
      <c r="H430" s="366">
        <v>1260</v>
      </c>
      <c r="I430" s="366">
        <v>3715</v>
      </c>
      <c r="K430" s="365"/>
      <c r="L430" s="350">
        <v>0.315</v>
      </c>
      <c r="M430" s="350">
        <v>3.5000000000000003E-2</v>
      </c>
      <c r="N430" s="351" t="str">
        <f t="shared" si="13"/>
        <v>5400022</v>
      </c>
      <c r="P430" s="351" t="str">
        <f t="shared" si="14"/>
        <v>T</v>
      </c>
    </row>
    <row r="431" spans="1:16" ht="23.25">
      <c r="A431" s="360" t="s">
        <v>74</v>
      </c>
      <c r="B431" s="361">
        <v>54000</v>
      </c>
      <c r="C431" s="367">
        <v>24</v>
      </c>
      <c r="D431" s="368">
        <v>34045</v>
      </c>
      <c r="E431" s="368">
        <v>88045</v>
      </c>
      <c r="F431" s="368">
        <v>3781</v>
      </c>
      <c r="G431" s="368">
        <v>2250</v>
      </c>
      <c r="H431" s="368">
        <v>1261</v>
      </c>
      <c r="I431" s="368">
        <v>3511</v>
      </c>
      <c r="K431" s="367"/>
      <c r="L431" s="350">
        <v>0.315</v>
      </c>
      <c r="M431" s="350">
        <v>3.5000000000000003E-2</v>
      </c>
      <c r="N431" s="351" t="str">
        <f t="shared" si="13"/>
        <v>5400024</v>
      </c>
      <c r="P431" s="351" t="str">
        <f t="shared" si="14"/>
        <v>T</v>
      </c>
    </row>
    <row r="432" spans="1:16" ht="23.25">
      <c r="A432" s="360" t="s">
        <v>74</v>
      </c>
      <c r="B432" s="361">
        <v>55000</v>
      </c>
      <c r="C432" s="365">
        <v>4</v>
      </c>
      <c r="D432" s="366">
        <v>5778</v>
      </c>
      <c r="E432" s="366">
        <v>60778</v>
      </c>
      <c r="F432" s="366">
        <v>642</v>
      </c>
      <c r="G432" s="366">
        <v>13750</v>
      </c>
      <c r="H432" s="366">
        <v>1284</v>
      </c>
      <c r="I432" s="366">
        <v>15034</v>
      </c>
      <c r="K432" s="365"/>
      <c r="L432" s="350">
        <v>0.315</v>
      </c>
      <c r="M432" s="350">
        <v>3.5000000000000003E-2</v>
      </c>
      <c r="N432" s="351" t="str">
        <f t="shared" si="13"/>
        <v>550004</v>
      </c>
      <c r="P432" s="351" t="str">
        <f t="shared" si="14"/>
        <v>T</v>
      </c>
    </row>
    <row r="433" spans="1:16" ht="23.25">
      <c r="A433" s="360" t="s">
        <v>74</v>
      </c>
      <c r="B433" s="361">
        <v>55000</v>
      </c>
      <c r="C433" s="367">
        <v>6</v>
      </c>
      <c r="D433" s="368">
        <v>8669</v>
      </c>
      <c r="E433" s="368">
        <v>63669</v>
      </c>
      <c r="F433" s="368">
        <v>963</v>
      </c>
      <c r="G433" s="368">
        <v>9167</v>
      </c>
      <c r="H433" s="368">
        <v>1284</v>
      </c>
      <c r="I433" s="368">
        <v>10451</v>
      </c>
      <c r="K433" s="367"/>
      <c r="L433" s="350">
        <v>0.315</v>
      </c>
      <c r="M433" s="350">
        <v>3.5000000000000003E-2</v>
      </c>
      <c r="N433" s="351" t="str">
        <f t="shared" si="13"/>
        <v>550006</v>
      </c>
      <c r="P433" s="351" t="str">
        <f t="shared" si="14"/>
        <v>T</v>
      </c>
    </row>
    <row r="434" spans="1:16" ht="23.25">
      <c r="A434" s="360" t="s">
        <v>74</v>
      </c>
      <c r="B434" s="361">
        <v>55000</v>
      </c>
      <c r="C434" s="365">
        <v>8</v>
      </c>
      <c r="D434" s="366">
        <v>11556</v>
      </c>
      <c r="E434" s="366">
        <v>66556</v>
      </c>
      <c r="F434" s="366">
        <v>1284</v>
      </c>
      <c r="G434" s="366">
        <v>6875</v>
      </c>
      <c r="H434" s="366">
        <v>1284</v>
      </c>
      <c r="I434" s="366">
        <v>8159</v>
      </c>
      <c r="K434" s="365"/>
      <c r="L434" s="350">
        <v>0.315</v>
      </c>
      <c r="M434" s="350">
        <v>3.5000000000000003E-2</v>
      </c>
      <c r="N434" s="351" t="str">
        <f t="shared" si="13"/>
        <v>550008</v>
      </c>
      <c r="P434" s="351" t="str">
        <f t="shared" si="14"/>
        <v>T</v>
      </c>
    </row>
    <row r="435" spans="1:16" ht="23.25">
      <c r="A435" s="360" t="s">
        <v>74</v>
      </c>
      <c r="B435" s="361">
        <v>55000</v>
      </c>
      <c r="C435" s="388">
        <v>10</v>
      </c>
      <c r="D435" s="364">
        <v>14445</v>
      </c>
      <c r="E435" s="364">
        <v>69445</v>
      </c>
      <c r="F435" s="364">
        <v>1605</v>
      </c>
      <c r="G435" s="364">
        <v>5500</v>
      </c>
      <c r="H435" s="372">
        <v>1284</v>
      </c>
      <c r="I435" s="364">
        <v>6784</v>
      </c>
      <c r="K435" s="388"/>
      <c r="L435" s="350">
        <v>0.315</v>
      </c>
      <c r="M435" s="350">
        <v>3.5000000000000003E-2</v>
      </c>
      <c r="N435" s="351" t="str">
        <f t="shared" si="13"/>
        <v>5500010</v>
      </c>
      <c r="P435" s="351" t="str">
        <f t="shared" si="14"/>
        <v>T</v>
      </c>
    </row>
    <row r="436" spans="1:16" ht="23.25">
      <c r="A436" s="360" t="s">
        <v>74</v>
      </c>
      <c r="B436" s="361">
        <v>55000</v>
      </c>
      <c r="C436" s="365">
        <v>12</v>
      </c>
      <c r="D436" s="366">
        <v>17330</v>
      </c>
      <c r="E436" s="366">
        <v>72330</v>
      </c>
      <c r="F436" s="366">
        <v>1926</v>
      </c>
      <c r="G436" s="366">
        <v>4584</v>
      </c>
      <c r="H436" s="366">
        <v>1283</v>
      </c>
      <c r="I436" s="366">
        <v>5867</v>
      </c>
      <c r="K436" s="365"/>
      <c r="L436" s="350">
        <v>0.315</v>
      </c>
      <c r="M436" s="350">
        <v>3.5000000000000003E-2</v>
      </c>
      <c r="N436" s="351" t="str">
        <f t="shared" si="13"/>
        <v>5500012</v>
      </c>
      <c r="P436" s="351" t="str">
        <f t="shared" si="14"/>
        <v>T</v>
      </c>
    </row>
    <row r="437" spans="1:16" ht="24" thickBot="1">
      <c r="A437" s="392" t="s">
        <v>74</v>
      </c>
      <c r="B437" s="393">
        <v>55000</v>
      </c>
      <c r="C437" s="399">
        <v>14</v>
      </c>
      <c r="D437" s="400">
        <v>20214</v>
      </c>
      <c r="E437" s="400">
        <v>75214</v>
      </c>
      <c r="F437" s="400">
        <v>2246</v>
      </c>
      <c r="G437" s="400">
        <v>3929</v>
      </c>
      <c r="H437" s="400">
        <v>1283</v>
      </c>
      <c r="I437" s="400">
        <v>5212</v>
      </c>
      <c r="K437" s="399"/>
      <c r="L437" s="350">
        <v>0.315</v>
      </c>
      <c r="M437" s="350">
        <v>3.5000000000000003E-2</v>
      </c>
      <c r="N437" s="351" t="str">
        <f t="shared" si="13"/>
        <v>5500014</v>
      </c>
      <c r="P437" s="351" t="str">
        <f t="shared" si="14"/>
        <v>T</v>
      </c>
    </row>
    <row r="438" spans="1:16" ht="24" thickTop="1">
      <c r="A438" s="384" t="s">
        <v>74</v>
      </c>
      <c r="B438" s="385">
        <v>55000</v>
      </c>
      <c r="C438" s="357">
        <v>16</v>
      </c>
      <c r="D438" s="358">
        <v>23103</v>
      </c>
      <c r="E438" s="358">
        <v>78103</v>
      </c>
      <c r="F438" s="358">
        <v>2567</v>
      </c>
      <c r="G438" s="358">
        <v>3438</v>
      </c>
      <c r="H438" s="358">
        <v>1283</v>
      </c>
      <c r="I438" s="358">
        <v>4721</v>
      </c>
      <c r="K438" s="357"/>
      <c r="L438" s="350">
        <v>0.315</v>
      </c>
      <c r="M438" s="350">
        <v>3.5000000000000003E-2</v>
      </c>
      <c r="N438" s="351" t="str">
        <f t="shared" si="13"/>
        <v>5500016</v>
      </c>
      <c r="P438" s="351" t="str">
        <f t="shared" si="14"/>
        <v>T</v>
      </c>
    </row>
    <row r="439" spans="1:16" ht="23.25">
      <c r="A439" s="386" t="s">
        <v>74</v>
      </c>
      <c r="B439" s="387">
        <v>55000</v>
      </c>
      <c r="C439" s="388">
        <v>18</v>
      </c>
      <c r="D439" s="364">
        <v>25990</v>
      </c>
      <c r="E439" s="364">
        <v>80990</v>
      </c>
      <c r="F439" s="364">
        <v>2888</v>
      </c>
      <c r="G439" s="364">
        <v>3056</v>
      </c>
      <c r="H439" s="364">
        <v>1283</v>
      </c>
      <c r="I439" s="364">
        <v>4339</v>
      </c>
      <c r="K439" s="388"/>
      <c r="L439" s="350">
        <v>0.315</v>
      </c>
      <c r="M439" s="350">
        <v>3.5000000000000003E-2</v>
      </c>
      <c r="N439" s="351" t="str">
        <f t="shared" si="13"/>
        <v>5500018</v>
      </c>
      <c r="P439" s="351" t="str">
        <f t="shared" si="14"/>
        <v>T</v>
      </c>
    </row>
    <row r="440" spans="1:16" ht="23.25">
      <c r="A440" s="386" t="s">
        <v>74</v>
      </c>
      <c r="B440" s="387">
        <v>55000</v>
      </c>
      <c r="C440" s="365">
        <v>20</v>
      </c>
      <c r="D440" s="366">
        <v>28889</v>
      </c>
      <c r="E440" s="366">
        <v>83889</v>
      </c>
      <c r="F440" s="366">
        <v>3209</v>
      </c>
      <c r="G440" s="366">
        <v>2750</v>
      </c>
      <c r="H440" s="366">
        <v>1284</v>
      </c>
      <c r="I440" s="366">
        <v>4034</v>
      </c>
      <c r="K440" s="365"/>
      <c r="L440" s="350">
        <v>0.315</v>
      </c>
      <c r="M440" s="350">
        <v>3.5000000000000003E-2</v>
      </c>
      <c r="N440" s="351" t="str">
        <f t="shared" si="13"/>
        <v>5500020</v>
      </c>
      <c r="P440" s="351" t="str">
        <f t="shared" si="14"/>
        <v>T</v>
      </c>
    </row>
    <row r="441" spans="1:16" ht="23.25">
      <c r="A441" s="386" t="s">
        <v>74</v>
      </c>
      <c r="B441" s="387">
        <v>55000</v>
      </c>
      <c r="C441" s="367">
        <v>22</v>
      </c>
      <c r="D441" s="368">
        <v>31778</v>
      </c>
      <c r="E441" s="368">
        <v>86778</v>
      </c>
      <c r="F441" s="368">
        <v>3530</v>
      </c>
      <c r="G441" s="368">
        <v>2500</v>
      </c>
      <c r="H441" s="368">
        <v>1284</v>
      </c>
      <c r="I441" s="368">
        <v>3784</v>
      </c>
      <c r="K441" s="367"/>
      <c r="L441" s="350">
        <v>0.315</v>
      </c>
      <c r="M441" s="350">
        <v>3.5000000000000003E-2</v>
      </c>
      <c r="N441" s="351" t="str">
        <f t="shared" si="13"/>
        <v>5500022</v>
      </c>
      <c r="P441" s="351" t="str">
        <f t="shared" si="14"/>
        <v>T</v>
      </c>
    </row>
    <row r="442" spans="1:16" ht="23.25">
      <c r="A442" s="386" t="s">
        <v>74</v>
      </c>
      <c r="B442" s="387">
        <v>55000</v>
      </c>
      <c r="C442" s="365">
        <v>24</v>
      </c>
      <c r="D442" s="366">
        <v>34675</v>
      </c>
      <c r="E442" s="366">
        <v>89675</v>
      </c>
      <c r="F442" s="366">
        <v>3851</v>
      </c>
      <c r="G442" s="366">
        <v>2292</v>
      </c>
      <c r="H442" s="366">
        <v>1284</v>
      </c>
      <c r="I442" s="366">
        <v>3576</v>
      </c>
      <c r="K442" s="365"/>
      <c r="L442" s="350">
        <v>0.315</v>
      </c>
      <c r="M442" s="350">
        <v>3.5000000000000003E-2</v>
      </c>
      <c r="N442" s="351" t="str">
        <f t="shared" si="13"/>
        <v>5500024</v>
      </c>
      <c r="P442" s="351" t="str">
        <f t="shared" si="14"/>
        <v>T</v>
      </c>
    </row>
    <row r="443" spans="1:16" ht="23.25">
      <c r="A443" s="386" t="s">
        <v>74</v>
      </c>
      <c r="B443" s="387">
        <v>56000</v>
      </c>
      <c r="C443" s="367">
        <v>4</v>
      </c>
      <c r="D443" s="368">
        <v>5882</v>
      </c>
      <c r="E443" s="368">
        <v>61882</v>
      </c>
      <c r="F443" s="368">
        <v>654</v>
      </c>
      <c r="G443" s="368">
        <v>14000</v>
      </c>
      <c r="H443" s="368">
        <v>1307</v>
      </c>
      <c r="I443" s="368">
        <v>15307</v>
      </c>
      <c r="K443" s="367"/>
      <c r="L443" s="350">
        <v>0.315</v>
      </c>
      <c r="M443" s="350">
        <v>3.5000000000000003E-2</v>
      </c>
      <c r="N443" s="351" t="str">
        <f t="shared" si="13"/>
        <v>560004</v>
      </c>
      <c r="P443" s="351" t="str">
        <f t="shared" si="14"/>
        <v>T</v>
      </c>
    </row>
    <row r="444" spans="1:16" ht="23.25">
      <c r="A444" s="386" t="s">
        <v>74</v>
      </c>
      <c r="B444" s="387">
        <v>56000</v>
      </c>
      <c r="C444" s="365">
        <v>6</v>
      </c>
      <c r="D444" s="366">
        <v>8827</v>
      </c>
      <c r="E444" s="366">
        <v>64827</v>
      </c>
      <c r="F444" s="366">
        <v>981</v>
      </c>
      <c r="G444" s="366">
        <v>9334</v>
      </c>
      <c r="H444" s="366">
        <v>1307</v>
      </c>
      <c r="I444" s="366">
        <v>10641</v>
      </c>
      <c r="K444" s="365"/>
      <c r="L444" s="350">
        <v>0.315</v>
      </c>
      <c r="M444" s="350">
        <v>3.5000000000000003E-2</v>
      </c>
      <c r="N444" s="351" t="str">
        <f t="shared" si="13"/>
        <v>560006</v>
      </c>
      <c r="P444" s="351" t="str">
        <f t="shared" si="14"/>
        <v>T</v>
      </c>
    </row>
    <row r="445" spans="1:16" ht="23.25">
      <c r="A445" s="386" t="s">
        <v>74</v>
      </c>
      <c r="B445" s="387">
        <v>56000</v>
      </c>
      <c r="C445" s="367">
        <v>8</v>
      </c>
      <c r="D445" s="368">
        <v>11763</v>
      </c>
      <c r="E445" s="368">
        <v>67763</v>
      </c>
      <c r="F445" s="368">
        <v>1307</v>
      </c>
      <c r="G445" s="368">
        <v>7000</v>
      </c>
      <c r="H445" s="372">
        <v>1307</v>
      </c>
      <c r="I445" s="368">
        <v>8307</v>
      </c>
      <c r="K445" s="367"/>
      <c r="L445" s="350">
        <v>0.315</v>
      </c>
      <c r="M445" s="350">
        <v>3.5000000000000003E-2</v>
      </c>
      <c r="N445" s="351" t="str">
        <f t="shared" si="13"/>
        <v>560008</v>
      </c>
      <c r="P445" s="351" t="str">
        <f t="shared" si="14"/>
        <v>T</v>
      </c>
    </row>
    <row r="446" spans="1:16" ht="23.25">
      <c r="A446" s="386" t="s">
        <v>74</v>
      </c>
      <c r="B446" s="387">
        <v>56000</v>
      </c>
      <c r="C446" s="365">
        <v>10</v>
      </c>
      <c r="D446" s="366">
        <v>14704</v>
      </c>
      <c r="E446" s="366">
        <v>70704</v>
      </c>
      <c r="F446" s="366">
        <v>1634</v>
      </c>
      <c r="G446" s="366">
        <v>5600</v>
      </c>
      <c r="H446" s="366">
        <v>1307</v>
      </c>
      <c r="I446" s="366">
        <v>6907</v>
      </c>
      <c r="K446" s="365"/>
      <c r="L446" s="350">
        <v>0.315</v>
      </c>
      <c r="M446" s="350">
        <v>3.5000000000000003E-2</v>
      </c>
      <c r="N446" s="351" t="str">
        <f t="shared" si="13"/>
        <v>5600010</v>
      </c>
      <c r="P446" s="351" t="str">
        <f t="shared" si="14"/>
        <v>T</v>
      </c>
    </row>
    <row r="447" spans="1:16" ht="23.25">
      <c r="A447" s="386" t="s">
        <v>74</v>
      </c>
      <c r="B447" s="387">
        <v>56000</v>
      </c>
      <c r="C447" s="388">
        <v>12</v>
      </c>
      <c r="D447" s="364">
        <v>17649</v>
      </c>
      <c r="E447" s="364">
        <v>73649</v>
      </c>
      <c r="F447" s="364">
        <v>1961</v>
      </c>
      <c r="G447" s="364">
        <v>4667</v>
      </c>
      <c r="H447" s="364">
        <v>1307</v>
      </c>
      <c r="I447" s="364">
        <v>5974</v>
      </c>
      <c r="K447" s="388"/>
      <c r="L447" s="350">
        <v>0.315</v>
      </c>
      <c r="M447" s="350">
        <v>3.5000000000000003E-2</v>
      </c>
      <c r="N447" s="351" t="str">
        <f t="shared" si="13"/>
        <v>5600012</v>
      </c>
      <c r="P447" s="351" t="str">
        <f t="shared" si="14"/>
        <v>T</v>
      </c>
    </row>
    <row r="448" spans="1:16" ht="24" thickBot="1">
      <c r="A448" s="389" t="s">
        <v>74</v>
      </c>
      <c r="B448" s="390">
        <v>56000</v>
      </c>
      <c r="C448" s="381">
        <v>14</v>
      </c>
      <c r="D448" s="398">
        <v>20585</v>
      </c>
      <c r="E448" s="398">
        <v>76585</v>
      </c>
      <c r="F448" s="398">
        <v>2287</v>
      </c>
      <c r="G448" s="398">
        <v>4000</v>
      </c>
      <c r="H448" s="366">
        <v>1307</v>
      </c>
      <c r="I448" s="398">
        <v>5307</v>
      </c>
      <c r="K448" s="381"/>
      <c r="L448" s="350">
        <v>0.315</v>
      </c>
      <c r="M448" s="350">
        <v>3.5000000000000003E-2</v>
      </c>
      <c r="N448" s="351" t="str">
        <f t="shared" si="13"/>
        <v>5600014</v>
      </c>
      <c r="P448" s="351" t="str">
        <f t="shared" si="14"/>
        <v>T</v>
      </c>
    </row>
    <row r="449" spans="1:16" ht="24" thickTop="1">
      <c r="A449" s="355" t="s">
        <v>74</v>
      </c>
      <c r="B449" s="356">
        <v>56000</v>
      </c>
      <c r="C449" s="396">
        <v>16</v>
      </c>
      <c r="D449" s="397">
        <v>23526</v>
      </c>
      <c r="E449" s="397">
        <v>79526</v>
      </c>
      <c r="F449" s="397">
        <v>2614</v>
      </c>
      <c r="G449" s="397">
        <v>3500</v>
      </c>
      <c r="H449" s="397">
        <v>1307</v>
      </c>
      <c r="I449" s="397">
        <v>4807</v>
      </c>
      <c r="K449" s="396"/>
      <c r="L449" s="350">
        <v>0.315</v>
      </c>
      <c r="M449" s="350">
        <v>3.5000000000000003E-2</v>
      </c>
      <c r="N449" s="351" t="str">
        <f t="shared" si="13"/>
        <v>5600016</v>
      </c>
      <c r="P449" s="351" t="str">
        <f t="shared" si="14"/>
        <v>T</v>
      </c>
    </row>
    <row r="450" spans="1:16" ht="23.25">
      <c r="A450" s="360" t="s">
        <v>74</v>
      </c>
      <c r="B450" s="361">
        <v>56000</v>
      </c>
      <c r="C450" s="365">
        <v>18</v>
      </c>
      <c r="D450" s="366">
        <v>26465</v>
      </c>
      <c r="E450" s="366">
        <v>82465</v>
      </c>
      <c r="F450" s="366">
        <v>2941</v>
      </c>
      <c r="G450" s="366">
        <v>3112</v>
      </c>
      <c r="H450" s="366">
        <v>1306</v>
      </c>
      <c r="I450" s="366">
        <v>4418</v>
      </c>
      <c r="K450" s="365"/>
      <c r="L450" s="350">
        <v>0.315</v>
      </c>
      <c r="M450" s="350">
        <v>3.5000000000000003E-2</v>
      </c>
      <c r="N450" s="351" t="str">
        <f t="shared" si="13"/>
        <v>5600018</v>
      </c>
      <c r="P450" s="351" t="str">
        <f t="shared" si="14"/>
        <v>T</v>
      </c>
    </row>
    <row r="451" spans="1:16" ht="23.25">
      <c r="A451" s="360" t="s">
        <v>74</v>
      </c>
      <c r="B451" s="361">
        <v>56000</v>
      </c>
      <c r="C451" s="367">
        <v>20</v>
      </c>
      <c r="D451" s="368">
        <v>29407</v>
      </c>
      <c r="E451" s="368">
        <v>85407</v>
      </c>
      <c r="F451" s="368">
        <v>3267</v>
      </c>
      <c r="G451" s="368">
        <v>2800</v>
      </c>
      <c r="H451" s="364">
        <v>1307</v>
      </c>
      <c r="I451" s="368">
        <v>4107</v>
      </c>
      <c r="K451" s="367"/>
      <c r="L451" s="350">
        <v>0.315</v>
      </c>
      <c r="M451" s="350">
        <v>3.5000000000000003E-2</v>
      </c>
      <c r="N451" s="351" t="str">
        <f t="shared" si="13"/>
        <v>5600020</v>
      </c>
      <c r="P451" s="351" t="str">
        <f t="shared" si="14"/>
        <v>T</v>
      </c>
    </row>
    <row r="452" spans="1:16" ht="23.25">
      <c r="A452" s="360" t="s">
        <v>74</v>
      </c>
      <c r="B452" s="361">
        <v>56000</v>
      </c>
      <c r="C452" s="365">
        <v>22</v>
      </c>
      <c r="D452" s="366">
        <v>32360</v>
      </c>
      <c r="E452" s="366">
        <v>88360</v>
      </c>
      <c r="F452" s="366">
        <v>3594</v>
      </c>
      <c r="G452" s="366">
        <v>2546</v>
      </c>
      <c r="H452" s="366">
        <v>1307</v>
      </c>
      <c r="I452" s="366">
        <v>3853</v>
      </c>
      <c r="K452" s="365"/>
      <c r="L452" s="350">
        <v>0.315</v>
      </c>
      <c r="M452" s="350">
        <v>3.5000000000000003E-2</v>
      </c>
      <c r="N452" s="351" t="str">
        <f t="shared" si="13"/>
        <v>5600022</v>
      </c>
      <c r="P452" s="351" t="str">
        <f t="shared" si="14"/>
        <v>T</v>
      </c>
    </row>
    <row r="453" spans="1:16" ht="23.25">
      <c r="A453" s="360" t="s">
        <v>74</v>
      </c>
      <c r="B453" s="361">
        <v>56000</v>
      </c>
      <c r="C453" s="367">
        <v>24</v>
      </c>
      <c r="D453" s="368">
        <v>35305</v>
      </c>
      <c r="E453" s="368">
        <v>91305</v>
      </c>
      <c r="F453" s="368">
        <v>3921</v>
      </c>
      <c r="G453" s="368">
        <v>2334</v>
      </c>
      <c r="H453" s="368">
        <v>1307</v>
      </c>
      <c r="I453" s="368">
        <v>3641</v>
      </c>
      <c r="K453" s="367"/>
      <c r="L453" s="350">
        <v>0.315</v>
      </c>
      <c r="M453" s="350">
        <v>3.5000000000000003E-2</v>
      </c>
      <c r="N453" s="351" t="str">
        <f t="shared" ref="N453:N516" si="15">CONCATENATE(B453,C453)</f>
        <v>5600024</v>
      </c>
      <c r="P453" s="351" t="str">
        <f t="shared" si="14"/>
        <v>T</v>
      </c>
    </row>
    <row r="454" spans="1:16" ht="23.25">
      <c r="A454" s="360" t="s">
        <v>74</v>
      </c>
      <c r="B454" s="361">
        <v>57000</v>
      </c>
      <c r="C454" s="365">
        <v>4</v>
      </c>
      <c r="D454" s="366">
        <v>5990</v>
      </c>
      <c r="E454" s="366">
        <v>62990</v>
      </c>
      <c r="F454" s="366">
        <v>666</v>
      </c>
      <c r="G454" s="366">
        <v>14250</v>
      </c>
      <c r="H454" s="366">
        <v>1331</v>
      </c>
      <c r="I454" s="366">
        <v>15581</v>
      </c>
      <c r="K454" s="365"/>
      <c r="L454" s="350">
        <v>0.315</v>
      </c>
      <c r="M454" s="350">
        <v>3.5000000000000003E-2</v>
      </c>
      <c r="N454" s="351" t="str">
        <f t="shared" si="15"/>
        <v>570004</v>
      </c>
      <c r="P454" s="351" t="str">
        <f t="shared" si="14"/>
        <v>T</v>
      </c>
    </row>
    <row r="455" spans="1:16" ht="23.25">
      <c r="A455" s="360" t="s">
        <v>74</v>
      </c>
      <c r="B455" s="361">
        <v>57000</v>
      </c>
      <c r="C455" s="367">
        <v>6</v>
      </c>
      <c r="D455" s="368">
        <v>8984</v>
      </c>
      <c r="E455" s="368">
        <v>65984</v>
      </c>
      <c r="F455" s="368">
        <v>998</v>
      </c>
      <c r="G455" s="368">
        <v>9500</v>
      </c>
      <c r="H455" s="368">
        <v>1331</v>
      </c>
      <c r="I455" s="368">
        <v>10831</v>
      </c>
      <c r="K455" s="367"/>
      <c r="L455" s="350">
        <v>0.315</v>
      </c>
      <c r="M455" s="350">
        <v>3.5000000000000003E-2</v>
      </c>
      <c r="N455" s="351" t="str">
        <f t="shared" si="15"/>
        <v>570006</v>
      </c>
      <c r="P455" s="351" t="str">
        <f t="shared" si="14"/>
        <v>T</v>
      </c>
    </row>
    <row r="456" spans="1:16" ht="23.25">
      <c r="A456" s="360" t="s">
        <v>74</v>
      </c>
      <c r="B456" s="361">
        <v>57000</v>
      </c>
      <c r="C456" s="365">
        <v>8</v>
      </c>
      <c r="D456" s="366">
        <v>11979</v>
      </c>
      <c r="E456" s="366">
        <v>68979</v>
      </c>
      <c r="F456" s="366">
        <v>1331</v>
      </c>
      <c r="G456" s="366">
        <v>7125</v>
      </c>
      <c r="H456" s="366">
        <v>1331</v>
      </c>
      <c r="I456" s="366">
        <v>8456</v>
      </c>
      <c r="K456" s="365"/>
      <c r="L456" s="350">
        <v>0.315</v>
      </c>
      <c r="M456" s="350">
        <v>3.5000000000000003E-2</v>
      </c>
      <c r="N456" s="351" t="str">
        <f t="shared" si="15"/>
        <v>570008</v>
      </c>
      <c r="P456" s="351" t="str">
        <f t="shared" si="14"/>
        <v>T</v>
      </c>
    </row>
    <row r="457" spans="1:16" ht="23.25">
      <c r="A457" s="360" t="s">
        <v>74</v>
      </c>
      <c r="B457" s="361">
        <v>57000</v>
      </c>
      <c r="C457" s="388">
        <v>10</v>
      </c>
      <c r="D457" s="364">
        <v>14973</v>
      </c>
      <c r="E457" s="364">
        <v>71973</v>
      </c>
      <c r="F457" s="364">
        <v>1663</v>
      </c>
      <c r="G457" s="364">
        <v>5700</v>
      </c>
      <c r="H457" s="372">
        <v>1331</v>
      </c>
      <c r="I457" s="364">
        <v>7031</v>
      </c>
      <c r="K457" s="388"/>
      <c r="L457" s="350">
        <v>0.315</v>
      </c>
      <c r="M457" s="350">
        <v>3.5000000000000003E-2</v>
      </c>
      <c r="N457" s="351" t="str">
        <f t="shared" si="15"/>
        <v>5700010</v>
      </c>
      <c r="P457" s="351" t="str">
        <f t="shared" si="14"/>
        <v>T</v>
      </c>
    </row>
    <row r="458" spans="1:16" ht="23.25">
      <c r="A458" s="360" t="s">
        <v>74</v>
      </c>
      <c r="B458" s="361">
        <v>57000</v>
      </c>
      <c r="C458" s="365">
        <v>12</v>
      </c>
      <c r="D458" s="366">
        <v>17968</v>
      </c>
      <c r="E458" s="366">
        <v>74968</v>
      </c>
      <c r="F458" s="366">
        <v>1996</v>
      </c>
      <c r="G458" s="366">
        <v>4750</v>
      </c>
      <c r="H458" s="366">
        <v>1331</v>
      </c>
      <c r="I458" s="366">
        <v>6081</v>
      </c>
      <c r="K458" s="365"/>
      <c r="L458" s="350">
        <v>0.315</v>
      </c>
      <c r="M458" s="350">
        <v>3.5000000000000003E-2</v>
      </c>
      <c r="N458" s="351" t="str">
        <f t="shared" si="15"/>
        <v>5700012</v>
      </c>
      <c r="P458" s="351" t="str">
        <f t="shared" si="14"/>
        <v>T</v>
      </c>
    </row>
    <row r="459" spans="1:16" ht="24" thickBot="1">
      <c r="A459" s="392" t="s">
        <v>74</v>
      </c>
      <c r="B459" s="393">
        <v>57000</v>
      </c>
      <c r="C459" s="399">
        <v>14</v>
      </c>
      <c r="D459" s="400">
        <v>20956</v>
      </c>
      <c r="E459" s="400">
        <v>77956</v>
      </c>
      <c r="F459" s="400">
        <v>2328</v>
      </c>
      <c r="G459" s="400">
        <v>4072</v>
      </c>
      <c r="H459" s="364">
        <v>1330</v>
      </c>
      <c r="I459" s="400">
        <v>5402</v>
      </c>
      <c r="K459" s="399"/>
      <c r="L459" s="350">
        <v>0.315</v>
      </c>
      <c r="M459" s="350">
        <v>3.5000000000000003E-2</v>
      </c>
      <c r="N459" s="351" t="str">
        <f t="shared" si="15"/>
        <v>5700014</v>
      </c>
      <c r="P459" s="351" t="str">
        <f t="shared" si="14"/>
        <v>T</v>
      </c>
    </row>
    <row r="460" spans="1:16" ht="24" thickTop="1">
      <c r="A460" s="384" t="s">
        <v>74</v>
      </c>
      <c r="B460" s="385">
        <v>57000</v>
      </c>
      <c r="C460" s="357">
        <v>16</v>
      </c>
      <c r="D460" s="358">
        <v>23949</v>
      </c>
      <c r="E460" s="358">
        <v>80949</v>
      </c>
      <c r="F460" s="358">
        <v>2661</v>
      </c>
      <c r="G460" s="358">
        <v>3563</v>
      </c>
      <c r="H460" s="358">
        <v>1330</v>
      </c>
      <c r="I460" s="358">
        <v>4893</v>
      </c>
      <c r="K460" s="357"/>
      <c r="L460" s="350">
        <v>0.315</v>
      </c>
      <c r="M460" s="350">
        <v>3.5000000000000003E-2</v>
      </c>
      <c r="N460" s="351" t="str">
        <f t="shared" si="15"/>
        <v>5700016</v>
      </c>
      <c r="P460" s="351" t="str">
        <f t="shared" si="14"/>
        <v>T</v>
      </c>
    </row>
    <row r="461" spans="1:16" ht="23.25">
      <c r="A461" s="386" t="s">
        <v>74</v>
      </c>
      <c r="B461" s="387">
        <v>57000</v>
      </c>
      <c r="C461" s="388">
        <v>18</v>
      </c>
      <c r="D461" s="364">
        <v>26939</v>
      </c>
      <c r="E461" s="364">
        <v>83939</v>
      </c>
      <c r="F461" s="364">
        <v>2993</v>
      </c>
      <c r="G461" s="364">
        <v>3167</v>
      </c>
      <c r="H461" s="364">
        <v>1330</v>
      </c>
      <c r="I461" s="364">
        <v>4497</v>
      </c>
      <c r="K461" s="388"/>
      <c r="L461" s="350">
        <v>0.315</v>
      </c>
      <c r="M461" s="350">
        <v>3.5000000000000003E-2</v>
      </c>
      <c r="N461" s="351" t="str">
        <f t="shared" si="15"/>
        <v>5700018</v>
      </c>
      <c r="P461" s="351" t="str">
        <f t="shared" si="14"/>
        <v>T</v>
      </c>
    </row>
    <row r="462" spans="1:16" ht="23.25">
      <c r="A462" s="386" t="s">
        <v>74</v>
      </c>
      <c r="B462" s="387">
        <v>57000</v>
      </c>
      <c r="C462" s="365">
        <v>20</v>
      </c>
      <c r="D462" s="366">
        <v>29946</v>
      </c>
      <c r="E462" s="366">
        <v>86946</v>
      </c>
      <c r="F462" s="366">
        <v>3326</v>
      </c>
      <c r="G462" s="366">
        <v>2850</v>
      </c>
      <c r="H462" s="366">
        <v>1331</v>
      </c>
      <c r="I462" s="366">
        <v>4181</v>
      </c>
      <c r="K462" s="365"/>
      <c r="L462" s="350">
        <v>0.315</v>
      </c>
      <c r="M462" s="350">
        <v>3.5000000000000003E-2</v>
      </c>
      <c r="N462" s="351" t="str">
        <f t="shared" si="15"/>
        <v>5700020</v>
      </c>
      <c r="P462" s="351" t="str">
        <f t="shared" si="14"/>
        <v>T</v>
      </c>
    </row>
    <row r="463" spans="1:16" ht="23.25">
      <c r="A463" s="386" t="s">
        <v>74</v>
      </c>
      <c r="B463" s="387">
        <v>57000</v>
      </c>
      <c r="C463" s="367">
        <v>22</v>
      </c>
      <c r="D463" s="368">
        <v>32920</v>
      </c>
      <c r="E463" s="368">
        <v>89920</v>
      </c>
      <c r="F463" s="368">
        <v>3658</v>
      </c>
      <c r="G463" s="368">
        <v>2591</v>
      </c>
      <c r="H463" s="368">
        <v>1330</v>
      </c>
      <c r="I463" s="368">
        <v>3921</v>
      </c>
      <c r="K463" s="367"/>
      <c r="L463" s="350">
        <v>0.315</v>
      </c>
      <c r="M463" s="350">
        <v>3.5000000000000003E-2</v>
      </c>
      <c r="N463" s="351" t="str">
        <f t="shared" si="15"/>
        <v>5700022</v>
      </c>
      <c r="P463" s="351" t="str">
        <f t="shared" si="14"/>
        <v>T</v>
      </c>
    </row>
    <row r="464" spans="1:16" ht="23.25">
      <c r="A464" s="386" t="s">
        <v>74</v>
      </c>
      <c r="B464" s="387">
        <v>57000</v>
      </c>
      <c r="C464" s="365">
        <v>24</v>
      </c>
      <c r="D464" s="366">
        <v>35935</v>
      </c>
      <c r="E464" s="366">
        <v>92935</v>
      </c>
      <c r="F464" s="366">
        <v>3991</v>
      </c>
      <c r="G464" s="366">
        <v>2375</v>
      </c>
      <c r="H464" s="366">
        <v>1331</v>
      </c>
      <c r="I464" s="366">
        <v>3706</v>
      </c>
      <c r="K464" s="365"/>
      <c r="L464" s="350">
        <v>0.315</v>
      </c>
      <c r="M464" s="350">
        <v>3.5000000000000003E-2</v>
      </c>
      <c r="N464" s="351" t="str">
        <f t="shared" si="15"/>
        <v>5700024</v>
      </c>
      <c r="P464" s="351" t="str">
        <f t="shared" si="14"/>
        <v>T</v>
      </c>
    </row>
    <row r="465" spans="1:16" ht="23.25">
      <c r="A465" s="386" t="s">
        <v>74</v>
      </c>
      <c r="B465" s="387">
        <v>58000</v>
      </c>
      <c r="C465" s="367">
        <v>4</v>
      </c>
      <c r="D465" s="368">
        <v>6093</v>
      </c>
      <c r="E465" s="368">
        <v>64093</v>
      </c>
      <c r="F465" s="368">
        <v>677</v>
      </c>
      <c r="G465" s="368">
        <v>14500</v>
      </c>
      <c r="H465" s="368">
        <v>1354</v>
      </c>
      <c r="I465" s="368">
        <v>15854</v>
      </c>
      <c r="K465" s="367"/>
      <c r="L465" s="350">
        <v>0.315</v>
      </c>
      <c r="M465" s="350">
        <v>3.5000000000000003E-2</v>
      </c>
      <c r="N465" s="351" t="str">
        <f t="shared" si="15"/>
        <v>580004</v>
      </c>
      <c r="P465" s="351" t="str">
        <f t="shared" ref="P465:P528" si="16">IF((E465-F465)/C465=I465,"T","F")</f>
        <v>T</v>
      </c>
    </row>
    <row r="466" spans="1:16" ht="23.25">
      <c r="A466" s="386" t="s">
        <v>74</v>
      </c>
      <c r="B466" s="387">
        <v>58000</v>
      </c>
      <c r="C466" s="365">
        <v>6</v>
      </c>
      <c r="D466" s="366">
        <v>9142</v>
      </c>
      <c r="E466" s="366">
        <v>67142</v>
      </c>
      <c r="F466" s="366">
        <v>1016</v>
      </c>
      <c r="G466" s="366">
        <v>9667</v>
      </c>
      <c r="H466" s="366">
        <v>1354</v>
      </c>
      <c r="I466" s="366">
        <v>11021</v>
      </c>
      <c r="K466" s="365"/>
      <c r="L466" s="350">
        <v>0.315</v>
      </c>
      <c r="M466" s="350">
        <v>3.5000000000000003E-2</v>
      </c>
      <c r="N466" s="351" t="str">
        <f t="shared" si="15"/>
        <v>580006</v>
      </c>
      <c r="P466" s="351" t="str">
        <f t="shared" si="16"/>
        <v>T</v>
      </c>
    </row>
    <row r="467" spans="1:16" ht="23.25">
      <c r="A467" s="386" t="s">
        <v>74</v>
      </c>
      <c r="B467" s="387">
        <v>58000</v>
      </c>
      <c r="C467" s="367">
        <v>8</v>
      </c>
      <c r="D467" s="368">
        <v>12186</v>
      </c>
      <c r="E467" s="368">
        <v>70186</v>
      </c>
      <c r="F467" s="368">
        <v>1354</v>
      </c>
      <c r="G467" s="368">
        <v>7250</v>
      </c>
      <c r="H467" s="372">
        <v>1354</v>
      </c>
      <c r="I467" s="368">
        <v>8604</v>
      </c>
      <c r="K467" s="367"/>
      <c r="L467" s="350">
        <v>0.315</v>
      </c>
      <c r="M467" s="350">
        <v>3.5000000000000003E-2</v>
      </c>
      <c r="N467" s="351" t="str">
        <f t="shared" si="15"/>
        <v>580008</v>
      </c>
      <c r="P467" s="351" t="str">
        <f t="shared" si="16"/>
        <v>T</v>
      </c>
    </row>
    <row r="468" spans="1:16" ht="23.25">
      <c r="A468" s="386" t="s">
        <v>74</v>
      </c>
      <c r="B468" s="387">
        <v>58000</v>
      </c>
      <c r="C468" s="365">
        <v>10</v>
      </c>
      <c r="D468" s="366">
        <v>15232</v>
      </c>
      <c r="E468" s="366">
        <v>73232</v>
      </c>
      <c r="F468" s="366">
        <v>1692</v>
      </c>
      <c r="G468" s="366">
        <v>5800</v>
      </c>
      <c r="H468" s="366">
        <v>1354</v>
      </c>
      <c r="I468" s="366">
        <v>7154</v>
      </c>
      <c r="K468" s="365"/>
      <c r="L468" s="350">
        <v>0.315</v>
      </c>
      <c r="M468" s="350">
        <v>3.5000000000000003E-2</v>
      </c>
      <c r="N468" s="351" t="str">
        <f t="shared" si="15"/>
        <v>5800010</v>
      </c>
      <c r="P468" s="351" t="str">
        <f t="shared" si="16"/>
        <v>T</v>
      </c>
    </row>
    <row r="469" spans="1:16" ht="23.25">
      <c r="A469" s="386" t="s">
        <v>74</v>
      </c>
      <c r="B469" s="387">
        <v>58000</v>
      </c>
      <c r="C469" s="388">
        <v>12</v>
      </c>
      <c r="D469" s="364">
        <v>18275</v>
      </c>
      <c r="E469" s="364">
        <v>76275</v>
      </c>
      <c r="F469" s="364">
        <v>2031</v>
      </c>
      <c r="G469" s="364">
        <v>4834</v>
      </c>
      <c r="H469" s="364">
        <v>1353</v>
      </c>
      <c r="I469" s="364">
        <v>6187</v>
      </c>
      <c r="K469" s="388"/>
      <c r="L469" s="350">
        <v>0.315</v>
      </c>
      <c r="M469" s="350">
        <v>3.5000000000000003E-2</v>
      </c>
      <c r="N469" s="351" t="str">
        <f t="shared" si="15"/>
        <v>5800012</v>
      </c>
      <c r="P469" s="351" t="str">
        <f t="shared" si="16"/>
        <v>T</v>
      </c>
    </row>
    <row r="470" spans="1:16" ht="24" thickBot="1">
      <c r="A470" s="389" t="s">
        <v>74</v>
      </c>
      <c r="B470" s="390">
        <v>58000</v>
      </c>
      <c r="C470" s="381">
        <v>14</v>
      </c>
      <c r="D470" s="398">
        <v>21327</v>
      </c>
      <c r="E470" s="398">
        <v>79327</v>
      </c>
      <c r="F470" s="398">
        <v>2369</v>
      </c>
      <c r="G470" s="398">
        <v>4143</v>
      </c>
      <c r="H470" s="366">
        <v>1354</v>
      </c>
      <c r="I470" s="398">
        <v>5497</v>
      </c>
      <c r="K470" s="381"/>
      <c r="L470" s="350">
        <v>0.315</v>
      </c>
      <c r="M470" s="350">
        <v>3.5000000000000003E-2</v>
      </c>
      <c r="N470" s="351" t="str">
        <f t="shared" si="15"/>
        <v>5800014</v>
      </c>
      <c r="P470" s="351" t="str">
        <f t="shared" si="16"/>
        <v>T</v>
      </c>
    </row>
    <row r="471" spans="1:16" ht="24" thickTop="1">
      <c r="A471" s="355" t="s">
        <v>74</v>
      </c>
      <c r="B471" s="356">
        <v>58000</v>
      </c>
      <c r="C471" s="396">
        <v>16</v>
      </c>
      <c r="D471" s="397">
        <v>24371</v>
      </c>
      <c r="E471" s="397">
        <v>82371</v>
      </c>
      <c r="F471" s="397">
        <v>2707</v>
      </c>
      <c r="G471" s="397">
        <v>3625</v>
      </c>
      <c r="H471" s="397">
        <v>1354</v>
      </c>
      <c r="I471" s="397">
        <v>4979</v>
      </c>
      <c r="K471" s="396"/>
      <c r="L471" s="350">
        <v>0.315</v>
      </c>
      <c r="M471" s="350">
        <v>3.5000000000000003E-2</v>
      </c>
      <c r="N471" s="351" t="str">
        <f t="shared" si="15"/>
        <v>5800016</v>
      </c>
      <c r="P471" s="351" t="str">
        <f t="shared" si="16"/>
        <v>T</v>
      </c>
    </row>
    <row r="472" spans="1:16" ht="23.25">
      <c r="A472" s="360" t="s">
        <v>74</v>
      </c>
      <c r="B472" s="361">
        <v>58000</v>
      </c>
      <c r="C472" s="365">
        <v>18</v>
      </c>
      <c r="D472" s="366">
        <v>27414</v>
      </c>
      <c r="E472" s="366">
        <v>85414</v>
      </c>
      <c r="F472" s="366">
        <v>3046</v>
      </c>
      <c r="G472" s="366">
        <v>3223</v>
      </c>
      <c r="H472" s="366">
        <v>1353</v>
      </c>
      <c r="I472" s="366">
        <v>4576</v>
      </c>
      <c r="K472" s="365"/>
      <c r="L472" s="350">
        <v>0.315</v>
      </c>
      <c r="M472" s="350">
        <v>3.5000000000000003E-2</v>
      </c>
      <c r="N472" s="351" t="str">
        <f t="shared" si="15"/>
        <v>5800018</v>
      </c>
      <c r="P472" s="351" t="str">
        <f t="shared" si="16"/>
        <v>T</v>
      </c>
    </row>
    <row r="473" spans="1:16" ht="23.25">
      <c r="A473" s="360" t="s">
        <v>74</v>
      </c>
      <c r="B473" s="361">
        <v>58000</v>
      </c>
      <c r="C473" s="367">
        <v>20</v>
      </c>
      <c r="D473" s="368">
        <v>30464</v>
      </c>
      <c r="E473" s="368">
        <v>88464</v>
      </c>
      <c r="F473" s="368">
        <v>3384</v>
      </c>
      <c r="G473" s="368">
        <v>2900</v>
      </c>
      <c r="H473" s="364">
        <v>1354</v>
      </c>
      <c r="I473" s="368">
        <v>4254</v>
      </c>
      <c r="K473" s="367"/>
      <c r="L473" s="350">
        <v>0.315</v>
      </c>
      <c r="M473" s="350">
        <v>3.5000000000000003E-2</v>
      </c>
      <c r="N473" s="351" t="str">
        <f t="shared" si="15"/>
        <v>5800020</v>
      </c>
      <c r="P473" s="351" t="str">
        <f t="shared" si="16"/>
        <v>T</v>
      </c>
    </row>
    <row r="474" spans="1:16" ht="23.25">
      <c r="A474" s="360" t="s">
        <v>74</v>
      </c>
      <c r="B474" s="361">
        <v>58000</v>
      </c>
      <c r="C474" s="365">
        <v>22</v>
      </c>
      <c r="D474" s="366">
        <v>33502</v>
      </c>
      <c r="E474" s="366">
        <v>91502</v>
      </c>
      <c r="F474" s="366">
        <v>3722</v>
      </c>
      <c r="G474" s="366">
        <v>2637</v>
      </c>
      <c r="H474" s="366">
        <v>1353</v>
      </c>
      <c r="I474" s="366">
        <v>3990</v>
      </c>
      <c r="K474" s="365"/>
      <c r="L474" s="350">
        <v>0.315</v>
      </c>
      <c r="M474" s="350">
        <v>3.5000000000000003E-2</v>
      </c>
      <c r="N474" s="351" t="str">
        <f t="shared" si="15"/>
        <v>5800022</v>
      </c>
      <c r="P474" s="351" t="str">
        <f t="shared" si="16"/>
        <v>T</v>
      </c>
    </row>
    <row r="475" spans="1:16" ht="23.25">
      <c r="A475" s="360" t="s">
        <v>74</v>
      </c>
      <c r="B475" s="361">
        <v>58000</v>
      </c>
      <c r="C475" s="367">
        <v>24</v>
      </c>
      <c r="D475" s="368">
        <v>36565</v>
      </c>
      <c r="E475" s="368">
        <v>94565</v>
      </c>
      <c r="F475" s="368">
        <v>4061</v>
      </c>
      <c r="G475" s="368">
        <v>2417</v>
      </c>
      <c r="H475" s="368">
        <v>1354</v>
      </c>
      <c r="I475" s="368">
        <v>3771</v>
      </c>
      <c r="K475" s="367"/>
      <c r="L475" s="350">
        <v>0.315</v>
      </c>
      <c r="M475" s="350">
        <v>3.5000000000000003E-2</v>
      </c>
      <c r="N475" s="351" t="str">
        <f t="shared" si="15"/>
        <v>5800024</v>
      </c>
      <c r="P475" s="351" t="str">
        <f t="shared" si="16"/>
        <v>T</v>
      </c>
    </row>
    <row r="476" spans="1:16" ht="23.25">
      <c r="A476" s="360" t="s">
        <v>74</v>
      </c>
      <c r="B476" s="361">
        <v>59000</v>
      </c>
      <c r="C476" s="365">
        <v>4</v>
      </c>
      <c r="D476" s="366">
        <v>6197</v>
      </c>
      <c r="E476" s="366">
        <v>65197</v>
      </c>
      <c r="F476" s="366">
        <v>689</v>
      </c>
      <c r="G476" s="366">
        <v>14750</v>
      </c>
      <c r="H476" s="366">
        <v>1377</v>
      </c>
      <c r="I476" s="366">
        <v>16127</v>
      </c>
      <c r="K476" s="365"/>
      <c r="L476" s="350">
        <v>0.315</v>
      </c>
      <c r="M476" s="350">
        <v>3.5000000000000003E-2</v>
      </c>
      <c r="N476" s="351" t="str">
        <f t="shared" si="15"/>
        <v>590004</v>
      </c>
      <c r="P476" s="351" t="str">
        <f t="shared" si="16"/>
        <v>T</v>
      </c>
    </row>
    <row r="477" spans="1:16" ht="23.25">
      <c r="A477" s="360" t="s">
        <v>74</v>
      </c>
      <c r="B477" s="361">
        <v>59000</v>
      </c>
      <c r="C477" s="367">
        <v>6</v>
      </c>
      <c r="D477" s="368">
        <v>9299</v>
      </c>
      <c r="E477" s="368">
        <v>68299</v>
      </c>
      <c r="F477" s="368">
        <v>1033</v>
      </c>
      <c r="G477" s="368">
        <v>9834</v>
      </c>
      <c r="H477" s="368">
        <v>1377</v>
      </c>
      <c r="I477" s="368">
        <v>11211</v>
      </c>
      <c r="K477" s="367"/>
      <c r="L477" s="350">
        <v>0.315</v>
      </c>
      <c r="M477" s="350">
        <v>3.5000000000000003E-2</v>
      </c>
      <c r="N477" s="351" t="str">
        <f t="shared" si="15"/>
        <v>590006</v>
      </c>
      <c r="P477" s="351" t="str">
        <f t="shared" si="16"/>
        <v>T</v>
      </c>
    </row>
    <row r="478" spans="1:16" ht="23.25">
      <c r="A478" s="360" t="s">
        <v>74</v>
      </c>
      <c r="B478" s="361">
        <v>59000</v>
      </c>
      <c r="C478" s="365">
        <v>8</v>
      </c>
      <c r="D478" s="366">
        <v>12393</v>
      </c>
      <c r="E478" s="366">
        <v>71393</v>
      </c>
      <c r="F478" s="366">
        <v>1377</v>
      </c>
      <c r="G478" s="366">
        <v>7375</v>
      </c>
      <c r="H478" s="366">
        <v>1377</v>
      </c>
      <c r="I478" s="366">
        <v>8752</v>
      </c>
      <c r="K478" s="365"/>
      <c r="L478" s="350">
        <v>0.315</v>
      </c>
      <c r="M478" s="350">
        <v>3.5000000000000003E-2</v>
      </c>
      <c r="N478" s="351" t="str">
        <f t="shared" si="15"/>
        <v>590008</v>
      </c>
      <c r="P478" s="351" t="str">
        <f t="shared" si="16"/>
        <v>T</v>
      </c>
    </row>
    <row r="479" spans="1:16" ht="23.25">
      <c r="A479" s="360" t="s">
        <v>74</v>
      </c>
      <c r="B479" s="361">
        <v>59000</v>
      </c>
      <c r="C479" s="388">
        <v>10</v>
      </c>
      <c r="D479" s="364">
        <v>15491</v>
      </c>
      <c r="E479" s="364">
        <v>74491</v>
      </c>
      <c r="F479" s="364">
        <v>1721</v>
      </c>
      <c r="G479" s="364">
        <v>5900</v>
      </c>
      <c r="H479" s="372">
        <v>1377</v>
      </c>
      <c r="I479" s="364">
        <v>7277</v>
      </c>
      <c r="K479" s="388"/>
      <c r="L479" s="350">
        <v>0.315</v>
      </c>
      <c r="M479" s="350">
        <v>3.5000000000000003E-2</v>
      </c>
      <c r="N479" s="351" t="str">
        <f t="shared" si="15"/>
        <v>5900010</v>
      </c>
      <c r="P479" s="351" t="str">
        <f t="shared" si="16"/>
        <v>T</v>
      </c>
    </row>
    <row r="480" spans="1:16" ht="23.25">
      <c r="A480" s="360" t="s">
        <v>74</v>
      </c>
      <c r="B480" s="361">
        <v>59000</v>
      </c>
      <c r="C480" s="365">
        <v>12</v>
      </c>
      <c r="D480" s="366">
        <v>18594</v>
      </c>
      <c r="E480" s="366">
        <v>77594</v>
      </c>
      <c r="F480" s="366">
        <v>2066</v>
      </c>
      <c r="G480" s="366">
        <v>4917</v>
      </c>
      <c r="H480" s="366">
        <v>1377</v>
      </c>
      <c r="I480" s="366">
        <v>6294</v>
      </c>
      <c r="K480" s="365"/>
      <c r="L480" s="350">
        <v>0.315</v>
      </c>
      <c r="M480" s="350">
        <v>3.5000000000000003E-2</v>
      </c>
      <c r="N480" s="351" t="str">
        <f t="shared" si="15"/>
        <v>5900012</v>
      </c>
      <c r="P480" s="351" t="str">
        <f t="shared" si="16"/>
        <v>T</v>
      </c>
    </row>
    <row r="481" spans="1:16" ht="24" thickBot="1">
      <c r="A481" s="392" t="s">
        <v>74</v>
      </c>
      <c r="B481" s="393">
        <v>59000</v>
      </c>
      <c r="C481" s="399">
        <v>14</v>
      </c>
      <c r="D481" s="400">
        <v>21684</v>
      </c>
      <c r="E481" s="400">
        <v>80684</v>
      </c>
      <c r="F481" s="400">
        <v>2410</v>
      </c>
      <c r="G481" s="400">
        <v>4215</v>
      </c>
      <c r="H481" s="364">
        <v>1376</v>
      </c>
      <c r="I481" s="400">
        <v>5591</v>
      </c>
      <c r="K481" s="399"/>
      <c r="L481" s="350">
        <v>0.315</v>
      </c>
      <c r="M481" s="350">
        <v>3.5000000000000003E-2</v>
      </c>
      <c r="N481" s="351" t="str">
        <f t="shared" si="15"/>
        <v>5900014</v>
      </c>
      <c r="P481" s="351" t="str">
        <f t="shared" si="16"/>
        <v>T</v>
      </c>
    </row>
    <row r="482" spans="1:16" ht="24" thickTop="1">
      <c r="A482" s="384" t="s">
        <v>74</v>
      </c>
      <c r="B482" s="385">
        <v>59000</v>
      </c>
      <c r="C482" s="357">
        <v>16</v>
      </c>
      <c r="D482" s="358">
        <v>24794</v>
      </c>
      <c r="E482" s="358">
        <v>83794</v>
      </c>
      <c r="F482" s="358">
        <v>2754</v>
      </c>
      <c r="G482" s="358">
        <v>3688</v>
      </c>
      <c r="H482" s="358">
        <v>1377</v>
      </c>
      <c r="I482" s="358">
        <v>5065</v>
      </c>
      <c r="K482" s="357"/>
      <c r="L482" s="350">
        <v>0.315</v>
      </c>
      <c r="M482" s="350">
        <v>3.5000000000000003E-2</v>
      </c>
      <c r="N482" s="351" t="str">
        <f t="shared" si="15"/>
        <v>5900016</v>
      </c>
      <c r="P482" s="351" t="str">
        <f t="shared" si="16"/>
        <v>T</v>
      </c>
    </row>
    <row r="483" spans="1:16" ht="23.25">
      <c r="A483" s="386" t="s">
        <v>74</v>
      </c>
      <c r="B483" s="387">
        <v>59000</v>
      </c>
      <c r="C483" s="388">
        <v>18</v>
      </c>
      <c r="D483" s="364">
        <v>27888</v>
      </c>
      <c r="E483" s="364">
        <v>86888</v>
      </c>
      <c r="F483" s="364">
        <v>3098</v>
      </c>
      <c r="G483" s="364">
        <v>3278</v>
      </c>
      <c r="H483" s="364">
        <v>1377</v>
      </c>
      <c r="I483" s="364">
        <v>4655</v>
      </c>
      <c r="K483" s="388"/>
      <c r="L483" s="350">
        <v>0.315</v>
      </c>
      <c r="M483" s="350">
        <v>3.5000000000000003E-2</v>
      </c>
      <c r="N483" s="351" t="str">
        <f t="shared" si="15"/>
        <v>5900018</v>
      </c>
      <c r="P483" s="351" t="str">
        <f t="shared" si="16"/>
        <v>T</v>
      </c>
    </row>
    <row r="484" spans="1:16" ht="23.25">
      <c r="A484" s="386" t="s">
        <v>74</v>
      </c>
      <c r="B484" s="387">
        <v>59000</v>
      </c>
      <c r="C484" s="365">
        <v>20</v>
      </c>
      <c r="D484" s="366">
        <v>30982</v>
      </c>
      <c r="E484" s="366">
        <v>89982</v>
      </c>
      <c r="F484" s="366">
        <v>3442</v>
      </c>
      <c r="G484" s="366">
        <v>2950</v>
      </c>
      <c r="H484" s="366">
        <v>1377</v>
      </c>
      <c r="I484" s="366">
        <v>4327</v>
      </c>
      <c r="K484" s="365"/>
      <c r="L484" s="350">
        <v>0.315</v>
      </c>
      <c r="M484" s="350">
        <v>3.5000000000000003E-2</v>
      </c>
      <c r="N484" s="351" t="str">
        <f t="shared" si="15"/>
        <v>5900020</v>
      </c>
      <c r="P484" s="351" t="str">
        <f t="shared" si="16"/>
        <v>T</v>
      </c>
    </row>
    <row r="485" spans="1:16" ht="23.25">
      <c r="A485" s="386" t="s">
        <v>74</v>
      </c>
      <c r="B485" s="387">
        <v>59000</v>
      </c>
      <c r="C485" s="367">
        <v>22</v>
      </c>
      <c r="D485" s="368">
        <v>34084</v>
      </c>
      <c r="E485" s="368">
        <v>93084</v>
      </c>
      <c r="F485" s="368">
        <v>3786</v>
      </c>
      <c r="G485" s="368">
        <v>2682</v>
      </c>
      <c r="H485" s="368">
        <v>1377</v>
      </c>
      <c r="I485" s="368">
        <v>4059</v>
      </c>
      <c r="K485" s="367"/>
      <c r="L485" s="350">
        <v>0.315</v>
      </c>
      <c r="M485" s="350">
        <v>3.5000000000000003E-2</v>
      </c>
      <c r="N485" s="351" t="str">
        <f t="shared" si="15"/>
        <v>5900022</v>
      </c>
      <c r="P485" s="351" t="str">
        <f t="shared" si="16"/>
        <v>T</v>
      </c>
    </row>
    <row r="486" spans="1:16" ht="23.25">
      <c r="A486" s="386" t="s">
        <v>74</v>
      </c>
      <c r="B486" s="387">
        <v>59000</v>
      </c>
      <c r="C486" s="365">
        <v>24</v>
      </c>
      <c r="D486" s="366">
        <v>37195</v>
      </c>
      <c r="E486" s="366">
        <v>96195</v>
      </c>
      <c r="F486" s="366">
        <v>4131</v>
      </c>
      <c r="G486" s="366">
        <v>2459</v>
      </c>
      <c r="H486" s="366">
        <v>1377</v>
      </c>
      <c r="I486" s="366">
        <v>3836</v>
      </c>
      <c r="K486" s="365"/>
      <c r="L486" s="350">
        <v>0.315</v>
      </c>
      <c r="M486" s="350">
        <v>3.5000000000000003E-2</v>
      </c>
      <c r="N486" s="351" t="str">
        <f t="shared" si="15"/>
        <v>5900024</v>
      </c>
      <c r="P486" s="351" t="str">
        <f t="shared" si="16"/>
        <v>T</v>
      </c>
    </row>
    <row r="487" spans="1:16" ht="23.25">
      <c r="A487" s="386" t="s">
        <v>74</v>
      </c>
      <c r="B487" s="387">
        <v>60000</v>
      </c>
      <c r="C487" s="367">
        <v>4</v>
      </c>
      <c r="D487" s="368">
        <v>6305</v>
      </c>
      <c r="E487" s="368">
        <v>66305</v>
      </c>
      <c r="F487" s="368">
        <v>701</v>
      </c>
      <c r="G487" s="368">
        <v>15000</v>
      </c>
      <c r="H487" s="368">
        <v>1401</v>
      </c>
      <c r="I487" s="368">
        <v>16401</v>
      </c>
      <c r="K487" s="367"/>
      <c r="L487" s="350">
        <v>0.315</v>
      </c>
      <c r="M487" s="350">
        <v>3.5000000000000003E-2</v>
      </c>
      <c r="N487" s="351" t="str">
        <f t="shared" si="15"/>
        <v>600004</v>
      </c>
      <c r="P487" s="351" t="str">
        <f t="shared" si="16"/>
        <v>T</v>
      </c>
    </row>
    <row r="488" spans="1:16" ht="23.25">
      <c r="A488" s="386" t="s">
        <v>74</v>
      </c>
      <c r="B488" s="387">
        <v>60000</v>
      </c>
      <c r="C488" s="365">
        <v>6</v>
      </c>
      <c r="D488" s="366">
        <v>9457</v>
      </c>
      <c r="E488" s="366">
        <v>69457</v>
      </c>
      <c r="F488" s="366">
        <v>1051</v>
      </c>
      <c r="G488" s="366">
        <v>10000</v>
      </c>
      <c r="H488" s="366">
        <v>1401</v>
      </c>
      <c r="I488" s="366">
        <v>11401</v>
      </c>
      <c r="K488" s="365"/>
      <c r="L488" s="350">
        <v>0.315</v>
      </c>
      <c r="M488" s="350">
        <v>3.5000000000000003E-2</v>
      </c>
      <c r="N488" s="351" t="str">
        <f t="shared" si="15"/>
        <v>600006</v>
      </c>
      <c r="P488" s="351" t="str">
        <f t="shared" si="16"/>
        <v>T</v>
      </c>
    </row>
    <row r="489" spans="1:16" ht="23.25">
      <c r="A489" s="386" t="s">
        <v>74</v>
      </c>
      <c r="B489" s="387">
        <v>60000</v>
      </c>
      <c r="C489" s="367">
        <v>8</v>
      </c>
      <c r="D489" s="368">
        <v>12609</v>
      </c>
      <c r="E489" s="368">
        <v>72609</v>
      </c>
      <c r="F489" s="368">
        <v>1401</v>
      </c>
      <c r="G489" s="368">
        <v>7500</v>
      </c>
      <c r="H489" s="372">
        <v>1401</v>
      </c>
      <c r="I489" s="368">
        <v>8901</v>
      </c>
      <c r="K489" s="367"/>
      <c r="L489" s="350">
        <v>0.315</v>
      </c>
      <c r="M489" s="350">
        <v>3.5000000000000003E-2</v>
      </c>
      <c r="N489" s="351" t="str">
        <f t="shared" si="15"/>
        <v>600008</v>
      </c>
      <c r="P489" s="351" t="str">
        <f t="shared" si="16"/>
        <v>T</v>
      </c>
    </row>
    <row r="490" spans="1:16" ht="23.25">
      <c r="A490" s="386" t="s">
        <v>74</v>
      </c>
      <c r="B490" s="387">
        <v>60000</v>
      </c>
      <c r="C490" s="365">
        <v>10</v>
      </c>
      <c r="D490" s="366">
        <v>15761</v>
      </c>
      <c r="E490" s="366">
        <v>75761</v>
      </c>
      <c r="F490" s="366">
        <v>1751</v>
      </c>
      <c r="G490" s="366">
        <v>6000</v>
      </c>
      <c r="H490" s="366">
        <v>1401</v>
      </c>
      <c r="I490" s="366">
        <v>7401</v>
      </c>
      <c r="K490" s="365"/>
      <c r="L490" s="350">
        <v>0.315</v>
      </c>
      <c r="M490" s="350">
        <v>3.5000000000000003E-2</v>
      </c>
      <c r="N490" s="351" t="str">
        <f t="shared" si="15"/>
        <v>6000010</v>
      </c>
      <c r="P490" s="351" t="str">
        <f t="shared" si="16"/>
        <v>T</v>
      </c>
    </row>
    <row r="491" spans="1:16" ht="23.25">
      <c r="A491" s="386" t="s">
        <v>74</v>
      </c>
      <c r="B491" s="387">
        <v>60000</v>
      </c>
      <c r="C491" s="388">
        <v>12</v>
      </c>
      <c r="D491" s="364">
        <v>18913</v>
      </c>
      <c r="E491" s="364">
        <v>78913</v>
      </c>
      <c r="F491" s="364">
        <v>2101</v>
      </c>
      <c r="G491" s="364">
        <v>5000</v>
      </c>
      <c r="H491" s="364">
        <v>1401</v>
      </c>
      <c r="I491" s="364">
        <v>6401</v>
      </c>
      <c r="K491" s="388"/>
      <c r="L491" s="350">
        <v>0.315</v>
      </c>
      <c r="M491" s="350">
        <v>3.5000000000000003E-2</v>
      </c>
      <c r="N491" s="351" t="str">
        <f t="shared" si="15"/>
        <v>6000012</v>
      </c>
      <c r="P491" s="351" t="str">
        <f t="shared" si="16"/>
        <v>T</v>
      </c>
    </row>
    <row r="492" spans="1:16" ht="24" thickBot="1">
      <c r="A492" s="389" t="s">
        <v>74</v>
      </c>
      <c r="B492" s="390">
        <v>60000</v>
      </c>
      <c r="C492" s="381">
        <v>14</v>
      </c>
      <c r="D492" s="398">
        <v>22055</v>
      </c>
      <c r="E492" s="398">
        <v>82055</v>
      </c>
      <c r="F492" s="398">
        <v>2451</v>
      </c>
      <c r="G492" s="398">
        <v>4286</v>
      </c>
      <c r="H492" s="366">
        <v>1400</v>
      </c>
      <c r="I492" s="398">
        <v>5686</v>
      </c>
      <c r="K492" s="381"/>
      <c r="L492" s="350">
        <v>0.315</v>
      </c>
      <c r="M492" s="350">
        <v>3.5000000000000003E-2</v>
      </c>
      <c r="N492" s="351" t="str">
        <f t="shared" si="15"/>
        <v>6000014</v>
      </c>
      <c r="P492" s="351" t="str">
        <f t="shared" si="16"/>
        <v>T</v>
      </c>
    </row>
    <row r="493" spans="1:16" ht="24" thickTop="1">
      <c r="A493" s="355" t="s">
        <v>74</v>
      </c>
      <c r="B493" s="356">
        <v>60000</v>
      </c>
      <c r="C493" s="396">
        <v>16</v>
      </c>
      <c r="D493" s="397">
        <v>25217</v>
      </c>
      <c r="E493" s="397">
        <v>85217</v>
      </c>
      <c r="F493" s="397">
        <v>2801</v>
      </c>
      <c r="G493" s="397">
        <v>3750</v>
      </c>
      <c r="H493" s="397">
        <v>1401</v>
      </c>
      <c r="I493" s="397">
        <v>5151</v>
      </c>
      <c r="K493" s="396"/>
      <c r="L493" s="350">
        <v>0.315</v>
      </c>
      <c r="M493" s="350">
        <v>3.5000000000000003E-2</v>
      </c>
      <c r="N493" s="351" t="str">
        <f t="shared" si="15"/>
        <v>6000016</v>
      </c>
      <c r="P493" s="351" t="str">
        <f t="shared" si="16"/>
        <v>T</v>
      </c>
    </row>
    <row r="494" spans="1:16" ht="23.25">
      <c r="A494" s="360" t="s">
        <v>74</v>
      </c>
      <c r="B494" s="361">
        <v>60000</v>
      </c>
      <c r="C494" s="365">
        <v>18</v>
      </c>
      <c r="D494" s="366">
        <v>28363</v>
      </c>
      <c r="E494" s="366">
        <v>88363</v>
      </c>
      <c r="F494" s="366">
        <v>3151</v>
      </c>
      <c r="G494" s="366">
        <v>3334</v>
      </c>
      <c r="H494" s="366">
        <v>1400</v>
      </c>
      <c r="I494" s="366">
        <v>4734</v>
      </c>
      <c r="K494" s="365"/>
      <c r="L494" s="350">
        <v>0.315</v>
      </c>
      <c r="M494" s="350">
        <v>3.5000000000000003E-2</v>
      </c>
      <c r="N494" s="351" t="str">
        <f t="shared" si="15"/>
        <v>6000018</v>
      </c>
      <c r="P494" s="351" t="str">
        <f t="shared" si="16"/>
        <v>T</v>
      </c>
    </row>
    <row r="495" spans="1:16" ht="23.25">
      <c r="A495" s="360" t="s">
        <v>74</v>
      </c>
      <c r="B495" s="361">
        <v>60000</v>
      </c>
      <c r="C495" s="367">
        <v>20</v>
      </c>
      <c r="D495" s="368">
        <v>31521</v>
      </c>
      <c r="E495" s="368">
        <v>91521</v>
      </c>
      <c r="F495" s="368">
        <v>3501</v>
      </c>
      <c r="G495" s="368">
        <v>3000</v>
      </c>
      <c r="H495" s="364">
        <v>1401</v>
      </c>
      <c r="I495" s="368">
        <v>4401</v>
      </c>
      <c r="K495" s="367"/>
      <c r="L495" s="350">
        <v>0.315</v>
      </c>
      <c r="M495" s="350">
        <v>3.5000000000000003E-2</v>
      </c>
      <c r="N495" s="351" t="str">
        <f t="shared" si="15"/>
        <v>6000020</v>
      </c>
      <c r="P495" s="351" t="str">
        <f t="shared" si="16"/>
        <v>T</v>
      </c>
    </row>
    <row r="496" spans="1:16" ht="23.25">
      <c r="A496" s="360" t="s">
        <v>74</v>
      </c>
      <c r="B496" s="361">
        <v>60000</v>
      </c>
      <c r="C496" s="365">
        <v>22</v>
      </c>
      <c r="D496" s="366">
        <v>34667</v>
      </c>
      <c r="E496" s="366">
        <v>94667</v>
      </c>
      <c r="F496" s="366">
        <v>3851</v>
      </c>
      <c r="G496" s="366">
        <v>2728</v>
      </c>
      <c r="H496" s="366">
        <v>1400</v>
      </c>
      <c r="I496" s="366">
        <v>4128</v>
      </c>
      <c r="K496" s="365"/>
      <c r="L496" s="350">
        <v>0.315</v>
      </c>
      <c r="M496" s="350">
        <v>3.5000000000000003E-2</v>
      </c>
      <c r="N496" s="351" t="str">
        <f t="shared" si="15"/>
        <v>6000022</v>
      </c>
      <c r="P496" s="351" t="str">
        <f t="shared" si="16"/>
        <v>T</v>
      </c>
    </row>
    <row r="497" spans="1:16" ht="23.25">
      <c r="A497" s="360" t="s">
        <v>74</v>
      </c>
      <c r="B497" s="361">
        <v>60000</v>
      </c>
      <c r="C497" s="367">
        <v>24</v>
      </c>
      <c r="D497" s="368">
        <v>37825</v>
      </c>
      <c r="E497" s="368">
        <v>97825</v>
      </c>
      <c r="F497" s="368">
        <v>4201</v>
      </c>
      <c r="G497" s="368">
        <v>2500</v>
      </c>
      <c r="H497" s="368">
        <v>1401</v>
      </c>
      <c r="I497" s="368">
        <v>3901</v>
      </c>
      <c r="K497" s="367"/>
      <c r="L497" s="350">
        <v>0.315</v>
      </c>
      <c r="M497" s="350">
        <v>3.5000000000000003E-2</v>
      </c>
      <c r="N497" s="351" t="str">
        <f t="shared" si="15"/>
        <v>6000024</v>
      </c>
      <c r="P497" s="351" t="str">
        <f t="shared" si="16"/>
        <v>T</v>
      </c>
    </row>
    <row r="498" spans="1:16" ht="23.25">
      <c r="A498" s="360" t="s">
        <v>74</v>
      </c>
      <c r="B498" s="361">
        <v>61000</v>
      </c>
      <c r="C498" s="365">
        <v>4</v>
      </c>
      <c r="D498" s="366">
        <v>6408</v>
      </c>
      <c r="E498" s="366">
        <v>67408</v>
      </c>
      <c r="F498" s="366">
        <v>712</v>
      </c>
      <c r="G498" s="366">
        <v>15250</v>
      </c>
      <c r="H498" s="366">
        <v>1424</v>
      </c>
      <c r="I498" s="366">
        <v>16674</v>
      </c>
      <c r="K498" s="365"/>
      <c r="L498" s="350">
        <v>0.315</v>
      </c>
      <c r="M498" s="350">
        <v>3.5000000000000003E-2</v>
      </c>
      <c r="N498" s="351" t="str">
        <f t="shared" si="15"/>
        <v>610004</v>
      </c>
      <c r="P498" s="351" t="str">
        <f t="shared" si="16"/>
        <v>T</v>
      </c>
    </row>
    <row r="499" spans="1:16" ht="23.25">
      <c r="A499" s="360" t="s">
        <v>74</v>
      </c>
      <c r="B499" s="361">
        <v>61000</v>
      </c>
      <c r="C499" s="367">
        <v>6</v>
      </c>
      <c r="D499" s="368">
        <v>9614</v>
      </c>
      <c r="E499" s="368">
        <v>70614</v>
      </c>
      <c r="F499" s="368">
        <v>1068</v>
      </c>
      <c r="G499" s="368">
        <v>10167</v>
      </c>
      <c r="H499" s="368">
        <v>1424</v>
      </c>
      <c r="I499" s="368">
        <v>11591</v>
      </c>
      <c r="K499" s="367"/>
      <c r="L499" s="350">
        <v>0.315</v>
      </c>
      <c r="M499" s="350">
        <v>3.5000000000000003E-2</v>
      </c>
      <c r="N499" s="351" t="str">
        <f t="shared" si="15"/>
        <v>610006</v>
      </c>
      <c r="P499" s="351" t="str">
        <f t="shared" si="16"/>
        <v>T</v>
      </c>
    </row>
    <row r="500" spans="1:16" ht="23.25">
      <c r="A500" s="360" t="s">
        <v>74</v>
      </c>
      <c r="B500" s="361">
        <v>61000</v>
      </c>
      <c r="C500" s="365">
        <v>8</v>
      </c>
      <c r="D500" s="366">
        <v>12816</v>
      </c>
      <c r="E500" s="366">
        <v>73816</v>
      </c>
      <c r="F500" s="366">
        <v>1424</v>
      </c>
      <c r="G500" s="366">
        <v>7625</v>
      </c>
      <c r="H500" s="366">
        <v>1424</v>
      </c>
      <c r="I500" s="366">
        <v>9049</v>
      </c>
      <c r="K500" s="365"/>
      <c r="L500" s="350">
        <v>0.315</v>
      </c>
      <c r="M500" s="350">
        <v>3.5000000000000003E-2</v>
      </c>
      <c r="N500" s="351" t="str">
        <f t="shared" si="15"/>
        <v>610008</v>
      </c>
      <c r="P500" s="351" t="str">
        <f t="shared" si="16"/>
        <v>T</v>
      </c>
    </row>
    <row r="501" spans="1:16" ht="23.25">
      <c r="A501" s="360" t="s">
        <v>74</v>
      </c>
      <c r="B501" s="361">
        <v>61000</v>
      </c>
      <c r="C501" s="388">
        <v>10</v>
      </c>
      <c r="D501" s="364">
        <v>16020</v>
      </c>
      <c r="E501" s="364">
        <v>77020</v>
      </c>
      <c r="F501" s="364">
        <v>1780</v>
      </c>
      <c r="G501" s="364">
        <v>6100</v>
      </c>
      <c r="H501" s="372">
        <v>1424</v>
      </c>
      <c r="I501" s="364">
        <v>7524</v>
      </c>
      <c r="K501" s="388"/>
      <c r="L501" s="350">
        <v>0.315</v>
      </c>
      <c r="M501" s="350">
        <v>3.5000000000000003E-2</v>
      </c>
      <c r="N501" s="351" t="str">
        <f t="shared" si="15"/>
        <v>6100010</v>
      </c>
      <c r="P501" s="351" t="str">
        <f t="shared" si="16"/>
        <v>T</v>
      </c>
    </row>
    <row r="502" spans="1:16" ht="23.25">
      <c r="A502" s="360" t="s">
        <v>74</v>
      </c>
      <c r="B502" s="361">
        <v>61000</v>
      </c>
      <c r="C502" s="365">
        <v>12</v>
      </c>
      <c r="D502" s="366">
        <v>19220</v>
      </c>
      <c r="E502" s="366">
        <v>80220</v>
      </c>
      <c r="F502" s="366">
        <v>2136</v>
      </c>
      <c r="G502" s="366">
        <v>5084</v>
      </c>
      <c r="H502" s="366">
        <v>1423</v>
      </c>
      <c r="I502" s="366">
        <v>6507</v>
      </c>
      <c r="K502" s="365"/>
      <c r="L502" s="350">
        <v>0.315</v>
      </c>
      <c r="M502" s="350">
        <v>3.5000000000000003E-2</v>
      </c>
      <c r="N502" s="351" t="str">
        <f t="shared" si="15"/>
        <v>6100012</v>
      </c>
      <c r="P502" s="351" t="str">
        <f t="shared" si="16"/>
        <v>T</v>
      </c>
    </row>
    <row r="503" spans="1:16" ht="24" thickBot="1">
      <c r="A503" s="392" t="s">
        <v>74</v>
      </c>
      <c r="B503" s="393">
        <v>61000</v>
      </c>
      <c r="C503" s="399">
        <v>14</v>
      </c>
      <c r="D503" s="400">
        <v>22425</v>
      </c>
      <c r="E503" s="400">
        <v>83425</v>
      </c>
      <c r="F503" s="400">
        <v>2491</v>
      </c>
      <c r="G503" s="400">
        <v>4358</v>
      </c>
      <c r="H503" s="364">
        <v>1423</v>
      </c>
      <c r="I503" s="400">
        <v>5781</v>
      </c>
      <c r="K503" s="399"/>
      <c r="L503" s="350">
        <v>0.315</v>
      </c>
      <c r="M503" s="350">
        <v>3.5000000000000003E-2</v>
      </c>
      <c r="N503" s="351" t="str">
        <f t="shared" si="15"/>
        <v>6100014</v>
      </c>
      <c r="P503" s="351" t="str">
        <f t="shared" si="16"/>
        <v>T</v>
      </c>
    </row>
    <row r="504" spans="1:16" ht="24" thickTop="1">
      <c r="A504" s="384" t="s">
        <v>74</v>
      </c>
      <c r="B504" s="385">
        <v>61000</v>
      </c>
      <c r="C504" s="357">
        <v>16</v>
      </c>
      <c r="D504" s="358">
        <v>25623</v>
      </c>
      <c r="E504" s="358">
        <v>86623</v>
      </c>
      <c r="F504" s="358">
        <v>2847</v>
      </c>
      <c r="G504" s="358">
        <v>3813</v>
      </c>
      <c r="H504" s="358">
        <v>1423</v>
      </c>
      <c r="I504" s="358">
        <v>5236</v>
      </c>
      <c r="K504" s="357"/>
      <c r="L504" s="350">
        <v>0.315</v>
      </c>
      <c r="M504" s="350">
        <v>3.5000000000000003E-2</v>
      </c>
      <c r="N504" s="351" t="str">
        <f t="shared" si="15"/>
        <v>6100016</v>
      </c>
      <c r="P504" s="351" t="str">
        <f t="shared" si="16"/>
        <v>T</v>
      </c>
    </row>
    <row r="505" spans="1:16" ht="23.25">
      <c r="A505" s="386" t="s">
        <v>74</v>
      </c>
      <c r="B505" s="387">
        <v>61000</v>
      </c>
      <c r="C505" s="388">
        <v>18</v>
      </c>
      <c r="D505" s="364">
        <v>28837</v>
      </c>
      <c r="E505" s="364">
        <v>89837</v>
      </c>
      <c r="F505" s="364">
        <v>3203</v>
      </c>
      <c r="G505" s="364">
        <v>3389</v>
      </c>
      <c r="H505" s="364">
        <v>1424</v>
      </c>
      <c r="I505" s="364">
        <v>4813</v>
      </c>
      <c r="K505" s="388"/>
      <c r="L505" s="350">
        <v>0.315</v>
      </c>
      <c r="M505" s="350">
        <v>3.5000000000000003E-2</v>
      </c>
      <c r="N505" s="351" t="str">
        <f t="shared" si="15"/>
        <v>6100018</v>
      </c>
      <c r="P505" s="351" t="str">
        <f t="shared" si="16"/>
        <v>T</v>
      </c>
    </row>
    <row r="506" spans="1:16" ht="23.25">
      <c r="A506" s="386" t="s">
        <v>74</v>
      </c>
      <c r="B506" s="387">
        <v>61000</v>
      </c>
      <c r="C506" s="365">
        <v>20</v>
      </c>
      <c r="D506" s="366">
        <v>32039</v>
      </c>
      <c r="E506" s="366">
        <v>93039</v>
      </c>
      <c r="F506" s="366">
        <v>3559</v>
      </c>
      <c r="G506" s="366">
        <v>3050</v>
      </c>
      <c r="H506" s="366">
        <v>1424</v>
      </c>
      <c r="I506" s="366">
        <v>4474</v>
      </c>
      <c r="K506" s="365"/>
      <c r="L506" s="350">
        <v>0.315</v>
      </c>
      <c r="M506" s="350">
        <v>3.5000000000000003E-2</v>
      </c>
      <c r="N506" s="351" t="str">
        <f t="shared" si="15"/>
        <v>6100020</v>
      </c>
      <c r="P506" s="351" t="str">
        <f t="shared" si="16"/>
        <v>T</v>
      </c>
    </row>
    <row r="507" spans="1:16" ht="23.25">
      <c r="A507" s="386" t="s">
        <v>74</v>
      </c>
      <c r="B507" s="387">
        <v>61000</v>
      </c>
      <c r="C507" s="367">
        <v>22</v>
      </c>
      <c r="D507" s="368">
        <v>35249</v>
      </c>
      <c r="E507" s="368">
        <v>96249</v>
      </c>
      <c r="F507" s="368">
        <v>3915</v>
      </c>
      <c r="G507" s="368">
        <v>2773</v>
      </c>
      <c r="H507" s="368">
        <v>1424</v>
      </c>
      <c r="I507" s="368">
        <v>4197</v>
      </c>
      <c r="K507" s="367"/>
      <c r="L507" s="350">
        <v>0.315</v>
      </c>
      <c r="M507" s="350">
        <v>3.5000000000000003E-2</v>
      </c>
      <c r="N507" s="351" t="str">
        <f t="shared" si="15"/>
        <v>6100022</v>
      </c>
      <c r="P507" s="351" t="str">
        <f t="shared" si="16"/>
        <v>T</v>
      </c>
    </row>
    <row r="508" spans="1:16" ht="23.25">
      <c r="A508" s="386" t="s">
        <v>74</v>
      </c>
      <c r="B508" s="387">
        <v>61000</v>
      </c>
      <c r="C508" s="365">
        <v>24</v>
      </c>
      <c r="D508" s="366">
        <v>38455</v>
      </c>
      <c r="E508" s="366">
        <v>99455</v>
      </c>
      <c r="F508" s="366">
        <v>4271</v>
      </c>
      <c r="G508" s="366">
        <v>2542</v>
      </c>
      <c r="H508" s="366">
        <v>1424</v>
      </c>
      <c r="I508" s="366">
        <v>3966</v>
      </c>
      <c r="K508" s="365"/>
      <c r="L508" s="350">
        <v>0.315</v>
      </c>
      <c r="M508" s="350">
        <v>3.5000000000000003E-2</v>
      </c>
      <c r="N508" s="351" t="str">
        <f t="shared" si="15"/>
        <v>6100024</v>
      </c>
      <c r="P508" s="351" t="str">
        <f t="shared" si="16"/>
        <v>T</v>
      </c>
    </row>
    <row r="509" spans="1:16" ht="23.25">
      <c r="A509" s="386" t="s">
        <v>74</v>
      </c>
      <c r="B509" s="387">
        <v>62000</v>
      </c>
      <c r="C509" s="367">
        <v>4</v>
      </c>
      <c r="D509" s="368">
        <v>6512</v>
      </c>
      <c r="E509" s="368">
        <v>68512</v>
      </c>
      <c r="F509" s="368">
        <v>724</v>
      </c>
      <c r="G509" s="368">
        <v>15500</v>
      </c>
      <c r="H509" s="368">
        <v>1447</v>
      </c>
      <c r="I509" s="368">
        <v>16947</v>
      </c>
      <c r="K509" s="367"/>
      <c r="L509" s="350">
        <v>0.315</v>
      </c>
      <c r="M509" s="350">
        <v>3.5000000000000003E-2</v>
      </c>
      <c r="N509" s="351" t="str">
        <f t="shared" si="15"/>
        <v>620004</v>
      </c>
      <c r="P509" s="351" t="str">
        <f t="shared" si="16"/>
        <v>T</v>
      </c>
    </row>
    <row r="510" spans="1:16" ht="23.25">
      <c r="A510" s="386" t="s">
        <v>74</v>
      </c>
      <c r="B510" s="387">
        <v>62000</v>
      </c>
      <c r="C510" s="365">
        <v>6</v>
      </c>
      <c r="D510" s="366">
        <v>9772</v>
      </c>
      <c r="E510" s="366">
        <v>71772</v>
      </c>
      <c r="F510" s="366">
        <v>1086</v>
      </c>
      <c r="G510" s="366">
        <v>10334</v>
      </c>
      <c r="H510" s="366">
        <v>1447</v>
      </c>
      <c r="I510" s="366">
        <v>11781</v>
      </c>
      <c r="K510" s="365"/>
      <c r="L510" s="350">
        <v>0.315</v>
      </c>
      <c r="M510" s="350">
        <v>3.5000000000000003E-2</v>
      </c>
      <c r="N510" s="351" t="str">
        <f t="shared" si="15"/>
        <v>620006</v>
      </c>
      <c r="P510" s="351" t="str">
        <f t="shared" si="16"/>
        <v>T</v>
      </c>
    </row>
    <row r="511" spans="1:16" ht="23.25">
      <c r="A511" s="386" t="s">
        <v>74</v>
      </c>
      <c r="B511" s="387">
        <v>62000</v>
      </c>
      <c r="C511" s="367">
        <v>8</v>
      </c>
      <c r="D511" s="368">
        <v>13023</v>
      </c>
      <c r="E511" s="368">
        <v>75023</v>
      </c>
      <c r="F511" s="368">
        <v>1447</v>
      </c>
      <c r="G511" s="372">
        <v>7750</v>
      </c>
      <c r="H511" s="372">
        <v>1447</v>
      </c>
      <c r="I511" s="368">
        <v>9197</v>
      </c>
      <c r="K511" s="367"/>
      <c r="L511" s="350">
        <v>0.315</v>
      </c>
      <c r="M511" s="350">
        <v>3.5000000000000003E-2</v>
      </c>
      <c r="N511" s="351" t="str">
        <f t="shared" si="15"/>
        <v>620008</v>
      </c>
      <c r="P511" s="351" t="str">
        <f t="shared" si="16"/>
        <v>T</v>
      </c>
    </row>
    <row r="512" spans="1:16" ht="23.25">
      <c r="A512" s="386" t="s">
        <v>74</v>
      </c>
      <c r="B512" s="387">
        <v>62000</v>
      </c>
      <c r="C512" s="365">
        <v>10</v>
      </c>
      <c r="D512" s="366">
        <v>16279</v>
      </c>
      <c r="E512" s="366">
        <v>78279</v>
      </c>
      <c r="F512" s="366">
        <v>1809</v>
      </c>
      <c r="G512" s="366">
        <v>6200</v>
      </c>
      <c r="H512" s="366">
        <v>1447</v>
      </c>
      <c r="I512" s="366">
        <v>7647</v>
      </c>
      <c r="K512" s="365"/>
      <c r="L512" s="350">
        <v>0.315</v>
      </c>
      <c r="M512" s="350">
        <v>3.5000000000000003E-2</v>
      </c>
      <c r="N512" s="351" t="str">
        <f t="shared" si="15"/>
        <v>6200010</v>
      </c>
      <c r="P512" s="351" t="str">
        <f t="shared" si="16"/>
        <v>T</v>
      </c>
    </row>
    <row r="513" spans="1:16" ht="23.25">
      <c r="A513" s="386" t="s">
        <v>74</v>
      </c>
      <c r="B513" s="387">
        <v>62000</v>
      </c>
      <c r="C513" s="388">
        <v>12</v>
      </c>
      <c r="D513" s="364">
        <v>19539</v>
      </c>
      <c r="E513" s="364">
        <v>81539</v>
      </c>
      <c r="F513" s="364">
        <v>2171</v>
      </c>
      <c r="G513" s="364">
        <v>5167</v>
      </c>
      <c r="H513" s="364">
        <v>1447</v>
      </c>
      <c r="I513" s="364">
        <v>6614</v>
      </c>
      <c r="K513" s="388"/>
      <c r="L513" s="350">
        <v>0.315</v>
      </c>
      <c r="M513" s="350">
        <v>3.5000000000000003E-2</v>
      </c>
      <c r="N513" s="351" t="str">
        <f t="shared" si="15"/>
        <v>6200012</v>
      </c>
      <c r="P513" s="351" t="str">
        <f t="shared" si="16"/>
        <v>T</v>
      </c>
    </row>
    <row r="514" spans="1:16" ht="24" thickBot="1">
      <c r="A514" s="389" t="s">
        <v>74</v>
      </c>
      <c r="B514" s="390">
        <v>62000</v>
      </c>
      <c r="C514" s="381">
        <v>14</v>
      </c>
      <c r="D514" s="398">
        <v>22796</v>
      </c>
      <c r="E514" s="398">
        <v>84796</v>
      </c>
      <c r="F514" s="398">
        <v>2532</v>
      </c>
      <c r="G514" s="366">
        <v>4429</v>
      </c>
      <c r="H514" s="366">
        <v>1447</v>
      </c>
      <c r="I514" s="398">
        <v>5876</v>
      </c>
      <c r="K514" s="381"/>
      <c r="L514" s="350">
        <v>0.315</v>
      </c>
      <c r="M514" s="350">
        <v>3.5000000000000003E-2</v>
      </c>
      <c r="N514" s="351" t="str">
        <f t="shared" si="15"/>
        <v>6200014</v>
      </c>
      <c r="P514" s="351" t="str">
        <f t="shared" si="16"/>
        <v>T</v>
      </c>
    </row>
    <row r="515" spans="1:16" ht="24" thickTop="1">
      <c r="A515" s="355" t="s">
        <v>74</v>
      </c>
      <c r="B515" s="356">
        <v>62000</v>
      </c>
      <c r="C515" s="396">
        <v>16</v>
      </c>
      <c r="D515" s="397">
        <v>26046</v>
      </c>
      <c r="E515" s="397">
        <v>88046</v>
      </c>
      <c r="F515" s="397">
        <v>2894</v>
      </c>
      <c r="G515" s="397">
        <v>3875</v>
      </c>
      <c r="H515" s="397">
        <v>1447</v>
      </c>
      <c r="I515" s="397">
        <v>5322</v>
      </c>
      <c r="K515" s="396"/>
      <c r="L515" s="350">
        <v>0.315</v>
      </c>
      <c r="M515" s="350">
        <v>3.5000000000000003E-2</v>
      </c>
      <c r="N515" s="351" t="str">
        <f t="shared" si="15"/>
        <v>6200016</v>
      </c>
      <c r="P515" s="351" t="str">
        <f t="shared" si="16"/>
        <v>T</v>
      </c>
    </row>
    <row r="516" spans="1:16" ht="23.25">
      <c r="A516" s="360" t="s">
        <v>74</v>
      </c>
      <c r="B516" s="361">
        <v>62000</v>
      </c>
      <c r="C516" s="365">
        <v>18</v>
      </c>
      <c r="D516" s="366">
        <v>29312</v>
      </c>
      <c r="E516" s="366">
        <v>91312</v>
      </c>
      <c r="F516" s="366">
        <v>3256</v>
      </c>
      <c r="G516" s="366">
        <v>3445</v>
      </c>
      <c r="H516" s="366">
        <v>1447</v>
      </c>
      <c r="I516" s="366">
        <v>4892</v>
      </c>
      <c r="K516" s="365"/>
      <c r="L516" s="350">
        <v>0.315</v>
      </c>
      <c r="M516" s="350">
        <v>3.5000000000000003E-2</v>
      </c>
      <c r="N516" s="351" t="str">
        <f t="shared" si="15"/>
        <v>6200018</v>
      </c>
      <c r="P516" s="351" t="str">
        <f t="shared" si="16"/>
        <v>T</v>
      </c>
    </row>
    <row r="517" spans="1:16" ht="23.25">
      <c r="A517" s="360" t="s">
        <v>74</v>
      </c>
      <c r="B517" s="361">
        <v>62000</v>
      </c>
      <c r="C517" s="367">
        <v>20</v>
      </c>
      <c r="D517" s="368">
        <v>32557</v>
      </c>
      <c r="E517" s="368">
        <v>94557</v>
      </c>
      <c r="F517" s="368">
        <v>3617</v>
      </c>
      <c r="G517" s="368">
        <v>3100</v>
      </c>
      <c r="H517" s="364">
        <v>1447</v>
      </c>
      <c r="I517" s="368">
        <v>4547</v>
      </c>
      <c r="K517" s="367"/>
      <c r="L517" s="350">
        <v>0.315</v>
      </c>
      <c r="M517" s="350">
        <v>3.5000000000000003E-2</v>
      </c>
      <c r="N517" s="351" t="str">
        <f t="shared" ref="N517:N580" si="17">CONCATENATE(B517,C517)</f>
        <v>6200020</v>
      </c>
      <c r="P517" s="351" t="str">
        <f t="shared" si="16"/>
        <v>T</v>
      </c>
    </row>
    <row r="518" spans="1:16" ht="23.25">
      <c r="A518" s="360" t="s">
        <v>74</v>
      </c>
      <c r="B518" s="361">
        <v>62000</v>
      </c>
      <c r="C518" s="365">
        <v>22</v>
      </c>
      <c r="D518" s="366">
        <v>35809</v>
      </c>
      <c r="E518" s="366">
        <v>97809</v>
      </c>
      <c r="F518" s="366">
        <v>3979</v>
      </c>
      <c r="G518" s="366">
        <v>2819</v>
      </c>
      <c r="H518" s="366">
        <v>1446</v>
      </c>
      <c r="I518" s="366">
        <v>4265</v>
      </c>
      <c r="K518" s="365"/>
      <c r="L518" s="350">
        <v>0.315</v>
      </c>
      <c r="M518" s="350">
        <v>3.5000000000000003E-2</v>
      </c>
      <c r="N518" s="351" t="str">
        <f t="shared" si="17"/>
        <v>6200022</v>
      </c>
      <c r="P518" s="351" t="str">
        <f t="shared" si="16"/>
        <v>T</v>
      </c>
    </row>
    <row r="519" spans="1:16" ht="23.25">
      <c r="A519" s="360" t="s">
        <v>74</v>
      </c>
      <c r="B519" s="361">
        <v>62000</v>
      </c>
      <c r="C519" s="367">
        <v>24</v>
      </c>
      <c r="D519" s="368">
        <v>39085</v>
      </c>
      <c r="E519" s="368">
        <v>101085</v>
      </c>
      <c r="F519" s="368">
        <v>4341</v>
      </c>
      <c r="G519" s="368">
        <v>2584</v>
      </c>
      <c r="H519" s="368">
        <v>1447</v>
      </c>
      <c r="I519" s="368">
        <v>4031</v>
      </c>
      <c r="K519" s="367"/>
      <c r="L519" s="350">
        <v>0.315</v>
      </c>
      <c r="M519" s="350">
        <v>3.5000000000000003E-2</v>
      </c>
      <c r="N519" s="351" t="str">
        <f t="shared" si="17"/>
        <v>6200024</v>
      </c>
      <c r="P519" s="351" t="str">
        <f t="shared" si="16"/>
        <v>T</v>
      </c>
    </row>
    <row r="520" spans="1:16" ht="23.25">
      <c r="A520" s="360" t="s">
        <v>74</v>
      </c>
      <c r="B520" s="361">
        <v>63000</v>
      </c>
      <c r="C520" s="365">
        <v>4</v>
      </c>
      <c r="D520" s="366">
        <v>6620</v>
      </c>
      <c r="E520" s="366">
        <v>69620</v>
      </c>
      <c r="F520" s="366">
        <v>736</v>
      </c>
      <c r="G520" s="366">
        <v>15750</v>
      </c>
      <c r="H520" s="366">
        <v>1471</v>
      </c>
      <c r="I520" s="366">
        <v>17221</v>
      </c>
      <c r="K520" s="365"/>
      <c r="L520" s="350">
        <v>0.315</v>
      </c>
      <c r="M520" s="350">
        <v>3.5000000000000003E-2</v>
      </c>
      <c r="N520" s="351" t="str">
        <f t="shared" si="17"/>
        <v>630004</v>
      </c>
      <c r="P520" s="351" t="str">
        <f t="shared" si="16"/>
        <v>T</v>
      </c>
    </row>
    <row r="521" spans="1:16" ht="23.25">
      <c r="A521" s="360" t="s">
        <v>74</v>
      </c>
      <c r="B521" s="361">
        <v>63000</v>
      </c>
      <c r="C521" s="367">
        <v>6</v>
      </c>
      <c r="D521" s="368">
        <v>9929</v>
      </c>
      <c r="E521" s="368">
        <v>72929</v>
      </c>
      <c r="F521" s="368">
        <v>1103</v>
      </c>
      <c r="G521" s="368">
        <v>10500</v>
      </c>
      <c r="H521" s="368">
        <v>1471</v>
      </c>
      <c r="I521" s="368">
        <v>11971</v>
      </c>
      <c r="K521" s="367"/>
      <c r="L521" s="350">
        <v>0.315</v>
      </c>
      <c r="M521" s="350">
        <v>3.5000000000000003E-2</v>
      </c>
      <c r="N521" s="351" t="str">
        <f t="shared" si="17"/>
        <v>630006</v>
      </c>
      <c r="P521" s="351" t="str">
        <f t="shared" si="16"/>
        <v>T</v>
      </c>
    </row>
    <row r="522" spans="1:16" ht="23.25">
      <c r="A522" s="360" t="s">
        <v>74</v>
      </c>
      <c r="B522" s="361">
        <v>63000</v>
      </c>
      <c r="C522" s="365">
        <v>8</v>
      </c>
      <c r="D522" s="366">
        <v>13239</v>
      </c>
      <c r="E522" s="366">
        <v>76239</v>
      </c>
      <c r="F522" s="366">
        <v>1471</v>
      </c>
      <c r="G522" s="366">
        <v>7875</v>
      </c>
      <c r="H522" s="366">
        <v>1471</v>
      </c>
      <c r="I522" s="366">
        <v>9346</v>
      </c>
      <c r="K522" s="365"/>
      <c r="L522" s="350">
        <v>0.315</v>
      </c>
      <c r="M522" s="350">
        <v>3.5000000000000003E-2</v>
      </c>
      <c r="N522" s="351" t="str">
        <f t="shared" si="17"/>
        <v>630008</v>
      </c>
      <c r="P522" s="351" t="str">
        <f t="shared" si="16"/>
        <v>T</v>
      </c>
    </row>
    <row r="523" spans="1:16" ht="23.25">
      <c r="A523" s="360" t="s">
        <v>74</v>
      </c>
      <c r="B523" s="361">
        <v>63000</v>
      </c>
      <c r="C523" s="388">
        <v>10</v>
      </c>
      <c r="D523" s="364">
        <v>16548</v>
      </c>
      <c r="E523" s="364">
        <v>79548</v>
      </c>
      <c r="F523" s="364">
        <v>1838</v>
      </c>
      <c r="G523" s="364">
        <v>6300</v>
      </c>
      <c r="H523" s="372">
        <v>1471</v>
      </c>
      <c r="I523" s="364">
        <v>7771</v>
      </c>
      <c r="K523" s="388"/>
      <c r="L523" s="350">
        <v>0.315</v>
      </c>
      <c r="M523" s="350">
        <v>3.5000000000000003E-2</v>
      </c>
      <c r="N523" s="351" t="str">
        <f t="shared" si="17"/>
        <v>6300010</v>
      </c>
      <c r="P523" s="351" t="str">
        <f t="shared" si="16"/>
        <v>T</v>
      </c>
    </row>
    <row r="524" spans="1:16" ht="23.25">
      <c r="A524" s="360" t="s">
        <v>74</v>
      </c>
      <c r="B524" s="361">
        <v>63000</v>
      </c>
      <c r="C524" s="365">
        <v>12</v>
      </c>
      <c r="D524" s="366">
        <v>19858</v>
      </c>
      <c r="E524" s="366">
        <v>82858</v>
      </c>
      <c r="F524" s="366">
        <v>2206</v>
      </c>
      <c r="G524" s="366">
        <v>5250</v>
      </c>
      <c r="H524" s="366">
        <v>1471</v>
      </c>
      <c r="I524" s="366">
        <v>6721</v>
      </c>
      <c r="K524" s="365"/>
      <c r="L524" s="350">
        <v>0.315</v>
      </c>
      <c r="M524" s="350">
        <v>3.5000000000000003E-2</v>
      </c>
      <c r="N524" s="351" t="str">
        <f t="shared" si="17"/>
        <v>6300012</v>
      </c>
      <c r="P524" s="351" t="str">
        <f t="shared" si="16"/>
        <v>T</v>
      </c>
    </row>
    <row r="525" spans="1:16" ht="24" thickBot="1">
      <c r="A525" s="392" t="s">
        <v>74</v>
      </c>
      <c r="B525" s="393">
        <v>63000</v>
      </c>
      <c r="C525" s="399">
        <v>14</v>
      </c>
      <c r="D525" s="400">
        <v>23167</v>
      </c>
      <c r="E525" s="400">
        <v>86167</v>
      </c>
      <c r="F525" s="400">
        <v>2573</v>
      </c>
      <c r="G525" s="400">
        <v>4500</v>
      </c>
      <c r="H525" s="364">
        <v>1471</v>
      </c>
      <c r="I525" s="400">
        <v>5971</v>
      </c>
      <c r="K525" s="399"/>
      <c r="L525" s="350">
        <v>0.315</v>
      </c>
      <c r="M525" s="350">
        <v>3.5000000000000003E-2</v>
      </c>
      <c r="N525" s="351" t="str">
        <f t="shared" si="17"/>
        <v>6300014</v>
      </c>
      <c r="P525" s="351" t="str">
        <f t="shared" si="16"/>
        <v>T</v>
      </c>
    </row>
    <row r="526" spans="1:16" ht="24" thickTop="1">
      <c r="A526" s="384" t="s">
        <v>74</v>
      </c>
      <c r="B526" s="385">
        <v>63000</v>
      </c>
      <c r="C526" s="357">
        <v>16</v>
      </c>
      <c r="D526" s="358">
        <v>26469</v>
      </c>
      <c r="E526" s="358">
        <v>89469</v>
      </c>
      <c r="F526" s="358">
        <v>2941</v>
      </c>
      <c r="G526" s="358">
        <v>3938</v>
      </c>
      <c r="H526" s="358">
        <v>1470</v>
      </c>
      <c r="I526" s="358">
        <v>5408</v>
      </c>
      <c r="K526" s="357"/>
      <c r="L526" s="350">
        <v>0.315</v>
      </c>
      <c r="M526" s="350">
        <v>3.5000000000000003E-2</v>
      </c>
      <c r="N526" s="351" t="str">
        <f t="shared" si="17"/>
        <v>6300016</v>
      </c>
      <c r="P526" s="351" t="str">
        <f t="shared" si="16"/>
        <v>T</v>
      </c>
    </row>
    <row r="527" spans="1:16" ht="23.25">
      <c r="A527" s="386" t="s">
        <v>74</v>
      </c>
      <c r="B527" s="387">
        <v>63000</v>
      </c>
      <c r="C527" s="388">
        <v>18</v>
      </c>
      <c r="D527" s="364">
        <v>29786</v>
      </c>
      <c r="E527" s="364">
        <v>92786</v>
      </c>
      <c r="F527" s="364">
        <v>3308</v>
      </c>
      <c r="G527" s="364">
        <v>3500</v>
      </c>
      <c r="H527" s="364">
        <v>1471</v>
      </c>
      <c r="I527" s="364">
        <v>4971</v>
      </c>
      <c r="K527" s="388"/>
      <c r="L527" s="350">
        <v>0.315</v>
      </c>
      <c r="M527" s="350">
        <v>3.5000000000000003E-2</v>
      </c>
      <c r="N527" s="351" t="str">
        <f t="shared" si="17"/>
        <v>6300018</v>
      </c>
      <c r="P527" s="351" t="str">
        <f t="shared" si="16"/>
        <v>T</v>
      </c>
    </row>
    <row r="528" spans="1:16" ht="23.25">
      <c r="A528" s="386" t="s">
        <v>74</v>
      </c>
      <c r="B528" s="387">
        <v>63000</v>
      </c>
      <c r="C528" s="365">
        <v>20</v>
      </c>
      <c r="D528" s="366">
        <v>33096</v>
      </c>
      <c r="E528" s="366">
        <v>96096</v>
      </c>
      <c r="F528" s="366">
        <v>3676</v>
      </c>
      <c r="G528" s="366">
        <v>3150</v>
      </c>
      <c r="H528" s="366">
        <v>1471</v>
      </c>
      <c r="I528" s="366">
        <v>4621</v>
      </c>
      <c r="K528" s="365"/>
      <c r="L528" s="350">
        <v>0.315</v>
      </c>
      <c r="M528" s="350">
        <v>3.5000000000000003E-2</v>
      </c>
      <c r="N528" s="351" t="str">
        <f t="shared" si="17"/>
        <v>6300020</v>
      </c>
      <c r="P528" s="351" t="str">
        <f t="shared" si="16"/>
        <v>T</v>
      </c>
    </row>
    <row r="529" spans="1:16" ht="23.25">
      <c r="A529" s="386" t="s">
        <v>74</v>
      </c>
      <c r="B529" s="387">
        <v>63000</v>
      </c>
      <c r="C529" s="367">
        <v>22</v>
      </c>
      <c r="D529" s="368">
        <v>36391</v>
      </c>
      <c r="E529" s="368">
        <v>99391</v>
      </c>
      <c r="F529" s="368">
        <v>4043</v>
      </c>
      <c r="G529" s="368">
        <v>2864</v>
      </c>
      <c r="H529" s="368">
        <v>1470</v>
      </c>
      <c r="I529" s="368">
        <v>4334</v>
      </c>
      <c r="K529" s="367"/>
      <c r="L529" s="350">
        <v>0.315</v>
      </c>
      <c r="M529" s="350">
        <v>3.5000000000000003E-2</v>
      </c>
      <c r="N529" s="351" t="str">
        <f t="shared" si="17"/>
        <v>6300022</v>
      </c>
      <c r="P529" s="351" t="str">
        <f t="shared" ref="P529:P592" si="18">IF((E529-F529)/C529=I529,"T","F")</f>
        <v>T</v>
      </c>
    </row>
    <row r="530" spans="1:16" ht="23.25">
      <c r="A530" s="386" t="s">
        <v>74</v>
      </c>
      <c r="B530" s="387">
        <v>63000</v>
      </c>
      <c r="C530" s="365">
        <v>24</v>
      </c>
      <c r="D530" s="366">
        <v>39715</v>
      </c>
      <c r="E530" s="366">
        <v>102715</v>
      </c>
      <c r="F530" s="366">
        <v>4411</v>
      </c>
      <c r="G530" s="366">
        <v>2625</v>
      </c>
      <c r="H530" s="366">
        <v>1471</v>
      </c>
      <c r="I530" s="366">
        <v>4096</v>
      </c>
      <c r="K530" s="365"/>
      <c r="L530" s="350">
        <v>0.315</v>
      </c>
      <c r="M530" s="350">
        <v>3.5000000000000003E-2</v>
      </c>
      <c r="N530" s="351" t="str">
        <f t="shared" si="17"/>
        <v>6300024</v>
      </c>
      <c r="P530" s="351" t="str">
        <f t="shared" si="18"/>
        <v>T</v>
      </c>
    </row>
    <row r="531" spans="1:16" ht="23.25">
      <c r="A531" s="386" t="s">
        <v>74</v>
      </c>
      <c r="B531" s="387">
        <v>64000</v>
      </c>
      <c r="C531" s="367">
        <v>4</v>
      </c>
      <c r="D531" s="368">
        <v>6723</v>
      </c>
      <c r="E531" s="368">
        <v>70723</v>
      </c>
      <c r="F531" s="368">
        <v>747</v>
      </c>
      <c r="G531" s="368">
        <v>16000</v>
      </c>
      <c r="H531" s="368">
        <v>1494</v>
      </c>
      <c r="I531" s="368">
        <v>17494</v>
      </c>
      <c r="K531" s="367"/>
      <c r="L531" s="350">
        <v>0.315</v>
      </c>
      <c r="M531" s="350">
        <v>3.5000000000000003E-2</v>
      </c>
      <c r="N531" s="351" t="str">
        <f t="shared" si="17"/>
        <v>640004</v>
      </c>
      <c r="P531" s="351" t="str">
        <f t="shared" si="18"/>
        <v>T</v>
      </c>
    </row>
    <row r="532" spans="1:16" ht="23.25">
      <c r="A532" s="386" t="s">
        <v>74</v>
      </c>
      <c r="B532" s="387">
        <v>64000</v>
      </c>
      <c r="C532" s="365">
        <v>6</v>
      </c>
      <c r="D532" s="366">
        <v>10087</v>
      </c>
      <c r="E532" s="366">
        <v>74087</v>
      </c>
      <c r="F532" s="366">
        <v>1121</v>
      </c>
      <c r="G532" s="366">
        <v>10667</v>
      </c>
      <c r="H532" s="366">
        <v>1494</v>
      </c>
      <c r="I532" s="366">
        <v>12161</v>
      </c>
      <c r="K532" s="365"/>
      <c r="L532" s="350">
        <v>0.315</v>
      </c>
      <c r="M532" s="350">
        <v>3.5000000000000003E-2</v>
      </c>
      <c r="N532" s="351" t="str">
        <f t="shared" si="17"/>
        <v>640006</v>
      </c>
      <c r="P532" s="351" t="str">
        <f t="shared" si="18"/>
        <v>T</v>
      </c>
    </row>
    <row r="533" spans="1:16" ht="23.25">
      <c r="A533" s="386" t="s">
        <v>74</v>
      </c>
      <c r="B533" s="387">
        <v>64000</v>
      </c>
      <c r="C533" s="367">
        <v>8</v>
      </c>
      <c r="D533" s="368">
        <v>13446</v>
      </c>
      <c r="E533" s="368">
        <v>77446</v>
      </c>
      <c r="F533" s="368">
        <v>1494</v>
      </c>
      <c r="G533" s="368">
        <v>8000</v>
      </c>
      <c r="H533" s="372">
        <v>1494</v>
      </c>
      <c r="I533" s="368">
        <v>9494</v>
      </c>
      <c r="K533" s="367"/>
      <c r="L533" s="350">
        <v>0.315</v>
      </c>
      <c r="M533" s="350">
        <v>3.5000000000000003E-2</v>
      </c>
      <c r="N533" s="351" t="str">
        <f t="shared" si="17"/>
        <v>640008</v>
      </c>
      <c r="P533" s="351" t="str">
        <f t="shared" si="18"/>
        <v>T</v>
      </c>
    </row>
    <row r="534" spans="1:16" ht="23.25">
      <c r="A534" s="386" t="s">
        <v>74</v>
      </c>
      <c r="B534" s="387">
        <v>64000</v>
      </c>
      <c r="C534" s="365">
        <v>10</v>
      </c>
      <c r="D534" s="366">
        <v>16807</v>
      </c>
      <c r="E534" s="366">
        <v>80807</v>
      </c>
      <c r="F534" s="366">
        <v>1867</v>
      </c>
      <c r="G534" s="366">
        <v>6400</v>
      </c>
      <c r="H534" s="366">
        <v>1494</v>
      </c>
      <c r="I534" s="366">
        <v>7894</v>
      </c>
      <c r="K534" s="365"/>
      <c r="L534" s="350">
        <v>0.315</v>
      </c>
      <c r="M534" s="350">
        <v>3.5000000000000003E-2</v>
      </c>
      <c r="N534" s="351" t="str">
        <f t="shared" si="17"/>
        <v>6400010</v>
      </c>
      <c r="P534" s="351" t="str">
        <f t="shared" si="18"/>
        <v>T</v>
      </c>
    </row>
    <row r="535" spans="1:16" ht="23.25">
      <c r="A535" s="386" t="s">
        <v>74</v>
      </c>
      <c r="B535" s="387">
        <v>64000</v>
      </c>
      <c r="C535" s="388">
        <v>12</v>
      </c>
      <c r="D535" s="364">
        <v>20165</v>
      </c>
      <c r="E535" s="364">
        <v>84165</v>
      </c>
      <c r="F535" s="364">
        <v>2241</v>
      </c>
      <c r="G535" s="364">
        <v>5334</v>
      </c>
      <c r="H535" s="364">
        <v>1493</v>
      </c>
      <c r="I535" s="364">
        <v>6827</v>
      </c>
      <c r="K535" s="388"/>
      <c r="L535" s="350">
        <v>0.315</v>
      </c>
      <c r="M535" s="350">
        <v>3.5000000000000003E-2</v>
      </c>
      <c r="N535" s="351" t="str">
        <f t="shared" si="17"/>
        <v>6400012</v>
      </c>
      <c r="P535" s="351" t="str">
        <f t="shared" si="18"/>
        <v>T</v>
      </c>
    </row>
    <row r="536" spans="1:16" ht="24" thickBot="1">
      <c r="A536" s="389" t="s">
        <v>74</v>
      </c>
      <c r="B536" s="390">
        <v>64000</v>
      </c>
      <c r="C536" s="381">
        <v>14</v>
      </c>
      <c r="D536" s="398">
        <v>23524</v>
      </c>
      <c r="E536" s="398">
        <v>87524</v>
      </c>
      <c r="F536" s="398">
        <v>2614</v>
      </c>
      <c r="G536" s="398">
        <v>4572</v>
      </c>
      <c r="H536" s="366">
        <v>1493</v>
      </c>
      <c r="I536" s="398">
        <v>6065</v>
      </c>
      <c r="K536" s="381"/>
      <c r="L536" s="350">
        <v>0.315</v>
      </c>
      <c r="M536" s="350">
        <v>3.5000000000000003E-2</v>
      </c>
      <c r="N536" s="351" t="str">
        <f t="shared" si="17"/>
        <v>6400014</v>
      </c>
      <c r="P536" s="351" t="str">
        <f t="shared" si="18"/>
        <v>T</v>
      </c>
    </row>
    <row r="537" spans="1:16" ht="24" thickTop="1">
      <c r="A537" s="355" t="s">
        <v>74</v>
      </c>
      <c r="B537" s="356">
        <v>64000</v>
      </c>
      <c r="C537" s="396">
        <v>16</v>
      </c>
      <c r="D537" s="397">
        <v>26891</v>
      </c>
      <c r="E537" s="397">
        <v>90891</v>
      </c>
      <c r="F537" s="397">
        <v>2987</v>
      </c>
      <c r="G537" s="397">
        <v>4000</v>
      </c>
      <c r="H537" s="397">
        <v>1494</v>
      </c>
      <c r="I537" s="397">
        <v>5494</v>
      </c>
      <c r="K537" s="396"/>
      <c r="L537" s="350">
        <v>0.315</v>
      </c>
      <c r="M537" s="350">
        <v>3.5000000000000003E-2</v>
      </c>
      <c r="N537" s="351" t="str">
        <f t="shared" si="17"/>
        <v>6400016</v>
      </c>
      <c r="P537" s="351" t="str">
        <f t="shared" si="18"/>
        <v>T</v>
      </c>
    </row>
    <row r="538" spans="1:16" ht="23.25">
      <c r="A538" s="360" t="s">
        <v>74</v>
      </c>
      <c r="B538" s="361">
        <v>64000</v>
      </c>
      <c r="C538" s="365">
        <v>18</v>
      </c>
      <c r="D538" s="366">
        <v>30243</v>
      </c>
      <c r="E538" s="366">
        <v>94243</v>
      </c>
      <c r="F538" s="366">
        <v>3361</v>
      </c>
      <c r="G538" s="366">
        <v>3556</v>
      </c>
      <c r="H538" s="366">
        <v>1493</v>
      </c>
      <c r="I538" s="366">
        <v>5049</v>
      </c>
      <c r="K538" s="365"/>
      <c r="L538" s="350">
        <v>0.315</v>
      </c>
      <c r="M538" s="350">
        <v>3.5000000000000003E-2</v>
      </c>
      <c r="N538" s="351" t="str">
        <f t="shared" si="17"/>
        <v>6400018</v>
      </c>
      <c r="P538" s="351" t="str">
        <f t="shared" si="18"/>
        <v>T</v>
      </c>
    </row>
    <row r="539" spans="1:16" ht="23.25">
      <c r="A539" s="360" t="s">
        <v>74</v>
      </c>
      <c r="B539" s="361">
        <v>64000</v>
      </c>
      <c r="C539" s="367">
        <v>20</v>
      </c>
      <c r="D539" s="368">
        <v>33614</v>
      </c>
      <c r="E539" s="368">
        <v>97614</v>
      </c>
      <c r="F539" s="368">
        <v>3734</v>
      </c>
      <c r="G539" s="368">
        <v>3200</v>
      </c>
      <c r="H539" s="364">
        <v>1494</v>
      </c>
      <c r="I539" s="368">
        <v>4694</v>
      </c>
      <c r="K539" s="367"/>
      <c r="L539" s="350">
        <v>0.315</v>
      </c>
      <c r="M539" s="350">
        <v>3.5000000000000003E-2</v>
      </c>
      <c r="N539" s="351" t="str">
        <f t="shared" si="17"/>
        <v>6400020</v>
      </c>
      <c r="P539" s="351" t="str">
        <f t="shared" si="18"/>
        <v>T</v>
      </c>
    </row>
    <row r="540" spans="1:16" ht="23.25">
      <c r="A540" s="360" t="s">
        <v>74</v>
      </c>
      <c r="B540" s="361">
        <v>64000</v>
      </c>
      <c r="C540" s="365">
        <v>22</v>
      </c>
      <c r="D540" s="366">
        <v>36973</v>
      </c>
      <c r="E540" s="366">
        <v>100973</v>
      </c>
      <c r="F540" s="366">
        <v>4107</v>
      </c>
      <c r="G540" s="366">
        <v>2910</v>
      </c>
      <c r="H540" s="366">
        <v>1493</v>
      </c>
      <c r="I540" s="366">
        <v>4403</v>
      </c>
      <c r="K540" s="365"/>
      <c r="L540" s="350">
        <v>0.315</v>
      </c>
      <c r="M540" s="350">
        <v>3.5000000000000003E-2</v>
      </c>
      <c r="N540" s="351" t="str">
        <f t="shared" si="17"/>
        <v>6400022</v>
      </c>
      <c r="P540" s="351" t="str">
        <f t="shared" si="18"/>
        <v>T</v>
      </c>
    </row>
    <row r="541" spans="1:16" ht="23.25">
      <c r="A541" s="360" t="s">
        <v>74</v>
      </c>
      <c r="B541" s="361">
        <v>64000</v>
      </c>
      <c r="C541" s="367">
        <v>24</v>
      </c>
      <c r="D541" s="368">
        <v>40345</v>
      </c>
      <c r="E541" s="368">
        <v>104345</v>
      </c>
      <c r="F541" s="368">
        <v>4481</v>
      </c>
      <c r="G541" s="368">
        <v>2667</v>
      </c>
      <c r="H541" s="368">
        <v>1494</v>
      </c>
      <c r="I541" s="368">
        <v>4161</v>
      </c>
      <c r="K541" s="367"/>
      <c r="L541" s="350">
        <v>0.315</v>
      </c>
      <c r="M541" s="350">
        <v>3.5000000000000003E-2</v>
      </c>
      <c r="N541" s="351" t="str">
        <f t="shared" si="17"/>
        <v>6400024</v>
      </c>
      <c r="P541" s="351" t="str">
        <f t="shared" si="18"/>
        <v>T</v>
      </c>
    </row>
    <row r="542" spans="1:16" ht="23.25">
      <c r="A542" s="360" t="s">
        <v>74</v>
      </c>
      <c r="B542" s="361">
        <v>65000</v>
      </c>
      <c r="C542" s="365">
        <v>4</v>
      </c>
      <c r="D542" s="366">
        <v>6827</v>
      </c>
      <c r="E542" s="366">
        <v>71827</v>
      </c>
      <c r="F542" s="366">
        <v>759</v>
      </c>
      <c r="G542" s="366">
        <v>16250</v>
      </c>
      <c r="H542" s="366">
        <v>1517</v>
      </c>
      <c r="I542" s="366">
        <v>17767</v>
      </c>
      <c r="K542" s="365"/>
      <c r="L542" s="350">
        <v>0.315</v>
      </c>
      <c r="M542" s="350">
        <v>3.5000000000000003E-2</v>
      </c>
      <c r="N542" s="351" t="str">
        <f t="shared" si="17"/>
        <v>650004</v>
      </c>
      <c r="P542" s="351" t="str">
        <f t="shared" si="18"/>
        <v>T</v>
      </c>
    </row>
    <row r="543" spans="1:16" ht="23.25">
      <c r="A543" s="360" t="s">
        <v>74</v>
      </c>
      <c r="B543" s="361">
        <v>65000</v>
      </c>
      <c r="C543" s="367">
        <v>6</v>
      </c>
      <c r="D543" s="368">
        <v>10244</v>
      </c>
      <c r="E543" s="368">
        <v>75244</v>
      </c>
      <c r="F543" s="368">
        <v>1138</v>
      </c>
      <c r="G543" s="368">
        <v>10834</v>
      </c>
      <c r="H543" s="368">
        <v>1517</v>
      </c>
      <c r="I543" s="368">
        <v>12351</v>
      </c>
      <c r="K543" s="367"/>
      <c r="L543" s="350">
        <v>0.315</v>
      </c>
      <c r="M543" s="350">
        <v>3.5000000000000003E-2</v>
      </c>
      <c r="N543" s="351" t="str">
        <f t="shared" si="17"/>
        <v>650006</v>
      </c>
      <c r="P543" s="351" t="str">
        <f t="shared" si="18"/>
        <v>T</v>
      </c>
    </row>
    <row r="544" spans="1:16" ht="23.25">
      <c r="A544" s="360" t="s">
        <v>74</v>
      </c>
      <c r="B544" s="361">
        <v>65000</v>
      </c>
      <c r="C544" s="365">
        <v>8</v>
      </c>
      <c r="D544" s="366">
        <v>13653</v>
      </c>
      <c r="E544" s="366">
        <v>78653</v>
      </c>
      <c r="F544" s="366">
        <v>1517</v>
      </c>
      <c r="G544" s="366">
        <v>8125</v>
      </c>
      <c r="H544" s="366">
        <v>1517</v>
      </c>
      <c r="I544" s="366">
        <v>9642</v>
      </c>
      <c r="K544" s="365"/>
      <c r="L544" s="350">
        <v>0.315</v>
      </c>
      <c r="M544" s="350">
        <v>3.5000000000000003E-2</v>
      </c>
      <c r="N544" s="351" t="str">
        <f t="shared" si="17"/>
        <v>650008</v>
      </c>
      <c r="P544" s="351" t="str">
        <f t="shared" si="18"/>
        <v>T</v>
      </c>
    </row>
    <row r="545" spans="1:16" ht="23.25">
      <c r="A545" s="360" t="s">
        <v>74</v>
      </c>
      <c r="B545" s="361">
        <v>65000</v>
      </c>
      <c r="C545" s="388">
        <v>10</v>
      </c>
      <c r="D545" s="364">
        <v>17066</v>
      </c>
      <c r="E545" s="364">
        <v>82066</v>
      </c>
      <c r="F545" s="364">
        <v>1896</v>
      </c>
      <c r="G545" s="364">
        <v>6500</v>
      </c>
      <c r="H545" s="372">
        <v>1517</v>
      </c>
      <c r="I545" s="364">
        <v>8017</v>
      </c>
      <c r="K545" s="388"/>
      <c r="L545" s="350">
        <v>0.315</v>
      </c>
      <c r="M545" s="350">
        <v>3.5000000000000003E-2</v>
      </c>
      <c r="N545" s="351" t="str">
        <f t="shared" si="17"/>
        <v>6500010</v>
      </c>
      <c r="P545" s="351" t="str">
        <f t="shared" si="18"/>
        <v>T</v>
      </c>
    </row>
    <row r="546" spans="1:16" ht="23.25">
      <c r="A546" s="360" t="s">
        <v>74</v>
      </c>
      <c r="B546" s="361">
        <v>65000</v>
      </c>
      <c r="C546" s="365">
        <v>12</v>
      </c>
      <c r="D546" s="366">
        <v>20484</v>
      </c>
      <c r="E546" s="366">
        <v>85484</v>
      </c>
      <c r="F546" s="366">
        <v>2276</v>
      </c>
      <c r="G546" s="366">
        <v>5417</v>
      </c>
      <c r="H546" s="366">
        <v>1517</v>
      </c>
      <c r="I546" s="366">
        <v>6934</v>
      </c>
      <c r="K546" s="365"/>
      <c r="L546" s="350">
        <v>0.315</v>
      </c>
      <c r="M546" s="350">
        <v>3.5000000000000003E-2</v>
      </c>
      <c r="N546" s="351" t="str">
        <f t="shared" si="17"/>
        <v>6500012</v>
      </c>
      <c r="P546" s="351" t="str">
        <f t="shared" si="18"/>
        <v>T</v>
      </c>
    </row>
    <row r="547" spans="1:16" ht="24" thickBot="1">
      <c r="A547" s="392" t="s">
        <v>74</v>
      </c>
      <c r="B547" s="393">
        <v>65000</v>
      </c>
      <c r="C547" s="399">
        <v>14</v>
      </c>
      <c r="D547" s="400">
        <v>23895</v>
      </c>
      <c r="E547" s="400">
        <v>88895</v>
      </c>
      <c r="F547" s="400">
        <v>2655</v>
      </c>
      <c r="G547" s="400">
        <v>4643</v>
      </c>
      <c r="H547" s="364">
        <v>1517</v>
      </c>
      <c r="I547" s="400">
        <v>6160</v>
      </c>
      <c r="K547" s="399"/>
      <c r="L547" s="350">
        <v>0.315</v>
      </c>
      <c r="M547" s="350">
        <v>3.5000000000000003E-2</v>
      </c>
      <c r="N547" s="351" t="str">
        <f t="shared" si="17"/>
        <v>6500014</v>
      </c>
      <c r="P547" s="351" t="str">
        <f t="shared" si="18"/>
        <v>T</v>
      </c>
    </row>
    <row r="548" spans="1:16" ht="24" thickTop="1">
      <c r="A548" s="384" t="s">
        <v>74</v>
      </c>
      <c r="B548" s="385">
        <v>65000</v>
      </c>
      <c r="C548" s="357">
        <v>16</v>
      </c>
      <c r="D548" s="358">
        <v>27314</v>
      </c>
      <c r="E548" s="358">
        <v>92314</v>
      </c>
      <c r="F548" s="358">
        <v>3034</v>
      </c>
      <c r="G548" s="358">
        <v>4063</v>
      </c>
      <c r="H548" s="358">
        <v>1517</v>
      </c>
      <c r="I548" s="358">
        <v>5580</v>
      </c>
      <c r="K548" s="357"/>
      <c r="L548" s="350">
        <v>0.315</v>
      </c>
      <c r="M548" s="350">
        <v>3.5000000000000003E-2</v>
      </c>
      <c r="N548" s="351" t="str">
        <f t="shared" si="17"/>
        <v>6500016</v>
      </c>
      <c r="P548" s="351" t="str">
        <f t="shared" si="18"/>
        <v>T</v>
      </c>
    </row>
    <row r="549" spans="1:16" ht="23.25">
      <c r="A549" s="386" t="s">
        <v>74</v>
      </c>
      <c r="B549" s="387">
        <v>65000</v>
      </c>
      <c r="C549" s="388">
        <v>18</v>
      </c>
      <c r="D549" s="364">
        <v>30717</v>
      </c>
      <c r="E549" s="364">
        <v>95717</v>
      </c>
      <c r="F549" s="364">
        <v>3413</v>
      </c>
      <c r="G549" s="364">
        <v>3612</v>
      </c>
      <c r="H549" s="364">
        <v>1516</v>
      </c>
      <c r="I549" s="364">
        <v>5128</v>
      </c>
      <c r="K549" s="388"/>
      <c r="L549" s="350">
        <v>0.315</v>
      </c>
      <c r="M549" s="350">
        <v>3.5000000000000003E-2</v>
      </c>
      <c r="N549" s="351" t="str">
        <f t="shared" si="17"/>
        <v>6500018</v>
      </c>
      <c r="P549" s="351" t="str">
        <f t="shared" si="18"/>
        <v>T</v>
      </c>
    </row>
    <row r="550" spans="1:16" ht="23.25">
      <c r="A550" s="386" t="s">
        <v>74</v>
      </c>
      <c r="B550" s="387">
        <v>65000</v>
      </c>
      <c r="C550" s="365">
        <v>20</v>
      </c>
      <c r="D550" s="366">
        <v>34132</v>
      </c>
      <c r="E550" s="366">
        <v>99132</v>
      </c>
      <c r="F550" s="366">
        <v>3792</v>
      </c>
      <c r="G550" s="366">
        <v>3250</v>
      </c>
      <c r="H550" s="366">
        <v>1517</v>
      </c>
      <c r="I550" s="366">
        <v>4767</v>
      </c>
      <c r="K550" s="365"/>
      <c r="L550" s="350">
        <v>0.315</v>
      </c>
      <c r="M550" s="350">
        <v>3.5000000000000003E-2</v>
      </c>
      <c r="N550" s="351" t="str">
        <f t="shared" si="17"/>
        <v>6500020</v>
      </c>
      <c r="P550" s="351" t="str">
        <f t="shared" si="18"/>
        <v>T</v>
      </c>
    </row>
    <row r="551" spans="1:16" ht="23.25">
      <c r="A551" s="386" t="s">
        <v>74</v>
      </c>
      <c r="B551" s="387">
        <v>65000</v>
      </c>
      <c r="C551" s="367">
        <v>22</v>
      </c>
      <c r="D551" s="368">
        <v>37555</v>
      </c>
      <c r="E551" s="368">
        <v>102555</v>
      </c>
      <c r="F551" s="368">
        <v>4171</v>
      </c>
      <c r="G551" s="368">
        <v>2955</v>
      </c>
      <c r="H551" s="368">
        <v>1517</v>
      </c>
      <c r="I551" s="368">
        <v>4472</v>
      </c>
      <c r="K551" s="367"/>
      <c r="L551" s="350">
        <v>0.315</v>
      </c>
      <c r="M551" s="350">
        <v>3.5000000000000003E-2</v>
      </c>
      <c r="N551" s="351" t="str">
        <f t="shared" si="17"/>
        <v>6500022</v>
      </c>
      <c r="P551" s="351" t="str">
        <f t="shared" si="18"/>
        <v>T</v>
      </c>
    </row>
    <row r="552" spans="1:16" ht="23.25">
      <c r="A552" s="386" t="s">
        <v>74</v>
      </c>
      <c r="B552" s="387">
        <v>65000</v>
      </c>
      <c r="C552" s="365">
        <v>24</v>
      </c>
      <c r="D552" s="366">
        <v>40975</v>
      </c>
      <c r="E552" s="366">
        <v>105975</v>
      </c>
      <c r="F552" s="366">
        <v>4551</v>
      </c>
      <c r="G552" s="366">
        <v>2709</v>
      </c>
      <c r="H552" s="366">
        <v>1517</v>
      </c>
      <c r="I552" s="366">
        <v>4226</v>
      </c>
      <c r="K552" s="365"/>
      <c r="L552" s="350">
        <v>0.315</v>
      </c>
      <c r="M552" s="350">
        <v>3.5000000000000003E-2</v>
      </c>
      <c r="N552" s="351" t="str">
        <f t="shared" si="17"/>
        <v>6500024</v>
      </c>
      <c r="P552" s="351" t="str">
        <f t="shared" si="18"/>
        <v>T</v>
      </c>
    </row>
    <row r="553" spans="1:16" ht="23.25">
      <c r="A553" s="386" t="s">
        <v>74</v>
      </c>
      <c r="B553" s="387">
        <v>66000</v>
      </c>
      <c r="C553" s="367">
        <v>4</v>
      </c>
      <c r="D553" s="368">
        <v>6935</v>
      </c>
      <c r="E553" s="368">
        <v>72935</v>
      </c>
      <c r="F553" s="368">
        <v>771</v>
      </c>
      <c r="G553" s="368">
        <v>16500</v>
      </c>
      <c r="H553" s="368">
        <v>1541</v>
      </c>
      <c r="I553" s="368">
        <v>18041</v>
      </c>
      <c r="K553" s="367"/>
      <c r="L553" s="350">
        <v>0.315</v>
      </c>
      <c r="M553" s="350">
        <v>3.5000000000000003E-2</v>
      </c>
      <c r="N553" s="351" t="str">
        <f t="shared" si="17"/>
        <v>660004</v>
      </c>
      <c r="P553" s="351" t="str">
        <f t="shared" si="18"/>
        <v>T</v>
      </c>
    </row>
    <row r="554" spans="1:16" ht="23.25">
      <c r="A554" s="386" t="s">
        <v>74</v>
      </c>
      <c r="B554" s="387">
        <v>66000</v>
      </c>
      <c r="C554" s="365">
        <v>6</v>
      </c>
      <c r="D554" s="366">
        <v>10402</v>
      </c>
      <c r="E554" s="366">
        <v>76402</v>
      </c>
      <c r="F554" s="366">
        <v>1156</v>
      </c>
      <c r="G554" s="366">
        <v>11000</v>
      </c>
      <c r="H554" s="366">
        <v>1541</v>
      </c>
      <c r="I554" s="366">
        <v>12541</v>
      </c>
      <c r="K554" s="365"/>
      <c r="L554" s="350">
        <v>0.315</v>
      </c>
      <c r="M554" s="350">
        <v>3.5000000000000003E-2</v>
      </c>
      <c r="N554" s="351" t="str">
        <f t="shared" si="17"/>
        <v>660006</v>
      </c>
      <c r="P554" s="351" t="str">
        <f t="shared" si="18"/>
        <v>T</v>
      </c>
    </row>
    <row r="555" spans="1:16" ht="23.25">
      <c r="A555" s="386" t="s">
        <v>74</v>
      </c>
      <c r="B555" s="387">
        <v>66000</v>
      </c>
      <c r="C555" s="367">
        <v>8</v>
      </c>
      <c r="D555" s="368">
        <v>13869</v>
      </c>
      <c r="E555" s="368">
        <v>79869</v>
      </c>
      <c r="F555" s="368">
        <v>1541</v>
      </c>
      <c r="G555" s="368">
        <v>8250</v>
      </c>
      <c r="H555" s="372">
        <v>1541</v>
      </c>
      <c r="I555" s="368">
        <v>9791</v>
      </c>
      <c r="K555" s="367"/>
      <c r="L555" s="350">
        <v>0.315</v>
      </c>
      <c r="M555" s="350">
        <v>3.5000000000000003E-2</v>
      </c>
      <c r="N555" s="351" t="str">
        <f t="shared" si="17"/>
        <v>660008</v>
      </c>
      <c r="P555" s="351" t="str">
        <f t="shared" si="18"/>
        <v>T</v>
      </c>
    </row>
    <row r="556" spans="1:16" ht="23.25">
      <c r="A556" s="386" t="s">
        <v>74</v>
      </c>
      <c r="B556" s="387">
        <v>66000</v>
      </c>
      <c r="C556" s="365">
        <v>10</v>
      </c>
      <c r="D556" s="366">
        <v>17336</v>
      </c>
      <c r="E556" s="366">
        <v>83336</v>
      </c>
      <c r="F556" s="366">
        <v>1926</v>
      </c>
      <c r="G556" s="366">
        <v>6600</v>
      </c>
      <c r="H556" s="366">
        <v>1541</v>
      </c>
      <c r="I556" s="366">
        <v>8141</v>
      </c>
      <c r="K556" s="365"/>
      <c r="L556" s="350">
        <v>0.315</v>
      </c>
      <c r="M556" s="350">
        <v>3.5000000000000003E-2</v>
      </c>
      <c r="N556" s="351" t="str">
        <f t="shared" si="17"/>
        <v>6600010</v>
      </c>
      <c r="P556" s="351" t="str">
        <f t="shared" si="18"/>
        <v>T</v>
      </c>
    </row>
    <row r="557" spans="1:16" ht="23.25">
      <c r="A557" s="386" t="s">
        <v>74</v>
      </c>
      <c r="B557" s="387">
        <v>66000</v>
      </c>
      <c r="C557" s="388">
        <v>12</v>
      </c>
      <c r="D557" s="364">
        <v>20803</v>
      </c>
      <c r="E557" s="364">
        <v>86803</v>
      </c>
      <c r="F557" s="364">
        <v>2311</v>
      </c>
      <c r="G557" s="364">
        <v>5500</v>
      </c>
      <c r="H557" s="364">
        <v>1541</v>
      </c>
      <c r="I557" s="364">
        <v>7041</v>
      </c>
      <c r="K557" s="388"/>
      <c r="L557" s="350">
        <v>0.315</v>
      </c>
      <c r="M557" s="350">
        <v>3.5000000000000003E-2</v>
      </c>
      <c r="N557" s="351" t="str">
        <f t="shared" si="17"/>
        <v>6600012</v>
      </c>
      <c r="P557" s="351" t="str">
        <f t="shared" si="18"/>
        <v>T</v>
      </c>
    </row>
    <row r="558" spans="1:16" ht="24" thickBot="1">
      <c r="A558" s="389" t="s">
        <v>74</v>
      </c>
      <c r="B558" s="390">
        <v>66000</v>
      </c>
      <c r="C558" s="381">
        <v>14</v>
      </c>
      <c r="D558" s="398">
        <v>24266</v>
      </c>
      <c r="E558" s="398">
        <v>90266</v>
      </c>
      <c r="F558" s="398">
        <v>2696</v>
      </c>
      <c r="G558" s="398">
        <v>4715</v>
      </c>
      <c r="H558" s="366">
        <v>1540</v>
      </c>
      <c r="I558" s="398">
        <v>6255</v>
      </c>
      <c r="K558" s="381"/>
      <c r="L558" s="350">
        <v>0.315</v>
      </c>
      <c r="M558" s="350">
        <v>3.5000000000000003E-2</v>
      </c>
      <c r="N558" s="351" t="str">
        <f t="shared" si="17"/>
        <v>6600014</v>
      </c>
      <c r="P558" s="351" t="str">
        <f t="shared" si="18"/>
        <v>T</v>
      </c>
    </row>
    <row r="559" spans="1:16" ht="24" thickTop="1">
      <c r="A559" s="355" t="s">
        <v>74</v>
      </c>
      <c r="B559" s="356">
        <v>66000</v>
      </c>
      <c r="C559" s="396">
        <v>16</v>
      </c>
      <c r="D559" s="397">
        <v>27737</v>
      </c>
      <c r="E559" s="397">
        <v>93737</v>
      </c>
      <c r="F559" s="397">
        <v>3081</v>
      </c>
      <c r="G559" s="397">
        <v>4125</v>
      </c>
      <c r="H559" s="397">
        <v>1541</v>
      </c>
      <c r="I559" s="397">
        <v>5666</v>
      </c>
      <c r="K559" s="396"/>
      <c r="L559" s="350">
        <v>0.315</v>
      </c>
      <c r="M559" s="350">
        <v>3.5000000000000003E-2</v>
      </c>
      <c r="N559" s="351" t="str">
        <f t="shared" si="17"/>
        <v>6600016</v>
      </c>
      <c r="P559" s="351" t="str">
        <f t="shared" si="18"/>
        <v>T</v>
      </c>
    </row>
    <row r="560" spans="1:16" ht="23.25">
      <c r="A560" s="360" t="s">
        <v>74</v>
      </c>
      <c r="B560" s="361">
        <v>66000</v>
      </c>
      <c r="C560" s="365">
        <v>18</v>
      </c>
      <c r="D560" s="366">
        <v>31192</v>
      </c>
      <c r="E560" s="366">
        <v>97192</v>
      </c>
      <c r="F560" s="366">
        <v>3466</v>
      </c>
      <c r="G560" s="366">
        <v>3667</v>
      </c>
      <c r="H560" s="366">
        <v>1540</v>
      </c>
      <c r="I560" s="366">
        <v>5207</v>
      </c>
      <c r="K560" s="365"/>
      <c r="L560" s="350">
        <v>0.315</v>
      </c>
      <c r="M560" s="350">
        <v>3.5000000000000003E-2</v>
      </c>
      <c r="N560" s="351" t="str">
        <f t="shared" si="17"/>
        <v>6600018</v>
      </c>
      <c r="P560" s="351" t="str">
        <f t="shared" si="18"/>
        <v>T</v>
      </c>
    </row>
    <row r="561" spans="1:16" ht="23.25">
      <c r="A561" s="360" t="s">
        <v>74</v>
      </c>
      <c r="B561" s="361">
        <v>66000</v>
      </c>
      <c r="C561" s="367">
        <v>20</v>
      </c>
      <c r="D561" s="368">
        <v>34671</v>
      </c>
      <c r="E561" s="368">
        <v>100671</v>
      </c>
      <c r="F561" s="368">
        <v>3851</v>
      </c>
      <c r="G561" s="368">
        <v>3300</v>
      </c>
      <c r="H561" s="364">
        <v>1541</v>
      </c>
      <c r="I561" s="368">
        <v>4841</v>
      </c>
      <c r="K561" s="367"/>
      <c r="L561" s="350">
        <v>0.315</v>
      </c>
      <c r="M561" s="350">
        <v>3.5000000000000003E-2</v>
      </c>
      <c r="N561" s="351" t="str">
        <f t="shared" si="17"/>
        <v>6600020</v>
      </c>
      <c r="P561" s="351" t="str">
        <f t="shared" si="18"/>
        <v>T</v>
      </c>
    </row>
    <row r="562" spans="1:16" ht="23.25">
      <c r="A562" s="360" t="s">
        <v>74</v>
      </c>
      <c r="B562" s="361">
        <v>66000</v>
      </c>
      <c r="C562" s="365">
        <v>22</v>
      </c>
      <c r="D562" s="366">
        <v>38138</v>
      </c>
      <c r="E562" s="366">
        <v>104138</v>
      </c>
      <c r="F562" s="366">
        <v>4236</v>
      </c>
      <c r="G562" s="366">
        <v>3000</v>
      </c>
      <c r="H562" s="366">
        <v>1541</v>
      </c>
      <c r="I562" s="366">
        <v>4541</v>
      </c>
      <c r="K562" s="365"/>
      <c r="L562" s="350">
        <v>0.315</v>
      </c>
      <c r="M562" s="350">
        <v>3.5000000000000003E-2</v>
      </c>
      <c r="N562" s="351" t="str">
        <f t="shared" si="17"/>
        <v>6600022</v>
      </c>
      <c r="P562" s="351" t="str">
        <f t="shared" si="18"/>
        <v>T</v>
      </c>
    </row>
    <row r="563" spans="1:16" ht="23.25">
      <c r="A563" s="360" t="s">
        <v>74</v>
      </c>
      <c r="B563" s="361">
        <v>66000</v>
      </c>
      <c r="C563" s="367">
        <v>24</v>
      </c>
      <c r="D563" s="368">
        <v>41605</v>
      </c>
      <c r="E563" s="368">
        <v>107605</v>
      </c>
      <c r="F563" s="368">
        <v>4621</v>
      </c>
      <c r="G563" s="368">
        <v>2750</v>
      </c>
      <c r="H563" s="368">
        <v>1541</v>
      </c>
      <c r="I563" s="368">
        <v>4291</v>
      </c>
      <c r="K563" s="367"/>
      <c r="L563" s="350">
        <v>0.315</v>
      </c>
      <c r="M563" s="350">
        <v>3.5000000000000003E-2</v>
      </c>
      <c r="N563" s="351" t="str">
        <f t="shared" si="17"/>
        <v>6600024</v>
      </c>
      <c r="P563" s="351" t="str">
        <f t="shared" si="18"/>
        <v>T</v>
      </c>
    </row>
    <row r="564" spans="1:16" ht="23.25">
      <c r="A564" s="360" t="s">
        <v>74</v>
      </c>
      <c r="B564" s="361">
        <v>67000</v>
      </c>
      <c r="C564" s="365">
        <v>4</v>
      </c>
      <c r="D564" s="366">
        <v>7038</v>
      </c>
      <c r="E564" s="366">
        <v>74038</v>
      </c>
      <c r="F564" s="366">
        <v>782</v>
      </c>
      <c r="G564" s="366">
        <v>16750</v>
      </c>
      <c r="H564" s="366">
        <v>1564</v>
      </c>
      <c r="I564" s="366">
        <v>18314</v>
      </c>
      <c r="K564" s="365"/>
      <c r="L564" s="350">
        <v>0.315</v>
      </c>
      <c r="M564" s="350">
        <v>3.5000000000000003E-2</v>
      </c>
      <c r="N564" s="351" t="str">
        <f t="shared" si="17"/>
        <v>670004</v>
      </c>
      <c r="P564" s="351" t="str">
        <f t="shared" si="18"/>
        <v>T</v>
      </c>
    </row>
    <row r="565" spans="1:16" ht="23.25">
      <c r="A565" s="360" t="s">
        <v>74</v>
      </c>
      <c r="B565" s="361">
        <v>67000</v>
      </c>
      <c r="C565" s="367">
        <v>6</v>
      </c>
      <c r="D565" s="368">
        <v>10559</v>
      </c>
      <c r="E565" s="368">
        <v>77559</v>
      </c>
      <c r="F565" s="368">
        <v>1173</v>
      </c>
      <c r="G565" s="368">
        <v>11167</v>
      </c>
      <c r="H565" s="368">
        <v>1564</v>
      </c>
      <c r="I565" s="368">
        <v>12731</v>
      </c>
      <c r="K565" s="367"/>
      <c r="L565" s="350">
        <v>0.315</v>
      </c>
      <c r="M565" s="350">
        <v>3.5000000000000003E-2</v>
      </c>
      <c r="N565" s="351" t="str">
        <f t="shared" si="17"/>
        <v>670006</v>
      </c>
      <c r="P565" s="351" t="str">
        <f t="shared" si="18"/>
        <v>T</v>
      </c>
    </row>
    <row r="566" spans="1:16" ht="23.25">
      <c r="A566" s="360" t="s">
        <v>74</v>
      </c>
      <c r="B566" s="361">
        <v>67000</v>
      </c>
      <c r="C566" s="365">
        <v>8</v>
      </c>
      <c r="D566" s="366">
        <v>14076</v>
      </c>
      <c r="E566" s="366">
        <v>81076</v>
      </c>
      <c r="F566" s="366">
        <v>1564</v>
      </c>
      <c r="G566" s="366">
        <v>8375</v>
      </c>
      <c r="H566" s="366">
        <v>1564</v>
      </c>
      <c r="I566" s="366">
        <v>9939</v>
      </c>
      <c r="K566" s="365"/>
      <c r="L566" s="350">
        <v>0.315</v>
      </c>
      <c r="M566" s="350">
        <v>3.5000000000000003E-2</v>
      </c>
      <c r="N566" s="351" t="str">
        <f t="shared" si="17"/>
        <v>670008</v>
      </c>
      <c r="P566" s="351" t="str">
        <f t="shared" si="18"/>
        <v>T</v>
      </c>
    </row>
    <row r="567" spans="1:16" ht="23.25">
      <c r="A567" s="360" t="s">
        <v>74</v>
      </c>
      <c r="B567" s="361">
        <v>67000</v>
      </c>
      <c r="C567" s="388">
        <v>10</v>
      </c>
      <c r="D567" s="364">
        <v>17595</v>
      </c>
      <c r="E567" s="364">
        <v>84595</v>
      </c>
      <c r="F567" s="364">
        <v>1955</v>
      </c>
      <c r="G567" s="364">
        <v>6700</v>
      </c>
      <c r="H567" s="372">
        <v>1564</v>
      </c>
      <c r="I567" s="364">
        <v>8264</v>
      </c>
      <c r="K567" s="388"/>
      <c r="L567" s="350">
        <v>0.315</v>
      </c>
      <c r="M567" s="350">
        <v>3.5000000000000003E-2</v>
      </c>
      <c r="N567" s="351" t="str">
        <f t="shared" si="17"/>
        <v>6700010</v>
      </c>
      <c r="P567" s="351" t="str">
        <f t="shared" si="18"/>
        <v>T</v>
      </c>
    </row>
    <row r="568" spans="1:16" ht="23.25">
      <c r="A568" s="360" t="s">
        <v>74</v>
      </c>
      <c r="B568" s="361">
        <v>67000</v>
      </c>
      <c r="C568" s="365">
        <v>12</v>
      </c>
      <c r="D568" s="366">
        <v>21110</v>
      </c>
      <c r="E568" s="366">
        <v>88110</v>
      </c>
      <c r="F568" s="366">
        <v>2346</v>
      </c>
      <c r="G568" s="366">
        <v>5584</v>
      </c>
      <c r="H568" s="366">
        <v>1563</v>
      </c>
      <c r="I568" s="366">
        <v>7147</v>
      </c>
      <c r="K568" s="365"/>
      <c r="L568" s="350">
        <v>0.315</v>
      </c>
      <c r="M568" s="350">
        <v>3.5000000000000003E-2</v>
      </c>
      <c r="N568" s="351" t="str">
        <f t="shared" si="17"/>
        <v>6700012</v>
      </c>
      <c r="P568" s="351" t="str">
        <f t="shared" si="18"/>
        <v>T</v>
      </c>
    </row>
    <row r="569" spans="1:16" ht="24" thickBot="1">
      <c r="A569" s="392" t="s">
        <v>74</v>
      </c>
      <c r="B569" s="393">
        <v>67000</v>
      </c>
      <c r="C569" s="399">
        <v>14</v>
      </c>
      <c r="D569" s="400">
        <v>24636</v>
      </c>
      <c r="E569" s="400">
        <v>91636</v>
      </c>
      <c r="F569" s="400">
        <v>2736</v>
      </c>
      <c r="G569" s="400">
        <v>4786</v>
      </c>
      <c r="H569" s="364">
        <v>1564</v>
      </c>
      <c r="I569" s="400">
        <v>6350</v>
      </c>
      <c r="K569" s="399"/>
      <c r="L569" s="350">
        <v>0.315</v>
      </c>
      <c r="M569" s="350">
        <v>3.5000000000000003E-2</v>
      </c>
      <c r="N569" s="351" t="str">
        <f t="shared" si="17"/>
        <v>6700014</v>
      </c>
      <c r="P569" s="351" t="str">
        <f t="shared" si="18"/>
        <v>T</v>
      </c>
    </row>
    <row r="570" spans="1:16" ht="24" thickTop="1">
      <c r="A570" s="384" t="s">
        <v>74</v>
      </c>
      <c r="B570" s="385">
        <v>67000</v>
      </c>
      <c r="C570" s="357">
        <v>16</v>
      </c>
      <c r="D570" s="358">
        <v>28143</v>
      </c>
      <c r="E570" s="358">
        <v>95143</v>
      </c>
      <c r="F570" s="358">
        <v>3127</v>
      </c>
      <c r="G570" s="358">
        <v>4188</v>
      </c>
      <c r="H570" s="358">
        <v>1563</v>
      </c>
      <c r="I570" s="358">
        <v>5751</v>
      </c>
      <c r="K570" s="357"/>
      <c r="L570" s="350">
        <v>0.315</v>
      </c>
      <c r="M570" s="350">
        <v>3.5000000000000003E-2</v>
      </c>
      <c r="N570" s="351" t="str">
        <f t="shared" si="17"/>
        <v>6700016</v>
      </c>
      <c r="P570" s="351" t="str">
        <f t="shared" si="18"/>
        <v>T</v>
      </c>
    </row>
    <row r="571" spans="1:16" ht="23.25">
      <c r="A571" s="386" t="s">
        <v>74</v>
      </c>
      <c r="B571" s="387">
        <v>67000</v>
      </c>
      <c r="C571" s="388">
        <v>18</v>
      </c>
      <c r="D571" s="364">
        <v>31666</v>
      </c>
      <c r="E571" s="364">
        <v>98666</v>
      </c>
      <c r="F571" s="364">
        <v>3518</v>
      </c>
      <c r="G571" s="364">
        <v>3723</v>
      </c>
      <c r="H571" s="364">
        <v>1563</v>
      </c>
      <c r="I571" s="364">
        <v>5286</v>
      </c>
      <c r="K571" s="388"/>
      <c r="L571" s="350">
        <v>0.315</v>
      </c>
      <c r="M571" s="350">
        <v>3.5000000000000003E-2</v>
      </c>
      <c r="N571" s="351" t="str">
        <f t="shared" si="17"/>
        <v>6700018</v>
      </c>
      <c r="P571" s="351" t="str">
        <f t="shared" si="18"/>
        <v>T</v>
      </c>
    </row>
    <row r="572" spans="1:16" ht="23.25">
      <c r="A572" s="386" t="s">
        <v>74</v>
      </c>
      <c r="B572" s="387">
        <v>67000</v>
      </c>
      <c r="C572" s="365">
        <v>20</v>
      </c>
      <c r="D572" s="366">
        <v>35189</v>
      </c>
      <c r="E572" s="366">
        <v>102189</v>
      </c>
      <c r="F572" s="366">
        <v>3909</v>
      </c>
      <c r="G572" s="366">
        <v>3350</v>
      </c>
      <c r="H572" s="366">
        <v>1564</v>
      </c>
      <c r="I572" s="366">
        <v>4914</v>
      </c>
      <c r="K572" s="365"/>
      <c r="L572" s="350">
        <v>0.315</v>
      </c>
      <c r="M572" s="350">
        <v>3.5000000000000003E-2</v>
      </c>
      <c r="N572" s="351" t="str">
        <f t="shared" si="17"/>
        <v>6700020</v>
      </c>
      <c r="P572" s="351" t="str">
        <f t="shared" si="18"/>
        <v>T</v>
      </c>
    </row>
    <row r="573" spans="1:16" ht="23.25">
      <c r="A573" s="386" t="s">
        <v>74</v>
      </c>
      <c r="B573" s="387">
        <v>67000</v>
      </c>
      <c r="C573" s="367">
        <v>22</v>
      </c>
      <c r="D573" s="368">
        <v>38698</v>
      </c>
      <c r="E573" s="368">
        <v>105698</v>
      </c>
      <c r="F573" s="368">
        <v>4300</v>
      </c>
      <c r="G573" s="368">
        <v>3046</v>
      </c>
      <c r="H573" s="368">
        <v>1563</v>
      </c>
      <c r="I573" s="368">
        <v>4609</v>
      </c>
      <c r="K573" s="367"/>
      <c r="L573" s="350">
        <v>0.315</v>
      </c>
      <c r="M573" s="350">
        <v>3.5000000000000003E-2</v>
      </c>
      <c r="N573" s="351" t="str">
        <f t="shared" si="17"/>
        <v>6700022</v>
      </c>
      <c r="P573" s="351" t="str">
        <f t="shared" si="18"/>
        <v>T</v>
      </c>
    </row>
    <row r="574" spans="1:16" ht="23.25">
      <c r="A574" s="386" t="s">
        <v>74</v>
      </c>
      <c r="B574" s="387">
        <v>67000</v>
      </c>
      <c r="C574" s="365">
        <v>24</v>
      </c>
      <c r="D574" s="366">
        <v>42235</v>
      </c>
      <c r="E574" s="366">
        <v>109235</v>
      </c>
      <c r="F574" s="366">
        <v>4691</v>
      </c>
      <c r="G574" s="366">
        <v>2792</v>
      </c>
      <c r="H574" s="366">
        <v>1564</v>
      </c>
      <c r="I574" s="366">
        <v>4356</v>
      </c>
      <c r="K574" s="365"/>
      <c r="L574" s="350">
        <v>0.315</v>
      </c>
      <c r="M574" s="350">
        <v>3.5000000000000003E-2</v>
      </c>
      <c r="N574" s="351" t="str">
        <f t="shared" si="17"/>
        <v>6700024</v>
      </c>
      <c r="P574" s="351" t="str">
        <f t="shared" si="18"/>
        <v>T</v>
      </c>
    </row>
    <row r="575" spans="1:16" ht="23.25">
      <c r="A575" s="386" t="s">
        <v>74</v>
      </c>
      <c r="B575" s="387">
        <v>68000</v>
      </c>
      <c r="C575" s="367">
        <v>4</v>
      </c>
      <c r="D575" s="368">
        <v>7142</v>
      </c>
      <c r="E575" s="368">
        <v>75142</v>
      </c>
      <c r="F575" s="368">
        <v>794</v>
      </c>
      <c r="G575" s="368">
        <v>17000</v>
      </c>
      <c r="H575" s="368">
        <v>1587</v>
      </c>
      <c r="I575" s="368">
        <v>18587</v>
      </c>
      <c r="K575" s="367"/>
      <c r="L575" s="350">
        <v>0.315</v>
      </c>
      <c r="M575" s="350">
        <v>3.5000000000000003E-2</v>
      </c>
      <c r="N575" s="351" t="str">
        <f t="shared" si="17"/>
        <v>680004</v>
      </c>
      <c r="P575" s="351" t="str">
        <f t="shared" si="18"/>
        <v>T</v>
      </c>
    </row>
    <row r="576" spans="1:16" ht="23.25">
      <c r="A576" s="386" t="s">
        <v>74</v>
      </c>
      <c r="B576" s="387">
        <v>68000</v>
      </c>
      <c r="C576" s="365">
        <v>6</v>
      </c>
      <c r="D576" s="366">
        <v>10717</v>
      </c>
      <c r="E576" s="366">
        <v>78717</v>
      </c>
      <c r="F576" s="366">
        <v>1191</v>
      </c>
      <c r="G576" s="366">
        <v>11334</v>
      </c>
      <c r="H576" s="366">
        <v>1587</v>
      </c>
      <c r="I576" s="366">
        <v>12921</v>
      </c>
      <c r="K576" s="365"/>
      <c r="L576" s="350">
        <v>0.315</v>
      </c>
      <c r="M576" s="350">
        <v>3.5000000000000003E-2</v>
      </c>
      <c r="N576" s="351" t="str">
        <f t="shared" si="17"/>
        <v>680006</v>
      </c>
      <c r="P576" s="351" t="str">
        <f t="shared" si="18"/>
        <v>T</v>
      </c>
    </row>
    <row r="577" spans="1:16" ht="23.25">
      <c r="A577" s="386" t="s">
        <v>74</v>
      </c>
      <c r="B577" s="387">
        <v>68000</v>
      </c>
      <c r="C577" s="367">
        <v>8</v>
      </c>
      <c r="D577" s="368">
        <v>14283</v>
      </c>
      <c r="E577" s="368">
        <v>82283</v>
      </c>
      <c r="F577" s="368">
        <v>1587</v>
      </c>
      <c r="G577" s="368">
        <v>8500</v>
      </c>
      <c r="H577" s="372">
        <v>1587</v>
      </c>
      <c r="I577" s="368">
        <v>10087</v>
      </c>
      <c r="K577" s="367"/>
      <c r="L577" s="350">
        <v>0.315</v>
      </c>
      <c r="M577" s="350">
        <v>3.5000000000000003E-2</v>
      </c>
      <c r="N577" s="351" t="str">
        <f t="shared" si="17"/>
        <v>680008</v>
      </c>
      <c r="P577" s="351" t="str">
        <f t="shared" si="18"/>
        <v>T</v>
      </c>
    </row>
    <row r="578" spans="1:16" ht="23.25">
      <c r="A578" s="386" t="s">
        <v>74</v>
      </c>
      <c r="B578" s="387">
        <v>68000</v>
      </c>
      <c r="C578" s="365">
        <v>10</v>
      </c>
      <c r="D578" s="366">
        <v>17854</v>
      </c>
      <c r="E578" s="366">
        <v>85854</v>
      </c>
      <c r="F578" s="366">
        <v>1984</v>
      </c>
      <c r="G578" s="366">
        <v>6800</v>
      </c>
      <c r="H578" s="366">
        <v>1587</v>
      </c>
      <c r="I578" s="366">
        <v>8387</v>
      </c>
      <c r="K578" s="365"/>
      <c r="L578" s="350">
        <v>0.315</v>
      </c>
      <c r="M578" s="350">
        <v>3.5000000000000003E-2</v>
      </c>
      <c r="N578" s="351" t="str">
        <f t="shared" si="17"/>
        <v>6800010</v>
      </c>
      <c r="P578" s="351" t="str">
        <f t="shared" si="18"/>
        <v>T</v>
      </c>
    </row>
    <row r="579" spans="1:16" ht="23.25">
      <c r="A579" s="386" t="s">
        <v>74</v>
      </c>
      <c r="B579" s="387">
        <v>68000</v>
      </c>
      <c r="C579" s="388">
        <v>12</v>
      </c>
      <c r="D579" s="364">
        <v>21429</v>
      </c>
      <c r="E579" s="364">
        <v>89429</v>
      </c>
      <c r="F579" s="364">
        <v>2381</v>
      </c>
      <c r="G579" s="364">
        <v>5667</v>
      </c>
      <c r="H579" s="364">
        <v>1587</v>
      </c>
      <c r="I579" s="364">
        <v>7254</v>
      </c>
      <c r="K579" s="388"/>
      <c r="L579" s="350">
        <v>0.315</v>
      </c>
      <c r="M579" s="350">
        <v>3.5000000000000003E-2</v>
      </c>
      <c r="N579" s="351" t="str">
        <f t="shared" si="17"/>
        <v>6800012</v>
      </c>
      <c r="P579" s="351" t="str">
        <f t="shared" si="18"/>
        <v>T</v>
      </c>
    </row>
    <row r="580" spans="1:16" ht="24" thickBot="1">
      <c r="A580" s="389" t="s">
        <v>74</v>
      </c>
      <c r="B580" s="390">
        <v>68000</v>
      </c>
      <c r="C580" s="381">
        <v>14</v>
      </c>
      <c r="D580" s="398">
        <v>24993</v>
      </c>
      <c r="E580" s="398">
        <v>92993</v>
      </c>
      <c r="F580" s="398">
        <v>2777</v>
      </c>
      <c r="G580" s="398">
        <v>4858</v>
      </c>
      <c r="H580" s="366">
        <v>1586</v>
      </c>
      <c r="I580" s="398">
        <v>6444</v>
      </c>
      <c r="K580" s="381"/>
      <c r="L580" s="350">
        <v>0.315</v>
      </c>
      <c r="M580" s="350">
        <v>3.5000000000000003E-2</v>
      </c>
      <c r="N580" s="351" t="str">
        <f t="shared" si="17"/>
        <v>6800014</v>
      </c>
      <c r="P580" s="351" t="str">
        <f t="shared" si="18"/>
        <v>T</v>
      </c>
    </row>
    <row r="581" spans="1:16" ht="24" thickTop="1">
      <c r="A581" s="355" t="s">
        <v>74</v>
      </c>
      <c r="B581" s="356">
        <v>68000</v>
      </c>
      <c r="C581" s="396">
        <v>16</v>
      </c>
      <c r="D581" s="397">
        <v>28566</v>
      </c>
      <c r="E581" s="397">
        <v>96566</v>
      </c>
      <c r="F581" s="397">
        <v>3174</v>
      </c>
      <c r="G581" s="397">
        <v>4250</v>
      </c>
      <c r="H581" s="397">
        <v>1587</v>
      </c>
      <c r="I581" s="397">
        <v>5837</v>
      </c>
      <c r="K581" s="396"/>
      <c r="L581" s="350">
        <v>0.315</v>
      </c>
      <c r="M581" s="350">
        <v>3.5000000000000003E-2</v>
      </c>
      <c r="N581" s="351" t="str">
        <f t="shared" ref="N581:N644" si="19">CONCATENATE(B581,C581)</f>
        <v>6800016</v>
      </c>
      <c r="P581" s="351" t="str">
        <f t="shared" si="18"/>
        <v>T</v>
      </c>
    </row>
    <row r="582" spans="1:16" ht="23.25">
      <c r="A582" s="360" t="s">
        <v>74</v>
      </c>
      <c r="B582" s="361">
        <v>68000</v>
      </c>
      <c r="C582" s="365">
        <v>18</v>
      </c>
      <c r="D582" s="366">
        <v>32141</v>
      </c>
      <c r="E582" s="366">
        <v>100141</v>
      </c>
      <c r="F582" s="366">
        <v>3571</v>
      </c>
      <c r="G582" s="366">
        <v>3778</v>
      </c>
      <c r="H582" s="366">
        <v>1587</v>
      </c>
      <c r="I582" s="366">
        <v>5365</v>
      </c>
      <c r="K582" s="365"/>
      <c r="L582" s="350">
        <v>0.315</v>
      </c>
      <c r="M582" s="350">
        <v>3.5000000000000003E-2</v>
      </c>
      <c r="N582" s="351" t="str">
        <f t="shared" si="19"/>
        <v>6800018</v>
      </c>
      <c r="P582" s="351" t="str">
        <f t="shared" si="18"/>
        <v>T</v>
      </c>
    </row>
    <row r="583" spans="1:16" ht="23.25">
      <c r="A583" s="360" t="s">
        <v>74</v>
      </c>
      <c r="B583" s="361">
        <v>68000</v>
      </c>
      <c r="C583" s="367">
        <v>20</v>
      </c>
      <c r="D583" s="368">
        <v>35707</v>
      </c>
      <c r="E583" s="368">
        <v>103707</v>
      </c>
      <c r="F583" s="368">
        <v>3967</v>
      </c>
      <c r="G583" s="368">
        <v>3400</v>
      </c>
      <c r="H583" s="364">
        <v>1587</v>
      </c>
      <c r="I583" s="368">
        <v>4987</v>
      </c>
      <c r="K583" s="367"/>
      <c r="L583" s="350">
        <v>0.315</v>
      </c>
      <c r="M583" s="350">
        <v>3.5000000000000003E-2</v>
      </c>
      <c r="N583" s="351" t="str">
        <f t="shared" si="19"/>
        <v>6800020</v>
      </c>
      <c r="P583" s="351" t="str">
        <f t="shared" si="18"/>
        <v>T</v>
      </c>
    </row>
    <row r="584" spans="1:16" ht="23.25">
      <c r="A584" s="360" t="s">
        <v>74</v>
      </c>
      <c r="B584" s="361">
        <v>68000</v>
      </c>
      <c r="C584" s="365">
        <v>22</v>
      </c>
      <c r="D584" s="366">
        <v>39280</v>
      </c>
      <c r="E584" s="366">
        <v>107280</v>
      </c>
      <c r="F584" s="366">
        <v>4364</v>
      </c>
      <c r="G584" s="366">
        <v>3091</v>
      </c>
      <c r="H584" s="366">
        <v>1587</v>
      </c>
      <c r="I584" s="366">
        <v>4678</v>
      </c>
      <c r="K584" s="365"/>
      <c r="L584" s="350">
        <v>0.315</v>
      </c>
      <c r="M584" s="350">
        <v>3.5000000000000003E-2</v>
      </c>
      <c r="N584" s="351" t="str">
        <f t="shared" si="19"/>
        <v>6800022</v>
      </c>
      <c r="P584" s="351" t="str">
        <f t="shared" si="18"/>
        <v>T</v>
      </c>
    </row>
    <row r="585" spans="1:16" ht="23.25">
      <c r="A585" s="360" t="s">
        <v>74</v>
      </c>
      <c r="B585" s="361">
        <v>68000</v>
      </c>
      <c r="C585" s="367">
        <v>24</v>
      </c>
      <c r="D585" s="368">
        <v>42865</v>
      </c>
      <c r="E585" s="368">
        <v>110865</v>
      </c>
      <c r="F585" s="368">
        <v>4761</v>
      </c>
      <c r="G585" s="368">
        <v>2834</v>
      </c>
      <c r="H585" s="368">
        <v>1587</v>
      </c>
      <c r="I585" s="368">
        <v>4421</v>
      </c>
      <c r="K585" s="367"/>
      <c r="L585" s="350">
        <v>0.315</v>
      </c>
      <c r="M585" s="350">
        <v>3.5000000000000003E-2</v>
      </c>
      <c r="N585" s="351" t="str">
        <f t="shared" si="19"/>
        <v>6800024</v>
      </c>
      <c r="P585" s="351" t="str">
        <f t="shared" si="18"/>
        <v>T</v>
      </c>
    </row>
    <row r="586" spans="1:16" ht="23.25">
      <c r="A586" s="360" t="s">
        <v>74</v>
      </c>
      <c r="B586" s="361">
        <v>69000</v>
      </c>
      <c r="C586" s="365">
        <v>4</v>
      </c>
      <c r="D586" s="366">
        <v>7250</v>
      </c>
      <c r="E586" s="366">
        <v>76250</v>
      </c>
      <c r="F586" s="366">
        <v>806</v>
      </c>
      <c r="G586" s="366">
        <v>17250</v>
      </c>
      <c r="H586" s="366">
        <v>1611</v>
      </c>
      <c r="I586" s="366">
        <v>18861</v>
      </c>
      <c r="K586" s="365"/>
      <c r="L586" s="350">
        <v>0.315</v>
      </c>
      <c r="M586" s="350">
        <v>3.5000000000000003E-2</v>
      </c>
      <c r="N586" s="351" t="str">
        <f t="shared" si="19"/>
        <v>690004</v>
      </c>
      <c r="P586" s="351" t="str">
        <f t="shared" si="18"/>
        <v>T</v>
      </c>
    </row>
    <row r="587" spans="1:16" ht="23.25">
      <c r="A587" s="360" t="s">
        <v>74</v>
      </c>
      <c r="B587" s="361">
        <v>69000</v>
      </c>
      <c r="C587" s="367">
        <v>6</v>
      </c>
      <c r="D587" s="368">
        <v>10874</v>
      </c>
      <c r="E587" s="368">
        <v>79874</v>
      </c>
      <c r="F587" s="368">
        <v>1208</v>
      </c>
      <c r="G587" s="368">
        <v>11500</v>
      </c>
      <c r="H587" s="368">
        <v>1611</v>
      </c>
      <c r="I587" s="368">
        <v>13111</v>
      </c>
      <c r="K587" s="367"/>
      <c r="L587" s="350">
        <v>0.315</v>
      </c>
      <c r="M587" s="350">
        <v>3.5000000000000003E-2</v>
      </c>
      <c r="N587" s="351" t="str">
        <f t="shared" si="19"/>
        <v>690006</v>
      </c>
      <c r="P587" s="351" t="str">
        <f t="shared" si="18"/>
        <v>T</v>
      </c>
    </row>
    <row r="588" spans="1:16" ht="23.25">
      <c r="A588" s="360" t="s">
        <v>74</v>
      </c>
      <c r="B588" s="361">
        <v>69000</v>
      </c>
      <c r="C588" s="365">
        <v>8</v>
      </c>
      <c r="D588" s="366">
        <v>14499</v>
      </c>
      <c r="E588" s="366">
        <v>83499</v>
      </c>
      <c r="F588" s="366">
        <v>1611</v>
      </c>
      <c r="G588" s="366">
        <v>8625</v>
      </c>
      <c r="H588" s="366">
        <v>1611</v>
      </c>
      <c r="I588" s="366">
        <v>10236</v>
      </c>
      <c r="K588" s="365"/>
      <c r="L588" s="350">
        <v>0.315</v>
      </c>
      <c r="M588" s="350">
        <v>3.5000000000000003E-2</v>
      </c>
      <c r="N588" s="351" t="str">
        <f t="shared" si="19"/>
        <v>690008</v>
      </c>
      <c r="P588" s="351" t="str">
        <f t="shared" si="18"/>
        <v>T</v>
      </c>
    </row>
    <row r="589" spans="1:16" ht="23.25">
      <c r="A589" s="360" t="s">
        <v>74</v>
      </c>
      <c r="B589" s="361">
        <v>69000</v>
      </c>
      <c r="C589" s="388">
        <v>10</v>
      </c>
      <c r="D589" s="364">
        <v>18123</v>
      </c>
      <c r="E589" s="364">
        <v>87123</v>
      </c>
      <c r="F589" s="364">
        <v>2013</v>
      </c>
      <c r="G589" s="364">
        <v>6900</v>
      </c>
      <c r="H589" s="372">
        <v>1611</v>
      </c>
      <c r="I589" s="364">
        <v>8511</v>
      </c>
      <c r="K589" s="388"/>
      <c r="L589" s="350">
        <v>0.315</v>
      </c>
      <c r="M589" s="350">
        <v>3.5000000000000003E-2</v>
      </c>
      <c r="N589" s="351" t="str">
        <f t="shared" si="19"/>
        <v>6900010</v>
      </c>
      <c r="P589" s="351" t="str">
        <f t="shared" si="18"/>
        <v>T</v>
      </c>
    </row>
    <row r="590" spans="1:16" ht="23.25">
      <c r="A590" s="360" t="s">
        <v>74</v>
      </c>
      <c r="B590" s="361">
        <v>69000</v>
      </c>
      <c r="C590" s="365">
        <v>12</v>
      </c>
      <c r="D590" s="366">
        <v>21748</v>
      </c>
      <c r="E590" s="366">
        <v>90748</v>
      </c>
      <c r="F590" s="366">
        <v>2416</v>
      </c>
      <c r="G590" s="366">
        <v>5750</v>
      </c>
      <c r="H590" s="366">
        <v>1611</v>
      </c>
      <c r="I590" s="366">
        <v>7361</v>
      </c>
      <c r="K590" s="365"/>
      <c r="L590" s="350">
        <v>0.315</v>
      </c>
      <c r="M590" s="350">
        <v>3.5000000000000003E-2</v>
      </c>
      <c r="N590" s="351" t="str">
        <f t="shared" si="19"/>
        <v>6900012</v>
      </c>
      <c r="P590" s="351" t="str">
        <f t="shared" si="18"/>
        <v>T</v>
      </c>
    </row>
    <row r="591" spans="1:16" ht="24" thickBot="1">
      <c r="A591" s="392" t="s">
        <v>74</v>
      </c>
      <c r="B591" s="393">
        <v>69000</v>
      </c>
      <c r="C591" s="399">
        <v>14</v>
      </c>
      <c r="D591" s="400">
        <v>25364</v>
      </c>
      <c r="E591" s="400">
        <v>94364</v>
      </c>
      <c r="F591" s="400">
        <v>2818</v>
      </c>
      <c r="G591" s="400">
        <v>4929</v>
      </c>
      <c r="H591" s="400">
        <v>1610</v>
      </c>
      <c r="I591" s="400">
        <v>6539</v>
      </c>
      <c r="K591" s="399"/>
      <c r="L591" s="350">
        <v>0.315</v>
      </c>
      <c r="M591" s="350">
        <v>3.5000000000000003E-2</v>
      </c>
      <c r="N591" s="351" t="str">
        <f t="shared" si="19"/>
        <v>6900014</v>
      </c>
      <c r="P591" s="351" t="str">
        <f t="shared" si="18"/>
        <v>T</v>
      </c>
    </row>
    <row r="592" spans="1:16" ht="24" thickTop="1">
      <c r="A592" s="384" t="s">
        <v>74</v>
      </c>
      <c r="B592" s="385">
        <v>69000</v>
      </c>
      <c r="C592" s="357">
        <v>16</v>
      </c>
      <c r="D592" s="358">
        <v>28989</v>
      </c>
      <c r="E592" s="358">
        <v>97989</v>
      </c>
      <c r="F592" s="358">
        <v>3221</v>
      </c>
      <c r="G592" s="358">
        <v>4313</v>
      </c>
      <c r="H592" s="358">
        <v>1610</v>
      </c>
      <c r="I592" s="358">
        <v>5923</v>
      </c>
      <c r="K592" s="357"/>
      <c r="L592" s="350">
        <v>0.315</v>
      </c>
      <c r="M592" s="350">
        <v>3.5000000000000003E-2</v>
      </c>
      <c r="N592" s="351" t="str">
        <f t="shared" si="19"/>
        <v>6900016</v>
      </c>
      <c r="P592" s="351" t="str">
        <f t="shared" si="18"/>
        <v>T</v>
      </c>
    </row>
    <row r="593" spans="1:16" ht="23.25">
      <c r="A593" s="386" t="s">
        <v>74</v>
      </c>
      <c r="B593" s="387">
        <v>69000</v>
      </c>
      <c r="C593" s="388">
        <v>18</v>
      </c>
      <c r="D593" s="364">
        <v>32615</v>
      </c>
      <c r="E593" s="364">
        <v>101615</v>
      </c>
      <c r="F593" s="364">
        <v>3623</v>
      </c>
      <c r="G593" s="364">
        <v>3834</v>
      </c>
      <c r="H593" s="364">
        <v>1610</v>
      </c>
      <c r="I593" s="364">
        <v>5444</v>
      </c>
      <c r="K593" s="388"/>
      <c r="L593" s="350">
        <v>0.315</v>
      </c>
      <c r="M593" s="350">
        <v>3.5000000000000003E-2</v>
      </c>
      <c r="N593" s="351" t="str">
        <f t="shared" si="19"/>
        <v>6900018</v>
      </c>
      <c r="P593" s="351" t="str">
        <f t="shared" ref="P593:P656" si="20">IF((E593-F593)/C593=I593,"T","F")</f>
        <v>T</v>
      </c>
    </row>
    <row r="594" spans="1:16" ht="23.25">
      <c r="A594" s="386" t="s">
        <v>74</v>
      </c>
      <c r="B594" s="387">
        <v>69000</v>
      </c>
      <c r="C594" s="365">
        <v>20</v>
      </c>
      <c r="D594" s="366">
        <v>36246</v>
      </c>
      <c r="E594" s="366">
        <v>105246</v>
      </c>
      <c r="F594" s="366">
        <v>4026</v>
      </c>
      <c r="G594" s="366">
        <v>3450</v>
      </c>
      <c r="H594" s="366">
        <v>1611</v>
      </c>
      <c r="I594" s="366">
        <v>5061</v>
      </c>
      <c r="K594" s="365"/>
      <c r="L594" s="350">
        <v>0.315</v>
      </c>
      <c r="M594" s="350">
        <v>3.5000000000000003E-2</v>
      </c>
      <c r="N594" s="351" t="str">
        <f t="shared" si="19"/>
        <v>6900020</v>
      </c>
      <c r="P594" s="351" t="str">
        <f t="shared" si="20"/>
        <v>T</v>
      </c>
    </row>
    <row r="595" spans="1:16" ht="23.25">
      <c r="A595" s="386" t="s">
        <v>74</v>
      </c>
      <c r="B595" s="387">
        <v>69000</v>
      </c>
      <c r="C595" s="367">
        <v>22</v>
      </c>
      <c r="D595" s="368">
        <v>39862</v>
      </c>
      <c r="E595" s="368">
        <v>108862</v>
      </c>
      <c r="F595" s="368">
        <v>4428</v>
      </c>
      <c r="G595" s="368">
        <v>3137</v>
      </c>
      <c r="H595" s="368">
        <v>1610</v>
      </c>
      <c r="I595" s="368">
        <v>4747</v>
      </c>
      <c r="K595" s="367"/>
      <c r="L595" s="350">
        <v>0.315</v>
      </c>
      <c r="M595" s="350">
        <v>3.5000000000000003E-2</v>
      </c>
      <c r="N595" s="351" t="str">
        <f t="shared" si="19"/>
        <v>6900022</v>
      </c>
      <c r="P595" s="351" t="str">
        <f t="shared" si="20"/>
        <v>T</v>
      </c>
    </row>
    <row r="596" spans="1:16" ht="23.25">
      <c r="A596" s="386" t="s">
        <v>74</v>
      </c>
      <c r="B596" s="387">
        <v>69000</v>
      </c>
      <c r="C596" s="365">
        <v>24</v>
      </c>
      <c r="D596" s="366">
        <v>43495</v>
      </c>
      <c r="E596" s="366">
        <v>112495</v>
      </c>
      <c r="F596" s="366">
        <v>4831</v>
      </c>
      <c r="G596" s="366">
        <v>2875</v>
      </c>
      <c r="H596" s="366">
        <v>1611</v>
      </c>
      <c r="I596" s="366">
        <v>4486</v>
      </c>
      <c r="K596" s="365"/>
      <c r="L596" s="350">
        <v>0.315</v>
      </c>
      <c r="M596" s="350">
        <v>3.5000000000000003E-2</v>
      </c>
      <c r="N596" s="351" t="str">
        <f t="shared" si="19"/>
        <v>6900024</v>
      </c>
      <c r="P596" s="351" t="str">
        <f t="shared" si="20"/>
        <v>T</v>
      </c>
    </row>
    <row r="597" spans="1:16" ht="23.25">
      <c r="A597" s="386" t="s">
        <v>74</v>
      </c>
      <c r="B597" s="387">
        <v>70000</v>
      </c>
      <c r="C597" s="367">
        <v>4</v>
      </c>
      <c r="D597" s="368">
        <v>7353</v>
      </c>
      <c r="E597" s="368">
        <v>77353</v>
      </c>
      <c r="F597" s="368">
        <v>817</v>
      </c>
      <c r="G597" s="368">
        <v>17500</v>
      </c>
      <c r="H597" s="368">
        <v>1634</v>
      </c>
      <c r="I597" s="368">
        <v>19134</v>
      </c>
      <c r="K597" s="367"/>
      <c r="L597" s="350">
        <v>0.315</v>
      </c>
      <c r="M597" s="350">
        <v>3.5000000000000003E-2</v>
      </c>
      <c r="N597" s="351" t="str">
        <f t="shared" si="19"/>
        <v>700004</v>
      </c>
      <c r="P597" s="351" t="str">
        <f t="shared" si="20"/>
        <v>T</v>
      </c>
    </row>
    <row r="598" spans="1:16" ht="23.25">
      <c r="A598" s="386" t="s">
        <v>74</v>
      </c>
      <c r="B598" s="387">
        <v>70000</v>
      </c>
      <c r="C598" s="365">
        <v>6</v>
      </c>
      <c r="D598" s="366">
        <v>11032</v>
      </c>
      <c r="E598" s="366">
        <v>81032</v>
      </c>
      <c r="F598" s="366">
        <v>1226</v>
      </c>
      <c r="G598" s="366">
        <v>11667</v>
      </c>
      <c r="H598" s="366">
        <v>1634</v>
      </c>
      <c r="I598" s="366">
        <v>13301</v>
      </c>
      <c r="K598" s="365"/>
      <c r="L598" s="350">
        <v>0.315</v>
      </c>
      <c r="M598" s="350">
        <v>3.5000000000000003E-2</v>
      </c>
      <c r="N598" s="351" t="str">
        <f t="shared" si="19"/>
        <v>700006</v>
      </c>
      <c r="P598" s="351" t="str">
        <f t="shared" si="20"/>
        <v>T</v>
      </c>
    </row>
    <row r="599" spans="1:16" ht="23.25">
      <c r="A599" s="386" t="s">
        <v>74</v>
      </c>
      <c r="B599" s="387">
        <v>70000</v>
      </c>
      <c r="C599" s="367">
        <v>8</v>
      </c>
      <c r="D599" s="368">
        <v>14706</v>
      </c>
      <c r="E599" s="368">
        <v>84706</v>
      </c>
      <c r="F599" s="368">
        <v>1634</v>
      </c>
      <c r="G599" s="368">
        <v>8750</v>
      </c>
      <c r="H599" s="372">
        <v>1634</v>
      </c>
      <c r="I599" s="368">
        <v>10384</v>
      </c>
      <c r="K599" s="367"/>
      <c r="L599" s="350">
        <v>0.315</v>
      </c>
      <c r="M599" s="350">
        <v>3.5000000000000003E-2</v>
      </c>
      <c r="N599" s="351" t="str">
        <f t="shared" si="19"/>
        <v>700008</v>
      </c>
      <c r="P599" s="351" t="str">
        <f t="shared" si="20"/>
        <v>T</v>
      </c>
    </row>
    <row r="600" spans="1:16" ht="23.25">
      <c r="A600" s="386" t="s">
        <v>74</v>
      </c>
      <c r="B600" s="387">
        <v>70000</v>
      </c>
      <c r="C600" s="365">
        <v>10</v>
      </c>
      <c r="D600" s="366">
        <v>18382</v>
      </c>
      <c r="E600" s="366">
        <v>88382</v>
      </c>
      <c r="F600" s="366">
        <v>2042</v>
      </c>
      <c r="G600" s="366">
        <v>7000</v>
      </c>
      <c r="H600" s="366">
        <v>1634</v>
      </c>
      <c r="I600" s="366">
        <v>8634</v>
      </c>
      <c r="K600" s="365"/>
      <c r="L600" s="350">
        <v>0.315</v>
      </c>
      <c r="M600" s="350">
        <v>3.5000000000000003E-2</v>
      </c>
      <c r="N600" s="351" t="str">
        <f t="shared" si="19"/>
        <v>7000010</v>
      </c>
      <c r="P600" s="351" t="str">
        <f t="shared" si="20"/>
        <v>T</v>
      </c>
    </row>
    <row r="601" spans="1:16" ht="23.25">
      <c r="A601" s="386" t="s">
        <v>74</v>
      </c>
      <c r="B601" s="387">
        <v>70000</v>
      </c>
      <c r="C601" s="388">
        <v>12</v>
      </c>
      <c r="D601" s="364">
        <v>22055</v>
      </c>
      <c r="E601" s="364">
        <v>92055</v>
      </c>
      <c r="F601" s="364">
        <v>2451</v>
      </c>
      <c r="G601" s="364">
        <v>5834</v>
      </c>
      <c r="H601" s="364">
        <v>1633</v>
      </c>
      <c r="I601" s="364">
        <v>7467</v>
      </c>
      <c r="K601" s="388"/>
      <c r="L601" s="350">
        <v>0.315</v>
      </c>
      <c r="M601" s="350">
        <v>3.5000000000000003E-2</v>
      </c>
      <c r="N601" s="351" t="str">
        <f t="shared" si="19"/>
        <v>7000012</v>
      </c>
      <c r="P601" s="351" t="str">
        <f t="shared" si="20"/>
        <v>T</v>
      </c>
    </row>
    <row r="602" spans="1:16" ht="24" thickBot="1">
      <c r="A602" s="389" t="s">
        <v>74</v>
      </c>
      <c r="B602" s="390">
        <v>70000</v>
      </c>
      <c r="C602" s="381">
        <v>14</v>
      </c>
      <c r="D602" s="398">
        <v>25735</v>
      </c>
      <c r="E602" s="398">
        <v>95735</v>
      </c>
      <c r="F602" s="398">
        <v>2859</v>
      </c>
      <c r="G602" s="398">
        <v>5000</v>
      </c>
      <c r="H602" s="366">
        <v>1634</v>
      </c>
      <c r="I602" s="398">
        <v>6634</v>
      </c>
      <c r="K602" s="381"/>
      <c r="L602" s="350">
        <v>0.315</v>
      </c>
      <c r="M602" s="350">
        <v>3.5000000000000003E-2</v>
      </c>
      <c r="N602" s="351" t="str">
        <f t="shared" si="19"/>
        <v>7000014</v>
      </c>
      <c r="P602" s="351" t="str">
        <f t="shared" si="20"/>
        <v>T</v>
      </c>
    </row>
    <row r="603" spans="1:16" ht="24" thickTop="1">
      <c r="A603" s="355" t="s">
        <v>74</v>
      </c>
      <c r="B603" s="356">
        <v>70000</v>
      </c>
      <c r="C603" s="396">
        <v>16</v>
      </c>
      <c r="D603" s="397">
        <v>29411</v>
      </c>
      <c r="E603" s="397">
        <v>99411</v>
      </c>
      <c r="F603" s="397">
        <v>3267</v>
      </c>
      <c r="G603" s="397">
        <v>4375</v>
      </c>
      <c r="H603" s="397">
        <v>1634</v>
      </c>
      <c r="I603" s="397">
        <v>6009</v>
      </c>
      <c r="K603" s="396"/>
      <c r="L603" s="350">
        <v>0.315</v>
      </c>
      <c r="M603" s="350">
        <v>3.5000000000000003E-2</v>
      </c>
      <c r="N603" s="351" t="str">
        <f t="shared" si="19"/>
        <v>7000016</v>
      </c>
      <c r="P603" s="351" t="str">
        <f t="shared" si="20"/>
        <v>T</v>
      </c>
    </row>
    <row r="604" spans="1:16" ht="23.25">
      <c r="A604" s="360" t="s">
        <v>74</v>
      </c>
      <c r="B604" s="361">
        <v>70000</v>
      </c>
      <c r="C604" s="365">
        <v>18</v>
      </c>
      <c r="D604" s="366">
        <v>33090</v>
      </c>
      <c r="E604" s="366">
        <v>103090</v>
      </c>
      <c r="F604" s="366">
        <v>3676</v>
      </c>
      <c r="G604" s="366">
        <v>3889</v>
      </c>
      <c r="H604" s="366">
        <v>1634</v>
      </c>
      <c r="I604" s="366">
        <v>5523</v>
      </c>
      <c r="K604" s="365"/>
      <c r="L604" s="350">
        <v>0.315</v>
      </c>
      <c r="M604" s="350">
        <v>3.5000000000000003E-2</v>
      </c>
      <c r="N604" s="351" t="str">
        <f t="shared" si="19"/>
        <v>7000018</v>
      </c>
      <c r="P604" s="351" t="str">
        <f t="shared" si="20"/>
        <v>T</v>
      </c>
    </row>
    <row r="605" spans="1:16" ht="23.25">
      <c r="A605" s="360" t="s">
        <v>74</v>
      </c>
      <c r="B605" s="361">
        <v>70000</v>
      </c>
      <c r="C605" s="367">
        <v>20</v>
      </c>
      <c r="D605" s="368">
        <v>36764</v>
      </c>
      <c r="E605" s="368">
        <v>106764</v>
      </c>
      <c r="F605" s="368">
        <v>4084</v>
      </c>
      <c r="G605" s="368">
        <v>3500</v>
      </c>
      <c r="H605" s="364">
        <v>1634</v>
      </c>
      <c r="I605" s="368">
        <v>5134</v>
      </c>
      <c r="K605" s="367"/>
      <c r="L605" s="350">
        <v>0.315</v>
      </c>
      <c r="M605" s="350">
        <v>3.5000000000000003E-2</v>
      </c>
      <c r="N605" s="351" t="str">
        <f t="shared" si="19"/>
        <v>7000020</v>
      </c>
      <c r="P605" s="351" t="str">
        <f t="shared" si="20"/>
        <v>T</v>
      </c>
    </row>
    <row r="606" spans="1:16" ht="23.25">
      <c r="A606" s="360" t="s">
        <v>74</v>
      </c>
      <c r="B606" s="361">
        <v>70000</v>
      </c>
      <c r="C606" s="365">
        <v>22</v>
      </c>
      <c r="D606" s="366">
        <v>40444</v>
      </c>
      <c r="E606" s="366">
        <v>110444</v>
      </c>
      <c r="F606" s="366">
        <v>4492</v>
      </c>
      <c r="G606" s="366">
        <v>3182</v>
      </c>
      <c r="H606" s="366">
        <v>1634</v>
      </c>
      <c r="I606" s="366">
        <v>4816</v>
      </c>
      <c r="K606" s="365"/>
      <c r="L606" s="350">
        <v>0.315</v>
      </c>
      <c r="M606" s="350">
        <v>3.5000000000000003E-2</v>
      </c>
      <c r="N606" s="351" t="str">
        <f t="shared" si="19"/>
        <v>7000022</v>
      </c>
      <c r="P606" s="351" t="str">
        <f t="shared" si="20"/>
        <v>T</v>
      </c>
    </row>
    <row r="607" spans="1:16" ht="23.25">
      <c r="A607" s="360" t="s">
        <v>74</v>
      </c>
      <c r="B607" s="361">
        <v>70000</v>
      </c>
      <c r="C607" s="367">
        <v>24</v>
      </c>
      <c r="D607" s="368">
        <v>44125</v>
      </c>
      <c r="E607" s="368">
        <v>114125</v>
      </c>
      <c r="F607" s="368">
        <v>4901</v>
      </c>
      <c r="G607" s="368">
        <v>2917</v>
      </c>
      <c r="H607" s="368">
        <v>1634</v>
      </c>
      <c r="I607" s="368">
        <v>4551</v>
      </c>
      <c r="K607" s="367"/>
      <c r="L607" s="350">
        <v>0.315</v>
      </c>
      <c r="M607" s="350">
        <v>3.5000000000000003E-2</v>
      </c>
      <c r="N607" s="351" t="str">
        <f t="shared" si="19"/>
        <v>7000024</v>
      </c>
      <c r="P607" s="351" t="str">
        <f t="shared" si="20"/>
        <v>T</v>
      </c>
    </row>
    <row r="608" spans="1:16" ht="23.25">
      <c r="A608" s="360" t="s">
        <v>74</v>
      </c>
      <c r="B608" s="361">
        <v>71000</v>
      </c>
      <c r="C608" s="365">
        <v>4</v>
      </c>
      <c r="D608" s="366">
        <v>7457</v>
      </c>
      <c r="E608" s="366">
        <v>78457</v>
      </c>
      <c r="F608" s="366">
        <v>829</v>
      </c>
      <c r="G608" s="366">
        <v>17750</v>
      </c>
      <c r="H608" s="366">
        <v>1657</v>
      </c>
      <c r="I608" s="366">
        <v>19407</v>
      </c>
      <c r="K608" s="365"/>
      <c r="L608" s="350">
        <v>0.315</v>
      </c>
      <c r="M608" s="350">
        <v>3.5000000000000003E-2</v>
      </c>
      <c r="N608" s="351" t="str">
        <f t="shared" si="19"/>
        <v>710004</v>
      </c>
      <c r="P608" s="351" t="str">
        <f t="shared" si="20"/>
        <v>T</v>
      </c>
    </row>
    <row r="609" spans="1:16" ht="23.25">
      <c r="A609" s="360" t="s">
        <v>74</v>
      </c>
      <c r="B609" s="361">
        <v>71000</v>
      </c>
      <c r="C609" s="367">
        <v>6</v>
      </c>
      <c r="D609" s="368">
        <v>11189</v>
      </c>
      <c r="E609" s="368">
        <v>82189</v>
      </c>
      <c r="F609" s="368">
        <v>1243</v>
      </c>
      <c r="G609" s="368">
        <v>11834</v>
      </c>
      <c r="H609" s="368">
        <v>1657</v>
      </c>
      <c r="I609" s="368">
        <v>13491</v>
      </c>
      <c r="K609" s="367"/>
      <c r="L609" s="350">
        <v>0.315</v>
      </c>
      <c r="M609" s="350">
        <v>3.5000000000000003E-2</v>
      </c>
      <c r="N609" s="351" t="str">
        <f t="shared" si="19"/>
        <v>710006</v>
      </c>
      <c r="P609" s="351" t="str">
        <f t="shared" si="20"/>
        <v>T</v>
      </c>
    </row>
    <row r="610" spans="1:16" ht="23.25">
      <c r="A610" s="360" t="s">
        <v>74</v>
      </c>
      <c r="B610" s="361">
        <v>71000</v>
      </c>
      <c r="C610" s="365">
        <v>8</v>
      </c>
      <c r="D610" s="366">
        <v>14913</v>
      </c>
      <c r="E610" s="366">
        <v>85913</v>
      </c>
      <c r="F610" s="366">
        <v>1657</v>
      </c>
      <c r="G610" s="366">
        <v>8875</v>
      </c>
      <c r="H610" s="366">
        <v>1657</v>
      </c>
      <c r="I610" s="366">
        <v>10532</v>
      </c>
      <c r="K610" s="365"/>
      <c r="L610" s="350">
        <v>0.315</v>
      </c>
      <c r="M610" s="350">
        <v>3.5000000000000003E-2</v>
      </c>
      <c r="N610" s="351" t="str">
        <f t="shared" si="19"/>
        <v>710008</v>
      </c>
      <c r="P610" s="351" t="str">
        <f t="shared" si="20"/>
        <v>T</v>
      </c>
    </row>
    <row r="611" spans="1:16" ht="23.25">
      <c r="A611" s="360" t="s">
        <v>74</v>
      </c>
      <c r="B611" s="361">
        <v>71000</v>
      </c>
      <c r="C611" s="388">
        <v>10</v>
      </c>
      <c r="D611" s="364">
        <v>18641</v>
      </c>
      <c r="E611" s="364">
        <v>89641</v>
      </c>
      <c r="F611" s="364">
        <v>2071</v>
      </c>
      <c r="G611" s="364">
        <v>7100</v>
      </c>
      <c r="H611" s="372">
        <v>1657</v>
      </c>
      <c r="I611" s="364">
        <v>8757</v>
      </c>
      <c r="K611" s="388"/>
      <c r="L611" s="350">
        <v>0.315</v>
      </c>
      <c r="M611" s="350">
        <v>3.5000000000000003E-2</v>
      </c>
      <c r="N611" s="351" t="str">
        <f t="shared" si="19"/>
        <v>7100010</v>
      </c>
      <c r="P611" s="351" t="str">
        <f t="shared" si="20"/>
        <v>T</v>
      </c>
    </row>
    <row r="612" spans="1:16" ht="23.25">
      <c r="A612" s="360" t="s">
        <v>74</v>
      </c>
      <c r="B612" s="361">
        <v>71000</v>
      </c>
      <c r="C612" s="365">
        <v>12</v>
      </c>
      <c r="D612" s="366">
        <v>22374</v>
      </c>
      <c r="E612" s="366">
        <v>93374</v>
      </c>
      <c r="F612" s="366">
        <v>2486</v>
      </c>
      <c r="G612" s="366">
        <v>5917</v>
      </c>
      <c r="H612" s="366">
        <v>1657</v>
      </c>
      <c r="I612" s="366">
        <v>7574</v>
      </c>
      <c r="K612" s="365"/>
      <c r="L612" s="350">
        <v>0.315</v>
      </c>
      <c r="M612" s="350">
        <v>3.5000000000000003E-2</v>
      </c>
      <c r="N612" s="351" t="str">
        <f t="shared" si="19"/>
        <v>7100012</v>
      </c>
      <c r="P612" s="351" t="str">
        <f t="shared" si="20"/>
        <v>T</v>
      </c>
    </row>
    <row r="613" spans="1:16" ht="24" thickBot="1">
      <c r="A613" s="392" t="s">
        <v>74</v>
      </c>
      <c r="B613" s="393">
        <v>71000</v>
      </c>
      <c r="C613" s="399">
        <v>14</v>
      </c>
      <c r="D613" s="400">
        <v>26106</v>
      </c>
      <c r="E613" s="400">
        <v>97106</v>
      </c>
      <c r="F613" s="400">
        <v>2900</v>
      </c>
      <c r="G613" s="400">
        <v>5072</v>
      </c>
      <c r="H613" s="364">
        <v>1657</v>
      </c>
      <c r="I613" s="400">
        <v>6729</v>
      </c>
      <c r="K613" s="399"/>
      <c r="L613" s="350">
        <v>0.315</v>
      </c>
      <c r="M613" s="350">
        <v>3.5000000000000003E-2</v>
      </c>
      <c r="N613" s="351" t="str">
        <f t="shared" si="19"/>
        <v>7100014</v>
      </c>
      <c r="P613" s="351" t="str">
        <f t="shared" si="20"/>
        <v>T</v>
      </c>
    </row>
    <row r="614" spans="1:16" ht="24" thickTop="1">
      <c r="A614" s="384" t="s">
        <v>74</v>
      </c>
      <c r="B614" s="385">
        <v>71000</v>
      </c>
      <c r="C614" s="357">
        <v>16</v>
      </c>
      <c r="D614" s="358">
        <v>29834</v>
      </c>
      <c r="E614" s="358">
        <v>100834</v>
      </c>
      <c r="F614" s="358">
        <v>3314</v>
      </c>
      <c r="G614" s="358">
        <v>4438</v>
      </c>
      <c r="H614" s="358">
        <v>1657</v>
      </c>
      <c r="I614" s="358">
        <v>6095</v>
      </c>
      <c r="K614" s="357"/>
      <c r="L614" s="350">
        <v>0.315</v>
      </c>
      <c r="M614" s="350">
        <v>3.5000000000000003E-2</v>
      </c>
      <c r="N614" s="351" t="str">
        <f t="shared" si="19"/>
        <v>7100016</v>
      </c>
      <c r="P614" s="351" t="str">
        <f t="shared" si="20"/>
        <v>T</v>
      </c>
    </row>
    <row r="615" spans="1:16" ht="23.25">
      <c r="A615" s="386" t="s">
        <v>74</v>
      </c>
      <c r="B615" s="387">
        <v>71000</v>
      </c>
      <c r="C615" s="388">
        <v>18</v>
      </c>
      <c r="D615" s="364">
        <v>33564</v>
      </c>
      <c r="E615" s="364">
        <v>104564</v>
      </c>
      <c r="F615" s="364">
        <v>3728</v>
      </c>
      <c r="G615" s="364">
        <v>3945</v>
      </c>
      <c r="H615" s="364">
        <v>1657</v>
      </c>
      <c r="I615" s="364">
        <v>5602</v>
      </c>
      <c r="K615" s="388"/>
      <c r="L615" s="350">
        <v>0.315</v>
      </c>
      <c r="M615" s="350">
        <v>3.5000000000000003E-2</v>
      </c>
      <c r="N615" s="351" t="str">
        <f t="shared" si="19"/>
        <v>7100018</v>
      </c>
      <c r="P615" s="351" t="str">
        <f t="shared" si="20"/>
        <v>T</v>
      </c>
    </row>
    <row r="616" spans="1:16" ht="23.25">
      <c r="A616" s="386" t="s">
        <v>74</v>
      </c>
      <c r="B616" s="387">
        <v>71000</v>
      </c>
      <c r="C616" s="365">
        <v>20</v>
      </c>
      <c r="D616" s="366">
        <v>37282</v>
      </c>
      <c r="E616" s="366">
        <v>108282</v>
      </c>
      <c r="F616" s="366">
        <v>4142</v>
      </c>
      <c r="G616" s="366">
        <v>3550</v>
      </c>
      <c r="H616" s="366">
        <v>1657</v>
      </c>
      <c r="I616" s="366">
        <v>5207</v>
      </c>
      <c r="K616" s="365"/>
      <c r="L616" s="350">
        <v>0.315</v>
      </c>
      <c r="M616" s="350">
        <v>3.5000000000000003E-2</v>
      </c>
      <c r="N616" s="351" t="str">
        <f t="shared" si="19"/>
        <v>7100020</v>
      </c>
      <c r="P616" s="351" t="str">
        <f t="shared" si="20"/>
        <v>T</v>
      </c>
    </row>
    <row r="617" spans="1:16" ht="23.25">
      <c r="A617" s="386" t="s">
        <v>74</v>
      </c>
      <c r="B617" s="387">
        <v>71000</v>
      </c>
      <c r="C617" s="367">
        <v>22</v>
      </c>
      <c r="D617" s="368">
        <v>41004</v>
      </c>
      <c r="E617" s="368">
        <v>112004</v>
      </c>
      <c r="F617" s="368">
        <v>4556</v>
      </c>
      <c r="G617" s="368">
        <v>3228</v>
      </c>
      <c r="H617" s="368">
        <v>1656</v>
      </c>
      <c r="I617" s="368">
        <v>4884</v>
      </c>
      <c r="K617" s="367"/>
      <c r="L617" s="350">
        <v>0.315</v>
      </c>
      <c r="M617" s="350">
        <v>3.5000000000000003E-2</v>
      </c>
      <c r="N617" s="351" t="str">
        <f t="shared" si="19"/>
        <v>7100022</v>
      </c>
      <c r="P617" s="351" t="str">
        <f t="shared" si="20"/>
        <v>T</v>
      </c>
    </row>
    <row r="618" spans="1:16" ht="23.25">
      <c r="A618" s="386" t="s">
        <v>74</v>
      </c>
      <c r="B618" s="387">
        <v>71000</v>
      </c>
      <c r="C618" s="365">
        <v>24</v>
      </c>
      <c r="D618" s="366">
        <v>44755</v>
      </c>
      <c r="E618" s="366">
        <v>115755</v>
      </c>
      <c r="F618" s="366">
        <v>4971</v>
      </c>
      <c r="G618" s="366">
        <v>2959</v>
      </c>
      <c r="H618" s="366">
        <v>1657</v>
      </c>
      <c r="I618" s="366">
        <v>4616</v>
      </c>
      <c r="K618" s="365"/>
      <c r="L618" s="350">
        <v>0.315</v>
      </c>
      <c r="M618" s="350">
        <v>3.5000000000000003E-2</v>
      </c>
      <c r="N618" s="351" t="str">
        <f t="shared" si="19"/>
        <v>7100024</v>
      </c>
      <c r="P618" s="351" t="str">
        <f t="shared" si="20"/>
        <v>T</v>
      </c>
    </row>
    <row r="619" spans="1:16" ht="23.25">
      <c r="A619" s="386" t="s">
        <v>74</v>
      </c>
      <c r="B619" s="387">
        <v>72000</v>
      </c>
      <c r="C619" s="367">
        <v>4</v>
      </c>
      <c r="D619" s="368">
        <v>7565</v>
      </c>
      <c r="E619" s="368">
        <v>79565</v>
      </c>
      <c r="F619" s="368">
        <v>841</v>
      </c>
      <c r="G619" s="368">
        <v>18000</v>
      </c>
      <c r="H619" s="368">
        <v>1681</v>
      </c>
      <c r="I619" s="368">
        <v>19681</v>
      </c>
      <c r="K619" s="367"/>
      <c r="L619" s="350">
        <v>0.315</v>
      </c>
      <c r="M619" s="350">
        <v>3.5000000000000003E-2</v>
      </c>
      <c r="N619" s="351" t="str">
        <f t="shared" si="19"/>
        <v>720004</v>
      </c>
      <c r="P619" s="351" t="str">
        <f t="shared" si="20"/>
        <v>T</v>
      </c>
    </row>
    <row r="620" spans="1:16" ht="23.25">
      <c r="A620" s="386" t="s">
        <v>74</v>
      </c>
      <c r="B620" s="387">
        <v>72000</v>
      </c>
      <c r="C620" s="365">
        <v>6</v>
      </c>
      <c r="D620" s="366">
        <v>11347</v>
      </c>
      <c r="E620" s="366">
        <v>83347</v>
      </c>
      <c r="F620" s="366">
        <v>1261</v>
      </c>
      <c r="G620" s="366">
        <v>12000</v>
      </c>
      <c r="H620" s="366">
        <v>1681</v>
      </c>
      <c r="I620" s="366">
        <v>13681</v>
      </c>
      <c r="K620" s="365"/>
      <c r="L620" s="350">
        <v>0.315</v>
      </c>
      <c r="M620" s="350">
        <v>3.5000000000000003E-2</v>
      </c>
      <c r="N620" s="351" t="str">
        <f t="shared" si="19"/>
        <v>720006</v>
      </c>
      <c r="P620" s="351" t="str">
        <f t="shared" si="20"/>
        <v>T</v>
      </c>
    </row>
    <row r="621" spans="1:16" ht="23.25">
      <c r="A621" s="386" t="s">
        <v>74</v>
      </c>
      <c r="B621" s="387">
        <v>72000</v>
      </c>
      <c r="C621" s="367">
        <v>8</v>
      </c>
      <c r="D621" s="368">
        <v>15129</v>
      </c>
      <c r="E621" s="368">
        <v>87129</v>
      </c>
      <c r="F621" s="368">
        <v>1681</v>
      </c>
      <c r="G621" s="368">
        <v>9000</v>
      </c>
      <c r="H621" s="372">
        <v>1681</v>
      </c>
      <c r="I621" s="368">
        <v>10681</v>
      </c>
      <c r="K621" s="367"/>
      <c r="L621" s="350">
        <v>0.315</v>
      </c>
      <c r="M621" s="350">
        <v>3.5000000000000003E-2</v>
      </c>
      <c r="N621" s="351" t="str">
        <f t="shared" si="19"/>
        <v>720008</v>
      </c>
      <c r="P621" s="351" t="str">
        <f t="shared" si="20"/>
        <v>T</v>
      </c>
    </row>
    <row r="622" spans="1:16" ht="23.25">
      <c r="A622" s="386" t="s">
        <v>74</v>
      </c>
      <c r="B622" s="387">
        <v>72000</v>
      </c>
      <c r="C622" s="365">
        <v>10</v>
      </c>
      <c r="D622" s="366">
        <v>18911</v>
      </c>
      <c r="E622" s="366">
        <v>90911</v>
      </c>
      <c r="F622" s="366">
        <v>2101</v>
      </c>
      <c r="G622" s="366">
        <v>7200</v>
      </c>
      <c r="H622" s="366">
        <v>1681</v>
      </c>
      <c r="I622" s="366">
        <v>8881</v>
      </c>
      <c r="K622" s="365"/>
      <c r="L622" s="350">
        <v>0.315</v>
      </c>
      <c r="M622" s="350">
        <v>3.5000000000000003E-2</v>
      </c>
      <c r="N622" s="351" t="str">
        <f t="shared" si="19"/>
        <v>7200010</v>
      </c>
      <c r="P622" s="351" t="str">
        <f t="shared" si="20"/>
        <v>T</v>
      </c>
    </row>
    <row r="623" spans="1:16" ht="23.25">
      <c r="A623" s="386" t="s">
        <v>74</v>
      </c>
      <c r="B623" s="387">
        <v>72000</v>
      </c>
      <c r="C623" s="388">
        <v>12</v>
      </c>
      <c r="D623" s="364">
        <v>22693</v>
      </c>
      <c r="E623" s="364">
        <v>94693</v>
      </c>
      <c r="F623" s="364">
        <v>2521</v>
      </c>
      <c r="G623" s="364">
        <v>6000</v>
      </c>
      <c r="H623" s="364">
        <v>1681</v>
      </c>
      <c r="I623" s="364">
        <v>7681</v>
      </c>
      <c r="K623" s="388"/>
      <c r="L623" s="350">
        <v>0.315</v>
      </c>
      <c r="M623" s="350">
        <v>3.5000000000000003E-2</v>
      </c>
      <c r="N623" s="351" t="str">
        <f t="shared" si="19"/>
        <v>7200012</v>
      </c>
      <c r="P623" s="351" t="str">
        <f t="shared" si="20"/>
        <v>T</v>
      </c>
    </row>
    <row r="624" spans="1:16" ht="24" thickBot="1">
      <c r="A624" s="389" t="s">
        <v>74</v>
      </c>
      <c r="B624" s="390">
        <v>72000</v>
      </c>
      <c r="C624" s="381">
        <v>14</v>
      </c>
      <c r="D624" s="398">
        <v>26463</v>
      </c>
      <c r="E624" s="398">
        <v>98463</v>
      </c>
      <c r="F624" s="398">
        <v>2941</v>
      </c>
      <c r="G624" s="398">
        <v>5143</v>
      </c>
      <c r="H624" s="366">
        <v>1680</v>
      </c>
      <c r="I624" s="398">
        <v>6823</v>
      </c>
      <c r="K624" s="381"/>
      <c r="L624" s="350">
        <v>0.315</v>
      </c>
      <c r="M624" s="350">
        <v>3.5000000000000003E-2</v>
      </c>
      <c r="N624" s="351" t="str">
        <f t="shared" si="19"/>
        <v>7200014</v>
      </c>
      <c r="P624" s="351" t="str">
        <f t="shared" si="20"/>
        <v>T</v>
      </c>
    </row>
    <row r="625" spans="1:16" ht="24" thickTop="1">
      <c r="A625" s="355" t="s">
        <v>74</v>
      </c>
      <c r="B625" s="356">
        <v>72000</v>
      </c>
      <c r="C625" s="396">
        <v>16</v>
      </c>
      <c r="D625" s="397">
        <v>30257</v>
      </c>
      <c r="E625" s="397">
        <v>102257</v>
      </c>
      <c r="F625" s="397">
        <v>3361</v>
      </c>
      <c r="G625" s="397">
        <v>4500</v>
      </c>
      <c r="H625" s="397">
        <v>1681</v>
      </c>
      <c r="I625" s="397">
        <v>6181</v>
      </c>
      <c r="K625" s="396"/>
      <c r="L625" s="350">
        <v>0.315</v>
      </c>
      <c r="M625" s="350">
        <v>3.5000000000000003E-2</v>
      </c>
      <c r="N625" s="351" t="str">
        <f t="shared" si="19"/>
        <v>7200016</v>
      </c>
      <c r="P625" s="351" t="str">
        <f t="shared" si="20"/>
        <v>T</v>
      </c>
    </row>
    <row r="626" spans="1:16" ht="23.25">
      <c r="A626" s="360" t="s">
        <v>74</v>
      </c>
      <c r="B626" s="361">
        <v>72000</v>
      </c>
      <c r="C626" s="365">
        <v>18</v>
      </c>
      <c r="D626" s="366">
        <v>34039</v>
      </c>
      <c r="E626" s="366">
        <v>106039</v>
      </c>
      <c r="F626" s="366">
        <v>3781</v>
      </c>
      <c r="G626" s="366">
        <v>4000</v>
      </c>
      <c r="H626" s="366">
        <v>1681</v>
      </c>
      <c r="I626" s="366">
        <v>5681</v>
      </c>
      <c r="K626" s="365"/>
      <c r="L626" s="350">
        <v>0.315</v>
      </c>
      <c r="M626" s="350">
        <v>3.5000000000000003E-2</v>
      </c>
      <c r="N626" s="351" t="str">
        <f t="shared" si="19"/>
        <v>7200018</v>
      </c>
      <c r="P626" s="351" t="str">
        <f t="shared" si="20"/>
        <v>T</v>
      </c>
    </row>
    <row r="627" spans="1:16" ht="23.25">
      <c r="A627" s="360" t="s">
        <v>74</v>
      </c>
      <c r="B627" s="361">
        <v>72000</v>
      </c>
      <c r="C627" s="367">
        <v>20</v>
      </c>
      <c r="D627" s="368">
        <v>37821</v>
      </c>
      <c r="E627" s="368">
        <v>109821</v>
      </c>
      <c r="F627" s="368">
        <v>4201</v>
      </c>
      <c r="G627" s="368">
        <v>3600</v>
      </c>
      <c r="H627" s="364">
        <v>1681</v>
      </c>
      <c r="I627" s="368">
        <v>5281</v>
      </c>
      <c r="K627" s="367"/>
      <c r="L627" s="350">
        <v>0.315</v>
      </c>
      <c r="M627" s="350">
        <v>3.5000000000000003E-2</v>
      </c>
      <c r="N627" s="351" t="str">
        <f t="shared" si="19"/>
        <v>7200020</v>
      </c>
      <c r="P627" s="351" t="str">
        <f t="shared" si="20"/>
        <v>T</v>
      </c>
    </row>
    <row r="628" spans="1:16" ht="23.25">
      <c r="A628" s="360" t="s">
        <v>74</v>
      </c>
      <c r="B628" s="361">
        <v>72000</v>
      </c>
      <c r="C628" s="365">
        <v>22</v>
      </c>
      <c r="D628" s="366">
        <v>41587</v>
      </c>
      <c r="E628" s="366">
        <v>113587</v>
      </c>
      <c r="F628" s="366">
        <v>4621</v>
      </c>
      <c r="G628" s="366">
        <v>3273</v>
      </c>
      <c r="H628" s="366">
        <v>1680</v>
      </c>
      <c r="I628" s="366">
        <v>4953</v>
      </c>
      <c r="K628" s="365"/>
      <c r="L628" s="350">
        <v>0.315</v>
      </c>
      <c r="M628" s="350">
        <v>3.5000000000000003E-2</v>
      </c>
      <c r="N628" s="351" t="str">
        <f t="shared" si="19"/>
        <v>7200022</v>
      </c>
      <c r="P628" s="351" t="str">
        <f t="shared" si="20"/>
        <v>T</v>
      </c>
    </row>
    <row r="629" spans="1:16" ht="23.25">
      <c r="A629" s="360" t="s">
        <v>74</v>
      </c>
      <c r="B629" s="361">
        <v>72000</v>
      </c>
      <c r="C629" s="367">
        <v>24</v>
      </c>
      <c r="D629" s="368">
        <v>45385</v>
      </c>
      <c r="E629" s="368">
        <v>117385</v>
      </c>
      <c r="F629" s="368">
        <v>5041</v>
      </c>
      <c r="G629" s="368">
        <v>3000</v>
      </c>
      <c r="H629" s="368">
        <v>1681</v>
      </c>
      <c r="I629" s="368">
        <v>4681</v>
      </c>
      <c r="K629" s="367"/>
      <c r="L629" s="350">
        <v>0.315</v>
      </c>
      <c r="M629" s="350">
        <v>3.5000000000000003E-2</v>
      </c>
      <c r="N629" s="351" t="str">
        <f t="shared" si="19"/>
        <v>7200024</v>
      </c>
      <c r="P629" s="351" t="str">
        <f t="shared" si="20"/>
        <v>T</v>
      </c>
    </row>
    <row r="630" spans="1:16" ht="23.25">
      <c r="A630" s="360" t="s">
        <v>74</v>
      </c>
      <c r="B630" s="361">
        <v>73000</v>
      </c>
      <c r="C630" s="365">
        <v>4</v>
      </c>
      <c r="D630" s="366">
        <v>7668</v>
      </c>
      <c r="E630" s="366">
        <v>80668</v>
      </c>
      <c r="F630" s="366">
        <v>852</v>
      </c>
      <c r="G630" s="366">
        <v>18250</v>
      </c>
      <c r="H630" s="366">
        <v>1704</v>
      </c>
      <c r="I630" s="366">
        <v>19954</v>
      </c>
      <c r="K630" s="365"/>
      <c r="L630" s="350">
        <v>0.315</v>
      </c>
      <c r="M630" s="350">
        <v>3.5000000000000003E-2</v>
      </c>
      <c r="N630" s="351" t="str">
        <f t="shared" si="19"/>
        <v>730004</v>
      </c>
      <c r="P630" s="351" t="str">
        <f t="shared" si="20"/>
        <v>T</v>
      </c>
    </row>
    <row r="631" spans="1:16" ht="23.25">
      <c r="A631" s="360" t="s">
        <v>74</v>
      </c>
      <c r="B631" s="361">
        <v>73000</v>
      </c>
      <c r="C631" s="367">
        <v>6</v>
      </c>
      <c r="D631" s="368">
        <v>11504</v>
      </c>
      <c r="E631" s="368">
        <v>84504</v>
      </c>
      <c r="F631" s="368">
        <v>1278</v>
      </c>
      <c r="G631" s="368">
        <v>12167</v>
      </c>
      <c r="H631" s="368">
        <v>1704</v>
      </c>
      <c r="I631" s="368">
        <v>13871</v>
      </c>
      <c r="K631" s="367"/>
      <c r="L631" s="350">
        <v>0.315</v>
      </c>
      <c r="M631" s="350">
        <v>3.5000000000000003E-2</v>
      </c>
      <c r="N631" s="351" t="str">
        <f t="shared" si="19"/>
        <v>730006</v>
      </c>
      <c r="P631" s="351" t="str">
        <f t="shared" si="20"/>
        <v>T</v>
      </c>
    </row>
    <row r="632" spans="1:16" ht="23.25">
      <c r="A632" s="360" t="s">
        <v>74</v>
      </c>
      <c r="B632" s="361">
        <v>73000</v>
      </c>
      <c r="C632" s="365">
        <v>8</v>
      </c>
      <c r="D632" s="366">
        <v>15336</v>
      </c>
      <c r="E632" s="366">
        <v>88336</v>
      </c>
      <c r="F632" s="366">
        <v>1704</v>
      </c>
      <c r="G632" s="366">
        <v>9125</v>
      </c>
      <c r="H632" s="366">
        <v>1704</v>
      </c>
      <c r="I632" s="366">
        <v>10829</v>
      </c>
      <c r="K632" s="365"/>
      <c r="L632" s="350">
        <v>0.315</v>
      </c>
      <c r="M632" s="350">
        <v>3.5000000000000003E-2</v>
      </c>
      <c r="N632" s="351" t="str">
        <f t="shared" si="19"/>
        <v>730008</v>
      </c>
      <c r="P632" s="351" t="str">
        <f t="shared" si="20"/>
        <v>T</v>
      </c>
    </row>
    <row r="633" spans="1:16" ht="23.25">
      <c r="A633" s="360" t="s">
        <v>74</v>
      </c>
      <c r="B633" s="361">
        <v>73000</v>
      </c>
      <c r="C633" s="388">
        <v>10</v>
      </c>
      <c r="D633" s="364">
        <v>19170</v>
      </c>
      <c r="E633" s="364">
        <v>92170</v>
      </c>
      <c r="F633" s="364">
        <v>2130</v>
      </c>
      <c r="G633" s="364">
        <v>7300</v>
      </c>
      <c r="H633" s="372">
        <v>1704</v>
      </c>
      <c r="I633" s="364">
        <v>9004</v>
      </c>
      <c r="K633" s="388"/>
      <c r="L633" s="350">
        <v>0.315</v>
      </c>
      <c r="M633" s="350">
        <v>3.5000000000000003E-2</v>
      </c>
      <c r="N633" s="351" t="str">
        <f t="shared" si="19"/>
        <v>7300010</v>
      </c>
      <c r="P633" s="351" t="str">
        <f t="shared" si="20"/>
        <v>T</v>
      </c>
    </row>
    <row r="634" spans="1:16" ht="23.25">
      <c r="A634" s="360" t="s">
        <v>74</v>
      </c>
      <c r="B634" s="361">
        <v>73000</v>
      </c>
      <c r="C634" s="365">
        <v>12</v>
      </c>
      <c r="D634" s="366">
        <v>23000</v>
      </c>
      <c r="E634" s="366">
        <v>96000</v>
      </c>
      <c r="F634" s="366">
        <v>2556</v>
      </c>
      <c r="G634" s="366">
        <v>6084</v>
      </c>
      <c r="H634" s="366">
        <v>1703</v>
      </c>
      <c r="I634" s="366">
        <v>7787</v>
      </c>
      <c r="K634" s="365"/>
      <c r="L634" s="350">
        <v>0.315</v>
      </c>
      <c r="M634" s="350">
        <v>3.5000000000000003E-2</v>
      </c>
      <c r="N634" s="351" t="str">
        <f t="shared" si="19"/>
        <v>7300012</v>
      </c>
      <c r="P634" s="351" t="str">
        <f t="shared" si="20"/>
        <v>T</v>
      </c>
    </row>
    <row r="635" spans="1:16" ht="24" thickBot="1">
      <c r="A635" s="392" t="s">
        <v>74</v>
      </c>
      <c r="B635" s="393">
        <v>73000</v>
      </c>
      <c r="C635" s="399">
        <v>14</v>
      </c>
      <c r="D635" s="400">
        <v>26833</v>
      </c>
      <c r="E635" s="400">
        <v>99833</v>
      </c>
      <c r="F635" s="400">
        <v>2981</v>
      </c>
      <c r="G635" s="400">
        <v>5215</v>
      </c>
      <c r="H635" s="364">
        <v>1703</v>
      </c>
      <c r="I635" s="400">
        <v>6918</v>
      </c>
      <c r="K635" s="399"/>
      <c r="L635" s="350">
        <v>0.315</v>
      </c>
      <c r="M635" s="350">
        <v>3.5000000000000003E-2</v>
      </c>
      <c r="N635" s="351" t="str">
        <f t="shared" si="19"/>
        <v>7300014</v>
      </c>
      <c r="P635" s="351" t="str">
        <f t="shared" si="20"/>
        <v>T</v>
      </c>
    </row>
    <row r="636" spans="1:16" ht="24" thickTop="1">
      <c r="A636" s="384" t="s">
        <v>74</v>
      </c>
      <c r="B636" s="385">
        <v>73000</v>
      </c>
      <c r="C636" s="357">
        <v>16</v>
      </c>
      <c r="D636" s="358">
        <v>30663</v>
      </c>
      <c r="E636" s="358">
        <v>103663</v>
      </c>
      <c r="F636" s="358">
        <v>3407</v>
      </c>
      <c r="G636" s="358">
        <v>4563</v>
      </c>
      <c r="H636" s="358">
        <v>1703</v>
      </c>
      <c r="I636" s="358">
        <v>6266</v>
      </c>
      <c r="K636" s="357"/>
      <c r="L636" s="350">
        <v>0.315</v>
      </c>
      <c r="M636" s="350">
        <v>3.5000000000000003E-2</v>
      </c>
      <c r="N636" s="351" t="str">
        <f t="shared" si="19"/>
        <v>7300016</v>
      </c>
      <c r="P636" s="351" t="str">
        <f t="shared" si="20"/>
        <v>T</v>
      </c>
    </row>
    <row r="637" spans="1:16" ht="23.25">
      <c r="A637" s="386" t="s">
        <v>74</v>
      </c>
      <c r="B637" s="387">
        <v>73000</v>
      </c>
      <c r="C637" s="388">
        <v>18</v>
      </c>
      <c r="D637" s="364">
        <v>34495</v>
      </c>
      <c r="E637" s="364">
        <v>107495</v>
      </c>
      <c r="F637" s="364">
        <v>3833</v>
      </c>
      <c r="G637" s="364">
        <v>4056</v>
      </c>
      <c r="H637" s="364">
        <v>1703</v>
      </c>
      <c r="I637" s="364">
        <v>5759</v>
      </c>
      <c r="K637" s="388"/>
      <c r="L637" s="350">
        <v>0.315</v>
      </c>
      <c r="M637" s="350">
        <v>3.5000000000000003E-2</v>
      </c>
      <c r="N637" s="351" t="str">
        <f t="shared" si="19"/>
        <v>7300018</v>
      </c>
      <c r="P637" s="351" t="str">
        <f t="shared" si="20"/>
        <v>T</v>
      </c>
    </row>
    <row r="638" spans="1:16" ht="23.25">
      <c r="A638" s="386" t="s">
        <v>74</v>
      </c>
      <c r="B638" s="387">
        <v>73000</v>
      </c>
      <c r="C638" s="365">
        <v>20</v>
      </c>
      <c r="D638" s="366">
        <v>38339</v>
      </c>
      <c r="E638" s="366">
        <v>111339</v>
      </c>
      <c r="F638" s="366">
        <v>4259</v>
      </c>
      <c r="G638" s="366">
        <v>3650</v>
      </c>
      <c r="H638" s="366">
        <v>1704</v>
      </c>
      <c r="I638" s="366">
        <v>5354</v>
      </c>
      <c r="K638" s="365"/>
      <c r="L638" s="350">
        <v>0.315</v>
      </c>
      <c r="M638" s="350">
        <v>3.5000000000000003E-2</v>
      </c>
      <c r="N638" s="351" t="str">
        <f t="shared" si="19"/>
        <v>7300020</v>
      </c>
      <c r="P638" s="351" t="str">
        <f t="shared" si="20"/>
        <v>T</v>
      </c>
    </row>
    <row r="639" spans="1:16" ht="23.25">
      <c r="A639" s="386" t="s">
        <v>74</v>
      </c>
      <c r="B639" s="387">
        <v>73000</v>
      </c>
      <c r="C639" s="367">
        <v>22</v>
      </c>
      <c r="D639" s="368">
        <v>42169</v>
      </c>
      <c r="E639" s="368">
        <v>115169</v>
      </c>
      <c r="F639" s="368">
        <v>4685</v>
      </c>
      <c r="G639" s="368">
        <v>3319</v>
      </c>
      <c r="H639" s="368">
        <v>1703</v>
      </c>
      <c r="I639" s="368">
        <v>5022</v>
      </c>
      <c r="K639" s="367"/>
      <c r="L639" s="350">
        <v>0.315</v>
      </c>
      <c r="M639" s="350">
        <v>3.5000000000000003E-2</v>
      </c>
      <c r="N639" s="351" t="str">
        <f t="shared" si="19"/>
        <v>7300022</v>
      </c>
      <c r="P639" s="351" t="str">
        <f t="shared" si="20"/>
        <v>T</v>
      </c>
    </row>
    <row r="640" spans="1:16" ht="23.25">
      <c r="A640" s="386" t="s">
        <v>74</v>
      </c>
      <c r="B640" s="387">
        <v>73000</v>
      </c>
      <c r="C640" s="365">
        <v>24</v>
      </c>
      <c r="D640" s="366">
        <v>46015</v>
      </c>
      <c r="E640" s="366">
        <v>119015</v>
      </c>
      <c r="F640" s="366">
        <v>5111</v>
      </c>
      <c r="G640" s="366">
        <v>3042</v>
      </c>
      <c r="H640" s="366">
        <v>1704</v>
      </c>
      <c r="I640" s="366">
        <v>4746</v>
      </c>
      <c r="K640" s="365"/>
      <c r="L640" s="350">
        <v>0.315</v>
      </c>
      <c r="M640" s="350">
        <v>3.5000000000000003E-2</v>
      </c>
      <c r="N640" s="351" t="str">
        <f t="shared" si="19"/>
        <v>7300024</v>
      </c>
      <c r="P640" s="351" t="str">
        <f t="shared" si="20"/>
        <v>T</v>
      </c>
    </row>
    <row r="641" spans="1:16" ht="23.25">
      <c r="A641" s="386" t="s">
        <v>74</v>
      </c>
      <c r="B641" s="387">
        <v>74000</v>
      </c>
      <c r="C641" s="367">
        <v>4</v>
      </c>
      <c r="D641" s="368">
        <v>7772</v>
      </c>
      <c r="E641" s="368">
        <v>81772</v>
      </c>
      <c r="F641" s="368">
        <v>864</v>
      </c>
      <c r="G641" s="368">
        <v>18500</v>
      </c>
      <c r="H641" s="368">
        <v>1727</v>
      </c>
      <c r="I641" s="368">
        <v>20227</v>
      </c>
      <c r="K641" s="367"/>
      <c r="L641" s="350">
        <v>0.315</v>
      </c>
      <c r="M641" s="350">
        <v>3.5000000000000003E-2</v>
      </c>
      <c r="N641" s="351" t="str">
        <f t="shared" si="19"/>
        <v>740004</v>
      </c>
      <c r="P641" s="351" t="str">
        <f t="shared" si="20"/>
        <v>T</v>
      </c>
    </row>
    <row r="642" spans="1:16" ht="23.25">
      <c r="A642" s="386" t="s">
        <v>74</v>
      </c>
      <c r="B642" s="387">
        <v>74000</v>
      </c>
      <c r="C642" s="365">
        <v>6</v>
      </c>
      <c r="D642" s="366">
        <v>11662</v>
      </c>
      <c r="E642" s="366">
        <v>85662</v>
      </c>
      <c r="F642" s="366">
        <v>1296</v>
      </c>
      <c r="G642" s="366">
        <v>12334</v>
      </c>
      <c r="H642" s="366">
        <v>1727</v>
      </c>
      <c r="I642" s="366">
        <v>14061</v>
      </c>
      <c r="K642" s="365"/>
      <c r="L642" s="350">
        <v>0.315</v>
      </c>
      <c r="M642" s="350">
        <v>3.5000000000000003E-2</v>
      </c>
      <c r="N642" s="351" t="str">
        <f t="shared" si="19"/>
        <v>740006</v>
      </c>
      <c r="P642" s="351" t="str">
        <f t="shared" si="20"/>
        <v>T</v>
      </c>
    </row>
    <row r="643" spans="1:16" ht="23.25">
      <c r="A643" s="386" t="s">
        <v>74</v>
      </c>
      <c r="B643" s="387">
        <v>74000</v>
      </c>
      <c r="C643" s="367">
        <v>8</v>
      </c>
      <c r="D643" s="368">
        <v>15543</v>
      </c>
      <c r="E643" s="368">
        <v>89543</v>
      </c>
      <c r="F643" s="368">
        <v>1727</v>
      </c>
      <c r="G643" s="368">
        <v>9250</v>
      </c>
      <c r="H643" s="372">
        <v>1727</v>
      </c>
      <c r="I643" s="368">
        <v>10977</v>
      </c>
      <c r="K643" s="367"/>
      <c r="L643" s="350">
        <v>0.315</v>
      </c>
      <c r="M643" s="350">
        <v>3.5000000000000003E-2</v>
      </c>
      <c r="N643" s="351" t="str">
        <f t="shared" si="19"/>
        <v>740008</v>
      </c>
      <c r="P643" s="351" t="str">
        <f t="shared" si="20"/>
        <v>T</v>
      </c>
    </row>
    <row r="644" spans="1:16" ht="23.25">
      <c r="A644" s="386" t="s">
        <v>74</v>
      </c>
      <c r="B644" s="387">
        <v>74000</v>
      </c>
      <c r="C644" s="365">
        <v>10</v>
      </c>
      <c r="D644" s="366">
        <v>19429</v>
      </c>
      <c r="E644" s="366">
        <v>93429</v>
      </c>
      <c r="F644" s="366">
        <v>2159</v>
      </c>
      <c r="G644" s="366">
        <v>7400</v>
      </c>
      <c r="H644" s="366">
        <v>1727</v>
      </c>
      <c r="I644" s="366">
        <v>9127</v>
      </c>
      <c r="K644" s="365"/>
      <c r="L644" s="350">
        <v>0.315</v>
      </c>
      <c r="M644" s="350">
        <v>3.5000000000000003E-2</v>
      </c>
      <c r="N644" s="351" t="str">
        <f t="shared" si="19"/>
        <v>7400010</v>
      </c>
      <c r="P644" s="351" t="str">
        <f t="shared" si="20"/>
        <v>T</v>
      </c>
    </row>
    <row r="645" spans="1:16" ht="23.25">
      <c r="A645" s="386" t="s">
        <v>74</v>
      </c>
      <c r="B645" s="387">
        <v>74000</v>
      </c>
      <c r="C645" s="388">
        <v>12</v>
      </c>
      <c r="D645" s="364">
        <v>23319</v>
      </c>
      <c r="E645" s="364">
        <v>97319</v>
      </c>
      <c r="F645" s="364">
        <v>2591</v>
      </c>
      <c r="G645" s="364">
        <v>6167</v>
      </c>
      <c r="H645" s="364">
        <v>1727</v>
      </c>
      <c r="I645" s="364">
        <v>7894</v>
      </c>
      <c r="K645" s="388"/>
      <c r="L645" s="350">
        <v>0.315</v>
      </c>
      <c r="M645" s="350">
        <v>3.5000000000000003E-2</v>
      </c>
      <c r="N645" s="351" t="str">
        <f t="shared" ref="N645:N708" si="21">CONCATENATE(B645,C645)</f>
        <v>7400012</v>
      </c>
      <c r="P645" s="351" t="str">
        <f t="shared" si="20"/>
        <v>T</v>
      </c>
    </row>
    <row r="646" spans="1:16" ht="24" thickBot="1">
      <c r="A646" s="389" t="s">
        <v>74</v>
      </c>
      <c r="B646" s="390">
        <v>74000</v>
      </c>
      <c r="C646" s="381">
        <v>14</v>
      </c>
      <c r="D646" s="398">
        <v>27204</v>
      </c>
      <c r="E646" s="398">
        <v>101204</v>
      </c>
      <c r="F646" s="398">
        <v>3022</v>
      </c>
      <c r="G646" s="398">
        <v>5286</v>
      </c>
      <c r="H646" s="366">
        <v>1727</v>
      </c>
      <c r="I646" s="398">
        <v>7013</v>
      </c>
      <c r="K646" s="381"/>
      <c r="L646" s="350">
        <v>0.315</v>
      </c>
      <c r="M646" s="350">
        <v>3.5000000000000003E-2</v>
      </c>
      <c r="N646" s="351" t="str">
        <f t="shared" si="21"/>
        <v>7400014</v>
      </c>
      <c r="P646" s="351" t="str">
        <f t="shared" si="20"/>
        <v>T</v>
      </c>
    </row>
    <row r="647" spans="1:16" ht="24" thickTop="1">
      <c r="A647" s="355" t="s">
        <v>74</v>
      </c>
      <c r="B647" s="356">
        <v>74000</v>
      </c>
      <c r="C647" s="396">
        <v>16</v>
      </c>
      <c r="D647" s="397">
        <v>31086</v>
      </c>
      <c r="E647" s="397">
        <v>105086</v>
      </c>
      <c r="F647" s="397">
        <v>3454</v>
      </c>
      <c r="G647" s="397">
        <v>4625</v>
      </c>
      <c r="H647" s="397">
        <v>1727</v>
      </c>
      <c r="I647" s="397">
        <v>6352</v>
      </c>
      <c r="K647" s="396"/>
      <c r="L647" s="350">
        <v>0.315</v>
      </c>
      <c r="M647" s="350">
        <v>3.5000000000000003E-2</v>
      </c>
      <c r="N647" s="351" t="str">
        <f t="shared" si="21"/>
        <v>7400016</v>
      </c>
      <c r="P647" s="351" t="str">
        <f t="shared" si="20"/>
        <v>T</v>
      </c>
    </row>
    <row r="648" spans="1:16" ht="23.25">
      <c r="A648" s="360" t="s">
        <v>74</v>
      </c>
      <c r="B648" s="361">
        <v>74000</v>
      </c>
      <c r="C648" s="365">
        <v>18</v>
      </c>
      <c r="D648" s="366">
        <v>34970</v>
      </c>
      <c r="E648" s="366">
        <v>108970</v>
      </c>
      <c r="F648" s="366">
        <v>3886</v>
      </c>
      <c r="G648" s="366">
        <v>4112</v>
      </c>
      <c r="H648" s="366">
        <v>1726</v>
      </c>
      <c r="I648" s="366">
        <v>5838</v>
      </c>
      <c r="K648" s="365"/>
      <c r="L648" s="350">
        <v>0.315</v>
      </c>
      <c r="M648" s="350">
        <v>3.5000000000000003E-2</v>
      </c>
      <c r="N648" s="351" t="str">
        <f t="shared" si="21"/>
        <v>7400018</v>
      </c>
      <c r="P648" s="351" t="str">
        <f t="shared" si="20"/>
        <v>T</v>
      </c>
    </row>
    <row r="649" spans="1:16" ht="23.25">
      <c r="A649" s="360" t="s">
        <v>74</v>
      </c>
      <c r="B649" s="361">
        <v>74000</v>
      </c>
      <c r="C649" s="367">
        <v>20</v>
      </c>
      <c r="D649" s="368">
        <v>38857</v>
      </c>
      <c r="E649" s="368">
        <v>112857</v>
      </c>
      <c r="F649" s="368">
        <v>4317</v>
      </c>
      <c r="G649" s="368">
        <v>3700</v>
      </c>
      <c r="H649" s="364">
        <v>1727</v>
      </c>
      <c r="I649" s="368">
        <v>5427</v>
      </c>
      <c r="K649" s="367"/>
      <c r="L649" s="350">
        <v>0.315</v>
      </c>
      <c r="M649" s="350">
        <v>3.5000000000000003E-2</v>
      </c>
      <c r="N649" s="351" t="str">
        <f t="shared" si="21"/>
        <v>7400020</v>
      </c>
      <c r="P649" s="351" t="str">
        <f t="shared" si="20"/>
        <v>T</v>
      </c>
    </row>
    <row r="650" spans="1:16" ht="23.25">
      <c r="A650" s="360" t="s">
        <v>74</v>
      </c>
      <c r="B650" s="361">
        <v>74000</v>
      </c>
      <c r="C650" s="365">
        <v>22</v>
      </c>
      <c r="D650" s="366">
        <v>42751</v>
      </c>
      <c r="E650" s="366">
        <v>116751</v>
      </c>
      <c r="F650" s="366">
        <v>4749</v>
      </c>
      <c r="G650" s="366">
        <v>3364</v>
      </c>
      <c r="H650" s="366">
        <v>1727</v>
      </c>
      <c r="I650" s="366">
        <v>5091</v>
      </c>
      <c r="K650" s="365"/>
      <c r="L650" s="350">
        <v>0.315</v>
      </c>
      <c r="M650" s="350">
        <v>3.5000000000000003E-2</v>
      </c>
      <c r="N650" s="351" t="str">
        <f t="shared" si="21"/>
        <v>7400022</v>
      </c>
      <c r="P650" s="351" t="str">
        <f t="shared" si="20"/>
        <v>T</v>
      </c>
    </row>
    <row r="651" spans="1:16" ht="23.25">
      <c r="A651" s="360" t="s">
        <v>74</v>
      </c>
      <c r="B651" s="361">
        <v>74000</v>
      </c>
      <c r="C651" s="367">
        <v>24</v>
      </c>
      <c r="D651" s="368">
        <v>46645</v>
      </c>
      <c r="E651" s="368">
        <v>120645</v>
      </c>
      <c r="F651" s="368">
        <v>5181</v>
      </c>
      <c r="G651" s="368">
        <v>3084</v>
      </c>
      <c r="H651" s="368">
        <v>1727</v>
      </c>
      <c r="I651" s="368">
        <v>4811</v>
      </c>
      <c r="K651" s="367"/>
      <c r="L651" s="350">
        <v>0.315</v>
      </c>
      <c r="M651" s="350">
        <v>3.5000000000000003E-2</v>
      </c>
      <c r="N651" s="351" t="str">
        <f t="shared" si="21"/>
        <v>7400024</v>
      </c>
      <c r="P651" s="351" t="str">
        <f t="shared" si="20"/>
        <v>T</v>
      </c>
    </row>
    <row r="652" spans="1:16" ht="23.25">
      <c r="A652" s="360" t="s">
        <v>74</v>
      </c>
      <c r="B652" s="361">
        <v>75000</v>
      </c>
      <c r="C652" s="365">
        <v>4</v>
      </c>
      <c r="D652" s="366">
        <v>7880</v>
      </c>
      <c r="E652" s="366">
        <v>82880</v>
      </c>
      <c r="F652" s="366">
        <v>876</v>
      </c>
      <c r="G652" s="366">
        <v>18750</v>
      </c>
      <c r="H652" s="366">
        <v>1751</v>
      </c>
      <c r="I652" s="366">
        <v>20501</v>
      </c>
      <c r="K652" s="365"/>
      <c r="L652" s="350">
        <v>0.315</v>
      </c>
      <c r="M652" s="350">
        <v>3.5000000000000003E-2</v>
      </c>
      <c r="N652" s="351" t="str">
        <f t="shared" si="21"/>
        <v>750004</v>
      </c>
      <c r="P652" s="351" t="str">
        <f t="shared" si="20"/>
        <v>T</v>
      </c>
    </row>
    <row r="653" spans="1:16" ht="23.25">
      <c r="A653" s="360" t="s">
        <v>74</v>
      </c>
      <c r="B653" s="361">
        <v>75000</v>
      </c>
      <c r="C653" s="367">
        <v>6</v>
      </c>
      <c r="D653" s="368">
        <v>11819</v>
      </c>
      <c r="E653" s="368">
        <v>86819</v>
      </c>
      <c r="F653" s="368">
        <v>1313</v>
      </c>
      <c r="G653" s="368">
        <v>12500</v>
      </c>
      <c r="H653" s="368">
        <v>1751</v>
      </c>
      <c r="I653" s="368">
        <v>14251</v>
      </c>
      <c r="K653" s="367"/>
      <c r="L653" s="350">
        <v>0.315</v>
      </c>
      <c r="M653" s="350">
        <v>3.5000000000000003E-2</v>
      </c>
      <c r="N653" s="351" t="str">
        <f t="shared" si="21"/>
        <v>750006</v>
      </c>
      <c r="P653" s="351" t="str">
        <f t="shared" si="20"/>
        <v>T</v>
      </c>
    </row>
    <row r="654" spans="1:16" ht="23.25">
      <c r="A654" s="360" t="s">
        <v>74</v>
      </c>
      <c r="B654" s="361">
        <v>75000</v>
      </c>
      <c r="C654" s="365">
        <v>8</v>
      </c>
      <c r="D654" s="366">
        <v>15759</v>
      </c>
      <c r="E654" s="366">
        <v>90759</v>
      </c>
      <c r="F654" s="366">
        <v>1751</v>
      </c>
      <c r="G654" s="366">
        <v>9375</v>
      </c>
      <c r="H654" s="366">
        <v>1751</v>
      </c>
      <c r="I654" s="366">
        <v>11126</v>
      </c>
      <c r="K654" s="365"/>
      <c r="L654" s="350">
        <v>0.315</v>
      </c>
      <c r="M654" s="350">
        <v>3.5000000000000003E-2</v>
      </c>
      <c r="N654" s="351" t="str">
        <f t="shared" si="21"/>
        <v>750008</v>
      </c>
      <c r="P654" s="351" t="str">
        <f t="shared" si="20"/>
        <v>T</v>
      </c>
    </row>
    <row r="655" spans="1:16" ht="23.25">
      <c r="A655" s="360" t="s">
        <v>74</v>
      </c>
      <c r="B655" s="361">
        <v>75000</v>
      </c>
      <c r="C655" s="388">
        <v>10</v>
      </c>
      <c r="D655" s="364">
        <v>19698</v>
      </c>
      <c r="E655" s="364">
        <v>94698</v>
      </c>
      <c r="F655" s="364">
        <v>2188</v>
      </c>
      <c r="G655" s="364">
        <v>7500</v>
      </c>
      <c r="H655" s="372">
        <v>1751</v>
      </c>
      <c r="I655" s="364">
        <v>9251</v>
      </c>
      <c r="K655" s="388"/>
      <c r="L655" s="350">
        <v>0.315</v>
      </c>
      <c r="M655" s="350">
        <v>3.5000000000000003E-2</v>
      </c>
      <c r="N655" s="351" t="str">
        <f t="shared" si="21"/>
        <v>7500010</v>
      </c>
      <c r="P655" s="351" t="str">
        <f t="shared" si="20"/>
        <v>T</v>
      </c>
    </row>
    <row r="656" spans="1:16" ht="23.25">
      <c r="A656" s="360" t="s">
        <v>74</v>
      </c>
      <c r="B656" s="361">
        <v>75000</v>
      </c>
      <c r="C656" s="365">
        <v>12</v>
      </c>
      <c r="D656" s="366">
        <v>23638</v>
      </c>
      <c r="E656" s="366">
        <v>98638</v>
      </c>
      <c r="F656" s="366">
        <v>2626</v>
      </c>
      <c r="G656" s="366">
        <v>6250</v>
      </c>
      <c r="H656" s="366">
        <v>1751</v>
      </c>
      <c r="I656" s="366">
        <v>8001</v>
      </c>
      <c r="K656" s="365"/>
      <c r="L656" s="350">
        <v>0.315</v>
      </c>
      <c r="M656" s="350">
        <v>3.5000000000000003E-2</v>
      </c>
      <c r="N656" s="351" t="str">
        <f t="shared" si="21"/>
        <v>7500012</v>
      </c>
      <c r="P656" s="351" t="str">
        <f t="shared" si="20"/>
        <v>T</v>
      </c>
    </row>
    <row r="657" spans="1:16" ht="24" thickBot="1">
      <c r="A657" s="392" t="s">
        <v>74</v>
      </c>
      <c r="B657" s="393">
        <v>75000</v>
      </c>
      <c r="C657" s="399">
        <v>14</v>
      </c>
      <c r="D657" s="400">
        <v>27575</v>
      </c>
      <c r="E657" s="400">
        <v>102575</v>
      </c>
      <c r="F657" s="400">
        <v>3063</v>
      </c>
      <c r="G657" s="400">
        <v>5358</v>
      </c>
      <c r="H657" s="364">
        <v>1750</v>
      </c>
      <c r="I657" s="400">
        <v>7108</v>
      </c>
      <c r="K657" s="399"/>
      <c r="L657" s="350">
        <v>0.315</v>
      </c>
      <c r="M657" s="350">
        <v>3.5000000000000003E-2</v>
      </c>
      <c r="N657" s="351" t="str">
        <f t="shared" si="21"/>
        <v>7500014</v>
      </c>
      <c r="P657" s="351" t="str">
        <f t="shared" ref="P657:P720" si="22">IF((E657-F657)/C657=I657,"T","F")</f>
        <v>T</v>
      </c>
    </row>
    <row r="658" spans="1:16" ht="24" thickTop="1">
      <c r="A658" s="384" t="s">
        <v>74</v>
      </c>
      <c r="B658" s="385">
        <v>75000</v>
      </c>
      <c r="C658" s="357">
        <v>16</v>
      </c>
      <c r="D658" s="358">
        <v>31509</v>
      </c>
      <c r="E658" s="358">
        <v>106509</v>
      </c>
      <c r="F658" s="358">
        <v>3501</v>
      </c>
      <c r="G658" s="358">
        <v>4688</v>
      </c>
      <c r="H658" s="358">
        <v>1750</v>
      </c>
      <c r="I658" s="358">
        <v>6438</v>
      </c>
      <c r="K658" s="357"/>
      <c r="L658" s="350">
        <v>0.315</v>
      </c>
      <c r="M658" s="350">
        <v>3.5000000000000003E-2</v>
      </c>
      <c r="N658" s="351" t="str">
        <f t="shared" si="21"/>
        <v>7500016</v>
      </c>
      <c r="P658" s="351" t="str">
        <f t="shared" si="22"/>
        <v>T</v>
      </c>
    </row>
    <row r="659" spans="1:16" ht="23.25">
      <c r="A659" s="386" t="s">
        <v>74</v>
      </c>
      <c r="B659" s="387">
        <v>75000</v>
      </c>
      <c r="C659" s="388">
        <v>18</v>
      </c>
      <c r="D659" s="364">
        <v>35444</v>
      </c>
      <c r="E659" s="364">
        <v>110444</v>
      </c>
      <c r="F659" s="364">
        <v>3938</v>
      </c>
      <c r="G659" s="364">
        <v>4167</v>
      </c>
      <c r="H659" s="364">
        <v>1750</v>
      </c>
      <c r="I659" s="364">
        <v>5917</v>
      </c>
      <c r="K659" s="388"/>
      <c r="L659" s="350">
        <v>0.315</v>
      </c>
      <c r="M659" s="350">
        <v>3.5000000000000003E-2</v>
      </c>
      <c r="N659" s="351" t="str">
        <f t="shared" si="21"/>
        <v>7500018</v>
      </c>
      <c r="P659" s="351" t="str">
        <f t="shared" si="22"/>
        <v>T</v>
      </c>
    </row>
    <row r="660" spans="1:16" ht="23.25">
      <c r="A660" s="386" t="s">
        <v>74</v>
      </c>
      <c r="B660" s="387">
        <v>75000</v>
      </c>
      <c r="C660" s="365">
        <v>20</v>
      </c>
      <c r="D660" s="366">
        <v>39396</v>
      </c>
      <c r="E660" s="366">
        <v>114396</v>
      </c>
      <c r="F660" s="366">
        <v>4376</v>
      </c>
      <c r="G660" s="366">
        <v>3750</v>
      </c>
      <c r="H660" s="366">
        <v>1751</v>
      </c>
      <c r="I660" s="366">
        <v>5501</v>
      </c>
      <c r="K660" s="365"/>
      <c r="L660" s="350">
        <v>0.315</v>
      </c>
      <c r="M660" s="350">
        <v>3.5000000000000003E-2</v>
      </c>
      <c r="N660" s="351" t="str">
        <f t="shared" si="21"/>
        <v>7500020</v>
      </c>
      <c r="P660" s="351" t="str">
        <f t="shared" si="22"/>
        <v>T</v>
      </c>
    </row>
    <row r="661" spans="1:16" ht="23.25">
      <c r="A661" s="386" t="s">
        <v>74</v>
      </c>
      <c r="B661" s="387">
        <v>75000</v>
      </c>
      <c r="C661" s="367">
        <v>22</v>
      </c>
      <c r="D661" s="368">
        <v>43333</v>
      </c>
      <c r="E661" s="368">
        <v>118333</v>
      </c>
      <c r="F661" s="368">
        <v>4813</v>
      </c>
      <c r="G661" s="368">
        <v>3410</v>
      </c>
      <c r="H661" s="368">
        <v>1750</v>
      </c>
      <c r="I661" s="368">
        <v>5160</v>
      </c>
      <c r="K661" s="367"/>
      <c r="L661" s="350">
        <v>0.315</v>
      </c>
      <c r="M661" s="350">
        <v>3.5000000000000003E-2</v>
      </c>
      <c r="N661" s="351" t="str">
        <f t="shared" si="21"/>
        <v>7500022</v>
      </c>
      <c r="P661" s="351" t="str">
        <f t="shared" si="22"/>
        <v>T</v>
      </c>
    </row>
    <row r="662" spans="1:16" ht="23.25">
      <c r="A662" s="386" t="s">
        <v>74</v>
      </c>
      <c r="B662" s="387">
        <v>75000</v>
      </c>
      <c r="C662" s="365">
        <v>24</v>
      </c>
      <c r="D662" s="366">
        <v>47275</v>
      </c>
      <c r="E662" s="366">
        <v>122275</v>
      </c>
      <c r="F662" s="366">
        <v>5251</v>
      </c>
      <c r="G662" s="366">
        <v>3125</v>
      </c>
      <c r="H662" s="366">
        <v>1751</v>
      </c>
      <c r="I662" s="366">
        <v>4876</v>
      </c>
      <c r="K662" s="365"/>
      <c r="L662" s="350">
        <v>0.315</v>
      </c>
      <c r="M662" s="350">
        <v>3.5000000000000003E-2</v>
      </c>
      <c r="N662" s="351" t="str">
        <f t="shared" si="21"/>
        <v>7500024</v>
      </c>
      <c r="P662" s="351" t="str">
        <f t="shared" si="22"/>
        <v>T</v>
      </c>
    </row>
    <row r="663" spans="1:16" ht="23.25">
      <c r="A663" s="386" t="s">
        <v>74</v>
      </c>
      <c r="B663" s="387">
        <v>76000</v>
      </c>
      <c r="C663" s="367">
        <v>4</v>
      </c>
      <c r="D663" s="368">
        <v>7983</v>
      </c>
      <c r="E663" s="368">
        <v>83983</v>
      </c>
      <c r="F663" s="368">
        <v>887</v>
      </c>
      <c r="G663" s="368">
        <v>19000</v>
      </c>
      <c r="H663" s="368">
        <v>1774</v>
      </c>
      <c r="I663" s="368">
        <v>20774</v>
      </c>
      <c r="K663" s="367"/>
      <c r="L663" s="350">
        <v>0.315</v>
      </c>
      <c r="M663" s="350">
        <v>3.5000000000000003E-2</v>
      </c>
      <c r="N663" s="351" t="str">
        <f t="shared" si="21"/>
        <v>760004</v>
      </c>
      <c r="P663" s="351" t="str">
        <f t="shared" si="22"/>
        <v>T</v>
      </c>
    </row>
    <row r="664" spans="1:16" ht="23.25">
      <c r="A664" s="386" t="s">
        <v>74</v>
      </c>
      <c r="B664" s="387">
        <v>76000</v>
      </c>
      <c r="C664" s="365">
        <v>6</v>
      </c>
      <c r="D664" s="366">
        <v>11977</v>
      </c>
      <c r="E664" s="366">
        <v>87977</v>
      </c>
      <c r="F664" s="366">
        <v>1331</v>
      </c>
      <c r="G664" s="366">
        <v>12667</v>
      </c>
      <c r="H664" s="366">
        <v>1774</v>
      </c>
      <c r="I664" s="366">
        <v>14441</v>
      </c>
      <c r="K664" s="365"/>
      <c r="L664" s="350">
        <v>0.315</v>
      </c>
      <c r="M664" s="350">
        <v>3.5000000000000003E-2</v>
      </c>
      <c r="N664" s="351" t="str">
        <f t="shared" si="21"/>
        <v>760006</v>
      </c>
      <c r="P664" s="351" t="str">
        <f t="shared" si="22"/>
        <v>T</v>
      </c>
    </row>
    <row r="665" spans="1:16" ht="23.25">
      <c r="A665" s="386" t="s">
        <v>74</v>
      </c>
      <c r="B665" s="387">
        <v>76000</v>
      </c>
      <c r="C665" s="367">
        <v>8</v>
      </c>
      <c r="D665" s="368">
        <v>15966</v>
      </c>
      <c r="E665" s="368">
        <v>91966</v>
      </c>
      <c r="F665" s="368">
        <v>1774</v>
      </c>
      <c r="G665" s="372">
        <v>9500</v>
      </c>
      <c r="H665" s="372">
        <v>1774</v>
      </c>
      <c r="I665" s="368">
        <v>11274</v>
      </c>
      <c r="K665" s="367"/>
      <c r="L665" s="350">
        <v>0.315</v>
      </c>
      <c r="M665" s="350">
        <v>3.5000000000000003E-2</v>
      </c>
      <c r="N665" s="351" t="str">
        <f t="shared" si="21"/>
        <v>760008</v>
      </c>
      <c r="P665" s="351" t="str">
        <f t="shared" si="22"/>
        <v>T</v>
      </c>
    </row>
    <row r="666" spans="1:16" ht="23.25">
      <c r="A666" s="386" t="s">
        <v>74</v>
      </c>
      <c r="B666" s="387">
        <v>76000</v>
      </c>
      <c r="C666" s="365">
        <v>10</v>
      </c>
      <c r="D666" s="366">
        <v>19957</v>
      </c>
      <c r="E666" s="366">
        <v>95957</v>
      </c>
      <c r="F666" s="366">
        <v>2217</v>
      </c>
      <c r="G666" s="366">
        <v>7600</v>
      </c>
      <c r="H666" s="366">
        <v>1774</v>
      </c>
      <c r="I666" s="366">
        <v>9374</v>
      </c>
      <c r="K666" s="365"/>
      <c r="L666" s="350">
        <v>0.315</v>
      </c>
      <c r="M666" s="350">
        <v>3.5000000000000003E-2</v>
      </c>
      <c r="N666" s="351" t="str">
        <f t="shared" si="21"/>
        <v>7600010</v>
      </c>
      <c r="P666" s="351" t="str">
        <f t="shared" si="22"/>
        <v>T</v>
      </c>
    </row>
    <row r="667" spans="1:16" ht="23.25">
      <c r="A667" s="386" t="s">
        <v>74</v>
      </c>
      <c r="B667" s="387">
        <v>76000</v>
      </c>
      <c r="C667" s="388">
        <v>12</v>
      </c>
      <c r="D667" s="364">
        <v>23945</v>
      </c>
      <c r="E667" s="364">
        <v>99945</v>
      </c>
      <c r="F667" s="364">
        <v>2661</v>
      </c>
      <c r="G667" s="364">
        <v>6334</v>
      </c>
      <c r="H667" s="364">
        <v>1773</v>
      </c>
      <c r="I667" s="364">
        <v>8107</v>
      </c>
      <c r="K667" s="388"/>
      <c r="L667" s="350">
        <v>0.315</v>
      </c>
      <c r="M667" s="350">
        <v>3.5000000000000003E-2</v>
      </c>
      <c r="N667" s="351" t="str">
        <f t="shared" si="21"/>
        <v>7600012</v>
      </c>
      <c r="P667" s="351" t="str">
        <f t="shared" si="22"/>
        <v>T</v>
      </c>
    </row>
    <row r="668" spans="1:16" ht="24" thickBot="1">
      <c r="A668" s="389" t="s">
        <v>74</v>
      </c>
      <c r="B668" s="390">
        <v>76000</v>
      </c>
      <c r="C668" s="381">
        <v>14</v>
      </c>
      <c r="D668" s="398">
        <v>27932</v>
      </c>
      <c r="E668" s="398">
        <v>103932</v>
      </c>
      <c r="F668" s="398">
        <v>3104</v>
      </c>
      <c r="G668" s="366">
        <v>5429</v>
      </c>
      <c r="H668" s="366">
        <v>1773</v>
      </c>
      <c r="I668" s="398">
        <v>7202</v>
      </c>
      <c r="K668" s="381"/>
      <c r="L668" s="350">
        <v>0.315</v>
      </c>
      <c r="M668" s="350">
        <v>3.5000000000000003E-2</v>
      </c>
      <c r="N668" s="351" t="str">
        <f t="shared" si="21"/>
        <v>7600014</v>
      </c>
      <c r="P668" s="351" t="str">
        <f t="shared" si="22"/>
        <v>T</v>
      </c>
    </row>
    <row r="669" spans="1:16" ht="24" thickTop="1">
      <c r="A669" s="355" t="s">
        <v>74</v>
      </c>
      <c r="B669" s="356">
        <v>76000</v>
      </c>
      <c r="C669" s="396">
        <v>16</v>
      </c>
      <c r="D669" s="397">
        <v>31931</v>
      </c>
      <c r="E669" s="397">
        <v>107931</v>
      </c>
      <c r="F669" s="397">
        <v>3547</v>
      </c>
      <c r="G669" s="397">
        <v>4750</v>
      </c>
      <c r="H669" s="397">
        <v>1774</v>
      </c>
      <c r="I669" s="397">
        <v>6524</v>
      </c>
      <c r="K669" s="396"/>
      <c r="L669" s="350">
        <v>0.315</v>
      </c>
      <c r="M669" s="350">
        <v>3.5000000000000003E-2</v>
      </c>
      <c r="N669" s="351" t="str">
        <f t="shared" si="21"/>
        <v>7600016</v>
      </c>
      <c r="P669" s="351" t="str">
        <f t="shared" si="22"/>
        <v>T</v>
      </c>
    </row>
    <row r="670" spans="1:16" ht="23.25">
      <c r="A670" s="360" t="s">
        <v>74</v>
      </c>
      <c r="B670" s="361">
        <v>76000</v>
      </c>
      <c r="C670" s="365">
        <v>18</v>
      </c>
      <c r="D670" s="366">
        <v>35919</v>
      </c>
      <c r="E670" s="366">
        <v>111919</v>
      </c>
      <c r="F670" s="366">
        <v>3991</v>
      </c>
      <c r="G670" s="366">
        <v>4223</v>
      </c>
      <c r="H670" s="366">
        <v>1773</v>
      </c>
      <c r="I670" s="366">
        <v>5996</v>
      </c>
      <c r="K670" s="365"/>
      <c r="L670" s="350">
        <v>0.315</v>
      </c>
      <c r="M670" s="350">
        <v>3.5000000000000003E-2</v>
      </c>
      <c r="N670" s="351" t="str">
        <f t="shared" si="21"/>
        <v>7600018</v>
      </c>
      <c r="P670" s="351" t="str">
        <f t="shared" si="22"/>
        <v>T</v>
      </c>
    </row>
    <row r="671" spans="1:16" ht="23.25">
      <c r="A671" s="360" t="s">
        <v>74</v>
      </c>
      <c r="B671" s="361">
        <v>76000</v>
      </c>
      <c r="C671" s="367">
        <v>20</v>
      </c>
      <c r="D671" s="368">
        <v>39914</v>
      </c>
      <c r="E671" s="368">
        <v>115914</v>
      </c>
      <c r="F671" s="368">
        <v>4434</v>
      </c>
      <c r="G671" s="368">
        <v>3800</v>
      </c>
      <c r="H671" s="364">
        <v>1774</v>
      </c>
      <c r="I671" s="368">
        <v>5574</v>
      </c>
      <c r="K671" s="367"/>
      <c r="L671" s="350">
        <v>0.315</v>
      </c>
      <c r="M671" s="350">
        <v>3.5000000000000003E-2</v>
      </c>
      <c r="N671" s="351" t="str">
        <f t="shared" si="21"/>
        <v>7600020</v>
      </c>
      <c r="P671" s="351" t="str">
        <f t="shared" si="22"/>
        <v>T</v>
      </c>
    </row>
    <row r="672" spans="1:16" ht="23.25">
      <c r="A672" s="360" t="s">
        <v>74</v>
      </c>
      <c r="B672" s="361">
        <v>76000</v>
      </c>
      <c r="C672" s="365">
        <v>22</v>
      </c>
      <c r="D672" s="366">
        <v>43893</v>
      </c>
      <c r="E672" s="366">
        <v>119893</v>
      </c>
      <c r="F672" s="366">
        <v>4877</v>
      </c>
      <c r="G672" s="366">
        <v>3455</v>
      </c>
      <c r="H672" s="366">
        <v>1773</v>
      </c>
      <c r="I672" s="366">
        <v>5228</v>
      </c>
      <c r="K672" s="365"/>
      <c r="L672" s="350">
        <v>0.315</v>
      </c>
      <c r="M672" s="350">
        <v>3.5000000000000003E-2</v>
      </c>
      <c r="N672" s="351" t="str">
        <f t="shared" si="21"/>
        <v>7600022</v>
      </c>
      <c r="P672" s="351" t="str">
        <f t="shared" si="22"/>
        <v>T</v>
      </c>
    </row>
    <row r="673" spans="1:16" ht="23.25">
      <c r="A673" s="360" t="s">
        <v>74</v>
      </c>
      <c r="B673" s="361">
        <v>76000</v>
      </c>
      <c r="C673" s="367">
        <v>24</v>
      </c>
      <c r="D673" s="368">
        <v>47905</v>
      </c>
      <c r="E673" s="368">
        <v>123905</v>
      </c>
      <c r="F673" s="368">
        <v>5321</v>
      </c>
      <c r="G673" s="368">
        <v>3167</v>
      </c>
      <c r="H673" s="368">
        <v>1774</v>
      </c>
      <c r="I673" s="368">
        <v>4941</v>
      </c>
      <c r="K673" s="367"/>
      <c r="L673" s="350">
        <v>0.315</v>
      </c>
      <c r="M673" s="350">
        <v>3.5000000000000003E-2</v>
      </c>
      <c r="N673" s="351" t="str">
        <f t="shared" si="21"/>
        <v>7600024</v>
      </c>
      <c r="P673" s="351" t="str">
        <f t="shared" si="22"/>
        <v>T</v>
      </c>
    </row>
    <row r="674" spans="1:16" ht="23.25">
      <c r="A674" s="360" t="s">
        <v>74</v>
      </c>
      <c r="B674" s="361">
        <v>77000</v>
      </c>
      <c r="C674" s="365">
        <v>4</v>
      </c>
      <c r="D674" s="366">
        <v>8087</v>
      </c>
      <c r="E674" s="366">
        <v>85087</v>
      </c>
      <c r="F674" s="366">
        <v>899</v>
      </c>
      <c r="G674" s="366">
        <v>19250</v>
      </c>
      <c r="H674" s="366">
        <v>1797</v>
      </c>
      <c r="I674" s="366">
        <v>21047</v>
      </c>
      <c r="K674" s="365"/>
      <c r="L674" s="350">
        <v>0.315</v>
      </c>
      <c r="M674" s="350">
        <v>3.5000000000000003E-2</v>
      </c>
      <c r="N674" s="351" t="str">
        <f t="shared" si="21"/>
        <v>770004</v>
      </c>
      <c r="P674" s="351" t="str">
        <f t="shared" si="22"/>
        <v>T</v>
      </c>
    </row>
    <row r="675" spans="1:16" ht="23.25">
      <c r="A675" s="360" t="s">
        <v>74</v>
      </c>
      <c r="B675" s="361">
        <v>77000</v>
      </c>
      <c r="C675" s="367">
        <v>6</v>
      </c>
      <c r="D675" s="368">
        <v>12134</v>
      </c>
      <c r="E675" s="368">
        <v>89134</v>
      </c>
      <c r="F675" s="368">
        <v>1348</v>
      </c>
      <c r="G675" s="368">
        <v>12834</v>
      </c>
      <c r="H675" s="368">
        <v>1797</v>
      </c>
      <c r="I675" s="368">
        <v>14631</v>
      </c>
      <c r="K675" s="367"/>
      <c r="L675" s="350">
        <v>0.315</v>
      </c>
      <c r="M675" s="350">
        <v>3.5000000000000003E-2</v>
      </c>
      <c r="N675" s="351" t="str">
        <f t="shared" si="21"/>
        <v>770006</v>
      </c>
      <c r="P675" s="351" t="str">
        <f t="shared" si="22"/>
        <v>T</v>
      </c>
    </row>
    <row r="676" spans="1:16" ht="23.25">
      <c r="A676" s="360" t="s">
        <v>74</v>
      </c>
      <c r="B676" s="361">
        <v>77000</v>
      </c>
      <c r="C676" s="365">
        <v>8</v>
      </c>
      <c r="D676" s="366">
        <v>16173</v>
      </c>
      <c r="E676" s="366">
        <v>93173</v>
      </c>
      <c r="F676" s="366">
        <v>1797</v>
      </c>
      <c r="G676" s="366">
        <v>9625</v>
      </c>
      <c r="H676" s="366">
        <v>1797</v>
      </c>
      <c r="I676" s="366">
        <v>11422</v>
      </c>
      <c r="K676" s="365"/>
      <c r="L676" s="350">
        <v>0.315</v>
      </c>
      <c r="M676" s="350">
        <v>3.5000000000000003E-2</v>
      </c>
      <c r="N676" s="351" t="str">
        <f t="shared" si="21"/>
        <v>770008</v>
      </c>
      <c r="P676" s="351" t="str">
        <f t="shared" si="22"/>
        <v>T</v>
      </c>
    </row>
    <row r="677" spans="1:16" ht="23.25">
      <c r="A677" s="360" t="s">
        <v>74</v>
      </c>
      <c r="B677" s="361">
        <v>77000</v>
      </c>
      <c r="C677" s="388">
        <v>10</v>
      </c>
      <c r="D677" s="364">
        <v>20216</v>
      </c>
      <c r="E677" s="364">
        <v>97216</v>
      </c>
      <c r="F677" s="364">
        <v>2246</v>
      </c>
      <c r="G677" s="364">
        <v>7700</v>
      </c>
      <c r="H677" s="372">
        <v>1797</v>
      </c>
      <c r="I677" s="364">
        <v>9497</v>
      </c>
      <c r="K677" s="388"/>
      <c r="L677" s="350">
        <v>0.315</v>
      </c>
      <c r="M677" s="350">
        <v>3.5000000000000003E-2</v>
      </c>
      <c r="N677" s="351" t="str">
        <f t="shared" si="21"/>
        <v>7700010</v>
      </c>
      <c r="P677" s="351" t="str">
        <f t="shared" si="22"/>
        <v>T</v>
      </c>
    </row>
    <row r="678" spans="1:16" ht="23.25">
      <c r="A678" s="360" t="s">
        <v>74</v>
      </c>
      <c r="B678" s="361">
        <v>77000</v>
      </c>
      <c r="C678" s="365">
        <v>12</v>
      </c>
      <c r="D678" s="366">
        <v>24264</v>
      </c>
      <c r="E678" s="366">
        <v>101264</v>
      </c>
      <c r="F678" s="366">
        <v>2696</v>
      </c>
      <c r="G678" s="366">
        <v>6417</v>
      </c>
      <c r="H678" s="366">
        <v>1797</v>
      </c>
      <c r="I678" s="366">
        <v>8214</v>
      </c>
      <c r="K678" s="365"/>
      <c r="L678" s="350">
        <v>0.315</v>
      </c>
      <c r="M678" s="350">
        <v>3.5000000000000003E-2</v>
      </c>
      <c r="N678" s="351" t="str">
        <f t="shared" si="21"/>
        <v>7700012</v>
      </c>
      <c r="P678" s="351" t="str">
        <f t="shared" si="22"/>
        <v>T</v>
      </c>
    </row>
    <row r="679" spans="1:16" ht="24" thickBot="1">
      <c r="A679" s="392" t="s">
        <v>74</v>
      </c>
      <c r="B679" s="393">
        <v>77000</v>
      </c>
      <c r="C679" s="399">
        <v>14</v>
      </c>
      <c r="D679" s="400">
        <v>28303</v>
      </c>
      <c r="E679" s="400">
        <v>105303</v>
      </c>
      <c r="F679" s="400">
        <v>3145</v>
      </c>
      <c r="G679" s="400">
        <v>5500</v>
      </c>
      <c r="H679" s="364">
        <v>1797</v>
      </c>
      <c r="I679" s="400">
        <v>7297</v>
      </c>
      <c r="K679" s="399"/>
      <c r="L679" s="350">
        <v>0.315</v>
      </c>
      <c r="M679" s="350">
        <v>3.5000000000000003E-2</v>
      </c>
      <c r="N679" s="351" t="str">
        <f t="shared" si="21"/>
        <v>7700014</v>
      </c>
      <c r="P679" s="351" t="str">
        <f t="shared" si="22"/>
        <v>T</v>
      </c>
    </row>
    <row r="680" spans="1:16" ht="24" thickTop="1">
      <c r="A680" s="384" t="s">
        <v>74</v>
      </c>
      <c r="B680" s="385">
        <v>77000</v>
      </c>
      <c r="C680" s="357">
        <v>16</v>
      </c>
      <c r="D680" s="358">
        <v>32354</v>
      </c>
      <c r="E680" s="358">
        <v>109354</v>
      </c>
      <c r="F680" s="358">
        <v>3594</v>
      </c>
      <c r="G680" s="358">
        <v>4813</v>
      </c>
      <c r="H680" s="358">
        <v>1797</v>
      </c>
      <c r="I680" s="358">
        <v>6610</v>
      </c>
      <c r="K680" s="357"/>
      <c r="L680" s="350">
        <v>0.315</v>
      </c>
      <c r="M680" s="350">
        <v>3.5000000000000003E-2</v>
      </c>
      <c r="N680" s="351" t="str">
        <f t="shared" si="21"/>
        <v>7700016</v>
      </c>
      <c r="P680" s="351" t="str">
        <f t="shared" si="22"/>
        <v>T</v>
      </c>
    </row>
    <row r="681" spans="1:16" ht="23.25">
      <c r="A681" s="386" t="s">
        <v>74</v>
      </c>
      <c r="B681" s="387">
        <v>77000</v>
      </c>
      <c r="C681" s="388">
        <v>18</v>
      </c>
      <c r="D681" s="364">
        <v>36393</v>
      </c>
      <c r="E681" s="364">
        <v>113393</v>
      </c>
      <c r="F681" s="364">
        <v>4043</v>
      </c>
      <c r="G681" s="364">
        <v>4278</v>
      </c>
      <c r="H681" s="364">
        <v>1797</v>
      </c>
      <c r="I681" s="364">
        <v>6075</v>
      </c>
      <c r="K681" s="388"/>
      <c r="L681" s="350">
        <v>0.315</v>
      </c>
      <c r="M681" s="350">
        <v>3.5000000000000003E-2</v>
      </c>
      <c r="N681" s="351" t="str">
        <f t="shared" si="21"/>
        <v>7700018</v>
      </c>
      <c r="P681" s="351" t="str">
        <f t="shared" si="22"/>
        <v>T</v>
      </c>
    </row>
    <row r="682" spans="1:16" ht="23.25">
      <c r="A682" s="386" t="s">
        <v>74</v>
      </c>
      <c r="B682" s="387">
        <v>77000</v>
      </c>
      <c r="C682" s="365">
        <v>20</v>
      </c>
      <c r="D682" s="366">
        <v>40432</v>
      </c>
      <c r="E682" s="366">
        <v>117432</v>
      </c>
      <c r="F682" s="366">
        <v>4492</v>
      </c>
      <c r="G682" s="366">
        <v>3850</v>
      </c>
      <c r="H682" s="366">
        <v>1797</v>
      </c>
      <c r="I682" s="366">
        <v>5647</v>
      </c>
      <c r="K682" s="365"/>
      <c r="L682" s="350">
        <v>0.315</v>
      </c>
      <c r="M682" s="350">
        <v>3.5000000000000003E-2</v>
      </c>
      <c r="N682" s="351" t="str">
        <f t="shared" si="21"/>
        <v>7700020</v>
      </c>
      <c r="P682" s="351" t="str">
        <f t="shared" si="22"/>
        <v>T</v>
      </c>
    </row>
    <row r="683" spans="1:16" ht="23.25">
      <c r="A683" s="386" t="s">
        <v>74</v>
      </c>
      <c r="B683" s="387">
        <v>77000</v>
      </c>
      <c r="C683" s="367">
        <v>22</v>
      </c>
      <c r="D683" s="368">
        <v>44475</v>
      </c>
      <c r="E683" s="368">
        <v>121475</v>
      </c>
      <c r="F683" s="368">
        <v>4941</v>
      </c>
      <c r="G683" s="368">
        <v>3500</v>
      </c>
      <c r="H683" s="368">
        <v>1797</v>
      </c>
      <c r="I683" s="368">
        <v>5297</v>
      </c>
      <c r="K683" s="367"/>
      <c r="L683" s="350">
        <v>0.315</v>
      </c>
      <c r="M683" s="350">
        <v>3.5000000000000003E-2</v>
      </c>
      <c r="N683" s="351" t="str">
        <f t="shared" si="21"/>
        <v>7700022</v>
      </c>
      <c r="P683" s="351" t="str">
        <f t="shared" si="22"/>
        <v>T</v>
      </c>
    </row>
    <row r="684" spans="1:16" ht="23.25">
      <c r="A684" s="386" t="s">
        <v>74</v>
      </c>
      <c r="B684" s="387">
        <v>77000</v>
      </c>
      <c r="C684" s="365">
        <v>24</v>
      </c>
      <c r="D684" s="366">
        <v>48535</v>
      </c>
      <c r="E684" s="366">
        <v>125535</v>
      </c>
      <c r="F684" s="366">
        <v>5391</v>
      </c>
      <c r="G684" s="366">
        <v>3209</v>
      </c>
      <c r="H684" s="366">
        <v>1797</v>
      </c>
      <c r="I684" s="366">
        <v>5006</v>
      </c>
      <c r="K684" s="365"/>
      <c r="L684" s="350">
        <v>0.315</v>
      </c>
      <c r="M684" s="350">
        <v>3.5000000000000003E-2</v>
      </c>
      <c r="N684" s="351" t="str">
        <f t="shared" si="21"/>
        <v>7700024</v>
      </c>
      <c r="P684" s="351" t="str">
        <f t="shared" si="22"/>
        <v>T</v>
      </c>
    </row>
    <row r="685" spans="1:16" ht="23.25">
      <c r="A685" s="386" t="s">
        <v>74</v>
      </c>
      <c r="B685" s="387">
        <v>78000</v>
      </c>
      <c r="C685" s="367">
        <v>4</v>
      </c>
      <c r="D685" s="368">
        <v>8195</v>
      </c>
      <c r="E685" s="368">
        <v>86195</v>
      </c>
      <c r="F685" s="368">
        <v>911</v>
      </c>
      <c r="G685" s="368">
        <v>19500</v>
      </c>
      <c r="H685" s="368">
        <v>1821</v>
      </c>
      <c r="I685" s="368">
        <v>21321</v>
      </c>
      <c r="K685" s="367"/>
      <c r="L685" s="350">
        <v>0.315</v>
      </c>
      <c r="M685" s="350">
        <v>3.5000000000000003E-2</v>
      </c>
      <c r="N685" s="351" t="str">
        <f t="shared" si="21"/>
        <v>780004</v>
      </c>
      <c r="P685" s="351" t="str">
        <f t="shared" si="22"/>
        <v>T</v>
      </c>
    </row>
    <row r="686" spans="1:16" ht="23.25">
      <c r="A686" s="386" t="s">
        <v>74</v>
      </c>
      <c r="B686" s="387">
        <v>78000</v>
      </c>
      <c r="C686" s="365">
        <v>6</v>
      </c>
      <c r="D686" s="366">
        <v>12292</v>
      </c>
      <c r="E686" s="366">
        <v>90292</v>
      </c>
      <c r="F686" s="366">
        <v>1366</v>
      </c>
      <c r="G686" s="366">
        <v>13000</v>
      </c>
      <c r="H686" s="366">
        <v>1821</v>
      </c>
      <c r="I686" s="366">
        <v>14821</v>
      </c>
      <c r="K686" s="365"/>
      <c r="L686" s="350">
        <v>0.315</v>
      </c>
      <c r="M686" s="350">
        <v>3.5000000000000003E-2</v>
      </c>
      <c r="N686" s="351" t="str">
        <f t="shared" si="21"/>
        <v>780006</v>
      </c>
      <c r="P686" s="351" t="str">
        <f t="shared" si="22"/>
        <v>T</v>
      </c>
    </row>
    <row r="687" spans="1:16" ht="23.25">
      <c r="A687" s="386" t="s">
        <v>74</v>
      </c>
      <c r="B687" s="387">
        <v>78000</v>
      </c>
      <c r="C687" s="367">
        <v>8</v>
      </c>
      <c r="D687" s="368">
        <v>16389</v>
      </c>
      <c r="E687" s="368">
        <v>94389</v>
      </c>
      <c r="F687" s="368">
        <v>1821</v>
      </c>
      <c r="G687" s="368">
        <v>9750</v>
      </c>
      <c r="H687" s="372">
        <v>1821</v>
      </c>
      <c r="I687" s="368">
        <v>11571</v>
      </c>
      <c r="K687" s="367"/>
      <c r="L687" s="350">
        <v>0.315</v>
      </c>
      <c r="M687" s="350">
        <v>3.5000000000000003E-2</v>
      </c>
      <c r="N687" s="351" t="str">
        <f t="shared" si="21"/>
        <v>780008</v>
      </c>
      <c r="P687" s="351" t="str">
        <f t="shared" si="22"/>
        <v>T</v>
      </c>
    </row>
    <row r="688" spans="1:16" ht="23.25">
      <c r="A688" s="386" t="s">
        <v>74</v>
      </c>
      <c r="B688" s="387">
        <v>78000</v>
      </c>
      <c r="C688" s="365">
        <v>10</v>
      </c>
      <c r="D688" s="366">
        <v>20486</v>
      </c>
      <c r="E688" s="366">
        <v>98486</v>
      </c>
      <c r="F688" s="366">
        <v>2276</v>
      </c>
      <c r="G688" s="366">
        <v>7800</v>
      </c>
      <c r="H688" s="366">
        <v>1821</v>
      </c>
      <c r="I688" s="366">
        <v>9621</v>
      </c>
      <c r="K688" s="365"/>
      <c r="L688" s="350">
        <v>0.315</v>
      </c>
      <c r="M688" s="350">
        <v>3.5000000000000003E-2</v>
      </c>
      <c r="N688" s="351" t="str">
        <f t="shared" si="21"/>
        <v>7800010</v>
      </c>
      <c r="P688" s="351" t="str">
        <f t="shared" si="22"/>
        <v>T</v>
      </c>
    </row>
    <row r="689" spans="1:16" ht="23.25">
      <c r="A689" s="386" t="s">
        <v>74</v>
      </c>
      <c r="B689" s="387">
        <v>78000</v>
      </c>
      <c r="C689" s="388">
        <v>12</v>
      </c>
      <c r="D689" s="364">
        <v>24583</v>
      </c>
      <c r="E689" s="364">
        <v>102583</v>
      </c>
      <c r="F689" s="364">
        <v>2731</v>
      </c>
      <c r="G689" s="364">
        <v>6500</v>
      </c>
      <c r="H689" s="364">
        <v>1821</v>
      </c>
      <c r="I689" s="364">
        <v>8321</v>
      </c>
      <c r="K689" s="388"/>
      <c r="L689" s="350">
        <v>0.315</v>
      </c>
      <c r="M689" s="350">
        <v>3.5000000000000003E-2</v>
      </c>
      <c r="N689" s="351" t="str">
        <f t="shared" si="21"/>
        <v>7800012</v>
      </c>
      <c r="P689" s="351" t="str">
        <f t="shared" si="22"/>
        <v>T</v>
      </c>
    </row>
    <row r="690" spans="1:16" ht="24" thickBot="1">
      <c r="A690" s="389" t="s">
        <v>74</v>
      </c>
      <c r="B690" s="390">
        <v>78000</v>
      </c>
      <c r="C690" s="381">
        <v>14</v>
      </c>
      <c r="D690" s="398">
        <v>28674</v>
      </c>
      <c r="E690" s="398">
        <v>106674</v>
      </c>
      <c r="F690" s="398">
        <v>3186</v>
      </c>
      <c r="G690" s="398">
        <v>5572</v>
      </c>
      <c r="H690" s="366">
        <v>1820</v>
      </c>
      <c r="I690" s="398">
        <v>7392</v>
      </c>
      <c r="K690" s="381"/>
      <c r="L690" s="350">
        <v>0.315</v>
      </c>
      <c r="M690" s="350">
        <v>3.5000000000000003E-2</v>
      </c>
      <c r="N690" s="351" t="str">
        <f t="shared" si="21"/>
        <v>7800014</v>
      </c>
      <c r="P690" s="351" t="str">
        <f t="shared" si="22"/>
        <v>T</v>
      </c>
    </row>
    <row r="691" spans="1:16" ht="24" thickTop="1">
      <c r="A691" s="355" t="s">
        <v>74</v>
      </c>
      <c r="B691" s="356">
        <v>78000</v>
      </c>
      <c r="C691" s="396">
        <v>16</v>
      </c>
      <c r="D691" s="397">
        <v>32777</v>
      </c>
      <c r="E691" s="397">
        <v>110777</v>
      </c>
      <c r="F691" s="397">
        <v>3641</v>
      </c>
      <c r="G691" s="397">
        <v>4875</v>
      </c>
      <c r="H691" s="397">
        <v>1821</v>
      </c>
      <c r="I691" s="397">
        <v>6696</v>
      </c>
      <c r="K691" s="396"/>
      <c r="L691" s="350">
        <v>0.315</v>
      </c>
      <c r="M691" s="350">
        <v>3.5000000000000003E-2</v>
      </c>
      <c r="N691" s="351" t="str">
        <f t="shared" si="21"/>
        <v>7800016</v>
      </c>
      <c r="P691" s="351" t="str">
        <f t="shared" si="22"/>
        <v>T</v>
      </c>
    </row>
    <row r="692" spans="1:16" ht="23.25">
      <c r="A692" s="360" t="s">
        <v>74</v>
      </c>
      <c r="B692" s="361">
        <v>78000</v>
      </c>
      <c r="C692" s="365">
        <v>18</v>
      </c>
      <c r="D692" s="366">
        <v>36868</v>
      </c>
      <c r="E692" s="366">
        <v>114868</v>
      </c>
      <c r="F692" s="366">
        <v>4096</v>
      </c>
      <c r="G692" s="366">
        <v>4334</v>
      </c>
      <c r="H692" s="366">
        <v>1820</v>
      </c>
      <c r="I692" s="366">
        <v>6154</v>
      </c>
      <c r="K692" s="365"/>
      <c r="L692" s="350">
        <v>0.315</v>
      </c>
      <c r="M692" s="350">
        <v>3.5000000000000003E-2</v>
      </c>
      <c r="N692" s="351" t="str">
        <f t="shared" si="21"/>
        <v>7800018</v>
      </c>
      <c r="P692" s="351" t="str">
        <f t="shared" si="22"/>
        <v>T</v>
      </c>
    </row>
    <row r="693" spans="1:16" ht="23.25">
      <c r="A693" s="360" t="s">
        <v>74</v>
      </c>
      <c r="B693" s="361">
        <v>78000</v>
      </c>
      <c r="C693" s="367">
        <v>20</v>
      </c>
      <c r="D693" s="368">
        <v>40971</v>
      </c>
      <c r="E693" s="368">
        <v>118971</v>
      </c>
      <c r="F693" s="368">
        <v>4551</v>
      </c>
      <c r="G693" s="368">
        <v>3900</v>
      </c>
      <c r="H693" s="364">
        <v>1821</v>
      </c>
      <c r="I693" s="368">
        <v>5721</v>
      </c>
      <c r="K693" s="367"/>
      <c r="L693" s="350">
        <v>0.315</v>
      </c>
      <c r="M693" s="350">
        <v>3.5000000000000003E-2</v>
      </c>
      <c r="N693" s="351" t="str">
        <f t="shared" si="21"/>
        <v>7800020</v>
      </c>
      <c r="P693" s="351" t="str">
        <f t="shared" si="22"/>
        <v>T</v>
      </c>
    </row>
    <row r="694" spans="1:16" ht="23.25">
      <c r="A694" s="360" t="s">
        <v>74</v>
      </c>
      <c r="B694" s="361">
        <v>78000</v>
      </c>
      <c r="C694" s="365">
        <v>22</v>
      </c>
      <c r="D694" s="366">
        <v>45058</v>
      </c>
      <c r="E694" s="366">
        <v>123058</v>
      </c>
      <c r="F694" s="366">
        <v>5006</v>
      </c>
      <c r="G694" s="366">
        <v>3546</v>
      </c>
      <c r="H694" s="366">
        <v>1820</v>
      </c>
      <c r="I694" s="366">
        <v>5366</v>
      </c>
      <c r="K694" s="365"/>
      <c r="L694" s="350">
        <v>0.315</v>
      </c>
      <c r="M694" s="350">
        <v>3.5000000000000003E-2</v>
      </c>
      <c r="N694" s="351" t="str">
        <f t="shared" si="21"/>
        <v>7800022</v>
      </c>
      <c r="P694" s="351" t="str">
        <f t="shared" si="22"/>
        <v>T</v>
      </c>
    </row>
    <row r="695" spans="1:16" ht="23.25">
      <c r="A695" s="360" t="s">
        <v>74</v>
      </c>
      <c r="B695" s="361">
        <v>78000</v>
      </c>
      <c r="C695" s="367">
        <v>24</v>
      </c>
      <c r="D695" s="368">
        <v>49165</v>
      </c>
      <c r="E695" s="368">
        <v>127165</v>
      </c>
      <c r="F695" s="368">
        <v>5461</v>
      </c>
      <c r="G695" s="368">
        <v>3250</v>
      </c>
      <c r="H695" s="368">
        <v>1821</v>
      </c>
      <c r="I695" s="368">
        <v>5071</v>
      </c>
      <c r="K695" s="367"/>
      <c r="L695" s="350">
        <v>0.315</v>
      </c>
      <c r="M695" s="350">
        <v>3.5000000000000003E-2</v>
      </c>
      <c r="N695" s="351" t="str">
        <f t="shared" si="21"/>
        <v>7800024</v>
      </c>
      <c r="P695" s="351" t="str">
        <f t="shared" si="22"/>
        <v>T</v>
      </c>
    </row>
    <row r="696" spans="1:16" ht="23.25">
      <c r="A696" s="360" t="s">
        <v>74</v>
      </c>
      <c r="B696" s="361">
        <v>79000</v>
      </c>
      <c r="C696" s="365">
        <v>4</v>
      </c>
      <c r="D696" s="366">
        <v>8298</v>
      </c>
      <c r="E696" s="366">
        <v>87298</v>
      </c>
      <c r="F696" s="366">
        <v>922</v>
      </c>
      <c r="G696" s="366">
        <v>19750</v>
      </c>
      <c r="H696" s="366">
        <v>1844</v>
      </c>
      <c r="I696" s="366">
        <v>21594</v>
      </c>
      <c r="K696" s="365"/>
      <c r="L696" s="350">
        <v>0.315</v>
      </c>
      <c r="M696" s="350">
        <v>3.5000000000000003E-2</v>
      </c>
      <c r="N696" s="351" t="str">
        <f t="shared" si="21"/>
        <v>790004</v>
      </c>
      <c r="P696" s="351" t="str">
        <f t="shared" si="22"/>
        <v>T</v>
      </c>
    </row>
    <row r="697" spans="1:16" ht="23.25">
      <c r="A697" s="360" t="s">
        <v>74</v>
      </c>
      <c r="B697" s="361">
        <v>79000</v>
      </c>
      <c r="C697" s="367">
        <v>6</v>
      </c>
      <c r="D697" s="368">
        <v>12449</v>
      </c>
      <c r="E697" s="368">
        <v>91449</v>
      </c>
      <c r="F697" s="368">
        <v>1383</v>
      </c>
      <c r="G697" s="368">
        <v>13167</v>
      </c>
      <c r="H697" s="368">
        <v>1844</v>
      </c>
      <c r="I697" s="368">
        <v>15011</v>
      </c>
      <c r="K697" s="367"/>
      <c r="L697" s="350">
        <v>0.315</v>
      </c>
      <c r="M697" s="350">
        <v>3.5000000000000003E-2</v>
      </c>
      <c r="N697" s="351" t="str">
        <f t="shared" si="21"/>
        <v>790006</v>
      </c>
      <c r="P697" s="351" t="str">
        <f t="shared" si="22"/>
        <v>T</v>
      </c>
    </row>
    <row r="698" spans="1:16" ht="23.25">
      <c r="A698" s="360" t="s">
        <v>74</v>
      </c>
      <c r="B698" s="361">
        <v>79000</v>
      </c>
      <c r="C698" s="365">
        <v>8</v>
      </c>
      <c r="D698" s="366">
        <v>16596</v>
      </c>
      <c r="E698" s="366">
        <v>95596</v>
      </c>
      <c r="F698" s="366">
        <v>1844</v>
      </c>
      <c r="G698" s="366">
        <v>9875</v>
      </c>
      <c r="H698" s="366">
        <v>1844</v>
      </c>
      <c r="I698" s="366">
        <v>11719</v>
      </c>
      <c r="K698" s="365"/>
      <c r="L698" s="350">
        <v>0.315</v>
      </c>
      <c r="M698" s="350">
        <v>3.5000000000000003E-2</v>
      </c>
      <c r="N698" s="351" t="str">
        <f t="shared" si="21"/>
        <v>790008</v>
      </c>
      <c r="P698" s="351" t="str">
        <f t="shared" si="22"/>
        <v>T</v>
      </c>
    </row>
    <row r="699" spans="1:16" ht="23.25">
      <c r="A699" s="360" t="s">
        <v>74</v>
      </c>
      <c r="B699" s="361">
        <v>79000</v>
      </c>
      <c r="C699" s="388">
        <v>10</v>
      </c>
      <c r="D699" s="364">
        <v>20745</v>
      </c>
      <c r="E699" s="364">
        <v>99745</v>
      </c>
      <c r="F699" s="364">
        <v>2305</v>
      </c>
      <c r="G699" s="364">
        <v>7900</v>
      </c>
      <c r="H699" s="372">
        <v>1844</v>
      </c>
      <c r="I699" s="364">
        <v>9744</v>
      </c>
      <c r="K699" s="388"/>
      <c r="L699" s="350">
        <v>0.315</v>
      </c>
      <c r="M699" s="350">
        <v>3.5000000000000003E-2</v>
      </c>
      <c r="N699" s="351" t="str">
        <f t="shared" si="21"/>
        <v>7900010</v>
      </c>
      <c r="P699" s="351" t="str">
        <f t="shared" si="22"/>
        <v>T</v>
      </c>
    </row>
    <row r="700" spans="1:16" ht="23.25">
      <c r="A700" s="360" t="s">
        <v>74</v>
      </c>
      <c r="B700" s="361">
        <v>79000</v>
      </c>
      <c r="C700" s="365">
        <v>12</v>
      </c>
      <c r="D700" s="366">
        <v>24890</v>
      </c>
      <c r="E700" s="366">
        <v>103890</v>
      </c>
      <c r="F700" s="366">
        <v>2766</v>
      </c>
      <c r="G700" s="366">
        <v>6584</v>
      </c>
      <c r="H700" s="366">
        <v>1843</v>
      </c>
      <c r="I700" s="366">
        <v>8427</v>
      </c>
      <c r="K700" s="365"/>
      <c r="L700" s="350">
        <v>0.315</v>
      </c>
      <c r="M700" s="350">
        <v>3.5000000000000003E-2</v>
      </c>
      <c r="N700" s="351" t="str">
        <f t="shared" si="21"/>
        <v>7900012</v>
      </c>
      <c r="P700" s="351" t="str">
        <f t="shared" si="22"/>
        <v>T</v>
      </c>
    </row>
    <row r="701" spans="1:16" ht="24" thickBot="1">
      <c r="A701" s="392" t="s">
        <v>74</v>
      </c>
      <c r="B701" s="393">
        <v>79000</v>
      </c>
      <c r="C701" s="399">
        <v>14</v>
      </c>
      <c r="D701" s="400">
        <v>29044</v>
      </c>
      <c r="E701" s="400">
        <v>108044</v>
      </c>
      <c r="F701" s="400">
        <v>3226</v>
      </c>
      <c r="G701" s="400">
        <v>5643</v>
      </c>
      <c r="H701" s="364">
        <v>1844</v>
      </c>
      <c r="I701" s="400">
        <v>7487</v>
      </c>
      <c r="K701" s="399"/>
      <c r="L701" s="350">
        <v>0.315</v>
      </c>
      <c r="M701" s="350">
        <v>3.5000000000000003E-2</v>
      </c>
      <c r="N701" s="351" t="str">
        <f t="shared" si="21"/>
        <v>7900014</v>
      </c>
      <c r="P701" s="351" t="str">
        <f t="shared" si="22"/>
        <v>T</v>
      </c>
    </row>
    <row r="702" spans="1:16" ht="24" thickTop="1">
      <c r="A702" s="355" t="s">
        <v>74</v>
      </c>
      <c r="B702" s="356">
        <v>79000</v>
      </c>
      <c r="C702" s="396">
        <v>16</v>
      </c>
      <c r="D702" s="397">
        <v>33183</v>
      </c>
      <c r="E702" s="397">
        <v>112183</v>
      </c>
      <c r="F702" s="397">
        <v>3687</v>
      </c>
      <c r="G702" s="397">
        <v>4938</v>
      </c>
      <c r="H702" s="397">
        <v>1843</v>
      </c>
      <c r="I702" s="397">
        <v>6781</v>
      </c>
      <c r="K702" s="396"/>
      <c r="L702" s="350">
        <v>0.315</v>
      </c>
      <c r="M702" s="350">
        <v>3.5000000000000003E-2</v>
      </c>
      <c r="N702" s="351" t="str">
        <f t="shared" si="21"/>
        <v>7900016</v>
      </c>
      <c r="P702" s="351" t="str">
        <f t="shared" si="22"/>
        <v>T</v>
      </c>
    </row>
    <row r="703" spans="1:16" ht="23.25">
      <c r="A703" s="360" t="s">
        <v>74</v>
      </c>
      <c r="B703" s="361">
        <v>79000</v>
      </c>
      <c r="C703" s="365">
        <v>18</v>
      </c>
      <c r="D703" s="366">
        <v>37342</v>
      </c>
      <c r="E703" s="366">
        <v>116342</v>
      </c>
      <c r="F703" s="366">
        <v>4148</v>
      </c>
      <c r="G703" s="366">
        <v>4389</v>
      </c>
      <c r="H703" s="366">
        <v>1844</v>
      </c>
      <c r="I703" s="366">
        <v>6233</v>
      </c>
      <c r="K703" s="365"/>
      <c r="L703" s="350">
        <v>0.315</v>
      </c>
      <c r="M703" s="350">
        <v>3.5000000000000003E-2</v>
      </c>
      <c r="N703" s="351" t="str">
        <f t="shared" si="21"/>
        <v>7900018</v>
      </c>
      <c r="P703" s="351" t="str">
        <f t="shared" si="22"/>
        <v>T</v>
      </c>
    </row>
    <row r="704" spans="1:16" ht="23.25">
      <c r="A704" s="360" t="s">
        <v>74</v>
      </c>
      <c r="B704" s="361">
        <v>79000</v>
      </c>
      <c r="C704" s="367">
        <v>20</v>
      </c>
      <c r="D704" s="368">
        <v>41489</v>
      </c>
      <c r="E704" s="368">
        <v>120489</v>
      </c>
      <c r="F704" s="368">
        <v>4609</v>
      </c>
      <c r="G704" s="368">
        <v>3950</v>
      </c>
      <c r="H704" s="364">
        <v>1844</v>
      </c>
      <c r="I704" s="368">
        <v>5794</v>
      </c>
      <c r="K704" s="367"/>
      <c r="L704" s="350">
        <v>0.315</v>
      </c>
      <c r="M704" s="350">
        <v>3.5000000000000003E-2</v>
      </c>
      <c r="N704" s="351" t="str">
        <f t="shared" si="21"/>
        <v>7900020</v>
      </c>
      <c r="P704" s="351" t="str">
        <f t="shared" si="22"/>
        <v>T</v>
      </c>
    </row>
    <row r="705" spans="1:16" ht="23.25">
      <c r="A705" s="360" t="s">
        <v>74</v>
      </c>
      <c r="B705" s="361">
        <v>79000</v>
      </c>
      <c r="C705" s="365">
        <v>22</v>
      </c>
      <c r="D705" s="366">
        <v>45640</v>
      </c>
      <c r="E705" s="366">
        <v>124640</v>
      </c>
      <c r="F705" s="366">
        <v>5070</v>
      </c>
      <c r="G705" s="366">
        <v>3591</v>
      </c>
      <c r="H705" s="366">
        <v>1844</v>
      </c>
      <c r="I705" s="366">
        <v>5435</v>
      </c>
      <c r="K705" s="365"/>
      <c r="L705" s="350">
        <v>0.315</v>
      </c>
      <c r="M705" s="350">
        <v>3.5000000000000003E-2</v>
      </c>
      <c r="N705" s="351" t="str">
        <f t="shared" si="21"/>
        <v>7900022</v>
      </c>
      <c r="P705" s="351" t="str">
        <f t="shared" si="22"/>
        <v>T</v>
      </c>
    </row>
    <row r="706" spans="1:16" ht="23.25">
      <c r="A706" s="360" t="s">
        <v>74</v>
      </c>
      <c r="B706" s="361">
        <v>79000</v>
      </c>
      <c r="C706" s="367">
        <v>24</v>
      </c>
      <c r="D706" s="368">
        <v>49795</v>
      </c>
      <c r="E706" s="368">
        <v>128795</v>
      </c>
      <c r="F706" s="368">
        <v>5531</v>
      </c>
      <c r="G706" s="368">
        <v>3292</v>
      </c>
      <c r="H706" s="368">
        <v>1844</v>
      </c>
      <c r="I706" s="368">
        <v>5136</v>
      </c>
      <c r="K706" s="367"/>
      <c r="L706" s="350">
        <v>0.315</v>
      </c>
      <c r="M706" s="350">
        <v>3.5000000000000003E-2</v>
      </c>
      <c r="N706" s="351" t="str">
        <f t="shared" si="21"/>
        <v>7900024</v>
      </c>
      <c r="P706" s="351" t="str">
        <f t="shared" si="22"/>
        <v>T</v>
      </c>
    </row>
    <row r="707" spans="1:16" ht="23.25">
      <c r="A707" s="360" t="s">
        <v>74</v>
      </c>
      <c r="B707" s="361">
        <v>80000</v>
      </c>
      <c r="C707" s="365">
        <v>4</v>
      </c>
      <c r="D707" s="366">
        <v>8402</v>
      </c>
      <c r="E707" s="366">
        <v>88402</v>
      </c>
      <c r="F707" s="366">
        <v>934</v>
      </c>
      <c r="G707" s="366">
        <v>20000</v>
      </c>
      <c r="H707" s="366">
        <v>1867</v>
      </c>
      <c r="I707" s="366">
        <v>21867</v>
      </c>
      <c r="K707" s="365"/>
      <c r="L707" s="350">
        <v>0.315</v>
      </c>
      <c r="M707" s="350">
        <v>3.5000000000000003E-2</v>
      </c>
      <c r="N707" s="351" t="str">
        <f t="shared" si="21"/>
        <v>800004</v>
      </c>
      <c r="P707" s="351" t="str">
        <f t="shared" si="22"/>
        <v>T</v>
      </c>
    </row>
    <row r="708" spans="1:16" ht="23.25">
      <c r="A708" s="360" t="s">
        <v>74</v>
      </c>
      <c r="B708" s="361">
        <v>80000</v>
      </c>
      <c r="C708" s="367">
        <v>6</v>
      </c>
      <c r="D708" s="368">
        <v>12607</v>
      </c>
      <c r="E708" s="368">
        <v>92607</v>
      </c>
      <c r="F708" s="368">
        <v>1401</v>
      </c>
      <c r="G708" s="368">
        <v>13334</v>
      </c>
      <c r="H708" s="368">
        <v>1867</v>
      </c>
      <c r="I708" s="368">
        <v>15201</v>
      </c>
      <c r="K708" s="367"/>
      <c r="L708" s="350">
        <v>0.315</v>
      </c>
      <c r="M708" s="350">
        <v>3.5000000000000003E-2</v>
      </c>
      <c r="N708" s="351" t="str">
        <f t="shared" si="21"/>
        <v>800006</v>
      </c>
      <c r="P708" s="351" t="str">
        <f t="shared" si="22"/>
        <v>T</v>
      </c>
    </row>
    <row r="709" spans="1:16" ht="23.25">
      <c r="A709" s="360" t="s">
        <v>74</v>
      </c>
      <c r="B709" s="361">
        <v>80000</v>
      </c>
      <c r="C709" s="365">
        <v>8</v>
      </c>
      <c r="D709" s="366">
        <v>16803</v>
      </c>
      <c r="E709" s="366">
        <v>96803</v>
      </c>
      <c r="F709" s="366">
        <v>1867</v>
      </c>
      <c r="G709" s="366">
        <v>10000</v>
      </c>
      <c r="H709" s="366">
        <v>1867</v>
      </c>
      <c r="I709" s="366">
        <v>11867</v>
      </c>
      <c r="K709" s="365"/>
      <c r="L709" s="350">
        <v>0.315</v>
      </c>
      <c r="M709" s="350">
        <v>3.5000000000000003E-2</v>
      </c>
      <c r="N709" s="351" t="str">
        <f t="shared" ref="N709:N772" si="23">CONCATENATE(B709,C709)</f>
        <v>800008</v>
      </c>
      <c r="P709" s="351" t="str">
        <f t="shared" si="22"/>
        <v>T</v>
      </c>
    </row>
    <row r="710" spans="1:16" ht="23.25">
      <c r="A710" s="360" t="s">
        <v>74</v>
      </c>
      <c r="B710" s="361">
        <v>80000</v>
      </c>
      <c r="C710" s="388">
        <v>10</v>
      </c>
      <c r="D710" s="364">
        <v>21004</v>
      </c>
      <c r="E710" s="364">
        <v>101004</v>
      </c>
      <c r="F710" s="364">
        <v>2334</v>
      </c>
      <c r="G710" s="364">
        <v>8000</v>
      </c>
      <c r="H710" s="372">
        <v>1867</v>
      </c>
      <c r="I710" s="364">
        <v>9867</v>
      </c>
      <c r="K710" s="388"/>
      <c r="L710" s="350">
        <v>0.315</v>
      </c>
      <c r="M710" s="350">
        <v>3.5000000000000003E-2</v>
      </c>
      <c r="N710" s="351" t="str">
        <f t="shared" si="23"/>
        <v>8000010</v>
      </c>
      <c r="P710" s="351" t="str">
        <f t="shared" si="22"/>
        <v>T</v>
      </c>
    </row>
    <row r="711" spans="1:16" ht="23.25">
      <c r="A711" s="360" t="s">
        <v>74</v>
      </c>
      <c r="B711" s="361">
        <v>80000</v>
      </c>
      <c r="C711" s="365">
        <v>12</v>
      </c>
      <c r="D711" s="366">
        <v>25209</v>
      </c>
      <c r="E711" s="366">
        <v>105209</v>
      </c>
      <c r="F711" s="366">
        <v>2801</v>
      </c>
      <c r="G711" s="366">
        <v>6667</v>
      </c>
      <c r="H711" s="366">
        <v>1867</v>
      </c>
      <c r="I711" s="366">
        <v>8534</v>
      </c>
      <c r="K711" s="365"/>
      <c r="L711" s="350">
        <v>0.315</v>
      </c>
      <c r="M711" s="350">
        <v>3.5000000000000003E-2</v>
      </c>
      <c r="N711" s="351" t="str">
        <f t="shared" si="23"/>
        <v>8000012</v>
      </c>
      <c r="P711" s="351" t="str">
        <f t="shared" si="22"/>
        <v>T</v>
      </c>
    </row>
    <row r="712" spans="1:16" ht="24" thickBot="1">
      <c r="A712" s="392" t="s">
        <v>74</v>
      </c>
      <c r="B712" s="393">
        <v>80000</v>
      </c>
      <c r="C712" s="399">
        <v>14</v>
      </c>
      <c r="D712" s="400">
        <v>29401</v>
      </c>
      <c r="E712" s="400">
        <v>109401</v>
      </c>
      <c r="F712" s="400">
        <v>3267</v>
      </c>
      <c r="G712" s="400">
        <v>5715</v>
      </c>
      <c r="H712" s="364">
        <v>1866</v>
      </c>
      <c r="I712" s="400">
        <v>7581</v>
      </c>
      <c r="K712" s="399"/>
      <c r="L712" s="350">
        <v>0.315</v>
      </c>
      <c r="M712" s="350">
        <v>3.5000000000000003E-2</v>
      </c>
      <c r="N712" s="351" t="str">
        <f t="shared" si="23"/>
        <v>8000014</v>
      </c>
      <c r="P712" s="351" t="str">
        <f t="shared" si="22"/>
        <v>T</v>
      </c>
    </row>
    <row r="713" spans="1:16" ht="24" thickTop="1">
      <c r="A713" s="384" t="s">
        <v>74</v>
      </c>
      <c r="B713" s="385">
        <v>80000</v>
      </c>
      <c r="C713" s="357">
        <v>16</v>
      </c>
      <c r="D713" s="358">
        <v>33606</v>
      </c>
      <c r="E713" s="358">
        <v>113606</v>
      </c>
      <c r="F713" s="358">
        <v>3734</v>
      </c>
      <c r="G713" s="358">
        <v>5000</v>
      </c>
      <c r="H713" s="358">
        <v>1867</v>
      </c>
      <c r="I713" s="358">
        <v>6867</v>
      </c>
      <c r="K713" s="357"/>
      <c r="L713" s="350">
        <v>0.315</v>
      </c>
      <c r="M713" s="350">
        <v>3.5000000000000003E-2</v>
      </c>
      <c r="N713" s="351" t="str">
        <f t="shared" si="23"/>
        <v>8000016</v>
      </c>
      <c r="P713" s="351" t="str">
        <f t="shared" si="22"/>
        <v>T</v>
      </c>
    </row>
    <row r="714" spans="1:16" ht="23.25">
      <c r="A714" s="386" t="s">
        <v>74</v>
      </c>
      <c r="B714" s="387">
        <v>80000</v>
      </c>
      <c r="C714" s="388">
        <v>18</v>
      </c>
      <c r="D714" s="364">
        <v>37817</v>
      </c>
      <c r="E714" s="364">
        <v>117817</v>
      </c>
      <c r="F714" s="364">
        <v>4201</v>
      </c>
      <c r="G714" s="364">
        <v>4445</v>
      </c>
      <c r="H714" s="364">
        <v>1867</v>
      </c>
      <c r="I714" s="364">
        <v>6312</v>
      </c>
      <c r="K714" s="388"/>
      <c r="L714" s="350">
        <v>0.315</v>
      </c>
      <c r="M714" s="350">
        <v>3.5000000000000003E-2</v>
      </c>
      <c r="N714" s="351" t="str">
        <f t="shared" si="23"/>
        <v>8000018</v>
      </c>
      <c r="P714" s="351" t="str">
        <f t="shared" si="22"/>
        <v>T</v>
      </c>
    </row>
    <row r="715" spans="1:16" ht="23.25">
      <c r="A715" s="386" t="s">
        <v>74</v>
      </c>
      <c r="B715" s="387">
        <v>80000</v>
      </c>
      <c r="C715" s="365">
        <v>20</v>
      </c>
      <c r="D715" s="366">
        <v>42007</v>
      </c>
      <c r="E715" s="366">
        <v>122007</v>
      </c>
      <c r="F715" s="366">
        <v>4667</v>
      </c>
      <c r="G715" s="366">
        <v>4000</v>
      </c>
      <c r="H715" s="366">
        <v>1867</v>
      </c>
      <c r="I715" s="366">
        <v>5867</v>
      </c>
      <c r="K715" s="365"/>
      <c r="L715" s="350">
        <v>0.315</v>
      </c>
      <c r="M715" s="350">
        <v>3.5000000000000003E-2</v>
      </c>
      <c r="N715" s="351" t="str">
        <f t="shared" si="23"/>
        <v>8000020</v>
      </c>
      <c r="P715" s="351" t="str">
        <f t="shared" si="22"/>
        <v>T</v>
      </c>
    </row>
    <row r="716" spans="1:16" ht="23.25">
      <c r="A716" s="386" t="s">
        <v>74</v>
      </c>
      <c r="B716" s="387">
        <v>80000</v>
      </c>
      <c r="C716" s="367">
        <v>22</v>
      </c>
      <c r="D716" s="368">
        <v>46222</v>
      </c>
      <c r="E716" s="368">
        <v>126222</v>
      </c>
      <c r="F716" s="368">
        <v>5134</v>
      </c>
      <c r="G716" s="368">
        <v>3637</v>
      </c>
      <c r="H716" s="368">
        <v>1867</v>
      </c>
      <c r="I716" s="368">
        <v>5504</v>
      </c>
      <c r="K716" s="367"/>
      <c r="L716" s="350">
        <v>0.315</v>
      </c>
      <c r="M716" s="350">
        <v>3.5000000000000003E-2</v>
      </c>
      <c r="N716" s="351" t="str">
        <f t="shared" si="23"/>
        <v>8000022</v>
      </c>
      <c r="P716" s="351" t="str">
        <f t="shared" si="22"/>
        <v>T</v>
      </c>
    </row>
    <row r="717" spans="1:16" ht="23.25">
      <c r="A717" s="386" t="s">
        <v>74</v>
      </c>
      <c r="B717" s="387">
        <v>80000</v>
      </c>
      <c r="C717" s="365">
        <v>24</v>
      </c>
      <c r="D717" s="366">
        <v>50425</v>
      </c>
      <c r="E717" s="366">
        <v>130425</v>
      </c>
      <c r="F717" s="366">
        <v>5601</v>
      </c>
      <c r="G717" s="366">
        <v>3334</v>
      </c>
      <c r="H717" s="366">
        <v>1867</v>
      </c>
      <c r="I717" s="366">
        <v>5201</v>
      </c>
      <c r="K717" s="365"/>
      <c r="L717" s="350">
        <v>0.315</v>
      </c>
      <c r="M717" s="350">
        <v>3.5000000000000003E-2</v>
      </c>
      <c r="N717" s="351" t="str">
        <f t="shared" si="23"/>
        <v>8000024</v>
      </c>
      <c r="P717" s="351" t="str">
        <f t="shared" si="22"/>
        <v>T</v>
      </c>
    </row>
    <row r="718" spans="1:16" ht="23.25">
      <c r="A718" s="386" t="s">
        <v>74</v>
      </c>
      <c r="B718" s="387">
        <v>81000</v>
      </c>
      <c r="C718" s="367">
        <v>4</v>
      </c>
      <c r="D718" s="368">
        <v>8510</v>
      </c>
      <c r="E718" s="368">
        <v>89510</v>
      </c>
      <c r="F718" s="368">
        <v>946</v>
      </c>
      <c r="G718" s="368">
        <v>20250</v>
      </c>
      <c r="H718" s="368">
        <v>1891</v>
      </c>
      <c r="I718" s="368">
        <v>22141</v>
      </c>
      <c r="K718" s="367"/>
      <c r="L718" s="350">
        <v>0.315</v>
      </c>
      <c r="M718" s="350">
        <v>3.5000000000000003E-2</v>
      </c>
      <c r="N718" s="351" t="str">
        <f t="shared" si="23"/>
        <v>810004</v>
      </c>
      <c r="P718" s="351" t="str">
        <f t="shared" si="22"/>
        <v>T</v>
      </c>
    </row>
    <row r="719" spans="1:16" ht="23.25">
      <c r="A719" s="386" t="s">
        <v>74</v>
      </c>
      <c r="B719" s="387">
        <v>81000</v>
      </c>
      <c r="C719" s="365">
        <v>6</v>
      </c>
      <c r="D719" s="366">
        <v>12764</v>
      </c>
      <c r="E719" s="366">
        <v>93764</v>
      </c>
      <c r="F719" s="366">
        <v>1418</v>
      </c>
      <c r="G719" s="366">
        <v>13500</v>
      </c>
      <c r="H719" s="366">
        <v>1891</v>
      </c>
      <c r="I719" s="366">
        <v>15391</v>
      </c>
      <c r="K719" s="365"/>
      <c r="L719" s="350">
        <v>0.315</v>
      </c>
      <c r="M719" s="350">
        <v>3.5000000000000003E-2</v>
      </c>
      <c r="N719" s="351" t="str">
        <f t="shared" si="23"/>
        <v>810006</v>
      </c>
      <c r="P719" s="351" t="str">
        <f t="shared" si="22"/>
        <v>T</v>
      </c>
    </row>
    <row r="720" spans="1:16" ht="23.25">
      <c r="A720" s="386" t="s">
        <v>74</v>
      </c>
      <c r="B720" s="387">
        <v>81000</v>
      </c>
      <c r="C720" s="367">
        <v>8</v>
      </c>
      <c r="D720" s="368">
        <v>17019</v>
      </c>
      <c r="E720" s="368">
        <v>98019</v>
      </c>
      <c r="F720" s="368">
        <v>1891</v>
      </c>
      <c r="G720" s="368">
        <v>10125</v>
      </c>
      <c r="H720" s="372">
        <v>1891</v>
      </c>
      <c r="I720" s="368">
        <v>12016</v>
      </c>
      <c r="K720" s="367"/>
      <c r="L720" s="350">
        <v>0.315</v>
      </c>
      <c r="M720" s="350">
        <v>3.5000000000000003E-2</v>
      </c>
      <c r="N720" s="351" t="str">
        <f t="shared" si="23"/>
        <v>810008</v>
      </c>
      <c r="P720" s="351" t="str">
        <f t="shared" si="22"/>
        <v>T</v>
      </c>
    </row>
    <row r="721" spans="1:16" ht="23.25">
      <c r="A721" s="386" t="s">
        <v>74</v>
      </c>
      <c r="B721" s="387">
        <v>81000</v>
      </c>
      <c r="C721" s="365">
        <v>10</v>
      </c>
      <c r="D721" s="366">
        <v>21273</v>
      </c>
      <c r="E721" s="366">
        <v>102273</v>
      </c>
      <c r="F721" s="366">
        <v>2363</v>
      </c>
      <c r="G721" s="366">
        <v>8100</v>
      </c>
      <c r="H721" s="366">
        <v>1891</v>
      </c>
      <c r="I721" s="366">
        <v>9991</v>
      </c>
      <c r="K721" s="365"/>
      <c r="L721" s="350">
        <v>0.315</v>
      </c>
      <c r="M721" s="350">
        <v>3.5000000000000003E-2</v>
      </c>
      <c r="N721" s="351" t="str">
        <f t="shared" si="23"/>
        <v>8100010</v>
      </c>
      <c r="P721" s="351" t="str">
        <f t="shared" ref="P721:P784" si="24">IF((E721-F721)/C721=I721,"T","F")</f>
        <v>T</v>
      </c>
    </row>
    <row r="722" spans="1:16" ht="23.25">
      <c r="A722" s="386" t="s">
        <v>74</v>
      </c>
      <c r="B722" s="387">
        <v>81000</v>
      </c>
      <c r="C722" s="388">
        <v>12</v>
      </c>
      <c r="D722" s="364">
        <v>25528</v>
      </c>
      <c r="E722" s="364">
        <v>106528</v>
      </c>
      <c r="F722" s="364">
        <v>2836</v>
      </c>
      <c r="G722" s="364">
        <v>6750</v>
      </c>
      <c r="H722" s="364">
        <v>1891</v>
      </c>
      <c r="I722" s="364">
        <v>8641</v>
      </c>
      <c r="K722" s="388"/>
      <c r="L722" s="350">
        <v>0.315</v>
      </c>
      <c r="M722" s="350">
        <v>3.5000000000000003E-2</v>
      </c>
      <c r="N722" s="351" t="str">
        <f t="shared" si="23"/>
        <v>8100012</v>
      </c>
      <c r="P722" s="351" t="str">
        <f t="shared" si="24"/>
        <v>T</v>
      </c>
    </row>
    <row r="723" spans="1:16" ht="24" thickBot="1">
      <c r="A723" s="389" t="s">
        <v>74</v>
      </c>
      <c r="B723" s="390">
        <v>81000</v>
      </c>
      <c r="C723" s="381">
        <v>14</v>
      </c>
      <c r="D723" s="398">
        <v>29772</v>
      </c>
      <c r="E723" s="398">
        <v>110772</v>
      </c>
      <c r="F723" s="398">
        <v>3308</v>
      </c>
      <c r="G723" s="398">
        <v>5786</v>
      </c>
      <c r="H723" s="366">
        <v>1890</v>
      </c>
      <c r="I723" s="398">
        <v>7676</v>
      </c>
      <c r="K723" s="381"/>
      <c r="L723" s="350">
        <v>0.315</v>
      </c>
      <c r="M723" s="350">
        <v>3.5000000000000003E-2</v>
      </c>
      <c r="N723" s="351" t="str">
        <f t="shared" si="23"/>
        <v>8100014</v>
      </c>
      <c r="P723" s="351" t="str">
        <f t="shared" si="24"/>
        <v>T</v>
      </c>
    </row>
    <row r="724" spans="1:16" ht="24" thickTop="1">
      <c r="A724" s="355" t="s">
        <v>74</v>
      </c>
      <c r="B724" s="356">
        <v>81000</v>
      </c>
      <c r="C724" s="396">
        <v>16</v>
      </c>
      <c r="D724" s="397">
        <v>34029</v>
      </c>
      <c r="E724" s="397">
        <v>115029</v>
      </c>
      <c r="F724" s="397">
        <v>3781</v>
      </c>
      <c r="G724" s="397">
        <v>5063</v>
      </c>
      <c r="H724" s="397">
        <v>1890</v>
      </c>
      <c r="I724" s="397">
        <v>6953</v>
      </c>
      <c r="K724" s="396"/>
      <c r="L724" s="350">
        <v>0.315</v>
      </c>
      <c r="M724" s="350">
        <v>3.5000000000000003E-2</v>
      </c>
      <c r="N724" s="351" t="str">
        <f t="shared" si="23"/>
        <v>8100016</v>
      </c>
      <c r="P724" s="351" t="str">
        <f t="shared" si="24"/>
        <v>T</v>
      </c>
    </row>
    <row r="725" spans="1:16" ht="23.25">
      <c r="A725" s="360" t="s">
        <v>74</v>
      </c>
      <c r="B725" s="361">
        <v>81000</v>
      </c>
      <c r="C725" s="365">
        <v>18</v>
      </c>
      <c r="D725" s="366">
        <v>38291</v>
      </c>
      <c r="E725" s="366">
        <v>119291</v>
      </c>
      <c r="F725" s="366">
        <v>4253</v>
      </c>
      <c r="G725" s="366">
        <v>4500</v>
      </c>
      <c r="H725" s="366">
        <v>1891</v>
      </c>
      <c r="I725" s="366">
        <v>6391</v>
      </c>
      <c r="K725" s="365"/>
      <c r="L725" s="350">
        <v>0.315</v>
      </c>
      <c r="M725" s="350">
        <v>3.5000000000000003E-2</v>
      </c>
      <c r="N725" s="351" t="str">
        <f t="shared" si="23"/>
        <v>8100018</v>
      </c>
      <c r="P725" s="351" t="str">
        <f t="shared" si="24"/>
        <v>T</v>
      </c>
    </row>
    <row r="726" spans="1:16" ht="23.25">
      <c r="A726" s="360" t="s">
        <v>74</v>
      </c>
      <c r="B726" s="361">
        <v>81000</v>
      </c>
      <c r="C726" s="367">
        <v>20</v>
      </c>
      <c r="D726" s="368">
        <v>42546</v>
      </c>
      <c r="E726" s="368">
        <v>123546</v>
      </c>
      <c r="F726" s="368">
        <v>4726</v>
      </c>
      <c r="G726" s="368">
        <v>4050</v>
      </c>
      <c r="H726" s="364">
        <v>1891</v>
      </c>
      <c r="I726" s="368">
        <v>5941</v>
      </c>
      <c r="K726" s="367"/>
      <c r="L726" s="350">
        <v>0.315</v>
      </c>
      <c r="M726" s="350">
        <v>3.5000000000000003E-2</v>
      </c>
      <c r="N726" s="351" t="str">
        <f t="shared" si="23"/>
        <v>8100020</v>
      </c>
      <c r="P726" s="351" t="str">
        <f t="shared" si="24"/>
        <v>T</v>
      </c>
    </row>
    <row r="727" spans="1:16" ht="23.25">
      <c r="A727" s="360" t="s">
        <v>74</v>
      </c>
      <c r="B727" s="361">
        <v>81000</v>
      </c>
      <c r="C727" s="365">
        <v>22</v>
      </c>
      <c r="D727" s="366">
        <v>46782</v>
      </c>
      <c r="E727" s="366">
        <v>127782</v>
      </c>
      <c r="F727" s="366">
        <v>5198</v>
      </c>
      <c r="G727" s="366">
        <v>3682</v>
      </c>
      <c r="H727" s="366">
        <v>1890</v>
      </c>
      <c r="I727" s="366">
        <v>5572</v>
      </c>
      <c r="K727" s="365"/>
      <c r="L727" s="350">
        <v>0.315</v>
      </c>
      <c r="M727" s="350">
        <v>3.5000000000000003E-2</v>
      </c>
      <c r="N727" s="351" t="str">
        <f t="shared" si="23"/>
        <v>8100022</v>
      </c>
      <c r="P727" s="351" t="str">
        <f t="shared" si="24"/>
        <v>T</v>
      </c>
    </row>
    <row r="728" spans="1:16" ht="23.25">
      <c r="A728" s="360" t="s">
        <v>74</v>
      </c>
      <c r="B728" s="361">
        <v>81000</v>
      </c>
      <c r="C728" s="367">
        <v>24</v>
      </c>
      <c r="D728" s="368">
        <v>51055</v>
      </c>
      <c r="E728" s="368">
        <v>132055</v>
      </c>
      <c r="F728" s="368">
        <v>5671</v>
      </c>
      <c r="G728" s="368">
        <v>3375</v>
      </c>
      <c r="H728" s="368">
        <v>1891</v>
      </c>
      <c r="I728" s="368">
        <v>5266</v>
      </c>
      <c r="K728" s="367"/>
      <c r="L728" s="350">
        <v>0.315</v>
      </c>
      <c r="M728" s="350">
        <v>3.5000000000000003E-2</v>
      </c>
      <c r="N728" s="351" t="str">
        <f t="shared" si="23"/>
        <v>8100024</v>
      </c>
      <c r="P728" s="351" t="str">
        <f t="shared" si="24"/>
        <v>T</v>
      </c>
    </row>
    <row r="729" spans="1:16" ht="23.25">
      <c r="A729" s="360" t="s">
        <v>74</v>
      </c>
      <c r="B729" s="361">
        <v>82000</v>
      </c>
      <c r="C729" s="365">
        <v>4</v>
      </c>
      <c r="D729" s="366">
        <v>8613</v>
      </c>
      <c r="E729" s="366">
        <v>90613</v>
      </c>
      <c r="F729" s="366">
        <v>957</v>
      </c>
      <c r="G729" s="366">
        <v>20500</v>
      </c>
      <c r="H729" s="366">
        <v>1914</v>
      </c>
      <c r="I729" s="366">
        <v>22414</v>
      </c>
      <c r="K729" s="365"/>
      <c r="L729" s="350">
        <v>0.315</v>
      </c>
      <c r="M729" s="350">
        <v>3.5000000000000003E-2</v>
      </c>
      <c r="N729" s="351" t="str">
        <f t="shared" si="23"/>
        <v>820004</v>
      </c>
      <c r="P729" s="351" t="str">
        <f t="shared" si="24"/>
        <v>T</v>
      </c>
    </row>
    <row r="730" spans="1:16" ht="23.25">
      <c r="A730" s="360" t="s">
        <v>74</v>
      </c>
      <c r="B730" s="361">
        <v>82000</v>
      </c>
      <c r="C730" s="367">
        <v>6</v>
      </c>
      <c r="D730" s="368">
        <v>12922</v>
      </c>
      <c r="E730" s="368">
        <v>94922</v>
      </c>
      <c r="F730" s="368">
        <v>1436</v>
      </c>
      <c r="G730" s="368">
        <v>13667</v>
      </c>
      <c r="H730" s="368">
        <v>1914</v>
      </c>
      <c r="I730" s="368">
        <v>15581</v>
      </c>
      <c r="K730" s="367"/>
      <c r="L730" s="350">
        <v>0.315</v>
      </c>
      <c r="M730" s="350">
        <v>3.5000000000000003E-2</v>
      </c>
      <c r="N730" s="351" t="str">
        <f t="shared" si="23"/>
        <v>820006</v>
      </c>
      <c r="P730" s="351" t="str">
        <f t="shared" si="24"/>
        <v>T</v>
      </c>
    </row>
    <row r="731" spans="1:16" ht="23.25">
      <c r="A731" s="360" t="s">
        <v>74</v>
      </c>
      <c r="B731" s="361">
        <v>82000</v>
      </c>
      <c r="C731" s="365">
        <v>8</v>
      </c>
      <c r="D731" s="366">
        <v>17226</v>
      </c>
      <c r="E731" s="366">
        <v>99226</v>
      </c>
      <c r="F731" s="366">
        <v>1914</v>
      </c>
      <c r="G731" s="366">
        <v>10250</v>
      </c>
      <c r="H731" s="366">
        <v>1914</v>
      </c>
      <c r="I731" s="366">
        <v>12164</v>
      </c>
      <c r="K731" s="365"/>
      <c r="L731" s="350">
        <v>0.315</v>
      </c>
      <c r="M731" s="350">
        <v>3.5000000000000003E-2</v>
      </c>
      <c r="N731" s="351" t="str">
        <f t="shared" si="23"/>
        <v>820008</v>
      </c>
      <c r="P731" s="351" t="str">
        <f t="shared" si="24"/>
        <v>T</v>
      </c>
    </row>
    <row r="732" spans="1:16" ht="23.25">
      <c r="A732" s="360" t="s">
        <v>74</v>
      </c>
      <c r="B732" s="361">
        <v>82000</v>
      </c>
      <c r="C732" s="388">
        <v>10</v>
      </c>
      <c r="D732" s="364">
        <v>21532</v>
      </c>
      <c r="E732" s="364">
        <v>103532</v>
      </c>
      <c r="F732" s="364">
        <v>2392</v>
      </c>
      <c r="G732" s="364">
        <v>8200</v>
      </c>
      <c r="H732" s="372">
        <v>1914</v>
      </c>
      <c r="I732" s="364">
        <v>10114</v>
      </c>
      <c r="K732" s="388"/>
      <c r="L732" s="350">
        <v>0.315</v>
      </c>
      <c r="M732" s="350">
        <v>3.5000000000000003E-2</v>
      </c>
      <c r="N732" s="351" t="str">
        <f t="shared" si="23"/>
        <v>8200010</v>
      </c>
      <c r="P732" s="351" t="str">
        <f t="shared" si="24"/>
        <v>T</v>
      </c>
    </row>
    <row r="733" spans="1:16" ht="23.25">
      <c r="A733" s="360" t="s">
        <v>74</v>
      </c>
      <c r="B733" s="361">
        <v>82000</v>
      </c>
      <c r="C733" s="365">
        <v>12</v>
      </c>
      <c r="D733" s="366">
        <v>25835</v>
      </c>
      <c r="E733" s="366">
        <v>107835</v>
      </c>
      <c r="F733" s="366">
        <v>2871</v>
      </c>
      <c r="G733" s="366">
        <v>6834</v>
      </c>
      <c r="H733" s="366">
        <v>1913</v>
      </c>
      <c r="I733" s="366">
        <v>8747</v>
      </c>
      <c r="K733" s="365"/>
      <c r="L733" s="350">
        <v>0.315</v>
      </c>
      <c r="M733" s="350">
        <v>3.5000000000000003E-2</v>
      </c>
      <c r="N733" s="351" t="str">
        <f t="shared" si="23"/>
        <v>8200012</v>
      </c>
      <c r="P733" s="351" t="str">
        <f t="shared" si="24"/>
        <v>T</v>
      </c>
    </row>
    <row r="734" spans="1:16" ht="24" thickBot="1">
      <c r="A734" s="392" t="s">
        <v>74</v>
      </c>
      <c r="B734" s="393">
        <v>82000</v>
      </c>
      <c r="C734" s="399">
        <v>14</v>
      </c>
      <c r="D734" s="400">
        <v>30143</v>
      </c>
      <c r="E734" s="400">
        <v>112143</v>
      </c>
      <c r="F734" s="400">
        <v>3349</v>
      </c>
      <c r="G734" s="400">
        <v>5858</v>
      </c>
      <c r="H734" s="364">
        <v>1913</v>
      </c>
      <c r="I734" s="400">
        <v>7771</v>
      </c>
      <c r="K734" s="399"/>
      <c r="L734" s="350">
        <v>0.315</v>
      </c>
      <c r="M734" s="350">
        <v>3.5000000000000003E-2</v>
      </c>
      <c r="N734" s="351" t="str">
        <f t="shared" si="23"/>
        <v>8200014</v>
      </c>
      <c r="P734" s="351" t="str">
        <f t="shared" si="24"/>
        <v>T</v>
      </c>
    </row>
    <row r="735" spans="1:16" ht="24" thickTop="1">
      <c r="A735" s="384" t="s">
        <v>74</v>
      </c>
      <c r="B735" s="385">
        <v>82000</v>
      </c>
      <c r="C735" s="357">
        <v>16</v>
      </c>
      <c r="D735" s="358">
        <v>34451</v>
      </c>
      <c r="E735" s="358">
        <v>116451</v>
      </c>
      <c r="F735" s="358">
        <v>3827</v>
      </c>
      <c r="G735" s="358">
        <v>5125</v>
      </c>
      <c r="H735" s="358">
        <v>1914</v>
      </c>
      <c r="I735" s="358">
        <v>7039</v>
      </c>
      <c r="K735" s="357"/>
      <c r="L735" s="350">
        <v>0.315</v>
      </c>
      <c r="M735" s="350">
        <v>3.5000000000000003E-2</v>
      </c>
      <c r="N735" s="351" t="str">
        <f t="shared" si="23"/>
        <v>8200016</v>
      </c>
      <c r="P735" s="351" t="str">
        <f t="shared" si="24"/>
        <v>T</v>
      </c>
    </row>
    <row r="736" spans="1:16" ht="23.25">
      <c r="A736" s="386" t="s">
        <v>74</v>
      </c>
      <c r="B736" s="387">
        <v>82000</v>
      </c>
      <c r="C736" s="388">
        <v>18</v>
      </c>
      <c r="D736" s="364">
        <v>38748</v>
      </c>
      <c r="E736" s="364">
        <v>120748</v>
      </c>
      <c r="F736" s="364">
        <v>4306</v>
      </c>
      <c r="G736" s="364">
        <v>4556</v>
      </c>
      <c r="H736" s="364">
        <v>1913</v>
      </c>
      <c r="I736" s="364">
        <v>6469</v>
      </c>
      <c r="K736" s="388"/>
      <c r="L736" s="350">
        <v>0.315</v>
      </c>
      <c r="M736" s="350">
        <v>3.5000000000000003E-2</v>
      </c>
      <c r="N736" s="351" t="str">
        <f t="shared" si="23"/>
        <v>8200018</v>
      </c>
      <c r="P736" s="351" t="str">
        <f t="shared" si="24"/>
        <v>T</v>
      </c>
    </row>
    <row r="737" spans="1:16" ht="23.25">
      <c r="A737" s="386" t="s">
        <v>74</v>
      </c>
      <c r="B737" s="387">
        <v>82000</v>
      </c>
      <c r="C737" s="365">
        <v>20</v>
      </c>
      <c r="D737" s="366">
        <v>43064</v>
      </c>
      <c r="E737" s="366">
        <v>125064</v>
      </c>
      <c r="F737" s="366">
        <v>4784</v>
      </c>
      <c r="G737" s="366">
        <v>4100</v>
      </c>
      <c r="H737" s="366">
        <v>1914</v>
      </c>
      <c r="I737" s="366">
        <v>6014</v>
      </c>
      <c r="K737" s="365"/>
      <c r="L737" s="350">
        <v>0.315</v>
      </c>
      <c r="M737" s="350">
        <v>3.5000000000000003E-2</v>
      </c>
      <c r="N737" s="351" t="str">
        <f t="shared" si="23"/>
        <v>8200020</v>
      </c>
      <c r="P737" s="351" t="str">
        <f t="shared" si="24"/>
        <v>T</v>
      </c>
    </row>
    <row r="738" spans="1:16" ht="23.25">
      <c r="A738" s="386" t="s">
        <v>74</v>
      </c>
      <c r="B738" s="387">
        <v>82000</v>
      </c>
      <c r="C738" s="367">
        <v>22</v>
      </c>
      <c r="D738" s="368">
        <v>47364</v>
      </c>
      <c r="E738" s="368">
        <v>129364</v>
      </c>
      <c r="F738" s="368">
        <v>5262</v>
      </c>
      <c r="G738" s="368">
        <v>3728</v>
      </c>
      <c r="H738" s="368">
        <v>1913</v>
      </c>
      <c r="I738" s="368">
        <v>5641</v>
      </c>
      <c r="K738" s="367"/>
      <c r="L738" s="350">
        <v>0.315</v>
      </c>
      <c r="M738" s="350">
        <v>3.5000000000000003E-2</v>
      </c>
      <c r="N738" s="351" t="str">
        <f t="shared" si="23"/>
        <v>8200022</v>
      </c>
      <c r="P738" s="351" t="str">
        <f t="shared" si="24"/>
        <v>T</v>
      </c>
    </row>
    <row r="739" spans="1:16" ht="23.25">
      <c r="A739" s="386" t="s">
        <v>74</v>
      </c>
      <c r="B739" s="387">
        <v>82000</v>
      </c>
      <c r="C739" s="365">
        <v>24</v>
      </c>
      <c r="D739" s="366">
        <v>51685</v>
      </c>
      <c r="E739" s="366">
        <v>133685</v>
      </c>
      <c r="F739" s="366">
        <v>5741</v>
      </c>
      <c r="G739" s="366">
        <v>3417</v>
      </c>
      <c r="H739" s="366">
        <v>1914</v>
      </c>
      <c r="I739" s="366">
        <v>5331</v>
      </c>
      <c r="K739" s="365"/>
      <c r="L739" s="350">
        <v>0.315</v>
      </c>
      <c r="M739" s="350">
        <v>3.5000000000000003E-2</v>
      </c>
      <c r="N739" s="351" t="str">
        <f t="shared" si="23"/>
        <v>8200024</v>
      </c>
      <c r="P739" s="351" t="str">
        <f t="shared" si="24"/>
        <v>T</v>
      </c>
    </row>
    <row r="740" spans="1:16" ht="23.25">
      <c r="A740" s="386" t="s">
        <v>74</v>
      </c>
      <c r="B740" s="387">
        <v>83000</v>
      </c>
      <c r="C740" s="367">
        <v>4</v>
      </c>
      <c r="D740" s="368">
        <v>8717</v>
      </c>
      <c r="E740" s="368">
        <v>91717</v>
      </c>
      <c r="F740" s="368">
        <v>969</v>
      </c>
      <c r="G740" s="368">
        <v>20750</v>
      </c>
      <c r="H740" s="368">
        <v>1937</v>
      </c>
      <c r="I740" s="368">
        <v>22687</v>
      </c>
      <c r="K740" s="367"/>
      <c r="L740" s="350">
        <v>0.315</v>
      </c>
      <c r="M740" s="350">
        <v>3.5000000000000003E-2</v>
      </c>
      <c r="N740" s="351" t="str">
        <f t="shared" si="23"/>
        <v>830004</v>
      </c>
      <c r="P740" s="351" t="str">
        <f t="shared" si="24"/>
        <v>T</v>
      </c>
    </row>
    <row r="741" spans="1:16" ht="23.25">
      <c r="A741" s="386" t="s">
        <v>74</v>
      </c>
      <c r="B741" s="387">
        <v>83000</v>
      </c>
      <c r="C741" s="365">
        <v>6</v>
      </c>
      <c r="D741" s="366">
        <v>13079</v>
      </c>
      <c r="E741" s="366">
        <v>96079</v>
      </c>
      <c r="F741" s="366">
        <v>1453</v>
      </c>
      <c r="G741" s="366">
        <v>13834</v>
      </c>
      <c r="H741" s="366">
        <v>1937</v>
      </c>
      <c r="I741" s="366">
        <v>15771</v>
      </c>
      <c r="K741" s="365"/>
      <c r="L741" s="350">
        <v>0.315</v>
      </c>
      <c r="M741" s="350">
        <v>3.5000000000000003E-2</v>
      </c>
      <c r="N741" s="351" t="str">
        <f t="shared" si="23"/>
        <v>830006</v>
      </c>
      <c r="P741" s="351" t="str">
        <f t="shared" si="24"/>
        <v>T</v>
      </c>
    </row>
    <row r="742" spans="1:16" ht="23.25">
      <c r="A742" s="386" t="s">
        <v>74</v>
      </c>
      <c r="B742" s="387">
        <v>83000</v>
      </c>
      <c r="C742" s="367">
        <v>8</v>
      </c>
      <c r="D742" s="368">
        <v>17433</v>
      </c>
      <c r="E742" s="368">
        <v>100433</v>
      </c>
      <c r="F742" s="368">
        <v>1937</v>
      </c>
      <c r="G742" s="368">
        <v>10375</v>
      </c>
      <c r="H742" s="372">
        <v>1937</v>
      </c>
      <c r="I742" s="368">
        <v>12312</v>
      </c>
      <c r="K742" s="367"/>
      <c r="L742" s="350">
        <v>0.315</v>
      </c>
      <c r="M742" s="350">
        <v>3.5000000000000003E-2</v>
      </c>
      <c r="N742" s="351" t="str">
        <f t="shared" si="23"/>
        <v>830008</v>
      </c>
      <c r="P742" s="351" t="str">
        <f t="shared" si="24"/>
        <v>T</v>
      </c>
    </row>
    <row r="743" spans="1:16" ht="23.25">
      <c r="A743" s="386" t="s">
        <v>74</v>
      </c>
      <c r="B743" s="387">
        <v>83000</v>
      </c>
      <c r="C743" s="365">
        <v>10</v>
      </c>
      <c r="D743" s="366">
        <v>21791</v>
      </c>
      <c r="E743" s="366">
        <v>104791</v>
      </c>
      <c r="F743" s="366">
        <v>2421</v>
      </c>
      <c r="G743" s="366">
        <v>8300</v>
      </c>
      <c r="H743" s="366">
        <v>1937</v>
      </c>
      <c r="I743" s="366">
        <v>10237</v>
      </c>
      <c r="K743" s="365"/>
      <c r="L743" s="350">
        <v>0.315</v>
      </c>
      <c r="M743" s="350">
        <v>3.5000000000000003E-2</v>
      </c>
      <c r="N743" s="351" t="str">
        <f t="shared" si="23"/>
        <v>8300010</v>
      </c>
      <c r="P743" s="351" t="str">
        <f t="shared" si="24"/>
        <v>T</v>
      </c>
    </row>
    <row r="744" spans="1:16" ht="23.25">
      <c r="A744" s="386" t="s">
        <v>74</v>
      </c>
      <c r="B744" s="387">
        <v>83000</v>
      </c>
      <c r="C744" s="388">
        <v>12</v>
      </c>
      <c r="D744" s="364">
        <v>26154</v>
      </c>
      <c r="E744" s="364">
        <v>109154</v>
      </c>
      <c r="F744" s="364">
        <v>2906</v>
      </c>
      <c r="G744" s="364">
        <v>6917</v>
      </c>
      <c r="H744" s="364">
        <v>1937</v>
      </c>
      <c r="I744" s="364">
        <v>8854</v>
      </c>
      <c r="K744" s="388"/>
      <c r="L744" s="350">
        <v>0.315</v>
      </c>
      <c r="M744" s="350">
        <v>3.5000000000000003E-2</v>
      </c>
      <c r="N744" s="351" t="str">
        <f t="shared" si="23"/>
        <v>8300012</v>
      </c>
      <c r="P744" s="351" t="str">
        <f t="shared" si="24"/>
        <v>T</v>
      </c>
    </row>
    <row r="745" spans="1:16" ht="24" thickBot="1">
      <c r="A745" s="389" t="s">
        <v>74</v>
      </c>
      <c r="B745" s="390">
        <v>83000</v>
      </c>
      <c r="C745" s="381">
        <v>14</v>
      </c>
      <c r="D745" s="398">
        <v>30514</v>
      </c>
      <c r="E745" s="398">
        <v>113514</v>
      </c>
      <c r="F745" s="398">
        <v>3390</v>
      </c>
      <c r="G745" s="398">
        <v>5929</v>
      </c>
      <c r="H745" s="366">
        <v>1937</v>
      </c>
      <c r="I745" s="398">
        <v>7866</v>
      </c>
      <c r="K745" s="381"/>
      <c r="L745" s="350">
        <v>0.315</v>
      </c>
      <c r="M745" s="350">
        <v>3.5000000000000003E-2</v>
      </c>
      <c r="N745" s="351" t="str">
        <f t="shared" si="23"/>
        <v>8300014</v>
      </c>
      <c r="P745" s="351" t="str">
        <f t="shared" si="24"/>
        <v>T</v>
      </c>
    </row>
    <row r="746" spans="1:16" ht="24" thickTop="1">
      <c r="A746" s="355" t="s">
        <v>74</v>
      </c>
      <c r="B746" s="356">
        <v>83000</v>
      </c>
      <c r="C746" s="396">
        <v>16</v>
      </c>
      <c r="D746" s="397">
        <v>34874</v>
      </c>
      <c r="E746" s="397">
        <v>117874</v>
      </c>
      <c r="F746" s="397">
        <v>3874</v>
      </c>
      <c r="G746" s="397">
        <v>5188</v>
      </c>
      <c r="H746" s="397">
        <v>1937</v>
      </c>
      <c r="I746" s="397">
        <v>7125</v>
      </c>
      <c r="K746" s="396"/>
      <c r="L746" s="350">
        <v>0.315</v>
      </c>
      <c r="M746" s="350">
        <v>3.5000000000000003E-2</v>
      </c>
      <c r="N746" s="351" t="str">
        <f t="shared" si="23"/>
        <v>8300016</v>
      </c>
      <c r="P746" s="351" t="str">
        <f t="shared" si="24"/>
        <v>T</v>
      </c>
    </row>
    <row r="747" spans="1:16" ht="23.25">
      <c r="A747" s="360" t="s">
        <v>74</v>
      </c>
      <c r="B747" s="361">
        <v>83000</v>
      </c>
      <c r="C747" s="365">
        <v>18</v>
      </c>
      <c r="D747" s="366">
        <v>39222</v>
      </c>
      <c r="E747" s="366">
        <v>122222</v>
      </c>
      <c r="F747" s="366">
        <v>4358</v>
      </c>
      <c r="G747" s="366">
        <v>4612</v>
      </c>
      <c r="H747" s="366">
        <v>1936</v>
      </c>
      <c r="I747" s="366">
        <v>6548</v>
      </c>
      <c r="K747" s="365"/>
      <c r="L747" s="350">
        <v>0.315</v>
      </c>
      <c r="M747" s="350">
        <v>3.5000000000000003E-2</v>
      </c>
      <c r="N747" s="351" t="str">
        <f t="shared" si="23"/>
        <v>8300018</v>
      </c>
      <c r="P747" s="351" t="str">
        <f t="shared" si="24"/>
        <v>T</v>
      </c>
    </row>
    <row r="748" spans="1:16" ht="23.25">
      <c r="A748" s="360" t="s">
        <v>74</v>
      </c>
      <c r="B748" s="361">
        <v>83000</v>
      </c>
      <c r="C748" s="367">
        <v>20</v>
      </c>
      <c r="D748" s="368">
        <v>43582</v>
      </c>
      <c r="E748" s="368">
        <v>126582</v>
      </c>
      <c r="F748" s="368">
        <v>4842</v>
      </c>
      <c r="G748" s="368">
        <v>4150</v>
      </c>
      <c r="H748" s="364">
        <v>1937</v>
      </c>
      <c r="I748" s="368">
        <v>6087</v>
      </c>
      <c r="K748" s="367"/>
      <c r="L748" s="350">
        <v>0.315</v>
      </c>
      <c r="M748" s="350">
        <v>3.5000000000000003E-2</v>
      </c>
      <c r="N748" s="351" t="str">
        <f t="shared" si="23"/>
        <v>8300020</v>
      </c>
      <c r="P748" s="351" t="str">
        <f t="shared" si="24"/>
        <v>T</v>
      </c>
    </row>
    <row r="749" spans="1:16" ht="23.25">
      <c r="A749" s="360" t="s">
        <v>74</v>
      </c>
      <c r="B749" s="361">
        <v>83000</v>
      </c>
      <c r="C749" s="365">
        <v>22</v>
      </c>
      <c r="D749" s="366">
        <v>47946</v>
      </c>
      <c r="E749" s="366">
        <v>130946</v>
      </c>
      <c r="F749" s="366">
        <v>5326</v>
      </c>
      <c r="G749" s="366">
        <v>3773</v>
      </c>
      <c r="H749" s="366">
        <v>1937</v>
      </c>
      <c r="I749" s="366">
        <v>5710</v>
      </c>
      <c r="K749" s="365"/>
      <c r="L749" s="350">
        <v>0.315</v>
      </c>
      <c r="M749" s="350">
        <v>3.5000000000000003E-2</v>
      </c>
      <c r="N749" s="351" t="str">
        <f t="shared" si="23"/>
        <v>8300022</v>
      </c>
      <c r="P749" s="351" t="str">
        <f t="shared" si="24"/>
        <v>T</v>
      </c>
    </row>
    <row r="750" spans="1:16" ht="23.25">
      <c r="A750" s="360" t="s">
        <v>74</v>
      </c>
      <c r="B750" s="361">
        <v>83000</v>
      </c>
      <c r="C750" s="367">
        <v>24</v>
      </c>
      <c r="D750" s="368">
        <v>52315</v>
      </c>
      <c r="E750" s="368">
        <v>135315</v>
      </c>
      <c r="F750" s="368">
        <v>5811</v>
      </c>
      <c r="G750" s="368">
        <v>3459</v>
      </c>
      <c r="H750" s="368">
        <v>1937</v>
      </c>
      <c r="I750" s="368">
        <v>5396</v>
      </c>
      <c r="K750" s="367"/>
      <c r="L750" s="350">
        <v>0.315</v>
      </c>
      <c r="M750" s="350">
        <v>3.5000000000000003E-2</v>
      </c>
      <c r="N750" s="351" t="str">
        <f t="shared" si="23"/>
        <v>8300024</v>
      </c>
      <c r="P750" s="351" t="str">
        <f t="shared" si="24"/>
        <v>T</v>
      </c>
    </row>
    <row r="751" spans="1:16" ht="23.25">
      <c r="A751" s="360" t="s">
        <v>74</v>
      </c>
      <c r="B751" s="361">
        <v>84000</v>
      </c>
      <c r="C751" s="365">
        <v>4</v>
      </c>
      <c r="D751" s="366">
        <v>8825</v>
      </c>
      <c r="E751" s="366">
        <v>92825</v>
      </c>
      <c r="F751" s="366">
        <v>981</v>
      </c>
      <c r="G751" s="366">
        <v>21000</v>
      </c>
      <c r="H751" s="366">
        <v>1961</v>
      </c>
      <c r="I751" s="366">
        <v>22961</v>
      </c>
      <c r="K751" s="365"/>
      <c r="L751" s="350">
        <v>0.315</v>
      </c>
      <c r="M751" s="350">
        <v>3.5000000000000003E-2</v>
      </c>
      <c r="N751" s="351" t="str">
        <f t="shared" si="23"/>
        <v>840004</v>
      </c>
      <c r="P751" s="351" t="str">
        <f t="shared" si="24"/>
        <v>T</v>
      </c>
    </row>
    <row r="752" spans="1:16" ht="23.25">
      <c r="A752" s="360" t="s">
        <v>74</v>
      </c>
      <c r="B752" s="361">
        <v>84000</v>
      </c>
      <c r="C752" s="367">
        <v>6</v>
      </c>
      <c r="D752" s="368">
        <v>13237</v>
      </c>
      <c r="E752" s="368">
        <v>97237</v>
      </c>
      <c r="F752" s="368">
        <v>1471</v>
      </c>
      <c r="G752" s="368">
        <v>14000</v>
      </c>
      <c r="H752" s="368">
        <v>1961</v>
      </c>
      <c r="I752" s="368">
        <v>15961</v>
      </c>
      <c r="K752" s="367"/>
      <c r="L752" s="350">
        <v>0.315</v>
      </c>
      <c r="M752" s="350">
        <v>3.5000000000000003E-2</v>
      </c>
      <c r="N752" s="351" t="str">
        <f t="shared" si="23"/>
        <v>840006</v>
      </c>
      <c r="P752" s="351" t="str">
        <f t="shared" si="24"/>
        <v>T</v>
      </c>
    </row>
    <row r="753" spans="1:16" ht="23.25">
      <c r="A753" s="360" t="s">
        <v>74</v>
      </c>
      <c r="B753" s="361">
        <v>84000</v>
      </c>
      <c r="C753" s="365">
        <v>8</v>
      </c>
      <c r="D753" s="366">
        <v>17649</v>
      </c>
      <c r="E753" s="366">
        <v>101649</v>
      </c>
      <c r="F753" s="366">
        <v>1961</v>
      </c>
      <c r="G753" s="366">
        <v>10500</v>
      </c>
      <c r="H753" s="366">
        <v>1961</v>
      </c>
      <c r="I753" s="366">
        <v>12461</v>
      </c>
      <c r="K753" s="365"/>
      <c r="L753" s="350">
        <v>0.315</v>
      </c>
      <c r="M753" s="350">
        <v>3.5000000000000003E-2</v>
      </c>
      <c r="N753" s="351" t="str">
        <f t="shared" si="23"/>
        <v>840008</v>
      </c>
      <c r="P753" s="351" t="str">
        <f t="shared" si="24"/>
        <v>T</v>
      </c>
    </row>
    <row r="754" spans="1:16" ht="23.25">
      <c r="A754" s="360" t="s">
        <v>74</v>
      </c>
      <c r="B754" s="361">
        <v>84000</v>
      </c>
      <c r="C754" s="388">
        <v>10</v>
      </c>
      <c r="D754" s="364">
        <v>22061</v>
      </c>
      <c r="E754" s="364">
        <v>106061</v>
      </c>
      <c r="F754" s="364">
        <v>2451</v>
      </c>
      <c r="G754" s="364">
        <v>8400</v>
      </c>
      <c r="H754" s="372">
        <v>1961</v>
      </c>
      <c r="I754" s="364">
        <v>10361</v>
      </c>
      <c r="K754" s="388"/>
      <c r="L754" s="350">
        <v>0.315</v>
      </c>
      <c r="M754" s="350">
        <v>3.5000000000000003E-2</v>
      </c>
      <c r="N754" s="351" t="str">
        <f t="shared" si="23"/>
        <v>8400010</v>
      </c>
      <c r="P754" s="351" t="str">
        <f t="shared" si="24"/>
        <v>T</v>
      </c>
    </row>
    <row r="755" spans="1:16" ht="23.25">
      <c r="A755" s="360" t="s">
        <v>74</v>
      </c>
      <c r="B755" s="361">
        <v>84000</v>
      </c>
      <c r="C755" s="365">
        <v>12</v>
      </c>
      <c r="D755" s="366">
        <v>26473</v>
      </c>
      <c r="E755" s="366">
        <v>110473</v>
      </c>
      <c r="F755" s="366">
        <v>2941</v>
      </c>
      <c r="G755" s="366">
        <v>7000</v>
      </c>
      <c r="H755" s="366">
        <v>1961</v>
      </c>
      <c r="I755" s="366">
        <v>8961</v>
      </c>
      <c r="K755" s="365"/>
      <c r="L755" s="350">
        <v>0.315</v>
      </c>
      <c r="M755" s="350">
        <v>3.5000000000000003E-2</v>
      </c>
      <c r="N755" s="351" t="str">
        <f t="shared" si="23"/>
        <v>8400012</v>
      </c>
      <c r="P755" s="351" t="str">
        <f t="shared" si="24"/>
        <v>T</v>
      </c>
    </row>
    <row r="756" spans="1:16" ht="24" thickBot="1">
      <c r="A756" s="392" t="s">
        <v>74</v>
      </c>
      <c r="B756" s="393">
        <v>84000</v>
      </c>
      <c r="C756" s="399">
        <v>14</v>
      </c>
      <c r="D756" s="400">
        <v>30885</v>
      </c>
      <c r="E756" s="400">
        <v>114885</v>
      </c>
      <c r="F756" s="400">
        <v>3431</v>
      </c>
      <c r="G756" s="400">
        <v>6000</v>
      </c>
      <c r="H756" s="400">
        <v>1961</v>
      </c>
      <c r="I756" s="400">
        <v>7961</v>
      </c>
      <c r="K756" s="399"/>
      <c r="L756" s="350">
        <v>0.315</v>
      </c>
      <c r="M756" s="350">
        <v>3.5000000000000003E-2</v>
      </c>
      <c r="N756" s="351" t="str">
        <f t="shared" si="23"/>
        <v>8400014</v>
      </c>
      <c r="P756" s="351" t="str">
        <f t="shared" si="24"/>
        <v>T</v>
      </c>
    </row>
    <row r="757" spans="1:16" ht="24" thickTop="1">
      <c r="A757" s="384" t="s">
        <v>74</v>
      </c>
      <c r="B757" s="385">
        <v>84000</v>
      </c>
      <c r="C757" s="357">
        <v>16</v>
      </c>
      <c r="D757" s="358">
        <v>35297</v>
      </c>
      <c r="E757" s="358">
        <v>119297</v>
      </c>
      <c r="F757" s="358">
        <v>3921</v>
      </c>
      <c r="G757" s="358">
        <v>5250</v>
      </c>
      <c r="H757" s="358">
        <v>1961</v>
      </c>
      <c r="I757" s="358">
        <v>7211</v>
      </c>
      <c r="K757" s="357"/>
      <c r="L757" s="350">
        <v>0.315</v>
      </c>
      <c r="M757" s="350">
        <v>3.5000000000000003E-2</v>
      </c>
      <c r="N757" s="351" t="str">
        <f t="shared" si="23"/>
        <v>8400016</v>
      </c>
      <c r="P757" s="351" t="str">
        <f t="shared" si="24"/>
        <v>T</v>
      </c>
    </row>
    <row r="758" spans="1:16" ht="23.25">
      <c r="A758" s="386" t="s">
        <v>74</v>
      </c>
      <c r="B758" s="387">
        <v>84000</v>
      </c>
      <c r="C758" s="388">
        <v>18</v>
      </c>
      <c r="D758" s="364">
        <v>39697</v>
      </c>
      <c r="E758" s="364">
        <v>123697</v>
      </c>
      <c r="F758" s="364">
        <v>4411</v>
      </c>
      <c r="G758" s="364">
        <v>4667</v>
      </c>
      <c r="H758" s="364">
        <v>1960</v>
      </c>
      <c r="I758" s="364">
        <v>6627</v>
      </c>
      <c r="K758" s="388"/>
      <c r="L758" s="350">
        <v>0.315</v>
      </c>
      <c r="M758" s="350">
        <v>3.5000000000000003E-2</v>
      </c>
      <c r="N758" s="351" t="str">
        <f t="shared" si="23"/>
        <v>8400018</v>
      </c>
      <c r="P758" s="351" t="str">
        <f t="shared" si="24"/>
        <v>T</v>
      </c>
    </row>
    <row r="759" spans="1:16" ht="23.25">
      <c r="A759" s="386" t="s">
        <v>74</v>
      </c>
      <c r="B759" s="387">
        <v>84000</v>
      </c>
      <c r="C759" s="365">
        <v>20</v>
      </c>
      <c r="D759" s="366">
        <v>44121</v>
      </c>
      <c r="E759" s="366">
        <v>128121</v>
      </c>
      <c r="F759" s="366">
        <v>4901</v>
      </c>
      <c r="G759" s="366">
        <v>4200</v>
      </c>
      <c r="H759" s="366">
        <v>1961</v>
      </c>
      <c r="I759" s="366">
        <v>6161</v>
      </c>
      <c r="K759" s="365"/>
      <c r="L759" s="350">
        <v>0.315</v>
      </c>
      <c r="M759" s="350">
        <v>3.5000000000000003E-2</v>
      </c>
      <c r="N759" s="351" t="str">
        <f t="shared" si="23"/>
        <v>8400020</v>
      </c>
      <c r="P759" s="351" t="str">
        <f t="shared" si="24"/>
        <v>T</v>
      </c>
    </row>
    <row r="760" spans="1:16" ht="23.25">
      <c r="A760" s="386" t="s">
        <v>74</v>
      </c>
      <c r="B760" s="387">
        <v>84000</v>
      </c>
      <c r="C760" s="367">
        <v>22</v>
      </c>
      <c r="D760" s="368">
        <v>48529</v>
      </c>
      <c r="E760" s="368">
        <v>132529</v>
      </c>
      <c r="F760" s="368">
        <v>5391</v>
      </c>
      <c r="G760" s="368">
        <v>3819</v>
      </c>
      <c r="H760" s="368">
        <v>1960</v>
      </c>
      <c r="I760" s="368">
        <v>5779</v>
      </c>
      <c r="K760" s="367"/>
      <c r="L760" s="350">
        <v>0.315</v>
      </c>
      <c r="M760" s="350">
        <v>3.5000000000000003E-2</v>
      </c>
      <c r="N760" s="351" t="str">
        <f t="shared" si="23"/>
        <v>8400022</v>
      </c>
      <c r="P760" s="351" t="str">
        <f t="shared" si="24"/>
        <v>T</v>
      </c>
    </row>
    <row r="761" spans="1:16" ht="23.25">
      <c r="A761" s="386" t="s">
        <v>74</v>
      </c>
      <c r="B761" s="387">
        <v>84000</v>
      </c>
      <c r="C761" s="365">
        <v>24</v>
      </c>
      <c r="D761" s="366">
        <v>52945</v>
      </c>
      <c r="E761" s="366">
        <v>136945</v>
      </c>
      <c r="F761" s="366">
        <v>5881</v>
      </c>
      <c r="G761" s="366">
        <v>3500</v>
      </c>
      <c r="H761" s="366">
        <v>1961</v>
      </c>
      <c r="I761" s="366">
        <v>5461</v>
      </c>
      <c r="K761" s="365"/>
      <c r="L761" s="350">
        <v>0.315</v>
      </c>
      <c r="M761" s="350">
        <v>3.5000000000000003E-2</v>
      </c>
      <c r="N761" s="351" t="str">
        <f t="shared" si="23"/>
        <v>8400024</v>
      </c>
      <c r="P761" s="351" t="str">
        <f t="shared" si="24"/>
        <v>T</v>
      </c>
    </row>
    <row r="762" spans="1:16" ht="23.25">
      <c r="A762" s="386" t="s">
        <v>74</v>
      </c>
      <c r="B762" s="387">
        <v>85000</v>
      </c>
      <c r="C762" s="367">
        <v>4</v>
      </c>
      <c r="D762" s="368">
        <v>8928</v>
      </c>
      <c r="E762" s="368">
        <v>93928</v>
      </c>
      <c r="F762" s="368">
        <v>992</v>
      </c>
      <c r="G762" s="368">
        <v>21250</v>
      </c>
      <c r="H762" s="368">
        <v>1984</v>
      </c>
      <c r="I762" s="368">
        <v>23234</v>
      </c>
      <c r="K762" s="367"/>
      <c r="L762" s="350">
        <v>0.315</v>
      </c>
      <c r="M762" s="350">
        <v>3.5000000000000003E-2</v>
      </c>
      <c r="N762" s="351" t="str">
        <f t="shared" si="23"/>
        <v>850004</v>
      </c>
      <c r="P762" s="351" t="str">
        <f t="shared" si="24"/>
        <v>T</v>
      </c>
    </row>
    <row r="763" spans="1:16" ht="23.25">
      <c r="A763" s="386" t="s">
        <v>74</v>
      </c>
      <c r="B763" s="387">
        <v>85000</v>
      </c>
      <c r="C763" s="365">
        <v>6</v>
      </c>
      <c r="D763" s="366">
        <v>13394</v>
      </c>
      <c r="E763" s="366">
        <v>98394</v>
      </c>
      <c r="F763" s="366">
        <v>1488</v>
      </c>
      <c r="G763" s="366">
        <v>14167</v>
      </c>
      <c r="H763" s="366">
        <v>1984</v>
      </c>
      <c r="I763" s="366">
        <v>16151</v>
      </c>
      <c r="K763" s="365"/>
      <c r="L763" s="350">
        <v>0.315</v>
      </c>
      <c r="M763" s="350">
        <v>3.5000000000000003E-2</v>
      </c>
      <c r="N763" s="351" t="str">
        <f t="shared" si="23"/>
        <v>850006</v>
      </c>
      <c r="P763" s="351" t="str">
        <f t="shared" si="24"/>
        <v>T</v>
      </c>
    </row>
    <row r="764" spans="1:16" ht="23.25">
      <c r="A764" s="386" t="s">
        <v>74</v>
      </c>
      <c r="B764" s="387">
        <v>85000</v>
      </c>
      <c r="C764" s="367">
        <v>8</v>
      </c>
      <c r="D764" s="368">
        <v>17856</v>
      </c>
      <c r="E764" s="368">
        <v>102856</v>
      </c>
      <c r="F764" s="368">
        <v>1984</v>
      </c>
      <c r="G764" s="368">
        <v>10625</v>
      </c>
      <c r="H764" s="372">
        <v>1984</v>
      </c>
      <c r="I764" s="368">
        <v>12609</v>
      </c>
      <c r="K764" s="367"/>
      <c r="L764" s="350">
        <v>0.315</v>
      </c>
      <c r="M764" s="350">
        <v>3.5000000000000003E-2</v>
      </c>
      <c r="N764" s="351" t="str">
        <f t="shared" si="23"/>
        <v>850008</v>
      </c>
      <c r="P764" s="351" t="str">
        <f t="shared" si="24"/>
        <v>T</v>
      </c>
    </row>
    <row r="765" spans="1:16" ht="23.25">
      <c r="A765" s="386" t="s">
        <v>74</v>
      </c>
      <c r="B765" s="387">
        <v>85000</v>
      </c>
      <c r="C765" s="365">
        <v>10</v>
      </c>
      <c r="D765" s="366">
        <v>22320</v>
      </c>
      <c r="E765" s="366">
        <v>107320</v>
      </c>
      <c r="F765" s="366">
        <v>2480</v>
      </c>
      <c r="G765" s="366">
        <v>8500</v>
      </c>
      <c r="H765" s="366">
        <v>1984</v>
      </c>
      <c r="I765" s="366">
        <v>10484</v>
      </c>
      <c r="K765" s="365"/>
      <c r="L765" s="350">
        <v>0.315</v>
      </c>
      <c r="M765" s="350">
        <v>3.5000000000000003E-2</v>
      </c>
      <c r="N765" s="351" t="str">
        <f t="shared" si="23"/>
        <v>8500010</v>
      </c>
      <c r="P765" s="351" t="str">
        <f t="shared" si="24"/>
        <v>T</v>
      </c>
    </row>
    <row r="766" spans="1:16" ht="23.25">
      <c r="A766" s="386" t="s">
        <v>74</v>
      </c>
      <c r="B766" s="387">
        <v>85000</v>
      </c>
      <c r="C766" s="388">
        <v>12</v>
      </c>
      <c r="D766" s="364">
        <v>26780</v>
      </c>
      <c r="E766" s="364">
        <v>111780</v>
      </c>
      <c r="F766" s="364">
        <v>2976</v>
      </c>
      <c r="G766" s="364">
        <v>7084</v>
      </c>
      <c r="H766" s="364">
        <v>1983</v>
      </c>
      <c r="I766" s="364">
        <v>9067</v>
      </c>
      <c r="K766" s="388"/>
      <c r="L766" s="350">
        <v>0.315</v>
      </c>
      <c r="M766" s="350">
        <v>3.5000000000000003E-2</v>
      </c>
      <c r="N766" s="351" t="str">
        <f t="shared" si="23"/>
        <v>8500012</v>
      </c>
      <c r="P766" s="351" t="str">
        <f t="shared" si="24"/>
        <v>T</v>
      </c>
    </row>
    <row r="767" spans="1:16" ht="24" thickBot="1">
      <c r="A767" s="389" t="s">
        <v>74</v>
      </c>
      <c r="B767" s="390">
        <v>85000</v>
      </c>
      <c r="C767" s="381">
        <v>14</v>
      </c>
      <c r="D767" s="398">
        <v>31241</v>
      </c>
      <c r="E767" s="398">
        <v>116241</v>
      </c>
      <c r="F767" s="398">
        <v>3471</v>
      </c>
      <c r="G767" s="398">
        <v>6072</v>
      </c>
      <c r="H767" s="366">
        <v>1983</v>
      </c>
      <c r="I767" s="398">
        <v>8055</v>
      </c>
      <c r="K767" s="381"/>
      <c r="L767" s="350">
        <v>0.315</v>
      </c>
      <c r="M767" s="350">
        <v>3.5000000000000003E-2</v>
      </c>
      <c r="N767" s="351" t="str">
        <f t="shared" si="23"/>
        <v>8500014</v>
      </c>
      <c r="P767" s="351" t="str">
        <f t="shared" si="24"/>
        <v>T</v>
      </c>
    </row>
    <row r="768" spans="1:16" ht="24" thickTop="1">
      <c r="A768" s="355" t="s">
        <v>74</v>
      </c>
      <c r="B768" s="356">
        <v>85000</v>
      </c>
      <c r="C768" s="396">
        <v>16</v>
      </c>
      <c r="D768" s="397">
        <v>35703</v>
      </c>
      <c r="E768" s="397">
        <v>120703</v>
      </c>
      <c r="F768" s="397">
        <v>3967</v>
      </c>
      <c r="G768" s="397">
        <v>5313</v>
      </c>
      <c r="H768" s="397">
        <v>1983</v>
      </c>
      <c r="I768" s="397">
        <v>7296</v>
      </c>
      <c r="K768" s="396"/>
      <c r="L768" s="350">
        <v>0.315</v>
      </c>
      <c r="M768" s="350">
        <v>3.5000000000000003E-2</v>
      </c>
      <c r="N768" s="351" t="str">
        <f t="shared" si="23"/>
        <v>8500016</v>
      </c>
      <c r="P768" s="351" t="str">
        <f t="shared" si="24"/>
        <v>T</v>
      </c>
    </row>
    <row r="769" spans="1:16" ht="23.25">
      <c r="A769" s="360" t="s">
        <v>74</v>
      </c>
      <c r="B769" s="361">
        <v>85000</v>
      </c>
      <c r="C769" s="365">
        <v>18</v>
      </c>
      <c r="D769" s="366">
        <v>40171</v>
      </c>
      <c r="E769" s="366">
        <v>125171</v>
      </c>
      <c r="F769" s="366">
        <v>4463</v>
      </c>
      <c r="G769" s="366">
        <v>4723</v>
      </c>
      <c r="H769" s="366">
        <v>1983</v>
      </c>
      <c r="I769" s="366">
        <v>6706</v>
      </c>
      <c r="K769" s="365"/>
      <c r="L769" s="350">
        <v>0.315</v>
      </c>
      <c r="M769" s="350">
        <v>3.5000000000000003E-2</v>
      </c>
      <c r="N769" s="351" t="str">
        <f t="shared" si="23"/>
        <v>8500018</v>
      </c>
      <c r="P769" s="351" t="str">
        <f t="shared" si="24"/>
        <v>T</v>
      </c>
    </row>
    <row r="770" spans="1:16" ht="23.25">
      <c r="A770" s="360" t="s">
        <v>74</v>
      </c>
      <c r="B770" s="361">
        <v>85000</v>
      </c>
      <c r="C770" s="367">
        <v>20</v>
      </c>
      <c r="D770" s="368">
        <v>44639</v>
      </c>
      <c r="E770" s="368">
        <v>129639</v>
      </c>
      <c r="F770" s="368">
        <v>4959</v>
      </c>
      <c r="G770" s="368">
        <v>4250</v>
      </c>
      <c r="H770" s="364">
        <v>1984</v>
      </c>
      <c r="I770" s="368">
        <v>6234</v>
      </c>
      <c r="K770" s="367"/>
      <c r="L770" s="350">
        <v>0.315</v>
      </c>
      <c r="M770" s="350">
        <v>3.5000000000000003E-2</v>
      </c>
      <c r="N770" s="351" t="str">
        <f t="shared" si="23"/>
        <v>8500020</v>
      </c>
      <c r="P770" s="351" t="str">
        <f t="shared" si="24"/>
        <v>T</v>
      </c>
    </row>
    <row r="771" spans="1:16" ht="23.25">
      <c r="A771" s="360" t="s">
        <v>74</v>
      </c>
      <c r="B771" s="361">
        <v>85000</v>
      </c>
      <c r="C771" s="365">
        <v>22</v>
      </c>
      <c r="D771" s="366">
        <v>49089</v>
      </c>
      <c r="E771" s="366">
        <v>134089</v>
      </c>
      <c r="F771" s="366">
        <v>5455</v>
      </c>
      <c r="G771" s="366">
        <v>3864</v>
      </c>
      <c r="H771" s="366">
        <v>1983</v>
      </c>
      <c r="I771" s="366">
        <v>5847</v>
      </c>
      <c r="K771" s="365"/>
      <c r="L771" s="350">
        <v>0.315</v>
      </c>
      <c r="M771" s="350">
        <v>3.5000000000000003E-2</v>
      </c>
      <c r="N771" s="351" t="str">
        <f t="shared" si="23"/>
        <v>8500022</v>
      </c>
      <c r="P771" s="351" t="str">
        <f t="shared" si="24"/>
        <v>T</v>
      </c>
    </row>
    <row r="772" spans="1:16" ht="23.25">
      <c r="A772" s="360" t="s">
        <v>74</v>
      </c>
      <c r="B772" s="361">
        <v>85000</v>
      </c>
      <c r="C772" s="367">
        <v>24</v>
      </c>
      <c r="D772" s="368">
        <v>53575</v>
      </c>
      <c r="E772" s="368">
        <v>138575</v>
      </c>
      <c r="F772" s="368">
        <v>5951</v>
      </c>
      <c r="G772" s="368">
        <v>3542</v>
      </c>
      <c r="H772" s="368">
        <v>1984</v>
      </c>
      <c r="I772" s="368">
        <v>5526</v>
      </c>
      <c r="K772" s="367"/>
      <c r="L772" s="350">
        <v>0.315</v>
      </c>
      <c r="M772" s="350">
        <v>3.5000000000000003E-2</v>
      </c>
      <c r="N772" s="351" t="str">
        <f t="shared" si="23"/>
        <v>8500024</v>
      </c>
      <c r="P772" s="351" t="str">
        <f t="shared" si="24"/>
        <v>T</v>
      </c>
    </row>
    <row r="773" spans="1:16" ht="23.25">
      <c r="A773" s="360" t="s">
        <v>74</v>
      </c>
      <c r="B773" s="361">
        <v>86000</v>
      </c>
      <c r="C773" s="365">
        <v>4</v>
      </c>
      <c r="D773" s="366">
        <v>9032</v>
      </c>
      <c r="E773" s="366">
        <v>95032</v>
      </c>
      <c r="F773" s="366">
        <v>1004</v>
      </c>
      <c r="G773" s="366">
        <v>21500</v>
      </c>
      <c r="H773" s="366">
        <v>2007</v>
      </c>
      <c r="I773" s="366">
        <v>23507</v>
      </c>
      <c r="K773" s="365"/>
      <c r="L773" s="350">
        <v>0.315</v>
      </c>
      <c r="M773" s="350">
        <v>3.5000000000000003E-2</v>
      </c>
      <c r="N773" s="351" t="str">
        <f t="shared" ref="N773:N836" si="25">CONCATENATE(B773,C773)</f>
        <v>860004</v>
      </c>
      <c r="P773" s="351" t="str">
        <f t="shared" si="24"/>
        <v>T</v>
      </c>
    </row>
    <row r="774" spans="1:16" ht="23.25">
      <c r="A774" s="360" t="s">
        <v>74</v>
      </c>
      <c r="B774" s="361">
        <v>86000</v>
      </c>
      <c r="C774" s="367">
        <v>6</v>
      </c>
      <c r="D774" s="368">
        <v>13552</v>
      </c>
      <c r="E774" s="368">
        <v>99552</v>
      </c>
      <c r="F774" s="368">
        <v>1506</v>
      </c>
      <c r="G774" s="368">
        <v>14334</v>
      </c>
      <c r="H774" s="368">
        <v>2007</v>
      </c>
      <c r="I774" s="368">
        <v>16341</v>
      </c>
      <c r="K774" s="367"/>
      <c r="L774" s="350">
        <v>0.315</v>
      </c>
      <c r="M774" s="350">
        <v>3.5000000000000003E-2</v>
      </c>
      <c r="N774" s="351" t="str">
        <f t="shared" si="25"/>
        <v>860006</v>
      </c>
      <c r="P774" s="351" t="str">
        <f t="shared" si="24"/>
        <v>T</v>
      </c>
    </row>
    <row r="775" spans="1:16" ht="23.25">
      <c r="A775" s="360" t="s">
        <v>74</v>
      </c>
      <c r="B775" s="361">
        <v>86000</v>
      </c>
      <c r="C775" s="365">
        <v>8</v>
      </c>
      <c r="D775" s="366">
        <v>18063</v>
      </c>
      <c r="E775" s="366">
        <v>104063</v>
      </c>
      <c r="F775" s="366">
        <v>2007</v>
      </c>
      <c r="G775" s="366">
        <v>10750</v>
      </c>
      <c r="H775" s="366">
        <v>2007</v>
      </c>
      <c r="I775" s="366">
        <v>12757</v>
      </c>
      <c r="K775" s="365"/>
      <c r="L775" s="350">
        <v>0.315</v>
      </c>
      <c r="M775" s="350">
        <v>3.5000000000000003E-2</v>
      </c>
      <c r="N775" s="351" t="str">
        <f t="shared" si="25"/>
        <v>860008</v>
      </c>
      <c r="P775" s="351" t="str">
        <f t="shared" si="24"/>
        <v>T</v>
      </c>
    </row>
    <row r="776" spans="1:16" ht="23.25">
      <c r="A776" s="360" t="s">
        <v>74</v>
      </c>
      <c r="B776" s="361">
        <v>86000</v>
      </c>
      <c r="C776" s="388">
        <v>10</v>
      </c>
      <c r="D776" s="364">
        <v>22579</v>
      </c>
      <c r="E776" s="364">
        <v>108579</v>
      </c>
      <c r="F776" s="364">
        <v>2509</v>
      </c>
      <c r="G776" s="364">
        <v>8600</v>
      </c>
      <c r="H776" s="372">
        <v>2007</v>
      </c>
      <c r="I776" s="364">
        <v>10607</v>
      </c>
      <c r="K776" s="388"/>
      <c r="L776" s="350">
        <v>0.315</v>
      </c>
      <c r="M776" s="350">
        <v>3.5000000000000003E-2</v>
      </c>
      <c r="N776" s="351" t="str">
        <f t="shared" si="25"/>
        <v>8600010</v>
      </c>
      <c r="P776" s="351" t="str">
        <f t="shared" si="24"/>
        <v>T</v>
      </c>
    </row>
    <row r="777" spans="1:16" ht="23.25">
      <c r="A777" s="360" t="s">
        <v>74</v>
      </c>
      <c r="B777" s="361">
        <v>86000</v>
      </c>
      <c r="C777" s="365">
        <v>12</v>
      </c>
      <c r="D777" s="366">
        <v>27099</v>
      </c>
      <c r="E777" s="366">
        <v>113099</v>
      </c>
      <c r="F777" s="366">
        <v>3011</v>
      </c>
      <c r="G777" s="366">
        <v>7167</v>
      </c>
      <c r="H777" s="366">
        <v>2007</v>
      </c>
      <c r="I777" s="366">
        <v>9174</v>
      </c>
      <c r="K777" s="365"/>
      <c r="L777" s="350">
        <v>0.315</v>
      </c>
      <c r="M777" s="350">
        <v>3.5000000000000003E-2</v>
      </c>
      <c r="N777" s="351" t="str">
        <f t="shared" si="25"/>
        <v>8600012</v>
      </c>
      <c r="P777" s="351" t="str">
        <f t="shared" si="24"/>
        <v>T</v>
      </c>
    </row>
    <row r="778" spans="1:16" ht="24" thickBot="1">
      <c r="A778" s="392" t="s">
        <v>74</v>
      </c>
      <c r="B778" s="393">
        <v>86000</v>
      </c>
      <c r="C778" s="399">
        <v>14</v>
      </c>
      <c r="D778" s="400">
        <v>31612</v>
      </c>
      <c r="E778" s="400">
        <v>117612</v>
      </c>
      <c r="F778" s="400">
        <v>3512</v>
      </c>
      <c r="G778" s="400">
        <v>6143</v>
      </c>
      <c r="H778" s="364">
        <v>2007</v>
      </c>
      <c r="I778" s="400">
        <v>8150</v>
      </c>
      <c r="K778" s="399"/>
      <c r="L778" s="350">
        <v>0.315</v>
      </c>
      <c r="M778" s="350">
        <v>3.5000000000000003E-2</v>
      </c>
      <c r="N778" s="351" t="str">
        <f t="shared" si="25"/>
        <v>8600014</v>
      </c>
      <c r="P778" s="351" t="str">
        <f t="shared" si="24"/>
        <v>T</v>
      </c>
    </row>
    <row r="779" spans="1:16" ht="24" thickTop="1">
      <c r="A779" s="384" t="s">
        <v>74</v>
      </c>
      <c r="B779" s="385">
        <v>86000</v>
      </c>
      <c r="C779" s="357">
        <v>16</v>
      </c>
      <c r="D779" s="358">
        <v>36126</v>
      </c>
      <c r="E779" s="358">
        <v>122126</v>
      </c>
      <c r="F779" s="358">
        <v>4014</v>
      </c>
      <c r="G779" s="358">
        <v>5375</v>
      </c>
      <c r="H779" s="358">
        <v>2007</v>
      </c>
      <c r="I779" s="358">
        <v>7382</v>
      </c>
      <c r="K779" s="357"/>
      <c r="L779" s="350">
        <v>0.315</v>
      </c>
      <c r="M779" s="350">
        <v>3.5000000000000003E-2</v>
      </c>
      <c r="N779" s="351" t="str">
        <f t="shared" si="25"/>
        <v>8600016</v>
      </c>
      <c r="P779" s="351" t="str">
        <f t="shared" si="24"/>
        <v>T</v>
      </c>
    </row>
    <row r="780" spans="1:16" ht="23.25">
      <c r="A780" s="386" t="s">
        <v>74</v>
      </c>
      <c r="B780" s="387">
        <v>86000</v>
      </c>
      <c r="C780" s="388">
        <v>18</v>
      </c>
      <c r="D780" s="364">
        <v>40646</v>
      </c>
      <c r="E780" s="364">
        <v>126646</v>
      </c>
      <c r="F780" s="364">
        <v>4516</v>
      </c>
      <c r="G780" s="364">
        <v>4778</v>
      </c>
      <c r="H780" s="364">
        <v>2007</v>
      </c>
      <c r="I780" s="364">
        <v>6785</v>
      </c>
      <c r="K780" s="388"/>
      <c r="L780" s="350">
        <v>0.315</v>
      </c>
      <c r="M780" s="350">
        <v>3.5000000000000003E-2</v>
      </c>
      <c r="N780" s="351" t="str">
        <f t="shared" si="25"/>
        <v>8600018</v>
      </c>
      <c r="P780" s="351" t="str">
        <f t="shared" si="24"/>
        <v>T</v>
      </c>
    </row>
    <row r="781" spans="1:16" ht="23.25">
      <c r="A781" s="386" t="s">
        <v>74</v>
      </c>
      <c r="B781" s="387">
        <v>86000</v>
      </c>
      <c r="C781" s="365">
        <v>20</v>
      </c>
      <c r="D781" s="366">
        <v>45157</v>
      </c>
      <c r="E781" s="366">
        <v>131157</v>
      </c>
      <c r="F781" s="366">
        <v>5017</v>
      </c>
      <c r="G781" s="366">
        <v>4300</v>
      </c>
      <c r="H781" s="366">
        <v>2007</v>
      </c>
      <c r="I781" s="366">
        <v>6307</v>
      </c>
      <c r="K781" s="365"/>
      <c r="L781" s="350">
        <v>0.315</v>
      </c>
      <c r="M781" s="350">
        <v>3.5000000000000003E-2</v>
      </c>
      <c r="N781" s="351" t="str">
        <f t="shared" si="25"/>
        <v>8600020</v>
      </c>
      <c r="P781" s="351" t="str">
        <f t="shared" si="24"/>
        <v>T</v>
      </c>
    </row>
    <row r="782" spans="1:16" ht="23.25">
      <c r="A782" s="386" t="s">
        <v>74</v>
      </c>
      <c r="B782" s="387">
        <v>86000</v>
      </c>
      <c r="C782" s="367">
        <v>22</v>
      </c>
      <c r="D782" s="368">
        <v>49671</v>
      </c>
      <c r="E782" s="368">
        <v>135671</v>
      </c>
      <c r="F782" s="368">
        <v>5519</v>
      </c>
      <c r="G782" s="368">
        <v>3910</v>
      </c>
      <c r="H782" s="368">
        <v>2006</v>
      </c>
      <c r="I782" s="368">
        <v>5916</v>
      </c>
      <c r="K782" s="367"/>
      <c r="L782" s="350">
        <v>0.315</v>
      </c>
      <c r="M782" s="350">
        <v>3.5000000000000003E-2</v>
      </c>
      <c r="N782" s="351" t="str">
        <f t="shared" si="25"/>
        <v>8600022</v>
      </c>
      <c r="P782" s="351" t="str">
        <f t="shared" si="24"/>
        <v>T</v>
      </c>
    </row>
    <row r="783" spans="1:16" ht="23.25">
      <c r="A783" s="386" t="s">
        <v>74</v>
      </c>
      <c r="B783" s="387">
        <v>86000</v>
      </c>
      <c r="C783" s="365">
        <v>24</v>
      </c>
      <c r="D783" s="366">
        <v>54205</v>
      </c>
      <c r="E783" s="366">
        <v>140205</v>
      </c>
      <c r="F783" s="366">
        <v>6021</v>
      </c>
      <c r="G783" s="366">
        <v>3584</v>
      </c>
      <c r="H783" s="366">
        <v>2007</v>
      </c>
      <c r="I783" s="366">
        <v>5591</v>
      </c>
      <c r="K783" s="365"/>
      <c r="L783" s="350">
        <v>0.315</v>
      </c>
      <c r="M783" s="350">
        <v>3.5000000000000003E-2</v>
      </c>
      <c r="N783" s="351" t="str">
        <f t="shared" si="25"/>
        <v>8600024</v>
      </c>
      <c r="P783" s="351" t="str">
        <f t="shared" si="24"/>
        <v>T</v>
      </c>
    </row>
    <row r="784" spans="1:16" ht="23.25">
      <c r="A784" s="386" t="s">
        <v>74</v>
      </c>
      <c r="B784" s="387">
        <v>87000</v>
      </c>
      <c r="C784" s="367">
        <v>4</v>
      </c>
      <c r="D784" s="368">
        <v>9140</v>
      </c>
      <c r="E784" s="368">
        <v>96140</v>
      </c>
      <c r="F784" s="368">
        <v>1016</v>
      </c>
      <c r="G784" s="368">
        <v>21750</v>
      </c>
      <c r="H784" s="368">
        <v>2031</v>
      </c>
      <c r="I784" s="368">
        <v>23781</v>
      </c>
      <c r="K784" s="367"/>
      <c r="L784" s="350">
        <v>0.315</v>
      </c>
      <c r="M784" s="350">
        <v>3.5000000000000003E-2</v>
      </c>
      <c r="N784" s="351" t="str">
        <f t="shared" si="25"/>
        <v>870004</v>
      </c>
      <c r="P784" s="351" t="str">
        <f t="shared" si="24"/>
        <v>T</v>
      </c>
    </row>
    <row r="785" spans="1:16" ht="23.25">
      <c r="A785" s="386" t="s">
        <v>74</v>
      </c>
      <c r="B785" s="387">
        <v>87000</v>
      </c>
      <c r="C785" s="365">
        <v>6</v>
      </c>
      <c r="D785" s="366">
        <v>13709</v>
      </c>
      <c r="E785" s="366">
        <v>100709</v>
      </c>
      <c r="F785" s="366">
        <v>1523</v>
      </c>
      <c r="G785" s="366">
        <v>14500</v>
      </c>
      <c r="H785" s="366">
        <v>2031</v>
      </c>
      <c r="I785" s="366">
        <v>16531</v>
      </c>
      <c r="K785" s="365"/>
      <c r="L785" s="350">
        <v>0.315</v>
      </c>
      <c r="M785" s="350">
        <v>3.5000000000000003E-2</v>
      </c>
      <c r="N785" s="351" t="str">
        <f t="shared" si="25"/>
        <v>870006</v>
      </c>
      <c r="P785" s="351" t="str">
        <f t="shared" ref="P785:P848" si="26">IF((E785-F785)/C785=I785,"T","F")</f>
        <v>T</v>
      </c>
    </row>
    <row r="786" spans="1:16" ht="23.25">
      <c r="A786" s="386" t="s">
        <v>74</v>
      </c>
      <c r="B786" s="387">
        <v>87000</v>
      </c>
      <c r="C786" s="367">
        <v>8</v>
      </c>
      <c r="D786" s="368">
        <v>18279</v>
      </c>
      <c r="E786" s="368">
        <v>105279</v>
      </c>
      <c r="F786" s="368">
        <v>2031</v>
      </c>
      <c r="G786" s="368">
        <v>10875</v>
      </c>
      <c r="H786" s="372">
        <v>2031</v>
      </c>
      <c r="I786" s="368">
        <v>12906</v>
      </c>
      <c r="K786" s="367"/>
      <c r="L786" s="350">
        <v>0.315</v>
      </c>
      <c r="M786" s="350">
        <v>3.5000000000000003E-2</v>
      </c>
      <c r="N786" s="351" t="str">
        <f t="shared" si="25"/>
        <v>870008</v>
      </c>
      <c r="P786" s="351" t="str">
        <f t="shared" si="26"/>
        <v>T</v>
      </c>
    </row>
    <row r="787" spans="1:16" ht="23.25">
      <c r="A787" s="386" t="s">
        <v>74</v>
      </c>
      <c r="B787" s="387">
        <v>87000</v>
      </c>
      <c r="C787" s="365">
        <v>10</v>
      </c>
      <c r="D787" s="366">
        <v>22848</v>
      </c>
      <c r="E787" s="366">
        <v>109848</v>
      </c>
      <c r="F787" s="366">
        <v>2538</v>
      </c>
      <c r="G787" s="366">
        <v>8700</v>
      </c>
      <c r="H787" s="366">
        <v>2031</v>
      </c>
      <c r="I787" s="366">
        <v>10731</v>
      </c>
      <c r="K787" s="365"/>
      <c r="L787" s="350">
        <v>0.315</v>
      </c>
      <c r="M787" s="350">
        <v>3.5000000000000003E-2</v>
      </c>
      <c r="N787" s="351" t="str">
        <f t="shared" si="25"/>
        <v>8700010</v>
      </c>
      <c r="P787" s="351" t="str">
        <f t="shared" si="26"/>
        <v>T</v>
      </c>
    </row>
    <row r="788" spans="1:16" ht="23.25">
      <c r="A788" s="386" t="s">
        <v>74</v>
      </c>
      <c r="B788" s="387">
        <v>87000</v>
      </c>
      <c r="C788" s="388">
        <v>12</v>
      </c>
      <c r="D788" s="364">
        <v>27418</v>
      </c>
      <c r="E788" s="364">
        <v>114418</v>
      </c>
      <c r="F788" s="364">
        <v>3046</v>
      </c>
      <c r="G788" s="364">
        <v>7250</v>
      </c>
      <c r="H788" s="364">
        <v>2031</v>
      </c>
      <c r="I788" s="364">
        <v>9281</v>
      </c>
      <c r="K788" s="388"/>
      <c r="L788" s="350">
        <v>0.315</v>
      </c>
      <c r="M788" s="350">
        <v>3.5000000000000003E-2</v>
      </c>
      <c r="N788" s="351" t="str">
        <f t="shared" si="25"/>
        <v>8700012</v>
      </c>
      <c r="P788" s="351" t="str">
        <f t="shared" si="26"/>
        <v>T</v>
      </c>
    </row>
    <row r="789" spans="1:16" ht="24" thickBot="1">
      <c r="A789" s="389" t="s">
        <v>74</v>
      </c>
      <c r="B789" s="390">
        <v>87000</v>
      </c>
      <c r="C789" s="381">
        <v>14</v>
      </c>
      <c r="D789" s="398">
        <v>31983</v>
      </c>
      <c r="E789" s="398">
        <v>118983</v>
      </c>
      <c r="F789" s="398">
        <v>3553</v>
      </c>
      <c r="G789" s="398">
        <v>6215</v>
      </c>
      <c r="H789" s="366">
        <v>2030</v>
      </c>
      <c r="I789" s="398">
        <v>8245</v>
      </c>
      <c r="K789" s="381"/>
      <c r="L789" s="350">
        <v>0.315</v>
      </c>
      <c r="M789" s="350">
        <v>3.5000000000000003E-2</v>
      </c>
      <c r="N789" s="351" t="str">
        <f t="shared" si="25"/>
        <v>8700014</v>
      </c>
      <c r="P789" s="351" t="str">
        <f t="shared" si="26"/>
        <v>T</v>
      </c>
    </row>
    <row r="790" spans="1:16" ht="24" thickTop="1">
      <c r="A790" s="355" t="s">
        <v>74</v>
      </c>
      <c r="B790" s="356">
        <v>87000</v>
      </c>
      <c r="C790" s="396">
        <v>16</v>
      </c>
      <c r="D790" s="397">
        <v>36549</v>
      </c>
      <c r="E790" s="397">
        <v>123549</v>
      </c>
      <c r="F790" s="397">
        <v>4061</v>
      </c>
      <c r="G790" s="397">
        <v>5438</v>
      </c>
      <c r="H790" s="397">
        <v>2030</v>
      </c>
      <c r="I790" s="397">
        <v>7468</v>
      </c>
      <c r="K790" s="396"/>
      <c r="L790" s="350">
        <v>0.315</v>
      </c>
      <c r="M790" s="350">
        <v>3.5000000000000003E-2</v>
      </c>
      <c r="N790" s="351" t="str">
        <f t="shared" si="25"/>
        <v>8700016</v>
      </c>
      <c r="P790" s="351" t="str">
        <f t="shared" si="26"/>
        <v>T</v>
      </c>
    </row>
    <row r="791" spans="1:16" ht="23.25">
      <c r="A791" s="360" t="s">
        <v>74</v>
      </c>
      <c r="B791" s="361">
        <v>87000</v>
      </c>
      <c r="C791" s="365">
        <v>18</v>
      </c>
      <c r="D791" s="366">
        <v>41120</v>
      </c>
      <c r="E791" s="366">
        <v>128120</v>
      </c>
      <c r="F791" s="366">
        <v>4568</v>
      </c>
      <c r="G791" s="366">
        <v>4834</v>
      </c>
      <c r="H791" s="366">
        <v>2030</v>
      </c>
      <c r="I791" s="366">
        <v>6864</v>
      </c>
      <c r="K791" s="365"/>
      <c r="L791" s="350">
        <v>0.315</v>
      </c>
      <c r="M791" s="350">
        <v>3.5000000000000003E-2</v>
      </c>
      <c r="N791" s="351" t="str">
        <f t="shared" si="25"/>
        <v>8700018</v>
      </c>
      <c r="P791" s="351" t="str">
        <f t="shared" si="26"/>
        <v>T</v>
      </c>
    </row>
    <row r="792" spans="1:16" ht="23.25">
      <c r="A792" s="360" t="s">
        <v>74</v>
      </c>
      <c r="B792" s="361">
        <v>87000</v>
      </c>
      <c r="C792" s="367">
        <v>20</v>
      </c>
      <c r="D792" s="368">
        <v>45696</v>
      </c>
      <c r="E792" s="368">
        <v>132696</v>
      </c>
      <c r="F792" s="368">
        <v>5076</v>
      </c>
      <c r="G792" s="368">
        <v>4350</v>
      </c>
      <c r="H792" s="364">
        <v>2031</v>
      </c>
      <c r="I792" s="368">
        <v>6381</v>
      </c>
      <c r="K792" s="367"/>
      <c r="L792" s="350">
        <v>0.315</v>
      </c>
      <c r="M792" s="350">
        <v>3.5000000000000003E-2</v>
      </c>
      <c r="N792" s="351" t="str">
        <f t="shared" si="25"/>
        <v>8700020</v>
      </c>
      <c r="P792" s="351" t="str">
        <f t="shared" si="26"/>
        <v>T</v>
      </c>
    </row>
    <row r="793" spans="1:16" ht="23.25">
      <c r="A793" s="360" t="s">
        <v>74</v>
      </c>
      <c r="B793" s="361">
        <v>87000</v>
      </c>
      <c r="C793" s="365">
        <v>22</v>
      </c>
      <c r="D793" s="366">
        <v>50253</v>
      </c>
      <c r="E793" s="366">
        <v>137253</v>
      </c>
      <c r="F793" s="366">
        <v>5583</v>
      </c>
      <c r="G793" s="366">
        <v>3955</v>
      </c>
      <c r="H793" s="366">
        <v>2030</v>
      </c>
      <c r="I793" s="366">
        <v>5985</v>
      </c>
      <c r="K793" s="365"/>
      <c r="L793" s="350">
        <v>0.315</v>
      </c>
      <c r="M793" s="350">
        <v>3.5000000000000003E-2</v>
      </c>
      <c r="N793" s="351" t="str">
        <f t="shared" si="25"/>
        <v>8700022</v>
      </c>
      <c r="P793" s="351" t="str">
        <f t="shared" si="26"/>
        <v>T</v>
      </c>
    </row>
    <row r="794" spans="1:16" ht="23.25">
      <c r="A794" s="360" t="s">
        <v>74</v>
      </c>
      <c r="B794" s="361">
        <v>87000</v>
      </c>
      <c r="C794" s="367">
        <v>24</v>
      </c>
      <c r="D794" s="368">
        <v>54835</v>
      </c>
      <c r="E794" s="368">
        <v>141835</v>
      </c>
      <c r="F794" s="368">
        <v>6091</v>
      </c>
      <c r="G794" s="368">
        <v>3625</v>
      </c>
      <c r="H794" s="368">
        <v>2031</v>
      </c>
      <c r="I794" s="368">
        <v>5656</v>
      </c>
      <c r="K794" s="367"/>
      <c r="L794" s="350">
        <v>0.315</v>
      </c>
      <c r="M794" s="350">
        <v>3.5000000000000003E-2</v>
      </c>
      <c r="N794" s="351" t="str">
        <f t="shared" si="25"/>
        <v>8700024</v>
      </c>
      <c r="P794" s="351" t="str">
        <f t="shared" si="26"/>
        <v>T</v>
      </c>
    </row>
    <row r="795" spans="1:16" ht="23.25">
      <c r="A795" s="360" t="s">
        <v>74</v>
      </c>
      <c r="B795" s="361">
        <v>88000</v>
      </c>
      <c r="C795" s="365">
        <v>4</v>
      </c>
      <c r="D795" s="366">
        <v>9243</v>
      </c>
      <c r="E795" s="366">
        <v>97243</v>
      </c>
      <c r="F795" s="366">
        <v>1027</v>
      </c>
      <c r="G795" s="366">
        <v>22000</v>
      </c>
      <c r="H795" s="366">
        <v>2054</v>
      </c>
      <c r="I795" s="366">
        <v>24054</v>
      </c>
      <c r="K795" s="365"/>
      <c r="L795" s="350">
        <v>0.315</v>
      </c>
      <c r="M795" s="350">
        <v>3.5000000000000003E-2</v>
      </c>
      <c r="N795" s="351" t="str">
        <f t="shared" si="25"/>
        <v>880004</v>
      </c>
      <c r="P795" s="351" t="str">
        <f t="shared" si="26"/>
        <v>T</v>
      </c>
    </row>
    <row r="796" spans="1:16" ht="23.25">
      <c r="A796" s="360" t="s">
        <v>74</v>
      </c>
      <c r="B796" s="361">
        <v>88000</v>
      </c>
      <c r="C796" s="367">
        <v>6</v>
      </c>
      <c r="D796" s="368">
        <v>13867</v>
      </c>
      <c r="E796" s="368">
        <v>101867</v>
      </c>
      <c r="F796" s="368">
        <v>1541</v>
      </c>
      <c r="G796" s="368">
        <v>14667</v>
      </c>
      <c r="H796" s="368">
        <v>2054</v>
      </c>
      <c r="I796" s="368">
        <v>16721</v>
      </c>
      <c r="K796" s="367"/>
      <c r="L796" s="350">
        <v>0.315</v>
      </c>
      <c r="M796" s="350">
        <v>3.5000000000000003E-2</v>
      </c>
      <c r="N796" s="351" t="str">
        <f t="shared" si="25"/>
        <v>880006</v>
      </c>
      <c r="P796" s="351" t="str">
        <f t="shared" si="26"/>
        <v>T</v>
      </c>
    </row>
    <row r="797" spans="1:16" ht="23.25">
      <c r="A797" s="360" t="s">
        <v>74</v>
      </c>
      <c r="B797" s="361">
        <v>88000</v>
      </c>
      <c r="C797" s="365">
        <v>8</v>
      </c>
      <c r="D797" s="366">
        <v>18486</v>
      </c>
      <c r="E797" s="366">
        <v>106486</v>
      </c>
      <c r="F797" s="366">
        <v>2054</v>
      </c>
      <c r="G797" s="366">
        <v>11000</v>
      </c>
      <c r="H797" s="366">
        <v>2054</v>
      </c>
      <c r="I797" s="366">
        <v>13054</v>
      </c>
      <c r="K797" s="365"/>
      <c r="L797" s="350">
        <v>0.315</v>
      </c>
      <c r="M797" s="350">
        <v>3.5000000000000003E-2</v>
      </c>
      <c r="N797" s="351" t="str">
        <f t="shared" si="25"/>
        <v>880008</v>
      </c>
      <c r="P797" s="351" t="str">
        <f t="shared" si="26"/>
        <v>T</v>
      </c>
    </row>
    <row r="798" spans="1:16" ht="23.25">
      <c r="A798" s="360" t="s">
        <v>74</v>
      </c>
      <c r="B798" s="361">
        <v>88000</v>
      </c>
      <c r="C798" s="388">
        <v>10</v>
      </c>
      <c r="D798" s="364">
        <v>23107</v>
      </c>
      <c r="E798" s="364">
        <v>111107</v>
      </c>
      <c r="F798" s="364">
        <v>2567</v>
      </c>
      <c r="G798" s="364">
        <v>8800</v>
      </c>
      <c r="H798" s="372">
        <v>2054</v>
      </c>
      <c r="I798" s="364">
        <v>10854</v>
      </c>
      <c r="K798" s="388"/>
      <c r="L798" s="350">
        <v>0.315</v>
      </c>
      <c r="M798" s="350">
        <v>3.5000000000000003E-2</v>
      </c>
      <c r="N798" s="351" t="str">
        <f t="shared" si="25"/>
        <v>8800010</v>
      </c>
      <c r="P798" s="351" t="str">
        <f t="shared" si="26"/>
        <v>T</v>
      </c>
    </row>
    <row r="799" spans="1:16" ht="23.25">
      <c r="A799" s="360" t="s">
        <v>74</v>
      </c>
      <c r="B799" s="361">
        <v>88000</v>
      </c>
      <c r="C799" s="365">
        <v>12</v>
      </c>
      <c r="D799" s="366">
        <v>27725</v>
      </c>
      <c r="E799" s="366">
        <v>115725</v>
      </c>
      <c r="F799" s="366">
        <v>3081</v>
      </c>
      <c r="G799" s="366">
        <v>7334</v>
      </c>
      <c r="H799" s="366">
        <v>2053</v>
      </c>
      <c r="I799" s="366">
        <v>9387</v>
      </c>
      <c r="K799" s="365"/>
      <c r="L799" s="350">
        <v>0.315</v>
      </c>
      <c r="M799" s="350">
        <v>3.5000000000000003E-2</v>
      </c>
      <c r="N799" s="351" t="str">
        <f t="shared" si="25"/>
        <v>8800012</v>
      </c>
      <c r="P799" s="351" t="str">
        <f t="shared" si="26"/>
        <v>T</v>
      </c>
    </row>
    <row r="800" spans="1:16" ht="24" thickBot="1">
      <c r="A800" s="392" t="s">
        <v>74</v>
      </c>
      <c r="B800" s="393">
        <v>88000</v>
      </c>
      <c r="C800" s="399">
        <v>14</v>
      </c>
      <c r="D800" s="400">
        <v>32354</v>
      </c>
      <c r="E800" s="400">
        <v>120354</v>
      </c>
      <c r="F800" s="400">
        <v>3594</v>
      </c>
      <c r="G800" s="400">
        <v>6286</v>
      </c>
      <c r="H800" s="364">
        <v>2054</v>
      </c>
      <c r="I800" s="400">
        <v>8340</v>
      </c>
      <c r="K800" s="399"/>
      <c r="L800" s="350">
        <v>0.315</v>
      </c>
      <c r="M800" s="350">
        <v>3.5000000000000003E-2</v>
      </c>
      <c r="N800" s="351" t="str">
        <f t="shared" si="25"/>
        <v>8800014</v>
      </c>
      <c r="P800" s="351" t="str">
        <f t="shared" si="26"/>
        <v>T</v>
      </c>
    </row>
    <row r="801" spans="1:16" ht="24" thickTop="1">
      <c r="A801" s="384" t="s">
        <v>74</v>
      </c>
      <c r="B801" s="385">
        <v>88000</v>
      </c>
      <c r="C801" s="357">
        <v>16</v>
      </c>
      <c r="D801" s="358">
        <v>36971</v>
      </c>
      <c r="E801" s="358">
        <v>124971</v>
      </c>
      <c r="F801" s="358">
        <v>4107</v>
      </c>
      <c r="G801" s="358">
        <v>5500</v>
      </c>
      <c r="H801" s="358">
        <v>2054</v>
      </c>
      <c r="I801" s="358">
        <v>7554</v>
      </c>
      <c r="K801" s="357"/>
      <c r="L801" s="350">
        <v>0.315</v>
      </c>
      <c r="M801" s="350">
        <v>3.5000000000000003E-2</v>
      </c>
      <c r="N801" s="351" t="str">
        <f t="shared" si="25"/>
        <v>8800016</v>
      </c>
      <c r="P801" s="351" t="str">
        <f t="shared" si="26"/>
        <v>T</v>
      </c>
    </row>
    <row r="802" spans="1:16" ht="23.25">
      <c r="A802" s="386" t="s">
        <v>74</v>
      </c>
      <c r="B802" s="387">
        <v>88000</v>
      </c>
      <c r="C802" s="388">
        <v>18</v>
      </c>
      <c r="D802" s="364">
        <v>41595</v>
      </c>
      <c r="E802" s="364">
        <v>129595</v>
      </c>
      <c r="F802" s="364">
        <v>4621</v>
      </c>
      <c r="G802" s="364">
        <v>4889</v>
      </c>
      <c r="H802" s="364">
        <v>2054</v>
      </c>
      <c r="I802" s="364">
        <v>6943</v>
      </c>
      <c r="K802" s="388"/>
      <c r="L802" s="350">
        <v>0.315</v>
      </c>
      <c r="M802" s="350">
        <v>3.5000000000000003E-2</v>
      </c>
      <c r="N802" s="351" t="str">
        <f t="shared" si="25"/>
        <v>8800018</v>
      </c>
      <c r="P802" s="351" t="str">
        <f t="shared" si="26"/>
        <v>T</v>
      </c>
    </row>
    <row r="803" spans="1:16" ht="23.25">
      <c r="A803" s="386" t="s">
        <v>74</v>
      </c>
      <c r="B803" s="387">
        <v>88000</v>
      </c>
      <c r="C803" s="365">
        <v>20</v>
      </c>
      <c r="D803" s="366">
        <v>46214</v>
      </c>
      <c r="E803" s="366">
        <v>134214</v>
      </c>
      <c r="F803" s="366">
        <v>5134</v>
      </c>
      <c r="G803" s="366">
        <v>4400</v>
      </c>
      <c r="H803" s="366">
        <v>2054</v>
      </c>
      <c r="I803" s="366">
        <v>6454</v>
      </c>
      <c r="K803" s="365"/>
      <c r="L803" s="350">
        <v>0.315</v>
      </c>
      <c r="M803" s="350">
        <v>3.5000000000000003E-2</v>
      </c>
      <c r="N803" s="351" t="str">
        <f t="shared" si="25"/>
        <v>8800020</v>
      </c>
      <c r="P803" s="351" t="str">
        <f t="shared" si="26"/>
        <v>T</v>
      </c>
    </row>
    <row r="804" spans="1:16" ht="23.25">
      <c r="A804" s="386" t="s">
        <v>74</v>
      </c>
      <c r="B804" s="387">
        <v>88000</v>
      </c>
      <c r="C804" s="367">
        <v>22</v>
      </c>
      <c r="D804" s="368">
        <v>50835</v>
      </c>
      <c r="E804" s="368">
        <v>138835</v>
      </c>
      <c r="F804" s="368">
        <v>5647</v>
      </c>
      <c r="G804" s="368">
        <v>4000</v>
      </c>
      <c r="H804" s="368">
        <v>2054</v>
      </c>
      <c r="I804" s="368">
        <v>6054</v>
      </c>
      <c r="K804" s="367"/>
      <c r="L804" s="350">
        <v>0.315</v>
      </c>
      <c r="M804" s="350">
        <v>3.5000000000000003E-2</v>
      </c>
      <c r="N804" s="351" t="str">
        <f t="shared" si="25"/>
        <v>8800022</v>
      </c>
      <c r="P804" s="351" t="str">
        <f t="shared" si="26"/>
        <v>T</v>
      </c>
    </row>
    <row r="805" spans="1:16" ht="23.25">
      <c r="A805" s="386" t="s">
        <v>74</v>
      </c>
      <c r="B805" s="387">
        <v>88000</v>
      </c>
      <c r="C805" s="365">
        <v>24</v>
      </c>
      <c r="D805" s="366">
        <v>55465</v>
      </c>
      <c r="E805" s="366">
        <v>143465</v>
      </c>
      <c r="F805" s="366">
        <v>6161</v>
      </c>
      <c r="G805" s="366">
        <v>3667</v>
      </c>
      <c r="H805" s="366">
        <v>2054</v>
      </c>
      <c r="I805" s="366">
        <v>5721</v>
      </c>
      <c r="K805" s="365"/>
      <c r="L805" s="350">
        <v>0.315</v>
      </c>
      <c r="M805" s="350">
        <v>3.5000000000000003E-2</v>
      </c>
      <c r="N805" s="351" t="str">
        <f t="shared" si="25"/>
        <v>8800024</v>
      </c>
      <c r="P805" s="351" t="str">
        <f t="shared" si="26"/>
        <v>T</v>
      </c>
    </row>
    <row r="806" spans="1:16" ht="23.25">
      <c r="A806" s="386" t="s">
        <v>74</v>
      </c>
      <c r="B806" s="387">
        <v>89000</v>
      </c>
      <c r="C806" s="367">
        <v>4</v>
      </c>
      <c r="D806" s="368">
        <v>9347</v>
      </c>
      <c r="E806" s="368">
        <v>98347</v>
      </c>
      <c r="F806" s="368">
        <v>1039</v>
      </c>
      <c r="G806" s="368">
        <v>22250</v>
      </c>
      <c r="H806" s="368">
        <v>2077</v>
      </c>
      <c r="I806" s="368">
        <v>24327</v>
      </c>
      <c r="K806" s="367"/>
      <c r="L806" s="350">
        <v>0.315</v>
      </c>
      <c r="M806" s="350">
        <v>3.5000000000000003E-2</v>
      </c>
      <c r="N806" s="351" t="str">
        <f t="shared" si="25"/>
        <v>890004</v>
      </c>
      <c r="P806" s="351" t="str">
        <f t="shared" si="26"/>
        <v>T</v>
      </c>
    </row>
    <row r="807" spans="1:16" ht="23.25">
      <c r="A807" s="386" t="s">
        <v>74</v>
      </c>
      <c r="B807" s="387">
        <v>89000</v>
      </c>
      <c r="C807" s="365">
        <v>6</v>
      </c>
      <c r="D807" s="366">
        <v>14024</v>
      </c>
      <c r="E807" s="366">
        <v>103024</v>
      </c>
      <c r="F807" s="366">
        <v>1558</v>
      </c>
      <c r="G807" s="366">
        <v>14834</v>
      </c>
      <c r="H807" s="366">
        <v>2077</v>
      </c>
      <c r="I807" s="366">
        <v>16911</v>
      </c>
      <c r="K807" s="365"/>
      <c r="L807" s="350">
        <v>0.315</v>
      </c>
      <c r="M807" s="350">
        <v>3.5000000000000003E-2</v>
      </c>
      <c r="N807" s="351" t="str">
        <f t="shared" si="25"/>
        <v>890006</v>
      </c>
      <c r="P807" s="351" t="str">
        <f t="shared" si="26"/>
        <v>T</v>
      </c>
    </row>
    <row r="808" spans="1:16" ht="23.25">
      <c r="A808" s="386" t="s">
        <v>74</v>
      </c>
      <c r="B808" s="387">
        <v>89000</v>
      </c>
      <c r="C808" s="367">
        <v>8</v>
      </c>
      <c r="D808" s="368">
        <v>18693</v>
      </c>
      <c r="E808" s="368">
        <v>107693</v>
      </c>
      <c r="F808" s="368">
        <v>2077</v>
      </c>
      <c r="G808" s="368">
        <v>11125</v>
      </c>
      <c r="H808" s="372">
        <v>2077</v>
      </c>
      <c r="I808" s="368">
        <v>13202</v>
      </c>
      <c r="K808" s="367"/>
      <c r="L808" s="350">
        <v>0.315</v>
      </c>
      <c r="M808" s="350">
        <v>3.5000000000000003E-2</v>
      </c>
      <c r="N808" s="351" t="str">
        <f t="shared" si="25"/>
        <v>890008</v>
      </c>
      <c r="P808" s="351" t="str">
        <f t="shared" si="26"/>
        <v>T</v>
      </c>
    </row>
    <row r="809" spans="1:16" ht="23.25">
      <c r="A809" s="386" t="s">
        <v>74</v>
      </c>
      <c r="B809" s="387">
        <v>89000</v>
      </c>
      <c r="C809" s="365">
        <v>10</v>
      </c>
      <c r="D809" s="366">
        <v>23366</v>
      </c>
      <c r="E809" s="366">
        <v>112366</v>
      </c>
      <c r="F809" s="366">
        <v>2596</v>
      </c>
      <c r="G809" s="366">
        <v>8900</v>
      </c>
      <c r="H809" s="366">
        <v>2077</v>
      </c>
      <c r="I809" s="366">
        <v>10977</v>
      </c>
      <c r="K809" s="365"/>
      <c r="L809" s="350">
        <v>0.315</v>
      </c>
      <c r="M809" s="350">
        <v>3.5000000000000003E-2</v>
      </c>
      <c r="N809" s="351" t="str">
        <f t="shared" si="25"/>
        <v>8900010</v>
      </c>
      <c r="P809" s="351" t="str">
        <f t="shared" si="26"/>
        <v>T</v>
      </c>
    </row>
    <row r="810" spans="1:16" ht="23.25">
      <c r="A810" s="386" t="s">
        <v>74</v>
      </c>
      <c r="B810" s="387">
        <v>89000</v>
      </c>
      <c r="C810" s="388">
        <v>12</v>
      </c>
      <c r="D810" s="364">
        <v>28044</v>
      </c>
      <c r="E810" s="364">
        <v>117044</v>
      </c>
      <c r="F810" s="364">
        <v>3116</v>
      </c>
      <c r="G810" s="364">
        <v>7417</v>
      </c>
      <c r="H810" s="364">
        <v>2077</v>
      </c>
      <c r="I810" s="364">
        <v>9494</v>
      </c>
      <c r="K810" s="388"/>
      <c r="L810" s="350">
        <v>0.315</v>
      </c>
      <c r="M810" s="350">
        <v>3.5000000000000003E-2</v>
      </c>
      <c r="N810" s="351" t="str">
        <f t="shared" si="25"/>
        <v>8900012</v>
      </c>
      <c r="P810" s="351" t="str">
        <f t="shared" si="26"/>
        <v>T</v>
      </c>
    </row>
    <row r="811" spans="1:16" ht="24" thickBot="1">
      <c r="A811" s="389" t="s">
        <v>74</v>
      </c>
      <c r="B811" s="390">
        <v>89000</v>
      </c>
      <c r="C811" s="381">
        <v>14</v>
      </c>
      <c r="D811" s="398">
        <v>32711</v>
      </c>
      <c r="E811" s="398">
        <v>121711</v>
      </c>
      <c r="F811" s="398">
        <v>3635</v>
      </c>
      <c r="G811" s="398">
        <v>6358</v>
      </c>
      <c r="H811" s="366">
        <v>2076</v>
      </c>
      <c r="I811" s="398">
        <v>8434</v>
      </c>
      <c r="K811" s="381"/>
      <c r="L811" s="350">
        <v>0.315</v>
      </c>
      <c r="M811" s="350">
        <v>3.5000000000000003E-2</v>
      </c>
      <c r="N811" s="351" t="str">
        <f t="shared" si="25"/>
        <v>8900014</v>
      </c>
      <c r="P811" s="351" t="str">
        <f t="shared" si="26"/>
        <v>T</v>
      </c>
    </row>
    <row r="812" spans="1:16" ht="24" thickTop="1">
      <c r="A812" s="355" t="s">
        <v>74</v>
      </c>
      <c r="B812" s="356">
        <v>89000</v>
      </c>
      <c r="C812" s="396">
        <v>16</v>
      </c>
      <c r="D812" s="397">
        <v>37394</v>
      </c>
      <c r="E812" s="397">
        <v>126394</v>
      </c>
      <c r="F812" s="397">
        <v>4154</v>
      </c>
      <c r="G812" s="397">
        <v>5563</v>
      </c>
      <c r="H812" s="397">
        <v>2077</v>
      </c>
      <c r="I812" s="397">
        <v>7640</v>
      </c>
      <c r="K812" s="396"/>
      <c r="L812" s="350">
        <v>0.315</v>
      </c>
      <c r="M812" s="350">
        <v>3.5000000000000003E-2</v>
      </c>
      <c r="N812" s="351" t="str">
        <f t="shared" si="25"/>
        <v>8900016</v>
      </c>
      <c r="P812" s="351" t="str">
        <f t="shared" si="26"/>
        <v>T</v>
      </c>
    </row>
    <row r="813" spans="1:16" ht="23.25">
      <c r="A813" s="360" t="s">
        <v>74</v>
      </c>
      <c r="B813" s="361">
        <v>89000</v>
      </c>
      <c r="C813" s="365">
        <v>18</v>
      </c>
      <c r="D813" s="366">
        <v>42069</v>
      </c>
      <c r="E813" s="366">
        <v>131069</v>
      </c>
      <c r="F813" s="366">
        <v>4673</v>
      </c>
      <c r="G813" s="366">
        <v>4945</v>
      </c>
      <c r="H813" s="366">
        <v>2077</v>
      </c>
      <c r="I813" s="366">
        <v>7022</v>
      </c>
      <c r="K813" s="365"/>
      <c r="L813" s="350">
        <v>0.315</v>
      </c>
      <c r="M813" s="350">
        <v>3.5000000000000003E-2</v>
      </c>
      <c r="N813" s="351" t="str">
        <f t="shared" si="25"/>
        <v>8900018</v>
      </c>
      <c r="P813" s="351" t="str">
        <f t="shared" si="26"/>
        <v>T</v>
      </c>
    </row>
    <row r="814" spans="1:16" ht="23.25">
      <c r="A814" s="360" t="s">
        <v>74</v>
      </c>
      <c r="B814" s="361">
        <v>89000</v>
      </c>
      <c r="C814" s="367">
        <v>20</v>
      </c>
      <c r="D814" s="368">
        <v>46732</v>
      </c>
      <c r="E814" s="368">
        <v>135732</v>
      </c>
      <c r="F814" s="368">
        <v>5192</v>
      </c>
      <c r="G814" s="368">
        <v>4450</v>
      </c>
      <c r="H814" s="364">
        <v>2077</v>
      </c>
      <c r="I814" s="368">
        <v>6527</v>
      </c>
      <c r="K814" s="367"/>
      <c r="L814" s="350">
        <v>0.315</v>
      </c>
      <c r="M814" s="350">
        <v>3.5000000000000003E-2</v>
      </c>
      <c r="N814" s="351" t="str">
        <f t="shared" si="25"/>
        <v>8900020</v>
      </c>
      <c r="P814" s="351" t="str">
        <f t="shared" si="26"/>
        <v>T</v>
      </c>
    </row>
    <row r="815" spans="1:16" ht="23.25">
      <c r="A815" s="360" t="s">
        <v>74</v>
      </c>
      <c r="B815" s="361">
        <v>89000</v>
      </c>
      <c r="C815" s="365">
        <v>22</v>
      </c>
      <c r="D815" s="366">
        <v>51417</v>
      </c>
      <c r="E815" s="366">
        <v>140417</v>
      </c>
      <c r="F815" s="366">
        <v>5711</v>
      </c>
      <c r="G815" s="366">
        <v>4046</v>
      </c>
      <c r="H815" s="366">
        <v>2077</v>
      </c>
      <c r="I815" s="366">
        <v>6123</v>
      </c>
      <c r="K815" s="365"/>
      <c r="L815" s="350">
        <v>0.315</v>
      </c>
      <c r="M815" s="350">
        <v>3.5000000000000003E-2</v>
      </c>
      <c r="N815" s="351" t="str">
        <f t="shared" si="25"/>
        <v>8900022</v>
      </c>
      <c r="P815" s="351" t="str">
        <f t="shared" si="26"/>
        <v>T</v>
      </c>
    </row>
    <row r="816" spans="1:16" ht="23.25">
      <c r="A816" s="360" t="s">
        <v>74</v>
      </c>
      <c r="B816" s="361">
        <v>89000</v>
      </c>
      <c r="C816" s="367">
        <v>24</v>
      </c>
      <c r="D816" s="368">
        <v>56095</v>
      </c>
      <c r="E816" s="368">
        <v>145095</v>
      </c>
      <c r="F816" s="368">
        <v>6231</v>
      </c>
      <c r="G816" s="368">
        <v>3709</v>
      </c>
      <c r="H816" s="368">
        <v>2077</v>
      </c>
      <c r="I816" s="368">
        <v>5786</v>
      </c>
      <c r="K816" s="367"/>
      <c r="L816" s="350">
        <v>0.315</v>
      </c>
      <c r="M816" s="350">
        <v>3.5000000000000003E-2</v>
      </c>
      <c r="N816" s="351" t="str">
        <f t="shared" si="25"/>
        <v>8900024</v>
      </c>
      <c r="P816" s="351" t="str">
        <f t="shared" si="26"/>
        <v>T</v>
      </c>
    </row>
    <row r="817" spans="1:16" ht="23.25">
      <c r="A817" s="360" t="s">
        <v>74</v>
      </c>
      <c r="B817" s="361">
        <v>90000</v>
      </c>
      <c r="C817" s="365">
        <v>4</v>
      </c>
      <c r="D817" s="366">
        <v>9455</v>
      </c>
      <c r="E817" s="366">
        <v>99455</v>
      </c>
      <c r="F817" s="366">
        <v>1051</v>
      </c>
      <c r="G817" s="366">
        <v>22500</v>
      </c>
      <c r="H817" s="366">
        <v>2101</v>
      </c>
      <c r="I817" s="366">
        <v>24601</v>
      </c>
      <c r="K817" s="365"/>
      <c r="L817" s="350">
        <v>0.315</v>
      </c>
      <c r="M817" s="350">
        <v>3.5000000000000003E-2</v>
      </c>
      <c r="N817" s="351" t="str">
        <f t="shared" si="25"/>
        <v>900004</v>
      </c>
      <c r="P817" s="351" t="str">
        <f t="shared" si="26"/>
        <v>T</v>
      </c>
    </row>
    <row r="818" spans="1:16" ht="23.25">
      <c r="A818" s="360" t="s">
        <v>74</v>
      </c>
      <c r="B818" s="361">
        <v>90000</v>
      </c>
      <c r="C818" s="367">
        <v>6</v>
      </c>
      <c r="D818" s="368">
        <v>14182</v>
      </c>
      <c r="E818" s="368">
        <v>104182</v>
      </c>
      <c r="F818" s="368">
        <v>1576</v>
      </c>
      <c r="G818" s="368">
        <v>15000</v>
      </c>
      <c r="H818" s="368">
        <v>2101</v>
      </c>
      <c r="I818" s="368">
        <v>17101</v>
      </c>
      <c r="K818" s="367"/>
      <c r="L818" s="350">
        <v>0.315</v>
      </c>
      <c r="M818" s="350">
        <v>3.5000000000000003E-2</v>
      </c>
      <c r="N818" s="351" t="str">
        <f t="shared" si="25"/>
        <v>900006</v>
      </c>
      <c r="P818" s="351" t="str">
        <f t="shared" si="26"/>
        <v>T</v>
      </c>
    </row>
    <row r="819" spans="1:16" ht="23.25">
      <c r="A819" s="360" t="s">
        <v>74</v>
      </c>
      <c r="B819" s="361">
        <v>90000</v>
      </c>
      <c r="C819" s="365">
        <v>8</v>
      </c>
      <c r="D819" s="366">
        <v>18909</v>
      </c>
      <c r="E819" s="366">
        <v>108909</v>
      </c>
      <c r="F819" s="366">
        <v>2101</v>
      </c>
      <c r="G819" s="366">
        <v>11250</v>
      </c>
      <c r="H819" s="366">
        <v>2101</v>
      </c>
      <c r="I819" s="366">
        <v>13351</v>
      </c>
      <c r="K819" s="365"/>
      <c r="L819" s="350">
        <v>0.315</v>
      </c>
      <c r="M819" s="350">
        <v>3.5000000000000003E-2</v>
      </c>
      <c r="N819" s="351" t="str">
        <f t="shared" si="25"/>
        <v>900008</v>
      </c>
      <c r="P819" s="351" t="str">
        <f t="shared" si="26"/>
        <v>T</v>
      </c>
    </row>
    <row r="820" spans="1:16" ht="23.25">
      <c r="A820" s="360" t="s">
        <v>74</v>
      </c>
      <c r="B820" s="361">
        <v>90000</v>
      </c>
      <c r="C820" s="388">
        <v>10</v>
      </c>
      <c r="D820" s="364">
        <v>23636</v>
      </c>
      <c r="E820" s="364">
        <v>113636</v>
      </c>
      <c r="F820" s="364">
        <v>2626</v>
      </c>
      <c r="G820" s="364">
        <v>9000</v>
      </c>
      <c r="H820" s="372">
        <v>2101</v>
      </c>
      <c r="I820" s="364">
        <v>11101</v>
      </c>
      <c r="K820" s="388"/>
      <c r="L820" s="350">
        <v>0.315</v>
      </c>
      <c r="M820" s="350">
        <v>3.5000000000000003E-2</v>
      </c>
      <c r="N820" s="351" t="str">
        <f t="shared" si="25"/>
        <v>9000010</v>
      </c>
      <c r="P820" s="351" t="str">
        <f t="shared" si="26"/>
        <v>T</v>
      </c>
    </row>
    <row r="821" spans="1:16" ht="23.25">
      <c r="A821" s="360" t="s">
        <v>74</v>
      </c>
      <c r="B821" s="361">
        <v>90000</v>
      </c>
      <c r="C821" s="365">
        <v>12</v>
      </c>
      <c r="D821" s="366">
        <v>28363</v>
      </c>
      <c r="E821" s="366">
        <v>118363</v>
      </c>
      <c r="F821" s="366">
        <v>3151</v>
      </c>
      <c r="G821" s="366">
        <v>7500</v>
      </c>
      <c r="H821" s="366">
        <v>2101</v>
      </c>
      <c r="I821" s="366">
        <v>9601</v>
      </c>
      <c r="K821" s="365"/>
      <c r="L821" s="350">
        <v>0.315</v>
      </c>
      <c r="M821" s="350">
        <v>3.5000000000000003E-2</v>
      </c>
      <c r="N821" s="351" t="str">
        <f t="shared" si="25"/>
        <v>9000012</v>
      </c>
      <c r="P821" s="351" t="str">
        <f t="shared" si="26"/>
        <v>T</v>
      </c>
    </row>
    <row r="822" spans="1:16" ht="24" thickBot="1">
      <c r="A822" s="392" t="s">
        <v>74</v>
      </c>
      <c r="B822" s="393">
        <v>90000</v>
      </c>
      <c r="C822" s="399">
        <v>14</v>
      </c>
      <c r="D822" s="400">
        <v>33082</v>
      </c>
      <c r="E822" s="400">
        <v>123082</v>
      </c>
      <c r="F822" s="400">
        <v>3676</v>
      </c>
      <c r="G822" s="400">
        <v>6429</v>
      </c>
      <c r="H822" s="364">
        <v>2100</v>
      </c>
      <c r="I822" s="400">
        <v>8529</v>
      </c>
      <c r="K822" s="399"/>
      <c r="L822" s="350">
        <v>0.315</v>
      </c>
      <c r="M822" s="350">
        <v>3.5000000000000003E-2</v>
      </c>
      <c r="N822" s="351" t="str">
        <f t="shared" si="25"/>
        <v>9000014</v>
      </c>
      <c r="P822" s="351" t="str">
        <f t="shared" si="26"/>
        <v>T</v>
      </c>
    </row>
    <row r="823" spans="1:16" ht="24" thickTop="1">
      <c r="A823" s="384" t="s">
        <v>74</v>
      </c>
      <c r="B823" s="385">
        <v>90000</v>
      </c>
      <c r="C823" s="357">
        <v>16</v>
      </c>
      <c r="D823" s="358">
        <v>37817</v>
      </c>
      <c r="E823" s="358">
        <v>127817</v>
      </c>
      <c r="F823" s="358">
        <v>4201</v>
      </c>
      <c r="G823" s="358">
        <v>5625</v>
      </c>
      <c r="H823" s="358">
        <v>2101</v>
      </c>
      <c r="I823" s="358">
        <v>7726</v>
      </c>
      <c r="K823" s="357"/>
      <c r="L823" s="350">
        <v>0.315</v>
      </c>
      <c r="M823" s="350">
        <v>3.5000000000000003E-2</v>
      </c>
      <c r="N823" s="351" t="str">
        <f t="shared" si="25"/>
        <v>9000016</v>
      </c>
      <c r="P823" s="351" t="str">
        <f t="shared" si="26"/>
        <v>T</v>
      </c>
    </row>
    <row r="824" spans="1:16" ht="23.25">
      <c r="A824" s="386" t="s">
        <v>74</v>
      </c>
      <c r="B824" s="387">
        <v>90000</v>
      </c>
      <c r="C824" s="388">
        <v>18</v>
      </c>
      <c r="D824" s="364">
        <v>42544</v>
      </c>
      <c r="E824" s="364">
        <v>132544</v>
      </c>
      <c r="F824" s="364">
        <v>4726</v>
      </c>
      <c r="G824" s="364">
        <v>5000</v>
      </c>
      <c r="H824" s="364">
        <v>2101</v>
      </c>
      <c r="I824" s="364">
        <v>7101</v>
      </c>
      <c r="K824" s="388"/>
      <c r="L824" s="350">
        <v>0.315</v>
      </c>
      <c r="M824" s="350">
        <v>3.5000000000000003E-2</v>
      </c>
      <c r="N824" s="351" t="str">
        <f t="shared" si="25"/>
        <v>9000018</v>
      </c>
      <c r="P824" s="351" t="str">
        <f t="shared" si="26"/>
        <v>T</v>
      </c>
    </row>
    <row r="825" spans="1:16" ht="23.25">
      <c r="A825" s="386" t="s">
        <v>74</v>
      </c>
      <c r="B825" s="387">
        <v>90000</v>
      </c>
      <c r="C825" s="365">
        <v>20</v>
      </c>
      <c r="D825" s="366">
        <v>47271</v>
      </c>
      <c r="E825" s="366">
        <v>137271</v>
      </c>
      <c r="F825" s="366">
        <v>5251</v>
      </c>
      <c r="G825" s="366">
        <v>4500</v>
      </c>
      <c r="H825" s="366">
        <v>2101</v>
      </c>
      <c r="I825" s="366">
        <v>6601</v>
      </c>
      <c r="K825" s="365"/>
      <c r="L825" s="350">
        <v>0.315</v>
      </c>
      <c r="M825" s="350">
        <v>3.5000000000000003E-2</v>
      </c>
      <c r="N825" s="351" t="str">
        <f t="shared" si="25"/>
        <v>9000020</v>
      </c>
      <c r="P825" s="351" t="str">
        <f t="shared" si="26"/>
        <v>T</v>
      </c>
    </row>
    <row r="826" spans="1:16" ht="23.25">
      <c r="A826" s="386" t="s">
        <v>74</v>
      </c>
      <c r="B826" s="387">
        <v>90000</v>
      </c>
      <c r="C826" s="367">
        <v>22</v>
      </c>
      <c r="D826" s="368">
        <v>51978</v>
      </c>
      <c r="E826" s="368">
        <v>141978</v>
      </c>
      <c r="F826" s="368">
        <v>5776</v>
      </c>
      <c r="G826" s="368">
        <v>4091</v>
      </c>
      <c r="H826" s="368">
        <v>2100</v>
      </c>
      <c r="I826" s="368">
        <v>6191</v>
      </c>
      <c r="K826" s="367"/>
      <c r="L826" s="350">
        <v>0.315</v>
      </c>
      <c r="M826" s="350">
        <v>3.5000000000000003E-2</v>
      </c>
      <c r="N826" s="351" t="str">
        <f t="shared" si="25"/>
        <v>9000022</v>
      </c>
      <c r="P826" s="351" t="str">
        <f t="shared" si="26"/>
        <v>T</v>
      </c>
    </row>
    <row r="827" spans="1:16" ht="23.25">
      <c r="A827" s="386" t="s">
        <v>74</v>
      </c>
      <c r="B827" s="387">
        <v>90000</v>
      </c>
      <c r="C827" s="365">
        <v>24</v>
      </c>
      <c r="D827" s="366">
        <v>56725</v>
      </c>
      <c r="E827" s="366">
        <v>146725</v>
      </c>
      <c r="F827" s="366">
        <v>6301</v>
      </c>
      <c r="G827" s="366">
        <v>3750</v>
      </c>
      <c r="H827" s="366">
        <v>2101</v>
      </c>
      <c r="I827" s="366">
        <v>5851</v>
      </c>
      <c r="K827" s="365"/>
      <c r="L827" s="350">
        <v>0.315</v>
      </c>
      <c r="M827" s="350">
        <v>3.5000000000000003E-2</v>
      </c>
      <c r="N827" s="351" t="str">
        <f t="shared" si="25"/>
        <v>9000024</v>
      </c>
      <c r="P827" s="351" t="str">
        <f t="shared" si="26"/>
        <v>T</v>
      </c>
    </row>
    <row r="828" spans="1:16" ht="23.25">
      <c r="A828" s="386" t="s">
        <v>74</v>
      </c>
      <c r="B828" s="387">
        <v>91000</v>
      </c>
      <c r="C828" s="367">
        <v>4</v>
      </c>
      <c r="D828" s="368">
        <v>9558</v>
      </c>
      <c r="E828" s="368">
        <v>100558</v>
      </c>
      <c r="F828" s="368">
        <v>1062</v>
      </c>
      <c r="G828" s="368">
        <v>22750</v>
      </c>
      <c r="H828" s="368">
        <v>2124</v>
      </c>
      <c r="I828" s="368">
        <v>24874</v>
      </c>
      <c r="K828" s="367"/>
      <c r="L828" s="350">
        <v>0.315</v>
      </c>
      <c r="M828" s="350">
        <v>3.5000000000000003E-2</v>
      </c>
      <c r="N828" s="351" t="str">
        <f t="shared" si="25"/>
        <v>910004</v>
      </c>
      <c r="P828" s="351" t="str">
        <f t="shared" si="26"/>
        <v>T</v>
      </c>
    </row>
    <row r="829" spans="1:16" ht="23.25">
      <c r="A829" s="386" t="s">
        <v>74</v>
      </c>
      <c r="B829" s="387">
        <v>91000</v>
      </c>
      <c r="C829" s="365">
        <v>6</v>
      </c>
      <c r="D829" s="366">
        <v>14339</v>
      </c>
      <c r="E829" s="366">
        <v>105339</v>
      </c>
      <c r="F829" s="366">
        <v>1593</v>
      </c>
      <c r="G829" s="366">
        <v>15167</v>
      </c>
      <c r="H829" s="366">
        <v>2124</v>
      </c>
      <c r="I829" s="366">
        <v>17291</v>
      </c>
      <c r="K829" s="365"/>
      <c r="L829" s="350">
        <v>0.315</v>
      </c>
      <c r="M829" s="350">
        <v>3.5000000000000003E-2</v>
      </c>
      <c r="N829" s="351" t="str">
        <f t="shared" si="25"/>
        <v>910006</v>
      </c>
      <c r="P829" s="351" t="str">
        <f t="shared" si="26"/>
        <v>T</v>
      </c>
    </row>
    <row r="830" spans="1:16" ht="23.25">
      <c r="A830" s="386" t="s">
        <v>74</v>
      </c>
      <c r="B830" s="387">
        <v>91000</v>
      </c>
      <c r="C830" s="367">
        <v>8</v>
      </c>
      <c r="D830" s="368">
        <v>19116</v>
      </c>
      <c r="E830" s="368">
        <v>110116</v>
      </c>
      <c r="F830" s="368">
        <v>2124</v>
      </c>
      <c r="G830" s="372">
        <v>11375</v>
      </c>
      <c r="H830" s="372">
        <v>2124</v>
      </c>
      <c r="I830" s="368">
        <v>13499</v>
      </c>
      <c r="K830" s="367"/>
      <c r="L830" s="350">
        <v>0.315</v>
      </c>
      <c r="M830" s="350">
        <v>3.5000000000000003E-2</v>
      </c>
      <c r="N830" s="351" t="str">
        <f t="shared" si="25"/>
        <v>910008</v>
      </c>
      <c r="P830" s="351" t="str">
        <f t="shared" si="26"/>
        <v>T</v>
      </c>
    </row>
    <row r="831" spans="1:16" ht="23.25">
      <c r="A831" s="386" t="s">
        <v>74</v>
      </c>
      <c r="B831" s="387">
        <v>91000</v>
      </c>
      <c r="C831" s="365">
        <v>10</v>
      </c>
      <c r="D831" s="366">
        <v>23895</v>
      </c>
      <c r="E831" s="366">
        <v>114895</v>
      </c>
      <c r="F831" s="366">
        <v>2655</v>
      </c>
      <c r="G831" s="366">
        <v>9100</v>
      </c>
      <c r="H831" s="366">
        <v>2124</v>
      </c>
      <c r="I831" s="366">
        <v>11224</v>
      </c>
      <c r="K831" s="365"/>
      <c r="L831" s="350">
        <v>0.315</v>
      </c>
      <c r="M831" s="350">
        <v>3.5000000000000003E-2</v>
      </c>
      <c r="N831" s="351" t="str">
        <f t="shared" si="25"/>
        <v>9100010</v>
      </c>
      <c r="P831" s="351" t="str">
        <f t="shared" si="26"/>
        <v>T</v>
      </c>
    </row>
    <row r="832" spans="1:16" ht="23.25">
      <c r="A832" s="386" t="s">
        <v>74</v>
      </c>
      <c r="B832" s="387">
        <v>91000</v>
      </c>
      <c r="C832" s="388">
        <v>12</v>
      </c>
      <c r="D832" s="364">
        <v>28670</v>
      </c>
      <c r="E832" s="364">
        <v>119670</v>
      </c>
      <c r="F832" s="364">
        <v>3186</v>
      </c>
      <c r="G832" s="364">
        <v>7584</v>
      </c>
      <c r="H832" s="364">
        <v>2123</v>
      </c>
      <c r="I832" s="364">
        <v>9707</v>
      </c>
      <c r="K832" s="388"/>
      <c r="L832" s="350">
        <v>0.315</v>
      </c>
      <c r="M832" s="350">
        <v>3.5000000000000003E-2</v>
      </c>
      <c r="N832" s="351" t="str">
        <f t="shared" si="25"/>
        <v>9100012</v>
      </c>
      <c r="P832" s="351" t="str">
        <f t="shared" si="26"/>
        <v>T</v>
      </c>
    </row>
    <row r="833" spans="1:16" ht="24" thickBot="1">
      <c r="A833" s="389" t="s">
        <v>74</v>
      </c>
      <c r="B833" s="390">
        <v>91000</v>
      </c>
      <c r="C833" s="381">
        <v>14</v>
      </c>
      <c r="D833" s="398">
        <v>33452</v>
      </c>
      <c r="E833" s="398">
        <v>124452</v>
      </c>
      <c r="F833" s="398">
        <v>3716</v>
      </c>
      <c r="G833" s="366">
        <v>6500</v>
      </c>
      <c r="H833" s="366">
        <v>2124</v>
      </c>
      <c r="I833" s="398">
        <v>8624</v>
      </c>
      <c r="K833" s="381"/>
      <c r="L833" s="350">
        <v>0.315</v>
      </c>
      <c r="M833" s="350">
        <v>3.5000000000000003E-2</v>
      </c>
      <c r="N833" s="351" t="str">
        <f t="shared" si="25"/>
        <v>9100014</v>
      </c>
      <c r="P833" s="351" t="str">
        <f t="shared" si="26"/>
        <v>T</v>
      </c>
    </row>
    <row r="834" spans="1:16" ht="24" thickTop="1">
      <c r="A834" s="355" t="s">
        <v>74</v>
      </c>
      <c r="B834" s="356">
        <v>91000</v>
      </c>
      <c r="C834" s="396">
        <v>16</v>
      </c>
      <c r="D834" s="397">
        <v>38223</v>
      </c>
      <c r="E834" s="397">
        <v>129223</v>
      </c>
      <c r="F834" s="397">
        <v>4247</v>
      </c>
      <c r="G834" s="397">
        <v>5688</v>
      </c>
      <c r="H834" s="397">
        <v>2123</v>
      </c>
      <c r="I834" s="397">
        <v>7811</v>
      </c>
      <c r="K834" s="396"/>
      <c r="L834" s="350">
        <v>0.315</v>
      </c>
      <c r="M834" s="350">
        <v>3.5000000000000003E-2</v>
      </c>
      <c r="N834" s="351" t="str">
        <f t="shared" si="25"/>
        <v>9100016</v>
      </c>
      <c r="P834" s="351" t="str">
        <f t="shared" si="26"/>
        <v>T</v>
      </c>
    </row>
    <row r="835" spans="1:16" ht="23.25">
      <c r="A835" s="360" t="s">
        <v>74</v>
      </c>
      <c r="B835" s="361">
        <v>91000</v>
      </c>
      <c r="C835" s="365">
        <v>18</v>
      </c>
      <c r="D835" s="366">
        <v>43000</v>
      </c>
      <c r="E835" s="366">
        <v>134000</v>
      </c>
      <c r="F835" s="366">
        <v>4778</v>
      </c>
      <c r="G835" s="366">
        <v>5056</v>
      </c>
      <c r="H835" s="366">
        <v>2123</v>
      </c>
      <c r="I835" s="366">
        <v>7179</v>
      </c>
      <c r="K835" s="365"/>
      <c r="L835" s="350">
        <v>0.315</v>
      </c>
      <c r="M835" s="350">
        <v>3.5000000000000003E-2</v>
      </c>
      <c r="N835" s="351" t="str">
        <f t="shared" si="25"/>
        <v>9100018</v>
      </c>
      <c r="P835" s="351" t="str">
        <f t="shared" si="26"/>
        <v>T</v>
      </c>
    </row>
    <row r="836" spans="1:16" ht="23.25">
      <c r="A836" s="360" t="s">
        <v>74</v>
      </c>
      <c r="B836" s="361">
        <v>91000</v>
      </c>
      <c r="C836" s="367">
        <v>20</v>
      </c>
      <c r="D836" s="368">
        <v>47789</v>
      </c>
      <c r="E836" s="368">
        <v>138789</v>
      </c>
      <c r="F836" s="368">
        <v>5309</v>
      </c>
      <c r="G836" s="368">
        <v>4550</v>
      </c>
      <c r="H836" s="364">
        <v>2124</v>
      </c>
      <c r="I836" s="368">
        <v>6674</v>
      </c>
      <c r="K836" s="367"/>
      <c r="L836" s="350">
        <v>0.315</v>
      </c>
      <c r="M836" s="350">
        <v>3.5000000000000003E-2</v>
      </c>
      <c r="N836" s="351" t="str">
        <f t="shared" si="25"/>
        <v>9100020</v>
      </c>
      <c r="P836" s="351" t="str">
        <f t="shared" si="26"/>
        <v>T</v>
      </c>
    </row>
    <row r="837" spans="1:16" ht="23.25">
      <c r="A837" s="360" t="s">
        <v>74</v>
      </c>
      <c r="B837" s="361">
        <v>91000</v>
      </c>
      <c r="C837" s="365">
        <v>22</v>
      </c>
      <c r="D837" s="366">
        <v>52560</v>
      </c>
      <c r="E837" s="366">
        <v>143560</v>
      </c>
      <c r="F837" s="366">
        <v>5840</v>
      </c>
      <c r="G837" s="366">
        <v>4137</v>
      </c>
      <c r="H837" s="366">
        <v>2123</v>
      </c>
      <c r="I837" s="366">
        <v>6260</v>
      </c>
      <c r="K837" s="365"/>
      <c r="L837" s="350">
        <v>0.315</v>
      </c>
      <c r="M837" s="350">
        <v>3.5000000000000003E-2</v>
      </c>
      <c r="N837" s="351" t="str">
        <f t="shared" ref="N837:N900" si="27">CONCATENATE(B837,C837)</f>
        <v>9100022</v>
      </c>
      <c r="P837" s="351" t="str">
        <f t="shared" si="26"/>
        <v>T</v>
      </c>
    </row>
    <row r="838" spans="1:16" ht="23.25">
      <c r="A838" s="360" t="s">
        <v>74</v>
      </c>
      <c r="B838" s="361">
        <v>91000</v>
      </c>
      <c r="C838" s="367">
        <v>24</v>
      </c>
      <c r="D838" s="368">
        <v>57355</v>
      </c>
      <c r="E838" s="368">
        <v>148355</v>
      </c>
      <c r="F838" s="368">
        <v>6371</v>
      </c>
      <c r="G838" s="368">
        <v>3792</v>
      </c>
      <c r="H838" s="368">
        <v>2124</v>
      </c>
      <c r="I838" s="368">
        <v>5916</v>
      </c>
      <c r="K838" s="367"/>
      <c r="L838" s="350">
        <v>0.315</v>
      </c>
      <c r="M838" s="350">
        <v>3.5000000000000003E-2</v>
      </c>
      <c r="N838" s="351" t="str">
        <f t="shared" si="27"/>
        <v>9100024</v>
      </c>
      <c r="P838" s="351" t="str">
        <f t="shared" si="26"/>
        <v>T</v>
      </c>
    </row>
    <row r="839" spans="1:16" ht="23.25">
      <c r="A839" s="360" t="s">
        <v>74</v>
      </c>
      <c r="B839" s="361">
        <v>92000</v>
      </c>
      <c r="C839" s="365">
        <v>4</v>
      </c>
      <c r="D839" s="366">
        <v>9662</v>
      </c>
      <c r="E839" s="366">
        <v>101662</v>
      </c>
      <c r="F839" s="366">
        <v>1074</v>
      </c>
      <c r="G839" s="366">
        <v>23000</v>
      </c>
      <c r="H839" s="366">
        <v>2147</v>
      </c>
      <c r="I839" s="366">
        <v>25147</v>
      </c>
      <c r="K839" s="365"/>
      <c r="L839" s="350">
        <v>0.315</v>
      </c>
      <c r="M839" s="350">
        <v>3.5000000000000003E-2</v>
      </c>
      <c r="N839" s="351" t="str">
        <f t="shared" si="27"/>
        <v>920004</v>
      </c>
      <c r="P839" s="351" t="str">
        <f t="shared" si="26"/>
        <v>T</v>
      </c>
    </row>
    <row r="840" spans="1:16" ht="23.25">
      <c r="A840" s="360" t="s">
        <v>74</v>
      </c>
      <c r="B840" s="361">
        <v>92000</v>
      </c>
      <c r="C840" s="367">
        <v>6</v>
      </c>
      <c r="D840" s="368">
        <v>14497</v>
      </c>
      <c r="E840" s="368">
        <v>106497</v>
      </c>
      <c r="F840" s="368">
        <v>1611</v>
      </c>
      <c r="G840" s="368">
        <v>15334</v>
      </c>
      <c r="H840" s="368">
        <v>2147</v>
      </c>
      <c r="I840" s="368">
        <v>17481</v>
      </c>
      <c r="K840" s="367"/>
      <c r="L840" s="350">
        <v>0.315</v>
      </c>
      <c r="M840" s="350">
        <v>3.5000000000000003E-2</v>
      </c>
      <c r="N840" s="351" t="str">
        <f t="shared" si="27"/>
        <v>920006</v>
      </c>
      <c r="P840" s="351" t="str">
        <f t="shared" si="26"/>
        <v>T</v>
      </c>
    </row>
    <row r="841" spans="1:16" ht="23.25">
      <c r="A841" s="360" t="s">
        <v>74</v>
      </c>
      <c r="B841" s="361">
        <v>92000</v>
      </c>
      <c r="C841" s="365">
        <v>8</v>
      </c>
      <c r="D841" s="366">
        <v>19323</v>
      </c>
      <c r="E841" s="366">
        <v>111323</v>
      </c>
      <c r="F841" s="366">
        <v>2147</v>
      </c>
      <c r="G841" s="366">
        <v>11500</v>
      </c>
      <c r="H841" s="366">
        <v>2147</v>
      </c>
      <c r="I841" s="366">
        <v>13647</v>
      </c>
      <c r="K841" s="365"/>
      <c r="L841" s="350">
        <v>0.315</v>
      </c>
      <c r="M841" s="350">
        <v>3.5000000000000003E-2</v>
      </c>
      <c r="N841" s="351" t="str">
        <f t="shared" si="27"/>
        <v>920008</v>
      </c>
      <c r="P841" s="351" t="str">
        <f t="shared" si="26"/>
        <v>T</v>
      </c>
    </row>
    <row r="842" spans="1:16" ht="23.25">
      <c r="A842" s="360" t="s">
        <v>74</v>
      </c>
      <c r="B842" s="361">
        <v>92000</v>
      </c>
      <c r="C842" s="388">
        <v>10</v>
      </c>
      <c r="D842" s="364">
        <v>24154</v>
      </c>
      <c r="E842" s="364">
        <v>116154</v>
      </c>
      <c r="F842" s="364">
        <v>2684</v>
      </c>
      <c r="G842" s="364">
        <v>9200</v>
      </c>
      <c r="H842" s="372">
        <v>2147</v>
      </c>
      <c r="I842" s="364">
        <v>11347</v>
      </c>
      <c r="K842" s="388"/>
      <c r="L842" s="350">
        <v>0.315</v>
      </c>
      <c r="M842" s="350">
        <v>3.5000000000000003E-2</v>
      </c>
      <c r="N842" s="351" t="str">
        <f t="shared" si="27"/>
        <v>9200010</v>
      </c>
      <c r="P842" s="351" t="str">
        <f t="shared" si="26"/>
        <v>T</v>
      </c>
    </row>
    <row r="843" spans="1:16" ht="23.25">
      <c r="A843" s="360" t="s">
        <v>74</v>
      </c>
      <c r="B843" s="361">
        <v>92000</v>
      </c>
      <c r="C843" s="365">
        <v>12</v>
      </c>
      <c r="D843" s="366">
        <v>28989</v>
      </c>
      <c r="E843" s="366">
        <v>120989</v>
      </c>
      <c r="F843" s="366">
        <v>3221</v>
      </c>
      <c r="G843" s="366">
        <v>7667</v>
      </c>
      <c r="H843" s="366">
        <v>2147</v>
      </c>
      <c r="I843" s="366">
        <v>9814</v>
      </c>
      <c r="K843" s="365"/>
      <c r="L843" s="350">
        <v>0.315</v>
      </c>
      <c r="M843" s="350">
        <v>3.5000000000000003E-2</v>
      </c>
      <c r="N843" s="351" t="str">
        <f t="shared" si="27"/>
        <v>9200012</v>
      </c>
      <c r="P843" s="351" t="str">
        <f t="shared" si="26"/>
        <v>T</v>
      </c>
    </row>
    <row r="844" spans="1:16" ht="24" thickBot="1">
      <c r="A844" s="392" t="s">
        <v>74</v>
      </c>
      <c r="B844" s="393">
        <v>92000</v>
      </c>
      <c r="C844" s="399">
        <v>14</v>
      </c>
      <c r="D844" s="400">
        <v>33823</v>
      </c>
      <c r="E844" s="400">
        <v>125823</v>
      </c>
      <c r="F844" s="400">
        <v>3757</v>
      </c>
      <c r="G844" s="400">
        <v>6572</v>
      </c>
      <c r="H844" s="364">
        <v>2147</v>
      </c>
      <c r="I844" s="400">
        <v>8719</v>
      </c>
      <c r="K844" s="399"/>
      <c r="L844" s="350">
        <v>0.315</v>
      </c>
      <c r="M844" s="350">
        <v>3.5000000000000003E-2</v>
      </c>
      <c r="N844" s="351" t="str">
        <f t="shared" si="27"/>
        <v>9200014</v>
      </c>
      <c r="P844" s="351" t="str">
        <f t="shared" si="26"/>
        <v>T</v>
      </c>
    </row>
    <row r="845" spans="1:16" ht="24" thickTop="1">
      <c r="A845" s="384" t="s">
        <v>74</v>
      </c>
      <c r="B845" s="385">
        <v>92000</v>
      </c>
      <c r="C845" s="357">
        <v>16</v>
      </c>
      <c r="D845" s="358">
        <v>38646</v>
      </c>
      <c r="E845" s="358">
        <v>130646</v>
      </c>
      <c r="F845" s="358">
        <v>4294</v>
      </c>
      <c r="G845" s="358">
        <v>5750</v>
      </c>
      <c r="H845" s="358">
        <v>2147</v>
      </c>
      <c r="I845" s="358">
        <v>7897</v>
      </c>
      <c r="K845" s="357"/>
      <c r="L845" s="350">
        <v>0.315</v>
      </c>
      <c r="M845" s="350">
        <v>3.5000000000000003E-2</v>
      </c>
      <c r="N845" s="351" t="str">
        <f t="shared" si="27"/>
        <v>9200016</v>
      </c>
      <c r="P845" s="351" t="str">
        <f t="shared" si="26"/>
        <v>T</v>
      </c>
    </row>
    <row r="846" spans="1:16" ht="23.25">
      <c r="A846" s="386" t="s">
        <v>74</v>
      </c>
      <c r="B846" s="387">
        <v>92000</v>
      </c>
      <c r="C846" s="388">
        <v>18</v>
      </c>
      <c r="D846" s="364">
        <v>43475</v>
      </c>
      <c r="E846" s="364">
        <v>135475</v>
      </c>
      <c r="F846" s="364">
        <v>4831</v>
      </c>
      <c r="G846" s="364">
        <v>5112</v>
      </c>
      <c r="H846" s="364">
        <v>2146</v>
      </c>
      <c r="I846" s="364">
        <v>7258</v>
      </c>
      <c r="K846" s="388"/>
      <c r="L846" s="350">
        <v>0.315</v>
      </c>
      <c r="M846" s="350">
        <v>3.5000000000000003E-2</v>
      </c>
      <c r="N846" s="351" t="str">
        <f t="shared" si="27"/>
        <v>9200018</v>
      </c>
      <c r="P846" s="351" t="str">
        <f t="shared" si="26"/>
        <v>T</v>
      </c>
    </row>
    <row r="847" spans="1:16" ht="23.25">
      <c r="A847" s="386" t="s">
        <v>74</v>
      </c>
      <c r="B847" s="387">
        <v>92000</v>
      </c>
      <c r="C847" s="365">
        <v>20</v>
      </c>
      <c r="D847" s="366">
        <v>48307</v>
      </c>
      <c r="E847" s="366">
        <v>140307</v>
      </c>
      <c r="F847" s="366">
        <v>5367</v>
      </c>
      <c r="G847" s="366">
        <v>4600</v>
      </c>
      <c r="H847" s="366">
        <v>2147</v>
      </c>
      <c r="I847" s="366">
        <v>6747</v>
      </c>
      <c r="K847" s="365"/>
      <c r="L847" s="350">
        <v>0.315</v>
      </c>
      <c r="M847" s="350">
        <v>3.5000000000000003E-2</v>
      </c>
      <c r="N847" s="351" t="str">
        <f t="shared" si="27"/>
        <v>9200020</v>
      </c>
      <c r="P847" s="351" t="str">
        <f t="shared" si="26"/>
        <v>T</v>
      </c>
    </row>
    <row r="848" spans="1:16" ht="23.25">
      <c r="A848" s="386" t="s">
        <v>74</v>
      </c>
      <c r="B848" s="387">
        <v>92000</v>
      </c>
      <c r="C848" s="367">
        <v>22</v>
      </c>
      <c r="D848" s="368">
        <v>53142</v>
      </c>
      <c r="E848" s="368">
        <v>145142</v>
      </c>
      <c r="F848" s="368">
        <v>5904</v>
      </c>
      <c r="G848" s="368">
        <v>4182</v>
      </c>
      <c r="H848" s="368">
        <v>2147</v>
      </c>
      <c r="I848" s="368">
        <v>6329</v>
      </c>
      <c r="K848" s="367"/>
      <c r="L848" s="350">
        <v>0.315</v>
      </c>
      <c r="M848" s="350">
        <v>3.5000000000000003E-2</v>
      </c>
      <c r="N848" s="351" t="str">
        <f t="shared" si="27"/>
        <v>9200022</v>
      </c>
      <c r="P848" s="351" t="str">
        <f t="shared" si="26"/>
        <v>T</v>
      </c>
    </row>
    <row r="849" spans="1:16" ht="23.25">
      <c r="A849" s="386" t="s">
        <v>74</v>
      </c>
      <c r="B849" s="387">
        <v>92000</v>
      </c>
      <c r="C849" s="365">
        <v>24</v>
      </c>
      <c r="D849" s="366">
        <v>57985</v>
      </c>
      <c r="E849" s="366">
        <v>149985</v>
      </c>
      <c r="F849" s="366">
        <v>6441</v>
      </c>
      <c r="G849" s="366">
        <v>3834</v>
      </c>
      <c r="H849" s="366">
        <v>2147</v>
      </c>
      <c r="I849" s="366">
        <v>5981</v>
      </c>
      <c r="K849" s="365"/>
      <c r="L849" s="350">
        <v>0.315</v>
      </c>
      <c r="M849" s="350">
        <v>3.5000000000000003E-2</v>
      </c>
      <c r="N849" s="351" t="str">
        <f t="shared" si="27"/>
        <v>9200024</v>
      </c>
      <c r="P849" s="351" t="str">
        <f t="shared" ref="P849:P912" si="28">IF((E849-F849)/C849=I849,"T","F")</f>
        <v>T</v>
      </c>
    </row>
    <row r="850" spans="1:16" ht="23.25">
      <c r="A850" s="386" t="s">
        <v>74</v>
      </c>
      <c r="B850" s="387">
        <v>93000</v>
      </c>
      <c r="C850" s="367">
        <v>4</v>
      </c>
      <c r="D850" s="368">
        <v>9770</v>
      </c>
      <c r="E850" s="368">
        <v>102770</v>
      </c>
      <c r="F850" s="368">
        <v>1086</v>
      </c>
      <c r="G850" s="368">
        <v>23250</v>
      </c>
      <c r="H850" s="368">
        <v>2171</v>
      </c>
      <c r="I850" s="368">
        <v>25421</v>
      </c>
      <c r="K850" s="367"/>
      <c r="L850" s="350">
        <v>0.315</v>
      </c>
      <c r="M850" s="350">
        <v>3.5000000000000003E-2</v>
      </c>
      <c r="N850" s="351" t="str">
        <f t="shared" si="27"/>
        <v>930004</v>
      </c>
      <c r="P850" s="351" t="str">
        <f t="shared" si="28"/>
        <v>T</v>
      </c>
    </row>
    <row r="851" spans="1:16" ht="23.25">
      <c r="A851" s="386" t="s">
        <v>74</v>
      </c>
      <c r="B851" s="387">
        <v>93000</v>
      </c>
      <c r="C851" s="365">
        <v>6</v>
      </c>
      <c r="D851" s="366">
        <v>14654</v>
      </c>
      <c r="E851" s="366">
        <v>107654</v>
      </c>
      <c r="F851" s="366">
        <v>1628</v>
      </c>
      <c r="G851" s="366">
        <v>15500</v>
      </c>
      <c r="H851" s="366">
        <v>2171</v>
      </c>
      <c r="I851" s="366">
        <v>17671</v>
      </c>
      <c r="K851" s="365"/>
      <c r="L851" s="350">
        <v>0.315</v>
      </c>
      <c r="M851" s="350">
        <v>3.5000000000000003E-2</v>
      </c>
      <c r="N851" s="351" t="str">
        <f t="shared" si="27"/>
        <v>930006</v>
      </c>
      <c r="P851" s="351" t="str">
        <f t="shared" si="28"/>
        <v>T</v>
      </c>
    </row>
    <row r="852" spans="1:16" ht="23.25">
      <c r="A852" s="386" t="s">
        <v>74</v>
      </c>
      <c r="B852" s="387">
        <v>93000</v>
      </c>
      <c r="C852" s="367">
        <v>8</v>
      </c>
      <c r="D852" s="368">
        <v>19539</v>
      </c>
      <c r="E852" s="368">
        <v>112539</v>
      </c>
      <c r="F852" s="368">
        <v>2171</v>
      </c>
      <c r="G852" s="368">
        <v>11625</v>
      </c>
      <c r="H852" s="372">
        <v>2171</v>
      </c>
      <c r="I852" s="368">
        <v>13796</v>
      </c>
      <c r="K852" s="367"/>
      <c r="L852" s="350">
        <v>0.315</v>
      </c>
      <c r="M852" s="350">
        <v>3.5000000000000003E-2</v>
      </c>
      <c r="N852" s="351" t="str">
        <f t="shared" si="27"/>
        <v>930008</v>
      </c>
      <c r="P852" s="351" t="str">
        <f t="shared" si="28"/>
        <v>T</v>
      </c>
    </row>
    <row r="853" spans="1:16" ht="23.25">
      <c r="A853" s="386" t="s">
        <v>74</v>
      </c>
      <c r="B853" s="387">
        <v>93000</v>
      </c>
      <c r="C853" s="365">
        <v>10</v>
      </c>
      <c r="D853" s="366">
        <v>24423</v>
      </c>
      <c r="E853" s="366">
        <v>117423</v>
      </c>
      <c r="F853" s="366">
        <v>2713</v>
      </c>
      <c r="G853" s="366">
        <v>9300</v>
      </c>
      <c r="H853" s="366">
        <v>2171</v>
      </c>
      <c r="I853" s="366">
        <v>11471</v>
      </c>
      <c r="K853" s="365"/>
      <c r="L853" s="350">
        <v>0.315</v>
      </c>
      <c r="M853" s="350">
        <v>3.5000000000000003E-2</v>
      </c>
      <c r="N853" s="351" t="str">
        <f t="shared" si="27"/>
        <v>9300010</v>
      </c>
      <c r="P853" s="351" t="str">
        <f t="shared" si="28"/>
        <v>T</v>
      </c>
    </row>
    <row r="854" spans="1:16" ht="23.25">
      <c r="A854" s="386" t="s">
        <v>74</v>
      </c>
      <c r="B854" s="387">
        <v>93000</v>
      </c>
      <c r="C854" s="388">
        <v>12</v>
      </c>
      <c r="D854" s="364">
        <v>29308</v>
      </c>
      <c r="E854" s="364">
        <v>122308</v>
      </c>
      <c r="F854" s="364">
        <v>3256</v>
      </c>
      <c r="G854" s="364">
        <v>7750</v>
      </c>
      <c r="H854" s="364">
        <v>2171</v>
      </c>
      <c r="I854" s="364">
        <v>9921</v>
      </c>
      <c r="K854" s="388"/>
      <c r="L854" s="350">
        <v>0.315</v>
      </c>
      <c r="M854" s="350">
        <v>3.5000000000000003E-2</v>
      </c>
      <c r="N854" s="351" t="str">
        <f t="shared" si="27"/>
        <v>9300012</v>
      </c>
      <c r="P854" s="351" t="str">
        <f t="shared" si="28"/>
        <v>T</v>
      </c>
    </row>
    <row r="855" spans="1:16" ht="24" thickBot="1">
      <c r="A855" s="389" t="s">
        <v>74</v>
      </c>
      <c r="B855" s="390">
        <v>93000</v>
      </c>
      <c r="C855" s="381">
        <v>14</v>
      </c>
      <c r="D855" s="398">
        <v>34180</v>
      </c>
      <c r="E855" s="398">
        <v>127180</v>
      </c>
      <c r="F855" s="398">
        <v>3798</v>
      </c>
      <c r="G855" s="398">
        <v>6643</v>
      </c>
      <c r="H855" s="366">
        <v>2170</v>
      </c>
      <c r="I855" s="398">
        <v>8813</v>
      </c>
      <c r="K855" s="381"/>
      <c r="L855" s="350">
        <v>0.315</v>
      </c>
      <c r="M855" s="350">
        <v>3.5000000000000003E-2</v>
      </c>
      <c r="N855" s="351" t="str">
        <f t="shared" si="27"/>
        <v>9300014</v>
      </c>
      <c r="P855" s="351" t="str">
        <f t="shared" si="28"/>
        <v>T</v>
      </c>
    </row>
    <row r="856" spans="1:16" ht="24" thickTop="1">
      <c r="A856" s="355" t="s">
        <v>74</v>
      </c>
      <c r="B856" s="356">
        <v>93000</v>
      </c>
      <c r="C856" s="396">
        <v>16</v>
      </c>
      <c r="D856" s="397">
        <v>39069</v>
      </c>
      <c r="E856" s="397">
        <v>132069</v>
      </c>
      <c r="F856" s="397">
        <v>4341</v>
      </c>
      <c r="G856" s="397">
        <v>5813</v>
      </c>
      <c r="H856" s="397">
        <v>2170</v>
      </c>
      <c r="I856" s="397">
        <v>7983</v>
      </c>
      <c r="K856" s="396"/>
      <c r="L856" s="350">
        <v>0.315</v>
      </c>
      <c r="M856" s="350">
        <v>3.5000000000000003E-2</v>
      </c>
      <c r="N856" s="351" t="str">
        <f t="shared" si="27"/>
        <v>9300016</v>
      </c>
      <c r="P856" s="351" t="str">
        <f t="shared" si="28"/>
        <v>T</v>
      </c>
    </row>
    <row r="857" spans="1:16" ht="23.25">
      <c r="A857" s="360" t="s">
        <v>74</v>
      </c>
      <c r="B857" s="361">
        <v>93000</v>
      </c>
      <c r="C857" s="365">
        <v>18</v>
      </c>
      <c r="D857" s="366">
        <v>43949</v>
      </c>
      <c r="E857" s="366">
        <v>136949</v>
      </c>
      <c r="F857" s="366">
        <v>4883</v>
      </c>
      <c r="G857" s="366">
        <v>5167</v>
      </c>
      <c r="H857" s="366">
        <v>2170</v>
      </c>
      <c r="I857" s="366">
        <v>7337</v>
      </c>
      <c r="K857" s="365"/>
      <c r="L857" s="350">
        <v>0.315</v>
      </c>
      <c r="M857" s="350">
        <v>3.5000000000000003E-2</v>
      </c>
      <c r="N857" s="351" t="str">
        <f t="shared" si="27"/>
        <v>9300018</v>
      </c>
      <c r="P857" s="351" t="str">
        <f t="shared" si="28"/>
        <v>T</v>
      </c>
    </row>
    <row r="858" spans="1:16" ht="23.25">
      <c r="A858" s="360" t="s">
        <v>74</v>
      </c>
      <c r="B858" s="361">
        <v>93000</v>
      </c>
      <c r="C858" s="367">
        <v>20</v>
      </c>
      <c r="D858" s="368">
        <v>48846</v>
      </c>
      <c r="E858" s="368">
        <v>141846</v>
      </c>
      <c r="F858" s="368">
        <v>5426</v>
      </c>
      <c r="G858" s="368">
        <v>4650</v>
      </c>
      <c r="H858" s="364">
        <v>2171</v>
      </c>
      <c r="I858" s="368">
        <v>6821</v>
      </c>
      <c r="K858" s="367"/>
      <c r="L858" s="350">
        <v>0.315</v>
      </c>
      <c r="M858" s="350">
        <v>3.5000000000000003E-2</v>
      </c>
      <c r="N858" s="351" t="str">
        <f t="shared" si="27"/>
        <v>9300020</v>
      </c>
      <c r="P858" s="351" t="str">
        <f t="shared" si="28"/>
        <v>T</v>
      </c>
    </row>
    <row r="859" spans="1:16" ht="23.25">
      <c r="A859" s="360" t="s">
        <v>74</v>
      </c>
      <c r="B859" s="361">
        <v>93000</v>
      </c>
      <c r="C859" s="365">
        <v>22</v>
      </c>
      <c r="D859" s="366">
        <v>53724</v>
      </c>
      <c r="E859" s="366">
        <v>146724</v>
      </c>
      <c r="F859" s="366">
        <v>5968</v>
      </c>
      <c r="G859" s="366">
        <v>4228</v>
      </c>
      <c r="H859" s="366">
        <v>2170</v>
      </c>
      <c r="I859" s="366">
        <v>6398</v>
      </c>
      <c r="K859" s="365"/>
      <c r="L859" s="350">
        <v>0.315</v>
      </c>
      <c r="M859" s="350">
        <v>3.5000000000000003E-2</v>
      </c>
      <c r="N859" s="351" t="str">
        <f t="shared" si="27"/>
        <v>9300022</v>
      </c>
      <c r="P859" s="351" t="str">
        <f t="shared" si="28"/>
        <v>T</v>
      </c>
    </row>
    <row r="860" spans="1:16" ht="23.25">
      <c r="A860" s="360" t="s">
        <v>74</v>
      </c>
      <c r="B860" s="361">
        <v>93000</v>
      </c>
      <c r="C860" s="367">
        <v>24</v>
      </c>
      <c r="D860" s="368">
        <v>58615</v>
      </c>
      <c r="E860" s="368">
        <v>151615</v>
      </c>
      <c r="F860" s="368">
        <v>6511</v>
      </c>
      <c r="G860" s="368">
        <v>3875</v>
      </c>
      <c r="H860" s="368">
        <v>2171</v>
      </c>
      <c r="I860" s="368">
        <v>6046</v>
      </c>
      <c r="K860" s="367"/>
      <c r="L860" s="350">
        <v>0.315</v>
      </c>
      <c r="M860" s="350">
        <v>3.5000000000000003E-2</v>
      </c>
      <c r="N860" s="351" t="str">
        <f t="shared" si="27"/>
        <v>9300024</v>
      </c>
      <c r="P860" s="351" t="str">
        <f t="shared" si="28"/>
        <v>T</v>
      </c>
    </row>
    <row r="861" spans="1:16" ht="23.25">
      <c r="A861" s="360" t="s">
        <v>74</v>
      </c>
      <c r="B861" s="361">
        <v>94000</v>
      </c>
      <c r="C861" s="365">
        <v>4</v>
      </c>
      <c r="D861" s="366">
        <v>9873</v>
      </c>
      <c r="E861" s="366">
        <v>103873</v>
      </c>
      <c r="F861" s="366">
        <v>1097</v>
      </c>
      <c r="G861" s="366">
        <v>23500</v>
      </c>
      <c r="H861" s="366">
        <v>2194</v>
      </c>
      <c r="I861" s="366">
        <v>25694</v>
      </c>
      <c r="K861" s="365"/>
      <c r="L861" s="350">
        <v>0.315</v>
      </c>
      <c r="M861" s="350">
        <v>3.5000000000000003E-2</v>
      </c>
      <c r="N861" s="351" t="str">
        <f t="shared" si="27"/>
        <v>940004</v>
      </c>
      <c r="P861" s="351" t="str">
        <f t="shared" si="28"/>
        <v>T</v>
      </c>
    </row>
    <row r="862" spans="1:16" ht="23.25">
      <c r="A862" s="360" t="s">
        <v>74</v>
      </c>
      <c r="B862" s="361">
        <v>94000</v>
      </c>
      <c r="C862" s="367">
        <v>6</v>
      </c>
      <c r="D862" s="368">
        <v>14812</v>
      </c>
      <c r="E862" s="368">
        <v>108812</v>
      </c>
      <c r="F862" s="368">
        <v>1646</v>
      </c>
      <c r="G862" s="368">
        <v>15667</v>
      </c>
      <c r="H862" s="368">
        <v>2194</v>
      </c>
      <c r="I862" s="368">
        <v>17861</v>
      </c>
      <c r="K862" s="367"/>
      <c r="L862" s="350">
        <v>0.315</v>
      </c>
      <c r="M862" s="350">
        <v>3.5000000000000003E-2</v>
      </c>
      <c r="N862" s="351" t="str">
        <f t="shared" si="27"/>
        <v>940006</v>
      </c>
      <c r="P862" s="351" t="str">
        <f t="shared" si="28"/>
        <v>T</v>
      </c>
    </row>
    <row r="863" spans="1:16" ht="23.25">
      <c r="A863" s="360" t="s">
        <v>74</v>
      </c>
      <c r="B863" s="361">
        <v>94000</v>
      </c>
      <c r="C863" s="365">
        <v>8</v>
      </c>
      <c r="D863" s="366">
        <v>19746</v>
      </c>
      <c r="E863" s="366">
        <v>113746</v>
      </c>
      <c r="F863" s="366">
        <v>2194</v>
      </c>
      <c r="G863" s="366">
        <v>11750</v>
      </c>
      <c r="H863" s="366">
        <v>2194</v>
      </c>
      <c r="I863" s="366">
        <v>13944</v>
      </c>
      <c r="K863" s="365"/>
      <c r="L863" s="350">
        <v>0.315</v>
      </c>
      <c r="M863" s="350">
        <v>3.5000000000000003E-2</v>
      </c>
      <c r="N863" s="351" t="str">
        <f t="shared" si="27"/>
        <v>940008</v>
      </c>
      <c r="P863" s="351" t="str">
        <f t="shared" si="28"/>
        <v>T</v>
      </c>
    </row>
    <row r="864" spans="1:16" ht="23.25">
      <c r="A864" s="360" t="s">
        <v>74</v>
      </c>
      <c r="B864" s="361">
        <v>94000</v>
      </c>
      <c r="C864" s="388">
        <v>10</v>
      </c>
      <c r="D864" s="364">
        <v>24682</v>
      </c>
      <c r="E864" s="364">
        <v>118682</v>
      </c>
      <c r="F864" s="364">
        <v>2742</v>
      </c>
      <c r="G864" s="364">
        <v>9400</v>
      </c>
      <c r="H864" s="372">
        <v>2194</v>
      </c>
      <c r="I864" s="364">
        <v>11594</v>
      </c>
      <c r="K864" s="388"/>
      <c r="L864" s="350">
        <v>0.315</v>
      </c>
      <c r="M864" s="350">
        <v>3.5000000000000003E-2</v>
      </c>
      <c r="N864" s="351" t="str">
        <f t="shared" si="27"/>
        <v>9400010</v>
      </c>
      <c r="P864" s="351" t="str">
        <f t="shared" si="28"/>
        <v>T</v>
      </c>
    </row>
    <row r="865" spans="1:16" ht="23.25">
      <c r="A865" s="360" t="s">
        <v>74</v>
      </c>
      <c r="B865" s="361">
        <v>94000</v>
      </c>
      <c r="C865" s="365">
        <v>12</v>
      </c>
      <c r="D865" s="366">
        <v>29615</v>
      </c>
      <c r="E865" s="366">
        <v>123615</v>
      </c>
      <c r="F865" s="366">
        <v>3291</v>
      </c>
      <c r="G865" s="366">
        <v>7834</v>
      </c>
      <c r="H865" s="366">
        <v>2193</v>
      </c>
      <c r="I865" s="366">
        <v>10027</v>
      </c>
      <c r="K865" s="365"/>
      <c r="L865" s="350">
        <v>0.315</v>
      </c>
      <c r="M865" s="350">
        <v>3.5000000000000003E-2</v>
      </c>
      <c r="N865" s="351" t="str">
        <f t="shared" si="27"/>
        <v>9400012</v>
      </c>
      <c r="P865" s="351" t="str">
        <f t="shared" si="28"/>
        <v>T</v>
      </c>
    </row>
    <row r="866" spans="1:16" ht="24" thickBot="1">
      <c r="A866" s="392" t="s">
        <v>74</v>
      </c>
      <c r="B866" s="393">
        <v>94000</v>
      </c>
      <c r="C866" s="399">
        <v>14</v>
      </c>
      <c r="D866" s="400">
        <v>34551</v>
      </c>
      <c r="E866" s="400">
        <v>128551</v>
      </c>
      <c r="F866" s="400">
        <v>3839</v>
      </c>
      <c r="G866" s="400">
        <v>6715</v>
      </c>
      <c r="H866" s="364">
        <v>2193</v>
      </c>
      <c r="I866" s="400">
        <v>8908</v>
      </c>
      <c r="K866" s="399"/>
      <c r="L866" s="350">
        <v>0.315</v>
      </c>
      <c r="M866" s="350">
        <v>3.5000000000000003E-2</v>
      </c>
      <c r="N866" s="351" t="str">
        <f t="shared" si="27"/>
        <v>9400014</v>
      </c>
      <c r="P866" s="351" t="str">
        <f t="shared" si="28"/>
        <v>T</v>
      </c>
    </row>
    <row r="867" spans="1:16" ht="24" thickTop="1">
      <c r="A867" s="384" t="s">
        <v>74</v>
      </c>
      <c r="B867" s="385">
        <v>94000</v>
      </c>
      <c r="C867" s="357">
        <v>16</v>
      </c>
      <c r="D867" s="358">
        <v>39491</v>
      </c>
      <c r="E867" s="358">
        <v>133491</v>
      </c>
      <c r="F867" s="358">
        <v>4387</v>
      </c>
      <c r="G867" s="358">
        <v>5875</v>
      </c>
      <c r="H867" s="358">
        <v>2194</v>
      </c>
      <c r="I867" s="358">
        <v>8069</v>
      </c>
      <c r="K867" s="357"/>
      <c r="L867" s="350">
        <v>0.315</v>
      </c>
      <c r="M867" s="350">
        <v>3.5000000000000003E-2</v>
      </c>
      <c r="N867" s="351" t="str">
        <f t="shared" si="27"/>
        <v>9400016</v>
      </c>
      <c r="P867" s="351" t="str">
        <f t="shared" si="28"/>
        <v>T</v>
      </c>
    </row>
    <row r="868" spans="1:16" ht="23.25">
      <c r="A868" s="386" t="s">
        <v>74</v>
      </c>
      <c r="B868" s="387">
        <v>94000</v>
      </c>
      <c r="C868" s="388">
        <v>18</v>
      </c>
      <c r="D868" s="364">
        <v>44424</v>
      </c>
      <c r="E868" s="364">
        <v>138424</v>
      </c>
      <c r="F868" s="364">
        <v>4936</v>
      </c>
      <c r="G868" s="364">
        <v>5223</v>
      </c>
      <c r="H868" s="364">
        <v>2193</v>
      </c>
      <c r="I868" s="364">
        <v>7416</v>
      </c>
      <c r="K868" s="388"/>
      <c r="L868" s="350">
        <v>0.315</v>
      </c>
      <c r="M868" s="350">
        <v>3.5000000000000003E-2</v>
      </c>
      <c r="N868" s="351" t="str">
        <f t="shared" si="27"/>
        <v>9400018</v>
      </c>
      <c r="P868" s="351" t="str">
        <f t="shared" si="28"/>
        <v>T</v>
      </c>
    </row>
    <row r="869" spans="1:16" ht="23.25">
      <c r="A869" s="386" t="s">
        <v>74</v>
      </c>
      <c r="B869" s="387">
        <v>94000</v>
      </c>
      <c r="C869" s="365">
        <v>20</v>
      </c>
      <c r="D869" s="366">
        <v>49364</v>
      </c>
      <c r="E869" s="366">
        <v>143364</v>
      </c>
      <c r="F869" s="366">
        <v>5484</v>
      </c>
      <c r="G869" s="366">
        <v>4700</v>
      </c>
      <c r="H869" s="366">
        <v>2194</v>
      </c>
      <c r="I869" s="366">
        <v>6894</v>
      </c>
      <c r="K869" s="365"/>
      <c r="L869" s="350">
        <v>0.315</v>
      </c>
      <c r="M869" s="350">
        <v>3.5000000000000003E-2</v>
      </c>
      <c r="N869" s="351" t="str">
        <f t="shared" si="27"/>
        <v>9400020</v>
      </c>
      <c r="P869" s="351" t="str">
        <f t="shared" si="28"/>
        <v>T</v>
      </c>
    </row>
    <row r="870" spans="1:16" ht="23.25">
      <c r="A870" s="386" t="s">
        <v>74</v>
      </c>
      <c r="B870" s="387">
        <v>94000</v>
      </c>
      <c r="C870" s="367">
        <v>22</v>
      </c>
      <c r="D870" s="368">
        <v>54306</v>
      </c>
      <c r="E870" s="368">
        <v>148306</v>
      </c>
      <c r="F870" s="368">
        <v>6032</v>
      </c>
      <c r="G870" s="368">
        <v>4273</v>
      </c>
      <c r="H870" s="368">
        <v>2194</v>
      </c>
      <c r="I870" s="368">
        <v>6467</v>
      </c>
      <c r="K870" s="367"/>
      <c r="L870" s="350">
        <v>0.315</v>
      </c>
      <c r="M870" s="350">
        <v>3.5000000000000003E-2</v>
      </c>
      <c r="N870" s="351" t="str">
        <f t="shared" si="27"/>
        <v>9400022</v>
      </c>
      <c r="P870" s="351" t="str">
        <f t="shared" si="28"/>
        <v>T</v>
      </c>
    </row>
    <row r="871" spans="1:16" ht="23.25">
      <c r="A871" s="386" t="s">
        <v>74</v>
      </c>
      <c r="B871" s="387">
        <v>94000</v>
      </c>
      <c r="C871" s="365">
        <v>24</v>
      </c>
      <c r="D871" s="366">
        <v>59245</v>
      </c>
      <c r="E871" s="366">
        <v>153245</v>
      </c>
      <c r="F871" s="366">
        <v>6581</v>
      </c>
      <c r="G871" s="366">
        <v>3917</v>
      </c>
      <c r="H871" s="366">
        <v>2194</v>
      </c>
      <c r="I871" s="366">
        <v>6111</v>
      </c>
      <c r="K871" s="365"/>
      <c r="L871" s="350">
        <v>0.315</v>
      </c>
      <c r="M871" s="350">
        <v>3.5000000000000003E-2</v>
      </c>
      <c r="N871" s="351" t="str">
        <f t="shared" si="27"/>
        <v>9400024</v>
      </c>
      <c r="P871" s="351" t="str">
        <f t="shared" si="28"/>
        <v>T</v>
      </c>
    </row>
    <row r="872" spans="1:16" ht="23.25">
      <c r="A872" s="386" t="s">
        <v>74</v>
      </c>
      <c r="B872" s="387">
        <v>95000</v>
      </c>
      <c r="C872" s="367">
        <v>4</v>
      </c>
      <c r="D872" s="368">
        <v>9977</v>
      </c>
      <c r="E872" s="368">
        <v>104977</v>
      </c>
      <c r="F872" s="368">
        <v>1109</v>
      </c>
      <c r="G872" s="368">
        <v>23750</v>
      </c>
      <c r="H872" s="368">
        <v>2217</v>
      </c>
      <c r="I872" s="368">
        <v>25967</v>
      </c>
      <c r="K872" s="367"/>
      <c r="L872" s="350">
        <v>0.315</v>
      </c>
      <c r="M872" s="350">
        <v>3.5000000000000003E-2</v>
      </c>
      <c r="N872" s="351" t="str">
        <f t="shared" si="27"/>
        <v>950004</v>
      </c>
      <c r="P872" s="351" t="str">
        <f t="shared" si="28"/>
        <v>T</v>
      </c>
    </row>
    <row r="873" spans="1:16" ht="23.25">
      <c r="A873" s="386" t="s">
        <v>74</v>
      </c>
      <c r="B873" s="387">
        <v>95000</v>
      </c>
      <c r="C873" s="365">
        <v>6</v>
      </c>
      <c r="D873" s="366">
        <v>14969</v>
      </c>
      <c r="E873" s="366">
        <v>109969</v>
      </c>
      <c r="F873" s="366">
        <v>1663</v>
      </c>
      <c r="G873" s="366">
        <v>15834</v>
      </c>
      <c r="H873" s="366">
        <v>2217</v>
      </c>
      <c r="I873" s="366">
        <v>18051</v>
      </c>
      <c r="K873" s="365"/>
      <c r="L873" s="350">
        <v>0.315</v>
      </c>
      <c r="M873" s="350">
        <v>3.5000000000000003E-2</v>
      </c>
      <c r="N873" s="351" t="str">
        <f t="shared" si="27"/>
        <v>950006</v>
      </c>
      <c r="P873" s="351" t="str">
        <f t="shared" si="28"/>
        <v>T</v>
      </c>
    </row>
    <row r="874" spans="1:16" ht="23.25">
      <c r="A874" s="386" t="s">
        <v>74</v>
      </c>
      <c r="B874" s="387">
        <v>95000</v>
      </c>
      <c r="C874" s="367">
        <v>8</v>
      </c>
      <c r="D874" s="368">
        <v>19953</v>
      </c>
      <c r="E874" s="368">
        <v>114953</v>
      </c>
      <c r="F874" s="368">
        <v>2217</v>
      </c>
      <c r="G874" s="368">
        <v>11875</v>
      </c>
      <c r="H874" s="372">
        <v>2217</v>
      </c>
      <c r="I874" s="368">
        <v>14092</v>
      </c>
      <c r="K874" s="367"/>
      <c r="L874" s="350">
        <v>0.315</v>
      </c>
      <c r="M874" s="350">
        <v>3.5000000000000003E-2</v>
      </c>
      <c r="N874" s="351" t="str">
        <f t="shared" si="27"/>
        <v>950008</v>
      </c>
      <c r="P874" s="351" t="str">
        <f t="shared" si="28"/>
        <v>T</v>
      </c>
    </row>
    <row r="875" spans="1:16" ht="23.25">
      <c r="A875" s="386" t="s">
        <v>74</v>
      </c>
      <c r="B875" s="387">
        <v>95000</v>
      </c>
      <c r="C875" s="365">
        <v>10</v>
      </c>
      <c r="D875" s="366">
        <v>24941</v>
      </c>
      <c r="E875" s="366">
        <v>119941</v>
      </c>
      <c r="F875" s="366">
        <v>2771</v>
      </c>
      <c r="G875" s="366">
        <v>9500</v>
      </c>
      <c r="H875" s="366">
        <v>2217</v>
      </c>
      <c r="I875" s="366">
        <v>11717</v>
      </c>
      <c r="K875" s="365"/>
      <c r="L875" s="350">
        <v>0.315</v>
      </c>
      <c r="M875" s="350">
        <v>3.5000000000000003E-2</v>
      </c>
      <c r="N875" s="351" t="str">
        <f t="shared" si="27"/>
        <v>9500010</v>
      </c>
      <c r="P875" s="351" t="str">
        <f t="shared" si="28"/>
        <v>T</v>
      </c>
    </row>
    <row r="876" spans="1:16" ht="23.25">
      <c r="A876" s="386" t="s">
        <v>74</v>
      </c>
      <c r="B876" s="387">
        <v>95000</v>
      </c>
      <c r="C876" s="388">
        <v>12</v>
      </c>
      <c r="D876" s="364">
        <v>29934</v>
      </c>
      <c r="E876" s="364">
        <v>124934</v>
      </c>
      <c r="F876" s="364">
        <v>3326</v>
      </c>
      <c r="G876" s="364">
        <v>7917</v>
      </c>
      <c r="H876" s="364">
        <v>2217</v>
      </c>
      <c r="I876" s="364">
        <v>10134</v>
      </c>
      <c r="K876" s="388"/>
      <c r="L876" s="350">
        <v>0.315</v>
      </c>
      <c r="M876" s="350">
        <v>3.5000000000000003E-2</v>
      </c>
      <c r="N876" s="351" t="str">
        <f t="shared" si="27"/>
        <v>9500012</v>
      </c>
      <c r="P876" s="351" t="str">
        <f t="shared" si="28"/>
        <v>T</v>
      </c>
    </row>
    <row r="877" spans="1:16" ht="24" thickBot="1">
      <c r="A877" s="389" t="s">
        <v>74</v>
      </c>
      <c r="B877" s="390">
        <v>95000</v>
      </c>
      <c r="C877" s="381">
        <v>14</v>
      </c>
      <c r="D877" s="398">
        <v>34922</v>
      </c>
      <c r="E877" s="398">
        <v>129922</v>
      </c>
      <c r="F877" s="398">
        <v>3880</v>
      </c>
      <c r="G877" s="398">
        <v>6786</v>
      </c>
      <c r="H877" s="366">
        <v>2217</v>
      </c>
      <c r="I877" s="398">
        <v>9003</v>
      </c>
      <c r="K877" s="381"/>
      <c r="L877" s="350">
        <v>0.315</v>
      </c>
      <c r="M877" s="350">
        <v>3.5000000000000003E-2</v>
      </c>
      <c r="N877" s="351" t="str">
        <f t="shared" si="27"/>
        <v>9500014</v>
      </c>
      <c r="P877" s="351" t="str">
        <f t="shared" si="28"/>
        <v>T</v>
      </c>
    </row>
    <row r="878" spans="1:16" ht="24" thickTop="1">
      <c r="A878" s="355" t="s">
        <v>74</v>
      </c>
      <c r="B878" s="356">
        <v>95000</v>
      </c>
      <c r="C878" s="396">
        <v>16</v>
      </c>
      <c r="D878" s="397">
        <v>39914</v>
      </c>
      <c r="E878" s="397">
        <v>134914</v>
      </c>
      <c r="F878" s="397">
        <v>4434</v>
      </c>
      <c r="G878" s="397">
        <v>5938</v>
      </c>
      <c r="H878" s="397">
        <v>2217</v>
      </c>
      <c r="I878" s="397">
        <v>8155</v>
      </c>
      <c r="K878" s="396"/>
      <c r="L878" s="350">
        <v>0.315</v>
      </c>
      <c r="M878" s="350">
        <v>3.5000000000000003E-2</v>
      </c>
      <c r="N878" s="351" t="str">
        <f t="shared" si="27"/>
        <v>9500016</v>
      </c>
      <c r="P878" s="351" t="str">
        <f t="shared" si="28"/>
        <v>T</v>
      </c>
    </row>
    <row r="879" spans="1:16" ht="23.25">
      <c r="A879" s="360" t="s">
        <v>74</v>
      </c>
      <c r="B879" s="361">
        <v>95000</v>
      </c>
      <c r="C879" s="365">
        <v>18</v>
      </c>
      <c r="D879" s="366">
        <v>44898</v>
      </c>
      <c r="E879" s="366">
        <v>139898</v>
      </c>
      <c r="F879" s="366">
        <v>4988</v>
      </c>
      <c r="G879" s="366">
        <v>5278</v>
      </c>
      <c r="H879" s="366">
        <v>2217</v>
      </c>
      <c r="I879" s="366">
        <v>7495</v>
      </c>
      <c r="K879" s="365"/>
      <c r="L879" s="350">
        <v>0.315</v>
      </c>
      <c r="M879" s="350">
        <v>3.5000000000000003E-2</v>
      </c>
      <c r="N879" s="351" t="str">
        <f t="shared" si="27"/>
        <v>9500018</v>
      </c>
      <c r="P879" s="351" t="str">
        <f t="shared" si="28"/>
        <v>T</v>
      </c>
    </row>
    <row r="880" spans="1:16" ht="23.25">
      <c r="A880" s="360" t="s">
        <v>74</v>
      </c>
      <c r="B880" s="361">
        <v>95000</v>
      </c>
      <c r="C880" s="367">
        <v>20</v>
      </c>
      <c r="D880" s="368">
        <v>49882</v>
      </c>
      <c r="E880" s="368">
        <v>144882</v>
      </c>
      <c r="F880" s="368">
        <v>5542</v>
      </c>
      <c r="G880" s="368">
        <v>4750</v>
      </c>
      <c r="H880" s="364">
        <v>2217</v>
      </c>
      <c r="I880" s="368">
        <v>6967</v>
      </c>
      <c r="K880" s="367"/>
      <c r="L880" s="350">
        <v>0.315</v>
      </c>
      <c r="M880" s="350">
        <v>3.5000000000000003E-2</v>
      </c>
      <c r="N880" s="351" t="str">
        <f t="shared" si="27"/>
        <v>9500020</v>
      </c>
      <c r="P880" s="351" t="str">
        <f t="shared" si="28"/>
        <v>T</v>
      </c>
    </row>
    <row r="881" spans="1:16" ht="23.25">
      <c r="A881" s="360" t="s">
        <v>74</v>
      </c>
      <c r="B881" s="361">
        <v>95000</v>
      </c>
      <c r="C881" s="365">
        <v>22</v>
      </c>
      <c r="D881" s="366">
        <v>54866</v>
      </c>
      <c r="E881" s="366">
        <v>149866</v>
      </c>
      <c r="F881" s="366">
        <v>6096</v>
      </c>
      <c r="G881" s="366">
        <v>4319</v>
      </c>
      <c r="H881" s="366">
        <v>2216</v>
      </c>
      <c r="I881" s="366">
        <v>6535</v>
      </c>
      <c r="K881" s="365"/>
      <c r="L881" s="350">
        <v>0.315</v>
      </c>
      <c r="M881" s="350">
        <v>3.5000000000000003E-2</v>
      </c>
      <c r="N881" s="351" t="str">
        <f t="shared" si="27"/>
        <v>9500022</v>
      </c>
      <c r="P881" s="351" t="str">
        <f t="shared" si="28"/>
        <v>T</v>
      </c>
    </row>
    <row r="882" spans="1:16" ht="23.25">
      <c r="A882" s="360" t="s">
        <v>74</v>
      </c>
      <c r="B882" s="361">
        <v>95000</v>
      </c>
      <c r="C882" s="367">
        <v>24</v>
      </c>
      <c r="D882" s="368">
        <v>59875</v>
      </c>
      <c r="E882" s="368">
        <v>154875</v>
      </c>
      <c r="F882" s="368">
        <v>6651</v>
      </c>
      <c r="G882" s="368">
        <v>3959</v>
      </c>
      <c r="H882" s="368">
        <v>2217</v>
      </c>
      <c r="I882" s="368">
        <v>6176</v>
      </c>
      <c r="K882" s="367"/>
      <c r="L882" s="350">
        <v>0.315</v>
      </c>
      <c r="M882" s="350">
        <v>3.5000000000000003E-2</v>
      </c>
      <c r="N882" s="351" t="str">
        <f t="shared" si="27"/>
        <v>9500024</v>
      </c>
      <c r="P882" s="351" t="str">
        <f t="shared" si="28"/>
        <v>T</v>
      </c>
    </row>
    <row r="883" spans="1:16" ht="23.25">
      <c r="A883" s="360" t="s">
        <v>74</v>
      </c>
      <c r="B883" s="361">
        <v>96000</v>
      </c>
      <c r="C883" s="365">
        <v>4</v>
      </c>
      <c r="D883" s="366">
        <v>10085</v>
      </c>
      <c r="E883" s="366">
        <v>106085</v>
      </c>
      <c r="F883" s="366">
        <v>1121</v>
      </c>
      <c r="G883" s="366">
        <v>24000</v>
      </c>
      <c r="H883" s="366">
        <v>2241</v>
      </c>
      <c r="I883" s="366">
        <v>26241</v>
      </c>
      <c r="K883" s="365"/>
      <c r="L883" s="350">
        <v>0.315</v>
      </c>
      <c r="M883" s="350">
        <v>3.5000000000000003E-2</v>
      </c>
      <c r="N883" s="351" t="str">
        <f t="shared" si="27"/>
        <v>960004</v>
      </c>
      <c r="P883" s="351" t="str">
        <f t="shared" si="28"/>
        <v>T</v>
      </c>
    </row>
    <row r="884" spans="1:16" ht="23.25">
      <c r="A884" s="360" t="s">
        <v>74</v>
      </c>
      <c r="B884" s="361">
        <v>96000</v>
      </c>
      <c r="C884" s="367">
        <v>6</v>
      </c>
      <c r="D884" s="368">
        <v>15127</v>
      </c>
      <c r="E884" s="368">
        <v>111127</v>
      </c>
      <c r="F884" s="368">
        <v>1681</v>
      </c>
      <c r="G884" s="368">
        <v>16000</v>
      </c>
      <c r="H884" s="368">
        <v>2241</v>
      </c>
      <c r="I884" s="368">
        <v>18241</v>
      </c>
      <c r="K884" s="367"/>
      <c r="L884" s="350">
        <v>0.315</v>
      </c>
      <c r="M884" s="350">
        <v>3.5000000000000003E-2</v>
      </c>
      <c r="N884" s="351" t="str">
        <f t="shared" si="27"/>
        <v>960006</v>
      </c>
      <c r="P884" s="351" t="str">
        <f t="shared" si="28"/>
        <v>T</v>
      </c>
    </row>
    <row r="885" spans="1:16" ht="23.25">
      <c r="A885" s="360" t="s">
        <v>74</v>
      </c>
      <c r="B885" s="361">
        <v>96000</v>
      </c>
      <c r="C885" s="365">
        <v>8</v>
      </c>
      <c r="D885" s="366">
        <v>20169</v>
      </c>
      <c r="E885" s="366">
        <v>116169</v>
      </c>
      <c r="F885" s="366">
        <v>2241</v>
      </c>
      <c r="G885" s="366">
        <v>12000</v>
      </c>
      <c r="H885" s="366">
        <v>2241</v>
      </c>
      <c r="I885" s="366">
        <v>14241</v>
      </c>
      <c r="K885" s="365"/>
      <c r="L885" s="350">
        <v>0.315</v>
      </c>
      <c r="M885" s="350">
        <v>3.5000000000000003E-2</v>
      </c>
      <c r="N885" s="351" t="str">
        <f t="shared" si="27"/>
        <v>960008</v>
      </c>
      <c r="P885" s="351" t="str">
        <f t="shared" si="28"/>
        <v>T</v>
      </c>
    </row>
    <row r="886" spans="1:16" ht="23.25">
      <c r="A886" s="360" t="s">
        <v>74</v>
      </c>
      <c r="B886" s="361">
        <v>96000</v>
      </c>
      <c r="C886" s="388">
        <v>10</v>
      </c>
      <c r="D886" s="364">
        <v>25211</v>
      </c>
      <c r="E886" s="364">
        <v>121211</v>
      </c>
      <c r="F886" s="364">
        <v>2801</v>
      </c>
      <c r="G886" s="364">
        <v>9600</v>
      </c>
      <c r="H886" s="372">
        <v>2241</v>
      </c>
      <c r="I886" s="364">
        <v>11841</v>
      </c>
      <c r="K886" s="388"/>
      <c r="L886" s="350">
        <v>0.315</v>
      </c>
      <c r="M886" s="350">
        <v>3.5000000000000003E-2</v>
      </c>
      <c r="N886" s="351" t="str">
        <f t="shared" si="27"/>
        <v>9600010</v>
      </c>
      <c r="P886" s="351" t="str">
        <f t="shared" si="28"/>
        <v>T</v>
      </c>
    </row>
    <row r="887" spans="1:16" ht="23.25">
      <c r="A887" s="360" t="s">
        <v>74</v>
      </c>
      <c r="B887" s="361">
        <v>96000</v>
      </c>
      <c r="C887" s="365">
        <v>12</v>
      </c>
      <c r="D887" s="366">
        <v>30253</v>
      </c>
      <c r="E887" s="366">
        <v>126253</v>
      </c>
      <c r="F887" s="366">
        <v>3361</v>
      </c>
      <c r="G887" s="366">
        <v>8000</v>
      </c>
      <c r="H887" s="366">
        <v>2241</v>
      </c>
      <c r="I887" s="366">
        <v>10241</v>
      </c>
      <c r="K887" s="365"/>
      <c r="L887" s="350">
        <v>0.315</v>
      </c>
      <c r="M887" s="350">
        <v>3.5000000000000003E-2</v>
      </c>
      <c r="N887" s="351" t="str">
        <f t="shared" si="27"/>
        <v>9600012</v>
      </c>
      <c r="P887" s="351" t="str">
        <f t="shared" si="28"/>
        <v>T</v>
      </c>
    </row>
    <row r="888" spans="1:16" ht="24" thickBot="1">
      <c r="A888" s="392" t="s">
        <v>74</v>
      </c>
      <c r="B888" s="393">
        <v>96000</v>
      </c>
      <c r="C888" s="399">
        <v>14</v>
      </c>
      <c r="D888" s="400">
        <v>35293</v>
      </c>
      <c r="E888" s="400">
        <v>131293</v>
      </c>
      <c r="F888" s="400">
        <v>3921</v>
      </c>
      <c r="G888" s="400">
        <v>6858</v>
      </c>
      <c r="H888" s="364">
        <v>2240</v>
      </c>
      <c r="I888" s="400">
        <v>9098</v>
      </c>
      <c r="K888" s="399"/>
      <c r="L888" s="350">
        <v>0.315</v>
      </c>
      <c r="M888" s="350">
        <v>3.5000000000000003E-2</v>
      </c>
      <c r="N888" s="351" t="str">
        <f t="shared" si="27"/>
        <v>9600014</v>
      </c>
      <c r="P888" s="351" t="str">
        <f t="shared" si="28"/>
        <v>T</v>
      </c>
    </row>
    <row r="889" spans="1:16" ht="24" thickTop="1">
      <c r="A889" s="384" t="s">
        <v>74</v>
      </c>
      <c r="B889" s="385">
        <v>96000</v>
      </c>
      <c r="C889" s="357">
        <v>16</v>
      </c>
      <c r="D889" s="358">
        <v>40337</v>
      </c>
      <c r="E889" s="358">
        <v>136337</v>
      </c>
      <c r="F889" s="358">
        <v>4481</v>
      </c>
      <c r="G889" s="358">
        <v>6000</v>
      </c>
      <c r="H889" s="358">
        <v>2241</v>
      </c>
      <c r="I889" s="358">
        <v>8241</v>
      </c>
      <c r="K889" s="357"/>
      <c r="L889" s="350">
        <v>0.315</v>
      </c>
      <c r="M889" s="350">
        <v>3.5000000000000003E-2</v>
      </c>
      <c r="N889" s="351" t="str">
        <f t="shared" si="27"/>
        <v>9600016</v>
      </c>
      <c r="P889" s="351" t="str">
        <f t="shared" si="28"/>
        <v>T</v>
      </c>
    </row>
    <row r="890" spans="1:16" ht="23.25">
      <c r="A890" s="386" t="s">
        <v>74</v>
      </c>
      <c r="B890" s="387">
        <v>96000</v>
      </c>
      <c r="C890" s="388">
        <v>18</v>
      </c>
      <c r="D890" s="364">
        <v>45373</v>
      </c>
      <c r="E890" s="364">
        <v>141373</v>
      </c>
      <c r="F890" s="364">
        <v>5041</v>
      </c>
      <c r="G890" s="364">
        <v>5334</v>
      </c>
      <c r="H890" s="364">
        <v>2240</v>
      </c>
      <c r="I890" s="364">
        <v>7574</v>
      </c>
      <c r="K890" s="388"/>
      <c r="L890" s="350">
        <v>0.315</v>
      </c>
      <c r="M890" s="350">
        <v>3.5000000000000003E-2</v>
      </c>
      <c r="N890" s="351" t="str">
        <f t="shared" si="27"/>
        <v>9600018</v>
      </c>
      <c r="P890" s="351" t="str">
        <f t="shared" si="28"/>
        <v>T</v>
      </c>
    </row>
    <row r="891" spans="1:16" ht="23.25">
      <c r="A891" s="386" t="s">
        <v>74</v>
      </c>
      <c r="B891" s="387">
        <v>96000</v>
      </c>
      <c r="C891" s="365">
        <v>20</v>
      </c>
      <c r="D891" s="366">
        <v>50421</v>
      </c>
      <c r="E891" s="366">
        <v>146421</v>
      </c>
      <c r="F891" s="366">
        <v>5601</v>
      </c>
      <c r="G891" s="366">
        <v>4800</v>
      </c>
      <c r="H891" s="366">
        <v>2241</v>
      </c>
      <c r="I891" s="366">
        <v>7041</v>
      </c>
      <c r="K891" s="365"/>
      <c r="L891" s="350">
        <v>0.315</v>
      </c>
      <c r="M891" s="350">
        <v>3.5000000000000003E-2</v>
      </c>
      <c r="N891" s="351" t="str">
        <f t="shared" si="27"/>
        <v>9600020</v>
      </c>
      <c r="P891" s="351" t="str">
        <f t="shared" si="28"/>
        <v>T</v>
      </c>
    </row>
    <row r="892" spans="1:16" ht="23.25">
      <c r="A892" s="386" t="s">
        <v>74</v>
      </c>
      <c r="B892" s="387">
        <v>96000</v>
      </c>
      <c r="C892" s="367">
        <v>22</v>
      </c>
      <c r="D892" s="368">
        <v>55449</v>
      </c>
      <c r="E892" s="368">
        <v>151449</v>
      </c>
      <c r="F892" s="368">
        <v>6161</v>
      </c>
      <c r="G892" s="368">
        <v>4364</v>
      </c>
      <c r="H892" s="368">
        <v>2240</v>
      </c>
      <c r="I892" s="368">
        <v>6604</v>
      </c>
      <c r="K892" s="367"/>
      <c r="L892" s="350">
        <v>0.315</v>
      </c>
      <c r="M892" s="350">
        <v>3.5000000000000003E-2</v>
      </c>
      <c r="N892" s="351" t="str">
        <f t="shared" si="27"/>
        <v>9600022</v>
      </c>
      <c r="P892" s="351" t="str">
        <f t="shared" si="28"/>
        <v>T</v>
      </c>
    </row>
    <row r="893" spans="1:16" ht="23.25">
      <c r="A893" s="386" t="s">
        <v>74</v>
      </c>
      <c r="B893" s="387">
        <v>96000</v>
      </c>
      <c r="C893" s="365">
        <v>24</v>
      </c>
      <c r="D893" s="366">
        <v>60505</v>
      </c>
      <c r="E893" s="366">
        <v>156505</v>
      </c>
      <c r="F893" s="366">
        <v>6721</v>
      </c>
      <c r="G893" s="366">
        <v>4000</v>
      </c>
      <c r="H893" s="366">
        <v>2241</v>
      </c>
      <c r="I893" s="366">
        <v>6241</v>
      </c>
      <c r="K893" s="365"/>
      <c r="L893" s="350">
        <v>0.315</v>
      </c>
      <c r="M893" s="350">
        <v>3.5000000000000003E-2</v>
      </c>
      <c r="N893" s="351" t="str">
        <f t="shared" si="27"/>
        <v>9600024</v>
      </c>
      <c r="P893" s="351" t="str">
        <f t="shared" si="28"/>
        <v>T</v>
      </c>
    </row>
    <row r="894" spans="1:16" ht="23.25">
      <c r="A894" s="386" t="s">
        <v>74</v>
      </c>
      <c r="B894" s="387">
        <v>97000</v>
      </c>
      <c r="C894" s="367">
        <v>4</v>
      </c>
      <c r="D894" s="368">
        <v>10188</v>
      </c>
      <c r="E894" s="368">
        <v>107188</v>
      </c>
      <c r="F894" s="368">
        <v>1132</v>
      </c>
      <c r="G894" s="368">
        <v>24250</v>
      </c>
      <c r="H894" s="368">
        <v>2264</v>
      </c>
      <c r="I894" s="368">
        <v>26514</v>
      </c>
      <c r="K894" s="367"/>
      <c r="L894" s="350">
        <v>0.315</v>
      </c>
      <c r="M894" s="350">
        <v>3.5000000000000003E-2</v>
      </c>
      <c r="N894" s="351" t="str">
        <f t="shared" si="27"/>
        <v>970004</v>
      </c>
      <c r="P894" s="351" t="str">
        <f t="shared" si="28"/>
        <v>T</v>
      </c>
    </row>
    <row r="895" spans="1:16" ht="23.25">
      <c r="A895" s="386" t="s">
        <v>74</v>
      </c>
      <c r="B895" s="387">
        <v>97000</v>
      </c>
      <c r="C895" s="365">
        <v>6</v>
      </c>
      <c r="D895" s="366">
        <v>15284</v>
      </c>
      <c r="E895" s="366">
        <v>112284</v>
      </c>
      <c r="F895" s="366">
        <v>1698</v>
      </c>
      <c r="G895" s="366">
        <v>16167</v>
      </c>
      <c r="H895" s="366">
        <v>2264</v>
      </c>
      <c r="I895" s="366">
        <v>18431</v>
      </c>
      <c r="K895" s="365"/>
      <c r="L895" s="350">
        <v>0.315</v>
      </c>
      <c r="M895" s="350">
        <v>3.5000000000000003E-2</v>
      </c>
      <c r="N895" s="351" t="str">
        <f t="shared" si="27"/>
        <v>970006</v>
      </c>
      <c r="P895" s="351" t="str">
        <f t="shared" si="28"/>
        <v>T</v>
      </c>
    </row>
    <row r="896" spans="1:16" ht="23.25">
      <c r="A896" s="386" t="s">
        <v>74</v>
      </c>
      <c r="B896" s="387">
        <v>97000</v>
      </c>
      <c r="C896" s="367">
        <v>8</v>
      </c>
      <c r="D896" s="368">
        <v>20376</v>
      </c>
      <c r="E896" s="368">
        <v>117376</v>
      </c>
      <c r="F896" s="368">
        <v>2264</v>
      </c>
      <c r="G896" s="368">
        <v>12125</v>
      </c>
      <c r="H896" s="372">
        <v>2264</v>
      </c>
      <c r="I896" s="368">
        <v>14389</v>
      </c>
      <c r="K896" s="367"/>
      <c r="L896" s="350">
        <v>0.315</v>
      </c>
      <c r="M896" s="350">
        <v>3.5000000000000003E-2</v>
      </c>
      <c r="N896" s="351" t="str">
        <f t="shared" si="27"/>
        <v>970008</v>
      </c>
      <c r="P896" s="351" t="str">
        <f t="shared" si="28"/>
        <v>T</v>
      </c>
    </row>
    <row r="897" spans="1:16" ht="23.25">
      <c r="A897" s="386" t="s">
        <v>74</v>
      </c>
      <c r="B897" s="387">
        <v>97000</v>
      </c>
      <c r="C897" s="365">
        <v>10</v>
      </c>
      <c r="D897" s="366">
        <v>25470</v>
      </c>
      <c r="E897" s="366">
        <v>122470</v>
      </c>
      <c r="F897" s="366">
        <v>2830</v>
      </c>
      <c r="G897" s="366">
        <v>9700</v>
      </c>
      <c r="H897" s="366">
        <v>2264</v>
      </c>
      <c r="I897" s="366">
        <v>11964</v>
      </c>
      <c r="K897" s="365"/>
      <c r="L897" s="350">
        <v>0.315</v>
      </c>
      <c r="M897" s="350">
        <v>3.5000000000000003E-2</v>
      </c>
      <c r="N897" s="351" t="str">
        <f t="shared" si="27"/>
        <v>9700010</v>
      </c>
      <c r="P897" s="351" t="str">
        <f t="shared" si="28"/>
        <v>T</v>
      </c>
    </row>
    <row r="898" spans="1:16" ht="23.25">
      <c r="A898" s="386" t="s">
        <v>74</v>
      </c>
      <c r="B898" s="387">
        <v>97000</v>
      </c>
      <c r="C898" s="388">
        <v>12</v>
      </c>
      <c r="D898" s="364">
        <v>30560</v>
      </c>
      <c r="E898" s="364">
        <v>127560</v>
      </c>
      <c r="F898" s="364">
        <v>3396</v>
      </c>
      <c r="G898" s="364">
        <v>8084</v>
      </c>
      <c r="H898" s="364">
        <v>2263</v>
      </c>
      <c r="I898" s="364">
        <v>10347</v>
      </c>
      <c r="K898" s="388"/>
      <c r="L898" s="350">
        <v>0.315</v>
      </c>
      <c r="M898" s="350">
        <v>3.5000000000000003E-2</v>
      </c>
      <c r="N898" s="351" t="str">
        <f t="shared" si="27"/>
        <v>9700012</v>
      </c>
      <c r="P898" s="351" t="str">
        <f t="shared" si="28"/>
        <v>T</v>
      </c>
    </row>
    <row r="899" spans="1:16" ht="24" thickBot="1">
      <c r="A899" s="389" t="s">
        <v>74</v>
      </c>
      <c r="B899" s="390">
        <v>97000</v>
      </c>
      <c r="C899" s="381">
        <v>14</v>
      </c>
      <c r="D899" s="398">
        <v>35649</v>
      </c>
      <c r="E899" s="398">
        <v>132649</v>
      </c>
      <c r="F899" s="398">
        <v>3961</v>
      </c>
      <c r="G899" s="398">
        <v>6929</v>
      </c>
      <c r="H899" s="366">
        <v>2263</v>
      </c>
      <c r="I899" s="398">
        <v>9192</v>
      </c>
      <c r="K899" s="381"/>
      <c r="L899" s="350">
        <v>0.315</v>
      </c>
      <c r="M899" s="350">
        <v>3.5000000000000003E-2</v>
      </c>
      <c r="N899" s="351" t="str">
        <f t="shared" si="27"/>
        <v>9700014</v>
      </c>
      <c r="P899" s="351" t="str">
        <f t="shared" si="28"/>
        <v>T</v>
      </c>
    </row>
    <row r="900" spans="1:16" ht="24" thickTop="1">
      <c r="A900" s="355" t="s">
        <v>74</v>
      </c>
      <c r="B900" s="356">
        <v>97000</v>
      </c>
      <c r="C900" s="396">
        <v>16</v>
      </c>
      <c r="D900" s="397">
        <v>40743</v>
      </c>
      <c r="E900" s="397">
        <v>137743</v>
      </c>
      <c r="F900" s="397">
        <v>4527</v>
      </c>
      <c r="G900" s="397">
        <v>6063</v>
      </c>
      <c r="H900" s="397">
        <v>2263</v>
      </c>
      <c r="I900" s="397">
        <v>8326</v>
      </c>
      <c r="K900" s="396"/>
      <c r="L900" s="350">
        <v>0.315</v>
      </c>
      <c r="M900" s="350">
        <v>3.5000000000000003E-2</v>
      </c>
      <c r="N900" s="351" t="str">
        <f t="shared" si="27"/>
        <v>9700016</v>
      </c>
      <c r="P900" s="351" t="str">
        <f t="shared" si="28"/>
        <v>T</v>
      </c>
    </row>
    <row r="901" spans="1:16" ht="23.25">
      <c r="A901" s="360" t="s">
        <v>74</v>
      </c>
      <c r="B901" s="361">
        <v>97000</v>
      </c>
      <c r="C901" s="365">
        <v>18</v>
      </c>
      <c r="D901" s="366">
        <v>45847</v>
      </c>
      <c r="E901" s="366">
        <v>142847</v>
      </c>
      <c r="F901" s="366">
        <v>5093</v>
      </c>
      <c r="G901" s="366">
        <v>5389</v>
      </c>
      <c r="H901" s="366">
        <v>2264</v>
      </c>
      <c r="I901" s="366">
        <v>7653</v>
      </c>
      <c r="K901" s="365"/>
      <c r="L901" s="350">
        <v>0.315</v>
      </c>
      <c r="M901" s="350">
        <v>3.5000000000000003E-2</v>
      </c>
      <c r="N901" s="351" t="str">
        <f t="shared" ref="N901:N964" si="29">CONCATENATE(B901,C901)</f>
        <v>9700018</v>
      </c>
      <c r="P901" s="351" t="str">
        <f t="shared" si="28"/>
        <v>T</v>
      </c>
    </row>
    <row r="902" spans="1:16" ht="23.25">
      <c r="A902" s="360" t="s">
        <v>74</v>
      </c>
      <c r="B902" s="361">
        <v>97000</v>
      </c>
      <c r="C902" s="367">
        <v>20</v>
      </c>
      <c r="D902" s="368">
        <v>50939</v>
      </c>
      <c r="E902" s="368">
        <v>147939</v>
      </c>
      <c r="F902" s="368">
        <v>5659</v>
      </c>
      <c r="G902" s="368">
        <v>4850</v>
      </c>
      <c r="H902" s="364">
        <v>2264</v>
      </c>
      <c r="I902" s="368">
        <v>7114</v>
      </c>
      <c r="K902" s="367"/>
      <c r="L902" s="350">
        <v>0.315</v>
      </c>
      <c r="M902" s="350">
        <v>3.5000000000000003E-2</v>
      </c>
      <c r="N902" s="351" t="str">
        <f t="shared" si="29"/>
        <v>9700020</v>
      </c>
      <c r="P902" s="351" t="str">
        <f t="shared" si="28"/>
        <v>T</v>
      </c>
    </row>
    <row r="903" spans="1:16" ht="23.25">
      <c r="A903" s="360" t="s">
        <v>74</v>
      </c>
      <c r="B903" s="361">
        <v>97000</v>
      </c>
      <c r="C903" s="365">
        <v>22</v>
      </c>
      <c r="D903" s="366">
        <v>56031</v>
      </c>
      <c r="E903" s="366">
        <v>153031</v>
      </c>
      <c r="F903" s="366">
        <v>6225</v>
      </c>
      <c r="G903" s="366">
        <v>4410</v>
      </c>
      <c r="H903" s="366">
        <v>2263</v>
      </c>
      <c r="I903" s="366">
        <v>6673</v>
      </c>
      <c r="K903" s="365"/>
      <c r="L903" s="350">
        <v>0.315</v>
      </c>
      <c r="M903" s="350">
        <v>3.5000000000000003E-2</v>
      </c>
      <c r="N903" s="351" t="str">
        <f t="shared" si="29"/>
        <v>9700022</v>
      </c>
      <c r="P903" s="351" t="str">
        <f t="shared" si="28"/>
        <v>T</v>
      </c>
    </row>
    <row r="904" spans="1:16" ht="23.25">
      <c r="A904" s="360" t="s">
        <v>74</v>
      </c>
      <c r="B904" s="361">
        <v>97000</v>
      </c>
      <c r="C904" s="367">
        <v>24</v>
      </c>
      <c r="D904" s="368">
        <v>61135</v>
      </c>
      <c r="E904" s="368">
        <v>158135</v>
      </c>
      <c r="F904" s="368">
        <v>6791</v>
      </c>
      <c r="G904" s="368">
        <v>4042</v>
      </c>
      <c r="H904" s="368">
        <v>2264</v>
      </c>
      <c r="I904" s="368">
        <v>6306</v>
      </c>
      <c r="K904" s="367"/>
      <c r="L904" s="350">
        <v>0.315</v>
      </c>
      <c r="M904" s="350">
        <v>3.5000000000000003E-2</v>
      </c>
      <c r="N904" s="351" t="str">
        <f t="shared" si="29"/>
        <v>9700024</v>
      </c>
      <c r="P904" s="351" t="str">
        <f t="shared" si="28"/>
        <v>T</v>
      </c>
    </row>
    <row r="905" spans="1:16" ht="23.25">
      <c r="A905" s="360" t="s">
        <v>74</v>
      </c>
      <c r="B905" s="361">
        <v>98000</v>
      </c>
      <c r="C905" s="365">
        <v>4</v>
      </c>
      <c r="D905" s="366">
        <v>10292</v>
      </c>
      <c r="E905" s="366">
        <v>108292</v>
      </c>
      <c r="F905" s="366">
        <v>1144</v>
      </c>
      <c r="G905" s="366">
        <v>24500</v>
      </c>
      <c r="H905" s="366">
        <v>2287</v>
      </c>
      <c r="I905" s="366">
        <v>26787</v>
      </c>
      <c r="K905" s="365"/>
      <c r="L905" s="350">
        <v>0.315</v>
      </c>
      <c r="M905" s="350">
        <v>3.5000000000000003E-2</v>
      </c>
      <c r="N905" s="351" t="str">
        <f t="shared" si="29"/>
        <v>980004</v>
      </c>
      <c r="P905" s="351" t="str">
        <f t="shared" si="28"/>
        <v>T</v>
      </c>
    </row>
    <row r="906" spans="1:16" ht="23.25">
      <c r="A906" s="360" t="s">
        <v>74</v>
      </c>
      <c r="B906" s="361">
        <v>98000</v>
      </c>
      <c r="C906" s="367">
        <v>6</v>
      </c>
      <c r="D906" s="368">
        <v>15442</v>
      </c>
      <c r="E906" s="368">
        <v>113442</v>
      </c>
      <c r="F906" s="368">
        <v>1716</v>
      </c>
      <c r="G906" s="368">
        <v>16334</v>
      </c>
      <c r="H906" s="368">
        <v>2287</v>
      </c>
      <c r="I906" s="368">
        <v>18621</v>
      </c>
      <c r="K906" s="367"/>
      <c r="L906" s="350">
        <v>0.315</v>
      </c>
      <c r="M906" s="350">
        <v>3.5000000000000003E-2</v>
      </c>
      <c r="N906" s="351" t="str">
        <f t="shared" si="29"/>
        <v>980006</v>
      </c>
      <c r="P906" s="351" t="str">
        <f t="shared" si="28"/>
        <v>T</v>
      </c>
    </row>
    <row r="907" spans="1:16" ht="23.25">
      <c r="A907" s="360" t="s">
        <v>74</v>
      </c>
      <c r="B907" s="361">
        <v>98000</v>
      </c>
      <c r="C907" s="365">
        <v>8</v>
      </c>
      <c r="D907" s="366">
        <v>20583</v>
      </c>
      <c r="E907" s="366">
        <v>118583</v>
      </c>
      <c r="F907" s="366">
        <v>2287</v>
      </c>
      <c r="G907" s="366">
        <v>12250</v>
      </c>
      <c r="H907" s="366">
        <v>2287</v>
      </c>
      <c r="I907" s="366">
        <v>14537</v>
      </c>
      <c r="K907" s="365"/>
      <c r="L907" s="350">
        <v>0.315</v>
      </c>
      <c r="M907" s="350">
        <v>3.5000000000000003E-2</v>
      </c>
      <c r="N907" s="351" t="str">
        <f t="shared" si="29"/>
        <v>980008</v>
      </c>
      <c r="P907" s="351" t="str">
        <f t="shared" si="28"/>
        <v>T</v>
      </c>
    </row>
    <row r="908" spans="1:16" ht="23.25">
      <c r="A908" s="360" t="s">
        <v>74</v>
      </c>
      <c r="B908" s="361">
        <v>98000</v>
      </c>
      <c r="C908" s="388">
        <v>10</v>
      </c>
      <c r="D908" s="364">
        <v>25729</v>
      </c>
      <c r="E908" s="364">
        <v>123729</v>
      </c>
      <c r="F908" s="364">
        <v>2859</v>
      </c>
      <c r="G908" s="364">
        <v>9800</v>
      </c>
      <c r="H908" s="372">
        <v>2287</v>
      </c>
      <c r="I908" s="364">
        <v>12087</v>
      </c>
      <c r="K908" s="388"/>
      <c r="L908" s="350">
        <v>0.315</v>
      </c>
      <c r="M908" s="350">
        <v>3.5000000000000003E-2</v>
      </c>
      <c r="N908" s="351" t="str">
        <f t="shared" si="29"/>
        <v>9800010</v>
      </c>
      <c r="P908" s="351" t="str">
        <f t="shared" si="28"/>
        <v>T</v>
      </c>
    </row>
    <row r="909" spans="1:16" ht="23.25">
      <c r="A909" s="360" t="s">
        <v>74</v>
      </c>
      <c r="B909" s="361">
        <v>98000</v>
      </c>
      <c r="C909" s="365">
        <v>12</v>
      </c>
      <c r="D909" s="366">
        <v>30879</v>
      </c>
      <c r="E909" s="366">
        <v>128879</v>
      </c>
      <c r="F909" s="366">
        <v>3431</v>
      </c>
      <c r="G909" s="366">
        <v>8167</v>
      </c>
      <c r="H909" s="366">
        <v>2287</v>
      </c>
      <c r="I909" s="366">
        <v>10454</v>
      </c>
      <c r="K909" s="365"/>
      <c r="L909" s="350">
        <v>0.315</v>
      </c>
      <c r="M909" s="350">
        <v>3.5000000000000003E-2</v>
      </c>
      <c r="N909" s="351" t="str">
        <f t="shared" si="29"/>
        <v>9800012</v>
      </c>
      <c r="P909" s="351" t="str">
        <f t="shared" si="28"/>
        <v>T</v>
      </c>
    </row>
    <row r="910" spans="1:16" ht="24" thickBot="1">
      <c r="A910" s="392" t="s">
        <v>74</v>
      </c>
      <c r="B910" s="393">
        <v>98000</v>
      </c>
      <c r="C910" s="399">
        <v>14</v>
      </c>
      <c r="D910" s="400">
        <v>36020</v>
      </c>
      <c r="E910" s="400">
        <v>134020</v>
      </c>
      <c r="F910" s="400">
        <v>4002</v>
      </c>
      <c r="G910" s="400">
        <v>7000</v>
      </c>
      <c r="H910" s="400">
        <v>2287</v>
      </c>
      <c r="I910" s="400">
        <v>9287</v>
      </c>
      <c r="K910" s="399"/>
      <c r="L910" s="350">
        <v>0.315</v>
      </c>
      <c r="M910" s="350">
        <v>3.5000000000000003E-2</v>
      </c>
      <c r="N910" s="351" t="str">
        <f t="shared" si="29"/>
        <v>9800014</v>
      </c>
      <c r="P910" s="351" t="str">
        <f t="shared" si="28"/>
        <v>T</v>
      </c>
    </row>
    <row r="911" spans="1:16" ht="24" thickTop="1">
      <c r="A911" s="355" t="s">
        <v>74</v>
      </c>
      <c r="B911" s="356">
        <v>98000</v>
      </c>
      <c r="C911" s="396">
        <v>16</v>
      </c>
      <c r="D911" s="397">
        <v>41166</v>
      </c>
      <c r="E911" s="397">
        <v>139166</v>
      </c>
      <c r="F911" s="397">
        <v>4574</v>
      </c>
      <c r="G911" s="397">
        <v>6125</v>
      </c>
      <c r="H911" s="397">
        <v>2287</v>
      </c>
      <c r="I911" s="397">
        <v>8412</v>
      </c>
      <c r="K911" s="396"/>
      <c r="L911" s="350">
        <v>0.315</v>
      </c>
      <c r="M911" s="350">
        <v>3.5000000000000003E-2</v>
      </c>
      <c r="N911" s="351" t="str">
        <f t="shared" si="29"/>
        <v>9800016</v>
      </c>
      <c r="P911" s="351" t="str">
        <f t="shared" si="28"/>
        <v>T</v>
      </c>
    </row>
    <row r="912" spans="1:16" ht="23.25">
      <c r="A912" s="360" t="s">
        <v>74</v>
      </c>
      <c r="B912" s="361">
        <v>98000</v>
      </c>
      <c r="C912" s="365">
        <v>18</v>
      </c>
      <c r="D912" s="366">
        <v>46322</v>
      </c>
      <c r="E912" s="366">
        <v>144322</v>
      </c>
      <c r="F912" s="366">
        <v>5146</v>
      </c>
      <c r="G912" s="366">
        <v>5445</v>
      </c>
      <c r="H912" s="366">
        <v>2287</v>
      </c>
      <c r="I912" s="366">
        <v>7732</v>
      </c>
      <c r="K912" s="365"/>
      <c r="L912" s="350">
        <v>0.315</v>
      </c>
      <c r="M912" s="350">
        <v>3.5000000000000003E-2</v>
      </c>
      <c r="N912" s="351" t="str">
        <f t="shared" si="29"/>
        <v>9800018</v>
      </c>
      <c r="P912" s="351" t="str">
        <f t="shared" si="28"/>
        <v>T</v>
      </c>
    </row>
    <row r="913" spans="1:16" ht="23.25">
      <c r="A913" s="360" t="s">
        <v>74</v>
      </c>
      <c r="B913" s="361">
        <v>98000</v>
      </c>
      <c r="C913" s="367">
        <v>20</v>
      </c>
      <c r="D913" s="368">
        <v>51457</v>
      </c>
      <c r="E913" s="368">
        <v>149457</v>
      </c>
      <c r="F913" s="368">
        <v>5717</v>
      </c>
      <c r="G913" s="368">
        <v>4900</v>
      </c>
      <c r="H913" s="364">
        <v>2287</v>
      </c>
      <c r="I913" s="368">
        <v>7187</v>
      </c>
      <c r="K913" s="367"/>
      <c r="L913" s="350">
        <v>0.315</v>
      </c>
      <c r="M913" s="350">
        <v>3.5000000000000003E-2</v>
      </c>
      <c r="N913" s="351" t="str">
        <f t="shared" si="29"/>
        <v>9800020</v>
      </c>
      <c r="P913" s="351" t="str">
        <f t="shared" ref="P913:P976" si="30">IF((E913-F913)/C913=I913,"T","F")</f>
        <v>T</v>
      </c>
    </row>
    <row r="914" spans="1:16" ht="23.25">
      <c r="A914" s="360" t="s">
        <v>74</v>
      </c>
      <c r="B914" s="361">
        <v>98000</v>
      </c>
      <c r="C914" s="365">
        <v>22</v>
      </c>
      <c r="D914" s="366">
        <v>56613</v>
      </c>
      <c r="E914" s="366">
        <v>154613</v>
      </c>
      <c r="F914" s="366">
        <v>6289</v>
      </c>
      <c r="G914" s="366">
        <v>4455</v>
      </c>
      <c r="H914" s="366">
        <v>2287</v>
      </c>
      <c r="I914" s="366">
        <v>6742</v>
      </c>
      <c r="K914" s="365"/>
      <c r="L914" s="350">
        <v>0.315</v>
      </c>
      <c r="M914" s="350">
        <v>3.5000000000000003E-2</v>
      </c>
      <c r="N914" s="351" t="str">
        <f t="shared" si="29"/>
        <v>9800022</v>
      </c>
      <c r="P914" s="351" t="str">
        <f t="shared" si="30"/>
        <v>T</v>
      </c>
    </row>
    <row r="915" spans="1:16" ht="23.25">
      <c r="A915" s="360" t="s">
        <v>74</v>
      </c>
      <c r="B915" s="361">
        <v>98000</v>
      </c>
      <c r="C915" s="367">
        <v>24</v>
      </c>
      <c r="D915" s="368">
        <v>61765</v>
      </c>
      <c r="E915" s="368">
        <v>159765</v>
      </c>
      <c r="F915" s="368">
        <v>6861</v>
      </c>
      <c r="G915" s="368">
        <v>4084</v>
      </c>
      <c r="H915" s="368">
        <v>2287</v>
      </c>
      <c r="I915" s="368">
        <v>6371</v>
      </c>
      <c r="K915" s="367"/>
      <c r="L915" s="350">
        <v>0.315</v>
      </c>
      <c r="M915" s="350">
        <v>3.5000000000000003E-2</v>
      </c>
      <c r="N915" s="351" t="str">
        <f t="shared" si="29"/>
        <v>9800024</v>
      </c>
      <c r="P915" s="351" t="str">
        <f t="shared" si="30"/>
        <v>T</v>
      </c>
    </row>
    <row r="916" spans="1:16" ht="23.25">
      <c r="A916" s="360" t="s">
        <v>74</v>
      </c>
      <c r="B916" s="361">
        <v>99000</v>
      </c>
      <c r="C916" s="365">
        <v>4</v>
      </c>
      <c r="D916" s="366">
        <v>10400</v>
      </c>
      <c r="E916" s="366">
        <v>109400</v>
      </c>
      <c r="F916" s="366">
        <v>1156</v>
      </c>
      <c r="G916" s="366">
        <v>24750</v>
      </c>
      <c r="H916" s="366">
        <v>2311</v>
      </c>
      <c r="I916" s="366">
        <v>27061</v>
      </c>
      <c r="K916" s="365"/>
      <c r="L916" s="350">
        <v>0.315</v>
      </c>
      <c r="M916" s="350">
        <v>3.5000000000000003E-2</v>
      </c>
      <c r="N916" s="351" t="str">
        <f t="shared" si="29"/>
        <v>990004</v>
      </c>
      <c r="P916" s="351" t="str">
        <f t="shared" si="30"/>
        <v>T</v>
      </c>
    </row>
    <row r="917" spans="1:16" ht="23.25">
      <c r="A917" s="360" t="s">
        <v>74</v>
      </c>
      <c r="B917" s="361">
        <v>99000</v>
      </c>
      <c r="C917" s="367">
        <v>6</v>
      </c>
      <c r="D917" s="368">
        <v>15599</v>
      </c>
      <c r="E917" s="368">
        <v>114599</v>
      </c>
      <c r="F917" s="368">
        <v>1733</v>
      </c>
      <c r="G917" s="368">
        <v>16500</v>
      </c>
      <c r="H917" s="368">
        <v>2311</v>
      </c>
      <c r="I917" s="368">
        <v>18811</v>
      </c>
      <c r="K917" s="367"/>
      <c r="L917" s="350">
        <v>0.315</v>
      </c>
      <c r="M917" s="350">
        <v>3.5000000000000003E-2</v>
      </c>
      <c r="N917" s="351" t="str">
        <f t="shared" si="29"/>
        <v>990006</v>
      </c>
      <c r="P917" s="351" t="str">
        <f t="shared" si="30"/>
        <v>T</v>
      </c>
    </row>
    <row r="918" spans="1:16" ht="23.25">
      <c r="A918" s="360" t="s">
        <v>74</v>
      </c>
      <c r="B918" s="361">
        <v>99000</v>
      </c>
      <c r="C918" s="365">
        <v>8</v>
      </c>
      <c r="D918" s="366">
        <v>20799</v>
      </c>
      <c r="E918" s="366">
        <v>119799</v>
      </c>
      <c r="F918" s="366">
        <v>2311</v>
      </c>
      <c r="G918" s="366">
        <v>12375</v>
      </c>
      <c r="H918" s="366">
        <v>2311</v>
      </c>
      <c r="I918" s="366">
        <v>14686</v>
      </c>
      <c r="K918" s="365"/>
      <c r="L918" s="350">
        <v>0.315</v>
      </c>
      <c r="M918" s="350">
        <v>3.5000000000000003E-2</v>
      </c>
      <c r="N918" s="351" t="str">
        <f t="shared" si="29"/>
        <v>990008</v>
      </c>
      <c r="P918" s="351" t="str">
        <f t="shared" si="30"/>
        <v>T</v>
      </c>
    </row>
    <row r="919" spans="1:16" ht="23.25">
      <c r="A919" s="360" t="s">
        <v>74</v>
      </c>
      <c r="B919" s="361">
        <v>99000</v>
      </c>
      <c r="C919" s="388">
        <v>10</v>
      </c>
      <c r="D919" s="364">
        <v>25998</v>
      </c>
      <c r="E919" s="364">
        <v>124998</v>
      </c>
      <c r="F919" s="364">
        <v>2888</v>
      </c>
      <c r="G919" s="364">
        <v>9900</v>
      </c>
      <c r="H919" s="372">
        <v>2311</v>
      </c>
      <c r="I919" s="364">
        <v>12211</v>
      </c>
      <c r="K919" s="388"/>
      <c r="L919" s="350">
        <v>0.315</v>
      </c>
      <c r="M919" s="350">
        <v>3.5000000000000003E-2</v>
      </c>
      <c r="N919" s="351" t="str">
        <f t="shared" si="29"/>
        <v>9900010</v>
      </c>
      <c r="P919" s="351" t="str">
        <f t="shared" si="30"/>
        <v>T</v>
      </c>
    </row>
    <row r="920" spans="1:16" ht="23.25">
      <c r="A920" s="360" t="s">
        <v>74</v>
      </c>
      <c r="B920" s="361">
        <v>99000</v>
      </c>
      <c r="C920" s="365">
        <v>12</v>
      </c>
      <c r="D920" s="366">
        <v>31198</v>
      </c>
      <c r="E920" s="366">
        <v>130198</v>
      </c>
      <c r="F920" s="366">
        <v>3466</v>
      </c>
      <c r="G920" s="366">
        <v>8250</v>
      </c>
      <c r="H920" s="366">
        <v>2311</v>
      </c>
      <c r="I920" s="366">
        <v>10561</v>
      </c>
      <c r="K920" s="365"/>
      <c r="L920" s="350">
        <v>0.315</v>
      </c>
      <c r="M920" s="350">
        <v>3.5000000000000003E-2</v>
      </c>
      <c r="N920" s="351" t="str">
        <f t="shared" si="29"/>
        <v>9900012</v>
      </c>
      <c r="P920" s="351" t="str">
        <f t="shared" si="30"/>
        <v>T</v>
      </c>
    </row>
    <row r="921" spans="1:16" ht="24" thickBot="1">
      <c r="A921" s="392" t="s">
        <v>74</v>
      </c>
      <c r="B921" s="393">
        <v>99000</v>
      </c>
      <c r="C921" s="399">
        <v>14</v>
      </c>
      <c r="D921" s="400">
        <v>36391</v>
      </c>
      <c r="E921" s="400">
        <v>135391</v>
      </c>
      <c r="F921" s="400">
        <v>4043</v>
      </c>
      <c r="G921" s="400">
        <v>7072</v>
      </c>
      <c r="H921" s="364">
        <v>2310</v>
      </c>
      <c r="I921" s="400">
        <v>9382</v>
      </c>
      <c r="K921" s="399"/>
      <c r="L921" s="350">
        <v>0.315</v>
      </c>
      <c r="M921" s="350">
        <v>3.5000000000000003E-2</v>
      </c>
      <c r="N921" s="351" t="str">
        <f t="shared" si="29"/>
        <v>9900014</v>
      </c>
      <c r="P921" s="351" t="str">
        <f t="shared" si="30"/>
        <v>T</v>
      </c>
    </row>
    <row r="922" spans="1:16" ht="24" thickTop="1">
      <c r="A922" s="384" t="s">
        <v>74</v>
      </c>
      <c r="B922" s="385">
        <v>99000</v>
      </c>
      <c r="C922" s="357">
        <v>16</v>
      </c>
      <c r="D922" s="358">
        <v>41589</v>
      </c>
      <c r="E922" s="358">
        <v>140589</v>
      </c>
      <c r="F922" s="358">
        <v>4621</v>
      </c>
      <c r="G922" s="358">
        <v>6188</v>
      </c>
      <c r="H922" s="358">
        <v>2310</v>
      </c>
      <c r="I922" s="358">
        <v>8498</v>
      </c>
      <c r="K922" s="357"/>
      <c r="L922" s="350">
        <v>0.315</v>
      </c>
      <c r="M922" s="350">
        <v>3.5000000000000003E-2</v>
      </c>
      <c r="N922" s="351" t="str">
        <f t="shared" si="29"/>
        <v>9900016</v>
      </c>
      <c r="P922" s="351" t="str">
        <f t="shared" si="30"/>
        <v>T</v>
      </c>
    </row>
    <row r="923" spans="1:16" ht="23.25">
      <c r="A923" s="386" t="s">
        <v>74</v>
      </c>
      <c r="B923" s="387">
        <v>99000</v>
      </c>
      <c r="C923" s="388">
        <v>18</v>
      </c>
      <c r="D923" s="364">
        <v>46796</v>
      </c>
      <c r="E923" s="364">
        <v>145796</v>
      </c>
      <c r="F923" s="364">
        <v>5198</v>
      </c>
      <c r="G923" s="364">
        <v>5500</v>
      </c>
      <c r="H923" s="364">
        <v>2311</v>
      </c>
      <c r="I923" s="364">
        <v>7811</v>
      </c>
      <c r="K923" s="388"/>
      <c r="L923" s="350">
        <v>0.315</v>
      </c>
      <c r="M923" s="350">
        <v>3.5000000000000003E-2</v>
      </c>
      <c r="N923" s="351" t="str">
        <f t="shared" si="29"/>
        <v>9900018</v>
      </c>
      <c r="P923" s="351" t="str">
        <f t="shared" si="30"/>
        <v>T</v>
      </c>
    </row>
    <row r="924" spans="1:16" ht="23.25">
      <c r="A924" s="386" t="s">
        <v>74</v>
      </c>
      <c r="B924" s="387">
        <v>99000</v>
      </c>
      <c r="C924" s="365">
        <v>20</v>
      </c>
      <c r="D924" s="366">
        <v>51996</v>
      </c>
      <c r="E924" s="366">
        <v>150996</v>
      </c>
      <c r="F924" s="366">
        <v>5776</v>
      </c>
      <c r="G924" s="366">
        <v>4950</v>
      </c>
      <c r="H924" s="366">
        <v>2311</v>
      </c>
      <c r="I924" s="366">
        <v>7261</v>
      </c>
      <c r="K924" s="365"/>
      <c r="L924" s="350">
        <v>0.315</v>
      </c>
      <c r="M924" s="350">
        <v>3.5000000000000003E-2</v>
      </c>
      <c r="N924" s="351" t="str">
        <f t="shared" si="29"/>
        <v>9900020</v>
      </c>
      <c r="P924" s="351" t="str">
        <f t="shared" si="30"/>
        <v>T</v>
      </c>
    </row>
    <row r="925" spans="1:16" ht="23.25">
      <c r="A925" s="386" t="s">
        <v>74</v>
      </c>
      <c r="B925" s="387">
        <v>99000</v>
      </c>
      <c r="C925" s="367">
        <v>22</v>
      </c>
      <c r="D925" s="368">
        <v>57195</v>
      </c>
      <c r="E925" s="368">
        <v>156195</v>
      </c>
      <c r="F925" s="368">
        <v>6353</v>
      </c>
      <c r="G925" s="368">
        <v>4500</v>
      </c>
      <c r="H925" s="368">
        <v>2311</v>
      </c>
      <c r="I925" s="368">
        <v>6811</v>
      </c>
      <c r="K925" s="367"/>
      <c r="L925" s="350">
        <v>0.315</v>
      </c>
      <c r="M925" s="350">
        <v>3.5000000000000003E-2</v>
      </c>
      <c r="N925" s="351" t="str">
        <f t="shared" si="29"/>
        <v>9900022</v>
      </c>
      <c r="P925" s="351" t="str">
        <f t="shared" si="30"/>
        <v>T</v>
      </c>
    </row>
    <row r="926" spans="1:16" ht="23.25">
      <c r="A926" s="386" t="s">
        <v>74</v>
      </c>
      <c r="B926" s="387">
        <v>99000</v>
      </c>
      <c r="C926" s="365">
        <v>24</v>
      </c>
      <c r="D926" s="366">
        <v>62395</v>
      </c>
      <c r="E926" s="366">
        <v>161395</v>
      </c>
      <c r="F926" s="366">
        <v>6931</v>
      </c>
      <c r="G926" s="366">
        <v>4125</v>
      </c>
      <c r="H926" s="366">
        <v>2311</v>
      </c>
      <c r="I926" s="366">
        <v>6436</v>
      </c>
      <c r="K926" s="365"/>
      <c r="L926" s="350">
        <v>0.315</v>
      </c>
      <c r="M926" s="350">
        <v>3.5000000000000003E-2</v>
      </c>
      <c r="N926" s="351" t="str">
        <f t="shared" si="29"/>
        <v>9900024</v>
      </c>
      <c r="P926" s="351" t="str">
        <f t="shared" si="30"/>
        <v>T</v>
      </c>
    </row>
    <row r="927" spans="1:16" ht="23.25">
      <c r="A927" s="386" t="s">
        <v>74</v>
      </c>
      <c r="B927" s="387">
        <v>100000</v>
      </c>
      <c r="C927" s="367">
        <v>4</v>
      </c>
      <c r="D927" s="368">
        <v>10503</v>
      </c>
      <c r="E927" s="368">
        <v>110503</v>
      </c>
      <c r="F927" s="368">
        <v>1167</v>
      </c>
      <c r="G927" s="368">
        <v>25000</v>
      </c>
      <c r="H927" s="368">
        <v>2334</v>
      </c>
      <c r="I927" s="368">
        <v>27334</v>
      </c>
      <c r="K927" s="367"/>
      <c r="L927" s="350">
        <v>0.315</v>
      </c>
      <c r="M927" s="350">
        <v>3.5000000000000003E-2</v>
      </c>
      <c r="N927" s="351" t="str">
        <f t="shared" si="29"/>
        <v>1000004</v>
      </c>
      <c r="P927" s="351" t="str">
        <f t="shared" si="30"/>
        <v>T</v>
      </c>
    </row>
    <row r="928" spans="1:16" ht="23.25">
      <c r="A928" s="386" t="s">
        <v>74</v>
      </c>
      <c r="B928" s="387">
        <v>100000</v>
      </c>
      <c r="C928" s="365">
        <v>6</v>
      </c>
      <c r="D928" s="366">
        <v>15757</v>
      </c>
      <c r="E928" s="366">
        <v>115757</v>
      </c>
      <c r="F928" s="366">
        <v>1751</v>
      </c>
      <c r="G928" s="366">
        <v>16667</v>
      </c>
      <c r="H928" s="366">
        <v>2334</v>
      </c>
      <c r="I928" s="366">
        <v>19001</v>
      </c>
      <c r="K928" s="365"/>
      <c r="L928" s="350">
        <v>0.315</v>
      </c>
      <c r="M928" s="350">
        <v>3.5000000000000003E-2</v>
      </c>
      <c r="N928" s="351" t="str">
        <f t="shared" si="29"/>
        <v>1000006</v>
      </c>
      <c r="P928" s="351" t="str">
        <f t="shared" si="30"/>
        <v>T</v>
      </c>
    </row>
    <row r="929" spans="1:16" ht="23.25">
      <c r="A929" s="386" t="s">
        <v>74</v>
      </c>
      <c r="B929" s="387">
        <v>100000</v>
      </c>
      <c r="C929" s="367">
        <v>8</v>
      </c>
      <c r="D929" s="368">
        <v>21006</v>
      </c>
      <c r="E929" s="368">
        <v>121006</v>
      </c>
      <c r="F929" s="368">
        <v>2334</v>
      </c>
      <c r="G929" s="368">
        <v>12500</v>
      </c>
      <c r="H929" s="372">
        <v>2334</v>
      </c>
      <c r="I929" s="368">
        <v>14834</v>
      </c>
      <c r="K929" s="367"/>
      <c r="L929" s="350">
        <v>0.315</v>
      </c>
      <c r="M929" s="350">
        <v>3.5000000000000003E-2</v>
      </c>
      <c r="N929" s="351" t="str">
        <f t="shared" si="29"/>
        <v>1000008</v>
      </c>
      <c r="P929" s="351" t="str">
        <f t="shared" si="30"/>
        <v>T</v>
      </c>
    </row>
    <row r="930" spans="1:16" ht="23.25">
      <c r="A930" s="386" t="s">
        <v>74</v>
      </c>
      <c r="B930" s="387">
        <v>100000</v>
      </c>
      <c r="C930" s="365">
        <v>10</v>
      </c>
      <c r="D930" s="366">
        <v>26257</v>
      </c>
      <c r="E930" s="366">
        <v>126257</v>
      </c>
      <c r="F930" s="366">
        <v>2917</v>
      </c>
      <c r="G930" s="366">
        <v>10000</v>
      </c>
      <c r="H930" s="366">
        <v>2334</v>
      </c>
      <c r="I930" s="366">
        <v>12334</v>
      </c>
      <c r="K930" s="365"/>
      <c r="L930" s="350">
        <v>0.315</v>
      </c>
      <c r="M930" s="350">
        <v>3.5000000000000003E-2</v>
      </c>
      <c r="N930" s="351" t="str">
        <f t="shared" si="29"/>
        <v>10000010</v>
      </c>
      <c r="P930" s="351" t="str">
        <f t="shared" si="30"/>
        <v>T</v>
      </c>
    </row>
    <row r="931" spans="1:16" ht="23.25">
      <c r="A931" s="386" t="s">
        <v>74</v>
      </c>
      <c r="B931" s="387">
        <v>100000</v>
      </c>
      <c r="C931" s="388">
        <v>12</v>
      </c>
      <c r="D931" s="364">
        <v>31505</v>
      </c>
      <c r="E931" s="364">
        <v>131505</v>
      </c>
      <c r="F931" s="364">
        <v>3501</v>
      </c>
      <c r="G931" s="364">
        <v>8334</v>
      </c>
      <c r="H931" s="364">
        <v>2333</v>
      </c>
      <c r="I931" s="364">
        <v>10667</v>
      </c>
      <c r="K931" s="388"/>
      <c r="L931" s="350">
        <v>0.315</v>
      </c>
      <c r="M931" s="350">
        <v>3.5000000000000003E-2</v>
      </c>
      <c r="N931" s="351" t="str">
        <f t="shared" si="29"/>
        <v>10000012</v>
      </c>
      <c r="P931" s="351" t="str">
        <f t="shared" si="30"/>
        <v>T</v>
      </c>
    </row>
    <row r="932" spans="1:16" ht="24" thickBot="1">
      <c r="A932" s="389" t="s">
        <v>74</v>
      </c>
      <c r="B932" s="390">
        <v>100000</v>
      </c>
      <c r="C932" s="381">
        <v>14</v>
      </c>
      <c r="D932" s="398">
        <v>36762</v>
      </c>
      <c r="E932" s="398">
        <v>136762</v>
      </c>
      <c r="F932" s="398">
        <v>4084</v>
      </c>
      <c r="G932" s="398">
        <v>7143</v>
      </c>
      <c r="H932" s="366">
        <v>2334</v>
      </c>
      <c r="I932" s="398">
        <v>9477</v>
      </c>
      <c r="K932" s="381"/>
      <c r="L932" s="350">
        <v>0.315</v>
      </c>
      <c r="M932" s="350">
        <v>3.5000000000000003E-2</v>
      </c>
      <c r="N932" s="351" t="str">
        <f t="shared" si="29"/>
        <v>10000014</v>
      </c>
      <c r="P932" s="351" t="str">
        <f t="shared" si="30"/>
        <v>T</v>
      </c>
    </row>
    <row r="933" spans="1:16" ht="24" thickTop="1">
      <c r="A933" s="355" t="s">
        <v>74</v>
      </c>
      <c r="B933" s="356">
        <v>100000</v>
      </c>
      <c r="C933" s="396">
        <v>16</v>
      </c>
      <c r="D933" s="397">
        <v>42011</v>
      </c>
      <c r="E933" s="397">
        <v>142011</v>
      </c>
      <c r="F933" s="397">
        <v>4667</v>
      </c>
      <c r="G933" s="397">
        <v>6250</v>
      </c>
      <c r="H933" s="397">
        <v>2334</v>
      </c>
      <c r="I933" s="397">
        <v>8584</v>
      </c>
      <c r="K933" s="396"/>
      <c r="L933" s="350">
        <v>0.315</v>
      </c>
      <c r="M933" s="350">
        <v>3.5000000000000003E-2</v>
      </c>
      <c r="N933" s="351" t="str">
        <f t="shared" si="29"/>
        <v>10000016</v>
      </c>
      <c r="P933" s="351" t="str">
        <f t="shared" si="30"/>
        <v>T</v>
      </c>
    </row>
    <row r="934" spans="1:16" ht="23.25">
      <c r="A934" s="360" t="s">
        <v>74</v>
      </c>
      <c r="B934" s="361">
        <v>100000</v>
      </c>
      <c r="C934" s="365">
        <v>18</v>
      </c>
      <c r="D934" s="366">
        <v>47253</v>
      </c>
      <c r="E934" s="366">
        <v>147253</v>
      </c>
      <c r="F934" s="366">
        <v>5251</v>
      </c>
      <c r="G934" s="366">
        <v>5556</v>
      </c>
      <c r="H934" s="366">
        <v>2333</v>
      </c>
      <c r="I934" s="366">
        <v>7889</v>
      </c>
      <c r="K934" s="365"/>
      <c r="L934" s="350">
        <v>0.315</v>
      </c>
      <c r="M934" s="350">
        <v>3.5000000000000003E-2</v>
      </c>
      <c r="N934" s="351" t="str">
        <f t="shared" si="29"/>
        <v>10000018</v>
      </c>
      <c r="P934" s="351" t="str">
        <f t="shared" si="30"/>
        <v>T</v>
      </c>
    </row>
    <row r="935" spans="1:16" ht="23.25">
      <c r="A935" s="360" t="s">
        <v>74</v>
      </c>
      <c r="B935" s="361">
        <v>100000</v>
      </c>
      <c r="C935" s="367">
        <v>20</v>
      </c>
      <c r="D935" s="368">
        <v>52514</v>
      </c>
      <c r="E935" s="368">
        <v>152514</v>
      </c>
      <c r="F935" s="368">
        <v>5834</v>
      </c>
      <c r="G935" s="368">
        <v>5000</v>
      </c>
      <c r="H935" s="364">
        <v>2334</v>
      </c>
      <c r="I935" s="368">
        <v>7334</v>
      </c>
      <c r="K935" s="367"/>
      <c r="L935" s="350">
        <v>0.315</v>
      </c>
      <c r="M935" s="350">
        <v>3.5000000000000003E-2</v>
      </c>
      <c r="N935" s="351" t="str">
        <f t="shared" si="29"/>
        <v>10000020</v>
      </c>
      <c r="P935" s="351" t="str">
        <f t="shared" si="30"/>
        <v>T</v>
      </c>
    </row>
    <row r="936" spans="1:16" ht="23.25">
      <c r="A936" s="360" t="s">
        <v>74</v>
      </c>
      <c r="B936" s="361">
        <v>100000</v>
      </c>
      <c r="C936" s="365">
        <v>22</v>
      </c>
      <c r="D936" s="366">
        <v>57755</v>
      </c>
      <c r="E936" s="366">
        <v>157755</v>
      </c>
      <c r="F936" s="366">
        <v>6417</v>
      </c>
      <c r="G936" s="366">
        <v>4546</v>
      </c>
      <c r="H936" s="366">
        <v>2333</v>
      </c>
      <c r="I936" s="366">
        <v>6879</v>
      </c>
      <c r="K936" s="365"/>
      <c r="L936" s="350">
        <v>0.315</v>
      </c>
      <c r="M936" s="350">
        <v>3.5000000000000003E-2</v>
      </c>
      <c r="N936" s="351" t="str">
        <f t="shared" si="29"/>
        <v>10000022</v>
      </c>
      <c r="P936" s="351" t="str">
        <f t="shared" si="30"/>
        <v>T</v>
      </c>
    </row>
    <row r="937" spans="1:16" ht="23.25">
      <c r="A937" s="360" t="s">
        <v>74</v>
      </c>
      <c r="B937" s="361">
        <v>100000</v>
      </c>
      <c r="C937" s="367">
        <v>24</v>
      </c>
      <c r="D937" s="368">
        <v>63025</v>
      </c>
      <c r="E937" s="368">
        <v>163025</v>
      </c>
      <c r="F937" s="368">
        <v>7001</v>
      </c>
      <c r="G937" s="368">
        <v>4167</v>
      </c>
      <c r="H937" s="368">
        <v>2334</v>
      </c>
      <c r="I937" s="368">
        <v>6501</v>
      </c>
      <c r="K937" s="367"/>
      <c r="L937" s="350">
        <v>0.315</v>
      </c>
      <c r="M937" s="350">
        <v>3.5000000000000003E-2</v>
      </c>
      <c r="N937" s="351" t="str">
        <f t="shared" si="29"/>
        <v>10000024</v>
      </c>
      <c r="P937" s="351" t="str">
        <f t="shared" si="30"/>
        <v>T</v>
      </c>
    </row>
    <row r="938" spans="1:16" ht="23.25">
      <c r="A938" s="360" t="s">
        <v>74</v>
      </c>
      <c r="B938" s="361">
        <v>101000</v>
      </c>
      <c r="C938" s="365">
        <v>4</v>
      </c>
      <c r="D938" s="366">
        <v>10607</v>
      </c>
      <c r="E938" s="366">
        <v>111607</v>
      </c>
      <c r="F938" s="366">
        <v>1179</v>
      </c>
      <c r="G938" s="366">
        <v>25250</v>
      </c>
      <c r="H938" s="366">
        <v>2357</v>
      </c>
      <c r="I938" s="366">
        <v>27607</v>
      </c>
      <c r="K938" s="365"/>
      <c r="L938" s="350">
        <v>0.315</v>
      </c>
      <c r="M938" s="350">
        <v>3.5000000000000003E-2</v>
      </c>
      <c r="N938" s="351" t="str">
        <f t="shared" si="29"/>
        <v>1010004</v>
      </c>
      <c r="P938" s="351" t="str">
        <f t="shared" si="30"/>
        <v>T</v>
      </c>
    </row>
    <row r="939" spans="1:16" ht="23.25">
      <c r="A939" s="360" t="s">
        <v>74</v>
      </c>
      <c r="B939" s="361">
        <v>101000</v>
      </c>
      <c r="C939" s="367">
        <v>6</v>
      </c>
      <c r="D939" s="368">
        <v>15914</v>
      </c>
      <c r="E939" s="368">
        <v>116914</v>
      </c>
      <c r="F939" s="368">
        <v>1768</v>
      </c>
      <c r="G939" s="368">
        <v>16834</v>
      </c>
      <c r="H939" s="368">
        <v>2357</v>
      </c>
      <c r="I939" s="368">
        <v>19191</v>
      </c>
      <c r="K939" s="367"/>
      <c r="L939" s="350">
        <v>0.315</v>
      </c>
      <c r="M939" s="350">
        <v>3.5000000000000003E-2</v>
      </c>
      <c r="N939" s="351" t="str">
        <f t="shared" si="29"/>
        <v>1010006</v>
      </c>
      <c r="P939" s="351" t="str">
        <f t="shared" si="30"/>
        <v>T</v>
      </c>
    </row>
    <row r="940" spans="1:16" ht="23.25">
      <c r="A940" s="360" t="s">
        <v>74</v>
      </c>
      <c r="B940" s="361">
        <v>101000</v>
      </c>
      <c r="C940" s="365">
        <v>8</v>
      </c>
      <c r="D940" s="366">
        <v>21213</v>
      </c>
      <c r="E940" s="366">
        <v>122213</v>
      </c>
      <c r="F940" s="366">
        <v>2357</v>
      </c>
      <c r="G940" s="366">
        <v>12625</v>
      </c>
      <c r="H940" s="366">
        <v>2357</v>
      </c>
      <c r="I940" s="366">
        <v>14982</v>
      </c>
      <c r="K940" s="365"/>
      <c r="L940" s="350">
        <v>0.315</v>
      </c>
      <c r="M940" s="350">
        <v>3.5000000000000003E-2</v>
      </c>
      <c r="N940" s="351" t="str">
        <f t="shared" si="29"/>
        <v>1010008</v>
      </c>
      <c r="P940" s="351" t="str">
        <f t="shared" si="30"/>
        <v>T</v>
      </c>
    </row>
    <row r="941" spans="1:16" ht="23.25">
      <c r="A941" s="360" t="s">
        <v>74</v>
      </c>
      <c r="B941" s="361">
        <v>101000</v>
      </c>
      <c r="C941" s="388">
        <v>10</v>
      </c>
      <c r="D941" s="364">
        <v>26516</v>
      </c>
      <c r="E941" s="364">
        <v>127516</v>
      </c>
      <c r="F941" s="364">
        <v>2946</v>
      </c>
      <c r="G941" s="364">
        <v>10100</v>
      </c>
      <c r="H941" s="372">
        <v>2357</v>
      </c>
      <c r="I941" s="364">
        <v>12457</v>
      </c>
      <c r="K941" s="388"/>
      <c r="L941" s="350">
        <v>0.315</v>
      </c>
      <c r="M941" s="350">
        <v>3.5000000000000003E-2</v>
      </c>
      <c r="N941" s="351" t="str">
        <f t="shared" si="29"/>
        <v>10100010</v>
      </c>
      <c r="P941" s="351" t="str">
        <f t="shared" si="30"/>
        <v>T</v>
      </c>
    </row>
    <row r="942" spans="1:16" ht="23.25">
      <c r="A942" s="360" t="s">
        <v>74</v>
      </c>
      <c r="B942" s="361">
        <v>101000</v>
      </c>
      <c r="C942" s="365">
        <v>12</v>
      </c>
      <c r="D942" s="366">
        <v>31824</v>
      </c>
      <c r="E942" s="366">
        <v>132824</v>
      </c>
      <c r="F942" s="366">
        <v>3536</v>
      </c>
      <c r="G942" s="366">
        <v>8417</v>
      </c>
      <c r="H942" s="366">
        <v>2357</v>
      </c>
      <c r="I942" s="366">
        <v>10774</v>
      </c>
      <c r="K942" s="365"/>
      <c r="L942" s="350">
        <v>0.315</v>
      </c>
      <c r="M942" s="350">
        <v>3.5000000000000003E-2</v>
      </c>
      <c r="N942" s="351" t="str">
        <f t="shared" si="29"/>
        <v>10100012</v>
      </c>
      <c r="P942" s="351" t="str">
        <f t="shared" si="30"/>
        <v>T</v>
      </c>
    </row>
    <row r="943" spans="1:16" ht="24" thickBot="1">
      <c r="A943" s="392" t="s">
        <v>74</v>
      </c>
      <c r="B943" s="393">
        <v>101000</v>
      </c>
      <c r="C943" s="399">
        <v>14</v>
      </c>
      <c r="D943" s="400">
        <v>37119</v>
      </c>
      <c r="E943" s="400">
        <v>138119</v>
      </c>
      <c r="F943" s="400">
        <v>4125</v>
      </c>
      <c r="G943" s="400">
        <v>7215</v>
      </c>
      <c r="H943" s="400">
        <v>2356</v>
      </c>
      <c r="I943" s="400">
        <v>9571</v>
      </c>
      <c r="K943" s="399"/>
      <c r="L943" s="350">
        <v>0.315</v>
      </c>
      <c r="M943" s="350">
        <v>3.5000000000000003E-2</v>
      </c>
      <c r="N943" s="351" t="str">
        <f t="shared" si="29"/>
        <v>10100014</v>
      </c>
      <c r="P943" s="351" t="str">
        <f t="shared" si="30"/>
        <v>T</v>
      </c>
    </row>
    <row r="944" spans="1:16" ht="18.75" thickTop="1">
      <c r="A944" s="401" t="s">
        <v>74</v>
      </c>
      <c r="B944" s="404">
        <v>101000</v>
      </c>
      <c r="C944" s="405">
        <v>16</v>
      </c>
      <c r="D944" s="404">
        <v>42434</v>
      </c>
      <c r="E944" s="404">
        <v>143434</v>
      </c>
      <c r="F944" s="404">
        <v>4714</v>
      </c>
      <c r="G944" s="404">
        <v>6313</v>
      </c>
      <c r="H944" s="404">
        <v>2357</v>
      </c>
      <c r="I944" s="404">
        <v>8670</v>
      </c>
      <c r="L944" s="350">
        <v>0.315</v>
      </c>
      <c r="M944" s="350">
        <v>3.5000000000000003E-2</v>
      </c>
      <c r="N944" s="351" t="str">
        <f t="shared" si="29"/>
        <v>10100016</v>
      </c>
      <c r="P944" s="351" t="str">
        <f t="shared" si="30"/>
        <v>T</v>
      </c>
    </row>
    <row r="945" spans="1:16">
      <c r="A945" s="401" t="s">
        <v>74</v>
      </c>
      <c r="B945" s="404">
        <v>101000</v>
      </c>
      <c r="C945" s="405">
        <v>18</v>
      </c>
      <c r="D945" s="404">
        <v>47727</v>
      </c>
      <c r="E945" s="404">
        <v>148727</v>
      </c>
      <c r="F945" s="404">
        <v>5303</v>
      </c>
      <c r="G945" s="404">
        <v>5612</v>
      </c>
      <c r="H945" s="404">
        <v>2356</v>
      </c>
      <c r="I945" s="404">
        <v>7968</v>
      </c>
      <c r="L945" s="350">
        <v>0.315</v>
      </c>
      <c r="M945" s="350">
        <v>3.5000000000000003E-2</v>
      </c>
      <c r="N945" s="351" t="str">
        <f t="shared" si="29"/>
        <v>10100018</v>
      </c>
      <c r="P945" s="351" t="str">
        <f t="shared" si="30"/>
        <v>T</v>
      </c>
    </row>
    <row r="946" spans="1:16">
      <c r="A946" s="401" t="s">
        <v>74</v>
      </c>
      <c r="B946" s="404">
        <v>101000</v>
      </c>
      <c r="C946" s="405">
        <v>20</v>
      </c>
      <c r="D946" s="404">
        <v>53032</v>
      </c>
      <c r="E946" s="404">
        <v>154032</v>
      </c>
      <c r="F946" s="404">
        <v>5892</v>
      </c>
      <c r="G946" s="404">
        <v>5050</v>
      </c>
      <c r="H946" s="404">
        <v>2357</v>
      </c>
      <c r="I946" s="404">
        <v>7407</v>
      </c>
      <c r="L946" s="350">
        <v>0.315</v>
      </c>
      <c r="M946" s="350">
        <v>3.5000000000000003E-2</v>
      </c>
      <c r="N946" s="351" t="str">
        <f t="shared" si="29"/>
        <v>10100020</v>
      </c>
      <c r="P946" s="351" t="str">
        <f t="shared" si="30"/>
        <v>T</v>
      </c>
    </row>
    <row r="947" spans="1:16">
      <c r="A947" s="401" t="s">
        <v>74</v>
      </c>
      <c r="B947" s="404">
        <v>101000</v>
      </c>
      <c r="C947" s="405">
        <v>22</v>
      </c>
      <c r="D947" s="404">
        <v>58337</v>
      </c>
      <c r="E947" s="404">
        <v>159337</v>
      </c>
      <c r="F947" s="404">
        <v>6481</v>
      </c>
      <c r="G947" s="404">
        <v>4591</v>
      </c>
      <c r="H947" s="404">
        <v>2357</v>
      </c>
      <c r="I947" s="404">
        <v>6948</v>
      </c>
      <c r="L947" s="350">
        <v>0.315</v>
      </c>
      <c r="M947" s="350">
        <v>3.5000000000000003E-2</v>
      </c>
      <c r="N947" s="351" t="str">
        <f t="shared" si="29"/>
        <v>10100022</v>
      </c>
      <c r="P947" s="351" t="str">
        <f t="shared" si="30"/>
        <v>T</v>
      </c>
    </row>
    <row r="948" spans="1:16">
      <c r="A948" s="401" t="s">
        <v>74</v>
      </c>
      <c r="B948" s="404">
        <v>101000</v>
      </c>
      <c r="C948" s="405">
        <v>24</v>
      </c>
      <c r="D948" s="404">
        <v>63655</v>
      </c>
      <c r="E948" s="404">
        <v>164655</v>
      </c>
      <c r="F948" s="404">
        <v>7071</v>
      </c>
      <c r="G948" s="404">
        <v>4209</v>
      </c>
      <c r="H948" s="404">
        <v>2357</v>
      </c>
      <c r="I948" s="404">
        <v>6566</v>
      </c>
      <c r="L948" s="350">
        <v>0.315</v>
      </c>
      <c r="M948" s="350">
        <v>3.5000000000000003E-2</v>
      </c>
      <c r="N948" s="351" t="str">
        <f t="shared" si="29"/>
        <v>10100024</v>
      </c>
      <c r="P948" s="351" t="str">
        <f t="shared" si="30"/>
        <v>T</v>
      </c>
    </row>
    <row r="949" spans="1:16">
      <c r="A949" s="401" t="s">
        <v>74</v>
      </c>
      <c r="B949" s="404">
        <v>102000</v>
      </c>
      <c r="C949" s="405">
        <v>4</v>
      </c>
      <c r="D949" s="404">
        <v>10715</v>
      </c>
      <c r="E949" s="404">
        <v>112715</v>
      </c>
      <c r="F949" s="404">
        <v>1191</v>
      </c>
      <c r="G949" s="404">
        <v>25500</v>
      </c>
      <c r="H949" s="404">
        <v>2381</v>
      </c>
      <c r="I949" s="404">
        <v>27881</v>
      </c>
      <c r="L949" s="350">
        <v>0.315</v>
      </c>
      <c r="M949" s="350">
        <v>3.5000000000000003E-2</v>
      </c>
      <c r="N949" s="351" t="str">
        <f t="shared" si="29"/>
        <v>1020004</v>
      </c>
      <c r="P949" s="351" t="str">
        <f t="shared" si="30"/>
        <v>T</v>
      </c>
    </row>
    <row r="950" spans="1:16">
      <c r="A950" s="401" t="s">
        <v>74</v>
      </c>
      <c r="B950" s="404">
        <v>102000</v>
      </c>
      <c r="C950" s="405">
        <v>6</v>
      </c>
      <c r="D950" s="404">
        <v>16072</v>
      </c>
      <c r="E950" s="404">
        <v>118072</v>
      </c>
      <c r="F950" s="404">
        <v>1786</v>
      </c>
      <c r="G950" s="404">
        <v>17000</v>
      </c>
      <c r="H950" s="404">
        <v>2381</v>
      </c>
      <c r="I950" s="404">
        <v>19381</v>
      </c>
      <c r="L950" s="350">
        <v>0.315</v>
      </c>
      <c r="M950" s="350">
        <v>3.5000000000000003E-2</v>
      </c>
      <c r="N950" s="351" t="str">
        <f t="shared" si="29"/>
        <v>1020006</v>
      </c>
      <c r="P950" s="351" t="str">
        <f t="shared" si="30"/>
        <v>T</v>
      </c>
    </row>
    <row r="951" spans="1:16">
      <c r="A951" s="401" t="s">
        <v>74</v>
      </c>
      <c r="B951" s="404">
        <v>102000</v>
      </c>
      <c r="C951" s="405">
        <v>8</v>
      </c>
      <c r="D951" s="404">
        <v>21429</v>
      </c>
      <c r="E951" s="404">
        <v>123429</v>
      </c>
      <c r="F951" s="404">
        <v>2381</v>
      </c>
      <c r="G951" s="404">
        <v>12750</v>
      </c>
      <c r="H951" s="404">
        <v>2381</v>
      </c>
      <c r="I951" s="404">
        <v>15131</v>
      </c>
      <c r="L951" s="350">
        <v>0.315</v>
      </c>
      <c r="M951" s="350">
        <v>3.5000000000000003E-2</v>
      </c>
      <c r="N951" s="351" t="str">
        <f t="shared" si="29"/>
        <v>1020008</v>
      </c>
      <c r="P951" s="351" t="str">
        <f t="shared" si="30"/>
        <v>T</v>
      </c>
    </row>
    <row r="952" spans="1:16">
      <c r="A952" s="401" t="s">
        <v>74</v>
      </c>
      <c r="B952" s="404">
        <v>102000</v>
      </c>
      <c r="C952" s="405">
        <v>10</v>
      </c>
      <c r="D952" s="404">
        <v>26786</v>
      </c>
      <c r="E952" s="404">
        <v>128786</v>
      </c>
      <c r="F952" s="404">
        <v>2976</v>
      </c>
      <c r="G952" s="404">
        <v>10200</v>
      </c>
      <c r="H952" s="404">
        <v>2381</v>
      </c>
      <c r="I952" s="404">
        <v>12581</v>
      </c>
      <c r="L952" s="350">
        <v>0.315</v>
      </c>
      <c r="M952" s="350">
        <v>3.5000000000000003E-2</v>
      </c>
      <c r="N952" s="351" t="str">
        <f t="shared" si="29"/>
        <v>10200010</v>
      </c>
      <c r="P952" s="351" t="str">
        <f t="shared" si="30"/>
        <v>T</v>
      </c>
    </row>
    <row r="953" spans="1:16">
      <c r="A953" s="401" t="s">
        <v>74</v>
      </c>
      <c r="B953" s="404">
        <v>102000</v>
      </c>
      <c r="C953" s="405">
        <v>12</v>
      </c>
      <c r="D953" s="404">
        <v>32143</v>
      </c>
      <c r="E953" s="404">
        <v>134143</v>
      </c>
      <c r="F953" s="404">
        <v>3571</v>
      </c>
      <c r="G953" s="404">
        <v>8500</v>
      </c>
      <c r="H953" s="404">
        <v>2381</v>
      </c>
      <c r="I953" s="404">
        <v>10881</v>
      </c>
      <c r="L953" s="350">
        <v>0.315</v>
      </c>
      <c r="M953" s="350">
        <v>3.5000000000000003E-2</v>
      </c>
      <c r="N953" s="351" t="str">
        <f t="shared" si="29"/>
        <v>10200012</v>
      </c>
      <c r="P953" s="351" t="str">
        <f t="shared" si="30"/>
        <v>T</v>
      </c>
    </row>
    <row r="954" spans="1:16">
      <c r="A954" s="401" t="s">
        <v>74</v>
      </c>
      <c r="B954" s="404">
        <v>102000</v>
      </c>
      <c r="C954" s="405">
        <v>14</v>
      </c>
      <c r="D954" s="404">
        <v>37490</v>
      </c>
      <c r="E954" s="404">
        <v>139490</v>
      </c>
      <c r="F954" s="404">
        <v>4166</v>
      </c>
      <c r="G954" s="404">
        <v>7286</v>
      </c>
      <c r="H954" s="404">
        <v>2380</v>
      </c>
      <c r="I954" s="404">
        <v>9666</v>
      </c>
      <c r="L954" s="350">
        <v>0.315</v>
      </c>
      <c r="M954" s="350">
        <v>3.5000000000000003E-2</v>
      </c>
      <c r="N954" s="351" t="str">
        <f t="shared" si="29"/>
        <v>10200014</v>
      </c>
      <c r="P954" s="351" t="str">
        <f t="shared" si="30"/>
        <v>T</v>
      </c>
    </row>
    <row r="955" spans="1:16">
      <c r="A955" s="401" t="s">
        <v>74</v>
      </c>
      <c r="B955" s="404">
        <v>102000</v>
      </c>
      <c r="C955" s="405">
        <v>16</v>
      </c>
      <c r="D955" s="404">
        <v>42857</v>
      </c>
      <c r="E955" s="404">
        <v>144857</v>
      </c>
      <c r="F955" s="404">
        <v>4761</v>
      </c>
      <c r="G955" s="404">
        <v>6375</v>
      </c>
      <c r="H955" s="404">
        <v>2381</v>
      </c>
      <c r="I955" s="404">
        <v>8756</v>
      </c>
      <c r="L955" s="350">
        <v>0.315</v>
      </c>
      <c r="M955" s="350">
        <v>3.5000000000000003E-2</v>
      </c>
      <c r="N955" s="351" t="str">
        <f t="shared" si="29"/>
        <v>10200016</v>
      </c>
      <c r="P955" s="351" t="str">
        <f t="shared" si="30"/>
        <v>T</v>
      </c>
    </row>
    <row r="956" spans="1:16">
      <c r="A956" s="401" t="s">
        <v>74</v>
      </c>
      <c r="B956" s="404">
        <v>102000</v>
      </c>
      <c r="C956" s="405">
        <v>18</v>
      </c>
      <c r="D956" s="404">
        <v>48202</v>
      </c>
      <c r="E956" s="404">
        <v>150202</v>
      </c>
      <c r="F956" s="404">
        <v>5356</v>
      </c>
      <c r="G956" s="404">
        <v>5667</v>
      </c>
      <c r="H956" s="404">
        <v>2380</v>
      </c>
      <c r="I956" s="404">
        <v>8047</v>
      </c>
      <c r="L956" s="350">
        <v>0.315</v>
      </c>
      <c r="M956" s="350">
        <v>3.5000000000000003E-2</v>
      </c>
      <c r="N956" s="351" t="str">
        <f t="shared" si="29"/>
        <v>10200018</v>
      </c>
      <c r="P956" s="351" t="str">
        <f t="shared" si="30"/>
        <v>T</v>
      </c>
    </row>
    <row r="957" spans="1:16">
      <c r="A957" s="401" t="s">
        <v>74</v>
      </c>
      <c r="B957" s="404">
        <v>102000</v>
      </c>
      <c r="C957" s="405">
        <v>20</v>
      </c>
      <c r="D957" s="404">
        <v>53571</v>
      </c>
      <c r="E957" s="404">
        <v>155571</v>
      </c>
      <c r="F957" s="404">
        <v>5951</v>
      </c>
      <c r="G957" s="404">
        <v>5100</v>
      </c>
      <c r="H957" s="404">
        <v>2381</v>
      </c>
      <c r="I957" s="404">
        <v>7481</v>
      </c>
      <c r="L957" s="350">
        <v>0.315</v>
      </c>
      <c r="M957" s="350">
        <v>3.5000000000000003E-2</v>
      </c>
      <c r="N957" s="351" t="str">
        <f t="shared" si="29"/>
        <v>10200020</v>
      </c>
      <c r="P957" s="351" t="str">
        <f t="shared" si="30"/>
        <v>T</v>
      </c>
    </row>
    <row r="958" spans="1:16">
      <c r="A958" s="401" t="s">
        <v>74</v>
      </c>
      <c r="B958" s="404">
        <v>102000</v>
      </c>
      <c r="C958" s="405">
        <v>22</v>
      </c>
      <c r="D958" s="404">
        <v>58920</v>
      </c>
      <c r="E958" s="404">
        <v>160920</v>
      </c>
      <c r="F958" s="404">
        <v>6546</v>
      </c>
      <c r="G958" s="404">
        <v>4637</v>
      </c>
      <c r="H958" s="404">
        <v>2380</v>
      </c>
      <c r="I958" s="404">
        <v>7017</v>
      </c>
      <c r="L958" s="350">
        <v>0.315</v>
      </c>
      <c r="M958" s="350">
        <v>3.5000000000000003E-2</v>
      </c>
      <c r="N958" s="351" t="str">
        <f t="shared" si="29"/>
        <v>10200022</v>
      </c>
      <c r="P958" s="351" t="str">
        <f t="shared" si="30"/>
        <v>T</v>
      </c>
    </row>
    <row r="959" spans="1:16">
      <c r="A959" s="401" t="s">
        <v>74</v>
      </c>
      <c r="B959" s="404">
        <v>102000</v>
      </c>
      <c r="C959" s="405">
        <v>24</v>
      </c>
      <c r="D959" s="404">
        <v>64285</v>
      </c>
      <c r="E959" s="404">
        <v>166285</v>
      </c>
      <c r="F959" s="404">
        <v>7141</v>
      </c>
      <c r="G959" s="404">
        <v>4250</v>
      </c>
      <c r="H959" s="404">
        <v>2381</v>
      </c>
      <c r="I959" s="404">
        <v>6631</v>
      </c>
      <c r="L959" s="350">
        <v>0.315</v>
      </c>
      <c r="M959" s="350">
        <v>3.5000000000000003E-2</v>
      </c>
      <c r="N959" s="351" t="str">
        <f t="shared" si="29"/>
        <v>10200024</v>
      </c>
      <c r="P959" s="351" t="str">
        <f t="shared" si="30"/>
        <v>T</v>
      </c>
    </row>
    <row r="960" spans="1:16">
      <c r="A960" s="401" t="s">
        <v>74</v>
      </c>
      <c r="B960" s="404">
        <v>103000</v>
      </c>
      <c r="C960" s="405">
        <v>4</v>
      </c>
      <c r="D960" s="404">
        <v>10818</v>
      </c>
      <c r="E960" s="404">
        <v>113818</v>
      </c>
      <c r="F960" s="404">
        <v>1202</v>
      </c>
      <c r="G960" s="404">
        <v>25750</v>
      </c>
      <c r="H960" s="404">
        <v>2404</v>
      </c>
      <c r="I960" s="404">
        <v>28154</v>
      </c>
      <c r="L960" s="350">
        <v>0.315</v>
      </c>
      <c r="M960" s="350">
        <v>3.5000000000000003E-2</v>
      </c>
      <c r="N960" s="351" t="str">
        <f t="shared" si="29"/>
        <v>1030004</v>
      </c>
      <c r="P960" s="351" t="str">
        <f t="shared" si="30"/>
        <v>T</v>
      </c>
    </row>
    <row r="961" spans="1:16">
      <c r="A961" s="401" t="s">
        <v>74</v>
      </c>
      <c r="B961" s="404">
        <v>103000</v>
      </c>
      <c r="C961" s="405">
        <v>6</v>
      </c>
      <c r="D961" s="404">
        <v>16229</v>
      </c>
      <c r="E961" s="404">
        <v>119229</v>
      </c>
      <c r="F961" s="404">
        <v>1803</v>
      </c>
      <c r="G961" s="404">
        <v>17167</v>
      </c>
      <c r="H961" s="404">
        <v>2404</v>
      </c>
      <c r="I961" s="404">
        <v>19571</v>
      </c>
      <c r="L961" s="350">
        <v>0.315</v>
      </c>
      <c r="M961" s="350">
        <v>3.5000000000000003E-2</v>
      </c>
      <c r="N961" s="351" t="str">
        <f t="shared" si="29"/>
        <v>1030006</v>
      </c>
      <c r="P961" s="351" t="str">
        <f t="shared" si="30"/>
        <v>T</v>
      </c>
    </row>
    <row r="962" spans="1:16">
      <c r="A962" s="401" t="s">
        <v>74</v>
      </c>
      <c r="B962" s="404">
        <v>103000</v>
      </c>
      <c r="C962" s="405">
        <v>8</v>
      </c>
      <c r="D962" s="404">
        <v>21636</v>
      </c>
      <c r="E962" s="404">
        <v>124636</v>
      </c>
      <c r="F962" s="404">
        <v>2404</v>
      </c>
      <c r="G962" s="404">
        <v>12875</v>
      </c>
      <c r="H962" s="404">
        <v>2404</v>
      </c>
      <c r="I962" s="404">
        <v>15279</v>
      </c>
      <c r="L962" s="350">
        <v>0.315</v>
      </c>
      <c r="M962" s="350">
        <v>3.5000000000000003E-2</v>
      </c>
      <c r="N962" s="351" t="str">
        <f t="shared" si="29"/>
        <v>1030008</v>
      </c>
      <c r="P962" s="351" t="str">
        <f t="shared" si="30"/>
        <v>T</v>
      </c>
    </row>
    <row r="963" spans="1:16">
      <c r="A963" s="401" t="s">
        <v>74</v>
      </c>
      <c r="B963" s="404">
        <v>103000</v>
      </c>
      <c r="C963" s="405">
        <v>10</v>
      </c>
      <c r="D963" s="404">
        <v>27045</v>
      </c>
      <c r="E963" s="404">
        <v>130045</v>
      </c>
      <c r="F963" s="404">
        <v>3005</v>
      </c>
      <c r="G963" s="404">
        <v>10300</v>
      </c>
      <c r="H963" s="404">
        <v>2404</v>
      </c>
      <c r="I963" s="404">
        <v>12704</v>
      </c>
      <c r="L963" s="350">
        <v>0.315</v>
      </c>
      <c r="M963" s="350">
        <v>3.5000000000000003E-2</v>
      </c>
      <c r="N963" s="351" t="str">
        <f t="shared" si="29"/>
        <v>10300010</v>
      </c>
      <c r="P963" s="351" t="str">
        <f t="shared" si="30"/>
        <v>T</v>
      </c>
    </row>
    <row r="964" spans="1:16">
      <c r="A964" s="401" t="s">
        <v>74</v>
      </c>
      <c r="B964" s="404">
        <v>103000</v>
      </c>
      <c r="C964" s="405">
        <v>12</v>
      </c>
      <c r="D964" s="404">
        <v>32450</v>
      </c>
      <c r="E964" s="404">
        <v>135450</v>
      </c>
      <c r="F964" s="404">
        <v>3606</v>
      </c>
      <c r="G964" s="404">
        <v>8584</v>
      </c>
      <c r="H964" s="404">
        <v>2403</v>
      </c>
      <c r="I964" s="404">
        <v>10987</v>
      </c>
      <c r="L964" s="350">
        <v>0.315</v>
      </c>
      <c r="M964" s="350">
        <v>3.5000000000000003E-2</v>
      </c>
      <c r="N964" s="351" t="str">
        <f t="shared" si="29"/>
        <v>10300012</v>
      </c>
      <c r="P964" s="351" t="str">
        <f t="shared" si="30"/>
        <v>T</v>
      </c>
    </row>
    <row r="965" spans="1:16">
      <c r="A965" s="401" t="s">
        <v>74</v>
      </c>
      <c r="B965" s="404">
        <v>103000</v>
      </c>
      <c r="C965" s="405">
        <v>14</v>
      </c>
      <c r="D965" s="404">
        <v>37860</v>
      </c>
      <c r="E965" s="404">
        <v>140860</v>
      </c>
      <c r="F965" s="404">
        <v>4206</v>
      </c>
      <c r="G965" s="404">
        <v>7358</v>
      </c>
      <c r="H965" s="404">
        <v>2403</v>
      </c>
      <c r="I965" s="404">
        <v>9761</v>
      </c>
      <c r="L965" s="350">
        <v>0.315</v>
      </c>
      <c r="M965" s="350">
        <v>3.5000000000000003E-2</v>
      </c>
      <c r="N965" s="351" t="str">
        <f t="shared" ref="N965:N1028" si="31">CONCATENATE(B965,C965)</f>
        <v>10300014</v>
      </c>
      <c r="P965" s="351" t="str">
        <f t="shared" si="30"/>
        <v>T</v>
      </c>
    </row>
    <row r="966" spans="1:16">
      <c r="A966" s="401" t="s">
        <v>74</v>
      </c>
      <c r="B966" s="404">
        <v>103000</v>
      </c>
      <c r="C966" s="405">
        <v>16</v>
      </c>
      <c r="D966" s="404">
        <v>43263</v>
      </c>
      <c r="E966" s="404">
        <v>146263</v>
      </c>
      <c r="F966" s="404">
        <v>4807</v>
      </c>
      <c r="G966" s="404">
        <v>6438</v>
      </c>
      <c r="H966" s="404">
        <v>2403</v>
      </c>
      <c r="I966" s="404">
        <v>8841</v>
      </c>
      <c r="L966" s="350">
        <v>0.315</v>
      </c>
      <c r="M966" s="350">
        <v>3.5000000000000003E-2</v>
      </c>
      <c r="N966" s="351" t="str">
        <f t="shared" si="31"/>
        <v>10300016</v>
      </c>
      <c r="P966" s="351" t="str">
        <f t="shared" si="30"/>
        <v>T</v>
      </c>
    </row>
    <row r="967" spans="1:16">
      <c r="A967" s="401" t="s">
        <v>74</v>
      </c>
      <c r="B967" s="404">
        <v>103000</v>
      </c>
      <c r="C967" s="405">
        <v>18</v>
      </c>
      <c r="D967" s="404">
        <v>48676</v>
      </c>
      <c r="E967" s="404">
        <v>151676</v>
      </c>
      <c r="F967" s="404">
        <v>5408</v>
      </c>
      <c r="G967" s="404">
        <v>5723</v>
      </c>
      <c r="H967" s="404">
        <v>2403</v>
      </c>
      <c r="I967" s="404">
        <v>8126</v>
      </c>
      <c r="L967" s="350">
        <v>0.315</v>
      </c>
      <c r="M967" s="350">
        <v>3.5000000000000003E-2</v>
      </c>
      <c r="N967" s="351" t="str">
        <f t="shared" si="31"/>
        <v>10300018</v>
      </c>
      <c r="P967" s="351" t="str">
        <f t="shared" si="30"/>
        <v>T</v>
      </c>
    </row>
    <row r="968" spans="1:16">
      <c r="A968" s="401" t="s">
        <v>74</v>
      </c>
      <c r="B968" s="404">
        <v>103000</v>
      </c>
      <c r="C968" s="405">
        <v>20</v>
      </c>
      <c r="D968" s="404">
        <v>54089</v>
      </c>
      <c r="E968" s="404">
        <v>157089</v>
      </c>
      <c r="F968" s="404">
        <v>6009</v>
      </c>
      <c r="G968" s="404">
        <v>5150</v>
      </c>
      <c r="H968" s="404">
        <v>2404</v>
      </c>
      <c r="I968" s="404">
        <v>7554</v>
      </c>
      <c r="L968" s="350">
        <v>0.315</v>
      </c>
      <c r="M968" s="350">
        <v>3.5000000000000003E-2</v>
      </c>
      <c r="N968" s="351" t="str">
        <f t="shared" si="31"/>
        <v>10300020</v>
      </c>
      <c r="P968" s="351" t="str">
        <f t="shared" si="30"/>
        <v>T</v>
      </c>
    </row>
    <row r="969" spans="1:16">
      <c r="A969" s="401" t="s">
        <v>74</v>
      </c>
      <c r="B969" s="404">
        <v>103000</v>
      </c>
      <c r="C969" s="405">
        <v>22</v>
      </c>
      <c r="D969" s="404">
        <v>59502</v>
      </c>
      <c r="E969" s="404">
        <v>162502</v>
      </c>
      <c r="F969" s="404">
        <v>6610</v>
      </c>
      <c r="G969" s="404">
        <v>4682</v>
      </c>
      <c r="H969" s="404">
        <v>2404</v>
      </c>
      <c r="I969" s="404">
        <v>7086</v>
      </c>
      <c r="L969" s="350">
        <v>0.315</v>
      </c>
      <c r="M969" s="350">
        <v>3.5000000000000003E-2</v>
      </c>
      <c r="N969" s="351" t="str">
        <f t="shared" si="31"/>
        <v>10300022</v>
      </c>
      <c r="P969" s="351" t="str">
        <f t="shared" si="30"/>
        <v>T</v>
      </c>
    </row>
    <row r="970" spans="1:16">
      <c r="A970" s="401" t="s">
        <v>74</v>
      </c>
      <c r="B970" s="404">
        <v>103000</v>
      </c>
      <c r="C970" s="405">
        <v>24</v>
      </c>
      <c r="D970" s="404">
        <v>64915</v>
      </c>
      <c r="E970" s="404">
        <v>167915</v>
      </c>
      <c r="F970" s="404">
        <v>7211</v>
      </c>
      <c r="G970" s="404">
        <v>4292</v>
      </c>
      <c r="H970" s="404">
        <v>2404</v>
      </c>
      <c r="I970" s="404">
        <v>6696</v>
      </c>
      <c r="L970" s="350">
        <v>0.315</v>
      </c>
      <c r="M970" s="350">
        <v>3.5000000000000003E-2</v>
      </c>
      <c r="N970" s="351" t="str">
        <f t="shared" si="31"/>
        <v>10300024</v>
      </c>
      <c r="P970" s="351" t="str">
        <f t="shared" si="30"/>
        <v>T</v>
      </c>
    </row>
    <row r="971" spans="1:16">
      <c r="A971" s="401" t="s">
        <v>74</v>
      </c>
      <c r="B971" s="404">
        <v>104000</v>
      </c>
      <c r="C971" s="405">
        <v>4</v>
      </c>
      <c r="D971" s="404">
        <v>10922</v>
      </c>
      <c r="E971" s="404">
        <v>114922</v>
      </c>
      <c r="F971" s="404">
        <v>1214</v>
      </c>
      <c r="G971" s="404">
        <v>26000</v>
      </c>
      <c r="H971" s="404">
        <v>2427</v>
      </c>
      <c r="I971" s="404">
        <v>28427</v>
      </c>
      <c r="L971" s="350">
        <v>0.315</v>
      </c>
      <c r="M971" s="350">
        <v>3.5000000000000003E-2</v>
      </c>
      <c r="N971" s="351" t="str">
        <f t="shared" si="31"/>
        <v>1040004</v>
      </c>
      <c r="P971" s="351" t="str">
        <f t="shared" si="30"/>
        <v>T</v>
      </c>
    </row>
    <row r="972" spans="1:16">
      <c r="A972" s="401" t="s">
        <v>74</v>
      </c>
      <c r="B972" s="404">
        <v>104000</v>
      </c>
      <c r="C972" s="405">
        <v>6</v>
      </c>
      <c r="D972" s="404">
        <v>16387</v>
      </c>
      <c r="E972" s="404">
        <v>120387</v>
      </c>
      <c r="F972" s="404">
        <v>1821</v>
      </c>
      <c r="G972" s="404">
        <v>17334</v>
      </c>
      <c r="H972" s="404">
        <v>2427</v>
      </c>
      <c r="I972" s="404">
        <v>19761</v>
      </c>
      <c r="L972" s="350">
        <v>0.315</v>
      </c>
      <c r="M972" s="350">
        <v>3.5000000000000003E-2</v>
      </c>
      <c r="N972" s="351" t="str">
        <f t="shared" si="31"/>
        <v>1040006</v>
      </c>
      <c r="P972" s="351" t="str">
        <f t="shared" si="30"/>
        <v>T</v>
      </c>
    </row>
    <row r="973" spans="1:16">
      <c r="A973" s="401" t="s">
        <v>74</v>
      </c>
      <c r="B973" s="404">
        <v>104000</v>
      </c>
      <c r="C973" s="405">
        <v>8</v>
      </c>
      <c r="D973" s="404">
        <v>21843</v>
      </c>
      <c r="E973" s="404">
        <v>125843</v>
      </c>
      <c r="F973" s="404">
        <v>2427</v>
      </c>
      <c r="G973" s="404">
        <v>13000</v>
      </c>
      <c r="H973" s="404">
        <v>2427</v>
      </c>
      <c r="I973" s="404">
        <v>15427</v>
      </c>
      <c r="L973" s="350">
        <v>0.315</v>
      </c>
      <c r="M973" s="350">
        <v>3.5000000000000003E-2</v>
      </c>
      <c r="N973" s="351" t="str">
        <f t="shared" si="31"/>
        <v>1040008</v>
      </c>
      <c r="P973" s="351" t="str">
        <f t="shared" si="30"/>
        <v>T</v>
      </c>
    </row>
    <row r="974" spans="1:16">
      <c r="A974" s="401" t="s">
        <v>74</v>
      </c>
      <c r="B974" s="404">
        <v>104000</v>
      </c>
      <c r="C974" s="405">
        <v>10</v>
      </c>
      <c r="D974" s="404">
        <v>27304</v>
      </c>
      <c r="E974" s="404">
        <v>131304</v>
      </c>
      <c r="F974" s="404">
        <v>3034</v>
      </c>
      <c r="G974" s="404">
        <v>10400</v>
      </c>
      <c r="H974" s="404">
        <v>2427</v>
      </c>
      <c r="I974" s="404">
        <v>12827</v>
      </c>
      <c r="L974" s="350">
        <v>0.315</v>
      </c>
      <c r="M974" s="350">
        <v>3.5000000000000003E-2</v>
      </c>
      <c r="N974" s="351" t="str">
        <f t="shared" si="31"/>
        <v>10400010</v>
      </c>
      <c r="P974" s="351" t="str">
        <f t="shared" si="30"/>
        <v>T</v>
      </c>
    </row>
    <row r="975" spans="1:16">
      <c r="A975" s="401" t="s">
        <v>74</v>
      </c>
      <c r="B975" s="404">
        <v>104000</v>
      </c>
      <c r="C975" s="405">
        <v>12</v>
      </c>
      <c r="D975" s="404">
        <v>32769</v>
      </c>
      <c r="E975" s="404">
        <v>136769</v>
      </c>
      <c r="F975" s="404">
        <v>3641</v>
      </c>
      <c r="G975" s="404">
        <v>8667</v>
      </c>
      <c r="H975" s="404">
        <v>2427</v>
      </c>
      <c r="I975" s="404">
        <v>11094</v>
      </c>
      <c r="L975" s="350">
        <v>0.315</v>
      </c>
      <c r="M975" s="350">
        <v>3.5000000000000003E-2</v>
      </c>
      <c r="N975" s="351" t="str">
        <f t="shared" si="31"/>
        <v>10400012</v>
      </c>
      <c r="P975" s="351" t="str">
        <f t="shared" si="30"/>
        <v>T</v>
      </c>
    </row>
    <row r="976" spans="1:16">
      <c r="A976" s="401" t="s">
        <v>74</v>
      </c>
      <c r="B976" s="404">
        <v>104000</v>
      </c>
      <c r="C976" s="405">
        <v>14</v>
      </c>
      <c r="D976" s="404">
        <v>38231</v>
      </c>
      <c r="E976" s="404">
        <v>142231</v>
      </c>
      <c r="F976" s="404">
        <v>4247</v>
      </c>
      <c r="G976" s="404">
        <v>7429</v>
      </c>
      <c r="H976" s="404">
        <v>2427</v>
      </c>
      <c r="I976" s="404">
        <v>9856</v>
      </c>
      <c r="L976" s="350">
        <v>0.315</v>
      </c>
      <c r="M976" s="350">
        <v>3.5000000000000003E-2</v>
      </c>
      <c r="N976" s="351" t="str">
        <f t="shared" si="31"/>
        <v>10400014</v>
      </c>
      <c r="P976" s="351" t="str">
        <f t="shared" si="30"/>
        <v>T</v>
      </c>
    </row>
    <row r="977" spans="1:16">
      <c r="A977" s="401" t="s">
        <v>74</v>
      </c>
      <c r="B977" s="404">
        <v>104000</v>
      </c>
      <c r="C977" s="405">
        <v>16</v>
      </c>
      <c r="D977" s="404">
        <v>43686</v>
      </c>
      <c r="E977" s="404">
        <v>147686</v>
      </c>
      <c r="F977" s="404">
        <v>4854</v>
      </c>
      <c r="G977" s="404">
        <v>6500</v>
      </c>
      <c r="H977" s="404">
        <v>2427</v>
      </c>
      <c r="I977" s="404">
        <v>8927</v>
      </c>
      <c r="L977" s="350">
        <v>0.315</v>
      </c>
      <c r="M977" s="350">
        <v>3.5000000000000003E-2</v>
      </c>
      <c r="N977" s="351" t="str">
        <f t="shared" si="31"/>
        <v>10400016</v>
      </c>
      <c r="P977" s="351" t="str">
        <f t="shared" ref="P977:P1040" si="32">IF((E977-F977)/C977=I977,"T","F")</f>
        <v>T</v>
      </c>
    </row>
    <row r="978" spans="1:16">
      <c r="A978" s="401" t="s">
        <v>74</v>
      </c>
      <c r="B978" s="404">
        <v>104000</v>
      </c>
      <c r="C978" s="405">
        <v>18</v>
      </c>
      <c r="D978" s="404">
        <v>49151</v>
      </c>
      <c r="E978" s="404">
        <v>153151</v>
      </c>
      <c r="F978" s="404">
        <v>5461</v>
      </c>
      <c r="G978" s="404">
        <v>5778</v>
      </c>
      <c r="H978" s="404">
        <v>2427</v>
      </c>
      <c r="I978" s="404">
        <v>8205</v>
      </c>
      <c r="L978" s="350">
        <v>0.315</v>
      </c>
      <c r="M978" s="350">
        <v>3.5000000000000003E-2</v>
      </c>
      <c r="N978" s="351" t="str">
        <f t="shared" si="31"/>
        <v>10400018</v>
      </c>
      <c r="P978" s="351" t="str">
        <f t="shared" si="32"/>
        <v>T</v>
      </c>
    </row>
    <row r="979" spans="1:16">
      <c r="A979" s="401" t="s">
        <v>74</v>
      </c>
      <c r="B979" s="404">
        <v>104000</v>
      </c>
      <c r="C979" s="405">
        <v>20</v>
      </c>
      <c r="D979" s="404">
        <v>54607</v>
      </c>
      <c r="E979" s="404">
        <v>158607</v>
      </c>
      <c r="F979" s="404">
        <v>6067</v>
      </c>
      <c r="G979" s="404">
        <v>5200</v>
      </c>
      <c r="H979" s="404">
        <v>2427</v>
      </c>
      <c r="I979" s="404">
        <v>7627</v>
      </c>
      <c r="L979" s="350">
        <v>0.315</v>
      </c>
      <c r="M979" s="350">
        <v>3.5000000000000003E-2</v>
      </c>
      <c r="N979" s="351" t="str">
        <f t="shared" si="31"/>
        <v>10400020</v>
      </c>
      <c r="P979" s="351" t="str">
        <f t="shared" si="32"/>
        <v>T</v>
      </c>
    </row>
    <row r="980" spans="1:16">
      <c r="A980" s="401" t="s">
        <v>74</v>
      </c>
      <c r="B980" s="404">
        <v>104000</v>
      </c>
      <c r="C980" s="405">
        <v>22</v>
      </c>
      <c r="D980" s="404">
        <v>60062</v>
      </c>
      <c r="E980" s="404">
        <v>164062</v>
      </c>
      <c r="F980" s="404">
        <v>6674</v>
      </c>
      <c r="G980" s="404">
        <v>4728</v>
      </c>
      <c r="H980" s="404">
        <v>2426</v>
      </c>
      <c r="I980" s="404">
        <v>7154</v>
      </c>
      <c r="L980" s="350">
        <v>0.315</v>
      </c>
      <c r="M980" s="350">
        <v>3.5000000000000003E-2</v>
      </c>
      <c r="N980" s="351" t="str">
        <f t="shared" si="31"/>
        <v>10400022</v>
      </c>
      <c r="P980" s="351" t="str">
        <f t="shared" si="32"/>
        <v>T</v>
      </c>
    </row>
    <row r="981" spans="1:16">
      <c r="A981" s="401" t="s">
        <v>74</v>
      </c>
      <c r="B981" s="404">
        <v>104000</v>
      </c>
      <c r="C981" s="405">
        <v>24</v>
      </c>
      <c r="D981" s="404">
        <v>65545</v>
      </c>
      <c r="E981" s="404">
        <v>169545</v>
      </c>
      <c r="F981" s="404">
        <v>7281</v>
      </c>
      <c r="G981" s="404">
        <v>4334</v>
      </c>
      <c r="H981" s="404">
        <v>2427</v>
      </c>
      <c r="I981" s="404">
        <v>6761</v>
      </c>
      <c r="L981" s="350">
        <v>0.315</v>
      </c>
      <c r="M981" s="350">
        <v>3.5000000000000003E-2</v>
      </c>
      <c r="N981" s="351" t="str">
        <f t="shared" si="31"/>
        <v>10400024</v>
      </c>
      <c r="P981" s="351" t="str">
        <f t="shared" si="32"/>
        <v>T</v>
      </c>
    </row>
    <row r="982" spans="1:16">
      <c r="A982" s="401" t="s">
        <v>74</v>
      </c>
      <c r="B982" s="404">
        <v>105000</v>
      </c>
      <c r="C982" s="405">
        <v>4</v>
      </c>
      <c r="D982" s="404">
        <v>11030</v>
      </c>
      <c r="E982" s="404">
        <v>116030</v>
      </c>
      <c r="F982" s="404">
        <v>1226</v>
      </c>
      <c r="G982" s="404">
        <v>26250</v>
      </c>
      <c r="H982" s="404">
        <v>2451</v>
      </c>
      <c r="I982" s="404">
        <v>28701</v>
      </c>
      <c r="L982" s="350">
        <v>0.315</v>
      </c>
      <c r="M982" s="350">
        <v>3.5000000000000003E-2</v>
      </c>
      <c r="N982" s="351" t="str">
        <f t="shared" si="31"/>
        <v>1050004</v>
      </c>
      <c r="P982" s="351" t="str">
        <f t="shared" si="32"/>
        <v>T</v>
      </c>
    </row>
    <row r="983" spans="1:16">
      <c r="A983" s="401" t="s">
        <v>74</v>
      </c>
      <c r="B983" s="404">
        <v>105000</v>
      </c>
      <c r="C983" s="405">
        <v>6</v>
      </c>
      <c r="D983" s="404">
        <v>16544</v>
      </c>
      <c r="E983" s="404">
        <v>121544</v>
      </c>
      <c r="F983" s="404">
        <v>1838</v>
      </c>
      <c r="G983" s="404">
        <v>17500</v>
      </c>
      <c r="H983" s="404">
        <v>2451</v>
      </c>
      <c r="I983" s="404">
        <v>19951</v>
      </c>
      <c r="L983" s="350">
        <v>0.315</v>
      </c>
      <c r="M983" s="350">
        <v>3.5000000000000003E-2</v>
      </c>
      <c r="N983" s="351" t="str">
        <f t="shared" si="31"/>
        <v>1050006</v>
      </c>
      <c r="P983" s="351" t="str">
        <f t="shared" si="32"/>
        <v>T</v>
      </c>
    </row>
    <row r="984" spans="1:16">
      <c r="A984" s="401" t="s">
        <v>74</v>
      </c>
      <c r="B984" s="404">
        <v>105000</v>
      </c>
      <c r="C984" s="405">
        <v>8</v>
      </c>
      <c r="D984" s="404">
        <v>22059</v>
      </c>
      <c r="E984" s="404">
        <v>127059</v>
      </c>
      <c r="F984" s="404">
        <v>2451</v>
      </c>
      <c r="G984" s="404">
        <v>13125</v>
      </c>
      <c r="H984" s="404">
        <v>2451</v>
      </c>
      <c r="I984" s="404">
        <v>15576</v>
      </c>
      <c r="L984" s="350">
        <v>0.315</v>
      </c>
      <c r="M984" s="350">
        <v>3.5000000000000003E-2</v>
      </c>
      <c r="N984" s="351" t="str">
        <f t="shared" si="31"/>
        <v>1050008</v>
      </c>
      <c r="P984" s="351" t="str">
        <f t="shared" si="32"/>
        <v>T</v>
      </c>
    </row>
    <row r="985" spans="1:16">
      <c r="A985" s="401" t="s">
        <v>74</v>
      </c>
      <c r="B985" s="404">
        <v>105000</v>
      </c>
      <c r="C985" s="405">
        <v>10</v>
      </c>
      <c r="D985" s="404">
        <v>27573</v>
      </c>
      <c r="E985" s="404">
        <v>132573</v>
      </c>
      <c r="F985" s="404">
        <v>3063</v>
      </c>
      <c r="G985" s="404">
        <v>10500</v>
      </c>
      <c r="H985" s="404">
        <v>2451</v>
      </c>
      <c r="I985" s="404">
        <v>12951</v>
      </c>
      <c r="L985" s="350">
        <v>0.315</v>
      </c>
      <c r="M985" s="350">
        <v>3.5000000000000003E-2</v>
      </c>
      <c r="N985" s="351" t="str">
        <f t="shared" si="31"/>
        <v>10500010</v>
      </c>
      <c r="P985" s="351" t="str">
        <f t="shared" si="32"/>
        <v>T</v>
      </c>
    </row>
    <row r="986" spans="1:16">
      <c r="A986" s="401" t="s">
        <v>74</v>
      </c>
      <c r="B986" s="404">
        <v>105000</v>
      </c>
      <c r="C986" s="405">
        <v>12</v>
      </c>
      <c r="D986" s="404">
        <v>33088</v>
      </c>
      <c r="E986" s="404">
        <v>138088</v>
      </c>
      <c r="F986" s="404">
        <v>3676</v>
      </c>
      <c r="G986" s="404">
        <v>8750</v>
      </c>
      <c r="H986" s="404">
        <v>2451</v>
      </c>
      <c r="I986" s="404">
        <v>11201</v>
      </c>
      <c r="L986" s="350">
        <v>0.315</v>
      </c>
      <c r="M986" s="350">
        <v>3.5000000000000003E-2</v>
      </c>
      <c r="N986" s="351" t="str">
        <f t="shared" si="31"/>
        <v>10500012</v>
      </c>
      <c r="P986" s="351" t="str">
        <f t="shared" si="32"/>
        <v>T</v>
      </c>
    </row>
    <row r="987" spans="1:16">
      <c r="A987" s="401" t="s">
        <v>74</v>
      </c>
      <c r="B987" s="404">
        <v>105000</v>
      </c>
      <c r="C987" s="405">
        <v>14</v>
      </c>
      <c r="D987" s="404">
        <v>38602</v>
      </c>
      <c r="E987" s="404">
        <v>143602</v>
      </c>
      <c r="F987" s="404">
        <v>4288</v>
      </c>
      <c r="G987" s="404">
        <v>7500</v>
      </c>
      <c r="H987" s="404">
        <v>2451</v>
      </c>
      <c r="I987" s="404">
        <v>9951</v>
      </c>
      <c r="L987" s="350">
        <v>0.315</v>
      </c>
      <c r="M987" s="350">
        <v>3.5000000000000003E-2</v>
      </c>
      <c r="N987" s="351" t="str">
        <f t="shared" si="31"/>
        <v>10500014</v>
      </c>
      <c r="P987" s="351" t="str">
        <f t="shared" si="32"/>
        <v>T</v>
      </c>
    </row>
    <row r="988" spans="1:16">
      <c r="A988" s="401" t="s">
        <v>74</v>
      </c>
      <c r="B988" s="404">
        <v>105000</v>
      </c>
      <c r="C988" s="405">
        <v>16</v>
      </c>
      <c r="D988" s="404">
        <v>44109</v>
      </c>
      <c r="E988" s="404">
        <v>149109</v>
      </c>
      <c r="F988" s="404">
        <v>4901</v>
      </c>
      <c r="G988" s="404">
        <v>6563</v>
      </c>
      <c r="H988" s="404">
        <v>2450</v>
      </c>
      <c r="I988" s="404">
        <v>9013</v>
      </c>
      <c r="L988" s="350">
        <v>0.315</v>
      </c>
      <c r="M988" s="350">
        <v>3.5000000000000003E-2</v>
      </c>
      <c r="N988" s="351" t="str">
        <f t="shared" si="31"/>
        <v>10500016</v>
      </c>
      <c r="P988" s="351" t="str">
        <f t="shared" si="32"/>
        <v>T</v>
      </c>
    </row>
    <row r="989" spans="1:16">
      <c r="A989" s="401" t="s">
        <v>74</v>
      </c>
      <c r="B989" s="404">
        <v>105000</v>
      </c>
      <c r="C989" s="405">
        <v>18</v>
      </c>
      <c r="D989" s="404">
        <v>49625</v>
      </c>
      <c r="E989" s="404">
        <v>154625</v>
      </c>
      <c r="F989" s="404">
        <v>5513</v>
      </c>
      <c r="G989" s="404">
        <v>5834</v>
      </c>
      <c r="H989" s="404">
        <v>2450</v>
      </c>
      <c r="I989" s="404">
        <v>8284</v>
      </c>
      <c r="L989" s="350">
        <v>0.315</v>
      </c>
      <c r="M989" s="350">
        <v>3.5000000000000003E-2</v>
      </c>
      <c r="N989" s="351" t="str">
        <f t="shared" si="31"/>
        <v>10500018</v>
      </c>
      <c r="P989" s="351" t="str">
        <f t="shared" si="32"/>
        <v>T</v>
      </c>
    </row>
    <row r="990" spans="1:16">
      <c r="A990" s="401" t="s">
        <v>74</v>
      </c>
      <c r="B990" s="404">
        <v>105000</v>
      </c>
      <c r="C990" s="405">
        <v>20</v>
      </c>
      <c r="D990" s="404">
        <v>55146</v>
      </c>
      <c r="E990" s="404">
        <v>160146</v>
      </c>
      <c r="F990" s="404">
        <v>6126</v>
      </c>
      <c r="G990" s="404">
        <v>5250</v>
      </c>
      <c r="H990" s="404">
        <v>2451</v>
      </c>
      <c r="I990" s="404">
        <v>7701</v>
      </c>
      <c r="L990" s="350">
        <v>0.315</v>
      </c>
      <c r="M990" s="350">
        <v>3.5000000000000003E-2</v>
      </c>
      <c r="N990" s="351" t="str">
        <f t="shared" si="31"/>
        <v>10500020</v>
      </c>
      <c r="P990" s="351" t="str">
        <f t="shared" si="32"/>
        <v>T</v>
      </c>
    </row>
    <row r="991" spans="1:16">
      <c r="A991" s="401" t="s">
        <v>74</v>
      </c>
      <c r="B991" s="404">
        <v>105000</v>
      </c>
      <c r="C991" s="405">
        <v>22</v>
      </c>
      <c r="D991" s="404">
        <v>60644</v>
      </c>
      <c r="E991" s="404">
        <v>165644</v>
      </c>
      <c r="F991" s="404">
        <v>6738</v>
      </c>
      <c r="G991" s="404">
        <v>4773</v>
      </c>
      <c r="H991" s="404">
        <v>2450</v>
      </c>
      <c r="I991" s="404">
        <v>7223</v>
      </c>
      <c r="L991" s="350">
        <v>0.315</v>
      </c>
      <c r="M991" s="350">
        <v>3.5000000000000003E-2</v>
      </c>
      <c r="N991" s="351" t="str">
        <f t="shared" si="31"/>
        <v>10500022</v>
      </c>
      <c r="P991" s="351" t="str">
        <f t="shared" si="32"/>
        <v>T</v>
      </c>
    </row>
    <row r="992" spans="1:16">
      <c r="A992" s="401" t="s">
        <v>74</v>
      </c>
      <c r="B992" s="404">
        <v>105000</v>
      </c>
      <c r="C992" s="405">
        <v>24</v>
      </c>
      <c r="D992" s="404">
        <v>66175</v>
      </c>
      <c r="E992" s="404">
        <v>171175</v>
      </c>
      <c r="F992" s="404">
        <v>7351</v>
      </c>
      <c r="G992" s="404">
        <v>4375</v>
      </c>
      <c r="H992" s="404">
        <v>2451</v>
      </c>
      <c r="I992" s="404">
        <v>6826</v>
      </c>
      <c r="L992" s="350">
        <v>0.315</v>
      </c>
      <c r="M992" s="350">
        <v>3.5000000000000003E-2</v>
      </c>
      <c r="N992" s="351" t="str">
        <f t="shared" si="31"/>
        <v>10500024</v>
      </c>
      <c r="P992" s="351" t="str">
        <f t="shared" si="32"/>
        <v>T</v>
      </c>
    </row>
    <row r="993" spans="1:16">
      <c r="A993" s="401" t="s">
        <v>74</v>
      </c>
      <c r="B993" s="404">
        <v>106000</v>
      </c>
      <c r="C993" s="405">
        <v>4</v>
      </c>
      <c r="D993" s="404">
        <v>11133</v>
      </c>
      <c r="E993" s="404">
        <v>117133</v>
      </c>
      <c r="F993" s="404">
        <v>1237</v>
      </c>
      <c r="G993" s="404">
        <v>26500</v>
      </c>
      <c r="H993" s="404">
        <v>2474</v>
      </c>
      <c r="I993" s="404">
        <v>28974</v>
      </c>
      <c r="L993" s="350">
        <v>0.315</v>
      </c>
      <c r="M993" s="350">
        <v>3.5000000000000003E-2</v>
      </c>
      <c r="N993" s="351" t="str">
        <f t="shared" si="31"/>
        <v>1060004</v>
      </c>
      <c r="P993" s="351" t="str">
        <f t="shared" si="32"/>
        <v>T</v>
      </c>
    </row>
    <row r="994" spans="1:16">
      <c r="A994" s="401" t="s">
        <v>74</v>
      </c>
      <c r="B994" s="404">
        <v>106000</v>
      </c>
      <c r="C994" s="405">
        <v>6</v>
      </c>
      <c r="D994" s="404">
        <v>16702</v>
      </c>
      <c r="E994" s="404">
        <v>122702</v>
      </c>
      <c r="F994" s="404">
        <v>1856</v>
      </c>
      <c r="G994" s="404">
        <v>17667</v>
      </c>
      <c r="H994" s="404">
        <v>2474</v>
      </c>
      <c r="I994" s="404">
        <v>20141</v>
      </c>
      <c r="L994" s="350">
        <v>0.315</v>
      </c>
      <c r="M994" s="350">
        <v>3.5000000000000003E-2</v>
      </c>
      <c r="N994" s="351" t="str">
        <f t="shared" si="31"/>
        <v>1060006</v>
      </c>
      <c r="P994" s="351" t="str">
        <f t="shared" si="32"/>
        <v>T</v>
      </c>
    </row>
    <row r="995" spans="1:16">
      <c r="A995" s="401" t="s">
        <v>74</v>
      </c>
      <c r="B995" s="404">
        <v>106000</v>
      </c>
      <c r="C995" s="405">
        <v>8</v>
      </c>
      <c r="D995" s="404">
        <v>22266</v>
      </c>
      <c r="E995" s="404">
        <v>128266</v>
      </c>
      <c r="F995" s="404">
        <v>2474</v>
      </c>
      <c r="G995" s="404">
        <v>13250</v>
      </c>
      <c r="H995" s="404">
        <v>2474</v>
      </c>
      <c r="I995" s="404">
        <v>15724</v>
      </c>
      <c r="L995" s="350">
        <v>0.315</v>
      </c>
      <c r="M995" s="350">
        <v>3.5000000000000003E-2</v>
      </c>
      <c r="N995" s="351" t="str">
        <f t="shared" si="31"/>
        <v>1060008</v>
      </c>
      <c r="P995" s="351" t="str">
        <f t="shared" si="32"/>
        <v>T</v>
      </c>
    </row>
    <row r="996" spans="1:16">
      <c r="A996" s="401" t="s">
        <v>74</v>
      </c>
      <c r="B996" s="404">
        <v>106000</v>
      </c>
      <c r="C996" s="405">
        <v>10</v>
      </c>
      <c r="D996" s="404">
        <v>27832</v>
      </c>
      <c r="E996" s="404">
        <v>133832</v>
      </c>
      <c r="F996" s="404">
        <v>3092</v>
      </c>
      <c r="G996" s="404">
        <v>10600</v>
      </c>
      <c r="H996" s="404">
        <v>2474</v>
      </c>
      <c r="I996" s="404">
        <v>13074</v>
      </c>
      <c r="L996" s="350">
        <v>0.315</v>
      </c>
      <c r="M996" s="350">
        <v>3.5000000000000003E-2</v>
      </c>
      <c r="N996" s="351" t="str">
        <f t="shared" si="31"/>
        <v>10600010</v>
      </c>
      <c r="P996" s="351" t="str">
        <f t="shared" si="32"/>
        <v>T</v>
      </c>
    </row>
    <row r="997" spans="1:16">
      <c r="A997" s="401" t="s">
        <v>74</v>
      </c>
      <c r="B997" s="404">
        <v>106000</v>
      </c>
      <c r="C997" s="405">
        <v>12</v>
      </c>
      <c r="D997" s="404">
        <v>33395</v>
      </c>
      <c r="E997" s="404">
        <v>139395</v>
      </c>
      <c r="F997" s="404">
        <v>3711</v>
      </c>
      <c r="G997" s="404">
        <v>8834</v>
      </c>
      <c r="H997" s="404">
        <v>2473</v>
      </c>
      <c r="I997" s="404">
        <v>11307</v>
      </c>
      <c r="L997" s="350">
        <v>0.315</v>
      </c>
      <c r="M997" s="350">
        <v>3.5000000000000003E-2</v>
      </c>
      <c r="N997" s="351" t="str">
        <f t="shared" si="31"/>
        <v>10600012</v>
      </c>
      <c r="P997" s="351" t="str">
        <f t="shared" si="32"/>
        <v>T</v>
      </c>
    </row>
    <row r="998" spans="1:16">
      <c r="A998" s="401" t="s">
        <v>74</v>
      </c>
      <c r="B998" s="404">
        <v>106000</v>
      </c>
      <c r="C998" s="405">
        <v>14</v>
      </c>
      <c r="D998" s="404">
        <v>38959</v>
      </c>
      <c r="E998" s="404">
        <v>144959</v>
      </c>
      <c r="F998" s="404">
        <v>4329</v>
      </c>
      <c r="G998" s="404">
        <v>7572</v>
      </c>
      <c r="H998" s="404">
        <v>2473</v>
      </c>
      <c r="I998" s="404">
        <v>10045</v>
      </c>
      <c r="L998" s="350">
        <v>0.315</v>
      </c>
      <c r="M998" s="350">
        <v>3.5000000000000003E-2</v>
      </c>
      <c r="N998" s="351" t="str">
        <f t="shared" si="31"/>
        <v>10600014</v>
      </c>
      <c r="P998" s="351" t="str">
        <f t="shared" si="32"/>
        <v>T</v>
      </c>
    </row>
    <row r="999" spans="1:16">
      <c r="A999" s="401" t="s">
        <v>74</v>
      </c>
      <c r="B999" s="404">
        <v>106000</v>
      </c>
      <c r="C999" s="405">
        <v>16</v>
      </c>
      <c r="D999" s="404">
        <v>44531</v>
      </c>
      <c r="E999" s="404">
        <v>150531</v>
      </c>
      <c r="F999" s="404">
        <v>4947</v>
      </c>
      <c r="G999" s="404">
        <v>6625</v>
      </c>
      <c r="H999" s="404">
        <v>2474</v>
      </c>
      <c r="I999" s="404">
        <v>9099</v>
      </c>
      <c r="L999" s="350">
        <v>0.315</v>
      </c>
      <c r="M999" s="350">
        <v>3.5000000000000003E-2</v>
      </c>
      <c r="N999" s="351" t="str">
        <f t="shared" si="31"/>
        <v>10600016</v>
      </c>
      <c r="P999" s="351" t="str">
        <f t="shared" si="32"/>
        <v>T</v>
      </c>
    </row>
    <row r="1000" spans="1:16">
      <c r="A1000" s="401" t="s">
        <v>74</v>
      </c>
      <c r="B1000" s="404">
        <v>106000</v>
      </c>
      <c r="C1000" s="405">
        <v>18</v>
      </c>
      <c r="D1000" s="404">
        <v>50100</v>
      </c>
      <c r="E1000" s="404">
        <v>156100</v>
      </c>
      <c r="F1000" s="404">
        <v>5566</v>
      </c>
      <c r="G1000" s="404">
        <v>5889</v>
      </c>
      <c r="H1000" s="404">
        <v>2474</v>
      </c>
      <c r="I1000" s="404">
        <v>8363</v>
      </c>
      <c r="L1000" s="350">
        <v>0.315</v>
      </c>
      <c r="M1000" s="350">
        <v>3.5000000000000003E-2</v>
      </c>
      <c r="N1000" s="351" t="str">
        <f t="shared" si="31"/>
        <v>10600018</v>
      </c>
      <c r="P1000" s="351" t="str">
        <f t="shared" si="32"/>
        <v>T</v>
      </c>
    </row>
    <row r="1001" spans="1:16">
      <c r="A1001" s="401" t="s">
        <v>74</v>
      </c>
      <c r="B1001" s="404">
        <v>106000</v>
      </c>
      <c r="C1001" s="405">
        <v>20</v>
      </c>
      <c r="D1001" s="404">
        <v>55664</v>
      </c>
      <c r="E1001" s="404">
        <v>161664</v>
      </c>
      <c r="F1001" s="404">
        <v>6184</v>
      </c>
      <c r="G1001" s="404">
        <v>5300</v>
      </c>
      <c r="H1001" s="404">
        <v>2474</v>
      </c>
      <c r="I1001" s="404">
        <v>7774</v>
      </c>
      <c r="L1001" s="350">
        <v>0.315</v>
      </c>
      <c r="M1001" s="350">
        <v>3.5000000000000003E-2</v>
      </c>
      <c r="N1001" s="351" t="str">
        <f t="shared" si="31"/>
        <v>10600020</v>
      </c>
      <c r="P1001" s="351" t="str">
        <f t="shared" si="32"/>
        <v>T</v>
      </c>
    </row>
    <row r="1002" spans="1:16">
      <c r="A1002" s="401" t="s">
        <v>74</v>
      </c>
      <c r="B1002" s="404">
        <v>106000</v>
      </c>
      <c r="C1002" s="405">
        <v>22</v>
      </c>
      <c r="D1002" s="404">
        <v>61226</v>
      </c>
      <c r="E1002" s="404">
        <v>167226</v>
      </c>
      <c r="F1002" s="404">
        <v>6802</v>
      </c>
      <c r="G1002" s="404">
        <v>4819</v>
      </c>
      <c r="H1002" s="404">
        <v>2473</v>
      </c>
      <c r="I1002" s="404">
        <v>7292</v>
      </c>
      <c r="L1002" s="350">
        <v>0.315</v>
      </c>
      <c r="M1002" s="350">
        <v>3.5000000000000003E-2</v>
      </c>
      <c r="N1002" s="351" t="str">
        <f t="shared" si="31"/>
        <v>10600022</v>
      </c>
      <c r="P1002" s="351" t="str">
        <f t="shared" si="32"/>
        <v>T</v>
      </c>
    </row>
    <row r="1003" spans="1:16">
      <c r="A1003" s="401" t="s">
        <v>74</v>
      </c>
      <c r="B1003" s="404">
        <v>106000</v>
      </c>
      <c r="C1003" s="405">
        <v>24</v>
      </c>
      <c r="D1003" s="404">
        <v>66805</v>
      </c>
      <c r="E1003" s="404">
        <v>172805</v>
      </c>
      <c r="F1003" s="404">
        <v>7421</v>
      </c>
      <c r="G1003" s="404">
        <v>4417</v>
      </c>
      <c r="H1003" s="404">
        <v>2474</v>
      </c>
      <c r="I1003" s="404">
        <v>6891</v>
      </c>
      <c r="L1003" s="350">
        <v>0.315</v>
      </c>
      <c r="M1003" s="350">
        <v>3.5000000000000003E-2</v>
      </c>
      <c r="N1003" s="351" t="str">
        <f t="shared" si="31"/>
        <v>10600024</v>
      </c>
      <c r="P1003" s="351" t="str">
        <f t="shared" si="32"/>
        <v>T</v>
      </c>
    </row>
    <row r="1004" spans="1:16">
      <c r="A1004" s="401" t="s">
        <v>74</v>
      </c>
      <c r="B1004" s="404">
        <v>107000</v>
      </c>
      <c r="C1004" s="405">
        <v>4</v>
      </c>
      <c r="D1004" s="404">
        <v>11237</v>
      </c>
      <c r="E1004" s="404">
        <v>118237</v>
      </c>
      <c r="F1004" s="404">
        <v>1249</v>
      </c>
      <c r="G1004" s="404">
        <v>26750</v>
      </c>
      <c r="H1004" s="404">
        <v>2497</v>
      </c>
      <c r="I1004" s="404">
        <v>29247</v>
      </c>
      <c r="L1004" s="350">
        <v>0.315</v>
      </c>
      <c r="M1004" s="350">
        <v>3.5000000000000003E-2</v>
      </c>
      <c r="N1004" s="351" t="str">
        <f t="shared" si="31"/>
        <v>1070004</v>
      </c>
      <c r="P1004" s="351" t="str">
        <f t="shared" si="32"/>
        <v>T</v>
      </c>
    </row>
    <row r="1005" spans="1:16">
      <c r="A1005" s="401" t="s">
        <v>74</v>
      </c>
      <c r="B1005" s="404">
        <v>107000</v>
      </c>
      <c r="C1005" s="405">
        <v>6</v>
      </c>
      <c r="D1005" s="404">
        <v>16859</v>
      </c>
      <c r="E1005" s="404">
        <v>123859</v>
      </c>
      <c r="F1005" s="404">
        <v>1873</v>
      </c>
      <c r="G1005" s="404">
        <v>17834</v>
      </c>
      <c r="H1005" s="404">
        <v>2497</v>
      </c>
      <c r="I1005" s="404">
        <v>20331</v>
      </c>
      <c r="L1005" s="350">
        <v>0.315</v>
      </c>
      <c r="M1005" s="350">
        <v>3.5000000000000003E-2</v>
      </c>
      <c r="N1005" s="351" t="str">
        <f t="shared" si="31"/>
        <v>1070006</v>
      </c>
      <c r="P1005" s="351" t="str">
        <f t="shared" si="32"/>
        <v>T</v>
      </c>
    </row>
    <row r="1006" spans="1:16">
      <c r="A1006" s="401" t="s">
        <v>74</v>
      </c>
      <c r="B1006" s="404">
        <v>107000</v>
      </c>
      <c r="C1006" s="405">
        <v>8</v>
      </c>
      <c r="D1006" s="404">
        <v>22473</v>
      </c>
      <c r="E1006" s="404">
        <v>129473</v>
      </c>
      <c r="F1006" s="404">
        <v>2497</v>
      </c>
      <c r="G1006" s="404">
        <v>13375</v>
      </c>
      <c r="H1006" s="404">
        <v>2497</v>
      </c>
      <c r="I1006" s="404">
        <v>15872</v>
      </c>
      <c r="L1006" s="350">
        <v>0.315</v>
      </c>
      <c r="M1006" s="350">
        <v>3.5000000000000003E-2</v>
      </c>
      <c r="N1006" s="351" t="str">
        <f t="shared" si="31"/>
        <v>1070008</v>
      </c>
      <c r="P1006" s="351" t="str">
        <f t="shared" si="32"/>
        <v>T</v>
      </c>
    </row>
    <row r="1007" spans="1:16">
      <c r="A1007" s="401" t="s">
        <v>74</v>
      </c>
      <c r="B1007" s="404">
        <v>107000</v>
      </c>
      <c r="C1007" s="405">
        <v>10</v>
      </c>
      <c r="D1007" s="404">
        <v>28091</v>
      </c>
      <c r="E1007" s="404">
        <v>135091</v>
      </c>
      <c r="F1007" s="404">
        <v>3121</v>
      </c>
      <c r="G1007" s="404">
        <v>10700</v>
      </c>
      <c r="H1007" s="404">
        <v>2497</v>
      </c>
      <c r="I1007" s="404">
        <v>13197</v>
      </c>
      <c r="L1007" s="350">
        <v>0.315</v>
      </c>
      <c r="M1007" s="350">
        <v>3.5000000000000003E-2</v>
      </c>
      <c r="N1007" s="351" t="str">
        <f t="shared" si="31"/>
        <v>10700010</v>
      </c>
      <c r="P1007" s="351" t="str">
        <f t="shared" si="32"/>
        <v>T</v>
      </c>
    </row>
    <row r="1008" spans="1:16">
      <c r="A1008" s="401" t="s">
        <v>74</v>
      </c>
      <c r="B1008" s="404">
        <v>107000</v>
      </c>
      <c r="C1008" s="405">
        <v>12</v>
      </c>
      <c r="D1008" s="404">
        <v>33714</v>
      </c>
      <c r="E1008" s="404">
        <v>140714</v>
      </c>
      <c r="F1008" s="404">
        <v>3746</v>
      </c>
      <c r="G1008" s="404">
        <v>8917</v>
      </c>
      <c r="H1008" s="404">
        <v>2497</v>
      </c>
      <c r="I1008" s="404">
        <v>11414</v>
      </c>
      <c r="L1008" s="350">
        <v>0.315</v>
      </c>
      <c r="M1008" s="350">
        <v>3.5000000000000003E-2</v>
      </c>
      <c r="N1008" s="351" t="str">
        <f t="shared" si="31"/>
        <v>10700012</v>
      </c>
      <c r="P1008" s="351" t="str">
        <f t="shared" si="32"/>
        <v>T</v>
      </c>
    </row>
    <row r="1009" spans="1:16">
      <c r="A1009" s="401" t="s">
        <v>74</v>
      </c>
      <c r="B1009" s="404">
        <v>107000</v>
      </c>
      <c r="C1009" s="405">
        <v>14</v>
      </c>
      <c r="D1009" s="404">
        <v>39330</v>
      </c>
      <c r="E1009" s="404">
        <v>146330</v>
      </c>
      <c r="F1009" s="404">
        <v>4370</v>
      </c>
      <c r="G1009" s="404">
        <v>7643</v>
      </c>
      <c r="H1009" s="404">
        <v>2497</v>
      </c>
      <c r="I1009" s="404">
        <v>10140</v>
      </c>
      <c r="L1009" s="350">
        <v>0.315</v>
      </c>
      <c r="M1009" s="350">
        <v>3.5000000000000003E-2</v>
      </c>
      <c r="N1009" s="351" t="str">
        <f t="shared" si="31"/>
        <v>10700014</v>
      </c>
      <c r="P1009" s="351" t="str">
        <f t="shared" si="32"/>
        <v>T</v>
      </c>
    </row>
    <row r="1010" spans="1:16">
      <c r="A1010" s="401" t="s">
        <v>74</v>
      </c>
      <c r="B1010" s="404">
        <v>107000</v>
      </c>
      <c r="C1010" s="405">
        <v>16</v>
      </c>
      <c r="D1010" s="404">
        <v>44954</v>
      </c>
      <c r="E1010" s="404">
        <v>151954</v>
      </c>
      <c r="F1010" s="404">
        <v>4994</v>
      </c>
      <c r="G1010" s="404">
        <v>6688</v>
      </c>
      <c r="H1010" s="404">
        <v>2497</v>
      </c>
      <c r="I1010" s="404">
        <v>9185</v>
      </c>
      <c r="L1010" s="350">
        <v>0.315</v>
      </c>
      <c r="M1010" s="350">
        <v>3.5000000000000003E-2</v>
      </c>
      <c r="N1010" s="351" t="str">
        <f t="shared" si="31"/>
        <v>10700016</v>
      </c>
      <c r="P1010" s="351" t="str">
        <f t="shared" si="32"/>
        <v>T</v>
      </c>
    </row>
    <row r="1011" spans="1:16">
      <c r="A1011" s="401" t="s">
        <v>74</v>
      </c>
      <c r="B1011" s="404">
        <v>107000</v>
      </c>
      <c r="C1011" s="405">
        <v>18</v>
      </c>
      <c r="D1011" s="404">
        <v>50574</v>
      </c>
      <c r="E1011" s="404">
        <v>157574</v>
      </c>
      <c r="F1011" s="404">
        <v>5618</v>
      </c>
      <c r="G1011" s="404">
        <v>5945</v>
      </c>
      <c r="H1011" s="404">
        <v>2497</v>
      </c>
      <c r="I1011" s="404">
        <v>8442</v>
      </c>
      <c r="L1011" s="350">
        <v>0.315</v>
      </c>
      <c r="M1011" s="350">
        <v>3.5000000000000003E-2</v>
      </c>
      <c r="N1011" s="351" t="str">
        <f t="shared" si="31"/>
        <v>10700018</v>
      </c>
      <c r="P1011" s="351" t="str">
        <f t="shared" si="32"/>
        <v>T</v>
      </c>
    </row>
    <row r="1012" spans="1:16">
      <c r="A1012" s="401" t="s">
        <v>74</v>
      </c>
      <c r="B1012" s="404">
        <v>107000</v>
      </c>
      <c r="C1012" s="405">
        <v>20</v>
      </c>
      <c r="D1012" s="404">
        <v>56182</v>
      </c>
      <c r="E1012" s="404">
        <v>163182</v>
      </c>
      <c r="F1012" s="404">
        <v>6242</v>
      </c>
      <c r="G1012" s="404">
        <v>5350</v>
      </c>
      <c r="H1012" s="404">
        <v>2497</v>
      </c>
      <c r="I1012" s="404">
        <v>7847</v>
      </c>
      <c r="L1012" s="350">
        <v>0.315</v>
      </c>
      <c r="M1012" s="350">
        <v>3.5000000000000003E-2</v>
      </c>
      <c r="N1012" s="351" t="str">
        <f t="shared" si="31"/>
        <v>10700020</v>
      </c>
      <c r="P1012" s="351" t="str">
        <f t="shared" si="32"/>
        <v>T</v>
      </c>
    </row>
    <row r="1013" spans="1:16">
      <c r="A1013" s="401" t="s">
        <v>74</v>
      </c>
      <c r="B1013" s="404">
        <v>107000</v>
      </c>
      <c r="C1013" s="405">
        <v>22</v>
      </c>
      <c r="D1013" s="404">
        <v>61808</v>
      </c>
      <c r="E1013" s="404">
        <v>168808</v>
      </c>
      <c r="F1013" s="404">
        <v>6866</v>
      </c>
      <c r="G1013" s="404">
        <v>4864</v>
      </c>
      <c r="H1013" s="404">
        <v>2497</v>
      </c>
      <c r="I1013" s="404">
        <v>7361</v>
      </c>
      <c r="L1013" s="350">
        <v>0.315</v>
      </c>
      <c r="M1013" s="350">
        <v>3.5000000000000003E-2</v>
      </c>
      <c r="N1013" s="351" t="str">
        <f t="shared" si="31"/>
        <v>10700022</v>
      </c>
      <c r="P1013" s="351" t="str">
        <f t="shared" si="32"/>
        <v>T</v>
      </c>
    </row>
    <row r="1014" spans="1:16">
      <c r="A1014" s="401" t="s">
        <v>74</v>
      </c>
      <c r="B1014" s="404">
        <v>107000</v>
      </c>
      <c r="C1014" s="405">
        <v>24</v>
      </c>
      <c r="D1014" s="404">
        <v>67435</v>
      </c>
      <c r="E1014" s="404">
        <v>174435</v>
      </c>
      <c r="F1014" s="404">
        <v>7491</v>
      </c>
      <c r="G1014" s="404">
        <v>4459</v>
      </c>
      <c r="H1014" s="404">
        <v>2497</v>
      </c>
      <c r="I1014" s="404">
        <v>6956</v>
      </c>
      <c r="L1014" s="350">
        <v>0.315</v>
      </c>
      <c r="M1014" s="350">
        <v>3.5000000000000003E-2</v>
      </c>
      <c r="N1014" s="351" t="str">
        <f t="shared" si="31"/>
        <v>10700024</v>
      </c>
      <c r="P1014" s="351" t="str">
        <f t="shared" si="32"/>
        <v>T</v>
      </c>
    </row>
    <row r="1015" spans="1:16">
      <c r="A1015" s="401" t="s">
        <v>74</v>
      </c>
      <c r="B1015" s="404">
        <v>108000</v>
      </c>
      <c r="C1015" s="405">
        <v>4</v>
      </c>
      <c r="D1015" s="404">
        <v>11345</v>
      </c>
      <c r="E1015" s="404">
        <v>119345</v>
      </c>
      <c r="F1015" s="404">
        <v>1261</v>
      </c>
      <c r="G1015" s="404">
        <v>27000</v>
      </c>
      <c r="H1015" s="404">
        <v>2521</v>
      </c>
      <c r="I1015" s="404">
        <v>29521</v>
      </c>
      <c r="L1015" s="350">
        <v>0.315</v>
      </c>
      <c r="M1015" s="350">
        <v>3.5000000000000003E-2</v>
      </c>
      <c r="N1015" s="351" t="str">
        <f t="shared" si="31"/>
        <v>1080004</v>
      </c>
      <c r="P1015" s="351" t="str">
        <f t="shared" si="32"/>
        <v>T</v>
      </c>
    </row>
    <row r="1016" spans="1:16">
      <c r="A1016" s="401" t="s">
        <v>74</v>
      </c>
      <c r="B1016" s="404">
        <v>108000</v>
      </c>
      <c r="C1016" s="405">
        <v>6</v>
      </c>
      <c r="D1016" s="404">
        <v>17017</v>
      </c>
      <c r="E1016" s="404">
        <v>125017</v>
      </c>
      <c r="F1016" s="404">
        <v>1891</v>
      </c>
      <c r="G1016" s="404">
        <v>18000</v>
      </c>
      <c r="H1016" s="404">
        <v>2521</v>
      </c>
      <c r="I1016" s="404">
        <v>20521</v>
      </c>
      <c r="L1016" s="350">
        <v>0.315</v>
      </c>
      <c r="M1016" s="350">
        <v>3.5000000000000003E-2</v>
      </c>
      <c r="N1016" s="351" t="str">
        <f t="shared" si="31"/>
        <v>1080006</v>
      </c>
      <c r="P1016" s="351" t="str">
        <f t="shared" si="32"/>
        <v>T</v>
      </c>
    </row>
    <row r="1017" spans="1:16">
      <c r="A1017" s="401" t="s">
        <v>74</v>
      </c>
      <c r="B1017" s="404">
        <v>108000</v>
      </c>
      <c r="C1017" s="405">
        <v>8</v>
      </c>
      <c r="D1017" s="404">
        <v>22689</v>
      </c>
      <c r="E1017" s="404">
        <v>130689</v>
      </c>
      <c r="F1017" s="404">
        <v>2521</v>
      </c>
      <c r="G1017" s="404">
        <v>13500</v>
      </c>
      <c r="H1017" s="404">
        <v>2521</v>
      </c>
      <c r="I1017" s="404">
        <v>16021</v>
      </c>
      <c r="L1017" s="350">
        <v>0.315</v>
      </c>
      <c r="M1017" s="350">
        <v>3.5000000000000003E-2</v>
      </c>
      <c r="N1017" s="351" t="str">
        <f t="shared" si="31"/>
        <v>1080008</v>
      </c>
      <c r="P1017" s="351" t="str">
        <f t="shared" si="32"/>
        <v>T</v>
      </c>
    </row>
    <row r="1018" spans="1:16">
      <c r="A1018" s="401" t="s">
        <v>74</v>
      </c>
      <c r="B1018" s="404">
        <v>108000</v>
      </c>
      <c r="C1018" s="405">
        <v>10</v>
      </c>
      <c r="D1018" s="404">
        <v>28361</v>
      </c>
      <c r="E1018" s="404">
        <v>136361</v>
      </c>
      <c r="F1018" s="404">
        <v>3151</v>
      </c>
      <c r="G1018" s="404">
        <v>10800</v>
      </c>
      <c r="H1018" s="404">
        <v>2521</v>
      </c>
      <c r="I1018" s="404">
        <v>13321</v>
      </c>
      <c r="L1018" s="350">
        <v>0.315</v>
      </c>
      <c r="M1018" s="350">
        <v>3.5000000000000003E-2</v>
      </c>
      <c r="N1018" s="351" t="str">
        <f t="shared" si="31"/>
        <v>10800010</v>
      </c>
      <c r="P1018" s="351" t="str">
        <f t="shared" si="32"/>
        <v>T</v>
      </c>
    </row>
    <row r="1019" spans="1:16">
      <c r="A1019" s="401" t="s">
        <v>74</v>
      </c>
      <c r="B1019" s="404">
        <v>108000</v>
      </c>
      <c r="C1019" s="405">
        <v>12</v>
      </c>
      <c r="D1019" s="404">
        <v>34033</v>
      </c>
      <c r="E1019" s="404">
        <v>142033</v>
      </c>
      <c r="F1019" s="404">
        <v>3781</v>
      </c>
      <c r="G1019" s="404">
        <v>9000</v>
      </c>
      <c r="H1019" s="404">
        <v>2521</v>
      </c>
      <c r="I1019" s="404">
        <v>11521</v>
      </c>
      <c r="L1019" s="350">
        <v>0.315</v>
      </c>
      <c r="M1019" s="350">
        <v>3.5000000000000003E-2</v>
      </c>
      <c r="N1019" s="351" t="str">
        <f t="shared" si="31"/>
        <v>10800012</v>
      </c>
      <c r="P1019" s="351" t="str">
        <f t="shared" si="32"/>
        <v>T</v>
      </c>
    </row>
    <row r="1020" spans="1:16">
      <c r="A1020" s="401" t="s">
        <v>74</v>
      </c>
      <c r="B1020" s="404">
        <v>108000</v>
      </c>
      <c r="C1020" s="405">
        <v>14</v>
      </c>
      <c r="D1020" s="404">
        <v>39701</v>
      </c>
      <c r="E1020" s="404">
        <v>147701</v>
      </c>
      <c r="F1020" s="404">
        <v>4411</v>
      </c>
      <c r="G1020" s="404">
        <v>7715</v>
      </c>
      <c r="H1020" s="404">
        <v>2520</v>
      </c>
      <c r="I1020" s="404">
        <v>10235</v>
      </c>
      <c r="L1020" s="350">
        <v>0.315</v>
      </c>
      <c r="M1020" s="350">
        <v>3.5000000000000003E-2</v>
      </c>
      <c r="N1020" s="351" t="str">
        <f t="shared" si="31"/>
        <v>10800014</v>
      </c>
      <c r="P1020" s="351" t="str">
        <f t="shared" si="32"/>
        <v>T</v>
      </c>
    </row>
    <row r="1021" spans="1:16">
      <c r="A1021" s="401" t="s">
        <v>74</v>
      </c>
      <c r="B1021" s="404">
        <v>108000</v>
      </c>
      <c r="C1021" s="405">
        <v>16</v>
      </c>
      <c r="D1021" s="404">
        <v>45377</v>
      </c>
      <c r="E1021" s="404">
        <v>153377</v>
      </c>
      <c r="F1021" s="404">
        <v>5041</v>
      </c>
      <c r="G1021" s="404">
        <v>6750</v>
      </c>
      <c r="H1021" s="404">
        <v>2521</v>
      </c>
      <c r="I1021" s="404">
        <v>9271</v>
      </c>
      <c r="L1021" s="350">
        <v>0.315</v>
      </c>
      <c r="M1021" s="350">
        <v>3.5000000000000003E-2</v>
      </c>
      <c r="N1021" s="351" t="str">
        <f t="shared" si="31"/>
        <v>10800016</v>
      </c>
      <c r="P1021" s="351" t="str">
        <f t="shared" si="32"/>
        <v>T</v>
      </c>
    </row>
    <row r="1022" spans="1:16">
      <c r="A1022" s="401" t="s">
        <v>74</v>
      </c>
      <c r="B1022" s="404">
        <v>108000</v>
      </c>
      <c r="C1022" s="405">
        <v>18</v>
      </c>
      <c r="D1022" s="404">
        <v>51049</v>
      </c>
      <c r="E1022" s="404">
        <v>159049</v>
      </c>
      <c r="F1022" s="404">
        <v>5671</v>
      </c>
      <c r="G1022" s="404">
        <v>6000</v>
      </c>
      <c r="H1022" s="404">
        <v>2521</v>
      </c>
      <c r="I1022" s="404">
        <v>8521</v>
      </c>
      <c r="L1022" s="350">
        <v>0.315</v>
      </c>
      <c r="M1022" s="350">
        <v>3.5000000000000003E-2</v>
      </c>
      <c r="N1022" s="351" t="str">
        <f t="shared" si="31"/>
        <v>10800018</v>
      </c>
      <c r="P1022" s="351" t="str">
        <f t="shared" si="32"/>
        <v>T</v>
      </c>
    </row>
    <row r="1023" spans="1:16">
      <c r="A1023" s="401" t="s">
        <v>74</v>
      </c>
      <c r="B1023" s="404">
        <v>108000</v>
      </c>
      <c r="C1023" s="405">
        <v>20</v>
      </c>
      <c r="D1023" s="404">
        <v>56721</v>
      </c>
      <c r="E1023" s="404">
        <v>164721</v>
      </c>
      <c r="F1023" s="404">
        <v>6301</v>
      </c>
      <c r="G1023" s="404">
        <v>5400</v>
      </c>
      <c r="H1023" s="404">
        <v>2521</v>
      </c>
      <c r="I1023" s="404">
        <v>7921</v>
      </c>
      <c r="L1023" s="350">
        <v>0.315</v>
      </c>
      <c r="M1023" s="350">
        <v>3.5000000000000003E-2</v>
      </c>
      <c r="N1023" s="351" t="str">
        <f t="shared" si="31"/>
        <v>10800020</v>
      </c>
      <c r="P1023" s="351" t="str">
        <f t="shared" si="32"/>
        <v>T</v>
      </c>
    </row>
    <row r="1024" spans="1:16">
      <c r="A1024" s="401" t="s">
        <v>74</v>
      </c>
      <c r="B1024" s="404">
        <v>108000</v>
      </c>
      <c r="C1024" s="405">
        <v>22</v>
      </c>
      <c r="D1024" s="404">
        <v>62391</v>
      </c>
      <c r="E1024" s="404">
        <v>170391</v>
      </c>
      <c r="F1024" s="404">
        <v>6931</v>
      </c>
      <c r="G1024" s="404">
        <v>4910</v>
      </c>
      <c r="H1024" s="404">
        <v>2520</v>
      </c>
      <c r="I1024" s="404">
        <v>7430</v>
      </c>
      <c r="L1024" s="350">
        <v>0.315</v>
      </c>
      <c r="M1024" s="350">
        <v>3.5000000000000003E-2</v>
      </c>
      <c r="N1024" s="351" t="str">
        <f t="shared" si="31"/>
        <v>10800022</v>
      </c>
      <c r="P1024" s="351" t="str">
        <f t="shared" si="32"/>
        <v>T</v>
      </c>
    </row>
    <row r="1025" spans="1:16">
      <c r="A1025" s="401" t="s">
        <v>74</v>
      </c>
      <c r="B1025" s="404">
        <v>108000</v>
      </c>
      <c r="C1025" s="405">
        <v>24</v>
      </c>
      <c r="D1025" s="404">
        <v>68065</v>
      </c>
      <c r="E1025" s="404">
        <v>176065</v>
      </c>
      <c r="F1025" s="404">
        <v>7561</v>
      </c>
      <c r="G1025" s="404">
        <v>4500</v>
      </c>
      <c r="H1025" s="404">
        <v>2521</v>
      </c>
      <c r="I1025" s="404">
        <v>7021</v>
      </c>
      <c r="L1025" s="350">
        <v>0.315</v>
      </c>
      <c r="M1025" s="350">
        <v>3.5000000000000003E-2</v>
      </c>
      <c r="N1025" s="351" t="str">
        <f t="shared" si="31"/>
        <v>10800024</v>
      </c>
      <c r="P1025" s="351" t="str">
        <f t="shared" si="32"/>
        <v>T</v>
      </c>
    </row>
    <row r="1026" spans="1:16">
      <c r="A1026" s="401" t="s">
        <v>74</v>
      </c>
      <c r="B1026" s="404">
        <v>109000</v>
      </c>
      <c r="C1026" s="405">
        <v>4</v>
      </c>
      <c r="D1026" s="404">
        <v>11448</v>
      </c>
      <c r="E1026" s="404">
        <v>120448</v>
      </c>
      <c r="F1026" s="404">
        <v>1272</v>
      </c>
      <c r="G1026" s="404">
        <v>27250</v>
      </c>
      <c r="H1026" s="404">
        <v>2544</v>
      </c>
      <c r="I1026" s="404">
        <v>29794</v>
      </c>
      <c r="L1026" s="350">
        <v>0.315</v>
      </c>
      <c r="M1026" s="350">
        <v>3.5000000000000003E-2</v>
      </c>
      <c r="N1026" s="351" t="str">
        <f t="shared" si="31"/>
        <v>1090004</v>
      </c>
      <c r="P1026" s="351" t="str">
        <f t="shared" si="32"/>
        <v>T</v>
      </c>
    </row>
    <row r="1027" spans="1:16">
      <c r="A1027" s="401" t="s">
        <v>74</v>
      </c>
      <c r="B1027" s="404">
        <v>109000</v>
      </c>
      <c r="C1027" s="405">
        <v>6</v>
      </c>
      <c r="D1027" s="404">
        <v>17174</v>
      </c>
      <c r="E1027" s="404">
        <v>126174</v>
      </c>
      <c r="F1027" s="404">
        <v>1908</v>
      </c>
      <c r="G1027" s="404">
        <v>18167</v>
      </c>
      <c r="H1027" s="404">
        <v>2544</v>
      </c>
      <c r="I1027" s="404">
        <v>20711</v>
      </c>
      <c r="L1027" s="350">
        <v>0.315</v>
      </c>
      <c r="M1027" s="350">
        <v>3.5000000000000003E-2</v>
      </c>
      <c r="N1027" s="351" t="str">
        <f t="shared" si="31"/>
        <v>1090006</v>
      </c>
      <c r="P1027" s="351" t="str">
        <f t="shared" si="32"/>
        <v>T</v>
      </c>
    </row>
    <row r="1028" spans="1:16">
      <c r="A1028" s="401" t="s">
        <v>74</v>
      </c>
      <c r="B1028" s="404">
        <v>109000</v>
      </c>
      <c r="C1028" s="405">
        <v>8</v>
      </c>
      <c r="D1028" s="404">
        <v>22896</v>
      </c>
      <c r="E1028" s="404">
        <v>131896</v>
      </c>
      <c r="F1028" s="404">
        <v>2544</v>
      </c>
      <c r="G1028" s="404">
        <v>13625</v>
      </c>
      <c r="H1028" s="404">
        <v>2544</v>
      </c>
      <c r="I1028" s="404">
        <v>16169</v>
      </c>
      <c r="L1028" s="350">
        <v>0.315</v>
      </c>
      <c r="M1028" s="350">
        <v>3.5000000000000003E-2</v>
      </c>
      <c r="N1028" s="351" t="str">
        <f t="shared" si="31"/>
        <v>1090008</v>
      </c>
      <c r="P1028" s="351" t="str">
        <f t="shared" si="32"/>
        <v>T</v>
      </c>
    </row>
    <row r="1029" spans="1:16">
      <c r="A1029" s="401" t="s">
        <v>74</v>
      </c>
      <c r="B1029" s="404">
        <v>109000</v>
      </c>
      <c r="C1029" s="405">
        <v>10</v>
      </c>
      <c r="D1029" s="404">
        <v>28620</v>
      </c>
      <c r="E1029" s="404">
        <v>137620</v>
      </c>
      <c r="F1029" s="404">
        <v>3180</v>
      </c>
      <c r="G1029" s="404">
        <v>10900</v>
      </c>
      <c r="H1029" s="404">
        <v>2544</v>
      </c>
      <c r="I1029" s="404">
        <v>13444</v>
      </c>
      <c r="L1029" s="350">
        <v>0.315</v>
      </c>
      <c r="M1029" s="350">
        <v>3.5000000000000003E-2</v>
      </c>
      <c r="N1029" s="351" t="str">
        <f t="shared" ref="N1029:N1092" si="33">CONCATENATE(B1029,C1029)</f>
        <v>10900010</v>
      </c>
      <c r="P1029" s="351" t="str">
        <f t="shared" si="32"/>
        <v>T</v>
      </c>
    </row>
    <row r="1030" spans="1:16">
      <c r="A1030" s="401" t="s">
        <v>74</v>
      </c>
      <c r="B1030" s="404">
        <v>109000</v>
      </c>
      <c r="C1030" s="405">
        <v>12</v>
      </c>
      <c r="D1030" s="404">
        <v>34340</v>
      </c>
      <c r="E1030" s="404">
        <v>143340</v>
      </c>
      <c r="F1030" s="404">
        <v>3816</v>
      </c>
      <c r="G1030" s="404">
        <v>9084</v>
      </c>
      <c r="H1030" s="404">
        <v>2543</v>
      </c>
      <c r="I1030" s="404">
        <v>11627</v>
      </c>
      <c r="L1030" s="350">
        <v>0.315</v>
      </c>
      <c r="M1030" s="350">
        <v>3.5000000000000003E-2</v>
      </c>
      <c r="N1030" s="351" t="str">
        <f t="shared" si="33"/>
        <v>10900012</v>
      </c>
      <c r="P1030" s="351" t="str">
        <f t="shared" si="32"/>
        <v>T</v>
      </c>
    </row>
    <row r="1031" spans="1:16">
      <c r="A1031" s="401" t="s">
        <v>74</v>
      </c>
      <c r="B1031" s="404">
        <v>109000</v>
      </c>
      <c r="C1031" s="405">
        <v>14</v>
      </c>
      <c r="D1031" s="404">
        <v>40071</v>
      </c>
      <c r="E1031" s="404">
        <v>149071</v>
      </c>
      <c r="F1031" s="404">
        <v>4451</v>
      </c>
      <c r="G1031" s="404">
        <v>7786</v>
      </c>
      <c r="H1031" s="404">
        <v>2544</v>
      </c>
      <c r="I1031" s="404">
        <v>10330</v>
      </c>
      <c r="L1031" s="350">
        <v>0.315</v>
      </c>
      <c r="M1031" s="350">
        <v>3.5000000000000003E-2</v>
      </c>
      <c r="N1031" s="351" t="str">
        <f t="shared" si="33"/>
        <v>10900014</v>
      </c>
      <c r="P1031" s="351" t="str">
        <f t="shared" si="32"/>
        <v>T</v>
      </c>
    </row>
    <row r="1032" spans="1:16">
      <c r="A1032" s="401" t="s">
        <v>74</v>
      </c>
      <c r="B1032" s="404">
        <v>109000</v>
      </c>
      <c r="C1032" s="405">
        <v>16</v>
      </c>
      <c r="D1032" s="404">
        <v>45783</v>
      </c>
      <c r="E1032" s="404">
        <v>154783</v>
      </c>
      <c r="F1032" s="404">
        <v>5087</v>
      </c>
      <c r="G1032" s="404">
        <v>6813</v>
      </c>
      <c r="H1032" s="404">
        <v>2543</v>
      </c>
      <c r="I1032" s="404">
        <v>9356</v>
      </c>
      <c r="L1032" s="350">
        <v>0.315</v>
      </c>
      <c r="M1032" s="350">
        <v>3.5000000000000003E-2</v>
      </c>
      <c r="N1032" s="351" t="str">
        <f t="shared" si="33"/>
        <v>10900016</v>
      </c>
      <c r="P1032" s="351" t="str">
        <f t="shared" si="32"/>
        <v>T</v>
      </c>
    </row>
    <row r="1033" spans="1:16">
      <c r="A1033" s="401" t="s">
        <v>74</v>
      </c>
      <c r="B1033" s="404">
        <v>109000</v>
      </c>
      <c r="C1033" s="405">
        <v>18</v>
      </c>
      <c r="D1033" s="404">
        <v>51505</v>
      </c>
      <c r="E1033" s="404">
        <v>160505</v>
      </c>
      <c r="F1033" s="404">
        <v>5723</v>
      </c>
      <c r="G1033" s="404">
        <v>6056</v>
      </c>
      <c r="H1033" s="404">
        <v>2543</v>
      </c>
      <c r="I1033" s="404">
        <v>8599</v>
      </c>
      <c r="L1033" s="350">
        <v>0.315</v>
      </c>
      <c r="M1033" s="350">
        <v>3.5000000000000003E-2</v>
      </c>
      <c r="N1033" s="351" t="str">
        <f t="shared" si="33"/>
        <v>10900018</v>
      </c>
      <c r="P1033" s="351" t="str">
        <f t="shared" si="32"/>
        <v>T</v>
      </c>
    </row>
    <row r="1034" spans="1:16">
      <c r="A1034" s="401" t="s">
        <v>74</v>
      </c>
      <c r="B1034" s="404">
        <v>109000</v>
      </c>
      <c r="C1034" s="405">
        <v>20</v>
      </c>
      <c r="D1034" s="404">
        <v>57239</v>
      </c>
      <c r="E1034" s="404">
        <v>166239</v>
      </c>
      <c r="F1034" s="404">
        <v>6359</v>
      </c>
      <c r="G1034" s="404">
        <v>5450</v>
      </c>
      <c r="H1034" s="404">
        <v>2544</v>
      </c>
      <c r="I1034" s="404">
        <v>7994</v>
      </c>
      <c r="L1034" s="350">
        <v>0.315</v>
      </c>
      <c r="M1034" s="350">
        <v>3.5000000000000003E-2</v>
      </c>
      <c r="N1034" s="351" t="str">
        <f t="shared" si="33"/>
        <v>10900020</v>
      </c>
      <c r="P1034" s="351" t="str">
        <f t="shared" si="32"/>
        <v>T</v>
      </c>
    </row>
    <row r="1035" spans="1:16">
      <c r="A1035" s="401" t="s">
        <v>74</v>
      </c>
      <c r="B1035" s="404">
        <v>109000</v>
      </c>
      <c r="C1035" s="405">
        <v>22</v>
      </c>
      <c r="D1035" s="404">
        <v>62951</v>
      </c>
      <c r="E1035" s="404">
        <v>171951</v>
      </c>
      <c r="F1035" s="404">
        <v>6995</v>
      </c>
      <c r="G1035" s="404">
        <v>4955</v>
      </c>
      <c r="H1035" s="404">
        <v>2543</v>
      </c>
      <c r="I1035" s="404">
        <v>7498</v>
      </c>
      <c r="L1035" s="350">
        <v>0.315</v>
      </c>
      <c r="M1035" s="350">
        <v>3.5000000000000003E-2</v>
      </c>
      <c r="N1035" s="351" t="str">
        <f t="shared" si="33"/>
        <v>10900022</v>
      </c>
      <c r="P1035" s="351" t="str">
        <f t="shared" si="32"/>
        <v>T</v>
      </c>
    </row>
    <row r="1036" spans="1:16">
      <c r="A1036" s="401" t="s">
        <v>74</v>
      </c>
      <c r="B1036" s="404">
        <v>109000</v>
      </c>
      <c r="C1036" s="405">
        <v>24</v>
      </c>
      <c r="D1036" s="404">
        <v>68695</v>
      </c>
      <c r="E1036" s="404">
        <v>177695</v>
      </c>
      <c r="F1036" s="404">
        <v>7631</v>
      </c>
      <c r="G1036" s="404">
        <v>4542</v>
      </c>
      <c r="H1036" s="404">
        <v>2544</v>
      </c>
      <c r="I1036" s="404">
        <v>7086</v>
      </c>
      <c r="L1036" s="350">
        <v>0.315</v>
      </c>
      <c r="M1036" s="350">
        <v>3.5000000000000003E-2</v>
      </c>
      <c r="N1036" s="351" t="str">
        <f t="shared" si="33"/>
        <v>10900024</v>
      </c>
      <c r="P1036" s="351" t="str">
        <f t="shared" si="32"/>
        <v>T</v>
      </c>
    </row>
    <row r="1037" spans="1:16">
      <c r="A1037" s="401" t="s">
        <v>74</v>
      </c>
      <c r="B1037" s="404">
        <v>110000</v>
      </c>
      <c r="C1037" s="405">
        <v>4</v>
      </c>
      <c r="D1037" s="404">
        <v>11552</v>
      </c>
      <c r="E1037" s="404">
        <v>121552</v>
      </c>
      <c r="F1037" s="404">
        <v>1284</v>
      </c>
      <c r="G1037" s="404">
        <v>27500</v>
      </c>
      <c r="H1037" s="404">
        <v>2567</v>
      </c>
      <c r="I1037" s="404">
        <v>30067</v>
      </c>
      <c r="L1037" s="350">
        <v>0.315</v>
      </c>
      <c r="M1037" s="350">
        <v>3.5000000000000003E-2</v>
      </c>
      <c r="N1037" s="351" t="str">
        <f t="shared" si="33"/>
        <v>1100004</v>
      </c>
      <c r="P1037" s="351" t="str">
        <f t="shared" si="32"/>
        <v>T</v>
      </c>
    </row>
    <row r="1038" spans="1:16">
      <c r="A1038" s="401" t="s">
        <v>74</v>
      </c>
      <c r="B1038" s="404">
        <v>110000</v>
      </c>
      <c r="C1038" s="405">
        <v>6</v>
      </c>
      <c r="D1038" s="404">
        <v>17332</v>
      </c>
      <c r="E1038" s="404">
        <v>127332</v>
      </c>
      <c r="F1038" s="404">
        <v>1926</v>
      </c>
      <c r="G1038" s="404">
        <v>18334</v>
      </c>
      <c r="H1038" s="404">
        <v>2567</v>
      </c>
      <c r="I1038" s="404">
        <v>20901</v>
      </c>
      <c r="L1038" s="350">
        <v>0.315</v>
      </c>
      <c r="M1038" s="350">
        <v>3.5000000000000003E-2</v>
      </c>
      <c r="N1038" s="351" t="str">
        <f t="shared" si="33"/>
        <v>1100006</v>
      </c>
      <c r="P1038" s="351" t="str">
        <f t="shared" si="32"/>
        <v>T</v>
      </c>
    </row>
    <row r="1039" spans="1:16">
      <c r="A1039" s="401" t="s">
        <v>74</v>
      </c>
      <c r="B1039" s="404">
        <v>110000</v>
      </c>
      <c r="C1039" s="405">
        <v>8</v>
      </c>
      <c r="D1039" s="404">
        <v>23103</v>
      </c>
      <c r="E1039" s="404">
        <v>133103</v>
      </c>
      <c r="F1039" s="404">
        <v>2567</v>
      </c>
      <c r="G1039" s="404">
        <v>13750</v>
      </c>
      <c r="H1039" s="404">
        <v>2567</v>
      </c>
      <c r="I1039" s="404">
        <v>16317</v>
      </c>
      <c r="L1039" s="350">
        <v>0.315</v>
      </c>
      <c r="M1039" s="350">
        <v>3.5000000000000003E-2</v>
      </c>
      <c r="N1039" s="351" t="str">
        <f t="shared" si="33"/>
        <v>1100008</v>
      </c>
      <c r="P1039" s="351" t="str">
        <f t="shared" si="32"/>
        <v>T</v>
      </c>
    </row>
    <row r="1040" spans="1:16">
      <c r="A1040" s="401" t="s">
        <v>74</v>
      </c>
      <c r="B1040" s="404">
        <v>110000</v>
      </c>
      <c r="C1040" s="405">
        <v>10</v>
      </c>
      <c r="D1040" s="404">
        <v>28879</v>
      </c>
      <c r="E1040" s="404">
        <v>138879</v>
      </c>
      <c r="F1040" s="404">
        <v>3209</v>
      </c>
      <c r="G1040" s="404">
        <v>11000</v>
      </c>
      <c r="H1040" s="404">
        <v>2567</v>
      </c>
      <c r="I1040" s="404">
        <v>13567</v>
      </c>
      <c r="L1040" s="350">
        <v>0.315</v>
      </c>
      <c r="M1040" s="350">
        <v>3.5000000000000003E-2</v>
      </c>
      <c r="N1040" s="351" t="str">
        <f t="shared" si="33"/>
        <v>11000010</v>
      </c>
      <c r="P1040" s="351" t="str">
        <f t="shared" si="32"/>
        <v>T</v>
      </c>
    </row>
    <row r="1041" spans="1:16">
      <c r="A1041" s="401" t="s">
        <v>74</v>
      </c>
      <c r="B1041" s="404">
        <v>110000</v>
      </c>
      <c r="C1041" s="405">
        <v>12</v>
      </c>
      <c r="D1041" s="404">
        <v>34659</v>
      </c>
      <c r="E1041" s="404">
        <v>144659</v>
      </c>
      <c r="F1041" s="404">
        <v>3851</v>
      </c>
      <c r="G1041" s="404">
        <v>9167</v>
      </c>
      <c r="H1041" s="404">
        <v>2567</v>
      </c>
      <c r="I1041" s="404">
        <v>11734</v>
      </c>
      <c r="L1041" s="350">
        <v>0.315</v>
      </c>
      <c r="M1041" s="350">
        <v>3.5000000000000003E-2</v>
      </c>
      <c r="N1041" s="351" t="str">
        <f t="shared" si="33"/>
        <v>11000012</v>
      </c>
      <c r="P1041" s="351" t="str">
        <f t="shared" ref="P1041:P1089" si="34">IF((E1041-F1041)/C1041=I1041,"T","F")</f>
        <v>T</v>
      </c>
    </row>
    <row r="1042" spans="1:16">
      <c r="A1042" s="401" t="s">
        <v>74</v>
      </c>
      <c r="B1042" s="404">
        <v>110000</v>
      </c>
      <c r="C1042" s="405">
        <v>14</v>
      </c>
      <c r="D1042" s="404">
        <v>40428</v>
      </c>
      <c r="E1042" s="404">
        <v>150428</v>
      </c>
      <c r="F1042" s="404">
        <v>4492</v>
      </c>
      <c r="G1042" s="404">
        <v>7858</v>
      </c>
      <c r="H1042" s="404">
        <v>2566</v>
      </c>
      <c r="I1042" s="404">
        <v>10424</v>
      </c>
      <c r="L1042" s="350">
        <v>0.315</v>
      </c>
      <c r="M1042" s="350">
        <v>3.5000000000000003E-2</v>
      </c>
      <c r="N1042" s="351" t="str">
        <f t="shared" si="33"/>
        <v>11000014</v>
      </c>
      <c r="P1042" s="351" t="str">
        <f t="shared" si="34"/>
        <v>T</v>
      </c>
    </row>
    <row r="1043" spans="1:16">
      <c r="A1043" s="401" t="s">
        <v>74</v>
      </c>
      <c r="B1043" s="404">
        <v>110000</v>
      </c>
      <c r="C1043" s="405">
        <v>16</v>
      </c>
      <c r="D1043" s="404">
        <v>46206</v>
      </c>
      <c r="E1043" s="404">
        <v>156206</v>
      </c>
      <c r="F1043" s="404">
        <v>5134</v>
      </c>
      <c r="G1043" s="404">
        <v>6875</v>
      </c>
      <c r="H1043" s="404">
        <v>2567</v>
      </c>
      <c r="I1043" s="404">
        <v>9442</v>
      </c>
      <c r="L1043" s="350">
        <v>0.315</v>
      </c>
      <c r="M1043" s="350">
        <v>3.5000000000000003E-2</v>
      </c>
      <c r="N1043" s="351" t="str">
        <f t="shared" si="33"/>
        <v>11000016</v>
      </c>
      <c r="P1043" s="351" t="str">
        <f t="shared" si="34"/>
        <v>T</v>
      </c>
    </row>
    <row r="1044" spans="1:16">
      <c r="A1044" s="401" t="s">
        <v>74</v>
      </c>
      <c r="B1044" s="404">
        <v>110000</v>
      </c>
      <c r="C1044" s="405">
        <v>18</v>
      </c>
      <c r="D1044" s="404">
        <v>51980</v>
      </c>
      <c r="E1044" s="404">
        <v>161980</v>
      </c>
      <c r="F1044" s="404">
        <v>5776</v>
      </c>
      <c r="G1044" s="404">
        <v>6112</v>
      </c>
      <c r="H1044" s="404">
        <v>2566</v>
      </c>
      <c r="I1044" s="404">
        <v>8678</v>
      </c>
      <c r="L1044" s="350">
        <v>0.315</v>
      </c>
      <c r="M1044" s="350">
        <v>3.5000000000000003E-2</v>
      </c>
      <c r="N1044" s="351" t="str">
        <f t="shared" si="33"/>
        <v>11000018</v>
      </c>
      <c r="P1044" s="351" t="str">
        <f t="shared" si="34"/>
        <v>T</v>
      </c>
    </row>
    <row r="1045" spans="1:16">
      <c r="A1045" s="401" t="s">
        <v>74</v>
      </c>
      <c r="B1045" s="404">
        <v>110000</v>
      </c>
      <c r="C1045" s="405">
        <v>20</v>
      </c>
      <c r="D1045" s="404">
        <v>57757</v>
      </c>
      <c r="E1045" s="404">
        <v>167757</v>
      </c>
      <c r="F1045" s="404">
        <v>6417</v>
      </c>
      <c r="G1045" s="404">
        <v>5500</v>
      </c>
      <c r="H1045" s="404">
        <v>2567</v>
      </c>
      <c r="I1045" s="404">
        <v>8067</v>
      </c>
      <c r="L1045" s="350">
        <v>0.315</v>
      </c>
      <c r="M1045" s="350">
        <v>3.5000000000000003E-2</v>
      </c>
      <c r="N1045" s="351" t="str">
        <f t="shared" si="33"/>
        <v>11000020</v>
      </c>
      <c r="P1045" s="351" t="str">
        <f t="shared" si="34"/>
        <v>T</v>
      </c>
    </row>
    <row r="1046" spans="1:16">
      <c r="A1046" s="401" t="s">
        <v>74</v>
      </c>
      <c r="B1046" s="404">
        <v>110000</v>
      </c>
      <c r="C1046" s="405">
        <v>22</v>
      </c>
      <c r="D1046" s="404">
        <v>63533</v>
      </c>
      <c r="E1046" s="404">
        <v>173533</v>
      </c>
      <c r="F1046" s="404">
        <v>7059</v>
      </c>
      <c r="G1046" s="404">
        <v>5000</v>
      </c>
      <c r="H1046" s="404">
        <v>2567</v>
      </c>
      <c r="I1046" s="404">
        <v>7567</v>
      </c>
      <c r="L1046" s="350">
        <v>0.315</v>
      </c>
      <c r="M1046" s="350">
        <v>3.5000000000000003E-2</v>
      </c>
      <c r="N1046" s="351" t="str">
        <f t="shared" si="33"/>
        <v>11000022</v>
      </c>
      <c r="P1046" s="351" t="str">
        <f t="shared" si="34"/>
        <v>T</v>
      </c>
    </row>
    <row r="1047" spans="1:16">
      <c r="A1047" s="401" t="s">
        <v>74</v>
      </c>
      <c r="B1047" s="404">
        <v>110000</v>
      </c>
      <c r="C1047" s="405">
        <v>24</v>
      </c>
      <c r="D1047" s="404">
        <v>69325</v>
      </c>
      <c r="E1047" s="404">
        <v>179325</v>
      </c>
      <c r="F1047" s="404">
        <v>7701</v>
      </c>
      <c r="G1047" s="404">
        <v>4584</v>
      </c>
      <c r="H1047" s="404">
        <v>2567</v>
      </c>
      <c r="I1047" s="404">
        <v>7151</v>
      </c>
      <c r="L1047" s="350">
        <v>0.315</v>
      </c>
      <c r="M1047" s="350">
        <v>3.5000000000000003E-2</v>
      </c>
      <c r="N1047" s="351" t="str">
        <f t="shared" si="33"/>
        <v>11000024</v>
      </c>
      <c r="P1047" s="351" t="str">
        <f t="shared" si="34"/>
        <v>T</v>
      </c>
    </row>
    <row r="1048" spans="1:16">
      <c r="A1048" s="401" t="s">
        <v>74</v>
      </c>
      <c r="B1048" s="404">
        <v>111000</v>
      </c>
      <c r="C1048" s="405">
        <v>4</v>
      </c>
      <c r="D1048" s="404">
        <v>11660</v>
      </c>
      <c r="E1048" s="404">
        <v>122660</v>
      </c>
      <c r="F1048" s="404">
        <v>1296</v>
      </c>
      <c r="G1048" s="404">
        <v>27750</v>
      </c>
      <c r="H1048" s="404">
        <v>2591</v>
      </c>
      <c r="I1048" s="404">
        <v>30341</v>
      </c>
      <c r="L1048" s="350">
        <v>0.315</v>
      </c>
      <c r="M1048" s="350">
        <v>3.5000000000000003E-2</v>
      </c>
      <c r="N1048" s="351" t="str">
        <f t="shared" si="33"/>
        <v>1110004</v>
      </c>
      <c r="P1048" s="351" t="str">
        <f t="shared" si="34"/>
        <v>T</v>
      </c>
    </row>
    <row r="1049" spans="1:16">
      <c r="A1049" s="401" t="s">
        <v>74</v>
      </c>
      <c r="B1049" s="404">
        <v>111000</v>
      </c>
      <c r="C1049" s="405">
        <v>6</v>
      </c>
      <c r="D1049" s="404">
        <v>17489</v>
      </c>
      <c r="E1049" s="404">
        <v>128489</v>
      </c>
      <c r="F1049" s="404">
        <v>1943</v>
      </c>
      <c r="G1049" s="404">
        <v>18500</v>
      </c>
      <c r="H1049" s="404">
        <v>2591</v>
      </c>
      <c r="I1049" s="404">
        <v>21091</v>
      </c>
      <c r="L1049" s="350">
        <v>0.315</v>
      </c>
      <c r="M1049" s="350">
        <v>3.5000000000000003E-2</v>
      </c>
      <c r="N1049" s="351" t="str">
        <f t="shared" si="33"/>
        <v>1110006</v>
      </c>
      <c r="P1049" s="351" t="str">
        <f t="shared" si="34"/>
        <v>T</v>
      </c>
    </row>
    <row r="1050" spans="1:16">
      <c r="A1050" s="401" t="s">
        <v>74</v>
      </c>
      <c r="B1050" s="404">
        <v>111000</v>
      </c>
      <c r="C1050" s="405">
        <v>8</v>
      </c>
      <c r="D1050" s="404">
        <v>23319</v>
      </c>
      <c r="E1050" s="404">
        <v>134319</v>
      </c>
      <c r="F1050" s="404">
        <v>2591</v>
      </c>
      <c r="G1050" s="404">
        <v>13875</v>
      </c>
      <c r="H1050" s="404">
        <v>2591</v>
      </c>
      <c r="I1050" s="404">
        <v>16466</v>
      </c>
      <c r="L1050" s="350">
        <v>0.315</v>
      </c>
      <c r="M1050" s="350">
        <v>3.5000000000000003E-2</v>
      </c>
      <c r="N1050" s="351" t="str">
        <f t="shared" si="33"/>
        <v>1110008</v>
      </c>
      <c r="P1050" s="351" t="str">
        <f t="shared" si="34"/>
        <v>T</v>
      </c>
    </row>
    <row r="1051" spans="1:16">
      <c r="A1051" s="401" t="s">
        <v>74</v>
      </c>
      <c r="B1051" s="404">
        <v>111000</v>
      </c>
      <c r="C1051" s="405">
        <v>10</v>
      </c>
      <c r="D1051" s="404">
        <v>29148</v>
      </c>
      <c r="E1051" s="404">
        <v>140148</v>
      </c>
      <c r="F1051" s="404">
        <v>3238</v>
      </c>
      <c r="G1051" s="404">
        <v>11100</v>
      </c>
      <c r="H1051" s="404">
        <v>2591</v>
      </c>
      <c r="I1051" s="404">
        <v>13691</v>
      </c>
      <c r="L1051" s="350">
        <v>0.315</v>
      </c>
      <c r="M1051" s="350">
        <v>3.5000000000000003E-2</v>
      </c>
      <c r="N1051" s="351" t="str">
        <f t="shared" si="33"/>
        <v>11100010</v>
      </c>
      <c r="P1051" s="351" t="str">
        <f t="shared" si="34"/>
        <v>T</v>
      </c>
    </row>
    <row r="1052" spans="1:16">
      <c r="A1052" s="401" t="s">
        <v>74</v>
      </c>
      <c r="B1052" s="404">
        <v>111000</v>
      </c>
      <c r="C1052" s="405">
        <v>12</v>
      </c>
      <c r="D1052" s="404">
        <v>34978</v>
      </c>
      <c r="E1052" s="404">
        <v>145978</v>
      </c>
      <c r="F1052" s="404">
        <v>3886</v>
      </c>
      <c r="G1052" s="404">
        <v>9250</v>
      </c>
      <c r="H1052" s="404">
        <v>2591</v>
      </c>
      <c r="I1052" s="404">
        <v>11841</v>
      </c>
      <c r="L1052" s="350">
        <v>0.315</v>
      </c>
      <c r="M1052" s="350">
        <v>3.5000000000000003E-2</v>
      </c>
      <c r="N1052" s="351" t="str">
        <f t="shared" si="33"/>
        <v>11100012</v>
      </c>
      <c r="P1052" s="351" t="str">
        <f t="shared" si="34"/>
        <v>T</v>
      </c>
    </row>
    <row r="1053" spans="1:16">
      <c r="A1053" s="401" t="s">
        <v>74</v>
      </c>
      <c r="B1053" s="404">
        <v>111000</v>
      </c>
      <c r="C1053" s="405">
        <v>14</v>
      </c>
      <c r="D1053" s="404">
        <v>40799</v>
      </c>
      <c r="E1053" s="404">
        <v>151799</v>
      </c>
      <c r="F1053" s="404">
        <v>4533</v>
      </c>
      <c r="G1053" s="404">
        <v>7929</v>
      </c>
      <c r="H1053" s="404">
        <v>2590</v>
      </c>
      <c r="I1053" s="404">
        <v>10519</v>
      </c>
      <c r="L1053" s="350">
        <v>0.315</v>
      </c>
      <c r="M1053" s="350">
        <v>3.5000000000000003E-2</v>
      </c>
      <c r="N1053" s="351" t="str">
        <f t="shared" si="33"/>
        <v>11100014</v>
      </c>
      <c r="P1053" s="351" t="str">
        <f t="shared" si="34"/>
        <v>T</v>
      </c>
    </row>
    <row r="1054" spans="1:16">
      <c r="A1054" s="401" t="s">
        <v>74</v>
      </c>
      <c r="B1054" s="404">
        <v>111000</v>
      </c>
      <c r="C1054" s="405">
        <v>16</v>
      </c>
      <c r="D1054" s="404">
        <v>46629</v>
      </c>
      <c r="E1054" s="404">
        <v>157629</v>
      </c>
      <c r="F1054" s="404">
        <v>5181</v>
      </c>
      <c r="G1054" s="404">
        <v>6938</v>
      </c>
      <c r="H1054" s="404">
        <v>2590</v>
      </c>
      <c r="I1054" s="404">
        <v>9528</v>
      </c>
      <c r="L1054" s="350">
        <v>0.315</v>
      </c>
      <c r="M1054" s="350">
        <v>3.5000000000000003E-2</v>
      </c>
      <c r="N1054" s="351" t="str">
        <f t="shared" si="33"/>
        <v>11100016</v>
      </c>
      <c r="P1054" s="351" t="str">
        <f t="shared" si="34"/>
        <v>T</v>
      </c>
    </row>
    <row r="1055" spans="1:16">
      <c r="A1055" s="401" t="s">
        <v>74</v>
      </c>
      <c r="B1055" s="404">
        <v>111000</v>
      </c>
      <c r="C1055" s="405">
        <v>18</v>
      </c>
      <c r="D1055" s="404">
        <v>52454</v>
      </c>
      <c r="E1055" s="404">
        <v>163454</v>
      </c>
      <c r="F1055" s="404">
        <v>5828</v>
      </c>
      <c r="G1055" s="404">
        <v>6167</v>
      </c>
      <c r="H1055" s="404">
        <v>2590</v>
      </c>
      <c r="I1055" s="404">
        <v>8757</v>
      </c>
      <c r="L1055" s="350">
        <v>0.315</v>
      </c>
      <c r="M1055" s="350">
        <v>3.5000000000000003E-2</v>
      </c>
      <c r="N1055" s="351" t="str">
        <f t="shared" si="33"/>
        <v>11100018</v>
      </c>
      <c r="P1055" s="351" t="str">
        <f t="shared" si="34"/>
        <v>T</v>
      </c>
    </row>
    <row r="1056" spans="1:16">
      <c r="A1056" s="401" t="s">
        <v>74</v>
      </c>
      <c r="B1056" s="404">
        <v>111000</v>
      </c>
      <c r="C1056" s="405">
        <v>20</v>
      </c>
      <c r="D1056" s="404">
        <v>58296</v>
      </c>
      <c r="E1056" s="404">
        <v>169296</v>
      </c>
      <c r="F1056" s="404">
        <v>6476</v>
      </c>
      <c r="G1056" s="404">
        <v>5550</v>
      </c>
      <c r="H1056" s="404">
        <v>2591</v>
      </c>
      <c r="I1056" s="404">
        <v>8141</v>
      </c>
      <c r="L1056" s="350">
        <v>0.315</v>
      </c>
      <c r="M1056" s="350">
        <v>3.5000000000000003E-2</v>
      </c>
      <c r="N1056" s="351" t="str">
        <f t="shared" si="33"/>
        <v>11100020</v>
      </c>
      <c r="P1056" s="351" t="str">
        <f t="shared" si="34"/>
        <v>T</v>
      </c>
    </row>
    <row r="1057" spans="1:16">
      <c r="A1057" s="401" t="s">
        <v>74</v>
      </c>
      <c r="B1057" s="404">
        <v>111000</v>
      </c>
      <c r="C1057" s="405">
        <v>22</v>
      </c>
      <c r="D1057" s="404">
        <v>64115</v>
      </c>
      <c r="E1057" s="404">
        <v>175115</v>
      </c>
      <c r="F1057" s="404">
        <v>7123</v>
      </c>
      <c r="G1057" s="404">
        <v>5046</v>
      </c>
      <c r="H1057" s="404">
        <v>2590</v>
      </c>
      <c r="I1057" s="404">
        <v>7636</v>
      </c>
      <c r="L1057" s="350">
        <v>0.315</v>
      </c>
      <c r="M1057" s="350">
        <v>3.5000000000000003E-2</v>
      </c>
      <c r="N1057" s="351" t="str">
        <f t="shared" si="33"/>
        <v>11100022</v>
      </c>
      <c r="P1057" s="351" t="str">
        <f t="shared" si="34"/>
        <v>T</v>
      </c>
    </row>
    <row r="1058" spans="1:16">
      <c r="A1058" s="401" t="s">
        <v>74</v>
      </c>
      <c r="B1058" s="404">
        <v>111000</v>
      </c>
      <c r="C1058" s="405">
        <v>24</v>
      </c>
      <c r="D1058" s="404">
        <v>69955</v>
      </c>
      <c r="E1058" s="404">
        <v>180955</v>
      </c>
      <c r="F1058" s="404">
        <v>7771</v>
      </c>
      <c r="G1058" s="404">
        <v>4625</v>
      </c>
      <c r="H1058" s="404">
        <v>2591</v>
      </c>
      <c r="I1058" s="404">
        <v>7216</v>
      </c>
      <c r="L1058" s="350">
        <v>0.315</v>
      </c>
      <c r="M1058" s="350">
        <v>3.5000000000000003E-2</v>
      </c>
      <c r="N1058" s="351" t="str">
        <f t="shared" si="33"/>
        <v>11100024</v>
      </c>
      <c r="P1058" s="351" t="str">
        <f t="shared" si="34"/>
        <v>T</v>
      </c>
    </row>
    <row r="1059" spans="1:16">
      <c r="A1059" s="401" t="s">
        <v>74</v>
      </c>
      <c r="B1059" s="404">
        <v>112000</v>
      </c>
      <c r="C1059" s="405">
        <v>4</v>
      </c>
      <c r="D1059" s="404">
        <v>11763</v>
      </c>
      <c r="E1059" s="404">
        <v>123763</v>
      </c>
      <c r="F1059" s="404">
        <v>1307</v>
      </c>
      <c r="G1059" s="404">
        <v>28000</v>
      </c>
      <c r="H1059" s="404">
        <v>2614</v>
      </c>
      <c r="I1059" s="404">
        <v>30614</v>
      </c>
      <c r="L1059" s="350">
        <v>0.315</v>
      </c>
      <c r="M1059" s="350">
        <v>3.5000000000000003E-2</v>
      </c>
      <c r="N1059" s="351" t="str">
        <f t="shared" si="33"/>
        <v>1120004</v>
      </c>
      <c r="P1059" s="351" t="str">
        <f t="shared" si="34"/>
        <v>T</v>
      </c>
    </row>
    <row r="1060" spans="1:16">
      <c r="A1060" s="401" t="s">
        <v>74</v>
      </c>
      <c r="B1060" s="404">
        <v>112000</v>
      </c>
      <c r="C1060" s="405">
        <v>6</v>
      </c>
      <c r="D1060" s="404">
        <v>17647</v>
      </c>
      <c r="E1060" s="404">
        <v>129647</v>
      </c>
      <c r="F1060" s="404">
        <v>1961</v>
      </c>
      <c r="G1060" s="404">
        <v>18667</v>
      </c>
      <c r="H1060" s="404">
        <v>2614</v>
      </c>
      <c r="I1060" s="404">
        <v>21281</v>
      </c>
      <c r="L1060" s="350">
        <v>0.315</v>
      </c>
      <c r="M1060" s="350">
        <v>3.5000000000000003E-2</v>
      </c>
      <c r="N1060" s="351" t="str">
        <f t="shared" si="33"/>
        <v>1120006</v>
      </c>
      <c r="P1060" s="351" t="str">
        <f t="shared" si="34"/>
        <v>T</v>
      </c>
    </row>
    <row r="1061" spans="1:16">
      <c r="A1061" s="401" t="s">
        <v>74</v>
      </c>
      <c r="B1061" s="404">
        <v>112000</v>
      </c>
      <c r="C1061" s="405">
        <v>8</v>
      </c>
      <c r="D1061" s="404">
        <v>23526</v>
      </c>
      <c r="E1061" s="404">
        <v>135526</v>
      </c>
      <c r="F1061" s="404">
        <v>2614</v>
      </c>
      <c r="G1061" s="404">
        <v>14000</v>
      </c>
      <c r="H1061" s="404">
        <v>2614</v>
      </c>
      <c r="I1061" s="404">
        <v>16614</v>
      </c>
      <c r="L1061" s="350">
        <v>0.315</v>
      </c>
      <c r="M1061" s="350">
        <v>3.5000000000000003E-2</v>
      </c>
      <c r="N1061" s="351" t="str">
        <f t="shared" si="33"/>
        <v>1120008</v>
      </c>
      <c r="P1061" s="351" t="str">
        <f t="shared" si="34"/>
        <v>T</v>
      </c>
    </row>
    <row r="1062" spans="1:16">
      <c r="A1062" s="401" t="s">
        <v>74</v>
      </c>
      <c r="B1062" s="404">
        <v>112000</v>
      </c>
      <c r="C1062" s="405">
        <v>10</v>
      </c>
      <c r="D1062" s="404">
        <v>29407</v>
      </c>
      <c r="E1062" s="404">
        <v>141407</v>
      </c>
      <c r="F1062" s="404">
        <v>3267</v>
      </c>
      <c r="G1062" s="404">
        <v>11200</v>
      </c>
      <c r="H1062" s="404">
        <v>2614</v>
      </c>
      <c r="I1062" s="404">
        <v>13814</v>
      </c>
      <c r="L1062" s="350">
        <v>0.315</v>
      </c>
      <c r="M1062" s="350">
        <v>3.5000000000000003E-2</v>
      </c>
      <c r="N1062" s="351" t="str">
        <f t="shared" si="33"/>
        <v>11200010</v>
      </c>
      <c r="P1062" s="351" t="str">
        <f t="shared" si="34"/>
        <v>T</v>
      </c>
    </row>
    <row r="1063" spans="1:16">
      <c r="A1063" s="401" t="s">
        <v>74</v>
      </c>
      <c r="B1063" s="404">
        <v>112000</v>
      </c>
      <c r="C1063" s="405">
        <v>12</v>
      </c>
      <c r="D1063" s="404">
        <v>35285</v>
      </c>
      <c r="E1063" s="404">
        <v>147285</v>
      </c>
      <c r="F1063" s="404">
        <v>3921</v>
      </c>
      <c r="G1063" s="404">
        <v>9334</v>
      </c>
      <c r="H1063" s="404">
        <v>2613</v>
      </c>
      <c r="I1063" s="404">
        <v>11947</v>
      </c>
      <c r="L1063" s="350">
        <v>0.315</v>
      </c>
      <c r="M1063" s="350">
        <v>3.5000000000000003E-2</v>
      </c>
      <c r="N1063" s="351" t="str">
        <f t="shared" si="33"/>
        <v>11200012</v>
      </c>
      <c r="P1063" s="351" t="str">
        <f t="shared" si="34"/>
        <v>T</v>
      </c>
    </row>
    <row r="1064" spans="1:16">
      <c r="A1064" s="401" t="s">
        <v>74</v>
      </c>
      <c r="B1064" s="404">
        <v>112000</v>
      </c>
      <c r="C1064" s="405">
        <v>14</v>
      </c>
      <c r="D1064" s="404">
        <v>41170</v>
      </c>
      <c r="E1064" s="404">
        <v>153170</v>
      </c>
      <c r="F1064" s="404">
        <v>4574</v>
      </c>
      <c r="G1064" s="404">
        <v>8000</v>
      </c>
      <c r="H1064" s="404">
        <v>2614</v>
      </c>
      <c r="I1064" s="404">
        <v>10614</v>
      </c>
      <c r="L1064" s="350">
        <v>0.315</v>
      </c>
      <c r="M1064" s="350">
        <v>3.5000000000000003E-2</v>
      </c>
      <c r="N1064" s="351" t="str">
        <f t="shared" si="33"/>
        <v>11200014</v>
      </c>
      <c r="P1064" s="351" t="str">
        <f t="shared" si="34"/>
        <v>T</v>
      </c>
    </row>
    <row r="1065" spans="1:16">
      <c r="A1065" s="401" t="s">
        <v>74</v>
      </c>
      <c r="B1065" s="404">
        <v>112000</v>
      </c>
      <c r="C1065" s="405">
        <v>16</v>
      </c>
      <c r="D1065" s="404">
        <v>47051</v>
      </c>
      <c r="E1065" s="404">
        <v>159051</v>
      </c>
      <c r="F1065" s="404">
        <v>5227</v>
      </c>
      <c r="G1065" s="404">
        <v>7000</v>
      </c>
      <c r="H1065" s="404">
        <v>2614</v>
      </c>
      <c r="I1065" s="404">
        <v>9614</v>
      </c>
      <c r="L1065" s="350">
        <v>0.315</v>
      </c>
      <c r="M1065" s="350">
        <v>3.5000000000000003E-2</v>
      </c>
      <c r="N1065" s="351" t="str">
        <f t="shared" si="33"/>
        <v>11200016</v>
      </c>
      <c r="P1065" s="351" t="str">
        <f t="shared" si="34"/>
        <v>T</v>
      </c>
    </row>
    <row r="1066" spans="1:16">
      <c r="A1066" s="401" t="s">
        <v>74</v>
      </c>
      <c r="B1066" s="404">
        <v>112000</v>
      </c>
      <c r="C1066" s="405">
        <v>18</v>
      </c>
      <c r="D1066" s="404">
        <v>52929</v>
      </c>
      <c r="E1066" s="404">
        <v>164929</v>
      </c>
      <c r="F1066" s="404">
        <v>5881</v>
      </c>
      <c r="G1066" s="404">
        <v>6223</v>
      </c>
      <c r="H1066" s="404">
        <v>2613</v>
      </c>
      <c r="I1066" s="404">
        <v>8836</v>
      </c>
      <c r="L1066" s="350">
        <v>0.315</v>
      </c>
      <c r="M1066" s="350">
        <v>3.5000000000000003E-2</v>
      </c>
      <c r="N1066" s="351" t="str">
        <f t="shared" si="33"/>
        <v>11200018</v>
      </c>
      <c r="P1066" s="351" t="str">
        <f t="shared" si="34"/>
        <v>T</v>
      </c>
    </row>
    <row r="1067" spans="1:16">
      <c r="A1067" s="401" t="s">
        <v>74</v>
      </c>
      <c r="B1067" s="404">
        <v>112000</v>
      </c>
      <c r="C1067" s="405">
        <v>20</v>
      </c>
      <c r="D1067" s="404">
        <v>58814</v>
      </c>
      <c r="E1067" s="404">
        <v>170814</v>
      </c>
      <c r="F1067" s="404">
        <v>6534</v>
      </c>
      <c r="G1067" s="404">
        <v>5600</v>
      </c>
      <c r="H1067" s="404">
        <v>2614</v>
      </c>
      <c r="I1067" s="404">
        <v>8214</v>
      </c>
      <c r="L1067" s="350">
        <v>0.315</v>
      </c>
      <c r="M1067" s="350">
        <v>3.5000000000000003E-2</v>
      </c>
      <c r="N1067" s="351" t="str">
        <f t="shared" si="33"/>
        <v>11200020</v>
      </c>
      <c r="P1067" s="351" t="str">
        <f t="shared" si="34"/>
        <v>T</v>
      </c>
    </row>
    <row r="1068" spans="1:16">
      <c r="A1068" s="401" t="s">
        <v>74</v>
      </c>
      <c r="B1068" s="404">
        <v>112000</v>
      </c>
      <c r="C1068" s="405">
        <v>22</v>
      </c>
      <c r="D1068" s="404">
        <v>64697</v>
      </c>
      <c r="E1068" s="404">
        <v>176697</v>
      </c>
      <c r="F1068" s="404">
        <v>7187</v>
      </c>
      <c r="G1068" s="404">
        <v>5091</v>
      </c>
      <c r="H1068" s="404">
        <v>2614</v>
      </c>
      <c r="I1068" s="404">
        <v>7705</v>
      </c>
      <c r="L1068" s="350">
        <v>0.315</v>
      </c>
      <c r="M1068" s="350">
        <v>3.5000000000000003E-2</v>
      </c>
      <c r="N1068" s="351" t="str">
        <f t="shared" si="33"/>
        <v>11200022</v>
      </c>
      <c r="P1068" s="351" t="str">
        <f t="shared" si="34"/>
        <v>T</v>
      </c>
    </row>
    <row r="1069" spans="1:16">
      <c r="A1069" s="401" t="s">
        <v>74</v>
      </c>
      <c r="B1069" s="404">
        <v>112000</v>
      </c>
      <c r="C1069" s="405">
        <v>24</v>
      </c>
      <c r="D1069" s="404">
        <v>70585</v>
      </c>
      <c r="E1069" s="404">
        <v>182585</v>
      </c>
      <c r="F1069" s="404">
        <v>7841</v>
      </c>
      <c r="G1069" s="404">
        <v>4667</v>
      </c>
      <c r="H1069" s="404">
        <v>2614</v>
      </c>
      <c r="I1069" s="404">
        <v>7281</v>
      </c>
      <c r="L1069" s="350">
        <v>0.315</v>
      </c>
      <c r="M1069" s="350">
        <v>3.5000000000000003E-2</v>
      </c>
      <c r="N1069" s="351" t="str">
        <f t="shared" si="33"/>
        <v>11200024</v>
      </c>
      <c r="P1069" s="351" t="str">
        <f t="shared" si="34"/>
        <v>T</v>
      </c>
    </row>
    <row r="1070" spans="1:16">
      <c r="A1070" s="401" t="s">
        <v>74</v>
      </c>
      <c r="B1070" s="404">
        <v>113000</v>
      </c>
      <c r="C1070" s="405">
        <v>4</v>
      </c>
      <c r="D1070" s="404">
        <v>11867</v>
      </c>
      <c r="E1070" s="404">
        <v>124867</v>
      </c>
      <c r="F1070" s="404">
        <v>1319</v>
      </c>
      <c r="G1070" s="404">
        <v>28250</v>
      </c>
      <c r="H1070" s="404">
        <v>2637</v>
      </c>
      <c r="I1070" s="404">
        <v>30887</v>
      </c>
      <c r="L1070" s="350">
        <v>0.315</v>
      </c>
      <c r="M1070" s="350">
        <v>3.5000000000000003E-2</v>
      </c>
      <c r="N1070" s="351" t="str">
        <f t="shared" si="33"/>
        <v>1130004</v>
      </c>
      <c r="P1070" s="351" t="str">
        <f t="shared" si="34"/>
        <v>T</v>
      </c>
    </row>
    <row r="1071" spans="1:16">
      <c r="A1071" s="401" t="s">
        <v>74</v>
      </c>
      <c r="B1071" s="404">
        <v>113000</v>
      </c>
      <c r="C1071" s="405">
        <v>6</v>
      </c>
      <c r="D1071" s="404">
        <v>17804</v>
      </c>
      <c r="E1071" s="404">
        <v>130804</v>
      </c>
      <c r="F1071" s="404">
        <v>1978</v>
      </c>
      <c r="G1071" s="404">
        <v>18834</v>
      </c>
      <c r="H1071" s="404">
        <v>2637</v>
      </c>
      <c r="I1071" s="404">
        <v>21471</v>
      </c>
      <c r="L1071" s="350">
        <v>0.315</v>
      </c>
      <c r="M1071" s="350">
        <v>3.5000000000000003E-2</v>
      </c>
      <c r="N1071" s="351" t="str">
        <f t="shared" si="33"/>
        <v>1130006</v>
      </c>
      <c r="P1071" s="351" t="str">
        <f t="shared" si="34"/>
        <v>T</v>
      </c>
    </row>
    <row r="1072" spans="1:16">
      <c r="A1072" s="401" t="s">
        <v>74</v>
      </c>
      <c r="B1072" s="404">
        <v>113000</v>
      </c>
      <c r="C1072" s="405">
        <v>8</v>
      </c>
      <c r="D1072" s="404">
        <v>23733</v>
      </c>
      <c r="E1072" s="404">
        <v>136733</v>
      </c>
      <c r="F1072" s="404">
        <v>2637</v>
      </c>
      <c r="G1072" s="404">
        <v>14125</v>
      </c>
      <c r="H1072" s="404">
        <v>2637</v>
      </c>
      <c r="I1072" s="404">
        <v>16762</v>
      </c>
      <c r="L1072" s="350">
        <v>0.315</v>
      </c>
      <c r="M1072" s="350">
        <v>3.5000000000000003E-2</v>
      </c>
      <c r="N1072" s="351" t="str">
        <f t="shared" si="33"/>
        <v>1130008</v>
      </c>
      <c r="P1072" s="351" t="str">
        <f t="shared" si="34"/>
        <v>T</v>
      </c>
    </row>
    <row r="1073" spans="1:16">
      <c r="A1073" s="401" t="s">
        <v>74</v>
      </c>
      <c r="B1073" s="404">
        <v>113000</v>
      </c>
      <c r="C1073" s="405">
        <v>10</v>
      </c>
      <c r="D1073" s="404">
        <v>29666</v>
      </c>
      <c r="E1073" s="404">
        <v>142666</v>
      </c>
      <c r="F1073" s="404">
        <v>3296</v>
      </c>
      <c r="G1073" s="404">
        <v>11300</v>
      </c>
      <c r="H1073" s="404">
        <v>2637</v>
      </c>
      <c r="I1073" s="404">
        <v>13937</v>
      </c>
      <c r="L1073" s="350">
        <v>0.315</v>
      </c>
      <c r="M1073" s="350">
        <v>3.5000000000000003E-2</v>
      </c>
      <c r="N1073" s="351" t="str">
        <f t="shared" si="33"/>
        <v>11300010</v>
      </c>
      <c r="P1073" s="351" t="str">
        <f t="shared" si="34"/>
        <v>T</v>
      </c>
    </row>
    <row r="1074" spans="1:16">
      <c r="A1074" s="401" t="s">
        <v>74</v>
      </c>
      <c r="B1074" s="404">
        <v>113000</v>
      </c>
      <c r="C1074" s="405">
        <v>12</v>
      </c>
      <c r="D1074" s="404">
        <v>35604</v>
      </c>
      <c r="E1074" s="404">
        <v>148604</v>
      </c>
      <c r="F1074" s="404">
        <v>3956</v>
      </c>
      <c r="G1074" s="404">
        <v>9417</v>
      </c>
      <c r="H1074" s="404">
        <v>2637</v>
      </c>
      <c r="I1074" s="404">
        <v>12054</v>
      </c>
      <c r="L1074" s="350">
        <v>0.315</v>
      </c>
      <c r="M1074" s="350">
        <v>3.5000000000000003E-2</v>
      </c>
      <c r="N1074" s="351" t="str">
        <f t="shared" si="33"/>
        <v>11300012</v>
      </c>
      <c r="P1074" s="351" t="str">
        <f t="shared" si="34"/>
        <v>T</v>
      </c>
    </row>
    <row r="1075" spans="1:16">
      <c r="A1075" s="401" t="s">
        <v>74</v>
      </c>
      <c r="B1075" s="404">
        <v>113000</v>
      </c>
      <c r="C1075" s="405">
        <v>14</v>
      </c>
      <c r="D1075" s="404">
        <v>41541</v>
      </c>
      <c r="E1075" s="404">
        <v>154541</v>
      </c>
      <c r="F1075" s="404">
        <v>4615</v>
      </c>
      <c r="G1075" s="404">
        <v>8072</v>
      </c>
      <c r="H1075" s="404">
        <v>2637</v>
      </c>
      <c r="I1075" s="404">
        <v>10709</v>
      </c>
      <c r="L1075" s="350">
        <v>0.315</v>
      </c>
      <c r="M1075" s="350">
        <v>3.5000000000000003E-2</v>
      </c>
      <c r="N1075" s="351" t="str">
        <f t="shared" si="33"/>
        <v>11300014</v>
      </c>
      <c r="P1075" s="351" t="str">
        <f t="shared" si="34"/>
        <v>T</v>
      </c>
    </row>
    <row r="1076" spans="1:16">
      <c r="A1076" s="401" t="s">
        <v>74</v>
      </c>
      <c r="B1076" s="404">
        <v>113000</v>
      </c>
      <c r="C1076" s="405">
        <v>16</v>
      </c>
      <c r="D1076" s="404">
        <v>47474</v>
      </c>
      <c r="E1076" s="404">
        <v>160474</v>
      </c>
      <c r="F1076" s="404">
        <v>5274</v>
      </c>
      <c r="G1076" s="404">
        <v>7063</v>
      </c>
      <c r="H1076" s="404">
        <v>2637</v>
      </c>
      <c r="I1076" s="404">
        <v>9700</v>
      </c>
      <c r="L1076" s="350">
        <v>0.315</v>
      </c>
      <c r="M1076" s="350">
        <v>3.5000000000000003E-2</v>
      </c>
      <c r="N1076" s="351" t="str">
        <f t="shared" si="33"/>
        <v>11300016</v>
      </c>
      <c r="P1076" s="351" t="str">
        <f t="shared" si="34"/>
        <v>T</v>
      </c>
    </row>
    <row r="1077" spans="1:16">
      <c r="A1077" s="401" t="s">
        <v>74</v>
      </c>
      <c r="B1077" s="404">
        <v>113000</v>
      </c>
      <c r="C1077" s="405">
        <v>18</v>
      </c>
      <c r="D1077" s="404">
        <v>53403</v>
      </c>
      <c r="E1077" s="404">
        <v>166403</v>
      </c>
      <c r="F1077" s="404">
        <v>5933</v>
      </c>
      <c r="G1077" s="404">
        <v>6278</v>
      </c>
      <c r="H1077" s="404">
        <v>2637</v>
      </c>
      <c r="I1077" s="404">
        <v>8915</v>
      </c>
      <c r="L1077" s="350">
        <v>0.315</v>
      </c>
      <c r="M1077" s="350">
        <v>3.5000000000000003E-2</v>
      </c>
      <c r="N1077" s="351" t="str">
        <f t="shared" si="33"/>
        <v>11300018</v>
      </c>
      <c r="P1077" s="351" t="str">
        <f t="shared" si="34"/>
        <v>T</v>
      </c>
    </row>
    <row r="1078" spans="1:16">
      <c r="A1078" s="401" t="s">
        <v>74</v>
      </c>
      <c r="B1078" s="404">
        <v>113000</v>
      </c>
      <c r="C1078" s="405">
        <v>20</v>
      </c>
      <c r="D1078" s="404">
        <v>59332</v>
      </c>
      <c r="E1078" s="404">
        <v>172332</v>
      </c>
      <c r="F1078" s="404">
        <v>6592</v>
      </c>
      <c r="G1078" s="404">
        <v>5650</v>
      </c>
      <c r="H1078" s="404">
        <v>2637</v>
      </c>
      <c r="I1078" s="404">
        <v>8287</v>
      </c>
      <c r="L1078" s="350">
        <v>0.315</v>
      </c>
      <c r="M1078" s="350">
        <v>3.5000000000000003E-2</v>
      </c>
      <c r="N1078" s="351" t="str">
        <f t="shared" si="33"/>
        <v>11300020</v>
      </c>
      <c r="P1078" s="351" t="str">
        <f t="shared" si="34"/>
        <v>T</v>
      </c>
    </row>
    <row r="1079" spans="1:16">
      <c r="A1079" s="401" t="s">
        <v>74</v>
      </c>
      <c r="B1079" s="404">
        <v>113000</v>
      </c>
      <c r="C1079" s="405">
        <v>22</v>
      </c>
      <c r="D1079" s="404">
        <v>65279</v>
      </c>
      <c r="E1079" s="404">
        <v>178279</v>
      </c>
      <c r="F1079" s="404">
        <v>7251</v>
      </c>
      <c r="G1079" s="404">
        <v>5137</v>
      </c>
      <c r="H1079" s="404">
        <v>2637</v>
      </c>
      <c r="I1079" s="404">
        <v>7774</v>
      </c>
      <c r="L1079" s="350">
        <v>0.315</v>
      </c>
      <c r="M1079" s="350">
        <v>3.5000000000000003E-2</v>
      </c>
      <c r="N1079" s="351" t="str">
        <f t="shared" si="33"/>
        <v>11300022</v>
      </c>
      <c r="P1079" s="351" t="str">
        <f t="shared" si="34"/>
        <v>T</v>
      </c>
    </row>
    <row r="1080" spans="1:16">
      <c r="A1080" s="401" t="s">
        <v>74</v>
      </c>
      <c r="B1080" s="404">
        <v>113000</v>
      </c>
      <c r="C1080" s="405">
        <v>24</v>
      </c>
      <c r="D1080" s="404">
        <v>71215</v>
      </c>
      <c r="E1080" s="404">
        <v>184215</v>
      </c>
      <c r="F1080" s="404">
        <v>7911</v>
      </c>
      <c r="G1080" s="404">
        <v>4709</v>
      </c>
      <c r="H1080" s="404">
        <v>2637</v>
      </c>
      <c r="I1080" s="404">
        <v>7346</v>
      </c>
      <c r="L1080" s="350">
        <v>0.315</v>
      </c>
      <c r="M1080" s="350">
        <v>3.5000000000000003E-2</v>
      </c>
      <c r="N1080" s="351" t="str">
        <f t="shared" si="33"/>
        <v>11300024</v>
      </c>
      <c r="P1080" s="351" t="str">
        <f t="shared" si="34"/>
        <v>T</v>
      </c>
    </row>
    <row r="1081" spans="1:16">
      <c r="A1081" s="401" t="s">
        <v>74</v>
      </c>
      <c r="B1081" s="404">
        <v>114000</v>
      </c>
      <c r="C1081" s="405">
        <v>4</v>
      </c>
      <c r="D1081" s="404">
        <v>11975</v>
      </c>
      <c r="E1081" s="404">
        <v>125975</v>
      </c>
      <c r="F1081" s="404">
        <v>1331</v>
      </c>
      <c r="G1081" s="404">
        <v>28500</v>
      </c>
      <c r="H1081" s="404">
        <v>2661</v>
      </c>
      <c r="I1081" s="404">
        <v>31161</v>
      </c>
      <c r="L1081" s="350">
        <v>0.315</v>
      </c>
      <c r="M1081" s="350">
        <v>3.5000000000000003E-2</v>
      </c>
      <c r="N1081" s="351" t="str">
        <f t="shared" si="33"/>
        <v>1140004</v>
      </c>
      <c r="P1081" s="351" t="str">
        <f t="shared" si="34"/>
        <v>T</v>
      </c>
    </row>
    <row r="1082" spans="1:16">
      <c r="A1082" s="401" t="s">
        <v>74</v>
      </c>
      <c r="B1082" s="404">
        <v>114000</v>
      </c>
      <c r="C1082" s="405">
        <v>6</v>
      </c>
      <c r="D1082" s="404">
        <v>17962</v>
      </c>
      <c r="E1082" s="404">
        <v>131962</v>
      </c>
      <c r="F1082" s="404">
        <v>1996</v>
      </c>
      <c r="G1082" s="404">
        <v>19000</v>
      </c>
      <c r="H1082" s="404">
        <v>2661</v>
      </c>
      <c r="I1082" s="404">
        <v>21661</v>
      </c>
      <c r="L1082" s="350">
        <v>0.315</v>
      </c>
      <c r="M1082" s="350">
        <v>3.5000000000000003E-2</v>
      </c>
      <c r="N1082" s="351" t="str">
        <f t="shared" si="33"/>
        <v>1140006</v>
      </c>
      <c r="P1082" s="351" t="str">
        <f t="shared" si="34"/>
        <v>T</v>
      </c>
    </row>
    <row r="1083" spans="1:16">
      <c r="A1083" s="401" t="s">
        <v>74</v>
      </c>
      <c r="B1083" s="404">
        <v>114000</v>
      </c>
      <c r="C1083" s="405">
        <v>8</v>
      </c>
      <c r="D1083" s="404">
        <v>23949</v>
      </c>
      <c r="E1083" s="404">
        <v>137949</v>
      </c>
      <c r="F1083" s="404">
        <v>2661</v>
      </c>
      <c r="G1083" s="404">
        <v>14250</v>
      </c>
      <c r="H1083" s="404">
        <v>2661</v>
      </c>
      <c r="I1083" s="404">
        <v>16911</v>
      </c>
      <c r="L1083" s="350">
        <v>0.315</v>
      </c>
      <c r="M1083" s="350">
        <v>3.5000000000000003E-2</v>
      </c>
      <c r="N1083" s="351" t="str">
        <f t="shared" si="33"/>
        <v>1140008</v>
      </c>
      <c r="P1083" s="351" t="str">
        <f t="shared" si="34"/>
        <v>T</v>
      </c>
    </row>
    <row r="1084" spans="1:16">
      <c r="A1084" s="401" t="s">
        <v>74</v>
      </c>
      <c r="B1084" s="404">
        <v>114000</v>
      </c>
      <c r="C1084" s="405">
        <v>10</v>
      </c>
      <c r="D1084" s="404">
        <v>29936</v>
      </c>
      <c r="E1084" s="404">
        <v>143936</v>
      </c>
      <c r="F1084" s="404">
        <v>3326</v>
      </c>
      <c r="G1084" s="404">
        <v>11400</v>
      </c>
      <c r="H1084" s="404">
        <v>2661</v>
      </c>
      <c r="I1084" s="404">
        <v>14061</v>
      </c>
      <c r="L1084" s="350">
        <v>0.315</v>
      </c>
      <c r="M1084" s="350">
        <v>3.5000000000000003E-2</v>
      </c>
      <c r="N1084" s="351" t="str">
        <f t="shared" si="33"/>
        <v>11400010</v>
      </c>
      <c r="P1084" s="351" t="str">
        <f t="shared" si="34"/>
        <v>T</v>
      </c>
    </row>
    <row r="1085" spans="1:16">
      <c r="A1085" s="401" t="s">
        <v>74</v>
      </c>
      <c r="B1085" s="404">
        <v>114000</v>
      </c>
      <c r="C1085" s="405">
        <v>12</v>
      </c>
      <c r="D1085" s="404">
        <v>35923</v>
      </c>
      <c r="E1085" s="404">
        <v>149923</v>
      </c>
      <c r="F1085" s="404">
        <v>3991</v>
      </c>
      <c r="G1085" s="404">
        <v>9500</v>
      </c>
      <c r="H1085" s="404">
        <v>2661</v>
      </c>
      <c r="I1085" s="404">
        <v>12161</v>
      </c>
      <c r="L1085" s="350">
        <v>0.315</v>
      </c>
      <c r="M1085" s="350">
        <v>3.5000000000000003E-2</v>
      </c>
      <c r="N1085" s="351" t="str">
        <f t="shared" si="33"/>
        <v>11400012</v>
      </c>
      <c r="P1085" s="351" t="str">
        <f t="shared" si="34"/>
        <v>T</v>
      </c>
    </row>
    <row r="1086" spans="1:16">
      <c r="A1086" s="401" t="s">
        <v>74</v>
      </c>
      <c r="B1086" s="404">
        <v>114000</v>
      </c>
      <c r="C1086" s="405">
        <v>14</v>
      </c>
      <c r="D1086" s="404">
        <v>41898</v>
      </c>
      <c r="E1086" s="404">
        <v>155898</v>
      </c>
      <c r="F1086" s="404">
        <v>4656</v>
      </c>
      <c r="G1086" s="404">
        <v>8143</v>
      </c>
      <c r="H1086" s="404">
        <v>2660</v>
      </c>
      <c r="I1086" s="404">
        <v>10803</v>
      </c>
      <c r="L1086" s="350">
        <v>0.315</v>
      </c>
      <c r="M1086" s="350">
        <v>3.5000000000000003E-2</v>
      </c>
      <c r="N1086" s="351" t="str">
        <f t="shared" si="33"/>
        <v>11400014</v>
      </c>
      <c r="P1086" s="351" t="str">
        <f t="shared" si="34"/>
        <v>T</v>
      </c>
    </row>
    <row r="1087" spans="1:16">
      <c r="A1087" s="401" t="s">
        <v>74</v>
      </c>
      <c r="B1087" s="404">
        <v>114000</v>
      </c>
      <c r="C1087" s="405">
        <v>16</v>
      </c>
      <c r="D1087" s="404">
        <v>47897</v>
      </c>
      <c r="E1087" s="404">
        <v>161897</v>
      </c>
      <c r="F1087" s="404">
        <v>5321</v>
      </c>
      <c r="G1087" s="404">
        <v>7125</v>
      </c>
      <c r="H1087" s="404">
        <v>2661</v>
      </c>
      <c r="I1087" s="404">
        <v>9786</v>
      </c>
      <c r="L1087" s="350">
        <v>0.315</v>
      </c>
      <c r="M1087" s="350">
        <v>3.5000000000000003E-2</v>
      </c>
      <c r="N1087" s="351" t="str">
        <f t="shared" si="33"/>
        <v>11400016</v>
      </c>
      <c r="P1087" s="351" t="str">
        <f t="shared" si="34"/>
        <v>T</v>
      </c>
    </row>
    <row r="1088" spans="1:16">
      <c r="A1088" s="401" t="s">
        <v>74</v>
      </c>
      <c r="B1088" s="404">
        <v>114000</v>
      </c>
      <c r="C1088" s="405">
        <v>18</v>
      </c>
      <c r="D1088" s="404">
        <v>53878</v>
      </c>
      <c r="E1088" s="404">
        <v>167878</v>
      </c>
      <c r="F1088" s="404">
        <v>5986</v>
      </c>
      <c r="G1088" s="404">
        <v>6334</v>
      </c>
      <c r="H1088" s="404">
        <v>2660</v>
      </c>
      <c r="I1088" s="404">
        <v>8994</v>
      </c>
      <c r="L1088" s="350">
        <v>0.315</v>
      </c>
      <c r="M1088" s="350">
        <v>3.5000000000000003E-2</v>
      </c>
      <c r="N1088" s="351" t="str">
        <f t="shared" si="33"/>
        <v>11400018</v>
      </c>
      <c r="P1088" s="351" t="str">
        <f t="shared" si="34"/>
        <v>T</v>
      </c>
    </row>
    <row r="1089" spans="1:16">
      <c r="A1089" s="401" t="s">
        <v>74</v>
      </c>
      <c r="B1089" s="404">
        <v>114000</v>
      </c>
      <c r="C1089" s="405">
        <v>20</v>
      </c>
      <c r="D1089" s="404">
        <v>59871</v>
      </c>
      <c r="E1089" s="404">
        <v>173871</v>
      </c>
      <c r="F1089" s="404">
        <v>6651</v>
      </c>
      <c r="G1089" s="404">
        <v>5700</v>
      </c>
      <c r="H1089" s="404">
        <v>2661</v>
      </c>
      <c r="I1089" s="404">
        <v>8361</v>
      </c>
      <c r="L1089" s="350">
        <v>0.315</v>
      </c>
      <c r="M1089" s="350">
        <v>3.5000000000000003E-2</v>
      </c>
      <c r="N1089" s="351" t="str">
        <f t="shared" si="33"/>
        <v>11400020</v>
      </c>
      <c r="P1089" s="351" t="str">
        <f t="shared" si="34"/>
        <v>T</v>
      </c>
    </row>
    <row r="1090" spans="1:16">
      <c r="A1090" s="401" t="s">
        <v>74</v>
      </c>
      <c r="B1090" s="404">
        <v>114000</v>
      </c>
      <c r="C1090" s="405">
        <v>22</v>
      </c>
      <c r="D1090" s="404">
        <v>65840</v>
      </c>
      <c r="E1090" s="404">
        <v>179840</v>
      </c>
      <c r="F1090" s="404">
        <v>7316</v>
      </c>
      <c r="G1090" s="404">
        <v>5182</v>
      </c>
      <c r="H1090" s="404">
        <v>2660</v>
      </c>
      <c r="I1090" s="404">
        <v>7842</v>
      </c>
      <c r="L1090" s="350">
        <v>0.315</v>
      </c>
      <c r="M1090" s="350">
        <v>3.5000000000000003E-2</v>
      </c>
      <c r="N1090" s="351" t="str">
        <f t="shared" si="33"/>
        <v>11400022</v>
      </c>
      <c r="P1090" s="351" t="str">
        <f>IF((E1090-F1090)/C1090=I1090,"T","F")</f>
        <v>T</v>
      </c>
    </row>
    <row r="1091" spans="1:16">
      <c r="A1091" s="401" t="s">
        <v>74</v>
      </c>
      <c r="B1091" s="404">
        <v>114000</v>
      </c>
      <c r="C1091" s="405">
        <v>24</v>
      </c>
      <c r="D1091" s="404">
        <v>71845</v>
      </c>
      <c r="E1091" s="404">
        <v>185845</v>
      </c>
      <c r="F1091" s="404">
        <v>7981</v>
      </c>
      <c r="G1091" s="404">
        <v>4750</v>
      </c>
      <c r="H1091" s="404">
        <v>2661</v>
      </c>
      <c r="I1091" s="404">
        <v>7411</v>
      </c>
      <c r="L1091" s="350">
        <v>0.315</v>
      </c>
      <c r="M1091" s="350">
        <v>3.5000000000000003E-2</v>
      </c>
      <c r="N1091" s="351" t="str">
        <f t="shared" si="33"/>
        <v>11400024</v>
      </c>
      <c r="P1091" s="351" t="str">
        <f t="shared" ref="P1091:P1154" si="35">IF((E1091-F1091)/C1091=I1091,"T","F")</f>
        <v>T</v>
      </c>
    </row>
    <row r="1092" spans="1:16">
      <c r="A1092" s="401" t="s">
        <v>74</v>
      </c>
      <c r="B1092" s="404">
        <v>115000</v>
      </c>
      <c r="C1092" s="405">
        <v>4</v>
      </c>
      <c r="D1092" s="404">
        <v>12078</v>
      </c>
      <c r="E1092" s="404">
        <v>127078</v>
      </c>
      <c r="F1092" s="404">
        <v>1342</v>
      </c>
      <c r="G1092" s="404">
        <v>28750</v>
      </c>
      <c r="H1092" s="404">
        <v>2684</v>
      </c>
      <c r="I1092" s="404">
        <v>31434</v>
      </c>
      <c r="L1092" s="350">
        <v>0.315</v>
      </c>
      <c r="M1092" s="350">
        <v>3.5000000000000003E-2</v>
      </c>
      <c r="N1092" s="351" t="str">
        <f t="shared" si="33"/>
        <v>1150004</v>
      </c>
      <c r="P1092" s="351" t="str">
        <f t="shared" si="35"/>
        <v>T</v>
      </c>
    </row>
    <row r="1093" spans="1:16">
      <c r="A1093" s="401" t="s">
        <v>74</v>
      </c>
      <c r="B1093" s="404">
        <v>115000</v>
      </c>
      <c r="C1093" s="405">
        <v>6</v>
      </c>
      <c r="D1093" s="404">
        <v>18119</v>
      </c>
      <c r="E1093" s="404">
        <v>133119</v>
      </c>
      <c r="F1093" s="404">
        <v>2013</v>
      </c>
      <c r="G1093" s="404">
        <v>19167</v>
      </c>
      <c r="H1093" s="404">
        <v>2684</v>
      </c>
      <c r="I1093" s="404">
        <v>21851</v>
      </c>
      <c r="L1093" s="350">
        <v>0.315</v>
      </c>
      <c r="M1093" s="350">
        <v>3.5000000000000003E-2</v>
      </c>
      <c r="N1093" s="351" t="str">
        <f t="shared" ref="N1093:N1156" si="36">CONCATENATE(B1093,C1093)</f>
        <v>1150006</v>
      </c>
      <c r="P1093" s="351" t="str">
        <f t="shared" si="35"/>
        <v>T</v>
      </c>
    </row>
    <row r="1094" spans="1:16">
      <c r="A1094" s="401" t="s">
        <v>74</v>
      </c>
      <c r="B1094" s="404">
        <v>115000</v>
      </c>
      <c r="C1094" s="405">
        <v>8</v>
      </c>
      <c r="D1094" s="404">
        <v>24156</v>
      </c>
      <c r="E1094" s="404">
        <v>139156</v>
      </c>
      <c r="F1094" s="404">
        <v>2684</v>
      </c>
      <c r="G1094" s="404">
        <v>14375</v>
      </c>
      <c r="H1094" s="404">
        <v>2684</v>
      </c>
      <c r="I1094" s="404">
        <v>17059</v>
      </c>
      <c r="L1094" s="350">
        <v>0.315</v>
      </c>
      <c r="M1094" s="350">
        <v>3.5000000000000003E-2</v>
      </c>
      <c r="N1094" s="351" t="str">
        <f t="shared" si="36"/>
        <v>1150008</v>
      </c>
      <c r="P1094" s="351" t="str">
        <f t="shared" si="35"/>
        <v>T</v>
      </c>
    </row>
    <row r="1095" spans="1:16">
      <c r="A1095" s="401" t="s">
        <v>74</v>
      </c>
      <c r="B1095" s="404">
        <v>115000</v>
      </c>
      <c r="C1095" s="405">
        <v>10</v>
      </c>
      <c r="D1095" s="404">
        <v>30195</v>
      </c>
      <c r="E1095" s="404">
        <v>145195</v>
      </c>
      <c r="F1095" s="404">
        <v>3355</v>
      </c>
      <c r="G1095" s="404">
        <v>11500</v>
      </c>
      <c r="H1095" s="404">
        <v>2684</v>
      </c>
      <c r="I1095" s="404">
        <v>14184</v>
      </c>
      <c r="L1095" s="350">
        <v>0.315</v>
      </c>
      <c r="M1095" s="350">
        <v>3.5000000000000003E-2</v>
      </c>
      <c r="N1095" s="351" t="str">
        <f t="shared" si="36"/>
        <v>11500010</v>
      </c>
      <c r="P1095" s="351" t="str">
        <f t="shared" si="35"/>
        <v>T</v>
      </c>
    </row>
    <row r="1096" spans="1:16">
      <c r="A1096" s="401" t="s">
        <v>74</v>
      </c>
      <c r="B1096" s="404">
        <v>115000</v>
      </c>
      <c r="C1096" s="405">
        <v>12</v>
      </c>
      <c r="D1096" s="404">
        <v>36230</v>
      </c>
      <c r="E1096" s="404">
        <v>151230</v>
      </c>
      <c r="F1096" s="404">
        <v>4026</v>
      </c>
      <c r="G1096" s="404">
        <v>9584</v>
      </c>
      <c r="H1096" s="404">
        <v>2683</v>
      </c>
      <c r="I1096" s="404">
        <v>12267</v>
      </c>
      <c r="L1096" s="350">
        <v>0.315</v>
      </c>
      <c r="M1096" s="350">
        <v>3.5000000000000003E-2</v>
      </c>
      <c r="N1096" s="351" t="str">
        <f t="shared" si="36"/>
        <v>11500012</v>
      </c>
      <c r="P1096" s="351" t="str">
        <f t="shared" si="35"/>
        <v>T</v>
      </c>
    </row>
    <row r="1097" spans="1:16">
      <c r="A1097" s="401" t="s">
        <v>74</v>
      </c>
      <c r="B1097" s="404">
        <v>115000</v>
      </c>
      <c r="C1097" s="405">
        <v>14</v>
      </c>
      <c r="D1097" s="404">
        <v>42268</v>
      </c>
      <c r="E1097" s="404">
        <v>157268</v>
      </c>
      <c r="F1097" s="404">
        <v>4696</v>
      </c>
      <c r="G1097" s="404">
        <v>8215</v>
      </c>
      <c r="H1097" s="404">
        <v>2683</v>
      </c>
      <c r="I1097" s="404">
        <v>10898</v>
      </c>
      <c r="L1097" s="350">
        <v>0.315</v>
      </c>
      <c r="M1097" s="350">
        <v>3.5000000000000003E-2</v>
      </c>
      <c r="N1097" s="351" t="str">
        <f t="shared" si="36"/>
        <v>11500014</v>
      </c>
      <c r="P1097" s="351" t="str">
        <f t="shared" si="35"/>
        <v>T</v>
      </c>
    </row>
    <row r="1098" spans="1:16">
      <c r="A1098" s="401" t="s">
        <v>74</v>
      </c>
      <c r="B1098" s="404">
        <v>115000</v>
      </c>
      <c r="C1098" s="405">
        <v>16</v>
      </c>
      <c r="D1098" s="404">
        <v>48303</v>
      </c>
      <c r="E1098" s="404">
        <v>163303</v>
      </c>
      <c r="F1098" s="404">
        <v>5367</v>
      </c>
      <c r="G1098" s="404">
        <v>7188</v>
      </c>
      <c r="H1098" s="404">
        <v>2683</v>
      </c>
      <c r="I1098" s="404">
        <v>9871</v>
      </c>
      <c r="L1098" s="350">
        <v>0.315</v>
      </c>
      <c r="M1098" s="350">
        <v>3.5000000000000003E-2</v>
      </c>
      <c r="N1098" s="351" t="str">
        <f t="shared" si="36"/>
        <v>11500016</v>
      </c>
      <c r="P1098" s="351" t="str">
        <f t="shared" si="35"/>
        <v>T</v>
      </c>
    </row>
    <row r="1099" spans="1:16">
      <c r="A1099" s="401" t="s">
        <v>74</v>
      </c>
      <c r="B1099" s="404">
        <v>115000</v>
      </c>
      <c r="C1099" s="405">
        <v>18</v>
      </c>
      <c r="D1099" s="404">
        <v>54352</v>
      </c>
      <c r="E1099" s="404">
        <v>169352</v>
      </c>
      <c r="F1099" s="404">
        <v>6038</v>
      </c>
      <c r="G1099" s="404">
        <v>6389</v>
      </c>
      <c r="H1099" s="404">
        <v>2684</v>
      </c>
      <c r="I1099" s="404">
        <v>9073</v>
      </c>
      <c r="L1099" s="350">
        <v>0.315</v>
      </c>
      <c r="M1099" s="350">
        <v>3.5000000000000003E-2</v>
      </c>
      <c r="N1099" s="351" t="str">
        <f t="shared" si="36"/>
        <v>11500018</v>
      </c>
      <c r="P1099" s="351" t="str">
        <f t="shared" si="35"/>
        <v>T</v>
      </c>
    </row>
    <row r="1100" spans="1:16">
      <c r="A1100" s="401" t="s">
        <v>74</v>
      </c>
      <c r="B1100" s="404">
        <v>115000</v>
      </c>
      <c r="C1100" s="405">
        <v>20</v>
      </c>
      <c r="D1100" s="404">
        <v>60389</v>
      </c>
      <c r="E1100" s="404">
        <v>175389</v>
      </c>
      <c r="F1100" s="404">
        <v>6709</v>
      </c>
      <c r="G1100" s="404">
        <v>5750</v>
      </c>
      <c r="H1100" s="404">
        <v>2684</v>
      </c>
      <c r="I1100" s="404">
        <v>8434</v>
      </c>
      <c r="L1100" s="350">
        <v>0.315</v>
      </c>
      <c r="M1100" s="350">
        <v>3.5000000000000003E-2</v>
      </c>
      <c r="N1100" s="351" t="str">
        <f t="shared" si="36"/>
        <v>11500020</v>
      </c>
      <c r="P1100" s="351" t="str">
        <f t="shared" si="35"/>
        <v>T</v>
      </c>
    </row>
    <row r="1101" spans="1:16">
      <c r="A1101" s="401" t="s">
        <v>74</v>
      </c>
      <c r="B1101" s="404">
        <v>115000</v>
      </c>
      <c r="C1101" s="405">
        <v>22</v>
      </c>
      <c r="D1101" s="404">
        <v>66422</v>
      </c>
      <c r="E1101" s="404">
        <v>181422</v>
      </c>
      <c r="F1101" s="404">
        <v>7380</v>
      </c>
      <c r="G1101" s="404">
        <v>5228</v>
      </c>
      <c r="H1101" s="404">
        <v>2683</v>
      </c>
      <c r="I1101" s="404">
        <v>7911</v>
      </c>
      <c r="L1101" s="350">
        <v>0.315</v>
      </c>
      <c r="M1101" s="350">
        <v>3.5000000000000003E-2</v>
      </c>
      <c r="N1101" s="351" t="str">
        <f t="shared" si="36"/>
        <v>11500022</v>
      </c>
      <c r="P1101" s="351" t="str">
        <f t="shared" si="35"/>
        <v>T</v>
      </c>
    </row>
    <row r="1102" spans="1:16">
      <c r="A1102" s="401" t="s">
        <v>74</v>
      </c>
      <c r="B1102" s="404">
        <v>115000</v>
      </c>
      <c r="C1102" s="405">
        <v>24</v>
      </c>
      <c r="D1102" s="404">
        <v>72475</v>
      </c>
      <c r="E1102" s="404">
        <v>187475</v>
      </c>
      <c r="F1102" s="404">
        <v>8051</v>
      </c>
      <c r="G1102" s="404">
        <v>4792</v>
      </c>
      <c r="H1102" s="404">
        <v>2684</v>
      </c>
      <c r="I1102" s="404">
        <v>7476</v>
      </c>
      <c r="L1102" s="350">
        <v>0.315</v>
      </c>
      <c r="M1102" s="350">
        <v>3.5000000000000003E-2</v>
      </c>
      <c r="N1102" s="351" t="str">
        <f t="shared" si="36"/>
        <v>11500024</v>
      </c>
      <c r="P1102" s="351" t="str">
        <f t="shared" si="35"/>
        <v>T</v>
      </c>
    </row>
    <row r="1103" spans="1:16">
      <c r="A1103" s="401" t="s">
        <v>74</v>
      </c>
      <c r="B1103" s="404">
        <v>116000</v>
      </c>
      <c r="C1103" s="405">
        <v>4</v>
      </c>
      <c r="D1103" s="404">
        <v>12182</v>
      </c>
      <c r="E1103" s="404">
        <v>128182</v>
      </c>
      <c r="F1103" s="404">
        <v>1354</v>
      </c>
      <c r="G1103" s="404">
        <v>29000</v>
      </c>
      <c r="H1103" s="404">
        <v>2707</v>
      </c>
      <c r="I1103" s="404">
        <v>31707</v>
      </c>
      <c r="L1103" s="350">
        <v>0.315</v>
      </c>
      <c r="M1103" s="350">
        <v>3.5000000000000003E-2</v>
      </c>
      <c r="N1103" s="351" t="str">
        <f t="shared" si="36"/>
        <v>1160004</v>
      </c>
      <c r="P1103" s="351" t="str">
        <f t="shared" si="35"/>
        <v>T</v>
      </c>
    </row>
    <row r="1104" spans="1:16">
      <c r="A1104" s="401" t="s">
        <v>74</v>
      </c>
      <c r="B1104" s="404">
        <v>116000</v>
      </c>
      <c r="C1104" s="405">
        <v>6</v>
      </c>
      <c r="D1104" s="404">
        <v>18277</v>
      </c>
      <c r="E1104" s="404">
        <v>134277</v>
      </c>
      <c r="F1104" s="404">
        <v>2031</v>
      </c>
      <c r="G1104" s="404">
        <v>19334</v>
      </c>
      <c r="H1104" s="404">
        <v>2707</v>
      </c>
      <c r="I1104" s="404">
        <v>22041</v>
      </c>
      <c r="L1104" s="350">
        <v>0.315</v>
      </c>
      <c r="M1104" s="350">
        <v>3.5000000000000003E-2</v>
      </c>
      <c r="N1104" s="351" t="str">
        <f t="shared" si="36"/>
        <v>1160006</v>
      </c>
      <c r="P1104" s="351" t="str">
        <f t="shared" si="35"/>
        <v>T</v>
      </c>
    </row>
    <row r="1105" spans="1:16">
      <c r="A1105" s="401" t="s">
        <v>74</v>
      </c>
      <c r="B1105" s="404">
        <v>116000</v>
      </c>
      <c r="C1105" s="405">
        <v>8</v>
      </c>
      <c r="D1105" s="404">
        <v>24363</v>
      </c>
      <c r="E1105" s="404">
        <v>140363</v>
      </c>
      <c r="F1105" s="404">
        <v>2707</v>
      </c>
      <c r="G1105" s="404">
        <v>14500</v>
      </c>
      <c r="H1105" s="404">
        <v>2707</v>
      </c>
      <c r="I1105" s="404">
        <v>17207</v>
      </c>
      <c r="L1105" s="350">
        <v>0.315</v>
      </c>
      <c r="M1105" s="350">
        <v>3.5000000000000003E-2</v>
      </c>
      <c r="N1105" s="351" t="str">
        <f t="shared" si="36"/>
        <v>1160008</v>
      </c>
      <c r="P1105" s="351" t="str">
        <f t="shared" si="35"/>
        <v>T</v>
      </c>
    </row>
    <row r="1106" spans="1:16">
      <c r="A1106" s="401" t="s">
        <v>74</v>
      </c>
      <c r="B1106" s="404">
        <v>116000</v>
      </c>
      <c r="C1106" s="405">
        <v>10</v>
      </c>
      <c r="D1106" s="404">
        <v>30454</v>
      </c>
      <c r="E1106" s="404">
        <v>146454</v>
      </c>
      <c r="F1106" s="404">
        <v>3384</v>
      </c>
      <c r="G1106" s="404">
        <v>11600</v>
      </c>
      <c r="H1106" s="404">
        <v>2707</v>
      </c>
      <c r="I1106" s="404">
        <v>14307</v>
      </c>
      <c r="L1106" s="350">
        <v>0.315</v>
      </c>
      <c r="M1106" s="350">
        <v>3.5000000000000003E-2</v>
      </c>
      <c r="N1106" s="351" t="str">
        <f t="shared" si="36"/>
        <v>11600010</v>
      </c>
      <c r="P1106" s="351" t="str">
        <f t="shared" si="35"/>
        <v>T</v>
      </c>
    </row>
    <row r="1107" spans="1:16">
      <c r="A1107" s="401" t="s">
        <v>74</v>
      </c>
      <c r="B1107" s="404">
        <v>116000</v>
      </c>
      <c r="C1107" s="405">
        <v>12</v>
      </c>
      <c r="D1107" s="404">
        <v>36549</v>
      </c>
      <c r="E1107" s="404">
        <v>152549</v>
      </c>
      <c r="F1107" s="404">
        <v>4061</v>
      </c>
      <c r="G1107" s="404">
        <v>9667</v>
      </c>
      <c r="H1107" s="404">
        <v>2707</v>
      </c>
      <c r="I1107" s="404">
        <v>12374</v>
      </c>
      <c r="L1107" s="350">
        <v>0.315</v>
      </c>
      <c r="M1107" s="350">
        <v>3.5000000000000003E-2</v>
      </c>
      <c r="N1107" s="351" t="str">
        <f t="shared" si="36"/>
        <v>11600012</v>
      </c>
      <c r="P1107" s="351" t="str">
        <f t="shared" si="35"/>
        <v>T</v>
      </c>
    </row>
    <row r="1108" spans="1:16">
      <c r="A1108" s="401" t="s">
        <v>74</v>
      </c>
      <c r="B1108" s="404">
        <v>116000</v>
      </c>
      <c r="C1108" s="405">
        <v>14</v>
      </c>
      <c r="D1108" s="404">
        <v>42639</v>
      </c>
      <c r="E1108" s="404">
        <v>158639</v>
      </c>
      <c r="F1108" s="404">
        <v>4737</v>
      </c>
      <c r="G1108" s="404">
        <v>8286</v>
      </c>
      <c r="H1108" s="404">
        <v>2707</v>
      </c>
      <c r="I1108" s="404">
        <v>10993</v>
      </c>
      <c r="L1108" s="350">
        <v>0.315</v>
      </c>
      <c r="M1108" s="350">
        <v>3.5000000000000003E-2</v>
      </c>
      <c r="N1108" s="351" t="str">
        <f t="shared" si="36"/>
        <v>11600014</v>
      </c>
      <c r="P1108" s="351" t="str">
        <f t="shared" si="35"/>
        <v>T</v>
      </c>
    </row>
    <row r="1109" spans="1:16">
      <c r="A1109" s="401" t="s">
        <v>74</v>
      </c>
      <c r="B1109" s="404">
        <v>116000</v>
      </c>
      <c r="C1109" s="405">
        <v>16</v>
      </c>
      <c r="D1109" s="404">
        <v>48726</v>
      </c>
      <c r="E1109" s="404">
        <v>164726</v>
      </c>
      <c r="F1109" s="404">
        <v>5414</v>
      </c>
      <c r="G1109" s="404">
        <v>7250</v>
      </c>
      <c r="H1109" s="404">
        <v>2707</v>
      </c>
      <c r="I1109" s="404">
        <v>9957</v>
      </c>
      <c r="L1109" s="350">
        <v>0.315</v>
      </c>
      <c r="M1109" s="350">
        <v>3.5000000000000003E-2</v>
      </c>
      <c r="N1109" s="351" t="str">
        <f t="shared" si="36"/>
        <v>11600016</v>
      </c>
      <c r="P1109" s="351" t="str">
        <f t="shared" si="35"/>
        <v>T</v>
      </c>
    </row>
    <row r="1110" spans="1:16">
      <c r="A1110" s="401" t="s">
        <v>74</v>
      </c>
      <c r="B1110" s="404">
        <v>116000</v>
      </c>
      <c r="C1110" s="405">
        <v>18</v>
      </c>
      <c r="D1110" s="404">
        <v>54827</v>
      </c>
      <c r="E1110" s="404">
        <v>170827</v>
      </c>
      <c r="F1110" s="404">
        <v>6091</v>
      </c>
      <c r="G1110" s="404">
        <v>6445</v>
      </c>
      <c r="H1110" s="404">
        <v>2707</v>
      </c>
      <c r="I1110" s="404">
        <v>9152</v>
      </c>
      <c r="L1110" s="350">
        <v>0.315</v>
      </c>
      <c r="M1110" s="350">
        <v>3.5000000000000003E-2</v>
      </c>
      <c r="N1110" s="351" t="str">
        <f t="shared" si="36"/>
        <v>11600018</v>
      </c>
      <c r="P1110" s="351" t="str">
        <f t="shared" si="35"/>
        <v>T</v>
      </c>
    </row>
    <row r="1111" spans="1:16">
      <c r="A1111" s="401" t="s">
        <v>74</v>
      </c>
      <c r="B1111" s="404">
        <v>116000</v>
      </c>
      <c r="C1111" s="405">
        <v>20</v>
      </c>
      <c r="D1111" s="404">
        <v>60907</v>
      </c>
      <c r="E1111" s="404">
        <v>176907</v>
      </c>
      <c r="F1111" s="404">
        <v>6767</v>
      </c>
      <c r="G1111" s="404">
        <v>5800</v>
      </c>
      <c r="H1111" s="404">
        <v>2707</v>
      </c>
      <c r="I1111" s="404">
        <v>8507</v>
      </c>
      <c r="L1111" s="350">
        <v>0.315</v>
      </c>
      <c r="M1111" s="350">
        <v>3.5000000000000003E-2</v>
      </c>
      <c r="N1111" s="351" t="str">
        <f t="shared" si="36"/>
        <v>11600020</v>
      </c>
      <c r="P1111" s="351" t="str">
        <f t="shared" si="35"/>
        <v>T</v>
      </c>
    </row>
    <row r="1112" spans="1:16">
      <c r="A1112" s="401" t="s">
        <v>74</v>
      </c>
      <c r="B1112" s="404">
        <v>116000</v>
      </c>
      <c r="C1112" s="405">
        <v>22</v>
      </c>
      <c r="D1112" s="404">
        <v>67004</v>
      </c>
      <c r="E1112" s="404">
        <v>183004</v>
      </c>
      <c r="F1112" s="404">
        <v>7444</v>
      </c>
      <c r="G1112" s="404">
        <v>5273</v>
      </c>
      <c r="H1112" s="404">
        <v>2707</v>
      </c>
      <c r="I1112" s="404">
        <v>7980</v>
      </c>
      <c r="L1112" s="350">
        <v>0.315</v>
      </c>
      <c r="M1112" s="350">
        <v>3.5000000000000003E-2</v>
      </c>
      <c r="N1112" s="351" t="str">
        <f t="shared" si="36"/>
        <v>11600022</v>
      </c>
      <c r="P1112" s="351" t="str">
        <f t="shared" si="35"/>
        <v>T</v>
      </c>
    </row>
    <row r="1113" spans="1:16">
      <c r="A1113" s="401" t="s">
        <v>74</v>
      </c>
      <c r="B1113" s="404">
        <v>116000</v>
      </c>
      <c r="C1113" s="405">
        <v>24</v>
      </c>
      <c r="D1113" s="404">
        <v>73105</v>
      </c>
      <c r="E1113" s="404">
        <v>189105</v>
      </c>
      <c r="F1113" s="404">
        <v>8121</v>
      </c>
      <c r="G1113" s="404">
        <v>4834</v>
      </c>
      <c r="H1113" s="404">
        <v>2707</v>
      </c>
      <c r="I1113" s="404">
        <v>7541</v>
      </c>
      <c r="L1113" s="350">
        <v>0.315</v>
      </c>
      <c r="M1113" s="350">
        <v>3.5000000000000003E-2</v>
      </c>
      <c r="N1113" s="351" t="str">
        <f t="shared" si="36"/>
        <v>11600024</v>
      </c>
      <c r="P1113" s="351" t="str">
        <f t="shared" si="35"/>
        <v>T</v>
      </c>
    </row>
    <row r="1114" spans="1:16">
      <c r="A1114" s="401" t="s">
        <v>74</v>
      </c>
      <c r="B1114" s="404">
        <v>117000</v>
      </c>
      <c r="C1114" s="405">
        <v>4</v>
      </c>
      <c r="D1114" s="404">
        <v>12290</v>
      </c>
      <c r="E1114" s="404">
        <v>129290</v>
      </c>
      <c r="F1114" s="404">
        <v>1366</v>
      </c>
      <c r="G1114" s="404">
        <v>29250</v>
      </c>
      <c r="H1114" s="404">
        <v>2731</v>
      </c>
      <c r="I1114" s="404">
        <v>31981</v>
      </c>
      <c r="L1114" s="350">
        <v>0.315</v>
      </c>
      <c r="M1114" s="350">
        <v>3.5000000000000003E-2</v>
      </c>
      <c r="N1114" s="351" t="str">
        <f t="shared" si="36"/>
        <v>1170004</v>
      </c>
      <c r="P1114" s="351" t="str">
        <f t="shared" si="35"/>
        <v>T</v>
      </c>
    </row>
    <row r="1115" spans="1:16">
      <c r="A1115" s="401" t="s">
        <v>74</v>
      </c>
      <c r="B1115" s="404">
        <v>117000</v>
      </c>
      <c r="C1115" s="405">
        <v>6</v>
      </c>
      <c r="D1115" s="404">
        <v>18434</v>
      </c>
      <c r="E1115" s="404">
        <v>135434</v>
      </c>
      <c r="F1115" s="404">
        <v>2048</v>
      </c>
      <c r="G1115" s="404">
        <v>19500</v>
      </c>
      <c r="H1115" s="404">
        <v>2731</v>
      </c>
      <c r="I1115" s="404">
        <v>22231</v>
      </c>
      <c r="L1115" s="350">
        <v>0.315</v>
      </c>
      <c r="M1115" s="350">
        <v>3.5000000000000003E-2</v>
      </c>
      <c r="N1115" s="351" t="str">
        <f t="shared" si="36"/>
        <v>1170006</v>
      </c>
      <c r="P1115" s="351" t="str">
        <f t="shared" si="35"/>
        <v>T</v>
      </c>
    </row>
    <row r="1116" spans="1:16">
      <c r="A1116" s="401" t="s">
        <v>74</v>
      </c>
      <c r="B1116" s="404">
        <v>117000</v>
      </c>
      <c r="C1116" s="405">
        <v>8</v>
      </c>
      <c r="D1116" s="404">
        <v>24579</v>
      </c>
      <c r="E1116" s="404">
        <v>141579</v>
      </c>
      <c r="F1116" s="404">
        <v>2731</v>
      </c>
      <c r="G1116" s="404">
        <v>14625</v>
      </c>
      <c r="H1116" s="404">
        <v>2731</v>
      </c>
      <c r="I1116" s="404">
        <v>17356</v>
      </c>
      <c r="L1116" s="350">
        <v>0.315</v>
      </c>
      <c r="M1116" s="350">
        <v>3.5000000000000003E-2</v>
      </c>
      <c r="N1116" s="351" t="str">
        <f t="shared" si="36"/>
        <v>1170008</v>
      </c>
      <c r="P1116" s="351" t="str">
        <f t="shared" si="35"/>
        <v>T</v>
      </c>
    </row>
    <row r="1117" spans="1:16">
      <c r="A1117" s="401" t="s">
        <v>74</v>
      </c>
      <c r="B1117" s="404">
        <v>117000</v>
      </c>
      <c r="C1117" s="405">
        <v>10</v>
      </c>
      <c r="D1117" s="404">
        <v>30723</v>
      </c>
      <c r="E1117" s="404">
        <v>147723</v>
      </c>
      <c r="F1117" s="404">
        <v>3413</v>
      </c>
      <c r="G1117" s="404">
        <v>11700</v>
      </c>
      <c r="H1117" s="404">
        <v>2731</v>
      </c>
      <c r="I1117" s="404">
        <v>14431</v>
      </c>
      <c r="L1117" s="350">
        <v>0.315</v>
      </c>
      <c r="M1117" s="350">
        <v>3.5000000000000003E-2</v>
      </c>
      <c r="N1117" s="351" t="str">
        <f t="shared" si="36"/>
        <v>11700010</v>
      </c>
      <c r="P1117" s="351" t="str">
        <f t="shared" si="35"/>
        <v>T</v>
      </c>
    </row>
    <row r="1118" spans="1:16">
      <c r="A1118" s="401" t="s">
        <v>74</v>
      </c>
      <c r="B1118" s="404">
        <v>117000</v>
      </c>
      <c r="C1118" s="405">
        <v>12</v>
      </c>
      <c r="D1118" s="404">
        <v>36868</v>
      </c>
      <c r="E1118" s="404">
        <v>153868</v>
      </c>
      <c r="F1118" s="404">
        <v>4096</v>
      </c>
      <c r="G1118" s="404">
        <v>9750</v>
      </c>
      <c r="H1118" s="404">
        <v>2731</v>
      </c>
      <c r="I1118" s="404">
        <v>12481</v>
      </c>
      <c r="L1118" s="350">
        <v>0.315</v>
      </c>
      <c r="M1118" s="350">
        <v>3.5000000000000003E-2</v>
      </c>
      <c r="N1118" s="351" t="str">
        <f t="shared" si="36"/>
        <v>11700012</v>
      </c>
      <c r="P1118" s="351" t="str">
        <f t="shared" si="35"/>
        <v>T</v>
      </c>
    </row>
    <row r="1119" spans="1:16">
      <c r="A1119" s="401" t="s">
        <v>74</v>
      </c>
      <c r="B1119" s="404">
        <v>117000</v>
      </c>
      <c r="C1119" s="405">
        <v>14</v>
      </c>
      <c r="D1119" s="404">
        <v>43010</v>
      </c>
      <c r="E1119" s="404">
        <v>160010</v>
      </c>
      <c r="F1119" s="404">
        <v>4778</v>
      </c>
      <c r="G1119" s="404">
        <v>8358</v>
      </c>
      <c r="H1119" s="404">
        <v>2730</v>
      </c>
      <c r="I1119" s="404">
        <v>11088</v>
      </c>
      <c r="L1119" s="350">
        <v>0.315</v>
      </c>
      <c r="M1119" s="350">
        <v>3.5000000000000003E-2</v>
      </c>
      <c r="N1119" s="351" t="str">
        <f t="shared" si="36"/>
        <v>11700014</v>
      </c>
      <c r="P1119" s="351" t="str">
        <f t="shared" si="35"/>
        <v>T</v>
      </c>
    </row>
    <row r="1120" spans="1:16">
      <c r="A1120" s="401" t="s">
        <v>74</v>
      </c>
      <c r="B1120" s="404">
        <v>117000</v>
      </c>
      <c r="C1120" s="405">
        <v>16</v>
      </c>
      <c r="D1120" s="404">
        <v>49149</v>
      </c>
      <c r="E1120" s="404">
        <v>166149</v>
      </c>
      <c r="F1120" s="404">
        <v>5461</v>
      </c>
      <c r="G1120" s="404">
        <v>7313</v>
      </c>
      <c r="H1120" s="404">
        <v>2730</v>
      </c>
      <c r="I1120" s="404">
        <v>10043</v>
      </c>
      <c r="L1120" s="350">
        <v>0.315</v>
      </c>
      <c r="M1120" s="350">
        <v>3.5000000000000003E-2</v>
      </c>
      <c r="N1120" s="351" t="str">
        <f t="shared" si="36"/>
        <v>11700016</v>
      </c>
      <c r="P1120" s="351" t="str">
        <f t="shared" si="35"/>
        <v>T</v>
      </c>
    </row>
    <row r="1121" spans="1:16">
      <c r="A1121" s="401" t="s">
        <v>74</v>
      </c>
      <c r="B1121" s="404">
        <v>117000</v>
      </c>
      <c r="C1121" s="405">
        <v>18</v>
      </c>
      <c r="D1121" s="404">
        <v>55301</v>
      </c>
      <c r="E1121" s="404">
        <v>172301</v>
      </c>
      <c r="F1121" s="404">
        <v>6143</v>
      </c>
      <c r="G1121" s="404">
        <v>6500</v>
      </c>
      <c r="H1121" s="404">
        <v>2731</v>
      </c>
      <c r="I1121" s="404">
        <v>9231</v>
      </c>
      <c r="L1121" s="350">
        <v>0.315</v>
      </c>
      <c r="M1121" s="350">
        <v>3.5000000000000003E-2</v>
      </c>
      <c r="N1121" s="351" t="str">
        <f t="shared" si="36"/>
        <v>11700018</v>
      </c>
      <c r="P1121" s="351" t="str">
        <f t="shared" si="35"/>
        <v>T</v>
      </c>
    </row>
    <row r="1122" spans="1:16">
      <c r="A1122" s="401" t="s">
        <v>74</v>
      </c>
      <c r="B1122" s="404">
        <v>117000</v>
      </c>
      <c r="C1122" s="405">
        <v>20</v>
      </c>
      <c r="D1122" s="404">
        <v>61446</v>
      </c>
      <c r="E1122" s="404">
        <v>178446</v>
      </c>
      <c r="F1122" s="404">
        <v>6826</v>
      </c>
      <c r="G1122" s="404">
        <v>5850</v>
      </c>
      <c r="H1122" s="404">
        <v>2731</v>
      </c>
      <c r="I1122" s="404">
        <v>8581</v>
      </c>
      <c r="L1122" s="350">
        <v>0.315</v>
      </c>
      <c r="M1122" s="350">
        <v>3.5000000000000003E-2</v>
      </c>
      <c r="N1122" s="351" t="str">
        <f t="shared" si="36"/>
        <v>11700020</v>
      </c>
      <c r="P1122" s="351" t="str">
        <f t="shared" si="35"/>
        <v>T</v>
      </c>
    </row>
    <row r="1123" spans="1:16">
      <c r="A1123" s="401" t="s">
        <v>74</v>
      </c>
      <c r="B1123" s="404">
        <v>117000</v>
      </c>
      <c r="C1123" s="405">
        <v>22</v>
      </c>
      <c r="D1123" s="404">
        <v>67586</v>
      </c>
      <c r="E1123" s="404">
        <v>184586</v>
      </c>
      <c r="F1123" s="404">
        <v>7508</v>
      </c>
      <c r="G1123" s="404">
        <v>5319</v>
      </c>
      <c r="H1123" s="404">
        <v>2730</v>
      </c>
      <c r="I1123" s="404">
        <v>8049</v>
      </c>
      <c r="L1123" s="350">
        <v>0.315</v>
      </c>
      <c r="M1123" s="350">
        <v>3.5000000000000003E-2</v>
      </c>
      <c r="N1123" s="351" t="str">
        <f t="shared" si="36"/>
        <v>11700022</v>
      </c>
      <c r="P1123" s="351" t="str">
        <f t="shared" si="35"/>
        <v>T</v>
      </c>
    </row>
    <row r="1124" spans="1:16">
      <c r="A1124" s="401" t="s">
        <v>74</v>
      </c>
      <c r="B1124" s="404">
        <v>117000</v>
      </c>
      <c r="C1124" s="405">
        <v>24</v>
      </c>
      <c r="D1124" s="404">
        <v>73735</v>
      </c>
      <c r="E1124" s="404">
        <v>190735</v>
      </c>
      <c r="F1124" s="404">
        <v>8191</v>
      </c>
      <c r="G1124" s="404">
        <v>4875</v>
      </c>
      <c r="H1124" s="404">
        <v>2731</v>
      </c>
      <c r="I1124" s="404">
        <v>7606</v>
      </c>
      <c r="L1124" s="350">
        <v>0.315</v>
      </c>
      <c r="M1124" s="350">
        <v>3.5000000000000003E-2</v>
      </c>
      <c r="N1124" s="351" t="str">
        <f t="shared" si="36"/>
        <v>11700024</v>
      </c>
      <c r="P1124" s="351" t="str">
        <f t="shared" si="35"/>
        <v>T</v>
      </c>
    </row>
    <row r="1125" spans="1:16">
      <c r="A1125" s="401" t="s">
        <v>74</v>
      </c>
      <c r="B1125" s="404">
        <v>118000</v>
      </c>
      <c r="C1125" s="405">
        <v>4</v>
      </c>
      <c r="D1125" s="404">
        <v>12393</v>
      </c>
      <c r="E1125" s="404">
        <v>130393</v>
      </c>
      <c r="F1125" s="404">
        <v>1377</v>
      </c>
      <c r="G1125" s="404">
        <v>29500</v>
      </c>
      <c r="H1125" s="404">
        <v>2754</v>
      </c>
      <c r="I1125" s="404">
        <v>32254</v>
      </c>
      <c r="L1125" s="350">
        <v>0.315</v>
      </c>
      <c r="M1125" s="350">
        <v>3.5000000000000003E-2</v>
      </c>
      <c r="N1125" s="351" t="str">
        <f t="shared" si="36"/>
        <v>1180004</v>
      </c>
      <c r="P1125" s="351" t="str">
        <f t="shared" si="35"/>
        <v>T</v>
      </c>
    </row>
    <row r="1126" spans="1:16">
      <c r="A1126" s="401" t="s">
        <v>74</v>
      </c>
      <c r="B1126" s="404">
        <v>118000</v>
      </c>
      <c r="C1126" s="405">
        <v>6</v>
      </c>
      <c r="D1126" s="404">
        <v>18592</v>
      </c>
      <c r="E1126" s="404">
        <v>136592</v>
      </c>
      <c r="F1126" s="404">
        <v>2066</v>
      </c>
      <c r="G1126" s="404">
        <v>19667</v>
      </c>
      <c r="H1126" s="404">
        <v>2754</v>
      </c>
      <c r="I1126" s="404">
        <v>22421</v>
      </c>
      <c r="L1126" s="350">
        <v>0.315</v>
      </c>
      <c r="M1126" s="350">
        <v>3.5000000000000003E-2</v>
      </c>
      <c r="N1126" s="351" t="str">
        <f t="shared" si="36"/>
        <v>1180006</v>
      </c>
      <c r="P1126" s="351" t="str">
        <f t="shared" si="35"/>
        <v>T</v>
      </c>
    </row>
    <row r="1127" spans="1:16">
      <c r="A1127" s="401" t="s">
        <v>74</v>
      </c>
      <c r="B1127" s="404">
        <v>118000</v>
      </c>
      <c r="C1127" s="405">
        <v>8</v>
      </c>
      <c r="D1127" s="404">
        <v>24786</v>
      </c>
      <c r="E1127" s="404">
        <v>142786</v>
      </c>
      <c r="F1127" s="404">
        <v>2754</v>
      </c>
      <c r="G1127" s="404">
        <v>14750</v>
      </c>
      <c r="H1127" s="404">
        <v>2754</v>
      </c>
      <c r="I1127" s="404">
        <v>17504</v>
      </c>
      <c r="L1127" s="350">
        <v>0.315</v>
      </c>
      <c r="M1127" s="350">
        <v>3.5000000000000003E-2</v>
      </c>
      <c r="N1127" s="351" t="str">
        <f t="shared" si="36"/>
        <v>1180008</v>
      </c>
      <c r="P1127" s="351" t="str">
        <f t="shared" si="35"/>
        <v>T</v>
      </c>
    </row>
    <row r="1128" spans="1:16">
      <c r="A1128" s="401" t="s">
        <v>74</v>
      </c>
      <c r="B1128" s="404">
        <v>118000</v>
      </c>
      <c r="C1128" s="405">
        <v>10</v>
      </c>
      <c r="D1128" s="404">
        <v>30982</v>
      </c>
      <c r="E1128" s="404">
        <v>148982</v>
      </c>
      <c r="F1128" s="404">
        <v>3442</v>
      </c>
      <c r="G1128" s="404">
        <v>11800</v>
      </c>
      <c r="H1128" s="404">
        <v>2754</v>
      </c>
      <c r="I1128" s="404">
        <v>14554</v>
      </c>
      <c r="L1128" s="350">
        <v>0.315</v>
      </c>
      <c r="M1128" s="350">
        <v>3.5000000000000003E-2</v>
      </c>
      <c r="N1128" s="351" t="str">
        <f t="shared" si="36"/>
        <v>11800010</v>
      </c>
      <c r="P1128" s="351" t="str">
        <f t="shared" si="35"/>
        <v>T</v>
      </c>
    </row>
    <row r="1129" spans="1:16">
      <c r="A1129" s="401" t="s">
        <v>74</v>
      </c>
      <c r="B1129" s="404">
        <v>118000</v>
      </c>
      <c r="C1129" s="405">
        <v>12</v>
      </c>
      <c r="D1129" s="404">
        <v>37175</v>
      </c>
      <c r="E1129" s="404">
        <v>155175</v>
      </c>
      <c r="F1129" s="404">
        <v>4131</v>
      </c>
      <c r="G1129" s="404">
        <v>9834</v>
      </c>
      <c r="H1129" s="404">
        <v>2753</v>
      </c>
      <c r="I1129" s="404">
        <v>12587</v>
      </c>
      <c r="L1129" s="350">
        <v>0.315</v>
      </c>
      <c r="M1129" s="350">
        <v>3.5000000000000003E-2</v>
      </c>
      <c r="N1129" s="351" t="str">
        <f t="shared" si="36"/>
        <v>11800012</v>
      </c>
      <c r="P1129" s="351" t="str">
        <f t="shared" si="35"/>
        <v>T</v>
      </c>
    </row>
    <row r="1130" spans="1:16">
      <c r="A1130" s="401" t="s">
        <v>74</v>
      </c>
      <c r="B1130" s="404">
        <v>118000</v>
      </c>
      <c r="C1130" s="405">
        <v>14</v>
      </c>
      <c r="D1130" s="404">
        <v>43367</v>
      </c>
      <c r="E1130" s="404">
        <v>161367</v>
      </c>
      <c r="F1130" s="404">
        <v>4819</v>
      </c>
      <c r="G1130" s="404">
        <v>8429</v>
      </c>
      <c r="H1130" s="404">
        <v>2753</v>
      </c>
      <c r="I1130" s="404">
        <v>11182</v>
      </c>
      <c r="L1130" s="350">
        <v>0.315</v>
      </c>
      <c r="M1130" s="350">
        <v>3.5000000000000003E-2</v>
      </c>
      <c r="N1130" s="351" t="str">
        <f t="shared" si="36"/>
        <v>11800014</v>
      </c>
      <c r="P1130" s="351" t="str">
        <f t="shared" si="35"/>
        <v>T</v>
      </c>
    </row>
    <row r="1131" spans="1:16">
      <c r="A1131" s="401" t="s">
        <v>74</v>
      </c>
      <c r="B1131" s="404">
        <v>118000</v>
      </c>
      <c r="C1131" s="405">
        <v>16</v>
      </c>
      <c r="D1131" s="404">
        <v>49571</v>
      </c>
      <c r="E1131" s="404">
        <v>167571</v>
      </c>
      <c r="F1131" s="404">
        <v>5507</v>
      </c>
      <c r="G1131" s="404">
        <v>7375</v>
      </c>
      <c r="H1131" s="404">
        <v>2754</v>
      </c>
      <c r="I1131" s="404">
        <v>10129</v>
      </c>
      <c r="L1131" s="350">
        <v>0.315</v>
      </c>
      <c r="M1131" s="350">
        <v>3.5000000000000003E-2</v>
      </c>
      <c r="N1131" s="351" t="str">
        <f t="shared" si="36"/>
        <v>11800016</v>
      </c>
      <c r="P1131" s="351" t="str">
        <f t="shared" si="35"/>
        <v>T</v>
      </c>
    </row>
    <row r="1132" spans="1:16">
      <c r="A1132" s="401" t="s">
        <v>74</v>
      </c>
      <c r="B1132" s="404">
        <v>118000</v>
      </c>
      <c r="C1132" s="405">
        <v>18</v>
      </c>
      <c r="D1132" s="404">
        <v>55758</v>
      </c>
      <c r="E1132" s="404">
        <v>173758</v>
      </c>
      <c r="F1132" s="404">
        <v>6196</v>
      </c>
      <c r="G1132" s="404">
        <v>6556</v>
      </c>
      <c r="H1132" s="404">
        <v>2753</v>
      </c>
      <c r="I1132" s="404">
        <v>9309</v>
      </c>
      <c r="L1132" s="350">
        <v>0.315</v>
      </c>
      <c r="M1132" s="350">
        <v>3.5000000000000003E-2</v>
      </c>
      <c r="N1132" s="351" t="str">
        <f t="shared" si="36"/>
        <v>11800018</v>
      </c>
      <c r="P1132" s="351" t="str">
        <f t="shared" si="35"/>
        <v>T</v>
      </c>
    </row>
    <row r="1133" spans="1:16">
      <c r="A1133" s="401" t="s">
        <v>74</v>
      </c>
      <c r="B1133" s="404">
        <v>118000</v>
      </c>
      <c r="C1133" s="405">
        <v>20</v>
      </c>
      <c r="D1133" s="404">
        <v>61964</v>
      </c>
      <c r="E1133" s="404">
        <v>179964</v>
      </c>
      <c r="F1133" s="404">
        <v>6884</v>
      </c>
      <c r="G1133" s="404">
        <v>5900</v>
      </c>
      <c r="H1133" s="404">
        <v>2754</v>
      </c>
      <c r="I1133" s="404">
        <v>8654</v>
      </c>
      <c r="L1133" s="350">
        <v>0.315</v>
      </c>
      <c r="M1133" s="350">
        <v>3.5000000000000003E-2</v>
      </c>
      <c r="N1133" s="351" t="str">
        <f t="shared" si="36"/>
        <v>11800020</v>
      </c>
      <c r="P1133" s="351" t="str">
        <f t="shared" si="35"/>
        <v>T</v>
      </c>
    </row>
    <row r="1134" spans="1:16">
      <c r="A1134" s="401" t="s">
        <v>74</v>
      </c>
      <c r="B1134" s="404">
        <v>118000</v>
      </c>
      <c r="C1134" s="405">
        <v>22</v>
      </c>
      <c r="D1134" s="404">
        <v>68146</v>
      </c>
      <c r="E1134" s="404">
        <v>186146</v>
      </c>
      <c r="F1134" s="404">
        <v>7572</v>
      </c>
      <c r="G1134" s="404">
        <v>5364</v>
      </c>
      <c r="H1134" s="404">
        <v>2753</v>
      </c>
      <c r="I1134" s="404">
        <v>8117</v>
      </c>
      <c r="L1134" s="350">
        <v>0.315</v>
      </c>
      <c r="M1134" s="350">
        <v>3.5000000000000003E-2</v>
      </c>
      <c r="N1134" s="351" t="str">
        <f t="shared" si="36"/>
        <v>11800022</v>
      </c>
      <c r="P1134" s="351" t="str">
        <f t="shared" si="35"/>
        <v>T</v>
      </c>
    </row>
    <row r="1135" spans="1:16">
      <c r="A1135" s="401" t="s">
        <v>74</v>
      </c>
      <c r="B1135" s="404">
        <v>118000</v>
      </c>
      <c r="C1135" s="405">
        <v>24</v>
      </c>
      <c r="D1135" s="404">
        <v>74365</v>
      </c>
      <c r="E1135" s="404">
        <v>192365</v>
      </c>
      <c r="F1135" s="404">
        <v>8261</v>
      </c>
      <c r="G1135" s="404">
        <v>4917</v>
      </c>
      <c r="H1135" s="404">
        <v>2754</v>
      </c>
      <c r="I1135" s="404">
        <v>7671</v>
      </c>
      <c r="L1135" s="350">
        <v>0.315</v>
      </c>
      <c r="M1135" s="350">
        <v>3.5000000000000003E-2</v>
      </c>
      <c r="N1135" s="351" t="str">
        <f t="shared" si="36"/>
        <v>11800024</v>
      </c>
      <c r="P1135" s="351" t="str">
        <f t="shared" si="35"/>
        <v>T</v>
      </c>
    </row>
    <row r="1136" spans="1:16">
      <c r="A1136" s="401" t="s">
        <v>74</v>
      </c>
      <c r="B1136" s="404">
        <v>119000</v>
      </c>
      <c r="C1136" s="405">
        <v>4</v>
      </c>
      <c r="D1136" s="404">
        <v>12497</v>
      </c>
      <c r="E1136" s="404">
        <v>131497</v>
      </c>
      <c r="F1136" s="404">
        <v>1389</v>
      </c>
      <c r="G1136" s="404">
        <v>29750</v>
      </c>
      <c r="H1136" s="404">
        <v>2777</v>
      </c>
      <c r="I1136" s="404">
        <v>32527</v>
      </c>
      <c r="L1136" s="350">
        <v>0.315</v>
      </c>
      <c r="M1136" s="350">
        <v>3.5000000000000003E-2</v>
      </c>
      <c r="N1136" s="351" t="str">
        <f t="shared" si="36"/>
        <v>1190004</v>
      </c>
      <c r="P1136" s="351" t="str">
        <f t="shared" si="35"/>
        <v>T</v>
      </c>
    </row>
    <row r="1137" spans="1:16">
      <c r="A1137" s="401" t="s">
        <v>74</v>
      </c>
      <c r="B1137" s="404">
        <v>119000</v>
      </c>
      <c r="C1137" s="405">
        <v>6</v>
      </c>
      <c r="D1137" s="404">
        <v>18749</v>
      </c>
      <c r="E1137" s="404">
        <v>137749</v>
      </c>
      <c r="F1137" s="404">
        <v>2083</v>
      </c>
      <c r="G1137" s="404">
        <v>19834</v>
      </c>
      <c r="H1137" s="404">
        <v>2777</v>
      </c>
      <c r="I1137" s="404">
        <v>22611</v>
      </c>
      <c r="L1137" s="350">
        <v>0.315</v>
      </c>
      <c r="M1137" s="350">
        <v>3.5000000000000003E-2</v>
      </c>
      <c r="N1137" s="351" t="str">
        <f t="shared" si="36"/>
        <v>1190006</v>
      </c>
      <c r="P1137" s="351" t="str">
        <f t="shared" si="35"/>
        <v>T</v>
      </c>
    </row>
    <row r="1138" spans="1:16">
      <c r="A1138" s="401" t="s">
        <v>74</v>
      </c>
      <c r="B1138" s="404">
        <v>119000</v>
      </c>
      <c r="C1138" s="405">
        <v>8</v>
      </c>
      <c r="D1138" s="404">
        <v>24993</v>
      </c>
      <c r="E1138" s="404">
        <v>143993</v>
      </c>
      <c r="F1138" s="404">
        <v>2777</v>
      </c>
      <c r="G1138" s="404">
        <v>14875</v>
      </c>
      <c r="H1138" s="404">
        <v>2777</v>
      </c>
      <c r="I1138" s="404">
        <v>17652</v>
      </c>
      <c r="L1138" s="350">
        <v>0.315</v>
      </c>
      <c r="M1138" s="350">
        <v>3.5000000000000003E-2</v>
      </c>
      <c r="N1138" s="351" t="str">
        <f t="shared" si="36"/>
        <v>1190008</v>
      </c>
      <c r="P1138" s="351" t="str">
        <f t="shared" si="35"/>
        <v>T</v>
      </c>
    </row>
    <row r="1139" spans="1:16">
      <c r="A1139" s="401" t="s">
        <v>74</v>
      </c>
      <c r="B1139" s="404">
        <v>119000</v>
      </c>
      <c r="C1139" s="405">
        <v>10</v>
      </c>
      <c r="D1139" s="404">
        <v>31241</v>
      </c>
      <c r="E1139" s="404">
        <v>150241</v>
      </c>
      <c r="F1139" s="404">
        <v>3471</v>
      </c>
      <c r="G1139" s="404">
        <v>11900</v>
      </c>
      <c r="H1139" s="404">
        <v>2777</v>
      </c>
      <c r="I1139" s="404">
        <v>14677</v>
      </c>
      <c r="L1139" s="350">
        <v>0.315</v>
      </c>
      <c r="M1139" s="350">
        <v>3.5000000000000003E-2</v>
      </c>
      <c r="N1139" s="351" t="str">
        <f t="shared" si="36"/>
        <v>11900010</v>
      </c>
      <c r="P1139" s="351" t="str">
        <f t="shared" si="35"/>
        <v>T</v>
      </c>
    </row>
    <row r="1140" spans="1:16">
      <c r="A1140" s="401" t="s">
        <v>74</v>
      </c>
      <c r="B1140" s="404">
        <v>119000</v>
      </c>
      <c r="C1140" s="405">
        <v>12</v>
      </c>
      <c r="D1140" s="404">
        <v>37494</v>
      </c>
      <c r="E1140" s="404">
        <v>156494</v>
      </c>
      <c r="F1140" s="404">
        <v>4166</v>
      </c>
      <c r="G1140" s="404">
        <v>9917</v>
      </c>
      <c r="H1140" s="404">
        <v>2777</v>
      </c>
      <c r="I1140" s="404">
        <v>12694</v>
      </c>
      <c r="L1140" s="350">
        <v>0.315</v>
      </c>
      <c r="M1140" s="350">
        <v>3.5000000000000003E-2</v>
      </c>
      <c r="N1140" s="351" t="str">
        <f t="shared" si="36"/>
        <v>11900012</v>
      </c>
      <c r="P1140" s="351" t="str">
        <f t="shared" si="35"/>
        <v>T</v>
      </c>
    </row>
    <row r="1141" spans="1:16">
      <c r="A1141" s="401" t="s">
        <v>74</v>
      </c>
      <c r="B1141" s="404">
        <v>119000</v>
      </c>
      <c r="C1141" s="405">
        <v>14</v>
      </c>
      <c r="D1141" s="404">
        <v>43738</v>
      </c>
      <c r="E1141" s="404">
        <v>162738</v>
      </c>
      <c r="F1141" s="404">
        <v>4860</v>
      </c>
      <c r="G1141" s="404">
        <v>8500</v>
      </c>
      <c r="H1141" s="404">
        <v>2777</v>
      </c>
      <c r="I1141" s="404">
        <v>11277</v>
      </c>
      <c r="L1141" s="350">
        <v>0.315</v>
      </c>
      <c r="M1141" s="350">
        <v>3.5000000000000003E-2</v>
      </c>
      <c r="N1141" s="351" t="str">
        <f t="shared" si="36"/>
        <v>11900014</v>
      </c>
      <c r="P1141" s="351" t="str">
        <f t="shared" si="35"/>
        <v>T</v>
      </c>
    </row>
    <row r="1142" spans="1:16">
      <c r="A1142" s="401" t="s">
        <v>74</v>
      </c>
      <c r="B1142" s="404">
        <v>119000</v>
      </c>
      <c r="C1142" s="405">
        <v>16</v>
      </c>
      <c r="D1142" s="404">
        <v>49994</v>
      </c>
      <c r="E1142" s="404">
        <v>168994</v>
      </c>
      <c r="F1142" s="404">
        <v>5554</v>
      </c>
      <c r="G1142" s="404">
        <v>7438</v>
      </c>
      <c r="H1142" s="404">
        <v>2777</v>
      </c>
      <c r="I1142" s="404">
        <v>10215</v>
      </c>
      <c r="L1142" s="350">
        <v>0.315</v>
      </c>
      <c r="M1142" s="350">
        <v>3.5000000000000003E-2</v>
      </c>
      <c r="N1142" s="351" t="str">
        <f t="shared" si="36"/>
        <v>11900016</v>
      </c>
      <c r="P1142" s="351" t="str">
        <f t="shared" si="35"/>
        <v>T</v>
      </c>
    </row>
    <row r="1143" spans="1:16">
      <c r="A1143" s="401" t="s">
        <v>74</v>
      </c>
      <c r="B1143" s="404">
        <v>119000</v>
      </c>
      <c r="C1143" s="405">
        <v>18</v>
      </c>
      <c r="D1143" s="404">
        <v>56232</v>
      </c>
      <c r="E1143" s="404">
        <v>175232</v>
      </c>
      <c r="F1143" s="404">
        <v>6248</v>
      </c>
      <c r="G1143" s="404">
        <v>6612</v>
      </c>
      <c r="H1143" s="404">
        <v>2776</v>
      </c>
      <c r="I1143" s="404">
        <v>9388</v>
      </c>
      <c r="L1143" s="350">
        <v>0.315</v>
      </c>
      <c r="M1143" s="350">
        <v>3.5000000000000003E-2</v>
      </c>
      <c r="N1143" s="351" t="str">
        <f t="shared" si="36"/>
        <v>11900018</v>
      </c>
      <c r="P1143" s="351" t="str">
        <f t="shared" si="35"/>
        <v>T</v>
      </c>
    </row>
    <row r="1144" spans="1:16">
      <c r="A1144" s="401" t="s">
        <v>74</v>
      </c>
      <c r="B1144" s="404">
        <v>119000</v>
      </c>
      <c r="C1144" s="405">
        <v>20</v>
      </c>
      <c r="D1144" s="404">
        <v>62482</v>
      </c>
      <c r="E1144" s="404">
        <v>181482</v>
      </c>
      <c r="F1144" s="404">
        <v>6942</v>
      </c>
      <c r="G1144" s="404">
        <v>5950</v>
      </c>
      <c r="H1144" s="404">
        <v>2777</v>
      </c>
      <c r="I1144" s="404">
        <v>8727</v>
      </c>
      <c r="L1144" s="350">
        <v>0.315</v>
      </c>
      <c r="M1144" s="350">
        <v>3.5000000000000003E-2</v>
      </c>
      <c r="N1144" s="351" t="str">
        <f t="shared" si="36"/>
        <v>11900020</v>
      </c>
      <c r="P1144" s="351" t="str">
        <f t="shared" si="35"/>
        <v>T</v>
      </c>
    </row>
    <row r="1145" spans="1:16">
      <c r="A1145" s="401" t="s">
        <v>74</v>
      </c>
      <c r="B1145" s="404">
        <v>119000</v>
      </c>
      <c r="C1145" s="405">
        <v>22</v>
      </c>
      <c r="D1145" s="404">
        <v>68728</v>
      </c>
      <c r="E1145" s="404">
        <v>187728</v>
      </c>
      <c r="F1145" s="404">
        <v>7636</v>
      </c>
      <c r="G1145" s="404">
        <v>5410</v>
      </c>
      <c r="H1145" s="404">
        <v>2776</v>
      </c>
      <c r="I1145" s="404">
        <v>8186</v>
      </c>
      <c r="L1145" s="350">
        <v>0.315</v>
      </c>
      <c r="M1145" s="350">
        <v>3.5000000000000003E-2</v>
      </c>
      <c r="N1145" s="351" t="str">
        <f t="shared" si="36"/>
        <v>11900022</v>
      </c>
      <c r="P1145" s="351" t="str">
        <f t="shared" si="35"/>
        <v>T</v>
      </c>
    </row>
    <row r="1146" spans="1:16">
      <c r="A1146" s="401" t="s">
        <v>74</v>
      </c>
      <c r="B1146" s="404">
        <v>119000</v>
      </c>
      <c r="C1146" s="405">
        <v>24</v>
      </c>
      <c r="D1146" s="404">
        <v>74995</v>
      </c>
      <c r="E1146" s="404">
        <v>193995</v>
      </c>
      <c r="F1146" s="404">
        <v>8331</v>
      </c>
      <c r="G1146" s="404">
        <v>4959</v>
      </c>
      <c r="H1146" s="404">
        <v>2777</v>
      </c>
      <c r="I1146" s="404">
        <v>7736</v>
      </c>
      <c r="L1146" s="350">
        <v>0.315</v>
      </c>
      <c r="M1146" s="350">
        <v>3.5000000000000003E-2</v>
      </c>
      <c r="N1146" s="351" t="str">
        <f t="shared" si="36"/>
        <v>11900024</v>
      </c>
      <c r="P1146" s="351" t="str">
        <f t="shared" si="35"/>
        <v>T</v>
      </c>
    </row>
    <row r="1147" spans="1:16">
      <c r="A1147" s="401" t="s">
        <v>74</v>
      </c>
      <c r="B1147" s="404">
        <v>120000</v>
      </c>
      <c r="C1147" s="405">
        <v>4</v>
      </c>
      <c r="D1147" s="404">
        <v>12605</v>
      </c>
      <c r="E1147" s="404">
        <v>132605</v>
      </c>
      <c r="F1147" s="404">
        <v>1401</v>
      </c>
      <c r="G1147" s="404">
        <v>30000</v>
      </c>
      <c r="H1147" s="404">
        <v>2801</v>
      </c>
      <c r="I1147" s="404">
        <v>32801</v>
      </c>
      <c r="L1147" s="350">
        <v>0.315</v>
      </c>
      <c r="M1147" s="350">
        <v>3.5000000000000003E-2</v>
      </c>
      <c r="N1147" s="351" t="str">
        <f t="shared" si="36"/>
        <v>1200004</v>
      </c>
      <c r="P1147" s="351" t="str">
        <f t="shared" si="35"/>
        <v>T</v>
      </c>
    </row>
    <row r="1148" spans="1:16">
      <c r="A1148" s="401" t="s">
        <v>74</v>
      </c>
      <c r="B1148" s="404">
        <v>120000</v>
      </c>
      <c r="C1148" s="405">
        <v>6</v>
      </c>
      <c r="D1148" s="404">
        <v>18907</v>
      </c>
      <c r="E1148" s="404">
        <v>138907</v>
      </c>
      <c r="F1148" s="404">
        <v>2101</v>
      </c>
      <c r="G1148" s="404">
        <v>20000</v>
      </c>
      <c r="H1148" s="404">
        <v>2801</v>
      </c>
      <c r="I1148" s="404">
        <v>22801</v>
      </c>
      <c r="L1148" s="350">
        <v>0.315</v>
      </c>
      <c r="M1148" s="350">
        <v>3.5000000000000003E-2</v>
      </c>
      <c r="N1148" s="351" t="str">
        <f t="shared" si="36"/>
        <v>1200006</v>
      </c>
      <c r="P1148" s="351" t="str">
        <f t="shared" si="35"/>
        <v>T</v>
      </c>
    </row>
    <row r="1149" spans="1:16">
      <c r="A1149" s="401" t="s">
        <v>74</v>
      </c>
      <c r="B1149" s="404">
        <v>120000</v>
      </c>
      <c r="C1149" s="405">
        <v>8</v>
      </c>
      <c r="D1149" s="404">
        <v>25209</v>
      </c>
      <c r="E1149" s="404">
        <v>145209</v>
      </c>
      <c r="F1149" s="404">
        <v>2801</v>
      </c>
      <c r="G1149" s="404">
        <v>15000</v>
      </c>
      <c r="H1149" s="404">
        <v>2801</v>
      </c>
      <c r="I1149" s="404">
        <v>17801</v>
      </c>
      <c r="L1149" s="350">
        <v>0.315</v>
      </c>
      <c r="M1149" s="350">
        <v>3.5000000000000003E-2</v>
      </c>
      <c r="N1149" s="351" t="str">
        <f t="shared" si="36"/>
        <v>1200008</v>
      </c>
      <c r="P1149" s="351" t="str">
        <f t="shared" si="35"/>
        <v>T</v>
      </c>
    </row>
    <row r="1150" spans="1:16">
      <c r="A1150" s="401" t="s">
        <v>74</v>
      </c>
      <c r="B1150" s="404">
        <v>120000</v>
      </c>
      <c r="C1150" s="405">
        <v>10</v>
      </c>
      <c r="D1150" s="404">
        <v>31511</v>
      </c>
      <c r="E1150" s="404">
        <v>151511</v>
      </c>
      <c r="F1150" s="404">
        <v>3501</v>
      </c>
      <c r="G1150" s="404">
        <v>12000</v>
      </c>
      <c r="H1150" s="404">
        <v>2801</v>
      </c>
      <c r="I1150" s="404">
        <v>14801</v>
      </c>
      <c r="L1150" s="350">
        <v>0.315</v>
      </c>
      <c r="M1150" s="350">
        <v>3.5000000000000003E-2</v>
      </c>
      <c r="N1150" s="351" t="str">
        <f t="shared" si="36"/>
        <v>12000010</v>
      </c>
      <c r="P1150" s="351" t="str">
        <f t="shared" si="35"/>
        <v>T</v>
      </c>
    </row>
    <row r="1151" spans="1:16">
      <c r="A1151" s="401" t="s">
        <v>74</v>
      </c>
      <c r="B1151" s="404">
        <v>120000</v>
      </c>
      <c r="C1151" s="405">
        <v>12</v>
      </c>
      <c r="D1151" s="404">
        <v>37813</v>
      </c>
      <c r="E1151" s="404">
        <v>157813</v>
      </c>
      <c r="F1151" s="404">
        <v>4201</v>
      </c>
      <c r="G1151" s="404">
        <v>10000</v>
      </c>
      <c r="H1151" s="404">
        <v>2801</v>
      </c>
      <c r="I1151" s="404">
        <v>12801</v>
      </c>
      <c r="L1151" s="350">
        <v>0.315</v>
      </c>
      <c r="M1151" s="350">
        <v>3.5000000000000003E-2</v>
      </c>
      <c r="N1151" s="351" t="str">
        <f t="shared" si="36"/>
        <v>12000012</v>
      </c>
      <c r="P1151" s="351" t="str">
        <f t="shared" si="35"/>
        <v>T</v>
      </c>
    </row>
    <row r="1152" spans="1:16">
      <c r="A1152" s="401" t="s">
        <v>74</v>
      </c>
      <c r="B1152" s="404">
        <v>120000</v>
      </c>
      <c r="C1152" s="405">
        <v>14</v>
      </c>
      <c r="D1152" s="404">
        <v>44109</v>
      </c>
      <c r="E1152" s="404">
        <v>164109</v>
      </c>
      <c r="F1152" s="404">
        <v>4901</v>
      </c>
      <c r="G1152" s="404">
        <v>8572</v>
      </c>
      <c r="H1152" s="404">
        <v>2800</v>
      </c>
      <c r="I1152" s="404">
        <v>11372</v>
      </c>
      <c r="L1152" s="350">
        <v>0.315</v>
      </c>
      <c r="M1152" s="350">
        <v>3.5000000000000003E-2</v>
      </c>
      <c r="N1152" s="351" t="str">
        <f t="shared" si="36"/>
        <v>12000014</v>
      </c>
      <c r="P1152" s="351" t="str">
        <f t="shared" si="35"/>
        <v>T</v>
      </c>
    </row>
    <row r="1153" spans="1:16">
      <c r="A1153" s="401" t="s">
        <v>74</v>
      </c>
      <c r="B1153" s="404">
        <v>120000</v>
      </c>
      <c r="C1153" s="405">
        <v>16</v>
      </c>
      <c r="D1153" s="404">
        <v>50417</v>
      </c>
      <c r="E1153" s="404">
        <v>170417</v>
      </c>
      <c r="F1153" s="404">
        <v>5601</v>
      </c>
      <c r="G1153" s="404">
        <v>7500</v>
      </c>
      <c r="H1153" s="404">
        <v>2801</v>
      </c>
      <c r="I1153" s="404">
        <v>10301</v>
      </c>
      <c r="L1153" s="350">
        <v>0.315</v>
      </c>
      <c r="M1153" s="350">
        <v>3.5000000000000003E-2</v>
      </c>
      <c r="N1153" s="351" t="str">
        <f t="shared" si="36"/>
        <v>12000016</v>
      </c>
      <c r="P1153" s="351" t="str">
        <f t="shared" si="35"/>
        <v>T</v>
      </c>
    </row>
    <row r="1154" spans="1:16">
      <c r="A1154" s="401" t="s">
        <v>74</v>
      </c>
      <c r="B1154" s="404">
        <v>120000</v>
      </c>
      <c r="C1154" s="405">
        <v>18</v>
      </c>
      <c r="D1154" s="404">
        <v>56707</v>
      </c>
      <c r="E1154" s="404">
        <v>176707</v>
      </c>
      <c r="F1154" s="404">
        <v>6301</v>
      </c>
      <c r="G1154" s="404">
        <v>6667</v>
      </c>
      <c r="H1154" s="404">
        <v>2800</v>
      </c>
      <c r="I1154" s="404">
        <v>9467</v>
      </c>
      <c r="L1154" s="350">
        <v>0.315</v>
      </c>
      <c r="M1154" s="350">
        <v>3.5000000000000003E-2</v>
      </c>
      <c r="N1154" s="351" t="str">
        <f t="shared" si="36"/>
        <v>12000018</v>
      </c>
      <c r="P1154" s="351" t="str">
        <f t="shared" si="35"/>
        <v>T</v>
      </c>
    </row>
    <row r="1155" spans="1:16">
      <c r="A1155" s="401" t="s">
        <v>74</v>
      </c>
      <c r="B1155" s="404">
        <v>120000</v>
      </c>
      <c r="C1155" s="405">
        <v>20</v>
      </c>
      <c r="D1155" s="404">
        <v>63021</v>
      </c>
      <c r="E1155" s="404">
        <v>183021</v>
      </c>
      <c r="F1155" s="404">
        <v>7001</v>
      </c>
      <c r="G1155" s="404">
        <v>6000</v>
      </c>
      <c r="H1155" s="404">
        <v>2801</v>
      </c>
      <c r="I1155" s="404">
        <v>8801</v>
      </c>
      <c r="L1155" s="350">
        <v>0.315</v>
      </c>
      <c r="M1155" s="350">
        <v>3.5000000000000003E-2</v>
      </c>
      <c r="N1155" s="351" t="str">
        <f t="shared" si="36"/>
        <v>12000020</v>
      </c>
      <c r="P1155" s="351" t="str">
        <f t="shared" ref="P1155:P1218" si="37">IF((E1155-F1155)/C1155=I1155,"T","F")</f>
        <v>T</v>
      </c>
    </row>
    <row r="1156" spans="1:16">
      <c r="A1156" s="401" t="s">
        <v>74</v>
      </c>
      <c r="B1156" s="404">
        <v>120000</v>
      </c>
      <c r="C1156" s="405">
        <v>22</v>
      </c>
      <c r="D1156" s="404">
        <v>69311</v>
      </c>
      <c r="E1156" s="404">
        <v>189311</v>
      </c>
      <c r="F1156" s="404">
        <v>7701</v>
      </c>
      <c r="G1156" s="404">
        <v>5455</v>
      </c>
      <c r="H1156" s="404">
        <v>2800</v>
      </c>
      <c r="I1156" s="404">
        <v>8255</v>
      </c>
      <c r="L1156" s="350">
        <v>0.315</v>
      </c>
      <c r="M1156" s="350">
        <v>3.5000000000000003E-2</v>
      </c>
      <c r="N1156" s="351" t="str">
        <f t="shared" si="36"/>
        <v>12000022</v>
      </c>
      <c r="P1156" s="351" t="str">
        <f t="shared" si="37"/>
        <v>T</v>
      </c>
    </row>
    <row r="1157" spans="1:16">
      <c r="A1157" s="401" t="s">
        <v>74</v>
      </c>
      <c r="B1157" s="404">
        <v>120000</v>
      </c>
      <c r="C1157" s="405">
        <v>24</v>
      </c>
      <c r="D1157" s="404">
        <v>75625</v>
      </c>
      <c r="E1157" s="404">
        <v>195625</v>
      </c>
      <c r="F1157" s="404">
        <v>8401</v>
      </c>
      <c r="G1157" s="404">
        <v>5000</v>
      </c>
      <c r="H1157" s="404">
        <v>2801</v>
      </c>
      <c r="I1157" s="404">
        <v>7801</v>
      </c>
      <c r="L1157" s="350">
        <v>0.315</v>
      </c>
      <c r="M1157" s="350">
        <v>3.5000000000000003E-2</v>
      </c>
      <c r="N1157" s="351" t="str">
        <f t="shared" ref="N1157:N1220" si="38">CONCATENATE(B1157,C1157)</f>
        <v>12000024</v>
      </c>
      <c r="P1157" s="351" t="str">
        <f t="shared" si="37"/>
        <v>T</v>
      </c>
    </row>
    <row r="1158" spans="1:16">
      <c r="A1158" s="401" t="s">
        <v>74</v>
      </c>
      <c r="B1158" s="404">
        <v>121000</v>
      </c>
      <c r="C1158" s="405">
        <v>4</v>
      </c>
      <c r="D1158" s="404">
        <v>12708</v>
      </c>
      <c r="E1158" s="404">
        <v>133708</v>
      </c>
      <c r="F1158" s="404">
        <v>1412</v>
      </c>
      <c r="G1158" s="404">
        <v>30250</v>
      </c>
      <c r="H1158" s="404">
        <v>2824</v>
      </c>
      <c r="I1158" s="404">
        <v>33074</v>
      </c>
      <c r="L1158" s="350">
        <v>0.315</v>
      </c>
      <c r="M1158" s="350">
        <v>3.5000000000000003E-2</v>
      </c>
      <c r="N1158" s="351" t="str">
        <f t="shared" si="38"/>
        <v>1210004</v>
      </c>
      <c r="P1158" s="351" t="str">
        <f t="shared" si="37"/>
        <v>T</v>
      </c>
    </row>
    <row r="1159" spans="1:16">
      <c r="A1159" s="401" t="s">
        <v>74</v>
      </c>
      <c r="B1159" s="404">
        <v>121000</v>
      </c>
      <c r="C1159" s="405">
        <v>6</v>
      </c>
      <c r="D1159" s="404">
        <v>19064</v>
      </c>
      <c r="E1159" s="404">
        <v>140064</v>
      </c>
      <c r="F1159" s="404">
        <v>2118</v>
      </c>
      <c r="G1159" s="404">
        <v>20167</v>
      </c>
      <c r="H1159" s="404">
        <v>2824</v>
      </c>
      <c r="I1159" s="404">
        <v>22991</v>
      </c>
      <c r="L1159" s="350">
        <v>0.315</v>
      </c>
      <c r="M1159" s="350">
        <v>3.5000000000000003E-2</v>
      </c>
      <c r="N1159" s="351" t="str">
        <f t="shared" si="38"/>
        <v>1210006</v>
      </c>
      <c r="P1159" s="351" t="str">
        <f t="shared" si="37"/>
        <v>T</v>
      </c>
    </row>
    <row r="1160" spans="1:16">
      <c r="A1160" s="401" t="s">
        <v>74</v>
      </c>
      <c r="B1160" s="404">
        <v>121000</v>
      </c>
      <c r="C1160" s="405">
        <v>8</v>
      </c>
      <c r="D1160" s="404">
        <v>25416</v>
      </c>
      <c r="E1160" s="404">
        <v>146416</v>
      </c>
      <c r="F1160" s="404">
        <v>2824</v>
      </c>
      <c r="G1160" s="404">
        <v>15125</v>
      </c>
      <c r="H1160" s="404">
        <v>2824</v>
      </c>
      <c r="I1160" s="404">
        <v>17949</v>
      </c>
      <c r="L1160" s="350">
        <v>0.315</v>
      </c>
      <c r="M1160" s="350">
        <v>3.5000000000000003E-2</v>
      </c>
      <c r="N1160" s="351" t="str">
        <f t="shared" si="38"/>
        <v>1210008</v>
      </c>
      <c r="P1160" s="351" t="str">
        <f t="shared" si="37"/>
        <v>T</v>
      </c>
    </row>
    <row r="1161" spans="1:16">
      <c r="A1161" s="401" t="s">
        <v>74</v>
      </c>
      <c r="B1161" s="404">
        <v>121000</v>
      </c>
      <c r="C1161" s="405">
        <v>10</v>
      </c>
      <c r="D1161" s="404">
        <v>31770</v>
      </c>
      <c r="E1161" s="404">
        <v>152770</v>
      </c>
      <c r="F1161" s="404">
        <v>3530</v>
      </c>
      <c r="G1161" s="404">
        <v>12100</v>
      </c>
      <c r="H1161" s="404">
        <v>2824</v>
      </c>
      <c r="I1161" s="404">
        <v>14924</v>
      </c>
      <c r="L1161" s="350">
        <v>0.315</v>
      </c>
      <c r="M1161" s="350">
        <v>3.5000000000000003E-2</v>
      </c>
      <c r="N1161" s="351" t="str">
        <f t="shared" si="38"/>
        <v>12100010</v>
      </c>
      <c r="P1161" s="351" t="str">
        <f t="shared" si="37"/>
        <v>T</v>
      </c>
    </row>
    <row r="1162" spans="1:16">
      <c r="A1162" s="401" t="s">
        <v>74</v>
      </c>
      <c r="B1162" s="404">
        <v>121000</v>
      </c>
      <c r="C1162" s="405">
        <v>12</v>
      </c>
      <c r="D1162" s="404">
        <v>38120</v>
      </c>
      <c r="E1162" s="404">
        <v>159120</v>
      </c>
      <c r="F1162" s="404">
        <v>4236</v>
      </c>
      <c r="G1162" s="404">
        <v>10084</v>
      </c>
      <c r="H1162" s="404">
        <v>2823</v>
      </c>
      <c r="I1162" s="404">
        <v>12907</v>
      </c>
      <c r="L1162" s="350">
        <v>0.315</v>
      </c>
      <c r="M1162" s="350">
        <v>3.5000000000000003E-2</v>
      </c>
      <c r="N1162" s="351" t="str">
        <f t="shared" si="38"/>
        <v>12100012</v>
      </c>
      <c r="P1162" s="351" t="str">
        <f t="shared" si="37"/>
        <v>T</v>
      </c>
    </row>
    <row r="1163" spans="1:16">
      <c r="A1163" s="401" t="s">
        <v>74</v>
      </c>
      <c r="B1163" s="404">
        <v>121000</v>
      </c>
      <c r="C1163" s="405">
        <v>14</v>
      </c>
      <c r="D1163" s="404">
        <v>44479</v>
      </c>
      <c r="E1163" s="404">
        <v>165479</v>
      </c>
      <c r="F1163" s="404">
        <v>4941</v>
      </c>
      <c r="G1163" s="404">
        <v>8643</v>
      </c>
      <c r="H1163" s="404">
        <v>2824</v>
      </c>
      <c r="I1163" s="404">
        <v>11467</v>
      </c>
      <c r="L1163" s="350">
        <v>0.315</v>
      </c>
      <c r="M1163" s="350">
        <v>3.5000000000000003E-2</v>
      </c>
      <c r="N1163" s="351" t="str">
        <f t="shared" si="38"/>
        <v>12100014</v>
      </c>
      <c r="P1163" s="351" t="str">
        <f t="shared" si="37"/>
        <v>T</v>
      </c>
    </row>
    <row r="1164" spans="1:16">
      <c r="A1164" s="401" t="s">
        <v>74</v>
      </c>
      <c r="B1164" s="404">
        <v>121000</v>
      </c>
      <c r="C1164" s="405">
        <v>16</v>
      </c>
      <c r="D1164" s="404">
        <v>50823</v>
      </c>
      <c r="E1164" s="404">
        <v>171823</v>
      </c>
      <c r="F1164" s="404">
        <v>5647</v>
      </c>
      <c r="G1164" s="404">
        <v>7563</v>
      </c>
      <c r="H1164" s="404">
        <v>2823</v>
      </c>
      <c r="I1164" s="404">
        <v>10386</v>
      </c>
      <c r="L1164" s="350">
        <v>0.315</v>
      </c>
      <c r="M1164" s="350">
        <v>3.5000000000000003E-2</v>
      </c>
      <c r="N1164" s="351" t="str">
        <f t="shared" si="38"/>
        <v>12100016</v>
      </c>
      <c r="P1164" s="351" t="str">
        <f t="shared" si="37"/>
        <v>T</v>
      </c>
    </row>
    <row r="1165" spans="1:16">
      <c r="A1165" s="401" t="s">
        <v>74</v>
      </c>
      <c r="B1165" s="404">
        <v>121000</v>
      </c>
      <c r="C1165" s="405">
        <v>18</v>
      </c>
      <c r="D1165" s="404">
        <v>57181</v>
      </c>
      <c r="E1165" s="404">
        <v>178181</v>
      </c>
      <c r="F1165" s="404">
        <v>6353</v>
      </c>
      <c r="G1165" s="404">
        <v>6723</v>
      </c>
      <c r="H1165" s="404">
        <v>2823</v>
      </c>
      <c r="I1165" s="404">
        <v>9546</v>
      </c>
      <c r="L1165" s="350">
        <v>0.315</v>
      </c>
      <c r="M1165" s="350">
        <v>3.5000000000000003E-2</v>
      </c>
      <c r="N1165" s="351" t="str">
        <f t="shared" si="38"/>
        <v>12100018</v>
      </c>
      <c r="P1165" s="351" t="str">
        <f t="shared" si="37"/>
        <v>T</v>
      </c>
    </row>
    <row r="1166" spans="1:16">
      <c r="A1166" s="401" t="s">
        <v>74</v>
      </c>
      <c r="B1166" s="404">
        <v>121000</v>
      </c>
      <c r="C1166" s="405">
        <v>20</v>
      </c>
      <c r="D1166" s="404">
        <v>63539</v>
      </c>
      <c r="E1166" s="404">
        <v>184539</v>
      </c>
      <c r="F1166" s="404">
        <v>7059</v>
      </c>
      <c r="G1166" s="404">
        <v>6050</v>
      </c>
      <c r="H1166" s="404">
        <v>2824</v>
      </c>
      <c r="I1166" s="404">
        <v>8874</v>
      </c>
      <c r="L1166" s="350">
        <v>0.315</v>
      </c>
      <c r="M1166" s="350">
        <v>3.5000000000000003E-2</v>
      </c>
      <c r="N1166" s="351" t="str">
        <f t="shared" si="38"/>
        <v>12100020</v>
      </c>
      <c r="P1166" s="351" t="str">
        <f t="shared" si="37"/>
        <v>T</v>
      </c>
    </row>
    <row r="1167" spans="1:16">
      <c r="A1167" s="401" t="s">
        <v>74</v>
      </c>
      <c r="B1167" s="404">
        <v>121000</v>
      </c>
      <c r="C1167" s="405">
        <v>22</v>
      </c>
      <c r="D1167" s="404">
        <v>69893</v>
      </c>
      <c r="E1167" s="404">
        <v>190893</v>
      </c>
      <c r="F1167" s="404">
        <v>7765</v>
      </c>
      <c r="G1167" s="404">
        <v>5500</v>
      </c>
      <c r="H1167" s="404">
        <v>2824</v>
      </c>
      <c r="I1167" s="404">
        <v>8324</v>
      </c>
      <c r="L1167" s="350">
        <v>0.315</v>
      </c>
      <c r="M1167" s="350">
        <v>3.5000000000000003E-2</v>
      </c>
      <c r="N1167" s="351" t="str">
        <f t="shared" si="38"/>
        <v>12100022</v>
      </c>
      <c r="P1167" s="351" t="str">
        <f t="shared" si="37"/>
        <v>T</v>
      </c>
    </row>
    <row r="1168" spans="1:16">
      <c r="A1168" s="401" t="s">
        <v>74</v>
      </c>
      <c r="B1168" s="404">
        <v>121000</v>
      </c>
      <c r="C1168" s="405">
        <v>24</v>
      </c>
      <c r="D1168" s="404">
        <v>76255</v>
      </c>
      <c r="E1168" s="404">
        <v>197255</v>
      </c>
      <c r="F1168" s="404">
        <v>8471</v>
      </c>
      <c r="G1168" s="404">
        <v>5042</v>
      </c>
      <c r="H1168" s="404">
        <v>2824</v>
      </c>
      <c r="I1168" s="404">
        <v>7866</v>
      </c>
      <c r="L1168" s="350">
        <v>0.315</v>
      </c>
      <c r="M1168" s="350">
        <v>3.5000000000000003E-2</v>
      </c>
      <c r="N1168" s="351" t="str">
        <f t="shared" si="38"/>
        <v>12100024</v>
      </c>
      <c r="P1168" s="351" t="str">
        <f t="shared" si="37"/>
        <v>T</v>
      </c>
    </row>
    <row r="1169" spans="1:16">
      <c r="A1169" s="401" t="s">
        <v>74</v>
      </c>
      <c r="B1169" s="404">
        <v>122000</v>
      </c>
      <c r="C1169" s="405">
        <v>4</v>
      </c>
      <c r="D1169" s="404">
        <v>12812</v>
      </c>
      <c r="E1169" s="404">
        <v>134812</v>
      </c>
      <c r="F1169" s="404">
        <v>1424</v>
      </c>
      <c r="G1169" s="404">
        <v>30500</v>
      </c>
      <c r="H1169" s="404">
        <v>2847</v>
      </c>
      <c r="I1169" s="404">
        <v>33347</v>
      </c>
      <c r="L1169" s="350">
        <v>0.315</v>
      </c>
      <c r="M1169" s="350">
        <v>3.5000000000000003E-2</v>
      </c>
      <c r="N1169" s="351" t="str">
        <f t="shared" si="38"/>
        <v>1220004</v>
      </c>
      <c r="P1169" s="351" t="str">
        <f t="shared" si="37"/>
        <v>T</v>
      </c>
    </row>
    <row r="1170" spans="1:16">
      <c r="A1170" s="401" t="s">
        <v>74</v>
      </c>
      <c r="B1170" s="404">
        <v>122000</v>
      </c>
      <c r="C1170" s="405">
        <v>6</v>
      </c>
      <c r="D1170" s="404">
        <v>19222</v>
      </c>
      <c r="E1170" s="404">
        <v>141222</v>
      </c>
      <c r="F1170" s="404">
        <v>2136</v>
      </c>
      <c r="G1170" s="404">
        <v>20334</v>
      </c>
      <c r="H1170" s="404">
        <v>2847</v>
      </c>
      <c r="I1170" s="404">
        <v>23181</v>
      </c>
      <c r="L1170" s="350">
        <v>0.315</v>
      </c>
      <c r="M1170" s="350">
        <v>3.5000000000000003E-2</v>
      </c>
      <c r="N1170" s="351" t="str">
        <f t="shared" si="38"/>
        <v>1220006</v>
      </c>
      <c r="P1170" s="351" t="str">
        <f t="shared" si="37"/>
        <v>T</v>
      </c>
    </row>
    <row r="1171" spans="1:16">
      <c r="A1171" s="401" t="s">
        <v>74</v>
      </c>
      <c r="B1171" s="404">
        <v>122000</v>
      </c>
      <c r="C1171" s="405">
        <v>8</v>
      </c>
      <c r="D1171" s="404">
        <v>25623</v>
      </c>
      <c r="E1171" s="404">
        <v>147623</v>
      </c>
      <c r="F1171" s="404">
        <v>2847</v>
      </c>
      <c r="G1171" s="404">
        <v>15250</v>
      </c>
      <c r="H1171" s="404">
        <v>2847</v>
      </c>
      <c r="I1171" s="404">
        <v>18097</v>
      </c>
      <c r="L1171" s="350">
        <v>0.315</v>
      </c>
      <c r="M1171" s="350">
        <v>3.5000000000000003E-2</v>
      </c>
      <c r="N1171" s="351" t="str">
        <f t="shared" si="38"/>
        <v>1220008</v>
      </c>
      <c r="P1171" s="351" t="str">
        <f t="shared" si="37"/>
        <v>T</v>
      </c>
    </row>
    <row r="1172" spans="1:16">
      <c r="A1172" s="401" t="s">
        <v>74</v>
      </c>
      <c r="B1172" s="404">
        <v>122000</v>
      </c>
      <c r="C1172" s="405">
        <v>10</v>
      </c>
      <c r="D1172" s="404">
        <v>32029</v>
      </c>
      <c r="E1172" s="404">
        <v>154029</v>
      </c>
      <c r="F1172" s="404">
        <v>3559</v>
      </c>
      <c r="G1172" s="404">
        <v>12200</v>
      </c>
      <c r="H1172" s="404">
        <v>2847</v>
      </c>
      <c r="I1172" s="404">
        <v>15047</v>
      </c>
      <c r="L1172" s="350">
        <v>0.315</v>
      </c>
      <c r="M1172" s="350">
        <v>3.5000000000000003E-2</v>
      </c>
      <c r="N1172" s="351" t="str">
        <f t="shared" si="38"/>
        <v>12200010</v>
      </c>
      <c r="P1172" s="351" t="str">
        <f t="shared" si="37"/>
        <v>T</v>
      </c>
    </row>
    <row r="1173" spans="1:16">
      <c r="A1173" s="401" t="s">
        <v>74</v>
      </c>
      <c r="B1173" s="404">
        <v>122000</v>
      </c>
      <c r="C1173" s="405">
        <v>12</v>
      </c>
      <c r="D1173" s="404">
        <v>38439</v>
      </c>
      <c r="E1173" s="404">
        <v>160439</v>
      </c>
      <c r="F1173" s="404">
        <v>4271</v>
      </c>
      <c r="G1173" s="404">
        <v>10167</v>
      </c>
      <c r="H1173" s="404">
        <v>2847</v>
      </c>
      <c r="I1173" s="404">
        <v>13014</v>
      </c>
      <c r="L1173" s="350">
        <v>0.315</v>
      </c>
      <c r="M1173" s="350">
        <v>3.5000000000000003E-2</v>
      </c>
      <c r="N1173" s="351" t="str">
        <f t="shared" si="38"/>
        <v>12200012</v>
      </c>
      <c r="P1173" s="351" t="str">
        <f t="shared" si="37"/>
        <v>T</v>
      </c>
    </row>
    <row r="1174" spans="1:16">
      <c r="A1174" s="401" t="s">
        <v>74</v>
      </c>
      <c r="B1174" s="404">
        <v>122000</v>
      </c>
      <c r="C1174" s="405">
        <v>14</v>
      </c>
      <c r="D1174" s="404">
        <v>44836</v>
      </c>
      <c r="E1174" s="404">
        <v>166836</v>
      </c>
      <c r="F1174" s="404">
        <v>4982</v>
      </c>
      <c r="G1174" s="404">
        <v>8715</v>
      </c>
      <c r="H1174" s="404">
        <v>2846</v>
      </c>
      <c r="I1174" s="404">
        <v>11561</v>
      </c>
      <c r="L1174" s="350">
        <v>0.315</v>
      </c>
      <c r="M1174" s="350">
        <v>3.5000000000000003E-2</v>
      </c>
      <c r="N1174" s="351" t="str">
        <f t="shared" si="38"/>
        <v>12200014</v>
      </c>
      <c r="P1174" s="351" t="str">
        <f t="shared" si="37"/>
        <v>T</v>
      </c>
    </row>
    <row r="1175" spans="1:16">
      <c r="A1175" s="401" t="s">
        <v>74</v>
      </c>
      <c r="B1175" s="404">
        <v>122000</v>
      </c>
      <c r="C1175" s="405">
        <v>16</v>
      </c>
      <c r="D1175" s="404">
        <v>51246</v>
      </c>
      <c r="E1175" s="404">
        <v>173246</v>
      </c>
      <c r="F1175" s="404">
        <v>5694</v>
      </c>
      <c r="G1175" s="404">
        <v>7625</v>
      </c>
      <c r="H1175" s="404">
        <v>2847</v>
      </c>
      <c r="I1175" s="404">
        <v>10472</v>
      </c>
      <c r="L1175" s="350">
        <v>0.315</v>
      </c>
      <c r="M1175" s="350">
        <v>3.5000000000000003E-2</v>
      </c>
      <c r="N1175" s="351" t="str">
        <f t="shared" si="38"/>
        <v>12200016</v>
      </c>
      <c r="P1175" s="351" t="str">
        <f t="shared" si="37"/>
        <v>T</v>
      </c>
    </row>
    <row r="1176" spans="1:16">
      <c r="A1176" s="401" t="s">
        <v>74</v>
      </c>
      <c r="B1176" s="404">
        <v>122000</v>
      </c>
      <c r="C1176" s="405">
        <v>18</v>
      </c>
      <c r="D1176" s="404">
        <v>57656</v>
      </c>
      <c r="E1176" s="404">
        <v>179656</v>
      </c>
      <c r="F1176" s="404">
        <v>6406</v>
      </c>
      <c r="G1176" s="404">
        <v>6778</v>
      </c>
      <c r="H1176" s="404">
        <v>2847</v>
      </c>
      <c r="I1176" s="404">
        <v>9625</v>
      </c>
      <c r="L1176" s="350">
        <v>0.315</v>
      </c>
      <c r="M1176" s="350">
        <v>3.5000000000000003E-2</v>
      </c>
      <c r="N1176" s="351" t="str">
        <f t="shared" si="38"/>
        <v>12200018</v>
      </c>
      <c r="P1176" s="351" t="str">
        <f t="shared" si="37"/>
        <v>T</v>
      </c>
    </row>
    <row r="1177" spans="1:16">
      <c r="A1177" s="401" t="s">
        <v>74</v>
      </c>
      <c r="B1177" s="404">
        <v>122000</v>
      </c>
      <c r="C1177" s="405">
        <v>20</v>
      </c>
      <c r="D1177" s="404">
        <v>64057</v>
      </c>
      <c r="E1177" s="404">
        <v>186057</v>
      </c>
      <c r="F1177" s="404">
        <v>7117</v>
      </c>
      <c r="G1177" s="404">
        <v>6100</v>
      </c>
      <c r="H1177" s="404">
        <v>2847</v>
      </c>
      <c r="I1177" s="404">
        <v>8947</v>
      </c>
      <c r="L1177" s="350">
        <v>0.315</v>
      </c>
      <c r="M1177" s="350">
        <v>3.5000000000000003E-2</v>
      </c>
      <c r="N1177" s="351" t="str">
        <f t="shared" si="38"/>
        <v>12200020</v>
      </c>
      <c r="P1177" s="351" t="str">
        <f t="shared" si="37"/>
        <v>T</v>
      </c>
    </row>
    <row r="1178" spans="1:16">
      <c r="A1178" s="401" t="s">
        <v>74</v>
      </c>
      <c r="B1178" s="404">
        <v>122000</v>
      </c>
      <c r="C1178" s="405">
        <v>22</v>
      </c>
      <c r="D1178" s="404">
        <v>70475</v>
      </c>
      <c r="E1178" s="404">
        <v>192475</v>
      </c>
      <c r="F1178" s="404">
        <v>7829</v>
      </c>
      <c r="G1178" s="404">
        <v>5546</v>
      </c>
      <c r="H1178" s="404">
        <v>2847</v>
      </c>
      <c r="I1178" s="404">
        <v>8393</v>
      </c>
      <c r="L1178" s="350">
        <v>0.315</v>
      </c>
      <c r="M1178" s="350">
        <v>3.5000000000000003E-2</v>
      </c>
      <c r="N1178" s="351" t="str">
        <f t="shared" si="38"/>
        <v>12200022</v>
      </c>
      <c r="P1178" s="351" t="str">
        <f t="shared" si="37"/>
        <v>T</v>
      </c>
    </row>
    <row r="1179" spans="1:16">
      <c r="A1179" s="401" t="s">
        <v>74</v>
      </c>
      <c r="B1179" s="404">
        <v>122000</v>
      </c>
      <c r="C1179" s="405">
        <v>24</v>
      </c>
      <c r="D1179" s="404">
        <v>76885</v>
      </c>
      <c r="E1179" s="404">
        <v>198885</v>
      </c>
      <c r="F1179" s="404">
        <v>8541</v>
      </c>
      <c r="G1179" s="404">
        <v>5084</v>
      </c>
      <c r="H1179" s="404">
        <v>2847</v>
      </c>
      <c r="I1179" s="404">
        <v>7931</v>
      </c>
      <c r="L1179" s="350">
        <v>0.315</v>
      </c>
      <c r="M1179" s="350">
        <v>3.5000000000000003E-2</v>
      </c>
      <c r="N1179" s="351" t="str">
        <f t="shared" si="38"/>
        <v>12200024</v>
      </c>
      <c r="P1179" s="351" t="str">
        <f t="shared" si="37"/>
        <v>T</v>
      </c>
    </row>
    <row r="1180" spans="1:16">
      <c r="A1180" s="401" t="s">
        <v>74</v>
      </c>
      <c r="B1180" s="404">
        <v>123000</v>
      </c>
      <c r="C1180" s="405">
        <v>4</v>
      </c>
      <c r="D1180" s="404">
        <v>12920</v>
      </c>
      <c r="E1180" s="404">
        <v>135920</v>
      </c>
      <c r="F1180" s="404">
        <v>1436</v>
      </c>
      <c r="G1180" s="404">
        <v>30750</v>
      </c>
      <c r="H1180" s="404">
        <v>2871</v>
      </c>
      <c r="I1180" s="404">
        <v>33621</v>
      </c>
      <c r="L1180" s="350">
        <v>0.315</v>
      </c>
      <c r="M1180" s="350">
        <v>3.5000000000000003E-2</v>
      </c>
      <c r="N1180" s="351" t="str">
        <f t="shared" si="38"/>
        <v>1230004</v>
      </c>
      <c r="P1180" s="351" t="str">
        <f t="shared" si="37"/>
        <v>T</v>
      </c>
    </row>
    <row r="1181" spans="1:16">
      <c r="A1181" s="401" t="s">
        <v>74</v>
      </c>
      <c r="B1181" s="404">
        <v>123000</v>
      </c>
      <c r="C1181" s="405">
        <v>6</v>
      </c>
      <c r="D1181" s="404">
        <v>19379</v>
      </c>
      <c r="E1181" s="404">
        <v>142379</v>
      </c>
      <c r="F1181" s="404">
        <v>2153</v>
      </c>
      <c r="G1181" s="404">
        <v>20500</v>
      </c>
      <c r="H1181" s="404">
        <v>2871</v>
      </c>
      <c r="I1181" s="404">
        <v>23371</v>
      </c>
      <c r="L1181" s="350">
        <v>0.315</v>
      </c>
      <c r="M1181" s="350">
        <v>3.5000000000000003E-2</v>
      </c>
      <c r="N1181" s="351" t="str">
        <f t="shared" si="38"/>
        <v>1230006</v>
      </c>
      <c r="P1181" s="351" t="str">
        <f t="shared" si="37"/>
        <v>T</v>
      </c>
    </row>
    <row r="1182" spans="1:16">
      <c r="A1182" s="401" t="s">
        <v>74</v>
      </c>
      <c r="B1182" s="404">
        <v>123000</v>
      </c>
      <c r="C1182" s="405">
        <v>8</v>
      </c>
      <c r="D1182" s="404">
        <v>25839</v>
      </c>
      <c r="E1182" s="404">
        <v>148839</v>
      </c>
      <c r="F1182" s="404">
        <v>2871</v>
      </c>
      <c r="G1182" s="404">
        <v>15375</v>
      </c>
      <c r="H1182" s="404">
        <v>2871</v>
      </c>
      <c r="I1182" s="404">
        <v>18246</v>
      </c>
      <c r="L1182" s="350">
        <v>0.315</v>
      </c>
      <c r="M1182" s="350">
        <v>3.5000000000000003E-2</v>
      </c>
      <c r="N1182" s="351" t="str">
        <f t="shared" si="38"/>
        <v>1230008</v>
      </c>
      <c r="P1182" s="351" t="str">
        <f t="shared" si="37"/>
        <v>T</v>
      </c>
    </row>
    <row r="1183" spans="1:16">
      <c r="A1183" s="401" t="s">
        <v>74</v>
      </c>
      <c r="B1183" s="404">
        <v>123000</v>
      </c>
      <c r="C1183" s="405">
        <v>10</v>
      </c>
      <c r="D1183" s="404">
        <v>32298</v>
      </c>
      <c r="E1183" s="404">
        <v>155298</v>
      </c>
      <c r="F1183" s="404">
        <v>3588</v>
      </c>
      <c r="G1183" s="404">
        <v>12300</v>
      </c>
      <c r="H1183" s="404">
        <v>2871</v>
      </c>
      <c r="I1183" s="404">
        <v>15171</v>
      </c>
      <c r="L1183" s="350">
        <v>0.315</v>
      </c>
      <c r="M1183" s="350">
        <v>3.5000000000000003E-2</v>
      </c>
      <c r="N1183" s="351" t="str">
        <f t="shared" si="38"/>
        <v>12300010</v>
      </c>
      <c r="P1183" s="351" t="str">
        <f t="shared" si="37"/>
        <v>T</v>
      </c>
    </row>
    <row r="1184" spans="1:16">
      <c r="A1184" s="401" t="s">
        <v>74</v>
      </c>
      <c r="B1184" s="404">
        <v>123000</v>
      </c>
      <c r="C1184" s="405">
        <v>12</v>
      </c>
      <c r="D1184" s="404">
        <v>38758</v>
      </c>
      <c r="E1184" s="404">
        <v>161758</v>
      </c>
      <c r="F1184" s="404">
        <v>4306</v>
      </c>
      <c r="G1184" s="404">
        <v>10250</v>
      </c>
      <c r="H1184" s="404">
        <v>2871</v>
      </c>
      <c r="I1184" s="404">
        <v>13121</v>
      </c>
      <c r="L1184" s="350">
        <v>0.315</v>
      </c>
      <c r="M1184" s="350">
        <v>3.5000000000000003E-2</v>
      </c>
      <c r="N1184" s="351" t="str">
        <f t="shared" si="38"/>
        <v>12300012</v>
      </c>
      <c r="P1184" s="351" t="str">
        <f t="shared" si="37"/>
        <v>T</v>
      </c>
    </row>
    <row r="1185" spans="1:16">
      <c r="A1185" s="401" t="s">
        <v>74</v>
      </c>
      <c r="B1185" s="404">
        <v>123000</v>
      </c>
      <c r="C1185" s="405">
        <v>14</v>
      </c>
      <c r="D1185" s="404">
        <v>45207</v>
      </c>
      <c r="E1185" s="404">
        <v>168207</v>
      </c>
      <c r="F1185" s="404">
        <v>5023</v>
      </c>
      <c r="G1185" s="404">
        <v>8786</v>
      </c>
      <c r="H1185" s="404">
        <v>2870</v>
      </c>
      <c r="I1185" s="404">
        <v>11656</v>
      </c>
      <c r="L1185" s="350">
        <v>0.315</v>
      </c>
      <c r="M1185" s="350">
        <v>3.5000000000000003E-2</v>
      </c>
      <c r="N1185" s="351" t="str">
        <f t="shared" si="38"/>
        <v>12300014</v>
      </c>
      <c r="P1185" s="351" t="str">
        <f t="shared" si="37"/>
        <v>T</v>
      </c>
    </row>
    <row r="1186" spans="1:16">
      <c r="A1186" s="401" t="s">
        <v>74</v>
      </c>
      <c r="B1186" s="404">
        <v>123000</v>
      </c>
      <c r="C1186" s="405">
        <v>16</v>
      </c>
      <c r="D1186" s="404">
        <v>51669</v>
      </c>
      <c r="E1186" s="404">
        <v>174669</v>
      </c>
      <c r="F1186" s="404">
        <v>5741</v>
      </c>
      <c r="G1186" s="404">
        <v>7688</v>
      </c>
      <c r="H1186" s="404">
        <v>2870</v>
      </c>
      <c r="I1186" s="404">
        <v>10558</v>
      </c>
      <c r="L1186" s="350">
        <v>0.315</v>
      </c>
      <c r="M1186" s="350">
        <v>3.5000000000000003E-2</v>
      </c>
      <c r="N1186" s="351" t="str">
        <f t="shared" si="38"/>
        <v>12300016</v>
      </c>
      <c r="P1186" s="351" t="str">
        <f t="shared" si="37"/>
        <v>T</v>
      </c>
    </row>
    <row r="1187" spans="1:16">
      <c r="A1187" s="401" t="s">
        <v>74</v>
      </c>
      <c r="B1187" s="404">
        <v>123000</v>
      </c>
      <c r="C1187" s="405">
        <v>18</v>
      </c>
      <c r="D1187" s="404">
        <v>58130</v>
      </c>
      <c r="E1187" s="404">
        <v>181130</v>
      </c>
      <c r="F1187" s="404">
        <v>6458</v>
      </c>
      <c r="G1187" s="404">
        <v>6834</v>
      </c>
      <c r="H1187" s="404">
        <v>2870</v>
      </c>
      <c r="I1187" s="404">
        <v>9704</v>
      </c>
      <c r="L1187" s="350">
        <v>0.315</v>
      </c>
      <c r="M1187" s="350">
        <v>3.5000000000000003E-2</v>
      </c>
      <c r="N1187" s="351" t="str">
        <f t="shared" si="38"/>
        <v>12300018</v>
      </c>
      <c r="P1187" s="351" t="str">
        <f t="shared" si="37"/>
        <v>T</v>
      </c>
    </row>
    <row r="1188" spans="1:16">
      <c r="A1188" s="401" t="s">
        <v>74</v>
      </c>
      <c r="B1188" s="404">
        <v>123000</v>
      </c>
      <c r="C1188" s="405">
        <v>20</v>
      </c>
      <c r="D1188" s="404">
        <v>64596</v>
      </c>
      <c r="E1188" s="404">
        <v>187596</v>
      </c>
      <c r="F1188" s="404">
        <v>7176</v>
      </c>
      <c r="G1188" s="404">
        <v>6150</v>
      </c>
      <c r="H1188" s="404">
        <v>2871</v>
      </c>
      <c r="I1188" s="404">
        <v>9021</v>
      </c>
      <c r="L1188" s="350">
        <v>0.315</v>
      </c>
      <c r="M1188" s="350">
        <v>3.5000000000000003E-2</v>
      </c>
      <c r="N1188" s="351" t="str">
        <f t="shared" si="38"/>
        <v>12300020</v>
      </c>
      <c r="P1188" s="351" t="str">
        <f t="shared" si="37"/>
        <v>T</v>
      </c>
    </row>
    <row r="1189" spans="1:16">
      <c r="A1189" s="401" t="s">
        <v>74</v>
      </c>
      <c r="B1189" s="404">
        <v>123000</v>
      </c>
      <c r="C1189" s="405">
        <v>22</v>
      </c>
      <c r="D1189" s="404">
        <v>71035</v>
      </c>
      <c r="E1189" s="404">
        <v>194035</v>
      </c>
      <c r="F1189" s="404">
        <v>7893</v>
      </c>
      <c r="G1189" s="404">
        <v>5591</v>
      </c>
      <c r="H1189" s="404">
        <v>2870</v>
      </c>
      <c r="I1189" s="404">
        <v>8461</v>
      </c>
      <c r="L1189" s="350">
        <v>0.315</v>
      </c>
      <c r="M1189" s="350">
        <v>3.5000000000000003E-2</v>
      </c>
      <c r="N1189" s="351" t="str">
        <f t="shared" si="38"/>
        <v>12300022</v>
      </c>
      <c r="P1189" s="351" t="str">
        <f t="shared" si="37"/>
        <v>T</v>
      </c>
    </row>
    <row r="1190" spans="1:16">
      <c r="A1190" s="401" t="s">
        <v>74</v>
      </c>
      <c r="B1190" s="404">
        <v>123000</v>
      </c>
      <c r="C1190" s="405">
        <v>24</v>
      </c>
      <c r="D1190" s="404">
        <v>77515</v>
      </c>
      <c r="E1190" s="404">
        <v>200515</v>
      </c>
      <c r="F1190" s="404">
        <v>8611</v>
      </c>
      <c r="G1190" s="404">
        <v>5125</v>
      </c>
      <c r="H1190" s="404">
        <v>2871</v>
      </c>
      <c r="I1190" s="404">
        <v>7996</v>
      </c>
      <c r="L1190" s="350">
        <v>0.315</v>
      </c>
      <c r="M1190" s="350">
        <v>3.5000000000000003E-2</v>
      </c>
      <c r="N1190" s="351" t="str">
        <f t="shared" si="38"/>
        <v>12300024</v>
      </c>
      <c r="P1190" s="351" t="str">
        <f t="shared" si="37"/>
        <v>T</v>
      </c>
    </row>
    <row r="1191" spans="1:16">
      <c r="A1191" s="401" t="s">
        <v>74</v>
      </c>
      <c r="B1191" s="404">
        <v>124000</v>
      </c>
      <c r="C1191" s="405">
        <v>4</v>
      </c>
      <c r="D1191" s="404">
        <v>13023</v>
      </c>
      <c r="E1191" s="404">
        <v>137023</v>
      </c>
      <c r="F1191" s="404">
        <v>1447</v>
      </c>
      <c r="G1191" s="404">
        <v>31000</v>
      </c>
      <c r="H1191" s="404">
        <v>2894</v>
      </c>
      <c r="I1191" s="404">
        <v>33894</v>
      </c>
      <c r="L1191" s="350">
        <v>0.315</v>
      </c>
      <c r="M1191" s="350">
        <v>3.5000000000000003E-2</v>
      </c>
      <c r="N1191" s="351" t="str">
        <f t="shared" si="38"/>
        <v>1240004</v>
      </c>
      <c r="P1191" s="351" t="str">
        <f t="shared" si="37"/>
        <v>T</v>
      </c>
    </row>
    <row r="1192" spans="1:16">
      <c r="A1192" s="401" t="s">
        <v>74</v>
      </c>
      <c r="B1192" s="404">
        <v>124000</v>
      </c>
      <c r="C1192" s="405">
        <v>6</v>
      </c>
      <c r="D1192" s="404">
        <v>19537</v>
      </c>
      <c r="E1192" s="404">
        <v>143537</v>
      </c>
      <c r="F1192" s="404">
        <v>2171</v>
      </c>
      <c r="G1192" s="404">
        <v>20667</v>
      </c>
      <c r="H1192" s="404">
        <v>2894</v>
      </c>
      <c r="I1192" s="404">
        <v>23561</v>
      </c>
      <c r="L1192" s="350">
        <v>0.315</v>
      </c>
      <c r="M1192" s="350">
        <v>3.5000000000000003E-2</v>
      </c>
      <c r="N1192" s="351" t="str">
        <f t="shared" si="38"/>
        <v>1240006</v>
      </c>
      <c r="P1192" s="351" t="str">
        <f t="shared" si="37"/>
        <v>T</v>
      </c>
    </row>
    <row r="1193" spans="1:16">
      <c r="A1193" s="401" t="s">
        <v>74</v>
      </c>
      <c r="B1193" s="404">
        <v>124000</v>
      </c>
      <c r="C1193" s="405">
        <v>8</v>
      </c>
      <c r="D1193" s="404">
        <v>26046</v>
      </c>
      <c r="E1193" s="404">
        <v>150046</v>
      </c>
      <c r="F1193" s="404">
        <v>2894</v>
      </c>
      <c r="G1193" s="404">
        <v>15500</v>
      </c>
      <c r="H1193" s="404">
        <v>2894</v>
      </c>
      <c r="I1193" s="404">
        <v>18394</v>
      </c>
      <c r="L1193" s="350">
        <v>0.315</v>
      </c>
      <c r="M1193" s="350">
        <v>3.5000000000000003E-2</v>
      </c>
      <c r="N1193" s="351" t="str">
        <f t="shared" si="38"/>
        <v>1240008</v>
      </c>
      <c r="P1193" s="351" t="str">
        <f t="shared" si="37"/>
        <v>T</v>
      </c>
    </row>
    <row r="1194" spans="1:16">
      <c r="A1194" s="401" t="s">
        <v>74</v>
      </c>
      <c r="B1194" s="404">
        <v>124000</v>
      </c>
      <c r="C1194" s="405">
        <v>10</v>
      </c>
      <c r="D1194" s="404">
        <v>32557</v>
      </c>
      <c r="E1194" s="404">
        <v>156557</v>
      </c>
      <c r="F1194" s="404">
        <v>3617</v>
      </c>
      <c r="G1194" s="404">
        <v>12400</v>
      </c>
      <c r="H1194" s="404">
        <v>2894</v>
      </c>
      <c r="I1194" s="404">
        <v>15294</v>
      </c>
      <c r="L1194" s="350">
        <v>0.315</v>
      </c>
      <c r="M1194" s="350">
        <v>3.5000000000000003E-2</v>
      </c>
      <c r="N1194" s="351" t="str">
        <f t="shared" si="38"/>
        <v>12400010</v>
      </c>
      <c r="P1194" s="351" t="str">
        <f t="shared" si="37"/>
        <v>T</v>
      </c>
    </row>
    <row r="1195" spans="1:16">
      <c r="A1195" s="401" t="s">
        <v>74</v>
      </c>
      <c r="B1195" s="404">
        <v>124000</v>
      </c>
      <c r="C1195" s="405">
        <v>12</v>
      </c>
      <c r="D1195" s="404">
        <v>39065</v>
      </c>
      <c r="E1195" s="404">
        <v>163065</v>
      </c>
      <c r="F1195" s="404">
        <v>4341</v>
      </c>
      <c r="G1195" s="404">
        <v>10334</v>
      </c>
      <c r="H1195" s="404">
        <v>2893</v>
      </c>
      <c r="I1195" s="404">
        <v>13227</v>
      </c>
      <c r="L1195" s="350">
        <v>0.315</v>
      </c>
      <c r="M1195" s="350">
        <v>3.5000000000000003E-2</v>
      </c>
      <c r="N1195" s="351" t="str">
        <f t="shared" si="38"/>
        <v>12400012</v>
      </c>
      <c r="P1195" s="351" t="str">
        <f t="shared" si="37"/>
        <v>T</v>
      </c>
    </row>
    <row r="1196" spans="1:16">
      <c r="A1196" s="401" t="s">
        <v>74</v>
      </c>
      <c r="B1196" s="404">
        <v>124000</v>
      </c>
      <c r="C1196" s="405">
        <v>14</v>
      </c>
      <c r="D1196" s="404">
        <v>45578</v>
      </c>
      <c r="E1196" s="404">
        <v>169578</v>
      </c>
      <c r="F1196" s="404">
        <v>5064</v>
      </c>
      <c r="G1196" s="404">
        <v>8858</v>
      </c>
      <c r="H1196" s="404">
        <v>2893</v>
      </c>
      <c r="I1196" s="404">
        <v>11751</v>
      </c>
      <c r="L1196" s="350">
        <v>0.315</v>
      </c>
      <c r="M1196" s="350">
        <v>3.5000000000000003E-2</v>
      </c>
      <c r="N1196" s="351" t="str">
        <f t="shared" si="38"/>
        <v>12400014</v>
      </c>
      <c r="P1196" s="351" t="str">
        <f t="shared" si="37"/>
        <v>T</v>
      </c>
    </row>
    <row r="1197" spans="1:16">
      <c r="A1197" s="401" t="s">
        <v>74</v>
      </c>
      <c r="B1197" s="404">
        <v>124000</v>
      </c>
      <c r="C1197" s="405">
        <v>16</v>
      </c>
      <c r="D1197" s="404">
        <v>52091</v>
      </c>
      <c r="E1197" s="404">
        <v>176091</v>
      </c>
      <c r="F1197" s="404">
        <v>5787</v>
      </c>
      <c r="G1197" s="404">
        <v>7750</v>
      </c>
      <c r="H1197" s="404">
        <v>2894</v>
      </c>
      <c r="I1197" s="404">
        <v>10644</v>
      </c>
      <c r="L1197" s="350">
        <v>0.315</v>
      </c>
      <c r="M1197" s="350">
        <v>3.5000000000000003E-2</v>
      </c>
      <c r="N1197" s="351" t="str">
        <f t="shared" si="38"/>
        <v>12400016</v>
      </c>
      <c r="P1197" s="351" t="str">
        <f t="shared" si="37"/>
        <v>T</v>
      </c>
    </row>
    <row r="1198" spans="1:16">
      <c r="A1198" s="401" t="s">
        <v>74</v>
      </c>
      <c r="B1198" s="404">
        <v>124000</v>
      </c>
      <c r="C1198" s="405">
        <v>18</v>
      </c>
      <c r="D1198" s="404">
        <v>58605</v>
      </c>
      <c r="E1198" s="404">
        <v>182605</v>
      </c>
      <c r="F1198" s="404">
        <v>6511</v>
      </c>
      <c r="G1198" s="404">
        <v>6889</v>
      </c>
      <c r="H1198" s="404">
        <v>2894</v>
      </c>
      <c r="I1198" s="404">
        <v>9783</v>
      </c>
      <c r="L1198" s="350">
        <v>0.315</v>
      </c>
      <c r="M1198" s="350">
        <v>3.5000000000000003E-2</v>
      </c>
      <c r="N1198" s="351" t="str">
        <f t="shared" si="38"/>
        <v>12400018</v>
      </c>
      <c r="P1198" s="351" t="str">
        <f t="shared" si="37"/>
        <v>T</v>
      </c>
    </row>
    <row r="1199" spans="1:16">
      <c r="A1199" s="401" t="s">
        <v>74</v>
      </c>
      <c r="B1199" s="404">
        <v>124000</v>
      </c>
      <c r="C1199" s="405">
        <v>20</v>
      </c>
      <c r="D1199" s="404">
        <v>65114</v>
      </c>
      <c r="E1199" s="404">
        <v>189114</v>
      </c>
      <c r="F1199" s="404">
        <v>7234</v>
      </c>
      <c r="G1199" s="404">
        <v>6200</v>
      </c>
      <c r="H1199" s="404">
        <v>2894</v>
      </c>
      <c r="I1199" s="404">
        <v>9094</v>
      </c>
      <c r="L1199" s="350">
        <v>0.315</v>
      </c>
      <c r="M1199" s="350">
        <v>3.5000000000000003E-2</v>
      </c>
      <c r="N1199" s="351" t="str">
        <f t="shared" si="38"/>
        <v>12400020</v>
      </c>
      <c r="P1199" s="351" t="str">
        <f t="shared" si="37"/>
        <v>T</v>
      </c>
    </row>
    <row r="1200" spans="1:16">
      <c r="A1200" s="401" t="s">
        <v>74</v>
      </c>
      <c r="B1200" s="404">
        <v>124000</v>
      </c>
      <c r="C1200" s="405">
        <v>22</v>
      </c>
      <c r="D1200" s="404">
        <v>71617</v>
      </c>
      <c r="E1200" s="404">
        <v>195617</v>
      </c>
      <c r="F1200" s="404">
        <v>7957</v>
      </c>
      <c r="G1200" s="404">
        <v>5637</v>
      </c>
      <c r="H1200" s="404">
        <v>2893</v>
      </c>
      <c r="I1200" s="404">
        <v>8530</v>
      </c>
      <c r="L1200" s="350">
        <v>0.315</v>
      </c>
      <c r="M1200" s="350">
        <v>3.5000000000000003E-2</v>
      </c>
      <c r="N1200" s="351" t="str">
        <f t="shared" si="38"/>
        <v>12400022</v>
      </c>
      <c r="P1200" s="351" t="str">
        <f t="shared" si="37"/>
        <v>T</v>
      </c>
    </row>
    <row r="1201" spans="1:16">
      <c r="A1201" s="401" t="s">
        <v>74</v>
      </c>
      <c r="B1201" s="404">
        <v>124000</v>
      </c>
      <c r="C1201" s="405">
        <v>24</v>
      </c>
      <c r="D1201" s="404">
        <v>78145</v>
      </c>
      <c r="E1201" s="404">
        <v>202145</v>
      </c>
      <c r="F1201" s="404">
        <v>8681</v>
      </c>
      <c r="G1201" s="404">
        <v>5167</v>
      </c>
      <c r="H1201" s="404">
        <v>2894</v>
      </c>
      <c r="I1201" s="404">
        <v>8061</v>
      </c>
      <c r="L1201" s="350">
        <v>0.315</v>
      </c>
      <c r="M1201" s="350">
        <v>3.5000000000000003E-2</v>
      </c>
      <c r="N1201" s="351" t="str">
        <f t="shared" si="38"/>
        <v>12400024</v>
      </c>
      <c r="P1201" s="351" t="str">
        <f t="shared" si="37"/>
        <v>T</v>
      </c>
    </row>
    <row r="1202" spans="1:16">
      <c r="A1202" s="401" t="s">
        <v>74</v>
      </c>
      <c r="B1202" s="404">
        <v>125000</v>
      </c>
      <c r="C1202" s="405">
        <v>4</v>
      </c>
      <c r="D1202" s="404">
        <v>13127</v>
      </c>
      <c r="E1202" s="404">
        <v>138127</v>
      </c>
      <c r="F1202" s="404">
        <v>1459</v>
      </c>
      <c r="G1202" s="404">
        <v>31250</v>
      </c>
      <c r="H1202" s="404">
        <v>2917</v>
      </c>
      <c r="I1202" s="404">
        <v>34167</v>
      </c>
      <c r="L1202" s="350">
        <v>0.315</v>
      </c>
      <c r="M1202" s="350">
        <v>3.5000000000000003E-2</v>
      </c>
      <c r="N1202" s="351" t="str">
        <f t="shared" si="38"/>
        <v>1250004</v>
      </c>
      <c r="P1202" s="351" t="str">
        <f t="shared" si="37"/>
        <v>T</v>
      </c>
    </row>
    <row r="1203" spans="1:16">
      <c r="A1203" s="401" t="s">
        <v>74</v>
      </c>
      <c r="B1203" s="404">
        <v>125000</v>
      </c>
      <c r="C1203" s="405">
        <v>6</v>
      </c>
      <c r="D1203" s="404">
        <v>19694</v>
      </c>
      <c r="E1203" s="404">
        <v>144694</v>
      </c>
      <c r="F1203" s="404">
        <v>2188</v>
      </c>
      <c r="G1203" s="404">
        <v>20834</v>
      </c>
      <c r="H1203" s="404">
        <v>2917</v>
      </c>
      <c r="I1203" s="404">
        <v>23751</v>
      </c>
      <c r="L1203" s="350">
        <v>0.315</v>
      </c>
      <c r="M1203" s="350">
        <v>3.5000000000000003E-2</v>
      </c>
      <c r="N1203" s="351" t="str">
        <f t="shared" si="38"/>
        <v>1250006</v>
      </c>
      <c r="P1203" s="351" t="str">
        <f t="shared" si="37"/>
        <v>T</v>
      </c>
    </row>
    <row r="1204" spans="1:16">
      <c r="A1204" s="401" t="s">
        <v>74</v>
      </c>
      <c r="B1204" s="404">
        <v>125000</v>
      </c>
      <c r="C1204" s="405">
        <v>8</v>
      </c>
      <c r="D1204" s="404">
        <v>26253</v>
      </c>
      <c r="E1204" s="404">
        <v>151253</v>
      </c>
      <c r="F1204" s="404">
        <v>2917</v>
      </c>
      <c r="G1204" s="404">
        <v>15625</v>
      </c>
      <c r="H1204" s="404">
        <v>2917</v>
      </c>
      <c r="I1204" s="404">
        <v>18542</v>
      </c>
      <c r="L1204" s="350">
        <v>0.315</v>
      </c>
      <c r="M1204" s="350">
        <v>3.5000000000000003E-2</v>
      </c>
      <c r="N1204" s="351" t="str">
        <f t="shared" si="38"/>
        <v>1250008</v>
      </c>
      <c r="P1204" s="351" t="str">
        <f t="shared" si="37"/>
        <v>T</v>
      </c>
    </row>
    <row r="1205" spans="1:16">
      <c r="A1205" s="401" t="s">
        <v>74</v>
      </c>
      <c r="B1205" s="404">
        <v>125000</v>
      </c>
      <c r="C1205" s="405">
        <v>10</v>
      </c>
      <c r="D1205" s="404">
        <v>32816</v>
      </c>
      <c r="E1205" s="404">
        <v>157816</v>
      </c>
      <c r="F1205" s="404">
        <v>3646</v>
      </c>
      <c r="G1205" s="404">
        <v>12500</v>
      </c>
      <c r="H1205" s="404">
        <v>2917</v>
      </c>
      <c r="I1205" s="404">
        <v>15417</v>
      </c>
      <c r="L1205" s="350">
        <v>0.315</v>
      </c>
      <c r="M1205" s="350">
        <v>3.5000000000000003E-2</v>
      </c>
      <c r="N1205" s="351" t="str">
        <f t="shared" si="38"/>
        <v>12500010</v>
      </c>
      <c r="P1205" s="351" t="str">
        <f t="shared" si="37"/>
        <v>T</v>
      </c>
    </row>
    <row r="1206" spans="1:16">
      <c r="A1206" s="401" t="s">
        <v>74</v>
      </c>
      <c r="B1206" s="404">
        <v>125000</v>
      </c>
      <c r="C1206" s="405">
        <v>12</v>
      </c>
      <c r="D1206" s="404">
        <v>39384</v>
      </c>
      <c r="E1206" s="404">
        <v>164384</v>
      </c>
      <c r="F1206" s="404">
        <v>4376</v>
      </c>
      <c r="G1206" s="404">
        <v>10417</v>
      </c>
      <c r="H1206" s="404">
        <v>2917</v>
      </c>
      <c r="I1206" s="404">
        <v>13334</v>
      </c>
      <c r="L1206" s="350">
        <v>0.315</v>
      </c>
      <c r="M1206" s="350">
        <v>3.5000000000000003E-2</v>
      </c>
      <c r="N1206" s="351" t="str">
        <f t="shared" si="38"/>
        <v>12500012</v>
      </c>
      <c r="P1206" s="351" t="str">
        <f t="shared" si="37"/>
        <v>T</v>
      </c>
    </row>
    <row r="1207" spans="1:16">
      <c r="A1207" s="401" t="s">
        <v>74</v>
      </c>
      <c r="B1207" s="404">
        <v>125000</v>
      </c>
      <c r="C1207" s="405">
        <v>14</v>
      </c>
      <c r="D1207" s="404">
        <v>45949</v>
      </c>
      <c r="E1207" s="404">
        <v>170949</v>
      </c>
      <c r="F1207" s="404">
        <v>5105</v>
      </c>
      <c r="G1207" s="404">
        <v>8929</v>
      </c>
      <c r="H1207" s="404">
        <v>2917</v>
      </c>
      <c r="I1207" s="404">
        <v>11846</v>
      </c>
      <c r="L1207" s="350">
        <v>0.315</v>
      </c>
      <c r="M1207" s="350">
        <v>3.5000000000000003E-2</v>
      </c>
      <c r="N1207" s="351" t="str">
        <f t="shared" si="38"/>
        <v>12500014</v>
      </c>
      <c r="P1207" s="351" t="str">
        <f t="shared" si="37"/>
        <v>T</v>
      </c>
    </row>
    <row r="1208" spans="1:16">
      <c r="A1208" s="401" t="s">
        <v>74</v>
      </c>
      <c r="B1208" s="404">
        <v>125000</v>
      </c>
      <c r="C1208" s="405">
        <v>16</v>
      </c>
      <c r="D1208" s="404">
        <v>52514</v>
      </c>
      <c r="E1208" s="404">
        <v>177514</v>
      </c>
      <c r="F1208" s="404">
        <v>5834</v>
      </c>
      <c r="G1208" s="404">
        <v>7813</v>
      </c>
      <c r="H1208" s="404">
        <v>2917</v>
      </c>
      <c r="I1208" s="404">
        <v>10730</v>
      </c>
      <c r="L1208" s="350">
        <v>0.315</v>
      </c>
      <c r="M1208" s="350">
        <v>3.5000000000000003E-2</v>
      </c>
      <c r="N1208" s="351" t="str">
        <f t="shared" si="38"/>
        <v>12500016</v>
      </c>
      <c r="P1208" s="351" t="str">
        <f t="shared" si="37"/>
        <v>T</v>
      </c>
    </row>
    <row r="1209" spans="1:16">
      <c r="A1209" s="401" t="s">
        <v>74</v>
      </c>
      <c r="B1209" s="404">
        <v>125000</v>
      </c>
      <c r="C1209" s="405">
        <v>18</v>
      </c>
      <c r="D1209" s="404">
        <v>59079</v>
      </c>
      <c r="E1209" s="404">
        <v>184079</v>
      </c>
      <c r="F1209" s="404">
        <v>6563</v>
      </c>
      <c r="G1209" s="404">
        <v>6945</v>
      </c>
      <c r="H1209" s="404">
        <v>2917</v>
      </c>
      <c r="I1209" s="404">
        <v>9862</v>
      </c>
      <c r="L1209" s="350">
        <v>0.315</v>
      </c>
      <c r="M1209" s="350">
        <v>3.5000000000000003E-2</v>
      </c>
      <c r="N1209" s="351" t="str">
        <f t="shared" si="38"/>
        <v>12500018</v>
      </c>
      <c r="P1209" s="351" t="str">
        <f t="shared" si="37"/>
        <v>T</v>
      </c>
    </row>
    <row r="1210" spans="1:16">
      <c r="A1210" s="401" t="s">
        <v>74</v>
      </c>
      <c r="B1210" s="404">
        <v>125000</v>
      </c>
      <c r="C1210" s="405">
        <v>20</v>
      </c>
      <c r="D1210" s="404">
        <v>65632</v>
      </c>
      <c r="E1210" s="404">
        <v>190632</v>
      </c>
      <c r="F1210" s="404">
        <v>7292</v>
      </c>
      <c r="G1210" s="404">
        <v>6250</v>
      </c>
      <c r="H1210" s="404">
        <v>2917</v>
      </c>
      <c r="I1210" s="404">
        <v>9167</v>
      </c>
      <c r="L1210" s="350">
        <v>0.315</v>
      </c>
      <c r="M1210" s="350">
        <v>3.5000000000000003E-2</v>
      </c>
      <c r="N1210" s="351" t="str">
        <f t="shared" si="38"/>
        <v>12500020</v>
      </c>
      <c r="P1210" s="351" t="str">
        <f t="shared" si="37"/>
        <v>T</v>
      </c>
    </row>
    <row r="1211" spans="1:16">
      <c r="A1211" s="401" t="s">
        <v>74</v>
      </c>
      <c r="B1211" s="404">
        <v>125000</v>
      </c>
      <c r="C1211" s="405">
        <v>22</v>
      </c>
      <c r="D1211" s="404">
        <v>72199</v>
      </c>
      <c r="E1211" s="404">
        <v>197199</v>
      </c>
      <c r="F1211" s="404">
        <v>8021</v>
      </c>
      <c r="G1211" s="404">
        <v>5682</v>
      </c>
      <c r="H1211" s="404">
        <v>2917</v>
      </c>
      <c r="I1211" s="404">
        <v>8599</v>
      </c>
      <c r="L1211" s="350">
        <v>0.315</v>
      </c>
      <c r="M1211" s="350">
        <v>3.5000000000000003E-2</v>
      </c>
      <c r="N1211" s="351" t="str">
        <f t="shared" si="38"/>
        <v>12500022</v>
      </c>
      <c r="P1211" s="351" t="str">
        <f t="shared" si="37"/>
        <v>T</v>
      </c>
    </row>
    <row r="1212" spans="1:16">
      <c r="A1212" s="401" t="s">
        <v>74</v>
      </c>
      <c r="B1212" s="404">
        <v>125000</v>
      </c>
      <c r="C1212" s="405">
        <v>24</v>
      </c>
      <c r="D1212" s="404">
        <v>78775</v>
      </c>
      <c r="E1212" s="404">
        <v>203775</v>
      </c>
      <c r="F1212" s="404">
        <v>8751</v>
      </c>
      <c r="G1212" s="404">
        <v>5209</v>
      </c>
      <c r="H1212" s="404">
        <v>2917</v>
      </c>
      <c r="I1212" s="404">
        <v>8126</v>
      </c>
      <c r="L1212" s="350">
        <v>0.315</v>
      </c>
      <c r="M1212" s="350">
        <v>3.5000000000000003E-2</v>
      </c>
      <c r="N1212" s="351" t="str">
        <f t="shared" si="38"/>
        <v>12500024</v>
      </c>
      <c r="P1212" s="351" t="str">
        <f t="shared" si="37"/>
        <v>T</v>
      </c>
    </row>
    <row r="1213" spans="1:16">
      <c r="A1213" s="401" t="s">
        <v>74</v>
      </c>
      <c r="B1213" s="404">
        <v>126000</v>
      </c>
      <c r="C1213" s="405">
        <v>4</v>
      </c>
      <c r="D1213" s="404">
        <v>13235</v>
      </c>
      <c r="E1213" s="404">
        <v>139235</v>
      </c>
      <c r="F1213" s="404">
        <v>1471</v>
      </c>
      <c r="G1213" s="404">
        <v>31500</v>
      </c>
      <c r="H1213" s="404">
        <v>2941</v>
      </c>
      <c r="I1213" s="404">
        <v>34441</v>
      </c>
      <c r="L1213" s="350">
        <v>0.315</v>
      </c>
      <c r="M1213" s="350">
        <v>3.5000000000000003E-2</v>
      </c>
      <c r="N1213" s="351" t="str">
        <f t="shared" si="38"/>
        <v>1260004</v>
      </c>
      <c r="P1213" s="351" t="str">
        <f t="shared" si="37"/>
        <v>T</v>
      </c>
    </row>
    <row r="1214" spans="1:16">
      <c r="A1214" s="401" t="s">
        <v>74</v>
      </c>
      <c r="B1214" s="404">
        <v>126000</v>
      </c>
      <c r="C1214" s="405">
        <v>6</v>
      </c>
      <c r="D1214" s="404">
        <v>19852</v>
      </c>
      <c r="E1214" s="404">
        <v>145852</v>
      </c>
      <c r="F1214" s="404">
        <v>2206</v>
      </c>
      <c r="G1214" s="404">
        <v>21000</v>
      </c>
      <c r="H1214" s="404">
        <v>2941</v>
      </c>
      <c r="I1214" s="404">
        <v>23941</v>
      </c>
      <c r="L1214" s="350">
        <v>0.315</v>
      </c>
      <c r="M1214" s="350">
        <v>3.5000000000000003E-2</v>
      </c>
      <c r="N1214" s="351" t="str">
        <f t="shared" si="38"/>
        <v>1260006</v>
      </c>
      <c r="P1214" s="351" t="str">
        <f t="shared" si="37"/>
        <v>T</v>
      </c>
    </row>
    <row r="1215" spans="1:16">
      <c r="A1215" s="401" t="s">
        <v>74</v>
      </c>
      <c r="B1215" s="404">
        <v>126000</v>
      </c>
      <c r="C1215" s="405">
        <v>8</v>
      </c>
      <c r="D1215" s="404">
        <v>26469</v>
      </c>
      <c r="E1215" s="404">
        <v>152469</v>
      </c>
      <c r="F1215" s="404">
        <v>2941</v>
      </c>
      <c r="G1215" s="404">
        <v>15750</v>
      </c>
      <c r="H1215" s="404">
        <v>2941</v>
      </c>
      <c r="I1215" s="404">
        <v>18691</v>
      </c>
      <c r="L1215" s="350">
        <v>0.315</v>
      </c>
      <c r="M1215" s="350">
        <v>3.5000000000000003E-2</v>
      </c>
      <c r="N1215" s="351" t="str">
        <f t="shared" si="38"/>
        <v>1260008</v>
      </c>
      <c r="P1215" s="351" t="str">
        <f t="shared" si="37"/>
        <v>T</v>
      </c>
    </row>
    <row r="1216" spans="1:16">
      <c r="A1216" s="401" t="s">
        <v>74</v>
      </c>
      <c r="B1216" s="404">
        <v>126000</v>
      </c>
      <c r="C1216" s="405">
        <v>10</v>
      </c>
      <c r="D1216" s="404">
        <v>33086</v>
      </c>
      <c r="E1216" s="404">
        <v>159086</v>
      </c>
      <c r="F1216" s="404">
        <v>3676</v>
      </c>
      <c r="G1216" s="404">
        <v>12600</v>
      </c>
      <c r="H1216" s="404">
        <v>2941</v>
      </c>
      <c r="I1216" s="404">
        <v>15541</v>
      </c>
      <c r="L1216" s="350">
        <v>0.315</v>
      </c>
      <c r="M1216" s="350">
        <v>3.5000000000000003E-2</v>
      </c>
      <c r="N1216" s="351" t="str">
        <f t="shared" si="38"/>
        <v>12600010</v>
      </c>
      <c r="P1216" s="351" t="str">
        <f t="shared" si="37"/>
        <v>T</v>
      </c>
    </row>
    <row r="1217" spans="1:16">
      <c r="A1217" s="401" t="s">
        <v>74</v>
      </c>
      <c r="B1217" s="404">
        <v>126000</v>
      </c>
      <c r="C1217" s="405">
        <v>12</v>
      </c>
      <c r="D1217" s="404">
        <v>39703</v>
      </c>
      <c r="E1217" s="404">
        <v>165703</v>
      </c>
      <c r="F1217" s="404">
        <v>4411</v>
      </c>
      <c r="G1217" s="404">
        <v>10500</v>
      </c>
      <c r="H1217" s="404">
        <v>2941</v>
      </c>
      <c r="I1217" s="404">
        <v>13441</v>
      </c>
      <c r="L1217" s="350">
        <v>0.315</v>
      </c>
      <c r="M1217" s="350">
        <v>3.5000000000000003E-2</v>
      </c>
      <c r="N1217" s="351" t="str">
        <f t="shared" si="38"/>
        <v>12600012</v>
      </c>
      <c r="P1217" s="351" t="str">
        <f t="shared" si="37"/>
        <v>T</v>
      </c>
    </row>
    <row r="1218" spans="1:16">
      <c r="A1218" s="401" t="s">
        <v>74</v>
      </c>
      <c r="B1218" s="404">
        <v>126000</v>
      </c>
      <c r="C1218" s="405">
        <v>14</v>
      </c>
      <c r="D1218" s="404">
        <v>46320</v>
      </c>
      <c r="E1218" s="404">
        <v>172320</v>
      </c>
      <c r="F1218" s="404">
        <v>5146</v>
      </c>
      <c r="G1218" s="404">
        <v>9000</v>
      </c>
      <c r="H1218" s="404">
        <v>2941</v>
      </c>
      <c r="I1218" s="404">
        <v>11941</v>
      </c>
      <c r="L1218" s="350">
        <v>0.315</v>
      </c>
      <c r="M1218" s="350">
        <v>3.5000000000000003E-2</v>
      </c>
      <c r="N1218" s="351" t="str">
        <f t="shared" si="38"/>
        <v>12600014</v>
      </c>
      <c r="P1218" s="351" t="str">
        <f t="shared" si="37"/>
        <v>T</v>
      </c>
    </row>
    <row r="1219" spans="1:16">
      <c r="A1219" s="401" t="s">
        <v>74</v>
      </c>
      <c r="B1219" s="404">
        <v>126000</v>
      </c>
      <c r="C1219" s="405">
        <v>16</v>
      </c>
      <c r="D1219" s="404">
        <v>52937</v>
      </c>
      <c r="E1219" s="404">
        <v>178937</v>
      </c>
      <c r="F1219" s="404">
        <v>5881</v>
      </c>
      <c r="G1219" s="404">
        <v>7875</v>
      </c>
      <c r="H1219" s="404">
        <v>2941</v>
      </c>
      <c r="I1219" s="404">
        <v>10816</v>
      </c>
      <c r="L1219" s="350">
        <v>0.315</v>
      </c>
      <c r="M1219" s="350">
        <v>3.5000000000000003E-2</v>
      </c>
      <c r="N1219" s="351" t="str">
        <f t="shared" si="38"/>
        <v>12600016</v>
      </c>
      <c r="P1219" s="351" t="str">
        <f t="shared" ref="P1219:P1282" si="39">IF((E1219-F1219)/C1219=I1219,"T","F")</f>
        <v>T</v>
      </c>
    </row>
    <row r="1220" spans="1:16">
      <c r="A1220" s="401" t="s">
        <v>74</v>
      </c>
      <c r="B1220" s="404">
        <v>126000</v>
      </c>
      <c r="C1220" s="405">
        <v>18</v>
      </c>
      <c r="D1220" s="404">
        <v>59554</v>
      </c>
      <c r="E1220" s="404">
        <v>185554</v>
      </c>
      <c r="F1220" s="404">
        <v>6616</v>
      </c>
      <c r="G1220" s="404">
        <v>7000</v>
      </c>
      <c r="H1220" s="404">
        <v>2941</v>
      </c>
      <c r="I1220" s="404">
        <v>9941</v>
      </c>
      <c r="L1220" s="350">
        <v>0.315</v>
      </c>
      <c r="M1220" s="350">
        <v>3.5000000000000003E-2</v>
      </c>
      <c r="N1220" s="351" t="str">
        <f t="shared" si="38"/>
        <v>12600018</v>
      </c>
      <c r="P1220" s="351" t="str">
        <f t="shared" si="39"/>
        <v>T</v>
      </c>
    </row>
    <row r="1221" spans="1:16">
      <c r="A1221" s="401" t="s">
        <v>74</v>
      </c>
      <c r="B1221" s="404">
        <v>126000</v>
      </c>
      <c r="C1221" s="405">
        <v>20</v>
      </c>
      <c r="D1221" s="404">
        <v>66171</v>
      </c>
      <c r="E1221" s="404">
        <v>192171</v>
      </c>
      <c r="F1221" s="404">
        <v>7351</v>
      </c>
      <c r="G1221" s="404">
        <v>6300</v>
      </c>
      <c r="H1221" s="404">
        <v>2941</v>
      </c>
      <c r="I1221" s="404">
        <v>9241</v>
      </c>
      <c r="L1221" s="350">
        <v>0.315</v>
      </c>
      <c r="M1221" s="350">
        <v>3.5000000000000003E-2</v>
      </c>
      <c r="N1221" s="351" t="str">
        <f t="shared" ref="N1221:N1284" si="40">CONCATENATE(B1221,C1221)</f>
        <v>12600020</v>
      </c>
      <c r="P1221" s="351" t="str">
        <f t="shared" si="39"/>
        <v>T</v>
      </c>
    </row>
    <row r="1222" spans="1:16">
      <c r="A1222" s="401" t="s">
        <v>74</v>
      </c>
      <c r="B1222" s="404">
        <v>126000</v>
      </c>
      <c r="C1222" s="405">
        <v>22</v>
      </c>
      <c r="D1222" s="404">
        <v>72782</v>
      </c>
      <c r="E1222" s="404">
        <v>198782</v>
      </c>
      <c r="F1222" s="404">
        <v>8086</v>
      </c>
      <c r="G1222" s="404">
        <v>5728</v>
      </c>
      <c r="H1222" s="404">
        <v>2940</v>
      </c>
      <c r="I1222" s="404">
        <v>8668</v>
      </c>
      <c r="L1222" s="350">
        <v>0.315</v>
      </c>
      <c r="M1222" s="350">
        <v>3.5000000000000003E-2</v>
      </c>
      <c r="N1222" s="351" t="str">
        <f t="shared" si="40"/>
        <v>12600022</v>
      </c>
      <c r="P1222" s="351" t="str">
        <f t="shared" si="39"/>
        <v>T</v>
      </c>
    </row>
    <row r="1223" spans="1:16">
      <c r="A1223" s="401" t="s">
        <v>74</v>
      </c>
      <c r="B1223" s="404">
        <v>126000</v>
      </c>
      <c r="C1223" s="405">
        <v>24</v>
      </c>
      <c r="D1223" s="404">
        <v>79405</v>
      </c>
      <c r="E1223" s="404">
        <v>205405</v>
      </c>
      <c r="F1223" s="404">
        <v>8821</v>
      </c>
      <c r="G1223" s="404">
        <v>5250</v>
      </c>
      <c r="H1223" s="404">
        <v>2941</v>
      </c>
      <c r="I1223" s="404">
        <v>8191</v>
      </c>
      <c r="L1223" s="350">
        <v>0.315</v>
      </c>
      <c r="M1223" s="350">
        <v>3.5000000000000003E-2</v>
      </c>
      <c r="N1223" s="351" t="str">
        <f t="shared" si="40"/>
        <v>12600024</v>
      </c>
      <c r="P1223" s="351" t="str">
        <f t="shared" si="39"/>
        <v>T</v>
      </c>
    </row>
    <row r="1224" spans="1:16">
      <c r="A1224" s="401" t="s">
        <v>74</v>
      </c>
      <c r="B1224" s="404">
        <v>127000</v>
      </c>
      <c r="C1224" s="405">
        <v>4</v>
      </c>
      <c r="D1224" s="404">
        <v>13338</v>
      </c>
      <c r="E1224" s="404">
        <v>140338</v>
      </c>
      <c r="F1224" s="404">
        <v>1482</v>
      </c>
      <c r="G1224" s="404">
        <v>31750</v>
      </c>
      <c r="H1224" s="404">
        <v>2964</v>
      </c>
      <c r="I1224" s="404">
        <v>34714</v>
      </c>
      <c r="L1224" s="350">
        <v>0.315</v>
      </c>
      <c r="M1224" s="350">
        <v>3.5000000000000003E-2</v>
      </c>
      <c r="N1224" s="351" t="str">
        <f t="shared" si="40"/>
        <v>1270004</v>
      </c>
      <c r="P1224" s="351" t="str">
        <f t="shared" si="39"/>
        <v>T</v>
      </c>
    </row>
    <row r="1225" spans="1:16">
      <c r="A1225" s="401" t="s">
        <v>74</v>
      </c>
      <c r="B1225" s="404">
        <v>127000</v>
      </c>
      <c r="C1225" s="405">
        <v>6</v>
      </c>
      <c r="D1225" s="404">
        <v>20009</v>
      </c>
      <c r="E1225" s="404">
        <v>147009</v>
      </c>
      <c r="F1225" s="404">
        <v>2223</v>
      </c>
      <c r="G1225" s="404">
        <v>21167</v>
      </c>
      <c r="H1225" s="404">
        <v>2964</v>
      </c>
      <c r="I1225" s="404">
        <v>24131</v>
      </c>
      <c r="L1225" s="350">
        <v>0.315</v>
      </c>
      <c r="M1225" s="350">
        <v>3.5000000000000003E-2</v>
      </c>
      <c r="N1225" s="351" t="str">
        <f t="shared" si="40"/>
        <v>1270006</v>
      </c>
      <c r="P1225" s="351" t="str">
        <f t="shared" si="39"/>
        <v>T</v>
      </c>
    </row>
    <row r="1226" spans="1:16">
      <c r="A1226" s="401" t="s">
        <v>74</v>
      </c>
      <c r="B1226" s="404">
        <v>127000</v>
      </c>
      <c r="C1226" s="405">
        <v>8</v>
      </c>
      <c r="D1226" s="404">
        <v>26676</v>
      </c>
      <c r="E1226" s="404">
        <v>153676</v>
      </c>
      <c r="F1226" s="404">
        <v>2964</v>
      </c>
      <c r="G1226" s="404">
        <v>15875</v>
      </c>
      <c r="H1226" s="404">
        <v>2964</v>
      </c>
      <c r="I1226" s="404">
        <v>18839</v>
      </c>
      <c r="L1226" s="350">
        <v>0.315</v>
      </c>
      <c r="M1226" s="350">
        <v>3.5000000000000003E-2</v>
      </c>
      <c r="N1226" s="351" t="str">
        <f t="shared" si="40"/>
        <v>1270008</v>
      </c>
      <c r="P1226" s="351" t="str">
        <f t="shared" si="39"/>
        <v>T</v>
      </c>
    </row>
    <row r="1227" spans="1:16">
      <c r="A1227" s="401" t="s">
        <v>74</v>
      </c>
      <c r="B1227" s="404">
        <v>127000</v>
      </c>
      <c r="C1227" s="405">
        <v>10</v>
      </c>
      <c r="D1227" s="404">
        <v>33345</v>
      </c>
      <c r="E1227" s="404">
        <v>160345</v>
      </c>
      <c r="F1227" s="404">
        <v>3705</v>
      </c>
      <c r="G1227" s="404">
        <v>12700</v>
      </c>
      <c r="H1227" s="404">
        <v>2964</v>
      </c>
      <c r="I1227" s="404">
        <v>15664</v>
      </c>
      <c r="L1227" s="350">
        <v>0.315</v>
      </c>
      <c r="M1227" s="350">
        <v>3.5000000000000003E-2</v>
      </c>
      <c r="N1227" s="351" t="str">
        <f t="shared" si="40"/>
        <v>12700010</v>
      </c>
      <c r="P1227" s="351" t="str">
        <f t="shared" si="39"/>
        <v>T</v>
      </c>
    </row>
    <row r="1228" spans="1:16">
      <c r="A1228" s="401" t="s">
        <v>74</v>
      </c>
      <c r="B1228" s="404">
        <v>127000</v>
      </c>
      <c r="C1228" s="405">
        <v>12</v>
      </c>
      <c r="D1228" s="404">
        <v>40010</v>
      </c>
      <c r="E1228" s="404">
        <v>167010</v>
      </c>
      <c r="F1228" s="404">
        <v>4446</v>
      </c>
      <c r="G1228" s="404">
        <v>10584</v>
      </c>
      <c r="H1228" s="404">
        <v>2963</v>
      </c>
      <c r="I1228" s="404">
        <v>13547</v>
      </c>
      <c r="L1228" s="350">
        <v>0.315</v>
      </c>
      <c r="M1228" s="350">
        <v>3.5000000000000003E-2</v>
      </c>
      <c r="N1228" s="351" t="str">
        <f t="shared" si="40"/>
        <v>12700012</v>
      </c>
      <c r="P1228" s="351" t="str">
        <f t="shared" si="39"/>
        <v>T</v>
      </c>
    </row>
    <row r="1229" spans="1:16">
      <c r="A1229" s="401" t="s">
        <v>74</v>
      </c>
      <c r="B1229" s="404">
        <v>127000</v>
      </c>
      <c r="C1229" s="405">
        <v>14</v>
      </c>
      <c r="D1229" s="404">
        <v>46676</v>
      </c>
      <c r="E1229" s="404">
        <v>173676</v>
      </c>
      <c r="F1229" s="404">
        <v>5186</v>
      </c>
      <c r="G1229" s="404">
        <v>9072</v>
      </c>
      <c r="H1229" s="404">
        <v>2963</v>
      </c>
      <c r="I1229" s="404">
        <v>12035</v>
      </c>
      <c r="L1229" s="350">
        <v>0.315</v>
      </c>
      <c r="M1229" s="350">
        <v>3.5000000000000003E-2</v>
      </c>
      <c r="N1229" s="351" t="str">
        <f t="shared" si="40"/>
        <v>12700014</v>
      </c>
      <c r="P1229" s="351" t="str">
        <f t="shared" si="39"/>
        <v>T</v>
      </c>
    </row>
    <row r="1230" spans="1:16">
      <c r="A1230" s="401" t="s">
        <v>74</v>
      </c>
      <c r="B1230" s="404">
        <v>127000</v>
      </c>
      <c r="C1230" s="405">
        <v>16</v>
      </c>
      <c r="D1230" s="404">
        <v>53343</v>
      </c>
      <c r="E1230" s="404">
        <v>180343</v>
      </c>
      <c r="F1230" s="404">
        <v>5927</v>
      </c>
      <c r="G1230" s="404">
        <v>7938</v>
      </c>
      <c r="H1230" s="404">
        <v>2963</v>
      </c>
      <c r="I1230" s="404">
        <v>10901</v>
      </c>
      <c r="L1230" s="350">
        <v>0.315</v>
      </c>
      <c r="M1230" s="350">
        <v>3.5000000000000003E-2</v>
      </c>
      <c r="N1230" s="351" t="str">
        <f t="shared" si="40"/>
        <v>12700016</v>
      </c>
      <c r="P1230" s="351" t="str">
        <f t="shared" si="39"/>
        <v>T</v>
      </c>
    </row>
    <row r="1231" spans="1:16">
      <c r="A1231" s="401" t="s">
        <v>74</v>
      </c>
      <c r="B1231" s="404">
        <v>127000</v>
      </c>
      <c r="C1231" s="405">
        <v>18</v>
      </c>
      <c r="D1231" s="404">
        <v>60010</v>
      </c>
      <c r="E1231" s="404">
        <v>187010</v>
      </c>
      <c r="F1231" s="404">
        <v>6668</v>
      </c>
      <c r="G1231" s="404">
        <v>7056</v>
      </c>
      <c r="H1231" s="404">
        <v>2963</v>
      </c>
      <c r="I1231" s="404">
        <v>10019</v>
      </c>
      <c r="L1231" s="350">
        <v>0.315</v>
      </c>
      <c r="M1231" s="350">
        <v>3.5000000000000003E-2</v>
      </c>
      <c r="N1231" s="351" t="str">
        <f t="shared" si="40"/>
        <v>12700018</v>
      </c>
      <c r="P1231" s="351" t="str">
        <f t="shared" si="39"/>
        <v>T</v>
      </c>
    </row>
    <row r="1232" spans="1:16">
      <c r="A1232" s="401" t="s">
        <v>74</v>
      </c>
      <c r="B1232" s="404">
        <v>127000</v>
      </c>
      <c r="C1232" s="405">
        <v>20</v>
      </c>
      <c r="D1232" s="404">
        <v>66689</v>
      </c>
      <c r="E1232" s="404">
        <v>193689</v>
      </c>
      <c r="F1232" s="404">
        <v>7409</v>
      </c>
      <c r="G1232" s="404">
        <v>6350</v>
      </c>
      <c r="H1232" s="404">
        <v>2964</v>
      </c>
      <c r="I1232" s="404">
        <v>9314</v>
      </c>
      <c r="L1232" s="350">
        <v>0.315</v>
      </c>
      <c r="M1232" s="350">
        <v>3.5000000000000003E-2</v>
      </c>
      <c r="N1232" s="351" t="str">
        <f t="shared" si="40"/>
        <v>12700020</v>
      </c>
      <c r="P1232" s="351" t="str">
        <f t="shared" si="39"/>
        <v>T</v>
      </c>
    </row>
    <row r="1233" spans="1:16">
      <c r="A1233" s="401" t="s">
        <v>74</v>
      </c>
      <c r="B1233" s="404">
        <v>127000</v>
      </c>
      <c r="C1233" s="405">
        <v>22</v>
      </c>
      <c r="D1233" s="404">
        <v>73364</v>
      </c>
      <c r="E1233" s="404">
        <v>200364</v>
      </c>
      <c r="F1233" s="404">
        <v>8150</v>
      </c>
      <c r="G1233" s="404">
        <v>5773</v>
      </c>
      <c r="H1233" s="404">
        <v>2964</v>
      </c>
      <c r="I1233" s="404">
        <v>8737</v>
      </c>
      <c r="L1233" s="350">
        <v>0.315</v>
      </c>
      <c r="M1233" s="350">
        <v>3.5000000000000003E-2</v>
      </c>
      <c r="N1233" s="351" t="str">
        <f t="shared" si="40"/>
        <v>12700022</v>
      </c>
      <c r="P1233" s="351" t="str">
        <f t="shared" si="39"/>
        <v>T</v>
      </c>
    </row>
    <row r="1234" spans="1:16">
      <c r="A1234" s="401" t="s">
        <v>74</v>
      </c>
      <c r="B1234" s="404">
        <v>127000</v>
      </c>
      <c r="C1234" s="405">
        <v>24</v>
      </c>
      <c r="D1234" s="404">
        <v>80035</v>
      </c>
      <c r="E1234" s="404">
        <v>207035</v>
      </c>
      <c r="F1234" s="404">
        <v>8891</v>
      </c>
      <c r="G1234" s="404">
        <v>5292</v>
      </c>
      <c r="H1234" s="404">
        <v>2964</v>
      </c>
      <c r="I1234" s="404">
        <v>8256</v>
      </c>
      <c r="L1234" s="350">
        <v>0.315</v>
      </c>
      <c r="M1234" s="350">
        <v>3.5000000000000003E-2</v>
      </c>
      <c r="N1234" s="351" t="str">
        <f t="shared" si="40"/>
        <v>12700024</v>
      </c>
      <c r="P1234" s="351" t="str">
        <f t="shared" si="39"/>
        <v>T</v>
      </c>
    </row>
    <row r="1235" spans="1:16">
      <c r="A1235" s="401" t="s">
        <v>74</v>
      </c>
      <c r="B1235" s="404">
        <v>128000</v>
      </c>
      <c r="C1235" s="405">
        <v>4</v>
      </c>
      <c r="D1235" s="404">
        <v>13442</v>
      </c>
      <c r="E1235" s="404">
        <v>141442</v>
      </c>
      <c r="F1235" s="404">
        <v>1494</v>
      </c>
      <c r="G1235" s="404">
        <v>32000</v>
      </c>
      <c r="H1235" s="404">
        <v>2987</v>
      </c>
      <c r="I1235" s="404">
        <v>34987</v>
      </c>
      <c r="L1235" s="350">
        <v>0.315</v>
      </c>
      <c r="M1235" s="350">
        <v>3.5000000000000003E-2</v>
      </c>
      <c r="N1235" s="351" t="str">
        <f t="shared" si="40"/>
        <v>1280004</v>
      </c>
      <c r="P1235" s="351" t="str">
        <f t="shared" si="39"/>
        <v>T</v>
      </c>
    </row>
    <row r="1236" spans="1:16">
      <c r="A1236" s="401" t="s">
        <v>74</v>
      </c>
      <c r="B1236" s="404">
        <v>128000</v>
      </c>
      <c r="C1236" s="405">
        <v>6</v>
      </c>
      <c r="D1236" s="404">
        <v>20167</v>
      </c>
      <c r="E1236" s="404">
        <v>148167</v>
      </c>
      <c r="F1236" s="404">
        <v>2241</v>
      </c>
      <c r="G1236" s="404">
        <v>21334</v>
      </c>
      <c r="H1236" s="404">
        <v>2987</v>
      </c>
      <c r="I1236" s="404">
        <v>24321</v>
      </c>
      <c r="L1236" s="350">
        <v>0.315</v>
      </c>
      <c r="M1236" s="350">
        <v>3.5000000000000003E-2</v>
      </c>
      <c r="N1236" s="351" t="str">
        <f t="shared" si="40"/>
        <v>1280006</v>
      </c>
      <c r="P1236" s="351" t="str">
        <f t="shared" si="39"/>
        <v>T</v>
      </c>
    </row>
    <row r="1237" spans="1:16">
      <c r="A1237" s="401" t="s">
        <v>74</v>
      </c>
      <c r="B1237" s="404">
        <v>128000</v>
      </c>
      <c r="C1237" s="405">
        <v>8</v>
      </c>
      <c r="D1237" s="404">
        <v>26883</v>
      </c>
      <c r="E1237" s="404">
        <v>154883</v>
      </c>
      <c r="F1237" s="404">
        <v>2987</v>
      </c>
      <c r="G1237" s="404">
        <v>16000</v>
      </c>
      <c r="H1237" s="404">
        <v>2987</v>
      </c>
      <c r="I1237" s="404">
        <v>18987</v>
      </c>
      <c r="L1237" s="350">
        <v>0.315</v>
      </c>
      <c r="M1237" s="350">
        <v>3.5000000000000003E-2</v>
      </c>
      <c r="N1237" s="351" t="str">
        <f t="shared" si="40"/>
        <v>1280008</v>
      </c>
      <c r="P1237" s="351" t="str">
        <f t="shared" si="39"/>
        <v>T</v>
      </c>
    </row>
    <row r="1238" spans="1:16">
      <c r="A1238" s="401" t="s">
        <v>74</v>
      </c>
      <c r="B1238" s="404">
        <v>128000</v>
      </c>
      <c r="C1238" s="405">
        <v>10</v>
      </c>
      <c r="D1238" s="404">
        <v>33604</v>
      </c>
      <c r="E1238" s="404">
        <v>161604</v>
      </c>
      <c r="F1238" s="404">
        <v>3734</v>
      </c>
      <c r="G1238" s="404">
        <v>12800</v>
      </c>
      <c r="H1238" s="404">
        <v>2987</v>
      </c>
      <c r="I1238" s="404">
        <v>15787</v>
      </c>
      <c r="L1238" s="350">
        <v>0.315</v>
      </c>
      <c r="M1238" s="350">
        <v>3.5000000000000003E-2</v>
      </c>
      <c r="N1238" s="351" t="str">
        <f t="shared" si="40"/>
        <v>12800010</v>
      </c>
      <c r="P1238" s="351" t="str">
        <f t="shared" si="39"/>
        <v>T</v>
      </c>
    </row>
    <row r="1239" spans="1:16">
      <c r="A1239" s="401" t="s">
        <v>74</v>
      </c>
      <c r="B1239" s="404">
        <v>128000</v>
      </c>
      <c r="C1239" s="405">
        <v>12</v>
      </c>
      <c r="D1239" s="404">
        <v>40329</v>
      </c>
      <c r="E1239" s="404">
        <v>168329</v>
      </c>
      <c r="F1239" s="404">
        <v>4481</v>
      </c>
      <c r="G1239" s="404">
        <v>10667</v>
      </c>
      <c r="H1239" s="404">
        <v>2987</v>
      </c>
      <c r="I1239" s="404">
        <v>13654</v>
      </c>
      <c r="L1239" s="350">
        <v>0.315</v>
      </c>
      <c r="M1239" s="350">
        <v>3.5000000000000003E-2</v>
      </c>
      <c r="N1239" s="351" t="str">
        <f t="shared" si="40"/>
        <v>12800012</v>
      </c>
      <c r="P1239" s="351" t="str">
        <f t="shared" si="39"/>
        <v>T</v>
      </c>
    </row>
    <row r="1240" spans="1:16">
      <c r="A1240" s="401" t="s">
        <v>74</v>
      </c>
      <c r="B1240" s="404">
        <v>128000</v>
      </c>
      <c r="C1240" s="405">
        <v>14</v>
      </c>
      <c r="D1240" s="404">
        <v>47047</v>
      </c>
      <c r="E1240" s="404">
        <v>175047</v>
      </c>
      <c r="F1240" s="404">
        <v>5227</v>
      </c>
      <c r="G1240" s="404">
        <v>9143</v>
      </c>
      <c r="H1240" s="404">
        <v>2987</v>
      </c>
      <c r="I1240" s="404">
        <v>12130</v>
      </c>
      <c r="L1240" s="350">
        <v>0.315</v>
      </c>
      <c r="M1240" s="350">
        <v>3.5000000000000003E-2</v>
      </c>
      <c r="N1240" s="351" t="str">
        <f t="shared" si="40"/>
        <v>12800014</v>
      </c>
      <c r="P1240" s="351" t="str">
        <f t="shared" si="39"/>
        <v>T</v>
      </c>
    </row>
    <row r="1241" spans="1:16">
      <c r="A1241" s="401" t="s">
        <v>74</v>
      </c>
      <c r="B1241" s="404">
        <v>128000</v>
      </c>
      <c r="C1241" s="405">
        <v>16</v>
      </c>
      <c r="D1241" s="404">
        <v>53766</v>
      </c>
      <c r="E1241" s="404">
        <v>181766</v>
      </c>
      <c r="F1241" s="404">
        <v>5974</v>
      </c>
      <c r="G1241" s="404">
        <v>8000</v>
      </c>
      <c r="H1241" s="404">
        <v>2987</v>
      </c>
      <c r="I1241" s="404">
        <v>10987</v>
      </c>
      <c r="L1241" s="350">
        <v>0.315</v>
      </c>
      <c r="M1241" s="350">
        <v>3.5000000000000003E-2</v>
      </c>
      <c r="N1241" s="351" t="str">
        <f t="shared" si="40"/>
        <v>12800016</v>
      </c>
      <c r="P1241" s="351" t="str">
        <f t="shared" si="39"/>
        <v>T</v>
      </c>
    </row>
    <row r="1242" spans="1:16">
      <c r="A1242" s="401" t="s">
        <v>74</v>
      </c>
      <c r="B1242" s="404">
        <v>128000</v>
      </c>
      <c r="C1242" s="405">
        <v>18</v>
      </c>
      <c r="D1242" s="404">
        <v>60485</v>
      </c>
      <c r="E1242" s="404">
        <v>188485</v>
      </c>
      <c r="F1242" s="404">
        <v>6721</v>
      </c>
      <c r="G1242" s="404">
        <v>7112</v>
      </c>
      <c r="H1242" s="404">
        <v>2986</v>
      </c>
      <c r="I1242" s="404">
        <v>10098</v>
      </c>
      <c r="L1242" s="350">
        <v>0.315</v>
      </c>
      <c r="M1242" s="350">
        <v>3.5000000000000003E-2</v>
      </c>
      <c r="N1242" s="351" t="str">
        <f t="shared" si="40"/>
        <v>12800018</v>
      </c>
      <c r="P1242" s="351" t="str">
        <f t="shared" si="39"/>
        <v>T</v>
      </c>
    </row>
    <row r="1243" spans="1:16">
      <c r="A1243" s="401" t="s">
        <v>74</v>
      </c>
      <c r="B1243" s="404">
        <v>128000</v>
      </c>
      <c r="C1243" s="405">
        <v>20</v>
      </c>
      <c r="D1243" s="404">
        <v>67207</v>
      </c>
      <c r="E1243" s="404">
        <v>195207</v>
      </c>
      <c r="F1243" s="404">
        <v>7467</v>
      </c>
      <c r="G1243" s="404">
        <v>6400</v>
      </c>
      <c r="H1243" s="404">
        <v>2987</v>
      </c>
      <c r="I1243" s="404">
        <v>9387</v>
      </c>
      <c r="L1243" s="350">
        <v>0.315</v>
      </c>
      <c r="M1243" s="350">
        <v>3.5000000000000003E-2</v>
      </c>
      <c r="N1243" s="351" t="str">
        <f t="shared" si="40"/>
        <v>12800020</v>
      </c>
      <c r="P1243" s="351" t="str">
        <f t="shared" si="39"/>
        <v>T</v>
      </c>
    </row>
    <row r="1244" spans="1:16">
      <c r="A1244" s="401" t="s">
        <v>74</v>
      </c>
      <c r="B1244" s="404">
        <v>128000</v>
      </c>
      <c r="C1244" s="405">
        <v>22</v>
      </c>
      <c r="D1244" s="404">
        <v>73924</v>
      </c>
      <c r="E1244" s="404">
        <v>201924</v>
      </c>
      <c r="F1244" s="404">
        <v>8214</v>
      </c>
      <c r="G1244" s="404">
        <v>5819</v>
      </c>
      <c r="H1244" s="404">
        <v>2986</v>
      </c>
      <c r="I1244" s="404">
        <v>8805</v>
      </c>
      <c r="L1244" s="350">
        <v>0.315</v>
      </c>
      <c r="M1244" s="350">
        <v>3.5000000000000003E-2</v>
      </c>
      <c r="N1244" s="351" t="str">
        <f t="shared" si="40"/>
        <v>12800022</v>
      </c>
      <c r="P1244" s="351" t="str">
        <f t="shared" si="39"/>
        <v>T</v>
      </c>
    </row>
    <row r="1245" spans="1:16">
      <c r="A1245" s="401" t="s">
        <v>74</v>
      </c>
      <c r="B1245" s="404">
        <v>128000</v>
      </c>
      <c r="C1245" s="405">
        <v>24</v>
      </c>
      <c r="D1245" s="404">
        <v>80665</v>
      </c>
      <c r="E1245" s="404">
        <v>208665</v>
      </c>
      <c r="F1245" s="404">
        <v>8961</v>
      </c>
      <c r="G1245" s="404">
        <v>5334</v>
      </c>
      <c r="H1245" s="404">
        <v>2987</v>
      </c>
      <c r="I1245" s="404">
        <v>8321</v>
      </c>
      <c r="L1245" s="350">
        <v>0.315</v>
      </c>
      <c r="M1245" s="350">
        <v>3.5000000000000003E-2</v>
      </c>
      <c r="N1245" s="351" t="str">
        <f t="shared" si="40"/>
        <v>12800024</v>
      </c>
      <c r="P1245" s="351" t="str">
        <f t="shared" si="39"/>
        <v>T</v>
      </c>
    </row>
    <row r="1246" spans="1:16">
      <c r="A1246" s="401" t="s">
        <v>74</v>
      </c>
      <c r="B1246" s="404">
        <v>129000</v>
      </c>
      <c r="C1246" s="405">
        <v>4</v>
      </c>
      <c r="D1246" s="404">
        <v>13550</v>
      </c>
      <c r="E1246" s="404">
        <v>142550</v>
      </c>
      <c r="F1246" s="404">
        <v>1506</v>
      </c>
      <c r="G1246" s="404">
        <v>32250</v>
      </c>
      <c r="H1246" s="404">
        <v>3011</v>
      </c>
      <c r="I1246" s="404">
        <v>35261</v>
      </c>
      <c r="L1246" s="350">
        <v>0.315</v>
      </c>
      <c r="M1246" s="350">
        <v>3.5000000000000003E-2</v>
      </c>
      <c r="N1246" s="351" t="str">
        <f t="shared" si="40"/>
        <v>1290004</v>
      </c>
      <c r="P1246" s="351" t="str">
        <f t="shared" si="39"/>
        <v>T</v>
      </c>
    </row>
    <row r="1247" spans="1:16">
      <c r="A1247" s="401" t="s">
        <v>74</v>
      </c>
      <c r="B1247" s="404">
        <v>129000</v>
      </c>
      <c r="C1247" s="405">
        <v>6</v>
      </c>
      <c r="D1247" s="404">
        <v>20324</v>
      </c>
      <c r="E1247" s="404">
        <v>149324</v>
      </c>
      <c r="F1247" s="404">
        <v>2258</v>
      </c>
      <c r="G1247" s="404">
        <v>21500</v>
      </c>
      <c r="H1247" s="404">
        <v>3011</v>
      </c>
      <c r="I1247" s="404">
        <v>24511</v>
      </c>
      <c r="L1247" s="350">
        <v>0.315</v>
      </c>
      <c r="M1247" s="350">
        <v>3.5000000000000003E-2</v>
      </c>
      <c r="N1247" s="351" t="str">
        <f t="shared" si="40"/>
        <v>1290006</v>
      </c>
      <c r="P1247" s="351" t="str">
        <f t="shared" si="39"/>
        <v>T</v>
      </c>
    </row>
    <row r="1248" spans="1:16">
      <c r="A1248" s="401" t="s">
        <v>74</v>
      </c>
      <c r="B1248" s="404">
        <v>129000</v>
      </c>
      <c r="C1248" s="405">
        <v>8</v>
      </c>
      <c r="D1248" s="404">
        <v>27099</v>
      </c>
      <c r="E1248" s="404">
        <v>156099</v>
      </c>
      <c r="F1248" s="404">
        <v>3011</v>
      </c>
      <c r="G1248" s="404">
        <v>16125</v>
      </c>
      <c r="H1248" s="404">
        <v>3011</v>
      </c>
      <c r="I1248" s="404">
        <v>19136</v>
      </c>
      <c r="L1248" s="350">
        <v>0.315</v>
      </c>
      <c r="M1248" s="350">
        <v>3.5000000000000003E-2</v>
      </c>
      <c r="N1248" s="351" t="str">
        <f t="shared" si="40"/>
        <v>1290008</v>
      </c>
      <c r="P1248" s="351" t="str">
        <f t="shared" si="39"/>
        <v>T</v>
      </c>
    </row>
    <row r="1249" spans="1:16">
      <c r="A1249" s="401" t="s">
        <v>74</v>
      </c>
      <c r="B1249" s="404">
        <v>129000</v>
      </c>
      <c r="C1249" s="405">
        <v>10</v>
      </c>
      <c r="D1249" s="404">
        <v>33873</v>
      </c>
      <c r="E1249" s="404">
        <v>162873</v>
      </c>
      <c r="F1249" s="404">
        <v>3763</v>
      </c>
      <c r="G1249" s="404">
        <v>12900</v>
      </c>
      <c r="H1249" s="404">
        <v>3011</v>
      </c>
      <c r="I1249" s="404">
        <v>15911</v>
      </c>
      <c r="L1249" s="350">
        <v>0.315</v>
      </c>
      <c r="M1249" s="350">
        <v>3.5000000000000003E-2</v>
      </c>
      <c r="N1249" s="351" t="str">
        <f t="shared" si="40"/>
        <v>12900010</v>
      </c>
      <c r="P1249" s="351" t="str">
        <f t="shared" si="39"/>
        <v>T</v>
      </c>
    </row>
    <row r="1250" spans="1:16">
      <c r="A1250" s="401" t="s">
        <v>74</v>
      </c>
      <c r="B1250" s="404">
        <v>129000</v>
      </c>
      <c r="C1250" s="405">
        <v>12</v>
      </c>
      <c r="D1250" s="404">
        <v>40648</v>
      </c>
      <c r="E1250" s="404">
        <v>169648</v>
      </c>
      <c r="F1250" s="404">
        <v>4516</v>
      </c>
      <c r="G1250" s="404">
        <v>10750</v>
      </c>
      <c r="H1250" s="404">
        <v>3011</v>
      </c>
      <c r="I1250" s="404">
        <v>13761</v>
      </c>
      <c r="L1250" s="350">
        <v>0.315</v>
      </c>
      <c r="M1250" s="350">
        <v>3.5000000000000003E-2</v>
      </c>
      <c r="N1250" s="351" t="str">
        <f t="shared" si="40"/>
        <v>12900012</v>
      </c>
      <c r="P1250" s="351" t="str">
        <f t="shared" si="39"/>
        <v>T</v>
      </c>
    </row>
    <row r="1251" spans="1:16">
      <c r="A1251" s="401" t="s">
        <v>74</v>
      </c>
      <c r="B1251" s="404">
        <v>129000</v>
      </c>
      <c r="C1251" s="405">
        <v>14</v>
      </c>
      <c r="D1251" s="404">
        <v>47418</v>
      </c>
      <c r="E1251" s="404">
        <v>176418</v>
      </c>
      <c r="F1251" s="404">
        <v>5268</v>
      </c>
      <c r="G1251" s="404">
        <v>9215</v>
      </c>
      <c r="H1251" s="404">
        <v>3010</v>
      </c>
      <c r="I1251" s="404">
        <v>12225</v>
      </c>
      <c r="L1251" s="350">
        <v>0.315</v>
      </c>
      <c r="M1251" s="350">
        <v>3.5000000000000003E-2</v>
      </c>
      <c r="N1251" s="351" t="str">
        <f t="shared" si="40"/>
        <v>12900014</v>
      </c>
      <c r="P1251" s="351" t="str">
        <f t="shared" si="39"/>
        <v>T</v>
      </c>
    </row>
    <row r="1252" spans="1:16">
      <c r="A1252" s="401" t="s">
        <v>74</v>
      </c>
      <c r="B1252" s="404">
        <v>129000</v>
      </c>
      <c r="C1252" s="405">
        <v>16</v>
      </c>
      <c r="D1252" s="404">
        <v>54189</v>
      </c>
      <c r="E1252" s="404">
        <v>183189</v>
      </c>
      <c r="F1252" s="404">
        <v>6021</v>
      </c>
      <c r="G1252" s="404">
        <v>8063</v>
      </c>
      <c r="H1252" s="404">
        <v>3010</v>
      </c>
      <c r="I1252" s="404">
        <v>11073</v>
      </c>
      <c r="L1252" s="350">
        <v>0.315</v>
      </c>
      <c r="M1252" s="350">
        <v>3.5000000000000003E-2</v>
      </c>
      <c r="N1252" s="351" t="str">
        <f t="shared" si="40"/>
        <v>12900016</v>
      </c>
      <c r="P1252" s="351" t="str">
        <f t="shared" si="39"/>
        <v>T</v>
      </c>
    </row>
    <row r="1253" spans="1:16">
      <c r="A1253" s="401" t="s">
        <v>74</v>
      </c>
      <c r="B1253" s="404">
        <v>129000</v>
      </c>
      <c r="C1253" s="405">
        <v>18</v>
      </c>
      <c r="D1253" s="404">
        <v>60959</v>
      </c>
      <c r="E1253" s="404">
        <v>189959</v>
      </c>
      <c r="F1253" s="404">
        <v>6773</v>
      </c>
      <c r="G1253" s="404">
        <v>7167</v>
      </c>
      <c r="H1253" s="404">
        <v>3010</v>
      </c>
      <c r="I1253" s="404">
        <v>10177</v>
      </c>
      <c r="L1253" s="350">
        <v>0.315</v>
      </c>
      <c r="M1253" s="350">
        <v>3.5000000000000003E-2</v>
      </c>
      <c r="N1253" s="351" t="str">
        <f t="shared" si="40"/>
        <v>12900018</v>
      </c>
      <c r="P1253" s="351" t="str">
        <f t="shared" si="39"/>
        <v>T</v>
      </c>
    </row>
    <row r="1254" spans="1:16">
      <c r="A1254" s="401" t="s">
        <v>74</v>
      </c>
      <c r="B1254" s="404">
        <v>129000</v>
      </c>
      <c r="C1254" s="405">
        <v>20</v>
      </c>
      <c r="D1254" s="404">
        <v>67746</v>
      </c>
      <c r="E1254" s="404">
        <v>196746</v>
      </c>
      <c r="F1254" s="404">
        <v>7526</v>
      </c>
      <c r="G1254" s="404">
        <v>6450</v>
      </c>
      <c r="H1254" s="404">
        <v>3011</v>
      </c>
      <c r="I1254" s="404">
        <v>9461</v>
      </c>
      <c r="L1254" s="350">
        <v>0.315</v>
      </c>
      <c r="M1254" s="350">
        <v>3.5000000000000003E-2</v>
      </c>
      <c r="N1254" s="351" t="str">
        <f t="shared" si="40"/>
        <v>12900020</v>
      </c>
      <c r="P1254" s="351" t="str">
        <f t="shared" si="39"/>
        <v>T</v>
      </c>
    </row>
    <row r="1255" spans="1:16">
      <c r="A1255" s="401" t="s">
        <v>74</v>
      </c>
      <c r="B1255" s="404">
        <v>129000</v>
      </c>
      <c r="C1255" s="405">
        <v>22</v>
      </c>
      <c r="D1255" s="404">
        <v>74506</v>
      </c>
      <c r="E1255" s="404">
        <v>203506</v>
      </c>
      <c r="F1255" s="404">
        <v>8278</v>
      </c>
      <c r="G1255" s="404">
        <v>5864</v>
      </c>
      <c r="H1255" s="404">
        <v>3010</v>
      </c>
      <c r="I1255" s="404">
        <v>8874</v>
      </c>
      <c r="L1255" s="350">
        <v>0.315</v>
      </c>
      <c r="M1255" s="350">
        <v>3.5000000000000003E-2</v>
      </c>
      <c r="N1255" s="351" t="str">
        <f t="shared" si="40"/>
        <v>12900022</v>
      </c>
      <c r="P1255" s="351" t="str">
        <f t="shared" si="39"/>
        <v>T</v>
      </c>
    </row>
    <row r="1256" spans="1:16">
      <c r="A1256" s="401" t="s">
        <v>74</v>
      </c>
      <c r="B1256" s="404">
        <v>129000</v>
      </c>
      <c r="C1256" s="405">
        <v>24</v>
      </c>
      <c r="D1256" s="404">
        <v>81295</v>
      </c>
      <c r="E1256" s="404">
        <v>210295</v>
      </c>
      <c r="F1256" s="404">
        <v>9031</v>
      </c>
      <c r="G1256" s="404">
        <v>5375</v>
      </c>
      <c r="H1256" s="404">
        <v>3011</v>
      </c>
      <c r="I1256" s="404">
        <v>8386</v>
      </c>
      <c r="L1256" s="350">
        <v>0.315</v>
      </c>
      <c r="M1256" s="350">
        <v>3.5000000000000003E-2</v>
      </c>
      <c r="N1256" s="351" t="str">
        <f t="shared" si="40"/>
        <v>12900024</v>
      </c>
      <c r="P1256" s="351" t="str">
        <f t="shared" si="39"/>
        <v>T</v>
      </c>
    </row>
    <row r="1257" spans="1:16">
      <c r="A1257" s="401" t="s">
        <v>74</v>
      </c>
      <c r="B1257" s="404">
        <v>130000</v>
      </c>
      <c r="C1257" s="405">
        <v>4</v>
      </c>
      <c r="D1257" s="404">
        <v>13653</v>
      </c>
      <c r="E1257" s="404">
        <v>143653</v>
      </c>
      <c r="F1257" s="404">
        <v>1517</v>
      </c>
      <c r="G1257" s="404">
        <v>32500</v>
      </c>
      <c r="H1257" s="404">
        <v>3034</v>
      </c>
      <c r="I1257" s="404">
        <v>35534</v>
      </c>
      <c r="L1257" s="350">
        <v>0.315</v>
      </c>
      <c r="M1257" s="350">
        <v>3.5000000000000003E-2</v>
      </c>
      <c r="N1257" s="351" t="str">
        <f t="shared" si="40"/>
        <v>1300004</v>
      </c>
      <c r="P1257" s="351" t="str">
        <f t="shared" si="39"/>
        <v>T</v>
      </c>
    </row>
    <row r="1258" spans="1:16">
      <c r="A1258" s="401" t="s">
        <v>74</v>
      </c>
      <c r="B1258" s="404">
        <v>130000</v>
      </c>
      <c r="C1258" s="405">
        <v>6</v>
      </c>
      <c r="D1258" s="404">
        <v>20482</v>
      </c>
      <c r="E1258" s="404">
        <v>150482</v>
      </c>
      <c r="F1258" s="404">
        <v>2276</v>
      </c>
      <c r="G1258" s="404">
        <v>21667</v>
      </c>
      <c r="H1258" s="404">
        <v>3034</v>
      </c>
      <c r="I1258" s="404">
        <v>24701</v>
      </c>
      <c r="L1258" s="350">
        <v>0.315</v>
      </c>
      <c r="M1258" s="350">
        <v>3.5000000000000003E-2</v>
      </c>
      <c r="N1258" s="351" t="str">
        <f t="shared" si="40"/>
        <v>1300006</v>
      </c>
      <c r="P1258" s="351" t="str">
        <f t="shared" si="39"/>
        <v>T</v>
      </c>
    </row>
    <row r="1259" spans="1:16">
      <c r="A1259" s="401" t="s">
        <v>74</v>
      </c>
      <c r="B1259" s="404">
        <v>130000</v>
      </c>
      <c r="C1259" s="405">
        <v>8</v>
      </c>
      <c r="D1259" s="404">
        <v>27306</v>
      </c>
      <c r="E1259" s="404">
        <v>157306</v>
      </c>
      <c r="F1259" s="404">
        <v>3034</v>
      </c>
      <c r="G1259" s="404">
        <v>16250</v>
      </c>
      <c r="H1259" s="404">
        <v>3034</v>
      </c>
      <c r="I1259" s="404">
        <v>19284</v>
      </c>
      <c r="L1259" s="350">
        <v>0.315</v>
      </c>
      <c r="M1259" s="350">
        <v>3.5000000000000003E-2</v>
      </c>
      <c r="N1259" s="351" t="str">
        <f t="shared" si="40"/>
        <v>1300008</v>
      </c>
      <c r="P1259" s="351" t="str">
        <f t="shared" si="39"/>
        <v>T</v>
      </c>
    </row>
    <row r="1260" spans="1:16">
      <c r="A1260" s="401" t="s">
        <v>74</v>
      </c>
      <c r="B1260" s="404">
        <v>130000</v>
      </c>
      <c r="C1260" s="405">
        <v>10</v>
      </c>
      <c r="D1260" s="404">
        <v>34132</v>
      </c>
      <c r="E1260" s="404">
        <v>164132</v>
      </c>
      <c r="F1260" s="404">
        <v>3792</v>
      </c>
      <c r="G1260" s="404">
        <v>13000</v>
      </c>
      <c r="H1260" s="404">
        <v>3034</v>
      </c>
      <c r="I1260" s="404">
        <v>16034</v>
      </c>
      <c r="L1260" s="350">
        <v>0.315</v>
      </c>
      <c r="M1260" s="350">
        <v>3.5000000000000003E-2</v>
      </c>
      <c r="N1260" s="351" t="str">
        <f t="shared" si="40"/>
        <v>13000010</v>
      </c>
      <c r="P1260" s="351" t="str">
        <f t="shared" si="39"/>
        <v>T</v>
      </c>
    </row>
    <row r="1261" spans="1:16">
      <c r="A1261" s="401" t="s">
        <v>74</v>
      </c>
      <c r="B1261" s="404">
        <v>130000</v>
      </c>
      <c r="C1261" s="405">
        <v>12</v>
      </c>
      <c r="D1261" s="404">
        <v>40955</v>
      </c>
      <c r="E1261" s="404">
        <v>170955</v>
      </c>
      <c r="F1261" s="404">
        <v>4551</v>
      </c>
      <c r="G1261" s="404">
        <v>10834</v>
      </c>
      <c r="H1261" s="404">
        <v>3033</v>
      </c>
      <c r="I1261" s="404">
        <v>13867</v>
      </c>
      <c r="L1261" s="350">
        <v>0.315</v>
      </c>
      <c r="M1261" s="350">
        <v>3.5000000000000003E-2</v>
      </c>
      <c r="N1261" s="351" t="str">
        <f t="shared" si="40"/>
        <v>13000012</v>
      </c>
      <c r="P1261" s="351" t="str">
        <f t="shared" si="39"/>
        <v>T</v>
      </c>
    </row>
    <row r="1262" spans="1:16">
      <c r="A1262" s="401" t="s">
        <v>74</v>
      </c>
      <c r="B1262" s="404">
        <v>130000</v>
      </c>
      <c r="C1262" s="405">
        <v>14</v>
      </c>
      <c r="D1262" s="404">
        <v>47789</v>
      </c>
      <c r="E1262" s="404">
        <v>177789</v>
      </c>
      <c r="F1262" s="404">
        <v>5309</v>
      </c>
      <c r="G1262" s="404">
        <v>9286</v>
      </c>
      <c r="H1262" s="404">
        <v>3034</v>
      </c>
      <c r="I1262" s="404">
        <v>12320</v>
      </c>
      <c r="L1262" s="350">
        <v>0.315</v>
      </c>
      <c r="M1262" s="350">
        <v>3.5000000000000003E-2</v>
      </c>
      <c r="N1262" s="351" t="str">
        <f t="shared" si="40"/>
        <v>13000014</v>
      </c>
      <c r="P1262" s="351" t="str">
        <f t="shared" si="39"/>
        <v>T</v>
      </c>
    </row>
    <row r="1263" spans="1:16">
      <c r="A1263" s="401" t="s">
        <v>74</v>
      </c>
      <c r="B1263" s="404">
        <v>130000</v>
      </c>
      <c r="C1263" s="405">
        <v>16</v>
      </c>
      <c r="D1263" s="404">
        <v>54611</v>
      </c>
      <c r="E1263" s="404">
        <v>184611</v>
      </c>
      <c r="F1263" s="404">
        <v>6067</v>
      </c>
      <c r="G1263" s="404">
        <v>8125</v>
      </c>
      <c r="H1263" s="404">
        <v>3034</v>
      </c>
      <c r="I1263" s="404">
        <v>11159</v>
      </c>
      <c r="L1263" s="350">
        <v>0.315</v>
      </c>
      <c r="M1263" s="350">
        <v>3.5000000000000003E-2</v>
      </c>
      <c r="N1263" s="351" t="str">
        <f t="shared" si="40"/>
        <v>13000016</v>
      </c>
      <c r="P1263" s="351" t="str">
        <f t="shared" si="39"/>
        <v>T</v>
      </c>
    </row>
    <row r="1264" spans="1:16">
      <c r="A1264" s="401" t="s">
        <v>74</v>
      </c>
      <c r="B1264" s="404">
        <v>130000</v>
      </c>
      <c r="C1264" s="405">
        <v>18</v>
      </c>
      <c r="D1264" s="404">
        <v>61434</v>
      </c>
      <c r="E1264" s="404">
        <v>191434</v>
      </c>
      <c r="F1264" s="404">
        <v>6826</v>
      </c>
      <c r="G1264" s="404">
        <v>7223</v>
      </c>
      <c r="H1264" s="404">
        <v>3033</v>
      </c>
      <c r="I1264" s="404">
        <v>10256</v>
      </c>
      <c r="L1264" s="350">
        <v>0.315</v>
      </c>
      <c r="M1264" s="350">
        <v>3.5000000000000003E-2</v>
      </c>
      <c r="N1264" s="351" t="str">
        <f t="shared" si="40"/>
        <v>13000018</v>
      </c>
      <c r="P1264" s="351" t="str">
        <f t="shared" si="39"/>
        <v>T</v>
      </c>
    </row>
    <row r="1265" spans="1:16">
      <c r="A1265" s="401" t="s">
        <v>74</v>
      </c>
      <c r="B1265" s="404">
        <v>130000</v>
      </c>
      <c r="C1265" s="405">
        <v>20</v>
      </c>
      <c r="D1265" s="404">
        <v>68264</v>
      </c>
      <c r="E1265" s="404">
        <v>198264</v>
      </c>
      <c r="F1265" s="404">
        <v>7584</v>
      </c>
      <c r="G1265" s="404">
        <v>6500</v>
      </c>
      <c r="H1265" s="404">
        <v>3034</v>
      </c>
      <c r="I1265" s="404">
        <v>9534</v>
      </c>
      <c r="L1265" s="350">
        <v>0.315</v>
      </c>
      <c r="M1265" s="350">
        <v>3.5000000000000003E-2</v>
      </c>
      <c r="N1265" s="351" t="str">
        <f t="shared" si="40"/>
        <v>13000020</v>
      </c>
      <c r="P1265" s="351" t="str">
        <f t="shared" si="39"/>
        <v>T</v>
      </c>
    </row>
    <row r="1266" spans="1:16">
      <c r="A1266" s="401" t="s">
        <v>74</v>
      </c>
      <c r="B1266" s="404">
        <v>130000</v>
      </c>
      <c r="C1266" s="405">
        <v>22</v>
      </c>
      <c r="D1266" s="404">
        <v>75088</v>
      </c>
      <c r="E1266" s="404">
        <v>205088</v>
      </c>
      <c r="F1266" s="404">
        <v>8342</v>
      </c>
      <c r="G1266" s="404">
        <v>5910</v>
      </c>
      <c r="H1266" s="404">
        <v>3033</v>
      </c>
      <c r="I1266" s="404">
        <v>8943</v>
      </c>
      <c r="L1266" s="350">
        <v>0.315</v>
      </c>
      <c r="M1266" s="350">
        <v>3.5000000000000003E-2</v>
      </c>
      <c r="N1266" s="351" t="str">
        <f t="shared" si="40"/>
        <v>13000022</v>
      </c>
      <c r="P1266" s="351" t="str">
        <f t="shared" si="39"/>
        <v>T</v>
      </c>
    </row>
    <row r="1267" spans="1:16">
      <c r="A1267" s="401" t="s">
        <v>74</v>
      </c>
      <c r="B1267" s="404">
        <v>130000</v>
      </c>
      <c r="C1267" s="405">
        <v>24</v>
      </c>
      <c r="D1267" s="404">
        <v>81925</v>
      </c>
      <c r="E1267" s="404">
        <v>211925</v>
      </c>
      <c r="F1267" s="404">
        <v>9101</v>
      </c>
      <c r="G1267" s="404">
        <v>5417</v>
      </c>
      <c r="H1267" s="404">
        <v>3034</v>
      </c>
      <c r="I1267" s="404">
        <v>8451</v>
      </c>
      <c r="L1267" s="350">
        <v>0.315</v>
      </c>
      <c r="M1267" s="350">
        <v>3.5000000000000003E-2</v>
      </c>
      <c r="N1267" s="351" t="str">
        <f t="shared" si="40"/>
        <v>13000024</v>
      </c>
      <c r="P1267" s="351" t="str">
        <f t="shared" si="39"/>
        <v>T</v>
      </c>
    </row>
    <row r="1268" spans="1:16">
      <c r="A1268" s="401" t="s">
        <v>74</v>
      </c>
      <c r="B1268" s="404">
        <v>131000</v>
      </c>
      <c r="C1268" s="405">
        <v>4</v>
      </c>
      <c r="D1268" s="404">
        <v>13757</v>
      </c>
      <c r="E1268" s="404">
        <v>144757</v>
      </c>
      <c r="F1268" s="404">
        <v>1529</v>
      </c>
      <c r="G1268" s="404">
        <v>32750</v>
      </c>
      <c r="H1268" s="404">
        <v>3057</v>
      </c>
      <c r="I1268" s="404">
        <v>35807</v>
      </c>
      <c r="L1268" s="350">
        <v>0.315</v>
      </c>
      <c r="M1268" s="350">
        <v>3.5000000000000003E-2</v>
      </c>
      <c r="N1268" s="351" t="str">
        <f t="shared" si="40"/>
        <v>1310004</v>
      </c>
      <c r="P1268" s="351" t="str">
        <f t="shared" si="39"/>
        <v>T</v>
      </c>
    </row>
    <row r="1269" spans="1:16">
      <c r="A1269" s="401" t="s">
        <v>74</v>
      </c>
      <c r="B1269" s="404">
        <v>131000</v>
      </c>
      <c r="C1269" s="405">
        <v>6</v>
      </c>
      <c r="D1269" s="404">
        <v>20639</v>
      </c>
      <c r="E1269" s="404">
        <v>151639</v>
      </c>
      <c r="F1269" s="404">
        <v>2293</v>
      </c>
      <c r="G1269" s="404">
        <v>21834</v>
      </c>
      <c r="H1269" s="404">
        <v>3057</v>
      </c>
      <c r="I1269" s="404">
        <v>24891</v>
      </c>
      <c r="L1269" s="350">
        <v>0.315</v>
      </c>
      <c r="M1269" s="350">
        <v>3.5000000000000003E-2</v>
      </c>
      <c r="N1269" s="351" t="str">
        <f t="shared" si="40"/>
        <v>1310006</v>
      </c>
      <c r="P1269" s="351" t="str">
        <f t="shared" si="39"/>
        <v>T</v>
      </c>
    </row>
    <row r="1270" spans="1:16">
      <c r="A1270" s="401" t="s">
        <v>74</v>
      </c>
      <c r="B1270" s="404">
        <v>131000</v>
      </c>
      <c r="C1270" s="405">
        <v>8</v>
      </c>
      <c r="D1270" s="404">
        <v>27513</v>
      </c>
      <c r="E1270" s="404">
        <v>158513</v>
      </c>
      <c r="F1270" s="404">
        <v>3057</v>
      </c>
      <c r="G1270" s="404">
        <v>16375</v>
      </c>
      <c r="H1270" s="404">
        <v>3057</v>
      </c>
      <c r="I1270" s="404">
        <v>19432</v>
      </c>
      <c r="L1270" s="350">
        <v>0.315</v>
      </c>
      <c r="M1270" s="350">
        <v>3.5000000000000003E-2</v>
      </c>
      <c r="N1270" s="351" t="str">
        <f t="shared" si="40"/>
        <v>1310008</v>
      </c>
      <c r="P1270" s="351" t="str">
        <f t="shared" si="39"/>
        <v>T</v>
      </c>
    </row>
    <row r="1271" spans="1:16">
      <c r="A1271" s="401" t="s">
        <v>74</v>
      </c>
      <c r="B1271" s="404">
        <v>131000</v>
      </c>
      <c r="C1271" s="405">
        <v>10</v>
      </c>
      <c r="D1271" s="404">
        <v>34391</v>
      </c>
      <c r="E1271" s="404">
        <v>165391</v>
      </c>
      <c r="F1271" s="404">
        <v>3821</v>
      </c>
      <c r="G1271" s="404">
        <v>13100</v>
      </c>
      <c r="H1271" s="404">
        <v>3057</v>
      </c>
      <c r="I1271" s="404">
        <v>16157</v>
      </c>
      <c r="L1271" s="350">
        <v>0.315</v>
      </c>
      <c r="M1271" s="350">
        <v>3.5000000000000003E-2</v>
      </c>
      <c r="N1271" s="351" t="str">
        <f t="shared" si="40"/>
        <v>13100010</v>
      </c>
      <c r="P1271" s="351" t="str">
        <f t="shared" si="39"/>
        <v>T</v>
      </c>
    </row>
    <row r="1272" spans="1:16">
      <c r="A1272" s="401" t="s">
        <v>74</v>
      </c>
      <c r="B1272" s="404">
        <v>131000</v>
      </c>
      <c r="C1272" s="405">
        <v>12</v>
      </c>
      <c r="D1272" s="404">
        <v>41274</v>
      </c>
      <c r="E1272" s="404">
        <v>172274</v>
      </c>
      <c r="F1272" s="404">
        <v>4586</v>
      </c>
      <c r="G1272" s="404">
        <v>10917</v>
      </c>
      <c r="H1272" s="404">
        <v>3057</v>
      </c>
      <c r="I1272" s="404">
        <v>13974</v>
      </c>
      <c r="L1272" s="350">
        <v>0.315</v>
      </c>
      <c r="M1272" s="350">
        <v>3.5000000000000003E-2</v>
      </c>
      <c r="N1272" s="351" t="str">
        <f t="shared" si="40"/>
        <v>13100012</v>
      </c>
      <c r="P1272" s="351" t="str">
        <f t="shared" si="39"/>
        <v>T</v>
      </c>
    </row>
    <row r="1273" spans="1:16">
      <c r="A1273" s="401" t="s">
        <v>74</v>
      </c>
      <c r="B1273" s="404">
        <v>131000</v>
      </c>
      <c r="C1273" s="405">
        <v>14</v>
      </c>
      <c r="D1273" s="404">
        <v>48146</v>
      </c>
      <c r="E1273" s="404">
        <v>179146</v>
      </c>
      <c r="F1273" s="404">
        <v>5350</v>
      </c>
      <c r="G1273" s="404">
        <v>9358</v>
      </c>
      <c r="H1273" s="404">
        <v>3056</v>
      </c>
      <c r="I1273" s="404">
        <v>12414</v>
      </c>
      <c r="L1273" s="350">
        <v>0.315</v>
      </c>
      <c r="M1273" s="350">
        <v>3.5000000000000003E-2</v>
      </c>
      <c r="N1273" s="351" t="str">
        <f t="shared" si="40"/>
        <v>13100014</v>
      </c>
      <c r="P1273" s="351" t="str">
        <f t="shared" si="39"/>
        <v>T</v>
      </c>
    </row>
    <row r="1274" spans="1:16">
      <c r="A1274" s="401" t="s">
        <v>74</v>
      </c>
      <c r="B1274" s="404">
        <v>131000</v>
      </c>
      <c r="C1274" s="405">
        <v>16</v>
      </c>
      <c r="D1274" s="404">
        <v>55034</v>
      </c>
      <c r="E1274" s="404">
        <v>186034</v>
      </c>
      <c r="F1274" s="404">
        <v>6114</v>
      </c>
      <c r="G1274" s="404">
        <v>8188</v>
      </c>
      <c r="H1274" s="404">
        <v>3057</v>
      </c>
      <c r="I1274" s="404">
        <v>11245</v>
      </c>
      <c r="L1274" s="350">
        <v>0.315</v>
      </c>
      <c r="M1274" s="350">
        <v>3.5000000000000003E-2</v>
      </c>
      <c r="N1274" s="351" t="str">
        <f t="shared" si="40"/>
        <v>13100016</v>
      </c>
      <c r="P1274" s="351" t="str">
        <f t="shared" si="39"/>
        <v>T</v>
      </c>
    </row>
    <row r="1275" spans="1:16">
      <c r="A1275" s="401" t="s">
        <v>74</v>
      </c>
      <c r="B1275" s="404">
        <v>131000</v>
      </c>
      <c r="C1275" s="405">
        <v>18</v>
      </c>
      <c r="D1275" s="404">
        <v>61908</v>
      </c>
      <c r="E1275" s="404">
        <v>192908</v>
      </c>
      <c r="F1275" s="404">
        <v>6878</v>
      </c>
      <c r="G1275" s="404">
        <v>7278</v>
      </c>
      <c r="H1275" s="404">
        <v>3057</v>
      </c>
      <c r="I1275" s="404">
        <v>10335</v>
      </c>
      <c r="L1275" s="350">
        <v>0.315</v>
      </c>
      <c r="M1275" s="350">
        <v>3.5000000000000003E-2</v>
      </c>
      <c r="N1275" s="351" t="str">
        <f t="shared" si="40"/>
        <v>13100018</v>
      </c>
      <c r="P1275" s="351" t="str">
        <f t="shared" si="39"/>
        <v>T</v>
      </c>
    </row>
    <row r="1276" spans="1:16">
      <c r="A1276" s="401" t="s">
        <v>74</v>
      </c>
      <c r="B1276" s="404">
        <v>131000</v>
      </c>
      <c r="C1276" s="405">
        <v>20</v>
      </c>
      <c r="D1276" s="404">
        <v>68782</v>
      </c>
      <c r="E1276" s="404">
        <v>199782</v>
      </c>
      <c r="F1276" s="404">
        <v>7642</v>
      </c>
      <c r="G1276" s="404">
        <v>6550</v>
      </c>
      <c r="H1276" s="404">
        <v>3057</v>
      </c>
      <c r="I1276" s="404">
        <v>9607</v>
      </c>
      <c r="L1276" s="350">
        <v>0.315</v>
      </c>
      <c r="M1276" s="350">
        <v>3.5000000000000003E-2</v>
      </c>
      <c r="N1276" s="351" t="str">
        <f t="shared" si="40"/>
        <v>13100020</v>
      </c>
      <c r="P1276" s="351" t="str">
        <f t="shared" si="39"/>
        <v>T</v>
      </c>
    </row>
    <row r="1277" spans="1:16">
      <c r="A1277" s="401" t="s">
        <v>74</v>
      </c>
      <c r="B1277" s="404">
        <v>131000</v>
      </c>
      <c r="C1277" s="405">
        <v>22</v>
      </c>
      <c r="D1277" s="404">
        <v>75670</v>
      </c>
      <c r="E1277" s="404">
        <v>206670</v>
      </c>
      <c r="F1277" s="404">
        <v>8406</v>
      </c>
      <c r="G1277" s="404">
        <v>5955</v>
      </c>
      <c r="H1277" s="404">
        <v>3057</v>
      </c>
      <c r="I1277" s="404">
        <v>9012</v>
      </c>
      <c r="L1277" s="350">
        <v>0.315</v>
      </c>
      <c r="M1277" s="350">
        <v>3.5000000000000003E-2</v>
      </c>
      <c r="N1277" s="351" t="str">
        <f t="shared" si="40"/>
        <v>13100022</v>
      </c>
      <c r="P1277" s="351" t="str">
        <f t="shared" si="39"/>
        <v>T</v>
      </c>
    </row>
    <row r="1278" spans="1:16">
      <c r="A1278" s="401" t="s">
        <v>74</v>
      </c>
      <c r="B1278" s="404">
        <v>131000</v>
      </c>
      <c r="C1278" s="405">
        <v>24</v>
      </c>
      <c r="D1278" s="404">
        <v>82555</v>
      </c>
      <c r="E1278" s="404">
        <v>213555</v>
      </c>
      <c r="F1278" s="404">
        <v>9171</v>
      </c>
      <c r="G1278" s="404">
        <v>5459</v>
      </c>
      <c r="H1278" s="404">
        <v>3057</v>
      </c>
      <c r="I1278" s="404">
        <v>8516</v>
      </c>
      <c r="L1278" s="350">
        <v>0.315</v>
      </c>
      <c r="M1278" s="350">
        <v>3.5000000000000003E-2</v>
      </c>
      <c r="N1278" s="351" t="str">
        <f t="shared" si="40"/>
        <v>13100024</v>
      </c>
      <c r="P1278" s="351" t="str">
        <f t="shared" si="39"/>
        <v>T</v>
      </c>
    </row>
    <row r="1279" spans="1:16">
      <c r="A1279" s="401" t="s">
        <v>74</v>
      </c>
      <c r="B1279" s="404">
        <v>132000</v>
      </c>
      <c r="C1279" s="405">
        <v>4</v>
      </c>
      <c r="D1279" s="404">
        <v>13865</v>
      </c>
      <c r="E1279" s="404">
        <v>145865</v>
      </c>
      <c r="F1279" s="404">
        <v>1541</v>
      </c>
      <c r="G1279" s="404">
        <v>33000</v>
      </c>
      <c r="H1279" s="404">
        <v>3081</v>
      </c>
      <c r="I1279" s="404">
        <v>36081</v>
      </c>
      <c r="L1279" s="350">
        <v>0.315</v>
      </c>
      <c r="M1279" s="350">
        <v>3.5000000000000003E-2</v>
      </c>
      <c r="N1279" s="351" t="str">
        <f t="shared" si="40"/>
        <v>1320004</v>
      </c>
      <c r="P1279" s="351" t="str">
        <f t="shared" si="39"/>
        <v>T</v>
      </c>
    </row>
    <row r="1280" spans="1:16">
      <c r="A1280" s="401" t="s">
        <v>74</v>
      </c>
      <c r="B1280" s="404">
        <v>132000</v>
      </c>
      <c r="C1280" s="405">
        <v>6</v>
      </c>
      <c r="D1280" s="404">
        <v>20797</v>
      </c>
      <c r="E1280" s="404">
        <v>152797</v>
      </c>
      <c r="F1280" s="404">
        <v>2311</v>
      </c>
      <c r="G1280" s="404">
        <v>22000</v>
      </c>
      <c r="H1280" s="404">
        <v>3081</v>
      </c>
      <c r="I1280" s="404">
        <v>25081</v>
      </c>
      <c r="L1280" s="350">
        <v>0.315</v>
      </c>
      <c r="M1280" s="350">
        <v>3.5000000000000003E-2</v>
      </c>
      <c r="N1280" s="351" t="str">
        <f t="shared" si="40"/>
        <v>1320006</v>
      </c>
      <c r="P1280" s="351" t="str">
        <f t="shared" si="39"/>
        <v>T</v>
      </c>
    </row>
    <row r="1281" spans="1:16">
      <c r="A1281" s="401" t="s">
        <v>74</v>
      </c>
      <c r="B1281" s="404">
        <v>132000</v>
      </c>
      <c r="C1281" s="405">
        <v>8</v>
      </c>
      <c r="D1281" s="404">
        <v>27729</v>
      </c>
      <c r="E1281" s="404">
        <v>159729</v>
      </c>
      <c r="F1281" s="404">
        <v>3081</v>
      </c>
      <c r="G1281" s="404">
        <v>16500</v>
      </c>
      <c r="H1281" s="404">
        <v>3081</v>
      </c>
      <c r="I1281" s="404">
        <v>19581</v>
      </c>
      <c r="L1281" s="350">
        <v>0.315</v>
      </c>
      <c r="M1281" s="350">
        <v>3.5000000000000003E-2</v>
      </c>
      <c r="N1281" s="351" t="str">
        <f t="shared" si="40"/>
        <v>1320008</v>
      </c>
      <c r="P1281" s="351" t="str">
        <f t="shared" si="39"/>
        <v>T</v>
      </c>
    </row>
    <row r="1282" spans="1:16">
      <c r="A1282" s="401" t="s">
        <v>74</v>
      </c>
      <c r="B1282" s="404">
        <v>132000</v>
      </c>
      <c r="C1282" s="405">
        <v>10</v>
      </c>
      <c r="D1282" s="404">
        <v>34661</v>
      </c>
      <c r="E1282" s="404">
        <v>166661</v>
      </c>
      <c r="F1282" s="404">
        <v>3851</v>
      </c>
      <c r="G1282" s="404">
        <v>13200</v>
      </c>
      <c r="H1282" s="404">
        <v>3081</v>
      </c>
      <c r="I1282" s="404">
        <v>16281</v>
      </c>
      <c r="L1282" s="350">
        <v>0.315</v>
      </c>
      <c r="M1282" s="350">
        <v>3.5000000000000003E-2</v>
      </c>
      <c r="N1282" s="351" t="str">
        <f t="shared" si="40"/>
        <v>13200010</v>
      </c>
      <c r="P1282" s="351" t="str">
        <f t="shared" si="39"/>
        <v>T</v>
      </c>
    </row>
    <row r="1283" spans="1:16">
      <c r="A1283" s="401" t="s">
        <v>74</v>
      </c>
      <c r="B1283" s="404">
        <v>132000</v>
      </c>
      <c r="C1283" s="405">
        <v>12</v>
      </c>
      <c r="D1283" s="404">
        <v>41593</v>
      </c>
      <c r="E1283" s="404">
        <v>173593</v>
      </c>
      <c r="F1283" s="404">
        <v>4621</v>
      </c>
      <c r="G1283" s="404">
        <v>11000</v>
      </c>
      <c r="H1283" s="404">
        <v>3081</v>
      </c>
      <c r="I1283" s="404">
        <v>14081</v>
      </c>
      <c r="L1283" s="350">
        <v>0.315</v>
      </c>
      <c r="M1283" s="350">
        <v>3.5000000000000003E-2</v>
      </c>
      <c r="N1283" s="351" t="str">
        <f t="shared" si="40"/>
        <v>13200012</v>
      </c>
      <c r="P1283" s="351" t="str">
        <f t="shared" ref="P1283:P1346" si="41">IF((E1283-F1283)/C1283=I1283,"T","F")</f>
        <v>T</v>
      </c>
    </row>
    <row r="1284" spans="1:16">
      <c r="A1284" s="401" t="s">
        <v>74</v>
      </c>
      <c r="B1284" s="404">
        <v>132000</v>
      </c>
      <c r="C1284" s="405">
        <v>14</v>
      </c>
      <c r="D1284" s="404">
        <v>48517</v>
      </c>
      <c r="E1284" s="404">
        <v>180517</v>
      </c>
      <c r="F1284" s="404">
        <v>5391</v>
      </c>
      <c r="G1284" s="404">
        <v>9429</v>
      </c>
      <c r="H1284" s="404">
        <v>3080</v>
      </c>
      <c r="I1284" s="404">
        <v>12509</v>
      </c>
      <c r="L1284" s="350">
        <v>0.315</v>
      </c>
      <c r="M1284" s="350">
        <v>3.5000000000000003E-2</v>
      </c>
      <c r="N1284" s="351" t="str">
        <f t="shared" si="40"/>
        <v>13200014</v>
      </c>
      <c r="P1284" s="351" t="str">
        <f t="shared" si="41"/>
        <v>T</v>
      </c>
    </row>
    <row r="1285" spans="1:16">
      <c r="A1285" s="401" t="s">
        <v>74</v>
      </c>
      <c r="B1285" s="404">
        <v>132000</v>
      </c>
      <c r="C1285" s="405">
        <v>16</v>
      </c>
      <c r="D1285" s="404">
        <v>55457</v>
      </c>
      <c r="E1285" s="404">
        <v>187457</v>
      </c>
      <c r="F1285" s="404">
        <v>6161</v>
      </c>
      <c r="G1285" s="404">
        <v>8250</v>
      </c>
      <c r="H1285" s="404">
        <v>3081</v>
      </c>
      <c r="I1285" s="404">
        <v>11331</v>
      </c>
      <c r="L1285" s="350">
        <v>0.315</v>
      </c>
      <c r="M1285" s="350">
        <v>3.5000000000000003E-2</v>
      </c>
      <c r="N1285" s="351" t="str">
        <f t="shared" ref="N1285:N1348" si="42">CONCATENATE(B1285,C1285)</f>
        <v>13200016</v>
      </c>
      <c r="P1285" s="351" t="str">
        <f t="shared" si="41"/>
        <v>T</v>
      </c>
    </row>
    <row r="1286" spans="1:16">
      <c r="A1286" s="401" t="s">
        <v>74</v>
      </c>
      <c r="B1286" s="404">
        <v>132000</v>
      </c>
      <c r="C1286" s="405">
        <v>18</v>
      </c>
      <c r="D1286" s="404">
        <v>62383</v>
      </c>
      <c r="E1286" s="404">
        <v>194383</v>
      </c>
      <c r="F1286" s="404">
        <v>6931</v>
      </c>
      <c r="G1286" s="404">
        <v>7334</v>
      </c>
      <c r="H1286" s="404">
        <v>3080</v>
      </c>
      <c r="I1286" s="404">
        <v>10414</v>
      </c>
      <c r="L1286" s="350">
        <v>0.315</v>
      </c>
      <c r="M1286" s="350">
        <v>3.5000000000000003E-2</v>
      </c>
      <c r="N1286" s="351" t="str">
        <f t="shared" si="42"/>
        <v>13200018</v>
      </c>
      <c r="P1286" s="351" t="str">
        <f t="shared" si="41"/>
        <v>T</v>
      </c>
    </row>
    <row r="1287" spans="1:16">
      <c r="A1287" s="401" t="s">
        <v>74</v>
      </c>
      <c r="B1287" s="404">
        <v>132000</v>
      </c>
      <c r="C1287" s="405">
        <v>20</v>
      </c>
      <c r="D1287" s="404">
        <v>69321</v>
      </c>
      <c r="E1287" s="404">
        <v>201321</v>
      </c>
      <c r="F1287" s="404">
        <v>7701</v>
      </c>
      <c r="G1287" s="404">
        <v>6600</v>
      </c>
      <c r="H1287" s="404">
        <v>3081</v>
      </c>
      <c r="I1287" s="404">
        <v>9681</v>
      </c>
      <c r="L1287" s="350">
        <v>0.315</v>
      </c>
      <c r="M1287" s="350">
        <v>3.5000000000000003E-2</v>
      </c>
      <c r="N1287" s="351" t="str">
        <f t="shared" si="42"/>
        <v>13200020</v>
      </c>
      <c r="P1287" s="351" t="str">
        <f t="shared" si="41"/>
        <v>T</v>
      </c>
    </row>
    <row r="1288" spans="1:16">
      <c r="A1288" s="401" t="s">
        <v>74</v>
      </c>
      <c r="B1288" s="404">
        <v>132000</v>
      </c>
      <c r="C1288" s="405">
        <v>22</v>
      </c>
      <c r="D1288" s="404">
        <v>76253</v>
      </c>
      <c r="E1288" s="404">
        <v>208253</v>
      </c>
      <c r="F1288" s="404">
        <v>8471</v>
      </c>
      <c r="G1288" s="404">
        <v>6000</v>
      </c>
      <c r="H1288" s="404">
        <v>3081</v>
      </c>
      <c r="I1288" s="404">
        <v>9081</v>
      </c>
      <c r="L1288" s="350">
        <v>0.315</v>
      </c>
      <c r="M1288" s="350">
        <v>3.5000000000000003E-2</v>
      </c>
      <c r="N1288" s="351" t="str">
        <f t="shared" si="42"/>
        <v>13200022</v>
      </c>
      <c r="P1288" s="351" t="str">
        <f t="shared" si="41"/>
        <v>T</v>
      </c>
    </row>
    <row r="1289" spans="1:16">
      <c r="A1289" s="401" t="s">
        <v>74</v>
      </c>
      <c r="B1289" s="404">
        <v>132000</v>
      </c>
      <c r="C1289" s="405">
        <v>24</v>
      </c>
      <c r="D1289" s="404">
        <v>83185</v>
      </c>
      <c r="E1289" s="404">
        <v>215185</v>
      </c>
      <c r="F1289" s="404">
        <v>9241</v>
      </c>
      <c r="G1289" s="404">
        <v>5500</v>
      </c>
      <c r="H1289" s="404">
        <v>3081</v>
      </c>
      <c r="I1289" s="404">
        <v>8581</v>
      </c>
      <c r="L1289" s="350">
        <v>0.315</v>
      </c>
      <c r="M1289" s="350">
        <v>3.5000000000000003E-2</v>
      </c>
      <c r="N1289" s="351" t="str">
        <f t="shared" si="42"/>
        <v>13200024</v>
      </c>
      <c r="P1289" s="351" t="str">
        <f t="shared" si="41"/>
        <v>T</v>
      </c>
    </row>
    <row r="1290" spans="1:16">
      <c r="A1290" s="401" t="s">
        <v>74</v>
      </c>
      <c r="B1290" s="404">
        <v>133000</v>
      </c>
      <c r="C1290" s="405">
        <v>4</v>
      </c>
      <c r="D1290" s="404">
        <v>13968</v>
      </c>
      <c r="E1290" s="404">
        <v>146968</v>
      </c>
      <c r="F1290" s="404">
        <v>1552</v>
      </c>
      <c r="G1290" s="404">
        <v>33250</v>
      </c>
      <c r="H1290" s="404">
        <v>3104</v>
      </c>
      <c r="I1290" s="404">
        <v>36354</v>
      </c>
      <c r="L1290" s="350">
        <v>0.315</v>
      </c>
      <c r="M1290" s="350">
        <v>3.5000000000000003E-2</v>
      </c>
      <c r="N1290" s="351" t="str">
        <f t="shared" si="42"/>
        <v>1330004</v>
      </c>
      <c r="P1290" s="351" t="str">
        <f t="shared" si="41"/>
        <v>T</v>
      </c>
    </row>
    <row r="1291" spans="1:16">
      <c r="A1291" s="401" t="s">
        <v>74</v>
      </c>
      <c r="B1291" s="404">
        <v>133000</v>
      </c>
      <c r="C1291" s="405">
        <v>6</v>
      </c>
      <c r="D1291" s="404">
        <v>20954</v>
      </c>
      <c r="E1291" s="404">
        <v>153954</v>
      </c>
      <c r="F1291" s="404">
        <v>2328</v>
      </c>
      <c r="G1291" s="404">
        <v>22167</v>
      </c>
      <c r="H1291" s="404">
        <v>3104</v>
      </c>
      <c r="I1291" s="404">
        <v>25271</v>
      </c>
      <c r="L1291" s="350">
        <v>0.315</v>
      </c>
      <c r="M1291" s="350">
        <v>3.5000000000000003E-2</v>
      </c>
      <c r="N1291" s="351" t="str">
        <f t="shared" si="42"/>
        <v>1330006</v>
      </c>
      <c r="P1291" s="351" t="str">
        <f t="shared" si="41"/>
        <v>T</v>
      </c>
    </row>
    <row r="1292" spans="1:16">
      <c r="A1292" s="401" t="s">
        <v>74</v>
      </c>
      <c r="B1292" s="404">
        <v>133000</v>
      </c>
      <c r="C1292" s="405">
        <v>8</v>
      </c>
      <c r="D1292" s="404">
        <v>27936</v>
      </c>
      <c r="E1292" s="404">
        <v>160936</v>
      </c>
      <c r="F1292" s="404">
        <v>3104</v>
      </c>
      <c r="G1292" s="404">
        <v>16625</v>
      </c>
      <c r="H1292" s="404">
        <v>3104</v>
      </c>
      <c r="I1292" s="404">
        <v>19729</v>
      </c>
      <c r="L1292" s="350">
        <v>0.315</v>
      </c>
      <c r="M1292" s="350">
        <v>3.5000000000000003E-2</v>
      </c>
      <c r="N1292" s="351" t="str">
        <f t="shared" si="42"/>
        <v>1330008</v>
      </c>
      <c r="P1292" s="351" t="str">
        <f t="shared" si="41"/>
        <v>T</v>
      </c>
    </row>
    <row r="1293" spans="1:16">
      <c r="A1293" s="401" t="s">
        <v>74</v>
      </c>
      <c r="B1293" s="404">
        <v>133000</v>
      </c>
      <c r="C1293" s="405">
        <v>10</v>
      </c>
      <c r="D1293" s="404">
        <v>34920</v>
      </c>
      <c r="E1293" s="404">
        <v>167920</v>
      </c>
      <c r="F1293" s="404">
        <v>3880</v>
      </c>
      <c r="G1293" s="404">
        <v>13300</v>
      </c>
      <c r="H1293" s="404">
        <v>3104</v>
      </c>
      <c r="I1293" s="404">
        <v>16404</v>
      </c>
      <c r="L1293" s="350">
        <v>0.315</v>
      </c>
      <c r="M1293" s="350">
        <v>3.5000000000000003E-2</v>
      </c>
      <c r="N1293" s="351" t="str">
        <f t="shared" si="42"/>
        <v>13300010</v>
      </c>
      <c r="P1293" s="351" t="str">
        <f t="shared" si="41"/>
        <v>T</v>
      </c>
    </row>
    <row r="1294" spans="1:16">
      <c r="A1294" s="401" t="s">
        <v>74</v>
      </c>
      <c r="B1294" s="404">
        <v>133000</v>
      </c>
      <c r="C1294" s="405">
        <v>12</v>
      </c>
      <c r="D1294" s="404">
        <v>41900</v>
      </c>
      <c r="E1294" s="404">
        <v>174900</v>
      </c>
      <c r="F1294" s="404">
        <v>4656</v>
      </c>
      <c r="G1294" s="404">
        <v>11084</v>
      </c>
      <c r="H1294" s="404">
        <v>3103</v>
      </c>
      <c r="I1294" s="404">
        <v>14187</v>
      </c>
      <c r="L1294" s="350">
        <v>0.315</v>
      </c>
      <c r="M1294" s="350">
        <v>3.5000000000000003E-2</v>
      </c>
      <c r="N1294" s="351" t="str">
        <f t="shared" si="42"/>
        <v>13300012</v>
      </c>
      <c r="P1294" s="351" t="str">
        <f t="shared" si="41"/>
        <v>T</v>
      </c>
    </row>
    <row r="1295" spans="1:16">
      <c r="A1295" s="401" t="s">
        <v>74</v>
      </c>
      <c r="B1295" s="404">
        <v>133000</v>
      </c>
      <c r="C1295" s="405">
        <v>14</v>
      </c>
      <c r="D1295" s="404">
        <v>48887</v>
      </c>
      <c r="E1295" s="404">
        <v>181887</v>
      </c>
      <c r="F1295" s="404">
        <v>5431</v>
      </c>
      <c r="G1295" s="404">
        <v>9500</v>
      </c>
      <c r="H1295" s="404">
        <v>3104</v>
      </c>
      <c r="I1295" s="404">
        <v>12604</v>
      </c>
      <c r="L1295" s="350">
        <v>0.315</v>
      </c>
      <c r="M1295" s="350">
        <v>3.5000000000000003E-2</v>
      </c>
      <c r="N1295" s="351" t="str">
        <f t="shared" si="42"/>
        <v>13300014</v>
      </c>
      <c r="P1295" s="351" t="str">
        <f t="shared" si="41"/>
        <v>T</v>
      </c>
    </row>
    <row r="1296" spans="1:16">
      <c r="A1296" s="401" t="s">
        <v>74</v>
      </c>
      <c r="B1296" s="404">
        <v>133000</v>
      </c>
      <c r="C1296" s="405">
        <v>16</v>
      </c>
      <c r="D1296" s="404">
        <v>55863</v>
      </c>
      <c r="E1296" s="404">
        <v>188863</v>
      </c>
      <c r="F1296" s="404">
        <v>6207</v>
      </c>
      <c r="G1296" s="404">
        <v>8313</v>
      </c>
      <c r="H1296" s="404">
        <v>3103</v>
      </c>
      <c r="I1296" s="404">
        <v>11416</v>
      </c>
      <c r="L1296" s="350">
        <v>0.315</v>
      </c>
      <c r="M1296" s="350">
        <v>3.5000000000000003E-2</v>
      </c>
      <c r="N1296" s="351" t="str">
        <f t="shared" si="42"/>
        <v>13300016</v>
      </c>
      <c r="P1296" s="351" t="str">
        <f t="shared" si="41"/>
        <v>T</v>
      </c>
    </row>
    <row r="1297" spans="1:16">
      <c r="A1297" s="401" t="s">
        <v>74</v>
      </c>
      <c r="B1297" s="404">
        <v>133000</v>
      </c>
      <c r="C1297" s="405">
        <v>18</v>
      </c>
      <c r="D1297" s="404">
        <v>62857</v>
      </c>
      <c r="E1297" s="404">
        <v>195857</v>
      </c>
      <c r="F1297" s="404">
        <v>6983</v>
      </c>
      <c r="G1297" s="404">
        <v>7389</v>
      </c>
      <c r="H1297" s="404">
        <v>3104</v>
      </c>
      <c r="I1297" s="404">
        <v>10493</v>
      </c>
      <c r="L1297" s="350">
        <v>0.315</v>
      </c>
      <c r="M1297" s="350">
        <v>3.5000000000000003E-2</v>
      </c>
      <c r="N1297" s="351" t="str">
        <f t="shared" si="42"/>
        <v>13300018</v>
      </c>
      <c r="P1297" s="351" t="str">
        <f t="shared" si="41"/>
        <v>T</v>
      </c>
    </row>
    <row r="1298" spans="1:16">
      <c r="A1298" s="401" t="s">
        <v>74</v>
      </c>
      <c r="B1298" s="404">
        <v>133000</v>
      </c>
      <c r="C1298" s="405">
        <v>20</v>
      </c>
      <c r="D1298" s="404">
        <v>69839</v>
      </c>
      <c r="E1298" s="404">
        <v>202839</v>
      </c>
      <c r="F1298" s="404">
        <v>7759</v>
      </c>
      <c r="G1298" s="404">
        <v>6650</v>
      </c>
      <c r="H1298" s="404">
        <v>3104</v>
      </c>
      <c r="I1298" s="404">
        <v>9754</v>
      </c>
      <c r="L1298" s="350">
        <v>0.315</v>
      </c>
      <c r="M1298" s="350">
        <v>3.5000000000000003E-2</v>
      </c>
      <c r="N1298" s="351" t="str">
        <f t="shared" si="42"/>
        <v>13300020</v>
      </c>
      <c r="P1298" s="351" t="str">
        <f t="shared" si="41"/>
        <v>T</v>
      </c>
    </row>
    <row r="1299" spans="1:16">
      <c r="A1299" s="401" t="s">
        <v>74</v>
      </c>
      <c r="B1299" s="404">
        <v>133000</v>
      </c>
      <c r="C1299" s="405">
        <v>22</v>
      </c>
      <c r="D1299" s="404">
        <v>76813</v>
      </c>
      <c r="E1299" s="404">
        <v>209813</v>
      </c>
      <c r="F1299" s="404">
        <v>8535</v>
      </c>
      <c r="G1299" s="404">
        <v>6046</v>
      </c>
      <c r="H1299" s="404">
        <v>3103</v>
      </c>
      <c r="I1299" s="404">
        <v>9149</v>
      </c>
      <c r="L1299" s="350">
        <v>0.315</v>
      </c>
      <c r="M1299" s="350">
        <v>3.5000000000000003E-2</v>
      </c>
      <c r="N1299" s="351" t="str">
        <f t="shared" si="42"/>
        <v>13300022</v>
      </c>
      <c r="P1299" s="351" t="str">
        <f t="shared" si="41"/>
        <v>T</v>
      </c>
    </row>
    <row r="1300" spans="1:16">
      <c r="A1300" s="401" t="s">
        <v>74</v>
      </c>
      <c r="B1300" s="404">
        <v>133000</v>
      </c>
      <c r="C1300" s="405">
        <v>24</v>
      </c>
      <c r="D1300" s="404">
        <v>83815</v>
      </c>
      <c r="E1300" s="404">
        <v>216815</v>
      </c>
      <c r="F1300" s="404">
        <v>9311</v>
      </c>
      <c r="G1300" s="404">
        <v>5542</v>
      </c>
      <c r="H1300" s="404">
        <v>3104</v>
      </c>
      <c r="I1300" s="404">
        <v>8646</v>
      </c>
      <c r="L1300" s="350">
        <v>0.315</v>
      </c>
      <c r="M1300" s="350">
        <v>3.5000000000000003E-2</v>
      </c>
      <c r="N1300" s="351" t="str">
        <f t="shared" si="42"/>
        <v>13300024</v>
      </c>
      <c r="P1300" s="351" t="str">
        <f t="shared" si="41"/>
        <v>T</v>
      </c>
    </row>
    <row r="1301" spans="1:16">
      <c r="A1301" s="401" t="s">
        <v>74</v>
      </c>
      <c r="B1301" s="404">
        <v>134000</v>
      </c>
      <c r="C1301" s="405">
        <v>4</v>
      </c>
      <c r="D1301" s="404">
        <v>14072</v>
      </c>
      <c r="E1301" s="404">
        <v>148072</v>
      </c>
      <c r="F1301" s="404">
        <v>1564</v>
      </c>
      <c r="G1301" s="404">
        <v>33500</v>
      </c>
      <c r="H1301" s="404">
        <v>3127</v>
      </c>
      <c r="I1301" s="404">
        <v>36627</v>
      </c>
      <c r="L1301" s="350">
        <v>0.315</v>
      </c>
      <c r="M1301" s="350">
        <v>3.5000000000000003E-2</v>
      </c>
      <c r="N1301" s="351" t="str">
        <f t="shared" si="42"/>
        <v>1340004</v>
      </c>
      <c r="P1301" s="351" t="str">
        <f t="shared" si="41"/>
        <v>T</v>
      </c>
    </row>
    <row r="1302" spans="1:16">
      <c r="A1302" s="401" t="s">
        <v>74</v>
      </c>
      <c r="B1302" s="404">
        <v>134000</v>
      </c>
      <c r="C1302" s="405">
        <v>6</v>
      </c>
      <c r="D1302" s="404">
        <v>21112</v>
      </c>
      <c r="E1302" s="404">
        <v>155112</v>
      </c>
      <c r="F1302" s="404">
        <v>2346</v>
      </c>
      <c r="G1302" s="404">
        <v>22334</v>
      </c>
      <c r="H1302" s="404">
        <v>3127</v>
      </c>
      <c r="I1302" s="404">
        <v>25461</v>
      </c>
      <c r="L1302" s="350">
        <v>0.315</v>
      </c>
      <c r="M1302" s="350">
        <v>3.5000000000000003E-2</v>
      </c>
      <c r="N1302" s="351" t="str">
        <f t="shared" si="42"/>
        <v>1340006</v>
      </c>
      <c r="P1302" s="351" t="str">
        <f t="shared" si="41"/>
        <v>T</v>
      </c>
    </row>
    <row r="1303" spans="1:16">
      <c r="A1303" s="401" t="s">
        <v>74</v>
      </c>
      <c r="B1303" s="404">
        <v>134000</v>
      </c>
      <c r="C1303" s="405">
        <v>8</v>
      </c>
      <c r="D1303" s="404">
        <v>28143</v>
      </c>
      <c r="E1303" s="404">
        <v>162143</v>
      </c>
      <c r="F1303" s="404">
        <v>3127</v>
      </c>
      <c r="G1303" s="404">
        <v>16750</v>
      </c>
      <c r="H1303" s="404">
        <v>3127</v>
      </c>
      <c r="I1303" s="404">
        <v>19877</v>
      </c>
      <c r="L1303" s="350">
        <v>0.315</v>
      </c>
      <c r="M1303" s="350">
        <v>3.5000000000000003E-2</v>
      </c>
      <c r="N1303" s="351" t="str">
        <f t="shared" si="42"/>
        <v>1340008</v>
      </c>
      <c r="P1303" s="351" t="str">
        <f t="shared" si="41"/>
        <v>T</v>
      </c>
    </row>
    <row r="1304" spans="1:16">
      <c r="A1304" s="401" t="s">
        <v>74</v>
      </c>
      <c r="B1304" s="404">
        <v>134000</v>
      </c>
      <c r="C1304" s="405">
        <v>10</v>
      </c>
      <c r="D1304" s="404">
        <v>35179</v>
      </c>
      <c r="E1304" s="404">
        <v>169179</v>
      </c>
      <c r="F1304" s="404">
        <v>3909</v>
      </c>
      <c r="G1304" s="404">
        <v>13400</v>
      </c>
      <c r="H1304" s="404">
        <v>3127</v>
      </c>
      <c r="I1304" s="404">
        <v>16527</v>
      </c>
      <c r="L1304" s="350">
        <v>0.315</v>
      </c>
      <c r="M1304" s="350">
        <v>3.5000000000000003E-2</v>
      </c>
      <c r="N1304" s="351" t="str">
        <f t="shared" si="42"/>
        <v>13400010</v>
      </c>
      <c r="P1304" s="351" t="str">
        <f t="shared" si="41"/>
        <v>T</v>
      </c>
    </row>
    <row r="1305" spans="1:16">
      <c r="A1305" s="401" t="s">
        <v>74</v>
      </c>
      <c r="B1305" s="404">
        <v>134000</v>
      </c>
      <c r="C1305" s="405">
        <v>12</v>
      </c>
      <c r="D1305" s="404">
        <v>42219</v>
      </c>
      <c r="E1305" s="404">
        <v>176219</v>
      </c>
      <c r="F1305" s="404">
        <v>4691</v>
      </c>
      <c r="G1305" s="404">
        <v>11167</v>
      </c>
      <c r="H1305" s="404">
        <v>3127</v>
      </c>
      <c r="I1305" s="404">
        <v>14294</v>
      </c>
      <c r="L1305" s="350">
        <v>0.315</v>
      </c>
      <c r="M1305" s="350">
        <v>3.5000000000000003E-2</v>
      </c>
      <c r="N1305" s="351" t="str">
        <f t="shared" si="42"/>
        <v>13400012</v>
      </c>
      <c r="P1305" s="351" t="str">
        <f t="shared" si="41"/>
        <v>T</v>
      </c>
    </row>
    <row r="1306" spans="1:16">
      <c r="A1306" s="401" t="s">
        <v>74</v>
      </c>
      <c r="B1306" s="404">
        <v>134000</v>
      </c>
      <c r="C1306" s="405">
        <v>14</v>
      </c>
      <c r="D1306" s="404">
        <v>49258</v>
      </c>
      <c r="E1306" s="404">
        <v>183258</v>
      </c>
      <c r="F1306" s="404">
        <v>5472</v>
      </c>
      <c r="G1306" s="404">
        <v>9572</v>
      </c>
      <c r="H1306" s="404">
        <v>3127</v>
      </c>
      <c r="I1306" s="404">
        <v>12699</v>
      </c>
      <c r="L1306" s="350">
        <v>0.315</v>
      </c>
      <c r="M1306" s="350">
        <v>3.5000000000000003E-2</v>
      </c>
      <c r="N1306" s="351" t="str">
        <f t="shared" si="42"/>
        <v>13400014</v>
      </c>
      <c r="P1306" s="351" t="str">
        <f t="shared" si="41"/>
        <v>T</v>
      </c>
    </row>
    <row r="1307" spans="1:16">
      <c r="A1307" s="401" t="s">
        <v>74</v>
      </c>
      <c r="B1307" s="404">
        <v>134000</v>
      </c>
      <c r="C1307" s="405">
        <v>16</v>
      </c>
      <c r="D1307" s="404">
        <v>56286</v>
      </c>
      <c r="E1307" s="404">
        <v>190286</v>
      </c>
      <c r="F1307" s="404">
        <v>6254</v>
      </c>
      <c r="G1307" s="404">
        <v>8375</v>
      </c>
      <c r="H1307" s="404">
        <v>3127</v>
      </c>
      <c r="I1307" s="404">
        <v>11502</v>
      </c>
      <c r="L1307" s="350">
        <v>0.315</v>
      </c>
      <c r="M1307" s="350">
        <v>3.5000000000000003E-2</v>
      </c>
      <c r="N1307" s="351" t="str">
        <f t="shared" si="42"/>
        <v>13400016</v>
      </c>
      <c r="P1307" s="351" t="str">
        <f t="shared" si="41"/>
        <v>T</v>
      </c>
    </row>
    <row r="1308" spans="1:16">
      <c r="A1308" s="401" t="s">
        <v>74</v>
      </c>
      <c r="B1308" s="404">
        <v>134000</v>
      </c>
      <c r="C1308" s="405">
        <v>18</v>
      </c>
      <c r="D1308" s="404">
        <v>63332</v>
      </c>
      <c r="E1308" s="404">
        <v>197332</v>
      </c>
      <c r="F1308" s="404">
        <v>7036</v>
      </c>
      <c r="G1308" s="404">
        <v>7445</v>
      </c>
      <c r="H1308" s="404">
        <v>3127</v>
      </c>
      <c r="I1308" s="404">
        <v>10572</v>
      </c>
      <c r="L1308" s="350">
        <v>0.315</v>
      </c>
      <c r="M1308" s="350">
        <v>3.5000000000000003E-2</v>
      </c>
      <c r="N1308" s="351" t="str">
        <f t="shared" si="42"/>
        <v>13400018</v>
      </c>
      <c r="P1308" s="351" t="str">
        <f t="shared" si="41"/>
        <v>T</v>
      </c>
    </row>
    <row r="1309" spans="1:16">
      <c r="A1309" s="401" t="s">
        <v>74</v>
      </c>
      <c r="B1309" s="404">
        <v>134000</v>
      </c>
      <c r="C1309" s="405">
        <v>20</v>
      </c>
      <c r="D1309" s="404">
        <v>70357</v>
      </c>
      <c r="E1309" s="404">
        <v>204357</v>
      </c>
      <c r="F1309" s="404">
        <v>7817</v>
      </c>
      <c r="G1309" s="404">
        <v>6700</v>
      </c>
      <c r="H1309" s="404">
        <v>3127</v>
      </c>
      <c r="I1309" s="404">
        <v>9827</v>
      </c>
      <c r="L1309" s="350">
        <v>0.315</v>
      </c>
      <c r="M1309" s="350">
        <v>3.5000000000000003E-2</v>
      </c>
      <c r="N1309" s="351" t="str">
        <f t="shared" si="42"/>
        <v>13400020</v>
      </c>
      <c r="P1309" s="351" t="str">
        <f t="shared" si="41"/>
        <v>T</v>
      </c>
    </row>
    <row r="1310" spans="1:16">
      <c r="A1310" s="401" t="s">
        <v>74</v>
      </c>
      <c r="B1310" s="404">
        <v>134000</v>
      </c>
      <c r="C1310" s="405">
        <v>22</v>
      </c>
      <c r="D1310" s="404">
        <v>77395</v>
      </c>
      <c r="E1310" s="404">
        <v>211395</v>
      </c>
      <c r="F1310" s="404">
        <v>8599</v>
      </c>
      <c r="G1310" s="404">
        <v>6091</v>
      </c>
      <c r="H1310" s="404">
        <v>3127</v>
      </c>
      <c r="I1310" s="404">
        <v>9218</v>
      </c>
      <c r="L1310" s="350">
        <v>0.315</v>
      </c>
      <c r="M1310" s="350">
        <v>3.5000000000000003E-2</v>
      </c>
      <c r="N1310" s="351" t="str">
        <f t="shared" si="42"/>
        <v>13400022</v>
      </c>
      <c r="P1310" s="351" t="str">
        <f t="shared" si="41"/>
        <v>T</v>
      </c>
    </row>
    <row r="1311" spans="1:16">
      <c r="A1311" s="401" t="s">
        <v>74</v>
      </c>
      <c r="B1311" s="404">
        <v>134000</v>
      </c>
      <c r="C1311" s="405">
        <v>24</v>
      </c>
      <c r="D1311" s="404">
        <v>84445</v>
      </c>
      <c r="E1311" s="404">
        <v>218445</v>
      </c>
      <c r="F1311" s="404">
        <v>9381</v>
      </c>
      <c r="G1311" s="404">
        <v>5584</v>
      </c>
      <c r="H1311" s="404">
        <v>3127</v>
      </c>
      <c r="I1311" s="404">
        <v>8711</v>
      </c>
      <c r="L1311" s="350">
        <v>0.315</v>
      </c>
      <c r="M1311" s="350">
        <v>3.5000000000000003E-2</v>
      </c>
      <c r="N1311" s="351" t="str">
        <f t="shared" si="42"/>
        <v>13400024</v>
      </c>
      <c r="P1311" s="351" t="str">
        <f t="shared" si="41"/>
        <v>T</v>
      </c>
    </row>
    <row r="1312" spans="1:16">
      <c r="A1312" s="401" t="s">
        <v>74</v>
      </c>
      <c r="B1312" s="404">
        <v>135000</v>
      </c>
      <c r="C1312" s="405">
        <v>4</v>
      </c>
      <c r="D1312" s="404">
        <v>14180</v>
      </c>
      <c r="E1312" s="404">
        <v>149180</v>
      </c>
      <c r="F1312" s="404">
        <v>1576</v>
      </c>
      <c r="G1312" s="404">
        <v>33750</v>
      </c>
      <c r="H1312" s="404">
        <v>3151</v>
      </c>
      <c r="I1312" s="404">
        <v>36901</v>
      </c>
      <c r="L1312" s="350">
        <v>0.315</v>
      </c>
      <c r="M1312" s="350">
        <v>3.5000000000000003E-2</v>
      </c>
      <c r="N1312" s="351" t="str">
        <f t="shared" si="42"/>
        <v>1350004</v>
      </c>
      <c r="P1312" s="351" t="str">
        <f t="shared" si="41"/>
        <v>T</v>
      </c>
    </row>
    <row r="1313" spans="1:16">
      <c r="A1313" s="401" t="s">
        <v>74</v>
      </c>
      <c r="B1313" s="404">
        <v>135000</v>
      </c>
      <c r="C1313" s="405">
        <v>6</v>
      </c>
      <c r="D1313" s="404">
        <v>21269</v>
      </c>
      <c r="E1313" s="404">
        <v>156269</v>
      </c>
      <c r="F1313" s="404">
        <v>2363</v>
      </c>
      <c r="G1313" s="404">
        <v>22500</v>
      </c>
      <c r="H1313" s="404">
        <v>3151</v>
      </c>
      <c r="I1313" s="404">
        <v>25651</v>
      </c>
      <c r="L1313" s="350">
        <v>0.315</v>
      </c>
      <c r="M1313" s="350">
        <v>3.5000000000000003E-2</v>
      </c>
      <c r="N1313" s="351" t="str">
        <f t="shared" si="42"/>
        <v>1350006</v>
      </c>
      <c r="P1313" s="351" t="str">
        <f t="shared" si="41"/>
        <v>T</v>
      </c>
    </row>
    <row r="1314" spans="1:16">
      <c r="A1314" s="401" t="s">
        <v>74</v>
      </c>
      <c r="B1314" s="404">
        <v>135000</v>
      </c>
      <c r="C1314" s="405">
        <v>8</v>
      </c>
      <c r="D1314" s="404">
        <v>28359</v>
      </c>
      <c r="E1314" s="404">
        <v>163359</v>
      </c>
      <c r="F1314" s="404">
        <v>3151</v>
      </c>
      <c r="G1314" s="404">
        <v>16875</v>
      </c>
      <c r="H1314" s="404">
        <v>3151</v>
      </c>
      <c r="I1314" s="404">
        <v>20026</v>
      </c>
      <c r="L1314" s="350">
        <v>0.315</v>
      </c>
      <c r="M1314" s="350">
        <v>3.5000000000000003E-2</v>
      </c>
      <c r="N1314" s="351" t="str">
        <f t="shared" si="42"/>
        <v>1350008</v>
      </c>
      <c r="P1314" s="351" t="str">
        <f t="shared" si="41"/>
        <v>T</v>
      </c>
    </row>
    <row r="1315" spans="1:16">
      <c r="A1315" s="401" t="s">
        <v>74</v>
      </c>
      <c r="B1315" s="404">
        <v>135000</v>
      </c>
      <c r="C1315" s="405">
        <v>10</v>
      </c>
      <c r="D1315" s="404">
        <v>35448</v>
      </c>
      <c r="E1315" s="404">
        <v>170448</v>
      </c>
      <c r="F1315" s="404">
        <v>3938</v>
      </c>
      <c r="G1315" s="404">
        <v>13500</v>
      </c>
      <c r="H1315" s="404">
        <v>3151</v>
      </c>
      <c r="I1315" s="404">
        <v>16651</v>
      </c>
      <c r="L1315" s="350">
        <v>0.315</v>
      </c>
      <c r="M1315" s="350">
        <v>3.5000000000000003E-2</v>
      </c>
      <c r="N1315" s="351" t="str">
        <f t="shared" si="42"/>
        <v>13500010</v>
      </c>
      <c r="P1315" s="351" t="str">
        <f t="shared" si="41"/>
        <v>T</v>
      </c>
    </row>
    <row r="1316" spans="1:16">
      <c r="A1316" s="401" t="s">
        <v>74</v>
      </c>
      <c r="B1316" s="404">
        <v>135000</v>
      </c>
      <c r="C1316" s="405">
        <v>12</v>
      </c>
      <c r="D1316" s="404">
        <v>42538</v>
      </c>
      <c r="E1316" s="404">
        <v>177538</v>
      </c>
      <c r="F1316" s="404">
        <v>4726</v>
      </c>
      <c r="G1316" s="404">
        <v>11250</v>
      </c>
      <c r="H1316" s="404">
        <v>3151</v>
      </c>
      <c r="I1316" s="404">
        <v>14401</v>
      </c>
      <c r="L1316" s="350">
        <v>0.315</v>
      </c>
      <c r="M1316" s="350">
        <v>3.5000000000000003E-2</v>
      </c>
      <c r="N1316" s="351" t="str">
        <f t="shared" si="42"/>
        <v>13500012</v>
      </c>
      <c r="P1316" s="351" t="str">
        <f t="shared" si="41"/>
        <v>T</v>
      </c>
    </row>
    <row r="1317" spans="1:16">
      <c r="A1317" s="401" t="s">
        <v>74</v>
      </c>
      <c r="B1317" s="404">
        <v>135000</v>
      </c>
      <c r="C1317" s="405">
        <v>14</v>
      </c>
      <c r="D1317" s="404">
        <v>49615</v>
      </c>
      <c r="E1317" s="404">
        <v>184615</v>
      </c>
      <c r="F1317" s="404">
        <v>5513</v>
      </c>
      <c r="G1317" s="404">
        <v>9643</v>
      </c>
      <c r="H1317" s="404">
        <v>3150</v>
      </c>
      <c r="I1317" s="404">
        <v>12793</v>
      </c>
      <c r="L1317" s="350">
        <v>0.315</v>
      </c>
      <c r="M1317" s="350">
        <v>3.5000000000000003E-2</v>
      </c>
      <c r="N1317" s="351" t="str">
        <f t="shared" si="42"/>
        <v>13500014</v>
      </c>
      <c r="P1317" s="351" t="str">
        <f t="shared" si="41"/>
        <v>T</v>
      </c>
    </row>
    <row r="1318" spans="1:16">
      <c r="A1318" s="401" t="s">
        <v>74</v>
      </c>
      <c r="B1318" s="404">
        <v>135000</v>
      </c>
      <c r="C1318" s="405">
        <v>16</v>
      </c>
      <c r="D1318" s="404">
        <v>56709</v>
      </c>
      <c r="E1318" s="404">
        <v>191709</v>
      </c>
      <c r="F1318" s="404">
        <v>6301</v>
      </c>
      <c r="G1318" s="404">
        <v>8438</v>
      </c>
      <c r="H1318" s="404">
        <v>3150</v>
      </c>
      <c r="I1318" s="404">
        <v>11588</v>
      </c>
      <c r="L1318" s="350">
        <v>0.315</v>
      </c>
      <c r="M1318" s="350">
        <v>3.5000000000000003E-2</v>
      </c>
      <c r="N1318" s="351" t="str">
        <f t="shared" si="42"/>
        <v>13500016</v>
      </c>
      <c r="P1318" s="351" t="str">
        <f t="shared" si="41"/>
        <v>T</v>
      </c>
    </row>
    <row r="1319" spans="1:16">
      <c r="A1319" s="401" t="s">
        <v>74</v>
      </c>
      <c r="B1319" s="404">
        <v>135000</v>
      </c>
      <c r="C1319" s="405">
        <v>18</v>
      </c>
      <c r="D1319" s="404">
        <v>63806</v>
      </c>
      <c r="E1319" s="404">
        <v>198806</v>
      </c>
      <c r="F1319" s="404">
        <v>7088</v>
      </c>
      <c r="G1319" s="404">
        <v>7500</v>
      </c>
      <c r="H1319" s="404">
        <v>3151</v>
      </c>
      <c r="I1319" s="404">
        <v>10651</v>
      </c>
      <c r="L1319" s="350">
        <v>0.315</v>
      </c>
      <c r="M1319" s="350">
        <v>3.5000000000000003E-2</v>
      </c>
      <c r="N1319" s="351" t="str">
        <f t="shared" si="42"/>
        <v>13500018</v>
      </c>
      <c r="P1319" s="351" t="str">
        <f t="shared" si="41"/>
        <v>T</v>
      </c>
    </row>
    <row r="1320" spans="1:16">
      <c r="A1320" s="401" t="s">
        <v>74</v>
      </c>
      <c r="B1320" s="404">
        <v>135000</v>
      </c>
      <c r="C1320" s="405">
        <v>20</v>
      </c>
      <c r="D1320" s="404">
        <v>70896</v>
      </c>
      <c r="E1320" s="404">
        <v>205896</v>
      </c>
      <c r="F1320" s="404">
        <v>7876</v>
      </c>
      <c r="G1320" s="404">
        <v>6750</v>
      </c>
      <c r="H1320" s="404">
        <v>3151</v>
      </c>
      <c r="I1320" s="404">
        <v>9901</v>
      </c>
      <c r="L1320" s="350">
        <v>0.315</v>
      </c>
      <c r="M1320" s="350">
        <v>3.5000000000000003E-2</v>
      </c>
      <c r="N1320" s="351" t="str">
        <f t="shared" si="42"/>
        <v>13500020</v>
      </c>
      <c r="P1320" s="351" t="str">
        <f t="shared" si="41"/>
        <v>T</v>
      </c>
    </row>
    <row r="1321" spans="1:16">
      <c r="A1321" s="401" t="s">
        <v>74</v>
      </c>
      <c r="B1321" s="404">
        <v>135000</v>
      </c>
      <c r="C1321" s="405">
        <v>22</v>
      </c>
      <c r="D1321" s="404">
        <v>77977</v>
      </c>
      <c r="E1321" s="404">
        <v>212977</v>
      </c>
      <c r="F1321" s="404">
        <v>8663</v>
      </c>
      <c r="G1321" s="404">
        <v>6137</v>
      </c>
      <c r="H1321" s="404">
        <v>3150</v>
      </c>
      <c r="I1321" s="404">
        <v>9287</v>
      </c>
      <c r="L1321" s="350">
        <v>0.315</v>
      </c>
      <c r="M1321" s="350">
        <v>3.5000000000000003E-2</v>
      </c>
      <c r="N1321" s="351" t="str">
        <f t="shared" si="42"/>
        <v>13500022</v>
      </c>
      <c r="P1321" s="351" t="str">
        <f t="shared" si="41"/>
        <v>T</v>
      </c>
    </row>
    <row r="1322" spans="1:16">
      <c r="A1322" s="401" t="s">
        <v>74</v>
      </c>
      <c r="B1322" s="404">
        <v>135000</v>
      </c>
      <c r="C1322" s="405">
        <v>24</v>
      </c>
      <c r="D1322" s="404">
        <v>85075</v>
      </c>
      <c r="E1322" s="404">
        <v>220075</v>
      </c>
      <c r="F1322" s="404">
        <v>9451</v>
      </c>
      <c r="G1322" s="404">
        <v>5625</v>
      </c>
      <c r="H1322" s="404">
        <v>3151</v>
      </c>
      <c r="I1322" s="404">
        <v>8776</v>
      </c>
      <c r="L1322" s="350">
        <v>0.315</v>
      </c>
      <c r="M1322" s="350">
        <v>3.5000000000000003E-2</v>
      </c>
      <c r="N1322" s="351" t="str">
        <f t="shared" si="42"/>
        <v>13500024</v>
      </c>
      <c r="P1322" s="351" t="str">
        <f t="shared" si="41"/>
        <v>T</v>
      </c>
    </row>
    <row r="1323" spans="1:16">
      <c r="A1323" s="401" t="s">
        <v>74</v>
      </c>
      <c r="B1323" s="404">
        <v>136000</v>
      </c>
      <c r="C1323" s="405">
        <v>4</v>
      </c>
      <c r="D1323" s="404">
        <v>14283</v>
      </c>
      <c r="E1323" s="404">
        <v>150283</v>
      </c>
      <c r="F1323" s="404">
        <v>1587</v>
      </c>
      <c r="G1323" s="404">
        <v>34000</v>
      </c>
      <c r="H1323" s="404">
        <v>3174</v>
      </c>
      <c r="I1323" s="404">
        <v>37174</v>
      </c>
      <c r="L1323" s="350">
        <v>0.315</v>
      </c>
      <c r="M1323" s="350">
        <v>3.5000000000000003E-2</v>
      </c>
      <c r="N1323" s="351" t="str">
        <f t="shared" si="42"/>
        <v>1360004</v>
      </c>
      <c r="P1323" s="351" t="str">
        <f t="shared" si="41"/>
        <v>T</v>
      </c>
    </row>
    <row r="1324" spans="1:16">
      <c r="A1324" s="401" t="s">
        <v>74</v>
      </c>
      <c r="B1324" s="404">
        <v>136000</v>
      </c>
      <c r="C1324" s="405">
        <v>6</v>
      </c>
      <c r="D1324" s="404">
        <v>21427</v>
      </c>
      <c r="E1324" s="404">
        <v>157427</v>
      </c>
      <c r="F1324" s="404">
        <v>2381</v>
      </c>
      <c r="G1324" s="404">
        <v>22667</v>
      </c>
      <c r="H1324" s="404">
        <v>3174</v>
      </c>
      <c r="I1324" s="404">
        <v>25841</v>
      </c>
      <c r="L1324" s="350">
        <v>0.315</v>
      </c>
      <c r="M1324" s="350">
        <v>3.5000000000000003E-2</v>
      </c>
      <c r="N1324" s="351" t="str">
        <f t="shared" si="42"/>
        <v>1360006</v>
      </c>
      <c r="P1324" s="351" t="str">
        <f t="shared" si="41"/>
        <v>T</v>
      </c>
    </row>
    <row r="1325" spans="1:16">
      <c r="A1325" s="401" t="s">
        <v>74</v>
      </c>
      <c r="B1325" s="404">
        <v>136000</v>
      </c>
      <c r="C1325" s="405">
        <v>8</v>
      </c>
      <c r="D1325" s="404">
        <v>28566</v>
      </c>
      <c r="E1325" s="404">
        <v>164566</v>
      </c>
      <c r="F1325" s="404">
        <v>3174</v>
      </c>
      <c r="G1325" s="404">
        <v>17000</v>
      </c>
      <c r="H1325" s="404">
        <v>3174</v>
      </c>
      <c r="I1325" s="404">
        <v>20174</v>
      </c>
      <c r="L1325" s="350">
        <v>0.315</v>
      </c>
      <c r="M1325" s="350">
        <v>3.5000000000000003E-2</v>
      </c>
      <c r="N1325" s="351" t="str">
        <f t="shared" si="42"/>
        <v>1360008</v>
      </c>
      <c r="P1325" s="351" t="str">
        <f t="shared" si="41"/>
        <v>T</v>
      </c>
    </row>
    <row r="1326" spans="1:16">
      <c r="A1326" s="401" t="s">
        <v>74</v>
      </c>
      <c r="B1326" s="404">
        <v>136000</v>
      </c>
      <c r="C1326" s="405">
        <v>10</v>
      </c>
      <c r="D1326" s="404">
        <v>35707</v>
      </c>
      <c r="E1326" s="404">
        <v>171707</v>
      </c>
      <c r="F1326" s="404">
        <v>3967</v>
      </c>
      <c r="G1326" s="404">
        <v>13600</v>
      </c>
      <c r="H1326" s="404">
        <v>3174</v>
      </c>
      <c r="I1326" s="404">
        <v>16774</v>
      </c>
      <c r="L1326" s="350">
        <v>0.315</v>
      </c>
      <c r="M1326" s="350">
        <v>3.5000000000000003E-2</v>
      </c>
      <c r="N1326" s="351" t="str">
        <f t="shared" si="42"/>
        <v>13600010</v>
      </c>
      <c r="P1326" s="351" t="str">
        <f t="shared" si="41"/>
        <v>T</v>
      </c>
    </row>
    <row r="1327" spans="1:16">
      <c r="A1327" s="401" t="s">
        <v>74</v>
      </c>
      <c r="B1327" s="404">
        <v>136000</v>
      </c>
      <c r="C1327" s="405">
        <v>12</v>
      </c>
      <c r="D1327" s="404">
        <v>42845</v>
      </c>
      <c r="E1327" s="404">
        <v>178845</v>
      </c>
      <c r="F1327" s="404">
        <v>4761</v>
      </c>
      <c r="G1327" s="404">
        <v>11334</v>
      </c>
      <c r="H1327" s="404">
        <v>3173</v>
      </c>
      <c r="I1327" s="404">
        <v>14507</v>
      </c>
      <c r="L1327" s="350">
        <v>0.315</v>
      </c>
      <c r="M1327" s="350">
        <v>3.5000000000000003E-2</v>
      </c>
      <c r="N1327" s="351" t="str">
        <f t="shared" si="42"/>
        <v>13600012</v>
      </c>
      <c r="P1327" s="351" t="str">
        <f t="shared" si="41"/>
        <v>T</v>
      </c>
    </row>
    <row r="1328" spans="1:16">
      <c r="A1328" s="401" t="s">
        <v>74</v>
      </c>
      <c r="B1328" s="404">
        <v>136000</v>
      </c>
      <c r="C1328" s="405">
        <v>14</v>
      </c>
      <c r="D1328" s="404">
        <v>49986</v>
      </c>
      <c r="E1328" s="404">
        <v>185986</v>
      </c>
      <c r="F1328" s="404">
        <v>5554</v>
      </c>
      <c r="G1328" s="404">
        <v>9715</v>
      </c>
      <c r="H1328" s="404">
        <v>3173</v>
      </c>
      <c r="I1328" s="404">
        <v>12888</v>
      </c>
      <c r="L1328" s="350">
        <v>0.315</v>
      </c>
      <c r="M1328" s="350">
        <v>3.5000000000000003E-2</v>
      </c>
      <c r="N1328" s="351" t="str">
        <f t="shared" si="42"/>
        <v>13600014</v>
      </c>
      <c r="P1328" s="351" t="str">
        <f t="shared" si="41"/>
        <v>T</v>
      </c>
    </row>
    <row r="1329" spans="1:16">
      <c r="A1329" s="401" t="s">
        <v>74</v>
      </c>
      <c r="B1329" s="404">
        <v>136000</v>
      </c>
      <c r="C1329" s="405">
        <v>16</v>
      </c>
      <c r="D1329" s="404">
        <v>57131</v>
      </c>
      <c r="E1329" s="404">
        <v>193131</v>
      </c>
      <c r="F1329" s="404">
        <v>6347</v>
      </c>
      <c r="G1329" s="404">
        <v>8500</v>
      </c>
      <c r="H1329" s="404">
        <v>3174</v>
      </c>
      <c r="I1329" s="404">
        <v>11674</v>
      </c>
      <c r="L1329" s="350">
        <v>0.315</v>
      </c>
      <c r="M1329" s="350">
        <v>3.5000000000000003E-2</v>
      </c>
      <c r="N1329" s="351" t="str">
        <f t="shared" si="42"/>
        <v>13600016</v>
      </c>
      <c r="P1329" s="351" t="str">
        <f t="shared" si="41"/>
        <v>T</v>
      </c>
    </row>
    <row r="1330" spans="1:16">
      <c r="A1330" s="401" t="s">
        <v>74</v>
      </c>
      <c r="B1330" s="404">
        <v>136000</v>
      </c>
      <c r="C1330" s="405">
        <v>18</v>
      </c>
      <c r="D1330" s="404">
        <v>64263</v>
      </c>
      <c r="E1330" s="404">
        <v>200263</v>
      </c>
      <c r="F1330" s="404">
        <v>7141</v>
      </c>
      <c r="G1330" s="404">
        <v>7556</v>
      </c>
      <c r="H1330" s="404">
        <v>3173</v>
      </c>
      <c r="I1330" s="404">
        <v>10729</v>
      </c>
      <c r="L1330" s="350">
        <v>0.315</v>
      </c>
      <c r="M1330" s="350">
        <v>3.5000000000000003E-2</v>
      </c>
      <c r="N1330" s="351" t="str">
        <f t="shared" si="42"/>
        <v>13600018</v>
      </c>
      <c r="P1330" s="351" t="str">
        <f t="shared" si="41"/>
        <v>T</v>
      </c>
    </row>
    <row r="1331" spans="1:16">
      <c r="A1331" s="401" t="s">
        <v>74</v>
      </c>
      <c r="B1331" s="404">
        <v>136000</v>
      </c>
      <c r="C1331" s="405">
        <v>20</v>
      </c>
      <c r="D1331" s="404">
        <v>71414</v>
      </c>
      <c r="E1331" s="404">
        <v>207414</v>
      </c>
      <c r="F1331" s="404">
        <v>7934</v>
      </c>
      <c r="G1331" s="404">
        <v>6800</v>
      </c>
      <c r="H1331" s="404">
        <v>3174</v>
      </c>
      <c r="I1331" s="404">
        <v>9974</v>
      </c>
      <c r="L1331" s="350">
        <v>0.315</v>
      </c>
      <c r="M1331" s="350">
        <v>3.5000000000000003E-2</v>
      </c>
      <c r="N1331" s="351" t="str">
        <f t="shared" si="42"/>
        <v>13600020</v>
      </c>
      <c r="P1331" s="351" t="str">
        <f t="shared" si="41"/>
        <v>T</v>
      </c>
    </row>
    <row r="1332" spans="1:16">
      <c r="A1332" s="401" t="s">
        <v>74</v>
      </c>
      <c r="B1332" s="404">
        <v>136000</v>
      </c>
      <c r="C1332" s="405">
        <v>22</v>
      </c>
      <c r="D1332" s="404">
        <v>78559</v>
      </c>
      <c r="E1332" s="404">
        <v>214559</v>
      </c>
      <c r="F1332" s="404">
        <v>8727</v>
      </c>
      <c r="G1332" s="404">
        <v>6182</v>
      </c>
      <c r="H1332" s="404">
        <v>3174</v>
      </c>
      <c r="I1332" s="404">
        <v>9356</v>
      </c>
      <c r="L1332" s="350">
        <v>0.315</v>
      </c>
      <c r="M1332" s="350">
        <v>3.5000000000000003E-2</v>
      </c>
      <c r="N1332" s="351" t="str">
        <f t="shared" si="42"/>
        <v>13600022</v>
      </c>
      <c r="P1332" s="351" t="str">
        <f t="shared" si="41"/>
        <v>T</v>
      </c>
    </row>
    <row r="1333" spans="1:16">
      <c r="A1333" s="401" t="s">
        <v>74</v>
      </c>
      <c r="B1333" s="404">
        <v>136000</v>
      </c>
      <c r="C1333" s="405">
        <v>24</v>
      </c>
      <c r="D1333" s="404">
        <v>85705</v>
      </c>
      <c r="E1333" s="404">
        <v>221705</v>
      </c>
      <c r="F1333" s="404">
        <v>9521</v>
      </c>
      <c r="G1333" s="404">
        <v>5667</v>
      </c>
      <c r="H1333" s="404">
        <v>3174</v>
      </c>
      <c r="I1333" s="404">
        <v>8841</v>
      </c>
      <c r="L1333" s="350">
        <v>0.315</v>
      </c>
      <c r="M1333" s="350">
        <v>3.5000000000000003E-2</v>
      </c>
      <c r="N1333" s="351" t="str">
        <f t="shared" si="42"/>
        <v>13600024</v>
      </c>
      <c r="P1333" s="351" t="str">
        <f t="shared" si="41"/>
        <v>T</v>
      </c>
    </row>
    <row r="1334" spans="1:16">
      <c r="A1334" s="401" t="s">
        <v>74</v>
      </c>
      <c r="B1334" s="404">
        <v>137000</v>
      </c>
      <c r="C1334" s="405">
        <v>4</v>
      </c>
      <c r="D1334" s="404">
        <v>14387</v>
      </c>
      <c r="E1334" s="404">
        <v>151387</v>
      </c>
      <c r="F1334" s="404">
        <v>1599</v>
      </c>
      <c r="G1334" s="404">
        <v>34250</v>
      </c>
      <c r="H1334" s="404">
        <v>3197</v>
      </c>
      <c r="I1334" s="404">
        <v>37447</v>
      </c>
      <c r="L1334" s="350">
        <v>0.315</v>
      </c>
      <c r="M1334" s="350">
        <v>3.5000000000000003E-2</v>
      </c>
      <c r="N1334" s="351" t="str">
        <f t="shared" si="42"/>
        <v>1370004</v>
      </c>
      <c r="P1334" s="351" t="str">
        <f t="shared" si="41"/>
        <v>T</v>
      </c>
    </row>
    <row r="1335" spans="1:16">
      <c r="A1335" s="401" t="s">
        <v>74</v>
      </c>
      <c r="B1335" s="404">
        <v>137000</v>
      </c>
      <c r="C1335" s="405">
        <v>6</v>
      </c>
      <c r="D1335" s="404">
        <v>21584</v>
      </c>
      <c r="E1335" s="404">
        <v>158584</v>
      </c>
      <c r="F1335" s="404">
        <v>2398</v>
      </c>
      <c r="G1335" s="404">
        <v>22834</v>
      </c>
      <c r="H1335" s="404">
        <v>3197</v>
      </c>
      <c r="I1335" s="404">
        <v>26031</v>
      </c>
      <c r="L1335" s="350">
        <v>0.315</v>
      </c>
      <c r="M1335" s="350">
        <v>3.5000000000000003E-2</v>
      </c>
      <c r="N1335" s="351" t="str">
        <f t="shared" si="42"/>
        <v>1370006</v>
      </c>
      <c r="P1335" s="351" t="str">
        <f t="shared" si="41"/>
        <v>T</v>
      </c>
    </row>
    <row r="1336" spans="1:16">
      <c r="A1336" s="401" t="s">
        <v>74</v>
      </c>
      <c r="B1336" s="404">
        <v>137000</v>
      </c>
      <c r="C1336" s="405">
        <v>8</v>
      </c>
      <c r="D1336" s="404">
        <v>28773</v>
      </c>
      <c r="E1336" s="404">
        <v>165773</v>
      </c>
      <c r="F1336" s="404">
        <v>3197</v>
      </c>
      <c r="G1336" s="404">
        <v>17125</v>
      </c>
      <c r="H1336" s="404">
        <v>3197</v>
      </c>
      <c r="I1336" s="404">
        <v>20322</v>
      </c>
      <c r="L1336" s="350">
        <v>0.315</v>
      </c>
      <c r="M1336" s="350">
        <v>3.5000000000000003E-2</v>
      </c>
      <c r="N1336" s="351" t="str">
        <f t="shared" si="42"/>
        <v>1370008</v>
      </c>
      <c r="P1336" s="351" t="str">
        <f t="shared" si="41"/>
        <v>T</v>
      </c>
    </row>
    <row r="1337" spans="1:16">
      <c r="A1337" s="401" t="s">
        <v>74</v>
      </c>
      <c r="B1337" s="404">
        <v>137000</v>
      </c>
      <c r="C1337" s="405">
        <v>10</v>
      </c>
      <c r="D1337" s="404">
        <v>35966</v>
      </c>
      <c r="E1337" s="404">
        <v>172966</v>
      </c>
      <c r="F1337" s="404">
        <v>3996</v>
      </c>
      <c r="G1337" s="404">
        <v>13700</v>
      </c>
      <c r="H1337" s="404">
        <v>3197</v>
      </c>
      <c r="I1337" s="404">
        <v>16897</v>
      </c>
      <c r="L1337" s="350">
        <v>0.315</v>
      </c>
      <c r="M1337" s="350">
        <v>3.5000000000000003E-2</v>
      </c>
      <c r="N1337" s="351" t="str">
        <f t="shared" si="42"/>
        <v>13700010</v>
      </c>
      <c r="P1337" s="351" t="str">
        <f t="shared" si="41"/>
        <v>T</v>
      </c>
    </row>
    <row r="1338" spans="1:16">
      <c r="A1338" s="401" t="s">
        <v>74</v>
      </c>
      <c r="B1338" s="404">
        <v>137000</v>
      </c>
      <c r="C1338" s="405">
        <v>12</v>
      </c>
      <c r="D1338" s="404">
        <v>43164</v>
      </c>
      <c r="E1338" s="404">
        <v>180164</v>
      </c>
      <c r="F1338" s="404">
        <v>4796</v>
      </c>
      <c r="G1338" s="404">
        <v>11417</v>
      </c>
      <c r="H1338" s="404">
        <v>3197</v>
      </c>
      <c r="I1338" s="404">
        <v>14614</v>
      </c>
      <c r="L1338" s="350">
        <v>0.315</v>
      </c>
      <c r="M1338" s="350">
        <v>3.5000000000000003E-2</v>
      </c>
      <c r="N1338" s="351" t="str">
        <f t="shared" si="42"/>
        <v>13700012</v>
      </c>
      <c r="P1338" s="351" t="str">
        <f t="shared" si="41"/>
        <v>T</v>
      </c>
    </row>
    <row r="1339" spans="1:16">
      <c r="A1339" s="401" t="s">
        <v>74</v>
      </c>
      <c r="B1339" s="404">
        <v>137000</v>
      </c>
      <c r="C1339" s="405">
        <v>14</v>
      </c>
      <c r="D1339" s="404">
        <v>50357</v>
      </c>
      <c r="E1339" s="404">
        <v>187357</v>
      </c>
      <c r="F1339" s="404">
        <v>5595</v>
      </c>
      <c r="G1339" s="404">
        <v>9786</v>
      </c>
      <c r="H1339" s="404">
        <v>3197</v>
      </c>
      <c r="I1339" s="404">
        <v>12983</v>
      </c>
      <c r="L1339" s="350">
        <v>0.315</v>
      </c>
      <c r="M1339" s="350">
        <v>3.5000000000000003E-2</v>
      </c>
      <c r="N1339" s="351" t="str">
        <f t="shared" si="42"/>
        <v>13700014</v>
      </c>
      <c r="P1339" s="351" t="str">
        <f t="shared" si="41"/>
        <v>T</v>
      </c>
    </row>
    <row r="1340" spans="1:16">
      <c r="A1340" s="401" t="s">
        <v>74</v>
      </c>
      <c r="B1340" s="404">
        <v>137000</v>
      </c>
      <c r="C1340" s="405">
        <v>16</v>
      </c>
      <c r="D1340" s="404">
        <v>57554</v>
      </c>
      <c r="E1340" s="404">
        <v>194554</v>
      </c>
      <c r="F1340" s="404">
        <v>6394</v>
      </c>
      <c r="G1340" s="404">
        <v>8563</v>
      </c>
      <c r="H1340" s="404">
        <v>3197</v>
      </c>
      <c r="I1340" s="404">
        <v>11760</v>
      </c>
      <c r="L1340" s="350">
        <v>0.315</v>
      </c>
      <c r="M1340" s="350">
        <v>3.5000000000000003E-2</v>
      </c>
      <c r="N1340" s="351" t="str">
        <f t="shared" si="42"/>
        <v>13700016</v>
      </c>
      <c r="P1340" s="351" t="str">
        <f t="shared" si="41"/>
        <v>T</v>
      </c>
    </row>
    <row r="1341" spans="1:16">
      <c r="A1341" s="401" t="s">
        <v>74</v>
      </c>
      <c r="B1341" s="404">
        <v>137000</v>
      </c>
      <c r="C1341" s="405">
        <v>18</v>
      </c>
      <c r="D1341" s="404">
        <v>64737</v>
      </c>
      <c r="E1341" s="404">
        <v>201737</v>
      </c>
      <c r="F1341" s="404">
        <v>7193</v>
      </c>
      <c r="G1341" s="404">
        <v>7612</v>
      </c>
      <c r="H1341" s="404">
        <v>3196</v>
      </c>
      <c r="I1341" s="404">
        <v>10808</v>
      </c>
      <c r="L1341" s="350">
        <v>0.315</v>
      </c>
      <c r="M1341" s="350">
        <v>3.5000000000000003E-2</v>
      </c>
      <c r="N1341" s="351" t="str">
        <f t="shared" si="42"/>
        <v>13700018</v>
      </c>
      <c r="P1341" s="351" t="str">
        <f t="shared" si="41"/>
        <v>T</v>
      </c>
    </row>
    <row r="1342" spans="1:16">
      <c r="A1342" s="401" t="s">
        <v>74</v>
      </c>
      <c r="B1342" s="404">
        <v>137000</v>
      </c>
      <c r="C1342" s="405">
        <v>20</v>
      </c>
      <c r="D1342" s="404">
        <v>71932</v>
      </c>
      <c r="E1342" s="404">
        <v>208932</v>
      </c>
      <c r="F1342" s="404">
        <v>7992</v>
      </c>
      <c r="G1342" s="404">
        <v>6850</v>
      </c>
      <c r="H1342" s="404">
        <v>3197</v>
      </c>
      <c r="I1342" s="404">
        <v>10047</v>
      </c>
      <c r="L1342" s="350">
        <v>0.315</v>
      </c>
      <c r="M1342" s="350">
        <v>3.5000000000000003E-2</v>
      </c>
      <c r="N1342" s="351" t="str">
        <f t="shared" si="42"/>
        <v>13700020</v>
      </c>
      <c r="P1342" s="351" t="str">
        <f t="shared" si="41"/>
        <v>T</v>
      </c>
    </row>
    <row r="1343" spans="1:16">
      <c r="A1343" s="401" t="s">
        <v>74</v>
      </c>
      <c r="B1343" s="404">
        <v>137000</v>
      </c>
      <c r="C1343" s="405">
        <v>22</v>
      </c>
      <c r="D1343" s="404">
        <v>79119</v>
      </c>
      <c r="E1343" s="404">
        <v>216119</v>
      </c>
      <c r="F1343" s="404">
        <v>8791</v>
      </c>
      <c r="G1343" s="404">
        <v>6228</v>
      </c>
      <c r="H1343" s="404">
        <v>3196</v>
      </c>
      <c r="I1343" s="404">
        <v>9424</v>
      </c>
      <c r="L1343" s="350">
        <v>0.315</v>
      </c>
      <c r="M1343" s="350">
        <v>3.5000000000000003E-2</v>
      </c>
      <c r="N1343" s="351" t="str">
        <f t="shared" si="42"/>
        <v>13700022</v>
      </c>
      <c r="P1343" s="351" t="str">
        <f t="shared" si="41"/>
        <v>T</v>
      </c>
    </row>
    <row r="1344" spans="1:16">
      <c r="A1344" s="401" t="s">
        <v>74</v>
      </c>
      <c r="B1344" s="404">
        <v>137000</v>
      </c>
      <c r="C1344" s="405">
        <v>24</v>
      </c>
      <c r="D1344" s="404">
        <v>86335</v>
      </c>
      <c r="E1344" s="404">
        <v>223335</v>
      </c>
      <c r="F1344" s="404">
        <v>9591</v>
      </c>
      <c r="G1344" s="404">
        <v>5709</v>
      </c>
      <c r="H1344" s="404">
        <v>3197</v>
      </c>
      <c r="I1344" s="404">
        <v>8906</v>
      </c>
      <c r="L1344" s="350">
        <v>0.315</v>
      </c>
      <c r="M1344" s="350">
        <v>3.5000000000000003E-2</v>
      </c>
      <c r="N1344" s="351" t="str">
        <f t="shared" si="42"/>
        <v>13700024</v>
      </c>
      <c r="P1344" s="351" t="str">
        <f t="shared" si="41"/>
        <v>T</v>
      </c>
    </row>
    <row r="1345" spans="1:16">
      <c r="A1345" s="401" t="s">
        <v>74</v>
      </c>
      <c r="B1345" s="404">
        <v>138000</v>
      </c>
      <c r="C1345" s="405">
        <v>4</v>
      </c>
      <c r="D1345" s="404">
        <v>14495</v>
      </c>
      <c r="E1345" s="404">
        <v>152495</v>
      </c>
      <c r="F1345" s="404">
        <v>1611</v>
      </c>
      <c r="G1345" s="404">
        <v>34500</v>
      </c>
      <c r="H1345" s="404">
        <v>3221</v>
      </c>
      <c r="I1345" s="404">
        <v>37721</v>
      </c>
      <c r="L1345" s="350">
        <v>0.315</v>
      </c>
      <c r="M1345" s="350">
        <v>3.5000000000000003E-2</v>
      </c>
      <c r="N1345" s="351" t="str">
        <f t="shared" si="42"/>
        <v>1380004</v>
      </c>
      <c r="P1345" s="351" t="str">
        <f t="shared" si="41"/>
        <v>T</v>
      </c>
    </row>
    <row r="1346" spans="1:16">
      <c r="A1346" s="401" t="s">
        <v>74</v>
      </c>
      <c r="B1346" s="404">
        <v>138000</v>
      </c>
      <c r="C1346" s="405">
        <v>6</v>
      </c>
      <c r="D1346" s="404">
        <v>21742</v>
      </c>
      <c r="E1346" s="404">
        <v>159742</v>
      </c>
      <c r="F1346" s="404">
        <v>2416</v>
      </c>
      <c r="G1346" s="404">
        <v>23000</v>
      </c>
      <c r="H1346" s="404">
        <v>3221</v>
      </c>
      <c r="I1346" s="404">
        <v>26221</v>
      </c>
      <c r="L1346" s="350">
        <v>0.315</v>
      </c>
      <c r="M1346" s="350">
        <v>3.5000000000000003E-2</v>
      </c>
      <c r="N1346" s="351" t="str">
        <f t="shared" si="42"/>
        <v>1380006</v>
      </c>
      <c r="P1346" s="351" t="str">
        <f t="shared" si="41"/>
        <v>T</v>
      </c>
    </row>
    <row r="1347" spans="1:16">
      <c r="A1347" s="401" t="s">
        <v>74</v>
      </c>
      <c r="B1347" s="404">
        <v>138000</v>
      </c>
      <c r="C1347" s="405">
        <v>8</v>
      </c>
      <c r="D1347" s="404">
        <v>28989</v>
      </c>
      <c r="E1347" s="404">
        <v>166989</v>
      </c>
      <c r="F1347" s="404">
        <v>3221</v>
      </c>
      <c r="G1347" s="404">
        <v>17250</v>
      </c>
      <c r="H1347" s="404">
        <v>3221</v>
      </c>
      <c r="I1347" s="404">
        <v>20471</v>
      </c>
      <c r="L1347" s="350">
        <v>0.315</v>
      </c>
      <c r="M1347" s="350">
        <v>3.5000000000000003E-2</v>
      </c>
      <c r="N1347" s="351" t="str">
        <f t="shared" si="42"/>
        <v>1380008</v>
      </c>
      <c r="P1347" s="351" t="str">
        <f t="shared" ref="P1347:P1410" si="43">IF((E1347-F1347)/C1347=I1347,"T","F")</f>
        <v>T</v>
      </c>
    </row>
    <row r="1348" spans="1:16">
      <c r="A1348" s="401" t="s">
        <v>74</v>
      </c>
      <c r="B1348" s="404">
        <v>138000</v>
      </c>
      <c r="C1348" s="405">
        <v>10</v>
      </c>
      <c r="D1348" s="404">
        <v>36236</v>
      </c>
      <c r="E1348" s="404">
        <v>174236</v>
      </c>
      <c r="F1348" s="404">
        <v>4026</v>
      </c>
      <c r="G1348" s="404">
        <v>13800</v>
      </c>
      <c r="H1348" s="404">
        <v>3221</v>
      </c>
      <c r="I1348" s="404">
        <v>17021</v>
      </c>
      <c r="L1348" s="350">
        <v>0.315</v>
      </c>
      <c r="M1348" s="350">
        <v>3.5000000000000003E-2</v>
      </c>
      <c r="N1348" s="351" t="str">
        <f t="shared" si="42"/>
        <v>13800010</v>
      </c>
      <c r="P1348" s="351" t="str">
        <f t="shared" si="43"/>
        <v>T</v>
      </c>
    </row>
    <row r="1349" spans="1:16">
      <c r="A1349" s="401" t="s">
        <v>74</v>
      </c>
      <c r="B1349" s="404">
        <v>138000</v>
      </c>
      <c r="C1349" s="405">
        <v>12</v>
      </c>
      <c r="D1349" s="404">
        <v>43483</v>
      </c>
      <c r="E1349" s="404">
        <v>181483</v>
      </c>
      <c r="F1349" s="404">
        <v>4831</v>
      </c>
      <c r="G1349" s="404">
        <v>11500</v>
      </c>
      <c r="H1349" s="404">
        <v>3221</v>
      </c>
      <c r="I1349" s="404">
        <v>14721</v>
      </c>
      <c r="L1349" s="350">
        <v>0.315</v>
      </c>
      <c r="M1349" s="350">
        <v>3.5000000000000003E-2</v>
      </c>
      <c r="N1349" s="351" t="str">
        <f t="shared" ref="N1349:N1412" si="44">CONCATENATE(B1349,C1349)</f>
        <v>13800012</v>
      </c>
      <c r="P1349" s="351" t="str">
        <f t="shared" si="43"/>
        <v>T</v>
      </c>
    </row>
    <row r="1350" spans="1:16">
      <c r="A1350" s="401" t="s">
        <v>74</v>
      </c>
      <c r="B1350" s="404">
        <v>138000</v>
      </c>
      <c r="C1350" s="405">
        <v>14</v>
      </c>
      <c r="D1350" s="404">
        <v>50728</v>
      </c>
      <c r="E1350" s="404">
        <v>188728</v>
      </c>
      <c r="F1350" s="404">
        <v>5636</v>
      </c>
      <c r="G1350" s="404">
        <v>9858</v>
      </c>
      <c r="H1350" s="404">
        <v>3220</v>
      </c>
      <c r="I1350" s="404">
        <v>13078</v>
      </c>
      <c r="L1350" s="350">
        <v>0.315</v>
      </c>
      <c r="M1350" s="350">
        <v>3.5000000000000003E-2</v>
      </c>
      <c r="N1350" s="351" t="str">
        <f t="shared" si="44"/>
        <v>13800014</v>
      </c>
      <c r="P1350" s="351" t="str">
        <f t="shared" si="43"/>
        <v>T</v>
      </c>
    </row>
    <row r="1351" spans="1:16">
      <c r="A1351" s="401" t="s">
        <v>74</v>
      </c>
      <c r="B1351" s="404">
        <v>138000</v>
      </c>
      <c r="C1351" s="405">
        <v>16</v>
      </c>
      <c r="D1351" s="404">
        <v>57977</v>
      </c>
      <c r="E1351" s="404">
        <v>195977</v>
      </c>
      <c r="F1351" s="404">
        <v>6441</v>
      </c>
      <c r="G1351" s="404">
        <v>8625</v>
      </c>
      <c r="H1351" s="404">
        <v>3221</v>
      </c>
      <c r="I1351" s="404">
        <v>11846</v>
      </c>
      <c r="L1351" s="350">
        <v>0.315</v>
      </c>
      <c r="M1351" s="350">
        <v>3.5000000000000003E-2</v>
      </c>
      <c r="N1351" s="351" t="str">
        <f t="shared" si="44"/>
        <v>13800016</v>
      </c>
      <c r="P1351" s="351" t="str">
        <f t="shared" si="43"/>
        <v>T</v>
      </c>
    </row>
    <row r="1352" spans="1:16">
      <c r="A1352" s="401" t="s">
        <v>74</v>
      </c>
      <c r="B1352" s="404">
        <v>138000</v>
      </c>
      <c r="C1352" s="405">
        <v>18</v>
      </c>
      <c r="D1352" s="404">
        <v>65212</v>
      </c>
      <c r="E1352" s="404">
        <v>203212</v>
      </c>
      <c r="F1352" s="404">
        <v>7246</v>
      </c>
      <c r="G1352" s="404">
        <v>7667</v>
      </c>
      <c r="H1352" s="404">
        <v>3220</v>
      </c>
      <c r="I1352" s="404">
        <v>10887</v>
      </c>
      <c r="L1352" s="350">
        <v>0.315</v>
      </c>
      <c r="M1352" s="350">
        <v>3.5000000000000003E-2</v>
      </c>
      <c r="N1352" s="351" t="str">
        <f t="shared" si="44"/>
        <v>13800018</v>
      </c>
      <c r="P1352" s="351" t="str">
        <f t="shared" si="43"/>
        <v>T</v>
      </c>
    </row>
    <row r="1353" spans="1:16">
      <c r="A1353" s="401" t="s">
        <v>74</v>
      </c>
      <c r="B1353" s="404">
        <v>138000</v>
      </c>
      <c r="C1353" s="405">
        <v>20</v>
      </c>
      <c r="D1353" s="404">
        <v>72471</v>
      </c>
      <c r="E1353" s="404">
        <v>210471</v>
      </c>
      <c r="F1353" s="404">
        <v>8051</v>
      </c>
      <c r="G1353" s="404">
        <v>6900</v>
      </c>
      <c r="H1353" s="404">
        <v>3221</v>
      </c>
      <c r="I1353" s="404">
        <v>10121</v>
      </c>
      <c r="L1353" s="350">
        <v>0.315</v>
      </c>
      <c r="M1353" s="350">
        <v>3.5000000000000003E-2</v>
      </c>
      <c r="N1353" s="351" t="str">
        <f t="shared" si="44"/>
        <v>13800020</v>
      </c>
      <c r="P1353" s="351" t="str">
        <f t="shared" si="43"/>
        <v>T</v>
      </c>
    </row>
    <row r="1354" spans="1:16">
      <c r="A1354" s="401" t="s">
        <v>74</v>
      </c>
      <c r="B1354" s="404">
        <v>138000</v>
      </c>
      <c r="C1354" s="405">
        <v>22</v>
      </c>
      <c r="D1354" s="404">
        <v>79702</v>
      </c>
      <c r="E1354" s="404">
        <v>217702</v>
      </c>
      <c r="F1354" s="404">
        <v>8856</v>
      </c>
      <c r="G1354" s="404">
        <v>6273</v>
      </c>
      <c r="H1354" s="404">
        <v>3220</v>
      </c>
      <c r="I1354" s="404">
        <v>9493</v>
      </c>
      <c r="L1354" s="350">
        <v>0.315</v>
      </c>
      <c r="M1354" s="350">
        <v>3.5000000000000003E-2</v>
      </c>
      <c r="N1354" s="351" t="str">
        <f t="shared" si="44"/>
        <v>13800022</v>
      </c>
      <c r="P1354" s="351" t="str">
        <f t="shared" si="43"/>
        <v>T</v>
      </c>
    </row>
    <row r="1355" spans="1:16">
      <c r="A1355" s="401" t="s">
        <v>74</v>
      </c>
      <c r="B1355" s="404">
        <v>138000</v>
      </c>
      <c r="C1355" s="405">
        <v>24</v>
      </c>
      <c r="D1355" s="404">
        <v>86965</v>
      </c>
      <c r="E1355" s="404">
        <v>224965</v>
      </c>
      <c r="F1355" s="404">
        <v>9661</v>
      </c>
      <c r="G1355" s="404">
        <v>5750</v>
      </c>
      <c r="H1355" s="404">
        <v>3221</v>
      </c>
      <c r="I1355" s="404">
        <v>8971</v>
      </c>
      <c r="L1355" s="350">
        <v>0.315</v>
      </c>
      <c r="M1355" s="350">
        <v>3.5000000000000003E-2</v>
      </c>
      <c r="N1355" s="351" t="str">
        <f t="shared" si="44"/>
        <v>13800024</v>
      </c>
      <c r="P1355" s="351" t="str">
        <f t="shared" si="43"/>
        <v>T</v>
      </c>
    </row>
    <row r="1356" spans="1:16">
      <c r="A1356" s="401" t="s">
        <v>74</v>
      </c>
      <c r="B1356" s="404">
        <v>139000</v>
      </c>
      <c r="C1356" s="405">
        <v>4</v>
      </c>
      <c r="D1356" s="404">
        <v>14598</v>
      </c>
      <c r="E1356" s="404">
        <v>153598</v>
      </c>
      <c r="F1356" s="404">
        <v>1622</v>
      </c>
      <c r="G1356" s="404">
        <v>34750</v>
      </c>
      <c r="H1356" s="404">
        <v>3244</v>
      </c>
      <c r="I1356" s="404">
        <v>37994</v>
      </c>
      <c r="L1356" s="350">
        <v>0.315</v>
      </c>
      <c r="M1356" s="350">
        <v>3.5000000000000003E-2</v>
      </c>
      <c r="N1356" s="351" t="str">
        <f t="shared" si="44"/>
        <v>1390004</v>
      </c>
      <c r="P1356" s="351" t="str">
        <f t="shared" si="43"/>
        <v>T</v>
      </c>
    </row>
    <row r="1357" spans="1:16">
      <c r="A1357" s="401" t="s">
        <v>74</v>
      </c>
      <c r="B1357" s="404">
        <v>139000</v>
      </c>
      <c r="C1357" s="405">
        <v>6</v>
      </c>
      <c r="D1357" s="404">
        <v>21899</v>
      </c>
      <c r="E1357" s="404">
        <v>160899</v>
      </c>
      <c r="F1357" s="404">
        <v>2433</v>
      </c>
      <c r="G1357" s="404">
        <v>23167</v>
      </c>
      <c r="H1357" s="404">
        <v>3244</v>
      </c>
      <c r="I1357" s="404">
        <v>26411</v>
      </c>
      <c r="L1357" s="350">
        <v>0.315</v>
      </c>
      <c r="M1357" s="350">
        <v>3.5000000000000003E-2</v>
      </c>
      <c r="N1357" s="351" t="str">
        <f t="shared" si="44"/>
        <v>1390006</v>
      </c>
      <c r="P1357" s="351" t="str">
        <f t="shared" si="43"/>
        <v>T</v>
      </c>
    </row>
    <row r="1358" spans="1:16">
      <c r="A1358" s="401" t="s">
        <v>74</v>
      </c>
      <c r="B1358" s="404">
        <v>139000</v>
      </c>
      <c r="C1358" s="405">
        <v>8</v>
      </c>
      <c r="D1358" s="404">
        <v>29196</v>
      </c>
      <c r="E1358" s="404">
        <v>168196</v>
      </c>
      <c r="F1358" s="404">
        <v>3244</v>
      </c>
      <c r="G1358" s="404">
        <v>17375</v>
      </c>
      <c r="H1358" s="404">
        <v>3244</v>
      </c>
      <c r="I1358" s="404">
        <v>20619</v>
      </c>
      <c r="L1358" s="350">
        <v>0.315</v>
      </c>
      <c r="M1358" s="350">
        <v>3.5000000000000003E-2</v>
      </c>
      <c r="N1358" s="351" t="str">
        <f t="shared" si="44"/>
        <v>1390008</v>
      </c>
      <c r="P1358" s="351" t="str">
        <f t="shared" si="43"/>
        <v>T</v>
      </c>
    </row>
    <row r="1359" spans="1:16">
      <c r="A1359" s="401" t="s">
        <v>74</v>
      </c>
      <c r="B1359" s="404">
        <v>139000</v>
      </c>
      <c r="C1359" s="405">
        <v>10</v>
      </c>
      <c r="D1359" s="404">
        <v>36495</v>
      </c>
      <c r="E1359" s="404">
        <v>175495</v>
      </c>
      <c r="F1359" s="404">
        <v>4055</v>
      </c>
      <c r="G1359" s="404">
        <v>13900</v>
      </c>
      <c r="H1359" s="404">
        <v>3244</v>
      </c>
      <c r="I1359" s="404">
        <v>17144</v>
      </c>
      <c r="L1359" s="350">
        <v>0.315</v>
      </c>
      <c r="M1359" s="350">
        <v>3.5000000000000003E-2</v>
      </c>
      <c r="N1359" s="351" t="str">
        <f t="shared" si="44"/>
        <v>13900010</v>
      </c>
      <c r="P1359" s="351" t="str">
        <f t="shared" si="43"/>
        <v>T</v>
      </c>
    </row>
    <row r="1360" spans="1:16">
      <c r="A1360" s="401" t="s">
        <v>74</v>
      </c>
      <c r="B1360" s="404">
        <v>139000</v>
      </c>
      <c r="C1360" s="405">
        <v>12</v>
      </c>
      <c r="D1360" s="404">
        <v>43790</v>
      </c>
      <c r="E1360" s="404">
        <v>182790</v>
      </c>
      <c r="F1360" s="404">
        <v>4866</v>
      </c>
      <c r="G1360" s="404">
        <v>11584</v>
      </c>
      <c r="H1360" s="404">
        <v>3243</v>
      </c>
      <c r="I1360" s="404">
        <v>14827</v>
      </c>
      <c r="L1360" s="350">
        <v>0.315</v>
      </c>
      <c r="M1360" s="350">
        <v>3.5000000000000003E-2</v>
      </c>
      <c r="N1360" s="351" t="str">
        <f t="shared" si="44"/>
        <v>13900012</v>
      </c>
      <c r="P1360" s="351" t="str">
        <f t="shared" si="43"/>
        <v>T</v>
      </c>
    </row>
    <row r="1361" spans="1:16">
      <c r="A1361" s="401" t="s">
        <v>74</v>
      </c>
      <c r="B1361" s="404">
        <v>139000</v>
      </c>
      <c r="C1361" s="405">
        <v>14</v>
      </c>
      <c r="D1361" s="404">
        <v>51084</v>
      </c>
      <c r="E1361" s="404">
        <v>190084</v>
      </c>
      <c r="F1361" s="404">
        <v>5676</v>
      </c>
      <c r="G1361" s="404">
        <v>9929</v>
      </c>
      <c r="H1361" s="404">
        <v>3243</v>
      </c>
      <c r="I1361" s="404">
        <v>13172</v>
      </c>
      <c r="L1361" s="350">
        <v>0.315</v>
      </c>
      <c r="M1361" s="350">
        <v>3.5000000000000003E-2</v>
      </c>
      <c r="N1361" s="351" t="str">
        <f t="shared" si="44"/>
        <v>13900014</v>
      </c>
      <c r="P1361" s="351" t="str">
        <f t="shared" si="43"/>
        <v>T</v>
      </c>
    </row>
    <row r="1362" spans="1:16">
      <c r="A1362" s="401" t="s">
        <v>74</v>
      </c>
      <c r="B1362" s="404">
        <v>139000</v>
      </c>
      <c r="C1362" s="405">
        <v>16</v>
      </c>
      <c r="D1362" s="404">
        <v>58383</v>
      </c>
      <c r="E1362" s="404">
        <v>197383</v>
      </c>
      <c r="F1362" s="404">
        <v>6487</v>
      </c>
      <c r="G1362" s="404">
        <v>8688</v>
      </c>
      <c r="H1362" s="404">
        <v>3243</v>
      </c>
      <c r="I1362" s="404">
        <v>11931</v>
      </c>
      <c r="L1362" s="350">
        <v>0.315</v>
      </c>
      <c r="M1362" s="350">
        <v>3.5000000000000003E-2</v>
      </c>
      <c r="N1362" s="351" t="str">
        <f t="shared" si="44"/>
        <v>13900016</v>
      </c>
      <c r="P1362" s="351" t="str">
        <f t="shared" si="43"/>
        <v>T</v>
      </c>
    </row>
    <row r="1363" spans="1:16">
      <c r="A1363" s="401" t="s">
        <v>74</v>
      </c>
      <c r="B1363" s="404">
        <v>139000</v>
      </c>
      <c r="C1363" s="405">
        <v>18</v>
      </c>
      <c r="D1363" s="404">
        <v>65686</v>
      </c>
      <c r="E1363" s="404">
        <v>204686</v>
      </c>
      <c r="F1363" s="404">
        <v>7298</v>
      </c>
      <c r="G1363" s="404">
        <v>7723</v>
      </c>
      <c r="H1363" s="404">
        <v>3243</v>
      </c>
      <c r="I1363" s="404">
        <v>10966</v>
      </c>
      <c r="L1363" s="350">
        <v>0.315</v>
      </c>
      <c r="M1363" s="350">
        <v>3.5000000000000003E-2</v>
      </c>
      <c r="N1363" s="351" t="str">
        <f t="shared" si="44"/>
        <v>13900018</v>
      </c>
      <c r="P1363" s="351" t="str">
        <f t="shared" si="43"/>
        <v>T</v>
      </c>
    </row>
    <row r="1364" spans="1:16">
      <c r="A1364" s="401" t="s">
        <v>74</v>
      </c>
      <c r="B1364" s="404">
        <v>139000</v>
      </c>
      <c r="C1364" s="405">
        <v>20</v>
      </c>
      <c r="D1364" s="404">
        <v>72989</v>
      </c>
      <c r="E1364" s="404">
        <v>211989</v>
      </c>
      <c r="F1364" s="404">
        <v>8109</v>
      </c>
      <c r="G1364" s="404">
        <v>6950</v>
      </c>
      <c r="H1364" s="404">
        <v>3244</v>
      </c>
      <c r="I1364" s="404">
        <v>10194</v>
      </c>
      <c r="L1364" s="350">
        <v>0.315</v>
      </c>
      <c r="M1364" s="350">
        <v>3.5000000000000003E-2</v>
      </c>
      <c r="N1364" s="351" t="str">
        <f t="shared" si="44"/>
        <v>13900020</v>
      </c>
      <c r="P1364" s="351" t="str">
        <f t="shared" si="43"/>
        <v>T</v>
      </c>
    </row>
    <row r="1365" spans="1:16">
      <c r="A1365" s="401" t="s">
        <v>74</v>
      </c>
      <c r="B1365" s="404">
        <v>139000</v>
      </c>
      <c r="C1365" s="405">
        <v>22</v>
      </c>
      <c r="D1365" s="404">
        <v>80284</v>
      </c>
      <c r="E1365" s="404">
        <v>219284</v>
      </c>
      <c r="F1365" s="404">
        <v>8920</v>
      </c>
      <c r="G1365" s="404">
        <v>6319</v>
      </c>
      <c r="H1365" s="404">
        <v>3243</v>
      </c>
      <c r="I1365" s="404">
        <v>9562</v>
      </c>
      <c r="L1365" s="350">
        <v>0.315</v>
      </c>
      <c r="M1365" s="350">
        <v>3.5000000000000003E-2</v>
      </c>
      <c r="N1365" s="351" t="str">
        <f t="shared" si="44"/>
        <v>13900022</v>
      </c>
      <c r="P1365" s="351" t="str">
        <f t="shared" si="43"/>
        <v>T</v>
      </c>
    </row>
    <row r="1366" spans="1:16">
      <c r="A1366" s="401" t="s">
        <v>74</v>
      </c>
      <c r="B1366" s="404">
        <v>139000</v>
      </c>
      <c r="C1366" s="405">
        <v>24</v>
      </c>
      <c r="D1366" s="404">
        <v>87595</v>
      </c>
      <c r="E1366" s="404">
        <v>226595</v>
      </c>
      <c r="F1366" s="404">
        <v>9731</v>
      </c>
      <c r="G1366" s="404">
        <v>5792</v>
      </c>
      <c r="H1366" s="404">
        <v>3244</v>
      </c>
      <c r="I1366" s="404">
        <v>9036</v>
      </c>
      <c r="L1366" s="350">
        <v>0.315</v>
      </c>
      <c r="M1366" s="350">
        <v>3.5000000000000003E-2</v>
      </c>
      <c r="N1366" s="351" t="str">
        <f t="shared" si="44"/>
        <v>13900024</v>
      </c>
      <c r="P1366" s="351" t="str">
        <f t="shared" si="43"/>
        <v>T</v>
      </c>
    </row>
    <row r="1367" spans="1:16">
      <c r="A1367" s="401" t="s">
        <v>74</v>
      </c>
      <c r="B1367" s="404">
        <v>140000</v>
      </c>
      <c r="C1367" s="405">
        <v>4</v>
      </c>
      <c r="D1367" s="404">
        <v>14702</v>
      </c>
      <c r="E1367" s="404">
        <v>154702</v>
      </c>
      <c r="F1367" s="404">
        <v>1634</v>
      </c>
      <c r="G1367" s="404">
        <v>35000</v>
      </c>
      <c r="H1367" s="404">
        <v>3267</v>
      </c>
      <c r="I1367" s="404">
        <v>38267</v>
      </c>
      <c r="L1367" s="350">
        <v>0.315</v>
      </c>
      <c r="M1367" s="350">
        <v>3.5000000000000003E-2</v>
      </c>
      <c r="N1367" s="351" t="str">
        <f t="shared" si="44"/>
        <v>1400004</v>
      </c>
      <c r="P1367" s="351" t="str">
        <f t="shared" si="43"/>
        <v>T</v>
      </c>
    </row>
    <row r="1368" spans="1:16">
      <c r="A1368" s="401" t="s">
        <v>74</v>
      </c>
      <c r="B1368" s="404">
        <v>140000</v>
      </c>
      <c r="C1368" s="405">
        <v>6</v>
      </c>
      <c r="D1368" s="404">
        <v>22057</v>
      </c>
      <c r="E1368" s="404">
        <v>162057</v>
      </c>
      <c r="F1368" s="404">
        <v>2451</v>
      </c>
      <c r="G1368" s="404">
        <v>23334</v>
      </c>
      <c r="H1368" s="404">
        <v>3267</v>
      </c>
      <c r="I1368" s="404">
        <v>26601</v>
      </c>
      <c r="L1368" s="350">
        <v>0.315</v>
      </c>
      <c r="M1368" s="350">
        <v>3.5000000000000003E-2</v>
      </c>
      <c r="N1368" s="351" t="str">
        <f t="shared" si="44"/>
        <v>1400006</v>
      </c>
      <c r="P1368" s="351" t="str">
        <f t="shared" si="43"/>
        <v>T</v>
      </c>
    </row>
    <row r="1369" spans="1:16">
      <c r="A1369" s="401" t="s">
        <v>74</v>
      </c>
      <c r="B1369" s="404">
        <v>140000</v>
      </c>
      <c r="C1369" s="405">
        <v>8</v>
      </c>
      <c r="D1369" s="404">
        <v>29403</v>
      </c>
      <c r="E1369" s="404">
        <v>169403</v>
      </c>
      <c r="F1369" s="404">
        <v>3267</v>
      </c>
      <c r="G1369" s="404">
        <v>17500</v>
      </c>
      <c r="H1369" s="404">
        <v>3267</v>
      </c>
      <c r="I1369" s="404">
        <v>20767</v>
      </c>
      <c r="L1369" s="350">
        <v>0.315</v>
      </c>
      <c r="M1369" s="350">
        <v>3.5000000000000003E-2</v>
      </c>
      <c r="N1369" s="351" t="str">
        <f t="shared" si="44"/>
        <v>1400008</v>
      </c>
      <c r="P1369" s="351" t="str">
        <f t="shared" si="43"/>
        <v>T</v>
      </c>
    </row>
    <row r="1370" spans="1:16">
      <c r="A1370" s="401" t="s">
        <v>74</v>
      </c>
      <c r="B1370" s="404">
        <v>140000</v>
      </c>
      <c r="C1370" s="405">
        <v>10</v>
      </c>
      <c r="D1370" s="404">
        <v>36754</v>
      </c>
      <c r="E1370" s="404">
        <v>176754</v>
      </c>
      <c r="F1370" s="404">
        <v>4084</v>
      </c>
      <c r="G1370" s="404">
        <v>14000</v>
      </c>
      <c r="H1370" s="404">
        <v>3267</v>
      </c>
      <c r="I1370" s="404">
        <v>17267</v>
      </c>
      <c r="L1370" s="350">
        <v>0.315</v>
      </c>
      <c r="M1370" s="350">
        <v>3.5000000000000003E-2</v>
      </c>
      <c r="N1370" s="351" t="str">
        <f t="shared" si="44"/>
        <v>14000010</v>
      </c>
      <c r="P1370" s="351" t="str">
        <f t="shared" si="43"/>
        <v>T</v>
      </c>
    </row>
    <row r="1371" spans="1:16">
      <c r="A1371" s="401" t="s">
        <v>74</v>
      </c>
      <c r="B1371" s="404">
        <v>140000</v>
      </c>
      <c r="C1371" s="405">
        <v>12</v>
      </c>
      <c r="D1371" s="404">
        <v>44109</v>
      </c>
      <c r="E1371" s="404">
        <v>184109</v>
      </c>
      <c r="F1371" s="404">
        <v>4901</v>
      </c>
      <c r="G1371" s="404">
        <v>11667</v>
      </c>
      <c r="H1371" s="404">
        <v>3267</v>
      </c>
      <c r="I1371" s="404">
        <v>14934</v>
      </c>
      <c r="L1371" s="350">
        <v>0.315</v>
      </c>
      <c r="M1371" s="350">
        <v>3.5000000000000003E-2</v>
      </c>
      <c r="N1371" s="351" t="str">
        <f t="shared" si="44"/>
        <v>14000012</v>
      </c>
      <c r="P1371" s="351" t="str">
        <f t="shared" si="43"/>
        <v>T</v>
      </c>
    </row>
    <row r="1372" spans="1:16">
      <c r="A1372" s="401" t="s">
        <v>74</v>
      </c>
      <c r="B1372" s="404">
        <v>140000</v>
      </c>
      <c r="C1372" s="405">
        <v>14</v>
      </c>
      <c r="D1372" s="404">
        <v>51455</v>
      </c>
      <c r="E1372" s="404">
        <v>191455</v>
      </c>
      <c r="F1372" s="404">
        <v>5717</v>
      </c>
      <c r="G1372" s="404">
        <v>10000</v>
      </c>
      <c r="H1372" s="404">
        <v>3267</v>
      </c>
      <c r="I1372" s="404">
        <v>13267</v>
      </c>
      <c r="L1372" s="350">
        <v>0.315</v>
      </c>
      <c r="M1372" s="350">
        <v>3.5000000000000003E-2</v>
      </c>
      <c r="N1372" s="351" t="str">
        <f t="shared" si="44"/>
        <v>14000014</v>
      </c>
      <c r="P1372" s="351" t="str">
        <f t="shared" si="43"/>
        <v>T</v>
      </c>
    </row>
    <row r="1373" spans="1:16">
      <c r="A1373" s="401" t="s">
        <v>74</v>
      </c>
      <c r="B1373" s="404">
        <v>140000</v>
      </c>
      <c r="C1373" s="405">
        <v>16</v>
      </c>
      <c r="D1373" s="404">
        <v>58806</v>
      </c>
      <c r="E1373" s="404">
        <v>198806</v>
      </c>
      <c r="F1373" s="404">
        <v>6534</v>
      </c>
      <c r="G1373" s="404">
        <v>8750</v>
      </c>
      <c r="H1373" s="404">
        <v>3267</v>
      </c>
      <c r="I1373" s="404">
        <v>12017</v>
      </c>
      <c r="L1373" s="350">
        <v>0.315</v>
      </c>
      <c r="M1373" s="350">
        <v>3.5000000000000003E-2</v>
      </c>
      <c r="N1373" s="351" t="str">
        <f t="shared" si="44"/>
        <v>14000016</v>
      </c>
      <c r="P1373" s="351" t="str">
        <f t="shared" si="43"/>
        <v>T</v>
      </c>
    </row>
    <row r="1374" spans="1:16">
      <c r="A1374" s="401" t="s">
        <v>74</v>
      </c>
      <c r="B1374" s="404">
        <v>140000</v>
      </c>
      <c r="C1374" s="405">
        <v>18</v>
      </c>
      <c r="D1374" s="404">
        <v>66161</v>
      </c>
      <c r="E1374" s="404">
        <v>206161</v>
      </c>
      <c r="F1374" s="404">
        <v>7351</v>
      </c>
      <c r="G1374" s="404">
        <v>7778</v>
      </c>
      <c r="H1374" s="404">
        <v>3267</v>
      </c>
      <c r="I1374" s="404">
        <v>11045</v>
      </c>
      <c r="L1374" s="350">
        <v>0.315</v>
      </c>
      <c r="M1374" s="350">
        <v>3.5000000000000003E-2</v>
      </c>
      <c r="N1374" s="351" t="str">
        <f t="shared" si="44"/>
        <v>14000018</v>
      </c>
      <c r="P1374" s="351" t="str">
        <f t="shared" si="43"/>
        <v>T</v>
      </c>
    </row>
    <row r="1375" spans="1:16">
      <c r="A1375" s="401" t="s">
        <v>74</v>
      </c>
      <c r="B1375" s="404">
        <v>140000</v>
      </c>
      <c r="C1375" s="405">
        <v>20</v>
      </c>
      <c r="D1375" s="404">
        <v>73507</v>
      </c>
      <c r="E1375" s="404">
        <v>213507</v>
      </c>
      <c r="F1375" s="404">
        <v>8167</v>
      </c>
      <c r="G1375" s="404">
        <v>7000</v>
      </c>
      <c r="H1375" s="404">
        <v>3267</v>
      </c>
      <c r="I1375" s="404">
        <v>10267</v>
      </c>
      <c r="L1375" s="350">
        <v>0.315</v>
      </c>
      <c r="M1375" s="350">
        <v>3.5000000000000003E-2</v>
      </c>
      <c r="N1375" s="351" t="str">
        <f t="shared" si="44"/>
        <v>14000020</v>
      </c>
      <c r="P1375" s="351" t="str">
        <f t="shared" si="43"/>
        <v>T</v>
      </c>
    </row>
    <row r="1376" spans="1:16">
      <c r="A1376" s="401" t="s">
        <v>74</v>
      </c>
      <c r="B1376" s="404">
        <v>140000</v>
      </c>
      <c r="C1376" s="405">
        <v>22</v>
      </c>
      <c r="D1376" s="404">
        <v>80866</v>
      </c>
      <c r="E1376" s="404">
        <v>220866</v>
      </c>
      <c r="F1376" s="404">
        <v>8984</v>
      </c>
      <c r="G1376" s="404">
        <v>6364</v>
      </c>
      <c r="H1376" s="404">
        <v>3267</v>
      </c>
      <c r="I1376" s="404">
        <v>9631</v>
      </c>
      <c r="L1376" s="350">
        <v>0.315</v>
      </c>
      <c r="M1376" s="350">
        <v>3.5000000000000003E-2</v>
      </c>
      <c r="N1376" s="351" t="str">
        <f t="shared" si="44"/>
        <v>14000022</v>
      </c>
      <c r="P1376" s="351" t="str">
        <f t="shared" si="43"/>
        <v>T</v>
      </c>
    </row>
    <row r="1377" spans="1:16">
      <c r="A1377" s="401" t="s">
        <v>74</v>
      </c>
      <c r="B1377" s="404">
        <v>140000</v>
      </c>
      <c r="C1377" s="405">
        <v>24</v>
      </c>
      <c r="D1377" s="404">
        <v>88225</v>
      </c>
      <c r="E1377" s="404">
        <v>228225</v>
      </c>
      <c r="F1377" s="404">
        <v>9801</v>
      </c>
      <c r="G1377" s="404">
        <v>5834</v>
      </c>
      <c r="H1377" s="404">
        <v>3267</v>
      </c>
      <c r="I1377" s="404">
        <v>9101</v>
      </c>
      <c r="L1377" s="350">
        <v>0.315</v>
      </c>
      <c r="M1377" s="350">
        <v>3.5000000000000003E-2</v>
      </c>
      <c r="N1377" s="351" t="str">
        <f t="shared" si="44"/>
        <v>14000024</v>
      </c>
      <c r="P1377" s="351" t="str">
        <f t="shared" si="43"/>
        <v>T</v>
      </c>
    </row>
    <row r="1378" spans="1:16">
      <c r="A1378" s="401" t="s">
        <v>74</v>
      </c>
      <c r="B1378" s="404">
        <v>141000</v>
      </c>
      <c r="C1378" s="405">
        <v>4</v>
      </c>
      <c r="D1378" s="404">
        <v>14810</v>
      </c>
      <c r="E1378" s="404">
        <v>155810</v>
      </c>
      <c r="F1378" s="404">
        <v>1646</v>
      </c>
      <c r="G1378" s="404">
        <v>35250</v>
      </c>
      <c r="H1378" s="404">
        <v>3291</v>
      </c>
      <c r="I1378" s="404">
        <v>38541</v>
      </c>
      <c r="L1378" s="350">
        <v>0.315</v>
      </c>
      <c r="M1378" s="350">
        <v>3.5000000000000003E-2</v>
      </c>
      <c r="N1378" s="351" t="str">
        <f t="shared" si="44"/>
        <v>1410004</v>
      </c>
      <c r="P1378" s="351" t="str">
        <f t="shared" si="43"/>
        <v>T</v>
      </c>
    </row>
    <row r="1379" spans="1:16">
      <c r="A1379" s="401" t="s">
        <v>74</v>
      </c>
      <c r="B1379" s="404">
        <v>141000</v>
      </c>
      <c r="C1379" s="405">
        <v>6</v>
      </c>
      <c r="D1379" s="404">
        <v>22214</v>
      </c>
      <c r="E1379" s="404">
        <v>163214</v>
      </c>
      <c r="F1379" s="404">
        <v>2468</v>
      </c>
      <c r="G1379" s="404">
        <v>23500</v>
      </c>
      <c r="H1379" s="404">
        <v>3291</v>
      </c>
      <c r="I1379" s="404">
        <v>26791</v>
      </c>
      <c r="L1379" s="350">
        <v>0.315</v>
      </c>
      <c r="M1379" s="350">
        <v>3.5000000000000003E-2</v>
      </c>
      <c r="N1379" s="351" t="str">
        <f t="shared" si="44"/>
        <v>1410006</v>
      </c>
      <c r="P1379" s="351" t="str">
        <f t="shared" si="43"/>
        <v>T</v>
      </c>
    </row>
    <row r="1380" spans="1:16">
      <c r="A1380" s="401" t="s">
        <v>74</v>
      </c>
      <c r="B1380" s="404">
        <v>141000</v>
      </c>
      <c r="C1380" s="405">
        <v>8</v>
      </c>
      <c r="D1380" s="404">
        <v>29619</v>
      </c>
      <c r="E1380" s="404">
        <v>170619</v>
      </c>
      <c r="F1380" s="404">
        <v>3291</v>
      </c>
      <c r="G1380" s="404">
        <v>17625</v>
      </c>
      <c r="H1380" s="404">
        <v>3291</v>
      </c>
      <c r="I1380" s="404">
        <v>20916</v>
      </c>
      <c r="L1380" s="350">
        <v>0.315</v>
      </c>
      <c r="M1380" s="350">
        <v>3.5000000000000003E-2</v>
      </c>
      <c r="N1380" s="351" t="str">
        <f t="shared" si="44"/>
        <v>1410008</v>
      </c>
      <c r="P1380" s="351" t="str">
        <f t="shared" si="43"/>
        <v>T</v>
      </c>
    </row>
    <row r="1381" spans="1:16">
      <c r="A1381" s="401" t="s">
        <v>74</v>
      </c>
      <c r="B1381" s="404">
        <v>141000</v>
      </c>
      <c r="C1381" s="405">
        <v>10</v>
      </c>
      <c r="D1381" s="404">
        <v>37023</v>
      </c>
      <c r="E1381" s="404">
        <v>178023</v>
      </c>
      <c r="F1381" s="404">
        <v>4113</v>
      </c>
      <c r="G1381" s="404">
        <v>14100</v>
      </c>
      <c r="H1381" s="404">
        <v>3291</v>
      </c>
      <c r="I1381" s="404">
        <v>17391</v>
      </c>
      <c r="L1381" s="350">
        <v>0.315</v>
      </c>
      <c r="M1381" s="350">
        <v>3.5000000000000003E-2</v>
      </c>
      <c r="N1381" s="351" t="str">
        <f t="shared" si="44"/>
        <v>14100010</v>
      </c>
      <c r="P1381" s="351" t="str">
        <f t="shared" si="43"/>
        <v>T</v>
      </c>
    </row>
    <row r="1382" spans="1:16">
      <c r="A1382" s="401" t="s">
        <v>74</v>
      </c>
      <c r="B1382" s="404">
        <v>141000</v>
      </c>
      <c r="C1382" s="405">
        <v>12</v>
      </c>
      <c r="D1382" s="404">
        <v>44428</v>
      </c>
      <c r="E1382" s="404">
        <v>185428</v>
      </c>
      <c r="F1382" s="404">
        <v>4936</v>
      </c>
      <c r="G1382" s="404">
        <v>11750</v>
      </c>
      <c r="H1382" s="404">
        <v>3291</v>
      </c>
      <c r="I1382" s="404">
        <v>15041</v>
      </c>
      <c r="L1382" s="350">
        <v>0.315</v>
      </c>
      <c r="M1382" s="350">
        <v>3.5000000000000003E-2</v>
      </c>
      <c r="N1382" s="351" t="str">
        <f t="shared" si="44"/>
        <v>14100012</v>
      </c>
      <c r="P1382" s="351" t="str">
        <f t="shared" si="43"/>
        <v>T</v>
      </c>
    </row>
    <row r="1383" spans="1:16">
      <c r="A1383" s="401" t="s">
        <v>74</v>
      </c>
      <c r="B1383" s="404">
        <v>141000</v>
      </c>
      <c r="C1383" s="405">
        <v>14</v>
      </c>
      <c r="D1383" s="404">
        <v>51826</v>
      </c>
      <c r="E1383" s="404">
        <v>192826</v>
      </c>
      <c r="F1383" s="404">
        <v>5758</v>
      </c>
      <c r="G1383" s="404">
        <v>10072</v>
      </c>
      <c r="H1383" s="404">
        <v>3290</v>
      </c>
      <c r="I1383" s="404">
        <v>13362</v>
      </c>
      <c r="L1383" s="350">
        <v>0.315</v>
      </c>
      <c r="M1383" s="350">
        <v>3.5000000000000003E-2</v>
      </c>
      <c r="N1383" s="351" t="str">
        <f t="shared" si="44"/>
        <v>14100014</v>
      </c>
      <c r="P1383" s="351" t="str">
        <f t="shared" si="43"/>
        <v>T</v>
      </c>
    </row>
    <row r="1384" spans="1:16">
      <c r="A1384" s="401" t="s">
        <v>74</v>
      </c>
      <c r="B1384" s="404">
        <v>141000</v>
      </c>
      <c r="C1384" s="405">
        <v>16</v>
      </c>
      <c r="D1384" s="404">
        <v>59229</v>
      </c>
      <c r="E1384" s="404">
        <v>200229</v>
      </c>
      <c r="F1384" s="404">
        <v>6581</v>
      </c>
      <c r="G1384" s="404">
        <v>8813</v>
      </c>
      <c r="H1384" s="404">
        <v>3290</v>
      </c>
      <c r="I1384" s="404">
        <v>12103</v>
      </c>
      <c r="L1384" s="350">
        <v>0.315</v>
      </c>
      <c r="M1384" s="350">
        <v>3.5000000000000003E-2</v>
      </c>
      <c r="N1384" s="351" t="str">
        <f t="shared" si="44"/>
        <v>14100016</v>
      </c>
      <c r="P1384" s="351" t="str">
        <f t="shared" si="43"/>
        <v>T</v>
      </c>
    </row>
    <row r="1385" spans="1:16">
      <c r="A1385" s="401" t="s">
        <v>74</v>
      </c>
      <c r="B1385" s="404">
        <v>141000</v>
      </c>
      <c r="C1385" s="405">
        <v>18</v>
      </c>
      <c r="D1385" s="404">
        <v>66635</v>
      </c>
      <c r="E1385" s="404">
        <v>207635</v>
      </c>
      <c r="F1385" s="404">
        <v>7403</v>
      </c>
      <c r="G1385" s="404">
        <v>7834</v>
      </c>
      <c r="H1385" s="404">
        <v>3290</v>
      </c>
      <c r="I1385" s="404">
        <v>11124</v>
      </c>
      <c r="L1385" s="350">
        <v>0.315</v>
      </c>
      <c r="M1385" s="350">
        <v>3.5000000000000003E-2</v>
      </c>
      <c r="N1385" s="351" t="str">
        <f t="shared" si="44"/>
        <v>14100018</v>
      </c>
      <c r="P1385" s="351" t="str">
        <f t="shared" si="43"/>
        <v>T</v>
      </c>
    </row>
    <row r="1386" spans="1:16">
      <c r="A1386" s="401" t="s">
        <v>74</v>
      </c>
      <c r="B1386" s="404">
        <v>141000</v>
      </c>
      <c r="C1386" s="405">
        <v>20</v>
      </c>
      <c r="D1386" s="404">
        <v>74046</v>
      </c>
      <c r="E1386" s="404">
        <v>215046</v>
      </c>
      <c r="F1386" s="404">
        <v>8226</v>
      </c>
      <c r="G1386" s="404">
        <v>7050</v>
      </c>
      <c r="H1386" s="404">
        <v>3291</v>
      </c>
      <c r="I1386" s="404">
        <v>10341</v>
      </c>
      <c r="L1386" s="350">
        <v>0.315</v>
      </c>
      <c r="M1386" s="350">
        <v>3.5000000000000003E-2</v>
      </c>
      <c r="N1386" s="351" t="str">
        <f t="shared" si="44"/>
        <v>14100020</v>
      </c>
      <c r="P1386" s="351" t="str">
        <f t="shared" si="43"/>
        <v>T</v>
      </c>
    </row>
    <row r="1387" spans="1:16">
      <c r="A1387" s="401" t="s">
        <v>74</v>
      </c>
      <c r="B1387" s="404">
        <v>141000</v>
      </c>
      <c r="C1387" s="405">
        <v>22</v>
      </c>
      <c r="D1387" s="404">
        <v>81448</v>
      </c>
      <c r="E1387" s="404">
        <v>222448</v>
      </c>
      <c r="F1387" s="404">
        <v>9048</v>
      </c>
      <c r="G1387" s="404">
        <v>6410</v>
      </c>
      <c r="H1387" s="404">
        <v>3290</v>
      </c>
      <c r="I1387" s="404">
        <v>9700</v>
      </c>
      <c r="L1387" s="350">
        <v>0.315</v>
      </c>
      <c r="M1387" s="350">
        <v>3.5000000000000003E-2</v>
      </c>
      <c r="N1387" s="351" t="str">
        <f t="shared" si="44"/>
        <v>14100022</v>
      </c>
      <c r="P1387" s="351" t="str">
        <f t="shared" si="43"/>
        <v>T</v>
      </c>
    </row>
    <row r="1388" spans="1:16">
      <c r="A1388" s="401" t="s">
        <v>74</v>
      </c>
      <c r="B1388" s="404">
        <v>141000</v>
      </c>
      <c r="C1388" s="405">
        <v>24</v>
      </c>
      <c r="D1388" s="404">
        <v>88855</v>
      </c>
      <c r="E1388" s="404">
        <v>229855</v>
      </c>
      <c r="F1388" s="404">
        <v>9871</v>
      </c>
      <c r="G1388" s="404">
        <v>5875</v>
      </c>
      <c r="H1388" s="404">
        <v>3291</v>
      </c>
      <c r="I1388" s="404">
        <v>9166</v>
      </c>
      <c r="L1388" s="350">
        <v>0.315</v>
      </c>
      <c r="M1388" s="350">
        <v>3.5000000000000003E-2</v>
      </c>
      <c r="N1388" s="351" t="str">
        <f t="shared" si="44"/>
        <v>14100024</v>
      </c>
      <c r="P1388" s="351" t="str">
        <f t="shared" si="43"/>
        <v>T</v>
      </c>
    </row>
    <row r="1389" spans="1:16">
      <c r="A1389" s="401" t="s">
        <v>74</v>
      </c>
      <c r="B1389" s="404">
        <v>142000</v>
      </c>
      <c r="C1389" s="405">
        <v>4</v>
      </c>
      <c r="D1389" s="404">
        <v>14913</v>
      </c>
      <c r="E1389" s="404">
        <v>156913</v>
      </c>
      <c r="F1389" s="404">
        <v>1657</v>
      </c>
      <c r="G1389" s="404">
        <v>35500</v>
      </c>
      <c r="H1389" s="404">
        <v>3314</v>
      </c>
      <c r="I1389" s="404">
        <v>38814</v>
      </c>
      <c r="L1389" s="350">
        <v>0.315</v>
      </c>
      <c r="M1389" s="350">
        <v>3.5000000000000003E-2</v>
      </c>
      <c r="N1389" s="351" t="str">
        <f t="shared" si="44"/>
        <v>1420004</v>
      </c>
      <c r="P1389" s="351" t="str">
        <f t="shared" si="43"/>
        <v>T</v>
      </c>
    </row>
    <row r="1390" spans="1:16">
      <c r="A1390" s="401" t="s">
        <v>74</v>
      </c>
      <c r="B1390" s="404">
        <v>142000</v>
      </c>
      <c r="C1390" s="405">
        <v>6</v>
      </c>
      <c r="D1390" s="404">
        <v>22372</v>
      </c>
      <c r="E1390" s="404">
        <v>164372</v>
      </c>
      <c r="F1390" s="404">
        <v>2486</v>
      </c>
      <c r="G1390" s="404">
        <v>23667</v>
      </c>
      <c r="H1390" s="404">
        <v>3314</v>
      </c>
      <c r="I1390" s="404">
        <v>26981</v>
      </c>
      <c r="L1390" s="350">
        <v>0.315</v>
      </c>
      <c r="M1390" s="350">
        <v>3.5000000000000003E-2</v>
      </c>
      <c r="N1390" s="351" t="str">
        <f t="shared" si="44"/>
        <v>1420006</v>
      </c>
      <c r="P1390" s="351" t="str">
        <f t="shared" si="43"/>
        <v>T</v>
      </c>
    </row>
    <row r="1391" spans="1:16">
      <c r="A1391" s="401" t="s">
        <v>74</v>
      </c>
      <c r="B1391" s="404">
        <v>142000</v>
      </c>
      <c r="C1391" s="405">
        <v>8</v>
      </c>
      <c r="D1391" s="404">
        <v>29826</v>
      </c>
      <c r="E1391" s="404">
        <v>171826</v>
      </c>
      <c r="F1391" s="404">
        <v>3314</v>
      </c>
      <c r="G1391" s="404">
        <v>17750</v>
      </c>
      <c r="H1391" s="404">
        <v>3314</v>
      </c>
      <c r="I1391" s="404">
        <v>21064</v>
      </c>
      <c r="L1391" s="350">
        <v>0.315</v>
      </c>
      <c r="M1391" s="350">
        <v>3.5000000000000003E-2</v>
      </c>
      <c r="N1391" s="351" t="str">
        <f t="shared" si="44"/>
        <v>1420008</v>
      </c>
      <c r="P1391" s="351" t="str">
        <f t="shared" si="43"/>
        <v>T</v>
      </c>
    </row>
    <row r="1392" spans="1:16">
      <c r="A1392" s="401" t="s">
        <v>74</v>
      </c>
      <c r="B1392" s="404">
        <v>142000</v>
      </c>
      <c r="C1392" s="405">
        <v>10</v>
      </c>
      <c r="D1392" s="404">
        <v>37282</v>
      </c>
      <c r="E1392" s="404">
        <v>179282</v>
      </c>
      <c r="F1392" s="404">
        <v>4142</v>
      </c>
      <c r="G1392" s="404">
        <v>14200</v>
      </c>
      <c r="H1392" s="404">
        <v>3314</v>
      </c>
      <c r="I1392" s="404">
        <v>17514</v>
      </c>
      <c r="L1392" s="350">
        <v>0.315</v>
      </c>
      <c r="M1392" s="350">
        <v>3.5000000000000003E-2</v>
      </c>
      <c r="N1392" s="351" t="str">
        <f t="shared" si="44"/>
        <v>14200010</v>
      </c>
      <c r="P1392" s="351" t="str">
        <f t="shared" si="43"/>
        <v>T</v>
      </c>
    </row>
    <row r="1393" spans="1:16">
      <c r="A1393" s="401" t="s">
        <v>74</v>
      </c>
      <c r="B1393" s="404">
        <v>142000</v>
      </c>
      <c r="C1393" s="405">
        <v>12</v>
      </c>
      <c r="D1393" s="404">
        <v>44735</v>
      </c>
      <c r="E1393" s="404">
        <v>186735</v>
      </c>
      <c r="F1393" s="404">
        <v>4971</v>
      </c>
      <c r="G1393" s="404">
        <v>11834</v>
      </c>
      <c r="H1393" s="404">
        <v>3313</v>
      </c>
      <c r="I1393" s="404">
        <v>15147</v>
      </c>
      <c r="L1393" s="350">
        <v>0.315</v>
      </c>
      <c r="M1393" s="350">
        <v>3.5000000000000003E-2</v>
      </c>
      <c r="N1393" s="351" t="str">
        <f t="shared" si="44"/>
        <v>14200012</v>
      </c>
      <c r="P1393" s="351" t="str">
        <f t="shared" si="43"/>
        <v>T</v>
      </c>
    </row>
    <row r="1394" spans="1:16">
      <c r="A1394" s="401" t="s">
        <v>74</v>
      </c>
      <c r="B1394" s="404">
        <v>142000</v>
      </c>
      <c r="C1394" s="405">
        <v>14</v>
      </c>
      <c r="D1394" s="404">
        <v>52197</v>
      </c>
      <c r="E1394" s="404">
        <v>194197</v>
      </c>
      <c r="F1394" s="404">
        <v>5799</v>
      </c>
      <c r="G1394" s="404">
        <v>10143</v>
      </c>
      <c r="H1394" s="404">
        <v>3314</v>
      </c>
      <c r="I1394" s="404">
        <v>13457</v>
      </c>
      <c r="L1394" s="350">
        <v>0.315</v>
      </c>
      <c r="M1394" s="350">
        <v>3.5000000000000003E-2</v>
      </c>
      <c r="N1394" s="351" t="str">
        <f t="shared" si="44"/>
        <v>14200014</v>
      </c>
      <c r="P1394" s="351" t="str">
        <f t="shared" si="43"/>
        <v>T</v>
      </c>
    </row>
    <row r="1395" spans="1:16">
      <c r="A1395" s="401" t="s">
        <v>74</v>
      </c>
      <c r="B1395" s="404">
        <v>142000</v>
      </c>
      <c r="C1395" s="405">
        <v>16</v>
      </c>
      <c r="D1395" s="404">
        <v>59651</v>
      </c>
      <c r="E1395" s="404">
        <v>201651</v>
      </c>
      <c r="F1395" s="404">
        <v>6627</v>
      </c>
      <c r="G1395" s="404">
        <v>8875</v>
      </c>
      <c r="H1395" s="404">
        <v>3314</v>
      </c>
      <c r="I1395" s="404">
        <v>12189</v>
      </c>
      <c r="L1395" s="350">
        <v>0.315</v>
      </c>
      <c r="M1395" s="350">
        <v>3.5000000000000003E-2</v>
      </c>
      <c r="N1395" s="351" t="str">
        <f t="shared" si="44"/>
        <v>14200016</v>
      </c>
      <c r="P1395" s="351" t="str">
        <f t="shared" si="43"/>
        <v>T</v>
      </c>
    </row>
    <row r="1396" spans="1:16">
      <c r="A1396" s="401" t="s">
        <v>74</v>
      </c>
      <c r="B1396" s="404">
        <v>142000</v>
      </c>
      <c r="C1396" s="405">
        <v>18</v>
      </c>
      <c r="D1396" s="404">
        <v>67110</v>
      </c>
      <c r="E1396" s="404">
        <v>209110</v>
      </c>
      <c r="F1396" s="404">
        <v>7456</v>
      </c>
      <c r="G1396" s="404">
        <v>7889</v>
      </c>
      <c r="H1396" s="404">
        <v>3314</v>
      </c>
      <c r="I1396" s="404">
        <v>11203</v>
      </c>
      <c r="L1396" s="350">
        <v>0.315</v>
      </c>
      <c r="M1396" s="350">
        <v>3.5000000000000003E-2</v>
      </c>
      <c r="N1396" s="351" t="str">
        <f t="shared" si="44"/>
        <v>14200018</v>
      </c>
      <c r="P1396" s="351" t="str">
        <f t="shared" si="43"/>
        <v>T</v>
      </c>
    </row>
    <row r="1397" spans="1:16">
      <c r="A1397" s="401" t="s">
        <v>74</v>
      </c>
      <c r="B1397" s="404">
        <v>142000</v>
      </c>
      <c r="C1397" s="405">
        <v>20</v>
      </c>
      <c r="D1397" s="404">
        <v>74564</v>
      </c>
      <c r="E1397" s="404">
        <v>216564</v>
      </c>
      <c r="F1397" s="404">
        <v>8284</v>
      </c>
      <c r="G1397" s="404">
        <v>7100</v>
      </c>
      <c r="H1397" s="404">
        <v>3314</v>
      </c>
      <c r="I1397" s="404">
        <v>10414</v>
      </c>
      <c r="L1397" s="350">
        <v>0.315</v>
      </c>
      <c r="M1397" s="350">
        <v>3.5000000000000003E-2</v>
      </c>
      <c r="N1397" s="351" t="str">
        <f t="shared" si="44"/>
        <v>14200020</v>
      </c>
      <c r="P1397" s="351" t="str">
        <f t="shared" si="43"/>
        <v>T</v>
      </c>
    </row>
    <row r="1398" spans="1:16">
      <c r="A1398" s="401" t="s">
        <v>74</v>
      </c>
      <c r="B1398" s="404">
        <v>142000</v>
      </c>
      <c r="C1398" s="405">
        <v>22</v>
      </c>
      <c r="D1398" s="404">
        <v>82008</v>
      </c>
      <c r="E1398" s="404">
        <v>224008</v>
      </c>
      <c r="F1398" s="404">
        <v>9112</v>
      </c>
      <c r="G1398" s="404">
        <v>6455</v>
      </c>
      <c r="H1398" s="404">
        <v>3313</v>
      </c>
      <c r="I1398" s="404">
        <v>9768</v>
      </c>
      <c r="L1398" s="350">
        <v>0.315</v>
      </c>
      <c r="M1398" s="350">
        <v>3.5000000000000003E-2</v>
      </c>
      <c r="N1398" s="351" t="str">
        <f t="shared" si="44"/>
        <v>14200022</v>
      </c>
      <c r="P1398" s="351" t="str">
        <f t="shared" si="43"/>
        <v>T</v>
      </c>
    </row>
    <row r="1399" spans="1:16">
      <c r="A1399" s="401" t="s">
        <v>74</v>
      </c>
      <c r="B1399" s="404">
        <v>142000</v>
      </c>
      <c r="C1399" s="405">
        <v>24</v>
      </c>
      <c r="D1399" s="404">
        <v>89485</v>
      </c>
      <c r="E1399" s="404">
        <v>231485</v>
      </c>
      <c r="F1399" s="404">
        <v>9941</v>
      </c>
      <c r="G1399" s="404">
        <v>5917</v>
      </c>
      <c r="H1399" s="404">
        <v>3314</v>
      </c>
      <c r="I1399" s="404">
        <v>9231</v>
      </c>
      <c r="L1399" s="350">
        <v>0.315</v>
      </c>
      <c r="M1399" s="350">
        <v>3.5000000000000003E-2</v>
      </c>
      <c r="N1399" s="351" t="str">
        <f t="shared" si="44"/>
        <v>14200024</v>
      </c>
      <c r="P1399" s="351" t="str">
        <f t="shared" si="43"/>
        <v>T</v>
      </c>
    </row>
    <row r="1400" spans="1:16">
      <c r="A1400" s="401" t="s">
        <v>74</v>
      </c>
      <c r="B1400" s="404">
        <v>143000</v>
      </c>
      <c r="C1400" s="405">
        <v>4</v>
      </c>
      <c r="D1400" s="404">
        <v>15017</v>
      </c>
      <c r="E1400" s="404">
        <v>158017</v>
      </c>
      <c r="F1400" s="404">
        <v>1669</v>
      </c>
      <c r="G1400" s="404">
        <v>35750</v>
      </c>
      <c r="H1400" s="404">
        <v>3337</v>
      </c>
      <c r="I1400" s="404">
        <v>39087</v>
      </c>
      <c r="L1400" s="350">
        <v>0.315</v>
      </c>
      <c r="M1400" s="350">
        <v>3.5000000000000003E-2</v>
      </c>
      <c r="N1400" s="351" t="str">
        <f t="shared" si="44"/>
        <v>1430004</v>
      </c>
      <c r="P1400" s="351" t="str">
        <f t="shared" si="43"/>
        <v>T</v>
      </c>
    </row>
    <row r="1401" spans="1:16">
      <c r="A1401" s="401" t="s">
        <v>74</v>
      </c>
      <c r="B1401" s="404">
        <v>143000</v>
      </c>
      <c r="C1401" s="405">
        <v>6</v>
      </c>
      <c r="D1401" s="404">
        <v>22529</v>
      </c>
      <c r="E1401" s="404">
        <v>165529</v>
      </c>
      <c r="F1401" s="404">
        <v>2503</v>
      </c>
      <c r="G1401" s="404">
        <v>23834</v>
      </c>
      <c r="H1401" s="404">
        <v>3337</v>
      </c>
      <c r="I1401" s="404">
        <v>27171</v>
      </c>
      <c r="L1401" s="350">
        <v>0.315</v>
      </c>
      <c r="M1401" s="350">
        <v>3.5000000000000003E-2</v>
      </c>
      <c r="N1401" s="351" t="str">
        <f t="shared" si="44"/>
        <v>1430006</v>
      </c>
      <c r="P1401" s="351" t="str">
        <f t="shared" si="43"/>
        <v>T</v>
      </c>
    </row>
    <row r="1402" spans="1:16">
      <c r="A1402" s="401" t="s">
        <v>74</v>
      </c>
      <c r="B1402" s="404">
        <v>143000</v>
      </c>
      <c r="C1402" s="405">
        <v>8</v>
      </c>
      <c r="D1402" s="404">
        <v>30033</v>
      </c>
      <c r="E1402" s="404">
        <v>173033</v>
      </c>
      <c r="F1402" s="404">
        <v>3337</v>
      </c>
      <c r="G1402" s="404">
        <v>17875</v>
      </c>
      <c r="H1402" s="404">
        <v>3337</v>
      </c>
      <c r="I1402" s="404">
        <v>21212</v>
      </c>
      <c r="L1402" s="350">
        <v>0.315</v>
      </c>
      <c r="M1402" s="350">
        <v>3.5000000000000003E-2</v>
      </c>
      <c r="N1402" s="351" t="str">
        <f t="shared" si="44"/>
        <v>1430008</v>
      </c>
      <c r="P1402" s="351" t="str">
        <f t="shared" si="43"/>
        <v>T</v>
      </c>
    </row>
    <row r="1403" spans="1:16">
      <c r="A1403" s="401" t="s">
        <v>74</v>
      </c>
      <c r="B1403" s="404">
        <v>143000</v>
      </c>
      <c r="C1403" s="405">
        <v>10</v>
      </c>
      <c r="D1403" s="404">
        <v>37541</v>
      </c>
      <c r="E1403" s="404">
        <v>180541</v>
      </c>
      <c r="F1403" s="404">
        <v>4171</v>
      </c>
      <c r="G1403" s="404">
        <v>14300</v>
      </c>
      <c r="H1403" s="404">
        <v>3337</v>
      </c>
      <c r="I1403" s="404">
        <v>17637</v>
      </c>
      <c r="L1403" s="350">
        <v>0.315</v>
      </c>
      <c r="M1403" s="350">
        <v>3.5000000000000003E-2</v>
      </c>
      <c r="N1403" s="351" t="str">
        <f t="shared" si="44"/>
        <v>14300010</v>
      </c>
      <c r="P1403" s="351" t="str">
        <f t="shared" si="43"/>
        <v>T</v>
      </c>
    </row>
    <row r="1404" spans="1:16">
      <c r="A1404" s="401" t="s">
        <v>74</v>
      </c>
      <c r="B1404" s="404">
        <v>143000</v>
      </c>
      <c r="C1404" s="405">
        <v>12</v>
      </c>
      <c r="D1404" s="404">
        <v>45054</v>
      </c>
      <c r="E1404" s="404">
        <v>188054</v>
      </c>
      <c r="F1404" s="404">
        <v>5006</v>
      </c>
      <c r="G1404" s="404">
        <v>11917</v>
      </c>
      <c r="H1404" s="404">
        <v>3337</v>
      </c>
      <c r="I1404" s="404">
        <v>15254</v>
      </c>
      <c r="L1404" s="350">
        <v>0.315</v>
      </c>
      <c r="M1404" s="350">
        <v>3.5000000000000003E-2</v>
      </c>
      <c r="N1404" s="351" t="str">
        <f t="shared" si="44"/>
        <v>14300012</v>
      </c>
      <c r="P1404" s="351" t="str">
        <f t="shared" si="43"/>
        <v>T</v>
      </c>
    </row>
    <row r="1405" spans="1:16">
      <c r="A1405" s="401" t="s">
        <v>74</v>
      </c>
      <c r="B1405" s="404">
        <v>143000</v>
      </c>
      <c r="C1405" s="405">
        <v>14</v>
      </c>
      <c r="D1405" s="404">
        <v>52554</v>
      </c>
      <c r="E1405" s="404">
        <v>195554</v>
      </c>
      <c r="F1405" s="404">
        <v>5840</v>
      </c>
      <c r="G1405" s="404">
        <v>10215</v>
      </c>
      <c r="H1405" s="404">
        <v>3336</v>
      </c>
      <c r="I1405" s="404">
        <v>13551</v>
      </c>
      <c r="L1405" s="350">
        <v>0.315</v>
      </c>
      <c r="M1405" s="350">
        <v>3.5000000000000003E-2</v>
      </c>
      <c r="N1405" s="351" t="str">
        <f t="shared" si="44"/>
        <v>14300014</v>
      </c>
      <c r="P1405" s="351" t="str">
        <f t="shared" si="43"/>
        <v>T</v>
      </c>
    </row>
    <row r="1406" spans="1:16">
      <c r="A1406" s="401" t="s">
        <v>74</v>
      </c>
      <c r="B1406" s="404">
        <v>143000</v>
      </c>
      <c r="C1406" s="405">
        <v>16</v>
      </c>
      <c r="D1406" s="404">
        <v>60074</v>
      </c>
      <c r="E1406" s="404">
        <v>203074</v>
      </c>
      <c r="F1406" s="404">
        <v>6674</v>
      </c>
      <c r="G1406" s="404">
        <v>8938</v>
      </c>
      <c r="H1406" s="404">
        <v>3337</v>
      </c>
      <c r="I1406" s="404">
        <v>12275</v>
      </c>
      <c r="L1406" s="350">
        <v>0.315</v>
      </c>
      <c r="M1406" s="350">
        <v>3.5000000000000003E-2</v>
      </c>
      <c r="N1406" s="351" t="str">
        <f t="shared" si="44"/>
        <v>14300016</v>
      </c>
      <c r="P1406" s="351" t="str">
        <f t="shared" si="43"/>
        <v>T</v>
      </c>
    </row>
    <row r="1407" spans="1:16">
      <c r="A1407" s="401" t="s">
        <v>74</v>
      </c>
      <c r="B1407" s="404">
        <v>143000</v>
      </c>
      <c r="C1407" s="405">
        <v>18</v>
      </c>
      <c r="D1407" s="404">
        <v>67584</v>
      </c>
      <c r="E1407" s="404">
        <v>210584</v>
      </c>
      <c r="F1407" s="404">
        <v>7508</v>
      </c>
      <c r="G1407" s="404">
        <v>7945</v>
      </c>
      <c r="H1407" s="404">
        <v>3337</v>
      </c>
      <c r="I1407" s="404">
        <v>11282</v>
      </c>
      <c r="L1407" s="350">
        <v>0.315</v>
      </c>
      <c r="M1407" s="350">
        <v>3.5000000000000003E-2</v>
      </c>
      <c r="N1407" s="351" t="str">
        <f t="shared" si="44"/>
        <v>14300018</v>
      </c>
      <c r="P1407" s="351" t="str">
        <f t="shared" si="43"/>
        <v>T</v>
      </c>
    </row>
    <row r="1408" spans="1:16">
      <c r="A1408" s="401" t="s">
        <v>74</v>
      </c>
      <c r="B1408" s="404">
        <v>143000</v>
      </c>
      <c r="C1408" s="405">
        <v>20</v>
      </c>
      <c r="D1408" s="404">
        <v>75082</v>
      </c>
      <c r="E1408" s="404">
        <v>218082</v>
      </c>
      <c r="F1408" s="404">
        <v>8342</v>
      </c>
      <c r="G1408" s="404">
        <v>7150</v>
      </c>
      <c r="H1408" s="404">
        <v>3337</v>
      </c>
      <c r="I1408" s="404">
        <v>10487</v>
      </c>
      <c r="L1408" s="350">
        <v>0.315</v>
      </c>
      <c r="M1408" s="350">
        <v>3.5000000000000003E-2</v>
      </c>
      <c r="N1408" s="351" t="str">
        <f t="shared" si="44"/>
        <v>14300020</v>
      </c>
      <c r="P1408" s="351" t="str">
        <f t="shared" si="43"/>
        <v>T</v>
      </c>
    </row>
    <row r="1409" spans="1:16">
      <c r="A1409" s="401" t="s">
        <v>74</v>
      </c>
      <c r="B1409" s="404">
        <v>143000</v>
      </c>
      <c r="C1409" s="405">
        <v>22</v>
      </c>
      <c r="D1409" s="404">
        <v>82590</v>
      </c>
      <c r="E1409" s="404">
        <v>225590</v>
      </c>
      <c r="F1409" s="404">
        <v>9176</v>
      </c>
      <c r="G1409" s="404">
        <v>6500</v>
      </c>
      <c r="H1409" s="404">
        <v>3337</v>
      </c>
      <c r="I1409" s="404">
        <v>9837</v>
      </c>
      <c r="L1409" s="350">
        <v>0.315</v>
      </c>
      <c r="M1409" s="350">
        <v>3.5000000000000003E-2</v>
      </c>
      <c r="N1409" s="351" t="str">
        <f t="shared" si="44"/>
        <v>14300022</v>
      </c>
      <c r="P1409" s="351" t="str">
        <f t="shared" si="43"/>
        <v>T</v>
      </c>
    </row>
    <row r="1410" spans="1:16">
      <c r="A1410" s="401" t="s">
        <v>74</v>
      </c>
      <c r="B1410" s="404">
        <v>143000</v>
      </c>
      <c r="C1410" s="405">
        <v>24</v>
      </c>
      <c r="D1410" s="404">
        <v>90115</v>
      </c>
      <c r="E1410" s="404">
        <v>233115</v>
      </c>
      <c r="F1410" s="404">
        <v>10011</v>
      </c>
      <c r="G1410" s="404">
        <v>5959</v>
      </c>
      <c r="H1410" s="404">
        <v>3337</v>
      </c>
      <c r="I1410" s="404">
        <v>9296</v>
      </c>
      <c r="L1410" s="350">
        <v>0.315</v>
      </c>
      <c r="M1410" s="350">
        <v>3.5000000000000003E-2</v>
      </c>
      <c r="N1410" s="351" t="str">
        <f t="shared" si="44"/>
        <v>14300024</v>
      </c>
      <c r="P1410" s="351" t="str">
        <f t="shared" si="43"/>
        <v>T</v>
      </c>
    </row>
    <row r="1411" spans="1:16">
      <c r="A1411" s="401" t="s">
        <v>74</v>
      </c>
      <c r="B1411" s="404">
        <v>144000</v>
      </c>
      <c r="C1411" s="405">
        <v>4</v>
      </c>
      <c r="D1411" s="404">
        <v>15125</v>
      </c>
      <c r="E1411" s="404">
        <v>159125</v>
      </c>
      <c r="F1411" s="404">
        <v>1681</v>
      </c>
      <c r="G1411" s="404">
        <v>36000</v>
      </c>
      <c r="H1411" s="404">
        <v>3361</v>
      </c>
      <c r="I1411" s="404">
        <v>39361</v>
      </c>
      <c r="L1411" s="350">
        <v>0.315</v>
      </c>
      <c r="M1411" s="350">
        <v>3.5000000000000003E-2</v>
      </c>
      <c r="N1411" s="351" t="str">
        <f t="shared" si="44"/>
        <v>1440004</v>
      </c>
      <c r="P1411" s="351" t="str">
        <f t="shared" ref="P1411:P1474" si="45">IF((E1411-F1411)/C1411=I1411,"T","F")</f>
        <v>T</v>
      </c>
    </row>
    <row r="1412" spans="1:16">
      <c r="A1412" s="401" t="s">
        <v>74</v>
      </c>
      <c r="B1412" s="404">
        <v>144000</v>
      </c>
      <c r="C1412" s="405">
        <v>6</v>
      </c>
      <c r="D1412" s="404">
        <v>22687</v>
      </c>
      <c r="E1412" s="404">
        <v>166687</v>
      </c>
      <c r="F1412" s="404">
        <v>2521</v>
      </c>
      <c r="G1412" s="404">
        <v>24000</v>
      </c>
      <c r="H1412" s="404">
        <v>3361</v>
      </c>
      <c r="I1412" s="404">
        <v>27361</v>
      </c>
      <c r="L1412" s="350">
        <v>0.315</v>
      </c>
      <c r="M1412" s="350">
        <v>3.5000000000000003E-2</v>
      </c>
      <c r="N1412" s="351" t="str">
        <f t="shared" si="44"/>
        <v>1440006</v>
      </c>
      <c r="P1412" s="351" t="str">
        <f t="shared" si="45"/>
        <v>T</v>
      </c>
    </row>
    <row r="1413" spans="1:16">
      <c r="A1413" s="401" t="s">
        <v>74</v>
      </c>
      <c r="B1413" s="404">
        <v>144000</v>
      </c>
      <c r="C1413" s="405">
        <v>8</v>
      </c>
      <c r="D1413" s="404">
        <v>30249</v>
      </c>
      <c r="E1413" s="404">
        <v>174249</v>
      </c>
      <c r="F1413" s="404">
        <v>3361</v>
      </c>
      <c r="G1413" s="404">
        <v>18000</v>
      </c>
      <c r="H1413" s="404">
        <v>3361</v>
      </c>
      <c r="I1413" s="404">
        <v>21361</v>
      </c>
      <c r="L1413" s="350">
        <v>0.315</v>
      </c>
      <c r="M1413" s="350">
        <v>3.5000000000000003E-2</v>
      </c>
      <c r="N1413" s="351" t="str">
        <f t="shared" ref="N1413:N1476" si="46">CONCATENATE(B1413,C1413)</f>
        <v>1440008</v>
      </c>
      <c r="P1413" s="351" t="str">
        <f t="shared" si="45"/>
        <v>T</v>
      </c>
    </row>
    <row r="1414" spans="1:16">
      <c r="A1414" s="401" t="s">
        <v>74</v>
      </c>
      <c r="B1414" s="404">
        <v>144000</v>
      </c>
      <c r="C1414" s="405">
        <v>10</v>
      </c>
      <c r="D1414" s="404">
        <v>37811</v>
      </c>
      <c r="E1414" s="404">
        <v>181811</v>
      </c>
      <c r="F1414" s="404">
        <v>4201</v>
      </c>
      <c r="G1414" s="404">
        <v>14400</v>
      </c>
      <c r="H1414" s="404">
        <v>3361</v>
      </c>
      <c r="I1414" s="404">
        <v>17761</v>
      </c>
      <c r="L1414" s="350">
        <v>0.315</v>
      </c>
      <c r="M1414" s="350">
        <v>3.5000000000000003E-2</v>
      </c>
      <c r="N1414" s="351" t="str">
        <f t="shared" si="46"/>
        <v>14400010</v>
      </c>
      <c r="P1414" s="351" t="str">
        <f t="shared" si="45"/>
        <v>T</v>
      </c>
    </row>
    <row r="1415" spans="1:16">
      <c r="A1415" s="401" t="s">
        <v>74</v>
      </c>
      <c r="B1415" s="404">
        <v>144000</v>
      </c>
      <c r="C1415" s="405">
        <v>12</v>
      </c>
      <c r="D1415" s="404">
        <v>45373</v>
      </c>
      <c r="E1415" s="404">
        <v>189373</v>
      </c>
      <c r="F1415" s="404">
        <v>5041</v>
      </c>
      <c r="G1415" s="404">
        <v>12000</v>
      </c>
      <c r="H1415" s="404">
        <v>3361</v>
      </c>
      <c r="I1415" s="404">
        <v>15361</v>
      </c>
      <c r="L1415" s="350">
        <v>0.315</v>
      </c>
      <c r="M1415" s="350">
        <v>3.5000000000000003E-2</v>
      </c>
      <c r="N1415" s="351" t="str">
        <f t="shared" si="46"/>
        <v>14400012</v>
      </c>
      <c r="P1415" s="351" t="str">
        <f t="shared" si="45"/>
        <v>T</v>
      </c>
    </row>
    <row r="1416" spans="1:16">
      <c r="A1416" s="401" t="s">
        <v>74</v>
      </c>
      <c r="B1416" s="404">
        <v>144000</v>
      </c>
      <c r="C1416" s="405">
        <v>14</v>
      </c>
      <c r="D1416" s="404">
        <v>52925</v>
      </c>
      <c r="E1416" s="404">
        <v>196925</v>
      </c>
      <c r="F1416" s="404">
        <v>5881</v>
      </c>
      <c r="G1416" s="404">
        <v>10286</v>
      </c>
      <c r="H1416" s="404">
        <v>3360</v>
      </c>
      <c r="I1416" s="404">
        <v>13646</v>
      </c>
      <c r="L1416" s="350">
        <v>0.315</v>
      </c>
      <c r="M1416" s="350">
        <v>3.5000000000000003E-2</v>
      </c>
      <c r="N1416" s="351" t="str">
        <f t="shared" si="46"/>
        <v>14400014</v>
      </c>
      <c r="P1416" s="351" t="str">
        <f t="shared" si="45"/>
        <v>T</v>
      </c>
    </row>
    <row r="1417" spans="1:16">
      <c r="A1417" s="401" t="s">
        <v>74</v>
      </c>
      <c r="B1417" s="404">
        <v>144000</v>
      </c>
      <c r="C1417" s="405">
        <v>16</v>
      </c>
      <c r="D1417" s="404">
        <v>60497</v>
      </c>
      <c r="E1417" s="404">
        <v>204497</v>
      </c>
      <c r="F1417" s="404">
        <v>6721</v>
      </c>
      <c r="G1417" s="404">
        <v>9000</v>
      </c>
      <c r="H1417" s="404">
        <v>3361</v>
      </c>
      <c r="I1417" s="404">
        <v>12361</v>
      </c>
      <c r="L1417" s="350">
        <v>0.315</v>
      </c>
      <c r="M1417" s="350">
        <v>3.5000000000000003E-2</v>
      </c>
      <c r="N1417" s="351" t="str">
        <f t="shared" si="46"/>
        <v>14400016</v>
      </c>
      <c r="P1417" s="351" t="str">
        <f t="shared" si="45"/>
        <v>T</v>
      </c>
    </row>
    <row r="1418" spans="1:16">
      <c r="A1418" s="401" t="s">
        <v>74</v>
      </c>
      <c r="B1418" s="404">
        <v>144000</v>
      </c>
      <c r="C1418" s="405">
        <v>18</v>
      </c>
      <c r="D1418" s="404">
        <v>68059</v>
      </c>
      <c r="E1418" s="404">
        <v>212059</v>
      </c>
      <c r="F1418" s="404">
        <v>7561</v>
      </c>
      <c r="G1418" s="404">
        <v>8000</v>
      </c>
      <c r="H1418" s="404">
        <v>3361</v>
      </c>
      <c r="I1418" s="404">
        <v>11361</v>
      </c>
      <c r="L1418" s="350">
        <v>0.315</v>
      </c>
      <c r="M1418" s="350">
        <v>3.5000000000000003E-2</v>
      </c>
      <c r="N1418" s="351" t="str">
        <f t="shared" si="46"/>
        <v>14400018</v>
      </c>
      <c r="P1418" s="351" t="str">
        <f t="shared" si="45"/>
        <v>T</v>
      </c>
    </row>
    <row r="1419" spans="1:16">
      <c r="A1419" s="401" t="s">
        <v>74</v>
      </c>
      <c r="B1419" s="404">
        <v>144000</v>
      </c>
      <c r="C1419" s="405">
        <v>20</v>
      </c>
      <c r="D1419" s="404">
        <v>75621</v>
      </c>
      <c r="E1419" s="404">
        <v>219621</v>
      </c>
      <c r="F1419" s="404">
        <v>8401</v>
      </c>
      <c r="G1419" s="404">
        <v>7200</v>
      </c>
      <c r="H1419" s="404">
        <v>3361</v>
      </c>
      <c r="I1419" s="404">
        <v>10561</v>
      </c>
      <c r="L1419" s="350">
        <v>0.315</v>
      </c>
      <c r="M1419" s="350">
        <v>3.5000000000000003E-2</v>
      </c>
      <c r="N1419" s="351" t="str">
        <f t="shared" si="46"/>
        <v>14400020</v>
      </c>
      <c r="P1419" s="351" t="str">
        <f t="shared" si="45"/>
        <v>T</v>
      </c>
    </row>
    <row r="1420" spans="1:16">
      <c r="A1420" s="401" t="s">
        <v>74</v>
      </c>
      <c r="B1420" s="404">
        <v>144000</v>
      </c>
      <c r="C1420" s="405">
        <v>22</v>
      </c>
      <c r="D1420" s="404">
        <v>83173</v>
      </c>
      <c r="E1420" s="404">
        <v>227173</v>
      </c>
      <c r="F1420" s="404">
        <v>9241</v>
      </c>
      <c r="G1420" s="404">
        <v>6546</v>
      </c>
      <c r="H1420" s="404">
        <v>3360</v>
      </c>
      <c r="I1420" s="404">
        <v>9906</v>
      </c>
      <c r="L1420" s="350">
        <v>0.315</v>
      </c>
      <c r="M1420" s="350">
        <v>3.5000000000000003E-2</v>
      </c>
      <c r="N1420" s="351" t="str">
        <f t="shared" si="46"/>
        <v>14400022</v>
      </c>
      <c r="P1420" s="351" t="str">
        <f t="shared" si="45"/>
        <v>T</v>
      </c>
    </row>
    <row r="1421" spans="1:16">
      <c r="A1421" s="401" t="s">
        <v>74</v>
      </c>
      <c r="B1421" s="404">
        <v>144000</v>
      </c>
      <c r="C1421" s="405">
        <v>24</v>
      </c>
      <c r="D1421" s="404">
        <v>90745</v>
      </c>
      <c r="E1421" s="404">
        <v>234745</v>
      </c>
      <c r="F1421" s="404">
        <v>10081</v>
      </c>
      <c r="G1421" s="404">
        <v>6000</v>
      </c>
      <c r="H1421" s="404">
        <v>3361</v>
      </c>
      <c r="I1421" s="404">
        <v>9361</v>
      </c>
      <c r="L1421" s="350">
        <v>0.315</v>
      </c>
      <c r="M1421" s="350">
        <v>3.5000000000000003E-2</v>
      </c>
      <c r="N1421" s="351" t="str">
        <f t="shared" si="46"/>
        <v>14400024</v>
      </c>
      <c r="P1421" s="351" t="str">
        <f t="shared" si="45"/>
        <v>T</v>
      </c>
    </row>
    <row r="1422" spans="1:16">
      <c r="A1422" s="401" t="s">
        <v>74</v>
      </c>
      <c r="B1422" s="404">
        <v>145000</v>
      </c>
      <c r="C1422" s="405">
        <v>4</v>
      </c>
      <c r="D1422" s="404">
        <v>15228</v>
      </c>
      <c r="E1422" s="404">
        <v>160228</v>
      </c>
      <c r="F1422" s="404">
        <v>1692</v>
      </c>
      <c r="G1422" s="404">
        <v>36250</v>
      </c>
      <c r="H1422" s="404">
        <v>3384</v>
      </c>
      <c r="I1422" s="404">
        <v>39634</v>
      </c>
      <c r="L1422" s="350">
        <v>0.315</v>
      </c>
      <c r="M1422" s="350">
        <v>3.5000000000000003E-2</v>
      </c>
      <c r="N1422" s="351" t="str">
        <f t="shared" si="46"/>
        <v>1450004</v>
      </c>
      <c r="P1422" s="351" t="str">
        <f t="shared" si="45"/>
        <v>T</v>
      </c>
    </row>
    <row r="1423" spans="1:16">
      <c r="A1423" s="401" t="s">
        <v>74</v>
      </c>
      <c r="B1423" s="404">
        <v>145000</v>
      </c>
      <c r="C1423" s="405">
        <v>6</v>
      </c>
      <c r="D1423" s="404">
        <v>22844</v>
      </c>
      <c r="E1423" s="404">
        <v>167844</v>
      </c>
      <c r="F1423" s="404">
        <v>2538</v>
      </c>
      <c r="G1423" s="404">
        <v>24167</v>
      </c>
      <c r="H1423" s="404">
        <v>3384</v>
      </c>
      <c r="I1423" s="404">
        <v>27551</v>
      </c>
      <c r="L1423" s="350">
        <v>0.315</v>
      </c>
      <c r="M1423" s="350">
        <v>3.5000000000000003E-2</v>
      </c>
      <c r="N1423" s="351" t="str">
        <f t="shared" si="46"/>
        <v>1450006</v>
      </c>
      <c r="P1423" s="351" t="str">
        <f t="shared" si="45"/>
        <v>T</v>
      </c>
    </row>
    <row r="1424" spans="1:16">
      <c r="A1424" s="401" t="s">
        <v>74</v>
      </c>
      <c r="B1424" s="404">
        <v>145000</v>
      </c>
      <c r="C1424" s="405">
        <v>8</v>
      </c>
      <c r="D1424" s="404">
        <v>30456</v>
      </c>
      <c r="E1424" s="404">
        <v>175456</v>
      </c>
      <c r="F1424" s="404">
        <v>3384</v>
      </c>
      <c r="G1424" s="404">
        <v>18125</v>
      </c>
      <c r="H1424" s="404">
        <v>3384</v>
      </c>
      <c r="I1424" s="404">
        <v>21509</v>
      </c>
      <c r="L1424" s="350">
        <v>0.315</v>
      </c>
      <c r="M1424" s="350">
        <v>3.5000000000000003E-2</v>
      </c>
      <c r="N1424" s="351" t="str">
        <f t="shared" si="46"/>
        <v>1450008</v>
      </c>
      <c r="P1424" s="351" t="str">
        <f t="shared" si="45"/>
        <v>T</v>
      </c>
    </row>
    <row r="1425" spans="1:16">
      <c r="A1425" s="401" t="s">
        <v>74</v>
      </c>
      <c r="B1425" s="404">
        <v>145000</v>
      </c>
      <c r="C1425" s="405">
        <v>10</v>
      </c>
      <c r="D1425" s="404">
        <v>38070</v>
      </c>
      <c r="E1425" s="404">
        <v>183070</v>
      </c>
      <c r="F1425" s="404">
        <v>4230</v>
      </c>
      <c r="G1425" s="404">
        <v>14500</v>
      </c>
      <c r="H1425" s="404">
        <v>3384</v>
      </c>
      <c r="I1425" s="404">
        <v>17884</v>
      </c>
      <c r="L1425" s="350">
        <v>0.315</v>
      </c>
      <c r="M1425" s="350">
        <v>3.5000000000000003E-2</v>
      </c>
      <c r="N1425" s="351" t="str">
        <f t="shared" si="46"/>
        <v>14500010</v>
      </c>
      <c r="P1425" s="351" t="str">
        <f t="shared" si="45"/>
        <v>T</v>
      </c>
    </row>
    <row r="1426" spans="1:16">
      <c r="A1426" s="401" t="s">
        <v>74</v>
      </c>
      <c r="B1426" s="404">
        <v>145000</v>
      </c>
      <c r="C1426" s="405">
        <v>12</v>
      </c>
      <c r="D1426" s="404">
        <v>45680</v>
      </c>
      <c r="E1426" s="404">
        <v>190680</v>
      </c>
      <c r="F1426" s="404">
        <v>5076</v>
      </c>
      <c r="G1426" s="404">
        <v>12084</v>
      </c>
      <c r="H1426" s="404">
        <v>3383</v>
      </c>
      <c r="I1426" s="404">
        <v>15467</v>
      </c>
      <c r="L1426" s="350">
        <v>0.315</v>
      </c>
      <c r="M1426" s="350">
        <v>3.5000000000000003E-2</v>
      </c>
      <c r="N1426" s="351" t="str">
        <f t="shared" si="46"/>
        <v>14500012</v>
      </c>
      <c r="P1426" s="351" t="str">
        <f t="shared" si="45"/>
        <v>T</v>
      </c>
    </row>
    <row r="1427" spans="1:16">
      <c r="A1427" s="401" t="s">
        <v>74</v>
      </c>
      <c r="B1427" s="404">
        <v>145000</v>
      </c>
      <c r="C1427" s="405">
        <v>14</v>
      </c>
      <c r="D1427" s="404">
        <v>53295</v>
      </c>
      <c r="E1427" s="404">
        <v>198295</v>
      </c>
      <c r="F1427" s="404">
        <v>5921</v>
      </c>
      <c r="G1427" s="404">
        <v>10358</v>
      </c>
      <c r="H1427" s="404">
        <v>3383</v>
      </c>
      <c r="I1427" s="404">
        <v>13741</v>
      </c>
      <c r="L1427" s="350">
        <v>0.315</v>
      </c>
      <c r="M1427" s="350">
        <v>3.5000000000000003E-2</v>
      </c>
      <c r="N1427" s="351" t="str">
        <f t="shared" si="46"/>
        <v>14500014</v>
      </c>
      <c r="P1427" s="351" t="str">
        <f t="shared" si="45"/>
        <v>T</v>
      </c>
    </row>
    <row r="1428" spans="1:16">
      <c r="A1428" s="401" t="s">
        <v>74</v>
      </c>
      <c r="B1428" s="404">
        <v>145000</v>
      </c>
      <c r="C1428" s="405">
        <v>16</v>
      </c>
      <c r="D1428" s="404">
        <v>60903</v>
      </c>
      <c r="E1428" s="404">
        <v>205903</v>
      </c>
      <c r="F1428" s="404">
        <v>6767</v>
      </c>
      <c r="G1428" s="404">
        <v>9063</v>
      </c>
      <c r="H1428" s="404">
        <v>3383</v>
      </c>
      <c r="I1428" s="404">
        <v>12446</v>
      </c>
      <c r="L1428" s="350">
        <v>0.315</v>
      </c>
      <c r="M1428" s="350">
        <v>3.5000000000000003E-2</v>
      </c>
      <c r="N1428" s="351" t="str">
        <f t="shared" si="46"/>
        <v>14500016</v>
      </c>
      <c r="P1428" s="351" t="str">
        <f t="shared" si="45"/>
        <v>T</v>
      </c>
    </row>
    <row r="1429" spans="1:16">
      <c r="A1429" s="401" t="s">
        <v>74</v>
      </c>
      <c r="B1429" s="404">
        <v>145000</v>
      </c>
      <c r="C1429" s="405">
        <v>18</v>
      </c>
      <c r="D1429" s="404">
        <v>68515</v>
      </c>
      <c r="E1429" s="404">
        <v>213515</v>
      </c>
      <c r="F1429" s="404">
        <v>7613</v>
      </c>
      <c r="G1429" s="404">
        <v>8056</v>
      </c>
      <c r="H1429" s="404">
        <v>3383</v>
      </c>
      <c r="I1429" s="404">
        <v>11439</v>
      </c>
      <c r="L1429" s="350">
        <v>0.315</v>
      </c>
      <c r="M1429" s="350">
        <v>3.5000000000000003E-2</v>
      </c>
      <c r="N1429" s="351" t="str">
        <f t="shared" si="46"/>
        <v>14500018</v>
      </c>
      <c r="P1429" s="351" t="str">
        <f t="shared" si="45"/>
        <v>T</v>
      </c>
    </row>
    <row r="1430" spans="1:16">
      <c r="A1430" s="401" t="s">
        <v>74</v>
      </c>
      <c r="B1430" s="404">
        <v>145000</v>
      </c>
      <c r="C1430" s="405">
        <v>20</v>
      </c>
      <c r="D1430" s="404">
        <v>76139</v>
      </c>
      <c r="E1430" s="404">
        <v>221139</v>
      </c>
      <c r="F1430" s="404">
        <v>8459</v>
      </c>
      <c r="G1430" s="404">
        <v>7250</v>
      </c>
      <c r="H1430" s="404">
        <v>3384</v>
      </c>
      <c r="I1430" s="404">
        <v>10634</v>
      </c>
      <c r="L1430" s="350">
        <v>0.315</v>
      </c>
      <c r="M1430" s="350">
        <v>3.5000000000000003E-2</v>
      </c>
      <c r="N1430" s="351" t="str">
        <f t="shared" si="46"/>
        <v>14500020</v>
      </c>
      <c r="P1430" s="351" t="str">
        <f t="shared" si="45"/>
        <v>T</v>
      </c>
    </row>
    <row r="1431" spans="1:16">
      <c r="A1431" s="401" t="s">
        <v>74</v>
      </c>
      <c r="B1431" s="404">
        <v>145000</v>
      </c>
      <c r="C1431" s="405">
        <v>22</v>
      </c>
      <c r="D1431" s="404">
        <v>83755</v>
      </c>
      <c r="E1431" s="404">
        <v>228755</v>
      </c>
      <c r="F1431" s="404">
        <v>9305</v>
      </c>
      <c r="G1431" s="404">
        <v>6591</v>
      </c>
      <c r="H1431" s="404">
        <v>3384</v>
      </c>
      <c r="I1431" s="404">
        <v>9975</v>
      </c>
      <c r="L1431" s="350">
        <v>0.315</v>
      </c>
      <c r="M1431" s="350">
        <v>3.5000000000000003E-2</v>
      </c>
      <c r="N1431" s="351" t="str">
        <f t="shared" si="46"/>
        <v>14500022</v>
      </c>
      <c r="P1431" s="351" t="str">
        <f t="shared" si="45"/>
        <v>T</v>
      </c>
    </row>
    <row r="1432" spans="1:16">
      <c r="A1432" s="401" t="s">
        <v>74</v>
      </c>
      <c r="B1432" s="404">
        <v>145000</v>
      </c>
      <c r="C1432" s="405">
        <v>24</v>
      </c>
      <c r="D1432" s="404">
        <v>91375</v>
      </c>
      <c r="E1432" s="404">
        <v>236375</v>
      </c>
      <c r="F1432" s="404">
        <v>10151</v>
      </c>
      <c r="G1432" s="404">
        <v>6042</v>
      </c>
      <c r="H1432" s="404">
        <v>3384</v>
      </c>
      <c r="I1432" s="404">
        <v>9426</v>
      </c>
      <c r="L1432" s="350">
        <v>0.315</v>
      </c>
      <c r="M1432" s="350">
        <v>3.5000000000000003E-2</v>
      </c>
      <c r="N1432" s="351" t="str">
        <f t="shared" si="46"/>
        <v>14500024</v>
      </c>
      <c r="P1432" s="351" t="str">
        <f t="shared" si="45"/>
        <v>T</v>
      </c>
    </row>
    <row r="1433" spans="1:16">
      <c r="A1433" s="401" t="s">
        <v>74</v>
      </c>
      <c r="B1433" s="404">
        <v>146000</v>
      </c>
      <c r="C1433" s="405">
        <v>4</v>
      </c>
      <c r="D1433" s="404">
        <v>15332</v>
      </c>
      <c r="E1433" s="404">
        <v>161332</v>
      </c>
      <c r="F1433" s="404">
        <v>1704</v>
      </c>
      <c r="G1433" s="404">
        <v>36500</v>
      </c>
      <c r="H1433" s="404">
        <v>3407</v>
      </c>
      <c r="I1433" s="404">
        <v>39907</v>
      </c>
      <c r="L1433" s="350">
        <v>0.315</v>
      </c>
      <c r="M1433" s="350">
        <v>3.5000000000000003E-2</v>
      </c>
      <c r="N1433" s="351" t="str">
        <f t="shared" si="46"/>
        <v>1460004</v>
      </c>
      <c r="P1433" s="351" t="str">
        <f t="shared" si="45"/>
        <v>T</v>
      </c>
    </row>
    <row r="1434" spans="1:16">
      <c r="A1434" s="401" t="s">
        <v>74</v>
      </c>
      <c r="B1434" s="404">
        <v>146000</v>
      </c>
      <c r="C1434" s="405">
        <v>6</v>
      </c>
      <c r="D1434" s="404">
        <v>23002</v>
      </c>
      <c r="E1434" s="404">
        <v>169002</v>
      </c>
      <c r="F1434" s="404">
        <v>2556</v>
      </c>
      <c r="G1434" s="404">
        <v>24334</v>
      </c>
      <c r="H1434" s="404">
        <v>3407</v>
      </c>
      <c r="I1434" s="404">
        <v>27741</v>
      </c>
      <c r="L1434" s="350">
        <v>0.315</v>
      </c>
      <c r="M1434" s="350">
        <v>3.5000000000000003E-2</v>
      </c>
      <c r="N1434" s="351" t="str">
        <f t="shared" si="46"/>
        <v>1460006</v>
      </c>
      <c r="P1434" s="351" t="str">
        <f t="shared" si="45"/>
        <v>T</v>
      </c>
    </row>
    <row r="1435" spans="1:16">
      <c r="A1435" s="401" t="s">
        <v>74</v>
      </c>
      <c r="B1435" s="404">
        <v>146000</v>
      </c>
      <c r="C1435" s="405">
        <v>8</v>
      </c>
      <c r="D1435" s="404">
        <v>30663</v>
      </c>
      <c r="E1435" s="404">
        <v>176663</v>
      </c>
      <c r="F1435" s="404">
        <v>3407</v>
      </c>
      <c r="G1435" s="404">
        <v>18250</v>
      </c>
      <c r="H1435" s="404">
        <v>3407</v>
      </c>
      <c r="I1435" s="404">
        <v>21657</v>
      </c>
      <c r="L1435" s="350">
        <v>0.315</v>
      </c>
      <c r="M1435" s="350">
        <v>3.5000000000000003E-2</v>
      </c>
      <c r="N1435" s="351" t="str">
        <f t="shared" si="46"/>
        <v>1460008</v>
      </c>
      <c r="P1435" s="351" t="str">
        <f t="shared" si="45"/>
        <v>T</v>
      </c>
    </row>
    <row r="1436" spans="1:16">
      <c r="A1436" s="401" t="s">
        <v>74</v>
      </c>
      <c r="B1436" s="404">
        <v>146000</v>
      </c>
      <c r="C1436" s="405">
        <v>10</v>
      </c>
      <c r="D1436" s="404">
        <v>38329</v>
      </c>
      <c r="E1436" s="404">
        <v>184329</v>
      </c>
      <c r="F1436" s="404">
        <v>4259</v>
      </c>
      <c r="G1436" s="404">
        <v>14600</v>
      </c>
      <c r="H1436" s="404">
        <v>3407</v>
      </c>
      <c r="I1436" s="404">
        <v>18007</v>
      </c>
      <c r="L1436" s="350">
        <v>0.315</v>
      </c>
      <c r="M1436" s="350">
        <v>3.5000000000000003E-2</v>
      </c>
      <c r="N1436" s="351" t="str">
        <f t="shared" si="46"/>
        <v>14600010</v>
      </c>
      <c r="P1436" s="351" t="str">
        <f t="shared" si="45"/>
        <v>T</v>
      </c>
    </row>
    <row r="1437" spans="1:16">
      <c r="A1437" s="401" t="s">
        <v>74</v>
      </c>
      <c r="B1437" s="404">
        <v>146000</v>
      </c>
      <c r="C1437" s="405">
        <v>12</v>
      </c>
      <c r="D1437" s="404">
        <v>45999</v>
      </c>
      <c r="E1437" s="404">
        <v>191999</v>
      </c>
      <c r="F1437" s="404">
        <v>5111</v>
      </c>
      <c r="G1437" s="404">
        <v>12167</v>
      </c>
      <c r="H1437" s="404">
        <v>3407</v>
      </c>
      <c r="I1437" s="404">
        <v>15574</v>
      </c>
      <c r="L1437" s="350">
        <v>0.315</v>
      </c>
      <c r="M1437" s="350">
        <v>3.5000000000000003E-2</v>
      </c>
      <c r="N1437" s="351" t="str">
        <f t="shared" si="46"/>
        <v>14600012</v>
      </c>
      <c r="P1437" s="351" t="str">
        <f t="shared" si="45"/>
        <v>T</v>
      </c>
    </row>
    <row r="1438" spans="1:16">
      <c r="A1438" s="401" t="s">
        <v>74</v>
      </c>
      <c r="B1438" s="404">
        <v>146000</v>
      </c>
      <c r="C1438" s="405">
        <v>14</v>
      </c>
      <c r="D1438" s="404">
        <v>53666</v>
      </c>
      <c r="E1438" s="404">
        <v>199666</v>
      </c>
      <c r="F1438" s="404">
        <v>5962</v>
      </c>
      <c r="G1438" s="404">
        <v>10429</v>
      </c>
      <c r="H1438" s="404">
        <v>3407</v>
      </c>
      <c r="I1438" s="404">
        <v>13836</v>
      </c>
      <c r="L1438" s="350">
        <v>0.315</v>
      </c>
      <c r="M1438" s="350">
        <v>3.5000000000000003E-2</v>
      </c>
      <c r="N1438" s="351" t="str">
        <f t="shared" si="46"/>
        <v>14600014</v>
      </c>
      <c r="P1438" s="351" t="str">
        <f t="shared" si="45"/>
        <v>T</v>
      </c>
    </row>
    <row r="1439" spans="1:16">
      <c r="A1439" s="401" t="s">
        <v>74</v>
      </c>
      <c r="B1439" s="404">
        <v>146000</v>
      </c>
      <c r="C1439" s="405">
        <v>16</v>
      </c>
      <c r="D1439" s="404">
        <v>61326</v>
      </c>
      <c r="E1439" s="404">
        <v>207326</v>
      </c>
      <c r="F1439" s="404">
        <v>6814</v>
      </c>
      <c r="G1439" s="404">
        <v>9125</v>
      </c>
      <c r="H1439" s="404">
        <v>3407</v>
      </c>
      <c r="I1439" s="404">
        <v>12532</v>
      </c>
      <c r="L1439" s="350">
        <v>0.315</v>
      </c>
      <c r="M1439" s="350">
        <v>3.5000000000000003E-2</v>
      </c>
      <c r="N1439" s="351" t="str">
        <f t="shared" si="46"/>
        <v>14600016</v>
      </c>
      <c r="P1439" s="351" t="str">
        <f t="shared" si="45"/>
        <v>T</v>
      </c>
    </row>
    <row r="1440" spans="1:16">
      <c r="A1440" s="401" t="s">
        <v>74</v>
      </c>
      <c r="B1440" s="404">
        <v>146000</v>
      </c>
      <c r="C1440" s="405">
        <v>18</v>
      </c>
      <c r="D1440" s="404">
        <v>68990</v>
      </c>
      <c r="E1440" s="404">
        <v>214990</v>
      </c>
      <c r="F1440" s="404">
        <v>7666</v>
      </c>
      <c r="G1440" s="404">
        <v>8112</v>
      </c>
      <c r="H1440" s="404">
        <v>3406</v>
      </c>
      <c r="I1440" s="404">
        <v>11518</v>
      </c>
      <c r="L1440" s="350">
        <v>0.315</v>
      </c>
      <c r="M1440" s="350">
        <v>3.5000000000000003E-2</v>
      </c>
      <c r="N1440" s="351" t="str">
        <f t="shared" si="46"/>
        <v>14600018</v>
      </c>
      <c r="P1440" s="351" t="str">
        <f t="shared" si="45"/>
        <v>T</v>
      </c>
    </row>
    <row r="1441" spans="1:16">
      <c r="A1441" s="401" t="s">
        <v>74</v>
      </c>
      <c r="B1441" s="404">
        <v>146000</v>
      </c>
      <c r="C1441" s="405">
        <v>20</v>
      </c>
      <c r="D1441" s="404">
        <v>76657</v>
      </c>
      <c r="E1441" s="404">
        <v>222657</v>
      </c>
      <c r="F1441" s="404">
        <v>8517</v>
      </c>
      <c r="G1441" s="404">
        <v>7300</v>
      </c>
      <c r="H1441" s="404">
        <v>3407</v>
      </c>
      <c r="I1441" s="404">
        <v>10707</v>
      </c>
      <c r="L1441" s="350">
        <v>0.315</v>
      </c>
      <c r="M1441" s="350">
        <v>3.5000000000000003E-2</v>
      </c>
      <c r="N1441" s="351" t="str">
        <f t="shared" si="46"/>
        <v>14600020</v>
      </c>
      <c r="P1441" s="351" t="str">
        <f t="shared" si="45"/>
        <v>T</v>
      </c>
    </row>
    <row r="1442" spans="1:16">
      <c r="A1442" s="401" t="s">
        <v>74</v>
      </c>
      <c r="B1442" s="404">
        <v>146000</v>
      </c>
      <c r="C1442" s="405">
        <v>22</v>
      </c>
      <c r="D1442" s="404">
        <v>84337</v>
      </c>
      <c r="E1442" s="404">
        <v>230337</v>
      </c>
      <c r="F1442" s="404">
        <v>9369</v>
      </c>
      <c r="G1442" s="404">
        <v>6637</v>
      </c>
      <c r="H1442" s="404">
        <v>3407</v>
      </c>
      <c r="I1442" s="404">
        <v>10044</v>
      </c>
      <c r="L1442" s="350">
        <v>0.315</v>
      </c>
      <c r="M1442" s="350">
        <v>3.5000000000000003E-2</v>
      </c>
      <c r="N1442" s="351" t="str">
        <f t="shared" si="46"/>
        <v>14600022</v>
      </c>
      <c r="P1442" s="351" t="str">
        <f t="shared" si="45"/>
        <v>T</v>
      </c>
    </row>
    <row r="1443" spans="1:16">
      <c r="A1443" s="401" t="s">
        <v>74</v>
      </c>
      <c r="B1443" s="404">
        <v>146000</v>
      </c>
      <c r="C1443" s="405">
        <v>24</v>
      </c>
      <c r="D1443" s="404">
        <v>92005</v>
      </c>
      <c r="E1443" s="404">
        <v>238005</v>
      </c>
      <c r="F1443" s="404">
        <v>10221</v>
      </c>
      <c r="G1443" s="404">
        <v>6084</v>
      </c>
      <c r="H1443" s="404">
        <v>3407</v>
      </c>
      <c r="I1443" s="404">
        <v>9491</v>
      </c>
      <c r="L1443" s="350">
        <v>0.315</v>
      </c>
      <c r="M1443" s="350">
        <v>3.5000000000000003E-2</v>
      </c>
      <c r="N1443" s="351" t="str">
        <f t="shared" si="46"/>
        <v>14600024</v>
      </c>
      <c r="P1443" s="351" t="str">
        <f t="shared" si="45"/>
        <v>T</v>
      </c>
    </row>
    <row r="1444" spans="1:16">
      <c r="A1444" s="401" t="s">
        <v>74</v>
      </c>
      <c r="B1444" s="404">
        <v>147000</v>
      </c>
      <c r="C1444" s="405">
        <v>4</v>
      </c>
      <c r="D1444" s="404">
        <v>15440</v>
      </c>
      <c r="E1444" s="404">
        <v>162440</v>
      </c>
      <c r="F1444" s="404">
        <v>1716</v>
      </c>
      <c r="G1444" s="404">
        <v>36750</v>
      </c>
      <c r="H1444" s="404">
        <v>3431</v>
      </c>
      <c r="I1444" s="404">
        <v>40181</v>
      </c>
      <c r="L1444" s="350">
        <v>0.315</v>
      </c>
      <c r="M1444" s="350">
        <v>3.5000000000000003E-2</v>
      </c>
      <c r="N1444" s="351" t="str">
        <f t="shared" si="46"/>
        <v>1470004</v>
      </c>
      <c r="P1444" s="351" t="str">
        <f t="shared" si="45"/>
        <v>T</v>
      </c>
    </row>
    <row r="1445" spans="1:16">
      <c r="A1445" s="401" t="s">
        <v>74</v>
      </c>
      <c r="B1445" s="404">
        <v>147000</v>
      </c>
      <c r="C1445" s="405">
        <v>6</v>
      </c>
      <c r="D1445" s="404">
        <v>23159</v>
      </c>
      <c r="E1445" s="404">
        <v>170159</v>
      </c>
      <c r="F1445" s="404">
        <v>2573</v>
      </c>
      <c r="G1445" s="404">
        <v>24500</v>
      </c>
      <c r="H1445" s="404">
        <v>3431</v>
      </c>
      <c r="I1445" s="404">
        <v>27931</v>
      </c>
      <c r="L1445" s="350">
        <v>0.315</v>
      </c>
      <c r="M1445" s="350">
        <v>3.5000000000000003E-2</v>
      </c>
      <c r="N1445" s="351" t="str">
        <f t="shared" si="46"/>
        <v>1470006</v>
      </c>
      <c r="P1445" s="351" t="str">
        <f t="shared" si="45"/>
        <v>T</v>
      </c>
    </row>
    <row r="1446" spans="1:16">
      <c r="A1446" s="401" t="s">
        <v>74</v>
      </c>
      <c r="B1446" s="404">
        <v>147000</v>
      </c>
      <c r="C1446" s="405">
        <v>8</v>
      </c>
      <c r="D1446" s="404">
        <v>30879</v>
      </c>
      <c r="E1446" s="404">
        <v>177879</v>
      </c>
      <c r="F1446" s="404">
        <v>3431</v>
      </c>
      <c r="G1446" s="404">
        <v>18375</v>
      </c>
      <c r="H1446" s="404">
        <v>3431</v>
      </c>
      <c r="I1446" s="404">
        <v>21806</v>
      </c>
      <c r="L1446" s="350">
        <v>0.315</v>
      </c>
      <c r="M1446" s="350">
        <v>3.5000000000000003E-2</v>
      </c>
      <c r="N1446" s="351" t="str">
        <f t="shared" si="46"/>
        <v>1470008</v>
      </c>
      <c r="P1446" s="351" t="str">
        <f t="shared" si="45"/>
        <v>T</v>
      </c>
    </row>
    <row r="1447" spans="1:16">
      <c r="A1447" s="401" t="s">
        <v>74</v>
      </c>
      <c r="B1447" s="404">
        <v>147000</v>
      </c>
      <c r="C1447" s="405">
        <v>10</v>
      </c>
      <c r="D1447" s="404">
        <v>38598</v>
      </c>
      <c r="E1447" s="404">
        <v>185598</v>
      </c>
      <c r="F1447" s="404">
        <v>4288</v>
      </c>
      <c r="G1447" s="404">
        <v>14700</v>
      </c>
      <c r="H1447" s="404">
        <v>3431</v>
      </c>
      <c r="I1447" s="404">
        <v>18131</v>
      </c>
      <c r="L1447" s="350">
        <v>0.315</v>
      </c>
      <c r="M1447" s="350">
        <v>3.5000000000000003E-2</v>
      </c>
      <c r="N1447" s="351" t="str">
        <f t="shared" si="46"/>
        <v>14700010</v>
      </c>
      <c r="P1447" s="351" t="str">
        <f t="shared" si="45"/>
        <v>T</v>
      </c>
    </row>
    <row r="1448" spans="1:16">
      <c r="A1448" s="401" t="s">
        <v>74</v>
      </c>
      <c r="B1448" s="404">
        <v>147000</v>
      </c>
      <c r="C1448" s="405">
        <v>12</v>
      </c>
      <c r="D1448" s="404">
        <v>46318</v>
      </c>
      <c r="E1448" s="404">
        <v>193318</v>
      </c>
      <c r="F1448" s="404">
        <v>5146</v>
      </c>
      <c r="G1448" s="404">
        <v>12250</v>
      </c>
      <c r="H1448" s="404">
        <v>3431</v>
      </c>
      <c r="I1448" s="404">
        <v>15681</v>
      </c>
      <c r="L1448" s="350">
        <v>0.315</v>
      </c>
      <c r="M1448" s="350">
        <v>3.5000000000000003E-2</v>
      </c>
      <c r="N1448" s="351" t="str">
        <f t="shared" si="46"/>
        <v>14700012</v>
      </c>
      <c r="P1448" s="351" t="str">
        <f t="shared" si="45"/>
        <v>T</v>
      </c>
    </row>
    <row r="1449" spans="1:16">
      <c r="A1449" s="401" t="s">
        <v>74</v>
      </c>
      <c r="B1449" s="404">
        <v>147000</v>
      </c>
      <c r="C1449" s="405">
        <v>14</v>
      </c>
      <c r="D1449" s="404">
        <v>54037</v>
      </c>
      <c r="E1449" s="404">
        <v>201037</v>
      </c>
      <c r="F1449" s="404">
        <v>6003</v>
      </c>
      <c r="G1449" s="404">
        <v>10500</v>
      </c>
      <c r="H1449" s="404">
        <v>3431</v>
      </c>
      <c r="I1449" s="404">
        <v>13931</v>
      </c>
      <c r="L1449" s="350">
        <v>0.315</v>
      </c>
      <c r="M1449" s="350">
        <v>3.5000000000000003E-2</v>
      </c>
      <c r="N1449" s="351" t="str">
        <f t="shared" si="46"/>
        <v>14700014</v>
      </c>
      <c r="P1449" s="351" t="str">
        <f t="shared" si="45"/>
        <v>T</v>
      </c>
    </row>
    <row r="1450" spans="1:16">
      <c r="A1450" s="401" t="s">
        <v>74</v>
      </c>
      <c r="B1450" s="404">
        <v>147000</v>
      </c>
      <c r="C1450" s="405">
        <v>16</v>
      </c>
      <c r="D1450" s="404">
        <v>61749</v>
      </c>
      <c r="E1450" s="404">
        <v>208749</v>
      </c>
      <c r="F1450" s="404">
        <v>6861</v>
      </c>
      <c r="G1450" s="404">
        <v>9188</v>
      </c>
      <c r="H1450" s="404">
        <v>3430</v>
      </c>
      <c r="I1450" s="404">
        <v>12618</v>
      </c>
      <c r="L1450" s="350">
        <v>0.315</v>
      </c>
      <c r="M1450" s="350">
        <v>3.5000000000000003E-2</v>
      </c>
      <c r="N1450" s="351" t="str">
        <f t="shared" si="46"/>
        <v>14700016</v>
      </c>
      <c r="P1450" s="351" t="str">
        <f t="shared" si="45"/>
        <v>T</v>
      </c>
    </row>
    <row r="1451" spans="1:16">
      <c r="A1451" s="401" t="s">
        <v>74</v>
      </c>
      <c r="B1451" s="404">
        <v>147000</v>
      </c>
      <c r="C1451" s="405">
        <v>18</v>
      </c>
      <c r="D1451" s="404">
        <v>69464</v>
      </c>
      <c r="E1451" s="404">
        <v>216464</v>
      </c>
      <c r="F1451" s="404">
        <v>7718</v>
      </c>
      <c r="G1451" s="404">
        <v>8167</v>
      </c>
      <c r="H1451" s="404">
        <v>3430</v>
      </c>
      <c r="I1451" s="404">
        <v>11597</v>
      </c>
      <c r="L1451" s="350">
        <v>0.315</v>
      </c>
      <c r="M1451" s="350">
        <v>3.5000000000000003E-2</v>
      </c>
      <c r="N1451" s="351" t="str">
        <f t="shared" si="46"/>
        <v>14700018</v>
      </c>
      <c r="P1451" s="351" t="str">
        <f t="shared" si="45"/>
        <v>T</v>
      </c>
    </row>
    <row r="1452" spans="1:16">
      <c r="A1452" s="401" t="s">
        <v>74</v>
      </c>
      <c r="B1452" s="404">
        <v>147000</v>
      </c>
      <c r="C1452" s="405">
        <v>20</v>
      </c>
      <c r="D1452" s="404">
        <v>77196</v>
      </c>
      <c r="E1452" s="404">
        <v>224196</v>
      </c>
      <c r="F1452" s="404">
        <v>8576</v>
      </c>
      <c r="G1452" s="404">
        <v>7350</v>
      </c>
      <c r="H1452" s="404">
        <v>3431</v>
      </c>
      <c r="I1452" s="404">
        <v>10781</v>
      </c>
      <c r="L1452" s="350">
        <v>0.315</v>
      </c>
      <c r="M1452" s="350">
        <v>3.5000000000000003E-2</v>
      </c>
      <c r="N1452" s="351" t="str">
        <f t="shared" si="46"/>
        <v>14700020</v>
      </c>
      <c r="P1452" s="351" t="str">
        <f t="shared" si="45"/>
        <v>T</v>
      </c>
    </row>
    <row r="1453" spans="1:16">
      <c r="A1453" s="401" t="s">
        <v>74</v>
      </c>
      <c r="B1453" s="404">
        <v>147000</v>
      </c>
      <c r="C1453" s="405">
        <v>22</v>
      </c>
      <c r="D1453" s="404">
        <v>84897</v>
      </c>
      <c r="E1453" s="404">
        <v>231897</v>
      </c>
      <c r="F1453" s="404">
        <v>9433</v>
      </c>
      <c r="G1453" s="404">
        <v>6682</v>
      </c>
      <c r="H1453" s="404">
        <v>3430</v>
      </c>
      <c r="I1453" s="404">
        <v>10112</v>
      </c>
      <c r="L1453" s="350">
        <v>0.315</v>
      </c>
      <c r="M1453" s="350">
        <v>3.5000000000000003E-2</v>
      </c>
      <c r="N1453" s="351" t="str">
        <f t="shared" si="46"/>
        <v>14700022</v>
      </c>
      <c r="P1453" s="351" t="str">
        <f t="shared" si="45"/>
        <v>T</v>
      </c>
    </row>
    <row r="1454" spans="1:16">
      <c r="A1454" s="401" t="s">
        <v>74</v>
      </c>
      <c r="B1454" s="404">
        <v>147000</v>
      </c>
      <c r="C1454" s="405">
        <v>24</v>
      </c>
      <c r="D1454" s="404">
        <v>92635</v>
      </c>
      <c r="E1454" s="404">
        <v>239635</v>
      </c>
      <c r="F1454" s="404">
        <v>10291</v>
      </c>
      <c r="G1454" s="404">
        <v>6125</v>
      </c>
      <c r="H1454" s="404">
        <v>3431</v>
      </c>
      <c r="I1454" s="404">
        <v>9556</v>
      </c>
      <c r="L1454" s="350">
        <v>0.315</v>
      </c>
      <c r="M1454" s="350">
        <v>3.5000000000000003E-2</v>
      </c>
      <c r="N1454" s="351" t="str">
        <f t="shared" si="46"/>
        <v>14700024</v>
      </c>
      <c r="P1454" s="351" t="str">
        <f t="shared" si="45"/>
        <v>T</v>
      </c>
    </row>
    <row r="1455" spans="1:16">
      <c r="A1455" s="401" t="s">
        <v>74</v>
      </c>
      <c r="B1455" s="404">
        <v>148000</v>
      </c>
      <c r="C1455" s="405">
        <v>4</v>
      </c>
      <c r="D1455" s="404">
        <v>15543</v>
      </c>
      <c r="E1455" s="404">
        <v>163543</v>
      </c>
      <c r="F1455" s="404">
        <v>1727</v>
      </c>
      <c r="G1455" s="404">
        <v>37000</v>
      </c>
      <c r="H1455" s="404">
        <v>3454</v>
      </c>
      <c r="I1455" s="404">
        <v>40454</v>
      </c>
      <c r="L1455" s="350">
        <v>0.315</v>
      </c>
      <c r="M1455" s="350">
        <v>3.5000000000000003E-2</v>
      </c>
      <c r="N1455" s="351" t="str">
        <f t="shared" si="46"/>
        <v>1480004</v>
      </c>
      <c r="P1455" s="351" t="str">
        <f t="shared" si="45"/>
        <v>T</v>
      </c>
    </row>
    <row r="1456" spans="1:16">
      <c r="A1456" s="401" t="s">
        <v>74</v>
      </c>
      <c r="B1456" s="404">
        <v>148000</v>
      </c>
      <c r="C1456" s="405">
        <v>6</v>
      </c>
      <c r="D1456" s="404">
        <v>23317</v>
      </c>
      <c r="E1456" s="404">
        <v>171317</v>
      </c>
      <c r="F1456" s="404">
        <v>2591</v>
      </c>
      <c r="G1456" s="404">
        <v>24667</v>
      </c>
      <c r="H1456" s="404">
        <v>3454</v>
      </c>
      <c r="I1456" s="404">
        <v>28121</v>
      </c>
      <c r="L1456" s="350">
        <v>0.315</v>
      </c>
      <c r="M1456" s="350">
        <v>3.5000000000000003E-2</v>
      </c>
      <c r="N1456" s="351" t="str">
        <f t="shared" si="46"/>
        <v>1480006</v>
      </c>
      <c r="P1456" s="351" t="str">
        <f t="shared" si="45"/>
        <v>T</v>
      </c>
    </row>
    <row r="1457" spans="1:16">
      <c r="A1457" s="401" t="s">
        <v>74</v>
      </c>
      <c r="B1457" s="404">
        <v>148000</v>
      </c>
      <c r="C1457" s="405">
        <v>8</v>
      </c>
      <c r="D1457" s="404">
        <v>31086</v>
      </c>
      <c r="E1457" s="404">
        <v>179086</v>
      </c>
      <c r="F1457" s="404">
        <v>3454</v>
      </c>
      <c r="G1457" s="404">
        <v>18500</v>
      </c>
      <c r="H1457" s="404">
        <v>3454</v>
      </c>
      <c r="I1457" s="404">
        <v>21954</v>
      </c>
      <c r="L1457" s="350">
        <v>0.315</v>
      </c>
      <c r="M1457" s="350">
        <v>3.5000000000000003E-2</v>
      </c>
      <c r="N1457" s="351" t="str">
        <f t="shared" si="46"/>
        <v>1480008</v>
      </c>
      <c r="P1457" s="351" t="str">
        <f t="shared" si="45"/>
        <v>T</v>
      </c>
    </row>
    <row r="1458" spans="1:16">
      <c r="A1458" s="401" t="s">
        <v>74</v>
      </c>
      <c r="B1458" s="404">
        <v>148000</v>
      </c>
      <c r="C1458" s="405">
        <v>10</v>
      </c>
      <c r="D1458" s="404">
        <v>38857</v>
      </c>
      <c r="E1458" s="404">
        <v>186857</v>
      </c>
      <c r="F1458" s="404">
        <v>4317</v>
      </c>
      <c r="G1458" s="404">
        <v>14800</v>
      </c>
      <c r="H1458" s="404">
        <v>3454</v>
      </c>
      <c r="I1458" s="404">
        <v>18254</v>
      </c>
      <c r="L1458" s="350">
        <v>0.315</v>
      </c>
      <c r="M1458" s="350">
        <v>3.5000000000000003E-2</v>
      </c>
      <c r="N1458" s="351" t="str">
        <f t="shared" si="46"/>
        <v>14800010</v>
      </c>
      <c r="P1458" s="351" t="str">
        <f t="shared" si="45"/>
        <v>T</v>
      </c>
    </row>
    <row r="1459" spans="1:16">
      <c r="A1459" s="401" t="s">
        <v>74</v>
      </c>
      <c r="B1459" s="404">
        <v>148000</v>
      </c>
      <c r="C1459" s="405">
        <v>12</v>
      </c>
      <c r="D1459" s="404">
        <v>46625</v>
      </c>
      <c r="E1459" s="404">
        <v>194625</v>
      </c>
      <c r="F1459" s="404">
        <v>5181</v>
      </c>
      <c r="G1459" s="404">
        <v>12334</v>
      </c>
      <c r="H1459" s="404">
        <v>3453</v>
      </c>
      <c r="I1459" s="404">
        <v>15787</v>
      </c>
      <c r="L1459" s="350">
        <v>0.315</v>
      </c>
      <c r="M1459" s="350">
        <v>3.5000000000000003E-2</v>
      </c>
      <c r="N1459" s="351" t="str">
        <f t="shared" si="46"/>
        <v>14800012</v>
      </c>
      <c r="P1459" s="351" t="str">
        <f t="shared" si="45"/>
        <v>T</v>
      </c>
    </row>
    <row r="1460" spans="1:16">
      <c r="A1460" s="401" t="s">
        <v>74</v>
      </c>
      <c r="B1460" s="404">
        <v>148000</v>
      </c>
      <c r="C1460" s="405">
        <v>14</v>
      </c>
      <c r="D1460" s="404">
        <v>54394</v>
      </c>
      <c r="E1460" s="404">
        <v>202394</v>
      </c>
      <c r="F1460" s="404">
        <v>6044</v>
      </c>
      <c r="G1460" s="404">
        <v>10572</v>
      </c>
      <c r="H1460" s="404">
        <v>3453</v>
      </c>
      <c r="I1460" s="404">
        <v>14025</v>
      </c>
      <c r="L1460" s="350">
        <v>0.315</v>
      </c>
      <c r="M1460" s="350">
        <v>3.5000000000000003E-2</v>
      </c>
      <c r="N1460" s="351" t="str">
        <f t="shared" si="46"/>
        <v>14800014</v>
      </c>
      <c r="P1460" s="351" t="str">
        <f t="shared" si="45"/>
        <v>T</v>
      </c>
    </row>
    <row r="1461" spans="1:16">
      <c r="A1461" s="401" t="s">
        <v>74</v>
      </c>
      <c r="B1461" s="404">
        <v>148000</v>
      </c>
      <c r="C1461" s="405">
        <v>16</v>
      </c>
      <c r="D1461" s="404">
        <v>62171</v>
      </c>
      <c r="E1461" s="404">
        <v>210171</v>
      </c>
      <c r="F1461" s="404">
        <v>6907</v>
      </c>
      <c r="G1461" s="404">
        <v>9250</v>
      </c>
      <c r="H1461" s="404">
        <v>3454</v>
      </c>
      <c r="I1461" s="404">
        <v>12704</v>
      </c>
      <c r="L1461" s="350">
        <v>0.315</v>
      </c>
      <c r="M1461" s="350">
        <v>3.5000000000000003E-2</v>
      </c>
      <c r="N1461" s="351" t="str">
        <f t="shared" si="46"/>
        <v>14800016</v>
      </c>
      <c r="P1461" s="351" t="str">
        <f t="shared" si="45"/>
        <v>T</v>
      </c>
    </row>
    <row r="1462" spans="1:16">
      <c r="A1462" s="401" t="s">
        <v>74</v>
      </c>
      <c r="B1462" s="404">
        <v>148000</v>
      </c>
      <c r="C1462" s="405">
        <v>18</v>
      </c>
      <c r="D1462" s="404">
        <v>69939</v>
      </c>
      <c r="E1462" s="404">
        <v>217939</v>
      </c>
      <c r="F1462" s="404">
        <v>7771</v>
      </c>
      <c r="G1462" s="404">
        <v>8223</v>
      </c>
      <c r="H1462" s="404">
        <v>3453</v>
      </c>
      <c r="I1462" s="404">
        <v>11676</v>
      </c>
      <c r="L1462" s="350">
        <v>0.315</v>
      </c>
      <c r="M1462" s="350">
        <v>3.5000000000000003E-2</v>
      </c>
      <c r="N1462" s="351" t="str">
        <f t="shared" si="46"/>
        <v>14800018</v>
      </c>
      <c r="P1462" s="351" t="str">
        <f t="shared" si="45"/>
        <v>T</v>
      </c>
    </row>
    <row r="1463" spans="1:16">
      <c r="A1463" s="401" t="s">
        <v>74</v>
      </c>
      <c r="B1463" s="404">
        <v>148000</v>
      </c>
      <c r="C1463" s="405">
        <v>20</v>
      </c>
      <c r="D1463" s="404">
        <v>77714</v>
      </c>
      <c r="E1463" s="404">
        <v>225714</v>
      </c>
      <c r="F1463" s="404">
        <v>8634</v>
      </c>
      <c r="G1463" s="404">
        <v>7400</v>
      </c>
      <c r="H1463" s="404">
        <v>3454</v>
      </c>
      <c r="I1463" s="404">
        <v>10854</v>
      </c>
      <c r="L1463" s="350">
        <v>0.315</v>
      </c>
      <c r="M1463" s="350">
        <v>3.5000000000000003E-2</v>
      </c>
      <c r="N1463" s="351" t="str">
        <f t="shared" si="46"/>
        <v>14800020</v>
      </c>
      <c r="P1463" s="351" t="str">
        <f t="shared" si="45"/>
        <v>T</v>
      </c>
    </row>
    <row r="1464" spans="1:16">
      <c r="A1464" s="401" t="s">
        <v>74</v>
      </c>
      <c r="B1464" s="404">
        <v>148000</v>
      </c>
      <c r="C1464" s="405">
        <v>22</v>
      </c>
      <c r="D1464" s="404">
        <v>85479</v>
      </c>
      <c r="E1464" s="404">
        <v>233479</v>
      </c>
      <c r="F1464" s="404">
        <v>9497</v>
      </c>
      <c r="G1464" s="404">
        <v>6728</v>
      </c>
      <c r="H1464" s="404">
        <v>3453</v>
      </c>
      <c r="I1464" s="404">
        <v>10181</v>
      </c>
      <c r="L1464" s="350">
        <v>0.315</v>
      </c>
      <c r="M1464" s="350">
        <v>3.5000000000000003E-2</v>
      </c>
      <c r="N1464" s="351" t="str">
        <f t="shared" si="46"/>
        <v>14800022</v>
      </c>
      <c r="P1464" s="351" t="str">
        <f t="shared" si="45"/>
        <v>T</v>
      </c>
    </row>
    <row r="1465" spans="1:16">
      <c r="A1465" s="401" t="s">
        <v>74</v>
      </c>
      <c r="B1465" s="404">
        <v>148000</v>
      </c>
      <c r="C1465" s="405">
        <v>24</v>
      </c>
      <c r="D1465" s="404">
        <v>93265</v>
      </c>
      <c r="E1465" s="404">
        <v>241265</v>
      </c>
      <c r="F1465" s="404">
        <v>10361</v>
      </c>
      <c r="G1465" s="404">
        <v>6167</v>
      </c>
      <c r="H1465" s="404">
        <v>3454</v>
      </c>
      <c r="I1465" s="404">
        <v>9621</v>
      </c>
      <c r="L1465" s="350">
        <v>0.315</v>
      </c>
      <c r="M1465" s="350">
        <v>3.5000000000000003E-2</v>
      </c>
      <c r="N1465" s="351" t="str">
        <f t="shared" si="46"/>
        <v>14800024</v>
      </c>
      <c r="P1465" s="351" t="str">
        <f t="shared" si="45"/>
        <v>T</v>
      </c>
    </row>
    <row r="1466" spans="1:16">
      <c r="A1466" s="401" t="s">
        <v>74</v>
      </c>
      <c r="B1466" s="404">
        <v>149000</v>
      </c>
      <c r="C1466" s="405">
        <v>4</v>
      </c>
      <c r="D1466" s="404">
        <v>15647</v>
      </c>
      <c r="E1466" s="404">
        <v>164647</v>
      </c>
      <c r="F1466" s="404">
        <v>1739</v>
      </c>
      <c r="G1466" s="404">
        <v>37250</v>
      </c>
      <c r="H1466" s="404">
        <v>3477</v>
      </c>
      <c r="I1466" s="404">
        <v>40727</v>
      </c>
      <c r="L1466" s="350">
        <v>0.315</v>
      </c>
      <c r="M1466" s="350">
        <v>3.5000000000000003E-2</v>
      </c>
      <c r="N1466" s="351" t="str">
        <f t="shared" si="46"/>
        <v>1490004</v>
      </c>
      <c r="P1466" s="351" t="str">
        <f t="shared" si="45"/>
        <v>T</v>
      </c>
    </row>
    <row r="1467" spans="1:16">
      <c r="A1467" s="401" t="s">
        <v>74</v>
      </c>
      <c r="B1467" s="404">
        <v>149000</v>
      </c>
      <c r="C1467" s="405">
        <v>6</v>
      </c>
      <c r="D1467" s="404">
        <v>23474</v>
      </c>
      <c r="E1467" s="404">
        <v>172474</v>
      </c>
      <c r="F1467" s="404">
        <v>2608</v>
      </c>
      <c r="G1467" s="404">
        <v>24834</v>
      </c>
      <c r="H1467" s="404">
        <v>3477</v>
      </c>
      <c r="I1467" s="404">
        <v>28311</v>
      </c>
      <c r="L1467" s="350">
        <v>0.315</v>
      </c>
      <c r="M1467" s="350">
        <v>3.5000000000000003E-2</v>
      </c>
      <c r="N1467" s="351" t="str">
        <f t="shared" si="46"/>
        <v>1490006</v>
      </c>
      <c r="P1467" s="351" t="str">
        <f t="shared" si="45"/>
        <v>T</v>
      </c>
    </row>
    <row r="1468" spans="1:16">
      <c r="A1468" s="401" t="s">
        <v>74</v>
      </c>
      <c r="B1468" s="404">
        <v>149000</v>
      </c>
      <c r="C1468" s="405">
        <v>8</v>
      </c>
      <c r="D1468" s="404">
        <v>31293</v>
      </c>
      <c r="E1468" s="404">
        <v>180293</v>
      </c>
      <c r="F1468" s="404">
        <v>3477</v>
      </c>
      <c r="G1468" s="404">
        <v>18625</v>
      </c>
      <c r="H1468" s="404">
        <v>3477</v>
      </c>
      <c r="I1468" s="404">
        <v>22102</v>
      </c>
      <c r="L1468" s="350">
        <v>0.315</v>
      </c>
      <c r="M1468" s="350">
        <v>3.5000000000000003E-2</v>
      </c>
      <c r="N1468" s="351" t="str">
        <f t="shared" si="46"/>
        <v>1490008</v>
      </c>
      <c r="P1468" s="351" t="str">
        <f t="shared" si="45"/>
        <v>T</v>
      </c>
    </row>
    <row r="1469" spans="1:16">
      <c r="A1469" s="401" t="s">
        <v>74</v>
      </c>
      <c r="B1469" s="404">
        <v>149000</v>
      </c>
      <c r="C1469" s="405">
        <v>10</v>
      </c>
      <c r="D1469" s="404">
        <v>39116</v>
      </c>
      <c r="E1469" s="404">
        <v>188116</v>
      </c>
      <c r="F1469" s="404">
        <v>4346</v>
      </c>
      <c r="G1469" s="404">
        <v>14900</v>
      </c>
      <c r="H1469" s="404">
        <v>3477</v>
      </c>
      <c r="I1469" s="404">
        <v>18377</v>
      </c>
      <c r="L1469" s="350">
        <v>0.315</v>
      </c>
      <c r="M1469" s="350">
        <v>3.5000000000000003E-2</v>
      </c>
      <c r="N1469" s="351" t="str">
        <f t="shared" si="46"/>
        <v>14900010</v>
      </c>
      <c r="P1469" s="351" t="str">
        <f t="shared" si="45"/>
        <v>T</v>
      </c>
    </row>
    <row r="1470" spans="1:16">
      <c r="A1470" s="401" t="s">
        <v>74</v>
      </c>
      <c r="B1470" s="404">
        <v>149000</v>
      </c>
      <c r="C1470" s="405">
        <v>12</v>
      </c>
      <c r="D1470" s="404">
        <v>46944</v>
      </c>
      <c r="E1470" s="404">
        <v>195944</v>
      </c>
      <c r="F1470" s="404">
        <v>5216</v>
      </c>
      <c r="G1470" s="404">
        <v>12417</v>
      </c>
      <c r="H1470" s="404">
        <v>3477</v>
      </c>
      <c r="I1470" s="404">
        <v>15894</v>
      </c>
      <c r="L1470" s="350">
        <v>0.315</v>
      </c>
      <c r="M1470" s="350">
        <v>3.5000000000000003E-2</v>
      </c>
      <c r="N1470" s="351" t="str">
        <f t="shared" si="46"/>
        <v>14900012</v>
      </c>
      <c r="P1470" s="351" t="str">
        <f t="shared" si="45"/>
        <v>T</v>
      </c>
    </row>
    <row r="1471" spans="1:16">
      <c r="A1471" s="401" t="s">
        <v>74</v>
      </c>
      <c r="B1471" s="404">
        <v>149000</v>
      </c>
      <c r="C1471" s="405">
        <v>14</v>
      </c>
      <c r="D1471" s="404">
        <v>54765</v>
      </c>
      <c r="E1471" s="404">
        <v>203765</v>
      </c>
      <c r="F1471" s="404">
        <v>6085</v>
      </c>
      <c r="G1471" s="404">
        <v>10643</v>
      </c>
      <c r="H1471" s="404">
        <v>3477</v>
      </c>
      <c r="I1471" s="404">
        <v>14120</v>
      </c>
      <c r="L1471" s="350">
        <v>0.315</v>
      </c>
      <c r="M1471" s="350">
        <v>3.5000000000000003E-2</v>
      </c>
      <c r="N1471" s="351" t="str">
        <f t="shared" si="46"/>
        <v>14900014</v>
      </c>
      <c r="P1471" s="351" t="str">
        <f t="shared" si="45"/>
        <v>T</v>
      </c>
    </row>
    <row r="1472" spans="1:16">
      <c r="A1472" s="401" t="s">
        <v>74</v>
      </c>
      <c r="B1472" s="404">
        <v>149000</v>
      </c>
      <c r="C1472" s="405">
        <v>16</v>
      </c>
      <c r="D1472" s="404">
        <v>62594</v>
      </c>
      <c r="E1472" s="404">
        <v>211594</v>
      </c>
      <c r="F1472" s="404">
        <v>6954</v>
      </c>
      <c r="G1472" s="404">
        <v>9313</v>
      </c>
      <c r="H1472" s="404">
        <v>3477</v>
      </c>
      <c r="I1472" s="404">
        <v>12790</v>
      </c>
      <c r="L1472" s="350">
        <v>0.315</v>
      </c>
      <c r="M1472" s="350">
        <v>3.5000000000000003E-2</v>
      </c>
      <c r="N1472" s="351" t="str">
        <f t="shared" si="46"/>
        <v>14900016</v>
      </c>
      <c r="P1472" s="351" t="str">
        <f t="shared" si="45"/>
        <v>T</v>
      </c>
    </row>
    <row r="1473" spans="1:16">
      <c r="A1473" s="401" t="s">
        <v>74</v>
      </c>
      <c r="B1473" s="404">
        <v>149000</v>
      </c>
      <c r="C1473" s="405">
        <v>18</v>
      </c>
      <c r="D1473" s="404">
        <v>70413</v>
      </c>
      <c r="E1473" s="404">
        <v>219413</v>
      </c>
      <c r="F1473" s="404">
        <v>7823</v>
      </c>
      <c r="G1473" s="404">
        <v>8278</v>
      </c>
      <c r="H1473" s="404">
        <v>3477</v>
      </c>
      <c r="I1473" s="404">
        <v>11755</v>
      </c>
      <c r="L1473" s="350">
        <v>0.315</v>
      </c>
      <c r="M1473" s="350">
        <v>3.5000000000000003E-2</v>
      </c>
      <c r="N1473" s="351" t="str">
        <f t="shared" si="46"/>
        <v>14900018</v>
      </c>
      <c r="P1473" s="351" t="str">
        <f t="shared" si="45"/>
        <v>T</v>
      </c>
    </row>
    <row r="1474" spans="1:16">
      <c r="A1474" s="401" t="s">
        <v>74</v>
      </c>
      <c r="B1474" s="404">
        <v>149000</v>
      </c>
      <c r="C1474" s="405">
        <v>20</v>
      </c>
      <c r="D1474" s="404">
        <v>78232</v>
      </c>
      <c r="E1474" s="404">
        <v>227232</v>
      </c>
      <c r="F1474" s="404">
        <v>8692</v>
      </c>
      <c r="G1474" s="404">
        <v>7450</v>
      </c>
      <c r="H1474" s="404">
        <v>3477</v>
      </c>
      <c r="I1474" s="404">
        <v>10927</v>
      </c>
      <c r="L1474" s="350">
        <v>0.315</v>
      </c>
      <c r="M1474" s="350">
        <v>3.5000000000000003E-2</v>
      </c>
      <c r="N1474" s="351" t="str">
        <f t="shared" si="46"/>
        <v>14900020</v>
      </c>
      <c r="P1474" s="351" t="str">
        <f t="shared" si="45"/>
        <v>T</v>
      </c>
    </row>
    <row r="1475" spans="1:16">
      <c r="A1475" s="401" t="s">
        <v>74</v>
      </c>
      <c r="B1475" s="404">
        <v>149000</v>
      </c>
      <c r="C1475" s="405">
        <v>22</v>
      </c>
      <c r="D1475" s="404">
        <v>86061</v>
      </c>
      <c r="E1475" s="404">
        <v>235061</v>
      </c>
      <c r="F1475" s="404">
        <v>9561</v>
      </c>
      <c r="G1475" s="404">
        <v>6773</v>
      </c>
      <c r="H1475" s="404">
        <v>3477</v>
      </c>
      <c r="I1475" s="404">
        <v>10250</v>
      </c>
      <c r="L1475" s="350">
        <v>0.315</v>
      </c>
      <c r="M1475" s="350">
        <v>3.5000000000000003E-2</v>
      </c>
      <c r="N1475" s="351" t="str">
        <f t="shared" si="46"/>
        <v>14900022</v>
      </c>
      <c r="P1475" s="351" t="str">
        <f t="shared" ref="P1475:P1486" si="47">IF((E1475-F1475)/C1475=I1475,"T","F")</f>
        <v>T</v>
      </c>
    </row>
    <row r="1476" spans="1:16">
      <c r="A1476" s="401" t="s">
        <v>74</v>
      </c>
      <c r="B1476" s="404">
        <v>149000</v>
      </c>
      <c r="C1476" s="405">
        <v>24</v>
      </c>
      <c r="D1476" s="404">
        <v>93895</v>
      </c>
      <c r="E1476" s="404">
        <v>242895</v>
      </c>
      <c r="F1476" s="404">
        <v>10431</v>
      </c>
      <c r="G1476" s="404">
        <v>6209</v>
      </c>
      <c r="H1476" s="404">
        <v>3477</v>
      </c>
      <c r="I1476" s="404">
        <v>9686</v>
      </c>
      <c r="L1476" s="350">
        <v>0.315</v>
      </c>
      <c r="M1476" s="350">
        <v>3.5000000000000003E-2</v>
      </c>
      <c r="N1476" s="351" t="str">
        <f t="shared" si="46"/>
        <v>14900024</v>
      </c>
      <c r="P1476" s="351" t="str">
        <f t="shared" si="47"/>
        <v>T</v>
      </c>
    </row>
    <row r="1477" spans="1:16">
      <c r="A1477" s="401" t="s">
        <v>74</v>
      </c>
      <c r="B1477" s="404">
        <v>150000</v>
      </c>
      <c r="C1477" s="405">
        <v>4</v>
      </c>
      <c r="D1477" s="404">
        <v>15755</v>
      </c>
      <c r="E1477" s="404">
        <v>165755</v>
      </c>
      <c r="F1477" s="404">
        <v>1751</v>
      </c>
      <c r="G1477" s="404">
        <v>37500</v>
      </c>
      <c r="H1477" s="404">
        <v>3501</v>
      </c>
      <c r="I1477" s="404">
        <v>41001</v>
      </c>
      <c r="L1477" s="350">
        <v>0.315</v>
      </c>
      <c r="M1477" s="350">
        <v>3.5000000000000003E-2</v>
      </c>
      <c r="N1477" s="351" t="str">
        <f t="shared" ref="N1477:N1487" si="48">CONCATENATE(B1477,C1477)</f>
        <v>1500004</v>
      </c>
      <c r="P1477" s="351" t="str">
        <f t="shared" si="47"/>
        <v>T</v>
      </c>
    </row>
    <row r="1478" spans="1:16">
      <c r="A1478" s="401" t="s">
        <v>74</v>
      </c>
      <c r="B1478" s="404">
        <v>150000</v>
      </c>
      <c r="C1478" s="405">
        <v>6</v>
      </c>
      <c r="D1478" s="404">
        <v>23632</v>
      </c>
      <c r="E1478" s="404">
        <v>173632</v>
      </c>
      <c r="F1478" s="404">
        <v>2626</v>
      </c>
      <c r="G1478" s="404">
        <v>25000</v>
      </c>
      <c r="H1478" s="404">
        <v>3501</v>
      </c>
      <c r="I1478" s="404">
        <v>28501</v>
      </c>
      <c r="L1478" s="350">
        <v>0.315</v>
      </c>
      <c r="M1478" s="350">
        <v>3.5000000000000003E-2</v>
      </c>
      <c r="N1478" s="351" t="str">
        <f t="shared" si="48"/>
        <v>1500006</v>
      </c>
      <c r="P1478" s="351" t="str">
        <f t="shared" si="47"/>
        <v>T</v>
      </c>
    </row>
    <row r="1479" spans="1:16">
      <c r="A1479" s="401" t="s">
        <v>74</v>
      </c>
      <c r="B1479" s="404">
        <v>150000</v>
      </c>
      <c r="C1479" s="405">
        <v>8</v>
      </c>
      <c r="D1479" s="404">
        <v>31509</v>
      </c>
      <c r="E1479" s="404">
        <v>181509</v>
      </c>
      <c r="F1479" s="404">
        <v>3501</v>
      </c>
      <c r="G1479" s="404">
        <v>18750</v>
      </c>
      <c r="H1479" s="404">
        <v>3501</v>
      </c>
      <c r="I1479" s="404">
        <v>22251</v>
      </c>
      <c r="L1479" s="350">
        <v>0.315</v>
      </c>
      <c r="M1479" s="350">
        <v>3.5000000000000003E-2</v>
      </c>
      <c r="N1479" s="351" t="str">
        <f t="shared" si="48"/>
        <v>1500008</v>
      </c>
      <c r="P1479" s="351" t="str">
        <f t="shared" si="47"/>
        <v>T</v>
      </c>
    </row>
    <row r="1480" spans="1:16">
      <c r="A1480" s="401" t="s">
        <v>74</v>
      </c>
      <c r="B1480" s="404">
        <v>150000</v>
      </c>
      <c r="C1480" s="405">
        <v>10</v>
      </c>
      <c r="D1480" s="404">
        <v>39386</v>
      </c>
      <c r="E1480" s="404">
        <v>189386</v>
      </c>
      <c r="F1480" s="404">
        <v>4376</v>
      </c>
      <c r="G1480" s="404">
        <v>15000</v>
      </c>
      <c r="H1480" s="404">
        <v>3501</v>
      </c>
      <c r="I1480" s="404">
        <v>18501</v>
      </c>
      <c r="L1480" s="350">
        <v>0.315</v>
      </c>
      <c r="M1480" s="350">
        <v>3.5000000000000003E-2</v>
      </c>
      <c r="N1480" s="351" t="str">
        <f t="shared" si="48"/>
        <v>15000010</v>
      </c>
      <c r="P1480" s="351" t="str">
        <f t="shared" si="47"/>
        <v>T</v>
      </c>
    </row>
    <row r="1481" spans="1:16">
      <c r="A1481" s="401" t="s">
        <v>74</v>
      </c>
      <c r="B1481" s="404">
        <v>150000</v>
      </c>
      <c r="C1481" s="405">
        <v>12</v>
      </c>
      <c r="D1481" s="404">
        <v>47263</v>
      </c>
      <c r="E1481" s="404">
        <v>197263</v>
      </c>
      <c r="F1481" s="404">
        <v>5251</v>
      </c>
      <c r="G1481" s="404">
        <v>12500</v>
      </c>
      <c r="H1481" s="404">
        <v>3501</v>
      </c>
      <c r="I1481" s="404">
        <v>16001</v>
      </c>
      <c r="L1481" s="350">
        <v>0.315</v>
      </c>
      <c r="M1481" s="350">
        <v>3.5000000000000003E-2</v>
      </c>
      <c r="N1481" s="351" t="str">
        <f t="shared" si="48"/>
        <v>15000012</v>
      </c>
      <c r="P1481" s="351" t="str">
        <f t="shared" si="47"/>
        <v>T</v>
      </c>
    </row>
    <row r="1482" spans="1:16">
      <c r="A1482" s="401" t="s">
        <v>74</v>
      </c>
      <c r="B1482" s="404">
        <v>150000</v>
      </c>
      <c r="C1482" s="405">
        <v>14</v>
      </c>
      <c r="D1482" s="404">
        <v>55136</v>
      </c>
      <c r="E1482" s="404">
        <v>205136</v>
      </c>
      <c r="F1482" s="404">
        <v>6126</v>
      </c>
      <c r="G1482" s="404">
        <v>10715</v>
      </c>
      <c r="H1482" s="404">
        <v>3500</v>
      </c>
      <c r="I1482" s="404">
        <v>14215</v>
      </c>
      <c r="L1482" s="350">
        <v>0.315</v>
      </c>
      <c r="M1482" s="350">
        <v>3.5000000000000003E-2</v>
      </c>
      <c r="N1482" s="351" t="str">
        <f t="shared" si="48"/>
        <v>15000014</v>
      </c>
      <c r="P1482" s="351" t="str">
        <f t="shared" si="47"/>
        <v>T</v>
      </c>
    </row>
    <row r="1483" spans="1:16">
      <c r="A1483" s="401" t="s">
        <v>74</v>
      </c>
      <c r="B1483" s="404">
        <v>150000</v>
      </c>
      <c r="C1483" s="405">
        <v>16</v>
      </c>
      <c r="D1483" s="404">
        <v>63017</v>
      </c>
      <c r="E1483" s="404">
        <v>213017</v>
      </c>
      <c r="F1483" s="404">
        <v>7001</v>
      </c>
      <c r="G1483" s="404">
        <v>9375</v>
      </c>
      <c r="H1483" s="404">
        <v>3501</v>
      </c>
      <c r="I1483" s="404">
        <v>12876</v>
      </c>
      <c r="L1483" s="350">
        <v>0.315</v>
      </c>
      <c r="M1483" s="350">
        <v>3.5000000000000003E-2</v>
      </c>
      <c r="N1483" s="351" t="str">
        <f t="shared" si="48"/>
        <v>15000016</v>
      </c>
      <c r="P1483" s="351" t="str">
        <f t="shared" si="47"/>
        <v>T</v>
      </c>
    </row>
    <row r="1484" spans="1:16">
      <c r="A1484" s="401" t="s">
        <v>74</v>
      </c>
      <c r="B1484" s="404">
        <v>150000</v>
      </c>
      <c r="C1484" s="405">
        <v>18</v>
      </c>
      <c r="D1484" s="404">
        <v>70888</v>
      </c>
      <c r="E1484" s="404">
        <v>220888</v>
      </c>
      <c r="F1484" s="404">
        <v>7876</v>
      </c>
      <c r="G1484" s="404">
        <v>8334</v>
      </c>
      <c r="H1484" s="404">
        <v>3500</v>
      </c>
      <c r="I1484" s="404">
        <v>11834</v>
      </c>
      <c r="L1484" s="350">
        <v>0.315</v>
      </c>
      <c r="M1484" s="350">
        <v>3.5000000000000003E-2</v>
      </c>
      <c r="N1484" s="351" t="str">
        <f t="shared" si="48"/>
        <v>15000018</v>
      </c>
      <c r="P1484" s="351" t="str">
        <f t="shared" si="47"/>
        <v>T</v>
      </c>
    </row>
    <row r="1485" spans="1:16">
      <c r="A1485" s="401" t="s">
        <v>74</v>
      </c>
      <c r="B1485" s="404">
        <v>150000</v>
      </c>
      <c r="C1485" s="405">
        <v>20</v>
      </c>
      <c r="D1485" s="404">
        <v>78771</v>
      </c>
      <c r="E1485" s="404">
        <v>228771</v>
      </c>
      <c r="F1485" s="404">
        <v>8751</v>
      </c>
      <c r="G1485" s="404">
        <v>7500</v>
      </c>
      <c r="H1485" s="404">
        <v>3501</v>
      </c>
      <c r="I1485" s="404">
        <v>11001</v>
      </c>
      <c r="L1485" s="350">
        <v>0.315</v>
      </c>
      <c r="M1485" s="350">
        <v>3.5000000000000003E-2</v>
      </c>
      <c r="N1485" s="351" t="str">
        <f t="shared" si="48"/>
        <v>15000020</v>
      </c>
      <c r="P1485" s="351" t="str">
        <f t="shared" si="47"/>
        <v>T</v>
      </c>
    </row>
    <row r="1486" spans="1:16">
      <c r="A1486" s="401" t="s">
        <v>74</v>
      </c>
      <c r="B1486" s="404">
        <v>150000</v>
      </c>
      <c r="C1486" s="405">
        <v>22</v>
      </c>
      <c r="D1486" s="404">
        <v>86644</v>
      </c>
      <c r="E1486" s="404">
        <v>236644</v>
      </c>
      <c r="F1486" s="404">
        <v>9626</v>
      </c>
      <c r="G1486" s="404">
        <v>6819</v>
      </c>
      <c r="H1486" s="404">
        <v>3500</v>
      </c>
      <c r="I1486" s="404">
        <v>10319</v>
      </c>
      <c r="L1486" s="350">
        <v>0.315</v>
      </c>
      <c r="M1486" s="350">
        <v>3.5000000000000003E-2</v>
      </c>
      <c r="N1486" s="351" t="str">
        <f t="shared" si="48"/>
        <v>15000022</v>
      </c>
      <c r="P1486" s="351" t="str">
        <f t="shared" si="47"/>
        <v>T</v>
      </c>
    </row>
    <row r="1487" spans="1:16">
      <c r="A1487" s="401" t="s">
        <v>74</v>
      </c>
      <c r="B1487" s="404">
        <v>150000</v>
      </c>
      <c r="C1487" s="405">
        <v>24</v>
      </c>
      <c r="D1487" s="404">
        <v>94525</v>
      </c>
      <c r="E1487" s="404">
        <v>244525</v>
      </c>
      <c r="F1487" s="404">
        <v>10501</v>
      </c>
      <c r="G1487" s="404">
        <v>6250</v>
      </c>
      <c r="H1487" s="404">
        <v>3501</v>
      </c>
      <c r="I1487" s="404">
        <v>9751</v>
      </c>
      <c r="L1487" s="350">
        <v>0.315</v>
      </c>
      <c r="M1487" s="350">
        <v>3.5000000000000003E-2</v>
      </c>
      <c r="N1487" s="351" t="str">
        <f t="shared" si="48"/>
        <v>15000024</v>
      </c>
      <c r="P1487" s="351" t="str">
        <f>IF((E1487-F1487)/C1487=I1487,"T","F")</f>
        <v>T</v>
      </c>
    </row>
  </sheetData>
  <mergeCells count="12">
    <mergeCell ref="J2:J3"/>
    <mergeCell ref="K2:K3"/>
    <mergeCell ref="L2:L3"/>
    <mergeCell ref="M2:M3"/>
    <mergeCell ref="B1:I1"/>
    <mergeCell ref="F2:F3"/>
    <mergeCell ref="G2:I2"/>
    <mergeCell ref="A2:A3"/>
    <mergeCell ref="B2:B3"/>
    <mergeCell ref="C2:C3"/>
    <mergeCell ref="D2:D3"/>
    <mergeCell ref="E2:E3"/>
  </mergeCells>
  <printOptions horizontalCentered="1" verticalCentered="1"/>
  <pageMargins left="0" right="0" top="0.15748031496062992" bottom="0.15748031496062992" header="0" footer="0.19685039370078741"/>
  <pageSetup paperSize="9" scale="51" fitToHeight="10" orientation="portrait" r:id="rId1"/>
  <headerFooter alignWithMargins="0"/>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1487"/>
  <sheetViews>
    <sheetView rightToLeft="1" view="pageBreakPreview" zoomScale="80" zoomScaleNormal="120" zoomScaleSheetLayoutView="80" workbookViewId="0">
      <pane xSplit="2" ySplit="3" topLeftCell="C4" activePane="bottomRight" state="frozen"/>
      <selection pane="topRight" activeCell="C1" sqref="C1"/>
      <selection pane="bottomLeft" activeCell="A4" sqref="A4"/>
      <selection pane="bottomRight" activeCell="B4" sqref="B4"/>
    </sheetView>
  </sheetViews>
  <sheetFormatPr defaultColWidth="9.140625" defaultRowHeight="18"/>
  <cols>
    <col min="1" max="1" width="15.140625" style="14" customWidth="1"/>
    <col min="2" max="2" width="15.7109375" style="27" customWidth="1"/>
    <col min="3" max="3" width="15.7109375" style="7" customWidth="1"/>
    <col min="4" max="9" width="15.7109375" style="27" customWidth="1"/>
    <col min="10" max="10" width="3" style="2" hidden="1" customWidth="1"/>
    <col min="11" max="11" width="19.28515625" style="2" customWidth="1"/>
    <col min="12" max="12" width="17.42578125" style="68" customWidth="1"/>
    <col min="13" max="13" width="9.140625" style="62"/>
    <col min="14" max="16384" width="9.140625" style="2"/>
  </cols>
  <sheetData>
    <row r="1" spans="1:15" ht="51" customHeight="1" thickBot="1">
      <c r="A1" s="13"/>
      <c r="B1" s="881" t="s">
        <v>45</v>
      </c>
      <c r="C1" s="881"/>
      <c r="D1" s="881"/>
      <c r="E1" s="881"/>
      <c r="F1" s="881"/>
      <c r="G1" s="881"/>
      <c r="H1" s="881"/>
      <c r="I1" s="881"/>
      <c r="J1" s="12"/>
      <c r="K1" s="12"/>
    </row>
    <row r="2" spans="1:15" ht="18.75" thickTop="1">
      <c r="A2" s="879" t="s">
        <v>59</v>
      </c>
      <c r="B2" s="883" t="s">
        <v>29</v>
      </c>
      <c r="C2" s="885" t="s">
        <v>30</v>
      </c>
      <c r="D2" s="887" t="s">
        <v>39</v>
      </c>
      <c r="E2" s="887" t="s">
        <v>40</v>
      </c>
      <c r="F2" s="887" t="s">
        <v>41</v>
      </c>
      <c r="G2" s="889" t="s">
        <v>42</v>
      </c>
      <c r="H2" s="890"/>
      <c r="I2" s="891"/>
      <c r="J2" s="894"/>
      <c r="K2" s="892" t="s">
        <v>44</v>
      </c>
      <c r="L2" s="882" t="s">
        <v>61</v>
      </c>
      <c r="M2" s="878" t="s">
        <v>62</v>
      </c>
    </row>
    <row r="3" spans="1:15" ht="18.75" thickBot="1">
      <c r="A3" s="880"/>
      <c r="B3" s="884"/>
      <c r="C3" s="886"/>
      <c r="D3" s="888"/>
      <c r="E3" s="888"/>
      <c r="F3" s="888"/>
      <c r="G3" s="28" t="s">
        <v>33</v>
      </c>
      <c r="H3" s="29" t="s">
        <v>32</v>
      </c>
      <c r="I3" s="30" t="s">
        <v>31</v>
      </c>
      <c r="J3" s="894"/>
      <c r="K3" s="893"/>
      <c r="L3" s="882"/>
      <c r="M3" s="878"/>
    </row>
    <row r="4" spans="1:15" ht="24" customHeight="1" thickTop="1">
      <c r="A4" s="15" t="s">
        <v>60</v>
      </c>
      <c r="B4" s="21">
        <v>3000</v>
      </c>
      <c r="C4" s="11">
        <v>4</v>
      </c>
      <c r="D4" s="31">
        <v>314</v>
      </c>
      <c r="E4" s="31">
        <v>3314</v>
      </c>
      <c r="F4" s="31">
        <v>30</v>
      </c>
      <c r="G4" s="31">
        <v>750</v>
      </c>
      <c r="H4" s="31">
        <v>71</v>
      </c>
      <c r="I4" s="31">
        <v>821</v>
      </c>
      <c r="K4" s="54">
        <v>0</v>
      </c>
      <c r="L4" s="68">
        <v>0.31</v>
      </c>
      <c r="M4" s="62">
        <v>0.03</v>
      </c>
      <c r="O4" s="62"/>
    </row>
    <row r="5" spans="1:15" ht="23.25">
      <c r="A5" s="55" t="s">
        <v>60</v>
      </c>
      <c r="B5" s="48">
        <v>3000</v>
      </c>
      <c r="C5" s="56">
        <v>6</v>
      </c>
      <c r="D5" s="32">
        <v>471</v>
      </c>
      <c r="E5" s="32">
        <v>3471</v>
      </c>
      <c r="F5" s="32">
        <v>45</v>
      </c>
      <c r="G5" s="32">
        <v>500</v>
      </c>
      <c r="H5" s="49">
        <v>71</v>
      </c>
      <c r="I5" s="49">
        <v>571</v>
      </c>
      <c r="K5" s="56">
        <v>0</v>
      </c>
      <c r="L5" s="68">
        <v>0.31</v>
      </c>
      <c r="M5" s="62">
        <v>0.03</v>
      </c>
    </row>
    <row r="6" spans="1:15" ht="23.25">
      <c r="A6" s="55" t="s">
        <v>60</v>
      </c>
      <c r="B6" s="48">
        <v>3000</v>
      </c>
      <c r="C6" s="57">
        <v>8</v>
      </c>
      <c r="D6" s="58">
        <v>628</v>
      </c>
      <c r="E6" s="58">
        <v>3628</v>
      </c>
      <c r="F6" s="58">
        <v>60</v>
      </c>
      <c r="G6" s="58">
        <v>375</v>
      </c>
      <c r="H6" s="58">
        <v>71</v>
      </c>
      <c r="I6" s="58">
        <v>446</v>
      </c>
      <c r="K6" s="57">
        <v>0</v>
      </c>
      <c r="L6" s="68">
        <v>0.31</v>
      </c>
      <c r="M6" s="62">
        <v>0.03</v>
      </c>
    </row>
    <row r="7" spans="1:15" ht="23.25">
      <c r="A7" s="55" t="s">
        <v>60</v>
      </c>
      <c r="B7" s="48">
        <v>3000</v>
      </c>
      <c r="C7" s="59">
        <v>10</v>
      </c>
      <c r="D7" s="50">
        <v>785</v>
      </c>
      <c r="E7" s="50">
        <v>3785</v>
      </c>
      <c r="F7" s="50">
        <v>75</v>
      </c>
      <c r="G7" s="50">
        <v>300</v>
      </c>
      <c r="H7" s="50">
        <v>71</v>
      </c>
      <c r="I7" s="50">
        <v>371</v>
      </c>
      <c r="K7" s="59">
        <v>0</v>
      </c>
      <c r="L7" s="68">
        <v>0.31</v>
      </c>
      <c r="M7" s="62">
        <v>0.03</v>
      </c>
    </row>
    <row r="8" spans="1:15" ht="23.25">
      <c r="A8" s="55" t="s">
        <v>60</v>
      </c>
      <c r="B8" s="48">
        <v>3000</v>
      </c>
      <c r="C8" s="57">
        <v>12</v>
      </c>
      <c r="D8" s="58">
        <v>942</v>
      </c>
      <c r="E8" s="58">
        <v>3942</v>
      </c>
      <c r="F8" s="58">
        <v>90</v>
      </c>
      <c r="G8" s="58">
        <v>250</v>
      </c>
      <c r="H8" s="58">
        <v>71</v>
      </c>
      <c r="I8" s="58">
        <v>321</v>
      </c>
      <c r="K8" s="57">
        <v>0</v>
      </c>
      <c r="L8" s="68">
        <v>0.31</v>
      </c>
      <c r="M8" s="62">
        <v>0.03</v>
      </c>
    </row>
    <row r="9" spans="1:15" ht="23.25">
      <c r="A9" s="55" t="s">
        <v>60</v>
      </c>
      <c r="B9" s="48">
        <v>3000</v>
      </c>
      <c r="C9" s="59">
        <v>14</v>
      </c>
      <c r="D9" s="50">
        <v>1095</v>
      </c>
      <c r="E9" s="50">
        <v>4095</v>
      </c>
      <c r="F9" s="50">
        <v>105</v>
      </c>
      <c r="G9" s="50">
        <v>215</v>
      </c>
      <c r="H9" s="50">
        <v>70</v>
      </c>
      <c r="I9" s="50">
        <v>285</v>
      </c>
      <c r="K9" s="59">
        <v>0</v>
      </c>
      <c r="L9" s="68">
        <v>0.31</v>
      </c>
      <c r="M9" s="62">
        <v>0.03</v>
      </c>
    </row>
    <row r="10" spans="1:15" ht="23.25">
      <c r="A10" s="55" t="s">
        <v>60</v>
      </c>
      <c r="B10" s="48">
        <v>3000</v>
      </c>
      <c r="C10" s="57">
        <v>16</v>
      </c>
      <c r="D10" s="58">
        <v>1248</v>
      </c>
      <c r="E10" s="58">
        <v>4248</v>
      </c>
      <c r="F10" s="58">
        <v>120</v>
      </c>
      <c r="G10" s="58">
        <v>188</v>
      </c>
      <c r="H10" s="58">
        <v>70</v>
      </c>
      <c r="I10" s="58">
        <v>258</v>
      </c>
      <c r="K10" s="57">
        <v>0</v>
      </c>
      <c r="L10" s="68">
        <v>0.31</v>
      </c>
      <c r="M10" s="62">
        <v>0.03</v>
      </c>
    </row>
    <row r="11" spans="1:15" ht="24" thickBot="1">
      <c r="A11" s="60" t="s">
        <v>60</v>
      </c>
      <c r="B11" s="51">
        <v>3000</v>
      </c>
      <c r="C11" s="61">
        <v>18</v>
      </c>
      <c r="D11" s="52">
        <v>1401</v>
      </c>
      <c r="E11" s="52">
        <v>4401</v>
      </c>
      <c r="F11" s="52">
        <v>135</v>
      </c>
      <c r="G11" s="52">
        <v>167</v>
      </c>
      <c r="H11" s="53">
        <v>70</v>
      </c>
      <c r="I11" s="52">
        <v>237</v>
      </c>
      <c r="K11" s="61">
        <v>0</v>
      </c>
      <c r="L11" s="68">
        <v>0.31</v>
      </c>
      <c r="M11" s="62">
        <v>0.03</v>
      </c>
    </row>
    <row r="12" spans="1:15" ht="24" thickTop="1">
      <c r="A12" s="15" t="s">
        <v>60</v>
      </c>
      <c r="B12" s="21">
        <v>4000</v>
      </c>
      <c r="C12" s="11">
        <v>4</v>
      </c>
      <c r="D12" s="31">
        <v>416</v>
      </c>
      <c r="E12" s="31">
        <v>4416</v>
      </c>
      <c r="F12" s="31">
        <v>40</v>
      </c>
      <c r="G12" s="31">
        <v>1000</v>
      </c>
      <c r="H12" s="31">
        <v>94</v>
      </c>
      <c r="I12" s="31">
        <v>1094</v>
      </c>
      <c r="K12" s="54">
        <v>0</v>
      </c>
      <c r="L12" s="68">
        <v>0.31</v>
      </c>
      <c r="M12" s="62">
        <v>0.03</v>
      </c>
    </row>
    <row r="13" spans="1:15" ht="24" customHeight="1">
      <c r="A13" s="55" t="s">
        <v>60</v>
      </c>
      <c r="B13" s="48">
        <v>4000</v>
      </c>
      <c r="C13" s="56">
        <v>6</v>
      </c>
      <c r="D13" s="32">
        <v>626</v>
      </c>
      <c r="E13" s="32">
        <v>4626</v>
      </c>
      <c r="F13" s="32">
        <v>60</v>
      </c>
      <c r="G13" s="32">
        <v>667</v>
      </c>
      <c r="H13" s="49">
        <v>94</v>
      </c>
      <c r="I13" s="49">
        <v>761</v>
      </c>
      <c r="K13" s="56">
        <v>0</v>
      </c>
      <c r="L13" s="68">
        <v>0.31</v>
      </c>
      <c r="M13" s="62">
        <v>0.03</v>
      </c>
    </row>
    <row r="14" spans="1:15" ht="23.25">
      <c r="A14" s="55" t="s">
        <v>60</v>
      </c>
      <c r="B14" s="48">
        <v>4000</v>
      </c>
      <c r="C14" s="57">
        <v>8</v>
      </c>
      <c r="D14" s="58">
        <v>832</v>
      </c>
      <c r="E14" s="58">
        <v>4832</v>
      </c>
      <c r="F14" s="58">
        <v>80</v>
      </c>
      <c r="G14" s="58">
        <v>500</v>
      </c>
      <c r="H14" s="58">
        <v>94</v>
      </c>
      <c r="I14" s="58">
        <v>594</v>
      </c>
      <c r="K14" s="57">
        <v>0</v>
      </c>
      <c r="L14" s="68">
        <v>0.31</v>
      </c>
      <c r="M14" s="62">
        <v>0.03</v>
      </c>
    </row>
    <row r="15" spans="1:15" ht="23.25">
      <c r="A15" s="55" t="s">
        <v>60</v>
      </c>
      <c r="B15" s="48">
        <v>4000</v>
      </c>
      <c r="C15" s="59">
        <v>10</v>
      </c>
      <c r="D15" s="50">
        <v>1040</v>
      </c>
      <c r="E15" s="50">
        <v>5040</v>
      </c>
      <c r="F15" s="50">
        <v>100</v>
      </c>
      <c r="G15" s="50">
        <v>400</v>
      </c>
      <c r="H15" s="50">
        <v>94</v>
      </c>
      <c r="I15" s="50">
        <v>494</v>
      </c>
      <c r="K15" s="59">
        <v>0</v>
      </c>
      <c r="L15" s="68">
        <v>0.31</v>
      </c>
      <c r="M15" s="62">
        <v>0.03</v>
      </c>
    </row>
    <row r="16" spans="1:15" ht="23.25">
      <c r="A16" s="55" t="s">
        <v>60</v>
      </c>
      <c r="B16" s="48">
        <v>4000</v>
      </c>
      <c r="C16" s="57">
        <v>12</v>
      </c>
      <c r="D16" s="58">
        <v>1244</v>
      </c>
      <c r="E16" s="58">
        <v>5244</v>
      </c>
      <c r="F16" s="58">
        <v>120</v>
      </c>
      <c r="G16" s="58">
        <v>334</v>
      </c>
      <c r="H16" s="58">
        <v>93</v>
      </c>
      <c r="I16" s="58">
        <v>427</v>
      </c>
      <c r="K16" s="57">
        <v>0</v>
      </c>
      <c r="L16" s="68">
        <v>0.31</v>
      </c>
      <c r="M16" s="62">
        <v>0.03</v>
      </c>
    </row>
    <row r="17" spans="1:13" ht="23.25">
      <c r="A17" s="55" t="s">
        <v>60</v>
      </c>
      <c r="B17" s="48">
        <v>4000</v>
      </c>
      <c r="C17" s="59">
        <v>14</v>
      </c>
      <c r="D17" s="50">
        <v>1460</v>
      </c>
      <c r="E17" s="50">
        <v>5460</v>
      </c>
      <c r="F17" s="50">
        <v>140</v>
      </c>
      <c r="G17" s="50">
        <v>286</v>
      </c>
      <c r="H17" s="50">
        <v>94</v>
      </c>
      <c r="I17" s="50">
        <v>380</v>
      </c>
      <c r="K17" s="59">
        <v>0</v>
      </c>
      <c r="L17" s="68">
        <v>0.31</v>
      </c>
      <c r="M17" s="62">
        <v>0.03</v>
      </c>
    </row>
    <row r="18" spans="1:13" ht="23.25">
      <c r="A18" s="55" t="s">
        <v>60</v>
      </c>
      <c r="B18" s="48">
        <v>4000</v>
      </c>
      <c r="C18" s="57">
        <v>16</v>
      </c>
      <c r="D18" s="58">
        <v>1664</v>
      </c>
      <c r="E18" s="58">
        <v>5664</v>
      </c>
      <c r="F18" s="58">
        <v>160</v>
      </c>
      <c r="G18" s="58">
        <v>250</v>
      </c>
      <c r="H18" s="58">
        <v>94</v>
      </c>
      <c r="I18" s="58">
        <v>344</v>
      </c>
      <c r="K18" s="57">
        <v>0</v>
      </c>
      <c r="L18" s="68">
        <v>0.31</v>
      </c>
      <c r="M18" s="62">
        <v>0.03</v>
      </c>
    </row>
    <row r="19" spans="1:13" ht="24" thickBot="1">
      <c r="A19" s="60" t="s">
        <v>60</v>
      </c>
      <c r="B19" s="51">
        <v>4000</v>
      </c>
      <c r="C19" s="61">
        <v>18</v>
      </c>
      <c r="D19" s="52">
        <v>1868</v>
      </c>
      <c r="E19" s="52">
        <v>5868</v>
      </c>
      <c r="F19" s="52">
        <v>180</v>
      </c>
      <c r="G19" s="52">
        <v>223</v>
      </c>
      <c r="H19" s="53">
        <v>93</v>
      </c>
      <c r="I19" s="52">
        <v>316</v>
      </c>
      <c r="K19" s="61">
        <v>0</v>
      </c>
      <c r="L19" s="68">
        <v>0.31</v>
      </c>
      <c r="M19" s="62">
        <v>0.03</v>
      </c>
    </row>
    <row r="20" spans="1:13" ht="24" thickTop="1">
      <c r="A20" s="15" t="s">
        <v>60</v>
      </c>
      <c r="B20" s="21">
        <v>5000</v>
      </c>
      <c r="C20" s="11">
        <v>4</v>
      </c>
      <c r="D20" s="31">
        <v>518</v>
      </c>
      <c r="E20" s="31">
        <v>5518</v>
      </c>
      <c r="F20" s="31">
        <v>50</v>
      </c>
      <c r="G20" s="31">
        <v>1250</v>
      </c>
      <c r="H20" s="31">
        <v>117</v>
      </c>
      <c r="I20" s="31">
        <v>1367</v>
      </c>
      <c r="K20" s="54">
        <v>0</v>
      </c>
      <c r="L20" s="68">
        <v>0.31</v>
      </c>
      <c r="M20" s="62">
        <v>0.03</v>
      </c>
    </row>
    <row r="21" spans="1:13" ht="23.25">
      <c r="A21" s="55" t="s">
        <v>60</v>
      </c>
      <c r="B21" s="48">
        <v>5000</v>
      </c>
      <c r="C21" s="56">
        <v>6</v>
      </c>
      <c r="D21" s="32">
        <v>781</v>
      </c>
      <c r="E21" s="32">
        <v>5781</v>
      </c>
      <c r="F21" s="32">
        <v>75</v>
      </c>
      <c r="G21" s="32">
        <v>834</v>
      </c>
      <c r="H21" s="49">
        <v>117</v>
      </c>
      <c r="I21" s="49">
        <v>951</v>
      </c>
      <c r="K21" s="56">
        <v>0</v>
      </c>
      <c r="L21" s="68">
        <v>0.31</v>
      </c>
      <c r="M21" s="62">
        <v>0.03</v>
      </c>
    </row>
    <row r="22" spans="1:13" ht="24" customHeight="1">
      <c r="A22" s="55" t="s">
        <v>60</v>
      </c>
      <c r="B22" s="48">
        <v>5000</v>
      </c>
      <c r="C22" s="57">
        <v>8</v>
      </c>
      <c r="D22" s="58">
        <v>1036</v>
      </c>
      <c r="E22" s="58">
        <v>6036</v>
      </c>
      <c r="F22" s="58">
        <v>100</v>
      </c>
      <c r="G22" s="58">
        <v>625</v>
      </c>
      <c r="H22" s="58">
        <v>117</v>
      </c>
      <c r="I22" s="58">
        <v>742</v>
      </c>
      <c r="K22" s="57">
        <v>0</v>
      </c>
      <c r="L22" s="68">
        <v>0.31</v>
      </c>
      <c r="M22" s="62">
        <v>0.03</v>
      </c>
    </row>
    <row r="23" spans="1:13" ht="23.25">
      <c r="A23" s="55" t="s">
        <v>60</v>
      </c>
      <c r="B23" s="48">
        <v>5000</v>
      </c>
      <c r="C23" s="59">
        <v>10</v>
      </c>
      <c r="D23" s="50">
        <v>1295</v>
      </c>
      <c r="E23" s="50">
        <v>6295</v>
      </c>
      <c r="F23" s="50">
        <v>125</v>
      </c>
      <c r="G23" s="50">
        <v>500</v>
      </c>
      <c r="H23" s="50">
        <v>117</v>
      </c>
      <c r="I23" s="50">
        <v>617</v>
      </c>
      <c r="K23" s="59">
        <v>0</v>
      </c>
      <c r="L23" s="68">
        <v>0.31</v>
      </c>
      <c r="M23" s="62">
        <v>0.03</v>
      </c>
    </row>
    <row r="24" spans="1:13" ht="23.25">
      <c r="A24" s="55" t="s">
        <v>60</v>
      </c>
      <c r="B24" s="48">
        <v>5000</v>
      </c>
      <c r="C24" s="57">
        <v>12</v>
      </c>
      <c r="D24" s="58">
        <v>1558</v>
      </c>
      <c r="E24" s="58">
        <v>6558</v>
      </c>
      <c r="F24" s="58">
        <v>150</v>
      </c>
      <c r="G24" s="58">
        <v>417</v>
      </c>
      <c r="H24" s="58">
        <v>117</v>
      </c>
      <c r="I24" s="58">
        <v>534</v>
      </c>
      <c r="K24" s="57">
        <v>0</v>
      </c>
      <c r="L24" s="68">
        <v>0.31</v>
      </c>
      <c r="M24" s="62">
        <v>0.03</v>
      </c>
    </row>
    <row r="25" spans="1:13" ht="23.25">
      <c r="A25" s="55" t="s">
        <v>60</v>
      </c>
      <c r="B25" s="48">
        <v>5000</v>
      </c>
      <c r="C25" s="59">
        <v>14</v>
      </c>
      <c r="D25" s="50">
        <v>1811</v>
      </c>
      <c r="E25" s="50">
        <v>6811</v>
      </c>
      <c r="F25" s="50">
        <v>175</v>
      </c>
      <c r="G25" s="50">
        <v>358</v>
      </c>
      <c r="H25" s="50">
        <v>116</v>
      </c>
      <c r="I25" s="50">
        <v>474</v>
      </c>
      <c r="K25" s="59">
        <v>0</v>
      </c>
      <c r="L25" s="68">
        <v>0.31</v>
      </c>
      <c r="M25" s="62">
        <v>0.03</v>
      </c>
    </row>
    <row r="26" spans="1:13" ht="23.25">
      <c r="A26" s="55" t="s">
        <v>60</v>
      </c>
      <c r="B26" s="48">
        <v>5000</v>
      </c>
      <c r="C26" s="57">
        <v>16</v>
      </c>
      <c r="D26" s="58">
        <v>2080</v>
      </c>
      <c r="E26" s="58">
        <v>7080</v>
      </c>
      <c r="F26" s="58">
        <v>200</v>
      </c>
      <c r="G26" s="58">
        <v>313</v>
      </c>
      <c r="H26" s="58">
        <v>117</v>
      </c>
      <c r="I26" s="58">
        <v>430</v>
      </c>
      <c r="K26" s="57">
        <v>0</v>
      </c>
      <c r="L26" s="68">
        <v>0.31</v>
      </c>
      <c r="M26" s="62">
        <v>0.03</v>
      </c>
    </row>
    <row r="27" spans="1:13" ht="24" thickBot="1">
      <c r="A27" s="60" t="s">
        <v>60</v>
      </c>
      <c r="B27" s="51">
        <v>5000</v>
      </c>
      <c r="C27" s="61">
        <v>18</v>
      </c>
      <c r="D27" s="52">
        <v>2335</v>
      </c>
      <c r="E27" s="52">
        <v>7335</v>
      </c>
      <c r="F27" s="52">
        <v>225</v>
      </c>
      <c r="G27" s="52">
        <v>278</v>
      </c>
      <c r="H27" s="53">
        <v>117</v>
      </c>
      <c r="I27" s="52">
        <v>395</v>
      </c>
      <c r="K27" s="61">
        <v>0</v>
      </c>
      <c r="L27" s="68">
        <v>0.31</v>
      </c>
      <c r="M27" s="62">
        <v>0.03</v>
      </c>
    </row>
    <row r="28" spans="1:13" ht="24" thickTop="1">
      <c r="A28" s="15" t="s">
        <v>60</v>
      </c>
      <c r="B28" s="21">
        <v>6000</v>
      </c>
      <c r="C28" s="11">
        <v>4</v>
      </c>
      <c r="D28" s="31">
        <v>624</v>
      </c>
      <c r="E28" s="31">
        <v>6624</v>
      </c>
      <c r="F28" s="31">
        <v>60</v>
      </c>
      <c r="G28" s="31">
        <v>1500</v>
      </c>
      <c r="H28" s="31">
        <v>141</v>
      </c>
      <c r="I28" s="31">
        <v>1641</v>
      </c>
      <c r="K28" s="54">
        <v>0</v>
      </c>
      <c r="L28" s="68">
        <v>0.31</v>
      </c>
      <c r="M28" s="62">
        <v>0.03</v>
      </c>
    </row>
    <row r="29" spans="1:13" ht="23.25">
      <c r="A29" s="55" t="s">
        <v>60</v>
      </c>
      <c r="B29" s="48">
        <v>6000</v>
      </c>
      <c r="C29" s="56">
        <v>6</v>
      </c>
      <c r="D29" s="32">
        <v>936</v>
      </c>
      <c r="E29" s="32">
        <v>6936</v>
      </c>
      <c r="F29" s="32">
        <v>90</v>
      </c>
      <c r="G29" s="32">
        <v>1000</v>
      </c>
      <c r="H29" s="49">
        <v>141</v>
      </c>
      <c r="I29" s="49">
        <v>1141</v>
      </c>
      <c r="K29" s="56">
        <v>0</v>
      </c>
      <c r="L29" s="68">
        <v>0.31</v>
      </c>
      <c r="M29" s="62">
        <v>0.03</v>
      </c>
    </row>
    <row r="30" spans="1:13" ht="23.25">
      <c r="A30" s="55" t="s">
        <v>60</v>
      </c>
      <c r="B30" s="48">
        <v>6000</v>
      </c>
      <c r="C30" s="57">
        <v>8</v>
      </c>
      <c r="D30" s="58">
        <v>1248</v>
      </c>
      <c r="E30" s="58">
        <v>7248</v>
      </c>
      <c r="F30" s="58">
        <v>120</v>
      </c>
      <c r="G30" s="58">
        <v>750</v>
      </c>
      <c r="H30" s="58">
        <v>141</v>
      </c>
      <c r="I30" s="58">
        <v>891</v>
      </c>
      <c r="K30" s="57">
        <v>0</v>
      </c>
      <c r="L30" s="68">
        <v>0.31</v>
      </c>
      <c r="M30" s="62">
        <v>0.03</v>
      </c>
    </row>
    <row r="31" spans="1:13" ht="24" customHeight="1">
      <c r="A31" s="55" t="s">
        <v>60</v>
      </c>
      <c r="B31" s="48">
        <v>6000</v>
      </c>
      <c r="C31" s="59">
        <v>10</v>
      </c>
      <c r="D31" s="50">
        <v>1560</v>
      </c>
      <c r="E31" s="50">
        <v>7560</v>
      </c>
      <c r="F31" s="50">
        <v>150</v>
      </c>
      <c r="G31" s="50">
        <v>600</v>
      </c>
      <c r="H31" s="50">
        <v>141</v>
      </c>
      <c r="I31" s="50">
        <v>741</v>
      </c>
      <c r="K31" s="59">
        <v>0</v>
      </c>
      <c r="L31" s="68">
        <v>0.31</v>
      </c>
      <c r="M31" s="62">
        <v>0.03</v>
      </c>
    </row>
    <row r="32" spans="1:13" ht="23.25">
      <c r="A32" s="55" t="s">
        <v>60</v>
      </c>
      <c r="B32" s="48">
        <v>6000</v>
      </c>
      <c r="C32" s="57">
        <v>12</v>
      </c>
      <c r="D32" s="58">
        <v>1872</v>
      </c>
      <c r="E32" s="58">
        <v>7872</v>
      </c>
      <c r="F32" s="58">
        <v>180</v>
      </c>
      <c r="G32" s="58">
        <v>500</v>
      </c>
      <c r="H32" s="58">
        <v>141</v>
      </c>
      <c r="I32" s="58">
        <v>641</v>
      </c>
      <c r="K32" s="57">
        <v>0</v>
      </c>
      <c r="L32" s="68">
        <v>0.31</v>
      </c>
      <c r="M32" s="62">
        <v>0.03</v>
      </c>
    </row>
    <row r="33" spans="1:13" ht="23.25">
      <c r="A33" s="55" t="s">
        <v>60</v>
      </c>
      <c r="B33" s="48">
        <v>6000</v>
      </c>
      <c r="C33" s="59">
        <v>14</v>
      </c>
      <c r="D33" s="50">
        <v>2176</v>
      </c>
      <c r="E33" s="50">
        <v>8176</v>
      </c>
      <c r="F33" s="50">
        <v>210</v>
      </c>
      <c r="G33" s="50">
        <v>429</v>
      </c>
      <c r="H33" s="50">
        <v>140</v>
      </c>
      <c r="I33" s="50">
        <v>569</v>
      </c>
      <c r="K33" s="59">
        <v>0</v>
      </c>
      <c r="L33" s="68">
        <v>0.31</v>
      </c>
      <c r="M33" s="62">
        <v>0.03</v>
      </c>
    </row>
    <row r="34" spans="1:13" ht="23.25">
      <c r="A34" s="55" t="s">
        <v>60</v>
      </c>
      <c r="B34" s="48">
        <v>6000</v>
      </c>
      <c r="C34" s="57">
        <v>16</v>
      </c>
      <c r="D34" s="58">
        <v>2496</v>
      </c>
      <c r="E34" s="58">
        <v>8496</v>
      </c>
      <c r="F34" s="58">
        <v>240</v>
      </c>
      <c r="G34" s="58">
        <v>375</v>
      </c>
      <c r="H34" s="58">
        <v>141</v>
      </c>
      <c r="I34" s="58">
        <v>516</v>
      </c>
      <c r="K34" s="57">
        <v>0</v>
      </c>
      <c r="L34" s="68">
        <v>0.31</v>
      </c>
      <c r="M34" s="62">
        <v>0.03</v>
      </c>
    </row>
    <row r="35" spans="1:13" ht="24" thickBot="1">
      <c r="A35" s="60" t="s">
        <v>60</v>
      </c>
      <c r="B35" s="51">
        <v>6000</v>
      </c>
      <c r="C35" s="61">
        <v>18</v>
      </c>
      <c r="D35" s="52">
        <v>2802</v>
      </c>
      <c r="E35" s="52">
        <v>8802</v>
      </c>
      <c r="F35" s="52">
        <v>270</v>
      </c>
      <c r="G35" s="52">
        <v>334</v>
      </c>
      <c r="H35" s="53">
        <v>140</v>
      </c>
      <c r="I35" s="52">
        <v>474</v>
      </c>
      <c r="K35" s="61">
        <v>0</v>
      </c>
      <c r="L35" s="68">
        <v>0.31</v>
      </c>
      <c r="M35" s="62">
        <v>0.03</v>
      </c>
    </row>
    <row r="36" spans="1:13" ht="24" thickTop="1">
      <c r="A36" s="15" t="s">
        <v>60</v>
      </c>
      <c r="B36" s="21">
        <v>7000</v>
      </c>
      <c r="C36" s="11">
        <v>4</v>
      </c>
      <c r="D36" s="31">
        <v>726</v>
      </c>
      <c r="E36" s="31">
        <v>7726</v>
      </c>
      <c r="F36" s="31">
        <v>70</v>
      </c>
      <c r="G36" s="31">
        <v>1750</v>
      </c>
      <c r="H36" s="31">
        <v>164</v>
      </c>
      <c r="I36" s="31">
        <v>1914</v>
      </c>
      <c r="K36" s="54">
        <v>0</v>
      </c>
      <c r="L36" s="68">
        <v>0.31</v>
      </c>
      <c r="M36" s="62">
        <v>0.03</v>
      </c>
    </row>
    <row r="37" spans="1:13" ht="23.25">
      <c r="A37" s="55" t="s">
        <v>60</v>
      </c>
      <c r="B37" s="48">
        <v>7000</v>
      </c>
      <c r="C37" s="56">
        <v>6</v>
      </c>
      <c r="D37" s="32">
        <v>1091</v>
      </c>
      <c r="E37" s="32">
        <v>8091</v>
      </c>
      <c r="F37" s="32">
        <v>105</v>
      </c>
      <c r="G37" s="32">
        <v>1167</v>
      </c>
      <c r="H37" s="49">
        <v>164</v>
      </c>
      <c r="I37" s="49">
        <v>1331</v>
      </c>
      <c r="K37" s="56">
        <v>0</v>
      </c>
      <c r="L37" s="68">
        <v>0.31</v>
      </c>
      <c r="M37" s="62">
        <v>0.03</v>
      </c>
    </row>
    <row r="38" spans="1:13" ht="23.25">
      <c r="A38" s="55" t="s">
        <v>60</v>
      </c>
      <c r="B38" s="48">
        <v>7000</v>
      </c>
      <c r="C38" s="57">
        <v>8</v>
      </c>
      <c r="D38" s="58">
        <v>1452</v>
      </c>
      <c r="E38" s="58">
        <v>8452</v>
      </c>
      <c r="F38" s="58">
        <v>140</v>
      </c>
      <c r="G38" s="58">
        <v>875</v>
      </c>
      <c r="H38" s="58">
        <v>164</v>
      </c>
      <c r="I38" s="58">
        <v>1039</v>
      </c>
      <c r="K38" s="57">
        <v>0</v>
      </c>
      <c r="L38" s="68">
        <v>0.31</v>
      </c>
      <c r="M38" s="62">
        <v>0.03</v>
      </c>
    </row>
    <row r="39" spans="1:13" ht="23.25">
      <c r="A39" s="55" t="s">
        <v>60</v>
      </c>
      <c r="B39" s="48">
        <v>7000</v>
      </c>
      <c r="C39" s="59">
        <v>10</v>
      </c>
      <c r="D39" s="50">
        <v>1815</v>
      </c>
      <c r="E39" s="50">
        <v>8815</v>
      </c>
      <c r="F39" s="50">
        <v>175</v>
      </c>
      <c r="G39" s="50">
        <v>700</v>
      </c>
      <c r="H39" s="50">
        <v>164</v>
      </c>
      <c r="I39" s="50">
        <v>864</v>
      </c>
      <c r="K39" s="59">
        <v>0</v>
      </c>
      <c r="L39" s="68">
        <v>0.31</v>
      </c>
      <c r="M39" s="62">
        <v>0.03</v>
      </c>
    </row>
    <row r="40" spans="1:13" ht="24" customHeight="1">
      <c r="A40" s="55" t="s">
        <v>60</v>
      </c>
      <c r="B40" s="48">
        <v>7000</v>
      </c>
      <c r="C40" s="57">
        <v>12</v>
      </c>
      <c r="D40" s="58">
        <v>2174</v>
      </c>
      <c r="E40" s="58">
        <v>9174</v>
      </c>
      <c r="F40" s="58">
        <v>210</v>
      </c>
      <c r="G40" s="58">
        <v>584</v>
      </c>
      <c r="H40" s="58">
        <v>163</v>
      </c>
      <c r="I40" s="58">
        <v>747</v>
      </c>
      <c r="K40" s="57">
        <v>0</v>
      </c>
      <c r="L40" s="68">
        <v>0.31</v>
      </c>
      <c r="M40" s="62">
        <v>0.03</v>
      </c>
    </row>
    <row r="41" spans="1:13" ht="23.25">
      <c r="A41" s="55" t="s">
        <v>60</v>
      </c>
      <c r="B41" s="48">
        <v>7000</v>
      </c>
      <c r="C41" s="59">
        <v>14</v>
      </c>
      <c r="D41" s="50">
        <v>2541</v>
      </c>
      <c r="E41" s="50">
        <v>9541</v>
      </c>
      <c r="F41" s="50">
        <v>245</v>
      </c>
      <c r="G41" s="50">
        <v>500</v>
      </c>
      <c r="H41" s="50">
        <v>164</v>
      </c>
      <c r="I41" s="50">
        <v>664</v>
      </c>
      <c r="K41" s="59">
        <v>0</v>
      </c>
      <c r="L41" s="68">
        <v>0.31</v>
      </c>
      <c r="M41" s="62">
        <v>0.03</v>
      </c>
    </row>
    <row r="42" spans="1:13" ht="23.25">
      <c r="A42" s="55" t="s">
        <v>60</v>
      </c>
      <c r="B42" s="48">
        <v>7000</v>
      </c>
      <c r="C42" s="57">
        <v>16</v>
      </c>
      <c r="D42" s="58">
        <v>2896</v>
      </c>
      <c r="E42" s="58">
        <v>9896</v>
      </c>
      <c r="F42" s="58">
        <v>280</v>
      </c>
      <c r="G42" s="58">
        <v>438</v>
      </c>
      <c r="H42" s="58">
        <v>163</v>
      </c>
      <c r="I42" s="58">
        <v>601</v>
      </c>
      <c r="K42" s="57">
        <v>0</v>
      </c>
      <c r="L42" s="68">
        <v>0.31</v>
      </c>
      <c r="M42" s="62">
        <v>0.03</v>
      </c>
    </row>
    <row r="43" spans="1:13" ht="24" thickBot="1">
      <c r="A43" s="60" t="s">
        <v>60</v>
      </c>
      <c r="B43" s="51">
        <v>7000</v>
      </c>
      <c r="C43" s="61">
        <v>18</v>
      </c>
      <c r="D43" s="52">
        <v>3269</v>
      </c>
      <c r="E43" s="52">
        <v>10269</v>
      </c>
      <c r="F43" s="52">
        <v>315</v>
      </c>
      <c r="G43" s="52">
        <v>389</v>
      </c>
      <c r="H43" s="53">
        <v>164</v>
      </c>
      <c r="I43" s="52">
        <v>553</v>
      </c>
      <c r="K43" s="61">
        <v>0</v>
      </c>
      <c r="L43" s="68">
        <v>0.31</v>
      </c>
      <c r="M43" s="62">
        <v>0.03</v>
      </c>
    </row>
    <row r="44" spans="1:13" ht="24" thickTop="1">
      <c r="A44" s="15" t="s">
        <v>60</v>
      </c>
      <c r="B44" s="21">
        <v>8000</v>
      </c>
      <c r="C44" s="11">
        <v>4</v>
      </c>
      <c r="D44" s="31">
        <v>828</v>
      </c>
      <c r="E44" s="31">
        <v>8828</v>
      </c>
      <c r="F44" s="31">
        <v>80</v>
      </c>
      <c r="G44" s="31">
        <v>2000</v>
      </c>
      <c r="H44" s="31">
        <v>187</v>
      </c>
      <c r="I44" s="31">
        <v>2187</v>
      </c>
      <c r="K44" s="54">
        <v>0</v>
      </c>
      <c r="L44" s="68">
        <v>0.31</v>
      </c>
      <c r="M44" s="62">
        <v>0.03</v>
      </c>
    </row>
    <row r="45" spans="1:13" ht="23.25">
      <c r="A45" s="55" t="s">
        <v>60</v>
      </c>
      <c r="B45" s="48">
        <v>8000</v>
      </c>
      <c r="C45" s="56">
        <v>6</v>
      </c>
      <c r="D45" s="32">
        <v>1246</v>
      </c>
      <c r="E45" s="32">
        <v>9246</v>
      </c>
      <c r="F45" s="32">
        <v>120</v>
      </c>
      <c r="G45" s="32">
        <v>1334</v>
      </c>
      <c r="H45" s="49">
        <v>187</v>
      </c>
      <c r="I45" s="49">
        <v>1521</v>
      </c>
      <c r="K45" s="56">
        <v>0</v>
      </c>
      <c r="L45" s="68">
        <v>0.31</v>
      </c>
      <c r="M45" s="62">
        <v>0.03</v>
      </c>
    </row>
    <row r="46" spans="1:13" ht="23.25">
      <c r="A46" s="55" t="s">
        <v>60</v>
      </c>
      <c r="B46" s="48">
        <v>8000</v>
      </c>
      <c r="C46" s="57">
        <v>8</v>
      </c>
      <c r="D46" s="58">
        <v>1656</v>
      </c>
      <c r="E46" s="58">
        <v>9656</v>
      </c>
      <c r="F46" s="58">
        <v>160</v>
      </c>
      <c r="G46" s="58">
        <v>1000</v>
      </c>
      <c r="H46" s="58">
        <v>187</v>
      </c>
      <c r="I46" s="58">
        <v>1187</v>
      </c>
      <c r="K46" s="57">
        <v>0</v>
      </c>
      <c r="L46" s="68">
        <v>0.31</v>
      </c>
      <c r="M46" s="62">
        <v>0.03</v>
      </c>
    </row>
    <row r="47" spans="1:13" ht="23.25">
      <c r="A47" s="55" t="s">
        <v>60</v>
      </c>
      <c r="B47" s="48">
        <v>8000</v>
      </c>
      <c r="C47" s="59">
        <v>10</v>
      </c>
      <c r="D47" s="50">
        <v>2070</v>
      </c>
      <c r="E47" s="50">
        <v>10070</v>
      </c>
      <c r="F47" s="50">
        <v>200</v>
      </c>
      <c r="G47" s="50">
        <v>800</v>
      </c>
      <c r="H47" s="50">
        <v>187</v>
      </c>
      <c r="I47" s="50">
        <v>987</v>
      </c>
      <c r="K47" s="59">
        <v>0</v>
      </c>
      <c r="L47" s="68">
        <v>0.31</v>
      </c>
      <c r="M47" s="62">
        <v>0.03</v>
      </c>
    </row>
    <row r="48" spans="1:13" ht="23.25">
      <c r="A48" s="55" t="s">
        <v>60</v>
      </c>
      <c r="B48" s="48">
        <v>8000</v>
      </c>
      <c r="C48" s="57">
        <v>12</v>
      </c>
      <c r="D48" s="58">
        <v>2488</v>
      </c>
      <c r="E48" s="58">
        <v>10488</v>
      </c>
      <c r="F48" s="58">
        <v>240</v>
      </c>
      <c r="G48" s="58">
        <v>667</v>
      </c>
      <c r="H48" s="58">
        <v>187</v>
      </c>
      <c r="I48" s="58">
        <v>854</v>
      </c>
      <c r="K48" s="57">
        <v>0</v>
      </c>
      <c r="L48" s="68">
        <v>0.31</v>
      </c>
      <c r="M48" s="62">
        <v>0.03</v>
      </c>
    </row>
    <row r="49" spans="1:13" ht="24" customHeight="1">
      <c r="A49" s="55" t="s">
        <v>60</v>
      </c>
      <c r="B49" s="48">
        <v>8000</v>
      </c>
      <c r="C49" s="59">
        <v>14</v>
      </c>
      <c r="D49" s="50">
        <v>2906</v>
      </c>
      <c r="E49" s="50">
        <v>10906</v>
      </c>
      <c r="F49" s="50">
        <v>280</v>
      </c>
      <c r="G49" s="50">
        <v>572</v>
      </c>
      <c r="H49" s="50">
        <v>187</v>
      </c>
      <c r="I49" s="50">
        <v>759</v>
      </c>
      <c r="K49" s="59">
        <v>0</v>
      </c>
      <c r="L49" s="68">
        <v>0.31</v>
      </c>
      <c r="M49" s="62">
        <v>0.03</v>
      </c>
    </row>
    <row r="50" spans="1:13" ht="23.25">
      <c r="A50" s="55" t="s">
        <v>60</v>
      </c>
      <c r="B50" s="48">
        <v>8000</v>
      </c>
      <c r="C50" s="57">
        <v>16</v>
      </c>
      <c r="D50" s="58">
        <v>3312</v>
      </c>
      <c r="E50" s="58">
        <v>11312</v>
      </c>
      <c r="F50" s="58">
        <v>320</v>
      </c>
      <c r="G50" s="58">
        <v>500</v>
      </c>
      <c r="H50" s="58">
        <v>187</v>
      </c>
      <c r="I50" s="58">
        <v>687</v>
      </c>
      <c r="K50" s="57">
        <v>0</v>
      </c>
      <c r="L50" s="68">
        <v>0.31</v>
      </c>
      <c r="M50" s="62">
        <v>0.03</v>
      </c>
    </row>
    <row r="51" spans="1:13" ht="24" thickBot="1">
      <c r="A51" s="60" t="s">
        <v>60</v>
      </c>
      <c r="B51" s="51">
        <v>8000</v>
      </c>
      <c r="C51" s="61">
        <v>18</v>
      </c>
      <c r="D51" s="52">
        <v>3736</v>
      </c>
      <c r="E51" s="52">
        <v>11736</v>
      </c>
      <c r="F51" s="52">
        <v>360</v>
      </c>
      <c r="G51" s="52">
        <v>445</v>
      </c>
      <c r="H51" s="53">
        <v>187</v>
      </c>
      <c r="I51" s="52">
        <v>632</v>
      </c>
      <c r="K51" s="61">
        <v>0</v>
      </c>
      <c r="L51" s="68">
        <v>0.31</v>
      </c>
      <c r="M51" s="62">
        <v>0.03</v>
      </c>
    </row>
    <row r="52" spans="1:13" ht="24" thickTop="1">
      <c r="A52" s="15" t="s">
        <v>60</v>
      </c>
      <c r="B52" s="21">
        <v>9000</v>
      </c>
      <c r="C52" s="11">
        <v>4</v>
      </c>
      <c r="D52" s="31">
        <v>934</v>
      </c>
      <c r="E52" s="31">
        <v>9934</v>
      </c>
      <c r="F52" s="31">
        <v>90</v>
      </c>
      <c r="G52" s="31">
        <v>2250</v>
      </c>
      <c r="H52" s="31">
        <v>211</v>
      </c>
      <c r="I52" s="31">
        <v>2461</v>
      </c>
      <c r="K52" s="54">
        <v>0</v>
      </c>
      <c r="L52" s="68">
        <v>0.31</v>
      </c>
      <c r="M52" s="62">
        <v>0.03</v>
      </c>
    </row>
    <row r="53" spans="1:13" ht="23.25">
      <c r="A53" s="55" t="s">
        <v>60</v>
      </c>
      <c r="B53" s="48">
        <v>9000</v>
      </c>
      <c r="C53" s="56">
        <v>6</v>
      </c>
      <c r="D53" s="32">
        <v>1401</v>
      </c>
      <c r="E53" s="32">
        <v>10401</v>
      </c>
      <c r="F53" s="32">
        <v>135</v>
      </c>
      <c r="G53" s="32">
        <v>1500</v>
      </c>
      <c r="H53" s="49">
        <v>211</v>
      </c>
      <c r="I53" s="49">
        <v>1711</v>
      </c>
      <c r="K53" s="56">
        <v>0</v>
      </c>
      <c r="L53" s="68">
        <v>0.31</v>
      </c>
      <c r="M53" s="62">
        <v>0.03</v>
      </c>
    </row>
    <row r="54" spans="1:13" ht="23.25">
      <c r="A54" s="55" t="s">
        <v>60</v>
      </c>
      <c r="B54" s="48">
        <v>9000</v>
      </c>
      <c r="C54" s="57">
        <v>8</v>
      </c>
      <c r="D54" s="58">
        <v>1868</v>
      </c>
      <c r="E54" s="58">
        <v>10868</v>
      </c>
      <c r="F54" s="58">
        <v>180</v>
      </c>
      <c r="G54" s="58">
        <v>1125</v>
      </c>
      <c r="H54" s="58">
        <v>211</v>
      </c>
      <c r="I54" s="58">
        <v>1336</v>
      </c>
      <c r="K54" s="57">
        <v>0</v>
      </c>
      <c r="L54" s="68">
        <v>0.31</v>
      </c>
      <c r="M54" s="62">
        <v>0.03</v>
      </c>
    </row>
    <row r="55" spans="1:13" ht="23.25">
      <c r="A55" s="55" t="s">
        <v>60</v>
      </c>
      <c r="B55" s="48">
        <v>9000</v>
      </c>
      <c r="C55" s="59">
        <v>10</v>
      </c>
      <c r="D55" s="50">
        <v>2335</v>
      </c>
      <c r="E55" s="50">
        <v>11335</v>
      </c>
      <c r="F55" s="50">
        <v>225</v>
      </c>
      <c r="G55" s="50">
        <v>900</v>
      </c>
      <c r="H55" s="50">
        <v>211</v>
      </c>
      <c r="I55" s="50">
        <v>1111</v>
      </c>
      <c r="K55" s="59">
        <v>0</v>
      </c>
      <c r="L55" s="68">
        <v>0.31</v>
      </c>
      <c r="M55" s="62">
        <v>0.03</v>
      </c>
    </row>
    <row r="56" spans="1:13" ht="23.25">
      <c r="A56" s="55" t="s">
        <v>60</v>
      </c>
      <c r="B56" s="48">
        <v>9000</v>
      </c>
      <c r="C56" s="57">
        <v>12</v>
      </c>
      <c r="D56" s="58">
        <v>2802</v>
      </c>
      <c r="E56" s="58">
        <v>11802</v>
      </c>
      <c r="F56" s="58">
        <v>270</v>
      </c>
      <c r="G56" s="58">
        <v>750</v>
      </c>
      <c r="H56" s="58">
        <v>211</v>
      </c>
      <c r="I56" s="58">
        <v>961</v>
      </c>
      <c r="K56" s="57">
        <v>0</v>
      </c>
      <c r="L56" s="68">
        <v>0.31</v>
      </c>
      <c r="M56" s="62">
        <v>0.03</v>
      </c>
    </row>
    <row r="57" spans="1:13" ht="23.25">
      <c r="A57" s="55" t="s">
        <v>60</v>
      </c>
      <c r="B57" s="48">
        <v>9000</v>
      </c>
      <c r="C57" s="59">
        <v>14</v>
      </c>
      <c r="D57" s="50">
        <v>3257</v>
      </c>
      <c r="E57" s="50">
        <v>12257</v>
      </c>
      <c r="F57" s="50">
        <v>315</v>
      </c>
      <c r="G57" s="50">
        <v>643</v>
      </c>
      <c r="H57" s="50">
        <v>210</v>
      </c>
      <c r="I57" s="50">
        <v>853</v>
      </c>
      <c r="K57" s="59">
        <v>0</v>
      </c>
      <c r="L57" s="68">
        <v>0.31</v>
      </c>
      <c r="M57" s="62">
        <v>0.03</v>
      </c>
    </row>
    <row r="58" spans="1:13" ht="24" customHeight="1">
      <c r="A58" s="55" t="s">
        <v>60</v>
      </c>
      <c r="B58" s="48">
        <v>9000</v>
      </c>
      <c r="C58" s="57">
        <v>16</v>
      </c>
      <c r="D58" s="58">
        <v>3728</v>
      </c>
      <c r="E58" s="58">
        <v>12728</v>
      </c>
      <c r="F58" s="58">
        <v>360</v>
      </c>
      <c r="G58" s="58">
        <v>563</v>
      </c>
      <c r="H58" s="58">
        <v>210</v>
      </c>
      <c r="I58" s="58">
        <v>773</v>
      </c>
      <c r="K58" s="57">
        <v>0</v>
      </c>
      <c r="L58" s="68">
        <v>0.31</v>
      </c>
      <c r="M58" s="62">
        <v>0.03</v>
      </c>
    </row>
    <row r="59" spans="1:13" ht="24" thickBot="1">
      <c r="A59" s="60" t="s">
        <v>60</v>
      </c>
      <c r="B59" s="51">
        <v>9000</v>
      </c>
      <c r="C59" s="61">
        <v>18</v>
      </c>
      <c r="D59" s="52">
        <v>4203</v>
      </c>
      <c r="E59" s="52">
        <v>13203</v>
      </c>
      <c r="F59" s="52">
        <v>405</v>
      </c>
      <c r="G59" s="52">
        <v>500</v>
      </c>
      <c r="H59" s="53">
        <v>211</v>
      </c>
      <c r="I59" s="52">
        <v>711</v>
      </c>
      <c r="K59" s="61">
        <v>0</v>
      </c>
      <c r="L59" s="68">
        <v>0.31</v>
      </c>
      <c r="M59" s="62">
        <v>0.03</v>
      </c>
    </row>
    <row r="60" spans="1:13" ht="24" thickTop="1">
      <c r="A60" s="15" t="s">
        <v>60</v>
      </c>
      <c r="B60" s="21">
        <v>10000</v>
      </c>
      <c r="C60" s="11">
        <v>4</v>
      </c>
      <c r="D60" s="31">
        <v>1036</v>
      </c>
      <c r="E60" s="31">
        <v>11036</v>
      </c>
      <c r="F60" s="31">
        <v>100</v>
      </c>
      <c r="G60" s="31">
        <v>2500</v>
      </c>
      <c r="H60" s="31">
        <v>234</v>
      </c>
      <c r="I60" s="31">
        <v>2734</v>
      </c>
      <c r="K60" s="54">
        <v>0</v>
      </c>
      <c r="L60" s="68">
        <v>0.31</v>
      </c>
      <c r="M60" s="62">
        <v>0.03</v>
      </c>
    </row>
    <row r="61" spans="1:13" ht="23.25">
      <c r="A61" s="55" t="s">
        <v>60</v>
      </c>
      <c r="B61" s="48">
        <v>10000</v>
      </c>
      <c r="C61" s="56">
        <v>6</v>
      </c>
      <c r="D61" s="32">
        <v>1556</v>
      </c>
      <c r="E61" s="32">
        <v>11556</v>
      </c>
      <c r="F61" s="32">
        <v>150</v>
      </c>
      <c r="G61" s="32">
        <v>1667</v>
      </c>
      <c r="H61" s="49">
        <v>234</v>
      </c>
      <c r="I61" s="49">
        <v>1901</v>
      </c>
      <c r="K61" s="56">
        <v>0</v>
      </c>
      <c r="L61" s="68">
        <v>0.31</v>
      </c>
      <c r="M61" s="62">
        <v>0.03</v>
      </c>
    </row>
    <row r="62" spans="1:13" ht="23.25">
      <c r="A62" s="55" t="s">
        <v>60</v>
      </c>
      <c r="B62" s="48">
        <v>10000</v>
      </c>
      <c r="C62" s="57">
        <v>8</v>
      </c>
      <c r="D62" s="58">
        <v>2072</v>
      </c>
      <c r="E62" s="58">
        <v>12072</v>
      </c>
      <c r="F62" s="58">
        <v>200</v>
      </c>
      <c r="G62" s="58">
        <v>1250</v>
      </c>
      <c r="H62" s="58">
        <v>234</v>
      </c>
      <c r="I62" s="58">
        <v>1484</v>
      </c>
      <c r="K62" s="57">
        <v>0</v>
      </c>
      <c r="L62" s="68">
        <v>0.31</v>
      </c>
      <c r="M62" s="62">
        <v>0.03</v>
      </c>
    </row>
    <row r="63" spans="1:13" ht="23.25">
      <c r="A63" s="55" t="s">
        <v>60</v>
      </c>
      <c r="B63" s="48">
        <v>10000</v>
      </c>
      <c r="C63" s="59">
        <v>10</v>
      </c>
      <c r="D63" s="50">
        <v>2590</v>
      </c>
      <c r="E63" s="50">
        <v>12590</v>
      </c>
      <c r="F63" s="50">
        <v>250</v>
      </c>
      <c r="G63" s="50">
        <v>1000</v>
      </c>
      <c r="H63" s="50">
        <v>234</v>
      </c>
      <c r="I63" s="50">
        <v>1234</v>
      </c>
      <c r="K63" s="59">
        <v>0</v>
      </c>
      <c r="L63" s="68">
        <v>0.31</v>
      </c>
      <c r="M63" s="62">
        <v>0.03</v>
      </c>
    </row>
    <row r="64" spans="1:13" ht="23.25">
      <c r="A64" s="55" t="s">
        <v>60</v>
      </c>
      <c r="B64" s="48">
        <v>10000</v>
      </c>
      <c r="C64" s="57">
        <v>12</v>
      </c>
      <c r="D64" s="58">
        <v>3104</v>
      </c>
      <c r="E64" s="58">
        <v>13104</v>
      </c>
      <c r="F64" s="58">
        <v>300</v>
      </c>
      <c r="G64" s="58">
        <v>834</v>
      </c>
      <c r="H64" s="58">
        <v>233</v>
      </c>
      <c r="I64" s="58">
        <v>1067</v>
      </c>
      <c r="K64" s="57">
        <v>0</v>
      </c>
      <c r="L64" s="68">
        <v>0.31</v>
      </c>
      <c r="M64" s="62">
        <v>0.03</v>
      </c>
    </row>
    <row r="65" spans="1:13" ht="23.25">
      <c r="A65" s="55" t="s">
        <v>60</v>
      </c>
      <c r="B65" s="48">
        <v>10000</v>
      </c>
      <c r="C65" s="59">
        <v>14</v>
      </c>
      <c r="D65" s="50">
        <v>3622</v>
      </c>
      <c r="E65" s="50">
        <v>13622</v>
      </c>
      <c r="F65" s="50">
        <v>350</v>
      </c>
      <c r="G65" s="50">
        <v>715</v>
      </c>
      <c r="H65" s="50">
        <v>233</v>
      </c>
      <c r="I65" s="50">
        <v>948</v>
      </c>
      <c r="K65" s="59">
        <v>0</v>
      </c>
      <c r="L65" s="68">
        <v>0.31</v>
      </c>
      <c r="M65" s="62">
        <v>0.03</v>
      </c>
    </row>
    <row r="66" spans="1:13" ht="23.25">
      <c r="A66" s="55" t="s">
        <v>60</v>
      </c>
      <c r="B66" s="48">
        <v>10000</v>
      </c>
      <c r="C66" s="57">
        <v>16</v>
      </c>
      <c r="D66" s="58">
        <v>4144</v>
      </c>
      <c r="E66" s="58">
        <v>14144</v>
      </c>
      <c r="F66" s="58">
        <v>400</v>
      </c>
      <c r="G66" s="58">
        <v>625</v>
      </c>
      <c r="H66" s="58">
        <v>234</v>
      </c>
      <c r="I66" s="58">
        <v>859</v>
      </c>
      <c r="K66" s="57">
        <v>0</v>
      </c>
      <c r="L66" s="68">
        <v>0.31</v>
      </c>
      <c r="M66" s="62">
        <v>0.03</v>
      </c>
    </row>
    <row r="67" spans="1:13" ht="24" customHeight="1" thickBot="1">
      <c r="A67" s="60" t="s">
        <v>60</v>
      </c>
      <c r="B67" s="51">
        <v>10000</v>
      </c>
      <c r="C67" s="61">
        <v>18</v>
      </c>
      <c r="D67" s="52">
        <v>4652</v>
      </c>
      <c r="E67" s="52">
        <v>14652</v>
      </c>
      <c r="F67" s="52">
        <v>450</v>
      </c>
      <c r="G67" s="52">
        <v>556</v>
      </c>
      <c r="H67" s="53">
        <v>233</v>
      </c>
      <c r="I67" s="52">
        <v>789</v>
      </c>
      <c r="K67" s="61">
        <v>0</v>
      </c>
      <c r="L67" s="68">
        <v>0.31</v>
      </c>
      <c r="M67" s="62">
        <v>0.03</v>
      </c>
    </row>
    <row r="68" spans="1:13" ht="24" thickTop="1">
      <c r="A68" s="15" t="s">
        <v>60</v>
      </c>
      <c r="B68" s="21">
        <v>11000</v>
      </c>
      <c r="C68" s="11">
        <v>4</v>
      </c>
      <c r="D68" s="31">
        <v>1138</v>
      </c>
      <c r="E68" s="31">
        <v>12138</v>
      </c>
      <c r="F68" s="31">
        <v>110</v>
      </c>
      <c r="G68" s="31">
        <v>2750</v>
      </c>
      <c r="H68" s="31">
        <v>257</v>
      </c>
      <c r="I68" s="31">
        <v>3007</v>
      </c>
      <c r="K68" s="54">
        <v>0</v>
      </c>
      <c r="L68" s="68">
        <v>0.31</v>
      </c>
      <c r="M68" s="62">
        <v>0.03</v>
      </c>
    </row>
    <row r="69" spans="1:13" ht="23.25">
      <c r="A69" s="55" t="s">
        <v>60</v>
      </c>
      <c r="B69" s="48">
        <v>11000</v>
      </c>
      <c r="C69" s="56">
        <v>6</v>
      </c>
      <c r="D69" s="32">
        <v>1711</v>
      </c>
      <c r="E69" s="32">
        <v>12711</v>
      </c>
      <c r="F69" s="32">
        <v>165</v>
      </c>
      <c r="G69" s="32">
        <v>1834</v>
      </c>
      <c r="H69" s="49">
        <v>257</v>
      </c>
      <c r="I69" s="49">
        <v>2091</v>
      </c>
      <c r="K69" s="56">
        <v>0</v>
      </c>
      <c r="L69" s="68">
        <v>0.31</v>
      </c>
      <c r="M69" s="62">
        <v>0.03</v>
      </c>
    </row>
    <row r="70" spans="1:13" ht="23.25">
      <c r="A70" s="55" t="s">
        <v>60</v>
      </c>
      <c r="B70" s="48">
        <v>11000</v>
      </c>
      <c r="C70" s="57">
        <v>8</v>
      </c>
      <c r="D70" s="58">
        <v>2276</v>
      </c>
      <c r="E70" s="58">
        <v>13276</v>
      </c>
      <c r="F70" s="58">
        <v>220</v>
      </c>
      <c r="G70" s="58">
        <v>1375</v>
      </c>
      <c r="H70" s="58">
        <v>257</v>
      </c>
      <c r="I70" s="58">
        <v>1632</v>
      </c>
      <c r="K70" s="57">
        <v>0</v>
      </c>
      <c r="L70" s="68">
        <v>0.31</v>
      </c>
      <c r="M70" s="62">
        <v>0.03</v>
      </c>
    </row>
    <row r="71" spans="1:13" ht="23.25">
      <c r="A71" s="55" t="s">
        <v>60</v>
      </c>
      <c r="B71" s="48">
        <v>11000</v>
      </c>
      <c r="C71" s="59">
        <v>10</v>
      </c>
      <c r="D71" s="50">
        <v>2845</v>
      </c>
      <c r="E71" s="50">
        <v>13845</v>
      </c>
      <c r="F71" s="50">
        <v>275</v>
      </c>
      <c r="G71" s="50">
        <v>1100</v>
      </c>
      <c r="H71" s="50">
        <v>257</v>
      </c>
      <c r="I71" s="50">
        <v>1357</v>
      </c>
      <c r="K71" s="59">
        <v>0</v>
      </c>
      <c r="L71" s="68">
        <v>0.31</v>
      </c>
      <c r="M71" s="62">
        <v>0.03</v>
      </c>
    </row>
    <row r="72" spans="1:13" ht="23.25">
      <c r="A72" s="55" t="s">
        <v>60</v>
      </c>
      <c r="B72" s="48">
        <v>11000</v>
      </c>
      <c r="C72" s="57">
        <v>12</v>
      </c>
      <c r="D72" s="58">
        <v>3418</v>
      </c>
      <c r="E72" s="58">
        <v>14418</v>
      </c>
      <c r="F72" s="58">
        <v>330</v>
      </c>
      <c r="G72" s="58">
        <v>917</v>
      </c>
      <c r="H72" s="58">
        <v>257</v>
      </c>
      <c r="I72" s="58">
        <v>1174</v>
      </c>
      <c r="K72" s="57">
        <v>0</v>
      </c>
      <c r="L72" s="68">
        <v>0.31</v>
      </c>
      <c r="M72" s="62">
        <v>0.03</v>
      </c>
    </row>
    <row r="73" spans="1:13" ht="23.25">
      <c r="A73" s="55" t="s">
        <v>60</v>
      </c>
      <c r="B73" s="48">
        <v>11000</v>
      </c>
      <c r="C73" s="59">
        <v>14</v>
      </c>
      <c r="D73" s="50">
        <v>3987</v>
      </c>
      <c r="E73" s="50">
        <v>14987</v>
      </c>
      <c r="F73" s="50">
        <v>385</v>
      </c>
      <c r="G73" s="50">
        <v>786</v>
      </c>
      <c r="H73" s="50">
        <v>257</v>
      </c>
      <c r="I73" s="50">
        <v>1043</v>
      </c>
      <c r="K73" s="59">
        <v>0</v>
      </c>
      <c r="L73" s="68">
        <v>0.31</v>
      </c>
      <c r="M73" s="62">
        <v>0.03</v>
      </c>
    </row>
    <row r="74" spans="1:13" ht="23.25">
      <c r="A74" s="55" t="s">
        <v>60</v>
      </c>
      <c r="B74" s="48">
        <v>11000</v>
      </c>
      <c r="C74" s="57">
        <v>16</v>
      </c>
      <c r="D74" s="58">
        <v>4560</v>
      </c>
      <c r="E74" s="58">
        <v>15560</v>
      </c>
      <c r="F74" s="58">
        <v>440</v>
      </c>
      <c r="G74" s="58">
        <v>688</v>
      </c>
      <c r="H74" s="58">
        <v>257</v>
      </c>
      <c r="I74" s="58">
        <v>945</v>
      </c>
      <c r="K74" s="57">
        <v>0</v>
      </c>
      <c r="L74" s="68">
        <v>0.31</v>
      </c>
      <c r="M74" s="62">
        <v>0.03</v>
      </c>
    </row>
    <row r="75" spans="1:13" ht="24" thickBot="1">
      <c r="A75" s="60" t="s">
        <v>60</v>
      </c>
      <c r="B75" s="51">
        <v>11000</v>
      </c>
      <c r="C75" s="61">
        <v>18</v>
      </c>
      <c r="D75" s="52">
        <v>5119</v>
      </c>
      <c r="E75" s="52">
        <v>16119</v>
      </c>
      <c r="F75" s="52">
        <v>495</v>
      </c>
      <c r="G75" s="52">
        <v>612</v>
      </c>
      <c r="H75" s="53">
        <v>256</v>
      </c>
      <c r="I75" s="52">
        <v>868</v>
      </c>
      <c r="K75" s="61">
        <v>0</v>
      </c>
      <c r="L75" s="68">
        <v>0.31</v>
      </c>
      <c r="M75" s="62">
        <v>0.03</v>
      </c>
    </row>
    <row r="76" spans="1:13" ht="24" customHeight="1" thickTop="1">
      <c r="A76" s="15" t="s">
        <v>60</v>
      </c>
      <c r="B76" s="21">
        <v>12000</v>
      </c>
      <c r="C76" s="11">
        <v>4</v>
      </c>
      <c r="D76" s="31">
        <v>1244</v>
      </c>
      <c r="E76" s="31">
        <v>13244</v>
      </c>
      <c r="F76" s="31">
        <v>120</v>
      </c>
      <c r="G76" s="31">
        <v>3000</v>
      </c>
      <c r="H76" s="31">
        <v>281</v>
      </c>
      <c r="I76" s="31">
        <v>3281</v>
      </c>
      <c r="K76" s="54">
        <v>0</v>
      </c>
      <c r="L76" s="68">
        <v>0.31</v>
      </c>
      <c r="M76" s="62">
        <v>0.03</v>
      </c>
    </row>
    <row r="77" spans="1:13" ht="23.25">
      <c r="A77" s="55" t="s">
        <v>60</v>
      </c>
      <c r="B77" s="48">
        <v>12000</v>
      </c>
      <c r="C77" s="56">
        <v>6</v>
      </c>
      <c r="D77" s="32">
        <v>1866</v>
      </c>
      <c r="E77" s="32">
        <v>13866</v>
      </c>
      <c r="F77" s="32">
        <v>180</v>
      </c>
      <c r="G77" s="32">
        <v>2000</v>
      </c>
      <c r="H77" s="49">
        <v>281</v>
      </c>
      <c r="I77" s="49">
        <v>2281</v>
      </c>
      <c r="K77" s="56">
        <v>0</v>
      </c>
      <c r="L77" s="68">
        <v>0.31</v>
      </c>
      <c r="M77" s="62">
        <v>0.03</v>
      </c>
    </row>
    <row r="78" spans="1:13" ht="23.25">
      <c r="A78" s="55" t="s">
        <v>60</v>
      </c>
      <c r="B78" s="48">
        <v>12000</v>
      </c>
      <c r="C78" s="57">
        <v>8</v>
      </c>
      <c r="D78" s="58">
        <v>2488</v>
      </c>
      <c r="E78" s="58">
        <v>14488</v>
      </c>
      <c r="F78" s="58">
        <v>240</v>
      </c>
      <c r="G78" s="58">
        <v>1500</v>
      </c>
      <c r="H78" s="58">
        <v>281</v>
      </c>
      <c r="I78" s="58">
        <v>1781</v>
      </c>
      <c r="K78" s="57">
        <v>0</v>
      </c>
      <c r="L78" s="68">
        <v>0.31</v>
      </c>
      <c r="M78" s="62">
        <v>0.03</v>
      </c>
    </row>
    <row r="79" spans="1:13" ht="23.25">
      <c r="A79" s="55" t="s">
        <v>60</v>
      </c>
      <c r="B79" s="48">
        <v>12000</v>
      </c>
      <c r="C79" s="59">
        <v>10</v>
      </c>
      <c r="D79" s="50">
        <v>3110</v>
      </c>
      <c r="E79" s="50">
        <v>15110</v>
      </c>
      <c r="F79" s="50">
        <v>300</v>
      </c>
      <c r="G79" s="50">
        <v>1200</v>
      </c>
      <c r="H79" s="50">
        <v>281</v>
      </c>
      <c r="I79" s="50">
        <v>1481</v>
      </c>
      <c r="K79" s="59">
        <v>0</v>
      </c>
      <c r="L79" s="68">
        <v>0.31</v>
      </c>
      <c r="M79" s="62">
        <v>0.03</v>
      </c>
    </row>
    <row r="80" spans="1:13" ht="23.25">
      <c r="A80" s="55" t="s">
        <v>60</v>
      </c>
      <c r="B80" s="48">
        <v>12000</v>
      </c>
      <c r="C80" s="57">
        <v>12</v>
      </c>
      <c r="D80" s="58">
        <v>3732</v>
      </c>
      <c r="E80" s="58">
        <v>15732</v>
      </c>
      <c r="F80" s="58">
        <v>360</v>
      </c>
      <c r="G80" s="58">
        <v>1000</v>
      </c>
      <c r="H80" s="58">
        <v>281</v>
      </c>
      <c r="I80" s="58">
        <v>1281</v>
      </c>
      <c r="K80" s="57">
        <v>0</v>
      </c>
      <c r="L80" s="68">
        <v>0.31</v>
      </c>
      <c r="M80" s="62">
        <v>0.03</v>
      </c>
    </row>
    <row r="81" spans="1:13" ht="23.25">
      <c r="A81" s="55" t="s">
        <v>60</v>
      </c>
      <c r="B81" s="48">
        <v>12000</v>
      </c>
      <c r="C81" s="59">
        <v>14</v>
      </c>
      <c r="D81" s="50">
        <v>4352</v>
      </c>
      <c r="E81" s="50">
        <v>16352</v>
      </c>
      <c r="F81" s="50">
        <v>420</v>
      </c>
      <c r="G81" s="50">
        <v>858</v>
      </c>
      <c r="H81" s="50">
        <v>280</v>
      </c>
      <c r="I81" s="50">
        <v>1138</v>
      </c>
      <c r="K81" s="59">
        <v>0</v>
      </c>
      <c r="L81" s="68">
        <v>0.31</v>
      </c>
      <c r="M81" s="62">
        <v>0.03</v>
      </c>
    </row>
    <row r="82" spans="1:13" ht="23.25">
      <c r="A82" s="55" t="s">
        <v>60</v>
      </c>
      <c r="B82" s="48">
        <v>12000</v>
      </c>
      <c r="C82" s="57">
        <v>16</v>
      </c>
      <c r="D82" s="58">
        <v>4976</v>
      </c>
      <c r="E82" s="58">
        <v>16976</v>
      </c>
      <c r="F82" s="58">
        <v>480</v>
      </c>
      <c r="G82" s="58">
        <v>750</v>
      </c>
      <c r="H82" s="58">
        <v>281</v>
      </c>
      <c r="I82" s="58">
        <v>1031</v>
      </c>
      <c r="K82" s="57">
        <v>0</v>
      </c>
      <c r="L82" s="68">
        <v>0.31</v>
      </c>
      <c r="M82" s="62">
        <v>0.03</v>
      </c>
    </row>
    <row r="83" spans="1:13" ht="24" thickBot="1">
      <c r="A83" s="60" t="s">
        <v>60</v>
      </c>
      <c r="B83" s="51">
        <v>12000</v>
      </c>
      <c r="C83" s="61">
        <v>18</v>
      </c>
      <c r="D83" s="52">
        <v>5586</v>
      </c>
      <c r="E83" s="52">
        <v>17586</v>
      </c>
      <c r="F83" s="52">
        <v>540</v>
      </c>
      <c r="G83" s="52">
        <v>667</v>
      </c>
      <c r="H83" s="53">
        <v>280</v>
      </c>
      <c r="I83" s="52">
        <v>947</v>
      </c>
      <c r="K83" s="61">
        <v>0</v>
      </c>
      <c r="L83" s="68">
        <v>0.31</v>
      </c>
      <c r="M83" s="62">
        <v>0.03</v>
      </c>
    </row>
    <row r="84" spans="1:13" ht="24" thickTop="1">
      <c r="A84" s="15" t="s">
        <v>60</v>
      </c>
      <c r="B84" s="21">
        <v>13000</v>
      </c>
      <c r="C84" s="11">
        <v>4</v>
      </c>
      <c r="D84" s="31">
        <v>1346</v>
      </c>
      <c r="E84" s="31">
        <v>14346</v>
      </c>
      <c r="F84" s="31">
        <v>130</v>
      </c>
      <c r="G84" s="31">
        <v>3250</v>
      </c>
      <c r="H84" s="31">
        <v>304</v>
      </c>
      <c r="I84" s="31">
        <v>3554</v>
      </c>
      <c r="K84" s="54">
        <v>0</v>
      </c>
      <c r="L84" s="68">
        <v>0.31</v>
      </c>
      <c r="M84" s="62">
        <v>0.03</v>
      </c>
    </row>
    <row r="85" spans="1:13" ht="24" customHeight="1">
      <c r="A85" s="55" t="s">
        <v>60</v>
      </c>
      <c r="B85" s="48">
        <v>13000</v>
      </c>
      <c r="C85" s="56">
        <v>6</v>
      </c>
      <c r="D85" s="32">
        <v>2021</v>
      </c>
      <c r="E85" s="32">
        <v>15021</v>
      </c>
      <c r="F85" s="32">
        <v>195</v>
      </c>
      <c r="G85" s="32">
        <v>2167</v>
      </c>
      <c r="H85" s="49">
        <v>304</v>
      </c>
      <c r="I85" s="49">
        <v>2471</v>
      </c>
      <c r="K85" s="56">
        <v>0</v>
      </c>
      <c r="L85" s="68">
        <v>0.31</v>
      </c>
      <c r="M85" s="62">
        <v>0.03</v>
      </c>
    </row>
    <row r="86" spans="1:13" ht="23.25">
      <c r="A86" s="55" t="s">
        <v>60</v>
      </c>
      <c r="B86" s="48">
        <v>13000</v>
      </c>
      <c r="C86" s="57">
        <v>8</v>
      </c>
      <c r="D86" s="58">
        <v>2692</v>
      </c>
      <c r="E86" s="58">
        <v>15692</v>
      </c>
      <c r="F86" s="58">
        <v>260</v>
      </c>
      <c r="G86" s="58">
        <v>1625</v>
      </c>
      <c r="H86" s="58">
        <v>304</v>
      </c>
      <c r="I86" s="58">
        <v>1929</v>
      </c>
      <c r="K86" s="57">
        <v>0</v>
      </c>
      <c r="L86" s="68">
        <v>0.31</v>
      </c>
      <c r="M86" s="62">
        <v>0.03</v>
      </c>
    </row>
    <row r="87" spans="1:13" ht="23.25">
      <c r="A87" s="55" t="s">
        <v>60</v>
      </c>
      <c r="B87" s="48">
        <v>13000</v>
      </c>
      <c r="C87" s="59">
        <v>10</v>
      </c>
      <c r="D87" s="50">
        <v>3365</v>
      </c>
      <c r="E87" s="50">
        <v>16365</v>
      </c>
      <c r="F87" s="50">
        <v>325</v>
      </c>
      <c r="G87" s="50">
        <v>1300</v>
      </c>
      <c r="H87" s="50">
        <v>304</v>
      </c>
      <c r="I87" s="50">
        <v>1604</v>
      </c>
      <c r="K87" s="59">
        <v>0</v>
      </c>
      <c r="L87" s="68">
        <v>0.31</v>
      </c>
      <c r="M87" s="62">
        <v>0.03</v>
      </c>
    </row>
    <row r="88" spans="1:13" ht="23.25">
      <c r="A88" s="55" t="s">
        <v>60</v>
      </c>
      <c r="B88" s="48">
        <v>13000</v>
      </c>
      <c r="C88" s="57">
        <v>12</v>
      </c>
      <c r="D88" s="58">
        <v>4034</v>
      </c>
      <c r="E88" s="58">
        <v>17034</v>
      </c>
      <c r="F88" s="58">
        <v>390</v>
      </c>
      <c r="G88" s="58">
        <v>1084</v>
      </c>
      <c r="H88" s="58">
        <v>303</v>
      </c>
      <c r="I88" s="58">
        <v>1387</v>
      </c>
      <c r="K88" s="57">
        <v>0</v>
      </c>
      <c r="L88" s="68">
        <v>0.31</v>
      </c>
      <c r="M88" s="62">
        <v>0.03</v>
      </c>
    </row>
    <row r="89" spans="1:13" ht="23.25">
      <c r="A89" s="55" t="s">
        <v>60</v>
      </c>
      <c r="B89" s="48">
        <v>13000</v>
      </c>
      <c r="C89" s="59">
        <v>14</v>
      </c>
      <c r="D89" s="50">
        <v>4703</v>
      </c>
      <c r="E89" s="50">
        <v>17703</v>
      </c>
      <c r="F89" s="50">
        <v>455</v>
      </c>
      <c r="G89" s="50">
        <v>929</v>
      </c>
      <c r="H89" s="50">
        <v>303</v>
      </c>
      <c r="I89" s="50">
        <v>1232</v>
      </c>
      <c r="K89" s="59">
        <v>0</v>
      </c>
      <c r="L89" s="68">
        <v>0.31</v>
      </c>
      <c r="M89" s="62">
        <v>0.03</v>
      </c>
    </row>
    <row r="90" spans="1:13" ht="23.25">
      <c r="A90" s="55" t="s">
        <v>60</v>
      </c>
      <c r="B90" s="48">
        <v>13000</v>
      </c>
      <c r="C90" s="57">
        <v>16</v>
      </c>
      <c r="D90" s="58">
        <v>5376</v>
      </c>
      <c r="E90" s="58">
        <v>18376</v>
      </c>
      <c r="F90" s="58">
        <v>520</v>
      </c>
      <c r="G90" s="58">
        <v>813</v>
      </c>
      <c r="H90" s="58">
        <v>303</v>
      </c>
      <c r="I90" s="58">
        <v>1116</v>
      </c>
      <c r="K90" s="57">
        <v>0</v>
      </c>
      <c r="L90" s="68">
        <v>0.31</v>
      </c>
      <c r="M90" s="62">
        <v>0.03</v>
      </c>
    </row>
    <row r="91" spans="1:13" ht="24" thickBot="1">
      <c r="A91" s="60" t="s">
        <v>60</v>
      </c>
      <c r="B91" s="51">
        <v>13000</v>
      </c>
      <c r="C91" s="61">
        <v>18</v>
      </c>
      <c r="D91" s="52">
        <v>6053</v>
      </c>
      <c r="E91" s="52">
        <v>19053</v>
      </c>
      <c r="F91" s="52">
        <v>585</v>
      </c>
      <c r="G91" s="52">
        <v>723</v>
      </c>
      <c r="H91" s="53">
        <v>303</v>
      </c>
      <c r="I91" s="52">
        <v>1026</v>
      </c>
      <c r="K91" s="61">
        <v>0</v>
      </c>
      <c r="L91" s="68">
        <v>0.31</v>
      </c>
      <c r="M91" s="62">
        <v>0.03</v>
      </c>
    </row>
    <row r="92" spans="1:13" ht="24" thickTop="1">
      <c r="A92" s="15" t="s">
        <v>60</v>
      </c>
      <c r="B92" s="21">
        <v>14000</v>
      </c>
      <c r="C92" s="11">
        <v>4</v>
      </c>
      <c r="D92" s="31">
        <v>1448</v>
      </c>
      <c r="E92" s="31">
        <v>15448</v>
      </c>
      <c r="F92" s="31">
        <v>140</v>
      </c>
      <c r="G92" s="31">
        <v>3500</v>
      </c>
      <c r="H92" s="31">
        <v>327</v>
      </c>
      <c r="I92" s="31">
        <v>3827</v>
      </c>
      <c r="K92" s="54">
        <v>0</v>
      </c>
      <c r="L92" s="68">
        <v>0.31</v>
      </c>
      <c r="M92" s="62">
        <v>0.03</v>
      </c>
    </row>
    <row r="93" spans="1:13" ht="23.25">
      <c r="A93" s="55" t="s">
        <v>60</v>
      </c>
      <c r="B93" s="48">
        <v>14000</v>
      </c>
      <c r="C93" s="56">
        <v>6</v>
      </c>
      <c r="D93" s="32">
        <v>2176</v>
      </c>
      <c r="E93" s="32">
        <v>16176</v>
      </c>
      <c r="F93" s="32">
        <v>210</v>
      </c>
      <c r="G93" s="32">
        <v>2334</v>
      </c>
      <c r="H93" s="49">
        <v>327</v>
      </c>
      <c r="I93" s="49">
        <v>2661</v>
      </c>
      <c r="K93" s="56">
        <v>0</v>
      </c>
      <c r="L93" s="68">
        <v>0.31</v>
      </c>
      <c r="M93" s="62">
        <v>0.03</v>
      </c>
    </row>
    <row r="94" spans="1:13" ht="24" customHeight="1">
      <c r="A94" s="55" t="s">
        <v>60</v>
      </c>
      <c r="B94" s="48">
        <v>14000</v>
      </c>
      <c r="C94" s="57">
        <v>8</v>
      </c>
      <c r="D94" s="58">
        <v>2896</v>
      </c>
      <c r="E94" s="58">
        <v>16896</v>
      </c>
      <c r="F94" s="58">
        <v>280</v>
      </c>
      <c r="G94" s="58">
        <v>1750</v>
      </c>
      <c r="H94" s="58">
        <v>327</v>
      </c>
      <c r="I94" s="58">
        <v>2077</v>
      </c>
      <c r="K94" s="57">
        <v>0</v>
      </c>
      <c r="L94" s="68">
        <v>0.31</v>
      </c>
      <c r="M94" s="62">
        <v>0.03</v>
      </c>
    </row>
    <row r="95" spans="1:13" ht="23.25">
      <c r="A95" s="55" t="s">
        <v>60</v>
      </c>
      <c r="B95" s="48">
        <v>14000</v>
      </c>
      <c r="C95" s="59">
        <v>10</v>
      </c>
      <c r="D95" s="50">
        <v>3620</v>
      </c>
      <c r="E95" s="50">
        <v>17620</v>
      </c>
      <c r="F95" s="50">
        <v>350</v>
      </c>
      <c r="G95" s="50">
        <v>1400</v>
      </c>
      <c r="H95" s="50">
        <v>327</v>
      </c>
      <c r="I95" s="50">
        <v>1727</v>
      </c>
      <c r="K95" s="59">
        <v>0</v>
      </c>
      <c r="L95" s="68">
        <v>0.31</v>
      </c>
      <c r="M95" s="62">
        <v>0.03</v>
      </c>
    </row>
    <row r="96" spans="1:13" ht="23.25">
      <c r="A96" s="55" t="s">
        <v>60</v>
      </c>
      <c r="B96" s="48">
        <v>14000</v>
      </c>
      <c r="C96" s="57">
        <v>12</v>
      </c>
      <c r="D96" s="58">
        <v>4348</v>
      </c>
      <c r="E96" s="58">
        <v>18348</v>
      </c>
      <c r="F96" s="58">
        <v>420</v>
      </c>
      <c r="G96" s="58">
        <v>1167</v>
      </c>
      <c r="H96" s="58">
        <v>327</v>
      </c>
      <c r="I96" s="58">
        <v>1494</v>
      </c>
      <c r="K96" s="57">
        <v>0</v>
      </c>
      <c r="L96" s="68">
        <v>0.31</v>
      </c>
      <c r="M96" s="62">
        <v>0.03</v>
      </c>
    </row>
    <row r="97" spans="1:13" ht="23.25">
      <c r="A97" s="55" t="s">
        <v>60</v>
      </c>
      <c r="B97" s="48">
        <v>14000</v>
      </c>
      <c r="C97" s="59">
        <v>14</v>
      </c>
      <c r="D97" s="50">
        <v>5068</v>
      </c>
      <c r="E97" s="50">
        <v>19068</v>
      </c>
      <c r="F97" s="50">
        <v>490</v>
      </c>
      <c r="G97" s="50">
        <v>1000</v>
      </c>
      <c r="H97" s="50">
        <v>327</v>
      </c>
      <c r="I97" s="50">
        <v>1327</v>
      </c>
      <c r="K97" s="59">
        <v>0</v>
      </c>
      <c r="L97" s="68">
        <v>0.31</v>
      </c>
      <c r="M97" s="62">
        <v>0.03</v>
      </c>
    </row>
    <row r="98" spans="1:13" ht="23.25">
      <c r="A98" s="55" t="s">
        <v>60</v>
      </c>
      <c r="B98" s="48">
        <v>14000</v>
      </c>
      <c r="C98" s="57">
        <v>16</v>
      </c>
      <c r="D98" s="58">
        <v>5792</v>
      </c>
      <c r="E98" s="58">
        <v>19792</v>
      </c>
      <c r="F98" s="58">
        <v>560</v>
      </c>
      <c r="G98" s="58">
        <v>875</v>
      </c>
      <c r="H98" s="58">
        <v>327</v>
      </c>
      <c r="I98" s="58">
        <v>1202</v>
      </c>
      <c r="K98" s="57">
        <v>0</v>
      </c>
      <c r="L98" s="68">
        <v>0.31</v>
      </c>
      <c r="M98" s="62">
        <v>0.03</v>
      </c>
    </row>
    <row r="99" spans="1:13" ht="24" thickBot="1">
      <c r="A99" s="60" t="s">
        <v>60</v>
      </c>
      <c r="B99" s="51">
        <v>14000</v>
      </c>
      <c r="C99" s="61">
        <v>18</v>
      </c>
      <c r="D99" s="52">
        <v>6520</v>
      </c>
      <c r="E99" s="52">
        <v>20520</v>
      </c>
      <c r="F99" s="52">
        <v>630</v>
      </c>
      <c r="G99" s="52">
        <v>778</v>
      </c>
      <c r="H99" s="53">
        <v>327</v>
      </c>
      <c r="I99" s="52">
        <v>1105</v>
      </c>
      <c r="K99" s="61">
        <v>0</v>
      </c>
      <c r="L99" s="68">
        <v>0.31</v>
      </c>
      <c r="M99" s="62">
        <v>0.03</v>
      </c>
    </row>
    <row r="100" spans="1:13" ht="24" thickTop="1">
      <c r="A100" s="15" t="s">
        <v>73</v>
      </c>
      <c r="B100" s="21">
        <v>15000</v>
      </c>
      <c r="C100" s="11">
        <v>4</v>
      </c>
      <c r="D100" s="31">
        <v>1551</v>
      </c>
      <c r="E100" s="31">
        <v>16551</v>
      </c>
      <c r="F100" s="31">
        <v>175</v>
      </c>
      <c r="G100" s="31">
        <v>3750</v>
      </c>
      <c r="H100" s="31">
        <v>344</v>
      </c>
      <c r="I100" s="31">
        <v>4094</v>
      </c>
      <c r="K100" s="54">
        <v>0</v>
      </c>
      <c r="L100" s="68">
        <v>0.31</v>
      </c>
      <c r="M100" s="62">
        <v>3.5000000000000003E-2</v>
      </c>
    </row>
    <row r="101" spans="1:13" ht="23.25">
      <c r="A101" s="55" t="s">
        <v>73</v>
      </c>
      <c r="B101" s="48">
        <v>15000</v>
      </c>
      <c r="C101" s="56">
        <v>6</v>
      </c>
      <c r="D101" s="32">
        <v>2327</v>
      </c>
      <c r="E101" s="32">
        <v>17327</v>
      </c>
      <c r="F101" s="32">
        <v>263</v>
      </c>
      <c r="G101" s="32">
        <v>2500</v>
      </c>
      <c r="H101" s="49">
        <v>344</v>
      </c>
      <c r="I101" s="49">
        <v>2844</v>
      </c>
      <c r="K101" s="56">
        <v>0</v>
      </c>
      <c r="L101" s="68">
        <v>0.31</v>
      </c>
      <c r="M101" s="62">
        <v>3.5000000000000003E-2</v>
      </c>
    </row>
    <row r="102" spans="1:13" ht="23.25">
      <c r="A102" s="55" t="s">
        <v>73</v>
      </c>
      <c r="B102" s="48">
        <v>15000</v>
      </c>
      <c r="C102" s="57">
        <v>8</v>
      </c>
      <c r="D102" s="58">
        <v>3102</v>
      </c>
      <c r="E102" s="58">
        <v>18102</v>
      </c>
      <c r="F102" s="58">
        <v>350</v>
      </c>
      <c r="G102" s="58">
        <v>1875</v>
      </c>
      <c r="H102" s="58">
        <v>344</v>
      </c>
      <c r="I102" s="58">
        <v>2219</v>
      </c>
      <c r="K102" s="57">
        <v>0</v>
      </c>
      <c r="L102" s="68">
        <v>0.31</v>
      </c>
      <c r="M102" s="62">
        <v>3.5000000000000003E-2</v>
      </c>
    </row>
    <row r="103" spans="1:13" ht="24" customHeight="1">
      <c r="A103" s="55" t="s">
        <v>73</v>
      </c>
      <c r="B103" s="48">
        <v>15000</v>
      </c>
      <c r="C103" s="59">
        <v>10</v>
      </c>
      <c r="D103" s="50">
        <v>3878</v>
      </c>
      <c r="E103" s="50">
        <v>18878</v>
      </c>
      <c r="F103" s="50">
        <v>438</v>
      </c>
      <c r="G103" s="50">
        <v>1500</v>
      </c>
      <c r="H103" s="50">
        <v>344</v>
      </c>
      <c r="I103" s="50">
        <v>1844</v>
      </c>
      <c r="K103" s="59">
        <v>0</v>
      </c>
      <c r="L103" s="68">
        <v>0.31</v>
      </c>
      <c r="M103" s="62">
        <v>3.5000000000000003E-2</v>
      </c>
    </row>
    <row r="104" spans="1:13" ht="23.25">
      <c r="A104" s="55" t="s">
        <v>73</v>
      </c>
      <c r="B104" s="48">
        <v>15000</v>
      </c>
      <c r="C104" s="57">
        <v>12</v>
      </c>
      <c r="D104" s="58">
        <v>4653</v>
      </c>
      <c r="E104" s="58">
        <v>19653</v>
      </c>
      <c r="F104" s="58">
        <v>525</v>
      </c>
      <c r="G104" s="58">
        <v>1250</v>
      </c>
      <c r="H104" s="58">
        <v>344</v>
      </c>
      <c r="I104" s="58">
        <v>1594</v>
      </c>
      <c r="K104" s="57">
        <v>0</v>
      </c>
      <c r="L104" s="68">
        <v>0.31</v>
      </c>
      <c r="M104" s="62">
        <v>3.5000000000000003E-2</v>
      </c>
    </row>
    <row r="105" spans="1:13" ht="23.25">
      <c r="A105" s="55" t="s">
        <v>73</v>
      </c>
      <c r="B105" s="48">
        <v>15000</v>
      </c>
      <c r="C105" s="59">
        <v>14</v>
      </c>
      <c r="D105" s="50">
        <v>5437</v>
      </c>
      <c r="E105" s="50">
        <v>20437</v>
      </c>
      <c r="F105" s="50">
        <v>613</v>
      </c>
      <c r="G105" s="50">
        <v>1072</v>
      </c>
      <c r="H105" s="50">
        <v>344</v>
      </c>
      <c r="I105" s="50">
        <v>1416</v>
      </c>
      <c r="K105" s="59">
        <v>0</v>
      </c>
      <c r="L105" s="68">
        <v>0.31</v>
      </c>
      <c r="M105" s="62">
        <v>3.5000000000000003E-2</v>
      </c>
    </row>
    <row r="106" spans="1:13" ht="23.25">
      <c r="A106" s="55" t="s">
        <v>73</v>
      </c>
      <c r="B106" s="48">
        <v>15000</v>
      </c>
      <c r="C106" s="57">
        <v>16</v>
      </c>
      <c r="D106" s="58">
        <v>6212</v>
      </c>
      <c r="E106" s="58">
        <v>21212</v>
      </c>
      <c r="F106" s="58">
        <v>700</v>
      </c>
      <c r="G106" s="58">
        <v>938</v>
      </c>
      <c r="H106" s="58">
        <v>344</v>
      </c>
      <c r="I106" s="58">
        <v>1282</v>
      </c>
      <c r="K106" s="57">
        <v>0</v>
      </c>
      <c r="L106" s="68">
        <v>0.31</v>
      </c>
      <c r="M106" s="62">
        <v>3.5000000000000003E-2</v>
      </c>
    </row>
    <row r="107" spans="1:13" ht="24" thickBot="1">
      <c r="A107" s="60" t="s">
        <v>73</v>
      </c>
      <c r="B107" s="51">
        <v>15000</v>
      </c>
      <c r="C107" s="61">
        <v>18</v>
      </c>
      <c r="D107" s="52">
        <v>6992</v>
      </c>
      <c r="E107" s="52">
        <v>21992</v>
      </c>
      <c r="F107" s="52">
        <v>788</v>
      </c>
      <c r="G107" s="52">
        <v>834</v>
      </c>
      <c r="H107" s="53">
        <v>344</v>
      </c>
      <c r="I107" s="52">
        <v>1178</v>
      </c>
      <c r="K107" s="61">
        <v>0</v>
      </c>
      <c r="L107" s="68">
        <v>0.31</v>
      </c>
      <c r="M107" s="62">
        <v>3.5000000000000003E-2</v>
      </c>
    </row>
    <row r="108" spans="1:13" ht="24" thickTop="1">
      <c r="A108" s="15" t="s">
        <v>73</v>
      </c>
      <c r="B108" s="21">
        <v>16000</v>
      </c>
      <c r="C108" s="11">
        <v>4</v>
      </c>
      <c r="D108" s="31">
        <v>1655</v>
      </c>
      <c r="E108" s="31">
        <v>17655</v>
      </c>
      <c r="F108" s="31">
        <v>187</v>
      </c>
      <c r="G108" s="31">
        <v>4000</v>
      </c>
      <c r="H108" s="31">
        <v>367</v>
      </c>
      <c r="I108" s="31">
        <v>4367</v>
      </c>
      <c r="K108" s="54">
        <v>0</v>
      </c>
      <c r="L108" s="68">
        <v>0.31</v>
      </c>
      <c r="M108" s="62">
        <v>3.5000000000000003E-2</v>
      </c>
    </row>
    <row r="109" spans="1:13" ht="23.25">
      <c r="A109" s="55" t="s">
        <v>73</v>
      </c>
      <c r="B109" s="48">
        <v>16000</v>
      </c>
      <c r="C109" s="56">
        <v>6</v>
      </c>
      <c r="D109" s="32">
        <v>2484</v>
      </c>
      <c r="E109" s="32">
        <v>18484</v>
      </c>
      <c r="F109" s="32">
        <v>280</v>
      </c>
      <c r="G109" s="32">
        <v>2667</v>
      </c>
      <c r="H109" s="49">
        <v>367</v>
      </c>
      <c r="I109" s="49">
        <v>3034</v>
      </c>
      <c r="K109" s="56">
        <v>0</v>
      </c>
      <c r="L109" s="68">
        <v>0.31</v>
      </c>
      <c r="M109" s="62">
        <v>3.5000000000000003E-2</v>
      </c>
    </row>
    <row r="110" spans="1:13" ht="23.25">
      <c r="A110" s="55" t="s">
        <v>73</v>
      </c>
      <c r="B110" s="48">
        <v>16000</v>
      </c>
      <c r="C110" s="57">
        <v>8</v>
      </c>
      <c r="D110" s="58">
        <v>3310</v>
      </c>
      <c r="E110" s="58">
        <v>19310</v>
      </c>
      <c r="F110" s="58">
        <v>374</v>
      </c>
      <c r="G110" s="58">
        <v>2000</v>
      </c>
      <c r="H110" s="58">
        <v>367</v>
      </c>
      <c r="I110" s="58">
        <v>2367</v>
      </c>
      <c r="K110" s="57">
        <v>0</v>
      </c>
      <c r="L110" s="68">
        <v>0.31</v>
      </c>
      <c r="M110" s="62">
        <v>3.5000000000000003E-2</v>
      </c>
    </row>
    <row r="111" spans="1:13" ht="23.25">
      <c r="A111" s="55" t="s">
        <v>73</v>
      </c>
      <c r="B111" s="48">
        <v>16000</v>
      </c>
      <c r="C111" s="59">
        <v>10</v>
      </c>
      <c r="D111" s="50">
        <v>4137</v>
      </c>
      <c r="E111" s="50">
        <v>20137</v>
      </c>
      <c r="F111" s="50">
        <v>467</v>
      </c>
      <c r="G111" s="50">
        <v>1600</v>
      </c>
      <c r="H111" s="50">
        <v>367</v>
      </c>
      <c r="I111" s="50">
        <v>1967</v>
      </c>
      <c r="K111" s="59">
        <v>0</v>
      </c>
      <c r="L111" s="68">
        <v>0.31</v>
      </c>
      <c r="M111" s="62">
        <v>3.5000000000000003E-2</v>
      </c>
    </row>
    <row r="112" spans="1:13" ht="24" customHeight="1">
      <c r="A112" s="55" t="s">
        <v>73</v>
      </c>
      <c r="B112" s="48">
        <v>16000</v>
      </c>
      <c r="C112" s="57">
        <v>12</v>
      </c>
      <c r="D112" s="58">
        <v>4972</v>
      </c>
      <c r="E112" s="58">
        <v>20972</v>
      </c>
      <c r="F112" s="58">
        <v>560</v>
      </c>
      <c r="G112" s="58">
        <v>1334</v>
      </c>
      <c r="H112" s="58">
        <v>367</v>
      </c>
      <c r="I112" s="58">
        <v>1701</v>
      </c>
      <c r="K112" s="57">
        <v>0</v>
      </c>
      <c r="L112" s="68">
        <v>0.31</v>
      </c>
      <c r="M112" s="62">
        <v>3.5000000000000003E-2</v>
      </c>
    </row>
    <row r="113" spans="1:13" ht="23.25">
      <c r="A113" s="55" t="s">
        <v>73</v>
      </c>
      <c r="B113" s="48">
        <v>16000</v>
      </c>
      <c r="C113" s="59">
        <v>14</v>
      </c>
      <c r="D113" s="50">
        <v>5794</v>
      </c>
      <c r="E113" s="50">
        <v>21794</v>
      </c>
      <c r="F113" s="50">
        <v>654</v>
      </c>
      <c r="G113" s="50">
        <v>1143</v>
      </c>
      <c r="H113" s="50">
        <v>367</v>
      </c>
      <c r="I113" s="50">
        <v>1510</v>
      </c>
      <c r="K113" s="59">
        <v>0</v>
      </c>
      <c r="L113" s="68">
        <v>0.31</v>
      </c>
      <c r="M113" s="62">
        <v>3.5000000000000003E-2</v>
      </c>
    </row>
    <row r="114" spans="1:13" ht="23.25">
      <c r="A114" s="55" t="s">
        <v>73</v>
      </c>
      <c r="B114" s="48">
        <v>16000</v>
      </c>
      <c r="C114" s="57">
        <v>16</v>
      </c>
      <c r="D114" s="58">
        <v>6619</v>
      </c>
      <c r="E114" s="58">
        <v>22619</v>
      </c>
      <c r="F114" s="58">
        <v>747</v>
      </c>
      <c r="G114" s="58">
        <v>1000</v>
      </c>
      <c r="H114" s="58">
        <v>367</v>
      </c>
      <c r="I114" s="58">
        <v>1367</v>
      </c>
      <c r="K114" s="57">
        <v>0</v>
      </c>
      <c r="L114" s="68">
        <v>0.31</v>
      </c>
      <c r="M114" s="62">
        <v>3.5000000000000003E-2</v>
      </c>
    </row>
    <row r="115" spans="1:13" ht="24" thickBot="1">
      <c r="A115" s="60" t="s">
        <v>73</v>
      </c>
      <c r="B115" s="51">
        <v>16000</v>
      </c>
      <c r="C115" s="61">
        <v>18</v>
      </c>
      <c r="D115" s="52">
        <v>7448</v>
      </c>
      <c r="E115" s="52">
        <v>23448</v>
      </c>
      <c r="F115" s="52">
        <v>840</v>
      </c>
      <c r="G115" s="52">
        <v>889</v>
      </c>
      <c r="H115" s="53">
        <v>367</v>
      </c>
      <c r="I115" s="52">
        <v>1256</v>
      </c>
      <c r="K115" s="61">
        <v>0</v>
      </c>
      <c r="L115" s="68">
        <v>0.31</v>
      </c>
      <c r="M115" s="62">
        <v>3.5000000000000003E-2</v>
      </c>
    </row>
    <row r="116" spans="1:13" ht="24" thickTop="1">
      <c r="A116" s="15" t="s">
        <v>73</v>
      </c>
      <c r="B116" s="21">
        <v>17000</v>
      </c>
      <c r="C116" s="11">
        <v>4</v>
      </c>
      <c r="D116" s="31">
        <v>1759</v>
      </c>
      <c r="E116" s="31">
        <v>18759</v>
      </c>
      <c r="F116" s="31">
        <v>199</v>
      </c>
      <c r="G116" s="31">
        <v>4250</v>
      </c>
      <c r="H116" s="31">
        <v>390</v>
      </c>
      <c r="I116" s="31">
        <v>4640</v>
      </c>
      <c r="K116" s="54">
        <v>0</v>
      </c>
      <c r="L116" s="68">
        <v>0.31</v>
      </c>
      <c r="M116" s="62">
        <v>3.5000000000000003E-2</v>
      </c>
    </row>
    <row r="117" spans="1:13" ht="23.25">
      <c r="A117" s="55" t="s">
        <v>73</v>
      </c>
      <c r="B117" s="48">
        <v>17000</v>
      </c>
      <c r="C117" s="56">
        <v>6</v>
      </c>
      <c r="D117" s="32">
        <v>2636</v>
      </c>
      <c r="E117" s="32">
        <v>19636</v>
      </c>
      <c r="F117" s="32">
        <v>298</v>
      </c>
      <c r="G117" s="32">
        <v>2834</v>
      </c>
      <c r="H117" s="49">
        <v>389</v>
      </c>
      <c r="I117" s="49">
        <v>3223</v>
      </c>
      <c r="K117" s="56">
        <v>0</v>
      </c>
      <c r="L117" s="68">
        <v>0.31</v>
      </c>
      <c r="M117" s="62">
        <v>3.5000000000000003E-2</v>
      </c>
    </row>
    <row r="118" spans="1:13" ht="23.25">
      <c r="A118" s="55" t="s">
        <v>73</v>
      </c>
      <c r="B118" s="48">
        <v>17000</v>
      </c>
      <c r="C118" s="57">
        <v>8</v>
      </c>
      <c r="D118" s="58">
        <v>3517</v>
      </c>
      <c r="E118" s="58">
        <v>20517</v>
      </c>
      <c r="F118" s="58">
        <v>397</v>
      </c>
      <c r="G118" s="58">
        <v>2125</v>
      </c>
      <c r="H118" s="58">
        <v>390</v>
      </c>
      <c r="I118" s="58">
        <v>2515</v>
      </c>
      <c r="K118" s="57">
        <v>0</v>
      </c>
      <c r="L118" s="68">
        <v>0.31</v>
      </c>
      <c r="M118" s="62">
        <v>3.5000000000000003E-2</v>
      </c>
    </row>
    <row r="119" spans="1:13" ht="23.25">
      <c r="A119" s="55" t="s">
        <v>73</v>
      </c>
      <c r="B119" s="48">
        <v>17000</v>
      </c>
      <c r="C119" s="59">
        <v>10</v>
      </c>
      <c r="D119" s="50">
        <v>4396</v>
      </c>
      <c r="E119" s="50">
        <v>21396</v>
      </c>
      <c r="F119" s="50">
        <v>496</v>
      </c>
      <c r="G119" s="50">
        <v>1700</v>
      </c>
      <c r="H119" s="50">
        <v>390</v>
      </c>
      <c r="I119" s="50">
        <v>2090</v>
      </c>
      <c r="K119" s="59">
        <v>0</v>
      </c>
      <c r="L119" s="68">
        <v>0.31</v>
      </c>
      <c r="M119" s="62">
        <v>3.5000000000000003E-2</v>
      </c>
    </row>
    <row r="120" spans="1:13" ht="23.25">
      <c r="A120" s="55" t="s">
        <v>73</v>
      </c>
      <c r="B120" s="48">
        <v>17000</v>
      </c>
      <c r="C120" s="57">
        <v>12</v>
      </c>
      <c r="D120" s="58">
        <v>5279</v>
      </c>
      <c r="E120" s="58">
        <v>22279</v>
      </c>
      <c r="F120" s="58">
        <v>595</v>
      </c>
      <c r="G120" s="58">
        <v>1417</v>
      </c>
      <c r="H120" s="58">
        <v>390</v>
      </c>
      <c r="I120" s="58">
        <v>1807</v>
      </c>
      <c r="K120" s="57">
        <v>0</v>
      </c>
      <c r="L120" s="68">
        <v>0.31</v>
      </c>
      <c r="M120" s="62">
        <v>3.5000000000000003E-2</v>
      </c>
    </row>
    <row r="121" spans="1:13" ht="24" customHeight="1">
      <c r="A121" s="55" t="s">
        <v>73</v>
      </c>
      <c r="B121" s="48">
        <v>17000</v>
      </c>
      <c r="C121" s="59">
        <v>14</v>
      </c>
      <c r="D121" s="50">
        <v>6151</v>
      </c>
      <c r="E121" s="50">
        <v>23151</v>
      </c>
      <c r="F121" s="50">
        <v>695</v>
      </c>
      <c r="G121" s="50">
        <v>1215</v>
      </c>
      <c r="H121" s="50">
        <v>389</v>
      </c>
      <c r="I121" s="50">
        <v>1604</v>
      </c>
      <c r="K121" s="59">
        <v>0</v>
      </c>
      <c r="L121" s="68">
        <v>0.31</v>
      </c>
      <c r="M121" s="62">
        <v>3.5000000000000003E-2</v>
      </c>
    </row>
    <row r="122" spans="1:13" ht="23.25">
      <c r="A122" s="55" t="s">
        <v>73</v>
      </c>
      <c r="B122" s="48">
        <v>17000</v>
      </c>
      <c r="C122" s="57">
        <v>16</v>
      </c>
      <c r="D122" s="58">
        <v>7042</v>
      </c>
      <c r="E122" s="58">
        <v>24042</v>
      </c>
      <c r="F122" s="58">
        <v>794</v>
      </c>
      <c r="G122" s="58">
        <v>1063</v>
      </c>
      <c r="H122" s="58">
        <v>390</v>
      </c>
      <c r="I122" s="58">
        <v>1453</v>
      </c>
      <c r="K122" s="57">
        <v>0</v>
      </c>
      <c r="L122" s="68">
        <v>0.31</v>
      </c>
      <c r="M122" s="62">
        <v>3.5000000000000003E-2</v>
      </c>
    </row>
    <row r="123" spans="1:13" ht="24" thickBot="1">
      <c r="A123" s="60" t="s">
        <v>73</v>
      </c>
      <c r="B123" s="51">
        <v>17000</v>
      </c>
      <c r="C123" s="61">
        <v>18</v>
      </c>
      <c r="D123" s="52">
        <v>7923</v>
      </c>
      <c r="E123" s="52">
        <v>24923</v>
      </c>
      <c r="F123" s="52">
        <v>893</v>
      </c>
      <c r="G123" s="52">
        <v>945</v>
      </c>
      <c r="H123" s="53">
        <v>390</v>
      </c>
      <c r="I123" s="52">
        <v>1335</v>
      </c>
      <c r="K123" s="61">
        <v>0</v>
      </c>
      <c r="L123" s="68">
        <v>0.31</v>
      </c>
      <c r="M123" s="62">
        <v>3.5000000000000003E-2</v>
      </c>
    </row>
    <row r="124" spans="1:13" ht="24" thickTop="1">
      <c r="A124" s="15" t="s">
        <v>73</v>
      </c>
      <c r="B124" s="21">
        <v>18000</v>
      </c>
      <c r="C124" s="11">
        <v>4</v>
      </c>
      <c r="D124" s="31">
        <v>1862</v>
      </c>
      <c r="E124" s="31">
        <v>19862</v>
      </c>
      <c r="F124" s="31">
        <v>210</v>
      </c>
      <c r="G124" s="31">
        <v>4500</v>
      </c>
      <c r="H124" s="31">
        <v>413</v>
      </c>
      <c r="I124" s="31">
        <v>4913</v>
      </c>
      <c r="K124" s="54">
        <v>0</v>
      </c>
      <c r="L124" s="68">
        <v>0.31</v>
      </c>
      <c r="M124" s="62">
        <v>3.5000000000000003E-2</v>
      </c>
    </row>
    <row r="125" spans="1:13" ht="23.25">
      <c r="A125" s="55" t="s">
        <v>73</v>
      </c>
      <c r="B125" s="48">
        <v>18000</v>
      </c>
      <c r="C125" s="56">
        <v>6</v>
      </c>
      <c r="D125" s="32">
        <v>2793</v>
      </c>
      <c r="E125" s="32">
        <v>20793</v>
      </c>
      <c r="F125" s="32">
        <v>315</v>
      </c>
      <c r="G125" s="32">
        <v>3000</v>
      </c>
      <c r="H125" s="49">
        <v>413</v>
      </c>
      <c r="I125" s="49">
        <v>3413</v>
      </c>
      <c r="K125" s="56">
        <v>0</v>
      </c>
      <c r="L125" s="68">
        <v>0.31</v>
      </c>
      <c r="M125" s="62">
        <v>3.5000000000000003E-2</v>
      </c>
    </row>
    <row r="126" spans="1:13" ht="23.25">
      <c r="A126" s="55" t="s">
        <v>73</v>
      </c>
      <c r="B126" s="48">
        <v>18000</v>
      </c>
      <c r="C126" s="57">
        <v>8</v>
      </c>
      <c r="D126" s="58">
        <v>3724</v>
      </c>
      <c r="E126" s="58">
        <v>21724</v>
      </c>
      <c r="F126" s="58">
        <v>420</v>
      </c>
      <c r="G126" s="58">
        <v>2250</v>
      </c>
      <c r="H126" s="58">
        <v>413</v>
      </c>
      <c r="I126" s="58">
        <v>2663</v>
      </c>
      <c r="K126" s="57">
        <v>0</v>
      </c>
      <c r="L126" s="68">
        <v>0.31</v>
      </c>
      <c r="M126" s="62">
        <v>3.5000000000000003E-2</v>
      </c>
    </row>
    <row r="127" spans="1:13" ht="23.25">
      <c r="A127" s="55" t="s">
        <v>73</v>
      </c>
      <c r="B127" s="48">
        <v>18000</v>
      </c>
      <c r="C127" s="59">
        <v>10</v>
      </c>
      <c r="D127" s="50">
        <v>4655</v>
      </c>
      <c r="E127" s="50">
        <v>22655</v>
      </c>
      <c r="F127" s="50">
        <v>525</v>
      </c>
      <c r="G127" s="50">
        <v>1800</v>
      </c>
      <c r="H127" s="50">
        <v>413</v>
      </c>
      <c r="I127" s="50">
        <v>2213</v>
      </c>
      <c r="K127" s="59">
        <v>0</v>
      </c>
      <c r="L127" s="68">
        <v>0.31</v>
      </c>
      <c r="M127" s="62">
        <v>3.5000000000000003E-2</v>
      </c>
    </row>
    <row r="128" spans="1:13" ht="23.25">
      <c r="A128" s="55" t="s">
        <v>73</v>
      </c>
      <c r="B128" s="48">
        <v>18000</v>
      </c>
      <c r="C128" s="57">
        <v>12</v>
      </c>
      <c r="D128" s="58">
        <v>5586</v>
      </c>
      <c r="E128" s="58">
        <v>23586</v>
      </c>
      <c r="F128" s="58">
        <v>630</v>
      </c>
      <c r="G128" s="58">
        <v>1500</v>
      </c>
      <c r="H128" s="58">
        <v>413</v>
      </c>
      <c r="I128" s="58">
        <v>1913</v>
      </c>
      <c r="K128" s="57">
        <v>0</v>
      </c>
      <c r="L128" s="68">
        <v>0.31</v>
      </c>
      <c r="M128" s="62">
        <v>3.5000000000000003E-2</v>
      </c>
    </row>
    <row r="129" spans="1:13" ht="23.25">
      <c r="A129" s="55" t="s">
        <v>73</v>
      </c>
      <c r="B129" s="48">
        <v>18000</v>
      </c>
      <c r="C129" s="59">
        <v>14</v>
      </c>
      <c r="D129" s="50">
        <v>6521</v>
      </c>
      <c r="E129" s="50">
        <v>24521</v>
      </c>
      <c r="F129" s="50">
        <v>735</v>
      </c>
      <c r="G129" s="50">
        <v>1286</v>
      </c>
      <c r="H129" s="50">
        <v>413</v>
      </c>
      <c r="I129" s="50">
        <v>1699</v>
      </c>
      <c r="K129" s="59">
        <v>0</v>
      </c>
      <c r="L129" s="68">
        <v>0.31</v>
      </c>
      <c r="M129" s="62">
        <v>3.5000000000000003E-2</v>
      </c>
    </row>
    <row r="130" spans="1:13" ht="24" customHeight="1">
      <c r="A130" s="55" t="s">
        <v>73</v>
      </c>
      <c r="B130" s="48">
        <v>18000</v>
      </c>
      <c r="C130" s="57">
        <v>16</v>
      </c>
      <c r="D130" s="58">
        <v>7448</v>
      </c>
      <c r="E130" s="58">
        <v>25448</v>
      </c>
      <c r="F130" s="58">
        <v>840</v>
      </c>
      <c r="G130" s="58">
        <v>1125</v>
      </c>
      <c r="H130" s="58">
        <v>413</v>
      </c>
      <c r="I130" s="58">
        <v>1538</v>
      </c>
      <c r="K130" s="57">
        <v>0</v>
      </c>
      <c r="L130" s="68">
        <v>0.31</v>
      </c>
      <c r="M130" s="62">
        <v>3.5000000000000003E-2</v>
      </c>
    </row>
    <row r="131" spans="1:13" ht="24" thickBot="1">
      <c r="A131" s="60" t="s">
        <v>73</v>
      </c>
      <c r="B131" s="51">
        <v>18000</v>
      </c>
      <c r="C131" s="61">
        <v>18</v>
      </c>
      <c r="D131" s="52">
        <v>8379</v>
      </c>
      <c r="E131" s="52">
        <v>26379</v>
      </c>
      <c r="F131" s="52">
        <v>945</v>
      </c>
      <c r="G131" s="52">
        <v>1000</v>
      </c>
      <c r="H131" s="53">
        <v>413</v>
      </c>
      <c r="I131" s="52">
        <v>1413</v>
      </c>
      <c r="K131" s="61">
        <v>0</v>
      </c>
      <c r="L131" s="68">
        <v>0.31</v>
      </c>
      <c r="M131" s="62">
        <v>3.5000000000000003E-2</v>
      </c>
    </row>
    <row r="132" spans="1:13" ht="24" thickTop="1">
      <c r="A132" s="15" t="s">
        <v>73</v>
      </c>
      <c r="B132" s="21">
        <v>19000</v>
      </c>
      <c r="C132" s="11">
        <v>4</v>
      </c>
      <c r="D132" s="31">
        <v>1966</v>
      </c>
      <c r="E132" s="31">
        <v>20966</v>
      </c>
      <c r="F132" s="31">
        <v>222</v>
      </c>
      <c r="G132" s="31">
        <v>4750</v>
      </c>
      <c r="H132" s="31">
        <v>436</v>
      </c>
      <c r="I132" s="31">
        <v>5186</v>
      </c>
      <c r="K132" s="54">
        <v>0</v>
      </c>
      <c r="L132" s="68">
        <v>0.31</v>
      </c>
      <c r="M132" s="62">
        <v>3.5000000000000003E-2</v>
      </c>
    </row>
    <row r="133" spans="1:13" ht="23.25">
      <c r="A133" s="55" t="s">
        <v>73</v>
      </c>
      <c r="B133" s="48">
        <v>19000</v>
      </c>
      <c r="C133" s="56">
        <v>6</v>
      </c>
      <c r="D133" s="32">
        <v>2951</v>
      </c>
      <c r="E133" s="32">
        <v>21951</v>
      </c>
      <c r="F133" s="32">
        <v>333</v>
      </c>
      <c r="G133" s="32">
        <v>3167</v>
      </c>
      <c r="H133" s="49">
        <v>436</v>
      </c>
      <c r="I133" s="49">
        <v>3603</v>
      </c>
      <c r="K133" s="56">
        <v>0</v>
      </c>
      <c r="L133" s="68">
        <v>0.31</v>
      </c>
      <c r="M133" s="62">
        <v>3.5000000000000003E-2</v>
      </c>
    </row>
    <row r="134" spans="1:13" ht="23.25">
      <c r="A134" s="55" t="s">
        <v>73</v>
      </c>
      <c r="B134" s="48">
        <v>19000</v>
      </c>
      <c r="C134" s="57">
        <v>8</v>
      </c>
      <c r="D134" s="58">
        <v>3932</v>
      </c>
      <c r="E134" s="58">
        <v>22932</v>
      </c>
      <c r="F134" s="58">
        <v>444</v>
      </c>
      <c r="G134" s="58">
        <v>2375</v>
      </c>
      <c r="H134" s="58">
        <v>436</v>
      </c>
      <c r="I134" s="58">
        <v>2811</v>
      </c>
      <c r="K134" s="57">
        <v>0</v>
      </c>
      <c r="L134" s="68">
        <v>0.31</v>
      </c>
      <c r="M134" s="62">
        <v>3.5000000000000003E-2</v>
      </c>
    </row>
    <row r="135" spans="1:13" ht="23.25">
      <c r="A135" s="55" t="s">
        <v>73</v>
      </c>
      <c r="B135" s="48">
        <v>19000</v>
      </c>
      <c r="C135" s="59">
        <v>10</v>
      </c>
      <c r="D135" s="50">
        <v>4915</v>
      </c>
      <c r="E135" s="50">
        <v>23915</v>
      </c>
      <c r="F135" s="50">
        <v>555</v>
      </c>
      <c r="G135" s="50">
        <v>1900</v>
      </c>
      <c r="H135" s="50">
        <v>436</v>
      </c>
      <c r="I135" s="50">
        <v>2336</v>
      </c>
      <c r="K135" s="59">
        <v>0</v>
      </c>
      <c r="L135" s="68">
        <v>0.31</v>
      </c>
      <c r="M135" s="62">
        <v>3.5000000000000003E-2</v>
      </c>
    </row>
    <row r="136" spans="1:13" ht="23.25">
      <c r="A136" s="55" t="s">
        <v>73</v>
      </c>
      <c r="B136" s="48">
        <v>19000</v>
      </c>
      <c r="C136" s="57">
        <v>12</v>
      </c>
      <c r="D136" s="58">
        <v>5893</v>
      </c>
      <c r="E136" s="58">
        <v>24893</v>
      </c>
      <c r="F136" s="58">
        <v>665</v>
      </c>
      <c r="G136" s="58">
        <v>1584</v>
      </c>
      <c r="H136" s="58">
        <v>435</v>
      </c>
      <c r="I136" s="58">
        <v>2019</v>
      </c>
      <c r="K136" s="57">
        <v>0</v>
      </c>
      <c r="L136" s="68">
        <v>0.31</v>
      </c>
      <c r="M136" s="62">
        <v>3.5000000000000003E-2</v>
      </c>
    </row>
    <row r="137" spans="1:13" ht="23.25">
      <c r="A137" s="55" t="s">
        <v>73</v>
      </c>
      <c r="B137" s="48">
        <v>19000</v>
      </c>
      <c r="C137" s="59">
        <v>14</v>
      </c>
      <c r="D137" s="50">
        <v>6878</v>
      </c>
      <c r="E137" s="50">
        <v>25878</v>
      </c>
      <c r="F137" s="50">
        <v>776</v>
      </c>
      <c r="G137" s="50">
        <v>1358</v>
      </c>
      <c r="H137" s="50">
        <v>435</v>
      </c>
      <c r="I137" s="50">
        <v>1793</v>
      </c>
      <c r="K137" s="59">
        <v>0</v>
      </c>
      <c r="L137" s="68">
        <v>0.31</v>
      </c>
      <c r="M137" s="62">
        <v>3.5000000000000003E-2</v>
      </c>
    </row>
    <row r="138" spans="1:13" ht="23.25">
      <c r="A138" s="55" t="s">
        <v>73</v>
      </c>
      <c r="B138" s="48">
        <v>19000</v>
      </c>
      <c r="C138" s="57">
        <v>16</v>
      </c>
      <c r="D138" s="58">
        <v>7855</v>
      </c>
      <c r="E138" s="58">
        <v>26855</v>
      </c>
      <c r="F138" s="58">
        <v>887</v>
      </c>
      <c r="G138" s="58">
        <v>1188</v>
      </c>
      <c r="H138" s="58">
        <v>435</v>
      </c>
      <c r="I138" s="58">
        <v>1623</v>
      </c>
      <c r="K138" s="57">
        <v>0</v>
      </c>
      <c r="L138" s="68">
        <v>0.31</v>
      </c>
      <c r="M138" s="62">
        <v>3.5000000000000003E-2</v>
      </c>
    </row>
    <row r="139" spans="1:13" ht="24" customHeight="1" thickBot="1">
      <c r="A139" s="60" t="s">
        <v>73</v>
      </c>
      <c r="B139" s="51">
        <v>19000</v>
      </c>
      <c r="C139" s="61">
        <v>18</v>
      </c>
      <c r="D139" s="52">
        <v>8836</v>
      </c>
      <c r="E139" s="52">
        <v>27836</v>
      </c>
      <c r="F139" s="52">
        <v>998</v>
      </c>
      <c r="G139" s="52">
        <v>1056</v>
      </c>
      <c r="H139" s="53">
        <v>435</v>
      </c>
      <c r="I139" s="52">
        <v>1491</v>
      </c>
      <c r="K139" s="61">
        <v>0</v>
      </c>
      <c r="L139" s="68">
        <v>0.31</v>
      </c>
      <c r="M139" s="62">
        <v>3.5000000000000003E-2</v>
      </c>
    </row>
    <row r="140" spans="1:13" ht="24" thickTop="1">
      <c r="A140" s="15" t="s">
        <v>73</v>
      </c>
      <c r="B140" s="21">
        <v>20000</v>
      </c>
      <c r="C140" s="11">
        <v>4</v>
      </c>
      <c r="D140" s="31">
        <v>2070</v>
      </c>
      <c r="E140" s="31">
        <v>22070</v>
      </c>
      <c r="F140" s="31">
        <v>234</v>
      </c>
      <c r="G140" s="31">
        <v>5000</v>
      </c>
      <c r="H140" s="31">
        <v>459</v>
      </c>
      <c r="I140" s="31">
        <v>5459</v>
      </c>
      <c r="K140" s="54">
        <v>0</v>
      </c>
      <c r="L140" s="68">
        <v>0.31</v>
      </c>
      <c r="M140" s="62">
        <v>3.5000000000000003E-2</v>
      </c>
    </row>
    <row r="141" spans="1:13" ht="23.25">
      <c r="A141" s="55" t="s">
        <v>73</v>
      </c>
      <c r="B141" s="48">
        <v>20000</v>
      </c>
      <c r="C141" s="56">
        <v>6</v>
      </c>
      <c r="D141" s="32">
        <v>3102</v>
      </c>
      <c r="E141" s="32">
        <v>23102</v>
      </c>
      <c r="F141" s="32">
        <v>350</v>
      </c>
      <c r="G141" s="32">
        <v>3334</v>
      </c>
      <c r="H141" s="49">
        <v>458</v>
      </c>
      <c r="I141" s="49">
        <v>3792</v>
      </c>
      <c r="K141" s="56">
        <v>0</v>
      </c>
      <c r="L141" s="68">
        <v>0.31</v>
      </c>
      <c r="M141" s="62">
        <v>3.5000000000000003E-2</v>
      </c>
    </row>
    <row r="142" spans="1:13" ht="23.25">
      <c r="A142" s="55" t="s">
        <v>73</v>
      </c>
      <c r="B142" s="48">
        <v>20000</v>
      </c>
      <c r="C142" s="57">
        <v>8</v>
      </c>
      <c r="D142" s="58">
        <v>4139</v>
      </c>
      <c r="E142" s="58">
        <v>24139</v>
      </c>
      <c r="F142" s="58">
        <v>467</v>
      </c>
      <c r="G142" s="58">
        <v>2500</v>
      </c>
      <c r="H142" s="58">
        <v>459</v>
      </c>
      <c r="I142" s="58">
        <v>2959</v>
      </c>
      <c r="K142" s="57">
        <v>0</v>
      </c>
      <c r="L142" s="68">
        <v>0.31</v>
      </c>
      <c r="M142" s="62">
        <v>3.5000000000000003E-2</v>
      </c>
    </row>
    <row r="143" spans="1:13" ht="23.25">
      <c r="A143" s="55" t="s">
        <v>73</v>
      </c>
      <c r="B143" s="48">
        <v>20000</v>
      </c>
      <c r="C143" s="59">
        <v>10</v>
      </c>
      <c r="D143" s="50">
        <v>5174</v>
      </c>
      <c r="E143" s="50">
        <v>25174</v>
      </c>
      <c r="F143" s="50">
        <v>584</v>
      </c>
      <c r="G143" s="50">
        <v>2000</v>
      </c>
      <c r="H143" s="50">
        <v>459</v>
      </c>
      <c r="I143" s="50">
        <v>2459</v>
      </c>
      <c r="K143" s="59">
        <v>0</v>
      </c>
      <c r="L143" s="68">
        <v>0.31</v>
      </c>
      <c r="M143" s="62">
        <v>3.5000000000000003E-2</v>
      </c>
    </row>
    <row r="144" spans="1:13" ht="23.25">
      <c r="A144" s="55" t="s">
        <v>73</v>
      </c>
      <c r="B144" s="48">
        <v>20000</v>
      </c>
      <c r="C144" s="57">
        <v>12</v>
      </c>
      <c r="D144" s="58">
        <v>6212</v>
      </c>
      <c r="E144" s="58">
        <v>26212</v>
      </c>
      <c r="F144" s="58">
        <v>700</v>
      </c>
      <c r="G144" s="58">
        <v>1667</v>
      </c>
      <c r="H144" s="58">
        <v>459</v>
      </c>
      <c r="I144" s="58">
        <v>2126</v>
      </c>
      <c r="K144" s="57">
        <v>0</v>
      </c>
      <c r="L144" s="68">
        <v>0.31</v>
      </c>
      <c r="M144" s="62">
        <v>3.5000000000000003E-2</v>
      </c>
    </row>
    <row r="145" spans="1:13" ht="23.25">
      <c r="A145" s="55" t="s">
        <v>73</v>
      </c>
      <c r="B145" s="48">
        <v>20000</v>
      </c>
      <c r="C145" s="59">
        <v>14</v>
      </c>
      <c r="D145" s="50">
        <v>7235</v>
      </c>
      <c r="E145" s="50">
        <v>27235</v>
      </c>
      <c r="F145" s="50">
        <v>817</v>
      </c>
      <c r="G145" s="50">
        <v>1429</v>
      </c>
      <c r="H145" s="50">
        <v>458</v>
      </c>
      <c r="I145" s="50">
        <v>1887</v>
      </c>
      <c r="K145" s="59">
        <v>0</v>
      </c>
      <c r="L145" s="68">
        <v>0.31</v>
      </c>
      <c r="M145" s="62">
        <v>3.5000000000000003E-2</v>
      </c>
    </row>
    <row r="146" spans="1:13" ht="23.25">
      <c r="A146" s="55" t="s">
        <v>73</v>
      </c>
      <c r="B146" s="48">
        <v>20000</v>
      </c>
      <c r="C146" s="57">
        <v>16</v>
      </c>
      <c r="D146" s="58">
        <v>8278</v>
      </c>
      <c r="E146" s="58">
        <v>28278</v>
      </c>
      <c r="F146" s="58">
        <v>934</v>
      </c>
      <c r="G146" s="58">
        <v>1250</v>
      </c>
      <c r="H146" s="58">
        <v>459</v>
      </c>
      <c r="I146" s="58">
        <v>1709</v>
      </c>
      <c r="K146" s="57">
        <v>0</v>
      </c>
      <c r="L146" s="68">
        <v>0.31</v>
      </c>
      <c r="M146" s="62">
        <v>3.5000000000000003E-2</v>
      </c>
    </row>
    <row r="147" spans="1:13" ht="24" thickBot="1">
      <c r="A147" s="60" t="s">
        <v>73</v>
      </c>
      <c r="B147" s="51">
        <v>20000</v>
      </c>
      <c r="C147" s="61">
        <v>18</v>
      </c>
      <c r="D147" s="52">
        <v>9310</v>
      </c>
      <c r="E147" s="52">
        <v>29310</v>
      </c>
      <c r="F147" s="52">
        <v>1050</v>
      </c>
      <c r="G147" s="52">
        <v>1112</v>
      </c>
      <c r="H147" s="53">
        <v>458</v>
      </c>
      <c r="I147" s="52">
        <v>1570</v>
      </c>
      <c r="K147" s="61">
        <v>0</v>
      </c>
      <c r="L147" s="68">
        <v>0.31</v>
      </c>
      <c r="M147" s="62">
        <v>3.5000000000000003E-2</v>
      </c>
    </row>
    <row r="148" spans="1:13" ht="24" customHeight="1" thickTop="1">
      <c r="A148" s="15" t="s">
        <v>73</v>
      </c>
      <c r="B148" s="21">
        <v>21000</v>
      </c>
      <c r="C148" s="11">
        <v>4</v>
      </c>
      <c r="D148" s="31">
        <v>2173</v>
      </c>
      <c r="E148" s="31">
        <v>23173</v>
      </c>
      <c r="F148" s="31">
        <v>245</v>
      </c>
      <c r="G148" s="31">
        <v>5250</v>
      </c>
      <c r="H148" s="31">
        <v>482</v>
      </c>
      <c r="I148" s="31">
        <v>5732</v>
      </c>
      <c r="K148" s="54">
        <v>0</v>
      </c>
      <c r="L148" s="68">
        <v>0.31</v>
      </c>
      <c r="M148" s="62">
        <v>3.5000000000000003E-2</v>
      </c>
    </row>
    <row r="149" spans="1:13" ht="23.25">
      <c r="A149" s="55" t="s">
        <v>73</v>
      </c>
      <c r="B149" s="48">
        <v>21000</v>
      </c>
      <c r="C149" s="56">
        <v>6</v>
      </c>
      <c r="D149" s="32">
        <v>3260</v>
      </c>
      <c r="E149" s="32">
        <v>24260</v>
      </c>
      <c r="F149" s="32">
        <v>368</v>
      </c>
      <c r="G149" s="32">
        <v>3500</v>
      </c>
      <c r="H149" s="49">
        <v>482</v>
      </c>
      <c r="I149" s="49">
        <v>3982</v>
      </c>
      <c r="K149" s="56">
        <v>0</v>
      </c>
      <c r="L149" s="68">
        <v>0.31</v>
      </c>
      <c r="M149" s="62">
        <v>3.5000000000000003E-2</v>
      </c>
    </row>
    <row r="150" spans="1:13" ht="23.25">
      <c r="A150" s="55" t="s">
        <v>73</v>
      </c>
      <c r="B150" s="48">
        <v>21000</v>
      </c>
      <c r="C150" s="57">
        <v>8</v>
      </c>
      <c r="D150" s="58">
        <v>4346</v>
      </c>
      <c r="E150" s="58">
        <v>25346</v>
      </c>
      <c r="F150" s="58">
        <v>490</v>
      </c>
      <c r="G150" s="58">
        <v>2625</v>
      </c>
      <c r="H150" s="58">
        <v>482</v>
      </c>
      <c r="I150" s="58">
        <v>3107</v>
      </c>
      <c r="K150" s="57">
        <v>0</v>
      </c>
      <c r="L150" s="68">
        <v>0.31</v>
      </c>
      <c r="M150" s="62">
        <v>3.5000000000000003E-2</v>
      </c>
    </row>
    <row r="151" spans="1:13" ht="23.25">
      <c r="A151" s="55" t="s">
        <v>73</v>
      </c>
      <c r="B151" s="48">
        <v>21000</v>
      </c>
      <c r="C151" s="59">
        <v>10</v>
      </c>
      <c r="D151" s="50">
        <v>5433</v>
      </c>
      <c r="E151" s="50">
        <v>26433</v>
      </c>
      <c r="F151" s="50">
        <v>613</v>
      </c>
      <c r="G151" s="50">
        <v>2100</v>
      </c>
      <c r="H151" s="50">
        <v>482</v>
      </c>
      <c r="I151" s="50">
        <v>2582</v>
      </c>
      <c r="K151" s="59">
        <v>0</v>
      </c>
      <c r="L151" s="68">
        <v>0.31</v>
      </c>
      <c r="M151" s="62">
        <v>3.5000000000000003E-2</v>
      </c>
    </row>
    <row r="152" spans="1:13" ht="23.25">
      <c r="A152" s="55" t="s">
        <v>73</v>
      </c>
      <c r="B152" s="48">
        <v>21000</v>
      </c>
      <c r="C152" s="57">
        <v>12</v>
      </c>
      <c r="D152" s="58">
        <v>6519</v>
      </c>
      <c r="E152" s="58">
        <v>27519</v>
      </c>
      <c r="F152" s="58">
        <v>735</v>
      </c>
      <c r="G152" s="58">
        <v>1750</v>
      </c>
      <c r="H152" s="58">
        <v>482</v>
      </c>
      <c r="I152" s="58">
        <v>2232</v>
      </c>
      <c r="K152" s="57">
        <v>0</v>
      </c>
      <c r="L152" s="68">
        <v>0.31</v>
      </c>
      <c r="M152" s="62">
        <v>3.5000000000000003E-2</v>
      </c>
    </row>
    <row r="153" spans="1:13" ht="23.25">
      <c r="A153" s="55" t="s">
        <v>73</v>
      </c>
      <c r="B153" s="48">
        <v>21000</v>
      </c>
      <c r="C153" s="59">
        <v>14</v>
      </c>
      <c r="D153" s="50">
        <v>7606</v>
      </c>
      <c r="E153" s="50">
        <v>28606</v>
      </c>
      <c r="F153" s="50">
        <v>858</v>
      </c>
      <c r="G153" s="50">
        <v>1500</v>
      </c>
      <c r="H153" s="50">
        <v>482</v>
      </c>
      <c r="I153" s="50">
        <v>1982</v>
      </c>
      <c r="K153" s="59">
        <v>0</v>
      </c>
      <c r="L153" s="68">
        <v>0.31</v>
      </c>
      <c r="M153" s="62">
        <v>3.5000000000000003E-2</v>
      </c>
    </row>
    <row r="154" spans="1:13" ht="23.25">
      <c r="A154" s="55" t="s">
        <v>73</v>
      </c>
      <c r="B154" s="48">
        <v>21000</v>
      </c>
      <c r="C154" s="57">
        <v>16</v>
      </c>
      <c r="D154" s="58">
        <v>8684</v>
      </c>
      <c r="E154" s="58">
        <v>29684</v>
      </c>
      <c r="F154" s="58">
        <v>980</v>
      </c>
      <c r="G154" s="58">
        <v>1313</v>
      </c>
      <c r="H154" s="58">
        <v>481</v>
      </c>
      <c r="I154" s="58">
        <v>1794</v>
      </c>
      <c r="K154" s="57">
        <v>0</v>
      </c>
      <c r="L154" s="68">
        <v>0.31</v>
      </c>
      <c r="M154" s="62">
        <v>3.5000000000000003E-2</v>
      </c>
    </row>
    <row r="155" spans="1:13" ht="24" thickBot="1">
      <c r="A155" s="60" t="s">
        <v>73</v>
      </c>
      <c r="B155" s="51">
        <v>21000</v>
      </c>
      <c r="C155" s="61">
        <v>18</v>
      </c>
      <c r="D155" s="52">
        <v>9767</v>
      </c>
      <c r="E155" s="52">
        <v>30767</v>
      </c>
      <c r="F155" s="52">
        <v>1103</v>
      </c>
      <c r="G155" s="52">
        <v>1167</v>
      </c>
      <c r="H155" s="53">
        <v>481</v>
      </c>
      <c r="I155" s="52">
        <v>1648</v>
      </c>
      <c r="K155" s="61">
        <v>0</v>
      </c>
      <c r="L155" s="68">
        <v>0.31</v>
      </c>
      <c r="M155" s="62">
        <v>3.5000000000000003E-2</v>
      </c>
    </row>
    <row r="156" spans="1:13" ht="24" thickTop="1">
      <c r="A156" s="15" t="s">
        <v>73</v>
      </c>
      <c r="B156" s="21">
        <v>22000</v>
      </c>
      <c r="C156" s="11">
        <v>4</v>
      </c>
      <c r="D156" s="31">
        <v>2277</v>
      </c>
      <c r="E156" s="31">
        <v>24277</v>
      </c>
      <c r="F156" s="31">
        <v>257</v>
      </c>
      <c r="G156" s="31">
        <v>5500</v>
      </c>
      <c r="H156" s="31">
        <v>505</v>
      </c>
      <c r="I156" s="31">
        <v>6005</v>
      </c>
      <c r="K156" s="54">
        <v>0</v>
      </c>
      <c r="L156" s="68">
        <v>0.31</v>
      </c>
      <c r="M156" s="62">
        <v>3.5000000000000003E-2</v>
      </c>
    </row>
    <row r="157" spans="1:13" ht="24" customHeight="1">
      <c r="A157" s="55" t="s">
        <v>73</v>
      </c>
      <c r="B157" s="48">
        <v>22000</v>
      </c>
      <c r="C157" s="56">
        <v>6</v>
      </c>
      <c r="D157" s="32">
        <v>3411</v>
      </c>
      <c r="E157" s="32">
        <v>25411</v>
      </c>
      <c r="F157" s="32">
        <v>385</v>
      </c>
      <c r="G157" s="32">
        <v>3667</v>
      </c>
      <c r="H157" s="49">
        <v>504</v>
      </c>
      <c r="I157" s="49">
        <v>4171</v>
      </c>
      <c r="K157" s="56">
        <v>0</v>
      </c>
      <c r="L157" s="68">
        <v>0.31</v>
      </c>
      <c r="M157" s="62">
        <v>3.5000000000000003E-2</v>
      </c>
    </row>
    <row r="158" spans="1:13" ht="23.25">
      <c r="A158" s="55" t="s">
        <v>73</v>
      </c>
      <c r="B158" s="48">
        <v>22000</v>
      </c>
      <c r="C158" s="57">
        <v>8</v>
      </c>
      <c r="D158" s="58">
        <v>4554</v>
      </c>
      <c r="E158" s="58">
        <v>26554</v>
      </c>
      <c r="F158" s="58">
        <v>514</v>
      </c>
      <c r="G158" s="58">
        <v>2750</v>
      </c>
      <c r="H158" s="58">
        <v>505</v>
      </c>
      <c r="I158" s="58">
        <v>3255</v>
      </c>
      <c r="K158" s="57">
        <v>0</v>
      </c>
      <c r="L158" s="68">
        <v>0.31</v>
      </c>
      <c r="M158" s="62">
        <v>3.5000000000000003E-2</v>
      </c>
    </row>
    <row r="159" spans="1:13" ht="23.25">
      <c r="A159" s="55" t="s">
        <v>73</v>
      </c>
      <c r="B159" s="48">
        <v>22000</v>
      </c>
      <c r="C159" s="59">
        <v>10</v>
      </c>
      <c r="D159" s="50">
        <v>5692</v>
      </c>
      <c r="E159" s="50">
        <v>27692</v>
      </c>
      <c r="F159" s="50">
        <v>642</v>
      </c>
      <c r="G159" s="50">
        <v>2200</v>
      </c>
      <c r="H159" s="50">
        <v>505</v>
      </c>
      <c r="I159" s="50">
        <v>2705</v>
      </c>
      <c r="K159" s="59">
        <v>0</v>
      </c>
      <c r="L159" s="68">
        <v>0.31</v>
      </c>
      <c r="M159" s="62">
        <v>3.5000000000000003E-2</v>
      </c>
    </row>
    <row r="160" spans="1:13" ht="23.25">
      <c r="A160" s="55" t="s">
        <v>73</v>
      </c>
      <c r="B160" s="48">
        <v>22000</v>
      </c>
      <c r="C160" s="57">
        <v>12</v>
      </c>
      <c r="D160" s="58">
        <v>6826</v>
      </c>
      <c r="E160" s="58">
        <v>28826</v>
      </c>
      <c r="F160" s="58">
        <v>770</v>
      </c>
      <c r="G160" s="58">
        <v>1834</v>
      </c>
      <c r="H160" s="58">
        <v>504</v>
      </c>
      <c r="I160" s="58">
        <v>2338</v>
      </c>
      <c r="K160" s="57">
        <v>0</v>
      </c>
      <c r="L160" s="68">
        <v>0.31</v>
      </c>
      <c r="M160" s="62">
        <v>3.5000000000000003E-2</v>
      </c>
    </row>
    <row r="161" spans="1:13" ht="23.25">
      <c r="A161" s="55" t="s">
        <v>73</v>
      </c>
      <c r="B161" s="48">
        <v>22000</v>
      </c>
      <c r="C161" s="59">
        <v>14</v>
      </c>
      <c r="D161" s="50">
        <v>7963</v>
      </c>
      <c r="E161" s="50">
        <v>29963</v>
      </c>
      <c r="F161" s="50">
        <v>899</v>
      </c>
      <c r="G161" s="50">
        <v>1572</v>
      </c>
      <c r="H161" s="50">
        <v>504</v>
      </c>
      <c r="I161" s="50">
        <v>2076</v>
      </c>
      <c r="K161" s="59">
        <v>0</v>
      </c>
      <c r="L161" s="68">
        <v>0.31</v>
      </c>
      <c r="M161" s="62">
        <v>3.5000000000000003E-2</v>
      </c>
    </row>
    <row r="162" spans="1:13" ht="23.25">
      <c r="A162" s="55" t="s">
        <v>73</v>
      </c>
      <c r="B162" s="48">
        <v>22000</v>
      </c>
      <c r="C162" s="57">
        <v>16</v>
      </c>
      <c r="D162" s="58">
        <v>9107</v>
      </c>
      <c r="E162" s="58">
        <v>31107</v>
      </c>
      <c r="F162" s="58">
        <v>1027</v>
      </c>
      <c r="G162" s="58">
        <v>1375</v>
      </c>
      <c r="H162" s="58">
        <v>505</v>
      </c>
      <c r="I162" s="58">
        <v>1880</v>
      </c>
      <c r="K162" s="57">
        <v>0</v>
      </c>
      <c r="L162" s="68">
        <v>0.31</v>
      </c>
      <c r="M162" s="62">
        <v>3.5000000000000003E-2</v>
      </c>
    </row>
    <row r="163" spans="1:13" ht="24" thickBot="1">
      <c r="A163" s="60" t="s">
        <v>73</v>
      </c>
      <c r="B163" s="51">
        <v>22000</v>
      </c>
      <c r="C163" s="61">
        <v>18</v>
      </c>
      <c r="D163" s="52">
        <v>10241</v>
      </c>
      <c r="E163" s="52">
        <v>32241</v>
      </c>
      <c r="F163" s="52">
        <v>1155</v>
      </c>
      <c r="G163" s="52">
        <v>1223</v>
      </c>
      <c r="H163" s="53">
        <v>504</v>
      </c>
      <c r="I163" s="52">
        <v>1727</v>
      </c>
      <c r="K163" s="61">
        <v>0</v>
      </c>
      <c r="L163" s="68">
        <v>0.31</v>
      </c>
      <c r="M163" s="62">
        <v>3.5000000000000003E-2</v>
      </c>
    </row>
    <row r="164" spans="1:13" ht="24" thickTop="1">
      <c r="A164" s="15" t="s">
        <v>73</v>
      </c>
      <c r="B164" s="21">
        <v>23000</v>
      </c>
      <c r="C164" s="11">
        <v>4</v>
      </c>
      <c r="D164" s="31">
        <v>2381</v>
      </c>
      <c r="E164" s="31">
        <v>25381</v>
      </c>
      <c r="F164" s="31">
        <v>269</v>
      </c>
      <c r="G164" s="31">
        <v>5750</v>
      </c>
      <c r="H164" s="31">
        <v>528</v>
      </c>
      <c r="I164" s="31">
        <v>6278</v>
      </c>
      <c r="K164" s="54">
        <v>0</v>
      </c>
      <c r="L164" s="68">
        <v>0.31</v>
      </c>
      <c r="M164" s="62">
        <v>3.5000000000000003E-2</v>
      </c>
    </row>
    <row r="165" spans="1:13" ht="23.25">
      <c r="A165" s="55" t="s">
        <v>73</v>
      </c>
      <c r="B165" s="48">
        <v>23000</v>
      </c>
      <c r="C165" s="56">
        <v>6</v>
      </c>
      <c r="D165" s="32">
        <v>3569</v>
      </c>
      <c r="E165" s="32">
        <v>26569</v>
      </c>
      <c r="F165" s="32">
        <v>403</v>
      </c>
      <c r="G165" s="32">
        <v>3834</v>
      </c>
      <c r="H165" s="49">
        <v>527</v>
      </c>
      <c r="I165" s="49">
        <v>4361</v>
      </c>
      <c r="K165" s="56">
        <v>0</v>
      </c>
      <c r="L165" s="68">
        <v>0.31</v>
      </c>
      <c r="M165" s="62">
        <v>3.5000000000000003E-2</v>
      </c>
    </row>
    <row r="166" spans="1:13" ht="23.25">
      <c r="A166" s="55" t="s">
        <v>73</v>
      </c>
      <c r="B166" s="48">
        <v>23000</v>
      </c>
      <c r="C166" s="57">
        <v>8</v>
      </c>
      <c r="D166" s="58">
        <v>4761</v>
      </c>
      <c r="E166" s="58">
        <v>27761</v>
      </c>
      <c r="F166" s="58">
        <v>537</v>
      </c>
      <c r="G166" s="58">
        <v>2875</v>
      </c>
      <c r="H166" s="58">
        <v>528</v>
      </c>
      <c r="I166" s="58">
        <v>3403</v>
      </c>
      <c r="K166" s="57">
        <v>0</v>
      </c>
      <c r="L166" s="68">
        <v>0.31</v>
      </c>
      <c r="M166" s="62">
        <v>3.5000000000000003E-2</v>
      </c>
    </row>
    <row r="167" spans="1:13" ht="23.25">
      <c r="A167" s="55" t="s">
        <v>73</v>
      </c>
      <c r="B167" s="48">
        <v>23000</v>
      </c>
      <c r="C167" s="59">
        <v>10</v>
      </c>
      <c r="D167" s="50">
        <v>5951</v>
      </c>
      <c r="E167" s="50">
        <v>28951</v>
      </c>
      <c r="F167" s="50">
        <v>671</v>
      </c>
      <c r="G167" s="50">
        <v>2300</v>
      </c>
      <c r="H167" s="50">
        <v>528</v>
      </c>
      <c r="I167" s="50">
        <v>2828</v>
      </c>
      <c r="K167" s="59">
        <v>0</v>
      </c>
      <c r="L167" s="68">
        <v>0.31</v>
      </c>
      <c r="M167" s="62">
        <v>3.5000000000000003E-2</v>
      </c>
    </row>
    <row r="168" spans="1:13" ht="23.25">
      <c r="A168" s="55" t="s">
        <v>73</v>
      </c>
      <c r="B168" s="48">
        <v>23000</v>
      </c>
      <c r="C168" s="57">
        <v>12</v>
      </c>
      <c r="D168" s="58">
        <v>7133</v>
      </c>
      <c r="E168" s="58">
        <v>30133</v>
      </c>
      <c r="F168" s="58">
        <v>805</v>
      </c>
      <c r="G168" s="58">
        <v>1917</v>
      </c>
      <c r="H168" s="58">
        <v>527</v>
      </c>
      <c r="I168" s="58">
        <v>2444</v>
      </c>
      <c r="K168" s="57">
        <v>0</v>
      </c>
      <c r="L168" s="68">
        <v>0.31</v>
      </c>
      <c r="M168" s="62">
        <v>3.5000000000000003E-2</v>
      </c>
    </row>
    <row r="169" spans="1:13" ht="23.25">
      <c r="A169" s="55" t="s">
        <v>73</v>
      </c>
      <c r="B169" s="48">
        <v>23000</v>
      </c>
      <c r="C169" s="59">
        <v>14</v>
      </c>
      <c r="D169" s="50">
        <v>8320</v>
      </c>
      <c r="E169" s="50">
        <v>31320</v>
      </c>
      <c r="F169" s="50">
        <v>940</v>
      </c>
      <c r="G169" s="50">
        <v>1643</v>
      </c>
      <c r="H169" s="50">
        <v>527</v>
      </c>
      <c r="I169" s="50">
        <v>2170</v>
      </c>
      <c r="K169" s="59">
        <v>0</v>
      </c>
      <c r="L169" s="68">
        <v>0.31</v>
      </c>
      <c r="M169" s="62">
        <v>3.5000000000000003E-2</v>
      </c>
    </row>
    <row r="170" spans="1:13" ht="23.25">
      <c r="A170" s="55" t="s">
        <v>73</v>
      </c>
      <c r="B170" s="48">
        <v>23000</v>
      </c>
      <c r="C170" s="57">
        <v>16</v>
      </c>
      <c r="D170" s="58">
        <v>9514</v>
      </c>
      <c r="E170" s="58">
        <v>32514</v>
      </c>
      <c r="F170" s="58">
        <v>1074</v>
      </c>
      <c r="G170" s="58">
        <v>1438</v>
      </c>
      <c r="H170" s="58">
        <v>527</v>
      </c>
      <c r="I170" s="58">
        <v>1965</v>
      </c>
      <c r="K170" s="57">
        <v>0</v>
      </c>
      <c r="L170" s="68">
        <v>0.31</v>
      </c>
      <c r="M170" s="62">
        <v>3.5000000000000003E-2</v>
      </c>
    </row>
    <row r="171" spans="1:13" ht="24" thickBot="1">
      <c r="A171" s="60" t="s">
        <v>73</v>
      </c>
      <c r="B171" s="51">
        <v>23000</v>
      </c>
      <c r="C171" s="61">
        <v>18</v>
      </c>
      <c r="D171" s="52">
        <v>10698</v>
      </c>
      <c r="E171" s="52">
        <v>33698</v>
      </c>
      <c r="F171" s="52">
        <v>1208</v>
      </c>
      <c r="G171" s="52">
        <v>1278</v>
      </c>
      <c r="H171" s="53">
        <v>527</v>
      </c>
      <c r="I171" s="52">
        <v>1805</v>
      </c>
      <c r="K171" s="61">
        <v>0</v>
      </c>
      <c r="L171" s="68">
        <v>0.31</v>
      </c>
      <c r="M171" s="62">
        <v>3.5000000000000003E-2</v>
      </c>
    </row>
    <row r="172" spans="1:13" ht="24" thickTop="1">
      <c r="A172" s="15" t="s">
        <v>73</v>
      </c>
      <c r="B172" s="21">
        <v>24000</v>
      </c>
      <c r="C172" s="11">
        <v>4</v>
      </c>
      <c r="D172" s="31">
        <v>2484</v>
      </c>
      <c r="E172" s="31">
        <v>26484</v>
      </c>
      <c r="F172" s="31">
        <v>280</v>
      </c>
      <c r="G172" s="31">
        <v>6000</v>
      </c>
      <c r="H172" s="31">
        <v>551</v>
      </c>
      <c r="I172" s="31">
        <v>6551</v>
      </c>
      <c r="K172" s="54">
        <v>0</v>
      </c>
      <c r="L172" s="68">
        <v>0.31</v>
      </c>
      <c r="M172" s="62">
        <v>3.5000000000000003E-2</v>
      </c>
    </row>
    <row r="173" spans="1:13" ht="23.25">
      <c r="A173" s="55" t="s">
        <v>73</v>
      </c>
      <c r="B173" s="48">
        <v>24000</v>
      </c>
      <c r="C173" s="56">
        <v>6</v>
      </c>
      <c r="D173" s="32">
        <v>3726</v>
      </c>
      <c r="E173" s="32">
        <v>27726</v>
      </c>
      <c r="F173" s="32">
        <v>420</v>
      </c>
      <c r="G173" s="32">
        <v>4000</v>
      </c>
      <c r="H173" s="49">
        <v>551</v>
      </c>
      <c r="I173" s="49">
        <v>4551</v>
      </c>
      <c r="K173" s="56">
        <v>0</v>
      </c>
      <c r="L173" s="68">
        <v>0.31</v>
      </c>
      <c r="M173" s="62">
        <v>3.5000000000000003E-2</v>
      </c>
    </row>
    <row r="174" spans="1:13" ht="23.25">
      <c r="A174" s="55" t="s">
        <v>73</v>
      </c>
      <c r="B174" s="48">
        <v>24000</v>
      </c>
      <c r="C174" s="57">
        <v>8</v>
      </c>
      <c r="D174" s="58">
        <v>4968</v>
      </c>
      <c r="E174" s="58">
        <v>28968</v>
      </c>
      <c r="F174" s="58">
        <v>560</v>
      </c>
      <c r="G174" s="58">
        <v>3000</v>
      </c>
      <c r="H174" s="58">
        <v>551</v>
      </c>
      <c r="I174" s="58">
        <v>3551</v>
      </c>
      <c r="K174" s="57">
        <v>0</v>
      </c>
      <c r="L174" s="68">
        <v>0.31</v>
      </c>
      <c r="M174" s="62">
        <v>3.5000000000000003E-2</v>
      </c>
    </row>
    <row r="175" spans="1:13" ht="23.25">
      <c r="A175" s="55" t="s">
        <v>73</v>
      </c>
      <c r="B175" s="48">
        <v>24000</v>
      </c>
      <c r="C175" s="59">
        <v>10</v>
      </c>
      <c r="D175" s="50">
        <v>6210</v>
      </c>
      <c r="E175" s="50">
        <v>30210</v>
      </c>
      <c r="F175" s="50">
        <v>700</v>
      </c>
      <c r="G175" s="50">
        <v>2400</v>
      </c>
      <c r="H175" s="50">
        <v>551</v>
      </c>
      <c r="I175" s="50">
        <v>2951</v>
      </c>
      <c r="K175" s="59">
        <v>0</v>
      </c>
      <c r="L175" s="68">
        <v>0.31</v>
      </c>
      <c r="M175" s="62">
        <v>3.5000000000000003E-2</v>
      </c>
    </row>
    <row r="176" spans="1:13" ht="23.25">
      <c r="A176" s="55" t="s">
        <v>73</v>
      </c>
      <c r="B176" s="48">
        <v>24000</v>
      </c>
      <c r="C176" s="57">
        <v>12</v>
      </c>
      <c r="D176" s="58">
        <v>7452</v>
      </c>
      <c r="E176" s="58">
        <v>31452</v>
      </c>
      <c r="F176" s="58">
        <v>840</v>
      </c>
      <c r="G176" s="58">
        <v>2000</v>
      </c>
      <c r="H176" s="58">
        <v>551</v>
      </c>
      <c r="I176" s="58">
        <v>2551</v>
      </c>
      <c r="K176" s="57">
        <v>0</v>
      </c>
      <c r="L176" s="68">
        <v>0.31</v>
      </c>
      <c r="M176" s="62">
        <v>3.5000000000000003E-2</v>
      </c>
    </row>
    <row r="177" spans="1:13" ht="23.25">
      <c r="A177" s="55" t="s">
        <v>73</v>
      </c>
      <c r="B177" s="48">
        <v>24000</v>
      </c>
      <c r="C177" s="59">
        <v>14</v>
      </c>
      <c r="D177" s="50">
        <v>8690</v>
      </c>
      <c r="E177" s="50">
        <v>32690</v>
      </c>
      <c r="F177" s="50">
        <v>980</v>
      </c>
      <c r="G177" s="50">
        <v>1715</v>
      </c>
      <c r="H177" s="50">
        <v>550</v>
      </c>
      <c r="I177" s="50">
        <v>2265</v>
      </c>
      <c r="K177" s="59">
        <v>0</v>
      </c>
      <c r="L177" s="68">
        <v>0.31</v>
      </c>
      <c r="M177" s="62">
        <v>3.5000000000000003E-2</v>
      </c>
    </row>
    <row r="178" spans="1:13" ht="23.25">
      <c r="A178" s="55" t="s">
        <v>73</v>
      </c>
      <c r="B178" s="48">
        <v>24000</v>
      </c>
      <c r="C178" s="57">
        <v>16</v>
      </c>
      <c r="D178" s="58">
        <v>9936</v>
      </c>
      <c r="E178" s="58">
        <v>33936</v>
      </c>
      <c r="F178" s="58">
        <v>1120</v>
      </c>
      <c r="G178" s="58">
        <v>1500</v>
      </c>
      <c r="H178" s="58">
        <v>551</v>
      </c>
      <c r="I178" s="58">
        <v>2051</v>
      </c>
      <c r="K178" s="57">
        <v>0</v>
      </c>
      <c r="L178" s="68">
        <v>0.31</v>
      </c>
      <c r="M178" s="62">
        <v>3.5000000000000003E-2</v>
      </c>
    </row>
    <row r="179" spans="1:13" ht="24" thickBot="1">
      <c r="A179" s="60" t="s">
        <v>73</v>
      </c>
      <c r="B179" s="51">
        <v>24000</v>
      </c>
      <c r="C179" s="61">
        <v>18</v>
      </c>
      <c r="D179" s="52">
        <v>11172</v>
      </c>
      <c r="E179" s="52">
        <v>35172</v>
      </c>
      <c r="F179" s="52">
        <v>1260</v>
      </c>
      <c r="G179" s="52">
        <v>1334</v>
      </c>
      <c r="H179" s="53">
        <v>550</v>
      </c>
      <c r="I179" s="52">
        <v>1884</v>
      </c>
      <c r="K179" s="61">
        <v>0</v>
      </c>
      <c r="L179" s="68">
        <v>0.31</v>
      </c>
      <c r="M179" s="62">
        <v>3.5000000000000003E-2</v>
      </c>
    </row>
    <row r="180" spans="1:13" ht="24" thickTop="1">
      <c r="A180" s="15" t="s">
        <v>73</v>
      </c>
      <c r="B180" s="21">
        <v>25000</v>
      </c>
      <c r="C180" s="11">
        <v>4</v>
      </c>
      <c r="D180" s="31">
        <v>2584</v>
      </c>
      <c r="E180" s="31">
        <v>27584</v>
      </c>
      <c r="F180" s="31">
        <v>292</v>
      </c>
      <c r="G180" s="31">
        <v>6250</v>
      </c>
      <c r="H180" s="31">
        <v>573</v>
      </c>
      <c r="I180" s="31">
        <v>6823</v>
      </c>
      <c r="K180" s="54">
        <v>0</v>
      </c>
      <c r="L180" s="68">
        <v>0.31</v>
      </c>
      <c r="M180" s="62">
        <v>3.5000000000000003E-2</v>
      </c>
    </row>
    <row r="181" spans="1:13" ht="23.25">
      <c r="A181" s="55" t="s">
        <v>73</v>
      </c>
      <c r="B181" s="48">
        <v>25000</v>
      </c>
      <c r="C181" s="56">
        <v>6</v>
      </c>
      <c r="D181" s="32">
        <v>3878</v>
      </c>
      <c r="E181" s="32">
        <v>28878</v>
      </c>
      <c r="F181" s="32">
        <v>438</v>
      </c>
      <c r="G181" s="32">
        <v>4167</v>
      </c>
      <c r="H181" s="49">
        <v>573</v>
      </c>
      <c r="I181" s="49">
        <v>4740</v>
      </c>
      <c r="K181" s="56">
        <v>0</v>
      </c>
      <c r="L181" s="68">
        <v>0.31</v>
      </c>
      <c r="M181" s="62">
        <v>3.5000000000000003E-2</v>
      </c>
    </row>
    <row r="182" spans="1:13" ht="23.25">
      <c r="A182" s="55" t="s">
        <v>73</v>
      </c>
      <c r="B182" s="48">
        <v>25000</v>
      </c>
      <c r="C182" s="57">
        <v>8</v>
      </c>
      <c r="D182" s="58">
        <v>5168</v>
      </c>
      <c r="E182" s="58">
        <v>30168</v>
      </c>
      <c r="F182" s="58">
        <v>584</v>
      </c>
      <c r="G182" s="58">
        <v>3125</v>
      </c>
      <c r="H182" s="58">
        <v>573</v>
      </c>
      <c r="I182" s="58">
        <v>3698</v>
      </c>
      <c r="K182" s="57">
        <v>0</v>
      </c>
      <c r="L182" s="68">
        <v>0.31</v>
      </c>
      <c r="M182" s="62">
        <v>3.5000000000000003E-2</v>
      </c>
    </row>
    <row r="183" spans="1:13" ht="23.25">
      <c r="A183" s="55" t="s">
        <v>73</v>
      </c>
      <c r="B183" s="48">
        <v>25000</v>
      </c>
      <c r="C183" s="59">
        <v>10</v>
      </c>
      <c r="D183" s="50">
        <v>6460</v>
      </c>
      <c r="E183" s="50">
        <v>31460</v>
      </c>
      <c r="F183" s="50">
        <v>730</v>
      </c>
      <c r="G183" s="50">
        <v>2500</v>
      </c>
      <c r="H183" s="50">
        <v>573</v>
      </c>
      <c r="I183" s="50">
        <v>3073</v>
      </c>
      <c r="K183" s="59">
        <v>0</v>
      </c>
      <c r="L183" s="68">
        <v>0.31</v>
      </c>
      <c r="M183" s="62">
        <v>3.5000000000000003E-2</v>
      </c>
    </row>
    <row r="184" spans="1:13" ht="23.25">
      <c r="A184" s="55" t="s">
        <v>73</v>
      </c>
      <c r="B184" s="48">
        <v>25000</v>
      </c>
      <c r="C184" s="57">
        <v>12</v>
      </c>
      <c r="D184" s="58">
        <v>7759</v>
      </c>
      <c r="E184" s="58">
        <v>32759</v>
      </c>
      <c r="F184" s="58">
        <v>875</v>
      </c>
      <c r="G184" s="58">
        <v>2084</v>
      </c>
      <c r="H184" s="58">
        <v>573</v>
      </c>
      <c r="I184" s="58">
        <v>2657</v>
      </c>
      <c r="K184" s="57">
        <v>0</v>
      </c>
      <c r="L184" s="68">
        <v>0.31</v>
      </c>
      <c r="M184" s="62">
        <v>3.5000000000000003E-2</v>
      </c>
    </row>
    <row r="185" spans="1:13" ht="23.25">
      <c r="A185" s="55" t="s">
        <v>73</v>
      </c>
      <c r="B185" s="48">
        <v>25000</v>
      </c>
      <c r="C185" s="59">
        <v>14</v>
      </c>
      <c r="D185" s="50">
        <v>9047</v>
      </c>
      <c r="E185" s="50">
        <v>34047</v>
      </c>
      <c r="F185" s="50">
        <v>1021</v>
      </c>
      <c r="G185" s="50">
        <v>1786</v>
      </c>
      <c r="H185" s="50">
        <v>573</v>
      </c>
      <c r="I185" s="50">
        <v>2359</v>
      </c>
      <c r="K185" s="59">
        <v>0</v>
      </c>
      <c r="L185" s="68">
        <v>0.31</v>
      </c>
      <c r="M185" s="62">
        <v>3.5000000000000003E-2</v>
      </c>
    </row>
    <row r="186" spans="1:13" ht="23.25">
      <c r="A186" s="55" t="s">
        <v>73</v>
      </c>
      <c r="B186" s="48">
        <v>25000</v>
      </c>
      <c r="C186" s="57">
        <v>16</v>
      </c>
      <c r="D186" s="58">
        <v>10343</v>
      </c>
      <c r="E186" s="58">
        <v>35343</v>
      </c>
      <c r="F186" s="58">
        <v>1167</v>
      </c>
      <c r="G186" s="58">
        <v>1563</v>
      </c>
      <c r="H186" s="58">
        <v>573</v>
      </c>
      <c r="I186" s="58">
        <v>2136</v>
      </c>
      <c r="K186" s="57">
        <v>0</v>
      </c>
      <c r="L186" s="68">
        <v>0.31</v>
      </c>
      <c r="M186" s="62">
        <v>3.5000000000000003E-2</v>
      </c>
    </row>
    <row r="187" spans="1:13" ht="24" thickBot="1">
      <c r="A187" s="60" t="s">
        <v>73</v>
      </c>
      <c r="B187" s="51">
        <v>25000</v>
      </c>
      <c r="C187" s="61">
        <v>18</v>
      </c>
      <c r="D187" s="52">
        <v>11629</v>
      </c>
      <c r="E187" s="52">
        <v>36629</v>
      </c>
      <c r="F187" s="52">
        <v>1313</v>
      </c>
      <c r="G187" s="52">
        <v>1389</v>
      </c>
      <c r="H187" s="53">
        <v>573</v>
      </c>
      <c r="I187" s="52">
        <v>1962</v>
      </c>
      <c r="K187" s="61">
        <v>0</v>
      </c>
      <c r="L187" s="68">
        <v>0.31</v>
      </c>
      <c r="M187" s="62">
        <v>3.5000000000000003E-2</v>
      </c>
    </row>
    <row r="188" spans="1:13" ht="24" thickTop="1">
      <c r="A188" s="15" t="s">
        <v>73</v>
      </c>
      <c r="B188" s="21">
        <v>26000</v>
      </c>
      <c r="C188" s="11">
        <v>4</v>
      </c>
      <c r="D188" s="31">
        <v>2688</v>
      </c>
      <c r="E188" s="31">
        <v>28688</v>
      </c>
      <c r="F188" s="31">
        <v>304</v>
      </c>
      <c r="G188" s="31">
        <v>6500</v>
      </c>
      <c r="H188" s="31">
        <v>596</v>
      </c>
      <c r="I188" s="31">
        <v>7096</v>
      </c>
      <c r="K188" s="54">
        <v>0</v>
      </c>
      <c r="L188" s="68">
        <v>0.31</v>
      </c>
      <c r="M188" s="62">
        <v>3.5000000000000003E-2</v>
      </c>
    </row>
    <row r="189" spans="1:13" ht="23.25">
      <c r="A189" s="55" t="s">
        <v>73</v>
      </c>
      <c r="B189" s="48">
        <v>26000</v>
      </c>
      <c r="C189" s="56">
        <v>6</v>
      </c>
      <c r="D189" s="32">
        <v>4035</v>
      </c>
      <c r="E189" s="32">
        <v>30035</v>
      </c>
      <c r="F189" s="32">
        <v>455</v>
      </c>
      <c r="G189" s="32">
        <v>4334</v>
      </c>
      <c r="H189" s="49">
        <v>596</v>
      </c>
      <c r="I189" s="49">
        <v>4930</v>
      </c>
      <c r="K189" s="56">
        <v>0</v>
      </c>
      <c r="L189" s="68">
        <v>0.31</v>
      </c>
      <c r="M189" s="62">
        <v>3.5000000000000003E-2</v>
      </c>
    </row>
    <row r="190" spans="1:13" ht="23.25">
      <c r="A190" s="55" t="s">
        <v>73</v>
      </c>
      <c r="B190" s="48">
        <v>26000</v>
      </c>
      <c r="C190" s="57">
        <v>8</v>
      </c>
      <c r="D190" s="58">
        <v>5375</v>
      </c>
      <c r="E190" s="58">
        <v>31375</v>
      </c>
      <c r="F190" s="58">
        <v>607</v>
      </c>
      <c r="G190" s="58">
        <v>3250</v>
      </c>
      <c r="H190" s="58">
        <v>596</v>
      </c>
      <c r="I190" s="58">
        <v>3846</v>
      </c>
      <c r="K190" s="57">
        <v>0</v>
      </c>
      <c r="L190" s="68">
        <v>0.31</v>
      </c>
      <c r="M190" s="62">
        <v>3.5000000000000003E-2</v>
      </c>
    </row>
    <row r="191" spans="1:13" ht="23.25">
      <c r="A191" s="55" t="s">
        <v>73</v>
      </c>
      <c r="B191" s="48">
        <v>26000</v>
      </c>
      <c r="C191" s="59">
        <v>10</v>
      </c>
      <c r="D191" s="50">
        <v>6719</v>
      </c>
      <c r="E191" s="50">
        <v>32719</v>
      </c>
      <c r="F191" s="50">
        <v>759</v>
      </c>
      <c r="G191" s="50">
        <v>2600</v>
      </c>
      <c r="H191" s="50">
        <v>596</v>
      </c>
      <c r="I191" s="50">
        <v>3196</v>
      </c>
      <c r="K191" s="59">
        <v>0</v>
      </c>
      <c r="L191" s="68">
        <v>0.31</v>
      </c>
      <c r="M191" s="62">
        <v>3.5000000000000003E-2</v>
      </c>
    </row>
    <row r="192" spans="1:13" ht="23.25">
      <c r="A192" s="55" t="s">
        <v>73</v>
      </c>
      <c r="B192" s="48">
        <v>26000</v>
      </c>
      <c r="C192" s="57">
        <v>12</v>
      </c>
      <c r="D192" s="58">
        <v>8066</v>
      </c>
      <c r="E192" s="58">
        <v>34066</v>
      </c>
      <c r="F192" s="58">
        <v>910</v>
      </c>
      <c r="G192" s="58">
        <v>2167</v>
      </c>
      <c r="H192" s="58">
        <v>596</v>
      </c>
      <c r="I192" s="58">
        <v>2763</v>
      </c>
      <c r="K192" s="57">
        <v>0</v>
      </c>
      <c r="L192" s="68">
        <v>0.31</v>
      </c>
      <c r="M192" s="62">
        <v>3.5000000000000003E-2</v>
      </c>
    </row>
    <row r="193" spans="1:13" ht="23.25">
      <c r="A193" s="55" t="s">
        <v>73</v>
      </c>
      <c r="B193" s="48">
        <v>26000</v>
      </c>
      <c r="C193" s="59">
        <v>14</v>
      </c>
      <c r="D193" s="50">
        <v>9404</v>
      </c>
      <c r="E193" s="50">
        <v>35404</v>
      </c>
      <c r="F193" s="50">
        <v>1062</v>
      </c>
      <c r="G193" s="50">
        <v>1858</v>
      </c>
      <c r="H193" s="50">
        <v>595</v>
      </c>
      <c r="I193" s="50">
        <v>2453</v>
      </c>
      <c r="K193" s="59">
        <v>0</v>
      </c>
      <c r="L193" s="68">
        <v>0.31</v>
      </c>
      <c r="M193" s="62">
        <v>3.5000000000000003E-2</v>
      </c>
    </row>
    <row r="194" spans="1:13" ht="23.25">
      <c r="A194" s="55" t="s">
        <v>73</v>
      </c>
      <c r="B194" s="48">
        <v>26000</v>
      </c>
      <c r="C194" s="57">
        <v>16</v>
      </c>
      <c r="D194" s="58">
        <v>10750</v>
      </c>
      <c r="E194" s="58">
        <v>36750</v>
      </c>
      <c r="F194" s="58">
        <v>1214</v>
      </c>
      <c r="G194" s="58">
        <v>1625</v>
      </c>
      <c r="H194" s="58">
        <v>596</v>
      </c>
      <c r="I194" s="58">
        <v>2221</v>
      </c>
      <c r="K194" s="57">
        <v>0</v>
      </c>
      <c r="L194" s="68">
        <v>0.31</v>
      </c>
      <c r="M194" s="62">
        <v>3.5000000000000003E-2</v>
      </c>
    </row>
    <row r="195" spans="1:13" ht="24" thickBot="1">
      <c r="A195" s="60" t="s">
        <v>73</v>
      </c>
      <c r="B195" s="51">
        <v>26000</v>
      </c>
      <c r="C195" s="61">
        <v>18</v>
      </c>
      <c r="D195" s="52">
        <v>12103</v>
      </c>
      <c r="E195" s="52">
        <v>38103</v>
      </c>
      <c r="F195" s="52">
        <v>1365</v>
      </c>
      <c r="G195" s="52">
        <v>1445</v>
      </c>
      <c r="H195" s="53">
        <v>596</v>
      </c>
      <c r="I195" s="52">
        <v>2041</v>
      </c>
      <c r="K195" s="61">
        <v>0</v>
      </c>
      <c r="L195" s="68">
        <v>0.31</v>
      </c>
      <c r="M195" s="62">
        <v>3.5000000000000003E-2</v>
      </c>
    </row>
    <row r="196" spans="1:13" ht="24" thickTop="1">
      <c r="A196" s="15" t="s">
        <v>73</v>
      </c>
      <c r="B196" s="21">
        <v>27000</v>
      </c>
      <c r="C196" s="11">
        <v>4</v>
      </c>
      <c r="D196" s="31">
        <v>2791</v>
      </c>
      <c r="E196" s="31">
        <v>29791</v>
      </c>
      <c r="F196" s="31">
        <v>315</v>
      </c>
      <c r="G196" s="31">
        <v>6750</v>
      </c>
      <c r="H196" s="31">
        <v>619</v>
      </c>
      <c r="I196" s="31">
        <v>7369</v>
      </c>
      <c r="K196" s="54">
        <v>0</v>
      </c>
      <c r="L196" s="68">
        <v>0.31</v>
      </c>
      <c r="M196" s="62">
        <v>3.5000000000000003E-2</v>
      </c>
    </row>
    <row r="197" spans="1:13" ht="23.25">
      <c r="A197" s="55" t="s">
        <v>73</v>
      </c>
      <c r="B197" s="48">
        <v>27000</v>
      </c>
      <c r="C197" s="56">
        <v>6</v>
      </c>
      <c r="D197" s="32">
        <v>4187</v>
      </c>
      <c r="E197" s="32">
        <v>31187</v>
      </c>
      <c r="F197" s="32">
        <v>473</v>
      </c>
      <c r="G197" s="32">
        <v>4500</v>
      </c>
      <c r="H197" s="49">
        <v>619</v>
      </c>
      <c r="I197" s="49">
        <v>5119</v>
      </c>
      <c r="K197" s="56">
        <v>0</v>
      </c>
      <c r="L197" s="68">
        <v>0.31</v>
      </c>
      <c r="M197" s="62">
        <v>3.5000000000000003E-2</v>
      </c>
    </row>
    <row r="198" spans="1:13" ht="23.25">
      <c r="A198" s="55" t="s">
        <v>73</v>
      </c>
      <c r="B198" s="48">
        <v>27000</v>
      </c>
      <c r="C198" s="57">
        <v>8</v>
      </c>
      <c r="D198" s="58">
        <v>5582</v>
      </c>
      <c r="E198" s="58">
        <v>32582</v>
      </c>
      <c r="F198" s="58">
        <v>630</v>
      </c>
      <c r="G198" s="58">
        <v>3375</v>
      </c>
      <c r="H198" s="58">
        <v>619</v>
      </c>
      <c r="I198" s="58">
        <v>3994</v>
      </c>
      <c r="K198" s="57">
        <v>0</v>
      </c>
      <c r="L198" s="68">
        <v>0.31</v>
      </c>
      <c r="M198" s="62">
        <v>3.5000000000000003E-2</v>
      </c>
    </row>
    <row r="199" spans="1:13" ht="23.25">
      <c r="A199" s="55" t="s">
        <v>73</v>
      </c>
      <c r="B199" s="48">
        <v>27000</v>
      </c>
      <c r="C199" s="59">
        <v>10</v>
      </c>
      <c r="D199" s="50">
        <v>6978</v>
      </c>
      <c r="E199" s="50">
        <v>33978</v>
      </c>
      <c r="F199" s="50">
        <v>788</v>
      </c>
      <c r="G199" s="50">
        <v>2700</v>
      </c>
      <c r="H199" s="50">
        <v>619</v>
      </c>
      <c r="I199" s="50">
        <v>3319</v>
      </c>
      <c r="K199" s="59">
        <v>0</v>
      </c>
      <c r="L199" s="68">
        <v>0.31</v>
      </c>
      <c r="M199" s="62">
        <v>3.5000000000000003E-2</v>
      </c>
    </row>
    <row r="200" spans="1:13" ht="23.25">
      <c r="A200" s="55" t="s">
        <v>73</v>
      </c>
      <c r="B200" s="48">
        <v>27000</v>
      </c>
      <c r="C200" s="57">
        <v>12</v>
      </c>
      <c r="D200" s="58">
        <v>8373</v>
      </c>
      <c r="E200" s="58">
        <v>35373</v>
      </c>
      <c r="F200" s="58">
        <v>945</v>
      </c>
      <c r="G200" s="58">
        <v>2250</v>
      </c>
      <c r="H200" s="58">
        <v>619</v>
      </c>
      <c r="I200" s="58">
        <v>2869</v>
      </c>
      <c r="K200" s="57">
        <v>0</v>
      </c>
      <c r="L200" s="68">
        <v>0.31</v>
      </c>
      <c r="M200" s="62">
        <v>3.5000000000000003E-2</v>
      </c>
    </row>
    <row r="201" spans="1:13" ht="23.25">
      <c r="A201" s="55" t="s">
        <v>73</v>
      </c>
      <c r="B201" s="48">
        <v>27000</v>
      </c>
      <c r="C201" s="59">
        <v>14</v>
      </c>
      <c r="D201" s="50">
        <v>9775</v>
      </c>
      <c r="E201" s="50">
        <v>36775</v>
      </c>
      <c r="F201" s="50">
        <v>1103</v>
      </c>
      <c r="G201" s="50">
        <v>1929</v>
      </c>
      <c r="H201" s="50">
        <v>619</v>
      </c>
      <c r="I201" s="50">
        <v>2548</v>
      </c>
      <c r="K201" s="59">
        <v>0</v>
      </c>
      <c r="L201" s="68">
        <v>0.31</v>
      </c>
      <c r="M201" s="62">
        <v>3.5000000000000003E-2</v>
      </c>
    </row>
    <row r="202" spans="1:13" ht="23.25">
      <c r="A202" s="55" t="s">
        <v>73</v>
      </c>
      <c r="B202" s="48">
        <v>27000</v>
      </c>
      <c r="C202" s="57">
        <v>16</v>
      </c>
      <c r="D202" s="58">
        <v>11172</v>
      </c>
      <c r="E202" s="58">
        <v>38172</v>
      </c>
      <c r="F202" s="58">
        <v>1260</v>
      </c>
      <c r="G202" s="58">
        <v>1688</v>
      </c>
      <c r="H202" s="58">
        <v>619</v>
      </c>
      <c r="I202" s="58">
        <v>2307</v>
      </c>
      <c r="K202" s="57">
        <v>0</v>
      </c>
      <c r="L202" s="68">
        <v>0.31</v>
      </c>
      <c r="M202" s="62">
        <v>3.5000000000000003E-2</v>
      </c>
    </row>
    <row r="203" spans="1:13" ht="24" thickBot="1">
      <c r="A203" s="60" t="s">
        <v>73</v>
      </c>
      <c r="B203" s="51">
        <v>27000</v>
      </c>
      <c r="C203" s="61">
        <v>18</v>
      </c>
      <c r="D203" s="52">
        <v>12560</v>
      </c>
      <c r="E203" s="52">
        <v>39560</v>
      </c>
      <c r="F203" s="52">
        <v>1418</v>
      </c>
      <c r="G203" s="52">
        <v>1500</v>
      </c>
      <c r="H203" s="53">
        <v>619</v>
      </c>
      <c r="I203" s="52">
        <v>2119</v>
      </c>
      <c r="K203" s="61">
        <v>0</v>
      </c>
      <c r="L203" s="68">
        <v>0.31</v>
      </c>
      <c r="M203" s="62">
        <v>3.5000000000000003E-2</v>
      </c>
    </row>
    <row r="204" spans="1:13" ht="24" thickTop="1">
      <c r="A204" s="15" t="s">
        <v>73</v>
      </c>
      <c r="B204" s="21">
        <v>28000</v>
      </c>
      <c r="C204" s="11">
        <v>4</v>
      </c>
      <c r="D204" s="31">
        <v>2895</v>
      </c>
      <c r="E204" s="31">
        <v>30895</v>
      </c>
      <c r="F204" s="31">
        <v>327</v>
      </c>
      <c r="G204" s="31">
        <v>7000</v>
      </c>
      <c r="H204" s="31">
        <v>642</v>
      </c>
      <c r="I204" s="31">
        <v>7642</v>
      </c>
      <c r="K204" s="54">
        <v>0</v>
      </c>
      <c r="L204" s="68">
        <v>0.31</v>
      </c>
      <c r="M204" s="62">
        <v>3.5000000000000003E-2</v>
      </c>
    </row>
    <row r="205" spans="1:13" ht="23.25">
      <c r="A205" s="55" t="s">
        <v>73</v>
      </c>
      <c r="B205" s="48">
        <v>28000</v>
      </c>
      <c r="C205" s="56">
        <v>6</v>
      </c>
      <c r="D205" s="32">
        <v>4344</v>
      </c>
      <c r="E205" s="32">
        <v>32344</v>
      </c>
      <c r="F205" s="32">
        <v>490</v>
      </c>
      <c r="G205" s="32">
        <v>4667</v>
      </c>
      <c r="H205" s="49">
        <v>642</v>
      </c>
      <c r="I205" s="49">
        <v>5309</v>
      </c>
      <c r="K205" s="56">
        <v>0</v>
      </c>
      <c r="L205" s="68">
        <v>0.31</v>
      </c>
      <c r="M205" s="62">
        <v>3.5000000000000003E-2</v>
      </c>
    </row>
    <row r="206" spans="1:13" ht="23.25">
      <c r="A206" s="55" t="s">
        <v>73</v>
      </c>
      <c r="B206" s="48">
        <v>28000</v>
      </c>
      <c r="C206" s="57">
        <v>8</v>
      </c>
      <c r="D206" s="58">
        <v>5790</v>
      </c>
      <c r="E206" s="58">
        <v>33790</v>
      </c>
      <c r="F206" s="58">
        <v>654</v>
      </c>
      <c r="G206" s="58">
        <v>3500</v>
      </c>
      <c r="H206" s="58">
        <v>642</v>
      </c>
      <c r="I206" s="58">
        <v>4142</v>
      </c>
      <c r="K206" s="57">
        <v>0</v>
      </c>
      <c r="L206" s="68">
        <v>0.31</v>
      </c>
      <c r="M206" s="62">
        <v>3.5000000000000003E-2</v>
      </c>
    </row>
    <row r="207" spans="1:13" ht="23.25">
      <c r="A207" s="55" t="s">
        <v>73</v>
      </c>
      <c r="B207" s="48">
        <v>28000</v>
      </c>
      <c r="C207" s="59">
        <v>10</v>
      </c>
      <c r="D207" s="50">
        <v>7237</v>
      </c>
      <c r="E207" s="50">
        <v>35237</v>
      </c>
      <c r="F207" s="50">
        <v>817</v>
      </c>
      <c r="G207" s="50">
        <v>2800</v>
      </c>
      <c r="H207" s="50">
        <v>642</v>
      </c>
      <c r="I207" s="50">
        <v>3442</v>
      </c>
      <c r="K207" s="59">
        <v>0</v>
      </c>
      <c r="L207" s="68">
        <v>0.31</v>
      </c>
      <c r="M207" s="62">
        <v>3.5000000000000003E-2</v>
      </c>
    </row>
    <row r="208" spans="1:13" ht="23.25">
      <c r="A208" s="55" t="s">
        <v>73</v>
      </c>
      <c r="B208" s="48">
        <v>28000</v>
      </c>
      <c r="C208" s="57">
        <v>12</v>
      </c>
      <c r="D208" s="58">
        <v>8692</v>
      </c>
      <c r="E208" s="58">
        <v>36692</v>
      </c>
      <c r="F208" s="58">
        <v>980</v>
      </c>
      <c r="G208" s="58">
        <v>2334</v>
      </c>
      <c r="H208" s="58">
        <v>642</v>
      </c>
      <c r="I208" s="58">
        <v>2976</v>
      </c>
      <c r="K208" s="57">
        <v>0</v>
      </c>
      <c r="L208" s="68">
        <v>0.31</v>
      </c>
      <c r="M208" s="62">
        <v>3.5000000000000003E-2</v>
      </c>
    </row>
    <row r="209" spans="1:13" ht="23.25">
      <c r="A209" s="55" t="s">
        <v>73</v>
      </c>
      <c r="B209" s="48">
        <v>28000</v>
      </c>
      <c r="C209" s="59">
        <v>14</v>
      </c>
      <c r="D209" s="50">
        <v>10132</v>
      </c>
      <c r="E209" s="50">
        <v>38132</v>
      </c>
      <c r="F209" s="50">
        <v>1144</v>
      </c>
      <c r="G209" s="50">
        <v>2000</v>
      </c>
      <c r="H209" s="50">
        <v>642</v>
      </c>
      <c r="I209" s="50">
        <v>2642</v>
      </c>
      <c r="K209" s="59">
        <v>0</v>
      </c>
      <c r="L209" s="68">
        <v>0.31</v>
      </c>
      <c r="M209" s="62">
        <v>3.5000000000000003E-2</v>
      </c>
    </row>
    <row r="210" spans="1:13" ht="23.25">
      <c r="A210" s="55" t="s">
        <v>73</v>
      </c>
      <c r="B210" s="48">
        <v>28000</v>
      </c>
      <c r="C210" s="57">
        <v>16</v>
      </c>
      <c r="D210" s="58">
        <v>11579</v>
      </c>
      <c r="E210" s="58">
        <v>39579</v>
      </c>
      <c r="F210" s="58">
        <v>1307</v>
      </c>
      <c r="G210" s="58">
        <v>1750</v>
      </c>
      <c r="H210" s="58">
        <v>642</v>
      </c>
      <c r="I210" s="58">
        <v>2392</v>
      </c>
      <c r="K210" s="57">
        <v>0</v>
      </c>
      <c r="L210" s="68">
        <v>0.31</v>
      </c>
      <c r="M210" s="62">
        <v>3.5000000000000003E-2</v>
      </c>
    </row>
    <row r="211" spans="1:13" ht="24" thickBot="1">
      <c r="A211" s="60" t="s">
        <v>73</v>
      </c>
      <c r="B211" s="51">
        <v>28000</v>
      </c>
      <c r="C211" s="61">
        <v>18</v>
      </c>
      <c r="D211" s="52">
        <v>13034</v>
      </c>
      <c r="E211" s="52">
        <v>41034</v>
      </c>
      <c r="F211" s="52">
        <v>1470</v>
      </c>
      <c r="G211" s="52">
        <v>1556</v>
      </c>
      <c r="H211" s="53">
        <v>642</v>
      </c>
      <c r="I211" s="52">
        <v>2198</v>
      </c>
      <c r="K211" s="61">
        <v>0</v>
      </c>
      <c r="L211" s="68">
        <v>0.31</v>
      </c>
      <c r="M211" s="62">
        <v>3.5000000000000003E-2</v>
      </c>
    </row>
    <row r="212" spans="1:13" ht="24" thickTop="1">
      <c r="A212" s="15" t="s">
        <v>73</v>
      </c>
      <c r="B212" s="21">
        <v>29000</v>
      </c>
      <c r="C212" s="11">
        <v>4</v>
      </c>
      <c r="D212" s="31">
        <v>2999</v>
      </c>
      <c r="E212" s="31">
        <v>31999</v>
      </c>
      <c r="F212" s="31">
        <v>339</v>
      </c>
      <c r="G212" s="31">
        <v>7250</v>
      </c>
      <c r="H212" s="31">
        <v>665</v>
      </c>
      <c r="I212" s="31">
        <v>7915</v>
      </c>
      <c r="K212" s="54">
        <v>0</v>
      </c>
      <c r="L212" s="68">
        <v>0.31</v>
      </c>
      <c r="M212" s="62">
        <v>3.5000000000000003E-2</v>
      </c>
    </row>
    <row r="213" spans="1:13" ht="23.25">
      <c r="A213" s="55" t="s">
        <v>73</v>
      </c>
      <c r="B213" s="48">
        <v>29000</v>
      </c>
      <c r="C213" s="56">
        <v>6</v>
      </c>
      <c r="D213" s="32">
        <v>4496</v>
      </c>
      <c r="E213" s="32">
        <v>33496</v>
      </c>
      <c r="F213" s="32">
        <v>508</v>
      </c>
      <c r="G213" s="32">
        <v>4834</v>
      </c>
      <c r="H213" s="49">
        <v>664</v>
      </c>
      <c r="I213" s="49">
        <v>5498</v>
      </c>
      <c r="K213" s="56">
        <v>0</v>
      </c>
      <c r="L213" s="68">
        <v>0.31</v>
      </c>
      <c r="M213" s="62">
        <v>3.5000000000000003E-2</v>
      </c>
    </row>
    <row r="214" spans="1:13" ht="23.25">
      <c r="A214" s="55" t="s">
        <v>73</v>
      </c>
      <c r="B214" s="48">
        <v>29000</v>
      </c>
      <c r="C214" s="57">
        <v>8</v>
      </c>
      <c r="D214" s="58">
        <v>5997</v>
      </c>
      <c r="E214" s="58">
        <v>34997</v>
      </c>
      <c r="F214" s="58">
        <v>677</v>
      </c>
      <c r="G214" s="58">
        <v>3625</v>
      </c>
      <c r="H214" s="58">
        <v>665</v>
      </c>
      <c r="I214" s="58">
        <v>4290</v>
      </c>
      <c r="K214" s="57">
        <v>0</v>
      </c>
      <c r="L214" s="68">
        <v>0.31</v>
      </c>
      <c r="M214" s="62">
        <v>3.5000000000000003E-2</v>
      </c>
    </row>
    <row r="215" spans="1:13" ht="23.25">
      <c r="A215" s="55" t="s">
        <v>73</v>
      </c>
      <c r="B215" s="48">
        <v>29000</v>
      </c>
      <c r="C215" s="59">
        <v>10</v>
      </c>
      <c r="D215" s="50">
        <v>7496</v>
      </c>
      <c r="E215" s="50">
        <v>36496</v>
      </c>
      <c r="F215" s="50">
        <v>846</v>
      </c>
      <c r="G215" s="50">
        <v>2900</v>
      </c>
      <c r="H215" s="50">
        <v>665</v>
      </c>
      <c r="I215" s="50">
        <v>3565</v>
      </c>
      <c r="K215" s="59">
        <v>0</v>
      </c>
      <c r="L215" s="68">
        <v>0.31</v>
      </c>
      <c r="M215" s="62">
        <v>3.5000000000000003E-2</v>
      </c>
    </row>
    <row r="216" spans="1:13" ht="23.25">
      <c r="A216" s="55" t="s">
        <v>73</v>
      </c>
      <c r="B216" s="48">
        <v>29000</v>
      </c>
      <c r="C216" s="57">
        <v>12</v>
      </c>
      <c r="D216" s="58">
        <v>8999</v>
      </c>
      <c r="E216" s="58">
        <v>37999</v>
      </c>
      <c r="F216" s="58">
        <v>1015</v>
      </c>
      <c r="G216" s="58">
        <v>2417</v>
      </c>
      <c r="H216" s="58">
        <v>665</v>
      </c>
      <c r="I216" s="58">
        <v>3082</v>
      </c>
      <c r="K216" s="57">
        <v>0</v>
      </c>
      <c r="L216" s="68">
        <v>0.31</v>
      </c>
      <c r="M216" s="62">
        <v>3.5000000000000003E-2</v>
      </c>
    </row>
    <row r="217" spans="1:13" ht="23.25">
      <c r="A217" s="55" t="s">
        <v>73</v>
      </c>
      <c r="B217" s="48">
        <v>29000</v>
      </c>
      <c r="C217" s="59">
        <v>14</v>
      </c>
      <c r="D217" s="50">
        <v>10503</v>
      </c>
      <c r="E217" s="50">
        <v>39503</v>
      </c>
      <c r="F217" s="50">
        <v>1185</v>
      </c>
      <c r="G217" s="50">
        <v>2072</v>
      </c>
      <c r="H217" s="50">
        <v>665</v>
      </c>
      <c r="I217" s="50">
        <v>2737</v>
      </c>
      <c r="K217" s="59">
        <v>0</v>
      </c>
      <c r="L217" s="68">
        <v>0.31</v>
      </c>
      <c r="M217" s="62">
        <v>3.5000000000000003E-2</v>
      </c>
    </row>
    <row r="218" spans="1:13" ht="23.25">
      <c r="A218" s="55" t="s">
        <v>73</v>
      </c>
      <c r="B218" s="48">
        <v>29000</v>
      </c>
      <c r="C218" s="57">
        <v>16</v>
      </c>
      <c r="D218" s="58">
        <v>12002</v>
      </c>
      <c r="E218" s="58">
        <v>41002</v>
      </c>
      <c r="F218" s="58">
        <v>1354</v>
      </c>
      <c r="G218" s="58">
        <v>1813</v>
      </c>
      <c r="H218" s="58">
        <v>665</v>
      </c>
      <c r="I218" s="58">
        <v>2478</v>
      </c>
      <c r="K218" s="57">
        <v>0</v>
      </c>
      <c r="L218" s="68">
        <v>0.31</v>
      </c>
      <c r="M218" s="62">
        <v>3.5000000000000003E-2</v>
      </c>
    </row>
    <row r="219" spans="1:13" ht="24" thickBot="1">
      <c r="A219" s="60" t="s">
        <v>73</v>
      </c>
      <c r="B219" s="51">
        <v>29000</v>
      </c>
      <c r="C219" s="61">
        <v>18</v>
      </c>
      <c r="D219" s="52">
        <v>13491</v>
      </c>
      <c r="E219" s="52">
        <v>42491</v>
      </c>
      <c r="F219" s="52">
        <v>1523</v>
      </c>
      <c r="G219" s="52">
        <v>1612</v>
      </c>
      <c r="H219" s="53">
        <v>664</v>
      </c>
      <c r="I219" s="52">
        <v>2276</v>
      </c>
      <c r="K219" s="61">
        <v>0</v>
      </c>
      <c r="L219" s="68">
        <v>0.31</v>
      </c>
      <c r="M219" s="62">
        <v>3.5000000000000003E-2</v>
      </c>
    </row>
    <row r="220" spans="1:13" ht="24" thickTop="1">
      <c r="A220" s="15" t="s">
        <v>73</v>
      </c>
      <c r="B220" s="21">
        <v>30000</v>
      </c>
      <c r="C220" s="11">
        <v>4</v>
      </c>
      <c r="D220" s="31">
        <v>3102</v>
      </c>
      <c r="E220" s="31">
        <v>33102</v>
      </c>
      <c r="F220" s="31">
        <v>350</v>
      </c>
      <c r="G220" s="31">
        <v>7500</v>
      </c>
      <c r="H220" s="31">
        <v>688</v>
      </c>
      <c r="I220" s="31">
        <v>8188</v>
      </c>
      <c r="K220" s="54">
        <v>0</v>
      </c>
      <c r="L220" s="68">
        <v>0.31</v>
      </c>
      <c r="M220" s="62">
        <v>3.5000000000000003E-2</v>
      </c>
    </row>
    <row r="221" spans="1:13" ht="23.25">
      <c r="A221" s="55" t="s">
        <v>73</v>
      </c>
      <c r="B221" s="48">
        <v>30000</v>
      </c>
      <c r="C221" s="56">
        <v>6</v>
      </c>
      <c r="D221" s="32">
        <v>4653</v>
      </c>
      <c r="E221" s="32">
        <v>34653</v>
      </c>
      <c r="F221" s="32">
        <v>525</v>
      </c>
      <c r="G221" s="32">
        <v>5000</v>
      </c>
      <c r="H221" s="49">
        <v>688</v>
      </c>
      <c r="I221" s="49">
        <v>5688</v>
      </c>
      <c r="K221" s="56">
        <v>0</v>
      </c>
      <c r="L221" s="68">
        <v>0.31</v>
      </c>
      <c r="M221" s="62">
        <v>3.5000000000000003E-2</v>
      </c>
    </row>
    <row r="222" spans="1:13" ht="23.25">
      <c r="A222" s="55" t="s">
        <v>73</v>
      </c>
      <c r="B222" s="48">
        <v>30000</v>
      </c>
      <c r="C222" s="57">
        <v>8</v>
      </c>
      <c r="D222" s="58">
        <v>6204</v>
      </c>
      <c r="E222" s="58">
        <v>36204</v>
      </c>
      <c r="F222" s="58">
        <v>700</v>
      </c>
      <c r="G222" s="58">
        <v>3750</v>
      </c>
      <c r="H222" s="58">
        <v>688</v>
      </c>
      <c r="I222" s="58">
        <v>4438</v>
      </c>
      <c r="K222" s="57">
        <v>0</v>
      </c>
      <c r="L222" s="68">
        <v>0.31</v>
      </c>
      <c r="M222" s="62">
        <v>3.5000000000000003E-2</v>
      </c>
    </row>
    <row r="223" spans="1:13" ht="23.25">
      <c r="A223" s="55" t="s">
        <v>73</v>
      </c>
      <c r="B223" s="48">
        <v>30000</v>
      </c>
      <c r="C223" s="59">
        <v>10</v>
      </c>
      <c r="D223" s="50">
        <v>7755</v>
      </c>
      <c r="E223" s="50">
        <v>37755</v>
      </c>
      <c r="F223" s="50">
        <v>875</v>
      </c>
      <c r="G223" s="50">
        <v>3000</v>
      </c>
      <c r="H223" s="50">
        <v>688</v>
      </c>
      <c r="I223" s="50">
        <v>3688</v>
      </c>
      <c r="K223" s="59">
        <v>0</v>
      </c>
      <c r="L223" s="68">
        <v>0.31</v>
      </c>
      <c r="M223" s="62">
        <v>3.5000000000000003E-2</v>
      </c>
    </row>
    <row r="224" spans="1:13" ht="23.25">
      <c r="A224" s="55" t="s">
        <v>73</v>
      </c>
      <c r="B224" s="48">
        <v>30000</v>
      </c>
      <c r="C224" s="57">
        <v>12</v>
      </c>
      <c r="D224" s="58">
        <v>9306</v>
      </c>
      <c r="E224" s="58">
        <v>39306</v>
      </c>
      <c r="F224" s="58">
        <v>1050</v>
      </c>
      <c r="G224" s="58">
        <v>2500</v>
      </c>
      <c r="H224" s="58">
        <v>688</v>
      </c>
      <c r="I224" s="58">
        <v>3188</v>
      </c>
      <c r="K224" s="57">
        <v>0</v>
      </c>
      <c r="L224" s="68">
        <v>0.31</v>
      </c>
      <c r="M224" s="62">
        <v>3.5000000000000003E-2</v>
      </c>
    </row>
    <row r="225" spans="1:13" ht="23.25">
      <c r="A225" s="55" t="s">
        <v>73</v>
      </c>
      <c r="B225" s="48">
        <v>30000</v>
      </c>
      <c r="C225" s="59">
        <v>14</v>
      </c>
      <c r="D225" s="50">
        <v>10859</v>
      </c>
      <c r="E225" s="50">
        <v>40859</v>
      </c>
      <c r="F225" s="50">
        <v>1225</v>
      </c>
      <c r="G225" s="50">
        <v>2143</v>
      </c>
      <c r="H225" s="50">
        <v>688</v>
      </c>
      <c r="I225" s="50">
        <v>2831</v>
      </c>
      <c r="K225" s="59">
        <v>0</v>
      </c>
      <c r="L225" s="68">
        <v>0.31</v>
      </c>
      <c r="M225" s="62">
        <v>3.5000000000000003E-2</v>
      </c>
    </row>
    <row r="226" spans="1:13" ht="23.25">
      <c r="A226" s="55" t="s">
        <v>73</v>
      </c>
      <c r="B226" s="48">
        <v>30000</v>
      </c>
      <c r="C226" s="57">
        <v>16</v>
      </c>
      <c r="D226" s="58">
        <v>12408</v>
      </c>
      <c r="E226" s="58">
        <v>42408</v>
      </c>
      <c r="F226" s="58">
        <v>1400</v>
      </c>
      <c r="G226" s="58">
        <v>1875</v>
      </c>
      <c r="H226" s="58">
        <v>688</v>
      </c>
      <c r="I226" s="58">
        <v>2563</v>
      </c>
      <c r="K226" s="57">
        <v>0</v>
      </c>
      <c r="L226" s="68">
        <v>0.31</v>
      </c>
      <c r="M226" s="62">
        <v>3.5000000000000003E-2</v>
      </c>
    </row>
    <row r="227" spans="1:13" ht="24" thickBot="1">
      <c r="A227" s="60" t="s">
        <v>73</v>
      </c>
      <c r="B227" s="51">
        <v>30000</v>
      </c>
      <c r="C227" s="61">
        <v>18</v>
      </c>
      <c r="D227" s="52">
        <v>13965</v>
      </c>
      <c r="E227" s="52">
        <v>43965</v>
      </c>
      <c r="F227" s="52">
        <v>1575</v>
      </c>
      <c r="G227" s="52">
        <v>1667</v>
      </c>
      <c r="H227" s="53">
        <v>688</v>
      </c>
      <c r="I227" s="52">
        <v>2355</v>
      </c>
      <c r="K227" s="61">
        <v>0</v>
      </c>
      <c r="L227" s="68">
        <v>0.31</v>
      </c>
      <c r="M227" s="62">
        <v>3.5000000000000003E-2</v>
      </c>
    </row>
    <row r="228" spans="1:13" ht="24" thickTop="1">
      <c r="A228" s="15" t="s">
        <v>73</v>
      </c>
      <c r="B228" s="21">
        <v>31000</v>
      </c>
      <c r="C228" s="11">
        <v>4</v>
      </c>
      <c r="D228" s="31">
        <v>3206</v>
      </c>
      <c r="E228" s="31">
        <v>34206</v>
      </c>
      <c r="F228" s="31">
        <v>362</v>
      </c>
      <c r="G228" s="31">
        <v>7750</v>
      </c>
      <c r="H228" s="31">
        <v>711</v>
      </c>
      <c r="I228" s="31">
        <v>8461</v>
      </c>
      <c r="K228" s="54">
        <v>0</v>
      </c>
      <c r="L228" s="68">
        <v>0.31</v>
      </c>
      <c r="M228" s="62">
        <v>3.5000000000000003E-2</v>
      </c>
    </row>
    <row r="229" spans="1:13" ht="23.25">
      <c r="A229" s="55" t="s">
        <v>73</v>
      </c>
      <c r="B229" s="48">
        <v>31000</v>
      </c>
      <c r="C229" s="56">
        <v>6</v>
      </c>
      <c r="D229" s="32">
        <v>4811</v>
      </c>
      <c r="E229" s="32">
        <v>35811</v>
      </c>
      <c r="F229" s="32">
        <v>543</v>
      </c>
      <c r="G229" s="32">
        <v>5167</v>
      </c>
      <c r="H229" s="49">
        <v>711</v>
      </c>
      <c r="I229" s="49">
        <v>5878</v>
      </c>
      <c r="K229" s="56">
        <v>0</v>
      </c>
      <c r="L229" s="68">
        <v>0.31</v>
      </c>
      <c r="M229" s="62">
        <v>3.5000000000000003E-2</v>
      </c>
    </row>
    <row r="230" spans="1:13" ht="23.25">
      <c r="A230" s="55" t="s">
        <v>73</v>
      </c>
      <c r="B230" s="48">
        <v>31000</v>
      </c>
      <c r="C230" s="57">
        <v>8</v>
      </c>
      <c r="D230" s="58">
        <v>6412</v>
      </c>
      <c r="E230" s="58">
        <v>37412</v>
      </c>
      <c r="F230" s="58">
        <v>724</v>
      </c>
      <c r="G230" s="58">
        <v>3875</v>
      </c>
      <c r="H230" s="58">
        <v>711</v>
      </c>
      <c r="I230" s="58">
        <v>4586</v>
      </c>
      <c r="K230" s="57">
        <v>0</v>
      </c>
      <c r="L230" s="68">
        <v>0.31</v>
      </c>
      <c r="M230" s="62">
        <v>3.5000000000000003E-2</v>
      </c>
    </row>
    <row r="231" spans="1:13" ht="23.25">
      <c r="A231" s="55" t="s">
        <v>73</v>
      </c>
      <c r="B231" s="48">
        <v>31000</v>
      </c>
      <c r="C231" s="59">
        <v>10</v>
      </c>
      <c r="D231" s="50">
        <v>8015</v>
      </c>
      <c r="E231" s="50">
        <v>39015</v>
      </c>
      <c r="F231" s="50">
        <v>905</v>
      </c>
      <c r="G231" s="50">
        <v>3100</v>
      </c>
      <c r="H231" s="50">
        <v>711</v>
      </c>
      <c r="I231" s="50">
        <v>3811</v>
      </c>
      <c r="K231" s="59">
        <v>0</v>
      </c>
      <c r="L231" s="68">
        <v>0.31</v>
      </c>
      <c r="M231" s="62">
        <v>3.5000000000000003E-2</v>
      </c>
    </row>
    <row r="232" spans="1:13" ht="23.25">
      <c r="A232" s="55" t="s">
        <v>73</v>
      </c>
      <c r="B232" s="48">
        <v>31000</v>
      </c>
      <c r="C232" s="57">
        <v>12</v>
      </c>
      <c r="D232" s="58">
        <v>9613</v>
      </c>
      <c r="E232" s="58">
        <v>40613</v>
      </c>
      <c r="F232" s="58">
        <v>1085</v>
      </c>
      <c r="G232" s="58">
        <v>2584</v>
      </c>
      <c r="H232" s="58">
        <v>710</v>
      </c>
      <c r="I232" s="58">
        <v>3294</v>
      </c>
      <c r="K232" s="57">
        <v>0</v>
      </c>
      <c r="L232" s="68">
        <v>0.31</v>
      </c>
      <c r="M232" s="62">
        <v>3.5000000000000003E-2</v>
      </c>
    </row>
    <row r="233" spans="1:13" ht="23.25">
      <c r="A233" s="55" t="s">
        <v>73</v>
      </c>
      <c r="B233" s="48">
        <v>31000</v>
      </c>
      <c r="C233" s="59">
        <v>14</v>
      </c>
      <c r="D233" s="50">
        <v>11216</v>
      </c>
      <c r="E233" s="50">
        <v>42216</v>
      </c>
      <c r="F233" s="50">
        <v>1266</v>
      </c>
      <c r="G233" s="50">
        <v>2215</v>
      </c>
      <c r="H233" s="50">
        <v>710</v>
      </c>
      <c r="I233" s="50">
        <v>2925</v>
      </c>
      <c r="K233" s="59">
        <v>0</v>
      </c>
      <c r="L233" s="68">
        <v>0.31</v>
      </c>
      <c r="M233" s="62">
        <v>3.5000000000000003E-2</v>
      </c>
    </row>
    <row r="234" spans="1:13" ht="23.25">
      <c r="A234" s="55" t="s">
        <v>73</v>
      </c>
      <c r="B234" s="48">
        <v>31000</v>
      </c>
      <c r="C234" s="57">
        <v>16</v>
      </c>
      <c r="D234" s="58">
        <v>12815</v>
      </c>
      <c r="E234" s="58">
        <v>43815</v>
      </c>
      <c r="F234" s="58">
        <v>1447</v>
      </c>
      <c r="G234" s="58">
        <v>1938</v>
      </c>
      <c r="H234" s="58">
        <v>710</v>
      </c>
      <c r="I234" s="58">
        <v>2648</v>
      </c>
      <c r="K234" s="57">
        <v>0</v>
      </c>
      <c r="L234" s="68">
        <v>0.31</v>
      </c>
      <c r="M234" s="62">
        <v>3.5000000000000003E-2</v>
      </c>
    </row>
    <row r="235" spans="1:13" ht="24" thickBot="1">
      <c r="A235" s="60" t="s">
        <v>73</v>
      </c>
      <c r="B235" s="51">
        <v>31000</v>
      </c>
      <c r="C235" s="61">
        <v>18</v>
      </c>
      <c r="D235" s="52">
        <v>14422</v>
      </c>
      <c r="E235" s="52">
        <v>45422</v>
      </c>
      <c r="F235" s="52">
        <v>1628</v>
      </c>
      <c r="G235" s="52">
        <v>1723</v>
      </c>
      <c r="H235" s="53">
        <v>710</v>
      </c>
      <c r="I235" s="52">
        <v>2433</v>
      </c>
      <c r="K235" s="61">
        <v>0</v>
      </c>
      <c r="L235" s="68">
        <v>0.31</v>
      </c>
      <c r="M235" s="62">
        <v>3.5000000000000003E-2</v>
      </c>
    </row>
    <row r="236" spans="1:13" ht="24" thickTop="1">
      <c r="A236" s="15" t="s">
        <v>73</v>
      </c>
      <c r="B236" s="21">
        <v>32000</v>
      </c>
      <c r="C236" s="11">
        <v>4</v>
      </c>
      <c r="D236" s="31">
        <v>3310</v>
      </c>
      <c r="E236" s="31">
        <v>35310</v>
      </c>
      <c r="F236" s="31">
        <v>374</v>
      </c>
      <c r="G236" s="31">
        <v>8000</v>
      </c>
      <c r="H236" s="31">
        <v>734</v>
      </c>
      <c r="I236" s="31">
        <v>8734</v>
      </c>
      <c r="K236" s="54">
        <v>0</v>
      </c>
      <c r="L236" s="68">
        <v>0.31</v>
      </c>
      <c r="M236" s="62">
        <v>3.5000000000000003E-2</v>
      </c>
    </row>
    <row r="237" spans="1:13" ht="23.25">
      <c r="A237" s="55" t="s">
        <v>73</v>
      </c>
      <c r="B237" s="48">
        <v>32000</v>
      </c>
      <c r="C237" s="56">
        <v>6</v>
      </c>
      <c r="D237" s="32">
        <v>4962</v>
      </c>
      <c r="E237" s="32">
        <v>36962</v>
      </c>
      <c r="F237" s="32">
        <v>560</v>
      </c>
      <c r="G237" s="32">
        <v>5334</v>
      </c>
      <c r="H237" s="49">
        <v>733</v>
      </c>
      <c r="I237" s="49">
        <v>6067</v>
      </c>
      <c r="K237" s="56">
        <v>0</v>
      </c>
      <c r="L237" s="68">
        <v>0.31</v>
      </c>
      <c r="M237" s="62">
        <v>3.5000000000000003E-2</v>
      </c>
    </row>
    <row r="238" spans="1:13" ht="23.25">
      <c r="A238" s="55" t="s">
        <v>73</v>
      </c>
      <c r="B238" s="48">
        <v>32000</v>
      </c>
      <c r="C238" s="57">
        <v>8</v>
      </c>
      <c r="D238" s="58">
        <v>6619</v>
      </c>
      <c r="E238" s="58">
        <v>38619</v>
      </c>
      <c r="F238" s="58">
        <v>747</v>
      </c>
      <c r="G238" s="58">
        <v>4000</v>
      </c>
      <c r="H238" s="58">
        <v>734</v>
      </c>
      <c r="I238" s="58">
        <v>4734</v>
      </c>
      <c r="K238" s="57">
        <v>0</v>
      </c>
      <c r="L238" s="68">
        <v>0.31</v>
      </c>
      <c r="M238" s="62">
        <v>3.5000000000000003E-2</v>
      </c>
    </row>
    <row r="239" spans="1:13" ht="23.25">
      <c r="A239" s="55" t="s">
        <v>73</v>
      </c>
      <c r="B239" s="48">
        <v>32000</v>
      </c>
      <c r="C239" s="59">
        <v>10</v>
      </c>
      <c r="D239" s="50">
        <v>8274</v>
      </c>
      <c r="E239" s="50">
        <v>40274</v>
      </c>
      <c r="F239" s="50">
        <v>934</v>
      </c>
      <c r="G239" s="50">
        <v>3200</v>
      </c>
      <c r="H239" s="50">
        <v>734</v>
      </c>
      <c r="I239" s="50">
        <v>3934</v>
      </c>
      <c r="K239" s="59">
        <v>0</v>
      </c>
      <c r="L239" s="68">
        <v>0.31</v>
      </c>
      <c r="M239" s="62">
        <v>3.5000000000000003E-2</v>
      </c>
    </row>
    <row r="240" spans="1:13" ht="23.25">
      <c r="A240" s="55" t="s">
        <v>73</v>
      </c>
      <c r="B240" s="48">
        <v>32000</v>
      </c>
      <c r="C240" s="57">
        <v>12</v>
      </c>
      <c r="D240" s="58">
        <v>9932</v>
      </c>
      <c r="E240" s="58">
        <v>41932</v>
      </c>
      <c r="F240" s="58">
        <v>1120</v>
      </c>
      <c r="G240" s="58">
        <v>2667</v>
      </c>
      <c r="H240" s="58">
        <v>734</v>
      </c>
      <c r="I240" s="58">
        <v>3401</v>
      </c>
      <c r="K240" s="57">
        <v>0</v>
      </c>
      <c r="L240" s="68">
        <v>0.31</v>
      </c>
      <c r="M240" s="62">
        <v>3.5000000000000003E-2</v>
      </c>
    </row>
    <row r="241" spans="1:13" ht="23.25">
      <c r="A241" s="55" t="s">
        <v>73</v>
      </c>
      <c r="B241" s="48">
        <v>32000</v>
      </c>
      <c r="C241" s="59">
        <v>14</v>
      </c>
      <c r="D241" s="50">
        <v>11587</v>
      </c>
      <c r="E241" s="50">
        <v>43587</v>
      </c>
      <c r="F241" s="50">
        <v>1307</v>
      </c>
      <c r="G241" s="50">
        <v>2286</v>
      </c>
      <c r="H241" s="50">
        <v>734</v>
      </c>
      <c r="I241" s="50">
        <v>3020</v>
      </c>
      <c r="K241" s="59">
        <v>0</v>
      </c>
      <c r="L241" s="68">
        <v>0.31</v>
      </c>
      <c r="M241" s="62">
        <v>3.5000000000000003E-2</v>
      </c>
    </row>
    <row r="242" spans="1:13" ht="23.25">
      <c r="A242" s="55" t="s">
        <v>73</v>
      </c>
      <c r="B242" s="48">
        <v>32000</v>
      </c>
      <c r="C242" s="57">
        <v>16</v>
      </c>
      <c r="D242" s="58">
        <v>13238</v>
      </c>
      <c r="E242" s="58">
        <v>45238</v>
      </c>
      <c r="F242" s="58">
        <v>1494</v>
      </c>
      <c r="G242" s="58">
        <v>2000</v>
      </c>
      <c r="H242" s="58">
        <v>734</v>
      </c>
      <c r="I242" s="58">
        <v>2734</v>
      </c>
      <c r="K242" s="57">
        <v>0</v>
      </c>
      <c r="L242" s="68">
        <v>0.31</v>
      </c>
      <c r="M242" s="62">
        <v>3.5000000000000003E-2</v>
      </c>
    </row>
    <row r="243" spans="1:13" ht="24" thickBot="1">
      <c r="A243" s="60" t="s">
        <v>73</v>
      </c>
      <c r="B243" s="51">
        <v>32000</v>
      </c>
      <c r="C243" s="61">
        <v>18</v>
      </c>
      <c r="D243" s="52">
        <v>14896</v>
      </c>
      <c r="E243" s="52">
        <v>46896</v>
      </c>
      <c r="F243" s="52">
        <v>1680</v>
      </c>
      <c r="G243" s="52">
        <v>1778</v>
      </c>
      <c r="H243" s="53">
        <v>734</v>
      </c>
      <c r="I243" s="52">
        <v>2512</v>
      </c>
      <c r="K243" s="61">
        <v>0</v>
      </c>
      <c r="L243" s="68">
        <v>0.31</v>
      </c>
      <c r="M243" s="62">
        <v>3.5000000000000003E-2</v>
      </c>
    </row>
    <row r="244" spans="1:13" ht="24" thickTop="1">
      <c r="A244" s="15" t="s">
        <v>73</v>
      </c>
      <c r="B244" s="21">
        <v>33000</v>
      </c>
      <c r="C244" s="11">
        <v>4</v>
      </c>
      <c r="D244" s="31">
        <v>3413</v>
      </c>
      <c r="E244" s="31">
        <v>36413</v>
      </c>
      <c r="F244" s="31">
        <v>385</v>
      </c>
      <c r="G244" s="31">
        <v>8250</v>
      </c>
      <c r="H244" s="31">
        <v>757</v>
      </c>
      <c r="I244" s="31">
        <v>9007</v>
      </c>
      <c r="K244" s="54">
        <v>0</v>
      </c>
      <c r="L244" s="68">
        <v>0.31</v>
      </c>
      <c r="M244" s="62">
        <v>3.5000000000000003E-2</v>
      </c>
    </row>
    <row r="245" spans="1:13" ht="23.25">
      <c r="A245" s="55" t="s">
        <v>73</v>
      </c>
      <c r="B245" s="48">
        <v>33000</v>
      </c>
      <c r="C245" s="56">
        <v>6</v>
      </c>
      <c r="D245" s="32">
        <v>5120</v>
      </c>
      <c r="E245" s="32">
        <v>38120</v>
      </c>
      <c r="F245" s="32">
        <v>578</v>
      </c>
      <c r="G245" s="32">
        <v>5500</v>
      </c>
      <c r="H245" s="49">
        <v>757</v>
      </c>
      <c r="I245" s="49">
        <v>6257</v>
      </c>
      <c r="K245" s="56">
        <v>0</v>
      </c>
      <c r="L245" s="68">
        <v>0.31</v>
      </c>
      <c r="M245" s="62">
        <v>3.5000000000000003E-2</v>
      </c>
    </row>
    <row r="246" spans="1:13" ht="23.25">
      <c r="A246" s="55" t="s">
        <v>73</v>
      </c>
      <c r="B246" s="48">
        <v>33000</v>
      </c>
      <c r="C246" s="57">
        <v>8</v>
      </c>
      <c r="D246" s="58">
        <v>6826</v>
      </c>
      <c r="E246" s="58">
        <v>39826</v>
      </c>
      <c r="F246" s="58">
        <v>770</v>
      </c>
      <c r="G246" s="58">
        <v>4125</v>
      </c>
      <c r="H246" s="58">
        <v>757</v>
      </c>
      <c r="I246" s="58">
        <v>4882</v>
      </c>
      <c r="K246" s="57">
        <v>0</v>
      </c>
      <c r="L246" s="68">
        <v>0.31</v>
      </c>
      <c r="M246" s="62">
        <v>3.5000000000000003E-2</v>
      </c>
    </row>
    <row r="247" spans="1:13" ht="23.25">
      <c r="A247" s="55" t="s">
        <v>73</v>
      </c>
      <c r="B247" s="48">
        <v>33000</v>
      </c>
      <c r="C247" s="59">
        <v>10</v>
      </c>
      <c r="D247" s="50">
        <v>8533</v>
      </c>
      <c r="E247" s="50">
        <v>41533</v>
      </c>
      <c r="F247" s="50">
        <v>963</v>
      </c>
      <c r="G247" s="50">
        <v>3300</v>
      </c>
      <c r="H247" s="50">
        <v>757</v>
      </c>
      <c r="I247" s="50">
        <v>4057</v>
      </c>
      <c r="K247" s="59">
        <v>0</v>
      </c>
      <c r="L247" s="68">
        <v>0.31</v>
      </c>
      <c r="M247" s="62">
        <v>3.5000000000000003E-2</v>
      </c>
    </row>
    <row r="248" spans="1:13" ht="23.25">
      <c r="A248" s="55" t="s">
        <v>73</v>
      </c>
      <c r="B248" s="48">
        <v>33000</v>
      </c>
      <c r="C248" s="57">
        <v>12</v>
      </c>
      <c r="D248" s="58">
        <v>10239</v>
      </c>
      <c r="E248" s="58">
        <v>43239</v>
      </c>
      <c r="F248" s="58">
        <v>1155</v>
      </c>
      <c r="G248" s="58">
        <v>2750</v>
      </c>
      <c r="H248" s="58">
        <v>757</v>
      </c>
      <c r="I248" s="58">
        <v>3507</v>
      </c>
      <c r="K248" s="57">
        <v>0</v>
      </c>
      <c r="L248" s="68">
        <v>0.31</v>
      </c>
      <c r="M248" s="62">
        <v>3.5000000000000003E-2</v>
      </c>
    </row>
    <row r="249" spans="1:13" ht="23.25">
      <c r="A249" s="55" t="s">
        <v>73</v>
      </c>
      <c r="B249" s="48">
        <v>33000</v>
      </c>
      <c r="C249" s="59">
        <v>14</v>
      </c>
      <c r="D249" s="50">
        <v>11944</v>
      </c>
      <c r="E249" s="50">
        <v>44944</v>
      </c>
      <c r="F249" s="50">
        <v>1348</v>
      </c>
      <c r="G249" s="50">
        <v>2358</v>
      </c>
      <c r="H249" s="50">
        <v>756</v>
      </c>
      <c r="I249" s="50">
        <v>3114</v>
      </c>
      <c r="K249" s="59">
        <v>0</v>
      </c>
      <c r="L249" s="68">
        <v>0.31</v>
      </c>
      <c r="M249" s="62">
        <v>3.5000000000000003E-2</v>
      </c>
    </row>
    <row r="250" spans="1:13" ht="23.25">
      <c r="A250" s="55" t="s">
        <v>73</v>
      </c>
      <c r="B250" s="48">
        <v>33000</v>
      </c>
      <c r="C250" s="57">
        <v>16</v>
      </c>
      <c r="D250" s="58">
        <v>13644</v>
      </c>
      <c r="E250" s="58">
        <v>46644</v>
      </c>
      <c r="F250" s="58">
        <v>1540</v>
      </c>
      <c r="G250" s="58">
        <v>2063</v>
      </c>
      <c r="H250" s="58">
        <v>756</v>
      </c>
      <c r="I250" s="58">
        <v>2819</v>
      </c>
      <c r="K250" s="57">
        <v>0</v>
      </c>
      <c r="L250" s="68">
        <v>0.31</v>
      </c>
      <c r="M250" s="62">
        <v>3.5000000000000003E-2</v>
      </c>
    </row>
    <row r="251" spans="1:13" ht="24" thickBot="1">
      <c r="A251" s="60" t="s">
        <v>73</v>
      </c>
      <c r="B251" s="51">
        <v>33000</v>
      </c>
      <c r="C251" s="61">
        <v>18</v>
      </c>
      <c r="D251" s="52">
        <v>15353</v>
      </c>
      <c r="E251" s="52">
        <v>48353</v>
      </c>
      <c r="F251" s="52">
        <v>1733</v>
      </c>
      <c r="G251" s="52">
        <v>1834</v>
      </c>
      <c r="H251" s="53">
        <v>756</v>
      </c>
      <c r="I251" s="52">
        <v>2590</v>
      </c>
      <c r="K251" s="61">
        <v>0</v>
      </c>
      <c r="L251" s="68">
        <v>0.31</v>
      </c>
      <c r="M251" s="62">
        <v>3.5000000000000003E-2</v>
      </c>
    </row>
    <row r="252" spans="1:13" ht="24" thickTop="1">
      <c r="A252" s="15" t="s">
        <v>73</v>
      </c>
      <c r="B252" s="21">
        <v>34000</v>
      </c>
      <c r="C252" s="11">
        <v>4</v>
      </c>
      <c r="D252" s="31">
        <v>3517</v>
      </c>
      <c r="E252" s="31">
        <v>37517</v>
      </c>
      <c r="F252" s="31">
        <v>397</v>
      </c>
      <c r="G252" s="31">
        <v>8500</v>
      </c>
      <c r="H252" s="31">
        <v>780</v>
      </c>
      <c r="I252" s="31">
        <v>9280</v>
      </c>
      <c r="K252" s="54">
        <v>0</v>
      </c>
      <c r="L252" s="68">
        <v>0.31</v>
      </c>
      <c r="M252" s="62">
        <v>3.5000000000000003E-2</v>
      </c>
    </row>
    <row r="253" spans="1:13" ht="23.25">
      <c r="A253" s="55" t="s">
        <v>73</v>
      </c>
      <c r="B253" s="48">
        <v>34000</v>
      </c>
      <c r="C253" s="56">
        <v>6</v>
      </c>
      <c r="D253" s="32">
        <v>5271</v>
      </c>
      <c r="E253" s="32">
        <v>39271</v>
      </c>
      <c r="F253" s="32">
        <v>595</v>
      </c>
      <c r="G253" s="32">
        <v>5667</v>
      </c>
      <c r="H253" s="49">
        <v>779</v>
      </c>
      <c r="I253" s="49">
        <v>6446</v>
      </c>
      <c r="K253" s="56">
        <v>0</v>
      </c>
      <c r="L253" s="68">
        <v>0.31</v>
      </c>
      <c r="M253" s="62">
        <v>3.5000000000000003E-2</v>
      </c>
    </row>
    <row r="254" spans="1:13" ht="23.25">
      <c r="A254" s="55" t="s">
        <v>73</v>
      </c>
      <c r="B254" s="48">
        <v>34000</v>
      </c>
      <c r="C254" s="57">
        <v>8</v>
      </c>
      <c r="D254" s="58">
        <v>7034</v>
      </c>
      <c r="E254" s="58">
        <v>41034</v>
      </c>
      <c r="F254" s="58">
        <v>794</v>
      </c>
      <c r="G254" s="58">
        <v>4250</v>
      </c>
      <c r="H254" s="58">
        <v>780</v>
      </c>
      <c r="I254" s="58">
        <v>5030</v>
      </c>
      <c r="K254" s="57">
        <v>0</v>
      </c>
      <c r="L254" s="68">
        <v>0.31</v>
      </c>
      <c r="M254" s="62">
        <v>3.5000000000000003E-2</v>
      </c>
    </row>
    <row r="255" spans="1:13" ht="23.25">
      <c r="A255" s="55" t="s">
        <v>73</v>
      </c>
      <c r="B255" s="48">
        <v>34000</v>
      </c>
      <c r="C255" s="59">
        <v>10</v>
      </c>
      <c r="D255" s="50">
        <v>8792</v>
      </c>
      <c r="E255" s="50">
        <v>42792</v>
      </c>
      <c r="F255" s="50">
        <v>992</v>
      </c>
      <c r="G255" s="50">
        <v>3400</v>
      </c>
      <c r="H255" s="50">
        <v>780</v>
      </c>
      <c r="I255" s="50">
        <v>4180</v>
      </c>
      <c r="K255" s="59">
        <v>0</v>
      </c>
      <c r="L255" s="68">
        <v>0.31</v>
      </c>
      <c r="M255" s="62">
        <v>3.5000000000000003E-2</v>
      </c>
    </row>
    <row r="256" spans="1:13" ht="23.25">
      <c r="A256" s="55" t="s">
        <v>73</v>
      </c>
      <c r="B256" s="48">
        <v>34000</v>
      </c>
      <c r="C256" s="57">
        <v>12</v>
      </c>
      <c r="D256" s="58">
        <v>10546</v>
      </c>
      <c r="E256" s="58">
        <v>44546</v>
      </c>
      <c r="F256" s="58">
        <v>1190</v>
      </c>
      <c r="G256" s="58">
        <v>2834</v>
      </c>
      <c r="H256" s="58">
        <v>779</v>
      </c>
      <c r="I256" s="58">
        <v>3613</v>
      </c>
      <c r="K256" s="57">
        <v>0</v>
      </c>
      <c r="L256" s="68">
        <v>0.31</v>
      </c>
      <c r="M256" s="62">
        <v>3.5000000000000003E-2</v>
      </c>
    </row>
    <row r="257" spans="1:13" ht="23.25">
      <c r="A257" s="55" t="s">
        <v>73</v>
      </c>
      <c r="B257" s="48">
        <v>34000</v>
      </c>
      <c r="C257" s="59">
        <v>14</v>
      </c>
      <c r="D257" s="50">
        <v>12301</v>
      </c>
      <c r="E257" s="50">
        <v>46301</v>
      </c>
      <c r="F257" s="50">
        <v>1389</v>
      </c>
      <c r="G257" s="50">
        <v>2429</v>
      </c>
      <c r="H257" s="50">
        <v>779</v>
      </c>
      <c r="I257" s="50">
        <v>3208</v>
      </c>
      <c r="K257" s="59">
        <v>0</v>
      </c>
      <c r="L257" s="68">
        <v>0.31</v>
      </c>
      <c r="M257" s="62">
        <v>3.5000000000000003E-2</v>
      </c>
    </row>
    <row r="258" spans="1:13" ht="23.25">
      <c r="A258" s="55" t="s">
        <v>73</v>
      </c>
      <c r="B258" s="48">
        <v>34000</v>
      </c>
      <c r="C258" s="57">
        <v>16</v>
      </c>
      <c r="D258" s="58">
        <v>14067</v>
      </c>
      <c r="E258" s="58">
        <v>48067</v>
      </c>
      <c r="F258" s="58">
        <v>1587</v>
      </c>
      <c r="G258" s="58">
        <v>2125</v>
      </c>
      <c r="H258" s="58">
        <v>780</v>
      </c>
      <c r="I258" s="58">
        <v>2905</v>
      </c>
      <c r="K258" s="57">
        <v>0</v>
      </c>
      <c r="L258" s="68">
        <v>0.31</v>
      </c>
      <c r="M258" s="62">
        <v>3.5000000000000003E-2</v>
      </c>
    </row>
    <row r="259" spans="1:13" ht="24" thickBot="1">
      <c r="A259" s="60" t="s">
        <v>73</v>
      </c>
      <c r="B259" s="51">
        <v>34000</v>
      </c>
      <c r="C259" s="61">
        <v>18</v>
      </c>
      <c r="D259" s="52">
        <v>15827</v>
      </c>
      <c r="E259" s="52">
        <v>49827</v>
      </c>
      <c r="F259" s="52">
        <v>1785</v>
      </c>
      <c r="G259" s="52">
        <v>1889</v>
      </c>
      <c r="H259" s="53">
        <v>780</v>
      </c>
      <c r="I259" s="52">
        <v>2669</v>
      </c>
      <c r="K259" s="61">
        <v>0</v>
      </c>
      <c r="L259" s="68">
        <v>0.31</v>
      </c>
      <c r="M259" s="62">
        <v>3.5000000000000003E-2</v>
      </c>
    </row>
    <row r="260" spans="1:13" ht="24" thickTop="1">
      <c r="A260" s="15" t="s">
        <v>73</v>
      </c>
      <c r="B260" s="21">
        <v>35000</v>
      </c>
      <c r="C260" s="11">
        <v>4</v>
      </c>
      <c r="D260" s="31">
        <v>3621</v>
      </c>
      <c r="E260" s="31">
        <v>38621</v>
      </c>
      <c r="F260" s="31">
        <v>409</v>
      </c>
      <c r="G260" s="31">
        <v>8750</v>
      </c>
      <c r="H260" s="31">
        <v>803</v>
      </c>
      <c r="I260" s="31">
        <v>9553</v>
      </c>
      <c r="K260" s="54">
        <v>0</v>
      </c>
      <c r="L260" s="68">
        <v>0.31</v>
      </c>
      <c r="M260" s="62">
        <v>3.5000000000000003E-2</v>
      </c>
    </row>
    <row r="261" spans="1:13" ht="23.25">
      <c r="A261" s="55" t="s">
        <v>73</v>
      </c>
      <c r="B261" s="48">
        <v>35000</v>
      </c>
      <c r="C261" s="56">
        <v>6</v>
      </c>
      <c r="D261" s="32">
        <v>5429</v>
      </c>
      <c r="E261" s="32">
        <v>40429</v>
      </c>
      <c r="F261" s="32">
        <v>613</v>
      </c>
      <c r="G261" s="32">
        <v>5834</v>
      </c>
      <c r="H261" s="49">
        <v>802</v>
      </c>
      <c r="I261" s="49">
        <v>6636</v>
      </c>
      <c r="K261" s="56">
        <v>0</v>
      </c>
      <c r="L261" s="68">
        <v>0.31</v>
      </c>
      <c r="M261" s="62">
        <v>3.5000000000000003E-2</v>
      </c>
    </row>
    <row r="262" spans="1:13" ht="23.25">
      <c r="A262" s="55" t="s">
        <v>73</v>
      </c>
      <c r="B262" s="48">
        <v>35000</v>
      </c>
      <c r="C262" s="57">
        <v>8</v>
      </c>
      <c r="D262" s="58">
        <v>7241</v>
      </c>
      <c r="E262" s="58">
        <v>42241</v>
      </c>
      <c r="F262" s="58">
        <v>817</v>
      </c>
      <c r="G262" s="58">
        <v>4375</v>
      </c>
      <c r="H262" s="58">
        <v>803</v>
      </c>
      <c r="I262" s="58">
        <v>5178</v>
      </c>
      <c r="K262" s="57">
        <v>0</v>
      </c>
      <c r="L262" s="68">
        <v>0.31</v>
      </c>
      <c r="M262" s="62">
        <v>3.5000000000000003E-2</v>
      </c>
    </row>
    <row r="263" spans="1:13" ht="23.25">
      <c r="A263" s="55" t="s">
        <v>73</v>
      </c>
      <c r="B263" s="48">
        <v>35000</v>
      </c>
      <c r="C263" s="59">
        <v>10</v>
      </c>
      <c r="D263" s="50">
        <v>9051</v>
      </c>
      <c r="E263" s="50">
        <v>44051</v>
      </c>
      <c r="F263" s="50">
        <v>1021</v>
      </c>
      <c r="G263" s="50">
        <v>3500</v>
      </c>
      <c r="H263" s="50">
        <v>803</v>
      </c>
      <c r="I263" s="50">
        <v>4303</v>
      </c>
      <c r="K263" s="59">
        <v>0</v>
      </c>
      <c r="L263" s="68">
        <v>0.31</v>
      </c>
      <c r="M263" s="62">
        <v>3.5000000000000003E-2</v>
      </c>
    </row>
    <row r="264" spans="1:13" ht="23.25">
      <c r="A264" s="55" t="s">
        <v>73</v>
      </c>
      <c r="B264" s="48">
        <v>35000</v>
      </c>
      <c r="C264" s="57">
        <v>12</v>
      </c>
      <c r="D264" s="58">
        <v>10853</v>
      </c>
      <c r="E264" s="58">
        <v>45853</v>
      </c>
      <c r="F264" s="58">
        <v>1225</v>
      </c>
      <c r="G264" s="58">
        <v>2917</v>
      </c>
      <c r="H264" s="58">
        <v>802</v>
      </c>
      <c r="I264" s="58">
        <v>3719</v>
      </c>
      <c r="K264" s="57">
        <v>0</v>
      </c>
      <c r="L264" s="68">
        <v>0.31</v>
      </c>
      <c r="M264" s="62">
        <v>3.5000000000000003E-2</v>
      </c>
    </row>
    <row r="265" spans="1:13" ht="23.25">
      <c r="A265" s="55" t="s">
        <v>73</v>
      </c>
      <c r="B265" s="48">
        <v>35000</v>
      </c>
      <c r="C265" s="59">
        <v>14</v>
      </c>
      <c r="D265" s="50">
        <v>12672</v>
      </c>
      <c r="E265" s="50">
        <v>47672</v>
      </c>
      <c r="F265" s="50">
        <v>1430</v>
      </c>
      <c r="G265" s="50">
        <v>2500</v>
      </c>
      <c r="H265" s="50">
        <v>803</v>
      </c>
      <c r="I265" s="50">
        <v>3303</v>
      </c>
      <c r="K265" s="59">
        <v>0</v>
      </c>
      <c r="L265" s="68">
        <v>0.31</v>
      </c>
      <c r="M265" s="62">
        <v>3.5000000000000003E-2</v>
      </c>
    </row>
    <row r="266" spans="1:13" ht="23.25">
      <c r="A266" s="55" t="s">
        <v>73</v>
      </c>
      <c r="B266" s="48">
        <v>35000</v>
      </c>
      <c r="C266" s="57">
        <v>16</v>
      </c>
      <c r="D266" s="58">
        <v>14474</v>
      </c>
      <c r="E266" s="58">
        <v>49474</v>
      </c>
      <c r="F266" s="58">
        <v>1634</v>
      </c>
      <c r="G266" s="58">
        <v>2188</v>
      </c>
      <c r="H266" s="58">
        <v>802</v>
      </c>
      <c r="I266" s="58">
        <v>2990</v>
      </c>
      <c r="K266" s="57">
        <v>0</v>
      </c>
      <c r="L266" s="68">
        <v>0.31</v>
      </c>
      <c r="M266" s="62">
        <v>3.5000000000000003E-2</v>
      </c>
    </row>
    <row r="267" spans="1:13" ht="24" thickBot="1">
      <c r="A267" s="60" t="s">
        <v>73</v>
      </c>
      <c r="B267" s="51">
        <v>35000</v>
      </c>
      <c r="C267" s="61">
        <v>18</v>
      </c>
      <c r="D267" s="52">
        <v>16284</v>
      </c>
      <c r="E267" s="52">
        <v>51284</v>
      </c>
      <c r="F267" s="52">
        <v>1838</v>
      </c>
      <c r="G267" s="52">
        <v>1945</v>
      </c>
      <c r="H267" s="53">
        <v>802</v>
      </c>
      <c r="I267" s="52">
        <v>2747</v>
      </c>
      <c r="K267" s="61">
        <v>0</v>
      </c>
      <c r="L267" s="68">
        <v>0.31</v>
      </c>
      <c r="M267" s="62">
        <v>3.5000000000000003E-2</v>
      </c>
    </row>
    <row r="268" spans="1:13" ht="24" thickTop="1">
      <c r="A268" s="15" t="s">
        <v>73</v>
      </c>
      <c r="B268" s="21">
        <v>36000</v>
      </c>
      <c r="C268" s="11">
        <v>4</v>
      </c>
      <c r="D268" s="31">
        <v>3724</v>
      </c>
      <c r="E268" s="31">
        <v>39724</v>
      </c>
      <c r="F268" s="31">
        <v>420</v>
      </c>
      <c r="G268" s="31">
        <v>9000</v>
      </c>
      <c r="H268" s="31">
        <v>826</v>
      </c>
      <c r="I268" s="31">
        <v>9826</v>
      </c>
      <c r="K268" s="54">
        <v>0</v>
      </c>
      <c r="L268" s="68">
        <v>0.31</v>
      </c>
      <c r="M268" s="62">
        <v>3.5000000000000003E-2</v>
      </c>
    </row>
    <row r="269" spans="1:13" ht="23.25">
      <c r="A269" s="55" t="s">
        <v>73</v>
      </c>
      <c r="B269" s="48">
        <v>36000</v>
      </c>
      <c r="C269" s="56">
        <v>6</v>
      </c>
      <c r="D269" s="32">
        <v>5586</v>
      </c>
      <c r="E269" s="32">
        <v>41586</v>
      </c>
      <c r="F269" s="32">
        <v>630</v>
      </c>
      <c r="G269" s="32">
        <v>6000</v>
      </c>
      <c r="H269" s="49">
        <v>826</v>
      </c>
      <c r="I269" s="49">
        <v>6826</v>
      </c>
      <c r="K269" s="56">
        <v>0</v>
      </c>
      <c r="L269" s="68">
        <v>0.31</v>
      </c>
      <c r="M269" s="62">
        <v>3.5000000000000003E-2</v>
      </c>
    </row>
    <row r="270" spans="1:13" ht="23.25">
      <c r="A270" s="55" t="s">
        <v>73</v>
      </c>
      <c r="B270" s="48">
        <v>36000</v>
      </c>
      <c r="C270" s="57">
        <v>8</v>
      </c>
      <c r="D270" s="58">
        <v>7448</v>
      </c>
      <c r="E270" s="58">
        <v>43448</v>
      </c>
      <c r="F270" s="58">
        <v>840</v>
      </c>
      <c r="G270" s="58">
        <v>4500</v>
      </c>
      <c r="H270" s="58">
        <v>826</v>
      </c>
      <c r="I270" s="58">
        <v>5326</v>
      </c>
      <c r="K270" s="57">
        <v>0</v>
      </c>
      <c r="L270" s="68">
        <v>0.31</v>
      </c>
      <c r="M270" s="62">
        <v>3.5000000000000003E-2</v>
      </c>
    </row>
    <row r="271" spans="1:13" ht="23.25">
      <c r="A271" s="55" t="s">
        <v>73</v>
      </c>
      <c r="B271" s="48">
        <v>36000</v>
      </c>
      <c r="C271" s="59">
        <v>10</v>
      </c>
      <c r="D271" s="50">
        <v>9310</v>
      </c>
      <c r="E271" s="50">
        <v>45310</v>
      </c>
      <c r="F271" s="50">
        <v>1050</v>
      </c>
      <c r="G271" s="50">
        <v>3600</v>
      </c>
      <c r="H271" s="50">
        <v>826</v>
      </c>
      <c r="I271" s="50">
        <v>4426</v>
      </c>
      <c r="K271" s="59">
        <v>0</v>
      </c>
      <c r="L271" s="68">
        <v>0.31</v>
      </c>
      <c r="M271" s="62">
        <v>3.5000000000000003E-2</v>
      </c>
    </row>
    <row r="272" spans="1:13" ht="23.25">
      <c r="A272" s="55" t="s">
        <v>73</v>
      </c>
      <c r="B272" s="48">
        <v>36000</v>
      </c>
      <c r="C272" s="57">
        <v>12</v>
      </c>
      <c r="D272" s="58">
        <v>11172</v>
      </c>
      <c r="E272" s="58">
        <v>47172</v>
      </c>
      <c r="F272" s="58">
        <v>1260</v>
      </c>
      <c r="G272" s="58">
        <v>3000</v>
      </c>
      <c r="H272" s="58">
        <v>826</v>
      </c>
      <c r="I272" s="58">
        <v>3826</v>
      </c>
      <c r="K272" s="57">
        <v>0</v>
      </c>
      <c r="L272" s="68">
        <v>0.31</v>
      </c>
      <c r="M272" s="62">
        <v>3.5000000000000003E-2</v>
      </c>
    </row>
    <row r="273" spans="1:13" ht="23.25">
      <c r="A273" s="55" t="s">
        <v>73</v>
      </c>
      <c r="B273" s="48">
        <v>36000</v>
      </c>
      <c r="C273" s="59">
        <v>14</v>
      </c>
      <c r="D273" s="50">
        <v>13028</v>
      </c>
      <c r="E273" s="50">
        <v>49028</v>
      </c>
      <c r="F273" s="50">
        <v>1470</v>
      </c>
      <c r="G273" s="50">
        <v>2572</v>
      </c>
      <c r="H273" s="50">
        <v>825</v>
      </c>
      <c r="I273" s="50">
        <v>3397</v>
      </c>
      <c r="K273" s="59">
        <v>0</v>
      </c>
      <c r="L273" s="68">
        <v>0.31</v>
      </c>
      <c r="M273" s="62">
        <v>3.5000000000000003E-2</v>
      </c>
    </row>
    <row r="274" spans="1:13" ht="23.25">
      <c r="A274" s="55" t="s">
        <v>73</v>
      </c>
      <c r="B274" s="48">
        <v>36000</v>
      </c>
      <c r="C274" s="57">
        <v>16</v>
      </c>
      <c r="D274" s="58">
        <v>14896</v>
      </c>
      <c r="E274" s="58">
        <v>50896</v>
      </c>
      <c r="F274" s="58">
        <v>1680</v>
      </c>
      <c r="G274" s="58">
        <v>2250</v>
      </c>
      <c r="H274" s="58">
        <v>826</v>
      </c>
      <c r="I274" s="58">
        <v>3076</v>
      </c>
      <c r="K274" s="57">
        <v>0</v>
      </c>
      <c r="L274" s="68">
        <v>0.31</v>
      </c>
      <c r="M274" s="62">
        <v>3.5000000000000003E-2</v>
      </c>
    </row>
    <row r="275" spans="1:13" ht="24" thickBot="1">
      <c r="A275" s="60" t="s">
        <v>73</v>
      </c>
      <c r="B275" s="51">
        <v>36000</v>
      </c>
      <c r="C275" s="61">
        <v>18</v>
      </c>
      <c r="D275" s="52">
        <v>16758</v>
      </c>
      <c r="E275" s="52">
        <v>52758</v>
      </c>
      <c r="F275" s="52">
        <v>1890</v>
      </c>
      <c r="G275" s="52">
        <v>2000</v>
      </c>
      <c r="H275" s="53">
        <v>826</v>
      </c>
      <c r="I275" s="52">
        <v>2826</v>
      </c>
      <c r="K275" s="61">
        <v>0</v>
      </c>
      <c r="L275" s="68">
        <v>0.31</v>
      </c>
      <c r="M275" s="62">
        <v>3.5000000000000003E-2</v>
      </c>
    </row>
    <row r="276" spans="1:13" ht="24" thickTop="1">
      <c r="A276" s="15" t="s">
        <v>73</v>
      </c>
      <c r="B276" s="21">
        <v>37000</v>
      </c>
      <c r="C276" s="11">
        <v>4</v>
      </c>
      <c r="D276" s="31">
        <v>3824</v>
      </c>
      <c r="E276" s="31">
        <v>40824</v>
      </c>
      <c r="F276" s="31">
        <v>432</v>
      </c>
      <c r="G276" s="31">
        <v>9250</v>
      </c>
      <c r="H276" s="31">
        <v>848</v>
      </c>
      <c r="I276" s="31">
        <v>10098</v>
      </c>
      <c r="K276" s="54">
        <v>0</v>
      </c>
      <c r="L276" s="68">
        <v>0.31</v>
      </c>
      <c r="M276" s="62">
        <v>3.5000000000000003E-2</v>
      </c>
    </row>
    <row r="277" spans="1:13" ht="23.25">
      <c r="A277" s="55" t="s">
        <v>73</v>
      </c>
      <c r="B277" s="48">
        <v>37000</v>
      </c>
      <c r="C277" s="56">
        <v>6</v>
      </c>
      <c r="D277" s="32">
        <v>5738</v>
      </c>
      <c r="E277" s="32">
        <v>42738</v>
      </c>
      <c r="F277" s="32">
        <v>648</v>
      </c>
      <c r="G277" s="32">
        <v>6167</v>
      </c>
      <c r="H277" s="49">
        <v>848</v>
      </c>
      <c r="I277" s="49">
        <v>7015</v>
      </c>
      <c r="K277" s="56">
        <v>0</v>
      </c>
      <c r="L277" s="68">
        <v>0.31</v>
      </c>
      <c r="M277" s="62">
        <v>3.5000000000000003E-2</v>
      </c>
    </row>
    <row r="278" spans="1:13" ht="23.25">
      <c r="A278" s="55" t="s">
        <v>73</v>
      </c>
      <c r="B278" s="48">
        <v>37000</v>
      </c>
      <c r="C278" s="57">
        <v>8</v>
      </c>
      <c r="D278" s="58">
        <v>7648</v>
      </c>
      <c r="E278" s="58">
        <v>44648</v>
      </c>
      <c r="F278" s="58">
        <v>864</v>
      </c>
      <c r="G278" s="58">
        <v>4625</v>
      </c>
      <c r="H278" s="58">
        <v>848</v>
      </c>
      <c r="I278" s="58">
        <v>5473</v>
      </c>
      <c r="K278" s="57">
        <v>0</v>
      </c>
      <c r="L278" s="68">
        <v>0.31</v>
      </c>
      <c r="M278" s="62">
        <v>3.5000000000000003E-2</v>
      </c>
    </row>
    <row r="279" spans="1:13" ht="23.25">
      <c r="A279" s="55" t="s">
        <v>73</v>
      </c>
      <c r="B279" s="48">
        <v>37000</v>
      </c>
      <c r="C279" s="59">
        <v>10</v>
      </c>
      <c r="D279" s="50">
        <v>9560</v>
      </c>
      <c r="E279" s="50">
        <v>46560</v>
      </c>
      <c r="F279" s="50">
        <v>1080</v>
      </c>
      <c r="G279" s="50">
        <v>3700</v>
      </c>
      <c r="H279" s="50">
        <v>848</v>
      </c>
      <c r="I279" s="50">
        <v>4548</v>
      </c>
      <c r="K279" s="59">
        <v>0</v>
      </c>
      <c r="L279" s="68">
        <v>0.31</v>
      </c>
      <c r="M279" s="62">
        <v>3.5000000000000003E-2</v>
      </c>
    </row>
    <row r="280" spans="1:13" ht="23.25">
      <c r="A280" s="55" t="s">
        <v>73</v>
      </c>
      <c r="B280" s="48">
        <v>37000</v>
      </c>
      <c r="C280" s="57">
        <v>12</v>
      </c>
      <c r="D280" s="58">
        <v>11479</v>
      </c>
      <c r="E280" s="58">
        <v>48479</v>
      </c>
      <c r="F280" s="58">
        <v>1295</v>
      </c>
      <c r="G280" s="58">
        <v>3084</v>
      </c>
      <c r="H280" s="58">
        <v>848</v>
      </c>
      <c r="I280" s="58">
        <v>3932</v>
      </c>
      <c r="K280" s="57">
        <v>0</v>
      </c>
      <c r="L280" s="68">
        <v>0.31</v>
      </c>
      <c r="M280" s="62">
        <v>3.5000000000000003E-2</v>
      </c>
    </row>
    <row r="281" spans="1:13" ht="23.25">
      <c r="A281" s="55" t="s">
        <v>73</v>
      </c>
      <c r="B281" s="48">
        <v>37000</v>
      </c>
      <c r="C281" s="59">
        <v>14</v>
      </c>
      <c r="D281" s="50">
        <v>13385</v>
      </c>
      <c r="E281" s="50">
        <v>50385</v>
      </c>
      <c r="F281" s="50">
        <v>1511</v>
      </c>
      <c r="G281" s="50">
        <v>2643</v>
      </c>
      <c r="H281" s="50">
        <v>848</v>
      </c>
      <c r="I281" s="50">
        <v>3491</v>
      </c>
      <c r="K281" s="59">
        <v>0</v>
      </c>
      <c r="L281" s="68">
        <v>0.31</v>
      </c>
      <c r="M281" s="62">
        <v>3.5000000000000003E-2</v>
      </c>
    </row>
    <row r="282" spans="1:13" ht="23.25">
      <c r="A282" s="55" t="s">
        <v>73</v>
      </c>
      <c r="B282" s="48">
        <v>37000</v>
      </c>
      <c r="C282" s="57">
        <v>16</v>
      </c>
      <c r="D282" s="58">
        <v>15303</v>
      </c>
      <c r="E282" s="58">
        <v>52303</v>
      </c>
      <c r="F282" s="58">
        <v>1727</v>
      </c>
      <c r="G282" s="58">
        <v>2313</v>
      </c>
      <c r="H282" s="58">
        <v>848</v>
      </c>
      <c r="I282" s="58">
        <v>3161</v>
      </c>
      <c r="K282" s="57">
        <v>0</v>
      </c>
      <c r="L282" s="68">
        <v>0.31</v>
      </c>
      <c r="M282" s="62">
        <v>3.5000000000000003E-2</v>
      </c>
    </row>
    <row r="283" spans="1:13" ht="24" thickBot="1">
      <c r="A283" s="60" t="s">
        <v>73</v>
      </c>
      <c r="B283" s="51">
        <v>37000</v>
      </c>
      <c r="C283" s="61">
        <v>18</v>
      </c>
      <c r="D283" s="52">
        <v>17215</v>
      </c>
      <c r="E283" s="52">
        <v>54215</v>
      </c>
      <c r="F283" s="52">
        <v>1943</v>
      </c>
      <c r="G283" s="52">
        <v>2056</v>
      </c>
      <c r="H283" s="53">
        <v>848</v>
      </c>
      <c r="I283" s="52">
        <v>2904</v>
      </c>
      <c r="K283" s="61">
        <v>0</v>
      </c>
      <c r="L283" s="68">
        <v>0.31</v>
      </c>
      <c r="M283" s="62">
        <v>3.5000000000000003E-2</v>
      </c>
    </row>
    <row r="284" spans="1:13" ht="24" thickTop="1">
      <c r="A284" s="15" t="s">
        <v>73</v>
      </c>
      <c r="B284" s="21">
        <v>38000</v>
      </c>
      <c r="C284" s="11">
        <v>4</v>
      </c>
      <c r="D284" s="31">
        <v>3928</v>
      </c>
      <c r="E284" s="31">
        <v>41928</v>
      </c>
      <c r="F284" s="31">
        <v>444</v>
      </c>
      <c r="G284" s="31">
        <v>9500</v>
      </c>
      <c r="H284" s="31">
        <v>871</v>
      </c>
      <c r="I284" s="31">
        <v>10371</v>
      </c>
      <c r="K284" s="54">
        <v>0</v>
      </c>
      <c r="L284" s="68">
        <v>0.31</v>
      </c>
      <c r="M284" s="62">
        <v>3.5000000000000003E-2</v>
      </c>
    </row>
    <row r="285" spans="1:13" ht="23.25">
      <c r="A285" s="55" t="s">
        <v>73</v>
      </c>
      <c r="B285" s="48">
        <v>38000</v>
      </c>
      <c r="C285" s="56">
        <v>6</v>
      </c>
      <c r="D285" s="32">
        <v>5895</v>
      </c>
      <c r="E285" s="32">
        <v>43895</v>
      </c>
      <c r="F285" s="32">
        <v>665</v>
      </c>
      <c r="G285" s="32">
        <v>6334</v>
      </c>
      <c r="H285" s="49">
        <v>871</v>
      </c>
      <c r="I285" s="49">
        <v>7205</v>
      </c>
      <c r="K285" s="56">
        <v>0</v>
      </c>
      <c r="L285" s="68">
        <v>0.31</v>
      </c>
      <c r="M285" s="62">
        <v>3.5000000000000003E-2</v>
      </c>
    </row>
    <row r="286" spans="1:13" ht="23.25">
      <c r="A286" s="55" t="s">
        <v>73</v>
      </c>
      <c r="B286" s="48">
        <v>38000</v>
      </c>
      <c r="C286" s="57">
        <v>8</v>
      </c>
      <c r="D286" s="58">
        <v>7855</v>
      </c>
      <c r="E286" s="58">
        <v>45855</v>
      </c>
      <c r="F286" s="58">
        <v>887</v>
      </c>
      <c r="G286" s="58">
        <v>4750</v>
      </c>
      <c r="H286" s="58">
        <v>871</v>
      </c>
      <c r="I286" s="58">
        <v>5621</v>
      </c>
      <c r="K286" s="57">
        <v>0</v>
      </c>
      <c r="L286" s="68">
        <v>0.31</v>
      </c>
      <c r="M286" s="62">
        <v>3.5000000000000003E-2</v>
      </c>
    </row>
    <row r="287" spans="1:13" ht="23.25">
      <c r="A287" s="55" t="s">
        <v>73</v>
      </c>
      <c r="B287" s="48">
        <v>38000</v>
      </c>
      <c r="C287" s="59">
        <v>10</v>
      </c>
      <c r="D287" s="50">
        <v>9819</v>
      </c>
      <c r="E287" s="50">
        <v>47819</v>
      </c>
      <c r="F287" s="50">
        <v>1109</v>
      </c>
      <c r="G287" s="50">
        <v>3800</v>
      </c>
      <c r="H287" s="50">
        <v>871</v>
      </c>
      <c r="I287" s="50">
        <v>4671</v>
      </c>
      <c r="K287" s="59">
        <v>0</v>
      </c>
      <c r="L287" s="68">
        <v>0.31</v>
      </c>
      <c r="M287" s="62">
        <v>3.5000000000000003E-2</v>
      </c>
    </row>
    <row r="288" spans="1:13" ht="23.25">
      <c r="A288" s="55" t="s">
        <v>73</v>
      </c>
      <c r="B288" s="48">
        <v>38000</v>
      </c>
      <c r="C288" s="57">
        <v>12</v>
      </c>
      <c r="D288" s="58">
        <v>11786</v>
      </c>
      <c r="E288" s="58">
        <v>49786</v>
      </c>
      <c r="F288" s="58">
        <v>1330</v>
      </c>
      <c r="G288" s="58">
        <v>3167</v>
      </c>
      <c r="H288" s="58">
        <v>871</v>
      </c>
      <c r="I288" s="58">
        <v>4038</v>
      </c>
      <c r="K288" s="57">
        <v>0</v>
      </c>
      <c r="L288" s="68">
        <v>0.31</v>
      </c>
      <c r="M288" s="62">
        <v>3.5000000000000003E-2</v>
      </c>
    </row>
    <row r="289" spans="1:13" ht="23.25">
      <c r="A289" s="55" t="s">
        <v>73</v>
      </c>
      <c r="B289" s="48">
        <v>38000</v>
      </c>
      <c r="C289" s="59">
        <v>14</v>
      </c>
      <c r="D289" s="50">
        <v>13756</v>
      </c>
      <c r="E289" s="50">
        <v>51756</v>
      </c>
      <c r="F289" s="50">
        <v>1552</v>
      </c>
      <c r="G289" s="50">
        <v>2715</v>
      </c>
      <c r="H289" s="50">
        <v>871</v>
      </c>
      <c r="I289" s="50">
        <v>3586</v>
      </c>
      <c r="K289" s="59">
        <v>0</v>
      </c>
      <c r="L289" s="68">
        <v>0.31</v>
      </c>
      <c r="M289" s="62">
        <v>3.5000000000000003E-2</v>
      </c>
    </row>
    <row r="290" spans="1:13" ht="23.25">
      <c r="A290" s="55" t="s">
        <v>73</v>
      </c>
      <c r="B290" s="48">
        <v>38000</v>
      </c>
      <c r="C290" s="57">
        <v>16</v>
      </c>
      <c r="D290" s="58">
        <v>15710</v>
      </c>
      <c r="E290" s="58">
        <v>53710</v>
      </c>
      <c r="F290" s="58">
        <v>1774</v>
      </c>
      <c r="G290" s="58">
        <v>2375</v>
      </c>
      <c r="H290" s="58">
        <v>871</v>
      </c>
      <c r="I290" s="58">
        <v>3246</v>
      </c>
      <c r="K290" s="57">
        <v>0</v>
      </c>
      <c r="L290" s="68">
        <v>0.31</v>
      </c>
      <c r="M290" s="62">
        <v>3.5000000000000003E-2</v>
      </c>
    </row>
    <row r="291" spans="1:13" ht="24" thickBot="1">
      <c r="A291" s="60" t="s">
        <v>73</v>
      </c>
      <c r="B291" s="51">
        <v>38000</v>
      </c>
      <c r="C291" s="61">
        <v>18</v>
      </c>
      <c r="D291" s="52">
        <v>17671</v>
      </c>
      <c r="E291" s="52">
        <v>55671</v>
      </c>
      <c r="F291" s="52">
        <v>1995</v>
      </c>
      <c r="G291" s="52">
        <v>2112</v>
      </c>
      <c r="H291" s="53">
        <v>870</v>
      </c>
      <c r="I291" s="52">
        <v>2982</v>
      </c>
      <c r="K291" s="61">
        <v>0</v>
      </c>
      <c r="L291" s="68">
        <v>0.31</v>
      </c>
      <c r="M291" s="62">
        <v>3.5000000000000003E-2</v>
      </c>
    </row>
    <row r="292" spans="1:13" ht="24" thickTop="1">
      <c r="A292" s="15" t="s">
        <v>73</v>
      </c>
      <c r="B292" s="21">
        <v>39000</v>
      </c>
      <c r="C292" s="11">
        <v>4</v>
      </c>
      <c r="D292" s="31">
        <v>4031</v>
      </c>
      <c r="E292" s="31">
        <v>43031</v>
      </c>
      <c r="F292" s="31">
        <v>455</v>
      </c>
      <c r="G292" s="31">
        <v>9750</v>
      </c>
      <c r="H292" s="31">
        <v>894</v>
      </c>
      <c r="I292" s="31">
        <v>10644</v>
      </c>
      <c r="K292" s="54">
        <v>0</v>
      </c>
      <c r="L292" s="68">
        <v>0.31</v>
      </c>
      <c r="M292" s="62">
        <v>3.5000000000000003E-2</v>
      </c>
    </row>
    <row r="293" spans="1:13" ht="23.25">
      <c r="A293" s="55" t="s">
        <v>73</v>
      </c>
      <c r="B293" s="48">
        <v>39000</v>
      </c>
      <c r="C293" s="56">
        <v>6</v>
      </c>
      <c r="D293" s="32">
        <v>6047</v>
      </c>
      <c r="E293" s="32">
        <v>45047</v>
      </c>
      <c r="F293" s="32">
        <v>683</v>
      </c>
      <c r="G293" s="32">
        <v>6500</v>
      </c>
      <c r="H293" s="49">
        <v>894</v>
      </c>
      <c r="I293" s="49">
        <v>7394</v>
      </c>
      <c r="K293" s="56">
        <v>0</v>
      </c>
      <c r="L293" s="68">
        <v>0.31</v>
      </c>
      <c r="M293" s="62">
        <v>3.5000000000000003E-2</v>
      </c>
    </row>
    <row r="294" spans="1:13" ht="23.25">
      <c r="A294" s="55" t="s">
        <v>73</v>
      </c>
      <c r="B294" s="48">
        <v>39000</v>
      </c>
      <c r="C294" s="57">
        <v>8</v>
      </c>
      <c r="D294" s="58">
        <v>8062</v>
      </c>
      <c r="E294" s="58">
        <v>47062</v>
      </c>
      <c r="F294" s="58">
        <v>910</v>
      </c>
      <c r="G294" s="58">
        <v>4875</v>
      </c>
      <c r="H294" s="58">
        <v>894</v>
      </c>
      <c r="I294" s="58">
        <v>5769</v>
      </c>
      <c r="K294" s="57">
        <v>0</v>
      </c>
      <c r="L294" s="68">
        <v>0.31</v>
      </c>
      <c r="M294" s="62">
        <v>3.5000000000000003E-2</v>
      </c>
    </row>
    <row r="295" spans="1:13" ht="23.25">
      <c r="A295" s="55" t="s">
        <v>73</v>
      </c>
      <c r="B295" s="48">
        <v>39000</v>
      </c>
      <c r="C295" s="59">
        <v>10</v>
      </c>
      <c r="D295" s="50">
        <v>10078</v>
      </c>
      <c r="E295" s="50">
        <v>49078</v>
      </c>
      <c r="F295" s="50">
        <v>1138</v>
      </c>
      <c r="G295" s="50">
        <v>3900</v>
      </c>
      <c r="H295" s="50">
        <v>894</v>
      </c>
      <c r="I295" s="50">
        <v>4794</v>
      </c>
      <c r="K295" s="59">
        <v>0</v>
      </c>
      <c r="L295" s="68">
        <v>0.31</v>
      </c>
      <c r="M295" s="62">
        <v>3.5000000000000003E-2</v>
      </c>
    </row>
    <row r="296" spans="1:13" ht="23.25">
      <c r="A296" s="55" t="s">
        <v>73</v>
      </c>
      <c r="B296" s="48">
        <v>39000</v>
      </c>
      <c r="C296" s="57">
        <v>12</v>
      </c>
      <c r="D296" s="58">
        <v>12093</v>
      </c>
      <c r="E296" s="58">
        <v>51093</v>
      </c>
      <c r="F296" s="58">
        <v>1365</v>
      </c>
      <c r="G296" s="58">
        <v>3250</v>
      </c>
      <c r="H296" s="58">
        <v>894</v>
      </c>
      <c r="I296" s="58">
        <v>4144</v>
      </c>
      <c r="K296" s="57">
        <v>0</v>
      </c>
      <c r="L296" s="68">
        <v>0.31</v>
      </c>
      <c r="M296" s="62">
        <v>3.5000000000000003E-2</v>
      </c>
    </row>
    <row r="297" spans="1:13" ht="23.25">
      <c r="A297" s="55" t="s">
        <v>73</v>
      </c>
      <c r="B297" s="48">
        <v>39000</v>
      </c>
      <c r="C297" s="59">
        <v>14</v>
      </c>
      <c r="D297" s="50">
        <v>14113</v>
      </c>
      <c r="E297" s="50">
        <v>53113</v>
      </c>
      <c r="F297" s="50">
        <v>1593</v>
      </c>
      <c r="G297" s="50">
        <v>2786</v>
      </c>
      <c r="H297" s="50">
        <v>894</v>
      </c>
      <c r="I297" s="50">
        <v>3680</v>
      </c>
      <c r="K297" s="59">
        <v>0</v>
      </c>
      <c r="L297" s="68">
        <v>0.31</v>
      </c>
      <c r="M297" s="62">
        <v>3.5000000000000003E-2</v>
      </c>
    </row>
    <row r="298" spans="1:13" ht="23.25">
      <c r="A298" s="55" t="s">
        <v>73</v>
      </c>
      <c r="B298" s="48">
        <v>39000</v>
      </c>
      <c r="C298" s="57">
        <v>16</v>
      </c>
      <c r="D298" s="58">
        <v>16132</v>
      </c>
      <c r="E298" s="58">
        <v>55132</v>
      </c>
      <c r="F298" s="58">
        <v>1820</v>
      </c>
      <c r="G298" s="58">
        <v>2438</v>
      </c>
      <c r="H298" s="58">
        <v>894</v>
      </c>
      <c r="I298" s="58">
        <v>3332</v>
      </c>
      <c r="K298" s="57">
        <v>0</v>
      </c>
      <c r="L298" s="68">
        <v>0.31</v>
      </c>
      <c r="M298" s="62">
        <v>3.5000000000000003E-2</v>
      </c>
    </row>
    <row r="299" spans="1:13" ht="24" thickBot="1">
      <c r="A299" s="60" t="s">
        <v>73</v>
      </c>
      <c r="B299" s="51">
        <v>39000</v>
      </c>
      <c r="C299" s="61">
        <v>18</v>
      </c>
      <c r="D299" s="52">
        <v>18146</v>
      </c>
      <c r="E299" s="52">
        <v>57146</v>
      </c>
      <c r="F299" s="52">
        <v>2048</v>
      </c>
      <c r="G299" s="52">
        <v>2167</v>
      </c>
      <c r="H299" s="53">
        <v>894</v>
      </c>
      <c r="I299" s="52">
        <v>3061</v>
      </c>
      <c r="K299" s="61">
        <v>0</v>
      </c>
      <c r="L299" s="68">
        <v>0.31</v>
      </c>
      <c r="M299" s="62">
        <v>3.5000000000000003E-2</v>
      </c>
    </row>
    <row r="300" spans="1:13" ht="24" thickTop="1">
      <c r="A300" s="15" t="s">
        <v>73</v>
      </c>
      <c r="B300" s="21">
        <v>40000</v>
      </c>
      <c r="C300" s="11">
        <v>4</v>
      </c>
      <c r="D300" s="31">
        <v>4135</v>
      </c>
      <c r="E300" s="31">
        <v>44135</v>
      </c>
      <c r="F300" s="31">
        <v>467</v>
      </c>
      <c r="G300" s="31">
        <v>10000</v>
      </c>
      <c r="H300" s="31">
        <v>917</v>
      </c>
      <c r="I300" s="31">
        <v>10917</v>
      </c>
      <c r="K300" s="54">
        <v>0</v>
      </c>
      <c r="L300" s="68">
        <v>0.31</v>
      </c>
      <c r="M300" s="62">
        <v>3.5000000000000003E-2</v>
      </c>
    </row>
    <row r="301" spans="1:13" ht="23.25">
      <c r="A301" s="55" t="s">
        <v>73</v>
      </c>
      <c r="B301" s="48">
        <v>40000</v>
      </c>
      <c r="C301" s="56">
        <v>6</v>
      </c>
      <c r="D301" s="32">
        <v>6204</v>
      </c>
      <c r="E301" s="32">
        <v>46204</v>
      </c>
      <c r="F301" s="32">
        <v>700</v>
      </c>
      <c r="G301" s="32">
        <v>6667</v>
      </c>
      <c r="H301" s="49">
        <v>917</v>
      </c>
      <c r="I301" s="49">
        <v>7584</v>
      </c>
      <c r="K301" s="56">
        <v>0</v>
      </c>
      <c r="L301" s="68">
        <v>0.31</v>
      </c>
      <c r="M301" s="62">
        <v>3.5000000000000003E-2</v>
      </c>
    </row>
    <row r="302" spans="1:13" ht="23.25">
      <c r="A302" s="55" t="s">
        <v>73</v>
      </c>
      <c r="B302" s="48">
        <v>40000</v>
      </c>
      <c r="C302" s="57">
        <v>8</v>
      </c>
      <c r="D302" s="58">
        <v>8270</v>
      </c>
      <c r="E302" s="58">
        <v>48270</v>
      </c>
      <c r="F302" s="58">
        <v>934</v>
      </c>
      <c r="G302" s="58">
        <v>5000</v>
      </c>
      <c r="H302" s="58">
        <v>917</v>
      </c>
      <c r="I302" s="58">
        <v>5917</v>
      </c>
      <c r="K302" s="57">
        <v>0</v>
      </c>
      <c r="L302" s="68">
        <v>0.31</v>
      </c>
      <c r="M302" s="62">
        <v>3.5000000000000003E-2</v>
      </c>
    </row>
    <row r="303" spans="1:13" ht="23.25">
      <c r="A303" s="55" t="s">
        <v>73</v>
      </c>
      <c r="B303" s="48">
        <v>40000</v>
      </c>
      <c r="C303" s="59">
        <v>10</v>
      </c>
      <c r="D303" s="50">
        <v>10337</v>
      </c>
      <c r="E303" s="50">
        <v>50337</v>
      </c>
      <c r="F303" s="50">
        <v>1167</v>
      </c>
      <c r="G303" s="50">
        <v>4000</v>
      </c>
      <c r="H303" s="50">
        <v>917</v>
      </c>
      <c r="I303" s="50">
        <v>4917</v>
      </c>
      <c r="K303" s="59">
        <v>0</v>
      </c>
      <c r="L303" s="68">
        <v>0.31</v>
      </c>
      <c r="M303" s="62">
        <v>3.5000000000000003E-2</v>
      </c>
    </row>
    <row r="304" spans="1:13" ht="23.25">
      <c r="A304" s="55" t="s">
        <v>73</v>
      </c>
      <c r="B304" s="48">
        <v>40000</v>
      </c>
      <c r="C304" s="57">
        <v>12</v>
      </c>
      <c r="D304" s="58">
        <v>12412</v>
      </c>
      <c r="E304" s="58">
        <v>52412</v>
      </c>
      <c r="F304" s="58">
        <v>1400</v>
      </c>
      <c r="G304" s="58">
        <v>3334</v>
      </c>
      <c r="H304" s="58">
        <v>917</v>
      </c>
      <c r="I304" s="58">
        <v>4251</v>
      </c>
      <c r="K304" s="57">
        <v>0</v>
      </c>
      <c r="L304" s="68">
        <v>0.31</v>
      </c>
      <c r="M304" s="62">
        <v>3.5000000000000003E-2</v>
      </c>
    </row>
    <row r="305" spans="1:13" ht="23.25">
      <c r="A305" s="55" t="s">
        <v>73</v>
      </c>
      <c r="B305" s="48">
        <v>40000</v>
      </c>
      <c r="C305" s="59">
        <v>14</v>
      </c>
      <c r="D305" s="50">
        <v>14470</v>
      </c>
      <c r="E305" s="50">
        <v>54470</v>
      </c>
      <c r="F305" s="50">
        <v>1634</v>
      </c>
      <c r="G305" s="50">
        <v>2858</v>
      </c>
      <c r="H305" s="50">
        <v>916</v>
      </c>
      <c r="I305" s="50">
        <v>3774</v>
      </c>
      <c r="K305" s="59">
        <v>0</v>
      </c>
      <c r="L305" s="68">
        <v>0.31</v>
      </c>
      <c r="M305" s="62">
        <v>3.5000000000000003E-2</v>
      </c>
    </row>
    <row r="306" spans="1:13" ht="23.25">
      <c r="A306" s="55" t="s">
        <v>73</v>
      </c>
      <c r="B306" s="48">
        <v>40000</v>
      </c>
      <c r="C306" s="57">
        <v>16</v>
      </c>
      <c r="D306" s="58">
        <v>16539</v>
      </c>
      <c r="E306" s="58">
        <v>56539</v>
      </c>
      <c r="F306" s="58">
        <v>1867</v>
      </c>
      <c r="G306" s="58">
        <v>2500</v>
      </c>
      <c r="H306" s="58">
        <v>917</v>
      </c>
      <c r="I306" s="58">
        <v>3417</v>
      </c>
      <c r="K306" s="57">
        <v>0</v>
      </c>
      <c r="L306" s="68">
        <v>0.31</v>
      </c>
      <c r="M306" s="62">
        <v>3.5000000000000003E-2</v>
      </c>
    </row>
    <row r="307" spans="1:13" ht="24" thickBot="1">
      <c r="A307" s="60" t="s">
        <v>73</v>
      </c>
      <c r="B307" s="51">
        <v>40000</v>
      </c>
      <c r="C307" s="61">
        <v>18</v>
      </c>
      <c r="D307" s="52">
        <v>18602</v>
      </c>
      <c r="E307" s="52">
        <v>58602</v>
      </c>
      <c r="F307" s="52">
        <v>2100</v>
      </c>
      <c r="G307" s="52">
        <v>2223</v>
      </c>
      <c r="H307" s="53">
        <v>916</v>
      </c>
      <c r="I307" s="52">
        <v>3139</v>
      </c>
      <c r="K307" s="61">
        <v>0</v>
      </c>
      <c r="L307" s="68">
        <v>0.31</v>
      </c>
      <c r="M307" s="62">
        <v>3.5000000000000003E-2</v>
      </c>
    </row>
    <row r="308" spans="1:13" ht="24" thickTop="1">
      <c r="A308" s="15" t="s">
        <v>73</v>
      </c>
      <c r="B308" s="21">
        <v>41000</v>
      </c>
      <c r="C308" s="11">
        <v>4</v>
      </c>
      <c r="D308" s="31">
        <v>4239</v>
      </c>
      <c r="E308" s="31">
        <v>45239</v>
      </c>
      <c r="F308" s="31">
        <v>479</v>
      </c>
      <c r="G308" s="31">
        <v>10250</v>
      </c>
      <c r="H308" s="31">
        <v>940</v>
      </c>
      <c r="I308" s="31">
        <v>11190</v>
      </c>
      <c r="K308" s="54">
        <v>0</v>
      </c>
      <c r="L308" s="68">
        <v>0.31</v>
      </c>
      <c r="M308" s="62">
        <v>3.5000000000000003E-2</v>
      </c>
    </row>
    <row r="309" spans="1:13" ht="23.25">
      <c r="A309" s="55" t="s">
        <v>73</v>
      </c>
      <c r="B309" s="48">
        <v>41000</v>
      </c>
      <c r="C309" s="56">
        <v>6</v>
      </c>
      <c r="D309" s="32">
        <v>6356</v>
      </c>
      <c r="E309" s="32">
        <v>47356</v>
      </c>
      <c r="F309" s="32">
        <v>718</v>
      </c>
      <c r="G309" s="32">
        <v>6834</v>
      </c>
      <c r="H309" s="49">
        <v>939</v>
      </c>
      <c r="I309" s="49">
        <v>7773</v>
      </c>
      <c r="K309" s="56">
        <v>0</v>
      </c>
      <c r="L309" s="68">
        <v>0.31</v>
      </c>
      <c r="M309" s="62">
        <v>3.5000000000000003E-2</v>
      </c>
    </row>
    <row r="310" spans="1:13" ht="23.25">
      <c r="A310" s="55" t="s">
        <v>73</v>
      </c>
      <c r="B310" s="48">
        <v>41000</v>
      </c>
      <c r="C310" s="57">
        <v>8</v>
      </c>
      <c r="D310" s="58">
        <v>8477</v>
      </c>
      <c r="E310" s="58">
        <v>49477</v>
      </c>
      <c r="F310" s="58">
        <v>957</v>
      </c>
      <c r="G310" s="58">
        <v>5125</v>
      </c>
      <c r="H310" s="58">
        <v>940</v>
      </c>
      <c r="I310" s="58">
        <v>6065</v>
      </c>
      <c r="K310" s="57">
        <v>0</v>
      </c>
      <c r="L310" s="68">
        <v>0.31</v>
      </c>
      <c r="M310" s="62">
        <v>3.5000000000000003E-2</v>
      </c>
    </row>
    <row r="311" spans="1:13" ht="23.25">
      <c r="A311" s="55" t="s">
        <v>73</v>
      </c>
      <c r="B311" s="48">
        <v>41000</v>
      </c>
      <c r="C311" s="59">
        <v>10</v>
      </c>
      <c r="D311" s="50">
        <v>10596</v>
      </c>
      <c r="E311" s="50">
        <v>51596</v>
      </c>
      <c r="F311" s="50">
        <v>1196</v>
      </c>
      <c r="G311" s="50">
        <v>4100</v>
      </c>
      <c r="H311" s="50">
        <v>940</v>
      </c>
      <c r="I311" s="50">
        <v>5040</v>
      </c>
      <c r="K311" s="59">
        <v>0</v>
      </c>
      <c r="L311" s="68">
        <v>0.31</v>
      </c>
      <c r="M311" s="62">
        <v>3.5000000000000003E-2</v>
      </c>
    </row>
    <row r="312" spans="1:13" ht="23.25">
      <c r="A312" s="55" t="s">
        <v>73</v>
      </c>
      <c r="B312" s="48">
        <v>41000</v>
      </c>
      <c r="C312" s="57">
        <v>12</v>
      </c>
      <c r="D312" s="58">
        <v>12719</v>
      </c>
      <c r="E312" s="58">
        <v>53719</v>
      </c>
      <c r="F312" s="58">
        <v>1435</v>
      </c>
      <c r="G312" s="58">
        <v>3417</v>
      </c>
      <c r="H312" s="58">
        <v>940</v>
      </c>
      <c r="I312" s="58">
        <v>4357</v>
      </c>
      <c r="K312" s="57">
        <v>0</v>
      </c>
      <c r="L312" s="68">
        <v>0.31</v>
      </c>
      <c r="M312" s="62">
        <v>3.5000000000000003E-2</v>
      </c>
    </row>
    <row r="313" spans="1:13" ht="23.25">
      <c r="A313" s="55" t="s">
        <v>73</v>
      </c>
      <c r="B313" s="48">
        <v>41000</v>
      </c>
      <c r="C313" s="59">
        <v>14</v>
      </c>
      <c r="D313" s="50">
        <v>14841</v>
      </c>
      <c r="E313" s="50">
        <v>55841</v>
      </c>
      <c r="F313" s="50">
        <v>1675</v>
      </c>
      <c r="G313" s="50">
        <v>2929</v>
      </c>
      <c r="H313" s="50">
        <v>940</v>
      </c>
      <c r="I313" s="50">
        <v>3869</v>
      </c>
      <c r="K313" s="59">
        <v>0</v>
      </c>
      <c r="L313" s="68">
        <v>0.31</v>
      </c>
      <c r="M313" s="62">
        <v>3.5000000000000003E-2</v>
      </c>
    </row>
    <row r="314" spans="1:13" ht="23.25">
      <c r="A314" s="55" t="s">
        <v>73</v>
      </c>
      <c r="B314" s="48">
        <v>41000</v>
      </c>
      <c r="C314" s="57">
        <v>16</v>
      </c>
      <c r="D314" s="58">
        <v>16962</v>
      </c>
      <c r="E314" s="58">
        <v>57962</v>
      </c>
      <c r="F314" s="58">
        <v>1914</v>
      </c>
      <c r="G314" s="58">
        <v>2563</v>
      </c>
      <c r="H314" s="58">
        <v>940</v>
      </c>
      <c r="I314" s="58">
        <v>3503</v>
      </c>
      <c r="K314" s="57">
        <v>0</v>
      </c>
      <c r="L314" s="68">
        <v>0.31</v>
      </c>
      <c r="M314" s="62">
        <v>3.5000000000000003E-2</v>
      </c>
    </row>
    <row r="315" spans="1:13" ht="24" thickBot="1">
      <c r="A315" s="60" t="s">
        <v>73</v>
      </c>
      <c r="B315" s="51">
        <v>41000</v>
      </c>
      <c r="C315" s="61">
        <v>18</v>
      </c>
      <c r="D315" s="52">
        <v>19077</v>
      </c>
      <c r="E315" s="52">
        <v>60077</v>
      </c>
      <c r="F315" s="52">
        <v>2153</v>
      </c>
      <c r="G315" s="52">
        <v>2278</v>
      </c>
      <c r="H315" s="53">
        <v>940</v>
      </c>
      <c r="I315" s="52">
        <v>3218</v>
      </c>
      <c r="K315" s="61">
        <v>0</v>
      </c>
      <c r="L315" s="68">
        <v>0.31</v>
      </c>
      <c r="M315" s="62">
        <v>3.5000000000000003E-2</v>
      </c>
    </row>
    <row r="316" spans="1:13" ht="24" thickTop="1">
      <c r="A316" s="15" t="s">
        <v>73</v>
      </c>
      <c r="B316" s="21">
        <v>42000</v>
      </c>
      <c r="C316" s="11">
        <v>4</v>
      </c>
      <c r="D316" s="31">
        <v>4342</v>
      </c>
      <c r="E316" s="31">
        <v>46342</v>
      </c>
      <c r="F316" s="31">
        <v>490</v>
      </c>
      <c r="G316" s="31">
        <v>10500</v>
      </c>
      <c r="H316" s="31">
        <v>963</v>
      </c>
      <c r="I316" s="31">
        <v>11463</v>
      </c>
      <c r="K316" s="54">
        <v>0</v>
      </c>
      <c r="L316" s="68">
        <v>0.31</v>
      </c>
      <c r="M316" s="62">
        <v>3.5000000000000003E-2</v>
      </c>
    </row>
    <row r="317" spans="1:13" ht="23.25">
      <c r="A317" s="55" t="s">
        <v>73</v>
      </c>
      <c r="B317" s="48">
        <v>42000</v>
      </c>
      <c r="C317" s="56">
        <v>6</v>
      </c>
      <c r="D317" s="32">
        <v>6513</v>
      </c>
      <c r="E317" s="32">
        <v>48513</v>
      </c>
      <c r="F317" s="32">
        <v>735</v>
      </c>
      <c r="G317" s="32">
        <v>7000</v>
      </c>
      <c r="H317" s="49">
        <v>963</v>
      </c>
      <c r="I317" s="49">
        <v>7963</v>
      </c>
      <c r="K317" s="56">
        <v>0</v>
      </c>
      <c r="L317" s="68">
        <v>0.31</v>
      </c>
      <c r="M317" s="62">
        <v>3.5000000000000003E-2</v>
      </c>
    </row>
    <row r="318" spans="1:13" ht="23.25">
      <c r="A318" s="55" t="s">
        <v>73</v>
      </c>
      <c r="B318" s="48">
        <v>42000</v>
      </c>
      <c r="C318" s="57">
        <v>8</v>
      </c>
      <c r="D318" s="58">
        <v>8684</v>
      </c>
      <c r="E318" s="58">
        <v>50684</v>
      </c>
      <c r="F318" s="58">
        <v>980</v>
      </c>
      <c r="G318" s="58">
        <v>5250</v>
      </c>
      <c r="H318" s="58">
        <v>963</v>
      </c>
      <c r="I318" s="58">
        <v>6213</v>
      </c>
      <c r="K318" s="57">
        <v>0</v>
      </c>
      <c r="L318" s="68">
        <v>0.31</v>
      </c>
      <c r="M318" s="62">
        <v>3.5000000000000003E-2</v>
      </c>
    </row>
    <row r="319" spans="1:13" ht="23.25">
      <c r="A319" s="55" t="s">
        <v>73</v>
      </c>
      <c r="B319" s="48">
        <v>42000</v>
      </c>
      <c r="C319" s="59">
        <v>10</v>
      </c>
      <c r="D319" s="50">
        <v>10855</v>
      </c>
      <c r="E319" s="50">
        <v>52855</v>
      </c>
      <c r="F319" s="50">
        <v>1225</v>
      </c>
      <c r="G319" s="50">
        <v>4200</v>
      </c>
      <c r="H319" s="50">
        <v>963</v>
      </c>
      <c r="I319" s="50">
        <v>5163</v>
      </c>
      <c r="K319" s="59">
        <v>0</v>
      </c>
      <c r="L319" s="68">
        <v>0.31</v>
      </c>
      <c r="M319" s="62">
        <v>3.5000000000000003E-2</v>
      </c>
    </row>
    <row r="320" spans="1:13" ht="23.25">
      <c r="A320" s="55" t="s">
        <v>73</v>
      </c>
      <c r="B320" s="48">
        <v>42000</v>
      </c>
      <c r="C320" s="57">
        <v>12</v>
      </c>
      <c r="D320" s="58">
        <v>13026</v>
      </c>
      <c r="E320" s="58">
        <v>55026</v>
      </c>
      <c r="F320" s="58">
        <v>1470</v>
      </c>
      <c r="G320" s="58">
        <v>3500</v>
      </c>
      <c r="H320" s="58">
        <v>963</v>
      </c>
      <c r="I320" s="58">
        <v>4463</v>
      </c>
      <c r="K320" s="57">
        <v>0</v>
      </c>
      <c r="L320" s="68">
        <v>0.31</v>
      </c>
      <c r="M320" s="62">
        <v>3.5000000000000003E-2</v>
      </c>
    </row>
    <row r="321" spans="1:13" ht="23.25">
      <c r="A321" s="55" t="s">
        <v>73</v>
      </c>
      <c r="B321" s="48">
        <v>42000</v>
      </c>
      <c r="C321" s="59">
        <v>14</v>
      </c>
      <c r="D321" s="50">
        <v>15197</v>
      </c>
      <c r="E321" s="50">
        <v>57197</v>
      </c>
      <c r="F321" s="50">
        <v>1715</v>
      </c>
      <c r="G321" s="50">
        <v>3000</v>
      </c>
      <c r="H321" s="50">
        <v>963</v>
      </c>
      <c r="I321" s="50">
        <v>3963</v>
      </c>
      <c r="K321" s="59">
        <v>0</v>
      </c>
      <c r="L321" s="68">
        <v>0.31</v>
      </c>
      <c r="M321" s="62">
        <v>3.5000000000000003E-2</v>
      </c>
    </row>
    <row r="322" spans="1:13" ht="23.25">
      <c r="A322" s="55" t="s">
        <v>73</v>
      </c>
      <c r="B322" s="48">
        <v>42000</v>
      </c>
      <c r="C322" s="57">
        <v>16</v>
      </c>
      <c r="D322" s="58">
        <v>17368</v>
      </c>
      <c r="E322" s="58">
        <v>59368</v>
      </c>
      <c r="F322" s="58">
        <v>1960</v>
      </c>
      <c r="G322" s="58">
        <v>2625</v>
      </c>
      <c r="H322" s="58">
        <v>963</v>
      </c>
      <c r="I322" s="58">
        <v>3588</v>
      </c>
      <c r="K322" s="57">
        <v>0</v>
      </c>
      <c r="L322" s="68">
        <v>0.31</v>
      </c>
      <c r="M322" s="62">
        <v>3.5000000000000003E-2</v>
      </c>
    </row>
    <row r="323" spans="1:13" ht="24" thickBot="1">
      <c r="A323" s="60" t="s">
        <v>73</v>
      </c>
      <c r="B323" s="51">
        <v>42000</v>
      </c>
      <c r="C323" s="61">
        <v>18</v>
      </c>
      <c r="D323" s="52">
        <v>19533</v>
      </c>
      <c r="E323" s="52">
        <v>61533</v>
      </c>
      <c r="F323" s="52">
        <v>2205</v>
      </c>
      <c r="G323" s="52">
        <v>2334</v>
      </c>
      <c r="H323" s="53">
        <v>962</v>
      </c>
      <c r="I323" s="52">
        <v>3296</v>
      </c>
      <c r="K323" s="61">
        <v>0</v>
      </c>
      <c r="L323" s="68">
        <v>0.31</v>
      </c>
      <c r="M323" s="62">
        <v>3.5000000000000003E-2</v>
      </c>
    </row>
    <row r="324" spans="1:13" ht="24" thickTop="1">
      <c r="A324" s="15" t="s">
        <v>73</v>
      </c>
      <c r="B324" s="21">
        <v>43000</v>
      </c>
      <c r="C324" s="11">
        <v>4</v>
      </c>
      <c r="D324" s="31">
        <v>4446</v>
      </c>
      <c r="E324" s="31">
        <v>47446</v>
      </c>
      <c r="F324" s="31">
        <v>502</v>
      </c>
      <c r="G324" s="31">
        <v>10750</v>
      </c>
      <c r="H324" s="31">
        <v>986</v>
      </c>
      <c r="I324" s="31">
        <v>11736</v>
      </c>
      <c r="K324" s="54">
        <v>0</v>
      </c>
      <c r="L324" s="68">
        <v>0.31</v>
      </c>
      <c r="M324" s="62">
        <v>3.5000000000000003E-2</v>
      </c>
    </row>
    <row r="325" spans="1:13" ht="23.25">
      <c r="A325" s="55" t="s">
        <v>73</v>
      </c>
      <c r="B325" s="48">
        <v>43000</v>
      </c>
      <c r="C325" s="56">
        <v>6</v>
      </c>
      <c r="D325" s="32">
        <v>6671</v>
      </c>
      <c r="E325" s="32">
        <v>49671</v>
      </c>
      <c r="F325" s="32">
        <v>753</v>
      </c>
      <c r="G325" s="32">
        <v>7167</v>
      </c>
      <c r="H325" s="49">
        <v>986</v>
      </c>
      <c r="I325" s="49">
        <v>8153</v>
      </c>
      <c r="K325" s="56">
        <v>0</v>
      </c>
      <c r="L325" s="68">
        <v>0.31</v>
      </c>
      <c r="M325" s="62">
        <v>3.5000000000000003E-2</v>
      </c>
    </row>
    <row r="326" spans="1:13" ht="23.25">
      <c r="A326" s="55" t="s">
        <v>73</v>
      </c>
      <c r="B326" s="48">
        <v>43000</v>
      </c>
      <c r="C326" s="57">
        <v>8</v>
      </c>
      <c r="D326" s="58">
        <v>8892</v>
      </c>
      <c r="E326" s="58">
        <v>51892</v>
      </c>
      <c r="F326" s="58">
        <v>1004</v>
      </c>
      <c r="G326" s="58">
        <v>5375</v>
      </c>
      <c r="H326" s="58">
        <v>986</v>
      </c>
      <c r="I326" s="58">
        <v>6361</v>
      </c>
      <c r="K326" s="57">
        <v>0</v>
      </c>
      <c r="L326" s="68">
        <v>0.31</v>
      </c>
      <c r="M326" s="62">
        <v>3.5000000000000003E-2</v>
      </c>
    </row>
    <row r="327" spans="1:13" ht="23.25">
      <c r="A327" s="55" t="s">
        <v>73</v>
      </c>
      <c r="B327" s="48">
        <v>43000</v>
      </c>
      <c r="C327" s="59">
        <v>10</v>
      </c>
      <c r="D327" s="50">
        <v>11115</v>
      </c>
      <c r="E327" s="50">
        <v>54115</v>
      </c>
      <c r="F327" s="50">
        <v>1255</v>
      </c>
      <c r="G327" s="50">
        <v>4300</v>
      </c>
      <c r="H327" s="50">
        <v>986</v>
      </c>
      <c r="I327" s="50">
        <v>5286</v>
      </c>
      <c r="K327" s="59">
        <v>0</v>
      </c>
      <c r="L327" s="68">
        <v>0.31</v>
      </c>
      <c r="M327" s="62">
        <v>3.5000000000000003E-2</v>
      </c>
    </row>
    <row r="328" spans="1:13" ht="23.25">
      <c r="A328" s="55" t="s">
        <v>73</v>
      </c>
      <c r="B328" s="48">
        <v>43000</v>
      </c>
      <c r="C328" s="57">
        <v>12</v>
      </c>
      <c r="D328" s="58">
        <v>13333</v>
      </c>
      <c r="E328" s="58">
        <v>56333</v>
      </c>
      <c r="F328" s="58">
        <v>1505</v>
      </c>
      <c r="G328" s="58">
        <v>3584</v>
      </c>
      <c r="H328" s="58">
        <v>985</v>
      </c>
      <c r="I328" s="58">
        <v>4569</v>
      </c>
      <c r="K328" s="57">
        <v>0</v>
      </c>
      <c r="L328" s="68">
        <v>0.31</v>
      </c>
      <c r="M328" s="62">
        <v>3.5000000000000003E-2</v>
      </c>
    </row>
    <row r="329" spans="1:13" ht="23.25">
      <c r="A329" s="55" t="s">
        <v>73</v>
      </c>
      <c r="B329" s="48">
        <v>43000</v>
      </c>
      <c r="C329" s="59">
        <v>14</v>
      </c>
      <c r="D329" s="50">
        <v>15554</v>
      </c>
      <c r="E329" s="50">
        <v>58554</v>
      </c>
      <c r="F329" s="50">
        <v>1756</v>
      </c>
      <c r="G329" s="50">
        <v>3072</v>
      </c>
      <c r="H329" s="50">
        <v>985</v>
      </c>
      <c r="I329" s="50">
        <v>4057</v>
      </c>
      <c r="K329" s="59">
        <v>0</v>
      </c>
      <c r="L329" s="68">
        <v>0.31</v>
      </c>
      <c r="M329" s="62">
        <v>3.5000000000000003E-2</v>
      </c>
    </row>
    <row r="330" spans="1:13" ht="23.25">
      <c r="A330" s="55" t="s">
        <v>73</v>
      </c>
      <c r="B330" s="48">
        <v>43000</v>
      </c>
      <c r="C330" s="57">
        <v>16</v>
      </c>
      <c r="D330" s="58">
        <v>17775</v>
      </c>
      <c r="E330" s="58">
        <v>60775</v>
      </c>
      <c r="F330" s="58">
        <v>2007</v>
      </c>
      <c r="G330" s="58">
        <v>2688</v>
      </c>
      <c r="H330" s="58">
        <v>985</v>
      </c>
      <c r="I330" s="58">
        <v>3673</v>
      </c>
      <c r="K330" s="57">
        <v>0</v>
      </c>
      <c r="L330" s="68">
        <v>0.31</v>
      </c>
      <c r="M330" s="62">
        <v>3.5000000000000003E-2</v>
      </c>
    </row>
    <row r="331" spans="1:13" ht="24" thickBot="1">
      <c r="A331" s="60" t="s">
        <v>73</v>
      </c>
      <c r="B331" s="51">
        <v>43000</v>
      </c>
      <c r="C331" s="61">
        <v>18</v>
      </c>
      <c r="D331" s="52">
        <v>20008</v>
      </c>
      <c r="E331" s="52">
        <v>63008</v>
      </c>
      <c r="F331" s="52">
        <v>2258</v>
      </c>
      <c r="G331" s="52">
        <v>2389</v>
      </c>
      <c r="H331" s="53">
        <v>986</v>
      </c>
      <c r="I331" s="52">
        <v>3375</v>
      </c>
      <c r="K331" s="61">
        <v>0</v>
      </c>
      <c r="L331" s="68">
        <v>0.31</v>
      </c>
      <c r="M331" s="62">
        <v>3.5000000000000003E-2</v>
      </c>
    </row>
    <row r="332" spans="1:13" ht="24" thickTop="1">
      <c r="A332" s="15" t="s">
        <v>73</v>
      </c>
      <c r="B332" s="21">
        <v>44000</v>
      </c>
      <c r="C332" s="11">
        <v>4</v>
      </c>
      <c r="D332" s="31">
        <v>4550</v>
      </c>
      <c r="E332" s="31">
        <v>48550</v>
      </c>
      <c r="F332" s="31">
        <v>514</v>
      </c>
      <c r="G332" s="31">
        <v>11000</v>
      </c>
      <c r="H332" s="31">
        <v>1009</v>
      </c>
      <c r="I332" s="31">
        <v>12009</v>
      </c>
      <c r="K332" s="54">
        <v>0</v>
      </c>
      <c r="L332" s="68">
        <v>0.31</v>
      </c>
      <c r="M332" s="62">
        <v>3.5000000000000003E-2</v>
      </c>
    </row>
    <row r="333" spans="1:13" ht="23.25">
      <c r="A333" s="55" t="s">
        <v>73</v>
      </c>
      <c r="B333" s="48">
        <v>44000</v>
      </c>
      <c r="C333" s="56">
        <v>6</v>
      </c>
      <c r="D333" s="32">
        <v>6822</v>
      </c>
      <c r="E333" s="32">
        <v>50822</v>
      </c>
      <c r="F333" s="32">
        <v>770</v>
      </c>
      <c r="G333" s="32">
        <v>7334</v>
      </c>
      <c r="H333" s="49">
        <v>1008</v>
      </c>
      <c r="I333" s="49">
        <v>8342</v>
      </c>
      <c r="K333" s="56">
        <v>0</v>
      </c>
      <c r="L333" s="68">
        <v>0.31</v>
      </c>
      <c r="M333" s="62">
        <v>3.5000000000000003E-2</v>
      </c>
    </row>
    <row r="334" spans="1:13" ht="23.25">
      <c r="A334" s="55" t="s">
        <v>73</v>
      </c>
      <c r="B334" s="48">
        <v>44000</v>
      </c>
      <c r="C334" s="57">
        <v>8</v>
      </c>
      <c r="D334" s="58">
        <v>9099</v>
      </c>
      <c r="E334" s="58">
        <v>53099</v>
      </c>
      <c r="F334" s="58">
        <v>1027</v>
      </c>
      <c r="G334" s="58">
        <v>5500</v>
      </c>
      <c r="H334" s="58">
        <v>1009</v>
      </c>
      <c r="I334" s="58">
        <v>6509</v>
      </c>
      <c r="K334" s="57">
        <v>0</v>
      </c>
      <c r="L334" s="68">
        <v>0.31</v>
      </c>
      <c r="M334" s="62">
        <v>3.5000000000000003E-2</v>
      </c>
    </row>
    <row r="335" spans="1:13" ht="23.25">
      <c r="A335" s="55" t="s">
        <v>73</v>
      </c>
      <c r="B335" s="48">
        <v>44000</v>
      </c>
      <c r="C335" s="59">
        <v>10</v>
      </c>
      <c r="D335" s="50">
        <v>11374</v>
      </c>
      <c r="E335" s="50">
        <v>55374</v>
      </c>
      <c r="F335" s="50">
        <v>1284</v>
      </c>
      <c r="G335" s="50">
        <v>4400</v>
      </c>
      <c r="H335" s="50">
        <v>1009</v>
      </c>
      <c r="I335" s="50">
        <v>5409</v>
      </c>
      <c r="K335" s="59">
        <v>0</v>
      </c>
      <c r="L335" s="68">
        <v>0.31</v>
      </c>
      <c r="M335" s="62">
        <v>3.5000000000000003E-2</v>
      </c>
    </row>
    <row r="336" spans="1:13" ht="23.25">
      <c r="A336" s="55" t="s">
        <v>73</v>
      </c>
      <c r="B336" s="48">
        <v>44000</v>
      </c>
      <c r="C336" s="57">
        <v>12</v>
      </c>
      <c r="D336" s="58">
        <v>13652</v>
      </c>
      <c r="E336" s="58">
        <v>57652</v>
      </c>
      <c r="F336" s="58">
        <v>1540</v>
      </c>
      <c r="G336" s="58">
        <v>3667</v>
      </c>
      <c r="H336" s="58">
        <v>1009</v>
      </c>
      <c r="I336" s="58">
        <v>4676</v>
      </c>
      <c r="K336" s="57">
        <v>0</v>
      </c>
      <c r="L336" s="68">
        <v>0.31</v>
      </c>
      <c r="M336" s="62">
        <v>3.5000000000000003E-2</v>
      </c>
    </row>
    <row r="337" spans="1:13" ht="23.25">
      <c r="A337" s="55" t="s">
        <v>73</v>
      </c>
      <c r="B337" s="48">
        <v>44000</v>
      </c>
      <c r="C337" s="59">
        <v>14</v>
      </c>
      <c r="D337" s="50">
        <v>15925</v>
      </c>
      <c r="E337" s="50">
        <v>59925</v>
      </c>
      <c r="F337" s="50">
        <v>1797</v>
      </c>
      <c r="G337" s="50">
        <v>3143</v>
      </c>
      <c r="H337" s="50">
        <v>1009</v>
      </c>
      <c r="I337" s="50">
        <v>4152</v>
      </c>
      <c r="K337" s="59">
        <v>0</v>
      </c>
      <c r="L337" s="68">
        <v>0.31</v>
      </c>
      <c r="M337" s="62">
        <v>3.5000000000000003E-2</v>
      </c>
    </row>
    <row r="338" spans="1:13" ht="23.25">
      <c r="A338" s="55" t="s">
        <v>73</v>
      </c>
      <c r="B338" s="48">
        <v>44000</v>
      </c>
      <c r="C338" s="57">
        <v>16</v>
      </c>
      <c r="D338" s="58">
        <v>18198</v>
      </c>
      <c r="E338" s="58">
        <v>62198</v>
      </c>
      <c r="F338" s="58">
        <v>2054</v>
      </c>
      <c r="G338" s="58">
        <v>2750</v>
      </c>
      <c r="H338" s="58">
        <v>1009</v>
      </c>
      <c r="I338" s="58">
        <v>3759</v>
      </c>
      <c r="K338" s="57">
        <v>0</v>
      </c>
      <c r="L338" s="68">
        <v>0.31</v>
      </c>
      <c r="M338" s="62">
        <v>3.5000000000000003E-2</v>
      </c>
    </row>
    <row r="339" spans="1:13" ht="24" thickBot="1">
      <c r="A339" s="60" t="s">
        <v>73</v>
      </c>
      <c r="B339" s="51">
        <v>44000</v>
      </c>
      <c r="C339" s="61">
        <v>18</v>
      </c>
      <c r="D339" s="52">
        <v>20464</v>
      </c>
      <c r="E339" s="52">
        <v>64464</v>
      </c>
      <c r="F339" s="52">
        <v>2310</v>
      </c>
      <c r="G339" s="52">
        <v>2445</v>
      </c>
      <c r="H339" s="53">
        <v>1008</v>
      </c>
      <c r="I339" s="52">
        <v>3453</v>
      </c>
      <c r="K339" s="61">
        <v>0</v>
      </c>
      <c r="L339" s="68">
        <v>0.31</v>
      </c>
      <c r="M339" s="62">
        <v>3.5000000000000003E-2</v>
      </c>
    </row>
    <row r="340" spans="1:13" ht="24" thickTop="1">
      <c r="A340" s="15" t="s">
        <v>73</v>
      </c>
      <c r="B340" s="21">
        <v>45000</v>
      </c>
      <c r="C340" s="11">
        <v>4</v>
      </c>
      <c r="D340" s="31">
        <v>4653</v>
      </c>
      <c r="E340" s="31">
        <v>49653</v>
      </c>
      <c r="F340" s="31">
        <v>525</v>
      </c>
      <c r="G340" s="31">
        <v>11250</v>
      </c>
      <c r="H340" s="31">
        <v>1032</v>
      </c>
      <c r="I340" s="31">
        <v>12282</v>
      </c>
      <c r="K340" s="54">
        <v>0</v>
      </c>
      <c r="L340" s="68">
        <v>0.31</v>
      </c>
      <c r="M340" s="62">
        <v>3.5000000000000003E-2</v>
      </c>
    </row>
    <row r="341" spans="1:13" ht="23.25">
      <c r="A341" s="55" t="s">
        <v>73</v>
      </c>
      <c r="B341" s="48">
        <v>45000</v>
      </c>
      <c r="C341" s="56">
        <v>6</v>
      </c>
      <c r="D341" s="32">
        <v>6980</v>
      </c>
      <c r="E341" s="32">
        <v>51980</v>
      </c>
      <c r="F341" s="32">
        <v>788</v>
      </c>
      <c r="G341" s="32">
        <v>7500</v>
      </c>
      <c r="H341" s="49">
        <v>1032</v>
      </c>
      <c r="I341" s="49">
        <v>8532</v>
      </c>
      <c r="K341" s="56">
        <v>0</v>
      </c>
      <c r="L341" s="68">
        <v>0.31</v>
      </c>
      <c r="M341" s="62">
        <v>3.5000000000000003E-2</v>
      </c>
    </row>
    <row r="342" spans="1:13" ht="23.25">
      <c r="A342" s="55" t="s">
        <v>73</v>
      </c>
      <c r="B342" s="48">
        <v>45000</v>
      </c>
      <c r="C342" s="57">
        <v>8</v>
      </c>
      <c r="D342" s="58">
        <v>9306</v>
      </c>
      <c r="E342" s="58">
        <v>54306</v>
      </c>
      <c r="F342" s="58">
        <v>1050</v>
      </c>
      <c r="G342" s="58">
        <v>5625</v>
      </c>
      <c r="H342" s="58">
        <v>1032</v>
      </c>
      <c r="I342" s="58">
        <v>6657</v>
      </c>
      <c r="K342" s="57">
        <v>0</v>
      </c>
      <c r="L342" s="68">
        <v>0.31</v>
      </c>
      <c r="M342" s="62">
        <v>3.5000000000000003E-2</v>
      </c>
    </row>
    <row r="343" spans="1:13" ht="23.25">
      <c r="A343" s="55" t="s">
        <v>73</v>
      </c>
      <c r="B343" s="48">
        <v>45000</v>
      </c>
      <c r="C343" s="59">
        <v>10</v>
      </c>
      <c r="D343" s="50">
        <v>11633</v>
      </c>
      <c r="E343" s="50">
        <v>56633</v>
      </c>
      <c r="F343" s="50">
        <v>1313</v>
      </c>
      <c r="G343" s="50">
        <v>4500</v>
      </c>
      <c r="H343" s="50">
        <v>1032</v>
      </c>
      <c r="I343" s="50">
        <v>5532</v>
      </c>
      <c r="K343" s="59">
        <v>0</v>
      </c>
      <c r="L343" s="68">
        <v>0.31</v>
      </c>
      <c r="M343" s="62">
        <v>3.5000000000000003E-2</v>
      </c>
    </row>
    <row r="344" spans="1:13" ht="23.25">
      <c r="A344" s="55" t="s">
        <v>73</v>
      </c>
      <c r="B344" s="48">
        <v>45000</v>
      </c>
      <c r="C344" s="57">
        <v>12</v>
      </c>
      <c r="D344" s="58">
        <v>13959</v>
      </c>
      <c r="E344" s="58">
        <v>58959</v>
      </c>
      <c r="F344" s="58">
        <v>1575</v>
      </c>
      <c r="G344" s="58">
        <v>3750</v>
      </c>
      <c r="H344" s="58">
        <v>1032</v>
      </c>
      <c r="I344" s="58">
        <v>4782</v>
      </c>
      <c r="K344" s="57">
        <v>0</v>
      </c>
      <c r="L344" s="68">
        <v>0.31</v>
      </c>
      <c r="M344" s="62">
        <v>3.5000000000000003E-2</v>
      </c>
    </row>
    <row r="345" spans="1:13" ht="23.25">
      <c r="A345" s="55" t="s">
        <v>73</v>
      </c>
      <c r="B345" s="48">
        <v>45000</v>
      </c>
      <c r="C345" s="59">
        <v>14</v>
      </c>
      <c r="D345" s="50">
        <v>16282</v>
      </c>
      <c r="E345" s="50">
        <v>61282</v>
      </c>
      <c r="F345" s="50">
        <v>1838</v>
      </c>
      <c r="G345" s="50">
        <v>3215</v>
      </c>
      <c r="H345" s="50">
        <v>1031</v>
      </c>
      <c r="I345" s="50">
        <v>4246</v>
      </c>
      <c r="K345" s="59">
        <v>0</v>
      </c>
      <c r="L345" s="68">
        <v>0.31</v>
      </c>
      <c r="M345" s="62">
        <v>3.5000000000000003E-2</v>
      </c>
    </row>
    <row r="346" spans="1:13" ht="23.25">
      <c r="A346" s="55" t="s">
        <v>73</v>
      </c>
      <c r="B346" s="48">
        <v>45000</v>
      </c>
      <c r="C346" s="57">
        <v>16</v>
      </c>
      <c r="D346" s="58">
        <v>18604</v>
      </c>
      <c r="E346" s="58">
        <v>63604</v>
      </c>
      <c r="F346" s="58">
        <v>2100</v>
      </c>
      <c r="G346" s="58">
        <v>2813</v>
      </c>
      <c r="H346" s="58">
        <v>1031</v>
      </c>
      <c r="I346" s="58">
        <v>3844</v>
      </c>
      <c r="K346" s="57">
        <v>0</v>
      </c>
      <c r="L346" s="68">
        <v>0.31</v>
      </c>
      <c r="M346" s="62">
        <v>3.5000000000000003E-2</v>
      </c>
    </row>
    <row r="347" spans="1:13" ht="24" thickBot="1">
      <c r="A347" s="60" t="s">
        <v>73</v>
      </c>
      <c r="B347" s="51">
        <v>45000</v>
      </c>
      <c r="C347" s="61">
        <v>18</v>
      </c>
      <c r="D347" s="52">
        <v>20939</v>
      </c>
      <c r="E347" s="52">
        <v>65939</v>
      </c>
      <c r="F347" s="52">
        <v>2363</v>
      </c>
      <c r="G347" s="52">
        <v>2500</v>
      </c>
      <c r="H347" s="53">
        <v>1032</v>
      </c>
      <c r="I347" s="52">
        <v>3532</v>
      </c>
      <c r="K347" s="61">
        <v>0</v>
      </c>
      <c r="L347" s="68">
        <v>0.31</v>
      </c>
      <c r="M347" s="62">
        <v>3.5000000000000003E-2</v>
      </c>
    </row>
    <row r="348" spans="1:13" ht="24" thickTop="1">
      <c r="A348" s="15" t="s">
        <v>73</v>
      </c>
      <c r="B348" s="21">
        <v>46000</v>
      </c>
      <c r="C348" s="11">
        <v>4</v>
      </c>
      <c r="D348" s="31">
        <v>4757</v>
      </c>
      <c r="E348" s="31">
        <v>50757</v>
      </c>
      <c r="F348" s="31">
        <v>537</v>
      </c>
      <c r="G348" s="31">
        <v>11500</v>
      </c>
      <c r="H348" s="31">
        <v>1055</v>
      </c>
      <c r="I348" s="31">
        <v>12555</v>
      </c>
      <c r="K348" s="54">
        <v>0</v>
      </c>
      <c r="L348" s="68">
        <v>0.31</v>
      </c>
      <c r="M348" s="62">
        <v>3.5000000000000003E-2</v>
      </c>
    </row>
    <row r="349" spans="1:13" ht="23.25">
      <c r="A349" s="55" t="s">
        <v>73</v>
      </c>
      <c r="B349" s="48">
        <v>46000</v>
      </c>
      <c r="C349" s="56">
        <v>6</v>
      </c>
      <c r="D349" s="32">
        <v>7131</v>
      </c>
      <c r="E349" s="32">
        <v>53131</v>
      </c>
      <c r="F349" s="32">
        <v>805</v>
      </c>
      <c r="G349" s="32">
        <v>7667</v>
      </c>
      <c r="H349" s="49">
        <v>1054</v>
      </c>
      <c r="I349" s="49">
        <v>8721</v>
      </c>
      <c r="K349" s="56">
        <v>0</v>
      </c>
      <c r="L349" s="68">
        <v>0.31</v>
      </c>
      <c r="M349" s="62">
        <v>3.5000000000000003E-2</v>
      </c>
    </row>
    <row r="350" spans="1:13" ht="23.25">
      <c r="A350" s="55" t="s">
        <v>73</v>
      </c>
      <c r="B350" s="48">
        <v>46000</v>
      </c>
      <c r="C350" s="57">
        <v>8</v>
      </c>
      <c r="D350" s="58">
        <v>9514</v>
      </c>
      <c r="E350" s="58">
        <v>55514</v>
      </c>
      <c r="F350" s="58">
        <v>1074</v>
      </c>
      <c r="G350" s="58">
        <v>5750</v>
      </c>
      <c r="H350" s="58">
        <v>1055</v>
      </c>
      <c r="I350" s="58">
        <v>6805</v>
      </c>
      <c r="K350" s="57">
        <v>0</v>
      </c>
      <c r="L350" s="68">
        <v>0.31</v>
      </c>
      <c r="M350" s="62">
        <v>3.5000000000000003E-2</v>
      </c>
    </row>
    <row r="351" spans="1:13" ht="23.25">
      <c r="A351" s="55" t="s">
        <v>73</v>
      </c>
      <c r="B351" s="48">
        <v>46000</v>
      </c>
      <c r="C351" s="59">
        <v>10</v>
      </c>
      <c r="D351" s="50">
        <v>11892</v>
      </c>
      <c r="E351" s="50">
        <v>57892</v>
      </c>
      <c r="F351" s="50">
        <v>1342</v>
      </c>
      <c r="G351" s="50">
        <v>4600</v>
      </c>
      <c r="H351" s="50">
        <v>1055</v>
      </c>
      <c r="I351" s="50">
        <v>5655</v>
      </c>
      <c r="K351" s="59">
        <v>0</v>
      </c>
      <c r="L351" s="68">
        <v>0.31</v>
      </c>
      <c r="M351" s="62">
        <v>3.5000000000000003E-2</v>
      </c>
    </row>
    <row r="352" spans="1:13" ht="23.25">
      <c r="A352" s="55" t="s">
        <v>73</v>
      </c>
      <c r="B352" s="48">
        <v>46000</v>
      </c>
      <c r="C352" s="57">
        <v>12</v>
      </c>
      <c r="D352" s="58">
        <v>14266</v>
      </c>
      <c r="E352" s="58">
        <v>60266</v>
      </c>
      <c r="F352" s="58">
        <v>1610</v>
      </c>
      <c r="G352" s="58">
        <v>3834</v>
      </c>
      <c r="H352" s="58">
        <v>1054</v>
      </c>
      <c r="I352" s="58">
        <v>4888</v>
      </c>
      <c r="K352" s="57">
        <v>0</v>
      </c>
      <c r="L352" s="68">
        <v>0.31</v>
      </c>
      <c r="M352" s="62">
        <v>3.5000000000000003E-2</v>
      </c>
    </row>
    <row r="353" spans="1:13" ht="23.25">
      <c r="A353" s="55" t="s">
        <v>73</v>
      </c>
      <c r="B353" s="48">
        <v>46000</v>
      </c>
      <c r="C353" s="59">
        <v>14</v>
      </c>
      <c r="D353" s="50">
        <v>16639</v>
      </c>
      <c r="E353" s="50">
        <v>62639</v>
      </c>
      <c r="F353" s="50">
        <v>1879</v>
      </c>
      <c r="G353" s="50">
        <v>3286</v>
      </c>
      <c r="H353" s="50">
        <v>1054</v>
      </c>
      <c r="I353" s="50">
        <v>4340</v>
      </c>
      <c r="K353" s="59">
        <v>0</v>
      </c>
      <c r="L353" s="68">
        <v>0.31</v>
      </c>
      <c r="M353" s="62">
        <v>3.5000000000000003E-2</v>
      </c>
    </row>
    <row r="354" spans="1:13" ht="23.25">
      <c r="A354" s="55" t="s">
        <v>73</v>
      </c>
      <c r="B354" s="48">
        <v>46000</v>
      </c>
      <c r="C354" s="57">
        <v>16</v>
      </c>
      <c r="D354" s="58">
        <v>19027</v>
      </c>
      <c r="E354" s="58">
        <v>65027</v>
      </c>
      <c r="F354" s="58">
        <v>2147</v>
      </c>
      <c r="G354" s="58">
        <v>2875</v>
      </c>
      <c r="H354" s="58">
        <v>1055</v>
      </c>
      <c r="I354" s="58">
        <v>3930</v>
      </c>
      <c r="K354" s="57">
        <v>0</v>
      </c>
      <c r="L354" s="68">
        <v>0.31</v>
      </c>
      <c r="M354" s="62">
        <v>3.5000000000000003E-2</v>
      </c>
    </row>
    <row r="355" spans="1:13" ht="24" thickBot="1">
      <c r="A355" s="60" t="s">
        <v>73</v>
      </c>
      <c r="B355" s="51">
        <v>46000</v>
      </c>
      <c r="C355" s="61">
        <v>18</v>
      </c>
      <c r="D355" s="52">
        <v>21395</v>
      </c>
      <c r="E355" s="52">
        <v>67395</v>
      </c>
      <c r="F355" s="52">
        <v>2415</v>
      </c>
      <c r="G355" s="52">
        <v>2556</v>
      </c>
      <c r="H355" s="53">
        <v>1054</v>
      </c>
      <c r="I355" s="52">
        <v>3610</v>
      </c>
      <c r="K355" s="61">
        <v>0</v>
      </c>
      <c r="L355" s="68">
        <v>0.31</v>
      </c>
      <c r="M355" s="62">
        <v>3.5000000000000003E-2</v>
      </c>
    </row>
    <row r="356" spans="1:13" ht="24" thickTop="1">
      <c r="A356" s="15" t="s">
        <v>73</v>
      </c>
      <c r="B356" s="21">
        <v>47000</v>
      </c>
      <c r="C356" s="11">
        <v>4</v>
      </c>
      <c r="D356" s="31">
        <v>4861</v>
      </c>
      <c r="E356" s="31">
        <v>51861</v>
      </c>
      <c r="F356" s="31">
        <v>549</v>
      </c>
      <c r="G356" s="31">
        <v>11750</v>
      </c>
      <c r="H356" s="31">
        <v>1078</v>
      </c>
      <c r="I356" s="31">
        <v>12828</v>
      </c>
      <c r="K356" s="54">
        <v>0</v>
      </c>
      <c r="L356" s="68">
        <v>0.31</v>
      </c>
      <c r="M356" s="62">
        <v>3.5000000000000003E-2</v>
      </c>
    </row>
    <row r="357" spans="1:13" ht="23.25">
      <c r="A357" s="55" t="s">
        <v>73</v>
      </c>
      <c r="B357" s="48">
        <v>47000</v>
      </c>
      <c r="C357" s="56">
        <v>6</v>
      </c>
      <c r="D357" s="32">
        <v>7289</v>
      </c>
      <c r="E357" s="32">
        <v>54289</v>
      </c>
      <c r="F357" s="32">
        <v>823</v>
      </c>
      <c r="G357" s="32">
        <v>7834</v>
      </c>
      <c r="H357" s="49">
        <v>1077</v>
      </c>
      <c r="I357" s="49">
        <v>8911</v>
      </c>
      <c r="K357" s="56">
        <v>0</v>
      </c>
      <c r="L357" s="68">
        <v>0.31</v>
      </c>
      <c r="M357" s="62">
        <v>3.5000000000000003E-2</v>
      </c>
    </row>
    <row r="358" spans="1:13" ht="23.25">
      <c r="A358" s="55" t="s">
        <v>73</v>
      </c>
      <c r="B358" s="48">
        <v>47000</v>
      </c>
      <c r="C358" s="57">
        <v>8</v>
      </c>
      <c r="D358" s="58">
        <v>9721</v>
      </c>
      <c r="E358" s="58">
        <v>56721</v>
      </c>
      <c r="F358" s="58">
        <v>1097</v>
      </c>
      <c r="G358" s="58">
        <v>5875</v>
      </c>
      <c r="H358" s="58">
        <v>1078</v>
      </c>
      <c r="I358" s="58">
        <v>6953</v>
      </c>
      <c r="K358" s="57">
        <v>0</v>
      </c>
      <c r="L358" s="68">
        <v>0.31</v>
      </c>
      <c r="M358" s="62">
        <v>3.5000000000000003E-2</v>
      </c>
    </row>
    <row r="359" spans="1:13" ht="23.25">
      <c r="A359" s="55" t="s">
        <v>73</v>
      </c>
      <c r="B359" s="48">
        <v>47000</v>
      </c>
      <c r="C359" s="59">
        <v>10</v>
      </c>
      <c r="D359" s="50">
        <v>12151</v>
      </c>
      <c r="E359" s="50">
        <v>59151</v>
      </c>
      <c r="F359" s="50">
        <v>1371</v>
      </c>
      <c r="G359" s="50">
        <v>4700</v>
      </c>
      <c r="H359" s="50">
        <v>1078</v>
      </c>
      <c r="I359" s="50">
        <v>5778</v>
      </c>
      <c r="K359" s="59">
        <v>0</v>
      </c>
      <c r="L359" s="68">
        <v>0.31</v>
      </c>
      <c r="M359" s="62">
        <v>3.5000000000000003E-2</v>
      </c>
    </row>
    <row r="360" spans="1:13" ht="23.25">
      <c r="A360" s="55" t="s">
        <v>73</v>
      </c>
      <c r="B360" s="48">
        <v>47000</v>
      </c>
      <c r="C360" s="57">
        <v>12</v>
      </c>
      <c r="D360" s="58">
        <v>14573</v>
      </c>
      <c r="E360" s="58">
        <v>61573</v>
      </c>
      <c r="F360" s="58">
        <v>1645</v>
      </c>
      <c r="G360" s="58">
        <v>3917</v>
      </c>
      <c r="H360" s="58">
        <v>1077</v>
      </c>
      <c r="I360" s="58">
        <v>4994</v>
      </c>
      <c r="K360" s="57">
        <v>0</v>
      </c>
      <c r="L360" s="68">
        <v>0.31</v>
      </c>
      <c r="M360" s="62">
        <v>3.5000000000000003E-2</v>
      </c>
    </row>
    <row r="361" spans="1:13" ht="23.25">
      <c r="A361" s="55" t="s">
        <v>73</v>
      </c>
      <c r="B361" s="48">
        <v>47000</v>
      </c>
      <c r="C361" s="59">
        <v>14</v>
      </c>
      <c r="D361" s="50">
        <v>17010</v>
      </c>
      <c r="E361" s="50">
        <v>64010</v>
      </c>
      <c r="F361" s="50">
        <v>1920</v>
      </c>
      <c r="G361" s="50">
        <v>3358</v>
      </c>
      <c r="H361" s="50">
        <v>1077</v>
      </c>
      <c r="I361" s="50">
        <v>4435</v>
      </c>
      <c r="K361" s="59">
        <v>0</v>
      </c>
      <c r="L361" s="68">
        <v>0.31</v>
      </c>
      <c r="M361" s="62">
        <v>3.5000000000000003E-2</v>
      </c>
    </row>
    <row r="362" spans="1:13" ht="23.25">
      <c r="A362" s="55" t="s">
        <v>73</v>
      </c>
      <c r="B362" s="48">
        <v>47000</v>
      </c>
      <c r="C362" s="57">
        <v>16</v>
      </c>
      <c r="D362" s="58">
        <v>19434</v>
      </c>
      <c r="E362" s="58">
        <v>66434</v>
      </c>
      <c r="F362" s="58">
        <v>2194</v>
      </c>
      <c r="G362" s="58">
        <v>2938</v>
      </c>
      <c r="H362" s="58">
        <v>1077</v>
      </c>
      <c r="I362" s="58">
        <v>4015</v>
      </c>
      <c r="K362" s="57">
        <v>0</v>
      </c>
      <c r="L362" s="68">
        <v>0.31</v>
      </c>
      <c r="M362" s="62">
        <v>3.5000000000000003E-2</v>
      </c>
    </row>
    <row r="363" spans="1:13" ht="24" thickBot="1">
      <c r="A363" s="60" t="s">
        <v>73</v>
      </c>
      <c r="B363" s="51">
        <v>47000</v>
      </c>
      <c r="C363" s="61">
        <v>18</v>
      </c>
      <c r="D363" s="52">
        <v>21870</v>
      </c>
      <c r="E363" s="52">
        <v>68870</v>
      </c>
      <c r="F363" s="52">
        <v>2468</v>
      </c>
      <c r="G363" s="52">
        <v>2612</v>
      </c>
      <c r="H363" s="53">
        <v>1077</v>
      </c>
      <c r="I363" s="52">
        <v>3689</v>
      </c>
      <c r="K363" s="61">
        <v>0</v>
      </c>
      <c r="L363" s="68">
        <v>0.31</v>
      </c>
      <c r="M363" s="62">
        <v>3.5000000000000003E-2</v>
      </c>
    </row>
    <row r="364" spans="1:13" ht="24" thickTop="1">
      <c r="A364" s="15" t="s">
        <v>73</v>
      </c>
      <c r="B364" s="21">
        <v>48000</v>
      </c>
      <c r="C364" s="11">
        <v>4</v>
      </c>
      <c r="D364" s="31">
        <v>4964</v>
      </c>
      <c r="E364" s="31">
        <v>52964</v>
      </c>
      <c r="F364" s="31">
        <v>560</v>
      </c>
      <c r="G364" s="31">
        <v>12000</v>
      </c>
      <c r="H364" s="31">
        <v>1101</v>
      </c>
      <c r="I364" s="31">
        <v>13101</v>
      </c>
      <c r="K364" s="54">
        <v>0</v>
      </c>
      <c r="L364" s="68">
        <v>0.31</v>
      </c>
      <c r="M364" s="62">
        <v>3.5000000000000003E-2</v>
      </c>
    </row>
    <row r="365" spans="1:13" ht="23.25">
      <c r="A365" s="55" t="s">
        <v>73</v>
      </c>
      <c r="B365" s="48">
        <v>48000</v>
      </c>
      <c r="C365" s="56">
        <v>6</v>
      </c>
      <c r="D365" s="32">
        <v>7446</v>
      </c>
      <c r="E365" s="32">
        <v>55446</v>
      </c>
      <c r="F365" s="32">
        <v>840</v>
      </c>
      <c r="G365" s="32">
        <v>8000</v>
      </c>
      <c r="H365" s="49">
        <v>1101</v>
      </c>
      <c r="I365" s="49">
        <v>9101</v>
      </c>
      <c r="K365" s="56">
        <v>0</v>
      </c>
      <c r="L365" s="68">
        <v>0.31</v>
      </c>
      <c r="M365" s="62">
        <v>3.5000000000000003E-2</v>
      </c>
    </row>
    <row r="366" spans="1:13" ht="23.25">
      <c r="A366" s="55" t="s">
        <v>73</v>
      </c>
      <c r="B366" s="48">
        <v>48000</v>
      </c>
      <c r="C366" s="57">
        <v>8</v>
      </c>
      <c r="D366" s="58">
        <v>9928</v>
      </c>
      <c r="E366" s="58">
        <v>57928</v>
      </c>
      <c r="F366" s="58">
        <v>1120</v>
      </c>
      <c r="G366" s="58">
        <v>6000</v>
      </c>
      <c r="H366" s="58">
        <v>1101</v>
      </c>
      <c r="I366" s="58">
        <v>7101</v>
      </c>
      <c r="K366" s="57">
        <v>0</v>
      </c>
      <c r="L366" s="68">
        <v>0.31</v>
      </c>
      <c r="M366" s="62">
        <v>3.5000000000000003E-2</v>
      </c>
    </row>
    <row r="367" spans="1:13" ht="23.25">
      <c r="A367" s="55" t="s">
        <v>73</v>
      </c>
      <c r="B367" s="48">
        <v>48000</v>
      </c>
      <c r="C367" s="59">
        <v>10</v>
      </c>
      <c r="D367" s="50">
        <v>12410</v>
      </c>
      <c r="E367" s="50">
        <v>60410</v>
      </c>
      <c r="F367" s="50">
        <v>1400</v>
      </c>
      <c r="G367" s="50">
        <v>4800</v>
      </c>
      <c r="H367" s="50">
        <v>1101</v>
      </c>
      <c r="I367" s="50">
        <v>5901</v>
      </c>
      <c r="K367" s="59">
        <v>0</v>
      </c>
      <c r="L367" s="68">
        <v>0.31</v>
      </c>
      <c r="M367" s="62">
        <v>3.5000000000000003E-2</v>
      </c>
    </row>
    <row r="368" spans="1:13" ht="23.25">
      <c r="A368" s="55" t="s">
        <v>73</v>
      </c>
      <c r="B368" s="48">
        <v>48000</v>
      </c>
      <c r="C368" s="57">
        <v>12</v>
      </c>
      <c r="D368" s="58">
        <v>14892</v>
      </c>
      <c r="E368" s="58">
        <v>62892</v>
      </c>
      <c r="F368" s="58">
        <v>1680</v>
      </c>
      <c r="G368" s="58">
        <v>4000</v>
      </c>
      <c r="H368" s="58">
        <v>1101</v>
      </c>
      <c r="I368" s="58">
        <v>5101</v>
      </c>
      <c r="K368" s="57">
        <v>0</v>
      </c>
      <c r="L368" s="68">
        <v>0.31</v>
      </c>
      <c r="M368" s="62">
        <v>3.5000000000000003E-2</v>
      </c>
    </row>
    <row r="369" spans="1:13" ht="23.25">
      <c r="A369" s="55" t="s">
        <v>73</v>
      </c>
      <c r="B369" s="48">
        <v>48000</v>
      </c>
      <c r="C369" s="59">
        <v>14</v>
      </c>
      <c r="D369" s="50">
        <v>17366</v>
      </c>
      <c r="E369" s="50">
        <v>65366</v>
      </c>
      <c r="F369" s="50">
        <v>1960</v>
      </c>
      <c r="G369" s="50">
        <v>3429</v>
      </c>
      <c r="H369" s="50">
        <v>1100</v>
      </c>
      <c r="I369" s="50">
        <v>4529</v>
      </c>
      <c r="K369" s="59">
        <v>0</v>
      </c>
      <c r="L369" s="68">
        <v>0.31</v>
      </c>
      <c r="M369" s="62">
        <v>3.5000000000000003E-2</v>
      </c>
    </row>
    <row r="370" spans="1:13" ht="23.25">
      <c r="A370" s="55" t="s">
        <v>73</v>
      </c>
      <c r="B370" s="48">
        <v>48000</v>
      </c>
      <c r="C370" s="57">
        <v>16</v>
      </c>
      <c r="D370" s="58">
        <v>19856</v>
      </c>
      <c r="E370" s="58">
        <v>67856</v>
      </c>
      <c r="F370" s="58">
        <v>2240</v>
      </c>
      <c r="G370" s="58">
        <v>3000</v>
      </c>
      <c r="H370" s="58">
        <v>1101</v>
      </c>
      <c r="I370" s="58">
        <v>4101</v>
      </c>
      <c r="K370" s="57">
        <v>0</v>
      </c>
      <c r="L370" s="68">
        <v>0.31</v>
      </c>
      <c r="M370" s="62">
        <v>3.5000000000000003E-2</v>
      </c>
    </row>
    <row r="371" spans="1:13" ht="24" thickBot="1">
      <c r="A371" s="60" t="s">
        <v>73</v>
      </c>
      <c r="B371" s="51">
        <v>48000</v>
      </c>
      <c r="C371" s="61">
        <v>18</v>
      </c>
      <c r="D371" s="52">
        <v>22326</v>
      </c>
      <c r="E371" s="52">
        <v>70326</v>
      </c>
      <c r="F371" s="52">
        <v>2520</v>
      </c>
      <c r="G371" s="52">
        <v>2667</v>
      </c>
      <c r="H371" s="53">
        <v>1100</v>
      </c>
      <c r="I371" s="52">
        <v>3767</v>
      </c>
      <c r="K371" s="61">
        <v>0</v>
      </c>
      <c r="L371" s="68">
        <v>0.31</v>
      </c>
      <c r="M371" s="62">
        <v>3.5000000000000003E-2</v>
      </c>
    </row>
    <row r="372" spans="1:13" ht="24" thickTop="1">
      <c r="A372" s="15" t="s">
        <v>73</v>
      </c>
      <c r="B372" s="21">
        <v>49000</v>
      </c>
      <c r="C372" s="11">
        <v>4</v>
      </c>
      <c r="D372" s="31">
        <v>5064</v>
      </c>
      <c r="E372" s="31">
        <v>54064</v>
      </c>
      <c r="F372" s="31">
        <v>572</v>
      </c>
      <c r="G372" s="31">
        <v>12250</v>
      </c>
      <c r="H372" s="31">
        <v>1123</v>
      </c>
      <c r="I372" s="31">
        <v>13373</v>
      </c>
      <c r="K372" s="54">
        <v>0</v>
      </c>
      <c r="L372" s="68">
        <v>0.31</v>
      </c>
      <c r="M372" s="62">
        <v>3.5000000000000003E-2</v>
      </c>
    </row>
    <row r="373" spans="1:13" ht="23.25">
      <c r="A373" s="55" t="s">
        <v>73</v>
      </c>
      <c r="B373" s="48">
        <v>49000</v>
      </c>
      <c r="C373" s="56">
        <v>6</v>
      </c>
      <c r="D373" s="32">
        <v>7598</v>
      </c>
      <c r="E373" s="32">
        <v>56598</v>
      </c>
      <c r="F373" s="32">
        <v>858</v>
      </c>
      <c r="G373" s="32">
        <v>8167</v>
      </c>
      <c r="H373" s="49">
        <v>1123</v>
      </c>
      <c r="I373" s="49">
        <v>9290</v>
      </c>
      <c r="K373" s="56">
        <v>0</v>
      </c>
      <c r="L373" s="68">
        <v>0.31</v>
      </c>
      <c r="M373" s="62">
        <v>3.5000000000000003E-2</v>
      </c>
    </row>
    <row r="374" spans="1:13" ht="23.25">
      <c r="A374" s="55" t="s">
        <v>73</v>
      </c>
      <c r="B374" s="48">
        <v>49000</v>
      </c>
      <c r="C374" s="57">
        <v>8</v>
      </c>
      <c r="D374" s="58">
        <v>10128</v>
      </c>
      <c r="E374" s="58">
        <v>59128</v>
      </c>
      <c r="F374" s="58">
        <v>1144</v>
      </c>
      <c r="G374" s="58">
        <v>6125</v>
      </c>
      <c r="H374" s="58">
        <v>1123</v>
      </c>
      <c r="I374" s="58">
        <v>7248</v>
      </c>
      <c r="K374" s="57">
        <v>0</v>
      </c>
      <c r="L374" s="68">
        <v>0.31</v>
      </c>
      <c r="M374" s="62">
        <v>3.5000000000000003E-2</v>
      </c>
    </row>
    <row r="375" spans="1:13" ht="23.25">
      <c r="A375" s="55" t="s">
        <v>73</v>
      </c>
      <c r="B375" s="48">
        <v>49000</v>
      </c>
      <c r="C375" s="59">
        <v>10</v>
      </c>
      <c r="D375" s="50">
        <v>12660</v>
      </c>
      <c r="E375" s="50">
        <v>61660</v>
      </c>
      <c r="F375" s="50">
        <v>1430</v>
      </c>
      <c r="G375" s="50">
        <v>4900</v>
      </c>
      <c r="H375" s="50">
        <v>1123</v>
      </c>
      <c r="I375" s="50">
        <v>6023</v>
      </c>
      <c r="K375" s="59">
        <v>0</v>
      </c>
      <c r="L375" s="68">
        <v>0.31</v>
      </c>
      <c r="M375" s="62">
        <v>3.5000000000000003E-2</v>
      </c>
    </row>
    <row r="376" spans="1:13" ht="23.25">
      <c r="A376" s="55" t="s">
        <v>73</v>
      </c>
      <c r="B376" s="48">
        <v>49000</v>
      </c>
      <c r="C376" s="57">
        <v>12</v>
      </c>
      <c r="D376" s="58">
        <v>15199</v>
      </c>
      <c r="E376" s="58">
        <v>64199</v>
      </c>
      <c r="F376" s="58">
        <v>1715</v>
      </c>
      <c r="G376" s="58">
        <v>4084</v>
      </c>
      <c r="H376" s="58">
        <v>1123</v>
      </c>
      <c r="I376" s="58">
        <v>5207</v>
      </c>
      <c r="K376" s="57">
        <v>0</v>
      </c>
      <c r="L376" s="68">
        <v>0.31</v>
      </c>
      <c r="M376" s="62">
        <v>3.5000000000000003E-2</v>
      </c>
    </row>
    <row r="377" spans="1:13" ht="23.25">
      <c r="A377" s="55" t="s">
        <v>73</v>
      </c>
      <c r="B377" s="48">
        <v>49000</v>
      </c>
      <c r="C377" s="59">
        <v>14</v>
      </c>
      <c r="D377" s="50">
        <v>17723</v>
      </c>
      <c r="E377" s="50">
        <v>66723</v>
      </c>
      <c r="F377" s="50">
        <v>2001</v>
      </c>
      <c r="G377" s="50">
        <v>3500</v>
      </c>
      <c r="H377" s="50">
        <v>1123</v>
      </c>
      <c r="I377" s="50">
        <v>4623</v>
      </c>
      <c r="K377" s="59">
        <v>0</v>
      </c>
      <c r="L377" s="68">
        <v>0.31</v>
      </c>
      <c r="M377" s="62">
        <v>3.5000000000000003E-2</v>
      </c>
    </row>
    <row r="378" spans="1:13" ht="23.25">
      <c r="A378" s="55" t="s">
        <v>73</v>
      </c>
      <c r="B378" s="48">
        <v>49000</v>
      </c>
      <c r="C378" s="57">
        <v>16</v>
      </c>
      <c r="D378" s="58">
        <v>20263</v>
      </c>
      <c r="E378" s="58">
        <v>69263</v>
      </c>
      <c r="F378" s="58">
        <v>2287</v>
      </c>
      <c r="G378" s="58">
        <v>3063</v>
      </c>
      <c r="H378" s="58">
        <v>1123</v>
      </c>
      <c r="I378" s="58">
        <v>4186</v>
      </c>
      <c r="K378" s="57">
        <v>0</v>
      </c>
      <c r="L378" s="68">
        <v>0.31</v>
      </c>
      <c r="M378" s="62">
        <v>3.5000000000000003E-2</v>
      </c>
    </row>
    <row r="379" spans="1:13" ht="24" thickBot="1">
      <c r="A379" s="60" t="s">
        <v>73</v>
      </c>
      <c r="B379" s="51">
        <v>49000</v>
      </c>
      <c r="C379" s="61">
        <v>18</v>
      </c>
      <c r="D379" s="52">
        <v>22801</v>
      </c>
      <c r="E379" s="52">
        <v>71801</v>
      </c>
      <c r="F379" s="52">
        <v>2573</v>
      </c>
      <c r="G379" s="52">
        <v>2723</v>
      </c>
      <c r="H379" s="53">
        <v>1123</v>
      </c>
      <c r="I379" s="52">
        <v>3846</v>
      </c>
      <c r="K379" s="61">
        <v>0</v>
      </c>
      <c r="L379" s="68">
        <v>0.31</v>
      </c>
      <c r="M379" s="62">
        <v>3.5000000000000003E-2</v>
      </c>
    </row>
    <row r="380" spans="1:13" ht="24" thickTop="1">
      <c r="A380" s="15" t="s">
        <v>73</v>
      </c>
      <c r="B380" s="21">
        <v>50000</v>
      </c>
      <c r="C380" s="11">
        <v>4</v>
      </c>
      <c r="D380" s="31">
        <v>5168</v>
      </c>
      <c r="E380" s="31">
        <v>55168</v>
      </c>
      <c r="F380" s="31">
        <v>584</v>
      </c>
      <c r="G380" s="31">
        <v>12500</v>
      </c>
      <c r="H380" s="31">
        <v>1146</v>
      </c>
      <c r="I380" s="31">
        <v>13646</v>
      </c>
      <c r="K380" s="54">
        <v>0</v>
      </c>
      <c r="L380" s="68">
        <v>0.31</v>
      </c>
      <c r="M380" s="62">
        <v>3.5000000000000003E-2</v>
      </c>
    </row>
    <row r="381" spans="1:13" ht="23.25">
      <c r="A381" s="55" t="s">
        <v>73</v>
      </c>
      <c r="B381" s="48">
        <v>50000</v>
      </c>
      <c r="C381" s="56">
        <v>6</v>
      </c>
      <c r="D381" s="32">
        <v>7755</v>
      </c>
      <c r="E381" s="32">
        <v>57755</v>
      </c>
      <c r="F381" s="32">
        <v>875</v>
      </c>
      <c r="G381" s="32">
        <v>8334</v>
      </c>
      <c r="H381" s="49">
        <v>1146</v>
      </c>
      <c r="I381" s="49">
        <v>9480</v>
      </c>
      <c r="K381" s="56">
        <v>0</v>
      </c>
      <c r="L381" s="68">
        <v>0.31</v>
      </c>
      <c r="M381" s="62">
        <v>3.5000000000000003E-2</v>
      </c>
    </row>
    <row r="382" spans="1:13" ht="23.25">
      <c r="A382" s="55" t="s">
        <v>73</v>
      </c>
      <c r="B382" s="48">
        <v>50000</v>
      </c>
      <c r="C382" s="57">
        <v>8</v>
      </c>
      <c r="D382" s="58">
        <v>10335</v>
      </c>
      <c r="E382" s="58">
        <v>60335</v>
      </c>
      <c r="F382" s="58">
        <v>1167</v>
      </c>
      <c r="G382" s="58">
        <v>6250</v>
      </c>
      <c r="H382" s="58">
        <v>1146</v>
      </c>
      <c r="I382" s="58">
        <v>7396</v>
      </c>
      <c r="K382" s="57">
        <v>0</v>
      </c>
      <c r="L382" s="68">
        <v>0.31</v>
      </c>
      <c r="M382" s="62">
        <v>3.5000000000000003E-2</v>
      </c>
    </row>
    <row r="383" spans="1:13" ht="23.25">
      <c r="A383" s="55" t="s">
        <v>73</v>
      </c>
      <c r="B383" s="48">
        <v>50000</v>
      </c>
      <c r="C383" s="59">
        <v>10</v>
      </c>
      <c r="D383" s="50">
        <v>12919</v>
      </c>
      <c r="E383" s="50">
        <v>62919</v>
      </c>
      <c r="F383" s="50">
        <v>1459</v>
      </c>
      <c r="G383" s="50">
        <v>5000</v>
      </c>
      <c r="H383" s="50">
        <v>1146</v>
      </c>
      <c r="I383" s="50">
        <v>6146</v>
      </c>
      <c r="K383" s="59">
        <v>0</v>
      </c>
      <c r="L383" s="68">
        <v>0.31</v>
      </c>
      <c r="M383" s="62">
        <v>3.5000000000000003E-2</v>
      </c>
    </row>
    <row r="384" spans="1:13" ht="23.25">
      <c r="A384" s="55" t="s">
        <v>73</v>
      </c>
      <c r="B384" s="48">
        <v>50000</v>
      </c>
      <c r="C384" s="57">
        <v>12</v>
      </c>
      <c r="D384" s="58">
        <v>15506</v>
      </c>
      <c r="E384" s="58">
        <v>65506</v>
      </c>
      <c r="F384" s="58">
        <v>1750</v>
      </c>
      <c r="G384" s="58">
        <v>4167</v>
      </c>
      <c r="H384" s="58">
        <v>1146</v>
      </c>
      <c r="I384" s="58">
        <v>5313</v>
      </c>
      <c r="K384" s="57">
        <v>0</v>
      </c>
      <c r="L384" s="68">
        <v>0.31</v>
      </c>
      <c r="M384" s="62">
        <v>3.5000000000000003E-2</v>
      </c>
    </row>
    <row r="385" spans="1:13" ht="23.25">
      <c r="A385" s="55" t="s">
        <v>73</v>
      </c>
      <c r="B385" s="48">
        <v>50000</v>
      </c>
      <c r="C385" s="59">
        <v>14</v>
      </c>
      <c r="D385" s="50">
        <v>18094</v>
      </c>
      <c r="E385" s="50">
        <v>68094</v>
      </c>
      <c r="F385" s="50">
        <v>2042</v>
      </c>
      <c r="G385" s="50">
        <v>3572</v>
      </c>
      <c r="H385" s="50">
        <v>1146</v>
      </c>
      <c r="I385" s="50">
        <v>4718</v>
      </c>
      <c r="K385" s="59">
        <v>0</v>
      </c>
      <c r="L385" s="68">
        <v>0.31</v>
      </c>
      <c r="M385" s="62">
        <v>3.5000000000000003E-2</v>
      </c>
    </row>
    <row r="386" spans="1:13" ht="23.25">
      <c r="A386" s="55" t="s">
        <v>73</v>
      </c>
      <c r="B386" s="48">
        <v>50000</v>
      </c>
      <c r="C386" s="57">
        <v>16</v>
      </c>
      <c r="D386" s="58">
        <v>20670</v>
      </c>
      <c r="E386" s="58">
        <v>70670</v>
      </c>
      <c r="F386" s="58">
        <v>2334</v>
      </c>
      <c r="G386" s="58">
        <v>3125</v>
      </c>
      <c r="H386" s="58">
        <v>1146</v>
      </c>
      <c r="I386" s="58">
        <v>4271</v>
      </c>
      <c r="K386" s="57">
        <v>0</v>
      </c>
      <c r="L386" s="68">
        <v>0.31</v>
      </c>
      <c r="M386" s="62">
        <v>3.5000000000000003E-2</v>
      </c>
    </row>
    <row r="387" spans="1:13" ht="24" thickBot="1">
      <c r="A387" s="60" t="s">
        <v>73</v>
      </c>
      <c r="B387" s="51">
        <v>50000</v>
      </c>
      <c r="C387" s="61">
        <v>18</v>
      </c>
      <c r="D387" s="52">
        <v>23257</v>
      </c>
      <c r="E387" s="52">
        <v>73257</v>
      </c>
      <c r="F387" s="52">
        <v>2625</v>
      </c>
      <c r="G387" s="52">
        <v>2778</v>
      </c>
      <c r="H387" s="53">
        <v>1146</v>
      </c>
      <c r="I387" s="52">
        <v>3924</v>
      </c>
      <c r="K387" s="61">
        <v>0</v>
      </c>
      <c r="L387" s="68">
        <v>0.31</v>
      </c>
      <c r="M387" s="62">
        <v>3.5000000000000003E-2</v>
      </c>
    </row>
    <row r="388" spans="1:13" ht="24" thickTop="1">
      <c r="A388" s="15" t="s">
        <v>74</v>
      </c>
      <c r="B388" s="21">
        <v>51000</v>
      </c>
      <c r="C388" s="11">
        <v>4</v>
      </c>
      <c r="D388" s="31">
        <v>5360</v>
      </c>
      <c r="E388" s="31">
        <v>56360</v>
      </c>
      <c r="F388" s="31">
        <v>596</v>
      </c>
      <c r="G388" s="31">
        <v>12750</v>
      </c>
      <c r="H388" s="31">
        <v>1191</v>
      </c>
      <c r="I388" s="31">
        <v>13941</v>
      </c>
      <c r="K388" s="57"/>
      <c r="L388" s="68">
        <v>0.315</v>
      </c>
      <c r="M388" s="62">
        <v>3.5000000000000003E-2</v>
      </c>
    </row>
    <row r="389" spans="1:13" ht="23.25">
      <c r="A389" s="16" t="s">
        <v>74</v>
      </c>
      <c r="B389" s="22">
        <v>51000</v>
      </c>
      <c r="C389" s="10">
        <v>6</v>
      </c>
      <c r="D389" s="50">
        <v>8039</v>
      </c>
      <c r="E389" s="50">
        <v>59039</v>
      </c>
      <c r="F389" s="50">
        <v>893</v>
      </c>
      <c r="G389" s="50">
        <v>8500</v>
      </c>
      <c r="H389" s="50">
        <v>1191</v>
      </c>
      <c r="I389" s="50">
        <v>9691</v>
      </c>
      <c r="K389" s="59"/>
      <c r="L389" s="68">
        <v>0.315</v>
      </c>
      <c r="M389" s="62">
        <v>3.5000000000000003E-2</v>
      </c>
    </row>
    <row r="390" spans="1:13" ht="23.25">
      <c r="A390" s="16" t="s">
        <v>74</v>
      </c>
      <c r="B390" s="22">
        <v>51000</v>
      </c>
      <c r="C390" s="8">
        <v>8</v>
      </c>
      <c r="D390" s="58">
        <v>10719</v>
      </c>
      <c r="E390" s="58">
        <v>61719</v>
      </c>
      <c r="F390" s="58">
        <v>1191</v>
      </c>
      <c r="G390" s="58">
        <v>6375</v>
      </c>
      <c r="H390" s="58">
        <v>1191</v>
      </c>
      <c r="I390" s="58">
        <v>7566</v>
      </c>
      <c r="K390" s="57"/>
      <c r="L390" s="68">
        <v>0.315</v>
      </c>
      <c r="M390" s="62">
        <v>3.5000000000000003E-2</v>
      </c>
    </row>
    <row r="391" spans="1:13" ht="23.25">
      <c r="A391" s="16" t="s">
        <v>74</v>
      </c>
      <c r="B391" s="22">
        <v>51000</v>
      </c>
      <c r="C391" s="9">
        <v>10</v>
      </c>
      <c r="D391" s="49">
        <v>13398</v>
      </c>
      <c r="E391" s="49">
        <v>64398</v>
      </c>
      <c r="F391" s="49">
        <v>1488</v>
      </c>
      <c r="G391" s="49">
        <v>5100</v>
      </c>
      <c r="H391" s="52">
        <v>1191</v>
      </c>
      <c r="I391" s="49">
        <v>6291</v>
      </c>
      <c r="K391" s="63"/>
      <c r="L391" s="68">
        <v>0.315</v>
      </c>
      <c r="M391" s="62">
        <v>3.5000000000000003E-2</v>
      </c>
    </row>
    <row r="392" spans="1:13" ht="23.25">
      <c r="A392" s="16" t="s">
        <v>74</v>
      </c>
      <c r="B392" s="22">
        <v>51000</v>
      </c>
      <c r="C392" s="8">
        <v>12</v>
      </c>
      <c r="D392" s="58">
        <v>16078</v>
      </c>
      <c r="E392" s="58">
        <v>67078</v>
      </c>
      <c r="F392" s="58">
        <v>1786</v>
      </c>
      <c r="G392" s="58">
        <v>4250</v>
      </c>
      <c r="H392" s="58">
        <v>1191</v>
      </c>
      <c r="I392" s="58">
        <v>5441</v>
      </c>
      <c r="K392" s="57"/>
      <c r="L392" s="68">
        <v>0.315</v>
      </c>
      <c r="M392" s="62">
        <v>3.5000000000000003E-2</v>
      </c>
    </row>
    <row r="393" spans="1:13" ht="24" thickBot="1">
      <c r="A393" s="20" t="s">
        <v>74</v>
      </c>
      <c r="B393" s="26">
        <v>51000</v>
      </c>
      <c r="C393" s="5">
        <v>14</v>
      </c>
      <c r="D393" s="64">
        <v>18745</v>
      </c>
      <c r="E393" s="64">
        <v>69745</v>
      </c>
      <c r="F393" s="64">
        <v>2083</v>
      </c>
      <c r="G393" s="64">
        <v>3643</v>
      </c>
      <c r="H393" s="49">
        <v>1190</v>
      </c>
      <c r="I393" s="64">
        <v>4833</v>
      </c>
      <c r="K393" s="65"/>
      <c r="L393" s="68">
        <v>0.315</v>
      </c>
      <c r="M393" s="62">
        <v>3.5000000000000003E-2</v>
      </c>
    </row>
    <row r="394" spans="1:13" ht="24" thickTop="1">
      <c r="A394" s="17" t="s">
        <v>74</v>
      </c>
      <c r="B394" s="23">
        <v>51000</v>
      </c>
      <c r="C394" s="11">
        <v>16</v>
      </c>
      <c r="D394" s="31">
        <v>21429</v>
      </c>
      <c r="E394" s="31">
        <v>72429</v>
      </c>
      <c r="F394" s="31">
        <v>2381</v>
      </c>
      <c r="G394" s="31">
        <v>3188</v>
      </c>
      <c r="H394" s="31">
        <v>1190</v>
      </c>
      <c r="I394" s="31">
        <v>4378</v>
      </c>
      <c r="K394" s="11"/>
      <c r="L394" s="68">
        <v>0.315</v>
      </c>
      <c r="M394" s="62">
        <v>3.5000000000000003E-2</v>
      </c>
    </row>
    <row r="395" spans="1:13" ht="23.25">
      <c r="A395" s="18" t="s">
        <v>74</v>
      </c>
      <c r="B395" s="24">
        <v>51000</v>
      </c>
      <c r="C395" s="9">
        <v>18</v>
      </c>
      <c r="D395" s="49">
        <v>24110</v>
      </c>
      <c r="E395" s="49">
        <v>75110</v>
      </c>
      <c r="F395" s="49">
        <v>2678</v>
      </c>
      <c r="G395" s="49">
        <v>2834</v>
      </c>
      <c r="H395" s="49">
        <v>1190</v>
      </c>
      <c r="I395" s="49">
        <v>4024</v>
      </c>
      <c r="K395" s="63"/>
      <c r="L395" s="68">
        <v>0.315</v>
      </c>
      <c r="M395" s="62">
        <v>3.5000000000000003E-2</v>
      </c>
    </row>
    <row r="396" spans="1:13" ht="23.25">
      <c r="A396" s="18" t="s">
        <v>74</v>
      </c>
      <c r="B396" s="24">
        <v>51000</v>
      </c>
      <c r="C396" s="8">
        <v>20</v>
      </c>
      <c r="D396" s="58">
        <v>26796</v>
      </c>
      <c r="E396" s="58">
        <v>77796</v>
      </c>
      <c r="F396" s="58">
        <v>2976</v>
      </c>
      <c r="G396" s="58">
        <v>2550</v>
      </c>
      <c r="H396" s="58">
        <v>1191</v>
      </c>
      <c r="I396" s="58">
        <v>3741</v>
      </c>
      <c r="K396" s="57"/>
      <c r="L396" s="68">
        <v>0.315</v>
      </c>
      <c r="M396" s="62">
        <v>3.5000000000000003E-2</v>
      </c>
    </row>
    <row r="397" spans="1:13" ht="23.25">
      <c r="A397" s="18" t="s">
        <v>74</v>
      </c>
      <c r="B397" s="24">
        <v>51000</v>
      </c>
      <c r="C397" s="10">
        <v>22</v>
      </c>
      <c r="D397" s="50">
        <v>29471</v>
      </c>
      <c r="E397" s="50">
        <v>80471</v>
      </c>
      <c r="F397" s="50">
        <v>3273</v>
      </c>
      <c r="G397" s="50">
        <v>2319</v>
      </c>
      <c r="H397" s="50">
        <v>1190</v>
      </c>
      <c r="I397" s="50">
        <v>3509</v>
      </c>
      <c r="K397" s="59"/>
      <c r="L397" s="68">
        <v>0.315</v>
      </c>
      <c r="M397" s="62">
        <v>3.5000000000000003E-2</v>
      </c>
    </row>
    <row r="398" spans="1:13" ht="23.25">
      <c r="A398" s="18" t="s">
        <v>74</v>
      </c>
      <c r="B398" s="24">
        <v>51000</v>
      </c>
      <c r="C398" s="8">
        <v>24</v>
      </c>
      <c r="D398" s="58">
        <v>32155</v>
      </c>
      <c r="E398" s="58">
        <v>83155</v>
      </c>
      <c r="F398" s="58">
        <v>3571</v>
      </c>
      <c r="G398" s="58">
        <v>2125</v>
      </c>
      <c r="H398" s="58">
        <v>1191</v>
      </c>
      <c r="I398" s="58">
        <v>3316</v>
      </c>
      <c r="K398" s="57"/>
      <c r="L398" s="68">
        <v>0.315</v>
      </c>
      <c r="M398" s="62">
        <v>3.5000000000000003E-2</v>
      </c>
    </row>
    <row r="399" spans="1:13" ht="23.25">
      <c r="A399" s="18" t="s">
        <v>74</v>
      </c>
      <c r="B399" s="24">
        <v>52000</v>
      </c>
      <c r="C399" s="10">
        <v>4</v>
      </c>
      <c r="D399" s="50">
        <v>5463</v>
      </c>
      <c r="E399" s="50">
        <v>57463</v>
      </c>
      <c r="F399" s="50">
        <v>607</v>
      </c>
      <c r="G399" s="50">
        <v>13000</v>
      </c>
      <c r="H399" s="50">
        <v>1214</v>
      </c>
      <c r="I399" s="50">
        <v>14214</v>
      </c>
      <c r="K399" s="59"/>
      <c r="L399" s="68">
        <v>0.315</v>
      </c>
      <c r="M399" s="62">
        <v>3.5000000000000003E-2</v>
      </c>
    </row>
    <row r="400" spans="1:13" ht="23.25">
      <c r="A400" s="18" t="s">
        <v>74</v>
      </c>
      <c r="B400" s="24">
        <v>52000</v>
      </c>
      <c r="C400" s="8">
        <v>6</v>
      </c>
      <c r="D400" s="58">
        <v>8197</v>
      </c>
      <c r="E400" s="58">
        <v>60197</v>
      </c>
      <c r="F400" s="58">
        <v>911</v>
      </c>
      <c r="G400" s="58">
        <v>8667</v>
      </c>
      <c r="H400" s="58">
        <v>1214</v>
      </c>
      <c r="I400" s="58">
        <v>9881</v>
      </c>
      <c r="K400" s="57"/>
      <c r="L400" s="68">
        <v>0.315</v>
      </c>
      <c r="M400" s="62">
        <v>3.5000000000000003E-2</v>
      </c>
    </row>
    <row r="401" spans="1:13" ht="23.25">
      <c r="A401" s="18" t="s">
        <v>74</v>
      </c>
      <c r="B401" s="24">
        <v>52000</v>
      </c>
      <c r="C401" s="10">
        <v>8</v>
      </c>
      <c r="D401" s="50">
        <v>10926</v>
      </c>
      <c r="E401" s="50">
        <v>62926</v>
      </c>
      <c r="F401" s="50">
        <v>1214</v>
      </c>
      <c r="G401" s="50">
        <v>6500</v>
      </c>
      <c r="H401" s="52">
        <v>1214</v>
      </c>
      <c r="I401" s="50">
        <v>7714</v>
      </c>
      <c r="K401" s="59"/>
      <c r="L401" s="68">
        <v>0.315</v>
      </c>
      <c r="M401" s="62">
        <v>3.5000000000000003E-2</v>
      </c>
    </row>
    <row r="402" spans="1:13" ht="23.25">
      <c r="A402" s="18" t="s">
        <v>74</v>
      </c>
      <c r="B402" s="24">
        <v>52000</v>
      </c>
      <c r="C402" s="8">
        <v>10</v>
      </c>
      <c r="D402" s="58">
        <v>13657</v>
      </c>
      <c r="E402" s="58">
        <v>65657</v>
      </c>
      <c r="F402" s="58">
        <v>1517</v>
      </c>
      <c r="G402" s="58">
        <v>5200</v>
      </c>
      <c r="H402" s="58">
        <v>1214</v>
      </c>
      <c r="I402" s="58">
        <v>6414</v>
      </c>
      <c r="K402" s="57"/>
      <c r="L402" s="68">
        <v>0.315</v>
      </c>
      <c r="M402" s="62">
        <v>3.5000000000000003E-2</v>
      </c>
    </row>
    <row r="403" spans="1:13" ht="23.25">
      <c r="A403" s="18" t="s">
        <v>74</v>
      </c>
      <c r="B403" s="24">
        <v>52000</v>
      </c>
      <c r="C403" s="9">
        <v>12</v>
      </c>
      <c r="D403" s="49">
        <v>16385</v>
      </c>
      <c r="E403" s="49">
        <v>68385</v>
      </c>
      <c r="F403" s="49">
        <v>1821</v>
      </c>
      <c r="G403" s="49">
        <v>4334</v>
      </c>
      <c r="H403" s="49">
        <v>1213</v>
      </c>
      <c r="I403" s="49">
        <v>5547</v>
      </c>
      <c r="K403" s="63"/>
      <c r="L403" s="68">
        <v>0.315</v>
      </c>
      <c r="M403" s="62">
        <v>3.5000000000000003E-2</v>
      </c>
    </row>
    <row r="404" spans="1:13" ht="24" thickBot="1">
      <c r="A404" s="19" t="s">
        <v>74</v>
      </c>
      <c r="B404" s="25">
        <v>52000</v>
      </c>
      <c r="C404" s="4">
        <v>14</v>
      </c>
      <c r="D404" s="66">
        <v>19116</v>
      </c>
      <c r="E404" s="66">
        <v>71116</v>
      </c>
      <c r="F404" s="66">
        <v>2124</v>
      </c>
      <c r="G404" s="66">
        <v>3715</v>
      </c>
      <c r="H404" s="58">
        <v>1213</v>
      </c>
      <c r="I404" s="66">
        <v>4928</v>
      </c>
      <c r="K404" s="67"/>
      <c r="L404" s="68">
        <v>0.315</v>
      </c>
      <c r="M404" s="62">
        <v>3.5000000000000003E-2</v>
      </c>
    </row>
    <row r="405" spans="1:13" ht="24" thickTop="1">
      <c r="A405" s="15" t="s">
        <v>74</v>
      </c>
      <c r="B405" s="21">
        <v>52000</v>
      </c>
      <c r="C405" s="6">
        <v>16</v>
      </c>
      <c r="D405" s="37">
        <v>21851</v>
      </c>
      <c r="E405" s="37">
        <v>73851</v>
      </c>
      <c r="F405" s="37">
        <v>2427</v>
      </c>
      <c r="G405" s="37">
        <v>3250</v>
      </c>
      <c r="H405" s="37">
        <v>1214</v>
      </c>
      <c r="I405" s="37">
        <v>4464</v>
      </c>
      <c r="K405" s="6"/>
      <c r="L405" s="68">
        <v>0.315</v>
      </c>
      <c r="M405" s="62">
        <v>3.5000000000000003E-2</v>
      </c>
    </row>
    <row r="406" spans="1:13" ht="23.25">
      <c r="A406" s="16" t="s">
        <v>74</v>
      </c>
      <c r="B406" s="22">
        <v>52000</v>
      </c>
      <c r="C406" s="8">
        <v>18</v>
      </c>
      <c r="D406" s="58">
        <v>24585</v>
      </c>
      <c r="E406" s="58">
        <v>76585</v>
      </c>
      <c r="F406" s="58">
        <v>2731</v>
      </c>
      <c r="G406" s="58">
        <v>2889</v>
      </c>
      <c r="H406" s="58">
        <v>1214</v>
      </c>
      <c r="I406" s="58">
        <v>4103</v>
      </c>
      <c r="K406" s="57"/>
      <c r="L406" s="68">
        <v>0.315</v>
      </c>
      <c r="M406" s="62">
        <v>3.5000000000000003E-2</v>
      </c>
    </row>
    <row r="407" spans="1:13" ht="23.25">
      <c r="A407" s="16" t="s">
        <v>74</v>
      </c>
      <c r="B407" s="22">
        <v>52000</v>
      </c>
      <c r="C407" s="10">
        <v>20</v>
      </c>
      <c r="D407" s="50">
        <v>27314</v>
      </c>
      <c r="E407" s="50">
        <v>79314</v>
      </c>
      <c r="F407" s="50">
        <v>3034</v>
      </c>
      <c r="G407" s="50">
        <v>2600</v>
      </c>
      <c r="H407" s="49">
        <v>1214</v>
      </c>
      <c r="I407" s="50">
        <v>3814</v>
      </c>
      <c r="K407" s="59"/>
      <c r="L407" s="68">
        <v>0.315</v>
      </c>
      <c r="M407" s="62">
        <v>3.5000000000000003E-2</v>
      </c>
    </row>
    <row r="408" spans="1:13" ht="23.25">
      <c r="A408" s="16" t="s">
        <v>74</v>
      </c>
      <c r="B408" s="22">
        <v>52000</v>
      </c>
      <c r="C408" s="8">
        <v>22</v>
      </c>
      <c r="D408" s="58">
        <v>30031</v>
      </c>
      <c r="E408" s="58">
        <v>82031</v>
      </c>
      <c r="F408" s="58">
        <v>3337</v>
      </c>
      <c r="G408" s="58">
        <v>2364</v>
      </c>
      <c r="H408" s="58">
        <v>1213</v>
      </c>
      <c r="I408" s="58">
        <v>3577</v>
      </c>
      <c r="K408" s="57"/>
      <c r="L408" s="68">
        <v>0.315</v>
      </c>
      <c r="M408" s="62">
        <v>3.5000000000000003E-2</v>
      </c>
    </row>
    <row r="409" spans="1:13" ht="23.25">
      <c r="A409" s="16" t="s">
        <v>74</v>
      </c>
      <c r="B409" s="22">
        <v>52000</v>
      </c>
      <c r="C409" s="10">
        <v>24</v>
      </c>
      <c r="D409" s="50">
        <v>32785</v>
      </c>
      <c r="E409" s="50">
        <v>84785</v>
      </c>
      <c r="F409" s="50">
        <v>3641</v>
      </c>
      <c r="G409" s="50">
        <v>2167</v>
      </c>
      <c r="H409" s="50">
        <v>1214</v>
      </c>
      <c r="I409" s="50">
        <v>3381</v>
      </c>
      <c r="K409" s="59"/>
      <c r="L409" s="68">
        <v>0.315</v>
      </c>
      <c r="M409" s="62">
        <v>3.5000000000000003E-2</v>
      </c>
    </row>
    <row r="410" spans="1:13" ht="23.25">
      <c r="A410" s="16" t="s">
        <v>74</v>
      </c>
      <c r="B410" s="22">
        <v>53000</v>
      </c>
      <c r="C410" s="8">
        <v>4</v>
      </c>
      <c r="D410" s="58">
        <v>5567</v>
      </c>
      <c r="E410" s="58">
        <v>58567</v>
      </c>
      <c r="F410" s="58">
        <v>619</v>
      </c>
      <c r="G410" s="58">
        <v>13250</v>
      </c>
      <c r="H410" s="58">
        <v>1237</v>
      </c>
      <c r="I410" s="58">
        <v>14487</v>
      </c>
      <c r="K410" s="57"/>
      <c r="L410" s="68">
        <v>0.315</v>
      </c>
      <c r="M410" s="62">
        <v>3.5000000000000003E-2</v>
      </c>
    </row>
    <row r="411" spans="1:13" ht="23.25">
      <c r="A411" s="16" t="s">
        <v>74</v>
      </c>
      <c r="B411" s="22">
        <v>53000</v>
      </c>
      <c r="C411" s="10">
        <v>6</v>
      </c>
      <c r="D411" s="50">
        <v>8354</v>
      </c>
      <c r="E411" s="50">
        <v>61354</v>
      </c>
      <c r="F411" s="50">
        <v>928</v>
      </c>
      <c r="G411" s="50">
        <v>8834</v>
      </c>
      <c r="H411" s="50">
        <v>1237</v>
      </c>
      <c r="I411" s="50">
        <v>10071</v>
      </c>
      <c r="K411" s="59"/>
      <c r="L411" s="68">
        <v>0.315</v>
      </c>
      <c r="M411" s="62">
        <v>3.5000000000000003E-2</v>
      </c>
    </row>
    <row r="412" spans="1:13" ht="23.25">
      <c r="A412" s="16" t="s">
        <v>74</v>
      </c>
      <c r="B412" s="22">
        <v>53000</v>
      </c>
      <c r="C412" s="8">
        <v>8</v>
      </c>
      <c r="D412" s="58">
        <v>11133</v>
      </c>
      <c r="E412" s="58">
        <v>64133</v>
      </c>
      <c r="F412" s="58">
        <v>1237</v>
      </c>
      <c r="G412" s="58">
        <v>6625</v>
      </c>
      <c r="H412" s="58">
        <v>1237</v>
      </c>
      <c r="I412" s="58">
        <v>7862</v>
      </c>
      <c r="K412" s="57"/>
      <c r="L412" s="68">
        <v>0.315</v>
      </c>
      <c r="M412" s="62">
        <v>3.5000000000000003E-2</v>
      </c>
    </row>
    <row r="413" spans="1:13" ht="23.25">
      <c r="A413" s="16" t="s">
        <v>74</v>
      </c>
      <c r="B413" s="22">
        <v>53000</v>
      </c>
      <c r="C413" s="9">
        <v>10</v>
      </c>
      <c r="D413" s="49">
        <v>13916</v>
      </c>
      <c r="E413" s="49">
        <v>66916</v>
      </c>
      <c r="F413" s="49">
        <v>1546</v>
      </c>
      <c r="G413" s="49">
        <v>5300</v>
      </c>
      <c r="H413" s="52">
        <v>1237</v>
      </c>
      <c r="I413" s="49">
        <v>6537</v>
      </c>
      <c r="K413" s="63"/>
      <c r="L413" s="68">
        <v>0.315</v>
      </c>
      <c r="M413" s="62">
        <v>3.5000000000000003E-2</v>
      </c>
    </row>
    <row r="414" spans="1:13" ht="23.25">
      <c r="A414" s="16" t="s">
        <v>74</v>
      </c>
      <c r="B414" s="22">
        <v>53000</v>
      </c>
      <c r="C414" s="8">
        <v>12</v>
      </c>
      <c r="D414" s="58">
        <v>16704</v>
      </c>
      <c r="E414" s="58">
        <v>69704</v>
      </c>
      <c r="F414" s="58">
        <v>1856</v>
      </c>
      <c r="G414" s="58">
        <v>4417</v>
      </c>
      <c r="H414" s="58">
        <v>1237</v>
      </c>
      <c r="I414" s="58">
        <v>5654</v>
      </c>
      <c r="K414" s="57"/>
      <c r="L414" s="68">
        <v>0.315</v>
      </c>
      <c r="M414" s="62">
        <v>3.5000000000000003E-2</v>
      </c>
    </row>
    <row r="415" spans="1:13" ht="24" thickBot="1">
      <c r="A415" s="20" t="s">
        <v>74</v>
      </c>
      <c r="B415" s="26">
        <v>53000</v>
      </c>
      <c r="C415" s="5">
        <v>14</v>
      </c>
      <c r="D415" s="64">
        <v>19487</v>
      </c>
      <c r="E415" s="64">
        <v>72487</v>
      </c>
      <c r="F415" s="64">
        <v>2165</v>
      </c>
      <c r="G415" s="64">
        <v>3786</v>
      </c>
      <c r="H415" s="49">
        <v>1237</v>
      </c>
      <c r="I415" s="64">
        <v>5023</v>
      </c>
      <c r="K415" s="65"/>
      <c r="L415" s="68">
        <v>0.315</v>
      </c>
      <c r="M415" s="62">
        <v>3.5000000000000003E-2</v>
      </c>
    </row>
    <row r="416" spans="1:13" ht="24" thickTop="1">
      <c r="A416" s="17" t="s">
        <v>74</v>
      </c>
      <c r="B416" s="23">
        <v>53000</v>
      </c>
      <c r="C416" s="11">
        <v>16</v>
      </c>
      <c r="D416" s="31">
        <v>22274</v>
      </c>
      <c r="E416" s="31">
        <v>75274</v>
      </c>
      <c r="F416" s="31">
        <v>2474</v>
      </c>
      <c r="G416" s="31">
        <v>3313</v>
      </c>
      <c r="H416" s="31">
        <v>1237</v>
      </c>
      <c r="I416" s="31">
        <v>4550</v>
      </c>
      <c r="K416" s="11"/>
      <c r="L416" s="68">
        <v>0.315</v>
      </c>
      <c r="M416" s="62">
        <v>3.5000000000000003E-2</v>
      </c>
    </row>
    <row r="417" spans="1:13" ht="23.25">
      <c r="A417" s="18" t="s">
        <v>74</v>
      </c>
      <c r="B417" s="24">
        <v>53000</v>
      </c>
      <c r="C417" s="9">
        <v>18</v>
      </c>
      <c r="D417" s="49">
        <v>25059</v>
      </c>
      <c r="E417" s="49">
        <v>78059</v>
      </c>
      <c r="F417" s="49">
        <v>2783</v>
      </c>
      <c r="G417" s="49">
        <v>2945</v>
      </c>
      <c r="H417" s="49">
        <v>1237</v>
      </c>
      <c r="I417" s="49">
        <v>4182</v>
      </c>
      <c r="K417" s="63"/>
      <c r="L417" s="68">
        <v>0.315</v>
      </c>
      <c r="M417" s="62">
        <v>3.5000000000000003E-2</v>
      </c>
    </row>
    <row r="418" spans="1:13" ht="23.25">
      <c r="A418" s="18" t="s">
        <v>74</v>
      </c>
      <c r="B418" s="24">
        <v>53000</v>
      </c>
      <c r="C418" s="8">
        <v>20</v>
      </c>
      <c r="D418" s="58">
        <v>27832</v>
      </c>
      <c r="E418" s="58">
        <v>80832</v>
      </c>
      <c r="F418" s="58">
        <v>3092</v>
      </c>
      <c r="G418" s="58">
        <v>2650</v>
      </c>
      <c r="H418" s="58">
        <v>1237</v>
      </c>
      <c r="I418" s="58">
        <v>3887</v>
      </c>
      <c r="K418" s="57"/>
      <c r="L418" s="68">
        <v>0.315</v>
      </c>
      <c r="M418" s="62">
        <v>3.5000000000000003E-2</v>
      </c>
    </row>
    <row r="419" spans="1:13" ht="23.25">
      <c r="A419" s="18" t="s">
        <v>74</v>
      </c>
      <c r="B419" s="24">
        <v>53000</v>
      </c>
      <c r="C419" s="10">
        <v>22</v>
      </c>
      <c r="D419" s="50">
        <v>30613</v>
      </c>
      <c r="E419" s="50">
        <v>83613</v>
      </c>
      <c r="F419" s="50">
        <v>3401</v>
      </c>
      <c r="G419" s="50">
        <v>2410</v>
      </c>
      <c r="H419" s="50">
        <v>1236</v>
      </c>
      <c r="I419" s="50">
        <v>3646</v>
      </c>
      <c r="K419" s="59"/>
      <c r="L419" s="68">
        <v>0.315</v>
      </c>
      <c r="M419" s="62">
        <v>3.5000000000000003E-2</v>
      </c>
    </row>
    <row r="420" spans="1:13" ht="23.25">
      <c r="A420" s="18" t="s">
        <v>74</v>
      </c>
      <c r="B420" s="24">
        <v>53000</v>
      </c>
      <c r="C420" s="8">
        <v>24</v>
      </c>
      <c r="D420" s="58">
        <v>33415</v>
      </c>
      <c r="E420" s="58">
        <v>86415</v>
      </c>
      <c r="F420" s="58">
        <v>3711</v>
      </c>
      <c r="G420" s="58">
        <v>2209</v>
      </c>
      <c r="H420" s="58">
        <v>1237</v>
      </c>
      <c r="I420" s="58">
        <v>3446</v>
      </c>
      <c r="K420" s="57"/>
      <c r="L420" s="68">
        <v>0.315</v>
      </c>
      <c r="M420" s="62">
        <v>3.5000000000000003E-2</v>
      </c>
    </row>
    <row r="421" spans="1:13" ht="23.25">
      <c r="A421" s="18" t="s">
        <v>74</v>
      </c>
      <c r="B421" s="24">
        <v>54000</v>
      </c>
      <c r="C421" s="10">
        <v>4</v>
      </c>
      <c r="D421" s="50">
        <v>5675</v>
      </c>
      <c r="E421" s="50">
        <v>59675</v>
      </c>
      <c r="F421" s="50">
        <v>631</v>
      </c>
      <c r="G421" s="50">
        <v>13500</v>
      </c>
      <c r="H421" s="50">
        <v>1261</v>
      </c>
      <c r="I421" s="50">
        <v>14761</v>
      </c>
      <c r="K421" s="59"/>
      <c r="L421" s="68">
        <v>0.315</v>
      </c>
      <c r="M421" s="62">
        <v>3.5000000000000003E-2</v>
      </c>
    </row>
    <row r="422" spans="1:13" ht="23.25">
      <c r="A422" s="18" t="s">
        <v>74</v>
      </c>
      <c r="B422" s="24">
        <v>54000</v>
      </c>
      <c r="C422" s="8">
        <v>6</v>
      </c>
      <c r="D422" s="58">
        <v>8512</v>
      </c>
      <c r="E422" s="58">
        <v>62512</v>
      </c>
      <c r="F422" s="58">
        <v>946</v>
      </c>
      <c r="G422" s="58">
        <v>9000</v>
      </c>
      <c r="H422" s="58">
        <v>1261</v>
      </c>
      <c r="I422" s="58">
        <v>10261</v>
      </c>
      <c r="K422" s="57"/>
      <c r="L422" s="68">
        <v>0.315</v>
      </c>
      <c r="M422" s="62">
        <v>3.5000000000000003E-2</v>
      </c>
    </row>
    <row r="423" spans="1:13" ht="23.25">
      <c r="A423" s="18" t="s">
        <v>74</v>
      </c>
      <c r="B423" s="24">
        <v>54000</v>
      </c>
      <c r="C423" s="10">
        <v>8</v>
      </c>
      <c r="D423" s="50">
        <v>11349</v>
      </c>
      <c r="E423" s="50">
        <v>65349</v>
      </c>
      <c r="F423" s="50">
        <v>1261</v>
      </c>
      <c r="G423" s="50">
        <v>6750</v>
      </c>
      <c r="H423" s="52">
        <v>1261</v>
      </c>
      <c r="I423" s="50">
        <v>8011</v>
      </c>
      <c r="K423" s="59"/>
      <c r="L423" s="68">
        <v>0.315</v>
      </c>
      <c r="M423" s="62">
        <v>3.5000000000000003E-2</v>
      </c>
    </row>
    <row r="424" spans="1:13" ht="23.25">
      <c r="A424" s="18" t="s">
        <v>74</v>
      </c>
      <c r="B424" s="24">
        <v>54000</v>
      </c>
      <c r="C424" s="8">
        <v>10</v>
      </c>
      <c r="D424" s="58">
        <v>14186</v>
      </c>
      <c r="E424" s="58">
        <v>68186</v>
      </c>
      <c r="F424" s="58">
        <v>1576</v>
      </c>
      <c r="G424" s="58">
        <v>5400</v>
      </c>
      <c r="H424" s="58">
        <v>1261</v>
      </c>
      <c r="I424" s="58">
        <v>6661</v>
      </c>
      <c r="K424" s="57"/>
      <c r="L424" s="68">
        <v>0.315</v>
      </c>
      <c r="M424" s="62">
        <v>3.5000000000000003E-2</v>
      </c>
    </row>
    <row r="425" spans="1:13" ht="23.25">
      <c r="A425" s="18" t="s">
        <v>74</v>
      </c>
      <c r="B425" s="24">
        <v>54000</v>
      </c>
      <c r="C425" s="9">
        <v>12</v>
      </c>
      <c r="D425" s="49">
        <v>17023</v>
      </c>
      <c r="E425" s="49">
        <v>71023</v>
      </c>
      <c r="F425" s="49">
        <v>1891</v>
      </c>
      <c r="G425" s="49">
        <v>4500</v>
      </c>
      <c r="H425" s="49">
        <v>1261</v>
      </c>
      <c r="I425" s="49">
        <v>5761</v>
      </c>
      <c r="K425" s="63"/>
      <c r="L425" s="68">
        <v>0.315</v>
      </c>
      <c r="M425" s="62">
        <v>3.5000000000000003E-2</v>
      </c>
    </row>
    <row r="426" spans="1:13" ht="24" thickBot="1">
      <c r="A426" s="19" t="s">
        <v>74</v>
      </c>
      <c r="B426" s="25">
        <v>54000</v>
      </c>
      <c r="C426" s="4">
        <v>14</v>
      </c>
      <c r="D426" s="66">
        <v>19858</v>
      </c>
      <c r="E426" s="66">
        <v>73858</v>
      </c>
      <c r="F426" s="66">
        <v>2206</v>
      </c>
      <c r="G426" s="66">
        <v>3858</v>
      </c>
      <c r="H426" s="58">
        <v>1260</v>
      </c>
      <c r="I426" s="66">
        <v>5118</v>
      </c>
      <c r="K426" s="67"/>
      <c r="L426" s="68">
        <v>0.315</v>
      </c>
      <c r="M426" s="62">
        <v>3.5000000000000003E-2</v>
      </c>
    </row>
    <row r="427" spans="1:13" ht="24" thickTop="1">
      <c r="A427" s="15" t="s">
        <v>74</v>
      </c>
      <c r="B427" s="21">
        <v>54000</v>
      </c>
      <c r="C427" s="6">
        <v>16</v>
      </c>
      <c r="D427" s="37">
        <v>22697</v>
      </c>
      <c r="E427" s="37">
        <v>76697</v>
      </c>
      <c r="F427" s="37">
        <v>2521</v>
      </c>
      <c r="G427" s="37">
        <v>3375</v>
      </c>
      <c r="H427" s="37">
        <v>1261</v>
      </c>
      <c r="I427" s="37">
        <v>4636</v>
      </c>
      <c r="K427" s="6"/>
      <c r="L427" s="68">
        <v>0.315</v>
      </c>
      <c r="M427" s="62">
        <v>3.5000000000000003E-2</v>
      </c>
    </row>
    <row r="428" spans="1:13" ht="23.25">
      <c r="A428" s="16" t="s">
        <v>74</v>
      </c>
      <c r="B428" s="22">
        <v>54000</v>
      </c>
      <c r="C428" s="8">
        <v>18</v>
      </c>
      <c r="D428" s="58">
        <v>25534</v>
      </c>
      <c r="E428" s="58">
        <v>79534</v>
      </c>
      <c r="F428" s="58">
        <v>2836</v>
      </c>
      <c r="G428" s="58">
        <v>3000</v>
      </c>
      <c r="H428" s="58">
        <v>1261</v>
      </c>
      <c r="I428" s="58">
        <v>4261</v>
      </c>
      <c r="K428" s="57"/>
      <c r="L428" s="68">
        <v>0.315</v>
      </c>
      <c r="M428" s="62">
        <v>3.5000000000000003E-2</v>
      </c>
    </row>
    <row r="429" spans="1:13" ht="23.25">
      <c r="A429" s="16" t="s">
        <v>74</v>
      </c>
      <c r="B429" s="22">
        <v>54000</v>
      </c>
      <c r="C429" s="10">
        <v>20</v>
      </c>
      <c r="D429" s="50">
        <v>28371</v>
      </c>
      <c r="E429" s="50">
        <v>82371</v>
      </c>
      <c r="F429" s="50">
        <v>3151</v>
      </c>
      <c r="G429" s="50">
        <v>2700</v>
      </c>
      <c r="H429" s="49">
        <v>1261</v>
      </c>
      <c r="I429" s="50">
        <v>3961</v>
      </c>
      <c r="K429" s="59"/>
      <c r="L429" s="68">
        <v>0.315</v>
      </c>
      <c r="M429" s="62">
        <v>3.5000000000000003E-2</v>
      </c>
    </row>
    <row r="430" spans="1:13" ht="23.25">
      <c r="A430" s="16" t="s">
        <v>74</v>
      </c>
      <c r="B430" s="22">
        <v>54000</v>
      </c>
      <c r="C430" s="8">
        <v>22</v>
      </c>
      <c r="D430" s="58">
        <v>31196</v>
      </c>
      <c r="E430" s="58">
        <v>85196</v>
      </c>
      <c r="F430" s="58">
        <v>3466</v>
      </c>
      <c r="G430" s="58">
        <v>2455</v>
      </c>
      <c r="H430" s="58">
        <v>1260</v>
      </c>
      <c r="I430" s="58">
        <v>3715</v>
      </c>
      <c r="K430" s="57"/>
      <c r="L430" s="68">
        <v>0.315</v>
      </c>
      <c r="M430" s="62">
        <v>3.5000000000000003E-2</v>
      </c>
    </row>
    <row r="431" spans="1:13" ht="23.25">
      <c r="A431" s="16" t="s">
        <v>74</v>
      </c>
      <c r="B431" s="22">
        <v>54000</v>
      </c>
      <c r="C431" s="10">
        <v>24</v>
      </c>
      <c r="D431" s="50">
        <v>34045</v>
      </c>
      <c r="E431" s="50">
        <v>88045</v>
      </c>
      <c r="F431" s="50">
        <v>3781</v>
      </c>
      <c r="G431" s="50">
        <v>2250</v>
      </c>
      <c r="H431" s="50">
        <v>1261</v>
      </c>
      <c r="I431" s="50">
        <v>3511</v>
      </c>
      <c r="K431" s="59"/>
      <c r="L431" s="68">
        <v>0.315</v>
      </c>
      <c r="M431" s="62">
        <v>3.5000000000000003E-2</v>
      </c>
    </row>
    <row r="432" spans="1:13" ht="23.25">
      <c r="A432" s="16" t="s">
        <v>74</v>
      </c>
      <c r="B432" s="22">
        <v>55000</v>
      </c>
      <c r="C432" s="8">
        <v>4</v>
      </c>
      <c r="D432" s="58">
        <v>5778</v>
      </c>
      <c r="E432" s="58">
        <v>60778</v>
      </c>
      <c r="F432" s="58">
        <v>642</v>
      </c>
      <c r="G432" s="58">
        <v>13750</v>
      </c>
      <c r="H432" s="58">
        <v>1284</v>
      </c>
      <c r="I432" s="58">
        <v>15034</v>
      </c>
      <c r="K432" s="57"/>
      <c r="L432" s="68">
        <v>0.315</v>
      </c>
      <c r="M432" s="62">
        <v>3.5000000000000003E-2</v>
      </c>
    </row>
    <row r="433" spans="1:13" ht="23.25">
      <c r="A433" s="16" t="s">
        <v>74</v>
      </c>
      <c r="B433" s="22">
        <v>55000</v>
      </c>
      <c r="C433" s="10">
        <v>6</v>
      </c>
      <c r="D433" s="50">
        <v>8669</v>
      </c>
      <c r="E433" s="50">
        <v>63669</v>
      </c>
      <c r="F433" s="50">
        <v>963</v>
      </c>
      <c r="G433" s="50">
        <v>9167</v>
      </c>
      <c r="H433" s="50">
        <v>1284</v>
      </c>
      <c r="I433" s="50">
        <v>10451</v>
      </c>
      <c r="K433" s="59"/>
      <c r="L433" s="68">
        <v>0.315</v>
      </c>
      <c r="M433" s="62">
        <v>3.5000000000000003E-2</v>
      </c>
    </row>
    <row r="434" spans="1:13" ht="23.25">
      <c r="A434" s="16" t="s">
        <v>74</v>
      </c>
      <c r="B434" s="22">
        <v>55000</v>
      </c>
      <c r="C434" s="8">
        <v>8</v>
      </c>
      <c r="D434" s="58">
        <v>11556</v>
      </c>
      <c r="E434" s="58">
        <v>66556</v>
      </c>
      <c r="F434" s="58">
        <v>1284</v>
      </c>
      <c r="G434" s="58">
        <v>6875</v>
      </c>
      <c r="H434" s="58">
        <v>1284</v>
      </c>
      <c r="I434" s="58">
        <v>8159</v>
      </c>
      <c r="K434" s="57"/>
      <c r="L434" s="68">
        <v>0.315</v>
      </c>
      <c r="M434" s="62">
        <v>3.5000000000000003E-2</v>
      </c>
    </row>
    <row r="435" spans="1:13" ht="23.25">
      <c r="A435" s="16" t="s">
        <v>74</v>
      </c>
      <c r="B435" s="22">
        <v>55000</v>
      </c>
      <c r="C435" s="9">
        <v>10</v>
      </c>
      <c r="D435" s="49">
        <v>14445</v>
      </c>
      <c r="E435" s="49">
        <v>69445</v>
      </c>
      <c r="F435" s="49">
        <v>1605</v>
      </c>
      <c r="G435" s="49">
        <v>5500</v>
      </c>
      <c r="H435" s="52">
        <v>1284</v>
      </c>
      <c r="I435" s="49">
        <v>6784</v>
      </c>
      <c r="K435" s="63"/>
      <c r="L435" s="68">
        <v>0.315</v>
      </c>
      <c r="M435" s="62">
        <v>3.5000000000000003E-2</v>
      </c>
    </row>
    <row r="436" spans="1:13" ht="23.25">
      <c r="A436" s="16" t="s">
        <v>74</v>
      </c>
      <c r="B436" s="22">
        <v>55000</v>
      </c>
      <c r="C436" s="8">
        <v>12</v>
      </c>
      <c r="D436" s="58">
        <v>17330</v>
      </c>
      <c r="E436" s="58">
        <v>72330</v>
      </c>
      <c r="F436" s="58">
        <v>1926</v>
      </c>
      <c r="G436" s="58">
        <v>4584</v>
      </c>
      <c r="H436" s="58">
        <v>1283</v>
      </c>
      <c r="I436" s="58">
        <v>5867</v>
      </c>
      <c r="K436" s="57"/>
      <c r="L436" s="68">
        <v>0.315</v>
      </c>
      <c r="M436" s="62">
        <v>3.5000000000000003E-2</v>
      </c>
    </row>
    <row r="437" spans="1:13" ht="24" thickBot="1">
      <c r="A437" s="20" t="s">
        <v>74</v>
      </c>
      <c r="B437" s="26">
        <v>55000</v>
      </c>
      <c r="C437" s="5">
        <v>14</v>
      </c>
      <c r="D437" s="64">
        <v>20214</v>
      </c>
      <c r="E437" s="64">
        <v>75214</v>
      </c>
      <c r="F437" s="64">
        <v>2246</v>
      </c>
      <c r="G437" s="64">
        <v>3929</v>
      </c>
      <c r="H437" s="64">
        <v>1283</v>
      </c>
      <c r="I437" s="64">
        <v>5212</v>
      </c>
      <c r="K437" s="65"/>
      <c r="L437" s="68">
        <v>0.315</v>
      </c>
      <c r="M437" s="62">
        <v>3.5000000000000003E-2</v>
      </c>
    </row>
    <row r="438" spans="1:13" ht="24" thickTop="1">
      <c r="A438" s="17" t="s">
        <v>74</v>
      </c>
      <c r="B438" s="23">
        <v>55000</v>
      </c>
      <c r="C438" s="11">
        <v>16</v>
      </c>
      <c r="D438" s="31">
        <v>23103</v>
      </c>
      <c r="E438" s="31">
        <v>78103</v>
      </c>
      <c r="F438" s="31">
        <v>2567</v>
      </c>
      <c r="G438" s="31">
        <v>3438</v>
      </c>
      <c r="H438" s="31">
        <v>1283</v>
      </c>
      <c r="I438" s="31">
        <v>4721</v>
      </c>
      <c r="K438" s="11"/>
      <c r="L438" s="68">
        <v>0.315</v>
      </c>
      <c r="M438" s="62">
        <v>3.5000000000000003E-2</v>
      </c>
    </row>
    <row r="439" spans="1:13" ht="23.25">
      <c r="A439" s="18" t="s">
        <v>74</v>
      </c>
      <c r="B439" s="24">
        <v>55000</v>
      </c>
      <c r="C439" s="9">
        <v>18</v>
      </c>
      <c r="D439" s="49">
        <v>25990</v>
      </c>
      <c r="E439" s="49">
        <v>80990</v>
      </c>
      <c r="F439" s="49">
        <v>2888</v>
      </c>
      <c r="G439" s="49">
        <v>3056</v>
      </c>
      <c r="H439" s="49">
        <v>1283</v>
      </c>
      <c r="I439" s="49">
        <v>4339</v>
      </c>
      <c r="K439" s="63"/>
      <c r="L439" s="68">
        <v>0.315</v>
      </c>
      <c r="M439" s="62">
        <v>3.5000000000000003E-2</v>
      </c>
    </row>
    <row r="440" spans="1:13" ht="23.25">
      <c r="A440" s="18" t="s">
        <v>74</v>
      </c>
      <c r="B440" s="24">
        <v>55000</v>
      </c>
      <c r="C440" s="8">
        <v>20</v>
      </c>
      <c r="D440" s="58">
        <v>28889</v>
      </c>
      <c r="E440" s="58">
        <v>83889</v>
      </c>
      <c r="F440" s="58">
        <v>3209</v>
      </c>
      <c r="G440" s="58">
        <v>2750</v>
      </c>
      <c r="H440" s="58">
        <v>1284</v>
      </c>
      <c r="I440" s="58">
        <v>4034</v>
      </c>
      <c r="K440" s="57"/>
      <c r="L440" s="68">
        <v>0.315</v>
      </c>
      <c r="M440" s="62">
        <v>3.5000000000000003E-2</v>
      </c>
    </row>
    <row r="441" spans="1:13" ht="23.25">
      <c r="A441" s="18" t="s">
        <v>74</v>
      </c>
      <c r="B441" s="24">
        <v>55000</v>
      </c>
      <c r="C441" s="10">
        <v>22</v>
      </c>
      <c r="D441" s="50">
        <v>31778</v>
      </c>
      <c r="E441" s="50">
        <v>86778</v>
      </c>
      <c r="F441" s="50">
        <v>3530</v>
      </c>
      <c r="G441" s="50">
        <v>2500</v>
      </c>
      <c r="H441" s="50">
        <v>1284</v>
      </c>
      <c r="I441" s="50">
        <v>3784</v>
      </c>
      <c r="K441" s="59"/>
      <c r="L441" s="68">
        <v>0.315</v>
      </c>
      <c r="M441" s="62">
        <v>3.5000000000000003E-2</v>
      </c>
    </row>
    <row r="442" spans="1:13" ht="23.25">
      <c r="A442" s="18" t="s">
        <v>74</v>
      </c>
      <c r="B442" s="24">
        <v>55000</v>
      </c>
      <c r="C442" s="8">
        <v>24</v>
      </c>
      <c r="D442" s="58">
        <v>34675</v>
      </c>
      <c r="E442" s="58">
        <v>89675</v>
      </c>
      <c r="F442" s="58">
        <v>3851</v>
      </c>
      <c r="G442" s="58">
        <v>2292</v>
      </c>
      <c r="H442" s="58">
        <v>1284</v>
      </c>
      <c r="I442" s="58">
        <v>3576</v>
      </c>
      <c r="K442" s="57"/>
      <c r="L442" s="68">
        <v>0.315</v>
      </c>
      <c r="M442" s="62">
        <v>3.5000000000000003E-2</v>
      </c>
    </row>
    <row r="443" spans="1:13" ht="23.25">
      <c r="A443" s="18" t="s">
        <v>74</v>
      </c>
      <c r="B443" s="24">
        <v>56000</v>
      </c>
      <c r="C443" s="10">
        <v>4</v>
      </c>
      <c r="D443" s="50">
        <v>5882</v>
      </c>
      <c r="E443" s="50">
        <v>61882</v>
      </c>
      <c r="F443" s="50">
        <v>654</v>
      </c>
      <c r="G443" s="50">
        <v>14000</v>
      </c>
      <c r="H443" s="50">
        <v>1307</v>
      </c>
      <c r="I443" s="50">
        <v>15307</v>
      </c>
      <c r="K443" s="59"/>
      <c r="L443" s="68">
        <v>0.315</v>
      </c>
      <c r="M443" s="62">
        <v>3.5000000000000003E-2</v>
      </c>
    </row>
    <row r="444" spans="1:13" ht="23.25">
      <c r="A444" s="18" t="s">
        <v>74</v>
      </c>
      <c r="B444" s="24">
        <v>56000</v>
      </c>
      <c r="C444" s="8">
        <v>6</v>
      </c>
      <c r="D444" s="58">
        <v>8827</v>
      </c>
      <c r="E444" s="58">
        <v>64827</v>
      </c>
      <c r="F444" s="58">
        <v>981</v>
      </c>
      <c r="G444" s="58">
        <v>9334</v>
      </c>
      <c r="H444" s="58">
        <v>1307</v>
      </c>
      <c r="I444" s="58">
        <v>10641</v>
      </c>
      <c r="K444" s="57"/>
      <c r="L444" s="68">
        <v>0.315</v>
      </c>
      <c r="M444" s="62">
        <v>3.5000000000000003E-2</v>
      </c>
    </row>
    <row r="445" spans="1:13" ht="23.25">
      <c r="A445" s="18" t="s">
        <v>74</v>
      </c>
      <c r="B445" s="24">
        <v>56000</v>
      </c>
      <c r="C445" s="10">
        <v>8</v>
      </c>
      <c r="D445" s="50">
        <v>11763</v>
      </c>
      <c r="E445" s="50">
        <v>67763</v>
      </c>
      <c r="F445" s="50">
        <v>1307</v>
      </c>
      <c r="G445" s="50">
        <v>7000</v>
      </c>
      <c r="H445" s="52">
        <v>1307</v>
      </c>
      <c r="I445" s="50">
        <v>8307</v>
      </c>
      <c r="K445" s="59"/>
      <c r="L445" s="68">
        <v>0.315</v>
      </c>
      <c r="M445" s="62">
        <v>3.5000000000000003E-2</v>
      </c>
    </row>
    <row r="446" spans="1:13" ht="23.25">
      <c r="A446" s="18" t="s">
        <v>74</v>
      </c>
      <c r="B446" s="24">
        <v>56000</v>
      </c>
      <c r="C446" s="8">
        <v>10</v>
      </c>
      <c r="D446" s="58">
        <v>14704</v>
      </c>
      <c r="E446" s="58">
        <v>70704</v>
      </c>
      <c r="F446" s="58">
        <v>1634</v>
      </c>
      <c r="G446" s="58">
        <v>5600</v>
      </c>
      <c r="H446" s="58">
        <v>1307</v>
      </c>
      <c r="I446" s="58">
        <v>6907</v>
      </c>
      <c r="K446" s="57"/>
      <c r="L446" s="68">
        <v>0.315</v>
      </c>
      <c r="M446" s="62">
        <v>3.5000000000000003E-2</v>
      </c>
    </row>
    <row r="447" spans="1:13" ht="23.25">
      <c r="A447" s="18" t="s">
        <v>74</v>
      </c>
      <c r="B447" s="24">
        <v>56000</v>
      </c>
      <c r="C447" s="9">
        <v>12</v>
      </c>
      <c r="D447" s="49">
        <v>17649</v>
      </c>
      <c r="E447" s="49">
        <v>73649</v>
      </c>
      <c r="F447" s="49">
        <v>1961</v>
      </c>
      <c r="G447" s="49">
        <v>4667</v>
      </c>
      <c r="H447" s="49">
        <v>1307</v>
      </c>
      <c r="I447" s="49">
        <v>5974</v>
      </c>
      <c r="K447" s="63"/>
      <c r="L447" s="68">
        <v>0.315</v>
      </c>
      <c r="M447" s="62">
        <v>3.5000000000000003E-2</v>
      </c>
    </row>
    <row r="448" spans="1:13" ht="24" thickBot="1">
      <c r="A448" s="19" t="s">
        <v>74</v>
      </c>
      <c r="B448" s="25">
        <v>56000</v>
      </c>
      <c r="C448" s="4">
        <v>14</v>
      </c>
      <c r="D448" s="66">
        <v>20585</v>
      </c>
      <c r="E448" s="66">
        <v>76585</v>
      </c>
      <c r="F448" s="66">
        <v>2287</v>
      </c>
      <c r="G448" s="66">
        <v>4000</v>
      </c>
      <c r="H448" s="58">
        <v>1307</v>
      </c>
      <c r="I448" s="66">
        <v>5307</v>
      </c>
      <c r="K448" s="67"/>
      <c r="L448" s="68">
        <v>0.315</v>
      </c>
      <c r="M448" s="62">
        <v>3.5000000000000003E-2</v>
      </c>
    </row>
    <row r="449" spans="1:13" ht="24" thickTop="1">
      <c r="A449" s="15" t="s">
        <v>74</v>
      </c>
      <c r="B449" s="21">
        <v>56000</v>
      </c>
      <c r="C449" s="6">
        <v>16</v>
      </c>
      <c r="D449" s="37">
        <v>23526</v>
      </c>
      <c r="E449" s="37">
        <v>79526</v>
      </c>
      <c r="F449" s="37">
        <v>2614</v>
      </c>
      <c r="G449" s="37">
        <v>3500</v>
      </c>
      <c r="H449" s="37">
        <v>1307</v>
      </c>
      <c r="I449" s="37">
        <v>4807</v>
      </c>
      <c r="K449" s="6"/>
      <c r="L449" s="68">
        <v>0.315</v>
      </c>
      <c r="M449" s="62">
        <v>3.5000000000000003E-2</v>
      </c>
    </row>
    <row r="450" spans="1:13" ht="23.25">
      <c r="A450" s="16" t="s">
        <v>74</v>
      </c>
      <c r="B450" s="22">
        <v>56000</v>
      </c>
      <c r="C450" s="8">
        <v>18</v>
      </c>
      <c r="D450" s="58">
        <v>26465</v>
      </c>
      <c r="E450" s="58">
        <v>82465</v>
      </c>
      <c r="F450" s="58">
        <v>2941</v>
      </c>
      <c r="G450" s="58">
        <v>3112</v>
      </c>
      <c r="H450" s="58">
        <v>1306</v>
      </c>
      <c r="I450" s="58">
        <v>4418</v>
      </c>
      <c r="K450" s="57"/>
      <c r="L450" s="68">
        <v>0.315</v>
      </c>
      <c r="M450" s="62">
        <v>3.5000000000000003E-2</v>
      </c>
    </row>
    <row r="451" spans="1:13" ht="23.25">
      <c r="A451" s="16" t="s">
        <v>74</v>
      </c>
      <c r="B451" s="22">
        <v>56000</v>
      </c>
      <c r="C451" s="10">
        <v>20</v>
      </c>
      <c r="D451" s="50">
        <v>29407</v>
      </c>
      <c r="E451" s="50">
        <v>85407</v>
      </c>
      <c r="F451" s="50">
        <v>3267</v>
      </c>
      <c r="G451" s="50">
        <v>2800</v>
      </c>
      <c r="H451" s="49">
        <v>1307</v>
      </c>
      <c r="I451" s="50">
        <v>4107</v>
      </c>
      <c r="K451" s="59"/>
      <c r="L451" s="68">
        <v>0.315</v>
      </c>
      <c r="M451" s="62">
        <v>3.5000000000000003E-2</v>
      </c>
    </row>
    <row r="452" spans="1:13" ht="23.25">
      <c r="A452" s="16" t="s">
        <v>74</v>
      </c>
      <c r="B452" s="22">
        <v>56000</v>
      </c>
      <c r="C452" s="8">
        <v>22</v>
      </c>
      <c r="D452" s="58">
        <v>32360</v>
      </c>
      <c r="E452" s="58">
        <v>88360</v>
      </c>
      <c r="F452" s="58">
        <v>3594</v>
      </c>
      <c r="G452" s="58">
        <v>2546</v>
      </c>
      <c r="H452" s="58">
        <v>1307</v>
      </c>
      <c r="I452" s="58">
        <v>3853</v>
      </c>
      <c r="K452" s="57"/>
      <c r="L452" s="68">
        <v>0.315</v>
      </c>
      <c r="M452" s="62">
        <v>3.5000000000000003E-2</v>
      </c>
    </row>
    <row r="453" spans="1:13" ht="23.25">
      <c r="A453" s="16" t="s">
        <v>74</v>
      </c>
      <c r="B453" s="22">
        <v>56000</v>
      </c>
      <c r="C453" s="10">
        <v>24</v>
      </c>
      <c r="D453" s="50">
        <v>35305</v>
      </c>
      <c r="E453" s="50">
        <v>91305</v>
      </c>
      <c r="F453" s="50">
        <v>3921</v>
      </c>
      <c r="G453" s="50">
        <v>2334</v>
      </c>
      <c r="H453" s="50">
        <v>1307</v>
      </c>
      <c r="I453" s="50">
        <v>3641</v>
      </c>
      <c r="K453" s="59"/>
      <c r="L453" s="68">
        <v>0.315</v>
      </c>
      <c r="M453" s="62">
        <v>3.5000000000000003E-2</v>
      </c>
    </row>
    <row r="454" spans="1:13" ht="23.25">
      <c r="A454" s="16" t="s">
        <v>74</v>
      </c>
      <c r="B454" s="22">
        <v>57000</v>
      </c>
      <c r="C454" s="8">
        <v>4</v>
      </c>
      <c r="D454" s="58">
        <v>5990</v>
      </c>
      <c r="E454" s="58">
        <v>62990</v>
      </c>
      <c r="F454" s="58">
        <v>666</v>
      </c>
      <c r="G454" s="58">
        <v>14250</v>
      </c>
      <c r="H454" s="58">
        <v>1331</v>
      </c>
      <c r="I454" s="58">
        <v>15581</v>
      </c>
      <c r="K454" s="57"/>
      <c r="L454" s="68">
        <v>0.315</v>
      </c>
      <c r="M454" s="62">
        <v>3.5000000000000003E-2</v>
      </c>
    </row>
    <row r="455" spans="1:13" ht="23.25">
      <c r="A455" s="16" t="s">
        <v>74</v>
      </c>
      <c r="B455" s="22">
        <v>57000</v>
      </c>
      <c r="C455" s="10">
        <v>6</v>
      </c>
      <c r="D455" s="50">
        <v>8984</v>
      </c>
      <c r="E455" s="50">
        <v>65984</v>
      </c>
      <c r="F455" s="50">
        <v>998</v>
      </c>
      <c r="G455" s="50">
        <v>9500</v>
      </c>
      <c r="H455" s="50">
        <v>1331</v>
      </c>
      <c r="I455" s="50">
        <v>10831</v>
      </c>
      <c r="K455" s="59"/>
      <c r="L455" s="68">
        <v>0.315</v>
      </c>
      <c r="M455" s="62">
        <v>3.5000000000000003E-2</v>
      </c>
    </row>
    <row r="456" spans="1:13" ht="23.25">
      <c r="A456" s="16" t="s">
        <v>74</v>
      </c>
      <c r="B456" s="22">
        <v>57000</v>
      </c>
      <c r="C456" s="8">
        <v>8</v>
      </c>
      <c r="D456" s="58">
        <v>11979</v>
      </c>
      <c r="E456" s="58">
        <v>68979</v>
      </c>
      <c r="F456" s="58">
        <v>1331</v>
      </c>
      <c r="G456" s="58">
        <v>7125</v>
      </c>
      <c r="H456" s="58">
        <v>1331</v>
      </c>
      <c r="I456" s="58">
        <v>8456</v>
      </c>
      <c r="K456" s="57"/>
      <c r="L456" s="68">
        <v>0.315</v>
      </c>
      <c r="M456" s="62">
        <v>3.5000000000000003E-2</v>
      </c>
    </row>
    <row r="457" spans="1:13" ht="23.25">
      <c r="A457" s="16" t="s">
        <v>74</v>
      </c>
      <c r="B457" s="22">
        <v>57000</v>
      </c>
      <c r="C457" s="9">
        <v>10</v>
      </c>
      <c r="D457" s="49">
        <v>14973</v>
      </c>
      <c r="E457" s="49">
        <v>71973</v>
      </c>
      <c r="F457" s="49">
        <v>1663</v>
      </c>
      <c r="G457" s="49">
        <v>5700</v>
      </c>
      <c r="H457" s="52">
        <v>1331</v>
      </c>
      <c r="I457" s="49">
        <v>7031</v>
      </c>
      <c r="K457" s="63"/>
      <c r="L457" s="68">
        <v>0.315</v>
      </c>
      <c r="M457" s="62">
        <v>3.5000000000000003E-2</v>
      </c>
    </row>
    <row r="458" spans="1:13" ht="23.25">
      <c r="A458" s="16" t="s">
        <v>74</v>
      </c>
      <c r="B458" s="22">
        <v>57000</v>
      </c>
      <c r="C458" s="8">
        <v>12</v>
      </c>
      <c r="D458" s="58">
        <v>17968</v>
      </c>
      <c r="E458" s="58">
        <v>74968</v>
      </c>
      <c r="F458" s="58">
        <v>1996</v>
      </c>
      <c r="G458" s="58">
        <v>4750</v>
      </c>
      <c r="H458" s="58">
        <v>1331</v>
      </c>
      <c r="I458" s="58">
        <v>6081</v>
      </c>
      <c r="K458" s="57"/>
      <c r="L458" s="68">
        <v>0.315</v>
      </c>
      <c r="M458" s="62">
        <v>3.5000000000000003E-2</v>
      </c>
    </row>
    <row r="459" spans="1:13" ht="24" thickBot="1">
      <c r="A459" s="20" t="s">
        <v>74</v>
      </c>
      <c r="B459" s="26">
        <v>57000</v>
      </c>
      <c r="C459" s="5">
        <v>14</v>
      </c>
      <c r="D459" s="64">
        <v>20956</v>
      </c>
      <c r="E459" s="64">
        <v>77956</v>
      </c>
      <c r="F459" s="64">
        <v>2328</v>
      </c>
      <c r="G459" s="64">
        <v>4072</v>
      </c>
      <c r="H459" s="49">
        <v>1330</v>
      </c>
      <c r="I459" s="64">
        <v>5402</v>
      </c>
      <c r="K459" s="65"/>
      <c r="L459" s="68">
        <v>0.315</v>
      </c>
      <c r="M459" s="62">
        <v>3.5000000000000003E-2</v>
      </c>
    </row>
    <row r="460" spans="1:13" ht="24" thickTop="1">
      <c r="A460" s="17" t="s">
        <v>74</v>
      </c>
      <c r="B460" s="23">
        <v>57000</v>
      </c>
      <c r="C460" s="11">
        <v>16</v>
      </c>
      <c r="D460" s="31">
        <v>23949</v>
      </c>
      <c r="E460" s="31">
        <v>80949</v>
      </c>
      <c r="F460" s="31">
        <v>2661</v>
      </c>
      <c r="G460" s="31">
        <v>3563</v>
      </c>
      <c r="H460" s="31">
        <v>1330</v>
      </c>
      <c r="I460" s="31">
        <v>4893</v>
      </c>
      <c r="K460" s="11"/>
      <c r="L460" s="68">
        <v>0.315</v>
      </c>
      <c r="M460" s="62">
        <v>3.5000000000000003E-2</v>
      </c>
    </row>
    <row r="461" spans="1:13" ht="23.25">
      <c r="A461" s="18" t="s">
        <v>74</v>
      </c>
      <c r="B461" s="24">
        <v>57000</v>
      </c>
      <c r="C461" s="9">
        <v>18</v>
      </c>
      <c r="D461" s="49">
        <v>26939</v>
      </c>
      <c r="E461" s="49">
        <v>83939</v>
      </c>
      <c r="F461" s="49">
        <v>2993</v>
      </c>
      <c r="G461" s="49">
        <v>3167</v>
      </c>
      <c r="H461" s="49">
        <v>1330</v>
      </c>
      <c r="I461" s="49">
        <v>4497</v>
      </c>
      <c r="K461" s="63"/>
      <c r="L461" s="68">
        <v>0.315</v>
      </c>
      <c r="M461" s="62">
        <v>3.5000000000000003E-2</v>
      </c>
    </row>
    <row r="462" spans="1:13" ht="23.25">
      <c r="A462" s="18" t="s">
        <v>74</v>
      </c>
      <c r="B462" s="24">
        <v>57000</v>
      </c>
      <c r="C462" s="8">
        <v>20</v>
      </c>
      <c r="D462" s="58">
        <v>29946</v>
      </c>
      <c r="E462" s="58">
        <v>86946</v>
      </c>
      <c r="F462" s="58">
        <v>3326</v>
      </c>
      <c r="G462" s="58">
        <v>2850</v>
      </c>
      <c r="H462" s="58">
        <v>1331</v>
      </c>
      <c r="I462" s="58">
        <v>4181</v>
      </c>
      <c r="K462" s="57"/>
      <c r="L462" s="68">
        <v>0.315</v>
      </c>
      <c r="M462" s="62">
        <v>3.5000000000000003E-2</v>
      </c>
    </row>
    <row r="463" spans="1:13" ht="23.25">
      <c r="A463" s="18" t="s">
        <v>74</v>
      </c>
      <c r="B463" s="24">
        <v>57000</v>
      </c>
      <c r="C463" s="10">
        <v>22</v>
      </c>
      <c r="D463" s="50">
        <v>32920</v>
      </c>
      <c r="E463" s="50">
        <v>89920</v>
      </c>
      <c r="F463" s="50">
        <v>3658</v>
      </c>
      <c r="G463" s="50">
        <v>2591</v>
      </c>
      <c r="H463" s="50">
        <v>1330</v>
      </c>
      <c r="I463" s="50">
        <v>3921</v>
      </c>
      <c r="K463" s="59"/>
      <c r="L463" s="68">
        <v>0.315</v>
      </c>
      <c r="M463" s="62">
        <v>3.5000000000000003E-2</v>
      </c>
    </row>
    <row r="464" spans="1:13" ht="23.25">
      <c r="A464" s="18" t="s">
        <v>74</v>
      </c>
      <c r="B464" s="24">
        <v>57000</v>
      </c>
      <c r="C464" s="8">
        <v>24</v>
      </c>
      <c r="D464" s="58">
        <v>35935</v>
      </c>
      <c r="E464" s="58">
        <v>92935</v>
      </c>
      <c r="F464" s="58">
        <v>3991</v>
      </c>
      <c r="G464" s="58">
        <v>2375</v>
      </c>
      <c r="H464" s="58">
        <v>1331</v>
      </c>
      <c r="I464" s="58">
        <v>3706</v>
      </c>
      <c r="K464" s="57"/>
      <c r="L464" s="68">
        <v>0.315</v>
      </c>
      <c r="M464" s="62">
        <v>3.5000000000000003E-2</v>
      </c>
    </row>
    <row r="465" spans="1:13" ht="23.25">
      <c r="A465" s="18" t="s">
        <v>74</v>
      </c>
      <c r="B465" s="24">
        <v>58000</v>
      </c>
      <c r="C465" s="10">
        <v>4</v>
      </c>
      <c r="D465" s="50">
        <v>6093</v>
      </c>
      <c r="E465" s="50">
        <v>64093</v>
      </c>
      <c r="F465" s="50">
        <v>677</v>
      </c>
      <c r="G465" s="50">
        <v>14500</v>
      </c>
      <c r="H465" s="50">
        <v>1354</v>
      </c>
      <c r="I465" s="50">
        <v>15854</v>
      </c>
      <c r="K465" s="59"/>
      <c r="L465" s="68">
        <v>0.315</v>
      </c>
      <c r="M465" s="62">
        <v>3.5000000000000003E-2</v>
      </c>
    </row>
    <row r="466" spans="1:13" ht="23.25">
      <c r="A466" s="18" t="s">
        <v>74</v>
      </c>
      <c r="B466" s="24">
        <v>58000</v>
      </c>
      <c r="C466" s="8">
        <v>6</v>
      </c>
      <c r="D466" s="58">
        <v>9142</v>
      </c>
      <c r="E466" s="58">
        <v>67142</v>
      </c>
      <c r="F466" s="58">
        <v>1016</v>
      </c>
      <c r="G466" s="58">
        <v>9667</v>
      </c>
      <c r="H466" s="58">
        <v>1354</v>
      </c>
      <c r="I466" s="58">
        <v>11021</v>
      </c>
      <c r="K466" s="57"/>
      <c r="L466" s="68">
        <v>0.315</v>
      </c>
      <c r="M466" s="62">
        <v>3.5000000000000003E-2</v>
      </c>
    </row>
    <row r="467" spans="1:13" ht="23.25">
      <c r="A467" s="18" t="s">
        <v>74</v>
      </c>
      <c r="B467" s="24">
        <v>58000</v>
      </c>
      <c r="C467" s="10">
        <v>8</v>
      </c>
      <c r="D467" s="50">
        <v>12186</v>
      </c>
      <c r="E467" s="50">
        <v>70186</v>
      </c>
      <c r="F467" s="50">
        <v>1354</v>
      </c>
      <c r="G467" s="50">
        <v>7250</v>
      </c>
      <c r="H467" s="52">
        <v>1354</v>
      </c>
      <c r="I467" s="50">
        <v>8604</v>
      </c>
      <c r="K467" s="59"/>
      <c r="L467" s="68">
        <v>0.315</v>
      </c>
      <c r="M467" s="62">
        <v>3.5000000000000003E-2</v>
      </c>
    </row>
    <row r="468" spans="1:13" ht="23.25">
      <c r="A468" s="18" t="s">
        <v>74</v>
      </c>
      <c r="B468" s="24">
        <v>58000</v>
      </c>
      <c r="C468" s="8">
        <v>10</v>
      </c>
      <c r="D468" s="58">
        <v>15232</v>
      </c>
      <c r="E468" s="58">
        <v>73232</v>
      </c>
      <c r="F468" s="58">
        <v>1692</v>
      </c>
      <c r="G468" s="58">
        <v>5800</v>
      </c>
      <c r="H468" s="58">
        <v>1354</v>
      </c>
      <c r="I468" s="58">
        <v>7154</v>
      </c>
      <c r="K468" s="57"/>
      <c r="L468" s="68">
        <v>0.315</v>
      </c>
      <c r="M468" s="62">
        <v>3.5000000000000003E-2</v>
      </c>
    </row>
    <row r="469" spans="1:13" ht="23.25">
      <c r="A469" s="18" t="s">
        <v>74</v>
      </c>
      <c r="B469" s="24">
        <v>58000</v>
      </c>
      <c r="C469" s="9">
        <v>12</v>
      </c>
      <c r="D469" s="49">
        <v>18275</v>
      </c>
      <c r="E469" s="49">
        <v>76275</v>
      </c>
      <c r="F469" s="49">
        <v>2031</v>
      </c>
      <c r="G469" s="49">
        <v>4834</v>
      </c>
      <c r="H469" s="49">
        <v>1353</v>
      </c>
      <c r="I469" s="49">
        <v>6187</v>
      </c>
      <c r="K469" s="63"/>
      <c r="L469" s="68">
        <v>0.315</v>
      </c>
      <c r="M469" s="62">
        <v>3.5000000000000003E-2</v>
      </c>
    </row>
    <row r="470" spans="1:13" ht="24" thickBot="1">
      <c r="A470" s="19" t="s">
        <v>74</v>
      </c>
      <c r="B470" s="25">
        <v>58000</v>
      </c>
      <c r="C470" s="4">
        <v>14</v>
      </c>
      <c r="D470" s="66">
        <v>21327</v>
      </c>
      <c r="E470" s="66">
        <v>79327</v>
      </c>
      <c r="F470" s="66">
        <v>2369</v>
      </c>
      <c r="G470" s="66">
        <v>4143</v>
      </c>
      <c r="H470" s="58">
        <v>1354</v>
      </c>
      <c r="I470" s="66">
        <v>5497</v>
      </c>
      <c r="K470" s="67"/>
      <c r="L470" s="68">
        <v>0.315</v>
      </c>
      <c r="M470" s="62">
        <v>3.5000000000000003E-2</v>
      </c>
    </row>
    <row r="471" spans="1:13" ht="24" thickTop="1">
      <c r="A471" s="15" t="s">
        <v>74</v>
      </c>
      <c r="B471" s="21">
        <v>58000</v>
      </c>
      <c r="C471" s="6">
        <v>16</v>
      </c>
      <c r="D471" s="37">
        <v>24371</v>
      </c>
      <c r="E471" s="37">
        <v>82371</v>
      </c>
      <c r="F471" s="37">
        <v>2707</v>
      </c>
      <c r="G471" s="37">
        <v>3625</v>
      </c>
      <c r="H471" s="37">
        <v>1354</v>
      </c>
      <c r="I471" s="37">
        <v>4979</v>
      </c>
      <c r="K471" s="6"/>
      <c r="L471" s="68">
        <v>0.315</v>
      </c>
      <c r="M471" s="62">
        <v>3.5000000000000003E-2</v>
      </c>
    </row>
    <row r="472" spans="1:13" ht="23.25">
      <c r="A472" s="16" t="s">
        <v>74</v>
      </c>
      <c r="B472" s="22">
        <v>58000</v>
      </c>
      <c r="C472" s="8">
        <v>18</v>
      </c>
      <c r="D472" s="58">
        <v>27414</v>
      </c>
      <c r="E472" s="58">
        <v>85414</v>
      </c>
      <c r="F472" s="58">
        <v>3046</v>
      </c>
      <c r="G472" s="58">
        <v>3223</v>
      </c>
      <c r="H472" s="58">
        <v>1353</v>
      </c>
      <c r="I472" s="58">
        <v>4576</v>
      </c>
      <c r="K472" s="57"/>
      <c r="L472" s="68">
        <v>0.315</v>
      </c>
      <c r="M472" s="62">
        <v>3.5000000000000003E-2</v>
      </c>
    </row>
    <row r="473" spans="1:13" ht="23.25">
      <c r="A473" s="16" t="s">
        <v>74</v>
      </c>
      <c r="B473" s="22">
        <v>58000</v>
      </c>
      <c r="C473" s="10">
        <v>20</v>
      </c>
      <c r="D473" s="50">
        <v>30464</v>
      </c>
      <c r="E473" s="50">
        <v>88464</v>
      </c>
      <c r="F473" s="50">
        <v>3384</v>
      </c>
      <c r="G473" s="50">
        <v>2900</v>
      </c>
      <c r="H473" s="49">
        <v>1354</v>
      </c>
      <c r="I473" s="50">
        <v>4254</v>
      </c>
      <c r="K473" s="59"/>
      <c r="L473" s="68">
        <v>0.315</v>
      </c>
      <c r="M473" s="62">
        <v>3.5000000000000003E-2</v>
      </c>
    </row>
    <row r="474" spans="1:13" ht="23.25">
      <c r="A474" s="16" t="s">
        <v>74</v>
      </c>
      <c r="B474" s="22">
        <v>58000</v>
      </c>
      <c r="C474" s="8">
        <v>22</v>
      </c>
      <c r="D474" s="58">
        <v>33502</v>
      </c>
      <c r="E474" s="58">
        <v>91502</v>
      </c>
      <c r="F474" s="58">
        <v>3722</v>
      </c>
      <c r="G474" s="58">
        <v>2637</v>
      </c>
      <c r="H474" s="58">
        <v>1353</v>
      </c>
      <c r="I474" s="58">
        <v>3990</v>
      </c>
      <c r="K474" s="57"/>
      <c r="L474" s="68">
        <v>0.315</v>
      </c>
      <c r="M474" s="62">
        <v>3.5000000000000003E-2</v>
      </c>
    </row>
    <row r="475" spans="1:13" ht="23.25">
      <c r="A475" s="16" t="s">
        <v>74</v>
      </c>
      <c r="B475" s="22">
        <v>58000</v>
      </c>
      <c r="C475" s="10">
        <v>24</v>
      </c>
      <c r="D475" s="50">
        <v>36565</v>
      </c>
      <c r="E475" s="50">
        <v>94565</v>
      </c>
      <c r="F475" s="50">
        <v>4061</v>
      </c>
      <c r="G475" s="50">
        <v>2417</v>
      </c>
      <c r="H475" s="50">
        <v>1354</v>
      </c>
      <c r="I475" s="50">
        <v>3771</v>
      </c>
      <c r="K475" s="59"/>
      <c r="L475" s="68">
        <v>0.315</v>
      </c>
      <c r="M475" s="62">
        <v>3.5000000000000003E-2</v>
      </c>
    </row>
    <row r="476" spans="1:13" ht="23.25">
      <c r="A476" s="16" t="s">
        <v>74</v>
      </c>
      <c r="B476" s="22">
        <v>59000</v>
      </c>
      <c r="C476" s="8">
        <v>4</v>
      </c>
      <c r="D476" s="58">
        <v>6197</v>
      </c>
      <c r="E476" s="58">
        <v>65197</v>
      </c>
      <c r="F476" s="58">
        <v>689</v>
      </c>
      <c r="G476" s="58">
        <v>14750</v>
      </c>
      <c r="H476" s="58">
        <v>1377</v>
      </c>
      <c r="I476" s="58">
        <v>16127</v>
      </c>
      <c r="K476" s="57"/>
      <c r="L476" s="68">
        <v>0.315</v>
      </c>
      <c r="M476" s="62">
        <v>3.5000000000000003E-2</v>
      </c>
    </row>
    <row r="477" spans="1:13" ht="23.25">
      <c r="A477" s="16" t="s">
        <v>74</v>
      </c>
      <c r="B477" s="22">
        <v>59000</v>
      </c>
      <c r="C477" s="10">
        <v>6</v>
      </c>
      <c r="D477" s="50">
        <v>9299</v>
      </c>
      <c r="E477" s="50">
        <v>68299</v>
      </c>
      <c r="F477" s="50">
        <v>1033</v>
      </c>
      <c r="G477" s="50">
        <v>9834</v>
      </c>
      <c r="H477" s="50">
        <v>1377</v>
      </c>
      <c r="I477" s="50">
        <v>11211</v>
      </c>
      <c r="K477" s="59"/>
      <c r="L477" s="68">
        <v>0.315</v>
      </c>
      <c r="M477" s="62">
        <v>3.5000000000000003E-2</v>
      </c>
    </row>
    <row r="478" spans="1:13" ht="23.25">
      <c r="A478" s="16" t="s">
        <v>74</v>
      </c>
      <c r="B478" s="22">
        <v>59000</v>
      </c>
      <c r="C478" s="8">
        <v>8</v>
      </c>
      <c r="D478" s="58">
        <v>12393</v>
      </c>
      <c r="E478" s="58">
        <v>71393</v>
      </c>
      <c r="F478" s="58">
        <v>1377</v>
      </c>
      <c r="G478" s="58">
        <v>7375</v>
      </c>
      <c r="H478" s="58">
        <v>1377</v>
      </c>
      <c r="I478" s="58">
        <v>8752</v>
      </c>
      <c r="K478" s="57"/>
      <c r="L478" s="68">
        <v>0.315</v>
      </c>
      <c r="M478" s="62">
        <v>3.5000000000000003E-2</v>
      </c>
    </row>
    <row r="479" spans="1:13" ht="23.25">
      <c r="A479" s="16" t="s">
        <v>74</v>
      </c>
      <c r="B479" s="22">
        <v>59000</v>
      </c>
      <c r="C479" s="9">
        <v>10</v>
      </c>
      <c r="D479" s="49">
        <v>15491</v>
      </c>
      <c r="E479" s="49">
        <v>74491</v>
      </c>
      <c r="F479" s="49">
        <v>1721</v>
      </c>
      <c r="G479" s="49">
        <v>5900</v>
      </c>
      <c r="H479" s="52">
        <v>1377</v>
      </c>
      <c r="I479" s="49">
        <v>7277</v>
      </c>
      <c r="K479" s="63"/>
      <c r="L479" s="68">
        <v>0.315</v>
      </c>
      <c r="M479" s="62">
        <v>3.5000000000000003E-2</v>
      </c>
    </row>
    <row r="480" spans="1:13" ht="23.25">
      <c r="A480" s="16" t="s">
        <v>74</v>
      </c>
      <c r="B480" s="22">
        <v>59000</v>
      </c>
      <c r="C480" s="8">
        <v>12</v>
      </c>
      <c r="D480" s="58">
        <v>18594</v>
      </c>
      <c r="E480" s="58">
        <v>77594</v>
      </c>
      <c r="F480" s="58">
        <v>2066</v>
      </c>
      <c r="G480" s="58">
        <v>4917</v>
      </c>
      <c r="H480" s="58">
        <v>1377</v>
      </c>
      <c r="I480" s="58">
        <v>6294</v>
      </c>
      <c r="K480" s="57"/>
      <c r="L480" s="68">
        <v>0.315</v>
      </c>
      <c r="M480" s="62">
        <v>3.5000000000000003E-2</v>
      </c>
    </row>
    <row r="481" spans="1:13" ht="24" thickBot="1">
      <c r="A481" s="20" t="s">
        <v>74</v>
      </c>
      <c r="B481" s="26">
        <v>59000</v>
      </c>
      <c r="C481" s="5">
        <v>14</v>
      </c>
      <c r="D481" s="64">
        <v>21684</v>
      </c>
      <c r="E481" s="64">
        <v>80684</v>
      </c>
      <c r="F481" s="64">
        <v>2410</v>
      </c>
      <c r="G481" s="64">
        <v>4215</v>
      </c>
      <c r="H481" s="49">
        <v>1376</v>
      </c>
      <c r="I481" s="64">
        <v>5591</v>
      </c>
      <c r="K481" s="65"/>
      <c r="L481" s="68">
        <v>0.315</v>
      </c>
      <c r="M481" s="62">
        <v>3.5000000000000003E-2</v>
      </c>
    </row>
    <row r="482" spans="1:13" ht="24" thickTop="1">
      <c r="A482" s="17" t="s">
        <v>74</v>
      </c>
      <c r="B482" s="23">
        <v>59000</v>
      </c>
      <c r="C482" s="11">
        <v>16</v>
      </c>
      <c r="D482" s="31">
        <v>24794</v>
      </c>
      <c r="E482" s="31">
        <v>83794</v>
      </c>
      <c r="F482" s="31">
        <v>2754</v>
      </c>
      <c r="G482" s="31">
        <v>3688</v>
      </c>
      <c r="H482" s="31">
        <v>1377</v>
      </c>
      <c r="I482" s="31">
        <v>5065</v>
      </c>
      <c r="K482" s="11"/>
      <c r="L482" s="68">
        <v>0.315</v>
      </c>
      <c r="M482" s="62">
        <v>3.5000000000000003E-2</v>
      </c>
    </row>
    <row r="483" spans="1:13" ht="23.25">
      <c r="A483" s="18" t="s">
        <v>74</v>
      </c>
      <c r="B483" s="24">
        <v>59000</v>
      </c>
      <c r="C483" s="9">
        <v>18</v>
      </c>
      <c r="D483" s="49">
        <v>27888</v>
      </c>
      <c r="E483" s="49">
        <v>86888</v>
      </c>
      <c r="F483" s="49">
        <v>3098</v>
      </c>
      <c r="G483" s="49">
        <v>3278</v>
      </c>
      <c r="H483" s="49">
        <v>1377</v>
      </c>
      <c r="I483" s="49">
        <v>4655</v>
      </c>
      <c r="K483" s="63"/>
      <c r="L483" s="68">
        <v>0.315</v>
      </c>
      <c r="M483" s="62">
        <v>3.5000000000000003E-2</v>
      </c>
    </row>
    <row r="484" spans="1:13" ht="23.25">
      <c r="A484" s="18" t="s">
        <v>74</v>
      </c>
      <c r="B484" s="24">
        <v>59000</v>
      </c>
      <c r="C484" s="8">
        <v>20</v>
      </c>
      <c r="D484" s="58">
        <v>30982</v>
      </c>
      <c r="E484" s="58">
        <v>89982</v>
      </c>
      <c r="F484" s="58">
        <v>3442</v>
      </c>
      <c r="G484" s="58">
        <v>2950</v>
      </c>
      <c r="H484" s="58">
        <v>1377</v>
      </c>
      <c r="I484" s="58">
        <v>4327</v>
      </c>
      <c r="K484" s="57"/>
      <c r="L484" s="68">
        <v>0.315</v>
      </c>
      <c r="M484" s="62">
        <v>3.5000000000000003E-2</v>
      </c>
    </row>
    <row r="485" spans="1:13" ht="23.25">
      <c r="A485" s="18" t="s">
        <v>74</v>
      </c>
      <c r="B485" s="24">
        <v>59000</v>
      </c>
      <c r="C485" s="10">
        <v>22</v>
      </c>
      <c r="D485" s="50">
        <v>34084</v>
      </c>
      <c r="E485" s="50">
        <v>93084</v>
      </c>
      <c r="F485" s="50">
        <v>3786</v>
      </c>
      <c r="G485" s="50">
        <v>2682</v>
      </c>
      <c r="H485" s="50">
        <v>1377</v>
      </c>
      <c r="I485" s="50">
        <v>4059</v>
      </c>
      <c r="K485" s="59"/>
      <c r="L485" s="68">
        <v>0.315</v>
      </c>
      <c r="M485" s="62">
        <v>3.5000000000000003E-2</v>
      </c>
    </row>
    <row r="486" spans="1:13" ht="23.25">
      <c r="A486" s="18" t="s">
        <v>74</v>
      </c>
      <c r="B486" s="24">
        <v>59000</v>
      </c>
      <c r="C486" s="8">
        <v>24</v>
      </c>
      <c r="D486" s="58">
        <v>37195</v>
      </c>
      <c r="E486" s="58">
        <v>96195</v>
      </c>
      <c r="F486" s="58">
        <v>4131</v>
      </c>
      <c r="G486" s="58">
        <v>2459</v>
      </c>
      <c r="H486" s="58">
        <v>1377</v>
      </c>
      <c r="I486" s="58">
        <v>3836</v>
      </c>
      <c r="K486" s="57"/>
      <c r="L486" s="68">
        <v>0.315</v>
      </c>
      <c r="M486" s="62">
        <v>3.5000000000000003E-2</v>
      </c>
    </row>
    <row r="487" spans="1:13" ht="23.25">
      <c r="A487" s="18" t="s">
        <v>74</v>
      </c>
      <c r="B487" s="24">
        <v>60000</v>
      </c>
      <c r="C487" s="10">
        <v>4</v>
      </c>
      <c r="D487" s="50">
        <v>6305</v>
      </c>
      <c r="E487" s="50">
        <v>66305</v>
      </c>
      <c r="F487" s="50">
        <v>701</v>
      </c>
      <c r="G487" s="50">
        <v>15000</v>
      </c>
      <c r="H487" s="50">
        <v>1401</v>
      </c>
      <c r="I487" s="50">
        <v>16401</v>
      </c>
      <c r="K487" s="59"/>
      <c r="L487" s="68">
        <v>0.315</v>
      </c>
      <c r="M487" s="62">
        <v>3.5000000000000003E-2</v>
      </c>
    </row>
    <row r="488" spans="1:13" ht="23.25">
      <c r="A488" s="18" t="s">
        <v>74</v>
      </c>
      <c r="B488" s="24">
        <v>60000</v>
      </c>
      <c r="C488" s="8">
        <v>6</v>
      </c>
      <c r="D488" s="58">
        <v>9457</v>
      </c>
      <c r="E488" s="58">
        <v>69457</v>
      </c>
      <c r="F488" s="58">
        <v>1051</v>
      </c>
      <c r="G488" s="58">
        <v>10000</v>
      </c>
      <c r="H488" s="58">
        <v>1401</v>
      </c>
      <c r="I488" s="58">
        <v>11401</v>
      </c>
      <c r="K488" s="57"/>
      <c r="L488" s="68">
        <v>0.315</v>
      </c>
      <c r="M488" s="62">
        <v>3.5000000000000003E-2</v>
      </c>
    </row>
    <row r="489" spans="1:13" ht="23.25">
      <c r="A489" s="18" t="s">
        <v>74</v>
      </c>
      <c r="B489" s="24">
        <v>60000</v>
      </c>
      <c r="C489" s="10">
        <v>8</v>
      </c>
      <c r="D489" s="50">
        <v>12609</v>
      </c>
      <c r="E489" s="50">
        <v>72609</v>
      </c>
      <c r="F489" s="50">
        <v>1401</v>
      </c>
      <c r="G489" s="50">
        <v>7500</v>
      </c>
      <c r="H489" s="52">
        <v>1401</v>
      </c>
      <c r="I489" s="50">
        <v>8901</v>
      </c>
      <c r="K489" s="59"/>
      <c r="L489" s="68">
        <v>0.315</v>
      </c>
      <c r="M489" s="62">
        <v>3.5000000000000003E-2</v>
      </c>
    </row>
    <row r="490" spans="1:13" ht="23.25">
      <c r="A490" s="18" t="s">
        <v>74</v>
      </c>
      <c r="B490" s="24">
        <v>60000</v>
      </c>
      <c r="C490" s="8">
        <v>10</v>
      </c>
      <c r="D490" s="58">
        <v>15761</v>
      </c>
      <c r="E490" s="58">
        <v>75761</v>
      </c>
      <c r="F490" s="58">
        <v>1751</v>
      </c>
      <c r="G490" s="58">
        <v>6000</v>
      </c>
      <c r="H490" s="58">
        <v>1401</v>
      </c>
      <c r="I490" s="58">
        <v>7401</v>
      </c>
      <c r="K490" s="57"/>
      <c r="L490" s="68">
        <v>0.315</v>
      </c>
      <c r="M490" s="62">
        <v>3.5000000000000003E-2</v>
      </c>
    </row>
    <row r="491" spans="1:13" ht="23.25">
      <c r="A491" s="18" t="s">
        <v>74</v>
      </c>
      <c r="B491" s="24">
        <v>60000</v>
      </c>
      <c r="C491" s="9">
        <v>12</v>
      </c>
      <c r="D491" s="49">
        <v>18913</v>
      </c>
      <c r="E491" s="49">
        <v>78913</v>
      </c>
      <c r="F491" s="49">
        <v>2101</v>
      </c>
      <c r="G491" s="49">
        <v>5000</v>
      </c>
      <c r="H491" s="49">
        <v>1401</v>
      </c>
      <c r="I491" s="49">
        <v>6401</v>
      </c>
      <c r="K491" s="63"/>
      <c r="L491" s="68">
        <v>0.315</v>
      </c>
      <c r="M491" s="62">
        <v>3.5000000000000003E-2</v>
      </c>
    </row>
    <row r="492" spans="1:13" ht="24" thickBot="1">
      <c r="A492" s="19" t="s">
        <v>74</v>
      </c>
      <c r="B492" s="25">
        <v>60000</v>
      </c>
      <c r="C492" s="4">
        <v>14</v>
      </c>
      <c r="D492" s="66">
        <v>22055</v>
      </c>
      <c r="E492" s="66">
        <v>82055</v>
      </c>
      <c r="F492" s="66">
        <v>2451</v>
      </c>
      <c r="G492" s="66">
        <v>4286</v>
      </c>
      <c r="H492" s="58">
        <v>1400</v>
      </c>
      <c r="I492" s="66">
        <v>5686</v>
      </c>
      <c r="K492" s="67"/>
      <c r="L492" s="68">
        <v>0.315</v>
      </c>
      <c r="M492" s="62">
        <v>3.5000000000000003E-2</v>
      </c>
    </row>
    <row r="493" spans="1:13" ht="24" thickTop="1">
      <c r="A493" s="15" t="s">
        <v>74</v>
      </c>
      <c r="B493" s="21">
        <v>60000</v>
      </c>
      <c r="C493" s="6">
        <v>16</v>
      </c>
      <c r="D493" s="37">
        <v>25217</v>
      </c>
      <c r="E493" s="37">
        <v>85217</v>
      </c>
      <c r="F493" s="37">
        <v>2801</v>
      </c>
      <c r="G493" s="37">
        <v>3750</v>
      </c>
      <c r="H493" s="37">
        <v>1401</v>
      </c>
      <c r="I493" s="37">
        <v>5151</v>
      </c>
      <c r="K493" s="6"/>
      <c r="L493" s="68">
        <v>0.315</v>
      </c>
      <c r="M493" s="62">
        <v>3.5000000000000003E-2</v>
      </c>
    </row>
    <row r="494" spans="1:13" ht="23.25">
      <c r="A494" s="16" t="s">
        <v>74</v>
      </c>
      <c r="B494" s="22">
        <v>60000</v>
      </c>
      <c r="C494" s="8">
        <v>18</v>
      </c>
      <c r="D494" s="58">
        <v>28363</v>
      </c>
      <c r="E494" s="58">
        <v>88363</v>
      </c>
      <c r="F494" s="58">
        <v>3151</v>
      </c>
      <c r="G494" s="58">
        <v>3334</v>
      </c>
      <c r="H494" s="58">
        <v>1400</v>
      </c>
      <c r="I494" s="58">
        <v>4734</v>
      </c>
      <c r="K494" s="57"/>
      <c r="L494" s="68">
        <v>0.315</v>
      </c>
      <c r="M494" s="62">
        <v>3.5000000000000003E-2</v>
      </c>
    </row>
    <row r="495" spans="1:13" ht="23.25">
      <c r="A495" s="16" t="s">
        <v>74</v>
      </c>
      <c r="B495" s="22">
        <v>60000</v>
      </c>
      <c r="C495" s="10">
        <v>20</v>
      </c>
      <c r="D495" s="50">
        <v>31521</v>
      </c>
      <c r="E495" s="50">
        <v>91521</v>
      </c>
      <c r="F495" s="50">
        <v>3501</v>
      </c>
      <c r="G495" s="50">
        <v>3000</v>
      </c>
      <c r="H495" s="49">
        <v>1401</v>
      </c>
      <c r="I495" s="50">
        <v>4401</v>
      </c>
      <c r="K495" s="59"/>
      <c r="L495" s="68">
        <v>0.315</v>
      </c>
      <c r="M495" s="62">
        <v>3.5000000000000003E-2</v>
      </c>
    </row>
    <row r="496" spans="1:13" ht="23.25">
      <c r="A496" s="16" t="s">
        <v>74</v>
      </c>
      <c r="B496" s="22">
        <v>60000</v>
      </c>
      <c r="C496" s="8">
        <v>22</v>
      </c>
      <c r="D496" s="58">
        <v>34667</v>
      </c>
      <c r="E496" s="58">
        <v>94667</v>
      </c>
      <c r="F496" s="58">
        <v>3851</v>
      </c>
      <c r="G496" s="58">
        <v>2728</v>
      </c>
      <c r="H496" s="58">
        <v>1400</v>
      </c>
      <c r="I496" s="58">
        <v>4128</v>
      </c>
      <c r="K496" s="57"/>
      <c r="L496" s="68">
        <v>0.315</v>
      </c>
      <c r="M496" s="62">
        <v>3.5000000000000003E-2</v>
      </c>
    </row>
    <row r="497" spans="1:13" ht="23.25">
      <c r="A497" s="16" t="s">
        <v>74</v>
      </c>
      <c r="B497" s="22">
        <v>60000</v>
      </c>
      <c r="C497" s="10">
        <v>24</v>
      </c>
      <c r="D497" s="50">
        <v>37825</v>
      </c>
      <c r="E497" s="50">
        <v>97825</v>
      </c>
      <c r="F497" s="50">
        <v>4201</v>
      </c>
      <c r="G497" s="50">
        <v>2500</v>
      </c>
      <c r="H497" s="50">
        <v>1401</v>
      </c>
      <c r="I497" s="50">
        <v>3901</v>
      </c>
      <c r="K497" s="59"/>
      <c r="L497" s="68">
        <v>0.315</v>
      </c>
      <c r="M497" s="62">
        <v>3.5000000000000003E-2</v>
      </c>
    </row>
    <row r="498" spans="1:13" ht="23.25">
      <c r="A498" s="16" t="s">
        <v>74</v>
      </c>
      <c r="B498" s="22">
        <v>61000</v>
      </c>
      <c r="C498" s="8">
        <v>4</v>
      </c>
      <c r="D498" s="58">
        <v>6408</v>
      </c>
      <c r="E498" s="58">
        <v>67408</v>
      </c>
      <c r="F498" s="58">
        <v>712</v>
      </c>
      <c r="G498" s="58">
        <v>15250</v>
      </c>
      <c r="H498" s="58">
        <v>1424</v>
      </c>
      <c r="I498" s="58">
        <v>16674</v>
      </c>
      <c r="K498" s="57"/>
      <c r="L498" s="68">
        <v>0.315</v>
      </c>
      <c r="M498" s="62">
        <v>3.5000000000000003E-2</v>
      </c>
    </row>
    <row r="499" spans="1:13" ht="23.25">
      <c r="A499" s="16" t="s">
        <v>74</v>
      </c>
      <c r="B499" s="22">
        <v>61000</v>
      </c>
      <c r="C499" s="10">
        <v>6</v>
      </c>
      <c r="D499" s="50">
        <v>9614</v>
      </c>
      <c r="E499" s="50">
        <v>70614</v>
      </c>
      <c r="F499" s="50">
        <v>1068</v>
      </c>
      <c r="G499" s="50">
        <v>10167</v>
      </c>
      <c r="H499" s="50">
        <v>1424</v>
      </c>
      <c r="I499" s="50">
        <v>11591</v>
      </c>
      <c r="K499" s="59"/>
      <c r="L499" s="68">
        <v>0.315</v>
      </c>
      <c r="M499" s="62">
        <v>3.5000000000000003E-2</v>
      </c>
    </row>
    <row r="500" spans="1:13" ht="23.25">
      <c r="A500" s="16" t="s">
        <v>74</v>
      </c>
      <c r="B500" s="22">
        <v>61000</v>
      </c>
      <c r="C500" s="8">
        <v>8</v>
      </c>
      <c r="D500" s="58">
        <v>12816</v>
      </c>
      <c r="E500" s="58">
        <v>73816</v>
      </c>
      <c r="F500" s="58">
        <v>1424</v>
      </c>
      <c r="G500" s="58">
        <v>7625</v>
      </c>
      <c r="H500" s="58">
        <v>1424</v>
      </c>
      <c r="I500" s="58">
        <v>9049</v>
      </c>
      <c r="K500" s="57"/>
      <c r="L500" s="68">
        <v>0.315</v>
      </c>
      <c r="M500" s="62">
        <v>3.5000000000000003E-2</v>
      </c>
    </row>
    <row r="501" spans="1:13" ht="23.25">
      <c r="A501" s="16" t="s">
        <v>74</v>
      </c>
      <c r="B501" s="22">
        <v>61000</v>
      </c>
      <c r="C501" s="9">
        <v>10</v>
      </c>
      <c r="D501" s="49">
        <v>16020</v>
      </c>
      <c r="E501" s="49">
        <v>77020</v>
      </c>
      <c r="F501" s="49">
        <v>1780</v>
      </c>
      <c r="G501" s="49">
        <v>6100</v>
      </c>
      <c r="H501" s="52">
        <v>1424</v>
      </c>
      <c r="I501" s="49">
        <v>7524</v>
      </c>
      <c r="K501" s="63"/>
      <c r="L501" s="68">
        <v>0.315</v>
      </c>
      <c r="M501" s="62">
        <v>3.5000000000000003E-2</v>
      </c>
    </row>
    <row r="502" spans="1:13" ht="23.25">
      <c r="A502" s="16" t="s">
        <v>74</v>
      </c>
      <c r="B502" s="22">
        <v>61000</v>
      </c>
      <c r="C502" s="8">
        <v>12</v>
      </c>
      <c r="D502" s="58">
        <v>19220</v>
      </c>
      <c r="E502" s="58">
        <v>80220</v>
      </c>
      <c r="F502" s="58">
        <v>2136</v>
      </c>
      <c r="G502" s="58">
        <v>5084</v>
      </c>
      <c r="H502" s="58">
        <v>1423</v>
      </c>
      <c r="I502" s="58">
        <v>6507</v>
      </c>
      <c r="K502" s="57"/>
      <c r="L502" s="68">
        <v>0.315</v>
      </c>
      <c r="M502" s="62">
        <v>3.5000000000000003E-2</v>
      </c>
    </row>
    <row r="503" spans="1:13" ht="24" thickBot="1">
      <c r="A503" s="20" t="s">
        <v>74</v>
      </c>
      <c r="B503" s="26">
        <v>61000</v>
      </c>
      <c r="C503" s="5">
        <v>14</v>
      </c>
      <c r="D503" s="64">
        <v>22425</v>
      </c>
      <c r="E503" s="64">
        <v>83425</v>
      </c>
      <c r="F503" s="64">
        <v>2491</v>
      </c>
      <c r="G503" s="64">
        <v>4358</v>
      </c>
      <c r="H503" s="49">
        <v>1423</v>
      </c>
      <c r="I503" s="64">
        <v>5781</v>
      </c>
      <c r="K503" s="65"/>
      <c r="L503" s="68">
        <v>0.315</v>
      </c>
      <c r="M503" s="62">
        <v>3.5000000000000003E-2</v>
      </c>
    </row>
    <row r="504" spans="1:13" ht="24" thickTop="1">
      <c r="A504" s="17" t="s">
        <v>74</v>
      </c>
      <c r="B504" s="23">
        <v>61000</v>
      </c>
      <c r="C504" s="11">
        <v>16</v>
      </c>
      <c r="D504" s="31">
        <v>25623</v>
      </c>
      <c r="E504" s="31">
        <v>86623</v>
      </c>
      <c r="F504" s="31">
        <v>2847</v>
      </c>
      <c r="G504" s="31">
        <v>3813</v>
      </c>
      <c r="H504" s="31">
        <v>1423</v>
      </c>
      <c r="I504" s="31">
        <v>5236</v>
      </c>
      <c r="K504" s="11"/>
      <c r="L504" s="68">
        <v>0.315</v>
      </c>
      <c r="M504" s="62">
        <v>3.5000000000000003E-2</v>
      </c>
    </row>
    <row r="505" spans="1:13" ht="23.25">
      <c r="A505" s="18" t="s">
        <v>74</v>
      </c>
      <c r="B505" s="24">
        <v>61000</v>
      </c>
      <c r="C505" s="9">
        <v>18</v>
      </c>
      <c r="D505" s="49">
        <v>28837</v>
      </c>
      <c r="E505" s="49">
        <v>89837</v>
      </c>
      <c r="F505" s="49">
        <v>3203</v>
      </c>
      <c r="G505" s="49">
        <v>3389</v>
      </c>
      <c r="H505" s="49">
        <v>1424</v>
      </c>
      <c r="I505" s="49">
        <v>4813</v>
      </c>
      <c r="K505" s="63"/>
      <c r="L505" s="68">
        <v>0.315</v>
      </c>
      <c r="M505" s="62">
        <v>3.5000000000000003E-2</v>
      </c>
    </row>
    <row r="506" spans="1:13" ht="23.25">
      <c r="A506" s="18" t="s">
        <v>74</v>
      </c>
      <c r="B506" s="24">
        <v>61000</v>
      </c>
      <c r="C506" s="8">
        <v>20</v>
      </c>
      <c r="D506" s="58">
        <v>32039</v>
      </c>
      <c r="E506" s="58">
        <v>93039</v>
      </c>
      <c r="F506" s="58">
        <v>3559</v>
      </c>
      <c r="G506" s="58">
        <v>3050</v>
      </c>
      <c r="H506" s="58">
        <v>1424</v>
      </c>
      <c r="I506" s="58">
        <v>4474</v>
      </c>
      <c r="K506" s="57"/>
      <c r="L506" s="68">
        <v>0.315</v>
      </c>
      <c r="M506" s="62">
        <v>3.5000000000000003E-2</v>
      </c>
    </row>
    <row r="507" spans="1:13" ht="23.25">
      <c r="A507" s="18" t="s">
        <v>74</v>
      </c>
      <c r="B507" s="24">
        <v>61000</v>
      </c>
      <c r="C507" s="10">
        <v>22</v>
      </c>
      <c r="D507" s="50">
        <v>35249</v>
      </c>
      <c r="E507" s="50">
        <v>96249</v>
      </c>
      <c r="F507" s="50">
        <v>3915</v>
      </c>
      <c r="G507" s="50">
        <v>2773</v>
      </c>
      <c r="H507" s="50">
        <v>1424</v>
      </c>
      <c r="I507" s="50">
        <v>4197</v>
      </c>
      <c r="K507" s="59"/>
      <c r="L507" s="68">
        <v>0.315</v>
      </c>
      <c r="M507" s="62">
        <v>3.5000000000000003E-2</v>
      </c>
    </row>
    <row r="508" spans="1:13" ht="23.25">
      <c r="A508" s="18" t="s">
        <v>74</v>
      </c>
      <c r="B508" s="24">
        <v>61000</v>
      </c>
      <c r="C508" s="8">
        <v>24</v>
      </c>
      <c r="D508" s="58">
        <v>38455</v>
      </c>
      <c r="E508" s="58">
        <v>99455</v>
      </c>
      <c r="F508" s="58">
        <v>4271</v>
      </c>
      <c r="G508" s="58">
        <v>2542</v>
      </c>
      <c r="H508" s="58">
        <v>1424</v>
      </c>
      <c r="I508" s="58">
        <v>3966</v>
      </c>
      <c r="K508" s="57"/>
      <c r="L508" s="68">
        <v>0.315</v>
      </c>
      <c r="M508" s="62">
        <v>3.5000000000000003E-2</v>
      </c>
    </row>
    <row r="509" spans="1:13" ht="23.25">
      <c r="A509" s="18" t="s">
        <v>74</v>
      </c>
      <c r="B509" s="24">
        <v>62000</v>
      </c>
      <c r="C509" s="10">
        <v>4</v>
      </c>
      <c r="D509" s="50">
        <v>6512</v>
      </c>
      <c r="E509" s="50">
        <v>68512</v>
      </c>
      <c r="F509" s="50">
        <v>724</v>
      </c>
      <c r="G509" s="50">
        <v>15500</v>
      </c>
      <c r="H509" s="50">
        <v>1447</v>
      </c>
      <c r="I509" s="50">
        <v>16947</v>
      </c>
      <c r="K509" s="59"/>
      <c r="L509" s="68">
        <v>0.315</v>
      </c>
      <c r="M509" s="62">
        <v>3.5000000000000003E-2</v>
      </c>
    </row>
    <row r="510" spans="1:13" ht="23.25">
      <c r="A510" s="18" t="s">
        <v>74</v>
      </c>
      <c r="B510" s="24">
        <v>62000</v>
      </c>
      <c r="C510" s="8">
        <v>6</v>
      </c>
      <c r="D510" s="58">
        <v>9772</v>
      </c>
      <c r="E510" s="58">
        <v>71772</v>
      </c>
      <c r="F510" s="58">
        <v>1086</v>
      </c>
      <c r="G510" s="58">
        <v>10334</v>
      </c>
      <c r="H510" s="58">
        <v>1447</v>
      </c>
      <c r="I510" s="58">
        <v>11781</v>
      </c>
      <c r="K510" s="57"/>
      <c r="L510" s="68">
        <v>0.315</v>
      </c>
      <c r="M510" s="62">
        <v>3.5000000000000003E-2</v>
      </c>
    </row>
    <row r="511" spans="1:13" ht="23.25">
      <c r="A511" s="18" t="s">
        <v>74</v>
      </c>
      <c r="B511" s="24">
        <v>62000</v>
      </c>
      <c r="C511" s="10">
        <v>8</v>
      </c>
      <c r="D511" s="50">
        <v>13023</v>
      </c>
      <c r="E511" s="50">
        <v>75023</v>
      </c>
      <c r="F511" s="50">
        <v>1447</v>
      </c>
      <c r="G511" s="52">
        <v>7750</v>
      </c>
      <c r="H511" s="52">
        <v>1447</v>
      </c>
      <c r="I511" s="50">
        <v>9197</v>
      </c>
      <c r="K511" s="59"/>
      <c r="L511" s="68">
        <v>0.315</v>
      </c>
      <c r="M511" s="62">
        <v>3.5000000000000003E-2</v>
      </c>
    </row>
    <row r="512" spans="1:13" ht="23.25">
      <c r="A512" s="18" t="s">
        <v>74</v>
      </c>
      <c r="B512" s="24">
        <v>62000</v>
      </c>
      <c r="C512" s="8">
        <v>10</v>
      </c>
      <c r="D512" s="58">
        <v>16279</v>
      </c>
      <c r="E512" s="58">
        <v>78279</v>
      </c>
      <c r="F512" s="58">
        <v>1809</v>
      </c>
      <c r="G512" s="58">
        <v>6200</v>
      </c>
      <c r="H512" s="58">
        <v>1447</v>
      </c>
      <c r="I512" s="58">
        <v>7647</v>
      </c>
      <c r="K512" s="57"/>
      <c r="L512" s="68">
        <v>0.315</v>
      </c>
      <c r="M512" s="62">
        <v>3.5000000000000003E-2</v>
      </c>
    </row>
    <row r="513" spans="1:13" ht="23.25">
      <c r="A513" s="18" t="s">
        <v>74</v>
      </c>
      <c r="B513" s="24">
        <v>62000</v>
      </c>
      <c r="C513" s="9">
        <v>12</v>
      </c>
      <c r="D513" s="49">
        <v>19539</v>
      </c>
      <c r="E513" s="49">
        <v>81539</v>
      </c>
      <c r="F513" s="49">
        <v>2171</v>
      </c>
      <c r="G513" s="49">
        <v>5167</v>
      </c>
      <c r="H513" s="49">
        <v>1447</v>
      </c>
      <c r="I513" s="49">
        <v>6614</v>
      </c>
      <c r="K513" s="63"/>
      <c r="L513" s="68">
        <v>0.315</v>
      </c>
      <c r="M513" s="62">
        <v>3.5000000000000003E-2</v>
      </c>
    </row>
    <row r="514" spans="1:13" ht="24" thickBot="1">
      <c r="A514" s="19" t="s">
        <v>74</v>
      </c>
      <c r="B514" s="25">
        <v>62000</v>
      </c>
      <c r="C514" s="4">
        <v>14</v>
      </c>
      <c r="D514" s="66">
        <v>22796</v>
      </c>
      <c r="E514" s="66">
        <v>84796</v>
      </c>
      <c r="F514" s="66">
        <v>2532</v>
      </c>
      <c r="G514" s="58">
        <v>4429</v>
      </c>
      <c r="H514" s="58">
        <v>1447</v>
      </c>
      <c r="I514" s="66">
        <v>5876</v>
      </c>
      <c r="K514" s="67"/>
      <c r="L514" s="68">
        <v>0.315</v>
      </c>
      <c r="M514" s="62">
        <v>3.5000000000000003E-2</v>
      </c>
    </row>
    <row r="515" spans="1:13" ht="24" thickTop="1">
      <c r="A515" s="15" t="s">
        <v>74</v>
      </c>
      <c r="B515" s="21">
        <v>62000</v>
      </c>
      <c r="C515" s="6">
        <v>16</v>
      </c>
      <c r="D515" s="37">
        <v>26046</v>
      </c>
      <c r="E515" s="37">
        <v>88046</v>
      </c>
      <c r="F515" s="37">
        <v>2894</v>
      </c>
      <c r="G515" s="37">
        <v>3875</v>
      </c>
      <c r="H515" s="37">
        <v>1447</v>
      </c>
      <c r="I515" s="37">
        <v>5322</v>
      </c>
      <c r="K515" s="6"/>
      <c r="L515" s="68">
        <v>0.315</v>
      </c>
      <c r="M515" s="62">
        <v>3.5000000000000003E-2</v>
      </c>
    </row>
    <row r="516" spans="1:13" ht="23.25">
      <c r="A516" s="16" t="s">
        <v>74</v>
      </c>
      <c r="B516" s="22">
        <v>62000</v>
      </c>
      <c r="C516" s="8">
        <v>18</v>
      </c>
      <c r="D516" s="58">
        <v>29312</v>
      </c>
      <c r="E516" s="58">
        <v>91312</v>
      </c>
      <c r="F516" s="58">
        <v>3256</v>
      </c>
      <c r="G516" s="58">
        <v>3445</v>
      </c>
      <c r="H516" s="58">
        <v>1447</v>
      </c>
      <c r="I516" s="58">
        <v>4892</v>
      </c>
      <c r="K516" s="57"/>
      <c r="L516" s="68">
        <v>0.315</v>
      </c>
      <c r="M516" s="62">
        <v>3.5000000000000003E-2</v>
      </c>
    </row>
    <row r="517" spans="1:13" ht="23.25">
      <c r="A517" s="16" t="s">
        <v>74</v>
      </c>
      <c r="B517" s="22">
        <v>62000</v>
      </c>
      <c r="C517" s="10">
        <v>20</v>
      </c>
      <c r="D517" s="50">
        <v>32557</v>
      </c>
      <c r="E517" s="50">
        <v>94557</v>
      </c>
      <c r="F517" s="50">
        <v>3617</v>
      </c>
      <c r="G517" s="50">
        <v>3100</v>
      </c>
      <c r="H517" s="49">
        <v>1447</v>
      </c>
      <c r="I517" s="50">
        <v>4547</v>
      </c>
      <c r="K517" s="59"/>
      <c r="L517" s="68">
        <v>0.315</v>
      </c>
      <c r="M517" s="62">
        <v>3.5000000000000003E-2</v>
      </c>
    </row>
    <row r="518" spans="1:13" ht="23.25">
      <c r="A518" s="16" t="s">
        <v>74</v>
      </c>
      <c r="B518" s="22">
        <v>62000</v>
      </c>
      <c r="C518" s="8">
        <v>22</v>
      </c>
      <c r="D518" s="58">
        <v>35809</v>
      </c>
      <c r="E518" s="58">
        <v>97809</v>
      </c>
      <c r="F518" s="58">
        <v>3979</v>
      </c>
      <c r="G518" s="58">
        <v>2819</v>
      </c>
      <c r="H518" s="58">
        <v>1446</v>
      </c>
      <c r="I518" s="58">
        <v>4265</v>
      </c>
      <c r="K518" s="57"/>
      <c r="L518" s="68">
        <v>0.315</v>
      </c>
      <c r="M518" s="62">
        <v>3.5000000000000003E-2</v>
      </c>
    </row>
    <row r="519" spans="1:13" ht="23.25">
      <c r="A519" s="16" t="s">
        <v>74</v>
      </c>
      <c r="B519" s="22">
        <v>62000</v>
      </c>
      <c r="C519" s="10">
        <v>24</v>
      </c>
      <c r="D519" s="50">
        <v>39085</v>
      </c>
      <c r="E519" s="50">
        <v>101085</v>
      </c>
      <c r="F519" s="50">
        <v>4341</v>
      </c>
      <c r="G519" s="50">
        <v>2584</v>
      </c>
      <c r="H519" s="50">
        <v>1447</v>
      </c>
      <c r="I519" s="50">
        <v>4031</v>
      </c>
      <c r="K519" s="59"/>
      <c r="L519" s="68">
        <v>0.315</v>
      </c>
      <c r="M519" s="62">
        <v>3.5000000000000003E-2</v>
      </c>
    </row>
    <row r="520" spans="1:13" ht="23.25">
      <c r="A520" s="16" t="s">
        <v>74</v>
      </c>
      <c r="B520" s="22">
        <v>63000</v>
      </c>
      <c r="C520" s="8">
        <v>4</v>
      </c>
      <c r="D520" s="58">
        <v>6620</v>
      </c>
      <c r="E520" s="58">
        <v>69620</v>
      </c>
      <c r="F520" s="58">
        <v>736</v>
      </c>
      <c r="G520" s="58">
        <v>15750</v>
      </c>
      <c r="H520" s="58">
        <v>1471</v>
      </c>
      <c r="I520" s="58">
        <v>17221</v>
      </c>
      <c r="K520" s="57"/>
      <c r="L520" s="68">
        <v>0.315</v>
      </c>
      <c r="M520" s="62">
        <v>3.5000000000000003E-2</v>
      </c>
    </row>
    <row r="521" spans="1:13" ht="23.25">
      <c r="A521" s="16" t="s">
        <v>74</v>
      </c>
      <c r="B521" s="22">
        <v>63000</v>
      </c>
      <c r="C521" s="10">
        <v>6</v>
      </c>
      <c r="D521" s="50">
        <v>9929</v>
      </c>
      <c r="E521" s="50">
        <v>72929</v>
      </c>
      <c r="F521" s="50">
        <v>1103</v>
      </c>
      <c r="G521" s="50">
        <v>10500</v>
      </c>
      <c r="H521" s="50">
        <v>1471</v>
      </c>
      <c r="I521" s="50">
        <v>11971</v>
      </c>
      <c r="K521" s="59"/>
      <c r="L521" s="68">
        <v>0.315</v>
      </c>
      <c r="M521" s="62">
        <v>3.5000000000000003E-2</v>
      </c>
    </row>
    <row r="522" spans="1:13" ht="23.25">
      <c r="A522" s="16" t="s">
        <v>74</v>
      </c>
      <c r="B522" s="22">
        <v>63000</v>
      </c>
      <c r="C522" s="8">
        <v>8</v>
      </c>
      <c r="D522" s="58">
        <v>13239</v>
      </c>
      <c r="E522" s="58">
        <v>76239</v>
      </c>
      <c r="F522" s="58">
        <v>1471</v>
      </c>
      <c r="G522" s="58">
        <v>7875</v>
      </c>
      <c r="H522" s="58">
        <v>1471</v>
      </c>
      <c r="I522" s="58">
        <v>9346</v>
      </c>
      <c r="K522" s="57"/>
      <c r="L522" s="68">
        <v>0.315</v>
      </c>
      <c r="M522" s="62">
        <v>3.5000000000000003E-2</v>
      </c>
    </row>
    <row r="523" spans="1:13" ht="23.25">
      <c r="A523" s="16" t="s">
        <v>74</v>
      </c>
      <c r="B523" s="22">
        <v>63000</v>
      </c>
      <c r="C523" s="9">
        <v>10</v>
      </c>
      <c r="D523" s="49">
        <v>16548</v>
      </c>
      <c r="E523" s="49">
        <v>79548</v>
      </c>
      <c r="F523" s="49">
        <v>1838</v>
      </c>
      <c r="G523" s="49">
        <v>6300</v>
      </c>
      <c r="H523" s="52">
        <v>1471</v>
      </c>
      <c r="I523" s="49">
        <v>7771</v>
      </c>
      <c r="K523" s="63"/>
      <c r="L523" s="68">
        <v>0.315</v>
      </c>
      <c r="M523" s="62">
        <v>3.5000000000000003E-2</v>
      </c>
    </row>
    <row r="524" spans="1:13" ht="23.25">
      <c r="A524" s="16" t="s">
        <v>74</v>
      </c>
      <c r="B524" s="22">
        <v>63000</v>
      </c>
      <c r="C524" s="8">
        <v>12</v>
      </c>
      <c r="D524" s="58">
        <v>19858</v>
      </c>
      <c r="E524" s="58">
        <v>82858</v>
      </c>
      <c r="F524" s="58">
        <v>2206</v>
      </c>
      <c r="G524" s="58">
        <v>5250</v>
      </c>
      <c r="H524" s="58">
        <v>1471</v>
      </c>
      <c r="I524" s="58">
        <v>6721</v>
      </c>
      <c r="K524" s="57"/>
      <c r="L524" s="68">
        <v>0.315</v>
      </c>
      <c r="M524" s="62">
        <v>3.5000000000000003E-2</v>
      </c>
    </row>
    <row r="525" spans="1:13" ht="24" thickBot="1">
      <c r="A525" s="20" t="s">
        <v>74</v>
      </c>
      <c r="B525" s="26">
        <v>63000</v>
      </c>
      <c r="C525" s="5">
        <v>14</v>
      </c>
      <c r="D525" s="64">
        <v>23167</v>
      </c>
      <c r="E525" s="64">
        <v>86167</v>
      </c>
      <c r="F525" s="64">
        <v>2573</v>
      </c>
      <c r="G525" s="64">
        <v>4500</v>
      </c>
      <c r="H525" s="49">
        <v>1471</v>
      </c>
      <c r="I525" s="64">
        <v>5971</v>
      </c>
      <c r="K525" s="65"/>
      <c r="L525" s="68">
        <v>0.315</v>
      </c>
      <c r="M525" s="62">
        <v>3.5000000000000003E-2</v>
      </c>
    </row>
    <row r="526" spans="1:13" ht="24" thickTop="1">
      <c r="A526" s="17" t="s">
        <v>74</v>
      </c>
      <c r="B526" s="23">
        <v>63000</v>
      </c>
      <c r="C526" s="11">
        <v>16</v>
      </c>
      <c r="D526" s="31">
        <v>26469</v>
      </c>
      <c r="E526" s="31">
        <v>89469</v>
      </c>
      <c r="F526" s="31">
        <v>2941</v>
      </c>
      <c r="G526" s="31">
        <v>3938</v>
      </c>
      <c r="H526" s="31">
        <v>1470</v>
      </c>
      <c r="I526" s="31">
        <v>5408</v>
      </c>
      <c r="K526" s="11"/>
      <c r="L526" s="68">
        <v>0.315</v>
      </c>
      <c r="M526" s="62">
        <v>3.5000000000000003E-2</v>
      </c>
    </row>
    <row r="527" spans="1:13" ht="23.25">
      <c r="A527" s="18" t="s">
        <v>74</v>
      </c>
      <c r="B527" s="24">
        <v>63000</v>
      </c>
      <c r="C527" s="9">
        <v>18</v>
      </c>
      <c r="D527" s="49">
        <v>29786</v>
      </c>
      <c r="E527" s="49">
        <v>92786</v>
      </c>
      <c r="F527" s="49">
        <v>3308</v>
      </c>
      <c r="G527" s="49">
        <v>3500</v>
      </c>
      <c r="H527" s="49">
        <v>1471</v>
      </c>
      <c r="I527" s="49">
        <v>4971</v>
      </c>
      <c r="K527" s="63"/>
      <c r="L527" s="68">
        <v>0.315</v>
      </c>
      <c r="M527" s="62">
        <v>3.5000000000000003E-2</v>
      </c>
    </row>
    <row r="528" spans="1:13" ht="23.25">
      <c r="A528" s="18" t="s">
        <v>74</v>
      </c>
      <c r="B528" s="24">
        <v>63000</v>
      </c>
      <c r="C528" s="8">
        <v>20</v>
      </c>
      <c r="D528" s="58">
        <v>33096</v>
      </c>
      <c r="E528" s="58">
        <v>96096</v>
      </c>
      <c r="F528" s="58">
        <v>3676</v>
      </c>
      <c r="G528" s="58">
        <v>3150</v>
      </c>
      <c r="H528" s="58">
        <v>1471</v>
      </c>
      <c r="I528" s="58">
        <v>4621</v>
      </c>
      <c r="K528" s="57"/>
      <c r="L528" s="68">
        <v>0.315</v>
      </c>
      <c r="M528" s="62">
        <v>3.5000000000000003E-2</v>
      </c>
    </row>
    <row r="529" spans="1:13" ht="23.25">
      <c r="A529" s="18" t="s">
        <v>74</v>
      </c>
      <c r="B529" s="24">
        <v>63000</v>
      </c>
      <c r="C529" s="10">
        <v>22</v>
      </c>
      <c r="D529" s="50">
        <v>36391</v>
      </c>
      <c r="E529" s="50">
        <v>99391</v>
      </c>
      <c r="F529" s="50">
        <v>4043</v>
      </c>
      <c r="G529" s="50">
        <v>2864</v>
      </c>
      <c r="H529" s="50">
        <v>1470</v>
      </c>
      <c r="I529" s="50">
        <v>4334</v>
      </c>
      <c r="K529" s="59"/>
      <c r="L529" s="68">
        <v>0.315</v>
      </c>
      <c r="M529" s="62">
        <v>3.5000000000000003E-2</v>
      </c>
    </row>
    <row r="530" spans="1:13" ht="23.25">
      <c r="A530" s="18" t="s">
        <v>74</v>
      </c>
      <c r="B530" s="24">
        <v>63000</v>
      </c>
      <c r="C530" s="8">
        <v>24</v>
      </c>
      <c r="D530" s="58">
        <v>39715</v>
      </c>
      <c r="E530" s="58">
        <v>102715</v>
      </c>
      <c r="F530" s="58">
        <v>4411</v>
      </c>
      <c r="G530" s="58">
        <v>2625</v>
      </c>
      <c r="H530" s="58">
        <v>1471</v>
      </c>
      <c r="I530" s="58">
        <v>4096</v>
      </c>
      <c r="K530" s="57"/>
      <c r="L530" s="68">
        <v>0.315</v>
      </c>
      <c r="M530" s="62">
        <v>3.5000000000000003E-2</v>
      </c>
    </row>
    <row r="531" spans="1:13" ht="23.25">
      <c r="A531" s="18" t="s">
        <v>74</v>
      </c>
      <c r="B531" s="24">
        <v>64000</v>
      </c>
      <c r="C531" s="10">
        <v>4</v>
      </c>
      <c r="D531" s="50">
        <v>6723</v>
      </c>
      <c r="E531" s="50">
        <v>70723</v>
      </c>
      <c r="F531" s="50">
        <v>747</v>
      </c>
      <c r="G531" s="50">
        <v>16000</v>
      </c>
      <c r="H531" s="50">
        <v>1494</v>
      </c>
      <c r="I531" s="50">
        <v>17494</v>
      </c>
      <c r="K531" s="59"/>
      <c r="L531" s="68">
        <v>0.315</v>
      </c>
      <c r="M531" s="62">
        <v>3.5000000000000003E-2</v>
      </c>
    </row>
    <row r="532" spans="1:13" ht="23.25">
      <c r="A532" s="18" t="s">
        <v>74</v>
      </c>
      <c r="B532" s="24">
        <v>64000</v>
      </c>
      <c r="C532" s="8">
        <v>6</v>
      </c>
      <c r="D532" s="58">
        <v>10087</v>
      </c>
      <c r="E532" s="58">
        <v>74087</v>
      </c>
      <c r="F532" s="58">
        <v>1121</v>
      </c>
      <c r="G532" s="58">
        <v>10667</v>
      </c>
      <c r="H532" s="58">
        <v>1494</v>
      </c>
      <c r="I532" s="58">
        <v>12161</v>
      </c>
      <c r="K532" s="57"/>
      <c r="L532" s="68">
        <v>0.315</v>
      </c>
      <c r="M532" s="62">
        <v>3.5000000000000003E-2</v>
      </c>
    </row>
    <row r="533" spans="1:13" ht="23.25">
      <c r="A533" s="18" t="s">
        <v>74</v>
      </c>
      <c r="B533" s="24">
        <v>64000</v>
      </c>
      <c r="C533" s="10">
        <v>8</v>
      </c>
      <c r="D533" s="50">
        <v>13446</v>
      </c>
      <c r="E533" s="50">
        <v>77446</v>
      </c>
      <c r="F533" s="50">
        <v>1494</v>
      </c>
      <c r="G533" s="50">
        <v>8000</v>
      </c>
      <c r="H533" s="52">
        <v>1494</v>
      </c>
      <c r="I533" s="50">
        <v>9494</v>
      </c>
      <c r="K533" s="59"/>
      <c r="L533" s="68">
        <v>0.315</v>
      </c>
      <c r="M533" s="62">
        <v>3.5000000000000003E-2</v>
      </c>
    </row>
    <row r="534" spans="1:13" ht="23.25">
      <c r="A534" s="18" t="s">
        <v>74</v>
      </c>
      <c r="B534" s="24">
        <v>64000</v>
      </c>
      <c r="C534" s="8">
        <v>10</v>
      </c>
      <c r="D534" s="58">
        <v>16807</v>
      </c>
      <c r="E534" s="58">
        <v>80807</v>
      </c>
      <c r="F534" s="58">
        <v>1867</v>
      </c>
      <c r="G534" s="58">
        <v>6400</v>
      </c>
      <c r="H534" s="58">
        <v>1494</v>
      </c>
      <c r="I534" s="58">
        <v>7894</v>
      </c>
      <c r="K534" s="57"/>
      <c r="L534" s="68">
        <v>0.315</v>
      </c>
      <c r="M534" s="62">
        <v>3.5000000000000003E-2</v>
      </c>
    </row>
    <row r="535" spans="1:13" ht="23.25">
      <c r="A535" s="18" t="s">
        <v>74</v>
      </c>
      <c r="B535" s="24">
        <v>64000</v>
      </c>
      <c r="C535" s="9">
        <v>12</v>
      </c>
      <c r="D535" s="49">
        <v>20165</v>
      </c>
      <c r="E535" s="49">
        <v>84165</v>
      </c>
      <c r="F535" s="49">
        <v>2241</v>
      </c>
      <c r="G535" s="49">
        <v>5334</v>
      </c>
      <c r="H535" s="49">
        <v>1493</v>
      </c>
      <c r="I535" s="49">
        <v>6827</v>
      </c>
      <c r="K535" s="63"/>
      <c r="L535" s="68">
        <v>0.315</v>
      </c>
      <c r="M535" s="62">
        <v>3.5000000000000003E-2</v>
      </c>
    </row>
    <row r="536" spans="1:13" ht="24" thickBot="1">
      <c r="A536" s="19" t="s">
        <v>74</v>
      </c>
      <c r="B536" s="25">
        <v>64000</v>
      </c>
      <c r="C536" s="4">
        <v>14</v>
      </c>
      <c r="D536" s="66">
        <v>23524</v>
      </c>
      <c r="E536" s="66">
        <v>87524</v>
      </c>
      <c r="F536" s="66">
        <v>2614</v>
      </c>
      <c r="G536" s="66">
        <v>4572</v>
      </c>
      <c r="H536" s="58">
        <v>1493</v>
      </c>
      <c r="I536" s="66">
        <v>6065</v>
      </c>
      <c r="K536" s="67"/>
      <c r="L536" s="68">
        <v>0.315</v>
      </c>
      <c r="M536" s="62">
        <v>3.5000000000000003E-2</v>
      </c>
    </row>
    <row r="537" spans="1:13" ht="24" thickTop="1">
      <c r="A537" s="15" t="s">
        <v>74</v>
      </c>
      <c r="B537" s="21">
        <v>64000</v>
      </c>
      <c r="C537" s="6">
        <v>16</v>
      </c>
      <c r="D537" s="37">
        <v>26891</v>
      </c>
      <c r="E537" s="37">
        <v>90891</v>
      </c>
      <c r="F537" s="37">
        <v>2987</v>
      </c>
      <c r="G537" s="37">
        <v>4000</v>
      </c>
      <c r="H537" s="37">
        <v>1494</v>
      </c>
      <c r="I537" s="37">
        <v>5494</v>
      </c>
      <c r="K537" s="6"/>
      <c r="L537" s="68">
        <v>0.315</v>
      </c>
      <c r="M537" s="62">
        <v>3.5000000000000003E-2</v>
      </c>
    </row>
    <row r="538" spans="1:13" ht="23.25">
      <c r="A538" s="16" t="s">
        <v>74</v>
      </c>
      <c r="B538" s="22">
        <v>64000</v>
      </c>
      <c r="C538" s="8">
        <v>18</v>
      </c>
      <c r="D538" s="58">
        <v>30243</v>
      </c>
      <c r="E538" s="58">
        <v>94243</v>
      </c>
      <c r="F538" s="58">
        <v>3361</v>
      </c>
      <c r="G538" s="58">
        <v>3556</v>
      </c>
      <c r="H538" s="58">
        <v>1493</v>
      </c>
      <c r="I538" s="58">
        <v>5049</v>
      </c>
      <c r="K538" s="57"/>
      <c r="L538" s="68">
        <v>0.315</v>
      </c>
      <c r="M538" s="62">
        <v>3.5000000000000003E-2</v>
      </c>
    </row>
    <row r="539" spans="1:13" ht="23.25">
      <c r="A539" s="16" t="s">
        <v>74</v>
      </c>
      <c r="B539" s="22">
        <v>64000</v>
      </c>
      <c r="C539" s="10">
        <v>20</v>
      </c>
      <c r="D539" s="50">
        <v>33614</v>
      </c>
      <c r="E539" s="50">
        <v>97614</v>
      </c>
      <c r="F539" s="50">
        <v>3734</v>
      </c>
      <c r="G539" s="50">
        <v>3200</v>
      </c>
      <c r="H539" s="49">
        <v>1494</v>
      </c>
      <c r="I539" s="50">
        <v>4694</v>
      </c>
      <c r="K539" s="59"/>
      <c r="L539" s="68">
        <v>0.315</v>
      </c>
      <c r="M539" s="62">
        <v>3.5000000000000003E-2</v>
      </c>
    </row>
    <row r="540" spans="1:13" ht="23.25">
      <c r="A540" s="16" t="s">
        <v>74</v>
      </c>
      <c r="B540" s="22">
        <v>64000</v>
      </c>
      <c r="C540" s="8">
        <v>22</v>
      </c>
      <c r="D540" s="58">
        <v>36973</v>
      </c>
      <c r="E540" s="58">
        <v>100973</v>
      </c>
      <c r="F540" s="58">
        <v>4107</v>
      </c>
      <c r="G540" s="58">
        <v>2910</v>
      </c>
      <c r="H540" s="58">
        <v>1493</v>
      </c>
      <c r="I540" s="58">
        <v>4403</v>
      </c>
      <c r="K540" s="57"/>
      <c r="L540" s="68">
        <v>0.315</v>
      </c>
      <c r="M540" s="62">
        <v>3.5000000000000003E-2</v>
      </c>
    </row>
    <row r="541" spans="1:13" ht="23.25">
      <c r="A541" s="16" t="s">
        <v>74</v>
      </c>
      <c r="B541" s="22">
        <v>64000</v>
      </c>
      <c r="C541" s="10">
        <v>24</v>
      </c>
      <c r="D541" s="50">
        <v>40345</v>
      </c>
      <c r="E541" s="50">
        <v>104345</v>
      </c>
      <c r="F541" s="50">
        <v>4481</v>
      </c>
      <c r="G541" s="50">
        <v>2667</v>
      </c>
      <c r="H541" s="50">
        <v>1494</v>
      </c>
      <c r="I541" s="50">
        <v>4161</v>
      </c>
      <c r="K541" s="59"/>
      <c r="L541" s="68">
        <v>0.315</v>
      </c>
      <c r="M541" s="62">
        <v>3.5000000000000003E-2</v>
      </c>
    </row>
    <row r="542" spans="1:13" ht="23.25">
      <c r="A542" s="16" t="s">
        <v>74</v>
      </c>
      <c r="B542" s="22">
        <v>65000</v>
      </c>
      <c r="C542" s="8">
        <v>4</v>
      </c>
      <c r="D542" s="58">
        <v>6827</v>
      </c>
      <c r="E542" s="58">
        <v>71827</v>
      </c>
      <c r="F542" s="58">
        <v>759</v>
      </c>
      <c r="G542" s="58">
        <v>16250</v>
      </c>
      <c r="H542" s="58">
        <v>1517</v>
      </c>
      <c r="I542" s="58">
        <v>17767</v>
      </c>
      <c r="K542" s="57"/>
      <c r="L542" s="68">
        <v>0.315</v>
      </c>
      <c r="M542" s="62">
        <v>3.5000000000000003E-2</v>
      </c>
    </row>
    <row r="543" spans="1:13" ht="23.25">
      <c r="A543" s="16" t="s">
        <v>74</v>
      </c>
      <c r="B543" s="22">
        <v>65000</v>
      </c>
      <c r="C543" s="10">
        <v>6</v>
      </c>
      <c r="D543" s="50">
        <v>10244</v>
      </c>
      <c r="E543" s="50">
        <v>75244</v>
      </c>
      <c r="F543" s="50">
        <v>1138</v>
      </c>
      <c r="G543" s="50">
        <v>10834</v>
      </c>
      <c r="H543" s="50">
        <v>1517</v>
      </c>
      <c r="I543" s="50">
        <v>12351</v>
      </c>
      <c r="K543" s="59"/>
      <c r="L543" s="68">
        <v>0.315</v>
      </c>
      <c r="M543" s="62">
        <v>3.5000000000000003E-2</v>
      </c>
    </row>
    <row r="544" spans="1:13" ht="23.25">
      <c r="A544" s="16" t="s">
        <v>74</v>
      </c>
      <c r="B544" s="22">
        <v>65000</v>
      </c>
      <c r="C544" s="8">
        <v>8</v>
      </c>
      <c r="D544" s="58">
        <v>13653</v>
      </c>
      <c r="E544" s="58">
        <v>78653</v>
      </c>
      <c r="F544" s="58">
        <v>1517</v>
      </c>
      <c r="G544" s="58">
        <v>8125</v>
      </c>
      <c r="H544" s="58">
        <v>1517</v>
      </c>
      <c r="I544" s="58">
        <v>9642</v>
      </c>
      <c r="K544" s="57"/>
      <c r="L544" s="68">
        <v>0.315</v>
      </c>
      <c r="M544" s="62">
        <v>3.5000000000000003E-2</v>
      </c>
    </row>
    <row r="545" spans="1:13" ht="23.25">
      <c r="A545" s="16" t="s">
        <v>74</v>
      </c>
      <c r="B545" s="22">
        <v>65000</v>
      </c>
      <c r="C545" s="9">
        <v>10</v>
      </c>
      <c r="D545" s="49">
        <v>17066</v>
      </c>
      <c r="E545" s="49">
        <v>82066</v>
      </c>
      <c r="F545" s="49">
        <v>1896</v>
      </c>
      <c r="G545" s="49">
        <v>6500</v>
      </c>
      <c r="H545" s="52">
        <v>1517</v>
      </c>
      <c r="I545" s="49">
        <v>8017</v>
      </c>
      <c r="K545" s="63"/>
      <c r="L545" s="68">
        <v>0.315</v>
      </c>
      <c r="M545" s="62">
        <v>3.5000000000000003E-2</v>
      </c>
    </row>
    <row r="546" spans="1:13" ht="23.25">
      <c r="A546" s="16" t="s">
        <v>74</v>
      </c>
      <c r="B546" s="22">
        <v>65000</v>
      </c>
      <c r="C546" s="8">
        <v>12</v>
      </c>
      <c r="D546" s="58">
        <v>20484</v>
      </c>
      <c r="E546" s="58">
        <v>85484</v>
      </c>
      <c r="F546" s="58">
        <v>2276</v>
      </c>
      <c r="G546" s="58">
        <v>5417</v>
      </c>
      <c r="H546" s="58">
        <v>1517</v>
      </c>
      <c r="I546" s="58">
        <v>6934</v>
      </c>
      <c r="K546" s="57"/>
      <c r="L546" s="68">
        <v>0.315</v>
      </c>
      <c r="M546" s="62">
        <v>3.5000000000000003E-2</v>
      </c>
    </row>
    <row r="547" spans="1:13" ht="24" thickBot="1">
      <c r="A547" s="20" t="s">
        <v>74</v>
      </c>
      <c r="B547" s="26">
        <v>65000</v>
      </c>
      <c r="C547" s="5">
        <v>14</v>
      </c>
      <c r="D547" s="64">
        <v>23895</v>
      </c>
      <c r="E547" s="64">
        <v>88895</v>
      </c>
      <c r="F547" s="64">
        <v>2655</v>
      </c>
      <c r="G547" s="64">
        <v>4643</v>
      </c>
      <c r="H547" s="49">
        <v>1517</v>
      </c>
      <c r="I547" s="64">
        <v>6160</v>
      </c>
      <c r="K547" s="65"/>
      <c r="L547" s="68">
        <v>0.315</v>
      </c>
      <c r="M547" s="62">
        <v>3.5000000000000003E-2</v>
      </c>
    </row>
    <row r="548" spans="1:13" ht="24" thickTop="1">
      <c r="A548" s="17" t="s">
        <v>74</v>
      </c>
      <c r="B548" s="23">
        <v>65000</v>
      </c>
      <c r="C548" s="11">
        <v>16</v>
      </c>
      <c r="D548" s="31">
        <v>27314</v>
      </c>
      <c r="E548" s="31">
        <v>92314</v>
      </c>
      <c r="F548" s="31">
        <v>3034</v>
      </c>
      <c r="G548" s="31">
        <v>4063</v>
      </c>
      <c r="H548" s="31">
        <v>1517</v>
      </c>
      <c r="I548" s="31">
        <v>5580</v>
      </c>
      <c r="K548" s="11"/>
      <c r="L548" s="68">
        <v>0.315</v>
      </c>
      <c r="M548" s="62">
        <v>3.5000000000000003E-2</v>
      </c>
    </row>
    <row r="549" spans="1:13" ht="23.25">
      <c r="A549" s="18" t="s">
        <v>74</v>
      </c>
      <c r="B549" s="24">
        <v>65000</v>
      </c>
      <c r="C549" s="9">
        <v>18</v>
      </c>
      <c r="D549" s="49">
        <v>30717</v>
      </c>
      <c r="E549" s="49">
        <v>95717</v>
      </c>
      <c r="F549" s="49">
        <v>3413</v>
      </c>
      <c r="G549" s="49">
        <v>3612</v>
      </c>
      <c r="H549" s="49">
        <v>1516</v>
      </c>
      <c r="I549" s="49">
        <v>5128</v>
      </c>
      <c r="K549" s="63"/>
      <c r="L549" s="68">
        <v>0.315</v>
      </c>
      <c r="M549" s="62">
        <v>3.5000000000000003E-2</v>
      </c>
    </row>
    <row r="550" spans="1:13" ht="23.25">
      <c r="A550" s="18" t="s">
        <v>74</v>
      </c>
      <c r="B550" s="24">
        <v>65000</v>
      </c>
      <c r="C550" s="8">
        <v>20</v>
      </c>
      <c r="D550" s="58">
        <v>34132</v>
      </c>
      <c r="E550" s="58">
        <v>99132</v>
      </c>
      <c r="F550" s="58">
        <v>3792</v>
      </c>
      <c r="G550" s="58">
        <v>3250</v>
      </c>
      <c r="H550" s="58">
        <v>1517</v>
      </c>
      <c r="I550" s="58">
        <v>4767</v>
      </c>
      <c r="K550" s="57"/>
      <c r="L550" s="68">
        <v>0.315</v>
      </c>
      <c r="M550" s="62">
        <v>3.5000000000000003E-2</v>
      </c>
    </row>
    <row r="551" spans="1:13" ht="23.25">
      <c r="A551" s="18" t="s">
        <v>74</v>
      </c>
      <c r="B551" s="24">
        <v>65000</v>
      </c>
      <c r="C551" s="10">
        <v>22</v>
      </c>
      <c r="D551" s="50">
        <v>37555</v>
      </c>
      <c r="E551" s="50">
        <v>102555</v>
      </c>
      <c r="F551" s="50">
        <v>4171</v>
      </c>
      <c r="G551" s="50">
        <v>2955</v>
      </c>
      <c r="H551" s="50">
        <v>1517</v>
      </c>
      <c r="I551" s="50">
        <v>4472</v>
      </c>
      <c r="K551" s="59"/>
      <c r="L551" s="68">
        <v>0.315</v>
      </c>
      <c r="M551" s="62">
        <v>3.5000000000000003E-2</v>
      </c>
    </row>
    <row r="552" spans="1:13" ht="23.25">
      <c r="A552" s="18" t="s">
        <v>74</v>
      </c>
      <c r="B552" s="24">
        <v>65000</v>
      </c>
      <c r="C552" s="8">
        <v>24</v>
      </c>
      <c r="D552" s="58">
        <v>40975</v>
      </c>
      <c r="E552" s="58">
        <v>105975</v>
      </c>
      <c r="F552" s="58">
        <v>4551</v>
      </c>
      <c r="G552" s="58">
        <v>2709</v>
      </c>
      <c r="H552" s="58">
        <v>1517</v>
      </c>
      <c r="I552" s="58">
        <v>4226</v>
      </c>
      <c r="K552" s="57"/>
      <c r="L552" s="68">
        <v>0.315</v>
      </c>
      <c r="M552" s="62">
        <v>3.5000000000000003E-2</v>
      </c>
    </row>
    <row r="553" spans="1:13" ht="23.25">
      <c r="A553" s="18" t="s">
        <v>74</v>
      </c>
      <c r="B553" s="24">
        <v>66000</v>
      </c>
      <c r="C553" s="10">
        <v>4</v>
      </c>
      <c r="D553" s="50">
        <v>6935</v>
      </c>
      <c r="E553" s="50">
        <v>72935</v>
      </c>
      <c r="F553" s="50">
        <v>771</v>
      </c>
      <c r="G553" s="50">
        <v>16500</v>
      </c>
      <c r="H553" s="50">
        <v>1541</v>
      </c>
      <c r="I553" s="50">
        <v>18041</v>
      </c>
      <c r="K553" s="59"/>
      <c r="L553" s="68">
        <v>0.315</v>
      </c>
      <c r="M553" s="62">
        <v>3.5000000000000003E-2</v>
      </c>
    </row>
    <row r="554" spans="1:13" ht="23.25">
      <c r="A554" s="18" t="s">
        <v>74</v>
      </c>
      <c r="B554" s="24">
        <v>66000</v>
      </c>
      <c r="C554" s="8">
        <v>6</v>
      </c>
      <c r="D554" s="58">
        <v>10402</v>
      </c>
      <c r="E554" s="58">
        <v>76402</v>
      </c>
      <c r="F554" s="58">
        <v>1156</v>
      </c>
      <c r="G554" s="58">
        <v>11000</v>
      </c>
      <c r="H554" s="58">
        <v>1541</v>
      </c>
      <c r="I554" s="58">
        <v>12541</v>
      </c>
      <c r="K554" s="57"/>
      <c r="L554" s="68">
        <v>0.315</v>
      </c>
      <c r="M554" s="62">
        <v>3.5000000000000003E-2</v>
      </c>
    </row>
    <row r="555" spans="1:13" ht="23.25">
      <c r="A555" s="18" t="s">
        <v>74</v>
      </c>
      <c r="B555" s="24">
        <v>66000</v>
      </c>
      <c r="C555" s="10">
        <v>8</v>
      </c>
      <c r="D555" s="50">
        <v>13869</v>
      </c>
      <c r="E555" s="50">
        <v>79869</v>
      </c>
      <c r="F555" s="50">
        <v>1541</v>
      </c>
      <c r="G555" s="50">
        <v>8250</v>
      </c>
      <c r="H555" s="52">
        <v>1541</v>
      </c>
      <c r="I555" s="50">
        <v>9791</v>
      </c>
      <c r="K555" s="59"/>
      <c r="L555" s="68">
        <v>0.315</v>
      </c>
      <c r="M555" s="62">
        <v>3.5000000000000003E-2</v>
      </c>
    </row>
    <row r="556" spans="1:13" ht="23.25">
      <c r="A556" s="18" t="s">
        <v>74</v>
      </c>
      <c r="B556" s="24">
        <v>66000</v>
      </c>
      <c r="C556" s="8">
        <v>10</v>
      </c>
      <c r="D556" s="58">
        <v>17336</v>
      </c>
      <c r="E556" s="58">
        <v>83336</v>
      </c>
      <c r="F556" s="58">
        <v>1926</v>
      </c>
      <c r="G556" s="58">
        <v>6600</v>
      </c>
      <c r="H556" s="58">
        <v>1541</v>
      </c>
      <c r="I556" s="58">
        <v>8141</v>
      </c>
      <c r="K556" s="57"/>
      <c r="L556" s="68">
        <v>0.315</v>
      </c>
      <c r="M556" s="62">
        <v>3.5000000000000003E-2</v>
      </c>
    </row>
    <row r="557" spans="1:13" ht="23.25">
      <c r="A557" s="18" t="s">
        <v>74</v>
      </c>
      <c r="B557" s="24">
        <v>66000</v>
      </c>
      <c r="C557" s="9">
        <v>12</v>
      </c>
      <c r="D557" s="49">
        <v>20803</v>
      </c>
      <c r="E557" s="49">
        <v>86803</v>
      </c>
      <c r="F557" s="49">
        <v>2311</v>
      </c>
      <c r="G557" s="49">
        <v>5500</v>
      </c>
      <c r="H557" s="49">
        <v>1541</v>
      </c>
      <c r="I557" s="49">
        <v>7041</v>
      </c>
      <c r="K557" s="63"/>
      <c r="L557" s="68">
        <v>0.315</v>
      </c>
      <c r="M557" s="62">
        <v>3.5000000000000003E-2</v>
      </c>
    </row>
    <row r="558" spans="1:13" ht="24" thickBot="1">
      <c r="A558" s="19" t="s">
        <v>74</v>
      </c>
      <c r="B558" s="25">
        <v>66000</v>
      </c>
      <c r="C558" s="4">
        <v>14</v>
      </c>
      <c r="D558" s="66">
        <v>24266</v>
      </c>
      <c r="E558" s="66">
        <v>90266</v>
      </c>
      <c r="F558" s="66">
        <v>2696</v>
      </c>
      <c r="G558" s="66">
        <v>4715</v>
      </c>
      <c r="H558" s="58">
        <v>1540</v>
      </c>
      <c r="I558" s="66">
        <v>6255</v>
      </c>
      <c r="K558" s="67"/>
      <c r="L558" s="68">
        <v>0.315</v>
      </c>
      <c r="M558" s="62">
        <v>3.5000000000000003E-2</v>
      </c>
    </row>
    <row r="559" spans="1:13" ht="24" thickTop="1">
      <c r="A559" s="15" t="s">
        <v>74</v>
      </c>
      <c r="B559" s="21">
        <v>66000</v>
      </c>
      <c r="C559" s="6">
        <v>16</v>
      </c>
      <c r="D559" s="37">
        <v>27737</v>
      </c>
      <c r="E559" s="37">
        <v>93737</v>
      </c>
      <c r="F559" s="37">
        <v>3081</v>
      </c>
      <c r="G559" s="37">
        <v>4125</v>
      </c>
      <c r="H559" s="37">
        <v>1541</v>
      </c>
      <c r="I559" s="37">
        <v>5666</v>
      </c>
      <c r="K559" s="6"/>
      <c r="L559" s="68">
        <v>0.315</v>
      </c>
      <c r="M559" s="62">
        <v>3.5000000000000003E-2</v>
      </c>
    </row>
    <row r="560" spans="1:13" ht="23.25">
      <c r="A560" s="16" t="s">
        <v>74</v>
      </c>
      <c r="B560" s="22">
        <v>66000</v>
      </c>
      <c r="C560" s="8">
        <v>18</v>
      </c>
      <c r="D560" s="58">
        <v>31192</v>
      </c>
      <c r="E560" s="58">
        <v>97192</v>
      </c>
      <c r="F560" s="58">
        <v>3466</v>
      </c>
      <c r="G560" s="58">
        <v>3667</v>
      </c>
      <c r="H560" s="58">
        <v>1540</v>
      </c>
      <c r="I560" s="58">
        <v>5207</v>
      </c>
      <c r="K560" s="57"/>
      <c r="L560" s="68">
        <v>0.315</v>
      </c>
      <c r="M560" s="62">
        <v>3.5000000000000003E-2</v>
      </c>
    </row>
    <row r="561" spans="1:13" ht="23.25">
      <c r="A561" s="16" t="s">
        <v>74</v>
      </c>
      <c r="B561" s="22">
        <v>66000</v>
      </c>
      <c r="C561" s="10">
        <v>20</v>
      </c>
      <c r="D561" s="50">
        <v>34671</v>
      </c>
      <c r="E561" s="50">
        <v>100671</v>
      </c>
      <c r="F561" s="50">
        <v>3851</v>
      </c>
      <c r="G561" s="50">
        <v>3300</v>
      </c>
      <c r="H561" s="49">
        <v>1541</v>
      </c>
      <c r="I561" s="50">
        <v>4841</v>
      </c>
      <c r="K561" s="59"/>
      <c r="L561" s="68">
        <v>0.315</v>
      </c>
      <c r="M561" s="62">
        <v>3.5000000000000003E-2</v>
      </c>
    </row>
    <row r="562" spans="1:13" ht="23.25">
      <c r="A562" s="16" t="s">
        <v>74</v>
      </c>
      <c r="B562" s="22">
        <v>66000</v>
      </c>
      <c r="C562" s="8">
        <v>22</v>
      </c>
      <c r="D562" s="58">
        <v>38138</v>
      </c>
      <c r="E562" s="58">
        <v>104138</v>
      </c>
      <c r="F562" s="58">
        <v>4236</v>
      </c>
      <c r="G562" s="58">
        <v>3000</v>
      </c>
      <c r="H562" s="58">
        <v>1541</v>
      </c>
      <c r="I562" s="58">
        <v>4541</v>
      </c>
      <c r="K562" s="57"/>
      <c r="L562" s="68">
        <v>0.315</v>
      </c>
      <c r="M562" s="62">
        <v>3.5000000000000003E-2</v>
      </c>
    </row>
    <row r="563" spans="1:13" ht="23.25">
      <c r="A563" s="16" t="s">
        <v>74</v>
      </c>
      <c r="B563" s="22">
        <v>66000</v>
      </c>
      <c r="C563" s="10">
        <v>24</v>
      </c>
      <c r="D563" s="50">
        <v>41605</v>
      </c>
      <c r="E563" s="50">
        <v>107605</v>
      </c>
      <c r="F563" s="50">
        <v>4621</v>
      </c>
      <c r="G563" s="50">
        <v>2750</v>
      </c>
      <c r="H563" s="50">
        <v>1541</v>
      </c>
      <c r="I563" s="50">
        <v>4291</v>
      </c>
      <c r="K563" s="59"/>
      <c r="L563" s="68">
        <v>0.315</v>
      </c>
      <c r="M563" s="62">
        <v>3.5000000000000003E-2</v>
      </c>
    </row>
    <row r="564" spans="1:13" ht="23.25">
      <c r="A564" s="16" t="s">
        <v>74</v>
      </c>
      <c r="B564" s="22">
        <v>67000</v>
      </c>
      <c r="C564" s="8">
        <v>4</v>
      </c>
      <c r="D564" s="58">
        <v>7038</v>
      </c>
      <c r="E564" s="58">
        <v>74038</v>
      </c>
      <c r="F564" s="58">
        <v>782</v>
      </c>
      <c r="G564" s="58">
        <v>16750</v>
      </c>
      <c r="H564" s="58">
        <v>1564</v>
      </c>
      <c r="I564" s="58">
        <v>18314</v>
      </c>
      <c r="K564" s="57"/>
      <c r="L564" s="68">
        <v>0.315</v>
      </c>
      <c r="M564" s="62">
        <v>3.5000000000000003E-2</v>
      </c>
    </row>
    <row r="565" spans="1:13" ht="23.25">
      <c r="A565" s="16" t="s">
        <v>74</v>
      </c>
      <c r="B565" s="22">
        <v>67000</v>
      </c>
      <c r="C565" s="10">
        <v>6</v>
      </c>
      <c r="D565" s="50">
        <v>10559</v>
      </c>
      <c r="E565" s="50">
        <v>77559</v>
      </c>
      <c r="F565" s="50">
        <v>1173</v>
      </c>
      <c r="G565" s="50">
        <v>11167</v>
      </c>
      <c r="H565" s="50">
        <v>1564</v>
      </c>
      <c r="I565" s="50">
        <v>12731</v>
      </c>
      <c r="K565" s="59"/>
      <c r="L565" s="68">
        <v>0.315</v>
      </c>
      <c r="M565" s="62">
        <v>3.5000000000000003E-2</v>
      </c>
    </row>
    <row r="566" spans="1:13" ht="23.25">
      <c r="A566" s="16" t="s">
        <v>74</v>
      </c>
      <c r="B566" s="22">
        <v>67000</v>
      </c>
      <c r="C566" s="8">
        <v>8</v>
      </c>
      <c r="D566" s="58">
        <v>14076</v>
      </c>
      <c r="E566" s="58">
        <v>81076</v>
      </c>
      <c r="F566" s="58">
        <v>1564</v>
      </c>
      <c r="G566" s="58">
        <v>8375</v>
      </c>
      <c r="H566" s="58">
        <v>1564</v>
      </c>
      <c r="I566" s="58">
        <v>9939</v>
      </c>
      <c r="K566" s="57"/>
      <c r="L566" s="68">
        <v>0.315</v>
      </c>
      <c r="M566" s="62">
        <v>3.5000000000000003E-2</v>
      </c>
    </row>
    <row r="567" spans="1:13" ht="23.25">
      <c r="A567" s="16" t="s">
        <v>74</v>
      </c>
      <c r="B567" s="22">
        <v>67000</v>
      </c>
      <c r="C567" s="9">
        <v>10</v>
      </c>
      <c r="D567" s="49">
        <v>17595</v>
      </c>
      <c r="E567" s="49">
        <v>84595</v>
      </c>
      <c r="F567" s="49">
        <v>1955</v>
      </c>
      <c r="G567" s="49">
        <v>6700</v>
      </c>
      <c r="H567" s="52">
        <v>1564</v>
      </c>
      <c r="I567" s="49">
        <v>8264</v>
      </c>
      <c r="K567" s="63"/>
      <c r="L567" s="68">
        <v>0.315</v>
      </c>
      <c r="M567" s="62">
        <v>3.5000000000000003E-2</v>
      </c>
    </row>
    <row r="568" spans="1:13" ht="23.25">
      <c r="A568" s="16" t="s">
        <v>74</v>
      </c>
      <c r="B568" s="22">
        <v>67000</v>
      </c>
      <c r="C568" s="8">
        <v>12</v>
      </c>
      <c r="D568" s="58">
        <v>21110</v>
      </c>
      <c r="E568" s="58">
        <v>88110</v>
      </c>
      <c r="F568" s="58">
        <v>2346</v>
      </c>
      <c r="G568" s="58">
        <v>5584</v>
      </c>
      <c r="H568" s="58">
        <v>1563</v>
      </c>
      <c r="I568" s="58">
        <v>7147</v>
      </c>
      <c r="K568" s="57"/>
      <c r="L568" s="68">
        <v>0.315</v>
      </c>
      <c r="M568" s="62">
        <v>3.5000000000000003E-2</v>
      </c>
    </row>
    <row r="569" spans="1:13" ht="24" thickBot="1">
      <c r="A569" s="20" t="s">
        <v>74</v>
      </c>
      <c r="B569" s="26">
        <v>67000</v>
      </c>
      <c r="C569" s="5">
        <v>14</v>
      </c>
      <c r="D569" s="64">
        <v>24636</v>
      </c>
      <c r="E569" s="64">
        <v>91636</v>
      </c>
      <c r="F569" s="64">
        <v>2736</v>
      </c>
      <c r="G569" s="64">
        <v>4786</v>
      </c>
      <c r="H569" s="49">
        <v>1564</v>
      </c>
      <c r="I569" s="64">
        <v>6350</v>
      </c>
      <c r="K569" s="65"/>
      <c r="L569" s="68">
        <v>0.315</v>
      </c>
      <c r="M569" s="62">
        <v>3.5000000000000003E-2</v>
      </c>
    </row>
    <row r="570" spans="1:13" ht="24" thickTop="1">
      <c r="A570" s="17" t="s">
        <v>74</v>
      </c>
      <c r="B570" s="23">
        <v>67000</v>
      </c>
      <c r="C570" s="11">
        <v>16</v>
      </c>
      <c r="D570" s="31">
        <v>28143</v>
      </c>
      <c r="E570" s="31">
        <v>95143</v>
      </c>
      <c r="F570" s="31">
        <v>3127</v>
      </c>
      <c r="G570" s="31">
        <v>4188</v>
      </c>
      <c r="H570" s="31">
        <v>1563</v>
      </c>
      <c r="I570" s="31">
        <v>5751</v>
      </c>
      <c r="K570" s="11"/>
      <c r="L570" s="68">
        <v>0.315</v>
      </c>
      <c r="M570" s="62">
        <v>3.5000000000000003E-2</v>
      </c>
    </row>
    <row r="571" spans="1:13" ht="23.25">
      <c r="A571" s="18" t="s">
        <v>74</v>
      </c>
      <c r="B571" s="24">
        <v>67000</v>
      </c>
      <c r="C571" s="9">
        <v>18</v>
      </c>
      <c r="D571" s="49">
        <v>31666</v>
      </c>
      <c r="E571" s="49">
        <v>98666</v>
      </c>
      <c r="F571" s="49">
        <v>3518</v>
      </c>
      <c r="G571" s="49">
        <v>3723</v>
      </c>
      <c r="H571" s="49">
        <v>1563</v>
      </c>
      <c r="I571" s="49">
        <v>5286</v>
      </c>
      <c r="K571" s="63"/>
      <c r="L571" s="68">
        <v>0.315</v>
      </c>
      <c r="M571" s="62">
        <v>3.5000000000000003E-2</v>
      </c>
    </row>
    <row r="572" spans="1:13" ht="23.25">
      <c r="A572" s="18" t="s">
        <v>74</v>
      </c>
      <c r="B572" s="24">
        <v>67000</v>
      </c>
      <c r="C572" s="8">
        <v>20</v>
      </c>
      <c r="D572" s="58">
        <v>35189</v>
      </c>
      <c r="E572" s="58">
        <v>102189</v>
      </c>
      <c r="F572" s="58">
        <v>3909</v>
      </c>
      <c r="G572" s="58">
        <v>3350</v>
      </c>
      <c r="H572" s="58">
        <v>1564</v>
      </c>
      <c r="I572" s="58">
        <v>4914</v>
      </c>
      <c r="K572" s="57"/>
      <c r="L572" s="68">
        <v>0.315</v>
      </c>
      <c r="M572" s="62">
        <v>3.5000000000000003E-2</v>
      </c>
    </row>
    <row r="573" spans="1:13" ht="23.25">
      <c r="A573" s="18" t="s">
        <v>74</v>
      </c>
      <c r="B573" s="24">
        <v>67000</v>
      </c>
      <c r="C573" s="10">
        <v>22</v>
      </c>
      <c r="D573" s="50">
        <v>38698</v>
      </c>
      <c r="E573" s="50">
        <v>105698</v>
      </c>
      <c r="F573" s="50">
        <v>4300</v>
      </c>
      <c r="G573" s="50">
        <v>3046</v>
      </c>
      <c r="H573" s="50">
        <v>1563</v>
      </c>
      <c r="I573" s="50">
        <v>4609</v>
      </c>
      <c r="K573" s="59"/>
      <c r="L573" s="68">
        <v>0.315</v>
      </c>
      <c r="M573" s="62">
        <v>3.5000000000000003E-2</v>
      </c>
    </row>
    <row r="574" spans="1:13" ht="23.25">
      <c r="A574" s="18" t="s">
        <v>74</v>
      </c>
      <c r="B574" s="24">
        <v>67000</v>
      </c>
      <c r="C574" s="8">
        <v>24</v>
      </c>
      <c r="D574" s="58">
        <v>42235</v>
      </c>
      <c r="E574" s="58">
        <v>109235</v>
      </c>
      <c r="F574" s="58">
        <v>4691</v>
      </c>
      <c r="G574" s="58">
        <v>2792</v>
      </c>
      <c r="H574" s="58">
        <v>1564</v>
      </c>
      <c r="I574" s="58">
        <v>4356</v>
      </c>
      <c r="K574" s="57"/>
      <c r="L574" s="68">
        <v>0.315</v>
      </c>
      <c r="M574" s="62">
        <v>3.5000000000000003E-2</v>
      </c>
    </row>
    <row r="575" spans="1:13" ht="23.25">
      <c r="A575" s="18" t="s">
        <v>74</v>
      </c>
      <c r="B575" s="24">
        <v>68000</v>
      </c>
      <c r="C575" s="10">
        <v>4</v>
      </c>
      <c r="D575" s="50">
        <v>7142</v>
      </c>
      <c r="E575" s="50">
        <v>75142</v>
      </c>
      <c r="F575" s="50">
        <v>794</v>
      </c>
      <c r="G575" s="50">
        <v>17000</v>
      </c>
      <c r="H575" s="50">
        <v>1587</v>
      </c>
      <c r="I575" s="50">
        <v>18587</v>
      </c>
      <c r="K575" s="59"/>
      <c r="L575" s="68">
        <v>0.315</v>
      </c>
      <c r="M575" s="62">
        <v>3.5000000000000003E-2</v>
      </c>
    </row>
    <row r="576" spans="1:13" ht="23.25">
      <c r="A576" s="18" t="s">
        <v>74</v>
      </c>
      <c r="B576" s="24">
        <v>68000</v>
      </c>
      <c r="C576" s="8">
        <v>6</v>
      </c>
      <c r="D576" s="58">
        <v>10717</v>
      </c>
      <c r="E576" s="58">
        <v>78717</v>
      </c>
      <c r="F576" s="58">
        <v>1191</v>
      </c>
      <c r="G576" s="58">
        <v>11334</v>
      </c>
      <c r="H576" s="58">
        <v>1587</v>
      </c>
      <c r="I576" s="58">
        <v>12921</v>
      </c>
      <c r="K576" s="57"/>
      <c r="L576" s="68">
        <v>0.315</v>
      </c>
      <c r="M576" s="62">
        <v>3.5000000000000003E-2</v>
      </c>
    </row>
    <row r="577" spans="1:13" ht="23.25">
      <c r="A577" s="18" t="s">
        <v>74</v>
      </c>
      <c r="B577" s="24">
        <v>68000</v>
      </c>
      <c r="C577" s="10">
        <v>8</v>
      </c>
      <c r="D577" s="50">
        <v>14283</v>
      </c>
      <c r="E577" s="50">
        <v>82283</v>
      </c>
      <c r="F577" s="50">
        <v>1587</v>
      </c>
      <c r="G577" s="50">
        <v>8500</v>
      </c>
      <c r="H577" s="52">
        <v>1587</v>
      </c>
      <c r="I577" s="50">
        <v>10087</v>
      </c>
      <c r="K577" s="59"/>
      <c r="L577" s="68">
        <v>0.315</v>
      </c>
      <c r="M577" s="62">
        <v>3.5000000000000003E-2</v>
      </c>
    </row>
    <row r="578" spans="1:13" ht="23.25">
      <c r="A578" s="18" t="s">
        <v>74</v>
      </c>
      <c r="B578" s="24">
        <v>68000</v>
      </c>
      <c r="C578" s="8">
        <v>10</v>
      </c>
      <c r="D578" s="58">
        <v>17854</v>
      </c>
      <c r="E578" s="58">
        <v>85854</v>
      </c>
      <c r="F578" s="58">
        <v>1984</v>
      </c>
      <c r="G578" s="58">
        <v>6800</v>
      </c>
      <c r="H578" s="58">
        <v>1587</v>
      </c>
      <c r="I578" s="58">
        <v>8387</v>
      </c>
      <c r="K578" s="57"/>
      <c r="L578" s="68">
        <v>0.315</v>
      </c>
      <c r="M578" s="62">
        <v>3.5000000000000003E-2</v>
      </c>
    </row>
    <row r="579" spans="1:13" ht="23.25">
      <c r="A579" s="18" t="s">
        <v>74</v>
      </c>
      <c r="B579" s="24">
        <v>68000</v>
      </c>
      <c r="C579" s="9">
        <v>12</v>
      </c>
      <c r="D579" s="49">
        <v>21429</v>
      </c>
      <c r="E579" s="49">
        <v>89429</v>
      </c>
      <c r="F579" s="49">
        <v>2381</v>
      </c>
      <c r="G579" s="49">
        <v>5667</v>
      </c>
      <c r="H579" s="49">
        <v>1587</v>
      </c>
      <c r="I579" s="49">
        <v>7254</v>
      </c>
      <c r="K579" s="63"/>
      <c r="L579" s="68">
        <v>0.315</v>
      </c>
      <c r="M579" s="62">
        <v>3.5000000000000003E-2</v>
      </c>
    </row>
    <row r="580" spans="1:13" ht="24" thickBot="1">
      <c r="A580" s="19" t="s">
        <v>74</v>
      </c>
      <c r="B580" s="25">
        <v>68000</v>
      </c>
      <c r="C580" s="4">
        <v>14</v>
      </c>
      <c r="D580" s="66">
        <v>24993</v>
      </c>
      <c r="E580" s="66">
        <v>92993</v>
      </c>
      <c r="F580" s="66">
        <v>2777</v>
      </c>
      <c r="G580" s="66">
        <v>4858</v>
      </c>
      <c r="H580" s="58">
        <v>1586</v>
      </c>
      <c r="I580" s="66">
        <v>6444</v>
      </c>
      <c r="K580" s="67"/>
      <c r="L580" s="68">
        <v>0.315</v>
      </c>
      <c r="M580" s="62">
        <v>3.5000000000000003E-2</v>
      </c>
    </row>
    <row r="581" spans="1:13" ht="24" thickTop="1">
      <c r="A581" s="15" t="s">
        <v>74</v>
      </c>
      <c r="B581" s="21">
        <v>68000</v>
      </c>
      <c r="C581" s="6">
        <v>16</v>
      </c>
      <c r="D581" s="37">
        <v>28566</v>
      </c>
      <c r="E581" s="37">
        <v>96566</v>
      </c>
      <c r="F581" s="37">
        <v>3174</v>
      </c>
      <c r="G581" s="37">
        <v>4250</v>
      </c>
      <c r="H581" s="37">
        <v>1587</v>
      </c>
      <c r="I581" s="37">
        <v>5837</v>
      </c>
      <c r="K581" s="6"/>
      <c r="L581" s="68">
        <v>0.315</v>
      </c>
      <c r="M581" s="62">
        <v>3.5000000000000003E-2</v>
      </c>
    </row>
    <row r="582" spans="1:13" ht="23.25">
      <c r="A582" s="16" t="s">
        <v>74</v>
      </c>
      <c r="B582" s="22">
        <v>68000</v>
      </c>
      <c r="C582" s="8">
        <v>18</v>
      </c>
      <c r="D582" s="58">
        <v>32141</v>
      </c>
      <c r="E582" s="58">
        <v>100141</v>
      </c>
      <c r="F582" s="58">
        <v>3571</v>
      </c>
      <c r="G582" s="58">
        <v>3778</v>
      </c>
      <c r="H582" s="58">
        <v>1587</v>
      </c>
      <c r="I582" s="58">
        <v>5365</v>
      </c>
      <c r="K582" s="57"/>
      <c r="L582" s="68">
        <v>0.315</v>
      </c>
      <c r="M582" s="62">
        <v>3.5000000000000003E-2</v>
      </c>
    </row>
    <row r="583" spans="1:13" ht="23.25">
      <c r="A583" s="16" t="s">
        <v>74</v>
      </c>
      <c r="B583" s="22">
        <v>68000</v>
      </c>
      <c r="C583" s="10">
        <v>20</v>
      </c>
      <c r="D583" s="50">
        <v>35707</v>
      </c>
      <c r="E583" s="50">
        <v>103707</v>
      </c>
      <c r="F583" s="50">
        <v>3967</v>
      </c>
      <c r="G583" s="50">
        <v>3400</v>
      </c>
      <c r="H583" s="49">
        <v>1587</v>
      </c>
      <c r="I583" s="50">
        <v>4987</v>
      </c>
      <c r="K583" s="59"/>
      <c r="L583" s="68">
        <v>0.315</v>
      </c>
      <c r="M583" s="62">
        <v>3.5000000000000003E-2</v>
      </c>
    </row>
    <row r="584" spans="1:13" ht="23.25">
      <c r="A584" s="16" t="s">
        <v>74</v>
      </c>
      <c r="B584" s="22">
        <v>68000</v>
      </c>
      <c r="C584" s="8">
        <v>22</v>
      </c>
      <c r="D584" s="58">
        <v>39280</v>
      </c>
      <c r="E584" s="58">
        <v>107280</v>
      </c>
      <c r="F584" s="58">
        <v>4364</v>
      </c>
      <c r="G584" s="58">
        <v>3091</v>
      </c>
      <c r="H584" s="58">
        <v>1587</v>
      </c>
      <c r="I584" s="58">
        <v>4678</v>
      </c>
      <c r="K584" s="57"/>
      <c r="L584" s="68">
        <v>0.315</v>
      </c>
      <c r="M584" s="62">
        <v>3.5000000000000003E-2</v>
      </c>
    </row>
    <row r="585" spans="1:13" ht="23.25">
      <c r="A585" s="16" t="s">
        <v>74</v>
      </c>
      <c r="B585" s="22">
        <v>68000</v>
      </c>
      <c r="C585" s="10">
        <v>24</v>
      </c>
      <c r="D585" s="50">
        <v>42865</v>
      </c>
      <c r="E585" s="50">
        <v>110865</v>
      </c>
      <c r="F585" s="50">
        <v>4761</v>
      </c>
      <c r="G585" s="50">
        <v>2834</v>
      </c>
      <c r="H585" s="50">
        <v>1587</v>
      </c>
      <c r="I585" s="50">
        <v>4421</v>
      </c>
      <c r="K585" s="59"/>
      <c r="L585" s="68">
        <v>0.315</v>
      </c>
      <c r="M585" s="62">
        <v>3.5000000000000003E-2</v>
      </c>
    </row>
    <row r="586" spans="1:13" ht="23.25">
      <c r="A586" s="16" t="s">
        <v>74</v>
      </c>
      <c r="B586" s="22">
        <v>69000</v>
      </c>
      <c r="C586" s="8">
        <v>4</v>
      </c>
      <c r="D586" s="58">
        <v>7250</v>
      </c>
      <c r="E586" s="58">
        <v>76250</v>
      </c>
      <c r="F586" s="58">
        <v>806</v>
      </c>
      <c r="G586" s="58">
        <v>17250</v>
      </c>
      <c r="H586" s="58">
        <v>1611</v>
      </c>
      <c r="I586" s="58">
        <v>18861</v>
      </c>
      <c r="K586" s="57"/>
      <c r="L586" s="68">
        <v>0.315</v>
      </c>
      <c r="M586" s="62">
        <v>3.5000000000000003E-2</v>
      </c>
    </row>
    <row r="587" spans="1:13" ht="23.25">
      <c r="A587" s="16" t="s">
        <v>74</v>
      </c>
      <c r="B587" s="22">
        <v>69000</v>
      </c>
      <c r="C587" s="10">
        <v>6</v>
      </c>
      <c r="D587" s="50">
        <v>10874</v>
      </c>
      <c r="E587" s="50">
        <v>79874</v>
      </c>
      <c r="F587" s="50">
        <v>1208</v>
      </c>
      <c r="G587" s="50">
        <v>11500</v>
      </c>
      <c r="H587" s="50">
        <v>1611</v>
      </c>
      <c r="I587" s="50">
        <v>13111</v>
      </c>
      <c r="K587" s="59"/>
      <c r="L587" s="68">
        <v>0.315</v>
      </c>
      <c r="M587" s="62">
        <v>3.5000000000000003E-2</v>
      </c>
    </row>
    <row r="588" spans="1:13" ht="23.25">
      <c r="A588" s="16" t="s">
        <v>74</v>
      </c>
      <c r="B588" s="22">
        <v>69000</v>
      </c>
      <c r="C588" s="8">
        <v>8</v>
      </c>
      <c r="D588" s="58">
        <v>14499</v>
      </c>
      <c r="E588" s="58">
        <v>83499</v>
      </c>
      <c r="F588" s="58">
        <v>1611</v>
      </c>
      <c r="G588" s="58">
        <v>8625</v>
      </c>
      <c r="H588" s="58">
        <v>1611</v>
      </c>
      <c r="I588" s="58">
        <v>10236</v>
      </c>
      <c r="K588" s="57"/>
      <c r="L588" s="68">
        <v>0.315</v>
      </c>
      <c r="M588" s="62">
        <v>3.5000000000000003E-2</v>
      </c>
    </row>
    <row r="589" spans="1:13" ht="23.25">
      <c r="A589" s="16" t="s">
        <v>74</v>
      </c>
      <c r="B589" s="22">
        <v>69000</v>
      </c>
      <c r="C589" s="9">
        <v>10</v>
      </c>
      <c r="D589" s="49">
        <v>18123</v>
      </c>
      <c r="E589" s="49">
        <v>87123</v>
      </c>
      <c r="F589" s="49">
        <v>2013</v>
      </c>
      <c r="G589" s="49">
        <v>6900</v>
      </c>
      <c r="H589" s="52">
        <v>1611</v>
      </c>
      <c r="I589" s="49">
        <v>8511</v>
      </c>
      <c r="K589" s="63"/>
      <c r="L589" s="68">
        <v>0.315</v>
      </c>
      <c r="M589" s="62">
        <v>3.5000000000000003E-2</v>
      </c>
    </row>
    <row r="590" spans="1:13" ht="23.25">
      <c r="A590" s="16" t="s">
        <v>74</v>
      </c>
      <c r="B590" s="22">
        <v>69000</v>
      </c>
      <c r="C590" s="8">
        <v>12</v>
      </c>
      <c r="D590" s="58">
        <v>21748</v>
      </c>
      <c r="E590" s="58">
        <v>90748</v>
      </c>
      <c r="F590" s="58">
        <v>2416</v>
      </c>
      <c r="G590" s="58">
        <v>5750</v>
      </c>
      <c r="H590" s="58">
        <v>1611</v>
      </c>
      <c r="I590" s="58">
        <v>7361</v>
      </c>
      <c r="K590" s="57"/>
      <c r="L590" s="68">
        <v>0.315</v>
      </c>
      <c r="M590" s="62">
        <v>3.5000000000000003E-2</v>
      </c>
    </row>
    <row r="591" spans="1:13" ht="24" thickBot="1">
      <c r="A591" s="20" t="s">
        <v>74</v>
      </c>
      <c r="B591" s="26">
        <v>69000</v>
      </c>
      <c r="C591" s="5">
        <v>14</v>
      </c>
      <c r="D591" s="64">
        <v>25364</v>
      </c>
      <c r="E591" s="64">
        <v>94364</v>
      </c>
      <c r="F591" s="64">
        <v>2818</v>
      </c>
      <c r="G591" s="64">
        <v>4929</v>
      </c>
      <c r="H591" s="64">
        <v>1610</v>
      </c>
      <c r="I591" s="64">
        <v>6539</v>
      </c>
      <c r="K591" s="65"/>
      <c r="L591" s="68">
        <v>0.315</v>
      </c>
      <c r="M591" s="62">
        <v>3.5000000000000003E-2</v>
      </c>
    </row>
    <row r="592" spans="1:13" ht="24" thickTop="1">
      <c r="A592" s="17" t="s">
        <v>74</v>
      </c>
      <c r="B592" s="23">
        <v>69000</v>
      </c>
      <c r="C592" s="11">
        <v>16</v>
      </c>
      <c r="D592" s="31">
        <v>28989</v>
      </c>
      <c r="E592" s="31">
        <v>97989</v>
      </c>
      <c r="F592" s="31">
        <v>3221</v>
      </c>
      <c r="G592" s="31">
        <v>4313</v>
      </c>
      <c r="H592" s="31">
        <v>1610</v>
      </c>
      <c r="I592" s="31">
        <v>5923</v>
      </c>
      <c r="K592" s="11"/>
      <c r="L592" s="68">
        <v>0.315</v>
      </c>
      <c r="M592" s="62">
        <v>3.5000000000000003E-2</v>
      </c>
    </row>
    <row r="593" spans="1:13" ht="23.25">
      <c r="A593" s="18" t="s">
        <v>74</v>
      </c>
      <c r="B593" s="24">
        <v>69000</v>
      </c>
      <c r="C593" s="9">
        <v>18</v>
      </c>
      <c r="D593" s="49">
        <v>32615</v>
      </c>
      <c r="E593" s="49">
        <v>101615</v>
      </c>
      <c r="F593" s="49">
        <v>3623</v>
      </c>
      <c r="G593" s="49">
        <v>3834</v>
      </c>
      <c r="H593" s="49">
        <v>1610</v>
      </c>
      <c r="I593" s="49">
        <v>5444</v>
      </c>
      <c r="K593" s="63"/>
      <c r="L593" s="68">
        <v>0.315</v>
      </c>
      <c r="M593" s="62">
        <v>3.5000000000000003E-2</v>
      </c>
    </row>
    <row r="594" spans="1:13" ht="23.25">
      <c r="A594" s="18" t="s">
        <v>74</v>
      </c>
      <c r="B594" s="24">
        <v>69000</v>
      </c>
      <c r="C594" s="8">
        <v>20</v>
      </c>
      <c r="D594" s="58">
        <v>36246</v>
      </c>
      <c r="E594" s="58">
        <v>105246</v>
      </c>
      <c r="F594" s="58">
        <v>4026</v>
      </c>
      <c r="G594" s="58">
        <v>3450</v>
      </c>
      <c r="H594" s="58">
        <v>1611</v>
      </c>
      <c r="I594" s="58">
        <v>5061</v>
      </c>
      <c r="K594" s="57"/>
      <c r="L594" s="68">
        <v>0.315</v>
      </c>
      <c r="M594" s="62">
        <v>3.5000000000000003E-2</v>
      </c>
    </row>
    <row r="595" spans="1:13" ht="23.25">
      <c r="A595" s="18" t="s">
        <v>74</v>
      </c>
      <c r="B595" s="24">
        <v>69000</v>
      </c>
      <c r="C595" s="10">
        <v>22</v>
      </c>
      <c r="D595" s="50">
        <v>39862</v>
      </c>
      <c r="E595" s="50">
        <v>108862</v>
      </c>
      <c r="F595" s="50">
        <v>4428</v>
      </c>
      <c r="G595" s="50">
        <v>3137</v>
      </c>
      <c r="H595" s="50">
        <v>1610</v>
      </c>
      <c r="I595" s="50">
        <v>4747</v>
      </c>
      <c r="K595" s="59"/>
      <c r="L595" s="68">
        <v>0.315</v>
      </c>
      <c r="M595" s="62">
        <v>3.5000000000000003E-2</v>
      </c>
    </row>
    <row r="596" spans="1:13" ht="23.25">
      <c r="A596" s="18" t="s">
        <v>74</v>
      </c>
      <c r="B596" s="24">
        <v>69000</v>
      </c>
      <c r="C596" s="8">
        <v>24</v>
      </c>
      <c r="D596" s="58">
        <v>43495</v>
      </c>
      <c r="E596" s="58">
        <v>112495</v>
      </c>
      <c r="F596" s="58">
        <v>4831</v>
      </c>
      <c r="G596" s="58">
        <v>2875</v>
      </c>
      <c r="H596" s="58">
        <v>1611</v>
      </c>
      <c r="I596" s="58">
        <v>4486</v>
      </c>
      <c r="K596" s="57"/>
      <c r="L596" s="68">
        <v>0.315</v>
      </c>
      <c r="M596" s="62">
        <v>3.5000000000000003E-2</v>
      </c>
    </row>
    <row r="597" spans="1:13" ht="23.25">
      <c r="A597" s="18" t="s">
        <v>74</v>
      </c>
      <c r="B597" s="24">
        <v>70000</v>
      </c>
      <c r="C597" s="10">
        <v>4</v>
      </c>
      <c r="D597" s="50">
        <v>7353</v>
      </c>
      <c r="E597" s="50">
        <v>77353</v>
      </c>
      <c r="F597" s="50">
        <v>817</v>
      </c>
      <c r="G597" s="50">
        <v>17500</v>
      </c>
      <c r="H597" s="50">
        <v>1634</v>
      </c>
      <c r="I597" s="50">
        <v>19134</v>
      </c>
      <c r="K597" s="59"/>
      <c r="L597" s="68">
        <v>0.315</v>
      </c>
      <c r="M597" s="62">
        <v>3.5000000000000003E-2</v>
      </c>
    </row>
    <row r="598" spans="1:13" ht="23.25">
      <c r="A598" s="18" t="s">
        <v>74</v>
      </c>
      <c r="B598" s="24">
        <v>70000</v>
      </c>
      <c r="C598" s="8">
        <v>6</v>
      </c>
      <c r="D598" s="58">
        <v>11032</v>
      </c>
      <c r="E598" s="58">
        <v>81032</v>
      </c>
      <c r="F598" s="58">
        <v>1226</v>
      </c>
      <c r="G598" s="58">
        <v>11667</v>
      </c>
      <c r="H598" s="58">
        <v>1634</v>
      </c>
      <c r="I598" s="58">
        <v>13301</v>
      </c>
      <c r="K598" s="57"/>
      <c r="L598" s="68">
        <v>0.315</v>
      </c>
      <c r="M598" s="62">
        <v>3.5000000000000003E-2</v>
      </c>
    </row>
    <row r="599" spans="1:13" ht="23.25">
      <c r="A599" s="18" t="s">
        <v>74</v>
      </c>
      <c r="B599" s="24">
        <v>70000</v>
      </c>
      <c r="C599" s="10">
        <v>8</v>
      </c>
      <c r="D599" s="50">
        <v>14706</v>
      </c>
      <c r="E599" s="50">
        <v>84706</v>
      </c>
      <c r="F599" s="50">
        <v>1634</v>
      </c>
      <c r="G599" s="50">
        <v>8750</v>
      </c>
      <c r="H599" s="52">
        <v>1634</v>
      </c>
      <c r="I599" s="50">
        <v>10384</v>
      </c>
      <c r="K599" s="59"/>
      <c r="L599" s="68">
        <v>0.315</v>
      </c>
      <c r="M599" s="62">
        <v>3.5000000000000003E-2</v>
      </c>
    </row>
    <row r="600" spans="1:13" ht="23.25">
      <c r="A600" s="18" t="s">
        <v>74</v>
      </c>
      <c r="B600" s="24">
        <v>70000</v>
      </c>
      <c r="C600" s="8">
        <v>10</v>
      </c>
      <c r="D600" s="58">
        <v>18382</v>
      </c>
      <c r="E600" s="58">
        <v>88382</v>
      </c>
      <c r="F600" s="58">
        <v>2042</v>
      </c>
      <c r="G600" s="58">
        <v>7000</v>
      </c>
      <c r="H600" s="58">
        <v>1634</v>
      </c>
      <c r="I600" s="58">
        <v>8634</v>
      </c>
      <c r="K600" s="57"/>
      <c r="L600" s="68">
        <v>0.315</v>
      </c>
      <c r="M600" s="62">
        <v>3.5000000000000003E-2</v>
      </c>
    </row>
    <row r="601" spans="1:13" ht="23.25">
      <c r="A601" s="18" t="s">
        <v>74</v>
      </c>
      <c r="B601" s="24">
        <v>70000</v>
      </c>
      <c r="C601" s="9">
        <v>12</v>
      </c>
      <c r="D601" s="49">
        <v>22055</v>
      </c>
      <c r="E601" s="49">
        <v>92055</v>
      </c>
      <c r="F601" s="49">
        <v>2451</v>
      </c>
      <c r="G601" s="49">
        <v>5834</v>
      </c>
      <c r="H601" s="49">
        <v>1633</v>
      </c>
      <c r="I601" s="49">
        <v>7467</v>
      </c>
      <c r="K601" s="63"/>
      <c r="L601" s="68">
        <v>0.315</v>
      </c>
      <c r="M601" s="62">
        <v>3.5000000000000003E-2</v>
      </c>
    </row>
    <row r="602" spans="1:13" ht="24" thickBot="1">
      <c r="A602" s="19" t="s">
        <v>74</v>
      </c>
      <c r="B602" s="25">
        <v>70000</v>
      </c>
      <c r="C602" s="4">
        <v>14</v>
      </c>
      <c r="D602" s="66">
        <v>25735</v>
      </c>
      <c r="E602" s="66">
        <v>95735</v>
      </c>
      <c r="F602" s="66">
        <v>2859</v>
      </c>
      <c r="G602" s="66">
        <v>5000</v>
      </c>
      <c r="H602" s="58">
        <v>1634</v>
      </c>
      <c r="I602" s="66">
        <v>6634</v>
      </c>
      <c r="K602" s="67"/>
      <c r="L602" s="68">
        <v>0.315</v>
      </c>
      <c r="M602" s="62">
        <v>3.5000000000000003E-2</v>
      </c>
    </row>
    <row r="603" spans="1:13" ht="24" thickTop="1">
      <c r="A603" s="15" t="s">
        <v>74</v>
      </c>
      <c r="B603" s="21">
        <v>70000</v>
      </c>
      <c r="C603" s="6">
        <v>16</v>
      </c>
      <c r="D603" s="37">
        <v>29411</v>
      </c>
      <c r="E603" s="37">
        <v>99411</v>
      </c>
      <c r="F603" s="37">
        <v>3267</v>
      </c>
      <c r="G603" s="37">
        <v>4375</v>
      </c>
      <c r="H603" s="37">
        <v>1634</v>
      </c>
      <c r="I603" s="37">
        <v>6009</v>
      </c>
      <c r="K603" s="6"/>
      <c r="L603" s="68">
        <v>0.315</v>
      </c>
      <c r="M603" s="62">
        <v>3.5000000000000003E-2</v>
      </c>
    </row>
    <row r="604" spans="1:13" ht="23.25">
      <c r="A604" s="16" t="s">
        <v>74</v>
      </c>
      <c r="B604" s="22">
        <v>70000</v>
      </c>
      <c r="C604" s="8">
        <v>18</v>
      </c>
      <c r="D604" s="58">
        <v>33090</v>
      </c>
      <c r="E604" s="58">
        <v>103090</v>
      </c>
      <c r="F604" s="58">
        <v>3676</v>
      </c>
      <c r="G604" s="58">
        <v>3889</v>
      </c>
      <c r="H604" s="58">
        <v>1634</v>
      </c>
      <c r="I604" s="58">
        <v>5523</v>
      </c>
      <c r="K604" s="57"/>
      <c r="L604" s="68">
        <v>0.315</v>
      </c>
      <c r="M604" s="62">
        <v>3.5000000000000003E-2</v>
      </c>
    </row>
    <row r="605" spans="1:13" ht="23.25">
      <c r="A605" s="16" t="s">
        <v>74</v>
      </c>
      <c r="B605" s="22">
        <v>70000</v>
      </c>
      <c r="C605" s="10">
        <v>20</v>
      </c>
      <c r="D605" s="50">
        <v>36764</v>
      </c>
      <c r="E605" s="50">
        <v>106764</v>
      </c>
      <c r="F605" s="50">
        <v>4084</v>
      </c>
      <c r="G605" s="50">
        <v>3500</v>
      </c>
      <c r="H605" s="49">
        <v>1634</v>
      </c>
      <c r="I605" s="50">
        <v>5134</v>
      </c>
      <c r="K605" s="59"/>
      <c r="L605" s="68">
        <v>0.315</v>
      </c>
      <c r="M605" s="62">
        <v>3.5000000000000003E-2</v>
      </c>
    </row>
    <row r="606" spans="1:13" ht="23.25">
      <c r="A606" s="16" t="s">
        <v>74</v>
      </c>
      <c r="B606" s="22">
        <v>70000</v>
      </c>
      <c r="C606" s="8">
        <v>22</v>
      </c>
      <c r="D606" s="58">
        <v>40444</v>
      </c>
      <c r="E606" s="58">
        <v>110444</v>
      </c>
      <c r="F606" s="58">
        <v>4492</v>
      </c>
      <c r="G606" s="58">
        <v>3182</v>
      </c>
      <c r="H606" s="58">
        <v>1634</v>
      </c>
      <c r="I606" s="58">
        <v>4816</v>
      </c>
      <c r="K606" s="57"/>
      <c r="L606" s="68">
        <v>0.315</v>
      </c>
      <c r="M606" s="62">
        <v>3.5000000000000003E-2</v>
      </c>
    </row>
    <row r="607" spans="1:13" ht="23.25">
      <c r="A607" s="16" t="s">
        <v>74</v>
      </c>
      <c r="B607" s="22">
        <v>70000</v>
      </c>
      <c r="C607" s="10">
        <v>24</v>
      </c>
      <c r="D607" s="50">
        <v>44125</v>
      </c>
      <c r="E607" s="50">
        <v>114125</v>
      </c>
      <c r="F607" s="50">
        <v>4901</v>
      </c>
      <c r="G607" s="50">
        <v>2917</v>
      </c>
      <c r="H607" s="50">
        <v>1634</v>
      </c>
      <c r="I607" s="50">
        <v>4551</v>
      </c>
      <c r="K607" s="59"/>
      <c r="L607" s="68">
        <v>0.315</v>
      </c>
      <c r="M607" s="62">
        <v>3.5000000000000003E-2</v>
      </c>
    </row>
    <row r="608" spans="1:13" ht="23.25">
      <c r="A608" s="16" t="s">
        <v>74</v>
      </c>
      <c r="B608" s="22">
        <v>71000</v>
      </c>
      <c r="C608" s="8">
        <v>4</v>
      </c>
      <c r="D608" s="58">
        <v>7457</v>
      </c>
      <c r="E608" s="58">
        <v>78457</v>
      </c>
      <c r="F608" s="58">
        <v>829</v>
      </c>
      <c r="G608" s="58">
        <v>17750</v>
      </c>
      <c r="H608" s="58">
        <v>1657</v>
      </c>
      <c r="I608" s="58">
        <v>19407</v>
      </c>
      <c r="K608" s="57"/>
      <c r="L608" s="68">
        <v>0.315</v>
      </c>
      <c r="M608" s="62">
        <v>3.5000000000000003E-2</v>
      </c>
    </row>
    <row r="609" spans="1:13" ht="23.25">
      <c r="A609" s="16" t="s">
        <v>74</v>
      </c>
      <c r="B609" s="22">
        <v>71000</v>
      </c>
      <c r="C609" s="10">
        <v>6</v>
      </c>
      <c r="D609" s="50">
        <v>11189</v>
      </c>
      <c r="E609" s="50">
        <v>82189</v>
      </c>
      <c r="F609" s="50">
        <v>1243</v>
      </c>
      <c r="G609" s="50">
        <v>11834</v>
      </c>
      <c r="H609" s="50">
        <v>1657</v>
      </c>
      <c r="I609" s="50">
        <v>13491</v>
      </c>
      <c r="K609" s="59"/>
      <c r="L609" s="68">
        <v>0.315</v>
      </c>
      <c r="M609" s="62">
        <v>3.5000000000000003E-2</v>
      </c>
    </row>
    <row r="610" spans="1:13" ht="23.25">
      <c r="A610" s="16" t="s">
        <v>74</v>
      </c>
      <c r="B610" s="22">
        <v>71000</v>
      </c>
      <c r="C610" s="8">
        <v>8</v>
      </c>
      <c r="D610" s="58">
        <v>14913</v>
      </c>
      <c r="E610" s="58">
        <v>85913</v>
      </c>
      <c r="F610" s="58">
        <v>1657</v>
      </c>
      <c r="G610" s="58">
        <v>8875</v>
      </c>
      <c r="H610" s="58">
        <v>1657</v>
      </c>
      <c r="I610" s="58">
        <v>10532</v>
      </c>
      <c r="K610" s="57"/>
      <c r="L610" s="68">
        <v>0.315</v>
      </c>
      <c r="M610" s="62">
        <v>3.5000000000000003E-2</v>
      </c>
    </row>
    <row r="611" spans="1:13" ht="23.25">
      <c r="A611" s="16" t="s">
        <v>74</v>
      </c>
      <c r="B611" s="22">
        <v>71000</v>
      </c>
      <c r="C611" s="9">
        <v>10</v>
      </c>
      <c r="D611" s="49">
        <v>18641</v>
      </c>
      <c r="E611" s="49">
        <v>89641</v>
      </c>
      <c r="F611" s="49">
        <v>2071</v>
      </c>
      <c r="G611" s="49">
        <v>7100</v>
      </c>
      <c r="H611" s="52">
        <v>1657</v>
      </c>
      <c r="I611" s="49">
        <v>8757</v>
      </c>
      <c r="K611" s="63"/>
      <c r="L611" s="68">
        <v>0.315</v>
      </c>
      <c r="M611" s="62">
        <v>3.5000000000000003E-2</v>
      </c>
    </row>
    <row r="612" spans="1:13" ht="23.25">
      <c r="A612" s="16" t="s">
        <v>74</v>
      </c>
      <c r="B612" s="22">
        <v>71000</v>
      </c>
      <c r="C612" s="8">
        <v>12</v>
      </c>
      <c r="D612" s="58">
        <v>22374</v>
      </c>
      <c r="E612" s="58">
        <v>93374</v>
      </c>
      <c r="F612" s="58">
        <v>2486</v>
      </c>
      <c r="G612" s="58">
        <v>5917</v>
      </c>
      <c r="H612" s="58">
        <v>1657</v>
      </c>
      <c r="I612" s="58">
        <v>7574</v>
      </c>
      <c r="K612" s="57"/>
      <c r="L612" s="68">
        <v>0.315</v>
      </c>
      <c r="M612" s="62">
        <v>3.5000000000000003E-2</v>
      </c>
    </row>
    <row r="613" spans="1:13" ht="24" thickBot="1">
      <c r="A613" s="20" t="s">
        <v>74</v>
      </c>
      <c r="B613" s="26">
        <v>71000</v>
      </c>
      <c r="C613" s="5">
        <v>14</v>
      </c>
      <c r="D613" s="64">
        <v>26106</v>
      </c>
      <c r="E613" s="64">
        <v>97106</v>
      </c>
      <c r="F613" s="64">
        <v>2900</v>
      </c>
      <c r="G613" s="64">
        <v>5072</v>
      </c>
      <c r="H613" s="49">
        <v>1657</v>
      </c>
      <c r="I613" s="64">
        <v>6729</v>
      </c>
      <c r="K613" s="65"/>
      <c r="L613" s="68">
        <v>0.315</v>
      </c>
      <c r="M613" s="62">
        <v>3.5000000000000003E-2</v>
      </c>
    </row>
    <row r="614" spans="1:13" ht="24" thickTop="1">
      <c r="A614" s="17" t="s">
        <v>74</v>
      </c>
      <c r="B614" s="23">
        <v>71000</v>
      </c>
      <c r="C614" s="11">
        <v>16</v>
      </c>
      <c r="D614" s="31">
        <v>29834</v>
      </c>
      <c r="E614" s="31">
        <v>100834</v>
      </c>
      <c r="F614" s="31">
        <v>3314</v>
      </c>
      <c r="G614" s="31">
        <v>4438</v>
      </c>
      <c r="H614" s="31">
        <v>1657</v>
      </c>
      <c r="I614" s="31">
        <v>6095</v>
      </c>
      <c r="K614" s="11"/>
      <c r="L614" s="68">
        <v>0.315</v>
      </c>
      <c r="M614" s="62">
        <v>3.5000000000000003E-2</v>
      </c>
    </row>
    <row r="615" spans="1:13" ht="23.25">
      <c r="A615" s="18" t="s">
        <v>74</v>
      </c>
      <c r="B615" s="24">
        <v>71000</v>
      </c>
      <c r="C615" s="9">
        <v>18</v>
      </c>
      <c r="D615" s="49">
        <v>33564</v>
      </c>
      <c r="E615" s="49">
        <v>104564</v>
      </c>
      <c r="F615" s="49">
        <v>3728</v>
      </c>
      <c r="G615" s="49">
        <v>3945</v>
      </c>
      <c r="H615" s="49">
        <v>1657</v>
      </c>
      <c r="I615" s="49">
        <v>5602</v>
      </c>
      <c r="K615" s="63"/>
      <c r="L615" s="68">
        <v>0.315</v>
      </c>
      <c r="M615" s="62">
        <v>3.5000000000000003E-2</v>
      </c>
    </row>
    <row r="616" spans="1:13" ht="23.25">
      <c r="A616" s="18" t="s">
        <v>74</v>
      </c>
      <c r="B616" s="24">
        <v>71000</v>
      </c>
      <c r="C616" s="8">
        <v>20</v>
      </c>
      <c r="D616" s="58">
        <v>37282</v>
      </c>
      <c r="E616" s="58">
        <v>108282</v>
      </c>
      <c r="F616" s="58">
        <v>4142</v>
      </c>
      <c r="G616" s="58">
        <v>3550</v>
      </c>
      <c r="H616" s="58">
        <v>1657</v>
      </c>
      <c r="I616" s="58">
        <v>5207</v>
      </c>
      <c r="K616" s="57"/>
      <c r="L616" s="68">
        <v>0.315</v>
      </c>
      <c r="M616" s="62">
        <v>3.5000000000000003E-2</v>
      </c>
    </row>
    <row r="617" spans="1:13" ht="23.25">
      <c r="A617" s="18" t="s">
        <v>74</v>
      </c>
      <c r="B617" s="24">
        <v>71000</v>
      </c>
      <c r="C617" s="10">
        <v>22</v>
      </c>
      <c r="D617" s="50">
        <v>41004</v>
      </c>
      <c r="E617" s="50">
        <v>112004</v>
      </c>
      <c r="F617" s="50">
        <v>4556</v>
      </c>
      <c r="G617" s="50">
        <v>3228</v>
      </c>
      <c r="H617" s="50">
        <v>1656</v>
      </c>
      <c r="I617" s="50">
        <v>4884</v>
      </c>
      <c r="K617" s="59"/>
      <c r="L617" s="68">
        <v>0.315</v>
      </c>
      <c r="M617" s="62">
        <v>3.5000000000000003E-2</v>
      </c>
    </row>
    <row r="618" spans="1:13" ht="23.25">
      <c r="A618" s="18" t="s">
        <v>74</v>
      </c>
      <c r="B618" s="24">
        <v>71000</v>
      </c>
      <c r="C618" s="8">
        <v>24</v>
      </c>
      <c r="D618" s="58">
        <v>44755</v>
      </c>
      <c r="E618" s="58">
        <v>115755</v>
      </c>
      <c r="F618" s="58">
        <v>4971</v>
      </c>
      <c r="G618" s="58">
        <v>2959</v>
      </c>
      <c r="H618" s="58">
        <v>1657</v>
      </c>
      <c r="I618" s="58">
        <v>4616</v>
      </c>
      <c r="K618" s="57"/>
      <c r="L618" s="68">
        <v>0.315</v>
      </c>
      <c r="M618" s="62">
        <v>3.5000000000000003E-2</v>
      </c>
    </row>
    <row r="619" spans="1:13" ht="23.25">
      <c r="A619" s="18" t="s">
        <v>74</v>
      </c>
      <c r="B619" s="24">
        <v>72000</v>
      </c>
      <c r="C619" s="10">
        <v>4</v>
      </c>
      <c r="D619" s="50">
        <v>7565</v>
      </c>
      <c r="E619" s="50">
        <v>79565</v>
      </c>
      <c r="F619" s="50">
        <v>841</v>
      </c>
      <c r="G619" s="50">
        <v>18000</v>
      </c>
      <c r="H619" s="50">
        <v>1681</v>
      </c>
      <c r="I619" s="50">
        <v>19681</v>
      </c>
      <c r="K619" s="59"/>
      <c r="L619" s="68">
        <v>0.315</v>
      </c>
      <c r="M619" s="62">
        <v>3.5000000000000003E-2</v>
      </c>
    </row>
    <row r="620" spans="1:13" ht="23.25">
      <c r="A620" s="18" t="s">
        <v>74</v>
      </c>
      <c r="B620" s="24">
        <v>72000</v>
      </c>
      <c r="C620" s="8">
        <v>6</v>
      </c>
      <c r="D620" s="58">
        <v>11347</v>
      </c>
      <c r="E620" s="58">
        <v>83347</v>
      </c>
      <c r="F620" s="58">
        <v>1261</v>
      </c>
      <c r="G620" s="58">
        <v>12000</v>
      </c>
      <c r="H620" s="58">
        <v>1681</v>
      </c>
      <c r="I620" s="58">
        <v>13681</v>
      </c>
      <c r="K620" s="57"/>
      <c r="L620" s="68">
        <v>0.315</v>
      </c>
      <c r="M620" s="62">
        <v>3.5000000000000003E-2</v>
      </c>
    </row>
    <row r="621" spans="1:13" ht="23.25">
      <c r="A621" s="18" t="s">
        <v>74</v>
      </c>
      <c r="B621" s="24">
        <v>72000</v>
      </c>
      <c r="C621" s="10">
        <v>8</v>
      </c>
      <c r="D621" s="50">
        <v>15129</v>
      </c>
      <c r="E621" s="50">
        <v>87129</v>
      </c>
      <c r="F621" s="50">
        <v>1681</v>
      </c>
      <c r="G621" s="50">
        <v>9000</v>
      </c>
      <c r="H621" s="52">
        <v>1681</v>
      </c>
      <c r="I621" s="50">
        <v>10681</v>
      </c>
      <c r="K621" s="59"/>
      <c r="L621" s="68">
        <v>0.315</v>
      </c>
      <c r="M621" s="62">
        <v>3.5000000000000003E-2</v>
      </c>
    </row>
    <row r="622" spans="1:13" ht="23.25">
      <c r="A622" s="18" t="s">
        <v>74</v>
      </c>
      <c r="B622" s="24">
        <v>72000</v>
      </c>
      <c r="C622" s="8">
        <v>10</v>
      </c>
      <c r="D622" s="58">
        <v>18911</v>
      </c>
      <c r="E622" s="58">
        <v>90911</v>
      </c>
      <c r="F622" s="58">
        <v>2101</v>
      </c>
      <c r="G622" s="58">
        <v>7200</v>
      </c>
      <c r="H622" s="58">
        <v>1681</v>
      </c>
      <c r="I622" s="58">
        <v>8881</v>
      </c>
      <c r="K622" s="57"/>
      <c r="L622" s="68">
        <v>0.315</v>
      </c>
      <c r="M622" s="62">
        <v>3.5000000000000003E-2</v>
      </c>
    </row>
    <row r="623" spans="1:13" ht="23.25">
      <c r="A623" s="18" t="s">
        <v>74</v>
      </c>
      <c r="B623" s="24">
        <v>72000</v>
      </c>
      <c r="C623" s="9">
        <v>12</v>
      </c>
      <c r="D623" s="49">
        <v>22693</v>
      </c>
      <c r="E623" s="49">
        <v>94693</v>
      </c>
      <c r="F623" s="49">
        <v>2521</v>
      </c>
      <c r="G623" s="49">
        <v>6000</v>
      </c>
      <c r="H623" s="49">
        <v>1681</v>
      </c>
      <c r="I623" s="49">
        <v>7681</v>
      </c>
      <c r="K623" s="63"/>
      <c r="L623" s="68">
        <v>0.315</v>
      </c>
      <c r="M623" s="62">
        <v>3.5000000000000003E-2</v>
      </c>
    </row>
    <row r="624" spans="1:13" ht="24" thickBot="1">
      <c r="A624" s="19" t="s">
        <v>74</v>
      </c>
      <c r="B624" s="25">
        <v>72000</v>
      </c>
      <c r="C624" s="4">
        <v>14</v>
      </c>
      <c r="D624" s="66">
        <v>26463</v>
      </c>
      <c r="E624" s="66">
        <v>98463</v>
      </c>
      <c r="F624" s="66">
        <v>2941</v>
      </c>
      <c r="G624" s="66">
        <v>5143</v>
      </c>
      <c r="H624" s="58">
        <v>1680</v>
      </c>
      <c r="I624" s="66">
        <v>6823</v>
      </c>
      <c r="K624" s="67"/>
      <c r="L624" s="68">
        <v>0.315</v>
      </c>
      <c r="M624" s="62">
        <v>3.5000000000000003E-2</v>
      </c>
    </row>
    <row r="625" spans="1:13" ht="24" thickTop="1">
      <c r="A625" s="15" t="s">
        <v>74</v>
      </c>
      <c r="B625" s="21">
        <v>72000</v>
      </c>
      <c r="C625" s="6">
        <v>16</v>
      </c>
      <c r="D625" s="37">
        <v>30257</v>
      </c>
      <c r="E625" s="37">
        <v>102257</v>
      </c>
      <c r="F625" s="37">
        <v>3361</v>
      </c>
      <c r="G625" s="37">
        <v>4500</v>
      </c>
      <c r="H625" s="37">
        <v>1681</v>
      </c>
      <c r="I625" s="37">
        <v>6181</v>
      </c>
      <c r="K625" s="6"/>
      <c r="L625" s="68">
        <v>0.315</v>
      </c>
      <c r="M625" s="62">
        <v>3.5000000000000003E-2</v>
      </c>
    </row>
    <row r="626" spans="1:13" ht="23.25">
      <c r="A626" s="16" t="s">
        <v>74</v>
      </c>
      <c r="B626" s="22">
        <v>72000</v>
      </c>
      <c r="C626" s="8">
        <v>18</v>
      </c>
      <c r="D626" s="58">
        <v>34039</v>
      </c>
      <c r="E626" s="58">
        <v>106039</v>
      </c>
      <c r="F626" s="58">
        <v>3781</v>
      </c>
      <c r="G626" s="58">
        <v>4000</v>
      </c>
      <c r="H626" s="58">
        <v>1681</v>
      </c>
      <c r="I626" s="58">
        <v>5681</v>
      </c>
      <c r="K626" s="57"/>
      <c r="L626" s="68">
        <v>0.315</v>
      </c>
      <c r="M626" s="62">
        <v>3.5000000000000003E-2</v>
      </c>
    </row>
    <row r="627" spans="1:13" ht="23.25">
      <c r="A627" s="16" t="s">
        <v>74</v>
      </c>
      <c r="B627" s="22">
        <v>72000</v>
      </c>
      <c r="C627" s="10">
        <v>20</v>
      </c>
      <c r="D627" s="50">
        <v>37821</v>
      </c>
      <c r="E627" s="50">
        <v>109821</v>
      </c>
      <c r="F627" s="50">
        <v>4201</v>
      </c>
      <c r="G627" s="50">
        <v>3600</v>
      </c>
      <c r="H627" s="49">
        <v>1681</v>
      </c>
      <c r="I627" s="50">
        <v>5281</v>
      </c>
      <c r="K627" s="59"/>
      <c r="L627" s="68">
        <v>0.315</v>
      </c>
      <c r="M627" s="62">
        <v>3.5000000000000003E-2</v>
      </c>
    </row>
    <row r="628" spans="1:13" ht="23.25">
      <c r="A628" s="16" t="s">
        <v>74</v>
      </c>
      <c r="B628" s="22">
        <v>72000</v>
      </c>
      <c r="C628" s="8">
        <v>22</v>
      </c>
      <c r="D628" s="58">
        <v>41587</v>
      </c>
      <c r="E628" s="58">
        <v>113587</v>
      </c>
      <c r="F628" s="58">
        <v>4621</v>
      </c>
      <c r="G628" s="58">
        <v>3273</v>
      </c>
      <c r="H628" s="58">
        <v>1680</v>
      </c>
      <c r="I628" s="58">
        <v>4953</v>
      </c>
      <c r="K628" s="57"/>
      <c r="L628" s="68">
        <v>0.315</v>
      </c>
      <c r="M628" s="62">
        <v>3.5000000000000003E-2</v>
      </c>
    </row>
    <row r="629" spans="1:13" ht="23.25">
      <c r="A629" s="16" t="s">
        <v>74</v>
      </c>
      <c r="B629" s="22">
        <v>72000</v>
      </c>
      <c r="C629" s="10">
        <v>24</v>
      </c>
      <c r="D629" s="50">
        <v>45385</v>
      </c>
      <c r="E629" s="50">
        <v>117385</v>
      </c>
      <c r="F629" s="50">
        <v>5041</v>
      </c>
      <c r="G629" s="50">
        <v>3000</v>
      </c>
      <c r="H629" s="50">
        <v>1681</v>
      </c>
      <c r="I629" s="50">
        <v>4681</v>
      </c>
      <c r="K629" s="59"/>
      <c r="L629" s="68">
        <v>0.315</v>
      </c>
      <c r="M629" s="62">
        <v>3.5000000000000003E-2</v>
      </c>
    </row>
    <row r="630" spans="1:13" ht="23.25">
      <c r="A630" s="16" t="s">
        <v>74</v>
      </c>
      <c r="B630" s="22">
        <v>73000</v>
      </c>
      <c r="C630" s="8">
        <v>4</v>
      </c>
      <c r="D630" s="58">
        <v>7668</v>
      </c>
      <c r="E630" s="58">
        <v>80668</v>
      </c>
      <c r="F630" s="58">
        <v>852</v>
      </c>
      <c r="G630" s="58">
        <v>18250</v>
      </c>
      <c r="H630" s="58">
        <v>1704</v>
      </c>
      <c r="I630" s="58">
        <v>19954</v>
      </c>
      <c r="K630" s="57"/>
      <c r="L630" s="68">
        <v>0.315</v>
      </c>
      <c r="M630" s="62">
        <v>3.5000000000000003E-2</v>
      </c>
    </row>
    <row r="631" spans="1:13" ht="23.25">
      <c r="A631" s="16" t="s">
        <v>74</v>
      </c>
      <c r="B631" s="22">
        <v>73000</v>
      </c>
      <c r="C631" s="10">
        <v>6</v>
      </c>
      <c r="D631" s="50">
        <v>11504</v>
      </c>
      <c r="E631" s="50">
        <v>84504</v>
      </c>
      <c r="F631" s="50">
        <v>1278</v>
      </c>
      <c r="G631" s="50">
        <v>12167</v>
      </c>
      <c r="H631" s="50">
        <v>1704</v>
      </c>
      <c r="I631" s="50">
        <v>13871</v>
      </c>
      <c r="K631" s="59"/>
      <c r="L631" s="68">
        <v>0.315</v>
      </c>
      <c r="M631" s="62">
        <v>3.5000000000000003E-2</v>
      </c>
    </row>
    <row r="632" spans="1:13" ht="23.25">
      <c r="A632" s="16" t="s">
        <v>74</v>
      </c>
      <c r="B632" s="22">
        <v>73000</v>
      </c>
      <c r="C632" s="8">
        <v>8</v>
      </c>
      <c r="D632" s="58">
        <v>15336</v>
      </c>
      <c r="E632" s="58">
        <v>88336</v>
      </c>
      <c r="F632" s="58">
        <v>1704</v>
      </c>
      <c r="G632" s="58">
        <v>9125</v>
      </c>
      <c r="H632" s="58">
        <v>1704</v>
      </c>
      <c r="I632" s="58">
        <v>10829</v>
      </c>
      <c r="K632" s="57"/>
      <c r="L632" s="68">
        <v>0.315</v>
      </c>
      <c r="M632" s="62">
        <v>3.5000000000000003E-2</v>
      </c>
    </row>
    <row r="633" spans="1:13" ht="23.25">
      <c r="A633" s="16" t="s">
        <v>74</v>
      </c>
      <c r="B633" s="22">
        <v>73000</v>
      </c>
      <c r="C633" s="9">
        <v>10</v>
      </c>
      <c r="D633" s="49">
        <v>19170</v>
      </c>
      <c r="E633" s="49">
        <v>92170</v>
      </c>
      <c r="F633" s="49">
        <v>2130</v>
      </c>
      <c r="G633" s="49">
        <v>7300</v>
      </c>
      <c r="H633" s="52">
        <v>1704</v>
      </c>
      <c r="I633" s="49">
        <v>9004</v>
      </c>
      <c r="K633" s="63"/>
      <c r="L633" s="68">
        <v>0.315</v>
      </c>
      <c r="M633" s="62">
        <v>3.5000000000000003E-2</v>
      </c>
    </row>
    <row r="634" spans="1:13" ht="23.25">
      <c r="A634" s="16" t="s">
        <v>74</v>
      </c>
      <c r="B634" s="22">
        <v>73000</v>
      </c>
      <c r="C634" s="8">
        <v>12</v>
      </c>
      <c r="D634" s="58">
        <v>23000</v>
      </c>
      <c r="E634" s="58">
        <v>96000</v>
      </c>
      <c r="F634" s="58">
        <v>2556</v>
      </c>
      <c r="G634" s="58">
        <v>6084</v>
      </c>
      <c r="H634" s="58">
        <v>1703</v>
      </c>
      <c r="I634" s="58">
        <v>7787</v>
      </c>
      <c r="K634" s="57"/>
      <c r="L634" s="68">
        <v>0.315</v>
      </c>
      <c r="M634" s="62">
        <v>3.5000000000000003E-2</v>
      </c>
    </row>
    <row r="635" spans="1:13" ht="24" thickBot="1">
      <c r="A635" s="20" t="s">
        <v>74</v>
      </c>
      <c r="B635" s="26">
        <v>73000</v>
      </c>
      <c r="C635" s="5">
        <v>14</v>
      </c>
      <c r="D635" s="64">
        <v>26833</v>
      </c>
      <c r="E635" s="64">
        <v>99833</v>
      </c>
      <c r="F635" s="64">
        <v>2981</v>
      </c>
      <c r="G635" s="64">
        <v>5215</v>
      </c>
      <c r="H635" s="49">
        <v>1703</v>
      </c>
      <c r="I635" s="64">
        <v>6918</v>
      </c>
      <c r="K635" s="65"/>
      <c r="L635" s="68">
        <v>0.315</v>
      </c>
      <c r="M635" s="62">
        <v>3.5000000000000003E-2</v>
      </c>
    </row>
    <row r="636" spans="1:13" ht="24" thickTop="1">
      <c r="A636" s="17" t="s">
        <v>74</v>
      </c>
      <c r="B636" s="23">
        <v>73000</v>
      </c>
      <c r="C636" s="11">
        <v>16</v>
      </c>
      <c r="D636" s="31">
        <v>30663</v>
      </c>
      <c r="E636" s="31">
        <v>103663</v>
      </c>
      <c r="F636" s="31">
        <v>3407</v>
      </c>
      <c r="G636" s="31">
        <v>4563</v>
      </c>
      <c r="H636" s="31">
        <v>1703</v>
      </c>
      <c r="I636" s="31">
        <v>6266</v>
      </c>
      <c r="K636" s="11"/>
      <c r="L636" s="68">
        <v>0.315</v>
      </c>
      <c r="M636" s="62">
        <v>3.5000000000000003E-2</v>
      </c>
    </row>
    <row r="637" spans="1:13" ht="23.25">
      <c r="A637" s="18" t="s">
        <v>74</v>
      </c>
      <c r="B637" s="24">
        <v>73000</v>
      </c>
      <c r="C637" s="9">
        <v>18</v>
      </c>
      <c r="D637" s="49">
        <v>34495</v>
      </c>
      <c r="E637" s="49">
        <v>107495</v>
      </c>
      <c r="F637" s="49">
        <v>3833</v>
      </c>
      <c r="G637" s="49">
        <v>4056</v>
      </c>
      <c r="H637" s="49">
        <v>1703</v>
      </c>
      <c r="I637" s="49">
        <v>5759</v>
      </c>
      <c r="K637" s="63"/>
      <c r="L637" s="68">
        <v>0.315</v>
      </c>
      <c r="M637" s="62">
        <v>3.5000000000000003E-2</v>
      </c>
    </row>
    <row r="638" spans="1:13" ht="23.25">
      <c r="A638" s="18" t="s">
        <v>74</v>
      </c>
      <c r="B638" s="24">
        <v>73000</v>
      </c>
      <c r="C638" s="8">
        <v>20</v>
      </c>
      <c r="D638" s="58">
        <v>38339</v>
      </c>
      <c r="E638" s="58">
        <v>111339</v>
      </c>
      <c r="F638" s="58">
        <v>4259</v>
      </c>
      <c r="G638" s="58">
        <v>3650</v>
      </c>
      <c r="H638" s="58">
        <v>1704</v>
      </c>
      <c r="I638" s="58">
        <v>5354</v>
      </c>
      <c r="K638" s="57"/>
      <c r="L638" s="68">
        <v>0.315</v>
      </c>
      <c r="M638" s="62">
        <v>3.5000000000000003E-2</v>
      </c>
    </row>
    <row r="639" spans="1:13" ht="23.25">
      <c r="A639" s="18" t="s">
        <v>74</v>
      </c>
      <c r="B639" s="24">
        <v>73000</v>
      </c>
      <c r="C639" s="10">
        <v>22</v>
      </c>
      <c r="D639" s="50">
        <v>42169</v>
      </c>
      <c r="E639" s="50">
        <v>115169</v>
      </c>
      <c r="F639" s="50">
        <v>4685</v>
      </c>
      <c r="G639" s="50">
        <v>3319</v>
      </c>
      <c r="H639" s="50">
        <v>1703</v>
      </c>
      <c r="I639" s="50">
        <v>5022</v>
      </c>
      <c r="K639" s="59"/>
      <c r="L639" s="68">
        <v>0.315</v>
      </c>
      <c r="M639" s="62">
        <v>3.5000000000000003E-2</v>
      </c>
    </row>
    <row r="640" spans="1:13" ht="23.25">
      <c r="A640" s="18" t="s">
        <v>74</v>
      </c>
      <c r="B640" s="24">
        <v>73000</v>
      </c>
      <c r="C640" s="8">
        <v>24</v>
      </c>
      <c r="D640" s="58">
        <v>46015</v>
      </c>
      <c r="E640" s="58">
        <v>119015</v>
      </c>
      <c r="F640" s="58">
        <v>5111</v>
      </c>
      <c r="G640" s="58">
        <v>3042</v>
      </c>
      <c r="H640" s="58">
        <v>1704</v>
      </c>
      <c r="I640" s="58">
        <v>4746</v>
      </c>
      <c r="K640" s="57"/>
      <c r="L640" s="68">
        <v>0.315</v>
      </c>
      <c r="M640" s="62">
        <v>3.5000000000000003E-2</v>
      </c>
    </row>
    <row r="641" spans="1:13" ht="23.25">
      <c r="A641" s="18" t="s">
        <v>74</v>
      </c>
      <c r="B641" s="24">
        <v>74000</v>
      </c>
      <c r="C641" s="10">
        <v>4</v>
      </c>
      <c r="D641" s="50">
        <v>7772</v>
      </c>
      <c r="E641" s="50">
        <v>81772</v>
      </c>
      <c r="F641" s="50">
        <v>864</v>
      </c>
      <c r="G641" s="50">
        <v>18500</v>
      </c>
      <c r="H641" s="50">
        <v>1727</v>
      </c>
      <c r="I641" s="50">
        <v>20227</v>
      </c>
      <c r="K641" s="59"/>
      <c r="L641" s="68">
        <v>0.315</v>
      </c>
      <c r="M641" s="62">
        <v>3.5000000000000003E-2</v>
      </c>
    </row>
    <row r="642" spans="1:13" ht="23.25">
      <c r="A642" s="18" t="s">
        <v>74</v>
      </c>
      <c r="B642" s="24">
        <v>74000</v>
      </c>
      <c r="C642" s="8">
        <v>6</v>
      </c>
      <c r="D642" s="58">
        <v>11662</v>
      </c>
      <c r="E642" s="58">
        <v>85662</v>
      </c>
      <c r="F642" s="58">
        <v>1296</v>
      </c>
      <c r="G642" s="58">
        <v>12334</v>
      </c>
      <c r="H642" s="58">
        <v>1727</v>
      </c>
      <c r="I642" s="58">
        <v>14061</v>
      </c>
      <c r="K642" s="57"/>
      <c r="L642" s="68">
        <v>0.315</v>
      </c>
      <c r="M642" s="62">
        <v>3.5000000000000003E-2</v>
      </c>
    </row>
    <row r="643" spans="1:13" ht="23.25">
      <c r="A643" s="18" t="s">
        <v>74</v>
      </c>
      <c r="B643" s="24">
        <v>74000</v>
      </c>
      <c r="C643" s="10">
        <v>8</v>
      </c>
      <c r="D643" s="50">
        <v>15543</v>
      </c>
      <c r="E643" s="50">
        <v>89543</v>
      </c>
      <c r="F643" s="50">
        <v>1727</v>
      </c>
      <c r="G643" s="50">
        <v>9250</v>
      </c>
      <c r="H643" s="52">
        <v>1727</v>
      </c>
      <c r="I643" s="50">
        <v>10977</v>
      </c>
      <c r="K643" s="59"/>
      <c r="L643" s="68">
        <v>0.315</v>
      </c>
      <c r="M643" s="62">
        <v>3.5000000000000003E-2</v>
      </c>
    </row>
    <row r="644" spans="1:13" ht="23.25">
      <c r="A644" s="18" t="s">
        <v>74</v>
      </c>
      <c r="B644" s="24">
        <v>74000</v>
      </c>
      <c r="C644" s="8">
        <v>10</v>
      </c>
      <c r="D644" s="58">
        <v>19429</v>
      </c>
      <c r="E644" s="58">
        <v>93429</v>
      </c>
      <c r="F644" s="58">
        <v>2159</v>
      </c>
      <c r="G644" s="58">
        <v>7400</v>
      </c>
      <c r="H644" s="58">
        <v>1727</v>
      </c>
      <c r="I644" s="58">
        <v>9127</v>
      </c>
      <c r="K644" s="57"/>
      <c r="L644" s="68">
        <v>0.315</v>
      </c>
      <c r="M644" s="62">
        <v>3.5000000000000003E-2</v>
      </c>
    </row>
    <row r="645" spans="1:13" ht="23.25">
      <c r="A645" s="18" t="s">
        <v>74</v>
      </c>
      <c r="B645" s="24">
        <v>74000</v>
      </c>
      <c r="C645" s="9">
        <v>12</v>
      </c>
      <c r="D645" s="49">
        <v>23319</v>
      </c>
      <c r="E645" s="49">
        <v>97319</v>
      </c>
      <c r="F645" s="49">
        <v>2591</v>
      </c>
      <c r="G645" s="49">
        <v>6167</v>
      </c>
      <c r="H645" s="49">
        <v>1727</v>
      </c>
      <c r="I645" s="49">
        <v>7894</v>
      </c>
      <c r="K645" s="63"/>
      <c r="L645" s="68">
        <v>0.315</v>
      </c>
      <c r="M645" s="62">
        <v>3.5000000000000003E-2</v>
      </c>
    </row>
    <row r="646" spans="1:13" ht="24" thickBot="1">
      <c r="A646" s="19" t="s">
        <v>74</v>
      </c>
      <c r="B646" s="25">
        <v>74000</v>
      </c>
      <c r="C646" s="4">
        <v>14</v>
      </c>
      <c r="D646" s="66">
        <v>27204</v>
      </c>
      <c r="E646" s="66">
        <v>101204</v>
      </c>
      <c r="F646" s="66">
        <v>3022</v>
      </c>
      <c r="G646" s="66">
        <v>5286</v>
      </c>
      <c r="H646" s="58">
        <v>1727</v>
      </c>
      <c r="I646" s="66">
        <v>7013</v>
      </c>
      <c r="K646" s="67"/>
      <c r="L646" s="68">
        <v>0.315</v>
      </c>
      <c r="M646" s="62">
        <v>3.5000000000000003E-2</v>
      </c>
    </row>
    <row r="647" spans="1:13" ht="24" thickTop="1">
      <c r="A647" s="15" t="s">
        <v>74</v>
      </c>
      <c r="B647" s="21">
        <v>74000</v>
      </c>
      <c r="C647" s="6">
        <v>16</v>
      </c>
      <c r="D647" s="37">
        <v>31086</v>
      </c>
      <c r="E647" s="37">
        <v>105086</v>
      </c>
      <c r="F647" s="37">
        <v>3454</v>
      </c>
      <c r="G647" s="37">
        <v>4625</v>
      </c>
      <c r="H647" s="37">
        <v>1727</v>
      </c>
      <c r="I647" s="37">
        <v>6352</v>
      </c>
      <c r="K647" s="6"/>
      <c r="L647" s="68">
        <v>0.315</v>
      </c>
      <c r="M647" s="62">
        <v>3.5000000000000003E-2</v>
      </c>
    </row>
    <row r="648" spans="1:13" ht="23.25">
      <c r="A648" s="16" t="s">
        <v>74</v>
      </c>
      <c r="B648" s="22">
        <v>74000</v>
      </c>
      <c r="C648" s="8">
        <v>18</v>
      </c>
      <c r="D648" s="58">
        <v>34970</v>
      </c>
      <c r="E648" s="58">
        <v>108970</v>
      </c>
      <c r="F648" s="58">
        <v>3886</v>
      </c>
      <c r="G648" s="58">
        <v>4112</v>
      </c>
      <c r="H648" s="58">
        <v>1726</v>
      </c>
      <c r="I648" s="58">
        <v>5838</v>
      </c>
      <c r="K648" s="57"/>
      <c r="L648" s="68">
        <v>0.315</v>
      </c>
      <c r="M648" s="62">
        <v>3.5000000000000003E-2</v>
      </c>
    </row>
    <row r="649" spans="1:13" ht="23.25">
      <c r="A649" s="16" t="s">
        <v>74</v>
      </c>
      <c r="B649" s="22">
        <v>74000</v>
      </c>
      <c r="C649" s="10">
        <v>20</v>
      </c>
      <c r="D649" s="50">
        <v>38857</v>
      </c>
      <c r="E649" s="50">
        <v>112857</v>
      </c>
      <c r="F649" s="50">
        <v>4317</v>
      </c>
      <c r="G649" s="50">
        <v>3700</v>
      </c>
      <c r="H649" s="49">
        <v>1727</v>
      </c>
      <c r="I649" s="50">
        <v>5427</v>
      </c>
      <c r="K649" s="59"/>
      <c r="L649" s="68">
        <v>0.315</v>
      </c>
      <c r="M649" s="62">
        <v>3.5000000000000003E-2</v>
      </c>
    </row>
    <row r="650" spans="1:13" ht="23.25">
      <c r="A650" s="16" t="s">
        <v>74</v>
      </c>
      <c r="B650" s="22">
        <v>74000</v>
      </c>
      <c r="C650" s="8">
        <v>22</v>
      </c>
      <c r="D650" s="58">
        <v>42751</v>
      </c>
      <c r="E650" s="58">
        <v>116751</v>
      </c>
      <c r="F650" s="58">
        <v>4749</v>
      </c>
      <c r="G650" s="58">
        <v>3364</v>
      </c>
      <c r="H650" s="58">
        <v>1727</v>
      </c>
      <c r="I650" s="58">
        <v>5091</v>
      </c>
      <c r="K650" s="57"/>
      <c r="L650" s="68">
        <v>0.315</v>
      </c>
      <c r="M650" s="62">
        <v>3.5000000000000003E-2</v>
      </c>
    </row>
    <row r="651" spans="1:13" ht="23.25">
      <c r="A651" s="16" t="s">
        <v>74</v>
      </c>
      <c r="B651" s="22">
        <v>74000</v>
      </c>
      <c r="C651" s="10">
        <v>24</v>
      </c>
      <c r="D651" s="50">
        <v>46645</v>
      </c>
      <c r="E651" s="50">
        <v>120645</v>
      </c>
      <c r="F651" s="50">
        <v>5181</v>
      </c>
      <c r="G651" s="50">
        <v>3084</v>
      </c>
      <c r="H651" s="50">
        <v>1727</v>
      </c>
      <c r="I651" s="50">
        <v>4811</v>
      </c>
      <c r="K651" s="59"/>
      <c r="L651" s="68">
        <v>0.315</v>
      </c>
      <c r="M651" s="62">
        <v>3.5000000000000003E-2</v>
      </c>
    </row>
    <row r="652" spans="1:13" ht="23.25">
      <c r="A652" s="16" t="s">
        <v>74</v>
      </c>
      <c r="B652" s="22">
        <v>75000</v>
      </c>
      <c r="C652" s="8">
        <v>4</v>
      </c>
      <c r="D652" s="58">
        <v>7880</v>
      </c>
      <c r="E652" s="58">
        <v>82880</v>
      </c>
      <c r="F652" s="58">
        <v>876</v>
      </c>
      <c r="G652" s="58">
        <v>18750</v>
      </c>
      <c r="H652" s="58">
        <v>1751</v>
      </c>
      <c r="I652" s="58">
        <v>20501</v>
      </c>
      <c r="K652" s="57"/>
      <c r="L652" s="68">
        <v>0.315</v>
      </c>
      <c r="M652" s="62">
        <v>3.5000000000000003E-2</v>
      </c>
    </row>
    <row r="653" spans="1:13" ht="23.25">
      <c r="A653" s="16" t="s">
        <v>74</v>
      </c>
      <c r="B653" s="22">
        <v>75000</v>
      </c>
      <c r="C653" s="10">
        <v>6</v>
      </c>
      <c r="D653" s="50">
        <v>11819</v>
      </c>
      <c r="E653" s="50">
        <v>86819</v>
      </c>
      <c r="F653" s="50">
        <v>1313</v>
      </c>
      <c r="G653" s="50">
        <v>12500</v>
      </c>
      <c r="H653" s="50">
        <v>1751</v>
      </c>
      <c r="I653" s="50">
        <v>14251</v>
      </c>
      <c r="K653" s="59"/>
      <c r="L653" s="68">
        <v>0.315</v>
      </c>
      <c r="M653" s="62">
        <v>3.5000000000000003E-2</v>
      </c>
    </row>
    <row r="654" spans="1:13" ht="23.25">
      <c r="A654" s="16" t="s">
        <v>74</v>
      </c>
      <c r="B654" s="22">
        <v>75000</v>
      </c>
      <c r="C654" s="8">
        <v>8</v>
      </c>
      <c r="D654" s="58">
        <v>15759</v>
      </c>
      <c r="E654" s="58">
        <v>90759</v>
      </c>
      <c r="F654" s="58">
        <v>1751</v>
      </c>
      <c r="G654" s="58">
        <v>9375</v>
      </c>
      <c r="H654" s="58">
        <v>1751</v>
      </c>
      <c r="I654" s="58">
        <v>11126</v>
      </c>
      <c r="K654" s="57"/>
      <c r="L654" s="68">
        <v>0.315</v>
      </c>
      <c r="M654" s="62">
        <v>3.5000000000000003E-2</v>
      </c>
    </row>
    <row r="655" spans="1:13" ht="23.25">
      <c r="A655" s="16" t="s">
        <v>74</v>
      </c>
      <c r="B655" s="22">
        <v>75000</v>
      </c>
      <c r="C655" s="9">
        <v>10</v>
      </c>
      <c r="D655" s="49">
        <v>19698</v>
      </c>
      <c r="E655" s="49">
        <v>94698</v>
      </c>
      <c r="F655" s="49">
        <v>2188</v>
      </c>
      <c r="G655" s="49">
        <v>7500</v>
      </c>
      <c r="H655" s="52">
        <v>1751</v>
      </c>
      <c r="I655" s="49">
        <v>9251</v>
      </c>
      <c r="K655" s="63"/>
      <c r="L655" s="68">
        <v>0.315</v>
      </c>
      <c r="M655" s="62">
        <v>3.5000000000000003E-2</v>
      </c>
    </row>
    <row r="656" spans="1:13" ht="23.25">
      <c r="A656" s="16" t="s">
        <v>74</v>
      </c>
      <c r="B656" s="22">
        <v>75000</v>
      </c>
      <c r="C656" s="8">
        <v>12</v>
      </c>
      <c r="D656" s="58">
        <v>23638</v>
      </c>
      <c r="E656" s="58">
        <v>98638</v>
      </c>
      <c r="F656" s="58">
        <v>2626</v>
      </c>
      <c r="G656" s="58">
        <v>6250</v>
      </c>
      <c r="H656" s="58">
        <v>1751</v>
      </c>
      <c r="I656" s="58">
        <v>8001</v>
      </c>
      <c r="K656" s="57"/>
      <c r="L656" s="68">
        <v>0.315</v>
      </c>
      <c r="M656" s="62">
        <v>3.5000000000000003E-2</v>
      </c>
    </row>
    <row r="657" spans="1:13" ht="24" thickBot="1">
      <c r="A657" s="20" t="s">
        <v>74</v>
      </c>
      <c r="B657" s="26">
        <v>75000</v>
      </c>
      <c r="C657" s="5">
        <v>14</v>
      </c>
      <c r="D657" s="64">
        <v>27575</v>
      </c>
      <c r="E657" s="64">
        <v>102575</v>
      </c>
      <c r="F657" s="64">
        <v>3063</v>
      </c>
      <c r="G657" s="64">
        <v>5358</v>
      </c>
      <c r="H657" s="49">
        <v>1750</v>
      </c>
      <c r="I657" s="64">
        <v>7108</v>
      </c>
      <c r="K657" s="65"/>
      <c r="L657" s="68">
        <v>0.315</v>
      </c>
      <c r="M657" s="62">
        <v>3.5000000000000003E-2</v>
      </c>
    </row>
    <row r="658" spans="1:13" ht="24" thickTop="1">
      <c r="A658" s="17" t="s">
        <v>74</v>
      </c>
      <c r="B658" s="23">
        <v>75000</v>
      </c>
      <c r="C658" s="11">
        <v>16</v>
      </c>
      <c r="D658" s="31">
        <v>31509</v>
      </c>
      <c r="E658" s="31">
        <v>106509</v>
      </c>
      <c r="F658" s="31">
        <v>3501</v>
      </c>
      <c r="G658" s="31">
        <v>4688</v>
      </c>
      <c r="H658" s="31">
        <v>1750</v>
      </c>
      <c r="I658" s="31">
        <v>6438</v>
      </c>
      <c r="K658" s="11"/>
      <c r="L658" s="68">
        <v>0.315</v>
      </c>
      <c r="M658" s="62">
        <v>3.5000000000000003E-2</v>
      </c>
    </row>
    <row r="659" spans="1:13" ht="23.25">
      <c r="A659" s="18" t="s">
        <v>74</v>
      </c>
      <c r="B659" s="24">
        <v>75000</v>
      </c>
      <c r="C659" s="9">
        <v>18</v>
      </c>
      <c r="D659" s="49">
        <v>35444</v>
      </c>
      <c r="E659" s="49">
        <v>110444</v>
      </c>
      <c r="F659" s="49">
        <v>3938</v>
      </c>
      <c r="G659" s="49">
        <v>4167</v>
      </c>
      <c r="H659" s="49">
        <v>1750</v>
      </c>
      <c r="I659" s="49">
        <v>5917</v>
      </c>
      <c r="K659" s="63"/>
      <c r="L659" s="68">
        <v>0.315</v>
      </c>
      <c r="M659" s="62">
        <v>3.5000000000000003E-2</v>
      </c>
    </row>
    <row r="660" spans="1:13" ht="23.25">
      <c r="A660" s="18" t="s">
        <v>74</v>
      </c>
      <c r="B660" s="24">
        <v>75000</v>
      </c>
      <c r="C660" s="8">
        <v>20</v>
      </c>
      <c r="D660" s="58">
        <v>39396</v>
      </c>
      <c r="E660" s="58">
        <v>114396</v>
      </c>
      <c r="F660" s="58">
        <v>4376</v>
      </c>
      <c r="G660" s="58">
        <v>3750</v>
      </c>
      <c r="H660" s="58">
        <v>1751</v>
      </c>
      <c r="I660" s="58">
        <v>5501</v>
      </c>
      <c r="K660" s="57"/>
      <c r="L660" s="68">
        <v>0.315</v>
      </c>
      <c r="M660" s="62">
        <v>3.5000000000000003E-2</v>
      </c>
    </row>
    <row r="661" spans="1:13" ht="23.25">
      <c r="A661" s="18" t="s">
        <v>74</v>
      </c>
      <c r="B661" s="24">
        <v>75000</v>
      </c>
      <c r="C661" s="10">
        <v>22</v>
      </c>
      <c r="D661" s="50">
        <v>43333</v>
      </c>
      <c r="E661" s="50">
        <v>118333</v>
      </c>
      <c r="F661" s="50">
        <v>4813</v>
      </c>
      <c r="G661" s="50">
        <v>3410</v>
      </c>
      <c r="H661" s="50">
        <v>1750</v>
      </c>
      <c r="I661" s="50">
        <v>5160</v>
      </c>
      <c r="K661" s="59"/>
      <c r="L661" s="68">
        <v>0.315</v>
      </c>
      <c r="M661" s="62">
        <v>3.5000000000000003E-2</v>
      </c>
    </row>
    <row r="662" spans="1:13" ht="23.25">
      <c r="A662" s="18" t="s">
        <v>74</v>
      </c>
      <c r="B662" s="24">
        <v>75000</v>
      </c>
      <c r="C662" s="8">
        <v>24</v>
      </c>
      <c r="D662" s="58">
        <v>47275</v>
      </c>
      <c r="E662" s="58">
        <v>122275</v>
      </c>
      <c r="F662" s="58">
        <v>5251</v>
      </c>
      <c r="G662" s="58">
        <v>3125</v>
      </c>
      <c r="H662" s="58">
        <v>1751</v>
      </c>
      <c r="I662" s="58">
        <v>4876</v>
      </c>
      <c r="K662" s="57"/>
      <c r="L662" s="68">
        <v>0.315</v>
      </c>
      <c r="M662" s="62">
        <v>3.5000000000000003E-2</v>
      </c>
    </row>
    <row r="663" spans="1:13" ht="23.25">
      <c r="A663" s="18" t="s">
        <v>74</v>
      </c>
      <c r="B663" s="24">
        <v>76000</v>
      </c>
      <c r="C663" s="10">
        <v>4</v>
      </c>
      <c r="D663" s="50">
        <v>7983</v>
      </c>
      <c r="E663" s="50">
        <v>83983</v>
      </c>
      <c r="F663" s="50">
        <v>887</v>
      </c>
      <c r="G663" s="50">
        <v>19000</v>
      </c>
      <c r="H663" s="50">
        <v>1774</v>
      </c>
      <c r="I663" s="50">
        <v>20774</v>
      </c>
      <c r="K663" s="59"/>
      <c r="L663" s="68">
        <v>0.315</v>
      </c>
      <c r="M663" s="62">
        <v>3.5000000000000003E-2</v>
      </c>
    </row>
    <row r="664" spans="1:13" ht="23.25">
      <c r="A664" s="18" t="s">
        <v>74</v>
      </c>
      <c r="B664" s="24">
        <v>76000</v>
      </c>
      <c r="C664" s="8">
        <v>6</v>
      </c>
      <c r="D664" s="58">
        <v>11977</v>
      </c>
      <c r="E664" s="58">
        <v>87977</v>
      </c>
      <c r="F664" s="58">
        <v>1331</v>
      </c>
      <c r="G664" s="58">
        <v>12667</v>
      </c>
      <c r="H664" s="58">
        <v>1774</v>
      </c>
      <c r="I664" s="58">
        <v>14441</v>
      </c>
      <c r="K664" s="57"/>
      <c r="L664" s="68">
        <v>0.315</v>
      </c>
      <c r="M664" s="62">
        <v>3.5000000000000003E-2</v>
      </c>
    </row>
    <row r="665" spans="1:13" ht="23.25">
      <c r="A665" s="18" t="s">
        <v>74</v>
      </c>
      <c r="B665" s="24">
        <v>76000</v>
      </c>
      <c r="C665" s="10">
        <v>8</v>
      </c>
      <c r="D665" s="50">
        <v>15966</v>
      </c>
      <c r="E665" s="50">
        <v>91966</v>
      </c>
      <c r="F665" s="50">
        <v>1774</v>
      </c>
      <c r="G665" s="52">
        <v>9500</v>
      </c>
      <c r="H665" s="52">
        <v>1774</v>
      </c>
      <c r="I665" s="50">
        <v>11274</v>
      </c>
      <c r="K665" s="59"/>
      <c r="L665" s="68">
        <v>0.315</v>
      </c>
      <c r="M665" s="62">
        <v>3.5000000000000003E-2</v>
      </c>
    </row>
    <row r="666" spans="1:13" ht="23.25">
      <c r="A666" s="18" t="s">
        <v>74</v>
      </c>
      <c r="B666" s="24">
        <v>76000</v>
      </c>
      <c r="C666" s="8">
        <v>10</v>
      </c>
      <c r="D666" s="58">
        <v>19957</v>
      </c>
      <c r="E666" s="58">
        <v>95957</v>
      </c>
      <c r="F666" s="58">
        <v>2217</v>
      </c>
      <c r="G666" s="58">
        <v>7600</v>
      </c>
      <c r="H666" s="58">
        <v>1774</v>
      </c>
      <c r="I666" s="58">
        <v>9374</v>
      </c>
      <c r="K666" s="57"/>
      <c r="L666" s="68">
        <v>0.315</v>
      </c>
      <c r="M666" s="62">
        <v>3.5000000000000003E-2</v>
      </c>
    </row>
    <row r="667" spans="1:13" ht="23.25">
      <c r="A667" s="18" t="s">
        <v>74</v>
      </c>
      <c r="B667" s="24">
        <v>76000</v>
      </c>
      <c r="C667" s="9">
        <v>12</v>
      </c>
      <c r="D667" s="49">
        <v>23945</v>
      </c>
      <c r="E667" s="49">
        <v>99945</v>
      </c>
      <c r="F667" s="49">
        <v>2661</v>
      </c>
      <c r="G667" s="49">
        <v>6334</v>
      </c>
      <c r="H667" s="49">
        <v>1773</v>
      </c>
      <c r="I667" s="49">
        <v>8107</v>
      </c>
      <c r="K667" s="63"/>
      <c r="L667" s="68">
        <v>0.315</v>
      </c>
      <c r="M667" s="62">
        <v>3.5000000000000003E-2</v>
      </c>
    </row>
    <row r="668" spans="1:13" ht="24" thickBot="1">
      <c r="A668" s="19" t="s">
        <v>74</v>
      </c>
      <c r="B668" s="25">
        <v>76000</v>
      </c>
      <c r="C668" s="4">
        <v>14</v>
      </c>
      <c r="D668" s="66">
        <v>27932</v>
      </c>
      <c r="E668" s="66">
        <v>103932</v>
      </c>
      <c r="F668" s="66">
        <v>3104</v>
      </c>
      <c r="G668" s="58">
        <v>5429</v>
      </c>
      <c r="H668" s="58">
        <v>1773</v>
      </c>
      <c r="I668" s="66">
        <v>7202</v>
      </c>
      <c r="K668" s="67"/>
      <c r="L668" s="68">
        <v>0.315</v>
      </c>
      <c r="M668" s="62">
        <v>3.5000000000000003E-2</v>
      </c>
    </row>
    <row r="669" spans="1:13" ht="24" thickTop="1">
      <c r="A669" s="15" t="s">
        <v>74</v>
      </c>
      <c r="B669" s="21">
        <v>76000</v>
      </c>
      <c r="C669" s="6">
        <v>16</v>
      </c>
      <c r="D669" s="37">
        <v>31931</v>
      </c>
      <c r="E669" s="37">
        <v>107931</v>
      </c>
      <c r="F669" s="37">
        <v>3547</v>
      </c>
      <c r="G669" s="37">
        <v>4750</v>
      </c>
      <c r="H669" s="37">
        <v>1774</v>
      </c>
      <c r="I669" s="37">
        <v>6524</v>
      </c>
      <c r="K669" s="6"/>
      <c r="L669" s="68">
        <v>0.315</v>
      </c>
      <c r="M669" s="62">
        <v>3.5000000000000003E-2</v>
      </c>
    </row>
    <row r="670" spans="1:13" ht="23.25">
      <c r="A670" s="16" t="s">
        <v>74</v>
      </c>
      <c r="B670" s="22">
        <v>76000</v>
      </c>
      <c r="C670" s="8">
        <v>18</v>
      </c>
      <c r="D670" s="58">
        <v>35919</v>
      </c>
      <c r="E670" s="58">
        <v>111919</v>
      </c>
      <c r="F670" s="58">
        <v>3991</v>
      </c>
      <c r="G670" s="58">
        <v>4223</v>
      </c>
      <c r="H670" s="58">
        <v>1773</v>
      </c>
      <c r="I670" s="58">
        <v>5996</v>
      </c>
      <c r="K670" s="57"/>
      <c r="L670" s="68">
        <v>0.315</v>
      </c>
      <c r="M670" s="62">
        <v>3.5000000000000003E-2</v>
      </c>
    </row>
    <row r="671" spans="1:13" ht="23.25">
      <c r="A671" s="16" t="s">
        <v>74</v>
      </c>
      <c r="B671" s="22">
        <v>76000</v>
      </c>
      <c r="C671" s="10">
        <v>20</v>
      </c>
      <c r="D671" s="50">
        <v>39914</v>
      </c>
      <c r="E671" s="50">
        <v>115914</v>
      </c>
      <c r="F671" s="50">
        <v>4434</v>
      </c>
      <c r="G671" s="50">
        <v>3800</v>
      </c>
      <c r="H671" s="49">
        <v>1774</v>
      </c>
      <c r="I671" s="50">
        <v>5574</v>
      </c>
      <c r="K671" s="59"/>
      <c r="L671" s="68">
        <v>0.315</v>
      </c>
      <c r="M671" s="62">
        <v>3.5000000000000003E-2</v>
      </c>
    </row>
    <row r="672" spans="1:13" ht="23.25">
      <c r="A672" s="16" t="s">
        <v>74</v>
      </c>
      <c r="B672" s="22">
        <v>76000</v>
      </c>
      <c r="C672" s="8">
        <v>22</v>
      </c>
      <c r="D672" s="58">
        <v>43893</v>
      </c>
      <c r="E672" s="58">
        <v>119893</v>
      </c>
      <c r="F672" s="58">
        <v>4877</v>
      </c>
      <c r="G672" s="58">
        <v>3455</v>
      </c>
      <c r="H672" s="58">
        <v>1773</v>
      </c>
      <c r="I672" s="58">
        <v>5228</v>
      </c>
      <c r="K672" s="57"/>
      <c r="L672" s="68">
        <v>0.315</v>
      </c>
      <c r="M672" s="62">
        <v>3.5000000000000003E-2</v>
      </c>
    </row>
    <row r="673" spans="1:13" ht="23.25">
      <c r="A673" s="16" t="s">
        <v>74</v>
      </c>
      <c r="B673" s="22">
        <v>76000</v>
      </c>
      <c r="C673" s="10">
        <v>24</v>
      </c>
      <c r="D673" s="50">
        <v>47905</v>
      </c>
      <c r="E673" s="50">
        <v>123905</v>
      </c>
      <c r="F673" s="50">
        <v>5321</v>
      </c>
      <c r="G673" s="50">
        <v>3167</v>
      </c>
      <c r="H673" s="50">
        <v>1774</v>
      </c>
      <c r="I673" s="50">
        <v>4941</v>
      </c>
      <c r="K673" s="59"/>
      <c r="L673" s="68">
        <v>0.315</v>
      </c>
      <c r="M673" s="62">
        <v>3.5000000000000003E-2</v>
      </c>
    </row>
    <row r="674" spans="1:13" ht="23.25">
      <c r="A674" s="16" t="s">
        <v>74</v>
      </c>
      <c r="B674" s="22">
        <v>77000</v>
      </c>
      <c r="C674" s="8">
        <v>4</v>
      </c>
      <c r="D674" s="58">
        <v>8087</v>
      </c>
      <c r="E674" s="58">
        <v>85087</v>
      </c>
      <c r="F674" s="58">
        <v>899</v>
      </c>
      <c r="G674" s="58">
        <v>19250</v>
      </c>
      <c r="H674" s="58">
        <v>1797</v>
      </c>
      <c r="I674" s="58">
        <v>21047</v>
      </c>
      <c r="K674" s="57"/>
      <c r="L674" s="68">
        <v>0.315</v>
      </c>
      <c r="M674" s="62">
        <v>3.5000000000000003E-2</v>
      </c>
    </row>
    <row r="675" spans="1:13" ht="23.25">
      <c r="A675" s="16" t="s">
        <v>74</v>
      </c>
      <c r="B675" s="22">
        <v>77000</v>
      </c>
      <c r="C675" s="10">
        <v>6</v>
      </c>
      <c r="D675" s="50">
        <v>12134</v>
      </c>
      <c r="E675" s="50">
        <v>89134</v>
      </c>
      <c r="F675" s="50">
        <v>1348</v>
      </c>
      <c r="G675" s="50">
        <v>12834</v>
      </c>
      <c r="H675" s="50">
        <v>1797</v>
      </c>
      <c r="I675" s="50">
        <v>14631</v>
      </c>
      <c r="K675" s="59"/>
      <c r="L675" s="68">
        <v>0.315</v>
      </c>
      <c r="M675" s="62">
        <v>3.5000000000000003E-2</v>
      </c>
    </row>
    <row r="676" spans="1:13" ht="23.25">
      <c r="A676" s="16" t="s">
        <v>74</v>
      </c>
      <c r="B676" s="22">
        <v>77000</v>
      </c>
      <c r="C676" s="8">
        <v>8</v>
      </c>
      <c r="D676" s="58">
        <v>16173</v>
      </c>
      <c r="E676" s="58">
        <v>93173</v>
      </c>
      <c r="F676" s="58">
        <v>1797</v>
      </c>
      <c r="G676" s="58">
        <v>9625</v>
      </c>
      <c r="H676" s="58">
        <v>1797</v>
      </c>
      <c r="I676" s="58">
        <v>11422</v>
      </c>
      <c r="K676" s="57"/>
      <c r="L676" s="68">
        <v>0.315</v>
      </c>
      <c r="M676" s="62">
        <v>3.5000000000000003E-2</v>
      </c>
    </row>
    <row r="677" spans="1:13" ht="23.25">
      <c r="A677" s="16" t="s">
        <v>74</v>
      </c>
      <c r="B677" s="22">
        <v>77000</v>
      </c>
      <c r="C677" s="9">
        <v>10</v>
      </c>
      <c r="D677" s="49">
        <v>20216</v>
      </c>
      <c r="E677" s="49">
        <v>97216</v>
      </c>
      <c r="F677" s="49">
        <v>2246</v>
      </c>
      <c r="G677" s="49">
        <v>7700</v>
      </c>
      <c r="H677" s="52">
        <v>1797</v>
      </c>
      <c r="I677" s="49">
        <v>9497</v>
      </c>
      <c r="K677" s="63"/>
      <c r="L677" s="68">
        <v>0.315</v>
      </c>
      <c r="M677" s="62">
        <v>3.5000000000000003E-2</v>
      </c>
    </row>
    <row r="678" spans="1:13" ht="23.25">
      <c r="A678" s="16" t="s">
        <v>74</v>
      </c>
      <c r="B678" s="22">
        <v>77000</v>
      </c>
      <c r="C678" s="8">
        <v>12</v>
      </c>
      <c r="D678" s="58">
        <v>24264</v>
      </c>
      <c r="E678" s="58">
        <v>101264</v>
      </c>
      <c r="F678" s="58">
        <v>2696</v>
      </c>
      <c r="G678" s="58">
        <v>6417</v>
      </c>
      <c r="H678" s="58">
        <v>1797</v>
      </c>
      <c r="I678" s="58">
        <v>8214</v>
      </c>
      <c r="K678" s="57"/>
      <c r="L678" s="68">
        <v>0.315</v>
      </c>
      <c r="M678" s="62">
        <v>3.5000000000000003E-2</v>
      </c>
    </row>
    <row r="679" spans="1:13" ht="24" thickBot="1">
      <c r="A679" s="20" t="s">
        <v>74</v>
      </c>
      <c r="B679" s="26">
        <v>77000</v>
      </c>
      <c r="C679" s="5">
        <v>14</v>
      </c>
      <c r="D679" s="64">
        <v>28303</v>
      </c>
      <c r="E679" s="64">
        <v>105303</v>
      </c>
      <c r="F679" s="64">
        <v>3145</v>
      </c>
      <c r="G679" s="64">
        <v>5500</v>
      </c>
      <c r="H679" s="49">
        <v>1797</v>
      </c>
      <c r="I679" s="64">
        <v>7297</v>
      </c>
      <c r="K679" s="65"/>
      <c r="L679" s="68">
        <v>0.315</v>
      </c>
      <c r="M679" s="62">
        <v>3.5000000000000003E-2</v>
      </c>
    </row>
    <row r="680" spans="1:13" ht="24" thickTop="1">
      <c r="A680" s="17" t="s">
        <v>74</v>
      </c>
      <c r="B680" s="23">
        <v>77000</v>
      </c>
      <c r="C680" s="11">
        <v>16</v>
      </c>
      <c r="D680" s="31">
        <v>32354</v>
      </c>
      <c r="E680" s="31">
        <v>109354</v>
      </c>
      <c r="F680" s="31">
        <v>3594</v>
      </c>
      <c r="G680" s="31">
        <v>4813</v>
      </c>
      <c r="H680" s="31">
        <v>1797</v>
      </c>
      <c r="I680" s="31">
        <v>6610</v>
      </c>
      <c r="K680" s="11"/>
      <c r="L680" s="68">
        <v>0.315</v>
      </c>
      <c r="M680" s="62">
        <v>3.5000000000000003E-2</v>
      </c>
    </row>
    <row r="681" spans="1:13" ht="23.25">
      <c r="A681" s="18" t="s">
        <v>74</v>
      </c>
      <c r="B681" s="24">
        <v>77000</v>
      </c>
      <c r="C681" s="9">
        <v>18</v>
      </c>
      <c r="D681" s="49">
        <v>36393</v>
      </c>
      <c r="E681" s="49">
        <v>113393</v>
      </c>
      <c r="F681" s="49">
        <v>4043</v>
      </c>
      <c r="G681" s="49">
        <v>4278</v>
      </c>
      <c r="H681" s="49">
        <v>1797</v>
      </c>
      <c r="I681" s="49">
        <v>6075</v>
      </c>
      <c r="K681" s="63"/>
      <c r="L681" s="68">
        <v>0.315</v>
      </c>
      <c r="M681" s="62">
        <v>3.5000000000000003E-2</v>
      </c>
    </row>
    <row r="682" spans="1:13" ht="23.25">
      <c r="A682" s="18" t="s">
        <v>74</v>
      </c>
      <c r="B682" s="24">
        <v>77000</v>
      </c>
      <c r="C682" s="8">
        <v>20</v>
      </c>
      <c r="D682" s="58">
        <v>40432</v>
      </c>
      <c r="E682" s="58">
        <v>117432</v>
      </c>
      <c r="F682" s="58">
        <v>4492</v>
      </c>
      <c r="G682" s="58">
        <v>3850</v>
      </c>
      <c r="H682" s="58">
        <v>1797</v>
      </c>
      <c r="I682" s="58">
        <v>5647</v>
      </c>
      <c r="K682" s="57"/>
      <c r="L682" s="68">
        <v>0.315</v>
      </c>
      <c r="M682" s="62">
        <v>3.5000000000000003E-2</v>
      </c>
    </row>
    <row r="683" spans="1:13" ht="23.25">
      <c r="A683" s="18" t="s">
        <v>74</v>
      </c>
      <c r="B683" s="24">
        <v>77000</v>
      </c>
      <c r="C683" s="10">
        <v>22</v>
      </c>
      <c r="D683" s="50">
        <v>44475</v>
      </c>
      <c r="E683" s="50">
        <v>121475</v>
      </c>
      <c r="F683" s="50">
        <v>4941</v>
      </c>
      <c r="G683" s="50">
        <v>3500</v>
      </c>
      <c r="H683" s="50">
        <v>1797</v>
      </c>
      <c r="I683" s="50">
        <v>5297</v>
      </c>
      <c r="K683" s="59"/>
      <c r="L683" s="68">
        <v>0.315</v>
      </c>
      <c r="M683" s="62">
        <v>3.5000000000000003E-2</v>
      </c>
    </row>
    <row r="684" spans="1:13" ht="23.25">
      <c r="A684" s="18" t="s">
        <v>74</v>
      </c>
      <c r="B684" s="24">
        <v>77000</v>
      </c>
      <c r="C684" s="8">
        <v>24</v>
      </c>
      <c r="D684" s="58">
        <v>48535</v>
      </c>
      <c r="E684" s="58">
        <v>125535</v>
      </c>
      <c r="F684" s="58">
        <v>5391</v>
      </c>
      <c r="G684" s="58">
        <v>3209</v>
      </c>
      <c r="H684" s="58">
        <v>1797</v>
      </c>
      <c r="I684" s="58">
        <v>5006</v>
      </c>
      <c r="K684" s="57"/>
      <c r="L684" s="68">
        <v>0.315</v>
      </c>
      <c r="M684" s="62">
        <v>3.5000000000000003E-2</v>
      </c>
    </row>
    <row r="685" spans="1:13" ht="23.25">
      <c r="A685" s="18" t="s">
        <v>74</v>
      </c>
      <c r="B685" s="24">
        <v>78000</v>
      </c>
      <c r="C685" s="10">
        <v>4</v>
      </c>
      <c r="D685" s="50">
        <v>8195</v>
      </c>
      <c r="E685" s="50">
        <v>86195</v>
      </c>
      <c r="F685" s="50">
        <v>911</v>
      </c>
      <c r="G685" s="50">
        <v>19500</v>
      </c>
      <c r="H685" s="50">
        <v>1821</v>
      </c>
      <c r="I685" s="50">
        <v>21321</v>
      </c>
      <c r="K685" s="59"/>
      <c r="L685" s="68">
        <v>0.315</v>
      </c>
      <c r="M685" s="62">
        <v>3.5000000000000003E-2</v>
      </c>
    </row>
    <row r="686" spans="1:13" ht="23.25">
      <c r="A686" s="18" t="s">
        <v>74</v>
      </c>
      <c r="B686" s="24">
        <v>78000</v>
      </c>
      <c r="C686" s="8">
        <v>6</v>
      </c>
      <c r="D686" s="58">
        <v>12292</v>
      </c>
      <c r="E686" s="58">
        <v>90292</v>
      </c>
      <c r="F686" s="58">
        <v>1366</v>
      </c>
      <c r="G686" s="58">
        <v>13000</v>
      </c>
      <c r="H686" s="58">
        <v>1821</v>
      </c>
      <c r="I686" s="58">
        <v>14821</v>
      </c>
      <c r="K686" s="57"/>
      <c r="L686" s="68">
        <v>0.315</v>
      </c>
      <c r="M686" s="62">
        <v>3.5000000000000003E-2</v>
      </c>
    </row>
    <row r="687" spans="1:13" ht="23.25">
      <c r="A687" s="18" t="s">
        <v>74</v>
      </c>
      <c r="B687" s="24">
        <v>78000</v>
      </c>
      <c r="C687" s="10">
        <v>8</v>
      </c>
      <c r="D687" s="50">
        <v>16389</v>
      </c>
      <c r="E687" s="50">
        <v>94389</v>
      </c>
      <c r="F687" s="50">
        <v>1821</v>
      </c>
      <c r="G687" s="50">
        <v>9750</v>
      </c>
      <c r="H687" s="52">
        <v>1821</v>
      </c>
      <c r="I687" s="50">
        <v>11571</v>
      </c>
      <c r="K687" s="59"/>
      <c r="L687" s="68">
        <v>0.315</v>
      </c>
      <c r="M687" s="62">
        <v>3.5000000000000003E-2</v>
      </c>
    </row>
    <row r="688" spans="1:13" ht="23.25">
      <c r="A688" s="18" t="s">
        <v>74</v>
      </c>
      <c r="B688" s="24">
        <v>78000</v>
      </c>
      <c r="C688" s="8">
        <v>10</v>
      </c>
      <c r="D688" s="58">
        <v>20486</v>
      </c>
      <c r="E688" s="58">
        <v>98486</v>
      </c>
      <c r="F688" s="58">
        <v>2276</v>
      </c>
      <c r="G688" s="58">
        <v>7800</v>
      </c>
      <c r="H688" s="58">
        <v>1821</v>
      </c>
      <c r="I688" s="58">
        <v>9621</v>
      </c>
      <c r="K688" s="57"/>
      <c r="L688" s="68">
        <v>0.315</v>
      </c>
      <c r="M688" s="62">
        <v>3.5000000000000003E-2</v>
      </c>
    </row>
    <row r="689" spans="1:13" ht="23.25">
      <c r="A689" s="18" t="s">
        <v>74</v>
      </c>
      <c r="B689" s="24">
        <v>78000</v>
      </c>
      <c r="C689" s="9">
        <v>12</v>
      </c>
      <c r="D689" s="49">
        <v>24583</v>
      </c>
      <c r="E689" s="49">
        <v>102583</v>
      </c>
      <c r="F689" s="49">
        <v>2731</v>
      </c>
      <c r="G689" s="49">
        <v>6500</v>
      </c>
      <c r="H689" s="49">
        <v>1821</v>
      </c>
      <c r="I689" s="49">
        <v>8321</v>
      </c>
      <c r="K689" s="63"/>
      <c r="L689" s="68">
        <v>0.315</v>
      </c>
      <c r="M689" s="62">
        <v>3.5000000000000003E-2</v>
      </c>
    </row>
    <row r="690" spans="1:13" ht="24" thickBot="1">
      <c r="A690" s="19" t="s">
        <v>74</v>
      </c>
      <c r="B690" s="25">
        <v>78000</v>
      </c>
      <c r="C690" s="4">
        <v>14</v>
      </c>
      <c r="D690" s="66">
        <v>28674</v>
      </c>
      <c r="E690" s="66">
        <v>106674</v>
      </c>
      <c r="F690" s="66">
        <v>3186</v>
      </c>
      <c r="G690" s="66">
        <v>5572</v>
      </c>
      <c r="H690" s="58">
        <v>1820</v>
      </c>
      <c r="I690" s="66">
        <v>7392</v>
      </c>
      <c r="K690" s="67"/>
      <c r="L690" s="68">
        <v>0.315</v>
      </c>
      <c r="M690" s="62">
        <v>3.5000000000000003E-2</v>
      </c>
    </row>
    <row r="691" spans="1:13" ht="24" thickTop="1">
      <c r="A691" s="15" t="s">
        <v>74</v>
      </c>
      <c r="B691" s="21">
        <v>78000</v>
      </c>
      <c r="C691" s="6">
        <v>16</v>
      </c>
      <c r="D691" s="37">
        <v>32777</v>
      </c>
      <c r="E691" s="37">
        <v>110777</v>
      </c>
      <c r="F691" s="37">
        <v>3641</v>
      </c>
      <c r="G691" s="37">
        <v>4875</v>
      </c>
      <c r="H691" s="37">
        <v>1821</v>
      </c>
      <c r="I691" s="37">
        <v>6696</v>
      </c>
      <c r="K691" s="6"/>
      <c r="L691" s="68">
        <v>0.315</v>
      </c>
      <c r="M691" s="62">
        <v>3.5000000000000003E-2</v>
      </c>
    </row>
    <row r="692" spans="1:13" ht="23.25">
      <c r="A692" s="16" t="s">
        <v>74</v>
      </c>
      <c r="B692" s="22">
        <v>78000</v>
      </c>
      <c r="C692" s="8">
        <v>18</v>
      </c>
      <c r="D692" s="58">
        <v>36868</v>
      </c>
      <c r="E692" s="58">
        <v>114868</v>
      </c>
      <c r="F692" s="58">
        <v>4096</v>
      </c>
      <c r="G692" s="58">
        <v>4334</v>
      </c>
      <c r="H692" s="58">
        <v>1820</v>
      </c>
      <c r="I692" s="58">
        <v>6154</v>
      </c>
      <c r="K692" s="57"/>
      <c r="L692" s="68">
        <v>0.315</v>
      </c>
      <c r="M692" s="62">
        <v>3.5000000000000003E-2</v>
      </c>
    </row>
    <row r="693" spans="1:13" ht="23.25">
      <c r="A693" s="16" t="s">
        <v>74</v>
      </c>
      <c r="B693" s="22">
        <v>78000</v>
      </c>
      <c r="C693" s="10">
        <v>20</v>
      </c>
      <c r="D693" s="50">
        <v>40971</v>
      </c>
      <c r="E693" s="50">
        <v>118971</v>
      </c>
      <c r="F693" s="50">
        <v>4551</v>
      </c>
      <c r="G693" s="50">
        <v>3900</v>
      </c>
      <c r="H693" s="49">
        <v>1821</v>
      </c>
      <c r="I693" s="50">
        <v>5721</v>
      </c>
      <c r="K693" s="59"/>
      <c r="L693" s="68">
        <v>0.315</v>
      </c>
      <c r="M693" s="62">
        <v>3.5000000000000003E-2</v>
      </c>
    </row>
    <row r="694" spans="1:13" ht="23.25">
      <c r="A694" s="16" t="s">
        <v>74</v>
      </c>
      <c r="B694" s="22">
        <v>78000</v>
      </c>
      <c r="C694" s="8">
        <v>22</v>
      </c>
      <c r="D694" s="58">
        <v>45058</v>
      </c>
      <c r="E694" s="58">
        <v>123058</v>
      </c>
      <c r="F694" s="58">
        <v>5006</v>
      </c>
      <c r="G694" s="58">
        <v>3546</v>
      </c>
      <c r="H694" s="58">
        <v>1820</v>
      </c>
      <c r="I694" s="58">
        <v>5366</v>
      </c>
      <c r="K694" s="57"/>
      <c r="L694" s="68">
        <v>0.315</v>
      </c>
      <c r="M694" s="62">
        <v>3.5000000000000003E-2</v>
      </c>
    </row>
    <row r="695" spans="1:13" ht="23.25">
      <c r="A695" s="16" t="s">
        <v>74</v>
      </c>
      <c r="B695" s="22">
        <v>78000</v>
      </c>
      <c r="C695" s="10">
        <v>24</v>
      </c>
      <c r="D695" s="50">
        <v>49165</v>
      </c>
      <c r="E695" s="50">
        <v>127165</v>
      </c>
      <c r="F695" s="50">
        <v>5461</v>
      </c>
      <c r="G695" s="50">
        <v>3250</v>
      </c>
      <c r="H695" s="50">
        <v>1821</v>
      </c>
      <c r="I695" s="50">
        <v>5071</v>
      </c>
      <c r="K695" s="59"/>
      <c r="L695" s="68">
        <v>0.315</v>
      </c>
      <c r="M695" s="62">
        <v>3.5000000000000003E-2</v>
      </c>
    </row>
    <row r="696" spans="1:13" ht="23.25">
      <c r="A696" s="16" t="s">
        <v>74</v>
      </c>
      <c r="B696" s="22">
        <v>79000</v>
      </c>
      <c r="C696" s="8">
        <v>4</v>
      </c>
      <c r="D696" s="58">
        <v>8298</v>
      </c>
      <c r="E696" s="58">
        <v>87298</v>
      </c>
      <c r="F696" s="58">
        <v>922</v>
      </c>
      <c r="G696" s="58">
        <v>19750</v>
      </c>
      <c r="H696" s="58">
        <v>1844</v>
      </c>
      <c r="I696" s="58">
        <v>21594</v>
      </c>
      <c r="K696" s="57"/>
      <c r="L696" s="68">
        <v>0.315</v>
      </c>
      <c r="M696" s="62">
        <v>3.5000000000000003E-2</v>
      </c>
    </row>
    <row r="697" spans="1:13" ht="23.25">
      <c r="A697" s="16" t="s">
        <v>74</v>
      </c>
      <c r="B697" s="22">
        <v>79000</v>
      </c>
      <c r="C697" s="10">
        <v>6</v>
      </c>
      <c r="D697" s="50">
        <v>12449</v>
      </c>
      <c r="E697" s="50">
        <v>91449</v>
      </c>
      <c r="F697" s="50">
        <v>1383</v>
      </c>
      <c r="G697" s="50">
        <v>13167</v>
      </c>
      <c r="H697" s="50">
        <v>1844</v>
      </c>
      <c r="I697" s="50">
        <v>15011</v>
      </c>
      <c r="K697" s="59"/>
      <c r="L697" s="68">
        <v>0.315</v>
      </c>
      <c r="M697" s="62">
        <v>3.5000000000000003E-2</v>
      </c>
    </row>
    <row r="698" spans="1:13" ht="23.25">
      <c r="A698" s="16" t="s">
        <v>74</v>
      </c>
      <c r="B698" s="22">
        <v>79000</v>
      </c>
      <c r="C698" s="8">
        <v>8</v>
      </c>
      <c r="D698" s="58">
        <v>16596</v>
      </c>
      <c r="E698" s="58">
        <v>95596</v>
      </c>
      <c r="F698" s="58">
        <v>1844</v>
      </c>
      <c r="G698" s="58">
        <v>9875</v>
      </c>
      <c r="H698" s="58">
        <v>1844</v>
      </c>
      <c r="I698" s="58">
        <v>11719</v>
      </c>
      <c r="K698" s="57"/>
      <c r="L698" s="68">
        <v>0.315</v>
      </c>
      <c r="M698" s="62">
        <v>3.5000000000000003E-2</v>
      </c>
    </row>
    <row r="699" spans="1:13" ht="23.25">
      <c r="A699" s="16" t="s">
        <v>74</v>
      </c>
      <c r="B699" s="22">
        <v>79000</v>
      </c>
      <c r="C699" s="9">
        <v>10</v>
      </c>
      <c r="D699" s="49">
        <v>20745</v>
      </c>
      <c r="E699" s="49">
        <v>99745</v>
      </c>
      <c r="F699" s="49">
        <v>2305</v>
      </c>
      <c r="G699" s="49">
        <v>7900</v>
      </c>
      <c r="H699" s="52">
        <v>1844</v>
      </c>
      <c r="I699" s="49">
        <v>9744</v>
      </c>
      <c r="K699" s="63"/>
      <c r="L699" s="68">
        <v>0.315</v>
      </c>
      <c r="M699" s="62">
        <v>3.5000000000000003E-2</v>
      </c>
    </row>
    <row r="700" spans="1:13" ht="23.25">
      <c r="A700" s="16" t="s">
        <v>74</v>
      </c>
      <c r="B700" s="22">
        <v>79000</v>
      </c>
      <c r="C700" s="8">
        <v>12</v>
      </c>
      <c r="D700" s="58">
        <v>24890</v>
      </c>
      <c r="E700" s="58">
        <v>103890</v>
      </c>
      <c r="F700" s="58">
        <v>2766</v>
      </c>
      <c r="G700" s="58">
        <v>6584</v>
      </c>
      <c r="H700" s="58">
        <v>1843</v>
      </c>
      <c r="I700" s="58">
        <v>8427</v>
      </c>
      <c r="K700" s="57"/>
      <c r="L700" s="68">
        <v>0.315</v>
      </c>
      <c r="M700" s="62">
        <v>3.5000000000000003E-2</v>
      </c>
    </row>
    <row r="701" spans="1:13" ht="24" thickBot="1">
      <c r="A701" s="20" t="s">
        <v>74</v>
      </c>
      <c r="B701" s="26">
        <v>79000</v>
      </c>
      <c r="C701" s="5">
        <v>14</v>
      </c>
      <c r="D701" s="64">
        <v>29044</v>
      </c>
      <c r="E701" s="64">
        <v>108044</v>
      </c>
      <c r="F701" s="64">
        <v>3226</v>
      </c>
      <c r="G701" s="64">
        <v>5643</v>
      </c>
      <c r="H701" s="49">
        <v>1844</v>
      </c>
      <c r="I701" s="64">
        <v>7487</v>
      </c>
      <c r="K701" s="65"/>
      <c r="L701" s="68">
        <v>0.315</v>
      </c>
      <c r="M701" s="62">
        <v>3.5000000000000003E-2</v>
      </c>
    </row>
    <row r="702" spans="1:13" ht="24" thickTop="1">
      <c r="A702" s="15" t="s">
        <v>74</v>
      </c>
      <c r="B702" s="21">
        <v>79000</v>
      </c>
      <c r="C702" s="6">
        <v>16</v>
      </c>
      <c r="D702" s="37">
        <v>33183</v>
      </c>
      <c r="E702" s="37">
        <v>112183</v>
      </c>
      <c r="F702" s="37">
        <v>3687</v>
      </c>
      <c r="G702" s="37">
        <v>4938</v>
      </c>
      <c r="H702" s="37">
        <v>1843</v>
      </c>
      <c r="I702" s="37">
        <v>6781</v>
      </c>
      <c r="K702" s="6"/>
      <c r="L702" s="68">
        <v>0.315</v>
      </c>
      <c r="M702" s="62">
        <v>3.5000000000000003E-2</v>
      </c>
    </row>
    <row r="703" spans="1:13" ht="23.25">
      <c r="A703" s="16" t="s">
        <v>74</v>
      </c>
      <c r="B703" s="22">
        <v>79000</v>
      </c>
      <c r="C703" s="8">
        <v>18</v>
      </c>
      <c r="D703" s="58">
        <v>37342</v>
      </c>
      <c r="E703" s="58">
        <v>116342</v>
      </c>
      <c r="F703" s="58">
        <v>4148</v>
      </c>
      <c r="G703" s="58">
        <v>4389</v>
      </c>
      <c r="H703" s="58">
        <v>1844</v>
      </c>
      <c r="I703" s="58">
        <v>6233</v>
      </c>
      <c r="K703" s="57"/>
      <c r="L703" s="68">
        <v>0.315</v>
      </c>
      <c r="M703" s="62">
        <v>3.5000000000000003E-2</v>
      </c>
    </row>
    <row r="704" spans="1:13" ht="23.25">
      <c r="A704" s="16" t="s">
        <v>74</v>
      </c>
      <c r="B704" s="22">
        <v>79000</v>
      </c>
      <c r="C704" s="10">
        <v>20</v>
      </c>
      <c r="D704" s="50">
        <v>41489</v>
      </c>
      <c r="E704" s="50">
        <v>120489</v>
      </c>
      <c r="F704" s="50">
        <v>4609</v>
      </c>
      <c r="G704" s="50">
        <v>3950</v>
      </c>
      <c r="H704" s="49">
        <v>1844</v>
      </c>
      <c r="I704" s="50">
        <v>5794</v>
      </c>
      <c r="K704" s="59"/>
      <c r="L704" s="68">
        <v>0.315</v>
      </c>
      <c r="M704" s="62">
        <v>3.5000000000000003E-2</v>
      </c>
    </row>
    <row r="705" spans="1:13" ht="23.25">
      <c r="A705" s="16" t="s">
        <v>74</v>
      </c>
      <c r="B705" s="22">
        <v>79000</v>
      </c>
      <c r="C705" s="8">
        <v>22</v>
      </c>
      <c r="D705" s="58">
        <v>45640</v>
      </c>
      <c r="E705" s="58">
        <v>124640</v>
      </c>
      <c r="F705" s="58">
        <v>5070</v>
      </c>
      <c r="G705" s="58">
        <v>3591</v>
      </c>
      <c r="H705" s="58">
        <v>1844</v>
      </c>
      <c r="I705" s="58">
        <v>5435</v>
      </c>
      <c r="K705" s="57"/>
      <c r="L705" s="68">
        <v>0.315</v>
      </c>
      <c r="M705" s="62">
        <v>3.5000000000000003E-2</v>
      </c>
    </row>
    <row r="706" spans="1:13" ht="23.25">
      <c r="A706" s="16" t="s">
        <v>74</v>
      </c>
      <c r="B706" s="22">
        <v>79000</v>
      </c>
      <c r="C706" s="10">
        <v>24</v>
      </c>
      <c r="D706" s="50">
        <v>49795</v>
      </c>
      <c r="E706" s="50">
        <v>128795</v>
      </c>
      <c r="F706" s="50">
        <v>5531</v>
      </c>
      <c r="G706" s="50">
        <v>3292</v>
      </c>
      <c r="H706" s="50">
        <v>1844</v>
      </c>
      <c r="I706" s="50">
        <v>5136</v>
      </c>
      <c r="K706" s="59"/>
      <c r="L706" s="68">
        <v>0.315</v>
      </c>
      <c r="M706" s="62">
        <v>3.5000000000000003E-2</v>
      </c>
    </row>
    <row r="707" spans="1:13" ht="23.25">
      <c r="A707" s="16" t="s">
        <v>74</v>
      </c>
      <c r="B707" s="22">
        <v>80000</v>
      </c>
      <c r="C707" s="8">
        <v>4</v>
      </c>
      <c r="D707" s="58">
        <v>8402</v>
      </c>
      <c r="E707" s="58">
        <v>88402</v>
      </c>
      <c r="F707" s="58">
        <v>934</v>
      </c>
      <c r="G707" s="58">
        <v>20000</v>
      </c>
      <c r="H707" s="58">
        <v>1867</v>
      </c>
      <c r="I707" s="58">
        <v>21867</v>
      </c>
      <c r="K707" s="57"/>
      <c r="L707" s="68">
        <v>0.315</v>
      </c>
      <c r="M707" s="62">
        <v>3.5000000000000003E-2</v>
      </c>
    </row>
    <row r="708" spans="1:13" ht="23.25">
      <c r="A708" s="16" t="s">
        <v>74</v>
      </c>
      <c r="B708" s="22">
        <v>80000</v>
      </c>
      <c r="C708" s="10">
        <v>6</v>
      </c>
      <c r="D708" s="50">
        <v>12607</v>
      </c>
      <c r="E708" s="50">
        <v>92607</v>
      </c>
      <c r="F708" s="50">
        <v>1401</v>
      </c>
      <c r="G708" s="50">
        <v>13334</v>
      </c>
      <c r="H708" s="50">
        <v>1867</v>
      </c>
      <c r="I708" s="50">
        <v>15201</v>
      </c>
      <c r="K708" s="59"/>
      <c r="L708" s="68">
        <v>0.315</v>
      </c>
      <c r="M708" s="62">
        <v>3.5000000000000003E-2</v>
      </c>
    </row>
    <row r="709" spans="1:13" ht="23.25">
      <c r="A709" s="16" t="s">
        <v>74</v>
      </c>
      <c r="B709" s="22">
        <v>80000</v>
      </c>
      <c r="C709" s="8">
        <v>8</v>
      </c>
      <c r="D709" s="58">
        <v>16803</v>
      </c>
      <c r="E709" s="58">
        <v>96803</v>
      </c>
      <c r="F709" s="58">
        <v>1867</v>
      </c>
      <c r="G709" s="58">
        <v>10000</v>
      </c>
      <c r="H709" s="58">
        <v>1867</v>
      </c>
      <c r="I709" s="58">
        <v>11867</v>
      </c>
      <c r="K709" s="57"/>
      <c r="L709" s="68">
        <v>0.315</v>
      </c>
      <c r="M709" s="62">
        <v>3.5000000000000003E-2</v>
      </c>
    </row>
    <row r="710" spans="1:13" ht="23.25">
      <c r="A710" s="16" t="s">
        <v>74</v>
      </c>
      <c r="B710" s="22">
        <v>80000</v>
      </c>
      <c r="C710" s="9">
        <v>10</v>
      </c>
      <c r="D710" s="49">
        <v>21004</v>
      </c>
      <c r="E710" s="49">
        <v>101004</v>
      </c>
      <c r="F710" s="49">
        <v>2334</v>
      </c>
      <c r="G710" s="49">
        <v>8000</v>
      </c>
      <c r="H710" s="52">
        <v>1867</v>
      </c>
      <c r="I710" s="49">
        <v>9867</v>
      </c>
      <c r="K710" s="63"/>
      <c r="L710" s="68">
        <v>0.315</v>
      </c>
      <c r="M710" s="62">
        <v>3.5000000000000003E-2</v>
      </c>
    </row>
    <row r="711" spans="1:13" ht="23.25">
      <c r="A711" s="16" t="s">
        <v>74</v>
      </c>
      <c r="B711" s="22">
        <v>80000</v>
      </c>
      <c r="C711" s="8">
        <v>12</v>
      </c>
      <c r="D711" s="58">
        <v>25209</v>
      </c>
      <c r="E711" s="58">
        <v>105209</v>
      </c>
      <c r="F711" s="58">
        <v>2801</v>
      </c>
      <c r="G711" s="58">
        <v>6667</v>
      </c>
      <c r="H711" s="58">
        <v>1867</v>
      </c>
      <c r="I711" s="58">
        <v>8534</v>
      </c>
      <c r="K711" s="57"/>
      <c r="L711" s="68">
        <v>0.315</v>
      </c>
      <c r="M711" s="62">
        <v>3.5000000000000003E-2</v>
      </c>
    </row>
    <row r="712" spans="1:13" ht="24" thickBot="1">
      <c r="A712" s="20" t="s">
        <v>74</v>
      </c>
      <c r="B712" s="26">
        <v>80000</v>
      </c>
      <c r="C712" s="5">
        <v>14</v>
      </c>
      <c r="D712" s="64">
        <v>29401</v>
      </c>
      <c r="E712" s="64">
        <v>109401</v>
      </c>
      <c r="F712" s="64">
        <v>3267</v>
      </c>
      <c r="G712" s="64">
        <v>5715</v>
      </c>
      <c r="H712" s="49">
        <v>1866</v>
      </c>
      <c r="I712" s="64">
        <v>7581</v>
      </c>
      <c r="K712" s="65"/>
      <c r="L712" s="68">
        <v>0.315</v>
      </c>
      <c r="M712" s="62">
        <v>3.5000000000000003E-2</v>
      </c>
    </row>
    <row r="713" spans="1:13" ht="24" thickTop="1">
      <c r="A713" s="17" t="s">
        <v>74</v>
      </c>
      <c r="B713" s="23">
        <v>80000</v>
      </c>
      <c r="C713" s="11">
        <v>16</v>
      </c>
      <c r="D713" s="31">
        <v>33606</v>
      </c>
      <c r="E713" s="31">
        <v>113606</v>
      </c>
      <c r="F713" s="31">
        <v>3734</v>
      </c>
      <c r="G713" s="31">
        <v>5000</v>
      </c>
      <c r="H713" s="31">
        <v>1867</v>
      </c>
      <c r="I713" s="31">
        <v>6867</v>
      </c>
      <c r="K713" s="11"/>
      <c r="L713" s="68">
        <v>0.315</v>
      </c>
      <c r="M713" s="62">
        <v>3.5000000000000003E-2</v>
      </c>
    </row>
    <row r="714" spans="1:13" ht="23.25">
      <c r="A714" s="18" t="s">
        <v>74</v>
      </c>
      <c r="B714" s="24">
        <v>80000</v>
      </c>
      <c r="C714" s="9">
        <v>18</v>
      </c>
      <c r="D714" s="49">
        <v>37817</v>
      </c>
      <c r="E714" s="49">
        <v>117817</v>
      </c>
      <c r="F714" s="49">
        <v>4201</v>
      </c>
      <c r="G714" s="49">
        <v>4445</v>
      </c>
      <c r="H714" s="49">
        <v>1867</v>
      </c>
      <c r="I714" s="49">
        <v>6312</v>
      </c>
      <c r="K714" s="63"/>
      <c r="L714" s="68">
        <v>0.315</v>
      </c>
      <c r="M714" s="62">
        <v>3.5000000000000003E-2</v>
      </c>
    </row>
    <row r="715" spans="1:13" ht="23.25">
      <c r="A715" s="18" t="s">
        <v>74</v>
      </c>
      <c r="B715" s="24">
        <v>80000</v>
      </c>
      <c r="C715" s="8">
        <v>20</v>
      </c>
      <c r="D715" s="58">
        <v>42007</v>
      </c>
      <c r="E715" s="58">
        <v>122007</v>
      </c>
      <c r="F715" s="58">
        <v>4667</v>
      </c>
      <c r="G715" s="58">
        <v>4000</v>
      </c>
      <c r="H715" s="58">
        <v>1867</v>
      </c>
      <c r="I715" s="58">
        <v>5867</v>
      </c>
      <c r="K715" s="57"/>
      <c r="L715" s="68">
        <v>0.315</v>
      </c>
      <c r="M715" s="62">
        <v>3.5000000000000003E-2</v>
      </c>
    </row>
    <row r="716" spans="1:13" ht="23.25">
      <c r="A716" s="18" t="s">
        <v>74</v>
      </c>
      <c r="B716" s="24">
        <v>80000</v>
      </c>
      <c r="C716" s="10">
        <v>22</v>
      </c>
      <c r="D716" s="50">
        <v>46222</v>
      </c>
      <c r="E716" s="50">
        <v>126222</v>
      </c>
      <c r="F716" s="50">
        <v>5134</v>
      </c>
      <c r="G716" s="50">
        <v>3637</v>
      </c>
      <c r="H716" s="50">
        <v>1867</v>
      </c>
      <c r="I716" s="50">
        <v>5504</v>
      </c>
      <c r="K716" s="59"/>
      <c r="L716" s="68">
        <v>0.315</v>
      </c>
      <c r="M716" s="62">
        <v>3.5000000000000003E-2</v>
      </c>
    </row>
    <row r="717" spans="1:13" ht="23.25">
      <c r="A717" s="18" t="s">
        <v>74</v>
      </c>
      <c r="B717" s="24">
        <v>80000</v>
      </c>
      <c r="C717" s="8">
        <v>24</v>
      </c>
      <c r="D717" s="58">
        <v>50425</v>
      </c>
      <c r="E717" s="58">
        <v>130425</v>
      </c>
      <c r="F717" s="58">
        <v>5601</v>
      </c>
      <c r="G717" s="58">
        <v>3334</v>
      </c>
      <c r="H717" s="58">
        <v>1867</v>
      </c>
      <c r="I717" s="58">
        <v>5201</v>
      </c>
      <c r="K717" s="57"/>
      <c r="L717" s="68">
        <v>0.315</v>
      </c>
      <c r="M717" s="62">
        <v>3.5000000000000003E-2</v>
      </c>
    </row>
    <row r="718" spans="1:13" ht="23.25">
      <c r="A718" s="18" t="s">
        <v>74</v>
      </c>
      <c r="B718" s="24">
        <v>81000</v>
      </c>
      <c r="C718" s="10">
        <v>4</v>
      </c>
      <c r="D718" s="50">
        <v>8510</v>
      </c>
      <c r="E718" s="50">
        <v>89510</v>
      </c>
      <c r="F718" s="50">
        <v>946</v>
      </c>
      <c r="G718" s="50">
        <v>20250</v>
      </c>
      <c r="H718" s="50">
        <v>1891</v>
      </c>
      <c r="I718" s="50">
        <v>22141</v>
      </c>
      <c r="K718" s="59"/>
      <c r="L718" s="68">
        <v>0.315</v>
      </c>
      <c r="M718" s="62">
        <v>3.5000000000000003E-2</v>
      </c>
    </row>
    <row r="719" spans="1:13" ht="23.25">
      <c r="A719" s="18" t="s">
        <v>74</v>
      </c>
      <c r="B719" s="24">
        <v>81000</v>
      </c>
      <c r="C719" s="8">
        <v>6</v>
      </c>
      <c r="D719" s="58">
        <v>12764</v>
      </c>
      <c r="E719" s="58">
        <v>93764</v>
      </c>
      <c r="F719" s="58">
        <v>1418</v>
      </c>
      <c r="G719" s="58">
        <v>13500</v>
      </c>
      <c r="H719" s="58">
        <v>1891</v>
      </c>
      <c r="I719" s="58">
        <v>15391</v>
      </c>
      <c r="K719" s="57"/>
      <c r="L719" s="68">
        <v>0.315</v>
      </c>
      <c r="M719" s="62">
        <v>3.5000000000000003E-2</v>
      </c>
    </row>
    <row r="720" spans="1:13" ht="23.25">
      <c r="A720" s="18" t="s">
        <v>74</v>
      </c>
      <c r="B720" s="24">
        <v>81000</v>
      </c>
      <c r="C720" s="10">
        <v>8</v>
      </c>
      <c r="D720" s="50">
        <v>17019</v>
      </c>
      <c r="E720" s="50">
        <v>98019</v>
      </c>
      <c r="F720" s="50">
        <v>1891</v>
      </c>
      <c r="G720" s="50">
        <v>10125</v>
      </c>
      <c r="H720" s="52">
        <v>1891</v>
      </c>
      <c r="I720" s="50">
        <v>12016</v>
      </c>
      <c r="K720" s="59"/>
      <c r="L720" s="68">
        <v>0.315</v>
      </c>
      <c r="M720" s="62">
        <v>3.5000000000000003E-2</v>
      </c>
    </row>
    <row r="721" spans="1:13" ht="23.25">
      <c r="A721" s="18" t="s">
        <v>74</v>
      </c>
      <c r="B721" s="24">
        <v>81000</v>
      </c>
      <c r="C721" s="8">
        <v>10</v>
      </c>
      <c r="D721" s="58">
        <v>21273</v>
      </c>
      <c r="E721" s="58">
        <v>102273</v>
      </c>
      <c r="F721" s="58">
        <v>2363</v>
      </c>
      <c r="G721" s="58">
        <v>8100</v>
      </c>
      <c r="H721" s="58">
        <v>1891</v>
      </c>
      <c r="I721" s="58">
        <v>9991</v>
      </c>
      <c r="K721" s="57"/>
      <c r="L721" s="68">
        <v>0.315</v>
      </c>
      <c r="M721" s="62">
        <v>3.5000000000000003E-2</v>
      </c>
    </row>
    <row r="722" spans="1:13" ht="23.25">
      <c r="A722" s="18" t="s">
        <v>74</v>
      </c>
      <c r="B722" s="24">
        <v>81000</v>
      </c>
      <c r="C722" s="9">
        <v>12</v>
      </c>
      <c r="D722" s="49">
        <v>25528</v>
      </c>
      <c r="E722" s="49">
        <v>106528</v>
      </c>
      <c r="F722" s="49">
        <v>2836</v>
      </c>
      <c r="G722" s="49">
        <v>6750</v>
      </c>
      <c r="H722" s="49">
        <v>1891</v>
      </c>
      <c r="I722" s="49">
        <v>8641</v>
      </c>
      <c r="K722" s="63"/>
      <c r="L722" s="68">
        <v>0.315</v>
      </c>
      <c r="M722" s="62">
        <v>3.5000000000000003E-2</v>
      </c>
    </row>
    <row r="723" spans="1:13" ht="24" thickBot="1">
      <c r="A723" s="19" t="s">
        <v>74</v>
      </c>
      <c r="B723" s="25">
        <v>81000</v>
      </c>
      <c r="C723" s="4">
        <v>14</v>
      </c>
      <c r="D723" s="66">
        <v>29772</v>
      </c>
      <c r="E723" s="66">
        <v>110772</v>
      </c>
      <c r="F723" s="66">
        <v>3308</v>
      </c>
      <c r="G723" s="66">
        <v>5786</v>
      </c>
      <c r="H723" s="58">
        <v>1890</v>
      </c>
      <c r="I723" s="66">
        <v>7676</v>
      </c>
      <c r="K723" s="67"/>
      <c r="L723" s="68">
        <v>0.315</v>
      </c>
      <c r="M723" s="62">
        <v>3.5000000000000003E-2</v>
      </c>
    </row>
    <row r="724" spans="1:13" ht="24" thickTop="1">
      <c r="A724" s="15" t="s">
        <v>74</v>
      </c>
      <c r="B724" s="21">
        <v>81000</v>
      </c>
      <c r="C724" s="6">
        <v>16</v>
      </c>
      <c r="D724" s="37">
        <v>34029</v>
      </c>
      <c r="E724" s="37">
        <v>115029</v>
      </c>
      <c r="F724" s="37">
        <v>3781</v>
      </c>
      <c r="G724" s="37">
        <v>5063</v>
      </c>
      <c r="H724" s="37">
        <v>1890</v>
      </c>
      <c r="I724" s="37">
        <v>6953</v>
      </c>
      <c r="K724" s="6"/>
      <c r="L724" s="68">
        <v>0.315</v>
      </c>
      <c r="M724" s="62">
        <v>3.5000000000000003E-2</v>
      </c>
    </row>
    <row r="725" spans="1:13" ht="23.25">
      <c r="A725" s="16" t="s">
        <v>74</v>
      </c>
      <c r="B725" s="22">
        <v>81000</v>
      </c>
      <c r="C725" s="8">
        <v>18</v>
      </c>
      <c r="D725" s="58">
        <v>38291</v>
      </c>
      <c r="E725" s="58">
        <v>119291</v>
      </c>
      <c r="F725" s="58">
        <v>4253</v>
      </c>
      <c r="G725" s="58">
        <v>4500</v>
      </c>
      <c r="H725" s="58">
        <v>1891</v>
      </c>
      <c r="I725" s="58">
        <v>6391</v>
      </c>
      <c r="K725" s="57"/>
      <c r="L725" s="68">
        <v>0.315</v>
      </c>
      <c r="M725" s="62">
        <v>3.5000000000000003E-2</v>
      </c>
    </row>
    <row r="726" spans="1:13" ht="23.25">
      <c r="A726" s="16" t="s">
        <v>74</v>
      </c>
      <c r="B726" s="22">
        <v>81000</v>
      </c>
      <c r="C726" s="10">
        <v>20</v>
      </c>
      <c r="D726" s="50">
        <v>42546</v>
      </c>
      <c r="E726" s="50">
        <v>123546</v>
      </c>
      <c r="F726" s="50">
        <v>4726</v>
      </c>
      <c r="G726" s="50">
        <v>4050</v>
      </c>
      <c r="H726" s="49">
        <v>1891</v>
      </c>
      <c r="I726" s="50">
        <v>5941</v>
      </c>
      <c r="K726" s="59"/>
      <c r="L726" s="68">
        <v>0.315</v>
      </c>
      <c r="M726" s="62">
        <v>3.5000000000000003E-2</v>
      </c>
    </row>
    <row r="727" spans="1:13" ht="23.25">
      <c r="A727" s="16" t="s">
        <v>74</v>
      </c>
      <c r="B727" s="22">
        <v>81000</v>
      </c>
      <c r="C727" s="8">
        <v>22</v>
      </c>
      <c r="D727" s="58">
        <v>46782</v>
      </c>
      <c r="E727" s="58">
        <v>127782</v>
      </c>
      <c r="F727" s="58">
        <v>5198</v>
      </c>
      <c r="G727" s="58">
        <v>3682</v>
      </c>
      <c r="H727" s="58">
        <v>1890</v>
      </c>
      <c r="I727" s="58">
        <v>5572</v>
      </c>
      <c r="K727" s="57"/>
      <c r="L727" s="68">
        <v>0.315</v>
      </c>
      <c r="M727" s="62">
        <v>3.5000000000000003E-2</v>
      </c>
    </row>
    <row r="728" spans="1:13" ht="23.25">
      <c r="A728" s="16" t="s">
        <v>74</v>
      </c>
      <c r="B728" s="22">
        <v>81000</v>
      </c>
      <c r="C728" s="10">
        <v>24</v>
      </c>
      <c r="D728" s="50">
        <v>51055</v>
      </c>
      <c r="E728" s="50">
        <v>132055</v>
      </c>
      <c r="F728" s="50">
        <v>5671</v>
      </c>
      <c r="G728" s="50">
        <v>3375</v>
      </c>
      <c r="H728" s="50">
        <v>1891</v>
      </c>
      <c r="I728" s="50">
        <v>5266</v>
      </c>
      <c r="K728" s="59"/>
      <c r="L728" s="68">
        <v>0.315</v>
      </c>
      <c r="M728" s="62">
        <v>3.5000000000000003E-2</v>
      </c>
    </row>
    <row r="729" spans="1:13" ht="23.25">
      <c r="A729" s="16" t="s">
        <v>74</v>
      </c>
      <c r="B729" s="22">
        <v>82000</v>
      </c>
      <c r="C729" s="8">
        <v>4</v>
      </c>
      <c r="D729" s="58">
        <v>8613</v>
      </c>
      <c r="E729" s="58">
        <v>90613</v>
      </c>
      <c r="F729" s="58">
        <v>957</v>
      </c>
      <c r="G729" s="58">
        <v>20500</v>
      </c>
      <c r="H729" s="58">
        <v>1914</v>
      </c>
      <c r="I729" s="58">
        <v>22414</v>
      </c>
      <c r="K729" s="57"/>
      <c r="L729" s="68">
        <v>0.315</v>
      </c>
      <c r="M729" s="62">
        <v>3.5000000000000003E-2</v>
      </c>
    </row>
    <row r="730" spans="1:13" ht="23.25">
      <c r="A730" s="16" t="s">
        <v>74</v>
      </c>
      <c r="B730" s="22">
        <v>82000</v>
      </c>
      <c r="C730" s="10">
        <v>6</v>
      </c>
      <c r="D730" s="50">
        <v>12922</v>
      </c>
      <c r="E730" s="50">
        <v>94922</v>
      </c>
      <c r="F730" s="50">
        <v>1436</v>
      </c>
      <c r="G730" s="50">
        <v>13667</v>
      </c>
      <c r="H730" s="50">
        <v>1914</v>
      </c>
      <c r="I730" s="50">
        <v>15581</v>
      </c>
      <c r="K730" s="59"/>
      <c r="L730" s="68">
        <v>0.315</v>
      </c>
      <c r="M730" s="62">
        <v>3.5000000000000003E-2</v>
      </c>
    </row>
    <row r="731" spans="1:13" ht="23.25">
      <c r="A731" s="16" t="s">
        <v>74</v>
      </c>
      <c r="B731" s="22">
        <v>82000</v>
      </c>
      <c r="C731" s="8">
        <v>8</v>
      </c>
      <c r="D731" s="58">
        <v>17226</v>
      </c>
      <c r="E731" s="58">
        <v>99226</v>
      </c>
      <c r="F731" s="58">
        <v>1914</v>
      </c>
      <c r="G731" s="58">
        <v>10250</v>
      </c>
      <c r="H731" s="58">
        <v>1914</v>
      </c>
      <c r="I731" s="58">
        <v>12164</v>
      </c>
      <c r="K731" s="57"/>
      <c r="L731" s="68">
        <v>0.315</v>
      </c>
      <c r="M731" s="62">
        <v>3.5000000000000003E-2</v>
      </c>
    </row>
    <row r="732" spans="1:13" ht="23.25">
      <c r="A732" s="16" t="s">
        <v>74</v>
      </c>
      <c r="B732" s="22">
        <v>82000</v>
      </c>
      <c r="C732" s="9">
        <v>10</v>
      </c>
      <c r="D732" s="49">
        <v>21532</v>
      </c>
      <c r="E732" s="49">
        <v>103532</v>
      </c>
      <c r="F732" s="49">
        <v>2392</v>
      </c>
      <c r="G732" s="49">
        <v>8200</v>
      </c>
      <c r="H732" s="52">
        <v>1914</v>
      </c>
      <c r="I732" s="49">
        <v>10114</v>
      </c>
      <c r="K732" s="63"/>
      <c r="L732" s="68">
        <v>0.315</v>
      </c>
      <c r="M732" s="62">
        <v>3.5000000000000003E-2</v>
      </c>
    </row>
    <row r="733" spans="1:13" ht="23.25">
      <c r="A733" s="16" t="s">
        <v>74</v>
      </c>
      <c r="B733" s="22">
        <v>82000</v>
      </c>
      <c r="C733" s="8">
        <v>12</v>
      </c>
      <c r="D733" s="58">
        <v>25835</v>
      </c>
      <c r="E733" s="58">
        <v>107835</v>
      </c>
      <c r="F733" s="58">
        <v>2871</v>
      </c>
      <c r="G733" s="58">
        <v>6834</v>
      </c>
      <c r="H733" s="58">
        <v>1913</v>
      </c>
      <c r="I733" s="58">
        <v>8747</v>
      </c>
      <c r="K733" s="57"/>
      <c r="L733" s="68">
        <v>0.315</v>
      </c>
      <c r="M733" s="62">
        <v>3.5000000000000003E-2</v>
      </c>
    </row>
    <row r="734" spans="1:13" ht="24" thickBot="1">
      <c r="A734" s="20" t="s">
        <v>74</v>
      </c>
      <c r="B734" s="26">
        <v>82000</v>
      </c>
      <c r="C734" s="5">
        <v>14</v>
      </c>
      <c r="D734" s="64">
        <v>30143</v>
      </c>
      <c r="E734" s="64">
        <v>112143</v>
      </c>
      <c r="F734" s="64">
        <v>3349</v>
      </c>
      <c r="G734" s="64">
        <v>5858</v>
      </c>
      <c r="H734" s="49">
        <v>1913</v>
      </c>
      <c r="I734" s="64">
        <v>7771</v>
      </c>
      <c r="K734" s="65"/>
      <c r="L734" s="68">
        <v>0.315</v>
      </c>
      <c r="M734" s="62">
        <v>3.5000000000000003E-2</v>
      </c>
    </row>
    <row r="735" spans="1:13" ht="24" thickTop="1">
      <c r="A735" s="17" t="s">
        <v>74</v>
      </c>
      <c r="B735" s="23">
        <v>82000</v>
      </c>
      <c r="C735" s="11">
        <v>16</v>
      </c>
      <c r="D735" s="31">
        <v>34451</v>
      </c>
      <c r="E735" s="31">
        <v>116451</v>
      </c>
      <c r="F735" s="31">
        <v>3827</v>
      </c>
      <c r="G735" s="31">
        <v>5125</v>
      </c>
      <c r="H735" s="31">
        <v>1914</v>
      </c>
      <c r="I735" s="31">
        <v>7039</v>
      </c>
      <c r="K735" s="11"/>
      <c r="L735" s="68">
        <v>0.315</v>
      </c>
      <c r="M735" s="62">
        <v>3.5000000000000003E-2</v>
      </c>
    </row>
    <row r="736" spans="1:13" ht="23.25">
      <c r="A736" s="18" t="s">
        <v>74</v>
      </c>
      <c r="B736" s="24">
        <v>82000</v>
      </c>
      <c r="C736" s="9">
        <v>18</v>
      </c>
      <c r="D736" s="49">
        <v>38748</v>
      </c>
      <c r="E736" s="49">
        <v>120748</v>
      </c>
      <c r="F736" s="49">
        <v>4306</v>
      </c>
      <c r="G736" s="49">
        <v>4556</v>
      </c>
      <c r="H736" s="49">
        <v>1913</v>
      </c>
      <c r="I736" s="49">
        <v>6469</v>
      </c>
      <c r="K736" s="63"/>
      <c r="L736" s="68">
        <v>0.315</v>
      </c>
      <c r="M736" s="62">
        <v>3.5000000000000003E-2</v>
      </c>
    </row>
    <row r="737" spans="1:13" ht="23.25">
      <c r="A737" s="18" t="s">
        <v>74</v>
      </c>
      <c r="B737" s="24">
        <v>82000</v>
      </c>
      <c r="C737" s="8">
        <v>20</v>
      </c>
      <c r="D737" s="58">
        <v>43064</v>
      </c>
      <c r="E737" s="58">
        <v>125064</v>
      </c>
      <c r="F737" s="58">
        <v>4784</v>
      </c>
      <c r="G737" s="58">
        <v>4100</v>
      </c>
      <c r="H737" s="58">
        <v>1914</v>
      </c>
      <c r="I737" s="58">
        <v>6014</v>
      </c>
      <c r="K737" s="57"/>
      <c r="L737" s="68">
        <v>0.315</v>
      </c>
      <c r="M737" s="62">
        <v>3.5000000000000003E-2</v>
      </c>
    </row>
    <row r="738" spans="1:13" ht="23.25">
      <c r="A738" s="18" t="s">
        <v>74</v>
      </c>
      <c r="B738" s="24">
        <v>82000</v>
      </c>
      <c r="C738" s="10">
        <v>22</v>
      </c>
      <c r="D738" s="50">
        <v>47364</v>
      </c>
      <c r="E738" s="50">
        <v>129364</v>
      </c>
      <c r="F738" s="50">
        <v>5262</v>
      </c>
      <c r="G738" s="50">
        <v>3728</v>
      </c>
      <c r="H738" s="50">
        <v>1913</v>
      </c>
      <c r="I738" s="50">
        <v>5641</v>
      </c>
      <c r="K738" s="59"/>
      <c r="L738" s="68">
        <v>0.315</v>
      </c>
      <c r="M738" s="62">
        <v>3.5000000000000003E-2</v>
      </c>
    </row>
    <row r="739" spans="1:13" ht="23.25">
      <c r="A739" s="18" t="s">
        <v>74</v>
      </c>
      <c r="B739" s="24">
        <v>82000</v>
      </c>
      <c r="C739" s="8">
        <v>24</v>
      </c>
      <c r="D739" s="58">
        <v>51685</v>
      </c>
      <c r="E739" s="58">
        <v>133685</v>
      </c>
      <c r="F739" s="58">
        <v>5741</v>
      </c>
      <c r="G739" s="58">
        <v>3417</v>
      </c>
      <c r="H739" s="58">
        <v>1914</v>
      </c>
      <c r="I739" s="58">
        <v>5331</v>
      </c>
      <c r="K739" s="57"/>
      <c r="L739" s="68">
        <v>0.315</v>
      </c>
      <c r="M739" s="62">
        <v>3.5000000000000003E-2</v>
      </c>
    </row>
    <row r="740" spans="1:13" ht="23.25">
      <c r="A740" s="18" t="s">
        <v>74</v>
      </c>
      <c r="B740" s="24">
        <v>83000</v>
      </c>
      <c r="C740" s="10">
        <v>4</v>
      </c>
      <c r="D740" s="50">
        <v>8717</v>
      </c>
      <c r="E740" s="50">
        <v>91717</v>
      </c>
      <c r="F740" s="50">
        <v>969</v>
      </c>
      <c r="G740" s="50">
        <v>20750</v>
      </c>
      <c r="H740" s="50">
        <v>1937</v>
      </c>
      <c r="I740" s="50">
        <v>22687</v>
      </c>
      <c r="K740" s="59"/>
      <c r="L740" s="68">
        <v>0.315</v>
      </c>
      <c r="M740" s="62">
        <v>3.5000000000000003E-2</v>
      </c>
    </row>
    <row r="741" spans="1:13" ht="23.25">
      <c r="A741" s="18" t="s">
        <v>74</v>
      </c>
      <c r="B741" s="24">
        <v>83000</v>
      </c>
      <c r="C741" s="8">
        <v>6</v>
      </c>
      <c r="D741" s="58">
        <v>13079</v>
      </c>
      <c r="E741" s="58">
        <v>96079</v>
      </c>
      <c r="F741" s="58">
        <v>1453</v>
      </c>
      <c r="G741" s="58">
        <v>13834</v>
      </c>
      <c r="H741" s="58">
        <v>1937</v>
      </c>
      <c r="I741" s="58">
        <v>15771</v>
      </c>
      <c r="K741" s="57"/>
      <c r="L741" s="68">
        <v>0.315</v>
      </c>
      <c r="M741" s="62">
        <v>3.5000000000000003E-2</v>
      </c>
    </row>
    <row r="742" spans="1:13" ht="23.25">
      <c r="A742" s="18" t="s">
        <v>74</v>
      </c>
      <c r="B742" s="24">
        <v>83000</v>
      </c>
      <c r="C742" s="10">
        <v>8</v>
      </c>
      <c r="D742" s="50">
        <v>17433</v>
      </c>
      <c r="E742" s="50">
        <v>100433</v>
      </c>
      <c r="F742" s="50">
        <v>1937</v>
      </c>
      <c r="G742" s="50">
        <v>10375</v>
      </c>
      <c r="H742" s="52">
        <v>1937</v>
      </c>
      <c r="I742" s="50">
        <v>12312</v>
      </c>
      <c r="K742" s="59"/>
      <c r="L742" s="68">
        <v>0.315</v>
      </c>
      <c r="M742" s="62">
        <v>3.5000000000000003E-2</v>
      </c>
    </row>
    <row r="743" spans="1:13" ht="23.25">
      <c r="A743" s="18" t="s">
        <v>74</v>
      </c>
      <c r="B743" s="24">
        <v>83000</v>
      </c>
      <c r="C743" s="8">
        <v>10</v>
      </c>
      <c r="D743" s="58">
        <v>21791</v>
      </c>
      <c r="E743" s="58">
        <v>104791</v>
      </c>
      <c r="F743" s="58">
        <v>2421</v>
      </c>
      <c r="G743" s="58">
        <v>8300</v>
      </c>
      <c r="H743" s="58">
        <v>1937</v>
      </c>
      <c r="I743" s="58">
        <v>10237</v>
      </c>
      <c r="K743" s="57"/>
      <c r="L743" s="68">
        <v>0.315</v>
      </c>
      <c r="M743" s="62">
        <v>3.5000000000000003E-2</v>
      </c>
    </row>
    <row r="744" spans="1:13" ht="23.25">
      <c r="A744" s="18" t="s">
        <v>74</v>
      </c>
      <c r="B744" s="24">
        <v>83000</v>
      </c>
      <c r="C744" s="9">
        <v>12</v>
      </c>
      <c r="D744" s="49">
        <v>26154</v>
      </c>
      <c r="E744" s="49">
        <v>109154</v>
      </c>
      <c r="F744" s="49">
        <v>2906</v>
      </c>
      <c r="G744" s="49">
        <v>6917</v>
      </c>
      <c r="H744" s="49">
        <v>1937</v>
      </c>
      <c r="I744" s="49">
        <v>8854</v>
      </c>
      <c r="K744" s="63"/>
      <c r="L744" s="68">
        <v>0.315</v>
      </c>
      <c r="M744" s="62">
        <v>3.5000000000000003E-2</v>
      </c>
    </row>
    <row r="745" spans="1:13" ht="24" thickBot="1">
      <c r="A745" s="19" t="s">
        <v>74</v>
      </c>
      <c r="B745" s="25">
        <v>83000</v>
      </c>
      <c r="C745" s="4">
        <v>14</v>
      </c>
      <c r="D745" s="66">
        <v>30514</v>
      </c>
      <c r="E745" s="66">
        <v>113514</v>
      </c>
      <c r="F745" s="66">
        <v>3390</v>
      </c>
      <c r="G745" s="66">
        <v>5929</v>
      </c>
      <c r="H745" s="58">
        <v>1937</v>
      </c>
      <c r="I745" s="66">
        <v>7866</v>
      </c>
      <c r="K745" s="67"/>
      <c r="L745" s="68">
        <v>0.315</v>
      </c>
      <c r="M745" s="62">
        <v>3.5000000000000003E-2</v>
      </c>
    </row>
    <row r="746" spans="1:13" ht="24" thickTop="1">
      <c r="A746" s="15" t="s">
        <v>74</v>
      </c>
      <c r="B746" s="21">
        <v>83000</v>
      </c>
      <c r="C746" s="6">
        <v>16</v>
      </c>
      <c r="D746" s="37">
        <v>34874</v>
      </c>
      <c r="E746" s="37">
        <v>117874</v>
      </c>
      <c r="F746" s="37">
        <v>3874</v>
      </c>
      <c r="G746" s="37">
        <v>5188</v>
      </c>
      <c r="H746" s="37">
        <v>1937</v>
      </c>
      <c r="I746" s="37">
        <v>7125</v>
      </c>
      <c r="K746" s="6"/>
      <c r="L746" s="68">
        <v>0.315</v>
      </c>
      <c r="M746" s="62">
        <v>3.5000000000000003E-2</v>
      </c>
    </row>
    <row r="747" spans="1:13" ht="23.25">
      <c r="A747" s="16" t="s">
        <v>74</v>
      </c>
      <c r="B747" s="22">
        <v>83000</v>
      </c>
      <c r="C747" s="8">
        <v>18</v>
      </c>
      <c r="D747" s="58">
        <v>39222</v>
      </c>
      <c r="E747" s="58">
        <v>122222</v>
      </c>
      <c r="F747" s="58">
        <v>4358</v>
      </c>
      <c r="G747" s="58">
        <v>4612</v>
      </c>
      <c r="H747" s="58">
        <v>1936</v>
      </c>
      <c r="I747" s="58">
        <v>6548</v>
      </c>
      <c r="K747" s="57"/>
      <c r="L747" s="68">
        <v>0.315</v>
      </c>
      <c r="M747" s="62">
        <v>3.5000000000000003E-2</v>
      </c>
    </row>
    <row r="748" spans="1:13" ht="23.25">
      <c r="A748" s="16" t="s">
        <v>74</v>
      </c>
      <c r="B748" s="22">
        <v>83000</v>
      </c>
      <c r="C748" s="10">
        <v>20</v>
      </c>
      <c r="D748" s="50">
        <v>43582</v>
      </c>
      <c r="E748" s="50">
        <v>126582</v>
      </c>
      <c r="F748" s="50">
        <v>4842</v>
      </c>
      <c r="G748" s="50">
        <v>4150</v>
      </c>
      <c r="H748" s="49">
        <v>1937</v>
      </c>
      <c r="I748" s="50">
        <v>6087</v>
      </c>
      <c r="K748" s="59"/>
      <c r="L748" s="68">
        <v>0.315</v>
      </c>
      <c r="M748" s="62">
        <v>3.5000000000000003E-2</v>
      </c>
    </row>
    <row r="749" spans="1:13" ht="23.25">
      <c r="A749" s="16" t="s">
        <v>74</v>
      </c>
      <c r="B749" s="22">
        <v>83000</v>
      </c>
      <c r="C749" s="8">
        <v>22</v>
      </c>
      <c r="D749" s="58">
        <v>47946</v>
      </c>
      <c r="E749" s="58">
        <v>130946</v>
      </c>
      <c r="F749" s="58">
        <v>5326</v>
      </c>
      <c r="G749" s="58">
        <v>3773</v>
      </c>
      <c r="H749" s="58">
        <v>1937</v>
      </c>
      <c r="I749" s="58">
        <v>5710</v>
      </c>
      <c r="K749" s="57"/>
      <c r="L749" s="68">
        <v>0.315</v>
      </c>
      <c r="M749" s="62">
        <v>3.5000000000000003E-2</v>
      </c>
    </row>
    <row r="750" spans="1:13" ht="23.25">
      <c r="A750" s="16" t="s">
        <v>74</v>
      </c>
      <c r="B750" s="22">
        <v>83000</v>
      </c>
      <c r="C750" s="10">
        <v>24</v>
      </c>
      <c r="D750" s="50">
        <v>52315</v>
      </c>
      <c r="E750" s="50">
        <v>135315</v>
      </c>
      <c r="F750" s="50">
        <v>5811</v>
      </c>
      <c r="G750" s="50">
        <v>3459</v>
      </c>
      <c r="H750" s="50">
        <v>1937</v>
      </c>
      <c r="I750" s="50">
        <v>5396</v>
      </c>
      <c r="K750" s="59"/>
      <c r="L750" s="68">
        <v>0.315</v>
      </c>
      <c r="M750" s="62">
        <v>3.5000000000000003E-2</v>
      </c>
    </row>
    <row r="751" spans="1:13" ht="23.25">
      <c r="A751" s="16" t="s">
        <v>74</v>
      </c>
      <c r="B751" s="22">
        <v>84000</v>
      </c>
      <c r="C751" s="8">
        <v>4</v>
      </c>
      <c r="D751" s="58">
        <v>8825</v>
      </c>
      <c r="E751" s="58">
        <v>92825</v>
      </c>
      <c r="F751" s="58">
        <v>981</v>
      </c>
      <c r="G751" s="58">
        <v>21000</v>
      </c>
      <c r="H751" s="58">
        <v>1961</v>
      </c>
      <c r="I751" s="58">
        <v>22961</v>
      </c>
      <c r="K751" s="57"/>
      <c r="L751" s="68">
        <v>0.315</v>
      </c>
      <c r="M751" s="62">
        <v>3.5000000000000003E-2</v>
      </c>
    </row>
    <row r="752" spans="1:13" ht="23.25">
      <c r="A752" s="16" t="s">
        <v>74</v>
      </c>
      <c r="B752" s="22">
        <v>84000</v>
      </c>
      <c r="C752" s="10">
        <v>6</v>
      </c>
      <c r="D752" s="50">
        <v>13237</v>
      </c>
      <c r="E752" s="50">
        <v>97237</v>
      </c>
      <c r="F752" s="50">
        <v>1471</v>
      </c>
      <c r="G752" s="50">
        <v>14000</v>
      </c>
      <c r="H752" s="50">
        <v>1961</v>
      </c>
      <c r="I752" s="50">
        <v>15961</v>
      </c>
      <c r="K752" s="59"/>
      <c r="L752" s="68">
        <v>0.315</v>
      </c>
      <c r="M752" s="62">
        <v>3.5000000000000003E-2</v>
      </c>
    </row>
    <row r="753" spans="1:13" ht="23.25">
      <c r="A753" s="16" t="s">
        <v>74</v>
      </c>
      <c r="B753" s="22">
        <v>84000</v>
      </c>
      <c r="C753" s="8">
        <v>8</v>
      </c>
      <c r="D753" s="58">
        <v>17649</v>
      </c>
      <c r="E753" s="58">
        <v>101649</v>
      </c>
      <c r="F753" s="58">
        <v>1961</v>
      </c>
      <c r="G753" s="58">
        <v>10500</v>
      </c>
      <c r="H753" s="58">
        <v>1961</v>
      </c>
      <c r="I753" s="58">
        <v>12461</v>
      </c>
      <c r="K753" s="57"/>
      <c r="L753" s="68">
        <v>0.315</v>
      </c>
      <c r="M753" s="62">
        <v>3.5000000000000003E-2</v>
      </c>
    </row>
    <row r="754" spans="1:13" ht="23.25">
      <c r="A754" s="16" t="s">
        <v>74</v>
      </c>
      <c r="B754" s="22">
        <v>84000</v>
      </c>
      <c r="C754" s="9">
        <v>10</v>
      </c>
      <c r="D754" s="49">
        <v>22061</v>
      </c>
      <c r="E754" s="49">
        <v>106061</v>
      </c>
      <c r="F754" s="49">
        <v>2451</v>
      </c>
      <c r="G754" s="49">
        <v>8400</v>
      </c>
      <c r="H754" s="52">
        <v>1961</v>
      </c>
      <c r="I754" s="49">
        <v>10361</v>
      </c>
      <c r="K754" s="63"/>
      <c r="L754" s="68">
        <v>0.315</v>
      </c>
      <c r="M754" s="62">
        <v>3.5000000000000003E-2</v>
      </c>
    </row>
    <row r="755" spans="1:13" ht="23.25">
      <c r="A755" s="16" t="s">
        <v>74</v>
      </c>
      <c r="B755" s="22">
        <v>84000</v>
      </c>
      <c r="C755" s="8">
        <v>12</v>
      </c>
      <c r="D755" s="58">
        <v>26473</v>
      </c>
      <c r="E755" s="58">
        <v>110473</v>
      </c>
      <c r="F755" s="58">
        <v>2941</v>
      </c>
      <c r="G755" s="58">
        <v>7000</v>
      </c>
      <c r="H755" s="58">
        <v>1961</v>
      </c>
      <c r="I755" s="58">
        <v>8961</v>
      </c>
      <c r="K755" s="57"/>
      <c r="L755" s="68">
        <v>0.315</v>
      </c>
      <c r="M755" s="62">
        <v>3.5000000000000003E-2</v>
      </c>
    </row>
    <row r="756" spans="1:13" ht="24" thickBot="1">
      <c r="A756" s="20" t="s">
        <v>74</v>
      </c>
      <c r="B756" s="26">
        <v>84000</v>
      </c>
      <c r="C756" s="5">
        <v>14</v>
      </c>
      <c r="D756" s="64">
        <v>30885</v>
      </c>
      <c r="E756" s="64">
        <v>114885</v>
      </c>
      <c r="F756" s="64">
        <v>3431</v>
      </c>
      <c r="G756" s="64">
        <v>6000</v>
      </c>
      <c r="H756" s="64">
        <v>1961</v>
      </c>
      <c r="I756" s="64">
        <v>7961</v>
      </c>
      <c r="K756" s="65"/>
      <c r="L756" s="68">
        <v>0.315</v>
      </c>
      <c r="M756" s="62">
        <v>3.5000000000000003E-2</v>
      </c>
    </row>
    <row r="757" spans="1:13" ht="24" thickTop="1">
      <c r="A757" s="17" t="s">
        <v>74</v>
      </c>
      <c r="B757" s="23">
        <v>84000</v>
      </c>
      <c r="C757" s="11">
        <v>16</v>
      </c>
      <c r="D757" s="31">
        <v>35297</v>
      </c>
      <c r="E757" s="31">
        <v>119297</v>
      </c>
      <c r="F757" s="31">
        <v>3921</v>
      </c>
      <c r="G757" s="31">
        <v>5250</v>
      </c>
      <c r="H757" s="31">
        <v>1961</v>
      </c>
      <c r="I757" s="31">
        <v>7211</v>
      </c>
      <c r="K757" s="11"/>
      <c r="L757" s="68">
        <v>0.315</v>
      </c>
      <c r="M757" s="62">
        <v>3.5000000000000003E-2</v>
      </c>
    </row>
    <row r="758" spans="1:13" ht="23.25">
      <c r="A758" s="18" t="s">
        <v>74</v>
      </c>
      <c r="B758" s="24">
        <v>84000</v>
      </c>
      <c r="C758" s="9">
        <v>18</v>
      </c>
      <c r="D758" s="49">
        <v>39697</v>
      </c>
      <c r="E758" s="49">
        <v>123697</v>
      </c>
      <c r="F758" s="49">
        <v>4411</v>
      </c>
      <c r="G758" s="49">
        <v>4667</v>
      </c>
      <c r="H758" s="49">
        <v>1960</v>
      </c>
      <c r="I758" s="49">
        <v>6627</v>
      </c>
      <c r="K758" s="63"/>
      <c r="L758" s="68">
        <v>0.315</v>
      </c>
      <c r="M758" s="62">
        <v>3.5000000000000003E-2</v>
      </c>
    </row>
    <row r="759" spans="1:13" ht="23.25">
      <c r="A759" s="18" t="s">
        <v>74</v>
      </c>
      <c r="B759" s="24">
        <v>84000</v>
      </c>
      <c r="C759" s="8">
        <v>20</v>
      </c>
      <c r="D759" s="58">
        <v>44121</v>
      </c>
      <c r="E759" s="58">
        <v>128121</v>
      </c>
      <c r="F759" s="58">
        <v>4901</v>
      </c>
      <c r="G759" s="58">
        <v>4200</v>
      </c>
      <c r="H759" s="58">
        <v>1961</v>
      </c>
      <c r="I759" s="58">
        <v>6161</v>
      </c>
      <c r="K759" s="57"/>
      <c r="L759" s="68">
        <v>0.315</v>
      </c>
      <c r="M759" s="62">
        <v>3.5000000000000003E-2</v>
      </c>
    </row>
    <row r="760" spans="1:13" ht="23.25">
      <c r="A760" s="18" t="s">
        <v>74</v>
      </c>
      <c r="B760" s="24">
        <v>84000</v>
      </c>
      <c r="C760" s="10">
        <v>22</v>
      </c>
      <c r="D760" s="50">
        <v>48529</v>
      </c>
      <c r="E760" s="50">
        <v>132529</v>
      </c>
      <c r="F760" s="50">
        <v>5391</v>
      </c>
      <c r="G760" s="50">
        <v>3819</v>
      </c>
      <c r="H760" s="50">
        <v>1960</v>
      </c>
      <c r="I760" s="50">
        <v>5779</v>
      </c>
      <c r="K760" s="59"/>
      <c r="L760" s="68">
        <v>0.315</v>
      </c>
      <c r="M760" s="62">
        <v>3.5000000000000003E-2</v>
      </c>
    </row>
    <row r="761" spans="1:13" ht="23.25">
      <c r="A761" s="18" t="s">
        <v>74</v>
      </c>
      <c r="B761" s="24">
        <v>84000</v>
      </c>
      <c r="C761" s="8">
        <v>24</v>
      </c>
      <c r="D761" s="58">
        <v>52945</v>
      </c>
      <c r="E761" s="58">
        <v>136945</v>
      </c>
      <c r="F761" s="58">
        <v>5881</v>
      </c>
      <c r="G761" s="58">
        <v>3500</v>
      </c>
      <c r="H761" s="58">
        <v>1961</v>
      </c>
      <c r="I761" s="58">
        <v>5461</v>
      </c>
      <c r="K761" s="57"/>
      <c r="L761" s="68">
        <v>0.315</v>
      </c>
      <c r="M761" s="62">
        <v>3.5000000000000003E-2</v>
      </c>
    </row>
    <row r="762" spans="1:13" ht="23.25">
      <c r="A762" s="18" t="s">
        <v>74</v>
      </c>
      <c r="B762" s="24">
        <v>85000</v>
      </c>
      <c r="C762" s="10">
        <v>4</v>
      </c>
      <c r="D762" s="50">
        <v>8928</v>
      </c>
      <c r="E762" s="50">
        <v>93928</v>
      </c>
      <c r="F762" s="50">
        <v>992</v>
      </c>
      <c r="G762" s="50">
        <v>21250</v>
      </c>
      <c r="H762" s="50">
        <v>1984</v>
      </c>
      <c r="I762" s="50">
        <v>23234</v>
      </c>
      <c r="K762" s="59"/>
      <c r="L762" s="68">
        <v>0.315</v>
      </c>
      <c r="M762" s="62">
        <v>3.5000000000000003E-2</v>
      </c>
    </row>
    <row r="763" spans="1:13" ht="23.25">
      <c r="A763" s="18" t="s">
        <v>74</v>
      </c>
      <c r="B763" s="24">
        <v>85000</v>
      </c>
      <c r="C763" s="8">
        <v>6</v>
      </c>
      <c r="D763" s="58">
        <v>13394</v>
      </c>
      <c r="E763" s="58">
        <v>98394</v>
      </c>
      <c r="F763" s="58">
        <v>1488</v>
      </c>
      <c r="G763" s="58">
        <v>14167</v>
      </c>
      <c r="H763" s="58">
        <v>1984</v>
      </c>
      <c r="I763" s="58">
        <v>16151</v>
      </c>
      <c r="K763" s="57"/>
      <c r="L763" s="68">
        <v>0.315</v>
      </c>
      <c r="M763" s="62">
        <v>3.5000000000000003E-2</v>
      </c>
    </row>
    <row r="764" spans="1:13" ht="23.25">
      <c r="A764" s="18" t="s">
        <v>74</v>
      </c>
      <c r="B764" s="24">
        <v>85000</v>
      </c>
      <c r="C764" s="10">
        <v>8</v>
      </c>
      <c r="D764" s="50">
        <v>17856</v>
      </c>
      <c r="E764" s="50">
        <v>102856</v>
      </c>
      <c r="F764" s="50">
        <v>1984</v>
      </c>
      <c r="G764" s="50">
        <v>10625</v>
      </c>
      <c r="H764" s="52">
        <v>1984</v>
      </c>
      <c r="I764" s="50">
        <v>12609</v>
      </c>
      <c r="K764" s="59"/>
      <c r="L764" s="68">
        <v>0.315</v>
      </c>
      <c r="M764" s="62">
        <v>3.5000000000000003E-2</v>
      </c>
    </row>
    <row r="765" spans="1:13" ht="23.25">
      <c r="A765" s="18" t="s">
        <v>74</v>
      </c>
      <c r="B765" s="24">
        <v>85000</v>
      </c>
      <c r="C765" s="8">
        <v>10</v>
      </c>
      <c r="D765" s="58">
        <v>22320</v>
      </c>
      <c r="E765" s="58">
        <v>107320</v>
      </c>
      <c r="F765" s="58">
        <v>2480</v>
      </c>
      <c r="G765" s="58">
        <v>8500</v>
      </c>
      <c r="H765" s="58">
        <v>1984</v>
      </c>
      <c r="I765" s="58">
        <v>10484</v>
      </c>
      <c r="K765" s="57"/>
      <c r="L765" s="68">
        <v>0.315</v>
      </c>
      <c r="M765" s="62">
        <v>3.5000000000000003E-2</v>
      </c>
    </row>
    <row r="766" spans="1:13" ht="23.25">
      <c r="A766" s="18" t="s">
        <v>74</v>
      </c>
      <c r="B766" s="24">
        <v>85000</v>
      </c>
      <c r="C766" s="9">
        <v>12</v>
      </c>
      <c r="D766" s="49">
        <v>26780</v>
      </c>
      <c r="E766" s="49">
        <v>111780</v>
      </c>
      <c r="F766" s="49">
        <v>2976</v>
      </c>
      <c r="G766" s="49">
        <v>7084</v>
      </c>
      <c r="H766" s="49">
        <v>1983</v>
      </c>
      <c r="I766" s="49">
        <v>9067</v>
      </c>
      <c r="K766" s="63"/>
      <c r="L766" s="68">
        <v>0.315</v>
      </c>
      <c r="M766" s="62">
        <v>3.5000000000000003E-2</v>
      </c>
    </row>
    <row r="767" spans="1:13" ht="24" thickBot="1">
      <c r="A767" s="19" t="s">
        <v>74</v>
      </c>
      <c r="B767" s="25">
        <v>85000</v>
      </c>
      <c r="C767" s="4">
        <v>14</v>
      </c>
      <c r="D767" s="66">
        <v>31241</v>
      </c>
      <c r="E767" s="66">
        <v>116241</v>
      </c>
      <c r="F767" s="66">
        <v>3471</v>
      </c>
      <c r="G767" s="66">
        <v>6072</v>
      </c>
      <c r="H767" s="58">
        <v>1983</v>
      </c>
      <c r="I767" s="66">
        <v>8055</v>
      </c>
      <c r="K767" s="67"/>
      <c r="L767" s="68">
        <v>0.315</v>
      </c>
      <c r="M767" s="62">
        <v>3.5000000000000003E-2</v>
      </c>
    </row>
    <row r="768" spans="1:13" ht="24" thickTop="1">
      <c r="A768" s="15" t="s">
        <v>74</v>
      </c>
      <c r="B768" s="21">
        <v>85000</v>
      </c>
      <c r="C768" s="6">
        <v>16</v>
      </c>
      <c r="D768" s="37">
        <v>35703</v>
      </c>
      <c r="E768" s="37">
        <v>120703</v>
      </c>
      <c r="F768" s="37">
        <v>3967</v>
      </c>
      <c r="G768" s="37">
        <v>5313</v>
      </c>
      <c r="H768" s="37">
        <v>1983</v>
      </c>
      <c r="I768" s="37">
        <v>7296</v>
      </c>
      <c r="K768" s="6"/>
      <c r="L768" s="68">
        <v>0.315</v>
      </c>
      <c r="M768" s="62">
        <v>3.5000000000000003E-2</v>
      </c>
    </row>
    <row r="769" spans="1:13" ht="23.25">
      <c r="A769" s="16" t="s">
        <v>74</v>
      </c>
      <c r="B769" s="22">
        <v>85000</v>
      </c>
      <c r="C769" s="8">
        <v>18</v>
      </c>
      <c r="D769" s="58">
        <v>40171</v>
      </c>
      <c r="E769" s="58">
        <v>125171</v>
      </c>
      <c r="F769" s="58">
        <v>4463</v>
      </c>
      <c r="G769" s="58">
        <v>4723</v>
      </c>
      <c r="H769" s="58">
        <v>1983</v>
      </c>
      <c r="I769" s="58">
        <v>6706</v>
      </c>
      <c r="K769" s="57"/>
      <c r="L769" s="68">
        <v>0.315</v>
      </c>
      <c r="M769" s="62">
        <v>3.5000000000000003E-2</v>
      </c>
    </row>
    <row r="770" spans="1:13" ht="23.25">
      <c r="A770" s="16" t="s">
        <v>74</v>
      </c>
      <c r="B770" s="22">
        <v>85000</v>
      </c>
      <c r="C770" s="10">
        <v>20</v>
      </c>
      <c r="D770" s="50">
        <v>44639</v>
      </c>
      <c r="E770" s="50">
        <v>129639</v>
      </c>
      <c r="F770" s="50">
        <v>4959</v>
      </c>
      <c r="G770" s="50">
        <v>4250</v>
      </c>
      <c r="H770" s="49">
        <v>1984</v>
      </c>
      <c r="I770" s="50">
        <v>6234</v>
      </c>
      <c r="K770" s="59"/>
      <c r="L770" s="68">
        <v>0.315</v>
      </c>
      <c r="M770" s="62">
        <v>3.5000000000000003E-2</v>
      </c>
    </row>
    <row r="771" spans="1:13" ht="23.25">
      <c r="A771" s="16" t="s">
        <v>74</v>
      </c>
      <c r="B771" s="22">
        <v>85000</v>
      </c>
      <c r="C771" s="8">
        <v>22</v>
      </c>
      <c r="D771" s="58">
        <v>49089</v>
      </c>
      <c r="E771" s="58">
        <v>134089</v>
      </c>
      <c r="F771" s="58">
        <v>5455</v>
      </c>
      <c r="G771" s="58">
        <v>3864</v>
      </c>
      <c r="H771" s="58">
        <v>1983</v>
      </c>
      <c r="I771" s="58">
        <v>5847</v>
      </c>
      <c r="K771" s="57"/>
      <c r="L771" s="68">
        <v>0.315</v>
      </c>
      <c r="M771" s="62">
        <v>3.5000000000000003E-2</v>
      </c>
    </row>
    <row r="772" spans="1:13" ht="23.25">
      <c r="A772" s="16" t="s">
        <v>74</v>
      </c>
      <c r="B772" s="22">
        <v>85000</v>
      </c>
      <c r="C772" s="10">
        <v>24</v>
      </c>
      <c r="D772" s="50">
        <v>53575</v>
      </c>
      <c r="E772" s="50">
        <v>138575</v>
      </c>
      <c r="F772" s="50">
        <v>5951</v>
      </c>
      <c r="G772" s="50">
        <v>3542</v>
      </c>
      <c r="H772" s="50">
        <v>1984</v>
      </c>
      <c r="I772" s="50">
        <v>5526</v>
      </c>
      <c r="K772" s="59"/>
      <c r="L772" s="68">
        <v>0.315</v>
      </c>
      <c r="M772" s="62">
        <v>3.5000000000000003E-2</v>
      </c>
    </row>
    <row r="773" spans="1:13" ht="23.25">
      <c r="A773" s="16" t="s">
        <v>74</v>
      </c>
      <c r="B773" s="22">
        <v>86000</v>
      </c>
      <c r="C773" s="8">
        <v>4</v>
      </c>
      <c r="D773" s="58">
        <v>9032</v>
      </c>
      <c r="E773" s="58">
        <v>95032</v>
      </c>
      <c r="F773" s="58">
        <v>1004</v>
      </c>
      <c r="G773" s="58">
        <v>21500</v>
      </c>
      <c r="H773" s="58">
        <v>2007</v>
      </c>
      <c r="I773" s="58">
        <v>23507</v>
      </c>
      <c r="K773" s="57"/>
      <c r="L773" s="68">
        <v>0.315</v>
      </c>
      <c r="M773" s="62">
        <v>3.5000000000000003E-2</v>
      </c>
    </row>
    <row r="774" spans="1:13" ht="23.25">
      <c r="A774" s="16" t="s">
        <v>74</v>
      </c>
      <c r="B774" s="22">
        <v>86000</v>
      </c>
      <c r="C774" s="10">
        <v>6</v>
      </c>
      <c r="D774" s="50">
        <v>13552</v>
      </c>
      <c r="E774" s="50">
        <v>99552</v>
      </c>
      <c r="F774" s="50">
        <v>1506</v>
      </c>
      <c r="G774" s="50">
        <v>14334</v>
      </c>
      <c r="H774" s="50">
        <v>2007</v>
      </c>
      <c r="I774" s="50">
        <v>16341</v>
      </c>
      <c r="K774" s="59"/>
      <c r="L774" s="68">
        <v>0.315</v>
      </c>
      <c r="M774" s="62">
        <v>3.5000000000000003E-2</v>
      </c>
    </row>
    <row r="775" spans="1:13" ht="23.25">
      <c r="A775" s="16" t="s">
        <v>74</v>
      </c>
      <c r="B775" s="22">
        <v>86000</v>
      </c>
      <c r="C775" s="8">
        <v>8</v>
      </c>
      <c r="D775" s="58">
        <v>18063</v>
      </c>
      <c r="E775" s="58">
        <v>104063</v>
      </c>
      <c r="F775" s="58">
        <v>2007</v>
      </c>
      <c r="G775" s="58">
        <v>10750</v>
      </c>
      <c r="H775" s="58">
        <v>2007</v>
      </c>
      <c r="I775" s="58">
        <v>12757</v>
      </c>
      <c r="K775" s="57"/>
      <c r="L775" s="68">
        <v>0.315</v>
      </c>
      <c r="M775" s="62">
        <v>3.5000000000000003E-2</v>
      </c>
    </row>
    <row r="776" spans="1:13" ht="23.25">
      <c r="A776" s="16" t="s">
        <v>74</v>
      </c>
      <c r="B776" s="22">
        <v>86000</v>
      </c>
      <c r="C776" s="9">
        <v>10</v>
      </c>
      <c r="D776" s="49">
        <v>22579</v>
      </c>
      <c r="E776" s="49">
        <v>108579</v>
      </c>
      <c r="F776" s="49">
        <v>2509</v>
      </c>
      <c r="G776" s="49">
        <v>8600</v>
      </c>
      <c r="H776" s="52">
        <v>2007</v>
      </c>
      <c r="I776" s="49">
        <v>10607</v>
      </c>
      <c r="K776" s="63"/>
      <c r="L776" s="68">
        <v>0.315</v>
      </c>
      <c r="M776" s="62">
        <v>3.5000000000000003E-2</v>
      </c>
    </row>
    <row r="777" spans="1:13" ht="23.25">
      <c r="A777" s="16" t="s">
        <v>74</v>
      </c>
      <c r="B777" s="22">
        <v>86000</v>
      </c>
      <c r="C777" s="8">
        <v>12</v>
      </c>
      <c r="D777" s="58">
        <v>27099</v>
      </c>
      <c r="E777" s="58">
        <v>113099</v>
      </c>
      <c r="F777" s="58">
        <v>3011</v>
      </c>
      <c r="G777" s="58">
        <v>7167</v>
      </c>
      <c r="H777" s="58">
        <v>2007</v>
      </c>
      <c r="I777" s="58">
        <v>9174</v>
      </c>
      <c r="K777" s="57"/>
      <c r="L777" s="68">
        <v>0.315</v>
      </c>
      <c r="M777" s="62">
        <v>3.5000000000000003E-2</v>
      </c>
    </row>
    <row r="778" spans="1:13" ht="24" thickBot="1">
      <c r="A778" s="20" t="s">
        <v>74</v>
      </c>
      <c r="B778" s="26">
        <v>86000</v>
      </c>
      <c r="C778" s="5">
        <v>14</v>
      </c>
      <c r="D778" s="64">
        <v>31612</v>
      </c>
      <c r="E778" s="64">
        <v>117612</v>
      </c>
      <c r="F778" s="64">
        <v>3512</v>
      </c>
      <c r="G778" s="64">
        <v>6143</v>
      </c>
      <c r="H778" s="49">
        <v>2007</v>
      </c>
      <c r="I778" s="64">
        <v>8150</v>
      </c>
      <c r="K778" s="65"/>
      <c r="L778" s="68">
        <v>0.315</v>
      </c>
      <c r="M778" s="62">
        <v>3.5000000000000003E-2</v>
      </c>
    </row>
    <row r="779" spans="1:13" ht="24" thickTop="1">
      <c r="A779" s="17" t="s">
        <v>74</v>
      </c>
      <c r="B779" s="23">
        <v>86000</v>
      </c>
      <c r="C779" s="11">
        <v>16</v>
      </c>
      <c r="D779" s="31">
        <v>36126</v>
      </c>
      <c r="E779" s="31">
        <v>122126</v>
      </c>
      <c r="F779" s="31">
        <v>4014</v>
      </c>
      <c r="G779" s="31">
        <v>5375</v>
      </c>
      <c r="H779" s="31">
        <v>2007</v>
      </c>
      <c r="I779" s="31">
        <v>7382</v>
      </c>
      <c r="K779" s="11"/>
      <c r="L779" s="68">
        <v>0.315</v>
      </c>
      <c r="M779" s="62">
        <v>3.5000000000000003E-2</v>
      </c>
    </row>
    <row r="780" spans="1:13" ht="23.25">
      <c r="A780" s="18" t="s">
        <v>74</v>
      </c>
      <c r="B780" s="24">
        <v>86000</v>
      </c>
      <c r="C780" s="9">
        <v>18</v>
      </c>
      <c r="D780" s="49">
        <v>40646</v>
      </c>
      <c r="E780" s="49">
        <v>126646</v>
      </c>
      <c r="F780" s="49">
        <v>4516</v>
      </c>
      <c r="G780" s="49">
        <v>4778</v>
      </c>
      <c r="H780" s="49">
        <v>2007</v>
      </c>
      <c r="I780" s="49">
        <v>6785</v>
      </c>
      <c r="K780" s="63"/>
      <c r="L780" s="68">
        <v>0.315</v>
      </c>
      <c r="M780" s="62">
        <v>3.5000000000000003E-2</v>
      </c>
    </row>
    <row r="781" spans="1:13" ht="23.25">
      <c r="A781" s="18" t="s">
        <v>74</v>
      </c>
      <c r="B781" s="24">
        <v>86000</v>
      </c>
      <c r="C781" s="8">
        <v>20</v>
      </c>
      <c r="D781" s="58">
        <v>45157</v>
      </c>
      <c r="E781" s="58">
        <v>131157</v>
      </c>
      <c r="F781" s="58">
        <v>5017</v>
      </c>
      <c r="G781" s="58">
        <v>4300</v>
      </c>
      <c r="H781" s="58">
        <v>2007</v>
      </c>
      <c r="I781" s="58">
        <v>6307</v>
      </c>
      <c r="K781" s="57"/>
      <c r="L781" s="68">
        <v>0.315</v>
      </c>
      <c r="M781" s="62">
        <v>3.5000000000000003E-2</v>
      </c>
    </row>
    <row r="782" spans="1:13" ht="23.25">
      <c r="A782" s="18" t="s">
        <v>74</v>
      </c>
      <c r="B782" s="24">
        <v>86000</v>
      </c>
      <c r="C782" s="10">
        <v>22</v>
      </c>
      <c r="D782" s="50">
        <v>49671</v>
      </c>
      <c r="E782" s="50">
        <v>135671</v>
      </c>
      <c r="F782" s="50">
        <v>5519</v>
      </c>
      <c r="G782" s="50">
        <v>3910</v>
      </c>
      <c r="H782" s="50">
        <v>2006</v>
      </c>
      <c r="I782" s="50">
        <v>5916</v>
      </c>
      <c r="K782" s="59"/>
      <c r="L782" s="68">
        <v>0.315</v>
      </c>
      <c r="M782" s="62">
        <v>3.5000000000000003E-2</v>
      </c>
    </row>
    <row r="783" spans="1:13" ht="23.25">
      <c r="A783" s="18" t="s">
        <v>74</v>
      </c>
      <c r="B783" s="24">
        <v>86000</v>
      </c>
      <c r="C783" s="8">
        <v>24</v>
      </c>
      <c r="D783" s="58">
        <v>54205</v>
      </c>
      <c r="E783" s="58">
        <v>140205</v>
      </c>
      <c r="F783" s="58">
        <v>6021</v>
      </c>
      <c r="G783" s="58">
        <v>3584</v>
      </c>
      <c r="H783" s="58">
        <v>2007</v>
      </c>
      <c r="I783" s="58">
        <v>5591</v>
      </c>
      <c r="K783" s="57"/>
      <c r="L783" s="68">
        <v>0.315</v>
      </c>
      <c r="M783" s="62">
        <v>3.5000000000000003E-2</v>
      </c>
    </row>
    <row r="784" spans="1:13" ht="23.25">
      <c r="A784" s="18" t="s">
        <v>74</v>
      </c>
      <c r="B784" s="24">
        <v>87000</v>
      </c>
      <c r="C784" s="10">
        <v>4</v>
      </c>
      <c r="D784" s="50">
        <v>9140</v>
      </c>
      <c r="E784" s="50">
        <v>96140</v>
      </c>
      <c r="F784" s="50">
        <v>1016</v>
      </c>
      <c r="G784" s="50">
        <v>21750</v>
      </c>
      <c r="H784" s="50">
        <v>2031</v>
      </c>
      <c r="I784" s="50">
        <v>23781</v>
      </c>
      <c r="K784" s="59"/>
      <c r="L784" s="68">
        <v>0.315</v>
      </c>
      <c r="M784" s="62">
        <v>3.5000000000000003E-2</v>
      </c>
    </row>
    <row r="785" spans="1:13" ht="23.25">
      <c r="A785" s="18" t="s">
        <v>74</v>
      </c>
      <c r="B785" s="24">
        <v>87000</v>
      </c>
      <c r="C785" s="8">
        <v>6</v>
      </c>
      <c r="D785" s="58">
        <v>13709</v>
      </c>
      <c r="E785" s="58">
        <v>100709</v>
      </c>
      <c r="F785" s="58">
        <v>1523</v>
      </c>
      <c r="G785" s="58">
        <v>14500</v>
      </c>
      <c r="H785" s="58">
        <v>2031</v>
      </c>
      <c r="I785" s="58">
        <v>16531</v>
      </c>
      <c r="K785" s="57"/>
      <c r="L785" s="68">
        <v>0.315</v>
      </c>
      <c r="M785" s="62">
        <v>3.5000000000000003E-2</v>
      </c>
    </row>
    <row r="786" spans="1:13" ht="23.25">
      <c r="A786" s="18" t="s">
        <v>74</v>
      </c>
      <c r="B786" s="24">
        <v>87000</v>
      </c>
      <c r="C786" s="10">
        <v>8</v>
      </c>
      <c r="D786" s="50">
        <v>18279</v>
      </c>
      <c r="E786" s="50">
        <v>105279</v>
      </c>
      <c r="F786" s="50">
        <v>2031</v>
      </c>
      <c r="G786" s="50">
        <v>10875</v>
      </c>
      <c r="H786" s="52">
        <v>2031</v>
      </c>
      <c r="I786" s="50">
        <v>12906</v>
      </c>
      <c r="K786" s="59"/>
      <c r="L786" s="68">
        <v>0.315</v>
      </c>
      <c r="M786" s="62">
        <v>3.5000000000000003E-2</v>
      </c>
    </row>
    <row r="787" spans="1:13" ht="23.25">
      <c r="A787" s="18" t="s">
        <v>74</v>
      </c>
      <c r="B787" s="24">
        <v>87000</v>
      </c>
      <c r="C787" s="8">
        <v>10</v>
      </c>
      <c r="D787" s="58">
        <v>22848</v>
      </c>
      <c r="E787" s="58">
        <v>109848</v>
      </c>
      <c r="F787" s="58">
        <v>2538</v>
      </c>
      <c r="G787" s="58">
        <v>8700</v>
      </c>
      <c r="H787" s="58">
        <v>2031</v>
      </c>
      <c r="I787" s="58">
        <v>10731</v>
      </c>
      <c r="K787" s="57"/>
      <c r="L787" s="68">
        <v>0.315</v>
      </c>
      <c r="M787" s="62">
        <v>3.5000000000000003E-2</v>
      </c>
    </row>
    <row r="788" spans="1:13" ht="23.25">
      <c r="A788" s="18" t="s">
        <v>74</v>
      </c>
      <c r="B788" s="24">
        <v>87000</v>
      </c>
      <c r="C788" s="9">
        <v>12</v>
      </c>
      <c r="D788" s="49">
        <v>27418</v>
      </c>
      <c r="E788" s="49">
        <v>114418</v>
      </c>
      <c r="F788" s="49">
        <v>3046</v>
      </c>
      <c r="G788" s="49">
        <v>7250</v>
      </c>
      <c r="H788" s="49">
        <v>2031</v>
      </c>
      <c r="I788" s="49">
        <v>9281</v>
      </c>
      <c r="K788" s="63"/>
      <c r="L788" s="68">
        <v>0.315</v>
      </c>
      <c r="M788" s="62">
        <v>3.5000000000000003E-2</v>
      </c>
    </row>
    <row r="789" spans="1:13" ht="24" thickBot="1">
      <c r="A789" s="19" t="s">
        <v>74</v>
      </c>
      <c r="B789" s="25">
        <v>87000</v>
      </c>
      <c r="C789" s="4">
        <v>14</v>
      </c>
      <c r="D789" s="66">
        <v>31983</v>
      </c>
      <c r="E789" s="66">
        <v>118983</v>
      </c>
      <c r="F789" s="66">
        <v>3553</v>
      </c>
      <c r="G789" s="66">
        <v>6215</v>
      </c>
      <c r="H789" s="58">
        <v>2030</v>
      </c>
      <c r="I789" s="66">
        <v>8245</v>
      </c>
      <c r="K789" s="67"/>
      <c r="L789" s="68">
        <v>0.315</v>
      </c>
      <c r="M789" s="62">
        <v>3.5000000000000003E-2</v>
      </c>
    </row>
    <row r="790" spans="1:13" ht="24" thickTop="1">
      <c r="A790" s="15" t="s">
        <v>74</v>
      </c>
      <c r="B790" s="21">
        <v>87000</v>
      </c>
      <c r="C790" s="6">
        <v>16</v>
      </c>
      <c r="D790" s="37">
        <v>36549</v>
      </c>
      <c r="E790" s="37">
        <v>123549</v>
      </c>
      <c r="F790" s="37">
        <v>4061</v>
      </c>
      <c r="G790" s="37">
        <v>5438</v>
      </c>
      <c r="H790" s="37">
        <v>2030</v>
      </c>
      <c r="I790" s="37">
        <v>7468</v>
      </c>
      <c r="K790" s="6"/>
      <c r="L790" s="68">
        <v>0.315</v>
      </c>
      <c r="M790" s="62">
        <v>3.5000000000000003E-2</v>
      </c>
    </row>
    <row r="791" spans="1:13" ht="23.25">
      <c r="A791" s="16" t="s">
        <v>74</v>
      </c>
      <c r="B791" s="22">
        <v>87000</v>
      </c>
      <c r="C791" s="8">
        <v>18</v>
      </c>
      <c r="D791" s="58">
        <v>41120</v>
      </c>
      <c r="E791" s="58">
        <v>128120</v>
      </c>
      <c r="F791" s="58">
        <v>4568</v>
      </c>
      <c r="G791" s="58">
        <v>4834</v>
      </c>
      <c r="H791" s="58">
        <v>2030</v>
      </c>
      <c r="I791" s="58">
        <v>6864</v>
      </c>
      <c r="K791" s="57"/>
      <c r="L791" s="68">
        <v>0.315</v>
      </c>
      <c r="M791" s="62">
        <v>3.5000000000000003E-2</v>
      </c>
    </row>
    <row r="792" spans="1:13" ht="23.25">
      <c r="A792" s="16" t="s">
        <v>74</v>
      </c>
      <c r="B792" s="22">
        <v>87000</v>
      </c>
      <c r="C792" s="10">
        <v>20</v>
      </c>
      <c r="D792" s="50">
        <v>45696</v>
      </c>
      <c r="E792" s="50">
        <v>132696</v>
      </c>
      <c r="F792" s="50">
        <v>5076</v>
      </c>
      <c r="G792" s="50">
        <v>4350</v>
      </c>
      <c r="H792" s="49">
        <v>2031</v>
      </c>
      <c r="I792" s="50">
        <v>6381</v>
      </c>
      <c r="K792" s="59"/>
      <c r="L792" s="68">
        <v>0.315</v>
      </c>
      <c r="M792" s="62">
        <v>3.5000000000000003E-2</v>
      </c>
    </row>
    <row r="793" spans="1:13" ht="23.25">
      <c r="A793" s="16" t="s">
        <v>74</v>
      </c>
      <c r="B793" s="22">
        <v>87000</v>
      </c>
      <c r="C793" s="8">
        <v>22</v>
      </c>
      <c r="D793" s="58">
        <v>50253</v>
      </c>
      <c r="E793" s="58">
        <v>137253</v>
      </c>
      <c r="F793" s="58">
        <v>5583</v>
      </c>
      <c r="G793" s="58">
        <v>3955</v>
      </c>
      <c r="H793" s="58">
        <v>2030</v>
      </c>
      <c r="I793" s="58">
        <v>5985</v>
      </c>
      <c r="K793" s="57"/>
      <c r="L793" s="68">
        <v>0.315</v>
      </c>
      <c r="M793" s="62">
        <v>3.5000000000000003E-2</v>
      </c>
    </row>
    <row r="794" spans="1:13" ht="23.25">
      <c r="A794" s="16" t="s">
        <v>74</v>
      </c>
      <c r="B794" s="22">
        <v>87000</v>
      </c>
      <c r="C794" s="10">
        <v>24</v>
      </c>
      <c r="D794" s="50">
        <v>54835</v>
      </c>
      <c r="E794" s="50">
        <v>141835</v>
      </c>
      <c r="F794" s="50">
        <v>6091</v>
      </c>
      <c r="G794" s="50">
        <v>3625</v>
      </c>
      <c r="H794" s="50">
        <v>2031</v>
      </c>
      <c r="I794" s="50">
        <v>5656</v>
      </c>
      <c r="K794" s="59"/>
      <c r="L794" s="68">
        <v>0.315</v>
      </c>
      <c r="M794" s="62">
        <v>3.5000000000000003E-2</v>
      </c>
    </row>
    <row r="795" spans="1:13" ht="23.25">
      <c r="A795" s="16" t="s">
        <v>74</v>
      </c>
      <c r="B795" s="22">
        <v>88000</v>
      </c>
      <c r="C795" s="8">
        <v>4</v>
      </c>
      <c r="D795" s="58">
        <v>9243</v>
      </c>
      <c r="E795" s="58">
        <v>97243</v>
      </c>
      <c r="F795" s="58">
        <v>1027</v>
      </c>
      <c r="G795" s="58">
        <v>22000</v>
      </c>
      <c r="H795" s="58">
        <v>2054</v>
      </c>
      <c r="I795" s="58">
        <v>24054</v>
      </c>
      <c r="K795" s="57"/>
      <c r="L795" s="68">
        <v>0.315</v>
      </c>
      <c r="M795" s="62">
        <v>3.5000000000000003E-2</v>
      </c>
    </row>
    <row r="796" spans="1:13" ht="23.25">
      <c r="A796" s="16" t="s">
        <v>74</v>
      </c>
      <c r="B796" s="22">
        <v>88000</v>
      </c>
      <c r="C796" s="10">
        <v>6</v>
      </c>
      <c r="D796" s="50">
        <v>13867</v>
      </c>
      <c r="E796" s="50">
        <v>101867</v>
      </c>
      <c r="F796" s="50">
        <v>1541</v>
      </c>
      <c r="G796" s="50">
        <v>14667</v>
      </c>
      <c r="H796" s="50">
        <v>2054</v>
      </c>
      <c r="I796" s="50">
        <v>16721</v>
      </c>
      <c r="K796" s="59"/>
      <c r="L796" s="68">
        <v>0.315</v>
      </c>
      <c r="M796" s="62">
        <v>3.5000000000000003E-2</v>
      </c>
    </row>
    <row r="797" spans="1:13" ht="23.25">
      <c r="A797" s="16" t="s">
        <v>74</v>
      </c>
      <c r="B797" s="22">
        <v>88000</v>
      </c>
      <c r="C797" s="8">
        <v>8</v>
      </c>
      <c r="D797" s="58">
        <v>18486</v>
      </c>
      <c r="E797" s="58">
        <v>106486</v>
      </c>
      <c r="F797" s="58">
        <v>2054</v>
      </c>
      <c r="G797" s="58">
        <v>11000</v>
      </c>
      <c r="H797" s="58">
        <v>2054</v>
      </c>
      <c r="I797" s="58">
        <v>13054</v>
      </c>
      <c r="K797" s="57"/>
      <c r="L797" s="68">
        <v>0.315</v>
      </c>
      <c r="M797" s="62">
        <v>3.5000000000000003E-2</v>
      </c>
    </row>
    <row r="798" spans="1:13" ht="23.25">
      <c r="A798" s="16" t="s">
        <v>74</v>
      </c>
      <c r="B798" s="22">
        <v>88000</v>
      </c>
      <c r="C798" s="9">
        <v>10</v>
      </c>
      <c r="D798" s="49">
        <v>23107</v>
      </c>
      <c r="E798" s="49">
        <v>111107</v>
      </c>
      <c r="F798" s="49">
        <v>2567</v>
      </c>
      <c r="G798" s="49">
        <v>8800</v>
      </c>
      <c r="H798" s="52">
        <v>2054</v>
      </c>
      <c r="I798" s="49">
        <v>10854</v>
      </c>
      <c r="K798" s="63"/>
      <c r="L798" s="68">
        <v>0.315</v>
      </c>
      <c r="M798" s="62">
        <v>3.5000000000000003E-2</v>
      </c>
    </row>
    <row r="799" spans="1:13" ht="23.25">
      <c r="A799" s="16" t="s">
        <v>74</v>
      </c>
      <c r="B799" s="22">
        <v>88000</v>
      </c>
      <c r="C799" s="8">
        <v>12</v>
      </c>
      <c r="D799" s="58">
        <v>27725</v>
      </c>
      <c r="E799" s="58">
        <v>115725</v>
      </c>
      <c r="F799" s="58">
        <v>3081</v>
      </c>
      <c r="G799" s="58">
        <v>7334</v>
      </c>
      <c r="H799" s="58">
        <v>2053</v>
      </c>
      <c r="I799" s="58">
        <v>9387</v>
      </c>
      <c r="K799" s="57"/>
      <c r="L799" s="68">
        <v>0.315</v>
      </c>
      <c r="M799" s="62">
        <v>3.5000000000000003E-2</v>
      </c>
    </row>
    <row r="800" spans="1:13" ht="24" thickBot="1">
      <c r="A800" s="20" t="s">
        <v>74</v>
      </c>
      <c r="B800" s="26">
        <v>88000</v>
      </c>
      <c r="C800" s="5">
        <v>14</v>
      </c>
      <c r="D800" s="64">
        <v>32354</v>
      </c>
      <c r="E800" s="64">
        <v>120354</v>
      </c>
      <c r="F800" s="64">
        <v>3594</v>
      </c>
      <c r="G800" s="64">
        <v>6286</v>
      </c>
      <c r="H800" s="49">
        <v>2054</v>
      </c>
      <c r="I800" s="64">
        <v>8340</v>
      </c>
      <c r="K800" s="65"/>
      <c r="L800" s="68">
        <v>0.315</v>
      </c>
      <c r="M800" s="62">
        <v>3.5000000000000003E-2</v>
      </c>
    </row>
    <row r="801" spans="1:13" ht="24" thickTop="1">
      <c r="A801" s="17" t="s">
        <v>74</v>
      </c>
      <c r="B801" s="23">
        <v>88000</v>
      </c>
      <c r="C801" s="11">
        <v>16</v>
      </c>
      <c r="D801" s="31">
        <v>36971</v>
      </c>
      <c r="E801" s="31">
        <v>124971</v>
      </c>
      <c r="F801" s="31">
        <v>4107</v>
      </c>
      <c r="G801" s="31">
        <v>5500</v>
      </c>
      <c r="H801" s="31">
        <v>2054</v>
      </c>
      <c r="I801" s="31">
        <v>7554</v>
      </c>
      <c r="K801" s="11"/>
      <c r="L801" s="68">
        <v>0.315</v>
      </c>
      <c r="M801" s="62">
        <v>3.5000000000000003E-2</v>
      </c>
    </row>
    <row r="802" spans="1:13" ht="23.25">
      <c r="A802" s="18" t="s">
        <v>74</v>
      </c>
      <c r="B802" s="24">
        <v>88000</v>
      </c>
      <c r="C802" s="9">
        <v>18</v>
      </c>
      <c r="D802" s="49">
        <v>41595</v>
      </c>
      <c r="E802" s="49">
        <v>129595</v>
      </c>
      <c r="F802" s="49">
        <v>4621</v>
      </c>
      <c r="G802" s="49">
        <v>4889</v>
      </c>
      <c r="H802" s="49">
        <v>2054</v>
      </c>
      <c r="I802" s="49">
        <v>6943</v>
      </c>
      <c r="K802" s="63"/>
      <c r="L802" s="68">
        <v>0.315</v>
      </c>
      <c r="M802" s="62">
        <v>3.5000000000000003E-2</v>
      </c>
    </row>
    <row r="803" spans="1:13" ht="23.25">
      <c r="A803" s="18" t="s">
        <v>74</v>
      </c>
      <c r="B803" s="24">
        <v>88000</v>
      </c>
      <c r="C803" s="8">
        <v>20</v>
      </c>
      <c r="D803" s="58">
        <v>46214</v>
      </c>
      <c r="E803" s="58">
        <v>134214</v>
      </c>
      <c r="F803" s="58">
        <v>5134</v>
      </c>
      <c r="G803" s="58">
        <v>4400</v>
      </c>
      <c r="H803" s="58">
        <v>2054</v>
      </c>
      <c r="I803" s="58">
        <v>6454</v>
      </c>
      <c r="K803" s="57"/>
      <c r="L803" s="68">
        <v>0.315</v>
      </c>
      <c r="M803" s="62">
        <v>3.5000000000000003E-2</v>
      </c>
    </row>
    <row r="804" spans="1:13" ht="23.25">
      <c r="A804" s="18" t="s">
        <v>74</v>
      </c>
      <c r="B804" s="24">
        <v>88000</v>
      </c>
      <c r="C804" s="10">
        <v>22</v>
      </c>
      <c r="D804" s="50">
        <v>50835</v>
      </c>
      <c r="E804" s="50">
        <v>138835</v>
      </c>
      <c r="F804" s="50">
        <v>5647</v>
      </c>
      <c r="G804" s="50">
        <v>4000</v>
      </c>
      <c r="H804" s="50">
        <v>2054</v>
      </c>
      <c r="I804" s="50">
        <v>6054</v>
      </c>
      <c r="K804" s="59"/>
      <c r="L804" s="68">
        <v>0.315</v>
      </c>
      <c r="M804" s="62">
        <v>3.5000000000000003E-2</v>
      </c>
    </row>
    <row r="805" spans="1:13" ht="23.25">
      <c r="A805" s="18" t="s">
        <v>74</v>
      </c>
      <c r="B805" s="24">
        <v>88000</v>
      </c>
      <c r="C805" s="8">
        <v>24</v>
      </c>
      <c r="D805" s="58">
        <v>55465</v>
      </c>
      <c r="E805" s="58">
        <v>143465</v>
      </c>
      <c r="F805" s="58">
        <v>6161</v>
      </c>
      <c r="G805" s="58">
        <v>3667</v>
      </c>
      <c r="H805" s="58">
        <v>2054</v>
      </c>
      <c r="I805" s="58">
        <v>5721</v>
      </c>
      <c r="K805" s="57"/>
      <c r="L805" s="68">
        <v>0.315</v>
      </c>
      <c r="M805" s="62">
        <v>3.5000000000000003E-2</v>
      </c>
    </row>
    <row r="806" spans="1:13" ht="23.25">
      <c r="A806" s="18" t="s">
        <v>74</v>
      </c>
      <c r="B806" s="24">
        <v>89000</v>
      </c>
      <c r="C806" s="10">
        <v>4</v>
      </c>
      <c r="D806" s="50">
        <v>9347</v>
      </c>
      <c r="E806" s="50">
        <v>98347</v>
      </c>
      <c r="F806" s="50">
        <v>1039</v>
      </c>
      <c r="G806" s="50">
        <v>22250</v>
      </c>
      <c r="H806" s="50">
        <v>2077</v>
      </c>
      <c r="I806" s="50">
        <v>24327</v>
      </c>
      <c r="K806" s="59"/>
      <c r="L806" s="68">
        <v>0.315</v>
      </c>
      <c r="M806" s="62">
        <v>3.5000000000000003E-2</v>
      </c>
    </row>
    <row r="807" spans="1:13" ht="23.25">
      <c r="A807" s="18" t="s">
        <v>74</v>
      </c>
      <c r="B807" s="24">
        <v>89000</v>
      </c>
      <c r="C807" s="8">
        <v>6</v>
      </c>
      <c r="D807" s="58">
        <v>14024</v>
      </c>
      <c r="E807" s="58">
        <v>103024</v>
      </c>
      <c r="F807" s="58">
        <v>1558</v>
      </c>
      <c r="G807" s="58">
        <v>14834</v>
      </c>
      <c r="H807" s="58">
        <v>2077</v>
      </c>
      <c r="I807" s="58">
        <v>16911</v>
      </c>
      <c r="K807" s="57"/>
      <c r="L807" s="68">
        <v>0.315</v>
      </c>
      <c r="M807" s="62">
        <v>3.5000000000000003E-2</v>
      </c>
    </row>
    <row r="808" spans="1:13" ht="23.25">
      <c r="A808" s="18" t="s">
        <v>74</v>
      </c>
      <c r="B808" s="24">
        <v>89000</v>
      </c>
      <c r="C808" s="10">
        <v>8</v>
      </c>
      <c r="D808" s="50">
        <v>18693</v>
      </c>
      <c r="E808" s="50">
        <v>107693</v>
      </c>
      <c r="F808" s="50">
        <v>2077</v>
      </c>
      <c r="G808" s="50">
        <v>11125</v>
      </c>
      <c r="H808" s="52">
        <v>2077</v>
      </c>
      <c r="I808" s="50">
        <v>13202</v>
      </c>
      <c r="K808" s="59"/>
      <c r="L808" s="68">
        <v>0.315</v>
      </c>
      <c r="M808" s="62">
        <v>3.5000000000000003E-2</v>
      </c>
    </row>
    <row r="809" spans="1:13" ht="23.25">
      <c r="A809" s="18" t="s">
        <v>74</v>
      </c>
      <c r="B809" s="24">
        <v>89000</v>
      </c>
      <c r="C809" s="8">
        <v>10</v>
      </c>
      <c r="D809" s="58">
        <v>23366</v>
      </c>
      <c r="E809" s="58">
        <v>112366</v>
      </c>
      <c r="F809" s="58">
        <v>2596</v>
      </c>
      <c r="G809" s="58">
        <v>8900</v>
      </c>
      <c r="H809" s="58">
        <v>2077</v>
      </c>
      <c r="I809" s="58">
        <v>10977</v>
      </c>
      <c r="K809" s="57"/>
      <c r="L809" s="68">
        <v>0.315</v>
      </c>
      <c r="M809" s="62">
        <v>3.5000000000000003E-2</v>
      </c>
    </row>
    <row r="810" spans="1:13" ht="23.25">
      <c r="A810" s="18" t="s">
        <v>74</v>
      </c>
      <c r="B810" s="24">
        <v>89000</v>
      </c>
      <c r="C810" s="9">
        <v>12</v>
      </c>
      <c r="D810" s="49">
        <v>28044</v>
      </c>
      <c r="E810" s="49">
        <v>117044</v>
      </c>
      <c r="F810" s="49">
        <v>3116</v>
      </c>
      <c r="G810" s="49">
        <v>7417</v>
      </c>
      <c r="H810" s="49">
        <v>2077</v>
      </c>
      <c r="I810" s="49">
        <v>9494</v>
      </c>
      <c r="K810" s="63"/>
      <c r="L810" s="68">
        <v>0.315</v>
      </c>
      <c r="M810" s="62">
        <v>3.5000000000000003E-2</v>
      </c>
    </row>
    <row r="811" spans="1:13" ht="24" thickBot="1">
      <c r="A811" s="19" t="s">
        <v>74</v>
      </c>
      <c r="B811" s="25">
        <v>89000</v>
      </c>
      <c r="C811" s="4">
        <v>14</v>
      </c>
      <c r="D811" s="66">
        <v>32711</v>
      </c>
      <c r="E811" s="66">
        <v>121711</v>
      </c>
      <c r="F811" s="66">
        <v>3635</v>
      </c>
      <c r="G811" s="66">
        <v>6358</v>
      </c>
      <c r="H811" s="58">
        <v>2076</v>
      </c>
      <c r="I811" s="66">
        <v>8434</v>
      </c>
      <c r="K811" s="67"/>
      <c r="L811" s="68">
        <v>0.315</v>
      </c>
      <c r="M811" s="62">
        <v>3.5000000000000003E-2</v>
      </c>
    </row>
    <row r="812" spans="1:13" ht="24" thickTop="1">
      <c r="A812" s="15" t="s">
        <v>74</v>
      </c>
      <c r="B812" s="21">
        <v>89000</v>
      </c>
      <c r="C812" s="6">
        <v>16</v>
      </c>
      <c r="D812" s="37">
        <v>37394</v>
      </c>
      <c r="E812" s="37">
        <v>126394</v>
      </c>
      <c r="F812" s="37">
        <v>4154</v>
      </c>
      <c r="G812" s="37">
        <v>5563</v>
      </c>
      <c r="H812" s="37">
        <v>2077</v>
      </c>
      <c r="I812" s="37">
        <v>7640</v>
      </c>
      <c r="K812" s="6"/>
      <c r="L812" s="68">
        <v>0.315</v>
      </c>
      <c r="M812" s="62">
        <v>3.5000000000000003E-2</v>
      </c>
    </row>
    <row r="813" spans="1:13" ht="23.25">
      <c r="A813" s="16" t="s">
        <v>74</v>
      </c>
      <c r="B813" s="22">
        <v>89000</v>
      </c>
      <c r="C813" s="8">
        <v>18</v>
      </c>
      <c r="D813" s="58">
        <v>42069</v>
      </c>
      <c r="E813" s="58">
        <v>131069</v>
      </c>
      <c r="F813" s="58">
        <v>4673</v>
      </c>
      <c r="G813" s="58">
        <v>4945</v>
      </c>
      <c r="H813" s="58">
        <v>2077</v>
      </c>
      <c r="I813" s="58">
        <v>7022</v>
      </c>
      <c r="K813" s="57"/>
      <c r="L813" s="68">
        <v>0.315</v>
      </c>
      <c r="M813" s="62">
        <v>3.5000000000000003E-2</v>
      </c>
    </row>
    <row r="814" spans="1:13" ht="23.25">
      <c r="A814" s="16" t="s">
        <v>74</v>
      </c>
      <c r="B814" s="22">
        <v>89000</v>
      </c>
      <c r="C814" s="10">
        <v>20</v>
      </c>
      <c r="D814" s="50">
        <v>46732</v>
      </c>
      <c r="E814" s="50">
        <v>135732</v>
      </c>
      <c r="F814" s="50">
        <v>5192</v>
      </c>
      <c r="G814" s="50">
        <v>4450</v>
      </c>
      <c r="H814" s="49">
        <v>2077</v>
      </c>
      <c r="I814" s="50">
        <v>6527</v>
      </c>
      <c r="K814" s="59"/>
      <c r="L814" s="68">
        <v>0.315</v>
      </c>
      <c r="M814" s="62">
        <v>3.5000000000000003E-2</v>
      </c>
    </row>
    <row r="815" spans="1:13" ht="23.25">
      <c r="A815" s="16" t="s">
        <v>74</v>
      </c>
      <c r="B815" s="22">
        <v>89000</v>
      </c>
      <c r="C815" s="8">
        <v>22</v>
      </c>
      <c r="D815" s="58">
        <v>51417</v>
      </c>
      <c r="E815" s="58">
        <v>140417</v>
      </c>
      <c r="F815" s="58">
        <v>5711</v>
      </c>
      <c r="G815" s="58">
        <v>4046</v>
      </c>
      <c r="H815" s="58">
        <v>2077</v>
      </c>
      <c r="I815" s="58">
        <v>6123</v>
      </c>
      <c r="K815" s="57"/>
      <c r="L815" s="68">
        <v>0.315</v>
      </c>
      <c r="M815" s="62">
        <v>3.5000000000000003E-2</v>
      </c>
    </row>
    <row r="816" spans="1:13" ht="23.25">
      <c r="A816" s="16" t="s">
        <v>74</v>
      </c>
      <c r="B816" s="22">
        <v>89000</v>
      </c>
      <c r="C816" s="10">
        <v>24</v>
      </c>
      <c r="D816" s="50">
        <v>56095</v>
      </c>
      <c r="E816" s="50">
        <v>145095</v>
      </c>
      <c r="F816" s="50">
        <v>6231</v>
      </c>
      <c r="G816" s="50">
        <v>3709</v>
      </c>
      <c r="H816" s="50">
        <v>2077</v>
      </c>
      <c r="I816" s="50">
        <v>5786</v>
      </c>
      <c r="K816" s="59"/>
      <c r="L816" s="68">
        <v>0.315</v>
      </c>
      <c r="M816" s="62">
        <v>3.5000000000000003E-2</v>
      </c>
    </row>
    <row r="817" spans="1:13" ht="23.25">
      <c r="A817" s="16" t="s">
        <v>74</v>
      </c>
      <c r="B817" s="22">
        <v>90000</v>
      </c>
      <c r="C817" s="8">
        <v>4</v>
      </c>
      <c r="D817" s="58">
        <v>9455</v>
      </c>
      <c r="E817" s="58">
        <v>99455</v>
      </c>
      <c r="F817" s="58">
        <v>1051</v>
      </c>
      <c r="G817" s="58">
        <v>22500</v>
      </c>
      <c r="H817" s="58">
        <v>2101</v>
      </c>
      <c r="I817" s="58">
        <v>24601</v>
      </c>
      <c r="K817" s="57"/>
      <c r="L817" s="68">
        <v>0.315</v>
      </c>
      <c r="M817" s="62">
        <v>3.5000000000000003E-2</v>
      </c>
    </row>
    <row r="818" spans="1:13" ht="23.25">
      <c r="A818" s="16" t="s">
        <v>74</v>
      </c>
      <c r="B818" s="22">
        <v>90000</v>
      </c>
      <c r="C818" s="10">
        <v>6</v>
      </c>
      <c r="D818" s="50">
        <v>14182</v>
      </c>
      <c r="E818" s="50">
        <v>104182</v>
      </c>
      <c r="F818" s="50">
        <v>1576</v>
      </c>
      <c r="G818" s="50">
        <v>15000</v>
      </c>
      <c r="H818" s="50">
        <v>2101</v>
      </c>
      <c r="I818" s="50">
        <v>17101</v>
      </c>
      <c r="K818" s="59"/>
      <c r="L818" s="68">
        <v>0.315</v>
      </c>
      <c r="M818" s="62">
        <v>3.5000000000000003E-2</v>
      </c>
    </row>
    <row r="819" spans="1:13" ht="23.25">
      <c r="A819" s="16" t="s">
        <v>74</v>
      </c>
      <c r="B819" s="22">
        <v>90000</v>
      </c>
      <c r="C819" s="8">
        <v>8</v>
      </c>
      <c r="D819" s="58">
        <v>18909</v>
      </c>
      <c r="E819" s="58">
        <v>108909</v>
      </c>
      <c r="F819" s="58">
        <v>2101</v>
      </c>
      <c r="G819" s="58">
        <v>11250</v>
      </c>
      <c r="H819" s="58">
        <v>2101</v>
      </c>
      <c r="I819" s="58">
        <v>13351</v>
      </c>
      <c r="K819" s="57"/>
      <c r="L819" s="68">
        <v>0.315</v>
      </c>
      <c r="M819" s="62">
        <v>3.5000000000000003E-2</v>
      </c>
    </row>
    <row r="820" spans="1:13" ht="23.25">
      <c r="A820" s="16" t="s">
        <v>74</v>
      </c>
      <c r="B820" s="22">
        <v>90000</v>
      </c>
      <c r="C820" s="9">
        <v>10</v>
      </c>
      <c r="D820" s="49">
        <v>23636</v>
      </c>
      <c r="E820" s="49">
        <v>113636</v>
      </c>
      <c r="F820" s="49">
        <v>2626</v>
      </c>
      <c r="G820" s="49">
        <v>9000</v>
      </c>
      <c r="H820" s="52">
        <v>2101</v>
      </c>
      <c r="I820" s="49">
        <v>11101</v>
      </c>
      <c r="K820" s="63"/>
      <c r="L820" s="68">
        <v>0.315</v>
      </c>
      <c r="M820" s="62">
        <v>3.5000000000000003E-2</v>
      </c>
    </row>
    <row r="821" spans="1:13" ht="23.25">
      <c r="A821" s="16" t="s">
        <v>74</v>
      </c>
      <c r="B821" s="22">
        <v>90000</v>
      </c>
      <c r="C821" s="8">
        <v>12</v>
      </c>
      <c r="D821" s="58">
        <v>28363</v>
      </c>
      <c r="E821" s="58">
        <v>118363</v>
      </c>
      <c r="F821" s="58">
        <v>3151</v>
      </c>
      <c r="G821" s="58">
        <v>7500</v>
      </c>
      <c r="H821" s="58">
        <v>2101</v>
      </c>
      <c r="I821" s="58">
        <v>9601</v>
      </c>
      <c r="K821" s="57"/>
      <c r="L821" s="68">
        <v>0.315</v>
      </c>
      <c r="M821" s="62">
        <v>3.5000000000000003E-2</v>
      </c>
    </row>
    <row r="822" spans="1:13" ht="24" thickBot="1">
      <c r="A822" s="20" t="s">
        <v>74</v>
      </c>
      <c r="B822" s="26">
        <v>90000</v>
      </c>
      <c r="C822" s="5">
        <v>14</v>
      </c>
      <c r="D822" s="64">
        <v>33082</v>
      </c>
      <c r="E822" s="64">
        <v>123082</v>
      </c>
      <c r="F822" s="64">
        <v>3676</v>
      </c>
      <c r="G822" s="64">
        <v>6429</v>
      </c>
      <c r="H822" s="49">
        <v>2100</v>
      </c>
      <c r="I822" s="64">
        <v>8529</v>
      </c>
      <c r="K822" s="65"/>
      <c r="L822" s="68">
        <v>0.315</v>
      </c>
      <c r="M822" s="62">
        <v>3.5000000000000003E-2</v>
      </c>
    </row>
    <row r="823" spans="1:13" ht="24" thickTop="1">
      <c r="A823" s="17" t="s">
        <v>74</v>
      </c>
      <c r="B823" s="23">
        <v>90000</v>
      </c>
      <c r="C823" s="11">
        <v>16</v>
      </c>
      <c r="D823" s="31">
        <v>37817</v>
      </c>
      <c r="E823" s="31">
        <v>127817</v>
      </c>
      <c r="F823" s="31">
        <v>4201</v>
      </c>
      <c r="G823" s="31">
        <v>5625</v>
      </c>
      <c r="H823" s="31">
        <v>2101</v>
      </c>
      <c r="I823" s="31">
        <v>7726</v>
      </c>
      <c r="K823" s="11"/>
      <c r="L823" s="68">
        <v>0.315</v>
      </c>
      <c r="M823" s="62">
        <v>3.5000000000000003E-2</v>
      </c>
    </row>
    <row r="824" spans="1:13" ht="23.25">
      <c r="A824" s="18" t="s">
        <v>74</v>
      </c>
      <c r="B824" s="24">
        <v>90000</v>
      </c>
      <c r="C824" s="9">
        <v>18</v>
      </c>
      <c r="D824" s="49">
        <v>42544</v>
      </c>
      <c r="E824" s="49">
        <v>132544</v>
      </c>
      <c r="F824" s="49">
        <v>4726</v>
      </c>
      <c r="G824" s="49">
        <v>5000</v>
      </c>
      <c r="H824" s="49">
        <v>2101</v>
      </c>
      <c r="I824" s="49">
        <v>7101</v>
      </c>
      <c r="K824" s="63"/>
      <c r="L824" s="68">
        <v>0.315</v>
      </c>
      <c r="M824" s="62">
        <v>3.5000000000000003E-2</v>
      </c>
    </row>
    <row r="825" spans="1:13" ht="23.25">
      <c r="A825" s="18" t="s">
        <v>74</v>
      </c>
      <c r="B825" s="24">
        <v>90000</v>
      </c>
      <c r="C825" s="8">
        <v>20</v>
      </c>
      <c r="D825" s="58">
        <v>47271</v>
      </c>
      <c r="E825" s="58">
        <v>137271</v>
      </c>
      <c r="F825" s="58">
        <v>5251</v>
      </c>
      <c r="G825" s="58">
        <v>4500</v>
      </c>
      <c r="H825" s="58">
        <v>2101</v>
      </c>
      <c r="I825" s="58">
        <v>6601</v>
      </c>
      <c r="K825" s="57"/>
      <c r="L825" s="68">
        <v>0.315</v>
      </c>
      <c r="M825" s="62">
        <v>3.5000000000000003E-2</v>
      </c>
    </row>
    <row r="826" spans="1:13" ht="23.25">
      <c r="A826" s="18" t="s">
        <v>74</v>
      </c>
      <c r="B826" s="24">
        <v>90000</v>
      </c>
      <c r="C826" s="10">
        <v>22</v>
      </c>
      <c r="D826" s="50">
        <v>51978</v>
      </c>
      <c r="E826" s="50">
        <v>141978</v>
      </c>
      <c r="F826" s="50">
        <v>5776</v>
      </c>
      <c r="G826" s="50">
        <v>4091</v>
      </c>
      <c r="H826" s="50">
        <v>2100</v>
      </c>
      <c r="I826" s="50">
        <v>6191</v>
      </c>
      <c r="K826" s="59"/>
      <c r="L826" s="68">
        <v>0.315</v>
      </c>
      <c r="M826" s="62">
        <v>3.5000000000000003E-2</v>
      </c>
    </row>
    <row r="827" spans="1:13" ht="23.25">
      <c r="A827" s="18" t="s">
        <v>74</v>
      </c>
      <c r="B827" s="24">
        <v>90000</v>
      </c>
      <c r="C827" s="8">
        <v>24</v>
      </c>
      <c r="D827" s="58">
        <v>56725</v>
      </c>
      <c r="E827" s="58">
        <v>146725</v>
      </c>
      <c r="F827" s="58">
        <v>6301</v>
      </c>
      <c r="G827" s="58">
        <v>3750</v>
      </c>
      <c r="H827" s="58">
        <v>2101</v>
      </c>
      <c r="I827" s="58">
        <v>5851</v>
      </c>
      <c r="K827" s="57"/>
      <c r="L827" s="68">
        <v>0.315</v>
      </c>
      <c r="M827" s="62">
        <v>3.5000000000000003E-2</v>
      </c>
    </row>
    <row r="828" spans="1:13" ht="23.25">
      <c r="A828" s="18" t="s">
        <v>74</v>
      </c>
      <c r="B828" s="24">
        <v>91000</v>
      </c>
      <c r="C828" s="10">
        <v>4</v>
      </c>
      <c r="D828" s="50">
        <v>9558</v>
      </c>
      <c r="E828" s="50">
        <v>100558</v>
      </c>
      <c r="F828" s="50">
        <v>1062</v>
      </c>
      <c r="G828" s="50">
        <v>22750</v>
      </c>
      <c r="H828" s="50">
        <v>2124</v>
      </c>
      <c r="I828" s="50">
        <v>24874</v>
      </c>
      <c r="K828" s="59"/>
      <c r="L828" s="68">
        <v>0.315</v>
      </c>
      <c r="M828" s="62">
        <v>3.5000000000000003E-2</v>
      </c>
    </row>
    <row r="829" spans="1:13" ht="23.25">
      <c r="A829" s="18" t="s">
        <v>74</v>
      </c>
      <c r="B829" s="24">
        <v>91000</v>
      </c>
      <c r="C829" s="8">
        <v>6</v>
      </c>
      <c r="D829" s="58">
        <v>14339</v>
      </c>
      <c r="E829" s="58">
        <v>105339</v>
      </c>
      <c r="F829" s="58">
        <v>1593</v>
      </c>
      <c r="G829" s="58">
        <v>15167</v>
      </c>
      <c r="H829" s="58">
        <v>2124</v>
      </c>
      <c r="I829" s="58">
        <v>17291</v>
      </c>
      <c r="K829" s="57"/>
      <c r="L829" s="68">
        <v>0.315</v>
      </c>
      <c r="M829" s="62">
        <v>3.5000000000000003E-2</v>
      </c>
    </row>
    <row r="830" spans="1:13" ht="23.25">
      <c r="A830" s="18" t="s">
        <v>74</v>
      </c>
      <c r="B830" s="24">
        <v>91000</v>
      </c>
      <c r="C830" s="10">
        <v>8</v>
      </c>
      <c r="D830" s="50">
        <v>19116</v>
      </c>
      <c r="E830" s="50">
        <v>110116</v>
      </c>
      <c r="F830" s="50">
        <v>2124</v>
      </c>
      <c r="G830" s="52">
        <v>11375</v>
      </c>
      <c r="H830" s="52">
        <v>2124</v>
      </c>
      <c r="I830" s="50">
        <v>13499</v>
      </c>
      <c r="K830" s="59"/>
      <c r="L830" s="68">
        <v>0.315</v>
      </c>
      <c r="M830" s="62">
        <v>3.5000000000000003E-2</v>
      </c>
    </row>
    <row r="831" spans="1:13" ht="23.25">
      <c r="A831" s="18" t="s">
        <v>74</v>
      </c>
      <c r="B831" s="24">
        <v>91000</v>
      </c>
      <c r="C831" s="8">
        <v>10</v>
      </c>
      <c r="D831" s="58">
        <v>23895</v>
      </c>
      <c r="E831" s="58">
        <v>114895</v>
      </c>
      <c r="F831" s="58">
        <v>2655</v>
      </c>
      <c r="G831" s="58">
        <v>9100</v>
      </c>
      <c r="H831" s="58">
        <v>2124</v>
      </c>
      <c r="I831" s="58">
        <v>11224</v>
      </c>
      <c r="K831" s="57"/>
      <c r="L831" s="68">
        <v>0.315</v>
      </c>
      <c r="M831" s="62">
        <v>3.5000000000000003E-2</v>
      </c>
    </row>
    <row r="832" spans="1:13" ht="23.25">
      <c r="A832" s="18" t="s">
        <v>74</v>
      </c>
      <c r="B832" s="24">
        <v>91000</v>
      </c>
      <c r="C832" s="9">
        <v>12</v>
      </c>
      <c r="D832" s="49">
        <v>28670</v>
      </c>
      <c r="E832" s="49">
        <v>119670</v>
      </c>
      <c r="F832" s="49">
        <v>3186</v>
      </c>
      <c r="G832" s="49">
        <v>7584</v>
      </c>
      <c r="H832" s="49">
        <v>2123</v>
      </c>
      <c r="I832" s="49">
        <v>9707</v>
      </c>
      <c r="K832" s="63"/>
      <c r="L832" s="68">
        <v>0.315</v>
      </c>
      <c r="M832" s="62">
        <v>3.5000000000000003E-2</v>
      </c>
    </row>
    <row r="833" spans="1:13" ht="24" thickBot="1">
      <c r="A833" s="19" t="s">
        <v>74</v>
      </c>
      <c r="B833" s="25">
        <v>91000</v>
      </c>
      <c r="C833" s="4">
        <v>14</v>
      </c>
      <c r="D833" s="66">
        <v>33452</v>
      </c>
      <c r="E833" s="66">
        <v>124452</v>
      </c>
      <c r="F833" s="66">
        <v>3716</v>
      </c>
      <c r="G833" s="58">
        <v>6500</v>
      </c>
      <c r="H833" s="58">
        <v>2124</v>
      </c>
      <c r="I833" s="66">
        <v>8624</v>
      </c>
      <c r="K833" s="67"/>
      <c r="L833" s="68">
        <v>0.315</v>
      </c>
      <c r="M833" s="62">
        <v>3.5000000000000003E-2</v>
      </c>
    </row>
    <row r="834" spans="1:13" ht="24" thickTop="1">
      <c r="A834" s="15" t="s">
        <v>74</v>
      </c>
      <c r="B834" s="21">
        <v>91000</v>
      </c>
      <c r="C834" s="6">
        <v>16</v>
      </c>
      <c r="D834" s="37">
        <v>38223</v>
      </c>
      <c r="E834" s="37">
        <v>129223</v>
      </c>
      <c r="F834" s="37">
        <v>4247</v>
      </c>
      <c r="G834" s="37">
        <v>5688</v>
      </c>
      <c r="H834" s="37">
        <v>2123</v>
      </c>
      <c r="I834" s="37">
        <v>7811</v>
      </c>
      <c r="K834" s="6"/>
      <c r="L834" s="68">
        <v>0.315</v>
      </c>
      <c r="M834" s="62">
        <v>3.5000000000000003E-2</v>
      </c>
    </row>
    <row r="835" spans="1:13" ht="23.25">
      <c r="A835" s="16" t="s">
        <v>74</v>
      </c>
      <c r="B835" s="22">
        <v>91000</v>
      </c>
      <c r="C835" s="8">
        <v>18</v>
      </c>
      <c r="D835" s="58">
        <v>43000</v>
      </c>
      <c r="E835" s="58">
        <v>134000</v>
      </c>
      <c r="F835" s="58">
        <v>4778</v>
      </c>
      <c r="G835" s="58">
        <v>5056</v>
      </c>
      <c r="H835" s="58">
        <v>2123</v>
      </c>
      <c r="I835" s="58">
        <v>7179</v>
      </c>
      <c r="K835" s="57"/>
      <c r="L835" s="68">
        <v>0.315</v>
      </c>
      <c r="M835" s="62">
        <v>3.5000000000000003E-2</v>
      </c>
    </row>
    <row r="836" spans="1:13" ht="23.25">
      <c r="A836" s="16" t="s">
        <v>74</v>
      </c>
      <c r="B836" s="22">
        <v>91000</v>
      </c>
      <c r="C836" s="10">
        <v>20</v>
      </c>
      <c r="D836" s="50">
        <v>47789</v>
      </c>
      <c r="E836" s="50">
        <v>138789</v>
      </c>
      <c r="F836" s="50">
        <v>5309</v>
      </c>
      <c r="G836" s="50">
        <v>4550</v>
      </c>
      <c r="H836" s="49">
        <v>2124</v>
      </c>
      <c r="I836" s="50">
        <v>6674</v>
      </c>
      <c r="K836" s="59"/>
      <c r="L836" s="68">
        <v>0.315</v>
      </c>
      <c r="M836" s="62">
        <v>3.5000000000000003E-2</v>
      </c>
    </row>
    <row r="837" spans="1:13" ht="23.25">
      <c r="A837" s="16" t="s">
        <v>74</v>
      </c>
      <c r="B837" s="22">
        <v>91000</v>
      </c>
      <c r="C837" s="8">
        <v>22</v>
      </c>
      <c r="D837" s="58">
        <v>52560</v>
      </c>
      <c r="E837" s="58">
        <v>143560</v>
      </c>
      <c r="F837" s="58">
        <v>5840</v>
      </c>
      <c r="G837" s="58">
        <v>4137</v>
      </c>
      <c r="H837" s="58">
        <v>2123</v>
      </c>
      <c r="I837" s="58">
        <v>6260</v>
      </c>
      <c r="K837" s="57"/>
      <c r="L837" s="68">
        <v>0.315</v>
      </c>
      <c r="M837" s="62">
        <v>3.5000000000000003E-2</v>
      </c>
    </row>
    <row r="838" spans="1:13" ht="23.25">
      <c r="A838" s="16" t="s">
        <v>74</v>
      </c>
      <c r="B838" s="22">
        <v>91000</v>
      </c>
      <c r="C838" s="10">
        <v>24</v>
      </c>
      <c r="D838" s="50">
        <v>57355</v>
      </c>
      <c r="E838" s="50">
        <v>148355</v>
      </c>
      <c r="F838" s="50">
        <v>6371</v>
      </c>
      <c r="G838" s="50">
        <v>3792</v>
      </c>
      <c r="H838" s="50">
        <v>2124</v>
      </c>
      <c r="I838" s="50">
        <v>5916</v>
      </c>
      <c r="K838" s="59"/>
      <c r="L838" s="68">
        <v>0.315</v>
      </c>
      <c r="M838" s="62">
        <v>3.5000000000000003E-2</v>
      </c>
    </row>
    <row r="839" spans="1:13" ht="23.25">
      <c r="A839" s="16" t="s">
        <v>74</v>
      </c>
      <c r="B839" s="22">
        <v>92000</v>
      </c>
      <c r="C839" s="8">
        <v>4</v>
      </c>
      <c r="D839" s="58">
        <v>9662</v>
      </c>
      <c r="E839" s="58">
        <v>101662</v>
      </c>
      <c r="F839" s="58">
        <v>1074</v>
      </c>
      <c r="G839" s="58">
        <v>23000</v>
      </c>
      <c r="H839" s="58">
        <v>2147</v>
      </c>
      <c r="I839" s="58">
        <v>25147</v>
      </c>
      <c r="K839" s="57"/>
      <c r="L839" s="68">
        <v>0.315</v>
      </c>
      <c r="M839" s="62">
        <v>3.5000000000000003E-2</v>
      </c>
    </row>
    <row r="840" spans="1:13" ht="23.25">
      <c r="A840" s="16" t="s">
        <v>74</v>
      </c>
      <c r="B840" s="22">
        <v>92000</v>
      </c>
      <c r="C840" s="10">
        <v>6</v>
      </c>
      <c r="D840" s="50">
        <v>14497</v>
      </c>
      <c r="E840" s="50">
        <v>106497</v>
      </c>
      <c r="F840" s="50">
        <v>1611</v>
      </c>
      <c r="G840" s="50">
        <v>15334</v>
      </c>
      <c r="H840" s="50">
        <v>2147</v>
      </c>
      <c r="I840" s="50">
        <v>17481</v>
      </c>
      <c r="K840" s="59"/>
      <c r="L840" s="68">
        <v>0.315</v>
      </c>
      <c r="M840" s="62">
        <v>3.5000000000000003E-2</v>
      </c>
    </row>
    <row r="841" spans="1:13" ht="23.25">
      <c r="A841" s="16" t="s">
        <v>74</v>
      </c>
      <c r="B841" s="22">
        <v>92000</v>
      </c>
      <c r="C841" s="8">
        <v>8</v>
      </c>
      <c r="D841" s="58">
        <v>19323</v>
      </c>
      <c r="E841" s="58">
        <v>111323</v>
      </c>
      <c r="F841" s="58">
        <v>2147</v>
      </c>
      <c r="G841" s="58">
        <v>11500</v>
      </c>
      <c r="H841" s="58">
        <v>2147</v>
      </c>
      <c r="I841" s="58">
        <v>13647</v>
      </c>
      <c r="K841" s="57"/>
      <c r="L841" s="68">
        <v>0.315</v>
      </c>
      <c r="M841" s="62">
        <v>3.5000000000000003E-2</v>
      </c>
    </row>
    <row r="842" spans="1:13" ht="23.25">
      <c r="A842" s="16" t="s">
        <v>74</v>
      </c>
      <c r="B842" s="22">
        <v>92000</v>
      </c>
      <c r="C842" s="9">
        <v>10</v>
      </c>
      <c r="D842" s="49">
        <v>24154</v>
      </c>
      <c r="E842" s="49">
        <v>116154</v>
      </c>
      <c r="F842" s="49">
        <v>2684</v>
      </c>
      <c r="G842" s="49">
        <v>9200</v>
      </c>
      <c r="H842" s="52">
        <v>2147</v>
      </c>
      <c r="I842" s="49">
        <v>11347</v>
      </c>
      <c r="K842" s="63"/>
      <c r="L842" s="68">
        <v>0.315</v>
      </c>
      <c r="M842" s="62">
        <v>3.5000000000000003E-2</v>
      </c>
    </row>
    <row r="843" spans="1:13" ht="23.25">
      <c r="A843" s="16" t="s">
        <v>74</v>
      </c>
      <c r="B843" s="22">
        <v>92000</v>
      </c>
      <c r="C843" s="8">
        <v>12</v>
      </c>
      <c r="D843" s="58">
        <v>28989</v>
      </c>
      <c r="E843" s="58">
        <v>120989</v>
      </c>
      <c r="F843" s="58">
        <v>3221</v>
      </c>
      <c r="G843" s="58">
        <v>7667</v>
      </c>
      <c r="H843" s="58">
        <v>2147</v>
      </c>
      <c r="I843" s="58">
        <v>9814</v>
      </c>
      <c r="K843" s="57"/>
      <c r="L843" s="68">
        <v>0.315</v>
      </c>
      <c r="M843" s="62">
        <v>3.5000000000000003E-2</v>
      </c>
    </row>
    <row r="844" spans="1:13" ht="24" thickBot="1">
      <c r="A844" s="20" t="s">
        <v>74</v>
      </c>
      <c r="B844" s="26">
        <v>92000</v>
      </c>
      <c r="C844" s="5">
        <v>14</v>
      </c>
      <c r="D844" s="64">
        <v>33823</v>
      </c>
      <c r="E844" s="64">
        <v>125823</v>
      </c>
      <c r="F844" s="64">
        <v>3757</v>
      </c>
      <c r="G844" s="64">
        <v>6572</v>
      </c>
      <c r="H844" s="49">
        <v>2147</v>
      </c>
      <c r="I844" s="64">
        <v>8719</v>
      </c>
      <c r="K844" s="65"/>
      <c r="L844" s="68">
        <v>0.315</v>
      </c>
      <c r="M844" s="62">
        <v>3.5000000000000003E-2</v>
      </c>
    </row>
    <row r="845" spans="1:13" ht="24" thickTop="1">
      <c r="A845" s="17" t="s">
        <v>74</v>
      </c>
      <c r="B845" s="23">
        <v>92000</v>
      </c>
      <c r="C845" s="11">
        <v>16</v>
      </c>
      <c r="D845" s="31">
        <v>38646</v>
      </c>
      <c r="E845" s="31">
        <v>130646</v>
      </c>
      <c r="F845" s="31">
        <v>4294</v>
      </c>
      <c r="G845" s="31">
        <v>5750</v>
      </c>
      <c r="H845" s="31">
        <v>2147</v>
      </c>
      <c r="I845" s="31">
        <v>7897</v>
      </c>
      <c r="K845" s="11"/>
      <c r="L845" s="68">
        <v>0.315</v>
      </c>
      <c r="M845" s="62">
        <v>3.5000000000000003E-2</v>
      </c>
    </row>
    <row r="846" spans="1:13" ht="23.25">
      <c r="A846" s="18" t="s">
        <v>74</v>
      </c>
      <c r="B846" s="24">
        <v>92000</v>
      </c>
      <c r="C846" s="9">
        <v>18</v>
      </c>
      <c r="D846" s="49">
        <v>43475</v>
      </c>
      <c r="E846" s="49">
        <v>135475</v>
      </c>
      <c r="F846" s="49">
        <v>4831</v>
      </c>
      <c r="G846" s="49">
        <v>5112</v>
      </c>
      <c r="H846" s="49">
        <v>2146</v>
      </c>
      <c r="I846" s="49">
        <v>7258</v>
      </c>
      <c r="K846" s="63"/>
      <c r="L846" s="68">
        <v>0.315</v>
      </c>
      <c r="M846" s="62">
        <v>3.5000000000000003E-2</v>
      </c>
    </row>
    <row r="847" spans="1:13" ht="23.25">
      <c r="A847" s="18" t="s">
        <v>74</v>
      </c>
      <c r="B847" s="24">
        <v>92000</v>
      </c>
      <c r="C847" s="8">
        <v>20</v>
      </c>
      <c r="D847" s="58">
        <v>48307</v>
      </c>
      <c r="E847" s="58">
        <v>140307</v>
      </c>
      <c r="F847" s="58">
        <v>5367</v>
      </c>
      <c r="G847" s="58">
        <v>4600</v>
      </c>
      <c r="H847" s="58">
        <v>2147</v>
      </c>
      <c r="I847" s="58">
        <v>6747</v>
      </c>
      <c r="K847" s="57"/>
      <c r="L847" s="68">
        <v>0.315</v>
      </c>
      <c r="M847" s="62">
        <v>3.5000000000000003E-2</v>
      </c>
    </row>
    <row r="848" spans="1:13" ht="23.25">
      <c r="A848" s="18" t="s">
        <v>74</v>
      </c>
      <c r="B848" s="24">
        <v>92000</v>
      </c>
      <c r="C848" s="10">
        <v>22</v>
      </c>
      <c r="D848" s="50">
        <v>53142</v>
      </c>
      <c r="E848" s="50">
        <v>145142</v>
      </c>
      <c r="F848" s="50">
        <v>5904</v>
      </c>
      <c r="G848" s="50">
        <v>4182</v>
      </c>
      <c r="H848" s="50">
        <v>2147</v>
      </c>
      <c r="I848" s="50">
        <v>6329</v>
      </c>
      <c r="K848" s="59"/>
      <c r="L848" s="68">
        <v>0.315</v>
      </c>
      <c r="M848" s="62">
        <v>3.5000000000000003E-2</v>
      </c>
    </row>
    <row r="849" spans="1:13" ht="23.25">
      <c r="A849" s="18" t="s">
        <v>74</v>
      </c>
      <c r="B849" s="24">
        <v>92000</v>
      </c>
      <c r="C849" s="8">
        <v>24</v>
      </c>
      <c r="D849" s="58">
        <v>57985</v>
      </c>
      <c r="E849" s="58">
        <v>149985</v>
      </c>
      <c r="F849" s="58">
        <v>6441</v>
      </c>
      <c r="G849" s="58">
        <v>3834</v>
      </c>
      <c r="H849" s="58">
        <v>2147</v>
      </c>
      <c r="I849" s="58">
        <v>5981</v>
      </c>
      <c r="K849" s="57"/>
      <c r="L849" s="68">
        <v>0.315</v>
      </c>
      <c r="M849" s="62">
        <v>3.5000000000000003E-2</v>
      </c>
    </row>
    <row r="850" spans="1:13" ht="23.25">
      <c r="A850" s="18" t="s">
        <v>74</v>
      </c>
      <c r="B850" s="24">
        <v>93000</v>
      </c>
      <c r="C850" s="10">
        <v>4</v>
      </c>
      <c r="D850" s="50">
        <v>9770</v>
      </c>
      <c r="E850" s="50">
        <v>102770</v>
      </c>
      <c r="F850" s="50">
        <v>1086</v>
      </c>
      <c r="G850" s="50">
        <v>23250</v>
      </c>
      <c r="H850" s="50">
        <v>2171</v>
      </c>
      <c r="I850" s="50">
        <v>25421</v>
      </c>
      <c r="K850" s="59"/>
      <c r="L850" s="68">
        <v>0.315</v>
      </c>
      <c r="M850" s="62">
        <v>3.5000000000000003E-2</v>
      </c>
    </row>
    <row r="851" spans="1:13" ht="23.25">
      <c r="A851" s="18" t="s">
        <v>74</v>
      </c>
      <c r="B851" s="24">
        <v>93000</v>
      </c>
      <c r="C851" s="8">
        <v>6</v>
      </c>
      <c r="D851" s="58">
        <v>14654</v>
      </c>
      <c r="E851" s="58">
        <v>107654</v>
      </c>
      <c r="F851" s="58">
        <v>1628</v>
      </c>
      <c r="G851" s="58">
        <v>15500</v>
      </c>
      <c r="H851" s="58">
        <v>2171</v>
      </c>
      <c r="I851" s="58">
        <v>17671</v>
      </c>
      <c r="K851" s="57"/>
      <c r="L851" s="68">
        <v>0.315</v>
      </c>
      <c r="M851" s="62">
        <v>3.5000000000000003E-2</v>
      </c>
    </row>
    <row r="852" spans="1:13" ht="23.25">
      <c r="A852" s="18" t="s">
        <v>74</v>
      </c>
      <c r="B852" s="24">
        <v>93000</v>
      </c>
      <c r="C852" s="10">
        <v>8</v>
      </c>
      <c r="D852" s="50">
        <v>19539</v>
      </c>
      <c r="E852" s="50">
        <v>112539</v>
      </c>
      <c r="F852" s="50">
        <v>2171</v>
      </c>
      <c r="G852" s="50">
        <v>11625</v>
      </c>
      <c r="H852" s="52">
        <v>2171</v>
      </c>
      <c r="I852" s="50">
        <v>13796</v>
      </c>
      <c r="K852" s="59"/>
      <c r="L852" s="68">
        <v>0.315</v>
      </c>
      <c r="M852" s="62">
        <v>3.5000000000000003E-2</v>
      </c>
    </row>
    <row r="853" spans="1:13" ht="23.25">
      <c r="A853" s="18" t="s">
        <v>74</v>
      </c>
      <c r="B853" s="24">
        <v>93000</v>
      </c>
      <c r="C853" s="8">
        <v>10</v>
      </c>
      <c r="D853" s="58">
        <v>24423</v>
      </c>
      <c r="E853" s="58">
        <v>117423</v>
      </c>
      <c r="F853" s="58">
        <v>2713</v>
      </c>
      <c r="G853" s="58">
        <v>9300</v>
      </c>
      <c r="H853" s="58">
        <v>2171</v>
      </c>
      <c r="I853" s="58">
        <v>11471</v>
      </c>
      <c r="K853" s="57"/>
      <c r="L853" s="68">
        <v>0.315</v>
      </c>
      <c r="M853" s="62">
        <v>3.5000000000000003E-2</v>
      </c>
    </row>
    <row r="854" spans="1:13" ht="23.25">
      <c r="A854" s="18" t="s">
        <v>74</v>
      </c>
      <c r="B854" s="24">
        <v>93000</v>
      </c>
      <c r="C854" s="9">
        <v>12</v>
      </c>
      <c r="D854" s="49">
        <v>29308</v>
      </c>
      <c r="E854" s="49">
        <v>122308</v>
      </c>
      <c r="F854" s="49">
        <v>3256</v>
      </c>
      <c r="G854" s="49">
        <v>7750</v>
      </c>
      <c r="H854" s="49">
        <v>2171</v>
      </c>
      <c r="I854" s="49">
        <v>9921</v>
      </c>
      <c r="K854" s="63"/>
      <c r="L854" s="68">
        <v>0.315</v>
      </c>
      <c r="M854" s="62">
        <v>3.5000000000000003E-2</v>
      </c>
    </row>
    <row r="855" spans="1:13" ht="24" thickBot="1">
      <c r="A855" s="19" t="s">
        <v>74</v>
      </c>
      <c r="B855" s="25">
        <v>93000</v>
      </c>
      <c r="C855" s="4">
        <v>14</v>
      </c>
      <c r="D855" s="66">
        <v>34180</v>
      </c>
      <c r="E855" s="66">
        <v>127180</v>
      </c>
      <c r="F855" s="66">
        <v>3798</v>
      </c>
      <c r="G855" s="66">
        <v>6643</v>
      </c>
      <c r="H855" s="58">
        <v>2170</v>
      </c>
      <c r="I855" s="66">
        <v>8813</v>
      </c>
      <c r="K855" s="67"/>
      <c r="L855" s="68">
        <v>0.315</v>
      </c>
      <c r="M855" s="62">
        <v>3.5000000000000003E-2</v>
      </c>
    </row>
    <row r="856" spans="1:13" ht="24" thickTop="1">
      <c r="A856" s="15" t="s">
        <v>74</v>
      </c>
      <c r="B856" s="21">
        <v>93000</v>
      </c>
      <c r="C856" s="6">
        <v>16</v>
      </c>
      <c r="D856" s="37">
        <v>39069</v>
      </c>
      <c r="E856" s="37">
        <v>132069</v>
      </c>
      <c r="F856" s="37">
        <v>4341</v>
      </c>
      <c r="G856" s="37">
        <v>5813</v>
      </c>
      <c r="H856" s="37">
        <v>2170</v>
      </c>
      <c r="I856" s="37">
        <v>7983</v>
      </c>
      <c r="K856" s="6"/>
      <c r="L856" s="68">
        <v>0.315</v>
      </c>
      <c r="M856" s="62">
        <v>3.5000000000000003E-2</v>
      </c>
    </row>
    <row r="857" spans="1:13" ht="23.25">
      <c r="A857" s="16" t="s">
        <v>74</v>
      </c>
      <c r="B857" s="22">
        <v>93000</v>
      </c>
      <c r="C857" s="8">
        <v>18</v>
      </c>
      <c r="D857" s="58">
        <v>43949</v>
      </c>
      <c r="E857" s="58">
        <v>136949</v>
      </c>
      <c r="F857" s="58">
        <v>4883</v>
      </c>
      <c r="G857" s="58">
        <v>5167</v>
      </c>
      <c r="H857" s="58">
        <v>2170</v>
      </c>
      <c r="I857" s="58">
        <v>7337</v>
      </c>
      <c r="K857" s="57"/>
      <c r="L857" s="68">
        <v>0.315</v>
      </c>
      <c r="M857" s="62">
        <v>3.5000000000000003E-2</v>
      </c>
    </row>
    <row r="858" spans="1:13" ht="23.25">
      <c r="A858" s="16" t="s">
        <v>74</v>
      </c>
      <c r="B858" s="22">
        <v>93000</v>
      </c>
      <c r="C858" s="10">
        <v>20</v>
      </c>
      <c r="D858" s="50">
        <v>48846</v>
      </c>
      <c r="E858" s="50">
        <v>141846</v>
      </c>
      <c r="F858" s="50">
        <v>5426</v>
      </c>
      <c r="G858" s="50">
        <v>4650</v>
      </c>
      <c r="H858" s="49">
        <v>2171</v>
      </c>
      <c r="I858" s="50">
        <v>6821</v>
      </c>
      <c r="K858" s="59"/>
      <c r="L858" s="68">
        <v>0.315</v>
      </c>
      <c r="M858" s="62">
        <v>3.5000000000000003E-2</v>
      </c>
    </row>
    <row r="859" spans="1:13" ht="23.25">
      <c r="A859" s="16" t="s">
        <v>74</v>
      </c>
      <c r="B859" s="22">
        <v>93000</v>
      </c>
      <c r="C859" s="8">
        <v>22</v>
      </c>
      <c r="D859" s="58">
        <v>53724</v>
      </c>
      <c r="E859" s="58">
        <v>146724</v>
      </c>
      <c r="F859" s="58">
        <v>5968</v>
      </c>
      <c r="G859" s="58">
        <v>4228</v>
      </c>
      <c r="H859" s="58">
        <v>2170</v>
      </c>
      <c r="I859" s="58">
        <v>6398</v>
      </c>
      <c r="K859" s="57"/>
      <c r="L859" s="68">
        <v>0.315</v>
      </c>
      <c r="M859" s="62">
        <v>3.5000000000000003E-2</v>
      </c>
    </row>
    <row r="860" spans="1:13" ht="23.25">
      <c r="A860" s="16" t="s">
        <v>74</v>
      </c>
      <c r="B860" s="22">
        <v>93000</v>
      </c>
      <c r="C860" s="10">
        <v>24</v>
      </c>
      <c r="D860" s="50">
        <v>58615</v>
      </c>
      <c r="E860" s="50">
        <v>151615</v>
      </c>
      <c r="F860" s="50">
        <v>6511</v>
      </c>
      <c r="G860" s="50">
        <v>3875</v>
      </c>
      <c r="H860" s="50">
        <v>2171</v>
      </c>
      <c r="I860" s="50">
        <v>6046</v>
      </c>
      <c r="K860" s="59"/>
      <c r="L860" s="68">
        <v>0.315</v>
      </c>
      <c r="M860" s="62">
        <v>3.5000000000000003E-2</v>
      </c>
    </row>
    <row r="861" spans="1:13" ht="23.25">
      <c r="A861" s="16" t="s">
        <v>74</v>
      </c>
      <c r="B861" s="22">
        <v>94000</v>
      </c>
      <c r="C861" s="8">
        <v>4</v>
      </c>
      <c r="D861" s="58">
        <v>9873</v>
      </c>
      <c r="E861" s="58">
        <v>103873</v>
      </c>
      <c r="F861" s="58">
        <v>1097</v>
      </c>
      <c r="G861" s="58">
        <v>23500</v>
      </c>
      <c r="H861" s="58">
        <v>2194</v>
      </c>
      <c r="I861" s="58">
        <v>25694</v>
      </c>
      <c r="K861" s="57"/>
      <c r="L861" s="68">
        <v>0.315</v>
      </c>
      <c r="M861" s="62">
        <v>3.5000000000000003E-2</v>
      </c>
    </row>
    <row r="862" spans="1:13" ht="23.25">
      <c r="A862" s="16" t="s">
        <v>74</v>
      </c>
      <c r="B862" s="22">
        <v>94000</v>
      </c>
      <c r="C862" s="10">
        <v>6</v>
      </c>
      <c r="D862" s="50">
        <v>14812</v>
      </c>
      <c r="E862" s="50">
        <v>108812</v>
      </c>
      <c r="F862" s="50">
        <v>1646</v>
      </c>
      <c r="G862" s="50">
        <v>15667</v>
      </c>
      <c r="H862" s="50">
        <v>2194</v>
      </c>
      <c r="I862" s="50">
        <v>17861</v>
      </c>
      <c r="K862" s="59"/>
      <c r="L862" s="68">
        <v>0.315</v>
      </c>
      <c r="M862" s="62">
        <v>3.5000000000000003E-2</v>
      </c>
    </row>
    <row r="863" spans="1:13" ht="23.25">
      <c r="A863" s="16" t="s">
        <v>74</v>
      </c>
      <c r="B863" s="22">
        <v>94000</v>
      </c>
      <c r="C863" s="8">
        <v>8</v>
      </c>
      <c r="D863" s="58">
        <v>19746</v>
      </c>
      <c r="E863" s="58">
        <v>113746</v>
      </c>
      <c r="F863" s="58">
        <v>2194</v>
      </c>
      <c r="G863" s="58">
        <v>11750</v>
      </c>
      <c r="H863" s="58">
        <v>2194</v>
      </c>
      <c r="I863" s="58">
        <v>13944</v>
      </c>
      <c r="K863" s="57"/>
      <c r="L863" s="68">
        <v>0.315</v>
      </c>
      <c r="M863" s="62">
        <v>3.5000000000000003E-2</v>
      </c>
    </row>
    <row r="864" spans="1:13" ht="23.25">
      <c r="A864" s="16" t="s">
        <v>74</v>
      </c>
      <c r="B864" s="22">
        <v>94000</v>
      </c>
      <c r="C864" s="9">
        <v>10</v>
      </c>
      <c r="D864" s="49">
        <v>24682</v>
      </c>
      <c r="E864" s="49">
        <v>118682</v>
      </c>
      <c r="F864" s="49">
        <v>2742</v>
      </c>
      <c r="G864" s="49">
        <v>9400</v>
      </c>
      <c r="H864" s="52">
        <v>2194</v>
      </c>
      <c r="I864" s="49">
        <v>11594</v>
      </c>
      <c r="K864" s="63"/>
      <c r="L864" s="68">
        <v>0.315</v>
      </c>
      <c r="M864" s="62">
        <v>3.5000000000000003E-2</v>
      </c>
    </row>
    <row r="865" spans="1:13" ht="23.25">
      <c r="A865" s="16" t="s">
        <v>74</v>
      </c>
      <c r="B865" s="22">
        <v>94000</v>
      </c>
      <c r="C865" s="8">
        <v>12</v>
      </c>
      <c r="D865" s="58">
        <v>29615</v>
      </c>
      <c r="E865" s="58">
        <v>123615</v>
      </c>
      <c r="F865" s="58">
        <v>3291</v>
      </c>
      <c r="G865" s="58">
        <v>7834</v>
      </c>
      <c r="H865" s="58">
        <v>2193</v>
      </c>
      <c r="I865" s="58">
        <v>10027</v>
      </c>
      <c r="K865" s="57"/>
      <c r="L865" s="68">
        <v>0.315</v>
      </c>
      <c r="M865" s="62">
        <v>3.5000000000000003E-2</v>
      </c>
    </row>
    <row r="866" spans="1:13" ht="24" thickBot="1">
      <c r="A866" s="20" t="s">
        <v>74</v>
      </c>
      <c r="B866" s="26">
        <v>94000</v>
      </c>
      <c r="C866" s="5">
        <v>14</v>
      </c>
      <c r="D866" s="64">
        <v>34551</v>
      </c>
      <c r="E866" s="64">
        <v>128551</v>
      </c>
      <c r="F866" s="64">
        <v>3839</v>
      </c>
      <c r="G866" s="64">
        <v>6715</v>
      </c>
      <c r="H866" s="49">
        <v>2193</v>
      </c>
      <c r="I866" s="64">
        <v>8908</v>
      </c>
      <c r="K866" s="65"/>
      <c r="L866" s="68">
        <v>0.315</v>
      </c>
      <c r="M866" s="62">
        <v>3.5000000000000003E-2</v>
      </c>
    </row>
    <row r="867" spans="1:13" ht="24" thickTop="1">
      <c r="A867" s="17" t="s">
        <v>74</v>
      </c>
      <c r="B867" s="23">
        <v>94000</v>
      </c>
      <c r="C867" s="11">
        <v>16</v>
      </c>
      <c r="D867" s="31">
        <v>39491</v>
      </c>
      <c r="E867" s="31">
        <v>133491</v>
      </c>
      <c r="F867" s="31">
        <v>4387</v>
      </c>
      <c r="G867" s="31">
        <v>5875</v>
      </c>
      <c r="H867" s="31">
        <v>2194</v>
      </c>
      <c r="I867" s="31">
        <v>8069</v>
      </c>
      <c r="K867" s="11"/>
      <c r="L867" s="68">
        <v>0.315</v>
      </c>
      <c r="M867" s="62">
        <v>3.5000000000000003E-2</v>
      </c>
    </row>
    <row r="868" spans="1:13" ht="23.25">
      <c r="A868" s="18" t="s">
        <v>74</v>
      </c>
      <c r="B868" s="24">
        <v>94000</v>
      </c>
      <c r="C868" s="9">
        <v>18</v>
      </c>
      <c r="D868" s="49">
        <v>44424</v>
      </c>
      <c r="E868" s="49">
        <v>138424</v>
      </c>
      <c r="F868" s="49">
        <v>4936</v>
      </c>
      <c r="G868" s="49">
        <v>5223</v>
      </c>
      <c r="H868" s="49">
        <v>2193</v>
      </c>
      <c r="I868" s="49">
        <v>7416</v>
      </c>
      <c r="K868" s="63"/>
      <c r="L868" s="68">
        <v>0.315</v>
      </c>
      <c r="M868" s="62">
        <v>3.5000000000000003E-2</v>
      </c>
    </row>
    <row r="869" spans="1:13" ht="23.25">
      <c r="A869" s="18" t="s">
        <v>74</v>
      </c>
      <c r="B869" s="24">
        <v>94000</v>
      </c>
      <c r="C869" s="8">
        <v>20</v>
      </c>
      <c r="D869" s="58">
        <v>49364</v>
      </c>
      <c r="E869" s="58">
        <v>143364</v>
      </c>
      <c r="F869" s="58">
        <v>5484</v>
      </c>
      <c r="G869" s="58">
        <v>4700</v>
      </c>
      <c r="H869" s="58">
        <v>2194</v>
      </c>
      <c r="I869" s="58">
        <v>6894</v>
      </c>
      <c r="K869" s="57"/>
      <c r="L869" s="68">
        <v>0.315</v>
      </c>
      <c r="M869" s="62">
        <v>3.5000000000000003E-2</v>
      </c>
    </row>
    <row r="870" spans="1:13" ht="23.25">
      <c r="A870" s="18" t="s">
        <v>74</v>
      </c>
      <c r="B870" s="24">
        <v>94000</v>
      </c>
      <c r="C870" s="10">
        <v>22</v>
      </c>
      <c r="D870" s="50">
        <v>54306</v>
      </c>
      <c r="E870" s="50">
        <v>148306</v>
      </c>
      <c r="F870" s="50">
        <v>6032</v>
      </c>
      <c r="G870" s="50">
        <v>4273</v>
      </c>
      <c r="H870" s="50">
        <v>2194</v>
      </c>
      <c r="I870" s="50">
        <v>6467</v>
      </c>
      <c r="K870" s="59"/>
      <c r="L870" s="68">
        <v>0.315</v>
      </c>
      <c r="M870" s="62">
        <v>3.5000000000000003E-2</v>
      </c>
    </row>
    <row r="871" spans="1:13" ht="23.25">
      <c r="A871" s="18" t="s">
        <v>74</v>
      </c>
      <c r="B871" s="24">
        <v>94000</v>
      </c>
      <c r="C871" s="8">
        <v>24</v>
      </c>
      <c r="D871" s="58">
        <v>59245</v>
      </c>
      <c r="E871" s="58">
        <v>153245</v>
      </c>
      <c r="F871" s="58">
        <v>6581</v>
      </c>
      <c r="G871" s="58">
        <v>3917</v>
      </c>
      <c r="H871" s="58">
        <v>2194</v>
      </c>
      <c r="I871" s="58">
        <v>6111</v>
      </c>
      <c r="K871" s="57"/>
      <c r="L871" s="68">
        <v>0.315</v>
      </c>
      <c r="M871" s="62">
        <v>3.5000000000000003E-2</v>
      </c>
    </row>
    <row r="872" spans="1:13" ht="23.25">
      <c r="A872" s="18" t="s">
        <v>74</v>
      </c>
      <c r="B872" s="24">
        <v>95000</v>
      </c>
      <c r="C872" s="10">
        <v>4</v>
      </c>
      <c r="D872" s="50">
        <v>9977</v>
      </c>
      <c r="E872" s="50">
        <v>104977</v>
      </c>
      <c r="F872" s="50">
        <v>1109</v>
      </c>
      <c r="G872" s="50">
        <v>23750</v>
      </c>
      <c r="H872" s="50">
        <v>2217</v>
      </c>
      <c r="I872" s="50">
        <v>25967</v>
      </c>
      <c r="K872" s="59"/>
      <c r="L872" s="68">
        <v>0.315</v>
      </c>
      <c r="M872" s="62">
        <v>3.5000000000000003E-2</v>
      </c>
    </row>
    <row r="873" spans="1:13" ht="23.25">
      <c r="A873" s="18" t="s">
        <v>74</v>
      </c>
      <c r="B873" s="24">
        <v>95000</v>
      </c>
      <c r="C873" s="8">
        <v>6</v>
      </c>
      <c r="D873" s="58">
        <v>14969</v>
      </c>
      <c r="E873" s="58">
        <v>109969</v>
      </c>
      <c r="F873" s="58">
        <v>1663</v>
      </c>
      <c r="G873" s="58">
        <v>15834</v>
      </c>
      <c r="H873" s="58">
        <v>2217</v>
      </c>
      <c r="I873" s="58">
        <v>18051</v>
      </c>
      <c r="K873" s="57"/>
      <c r="L873" s="68">
        <v>0.315</v>
      </c>
      <c r="M873" s="62">
        <v>3.5000000000000003E-2</v>
      </c>
    </row>
    <row r="874" spans="1:13" ht="23.25">
      <c r="A874" s="18" t="s">
        <v>74</v>
      </c>
      <c r="B874" s="24">
        <v>95000</v>
      </c>
      <c r="C874" s="10">
        <v>8</v>
      </c>
      <c r="D874" s="50">
        <v>19953</v>
      </c>
      <c r="E874" s="50">
        <v>114953</v>
      </c>
      <c r="F874" s="50">
        <v>2217</v>
      </c>
      <c r="G874" s="50">
        <v>11875</v>
      </c>
      <c r="H874" s="52">
        <v>2217</v>
      </c>
      <c r="I874" s="50">
        <v>14092</v>
      </c>
      <c r="K874" s="59"/>
      <c r="L874" s="68">
        <v>0.315</v>
      </c>
      <c r="M874" s="62">
        <v>3.5000000000000003E-2</v>
      </c>
    </row>
    <row r="875" spans="1:13" ht="23.25">
      <c r="A875" s="18" t="s">
        <v>74</v>
      </c>
      <c r="B875" s="24">
        <v>95000</v>
      </c>
      <c r="C875" s="8">
        <v>10</v>
      </c>
      <c r="D875" s="58">
        <v>24941</v>
      </c>
      <c r="E875" s="58">
        <v>119941</v>
      </c>
      <c r="F875" s="58">
        <v>2771</v>
      </c>
      <c r="G875" s="58">
        <v>9500</v>
      </c>
      <c r="H875" s="58">
        <v>2217</v>
      </c>
      <c r="I875" s="58">
        <v>11717</v>
      </c>
      <c r="K875" s="57"/>
      <c r="L875" s="68">
        <v>0.315</v>
      </c>
      <c r="M875" s="62">
        <v>3.5000000000000003E-2</v>
      </c>
    </row>
    <row r="876" spans="1:13" ht="23.25">
      <c r="A876" s="18" t="s">
        <v>74</v>
      </c>
      <c r="B876" s="24">
        <v>95000</v>
      </c>
      <c r="C876" s="9">
        <v>12</v>
      </c>
      <c r="D876" s="49">
        <v>29934</v>
      </c>
      <c r="E876" s="49">
        <v>124934</v>
      </c>
      <c r="F876" s="49">
        <v>3326</v>
      </c>
      <c r="G876" s="49">
        <v>7917</v>
      </c>
      <c r="H876" s="49">
        <v>2217</v>
      </c>
      <c r="I876" s="49">
        <v>10134</v>
      </c>
      <c r="K876" s="63"/>
      <c r="L876" s="68">
        <v>0.315</v>
      </c>
      <c r="M876" s="62">
        <v>3.5000000000000003E-2</v>
      </c>
    </row>
    <row r="877" spans="1:13" ht="24" thickBot="1">
      <c r="A877" s="19" t="s">
        <v>74</v>
      </c>
      <c r="B877" s="25">
        <v>95000</v>
      </c>
      <c r="C877" s="4">
        <v>14</v>
      </c>
      <c r="D877" s="66">
        <v>34922</v>
      </c>
      <c r="E877" s="66">
        <v>129922</v>
      </c>
      <c r="F877" s="66">
        <v>3880</v>
      </c>
      <c r="G877" s="66">
        <v>6786</v>
      </c>
      <c r="H877" s="58">
        <v>2217</v>
      </c>
      <c r="I877" s="66">
        <v>9003</v>
      </c>
      <c r="K877" s="67"/>
      <c r="L877" s="68">
        <v>0.315</v>
      </c>
      <c r="M877" s="62">
        <v>3.5000000000000003E-2</v>
      </c>
    </row>
    <row r="878" spans="1:13" ht="24" thickTop="1">
      <c r="A878" s="15" t="s">
        <v>74</v>
      </c>
      <c r="B878" s="21">
        <v>95000</v>
      </c>
      <c r="C878" s="6">
        <v>16</v>
      </c>
      <c r="D878" s="37">
        <v>39914</v>
      </c>
      <c r="E878" s="37">
        <v>134914</v>
      </c>
      <c r="F878" s="37">
        <v>4434</v>
      </c>
      <c r="G878" s="37">
        <v>5938</v>
      </c>
      <c r="H878" s="37">
        <v>2217</v>
      </c>
      <c r="I878" s="37">
        <v>8155</v>
      </c>
      <c r="K878" s="6"/>
      <c r="L878" s="68">
        <v>0.315</v>
      </c>
      <c r="M878" s="62">
        <v>3.5000000000000003E-2</v>
      </c>
    </row>
    <row r="879" spans="1:13" ht="23.25">
      <c r="A879" s="16" t="s">
        <v>74</v>
      </c>
      <c r="B879" s="22">
        <v>95000</v>
      </c>
      <c r="C879" s="8">
        <v>18</v>
      </c>
      <c r="D879" s="58">
        <v>44898</v>
      </c>
      <c r="E879" s="58">
        <v>139898</v>
      </c>
      <c r="F879" s="58">
        <v>4988</v>
      </c>
      <c r="G879" s="58">
        <v>5278</v>
      </c>
      <c r="H879" s="58">
        <v>2217</v>
      </c>
      <c r="I879" s="58">
        <v>7495</v>
      </c>
      <c r="K879" s="57"/>
      <c r="L879" s="68">
        <v>0.315</v>
      </c>
      <c r="M879" s="62">
        <v>3.5000000000000003E-2</v>
      </c>
    </row>
    <row r="880" spans="1:13" ht="23.25">
      <c r="A880" s="16" t="s">
        <v>74</v>
      </c>
      <c r="B880" s="22">
        <v>95000</v>
      </c>
      <c r="C880" s="10">
        <v>20</v>
      </c>
      <c r="D880" s="50">
        <v>49882</v>
      </c>
      <c r="E880" s="50">
        <v>144882</v>
      </c>
      <c r="F880" s="50">
        <v>5542</v>
      </c>
      <c r="G880" s="50">
        <v>4750</v>
      </c>
      <c r="H880" s="49">
        <v>2217</v>
      </c>
      <c r="I880" s="50">
        <v>6967</v>
      </c>
      <c r="K880" s="59"/>
      <c r="L880" s="68">
        <v>0.315</v>
      </c>
      <c r="M880" s="62">
        <v>3.5000000000000003E-2</v>
      </c>
    </row>
    <row r="881" spans="1:13" ht="23.25">
      <c r="A881" s="16" t="s">
        <v>74</v>
      </c>
      <c r="B881" s="22">
        <v>95000</v>
      </c>
      <c r="C881" s="8">
        <v>22</v>
      </c>
      <c r="D881" s="58">
        <v>54866</v>
      </c>
      <c r="E881" s="58">
        <v>149866</v>
      </c>
      <c r="F881" s="58">
        <v>6096</v>
      </c>
      <c r="G881" s="58">
        <v>4319</v>
      </c>
      <c r="H881" s="58">
        <v>2216</v>
      </c>
      <c r="I881" s="58">
        <v>6535</v>
      </c>
      <c r="K881" s="57"/>
      <c r="L881" s="68">
        <v>0.315</v>
      </c>
      <c r="M881" s="62">
        <v>3.5000000000000003E-2</v>
      </c>
    </row>
    <row r="882" spans="1:13" ht="23.25">
      <c r="A882" s="16" t="s">
        <v>74</v>
      </c>
      <c r="B882" s="22">
        <v>95000</v>
      </c>
      <c r="C882" s="10">
        <v>24</v>
      </c>
      <c r="D882" s="50">
        <v>59875</v>
      </c>
      <c r="E882" s="50">
        <v>154875</v>
      </c>
      <c r="F882" s="50">
        <v>6651</v>
      </c>
      <c r="G882" s="50">
        <v>3959</v>
      </c>
      <c r="H882" s="50">
        <v>2217</v>
      </c>
      <c r="I882" s="50">
        <v>6176</v>
      </c>
      <c r="K882" s="59"/>
      <c r="L882" s="68">
        <v>0.315</v>
      </c>
      <c r="M882" s="62">
        <v>3.5000000000000003E-2</v>
      </c>
    </row>
    <row r="883" spans="1:13" ht="23.25">
      <c r="A883" s="16" t="s">
        <v>74</v>
      </c>
      <c r="B883" s="22">
        <v>96000</v>
      </c>
      <c r="C883" s="8">
        <v>4</v>
      </c>
      <c r="D883" s="58">
        <v>10085</v>
      </c>
      <c r="E883" s="58">
        <v>106085</v>
      </c>
      <c r="F883" s="58">
        <v>1121</v>
      </c>
      <c r="G883" s="58">
        <v>24000</v>
      </c>
      <c r="H883" s="58">
        <v>2241</v>
      </c>
      <c r="I883" s="58">
        <v>26241</v>
      </c>
      <c r="K883" s="57"/>
      <c r="L883" s="68">
        <v>0.315</v>
      </c>
      <c r="M883" s="62">
        <v>3.5000000000000003E-2</v>
      </c>
    </row>
    <row r="884" spans="1:13" ht="23.25">
      <c r="A884" s="16" t="s">
        <v>74</v>
      </c>
      <c r="B884" s="22">
        <v>96000</v>
      </c>
      <c r="C884" s="10">
        <v>6</v>
      </c>
      <c r="D884" s="50">
        <v>15127</v>
      </c>
      <c r="E884" s="50">
        <v>111127</v>
      </c>
      <c r="F884" s="50">
        <v>1681</v>
      </c>
      <c r="G884" s="50">
        <v>16000</v>
      </c>
      <c r="H884" s="50">
        <v>2241</v>
      </c>
      <c r="I884" s="50">
        <v>18241</v>
      </c>
      <c r="K884" s="59"/>
      <c r="L884" s="68">
        <v>0.315</v>
      </c>
      <c r="M884" s="62">
        <v>3.5000000000000003E-2</v>
      </c>
    </row>
    <row r="885" spans="1:13" ht="23.25">
      <c r="A885" s="16" t="s">
        <v>74</v>
      </c>
      <c r="B885" s="22">
        <v>96000</v>
      </c>
      <c r="C885" s="8">
        <v>8</v>
      </c>
      <c r="D885" s="58">
        <v>20169</v>
      </c>
      <c r="E885" s="58">
        <v>116169</v>
      </c>
      <c r="F885" s="58">
        <v>2241</v>
      </c>
      <c r="G885" s="58">
        <v>12000</v>
      </c>
      <c r="H885" s="58">
        <v>2241</v>
      </c>
      <c r="I885" s="58">
        <v>14241</v>
      </c>
      <c r="K885" s="57"/>
      <c r="L885" s="68">
        <v>0.315</v>
      </c>
      <c r="M885" s="62">
        <v>3.5000000000000003E-2</v>
      </c>
    </row>
    <row r="886" spans="1:13" ht="23.25">
      <c r="A886" s="16" t="s">
        <v>74</v>
      </c>
      <c r="B886" s="22">
        <v>96000</v>
      </c>
      <c r="C886" s="9">
        <v>10</v>
      </c>
      <c r="D886" s="49">
        <v>25211</v>
      </c>
      <c r="E886" s="49">
        <v>121211</v>
      </c>
      <c r="F886" s="49">
        <v>2801</v>
      </c>
      <c r="G886" s="49">
        <v>9600</v>
      </c>
      <c r="H886" s="52">
        <v>2241</v>
      </c>
      <c r="I886" s="49">
        <v>11841</v>
      </c>
      <c r="K886" s="63"/>
      <c r="L886" s="68">
        <v>0.315</v>
      </c>
      <c r="M886" s="62">
        <v>3.5000000000000003E-2</v>
      </c>
    </row>
    <row r="887" spans="1:13" ht="23.25">
      <c r="A887" s="16" t="s">
        <v>74</v>
      </c>
      <c r="B887" s="22">
        <v>96000</v>
      </c>
      <c r="C887" s="8">
        <v>12</v>
      </c>
      <c r="D887" s="58">
        <v>30253</v>
      </c>
      <c r="E887" s="58">
        <v>126253</v>
      </c>
      <c r="F887" s="58">
        <v>3361</v>
      </c>
      <c r="G887" s="58">
        <v>8000</v>
      </c>
      <c r="H887" s="58">
        <v>2241</v>
      </c>
      <c r="I887" s="58">
        <v>10241</v>
      </c>
      <c r="K887" s="57"/>
      <c r="L887" s="68">
        <v>0.315</v>
      </c>
      <c r="M887" s="62">
        <v>3.5000000000000003E-2</v>
      </c>
    </row>
    <row r="888" spans="1:13" ht="24" thickBot="1">
      <c r="A888" s="20" t="s">
        <v>74</v>
      </c>
      <c r="B888" s="26">
        <v>96000</v>
      </c>
      <c r="C888" s="5">
        <v>14</v>
      </c>
      <c r="D888" s="64">
        <v>35293</v>
      </c>
      <c r="E888" s="64">
        <v>131293</v>
      </c>
      <c r="F888" s="64">
        <v>3921</v>
      </c>
      <c r="G888" s="64">
        <v>6858</v>
      </c>
      <c r="H888" s="49">
        <v>2240</v>
      </c>
      <c r="I888" s="64">
        <v>9098</v>
      </c>
      <c r="K888" s="65"/>
      <c r="L888" s="68">
        <v>0.315</v>
      </c>
      <c r="M888" s="62">
        <v>3.5000000000000003E-2</v>
      </c>
    </row>
    <row r="889" spans="1:13" ht="24" thickTop="1">
      <c r="A889" s="17" t="s">
        <v>74</v>
      </c>
      <c r="B889" s="23">
        <v>96000</v>
      </c>
      <c r="C889" s="11">
        <v>16</v>
      </c>
      <c r="D889" s="31">
        <v>40337</v>
      </c>
      <c r="E889" s="31">
        <v>136337</v>
      </c>
      <c r="F889" s="31">
        <v>4481</v>
      </c>
      <c r="G889" s="31">
        <v>6000</v>
      </c>
      <c r="H889" s="31">
        <v>2241</v>
      </c>
      <c r="I889" s="31">
        <v>8241</v>
      </c>
      <c r="K889" s="11"/>
      <c r="L889" s="68">
        <v>0.315</v>
      </c>
      <c r="M889" s="62">
        <v>3.5000000000000003E-2</v>
      </c>
    </row>
    <row r="890" spans="1:13" ht="23.25">
      <c r="A890" s="18" t="s">
        <v>74</v>
      </c>
      <c r="B890" s="24">
        <v>96000</v>
      </c>
      <c r="C890" s="9">
        <v>18</v>
      </c>
      <c r="D890" s="49">
        <v>45373</v>
      </c>
      <c r="E890" s="49">
        <v>141373</v>
      </c>
      <c r="F890" s="49">
        <v>5041</v>
      </c>
      <c r="G890" s="49">
        <v>5334</v>
      </c>
      <c r="H890" s="49">
        <v>2240</v>
      </c>
      <c r="I890" s="49">
        <v>7574</v>
      </c>
      <c r="K890" s="63"/>
      <c r="L890" s="68">
        <v>0.315</v>
      </c>
      <c r="M890" s="62">
        <v>3.5000000000000003E-2</v>
      </c>
    </row>
    <row r="891" spans="1:13" ht="23.25">
      <c r="A891" s="18" t="s">
        <v>74</v>
      </c>
      <c r="B891" s="24">
        <v>96000</v>
      </c>
      <c r="C891" s="8">
        <v>20</v>
      </c>
      <c r="D891" s="58">
        <v>50421</v>
      </c>
      <c r="E891" s="58">
        <v>146421</v>
      </c>
      <c r="F891" s="58">
        <v>5601</v>
      </c>
      <c r="G891" s="58">
        <v>4800</v>
      </c>
      <c r="H891" s="58">
        <v>2241</v>
      </c>
      <c r="I891" s="58">
        <v>7041</v>
      </c>
      <c r="K891" s="57"/>
      <c r="L891" s="68">
        <v>0.315</v>
      </c>
      <c r="M891" s="62">
        <v>3.5000000000000003E-2</v>
      </c>
    </row>
    <row r="892" spans="1:13" ht="23.25">
      <c r="A892" s="18" t="s">
        <v>74</v>
      </c>
      <c r="B892" s="24">
        <v>96000</v>
      </c>
      <c r="C892" s="10">
        <v>22</v>
      </c>
      <c r="D892" s="50">
        <v>55449</v>
      </c>
      <c r="E892" s="50">
        <v>151449</v>
      </c>
      <c r="F892" s="50">
        <v>6161</v>
      </c>
      <c r="G892" s="50">
        <v>4364</v>
      </c>
      <c r="H892" s="50">
        <v>2240</v>
      </c>
      <c r="I892" s="50">
        <v>6604</v>
      </c>
      <c r="K892" s="59"/>
      <c r="L892" s="68">
        <v>0.315</v>
      </c>
      <c r="M892" s="62">
        <v>3.5000000000000003E-2</v>
      </c>
    </row>
    <row r="893" spans="1:13" ht="23.25">
      <c r="A893" s="18" t="s">
        <v>74</v>
      </c>
      <c r="B893" s="24">
        <v>96000</v>
      </c>
      <c r="C893" s="8">
        <v>24</v>
      </c>
      <c r="D893" s="58">
        <v>60505</v>
      </c>
      <c r="E893" s="58">
        <v>156505</v>
      </c>
      <c r="F893" s="58">
        <v>6721</v>
      </c>
      <c r="G893" s="58">
        <v>4000</v>
      </c>
      <c r="H893" s="58">
        <v>2241</v>
      </c>
      <c r="I893" s="58">
        <v>6241</v>
      </c>
      <c r="K893" s="57"/>
      <c r="L893" s="68">
        <v>0.315</v>
      </c>
      <c r="M893" s="62">
        <v>3.5000000000000003E-2</v>
      </c>
    </row>
    <row r="894" spans="1:13" ht="23.25">
      <c r="A894" s="18" t="s">
        <v>74</v>
      </c>
      <c r="B894" s="24">
        <v>97000</v>
      </c>
      <c r="C894" s="10">
        <v>4</v>
      </c>
      <c r="D894" s="50">
        <v>10188</v>
      </c>
      <c r="E894" s="50">
        <v>107188</v>
      </c>
      <c r="F894" s="50">
        <v>1132</v>
      </c>
      <c r="G894" s="50">
        <v>24250</v>
      </c>
      <c r="H894" s="50">
        <v>2264</v>
      </c>
      <c r="I894" s="50">
        <v>26514</v>
      </c>
      <c r="K894" s="59"/>
      <c r="L894" s="68">
        <v>0.315</v>
      </c>
      <c r="M894" s="62">
        <v>3.5000000000000003E-2</v>
      </c>
    </row>
    <row r="895" spans="1:13" ht="23.25">
      <c r="A895" s="18" t="s">
        <v>74</v>
      </c>
      <c r="B895" s="24">
        <v>97000</v>
      </c>
      <c r="C895" s="8">
        <v>6</v>
      </c>
      <c r="D895" s="58">
        <v>15284</v>
      </c>
      <c r="E895" s="58">
        <v>112284</v>
      </c>
      <c r="F895" s="58">
        <v>1698</v>
      </c>
      <c r="G895" s="58">
        <v>16167</v>
      </c>
      <c r="H895" s="58">
        <v>2264</v>
      </c>
      <c r="I895" s="58">
        <v>18431</v>
      </c>
      <c r="K895" s="57"/>
      <c r="L895" s="68">
        <v>0.315</v>
      </c>
      <c r="M895" s="62">
        <v>3.5000000000000003E-2</v>
      </c>
    </row>
    <row r="896" spans="1:13" ht="23.25">
      <c r="A896" s="18" t="s">
        <v>74</v>
      </c>
      <c r="B896" s="24">
        <v>97000</v>
      </c>
      <c r="C896" s="10">
        <v>8</v>
      </c>
      <c r="D896" s="50">
        <v>20376</v>
      </c>
      <c r="E896" s="50">
        <v>117376</v>
      </c>
      <c r="F896" s="50">
        <v>2264</v>
      </c>
      <c r="G896" s="50">
        <v>12125</v>
      </c>
      <c r="H896" s="52">
        <v>2264</v>
      </c>
      <c r="I896" s="50">
        <v>14389</v>
      </c>
      <c r="K896" s="59"/>
      <c r="L896" s="68">
        <v>0.315</v>
      </c>
      <c r="M896" s="62">
        <v>3.5000000000000003E-2</v>
      </c>
    </row>
    <row r="897" spans="1:13" ht="23.25">
      <c r="A897" s="18" t="s">
        <v>74</v>
      </c>
      <c r="B897" s="24">
        <v>97000</v>
      </c>
      <c r="C897" s="8">
        <v>10</v>
      </c>
      <c r="D897" s="58">
        <v>25470</v>
      </c>
      <c r="E897" s="58">
        <v>122470</v>
      </c>
      <c r="F897" s="58">
        <v>2830</v>
      </c>
      <c r="G897" s="58">
        <v>9700</v>
      </c>
      <c r="H897" s="58">
        <v>2264</v>
      </c>
      <c r="I897" s="58">
        <v>11964</v>
      </c>
      <c r="K897" s="57"/>
      <c r="L897" s="68">
        <v>0.315</v>
      </c>
      <c r="M897" s="62">
        <v>3.5000000000000003E-2</v>
      </c>
    </row>
    <row r="898" spans="1:13" ht="23.25">
      <c r="A898" s="18" t="s">
        <v>74</v>
      </c>
      <c r="B898" s="24">
        <v>97000</v>
      </c>
      <c r="C898" s="9">
        <v>12</v>
      </c>
      <c r="D898" s="49">
        <v>30560</v>
      </c>
      <c r="E898" s="49">
        <v>127560</v>
      </c>
      <c r="F898" s="49">
        <v>3396</v>
      </c>
      <c r="G898" s="49">
        <v>8084</v>
      </c>
      <c r="H898" s="49">
        <v>2263</v>
      </c>
      <c r="I898" s="49">
        <v>10347</v>
      </c>
      <c r="K898" s="63"/>
      <c r="L898" s="68">
        <v>0.315</v>
      </c>
      <c r="M898" s="62">
        <v>3.5000000000000003E-2</v>
      </c>
    </row>
    <row r="899" spans="1:13" ht="24" thickBot="1">
      <c r="A899" s="19" t="s">
        <v>74</v>
      </c>
      <c r="B899" s="25">
        <v>97000</v>
      </c>
      <c r="C899" s="4">
        <v>14</v>
      </c>
      <c r="D899" s="66">
        <v>35649</v>
      </c>
      <c r="E899" s="66">
        <v>132649</v>
      </c>
      <c r="F899" s="66">
        <v>3961</v>
      </c>
      <c r="G899" s="66">
        <v>6929</v>
      </c>
      <c r="H899" s="58">
        <v>2263</v>
      </c>
      <c r="I899" s="66">
        <v>9192</v>
      </c>
      <c r="K899" s="67"/>
      <c r="L899" s="68">
        <v>0.315</v>
      </c>
      <c r="M899" s="62">
        <v>3.5000000000000003E-2</v>
      </c>
    </row>
    <row r="900" spans="1:13" ht="24" thickTop="1">
      <c r="A900" s="15" t="s">
        <v>74</v>
      </c>
      <c r="B900" s="21">
        <v>97000</v>
      </c>
      <c r="C900" s="6">
        <v>16</v>
      </c>
      <c r="D900" s="37">
        <v>40743</v>
      </c>
      <c r="E900" s="37">
        <v>137743</v>
      </c>
      <c r="F900" s="37">
        <v>4527</v>
      </c>
      <c r="G900" s="37">
        <v>6063</v>
      </c>
      <c r="H900" s="37">
        <v>2263</v>
      </c>
      <c r="I900" s="37">
        <v>8326</v>
      </c>
      <c r="K900" s="6"/>
      <c r="L900" s="68">
        <v>0.315</v>
      </c>
      <c r="M900" s="62">
        <v>3.5000000000000003E-2</v>
      </c>
    </row>
    <row r="901" spans="1:13" ht="23.25">
      <c r="A901" s="16" t="s">
        <v>74</v>
      </c>
      <c r="B901" s="22">
        <v>97000</v>
      </c>
      <c r="C901" s="8">
        <v>18</v>
      </c>
      <c r="D901" s="58">
        <v>45847</v>
      </c>
      <c r="E901" s="58">
        <v>142847</v>
      </c>
      <c r="F901" s="58">
        <v>5093</v>
      </c>
      <c r="G901" s="58">
        <v>5389</v>
      </c>
      <c r="H901" s="58">
        <v>2264</v>
      </c>
      <c r="I901" s="58">
        <v>7653</v>
      </c>
      <c r="K901" s="57"/>
      <c r="L901" s="68">
        <v>0.315</v>
      </c>
      <c r="M901" s="62">
        <v>3.5000000000000003E-2</v>
      </c>
    </row>
    <row r="902" spans="1:13" ht="23.25">
      <c r="A902" s="16" t="s">
        <v>74</v>
      </c>
      <c r="B902" s="22">
        <v>97000</v>
      </c>
      <c r="C902" s="10">
        <v>20</v>
      </c>
      <c r="D902" s="50">
        <v>50939</v>
      </c>
      <c r="E902" s="50">
        <v>147939</v>
      </c>
      <c r="F902" s="50">
        <v>5659</v>
      </c>
      <c r="G902" s="50">
        <v>4850</v>
      </c>
      <c r="H902" s="49">
        <v>2264</v>
      </c>
      <c r="I902" s="50">
        <v>7114</v>
      </c>
      <c r="K902" s="59"/>
      <c r="L902" s="68">
        <v>0.315</v>
      </c>
      <c r="M902" s="62">
        <v>3.5000000000000003E-2</v>
      </c>
    </row>
    <row r="903" spans="1:13" ht="23.25">
      <c r="A903" s="16" t="s">
        <v>74</v>
      </c>
      <c r="B903" s="22">
        <v>97000</v>
      </c>
      <c r="C903" s="8">
        <v>22</v>
      </c>
      <c r="D903" s="58">
        <v>56031</v>
      </c>
      <c r="E903" s="58">
        <v>153031</v>
      </c>
      <c r="F903" s="58">
        <v>6225</v>
      </c>
      <c r="G903" s="58">
        <v>4410</v>
      </c>
      <c r="H903" s="58">
        <v>2263</v>
      </c>
      <c r="I903" s="58">
        <v>6673</v>
      </c>
      <c r="K903" s="57"/>
      <c r="L903" s="68">
        <v>0.315</v>
      </c>
      <c r="M903" s="62">
        <v>3.5000000000000003E-2</v>
      </c>
    </row>
    <row r="904" spans="1:13" ht="23.25">
      <c r="A904" s="16" t="s">
        <v>74</v>
      </c>
      <c r="B904" s="22">
        <v>97000</v>
      </c>
      <c r="C904" s="10">
        <v>24</v>
      </c>
      <c r="D904" s="50">
        <v>61135</v>
      </c>
      <c r="E904" s="50">
        <v>158135</v>
      </c>
      <c r="F904" s="50">
        <v>6791</v>
      </c>
      <c r="G904" s="50">
        <v>4042</v>
      </c>
      <c r="H904" s="50">
        <v>2264</v>
      </c>
      <c r="I904" s="50">
        <v>6306</v>
      </c>
      <c r="K904" s="59"/>
      <c r="L904" s="68">
        <v>0.315</v>
      </c>
      <c r="M904" s="62">
        <v>3.5000000000000003E-2</v>
      </c>
    </row>
    <row r="905" spans="1:13" ht="23.25">
      <c r="A905" s="16" t="s">
        <v>74</v>
      </c>
      <c r="B905" s="22">
        <v>98000</v>
      </c>
      <c r="C905" s="8">
        <v>4</v>
      </c>
      <c r="D905" s="58">
        <v>10292</v>
      </c>
      <c r="E905" s="58">
        <v>108292</v>
      </c>
      <c r="F905" s="58">
        <v>1144</v>
      </c>
      <c r="G905" s="58">
        <v>24500</v>
      </c>
      <c r="H905" s="58">
        <v>2287</v>
      </c>
      <c r="I905" s="58">
        <v>26787</v>
      </c>
      <c r="K905" s="57"/>
      <c r="L905" s="68">
        <v>0.315</v>
      </c>
      <c r="M905" s="62">
        <v>3.5000000000000003E-2</v>
      </c>
    </row>
    <row r="906" spans="1:13" ht="23.25">
      <c r="A906" s="16" t="s">
        <v>74</v>
      </c>
      <c r="B906" s="22">
        <v>98000</v>
      </c>
      <c r="C906" s="10">
        <v>6</v>
      </c>
      <c r="D906" s="50">
        <v>15442</v>
      </c>
      <c r="E906" s="50">
        <v>113442</v>
      </c>
      <c r="F906" s="50">
        <v>1716</v>
      </c>
      <c r="G906" s="50">
        <v>16334</v>
      </c>
      <c r="H906" s="50">
        <v>2287</v>
      </c>
      <c r="I906" s="50">
        <v>18621</v>
      </c>
      <c r="K906" s="59"/>
      <c r="L906" s="68">
        <v>0.315</v>
      </c>
      <c r="M906" s="62">
        <v>3.5000000000000003E-2</v>
      </c>
    </row>
    <row r="907" spans="1:13" ht="23.25">
      <c r="A907" s="16" t="s">
        <v>74</v>
      </c>
      <c r="B907" s="22">
        <v>98000</v>
      </c>
      <c r="C907" s="8">
        <v>8</v>
      </c>
      <c r="D907" s="58">
        <v>20583</v>
      </c>
      <c r="E907" s="58">
        <v>118583</v>
      </c>
      <c r="F907" s="58">
        <v>2287</v>
      </c>
      <c r="G907" s="58">
        <v>12250</v>
      </c>
      <c r="H907" s="58">
        <v>2287</v>
      </c>
      <c r="I907" s="58">
        <v>14537</v>
      </c>
      <c r="K907" s="57"/>
      <c r="L907" s="68">
        <v>0.315</v>
      </c>
      <c r="M907" s="62">
        <v>3.5000000000000003E-2</v>
      </c>
    </row>
    <row r="908" spans="1:13" ht="23.25">
      <c r="A908" s="16" t="s">
        <v>74</v>
      </c>
      <c r="B908" s="22">
        <v>98000</v>
      </c>
      <c r="C908" s="9">
        <v>10</v>
      </c>
      <c r="D908" s="49">
        <v>25729</v>
      </c>
      <c r="E908" s="49">
        <v>123729</v>
      </c>
      <c r="F908" s="49">
        <v>2859</v>
      </c>
      <c r="G908" s="49">
        <v>9800</v>
      </c>
      <c r="H908" s="52">
        <v>2287</v>
      </c>
      <c r="I908" s="49">
        <v>12087</v>
      </c>
      <c r="K908" s="63"/>
      <c r="L908" s="68">
        <v>0.315</v>
      </c>
      <c r="M908" s="62">
        <v>3.5000000000000003E-2</v>
      </c>
    </row>
    <row r="909" spans="1:13" ht="23.25">
      <c r="A909" s="16" t="s">
        <v>74</v>
      </c>
      <c r="B909" s="22">
        <v>98000</v>
      </c>
      <c r="C909" s="8">
        <v>12</v>
      </c>
      <c r="D909" s="58">
        <v>30879</v>
      </c>
      <c r="E909" s="58">
        <v>128879</v>
      </c>
      <c r="F909" s="58">
        <v>3431</v>
      </c>
      <c r="G909" s="58">
        <v>8167</v>
      </c>
      <c r="H909" s="58">
        <v>2287</v>
      </c>
      <c r="I909" s="58">
        <v>10454</v>
      </c>
      <c r="K909" s="57"/>
      <c r="L909" s="68">
        <v>0.315</v>
      </c>
      <c r="M909" s="62">
        <v>3.5000000000000003E-2</v>
      </c>
    </row>
    <row r="910" spans="1:13" ht="24" thickBot="1">
      <c r="A910" s="20" t="s">
        <v>74</v>
      </c>
      <c r="B910" s="26">
        <v>98000</v>
      </c>
      <c r="C910" s="5">
        <v>14</v>
      </c>
      <c r="D910" s="64">
        <v>36020</v>
      </c>
      <c r="E910" s="64">
        <v>134020</v>
      </c>
      <c r="F910" s="64">
        <v>4002</v>
      </c>
      <c r="G910" s="64">
        <v>7000</v>
      </c>
      <c r="H910" s="64">
        <v>2287</v>
      </c>
      <c r="I910" s="64">
        <v>9287</v>
      </c>
      <c r="K910" s="65"/>
      <c r="L910" s="68">
        <v>0.315</v>
      </c>
      <c r="M910" s="62">
        <v>3.5000000000000003E-2</v>
      </c>
    </row>
    <row r="911" spans="1:13" ht="24" thickTop="1">
      <c r="A911" s="15" t="s">
        <v>74</v>
      </c>
      <c r="B911" s="21">
        <v>98000</v>
      </c>
      <c r="C911" s="6">
        <v>16</v>
      </c>
      <c r="D911" s="37">
        <v>41166</v>
      </c>
      <c r="E911" s="37">
        <v>139166</v>
      </c>
      <c r="F911" s="37">
        <v>4574</v>
      </c>
      <c r="G911" s="37">
        <v>6125</v>
      </c>
      <c r="H911" s="37">
        <v>2287</v>
      </c>
      <c r="I911" s="37">
        <v>8412</v>
      </c>
      <c r="K911" s="6"/>
      <c r="L911" s="68">
        <v>0.315</v>
      </c>
      <c r="M911" s="62">
        <v>3.5000000000000003E-2</v>
      </c>
    </row>
    <row r="912" spans="1:13" ht="23.25">
      <c r="A912" s="16" t="s">
        <v>74</v>
      </c>
      <c r="B912" s="22">
        <v>98000</v>
      </c>
      <c r="C912" s="8">
        <v>18</v>
      </c>
      <c r="D912" s="58">
        <v>46322</v>
      </c>
      <c r="E912" s="58">
        <v>144322</v>
      </c>
      <c r="F912" s="58">
        <v>5146</v>
      </c>
      <c r="G912" s="58">
        <v>5445</v>
      </c>
      <c r="H912" s="58">
        <v>2287</v>
      </c>
      <c r="I912" s="58">
        <v>7732</v>
      </c>
      <c r="K912" s="57"/>
      <c r="L912" s="68">
        <v>0.315</v>
      </c>
      <c r="M912" s="62">
        <v>3.5000000000000003E-2</v>
      </c>
    </row>
    <row r="913" spans="1:13" ht="23.25">
      <c r="A913" s="16" t="s">
        <v>74</v>
      </c>
      <c r="B913" s="22">
        <v>98000</v>
      </c>
      <c r="C913" s="10">
        <v>20</v>
      </c>
      <c r="D913" s="50">
        <v>51457</v>
      </c>
      <c r="E913" s="50">
        <v>149457</v>
      </c>
      <c r="F913" s="50">
        <v>5717</v>
      </c>
      <c r="G913" s="50">
        <v>4900</v>
      </c>
      <c r="H913" s="49">
        <v>2287</v>
      </c>
      <c r="I913" s="50">
        <v>7187</v>
      </c>
      <c r="K913" s="59"/>
      <c r="L913" s="68">
        <v>0.315</v>
      </c>
      <c r="M913" s="62">
        <v>3.5000000000000003E-2</v>
      </c>
    </row>
    <row r="914" spans="1:13" ht="23.25">
      <c r="A914" s="16" t="s">
        <v>74</v>
      </c>
      <c r="B914" s="22">
        <v>98000</v>
      </c>
      <c r="C914" s="8">
        <v>22</v>
      </c>
      <c r="D914" s="58">
        <v>56613</v>
      </c>
      <c r="E914" s="58">
        <v>154613</v>
      </c>
      <c r="F914" s="58">
        <v>6289</v>
      </c>
      <c r="G914" s="58">
        <v>4455</v>
      </c>
      <c r="H914" s="58">
        <v>2287</v>
      </c>
      <c r="I914" s="58">
        <v>6742</v>
      </c>
      <c r="K914" s="57"/>
      <c r="L914" s="68">
        <v>0.315</v>
      </c>
      <c r="M914" s="62">
        <v>3.5000000000000003E-2</v>
      </c>
    </row>
    <row r="915" spans="1:13" ht="23.25">
      <c r="A915" s="16" t="s">
        <v>74</v>
      </c>
      <c r="B915" s="22">
        <v>98000</v>
      </c>
      <c r="C915" s="10">
        <v>24</v>
      </c>
      <c r="D915" s="50">
        <v>61765</v>
      </c>
      <c r="E915" s="50">
        <v>159765</v>
      </c>
      <c r="F915" s="50">
        <v>6861</v>
      </c>
      <c r="G915" s="50">
        <v>4084</v>
      </c>
      <c r="H915" s="50">
        <v>2287</v>
      </c>
      <c r="I915" s="50">
        <v>6371</v>
      </c>
      <c r="K915" s="59"/>
      <c r="L915" s="68">
        <v>0.315</v>
      </c>
      <c r="M915" s="62">
        <v>3.5000000000000003E-2</v>
      </c>
    </row>
    <row r="916" spans="1:13" ht="23.25">
      <c r="A916" s="16" t="s">
        <v>74</v>
      </c>
      <c r="B916" s="22">
        <v>99000</v>
      </c>
      <c r="C916" s="8">
        <v>4</v>
      </c>
      <c r="D916" s="58">
        <v>10400</v>
      </c>
      <c r="E916" s="58">
        <v>109400</v>
      </c>
      <c r="F916" s="58">
        <v>1156</v>
      </c>
      <c r="G916" s="58">
        <v>24750</v>
      </c>
      <c r="H916" s="58">
        <v>2311</v>
      </c>
      <c r="I916" s="58">
        <v>27061</v>
      </c>
      <c r="K916" s="57"/>
      <c r="L916" s="68">
        <v>0.315</v>
      </c>
      <c r="M916" s="62">
        <v>3.5000000000000003E-2</v>
      </c>
    </row>
    <row r="917" spans="1:13" ht="23.25">
      <c r="A917" s="16" t="s">
        <v>74</v>
      </c>
      <c r="B917" s="22">
        <v>99000</v>
      </c>
      <c r="C917" s="10">
        <v>6</v>
      </c>
      <c r="D917" s="50">
        <v>15599</v>
      </c>
      <c r="E917" s="50">
        <v>114599</v>
      </c>
      <c r="F917" s="50">
        <v>1733</v>
      </c>
      <c r="G917" s="50">
        <v>16500</v>
      </c>
      <c r="H917" s="50">
        <v>2311</v>
      </c>
      <c r="I917" s="50">
        <v>18811</v>
      </c>
      <c r="K917" s="59"/>
      <c r="L917" s="68">
        <v>0.315</v>
      </c>
      <c r="M917" s="62">
        <v>3.5000000000000003E-2</v>
      </c>
    </row>
    <row r="918" spans="1:13" ht="23.25">
      <c r="A918" s="16" t="s">
        <v>74</v>
      </c>
      <c r="B918" s="22">
        <v>99000</v>
      </c>
      <c r="C918" s="8">
        <v>8</v>
      </c>
      <c r="D918" s="58">
        <v>20799</v>
      </c>
      <c r="E918" s="58">
        <v>119799</v>
      </c>
      <c r="F918" s="58">
        <v>2311</v>
      </c>
      <c r="G918" s="58">
        <v>12375</v>
      </c>
      <c r="H918" s="58">
        <v>2311</v>
      </c>
      <c r="I918" s="58">
        <v>14686</v>
      </c>
      <c r="K918" s="57"/>
      <c r="L918" s="68">
        <v>0.315</v>
      </c>
      <c r="M918" s="62">
        <v>3.5000000000000003E-2</v>
      </c>
    </row>
    <row r="919" spans="1:13" ht="23.25">
      <c r="A919" s="16" t="s">
        <v>74</v>
      </c>
      <c r="B919" s="22">
        <v>99000</v>
      </c>
      <c r="C919" s="9">
        <v>10</v>
      </c>
      <c r="D919" s="49">
        <v>25998</v>
      </c>
      <c r="E919" s="49">
        <v>124998</v>
      </c>
      <c r="F919" s="49">
        <v>2888</v>
      </c>
      <c r="G919" s="49">
        <v>9900</v>
      </c>
      <c r="H919" s="52">
        <v>2311</v>
      </c>
      <c r="I919" s="49">
        <v>12211</v>
      </c>
      <c r="K919" s="63"/>
      <c r="L919" s="68">
        <v>0.315</v>
      </c>
      <c r="M919" s="62">
        <v>3.5000000000000003E-2</v>
      </c>
    </row>
    <row r="920" spans="1:13" ht="23.25">
      <c r="A920" s="16" t="s">
        <v>74</v>
      </c>
      <c r="B920" s="22">
        <v>99000</v>
      </c>
      <c r="C920" s="8">
        <v>12</v>
      </c>
      <c r="D920" s="58">
        <v>31198</v>
      </c>
      <c r="E920" s="58">
        <v>130198</v>
      </c>
      <c r="F920" s="58">
        <v>3466</v>
      </c>
      <c r="G920" s="58">
        <v>8250</v>
      </c>
      <c r="H920" s="58">
        <v>2311</v>
      </c>
      <c r="I920" s="58">
        <v>10561</v>
      </c>
      <c r="K920" s="57"/>
      <c r="L920" s="68">
        <v>0.315</v>
      </c>
      <c r="M920" s="62">
        <v>3.5000000000000003E-2</v>
      </c>
    </row>
    <row r="921" spans="1:13" ht="24" thickBot="1">
      <c r="A921" s="20" t="s">
        <v>74</v>
      </c>
      <c r="B921" s="26">
        <v>99000</v>
      </c>
      <c r="C921" s="5">
        <v>14</v>
      </c>
      <c r="D921" s="64">
        <v>36391</v>
      </c>
      <c r="E921" s="64">
        <v>135391</v>
      </c>
      <c r="F921" s="64">
        <v>4043</v>
      </c>
      <c r="G921" s="64">
        <v>7072</v>
      </c>
      <c r="H921" s="49">
        <v>2310</v>
      </c>
      <c r="I921" s="64">
        <v>9382</v>
      </c>
      <c r="K921" s="65"/>
      <c r="L921" s="68">
        <v>0.315</v>
      </c>
      <c r="M921" s="62">
        <v>3.5000000000000003E-2</v>
      </c>
    </row>
    <row r="922" spans="1:13" ht="24" thickTop="1">
      <c r="A922" s="17" t="s">
        <v>74</v>
      </c>
      <c r="B922" s="23">
        <v>99000</v>
      </c>
      <c r="C922" s="11">
        <v>16</v>
      </c>
      <c r="D922" s="31">
        <v>41589</v>
      </c>
      <c r="E922" s="31">
        <v>140589</v>
      </c>
      <c r="F922" s="31">
        <v>4621</v>
      </c>
      <c r="G922" s="31">
        <v>6188</v>
      </c>
      <c r="H922" s="31">
        <v>2310</v>
      </c>
      <c r="I922" s="31">
        <v>8498</v>
      </c>
      <c r="K922" s="11"/>
      <c r="L922" s="68">
        <v>0.315</v>
      </c>
      <c r="M922" s="62">
        <v>3.5000000000000003E-2</v>
      </c>
    </row>
    <row r="923" spans="1:13" ht="23.25">
      <c r="A923" s="18" t="s">
        <v>74</v>
      </c>
      <c r="B923" s="24">
        <v>99000</v>
      </c>
      <c r="C923" s="9">
        <v>18</v>
      </c>
      <c r="D923" s="49">
        <v>46796</v>
      </c>
      <c r="E923" s="49">
        <v>145796</v>
      </c>
      <c r="F923" s="49">
        <v>5198</v>
      </c>
      <c r="G923" s="49">
        <v>5500</v>
      </c>
      <c r="H923" s="49">
        <v>2311</v>
      </c>
      <c r="I923" s="49">
        <v>7811</v>
      </c>
      <c r="K923" s="63"/>
      <c r="L923" s="68">
        <v>0.315</v>
      </c>
      <c r="M923" s="62">
        <v>3.5000000000000003E-2</v>
      </c>
    </row>
    <row r="924" spans="1:13" ht="23.25">
      <c r="A924" s="18" t="s">
        <v>74</v>
      </c>
      <c r="B924" s="24">
        <v>99000</v>
      </c>
      <c r="C924" s="8">
        <v>20</v>
      </c>
      <c r="D924" s="58">
        <v>51996</v>
      </c>
      <c r="E924" s="58">
        <v>150996</v>
      </c>
      <c r="F924" s="58">
        <v>5776</v>
      </c>
      <c r="G924" s="58">
        <v>4950</v>
      </c>
      <c r="H924" s="58">
        <v>2311</v>
      </c>
      <c r="I924" s="58">
        <v>7261</v>
      </c>
      <c r="K924" s="57"/>
      <c r="L924" s="68">
        <v>0.315</v>
      </c>
      <c r="M924" s="62">
        <v>3.5000000000000003E-2</v>
      </c>
    </row>
    <row r="925" spans="1:13" ht="23.25">
      <c r="A925" s="18" t="s">
        <v>74</v>
      </c>
      <c r="B925" s="24">
        <v>99000</v>
      </c>
      <c r="C925" s="10">
        <v>22</v>
      </c>
      <c r="D925" s="50">
        <v>57195</v>
      </c>
      <c r="E925" s="50">
        <v>156195</v>
      </c>
      <c r="F925" s="50">
        <v>6353</v>
      </c>
      <c r="G925" s="50">
        <v>4500</v>
      </c>
      <c r="H925" s="50">
        <v>2311</v>
      </c>
      <c r="I925" s="50">
        <v>6811</v>
      </c>
      <c r="K925" s="59"/>
      <c r="L925" s="68">
        <v>0.315</v>
      </c>
      <c r="M925" s="62">
        <v>3.5000000000000003E-2</v>
      </c>
    </row>
    <row r="926" spans="1:13" ht="23.25">
      <c r="A926" s="18" t="s">
        <v>74</v>
      </c>
      <c r="B926" s="24">
        <v>99000</v>
      </c>
      <c r="C926" s="8">
        <v>24</v>
      </c>
      <c r="D926" s="58">
        <v>62395</v>
      </c>
      <c r="E926" s="58">
        <v>161395</v>
      </c>
      <c r="F926" s="58">
        <v>6931</v>
      </c>
      <c r="G926" s="58">
        <v>4125</v>
      </c>
      <c r="H926" s="58">
        <v>2311</v>
      </c>
      <c r="I926" s="58">
        <v>6436</v>
      </c>
      <c r="K926" s="57"/>
      <c r="L926" s="68">
        <v>0.315</v>
      </c>
      <c r="M926" s="62">
        <v>3.5000000000000003E-2</v>
      </c>
    </row>
    <row r="927" spans="1:13" ht="23.25">
      <c r="A927" s="18" t="s">
        <v>74</v>
      </c>
      <c r="B927" s="24">
        <v>100000</v>
      </c>
      <c r="C927" s="10">
        <v>4</v>
      </c>
      <c r="D927" s="50">
        <v>10503</v>
      </c>
      <c r="E927" s="50">
        <v>110503</v>
      </c>
      <c r="F927" s="50">
        <v>1167</v>
      </c>
      <c r="G927" s="50">
        <v>25000</v>
      </c>
      <c r="H927" s="50">
        <v>2334</v>
      </c>
      <c r="I927" s="50">
        <v>27334</v>
      </c>
      <c r="K927" s="59"/>
      <c r="L927" s="68">
        <v>0.315</v>
      </c>
      <c r="M927" s="62">
        <v>3.5000000000000003E-2</v>
      </c>
    </row>
    <row r="928" spans="1:13" ht="23.25">
      <c r="A928" s="18" t="s">
        <v>74</v>
      </c>
      <c r="B928" s="24">
        <v>100000</v>
      </c>
      <c r="C928" s="8">
        <v>6</v>
      </c>
      <c r="D928" s="58">
        <v>15757</v>
      </c>
      <c r="E928" s="58">
        <v>115757</v>
      </c>
      <c r="F928" s="58">
        <v>1751</v>
      </c>
      <c r="G928" s="58">
        <v>16667</v>
      </c>
      <c r="H928" s="58">
        <v>2334</v>
      </c>
      <c r="I928" s="58">
        <v>19001</v>
      </c>
      <c r="K928" s="57"/>
      <c r="L928" s="68">
        <v>0.315</v>
      </c>
      <c r="M928" s="62">
        <v>3.5000000000000003E-2</v>
      </c>
    </row>
    <row r="929" spans="1:13" ht="23.25">
      <c r="A929" s="18" t="s">
        <v>74</v>
      </c>
      <c r="B929" s="24">
        <v>100000</v>
      </c>
      <c r="C929" s="10">
        <v>8</v>
      </c>
      <c r="D929" s="50">
        <v>21006</v>
      </c>
      <c r="E929" s="50">
        <v>121006</v>
      </c>
      <c r="F929" s="50">
        <v>2334</v>
      </c>
      <c r="G929" s="50">
        <v>12500</v>
      </c>
      <c r="H929" s="52">
        <v>2334</v>
      </c>
      <c r="I929" s="50">
        <v>14834</v>
      </c>
      <c r="K929" s="59"/>
      <c r="L929" s="68">
        <v>0.315</v>
      </c>
      <c r="M929" s="62">
        <v>3.5000000000000003E-2</v>
      </c>
    </row>
    <row r="930" spans="1:13" ht="23.25">
      <c r="A930" s="18" t="s">
        <v>74</v>
      </c>
      <c r="B930" s="24">
        <v>100000</v>
      </c>
      <c r="C930" s="8">
        <v>10</v>
      </c>
      <c r="D930" s="58">
        <v>26257</v>
      </c>
      <c r="E930" s="58">
        <v>126257</v>
      </c>
      <c r="F930" s="58">
        <v>2917</v>
      </c>
      <c r="G930" s="58">
        <v>10000</v>
      </c>
      <c r="H930" s="58">
        <v>2334</v>
      </c>
      <c r="I930" s="58">
        <v>12334</v>
      </c>
      <c r="K930" s="57"/>
      <c r="L930" s="68">
        <v>0.315</v>
      </c>
      <c r="M930" s="62">
        <v>3.5000000000000003E-2</v>
      </c>
    </row>
    <row r="931" spans="1:13" ht="23.25">
      <c r="A931" s="18" t="s">
        <v>74</v>
      </c>
      <c r="B931" s="24">
        <v>100000</v>
      </c>
      <c r="C931" s="9">
        <v>12</v>
      </c>
      <c r="D931" s="49">
        <v>31505</v>
      </c>
      <c r="E931" s="49">
        <v>131505</v>
      </c>
      <c r="F931" s="49">
        <v>3501</v>
      </c>
      <c r="G931" s="49">
        <v>8334</v>
      </c>
      <c r="H931" s="49">
        <v>2333</v>
      </c>
      <c r="I931" s="49">
        <v>10667</v>
      </c>
      <c r="K931" s="63"/>
      <c r="L931" s="68">
        <v>0.315</v>
      </c>
      <c r="M931" s="62">
        <v>3.5000000000000003E-2</v>
      </c>
    </row>
    <row r="932" spans="1:13" ht="24" thickBot="1">
      <c r="A932" s="19" t="s">
        <v>74</v>
      </c>
      <c r="B932" s="25">
        <v>100000</v>
      </c>
      <c r="C932" s="4">
        <v>14</v>
      </c>
      <c r="D932" s="66">
        <v>36762</v>
      </c>
      <c r="E932" s="66">
        <v>136762</v>
      </c>
      <c r="F932" s="66">
        <v>4084</v>
      </c>
      <c r="G932" s="66">
        <v>7143</v>
      </c>
      <c r="H932" s="58">
        <v>2334</v>
      </c>
      <c r="I932" s="66">
        <v>9477</v>
      </c>
      <c r="K932" s="67"/>
      <c r="L932" s="68">
        <v>0.315</v>
      </c>
      <c r="M932" s="62">
        <v>3.5000000000000003E-2</v>
      </c>
    </row>
    <row r="933" spans="1:13" ht="24" thickTop="1">
      <c r="A933" s="15" t="s">
        <v>74</v>
      </c>
      <c r="B933" s="21">
        <v>100000</v>
      </c>
      <c r="C933" s="6">
        <v>16</v>
      </c>
      <c r="D933" s="37">
        <v>42011</v>
      </c>
      <c r="E933" s="37">
        <v>142011</v>
      </c>
      <c r="F933" s="37">
        <v>4667</v>
      </c>
      <c r="G933" s="37">
        <v>6250</v>
      </c>
      <c r="H933" s="37">
        <v>2334</v>
      </c>
      <c r="I933" s="37">
        <v>8584</v>
      </c>
      <c r="K933" s="6"/>
      <c r="L933" s="68">
        <v>0.315</v>
      </c>
      <c r="M933" s="62">
        <v>3.5000000000000003E-2</v>
      </c>
    </row>
    <row r="934" spans="1:13" ht="23.25">
      <c r="A934" s="16" t="s">
        <v>74</v>
      </c>
      <c r="B934" s="22">
        <v>100000</v>
      </c>
      <c r="C934" s="8">
        <v>18</v>
      </c>
      <c r="D934" s="58">
        <v>47253</v>
      </c>
      <c r="E934" s="58">
        <v>147253</v>
      </c>
      <c r="F934" s="58">
        <v>5251</v>
      </c>
      <c r="G934" s="58">
        <v>5556</v>
      </c>
      <c r="H934" s="58">
        <v>2333</v>
      </c>
      <c r="I934" s="58">
        <v>7889</v>
      </c>
      <c r="K934" s="57"/>
      <c r="L934" s="68">
        <v>0.315</v>
      </c>
      <c r="M934" s="62">
        <v>3.5000000000000003E-2</v>
      </c>
    </row>
    <row r="935" spans="1:13" ht="23.25">
      <c r="A935" s="16" t="s">
        <v>74</v>
      </c>
      <c r="B935" s="22">
        <v>100000</v>
      </c>
      <c r="C935" s="10">
        <v>20</v>
      </c>
      <c r="D935" s="50">
        <v>52514</v>
      </c>
      <c r="E935" s="50">
        <v>152514</v>
      </c>
      <c r="F935" s="50">
        <v>5834</v>
      </c>
      <c r="G935" s="50">
        <v>5000</v>
      </c>
      <c r="H935" s="49">
        <v>2334</v>
      </c>
      <c r="I935" s="50">
        <v>7334</v>
      </c>
      <c r="K935" s="59"/>
      <c r="L935" s="68">
        <v>0.315</v>
      </c>
      <c r="M935" s="62">
        <v>3.5000000000000003E-2</v>
      </c>
    </row>
    <row r="936" spans="1:13" ht="23.25">
      <c r="A936" s="16" t="s">
        <v>74</v>
      </c>
      <c r="B936" s="22">
        <v>100000</v>
      </c>
      <c r="C936" s="8">
        <v>22</v>
      </c>
      <c r="D936" s="58">
        <v>57755</v>
      </c>
      <c r="E936" s="58">
        <v>157755</v>
      </c>
      <c r="F936" s="58">
        <v>6417</v>
      </c>
      <c r="G936" s="58">
        <v>4546</v>
      </c>
      <c r="H936" s="58">
        <v>2333</v>
      </c>
      <c r="I936" s="58">
        <v>6879</v>
      </c>
      <c r="K936" s="57"/>
      <c r="L936" s="68">
        <v>0.315</v>
      </c>
      <c r="M936" s="62">
        <v>3.5000000000000003E-2</v>
      </c>
    </row>
    <row r="937" spans="1:13" ht="23.25">
      <c r="A937" s="16" t="s">
        <v>74</v>
      </c>
      <c r="B937" s="22">
        <v>100000</v>
      </c>
      <c r="C937" s="10">
        <v>24</v>
      </c>
      <c r="D937" s="50">
        <v>63025</v>
      </c>
      <c r="E937" s="50">
        <v>163025</v>
      </c>
      <c r="F937" s="50">
        <v>7001</v>
      </c>
      <c r="G937" s="50">
        <v>4167</v>
      </c>
      <c r="H937" s="50">
        <v>2334</v>
      </c>
      <c r="I937" s="50">
        <v>6501</v>
      </c>
      <c r="K937" s="59"/>
      <c r="L937" s="68">
        <v>0.315</v>
      </c>
      <c r="M937" s="62">
        <v>3.5000000000000003E-2</v>
      </c>
    </row>
    <row r="938" spans="1:13" ht="23.25">
      <c r="A938" s="16" t="s">
        <v>74</v>
      </c>
      <c r="B938" s="22">
        <v>101000</v>
      </c>
      <c r="C938" s="8">
        <v>4</v>
      </c>
      <c r="D938" s="34">
        <v>10607</v>
      </c>
      <c r="E938" s="34">
        <v>111607</v>
      </c>
      <c r="F938" s="34">
        <v>1179</v>
      </c>
      <c r="G938" s="34">
        <v>25250</v>
      </c>
      <c r="H938" s="34">
        <v>2357</v>
      </c>
      <c r="I938" s="34">
        <v>27607</v>
      </c>
      <c r="K938" s="8"/>
      <c r="L938" s="68">
        <v>0.315</v>
      </c>
      <c r="M938" s="62">
        <v>3.5000000000000003E-2</v>
      </c>
    </row>
    <row r="939" spans="1:13" ht="23.25">
      <c r="A939" s="16" t="s">
        <v>74</v>
      </c>
      <c r="B939" s="22">
        <v>101000</v>
      </c>
      <c r="C939" s="10">
        <v>6</v>
      </c>
      <c r="D939" s="35">
        <v>15914</v>
      </c>
      <c r="E939" s="35">
        <v>116914</v>
      </c>
      <c r="F939" s="35">
        <v>1768</v>
      </c>
      <c r="G939" s="35">
        <v>16834</v>
      </c>
      <c r="H939" s="35">
        <v>2357</v>
      </c>
      <c r="I939" s="35">
        <v>19191</v>
      </c>
      <c r="K939" s="10"/>
      <c r="L939" s="68">
        <v>0.315</v>
      </c>
      <c r="M939" s="62">
        <v>3.5000000000000003E-2</v>
      </c>
    </row>
    <row r="940" spans="1:13" ht="23.25">
      <c r="A940" s="16" t="s">
        <v>74</v>
      </c>
      <c r="B940" s="22">
        <v>101000</v>
      </c>
      <c r="C940" s="8">
        <v>8</v>
      </c>
      <c r="D940" s="34">
        <v>21213</v>
      </c>
      <c r="E940" s="34">
        <v>122213</v>
      </c>
      <c r="F940" s="34">
        <v>2357</v>
      </c>
      <c r="G940" s="34">
        <v>12625</v>
      </c>
      <c r="H940" s="34">
        <v>2357</v>
      </c>
      <c r="I940" s="34">
        <v>14982</v>
      </c>
      <c r="K940" s="8"/>
      <c r="L940" s="68">
        <v>0.315</v>
      </c>
      <c r="M940" s="62">
        <v>3.5000000000000003E-2</v>
      </c>
    </row>
    <row r="941" spans="1:13" ht="23.25">
      <c r="A941" s="16" t="s">
        <v>74</v>
      </c>
      <c r="B941" s="22">
        <v>101000</v>
      </c>
      <c r="C941" s="9">
        <v>10</v>
      </c>
      <c r="D941" s="33">
        <v>26516</v>
      </c>
      <c r="E941" s="33">
        <v>127516</v>
      </c>
      <c r="F941" s="33">
        <v>2946</v>
      </c>
      <c r="G941" s="33">
        <v>10100</v>
      </c>
      <c r="H941" s="36">
        <v>2357</v>
      </c>
      <c r="I941" s="33">
        <v>12457</v>
      </c>
      <c r="K941" s="9"/>
      <c r="L941" s="68">
        <v>0.315</v>
      </c>
      <c r="M941" s="62">
        <v>3.5000000000000003E-2</v>
      </c>
    </row>
    <row r="942" spans="1:13" ht="23.25">
      <c r="A942" s="16" t="s">
        <v>74</v>
      </c>
      <c r="B942" s="22">
        <v>101000</v>
      </c>
      <c r="C942" s="8">
        <v>12</v>
      </c>
      <c r="D942" s="34">
        <v>31824</v>
      </c>
      <c r="E942" s="34">
        <v>132824</v>
      </c>
      <c r="F942" s="34">
        <v>3536</v>
      </c>
      <c r="G942" s="34">
        <v>8417</v>
      </c>
      <c r="H942" s="34">
        <v>2357</v>
      </c>
      <c r="I942" s="34">
        <v>10774</v>
      </c>
      <c r="K942" s="8"/>
      <c r="L942" s="68">
        <v>0.315</v>
      </c>
      <c r="M942" s="62">
        <v>3.5000000000000003E-2</v>
      </c>
    </row>
    <row r="943" spans="1:13" ht="24" thickBot="1">
      <c r="A943" s="20" t="s">
        <v>74</v>
      </c>
      <c r="B943" s="26">
        <v>101000</v>
      </c>
      <c r="C943" s="5">
        <v>14</v>
      </c>
      <c r="D943" s="38">
        <v>37119</v>
      </c>
      <c r="E943" s="38">
        <v>138119</v>
      </c>
      <c r="F943" s="38">
        <v>4125</v>
      </c>
      <c r="G943" s="38">
        <v>7215</v>
      </c>
      <c r="H943" s="38">
        <v>2356</v>
      </c>
      <c r="I943" s="38">
        <v>9571</v>
      </c>
      <c r="K943" s="5"/>
      <c r="L943" s="68">
        <v>0.315</v>
      </c>
      <c r="M943" s="62">
        <v>3.5000000000000003E-2</v>
      </c>
    </row>
    <row r="944" spans="1:13" ht="18.75" thickTop="1">
      <c r="A944" s="14" t="s">
        <v>74</v>
      </c>
      <c r="B944" s="27">
        <v>101000</v>
      </c>
      <c r="C944" s="7">
        <v>16</v>
      </c>
      <c r="D944" s="27">
        <v>42434</v>
      </c>
      <c r="E944" s="27">
        <v>143434</v>
      </c>
      <c r="F944" s="27">
        <v>4714</v>
      </c>
      <c r="G944" s="27">
        <v>6313</v>
      </c>
      <c r="H944" s="27">
        <v>2357</v>
      </c>
      <c r="I944" s="27">
        <v>8670</v>
      </c>
      <c r="L944" s="68">
        <v>0.315</v>
      </c>
      <c r="M944" s="62">
        <v>3.5000000000000003E-2</v>
      </c>
    </row>
    <row r="945" spans="1:13">
      <c r="A945" s="14" t="s">
        <v>74</v>
      </c>
      <c r="B945" s="27">
        <v>101000</v>
      </c>
      <c r="C945" s="7">
        <v>18</v>
      </c>
      <c r="D945" s="27">
        <v>47727</v>
      </c>
      <c r="E945" s="27">
        <v>148727</v>
      </c>
      <c r="F945" s="27">
        <v>5303</v>
      </c>
      <c r="G945" s="27">
        <v>5612</v>
      </c>
      <c r="H945" s="27">
        <v>2356</v>
      </c>
      <c r="I945" s="27">
        <v>7968</v>
      </c>
      <c r="L945" s="68">
        <v>0.315</v>
      </c>
      <c r="M945" s="62">
        <v>3.5000000000000003E-2</v>
      </c>
    </row>
    <row r="946" spans="1:13">
      <c r="A946" s="14" t="s">
        <v>74</v>
      </c>
      <c r="B946" s="27">
        <v>101000</v>
      </c>
      <c r="C946" s="7">
        <v>20</v>
      </c>
      <c r="D946" s="27">
        <v>53032</v>
      </c>
      <c r="E946" s="27">
        <v>154032</v>
      </c>
      <c r="F946" s="27">
        <v>5892</v>
      </c>
      <c r="G946" s="27">
        <v>5050</v>
      </c>
      <c r="H946" s="27">
        <v>2357</v>
      </c>
      <c r="I946" s="27">
        <v>7407</v>
      </c>
      <c r="L946" s="68">
        <v>0.315</v>
      </c>
      <c r="M946" s="62">
        <v>3.5000000000000003E-2</v>
      </c>
    </row>
    <row r="947" spans="1:13">
      <c r="A947" s="14" t="s">
        <v>74</v>
      </c>
      <c r="B947" s="27">
        <v>101000</v>
      </c>
      <c r="C947" s="7">
        <v>22</v>
      </c>
      <c r="D947" s="27">
        <v>58337</v>
      </c>
      <c r="E947" s="27">
        <v>159337</v>
      </c>
      <c r="F947" s="27">
        <v>6481</v>
      </c>
      <c r="G947" s="27">
        <v>4591</v>
      </c>
      <c r="H947" s="27">
        <v>2357</v>
      </c>
      <c r="I947" s="27">
        <v>6948</v>
      </c>
      <c r="L947" s="68">
        <v>0.315</v>
      </c>
      <c r="M947" s="62">
        <v>3.5000000000000003E-2</v>
      </c>
    </row>
    <row r="948" spans="1:13">
      <c r="A948" s="14" t="s">
        <v>74</v>
      </c>
      <c r="B948" s="27">
        <v>101000</v>
      </c>
      <c r="C948" s="7">
        <v>24</v>
      </c>
      <c r="D948" s="27">
        <v>63655</v>
      </c>
      <c r="E948" s="27">
        <v>164655</v>
      </c>
      <c r="F948" s="27">
        <v>7071</v>
      </c>
      <c r="G948" s="27">
        <v>4209</v>
      </c>
      <c r="H948" s="27">
        <v>2357</v>
      </c>
      <c r="I948" s="27">
        <v>6566</v>
      </c>
      <c r="L948" s="68">
        <v>0.315</v>
      </c>
      <c r="M948" s="62">
        <v>3.5000000000000003E-2</v>
      </c>
    </row>
    <row r="949" spans="1:13">
      <c r="A949" s="14" t="s">
        <v>74</v>
      </c>
      <c r="B949" s="27">
        <v>102000</v>
      </c>
      <c r="C949" s="7">
        <v>4</v>
      </c>
      <c r="D949" s="27">
        <v>10715</v>
      </c>
      <c r="E949" s="27">
        <v>112715</v>
      </c>
      <c r="F949" s="27">
        <v>1191</v>
      </c>
      <c r="G949" s="27">
        <v>25500</v>
      </c>
      <c r="H949" s="27">
        <v>2381</v>
      </c>
      <c r="I949" s="27">
        <v>27881</v>
      </c>
      <c r="L949" s="68">
        <v>0.315</v>
      </c>
      <c r="M949" s="62">
        <v>3.5000000000000003E-2</v>
      </c>
    </row>
    <row r="950" spans="1:13">
      <c r="A950" s="14" t="s">
        <v>74</v>
      </c>
      <c r="B950" s="27">
        <v>102000</v>
      </c>
      <c r="C950" s="7">
        <v>6</v>
      </c>
      <c r="D950" s="27">
        <v>16072</v>
      </c>
      <c r="E950" s="27">
        <v>118072</v>
      </c>
      <c r="F950" s="27">
        <v>1786</v>
      </c>
      <c r="G950" s="27">
        <v>17000</v>
      </c>
      <c r="H950" s="27">
        <v>2381</v>
      </c>
      <c r="I950" s="27">
        <v>19381</v>
      </c>
      <c r="L950" s="68">
        <v>0.315</v>
      </c>
      <c r="M950" s="62">
        <v>3.5000000000000003E-2</v>
      </c>
    </row>
    <row r="951" spans="1:13">
      <c r="A951" s="14" t="s">
        <v>74</v>
      </c>
      <c r="B951" s="27">
        <v>102000</v>
      </c>
      <c r="C951" s="7">
        <v>8</v>
      </c>
      <c r="D951" s="27">
        <v>21429</v>
      </c>
      <c r="E951" s="27">
        <v>123429</v>
      </c>
      <c r="F951" s="27">
        <v>2381</v>
      </c>
      <c r="G951" s="27">
        <v>12750</v>
      </c>
      <c r="H951" s="27">
        <v>2381</v>
      </c>
      <c r="I951" s="27">
        <v>15131</v>
      </c>
      <c r="L951" s="68">
        <v>0.315</v>
      </c>
      <c r="M951" s="62">
        <v>3.5000000000000003E-2</v>
      </c>
    </row>
    <row r="952" spans="1:13">
      <c r="A952" s="14" t="s">
        <v>74</v>
      </c>
      <c r="B952" s="27">
        <v>102000</v>
      </c>
      <c r="C952" s="7">
        <v>10</v>
      </c>
      <c r="D952" s="27">
        <v>26786</v>
      </c>
      <c r="E952" s="27">
        <v>128786</v>
      </c>
      <c r="F952" s="27">
        <v>2976</v>
      </c>
      <c r="G952" s="27">
        <v>10200</v>
      </c>
      <c r="H952" s="27">
        <v>2381</v>
      </c>
      <c r="I952" s="27">
        <v>12581</v>
      </c>
      <c r="L952" s="68">
        <v>0.315</v>
      </c>
      <c r="M952" s="62">
        <v>3.5000000000000003E-2</v>
      </c>
    </row>
    <row r="953" spans="1:13">
      <c r="A953" s="14" t="s">
        <v>74</v>
      </c>
      <c r="B953" s="27">
        <v>102000</v>
      </c>
      <c r="C953" s="7">
        <v>12</v>
      </c>
      <c r="D953" s="27">
        <v>32143</v>
      </c>
      <c r="E953" s="27">
        <v>134143</v>
      </c>
      <c r="F953" s="27">
        <v>3571</v>
      </c>
      <c r="G953" s="27">
        <v>8500</v>
      </c>
      <c r="H953" s="27">
        <v>2381</v>
      </c>
      <c r="I953" s="27">
        <v>10881</v>
      </c>
      <c r="L953" s="68">
        <v>0.315</v>
      </c>
      <c r="M953" s="62">
        <v>3.5000000000000003E-2</v>
      </c>
    </row>
    <row r="954" spans="1:13">
      <c r="A954" s="14" t="s">
        <v>74</v>
      </c>
      <c r="B954" s="27">
        <v>102000</v>
      </c>
      <c r="C954" s="7">
        <v>14</v>
      </c>
      <c r="D954" s="27">
        <v>37490</v>
      </c>
      <c r="E954" s="27">
        <v>139490</v>
      </c>
      <c r="F954" s="27">
        <v>4166</v>
      </c>
      <c r="G954" s="27">
        <v>7286</v>
      </c>
      <c r="H954" s="27">
        <v>2380</v>
      </c>
      <c r="I954" s="27">
        <v>9666</v>
      </c>
      <c r="L954" s="68">
        <v>0.315</v>
      </c>
      <c r="M954" s="62">
        <v>3.5000000000000003E-2</v>
      </c>
    </row>
    <row r="955" spans="1:13">
      <c r="A955" s="14" t="s">
        <v>74</v>
      </c>
      <c r="B955" s="27">
        <v>102000</v>
      </c>
      <c r="C955" s="7">
        <v>16</v>
      </c>
      <c r="D955" s="27">
        <v>42857</v>
      </c>
      <c r="E955" s="27">
        <v>144857</v>
      </c>
      <c r="F955" s="27">
        <v>4761</v>
      </c>
      <c r="G955" s="27">
        <v>6375</v>
      </c>
      <c r="H955" s="27">
        <v>2381</v>
      </c>
      <c r="I955" s="27">
        <v>8756</v>
      </c>
      <c r="L955" s="68">
        <v>0.315</v>
      </c>
      <c r="M955" s="62">
        <v>3.5000000000000003E-2</v>
      </c>
    </row>
    <row r="956" spans="1:13">
      <c r="A956" s="14" t="s">
        <v>74</v>
      </c>
      <c r="B956" s="27">
        <v>102000</v>
      </c>
      <c r="C956" s="7">
        <v>18</v>
      </c>
      <c r="D956" s="27">
        <v>48202</v>
      </c>
      <c r="E956" s="27">
        <v>150202</v>
      </c>
      <c r="F956" s="27">
        <v>5356</v>
      </c>
      <c r="G956" s="27">
        <v>5667</v>
      </c>
      <c r="H956" s="27">
        <v>2380</v>
      </c>
      <c r="I956" s="27">
        <v>8047</v>
      </c>
      <c r="L956" s="68">
        <v>0.315</v>
      </c>
      <c r="M956" s="62">
        <v>3.5000000000000003E-2</v>
      </c>
    </row>
    <row r="957" spans="1:13">
      <c r="A957" s="14" t="s">
        <v>74</v>
      </c>
      <c r="B957" s="27">
        <v>102000</v>
      </c>
      <c r="C957" s="7">
        <v>20</v>
      </c>
      <c r="D957" s="27">
        <v>53571</v>
      </c>
      <c r="E957" s="27">
        <v>155571</v>
      </c>
      <c r="F957" s="27">
        <v>5951</v>
      </c>
      <c r="G957" s="27">
        <v>5100</v>
      </c>
      <c r="H957" s="27">
        <v>2381</v>
      </c>
      <c r="I957" s="27">
        <v>7481</v>
      </c>
      <c r="L957" s="68">
        <v>0.315</v>
      </c>
      <c r="M957" s="62">
        <v>3.5000000000000003E-2</v>
      </c>
    </row>
    <row r="958" spans="1:13">
      <c r="A958" s="14" t="s">
        <v>74</v>
      </c>
      <c r="B958" s="27">
        <v>102000</v>
      </c>
      <c r="C958" s="7">
        <v>22</v>
      </c>
      <c r="D958" s="27">
        <v>58920</v>
      </c>
      <c r="E958" s="27">
        <v>160920</v>
      </c>
      <c r="F958" s="27">
        <v>6546</v>
      </c>
      <c r="G958" s="27">
        <v>4637</v>
      </c>
      <c r="H958" s="27">
        <v>2380</v>
      </c>
      <c r="I958" s="27">
        <v>7017</v>
      </c>
      <c r="L958" s="68">
        <v>0.315</v>
      </c>
      <c r="M958" s="62">
        <v>3.5000000000000003E-2</v>
      </c>
    </row>
    <row r="959" spans="1:13">
      <c r="A959" s="14" t="s">
        <v>74</v>
      </c>
      <c r="B959" s="27">
        <v>102000</v>
      </c>
      <c r="C959" s="7">
        <v>24</v>
      </c>
      <c r="D959" s="27">
        <v>64285</v>
      </c>
      <c r="E959" s="27">
        <v>166285</v>
      </c>
      <c r="F959" s="27">
        <v>7141</v>
      </c>
      <c r="G959" s="27">
        <v>4250</v>
      </c>
      <c r="H959" s="27">
        <v>2381</v>
      </c>
      <c r="I959" s="27">
        <v>6631</v>
      </c>
      <c r="L959" s="68">
        <v>0.315</v>
      </c>
      <c r="M959" s="62">
        <v>3.5000000000000003E-2</v>
      </c>
    </row>
    <row r="960" spans="1:13">
      <c r="A960" s="14" t="s">
        <v>74</v>
      </c>
      <c r="B960" s="27">
        <v>103000</v>
      </c>
      <c r="C960" s="7">
        <v>4</v>
      </c>
      <c r="D960" s="27">
        <v>10818</v>
      </c>
      <c r="E960" s="27">
        <v>113818</v>
      </c>
      <c r="F960" s="27">
        <v>1202</v>
      </c>
      <c r="G960" s="27">
        <v>25750</v>
      </c>
      <c r="H960" s="27">
        <v>2404</v>
      </c>
      <c r="I960" s="27">
        <v>28154</v>
      </c>
      <c r="L960" s="68">
        <v>0.315</v>
      </c>
      <c r="M960" s="62">
        <v>3.5000000000000003E-2</v>
      </c>
    </row>
    <row r="961" spans="1:13">
      <c r="A961" s="14" t="s">
        <v>74</v>
      </c>
      <c r="B961" s="27">
        <v>103000</v>
      </c>
      <c r="C961" s="7">
        <v>6</v>
      </c>
      <c r="D961" s="27">
        <v>16229</v>
      </c>
      <c r="E961" s="27">
        <v>119229</v>
      </c>
      <c r="F961" s="27">
        <v>1803</v>
      </c>
      <c r="G961" s="27">
        <v>17167</v>
      </c>
      <c r="H961" s="27">
        <v>2404</v>
      </c>
      <c r="I961" s="27">
        <v>19571</v>
      </c>
      <c r="L961" s="68">
        <v>0.315</v>
      </c>
      <c r="M961" s="62">
        <v>3.5000000000000003E-2</v>
      </c>
    </row>
    <row r="962" spans="1:13">
      <c r="A962" s="14" t="s">
        <v>74</v>
      </c>
      <c r="B962" s="27">
        <v>103000</v>
      </c>
      <c r="C962" s="7">
        <v>8</v>
      </c>
      <c r="D962" s="27">
        <v>21636</v>
      </c>
      <c r="E962" s="27">
        <v>124636</v>
      </c>
      <c r="F962" s="27">
        <v>2404</v>
      </c>
      <c r="G962" s="27">
        <v>12875</v>
      </c>
      <c r="H962" s="27">
        <v>2404</v>
      </c>
      <c r="I962" s="27">
        <v>15279</v>
      </c>
      <c r="L962" s="68">
        <v>0.315</v>
      </c>
      <c r="M962" s="62">
        <v>3.5000000000000003E-2</v>
      </c>
    </row>
    <row r="963" spans="1:13">
      <c r="A963" s="14" t="s">
        <v>74</v>
      </c>
      <c r="B963" s="27">
        <v>103000</v>
      </c>
      <c r="C963" s="7">
        <v>10</v>
      </c>
      <c r="D963" s="27">
        <v>27045</v>
      </c>
      <c r="E963" s="27">
        <v>130045</v>
      </c>
      <c r="F963" s="27">
        <v>3005</v>
      </c>
      <c r="G963" s="27">
        <v>10300</v>
      </c>
      <c r="H963" s="27">
        <v>2404</v>
      </c>
      <c r="I963" s="27">
        <v>12704</v>
      </c>
      <c r="L963" s="68">
        <v>0.315</v>
      </c>
      <c r="M963" s="62">
        <v>3.5000000000000003E-2</v>
      </c>
    </row>
    <row r="964" spans="1:13">
      <c r="A964" s="14" t="s">
        <v>74</v>
      </c>
      <c r="B964" s="27">
        <v>103000</v>
      </c>
      <c r="C964" s="7">
        <v>12</v>
      </c>
      <c r="D964" s="27">
        <v>32450</v>
      </c>
      <c r="E964" s="27">
        <v>135450</v>
      </c>
      <c r="F964" s="27">
        <v>3606</v>
      </c>
      <c r="G964" s="27">
        <v>8584</v>
      </c>
      <c r="H964" s="27">
        <v>2403</v>
      </c>
      <c r="I964" s="27">
        <v>10987</v>
      </c>
      <c r="L964" s="68">
        <v>0.315</v>
      </c>
      <c r="M964" s="62">
        <v>3.5000000000000003E-2</v>
      </c>
    </row>
    <row r="965" spans="1:13">
      <c r="A965" s="14" t="s">
        <v>74</v>
      </c>
      <c r="B965" s="27">
        <v>103000</v>
      </c>
      <c r="C965" s="7">
        <v>14</v>
      </c>
      <c r="D965" s="27">
        <v>37860</v>
      </c>
      <c r="E965" s="27">
        <v>140860</v>
      </c>
      <c r="F965" s="27">
        <v>4206</v>
      </c>
      <c r="G965" s="27">
        <v>7358</v>
      </c>
      <c r="H965" s="27">
        <v>2403</v>
      </c>
      <c r="I965" s="27">
        <v>9761</v>
      </c>
      <c r="L965" s="68">
        <v>0.315</v>
      </c>
      <c r="M965" s="62">
        <v>3.5000000000000003E-2</v>
      </c>
    </row>
    <row r="966" spans="1:13">
      <c r="A966" s="14" t="s">
        <v>74</v>
      </c>
      <c r="B966" s="27">
        <v>103000</v>
      </c>
      <c r="C966" s="7">
        <v>16</v>
      </c>
      <c r="D966" s="27">
        <v>43263</v>
      </c>
      <c r="E966" s="27">
        <v>146263</v>
      </c>
      <c r="F966" s="27">
        <v>4807</v>
      </c>
      <c r="G966" s="27">
        <v>6438</v>
      </c>
      <c r="H966" s="27">
        <v>2403</v>
      </c>
      <c r="I966" s="27">
        <v>8841</v>
      </c>
      <c r="L966" s="68">
        <v>0.315</v>
      </c>
      <c r="M966" s="62">
        <v>3.5000000000000003E-2</v>
      </c>
    </row>
    <row r="967" spans="1:13">
      <c r="A967" s="14" t="s">
        <v>74</v>
      </c>
      <c r="B967" s="27">
        <v>103000</v>
      </c>
      <c r="C967" s="7">
        <v>18</v>
      </c>
      <c r="D967" s="27">
        <v>48676</v>
      </c>
      <c r="E967" s="27">
        <v>151676</v>
      </c>
      <c r="F967" s="27">
        <v>5408</v>
      </c>
      <c r="G967" s="27">
        <v>5723</v>
      </c>
      <c r="H967" s="27">
        <v>2403</v>
      </c>
      <c r="I967" s="27">
        <v>8126</v>
      </c>
      <c r="L967" s="68">
        <v>0.315</v>
      </c>
      <c r="M967" s="62">
        <v>3.5000000000000003E-2</v>
      </c>
    </row>
    <row r="968" spans="1:13">
      <c r="A968" s="14" t="s">
        <v>74</v>
      </c>
      <c r="B968" s="27">
        <v>103000</v>
      </c>
      <c r="C968" s="7">
        <v>20</v>
      </c>
      <c r="D968" s="27">
        <v>54089</v>
      </c>
      <c r="E968" s="27">
        <v>157089</v>
      </c>
      <c r="F968" s="27">
        <v>6009</v>
      </c>
      <c r="G968" s="27">
        <v>5150</v>
      </c>
      <c r="H968" s="27">
        <v>2404</v>
      </c>
      <c r="I968" s="27">
        <v>7554</v>
      </c>
      <c r="L968" s="68">
        <v>0.315</v>
      </c>
      <c r="M968" s="62">
        <v>3.5000000000000003E-2</v>
      </c>
    </row>
    <row r="969" spans="1:13">
      <c r="A969" s="14" t="s">
        <v>74</v>
      </c>
      <c r="B969" s="27">
        <v>103000</v>
      </c>
      <c r="C969" s="7">
        <v>22</v>
      </c>
      <c r="D969" s="27">
        <v>59502</v>
      </c>
      <c r="E969" s="27">
        <v>162502</v>
      </c>
      <c r="F969" s="27">
        <v>6610</v>
      </c>
      <c r="G969" s="27">
        <v>4682</v>
      </c>
      <c r="H969" s="27">
        <v>2404</v>
      </c>
      <c r="I969" s="27">
        <v>7086</v>
      </c>
      <c r="L969" s="68">
        <v>0.315</v>
      </c>
      <c r="M969" s="62">
        <v>3.5000000000000003E-2</v>
      </c>
    </row>
    <row r="970" spans="1:13">
      <c r="A970" s="14" t="s">
        <v>74</v>
      </c>
      <c r="B970" s="27">
        <v>103000</v>
      </c>
      <c r="C970" s="7">
        <v>24</v>
      </c>
      <c r="D970" s="27">
        <v>64915</v>
      </c>
      <c r="E970" s="27">
        <v>167915</v>
      </c>
      <c r="F970" s="27">
        <v>7211</v>
      </c>
      <c r="G970" s="27">
        <v>4292</v>
      </c>
      <c r="H970" s="27">
        <v>2404</v>
      </c>
      <c r="I970" s="27">
        <v>6696</v>
      </c>
      <c r="L970" s="68">
        <v>0.315</v>
      </c>
      <c r="M970" s="62">
        <v>3.5000000000000003E-2</v>
      </c>
    </row>
    <row r="971" spans="1:13">
      <c r="A971" s="14" t="s">
        <v>74</v>
      </c>
      <c r="B971" s="27">
        <v>104000</v>
      </c>
      <c r="C971" s="7">
        <v>4</v>
      </c>
      <c r="D971" s="27">
        <v>10922</v>
      </c>
      <c r="E971" s="27">
        <v>114922</v>
      </c>
      <c r="F971" s="27">
        <v>1214</v>
      </c>
      <c r="G971" s="27">
        <v>26000</v>
      </c>
      <c r="H971" s="27">
        <v>2427</v>
      </c>
      <c r="I971" s="27">
        <v>28427</v>
      </c>
      <c r="L971" s="68">
        <v>0.315</v>
      </c>
      <c r="M971" s="62">
        <v>3.5000000000000003E-2</v>
      </c>
    </row>
    <row r="972" spans="1:13">
      <c r="A972" s="14" t="s">
        <v>74</v>
      </c>
      <c r="B972" s="27">
        <v>104000</v>
      </c>
      <c r="C972" s="7">
        <v>6</v>
      </c>
      <c r="D972" s="27">
        <v>16387</v>
      </c>
      <c r="E972" s="27">
        <v>120387</v>
      </c>
      <c r="F972" s="27">
        <v>1821</v>
      </c>
      <c r="G972" s="27">
        <v>17334</v>
      </c>
      <c r="H972" s="27">
        <v>2427</v>
      </c>
      <c r="I972" s="27">
        <v>19761</v>
      </c>
      <c r="L972" s="68">
        <v>0.315</v>
      </c>
      <c r="M972" s="62">
        <v>3.5000000000000003E-2</v>
      </c>
    </row>
    <row r="973" spans="1:13">
      <c r="A973" s="14" t="s">
        <v>74</v>
      </c>
      <c r="B973" s="27">
        <v>104000</v>
      </c>
      <c r="C973" s="7">
        <v>8</v>
      </c>
      <c r="D973" s="27">
        <v>21843</v>
      </c>
      <c r="E973" s="27">
        <v>125843</v>
      </c>
      <c r="F973" s="27">
        <v>2427</v>
      </c>
      <c r="G973" s="27">
        <v>13000</v>
      </c>
      <c r="H973" s="27">
        <v>2427</v>
      </c>
      <c r="I973" s="27">
        <v>15427</v>
      </c>
      <c r="L973" s="68">
        <v>0.315</v>
      </c>
      <c r="M973" s="62">
        <v>3.5000000000000003E-2</v>
      </c>
    </row>
    <row r="974" spans="1:13">
      <c r="A974" s="14" t="s">
        <v>74</v>
      </c>
      <c r="B974" s="27">
        <v>104000</v>
      </c>
      <c r="C974" s="7">
        <v>10</v>
      </c>
      <c r="D974" s="27">
        <v>27304</v>
      </c>
      <c r="E974" s="27">
        <v>131304</v>
      </c>
      <c r="F974" s="27">
        <v>3034</v>
      </c>
      <c r="G974" s="27">
        <v>10400</v>
      </c>
      <c r="H974" s="27">
        <v>2427</v>
      </c>
      <c r="I974" s="27">
        <v>12827</v>
      </c>
      <c r="L974" s="68">
        <v>0.315</v>
      </c>
      <c r="M974" s="62">
        <v>3.5000000000000003E-2</v>
      </c>
    </row>
    <row r="975" spans="1:13">
      <c r="A975" s="14" t="s">
        <v>74</v>
      </c>
      <c r="B975" s="27">
        <v>104000</v>
      </c>
      <c r="C975" s="7">
        <v>12</v>
      </c>
      <c r="D975" s="27">
        <v>32769</v>
      </c>
      <c r="E975" s="27">
        <v>136769</v>
      </c>
      <c r="F975" s="27">
        <v>3641</v>
      </c>
      <c r="G975" s="27">
        <v>8667</v>
      </c>
      <c r="H975" s="27">
        <v>2427</v>
      </c>
      <c r="I975" s="27">
        <v>11094</v>
      </c>
      <c r="L975" s="68">
        <v>0.315</v>
      </c>
      <c r="M975" s="62">
        <v>3.5000000000000003E-2</v>
      </c>
    </row>
    <row r="976" spans="1:13">
      <c r="A976" s="14" t="s">
        <v>74</v>
      </c>
      <c r="B976" s="27">
        <v>104000</v>
      </c>
      <c r="C976" s="7">
        <v>14</v>
      </c>
      <c r="D976" s="27">
        <v>38231</v>
      </c>
      <c r="E976" s="27">
        <v>142231</v>
      </c>
      <c r="F976" s="27">
        <v>4247</v>
      </c>
      <c r="G976" s="27">
        <v>7429</v>
      </c>
      <c r="H976" s="27">
        <v>2427</v>
      </c>
      <c r="I976" s="27">
        <v>9856</v>
      </c>
      <c r="L976" s="68">
        <v>0.315</v>
      </c>
      <c r="M976" s="62">
        <v>3.5000000000000003E-2</v>
      </c>
    </row>
    <row r="977" spans="1:13">
      <c r="A977" s="14" t="s">
        <v>74</v>
      </c>
      <c r="B977" s="27">
        <v>104000</v>
      </c>
      <c r="C977" s="7">
        <v>16</v>
      </c>
      <c r="D977" s="27">
        <v>43686</v>
      </c>
      <c r="E977" s="27">
        <v>147686</v>
      </c>
      <c r="F977" s="27">
        <v>4854</v>
      </c>
      <c r="G977" s="27">
        <v>6500</v>
      </c>
      <c r="H977" s="27">
        <v>2427</v>
      </c>
      <c r="I977" s="27">
        <v>8927</v>
      </c>
      <c r="L977" s="68">
        <v>0.315</v>
      </c>
      <c r="M977" s="62">
        <v>3.5000000000000003E-2</v>
      </c>
    </row>
    <row r="978" spans="1:13">
      <c r="A978" s="14" t="s">
        <v>74</v>
      </c>
      <c r="B978" s="27">
        <v>104000</v>
      </c>
      <c r="C978" s="7">
        <v>18</v>
      </c>
      <c r="D978" s="27">
        <v>49151</v>
      </c>
      <c r="E978" s="27">
        <v>153151</v>
      </c>
      <c r="F978" s="27">
        <v>5461</v>
      </c>
      <c r="G978" s="27">
        <v>5778</v>
      </c>
      <c r="H978" s="27">
        <v>2427</v>
      </c>
      <c r="I978" s="27">
        <v>8205</v>
      </c>
      <c r="L978" s="68">
        <v>0.315</v>
      </c>
      <c r="M978" s="62">
        <v>3.5000000000000003E-2</v>
      </c>
    </row>
    <row r="979" spans="1:13">
      <c r="A979" s="14" t="s">
        <v>74</v>
      </c>
      <c r="B979" s="27">
        <v>104000</v>
      </c>
      <c r="C979" s="7">
        <v>20</v>
      </c>
      <c r="D979" s="27">
        <v>54607</v>
      </c>
      <c r="E979" s="27">
        <v>158607</v>
      </c>
      <c r="F979" s="27">
        <v>6067</v>
      </c>
      <c r="G979" s="27">
        <v>5200</v>
      </c>
      <c r="H979" s="27">
        <v>2427</v>
      </c>
      <c r="I979" s="27">
        <v>7627</v>
      </c>
      <c r="L979" s="68">
        <v>0.315</v>
      </c>
      <c r="M979" s="62">
        <v>3.5000000000000003E-2</v>
      </c>
    </row>
    <row r="980" spans="1:13">
      <c r="A980" s="14" t="s">
        <v>74</v>
      </c>
      <c r="B980" s="27">
        <v>104000</v>
      </c>
      <c r="C980" s="7">
        <v>22</v>
      </c>
      <c r="D980" s="27">
        <v>60062</v>
      </c>
      <c r="E980" s="27">
        <v>164062</v>
      </c>
      <c r="F980" s="27">
        <v>6674</v>
      </c>
      <c r="G980" s="27">
        <v>4728</v>
      </c>
      <c r="H980" s="27">
        <v>2426</v>
      </c>
      <c r="I980" s="27">
        <v>7154</v>
      </c>
      <c r="L980" s="68">
        <v>0.315</v>
      </c>
      <c r="M980" s="62">
        <v>3.5000000000000003E-2</v>
      </c>
    </row>
    <row r="981" spans="1:13">
      <c r="A981" s="14" t="s">
        <v>74</v>
      </c>
      <c r="B981" s="27">
        <v>104000</v>
      </c>
      <c r="C981" s="7">
        <v>24</v>
      </c>
      <c r="D981" s="27">
        <v>65545</v>
      </c>
      <c r="E981" s="27">
        <v>169545</v>
      </c>
      <c r="F981" s="27">
        <v>7281</v>
      </c>
      <c r="G981" s="27">
        <v>4334</v>
      </c>
      <c r="H981" s="27">
        <v>2427</v>
      </c>
      <c r="I981" s="27">
        <v>6761</v>
      </c>
      <c r="L981" s="68">
        <v>0.315</v>
      </c>
      <c r="M981" s="62">
        <v>3.5000000000000003E-2</v>
      </c>
    </row>
    <row r="982" spans="1:13">
      <c r="A982" s="14" t="s">
        <v>74</v>
      </c>
      <c r="B982" s="27">
        <v>105000</v>
      </c>
      <c r="C982" s="7">
        <v>4</v>
      </c>
      <c r="D982" s="27">
        <v>11030</v>
      </c>
      <c r="E982" s="27">
        <v>116030</v>
      </c>
      <c r="F982" s="27">
        <v>1226</v>
      </c>
      <c r="G982" s="27">
        <v>26250</v>
      </c>
      <c r="H982" s="27">
        <v>2451</v>
      </c>
      <c r="I982" s="27">
        <v>28701</v>
      </c>
      <c r="L982" s="68">
        <v>0.315</v>
      </c>
      <c r="M982" s="62">
        <v>3.5000000000000003E-2</v>
      </c>
    </row>
    <row r="983" spans="1:13">
      <c r="A983" s="14" t="s">
        <v>74</v>
      </c>
      <c r="B983" s="27">
        <v>105000</v>
      </c>
      <c r="C983" s="7">
        <v>6</v>
      </c>
      <c r="D983" s="27">
        <v>16544</v>
      </c>
      <c r="E983" s="27">
        <v>121544</v>
      </c>
      <c r="F983" s="27">
        <v>1838</v>
      </c>
      <c r="G983" s="27">
        <v>17500</v>
      </c>
      <c r="H983" s="27">
        <v>2451</v>
      </c>
      <c r="I983" s="27">
        <v>19951</v>
      </c>
      <c r="L983" s="68">
        <v>0.315</v>
      </c>
      <c r="M983" s="62">
        <v>3.5000000000000003E-2</v>
      </c>
    </row>
    <row r="984" spans="1:13">
      <c r="A984" s="14" t="s">
        <v>74</v>
      </c>
      <c r="B984" s="27">
        <v>105000</v>
      </c>
      <c r="C984" s="7">
        <v>8</v>
      </c>
      <c r="D984" s="27">
        <v>22059</v>
      </c>
      <c r="E984" s="27">
        <v>127059</v>
      </c>
      <c r="F984" s="27">
        <v>2451</v>
      </c>
      <c r="G984" s="27">
        <v>13125</v>
      </c>
      <c r="H984" s="27">
        <v>2451</v>
      </c>
      <c r="I984" s="27">
        <v>15576</v>
      </c>
      <c r="L984" s="68">
        <v>0.315</v>
      </c>
      <c r="M984" s="62">
        <v>3.5000000000000003E-2</v>
      </c>
    </row>
    <row r="985" spans="1:13">
      <c r="A985" s="14" t="s">
        <v>74</v>
      </c>
      <c r="B985" s="27">
        <v>105000</v>
      </c>
      <c r="C985" s="7">
        <v>10</v>
      </c>
      <c r="D985" s="27">
        <v>27573</v>
      </c>
      <c r="E985" s="27">
        <v>132573</v>
      </c>
      <c r="F985" s="27">
        <v>3063</v>
      </c>
      <c r="G985" s="27">
        <v>10500</v>
      </c>
      <c r="H985" s="27">
        <v>2451</v>
      </c>
      <c r="I985" s="27">
        <v>12951</v>
      </c>
      <c r="L985" s="68">
        <v>0.315</v>
      </c>
      <c r="M985" s="62">
        <v>3.5000000000000003E-2</v>
      </c>
    </row>
    <row r="986" spans="1:13">
      <c r="A986" s="14" t="s">
        <v>74</v>
      </c>
      <c r="B986" s="27">
        <v>105000</v>
      </c>
      <c r="C986" s="7">
        <v>12</v>
      </c>
      <c r="D986" s="27">
        <v>33088</v>
      </c>
      <c r="E986" s="27">
        <v>138088</v>
      </c>
      <c r="F986" s="27">
        <v>3676</v>
      </c>
      <c r="G986" s="27">
        <v>8750</v>
      </c>
      <c r="H986" s="27">
        <v>2451</v>
      </c>
      <c r="I986" s="27">
        <v>11201</v>
      </c>
      <c r="L986" s="68">
        <v>0.315</v>
      </c>
      <c r="M986" s="62">
        <v>3.5000000000000003E-2</v>
      </c>
    </row>
    <row r="987" spans="1:13">
      <c r="A987" s="14" t="s">
        <v>74</v>
      </c>
      <c r="B987" s="27">
        <v>105000</v>
      </c>
      <c r="C987" s="7">
        <v>14</v>
      </c>
      <c r="D987" s="27">
        <v>38602</v>
      </c>
      <c r="E987" s="27">
        <v>143602</v>
      </c>
      <c r="F987" s="27">
        <v>4288</v>
      </c>
      <c r="G987" s="27">
        <v>7500</v>
      </c>
      <c r="H987" s="27">
        <v>2451</v>
      </c>
      <c r="I987" s="27">
        <v>9951</v>
      </c>
      <c r="L987" s="68">
        <v>0.315</v>
      </c>
      <c r="M987" s="62">
        <v>3.5000000000000003E-2</v>
      </c>
    </row>
    <row r="988" spans="1:13">
      <c r="A988" s="14" t="s">
        <v>74</v>
      </c>
      <c r="B988" s="27">
        <v>105000</v>
      </c>
      <c r="C988" s="7">
        <v>16</v>
      </c>
      <c r="D988" s="27">
        <v>44109</v>
      </c>
      <c r="E988" s="27">
        <v>149109</v>
      </c>
      <c r="F988" s="27">
        <v>4901</v>
      </c>
      <c r="G988" s="27">
        <v>6563</v>
      </c>
      <c r="H988" s="27">
        <v>2450</v>
      </c>
      <c r="I988" s="27">
        <v>9013</v>
      </c>
      <c r="L988" s="68">
        <v>0.315</v>
      </c>
      <c r="M988" s="62">
        <v>3.5000000000000003E-2</v>
      </c>
    </row>
    <row r="989" spans="1:13">
      <c r="A989" s="14" t="s">
        <v>74</v>
      </c>
      <c r="B989" s="27">
        <v>105000</v>
      </c>
      <c r="C989" s="7">
        <v>18</v>
      </c>
      <c r="D989" s="27">
        <v>49625</v>
      </c>
      <c r="E989" s="27">
        <v>154625</v>
      </c>
      <c r="F989" s="27">
        <v>5513</v>
      </c>
      <c r="G989" s="27">
        <v>5834</v>
      </c>
      <c r="H989" s="27">
        <v>2450</v>
      </c>
      <c r="I989" s="27">
        <v>8284</v>
      </c>
      <c r="L989" s="68">
        <v>0.315</v>
      </c>
      <c r="M989" s="62">
        <v>3.5000000000000003E-2</v>
      </c>
    </row>
    <row r="990" spans="1:13">
      <c r="A990" s="14" t="s">
        <v>74</v>
      </c>
      <c r="B990" s="27">
        <v>105000</v>
      </c>
      <c r="C990" s="7">
        <v>20</v>
      </c>
      <c r="D990" s="27">
        <v>55146</v>
      </c>
      <c r="E990" s="27">
        <v>160146</v>
      </c>
      <c r="F990" s="27">
        <v>6126</v>
      </c>
      <c r="G990" s="27">
        <v>5250</v>
      </c>
      <c r="H990" s="27">
        <v>2451</v>
      </c>
      <c r="I990" s="27">
        <v>7701</v>
      </c>
      <c r="L990" s="68">
        <v>0.315</v>
      </c>
      <c r="M990" s="62">
        <v>3.5000000000000003E-2</v>
      </c>
    </row>
    <row r="991" spans="1:13">
      <c r="A991" s="14" t="s">
        <v>74</v>
      </c>
      <c r="B991" s="27">
        <v>105000</v>
      </c>
      <c r="C991" s="7">
        <v>22</v>
      </c>
      <c r="D991" s="27">
        <v>60644</v>
      </c>
      <c r="E991" s="27">
        <v>165644</v>
      </c>
      <c r="F991" s="27">
        <v>6738</v>
      </c>
      <c r="G991" s="27">
        <v>4773</v>
      </c>
      <c r="H991" s="27">
        <v>2450</v>
      </c>
      <c r="I991" s="27">
        <v>7223</v>
      </c>
      <c r="L991" s="68">
        <v>0.315</v>
      </c>
      <c r="M991" s="62">
        <v>3.5000000000000003E-2</v>
      </c>
    </row>
    <row r="992" spans="1:13">
      <c r="A992" s="14" t="s">
        <v>74</v>
      </c>
      <c r="B992" s="27">
        <v>105000</v>
      </c>
      <c r="C992" s="7">
        <v>24</v>
      </c>
      <c r="D992" s="27">
        <v>66175</v>
      </c>
      <c r="E992" s="27">
        <v>171175</v>
      </c>
      <c r="F992" s="27">
        <v>7351</v>
      </c>
      <c r="G992" s="27">
        <v>4375</v>
      </c>
      <c r="H992" s="27">
        <v>2451</v>
      </c>
      <c r="I992" s="27">
        <v>6826</v>
      </c>
      <c r="L992" s="68">
        <v>0.315</v>
      </c>
      <c r="M992" s="62">
        <v>3.5000000000000003E-2</v>
      </c>
    </row>
    <row r="993" spans="1:13">
      <c r="A993" s="14" t="s">
        <v>74</v>
      </c>
      <c r="B993" s="27">
        <v>106000</v>
      </c>
      <c r="C993" s="7">
        <v>4</v>
      </c>
      <c r="D993" s="27">
        <v>11133</v>
      </c>
      <c r="E993" s="27">
        <v>117133</v>
      </c>
      <c r="F993" s="27">
        <v>1237</v>
      </c>
      <c r="G993" s="27">
        <v>26500</v>
      </c>
      <c r="H993" s="27">
        <v>2474</v>
      </c>
      <c r="I993" s="27">
        <v>28974</v>
      </c>
      <c r="L993" s="68">
        <v>0.315</v>
      </c>
      <c r="M993" s="62">
        <v>3.5000000000000003E-2</v>
      </c>
    </row>
    <row r="994" spans="1:13">
      <c r="A994" s="14" t="s">
        <v>74</v>
      </c>
      <c r="B994" s="27">
        <v>106000</v>
      </c>
      <c r="C994" s="7">
        <v>6</v>
      </c>
      <c r="D994" s="27">
        <v>16702</v>
      </c>
      <c r="E994" s="27">
        <v>122702</v>
      </c>
      <c r="F994" s="27">
        <v>1856</v>
      </c>
      <c r="G994" s="27">
        <v>17667</v>
      </c>
      <c r="H994" s="27">
        <v>2474</v>
      </c>
      <c r="I994" s="27">
        <v>20141</v>
      </c>
      <c r="L994" s="68">
        <v>0.315</v>
      </c>
      <c r="M994" s="62">
        <v>3.5000000000000003E-2</v>
      </c>
    </row>
    <row r="995" spans="1:13">
      <c r="A995" s="14" t="s">
        <v>74</v>
      </c>
      <c r="B995" s="27">
        <v>106000</v>
      </c>
      <c r="C995" s="7">
        <v>8</v>
      </c>
      <c r="D995" s="27">
        <v>22266</v>
      </c>
      <c r="E995" s="27">
        <v>128266</v>
      </c>
      <c r="F995" s="27">
        <v>2474</v>
      </c>
      <c r="G995" s="27">
        <v>13250</v>
      </c>
      <c r="H995" s="27">
        <v>2474</v>
      </c>
      <c r="I995" s="27">
        <v>15724</v>
      </c>
      <c r="L995" s="68">
        <v>0.315</v>
      </c>
      <c r="M995" s="62">
        <v>3.5000000000000003E-2</v>
      </c>
    </row>
    <row r="996" spans="1:13">
      <c r="A996" s="14" t="s">
        <v>74</v>
      </c>
      <c r="B996" s="27">
        <v>106000</v>
      </c>
      <c r="C996" s="7">
        <v>10</v>
      </c>
      <c r="D996" s="27">
        <v>27832</v>
      </c>
      <c r="E996" s="27">
        <v>133832</v>
      </c>
      <c r="F996" s="27">
        <v>3092</v>
      </c>
      <c r="G996" s="27">
        <v>10600</v>
      </c>
      <c r="H996" s="27">
        <v>2474</v>
      </c>
      <c r="I996" s="27">
        <v>13074</v>
      </c>
      <c r="L996" s="68">
        <v>0.315</v>
      </c>
      <c r="M996" s="62">
        <v>3.5000000000000003E-2</v>
      </c>
    </row>
    <row r="997" spans="1:13">
      <c r="A997" s="14" t="s">
        <v>74</v>
      </c>
      <c r="B997" s="27">
        <v>106000</v>
      </c>
      <c r="C997" s="7">
        <v>12</v>
      </c>
      <c r="D997" s="27">
        <v>33395</v>
      </c>
      <c r="E997" s="27">
        <v>139395</v>
      </c>
      <c r="F997" s="27">
        <v>3711</v>
      </c>
      <c r="G997" s="27">
        <v>8834</v>
      </c>
      <c r="H997" s="27">
        <v>2473</v>
      </c>
      <c r="I997" s="27">
        <v>11307</v>
      </c>
      <c r="L997" s="68">
        <v>0.315</v>
      </c>
      <c r="M997" s="62">
        <v>3.5000000000000003E-2</v>
      </c>
    </row>
    <row r="998" spans="1:13">
      <c r="A998" s="14" t="s">
        <v>74</v>
      </c>
      <c r="B998" s="27">
        <v>106000</v>
      </c>
      <c r="C998" s="7">
        <v>14</v>
      </c>
      <c r="D998" s="27">
        <v>38959</v>
      </c>
      <c r="E998" s="27">
        <v>144959</v>
      </c>
      <c r="F998" s="27">
        <v>4329</v>
      </c>
      <c r="G998" s="27">
        <v>7572</v>
      </c>
      <c r="H998" s="27">
        <v>2473</v>
      </c>
      <c r="I998" s="27">
        <v>10045</v>
      </c>
      <c r="L998" s="68">
        <v>0.315</v>
      </c>
      <c r="M998" s="62">
        <v>3.5000000000000003E-2</v>
      </c>
    </row>
    <row r="999" spans="1:13">
      <c r="A999" s="14" t="s">
        <v>74</v>
      </c>
      <c r="B999" s="27">
        <v>106000</v>
      </c>
      <c r="C999" s="7">
        <v>16</v>
      </c>
      <c r="D999" s="27">
        <v>44531</v>
      </c>
      <c r="E999" s="27">
        <v>150531</v>
      </c>
      <c r="F999" s="27">
        <v>4947</v>
      </c>
      <c r="G999" s="27">
        <v>6625</v>
      </c>
      <c r="H999" s="27">
        <v>2474</v>
      </c>
      <c r="I999" s="27">
        <v>9099</v>
      </c>
      <c r="L999" s="68">
        <v>0.315</v>
      </c>
      <c r="M999" s="62">
        <v>3.5000000000000003E-2</v>
      </c>
    </row>
    <row r="1000" spans="1:13">
      <c r="A1000" s="14" t="s">
        <v>74</v>
      </c>
      <c r="B1000" s="27">
        <v>106000</v>
      </c>
      <c r="C1000" s="7">
        <v>18</v>
      </c>
      <c r="D1000" s="27">
        <v>50100</v>
      </c>
      <c r="E1000" s="27">
        <v>156100</v>
      </c>
      <c r="F1000" s="27">
        <v>5566</v>
      </c>
      <c r="G1000" s="27">
        <v>5889</v>
      </c>
      <c r="H1000" s="27">
        <v>2474</v>
      </c>
      <c r="I1000" s="27">
        <v>8363</v>
      </c>
      <c r="L1000" s="68">
        <v>0.315</v>
      </c>
      <c r="M1000" s="62">
        <v>3.5000000000000003E-2</v>
      </c>
    </row>
    <row r="1001" spans="1:13">
      <c r="A1001" s="14" t="s">
        <v>74</v>
      </c>
      <c r="B1001" s="27">
        <v>106000</v>
      </c>
      <c r="C1001" s="7">
        <v>20</v>
      </c>
      <c r="D1001" s="27">
        <v>55664</v>
      </c>
      <c r="E1001" s="27">
        <v>161664</v>
      </c>
      <c r="F1001" s="27">
        <v>6184</v>
      </c>
      <c r="G1001" s="27">
        <v>5300</v>
      </c>
      <c r="H1001" s="27">
        <v>2474</v>
      </c>
      <c r="I1001" s="27">
        <v>7774</v>
      </c>
      <c r="L1001" s="68">
        <v>0.315</v>
      </c>
      <c r="M1001" s="62">
        <v>3.5000000000000003E-2</v>
      </c>
    </row>
    <row r="1002" spans="1:13">
      <c r="A1002" s="14" t="s">
        <v>74</v>
      </c>
      <c r="B1002" s="27">
        <v>106000</v>
      </c>
      <c r="C1002" s="7">
        <v>22</v>
      </c>
      <c r="D1002" s="27">
        <v>61226</v>
      </c>
      <c r="E1002" s="27">
        <v>167226</v>
      </c>
      <c r="F1002" s="27">
        <v>6802</v>
      </c>
      <c r="G1002" s="27">
        <v>4819</v>
      </c>
      <c r="H1002" s="27">
        <v>2473</v>
      </c>
      <c r="I1002" s="27">
        <v>7292</v>
      </c>
      <c r="L1002" s="68">
        <v>0.315</v>
      </c>
      <c r="M1002" s="62">
        <v>3.5000000000000003E-2</v>
      </c>
    </row>
    <row r="1003" spans="1:13">
      <c r="A1003" s="14" t="s">
        <v>74</v>
      </c>
      <c r="B1003" s="27">
        <v>106000</v>
      </c>
      <c r="C1003" s="7">
        <v>24</v>
      </c>
      <c r="D1003" s="27">
        <v>66805</v>
      </c>
      <c r="E1003" s="27">
        <v>172805</v>
      </c>
      <c r="F1003" s="27">
        <v>7421</v>
      </c>
      <c r="G1003" s="27">
        <v>4417</v>
      </c>
      <c r="H1003" s="27">
        <v>2474</v>
      </c>
      <c r="I1003" s="27">
        <v>6891</v>
      </c>
      <c r="L1003" s="68">
        <v>0.315</v>
      </c>
      <c r="M1003" s="62">
        <v>3.5000000000000003E-2</v>
      </c>
    </row>
    <row r="1004" spans="1:13">
      <c r="A1004" s="14" t="s">
        <v>74</v>
      </c>
      <c r="B1004" s="27">
        <v>107000</v>
      </c>
      <c r="C1004" s="7">
        <v>4</v>
      </c>
      <c r="D1004" s="27">
        <v>11237</v>
      </c>
      <c r="E1004" s="27">
        <v>118237</v>
      </c>
      <c r="F1004" s="27">
        <v>1249</v>
      </c>
      <c r="G1004" s="27">
        <v>26750</v>
      </c>
      <c r="H1004" s="27">
        <v>2497</v>
      </c>
      <c r="I1004" s="27">
        <v>29247</v>
      </c>
      <c r="L1004" s="68">
        <v>0.315</v>
      </c>
      <c r="M1004" s="62">
        <v>3.5000000000000003E-2</v>
      </c>
    </row>
    <row r="1005" spans="1:13">
      <c r="A1005" s="14" t="s">
        <v>74</v>
      </c>
      <c r="B1005" s="27">
        <v>107000</v>
      </c>
      <c r="C1005" s="7">
        <v>6</v>
      </c>
      <c r="D1005" s="27">
        <v>16859</v>
      </c>
      <c r="E1005" s="27">
        <v>123859</v>
      </c>
      <c r="F1005" s="27">
        <v>1873</v>
      </c>
      <c r="G1005" s="27">
        <v>17834</v>
      </c>
      <c r="H1005" s="27">
        <v>2497</v>
      </c>
      <c r="I1005" s="27">
        <v>20331</v>
      </c>
      <c r="L1005" s="68">
        <v>0.315</v>
      </c>
      <c r="M1005" s="62">
        <v>3.5000000000000003E-2</v>
      </c>
    </row>
    <row r="1006" spans="1:13">
      <c r="A1006" s="14" t="s">
        <v>74</v>
      </c>
      <c r="B1006" s="27">
        <v>107000</v>
      </c>
      <c r="C1006" s="7">
        <v>8</v>
      </c>
      <c r="D1006" s="27">
        <v>22473</v>
      </c>
      <c r="E1006" s="27">
        <v>129473</v>
      </c>
      <c r="F1006" s="27">
        <v>2497</v>
      </c>
      <c r="G1006" s="27">
        <v>13375</v>
      </c>
      <c r="H1006" s="27">
        <v>2497</v>
      </c>
      <c r="I1006" s="27">
        <v>15872</v>
      </c>
      <c r="L1006" s="68">
        <v>0.315</v>
      </c>
      <c r="M1006" s="62">
        <v>3.5000000000000003E-2</v>
      </c>
    </row>
    <row r="1007" spans="1:13">
      <c r="A1007" s="14" t="s">
        <v>74</v>
      </c>
      <c r="B1007" s="27">
        <v>107000</v>
      </c>
      <c r="C1007" s="7">
        <v>10</v>
      </c>
      <c r="D1007" s="27">
        <v>28091</v>
      </c>
      <c r="E1007" s="27">
        <v>135091</v>
      </c>
      <c r="F1007" s="27">
        <v>3121</v>
      </c>
      <c r="G1007" s="27">
        <v>10700</v>
      </c>
      <c r="H1007" s="27">
        <v>2497</v>
      </c>
      <c r="I1007" s="27">
        <v>13197</v>
      </c>
      <c r="L1007" s="68">
        <v>0.315</v>
      </c>
      <c r="M1007" s="62">
        <v>3.5000000000000003E-2</v>
      </c>
    </row>
    <row r="1008" spans="1:13">
      <c r="A1008" s="14" t="s">
        <v>74</v>
      </c>
      <c r="B1008" s="27">
        <v>107000</v>
      </c>
      <c r="C1008" s="7">
        <v>12</v>
      </c>
      <c r="D1008" s="27">
        <v>33714</v>
      </c>
      <c r="E1008" s="27">
        <v>140714</v>
      </c>
      <c r="F1008" s="27">
        <v>3746</v>
      </c>
      <c r="G1008" s="27">
        <v>8917</v>
      </c>
      <c r="H1008" s="27">
        <v>2497</v>
      </c>
      <c r="I1008" s="27">
        <v>11414</v>
      </c>
      <c r="L1008" s="68">
        <v>0.315</v>
      </c>
      <c r="M1008" s="62">
        <v>3.5000000000000003E-2</v>
      </c>
    </row>
    <row r="1009" spans="1:13">
      <c r="A1009" s="14" t="s">
        <v>74</v>
      </c>
      <c r="B1009" s="27">
        <v>107000</v>
      </c>
      <c r="C1009" s="7">
        <v>14</v>
      </c>
      <c r="D1009" s="27">
        <v>39330</v>
      </c>
      <c r="E1009" s="27">
        <v>146330</v>
      </c>
      <c r="F1009" s="27">
        <v>4370</v>
      </c>
      <c r="G1009" s="27">
        <v>7643</v>
      </c>
      <c r="H1009" s="27">
        <v>2497</v>
      </c>
      <c r="I1009" s="27">
        <v>10140</v>
      </c>
      <c r="L1009" s="68">
        <v>0.315</v>
      </c>
      <c r="M1009" s="62">
        <v>3.5000000000000003E-2</v>
      </c>
    </row>
    <row r="1010" spans="1:13">
      <c r="A1010" s="14" t="s">
        <v>74</v>
      </c>
      <c r="B1010" s="27">
        <v>107000</v>
      </c>
      <c r="C1010" s="7">
        <v>16</v>
      </c>
      <c r="D1010" s="27">
        <v>44954</v>
      </c>
      <c r="E1010" s="27">
        <v>151954</v>
      </c>
      <c r="F1010" s="27">
        <v>4994</v>
      </c>
      <c r="G1010" s="27">
        <v>6688</v>
      </c>
      <c r="H1010" s="27">
        <v>2497</v>
      </c>
      <c r="I1010" s="27">
        <v>9185</v>
      </c>
      <c r="L1010" s="68">
        <v>0.315</v>
      </c>
      <c r="M1010" s="62">
        <v>3.5000000000000003E-2</v>
      </c>
    </row>
    <row r="1011" spans="1:13">
      <c r="A1011" s="14" t="s">
        <v>74</v>
      </c>
      <c r="B1011" s="27">
        <v>107000</v>
      </c>
      <c r="C1011" s="7">
        <v>18</v>
      </c>
      <c r="D1011" s="27">
        <v>50574</v>
      </c>
      <c r="E1011" s="27">
        <v>157574</v>
      </c>
      <c r="F1011" s="27">
        <v>5618</v>
      </c>
      <c r="G1011" s="27">
        <v>5945</v>
      </c>
      <c r="H1011" s="27">
        <v>2497</v>
      </c>
      <c r="I1011" s="27">
        <v>8442</v>
      </c>
      <c r="L1011" s="68">
        <v>0.315</v>
      </c>
      <c r="M1011" s="62">
        <v>3.5000000000000003E-2</v>
      </c>
    </row>
    <row r="1012" spans="1:13">
      <c r="A1012" s="14" t="s">
        <v>74</v>
      </c>
      <c r="B1012" s="27">
        <v>107000</v>
      </c>
      <c r="C1012" s="7">
        <v>20</v>
      </c>
      <c r="D1012" s="27">
        <v>56182</v>
      </c>
      <c r="E1012" s="27">
        <v>163182</v>
      </c>
      <c r="F1012" s="27">
        <v>6242</v>
      </c>
      <c r="G1012" s="27">
        <v>5350</v>
      </c>
      <c r="H1012" s="27">
        <v>2497</v>
      </c>
      <c r="I1012" s="27">
        <v>7847</v>
      </c>
      <c r="L1012" s="68">
        <v>0.315</v>
      </c>
      <c r="M1012" s="62">
        <v>3.5000000000000003E-2</v>
      </c>
    </row>
    <row r="1013" spans="1:13">
      <c r="A1013" s="14" t="s">
        <v>74</v>
      </c>
      <c r="B1013" s="27">
        <v>107000</v>
      </c>
      <c r="C1013" s="7">
        <v>22</v>
      </c>
      <c r="D1013" s="27">
        <v>61808</v>
      </c>
      <c r="E1013" s="27">
        <v>168808</v>
      </c>
      <c r="F1013" s="27">
        <v>6866</v>
      </c>
      <c r="G1013" s="27">
        <v>4864</v>
      </c>
      <c r="H1013" s="27">
        <v>2497</v>
      </c>
      <c r="I1013" s="27">
        <v>7361</v>
      </c>
      <c r="L1013" s="68">
        <v>0.315</v>
      </c>
      <c r="M1013" s="62">
        <v>3.5000000000000003E-2</v>
      </c>
    </row>
    <row r="1014" spans="1:13">
      <c r="A1014" s="14" t="s">
        <v>74</v>
      </c>
      <c r="B1014" s="27">
        <v>107000</v>
      </c>
      <c r="C1014" s="7">
        <v>24</v>
      </c>
      <c r="D1014" s="27">
        <v>67435</v>
      </c>
      <c r="E1014" s="27">
        <v>174435</v>
      </c>
      <c r="F1014" s="27">
        <v>7491</v>
      </c>
      <c r="G1014" s="27">
        <v>4459</v>
      </c>
      <c r="H1014" s="27">
        <v>2497</v>
      </c>
      <c r="I1014" s="27">
        <v>6956</v>
      </c>
      <c r="L1014" s="68">
        <v>0.315</v>
      </c>
      <c r="M1014" s="62">
        <v>3.5000000000000003E-2</v>
      </c>
    </row>
    <row r="1015" spans="1:13">
      <c r="A1015" s="14" t="s">
        <v>74</v>
      </c>
      <c r="B1015" s="27">
        <v>108000</v>
      </c>
      <c r="C1015" s="7">
        <v>4</v>
      </c>
      <c r="D1015" s="27">
        <v>11345</v>
      </c>
      <c r="E1015" s="27">
        <v>119345</v>
      </c>
      <c r="F1015" s="27">
        <v>1261</v>
      </c>
      <c r="G1015" s="27">
        <v>27000</v>
      </c>
      <c r="H1015" s="27">
        <v>2521</v>
      </c>
      <c r="I1015" s="27">
        <v>29521</v>
      </c>
      <c r="L1015" s="68">
        <v>0.315</v>
      </c>
      <c r="M1015" s="62">
        <v>3.5000000000000003E-2</v>
      </c>
    </row>
    <row r="1016" spans="1:13">
      <c r="A1016" s="14" t="s">
        <v>74</v>
      </c>
      <c r="B1016" s="27">
        <v>108000</v>
      </c>
      <c r="C1016" s="7">
        <v>6</v>
      </c>
      <c r="D1016" s="27">
        <v>17017</v>
      </c>
      <c r="E1016" s="27">
        <v>125017</v>
      </c>
      <c r="F1016" s="27">
        <v>1891</v>
      </c>
      <c r="G1016" s="27">
        <v>18000</v>
      </c>
      <c r="H1016" s="27">
        <v>2521</v>
      </c>
      <c r="I1016" s="27">
        <v>20521</v>
      </c>
      <c r="L1016" s="68">
        <v>0.315</v>
      </c>
      <c r="M1016" s="62">
        <v>3.5000000000000003E-2</v>
      </c>
    </row>
    <row r="1017" spans="1:13">
      <c r="A1017" s="14" t="s">
        <v>74</v>
      </c>
      <c r="B1017" s="27">
        <v>108000</v>
      </c>
      <c r="C1017" s="7">
        <v>8</v>
      </c>
      <c r="D1017" s="27">
        <v>22689</v>
      </c>
      <c r="E1017" s="27">
        <v>130689</v>
      </c>
      <c r="F1017" s="27">
        <v>2521</v>
      </c>
      <c r="G1017" s="27">
        <v>13500</v>
      </c>
      <c r="H1017" s="27">
        <v>2521</v>
      </c>
      <c r="I1017" s="27">
        <v>16021</v>
      </c>
      <c r="L1017" s="68">
        <v>0.315</v>
      </c>
      <c r="M1017" s="62">
        <v>3.5000000000000003E-2</v>
      </c>
    </row>
    <row r="1018" spans="1:13">
      <c r="A1018" s="14" t="s">
        <v>74</v>
      </c>
      <c r="B1018" s="27">
        <v>108000</v>
      </c>
      <c r="C1018" s="7">
        <v>10</v>
      </c>
      <c r="D1018" s="27">
        <v>28361</v>
      </c>
      <c r="E1018" s="27">
        <v>136361</v>
      </c>
      <c r="F1018" s="27">
        <v>3151</v>
      </c>
      <c r="G1018" s="27">
        <v>10800</v>
      </c>
      <c r="H1018" s="27">
        <v>2521</v>
      </c>
      <c r="I1018" s="27">
        <v>13321</v>
      </c>
      <c r="L1018" s="68">
        <v>0.315</v>
      </c>
      <c r="M1018" s="62">
        <v>3.5000000000000003E-2</v>
      </c>
    </row>
    <row r="1019" spans="1:13">
      <c r="A1019" s="14" t="s">
        <v>74</v>
      </c>
      <c r="B1019" s="27">
        <v>108000</v>
      </c>
      <c r="C1019" s="7">
        <v>12</v>
      </c>
      <c r="D1019" s="27">
        <v>34033</v>
      </c>
      <c r="E1019" s="27">
        <v>142033</v>
      </c>
      <c r="F1019" s="27">
        <v>3781</v>
      </c>
      <c r="G1019" s="27">
        <v>9000</v>
      </c>
      <c r="H1019" s="27">
        <v>2521</v>
      </c>
      <c r="I1019" s="27">
        <v>11521</v>
      </c>
      <c r="L1019" s="68">
        <v>0.315</v>
      </c>
      <c r="M1019" s="62">
        <v>3.5000000000000003E-2</v>
      </c>
    </row>
    <row r="1020" spans="1:13">
      <c r="A1020" s="14" t="s">
        <v>74</v>
      </c>
      <c r="B1020" s="27">
        <v>108000</v>
      </c>
      <c r="C1020" s="7">
        <v>14</v>
      </c>
      <c r="D1020" s="27">
        <v>39701</v>
      </c>
      <c r="E1020" s="27">
        <v>147701</v>
      </c>
      <c r="F1020" s="27">
        <v>4411</v>
      </c>
      <c r="G1020" s="27">
        <v>7715</v>
      </c>
      <c r="H1020" s="27">
        <v>2520</v>
      </c>
      <c r="I1020" s="27">
        <v>10235</v>
      </c>
      <c r="L1020" s="68">
        <v>0.315</v>
      </c>
      <c r="M1020" s="62">
        <v>3.5000000000000003E-2</v>
      </c>
    </row>
    <row r="1021" spans="1:13">
      <c r="A1021" s="14" t="s">
        <v>74</v>
      </c>
      <c r="B1021" s="27">
        <v>108000</v>
      </c>
      <c r="C1021" s="7">
        <v>16</v>
      </c>
      <c r="D1021" s="27">
        <v>45377</v>
      </c>
      <c r="E1021" s="27">
        <v>153377</v>
      </c>
      <c r="F1021" s="27">
        <v>5041</v>
      </c>
      <c r="G1021" s="27">
        <v>6750</v>
      </c>
      <c r="H1021" s="27">
        <v>2521</v>
      </c>
      <c r="I1021" s="27">
        <v>9271</v>
      </c>
      <c r="L1021" s="68">
        <v>0.315</v>
      </c>
      <c r="M1021" s="62">
        <v>3.5000000000000003E-2</v>
      </c>
    </row>
    <row r="1022" spans="1:13">
      <c r="A1022" s="14" t="s">
        <v>74</v>
      </c>
      <c r="B1022" s="27">
        <v>108000</v>
      </c>
      <c r="C1022" s="7">
        <v>18</v>
      </c>
      <c r="D1022" s="27">
        <v>51049</v>
      </c>
      <c r="E1022" s="27">
        <v>159049</v>
      </c>
      <c r="F1022" s="27">
        <v>5671</v>
      </c>
      <c r="G1022" s="27">
        <v>6000</v>
      </c>
      <c r="H1022" s="27">
        <v>2521</v>
      </c>
      <c r="I1022" s="27">
        <v>8521</v>
      </c>
      <c r="L1022" s="68">
        <v>0.315</v>
      </c>
      <c r="M1022" s="62">
        <v>3.5000000000000003E-2</v>
      </c>
    </row>
    <row r="1023" spans="1:13">
      <c r="A1023" s="14" t="s">
        <v>74</v>
      </c>
      <c r="B1023" s="27">
        <v>108000</v>
      </c>
      <c r="C1023" s="7">
        <v>20</v>
      </c>
      <c r="D1023" s="27">
        <v>56721</v>
      </c>
      <c r="E1023" s="27">
        <v>164721</v>
      </c>
      <c r="F1023" s="27">
        <v>6301</v>
      </c>
      <c r="G1023" s="27">
        <v>5400</v>
      </c>
      <c r="H1023" s="27">
        <v>2521</v>
      </c>
      <c r="I1023" s="27">
        <v>7921</v>
      </c>
      <c r="L1023" s="68">
        <v>0.315</v>
      </c>
      <c r="M1023" s="62">
        <v>3.5000000000000003E-2</v>
      </c>
    </row>
    <row r="1024" spans="1:13">
      <c r="A1024" s="14" t="s">
        <v>74</v>
      </c>
      <c r="B1024" s="27">
        <v>108000</v>
      </c>
      <c r="C1024" s="7">
        <v>22</v>
      </c>
      <c r="D1024" s="27">
        <v>62391</v>
      </c>
      <c r="E1024" s="27">
        <v>170391</v>
      </c>
      <c r="F1024" s="27">
        <v>6931</v>
      </c>
      <c r="G1024" s="27">
        <v>4910</v>
      </c>
      <c r="H1024" s="27">
        <v>2520</v>
      </c>
      <c r="I1024" s="27">
        <v>7430</v>
      </c>
      <c r="L1024" s="68">
        <v>0.315</v>
      </c>
      <c r="M1024" s="62">
        <v>3.5000000000000003E-2</v>
      </c>
    </row>
    <row r="1025" spans="1:13">
      <c r="A1025" s="14" t="s">
        <v>74</v>
      </c>
      <c r="B1025" s="27">
        <v>108000</v>
      </c>
      <c r="C1025" s="7">
        <v>24</v>
      </c>
      <c r="D1025" s="27">
        <v>68065</v>
      </c>
      <c r="E1025" s="27">
        <v>176065</v>
      </c>
      <c r="F1025" s="27">
        <v>7561</v>
      </c>
      <c r="G1025" s="27">
        <v>4500</v>
      </c>
      <c r="H1025" s="27">
        <v>2521</v>
      </c>
      <c r="I1025" s="27">
        <v>7021</v>
      </c>
      <c r="L1025" s="68">
        <v>0.315</v>
      </c>
      <c r="M1025" s="62">
        <v>3.5000000000000003E-2</v>
      </c>
    </row>
    <row r="1026" spans="1:13">
      <c r="A1026" s="14" t="s">
        <v>74</v>
      </c>
      <c r="B1026" s="27">
        <v>109000</v>
      </c>
      <c r="C1026" s="7">
        <v>4</v>
      </c>
      <c r="D1026" s="27">
        <v>11448</v>
      </c>
      <c r="E1026" s="27">
        <v>120448</v>
      </c>
      <c r="F1026" s="27">
        <v>1272</v>
      </c>
      <c r="G1026" s="27">
        <v>27250</v>
      </c>
      <c r="H1026" s="27">
        <v>2544</v>
      </c>
      <c r="I1026" s="27">
        <v>29794</v>
      </c>
      <c r="L1026" s="68">
        <v>0.315</v>
      </c>
      <c r="M1026" s="62">
        <v>3.5000000000000003E-2</v>
      </c>
    </row>
    <row r="1027" spans="1:13">
      <c r="A1027" s="14" t="s">
        <v>74</v>
      </c>
      <c r="B1027" s="27">
        <v>109000</v>
      </c>
      <c r="C1027" s="7">
        <v>6</v>
      </c>
      <c r="D1027" s="27">
        <v>17174</v>
      </c>
      <c r="E1027" s="27">
        <v>126174</v>
      </c>
      <c r="F1027" s="27">
        <v>1908</v>
      </c>
      <c r="G1027" s="27">
        <v>18167</v>
      </c>
      <c r="H1027" s="27">
        <v>2544</v>
      </c>
      <c r="I1027" s="27">
        <v>20711</v>
      </c>
      <c r="L1027" s="68">
        <v>0.315</v>
      </c>
      <c r="M1027" s="62">
        <v>3.5000000000000003E-2</v>
      </c>
    </row>
    <row r="1028" spans="1:13">
      <c r="A1028" s="14" t="s">
        <v>74</v>
      </c>
      <c r="B1028" s="27">
        <v>109000</v>
      </c>
      <c r="C1028" s="7">
        <v>8</v>
      </c>
      <c r="D1028" s="27">
        <v>22896</v>
      </c>
      <c r="E1028" s="27">
        <v>131896</v>
      </c>
      <c r="F1028" s="27">
        <v>2544</v>
      </c>
      <c r="G1028" s="27">
        <v>13625</v>
      </c>
      <c r="H1028" s="27">
        <v>2544</v>
      </c>
      <c r="I1028" s="27">
        <v>16169</v>
      </c>
      <c r="L1028" s="68">
        <v>0.315</v>
      </c>
      <c r="M1028" s="62">
        <v>3.5000000000000003E-2</v>
      </c>
    </row>
    <row r="1029" spans="1:13">
      <c r="A1029" s="14" t="s">
        <v>74</v>
      </c>
      <c r="B1029" s="27">
        <v>109000</v>
      </c>
      <c r="C1029" s="7">
        <v>10</v>
      </c>
      <c r="D1029" s="27">
        <v>28620</v>
      </c>
      <c r="E1029" s="27">
        <v>137620</v>
      </c>
      <c r="F1029" s="27">
        <v>3180</v>
      </c>
      <c r="G1029" s="27">
        <v>10900</v>
      </c>
      <c r="H1029" s="27">
        <v>2544</v>
      </c>
      <c r="I1029" s="27">
        <v>13444</v>
      </c>
      <c r="L1029" s="68">
        <v>0.315</v>
      </c>
      <c r="M1029" s="62">
        <v>3.5000000000000003E-2</v>
      </c>
    </row>
    <row r="1030" spans="1:13">
      <c r="A1030" s="14" t="s">
        <v>74</v>
      </c>
      <c r="B1030" s="27">
        <v>109000</v>
      </c>
      <c r="C1030" s="7">
        <v>12</v>
      </c>
      <c r="D1030" s="27">
        <v>34340</v>
      </c>
      <c r="E1030" s="27">
        <v>143340</v>
      </c>
      <c r="F1030" s="27">
        <v>3816</v>
      </c>
      <c r="G1030" s="27">
        <v>9084</v>
      </c>
      <c r="H1030" s="27">
        <v>2543</v>
      </c>
      <c r="I1030" s="27">
        <v>11627</v>
      </c>
      <c r="L1030" s="68">
        <v>0.315</v>
      </c>
      <c r="M1030" s="62">
        <v>3.5000000000000003E-2</v>
      </c>
    </row>
    <row r="1031" spans="1:13">
      <c r="A1031" s="14" t="s">
        <v>74</v>
      </c>
      <c r="B1031" s="27">
        <v>109000</v>
      </c>
      <c r="C1031" s="7">
        <v>14</v>
      </c>
      <c r="D1031" s="27">
        <v>40071</v>
      </c>
      <c r="E1031" s="27">
        <v>149071</v>
      </c>
      <c r="F1031" s="27">
        <v>4451</v>
      </c>
      <c r="G1031" s="27">
        <v>7786</v>
      </c>
      <c r="H1031" s="27">
        <v>2544</v>
      </c>
      <c r="I1031" s="27">
        <v>10330</v>
      </c>
      <c r="L1031" s="68">
        <v>0.315</v>
      </c>
      <c r="M1031" s="62">
        <v>3.5000000000000003E-2</v>
      </c>
    </row>
    <row r="1032" spans="1:13">
      <c r="A1032" s="14" t="s">
        <v>74</v>
      </c>
      <c r="B1032" s="27">
        <v>109000</v>
      </c>
      <c r="C1032" s="7">
        <v>16</v>
      </c>
      <c r="D1032" s="27">
        <v>45783</v>
      </c>
      <c r="E1032" s="27">
        <v>154783</v>
      </c>
      <c r="F1032" s="27">
        <v>5087</v>
      </c>
      <c r="G1032" s="27">
        <v>6813</v>
      </c>
      <c r="H1032" s="27">
        <v>2543</v>
      </c>
      <c r="I1032" s="27">
        <v>9356</v>
      </c>
      <c r="L1032" s="68">
        <v>0.315</v>
      </c>
      <c r="M1032" s="62">
        <v>3.5000000000000003E-2</v>
      </c>
    </row>
    <row r="1033" spans="1:13">
      <c r="A1033" s="14" t="s">
        <v>74</v>
      </c>
      <c r="B1033" s="27">
        <v>109000</v>
      </c>
      <c r="C1033" s="7">
        <v>18</v>
      </c>
      <c r="D1033" s="27">
        <v>51505</v>
      </c>
      <c r="E1033" s="27">
        <v>160505</v>
      </c>
      <c r="F1033" s="27">
        <v>5723</v>
      </c>
      <c r="G1033" s="27">
        <v>6056</v>
      </c>
      <c r="H1033" s="27">
        <v>2543</v>
      </c>
      <c r="I1033" s="27">
        <v>8599</v>
      </c>
      <c r="L1033" s="68">
        <v>0.315</v>
      </c>
      <c r="M1033" s="62">
        <v>3.5000000000000003E-2</v>
      </c>
    </row>
    <row r="1034" spans="1:13">
      <c r="A1034" s="14" t="s">
        <v>74</v>
      </c>
      <c r="B1034" s="27">
        <v>109000</v>
      </c>
      <c r="C1034" s="7">
        <v>20</v>
      </c>
      <c r="D1034" s="27">
        <v>57239</v>
      </c>
      <c r="E1034" s="27">
        <v>166239</v>
      </c>
      <c r="F1034" s="27">
        <v>6359</v>
      </c>
      <c r="G1034" s="27">
        <v>5450</v>
      </c>
      <c r="H1034" s="27">
        <v>2544</v>
      </c>
      <c r="I1034" s="27">
        <v>7994</v>
      </c>
      <c r="L1034" s="68">
        <v>0.315</v>
      </c>
      <c r="M1034" s="62">
        <v>3.5000000000000003E-2</v>
      </c>
    </row>
    <row r="1035" spans="1:13">
      <c r="A1035" s="14" t="s">
        <v>74</v>
      </c>
      <c r="B1035" s="27">
        <v>109000</v>
      </c>
      <c r="C1035" s="7">
        <v>22</v>
      </c>
      <c r="D1035" s="27">
        <v>62951</v>
      </c>
      <c r="E1035" s="27">
        <v>171951</v>
      </c>
      <c r="F1035" s="27">
        <v>6995</v>
      </c>
      <c r="G1035" s="27">
        <v>4955</v>
      </c>
      <c r="H1035" s="27">
        <v>2543</v>
      </c>
      <c r="I1035" s="27">
        <v>7498</v>
      </c>
      <c r="L1035" s="68">
        <v>0.315</v>
      </c>
      <c r="M1035" s="62">
        <v>3.5000000000000003E-2</v>
      </c>
    </row>
    <row r="1036" spans="1:13">
      <c r="A1036" s="14" t="s">
        <v>74</v>
      </c>
      <c r="B1036" s="27">
        <v>109000</v>
      </c>
      <c r="C1036" s="7">
        <v>24</v>
      </c>
      <c r="D1036" s="27">
        <v>68695</v>
      </c>
      <c r="E1036" s="27">
        <v>177695</v>
      </c>
      <c r="F1036" s="27">
        <v>7631</v>
      </c>
      <c r="G1036" s="27">
        <v>4542</v>
      </c>
      <c r="H1036" s="27">
        <v>2544</v>
      </c>
      <c r="I1036" s="27">
        <v>7086</v>
      </c>
      <c r="L1036" s="68">
        <v>0.315</v>
      </c>
      <c r="M1036" s="62">
        <v>3.5000000000000003E-2</v>
      </c>
    </row>
    <row r="1037" spans="1:13">
      <c r="A1037" s="14" t="s">
        <v>74</v>
      </c>
      <c r="B1037" s="27">
        <v>110000</v>
      </c>
      <c r="C1037" s="7">
        <v>4</v>
      </c>
      <c r="D1037" s="27">
        <v>11552</v>
      </c>
      <c r="E1037" s="27">
        <v>121552</v>
      </c>
      <c r="F1037" s="27">
        <v>1284</v>
      </c>
      <c r="G1037" s="27">
        <v>27500</v>
      </c>
      <c r="H1037" s="27">
        <v>2567</v>
      </c>
      <c r="I1037" s="27">
        <v>30067</v>
      </c>
      <c r="L1037" s="68">
        <v>0.315</v>
      </c>
      <c r="M1037" s="62">
        <v>3.5000000000000003E-2</v>
      </c>
    </row>
    <row r="1038" spans="1:13">
      <c r="A1038" s="14" t="s">
        <v>74</v>
      </c>
      <c r="B1038" s="27">
        <v>110000</v>
      </c>
      <c r="C1038" s="7">
        <v>6</v>
      </c>
      <c r="D1038" s="27">
        <v>17332</v>
      </c>
      <c r="E1038" s="27">
        <v>127332</v>
      </c>
      <c r="F1038" s="27">
        <v>1926</v>
      </c>
      <c r="G1038" s="27">
        <v>18334</v>
      </c>
      <c r="H1038" s="27">
        <v>2567</v>
      </c>
      <c r="I1038" s="27">
        <v>20901</v>
      </c>
      <c r="L1038" s="68">
        <v>0.315</v>
      </c>
      <c r="M1038" s="62">
        <v>3.5000000000000003E-2</v>
      </c>
    </row>
    <row r="1039" spans="1:13">
      <c r="A1039" s="14" t="s">
        <v>74</v>
      </c>
      <c r="B1039" s="27">
        <v>110000</v>
      </c>
      <c r="C1039" s="7">
        <v>8</v>
      </c>
      <c r="D1039" s="27">
        <v>23103</v>
      </c>
      <c r="E1039" s="27">
        <v>133103</v>
      </c>
      <c r="F1039" s="27">
        <v>2567</v>
      </c>
      <c r="G1039" s="27">
        <v>13750</v>
      </c>
      <c r="H1039" s="27">
        <v>2567</v>
      </c>
      <c r="I1039" s="27">
        <v>16317</v>
      </c>
      <c r="L1039" s="68">
        <v>0.315</v>
      </c>
      <c r="M1039" s="62">
        <v>3.5000000000000003E-2</v>
      </c>
    </row>
    <row r="1040" spans="1:13">
      <c r="A1040" s="14" t="s">
        <v>74</v>
      </c>
      <c r="B1040" s="27">
        <v>110000</v>
      </c>
      <c r="C1040" s="7">
        <v>10</v>
      </c>
      <c r="D1040" s="27">
        <v>28879</v>
      </c>
      <c r="E1040" s="27">
        <v>138879</v>
      </c>
      <c r="F1040" s="27">
        <v>3209</v>
      </c>
      <c r="G1040" s="27">
        <v>11000</v>
      </c>
      <c r="H1040" s="27">
        <v>2567</v>
      </c>
      <c r="I1040" s="27">
        <v>13567</v>
      </c>
      <c r="L1040" s="68">
        <v>0.315</v>
      </c>
      <c r="M1040" s="62">
        <v>3.5000000000000003E-2</v>
      </c>
    </row>
    <row r="1041" spans="1:13">
      <c r="A1041" s="14" t="s">
        <v>74</v>
      </c>
      <c r="B1041" s="27">
        <v>110000</v>
      </c>
      <c r="C1041" s="7">
        <v>12</v>
      </c>
      <c r="D1041" s="27">
        <v>34659</v>
      </c>
      <c r="E1041" s="27">
        <v>144659</v>
      </c>
      <c r="F1041" s="27">
        <v>3851</v>
      </c>
      <c r="G1041" s="27">
        <v>9167</v>
      </c>
      <c r="H1041" s="27">
        <v>2567</v>
      </c>
      <c r="I1041" s="27">
        <v>11734</v>
      </c>
      <c r="L1041" s="68">
        <v>0.315</v>
      </c>
      <c r="M1041" s="62">
        <v>3.5000000000000003E-2</v>
      </c>
    </row>
    <row r="1042" spans="1:13">
      <c r="A1042" s="14" t="s">
        <v>74</v>
      </c>
      <c r="B1042" s="27">
        <v>110000</v>
      </c>
      <c r="C1042" s="7">
        <v>14</v>
      </c>
      <c r="D1042" s="27">
        <v>40428</v>
      </c>
      <c r="E1042" s="27">
        <v>150428</v>
      </c>
      <c r="F1042" s="27">
        <v>4492</v>
      </c>
      <c r="G1042" s="27">
        <v>7858</v>
      </c>
      <c r="H1042" s="27">
        <v>2566</v>
      </c>
      <c r="I1042" s="27">
        <v>10424</v>
      </c>
      <c r="L1042" s="68">
        <v>0.315</v>
      </c>
      <c r="M1042" s="62">
        <v>3.5000000000000003E-2</v>
      </c>
    </row>
    <row r="1043" spans="1:13">
      <c r="A1043" s="14" t="s">
        <v>74</v>
      </c>
      <c r="B1043" s="27">
        <v>110000</v>
      </c>
      <c r="C1043" s="7">
        <v>16</v>
      </c>
      <c r="D1043" s="27">
        <v>46206</v>
      </c>
      <c r="E1043" s="27">
        <v>156206</v>
      </c>
      <c r="F1043" s="27">
        <v>5134</v>
      </c>
      <c r="G1043" s="27">
        <v>6875</v>
      </c>
      <c r="H1043" s="27">
        <v>2567</v>
      </c>
      <c r="I1043" s="27">
        <v>9442</v>
      </c>
      <c r="L1043" s="68">
        <v>0.315</v>
      </c>
      <c r="M1043" s="62">
        <v>3.5000000000000003E-2</v>
      </c>
    </row>
    <row r="1044" spans="1:13">
      <c r="A1044" s="14" t="s">
        <v>74</v>
      </c>
      <c r="B1044" s="27">
        <v>110000</v>
      </c>
      <c r="C1044" s="7">
        <v>18</v>
      </c>
      <c r="D1044" s="27">
        <v>51980</v>
      </c>
      <c r="E1044" s="27">
        <v>161980</v>
      </c>
      <c r="F1044" s="27">
        <v>5776</v>
      </c>
      <c r="G1044" s="27">
        <v>6112</v>
      </c>
      <c r="H1044" s="27">
        <v>2566</v>
      </c>
      <c r="I1044" s="27">
        <v>8678</v>
      </c>
      <c r="L1044" s="68">
        <v>0.315</v>
      </c>
      <c r="M1044" s="62">
        <v>3.5000000000000003E-2</v>
      </c>
    </row>
    <row r="1045" spans="1:13">
      <c r="A1045" s="14" t="s">
        <v>74</v>
      </c>
      <c r="B1045" s="27">
        <v>110000</v>
      </c>
      <c r="C1045" s="7">
        <v>20</v>
      </c>
      <c r="D1045" s="27">
        <v>57757</v>
      </c>
      <c r="E1045" s="27">
        <v>167757</v>
      </c>
      <c r="F1045" s="27">
        <v>6417</v>
      </c>
      <c r="G1045" s="27">
        <v>5500</v>
      </c>
      <c r="H1045" s="27">
        <v>2567</v>
      </c>
      <c r="I1045" s="27">
        <v>8067</v>
      </c>
      <c r="L1045" s="68">
        <v>0.315</v>
      </c>
      <c r="M1045" s="62">
        <v>3.5000000000000003E-2</v>
      </c>
    </row>
    <row r="1046" spans="1:13">
      <c r="A1046" s="14" t="s">
        <v>74</v>
      </c>
      <c r="B1046" s="27">
        <v>110000</v>
      </c>
      <c r="C1046" s="7">
        <v>22</v>
      </c>
      <c r="D1046" s="27">
        <v>63533</v>
      </c>
      <c r="E1046" s="27">
        <v>173533</v>
      </c>
      <c r="F1046" s="27">
        <v>7059</v>
      </c>
      <c r="G1046" s="27">
        <v>5000</v>
      </c>
      <c r="H1046" s="27">
        <v>2567</v>
      </c>
      <c r="I1046" s="27">
        <v>7567</v>
      </c>
      <c r="L1046" s="68">
        <v>0.315</v>
      </c>
      <c r="M1046" s="62">
        <v>3.5000000000000003E-2</v>
      </c>
    </row>
    <row r="1047" spans="1:13">
      <c r="A1047" s="14" t="s">
        <v>74</v>
      </c>
      <c r="B1047" s="27">
        <v>110000</v>
      </c>
      <c r="C1047" s="7">
        <v>24</v>
      </c>
      <c r="D1047" s="27">
        <v>69325</v>
      </c>
      <c r="E1047" s="27">
        <v>179325</v>
      </c>
      <c r="F1047" s="27">
        <v>7701</v>
      </c>
      <c r="G1047" s="27">
        <v>4584</v>
      </c>
      <c r="H1047" s="27">
        <v>2567</v>
      </c>
      <c r="I1047" s="27">
        <v>7151</v>
      </c>
      <c r="L1047" s="68">
        <v>0.315</v>
      </c>
      <c r="M1047" s="62">
        <v>3.5000000000000003E-2</v>
      </c>
    </row>
    <row r="1048" spans="1:13">
      <c r="A1048" s="14" t="s">
        <v>74</v>
      </c>
      <c r="B1048" s="27">
        <v>111000</v>
      </c>
      <c r="C1048" s="7">
        <v>4</v>
      </c>
      <c r="D1048" s="27">
        <v>11660</v>
      </c>
      <c r="E1048" s="27">
        <v>122660</v>
      </c>
      <c r="F1048" s="27">
        <v>1296</v>
      </c>
      <c r="G1048" s="27">
        <v>27750</v>
      </c>
      <c r="H1048" s="27">
        <v>2591</v>
      </c>
      <c r="I1048" s="27">
        <v>30341</v>
      </c>
      <c r="L1048" s="68">
        <v>0.315</v>
      </c>
      <c r="M1048" s="62">
        <v>3.5000000000000003E-2</v>
      </c>
    </row>
    <row r="1049" spans="1:13">
      <c r="A1049" s="14" t="s">
        <v>74</v>
      </c>
      <c r="B1049" s="27">
        <v>111000</v>
      </c>
      <c r="C1049" s="7">
        <v>6</v>
      </c>
      <c r="D1049" s="27">
        <v>17489</v>
      </c>
      <c r="E1049" s="27">
        <v>128489</v>
      </c>
      <c r="F1049" s="27">
        <v>1943</v>
      </c>
      <c r="G1049" s="27">
        <v>18500</v>
      </c>
      <c r="H1049" s="27">
        <v>2591</v>
      </c>
      <c r="I1049" s="27">
        <v>21091</v>
      </c>
      <c r="L1049" s="68">
        <v>0.315</v>
      </c>
      <c r="M1049" s="62">
        <v>3.5000000000000003E-2</v>
      </c>
    </row>
    <row r="1050" spans="1:13">
      <c r="A1050" s="14" t="s">
        <v>74</v>
      </c>
      <c r="B1050" s="27">
        <v>111000</v>
      </c>
      <c r="C1050" s="7">
        <v>8</v>
      </c>
      <c r="D1050" s="27">
        <v>23319</v>
      </c>
      <c r="E1050" s="27">
        <v>134319</v>
      </c>
      <c r="F1050" s="27">
        <v>2591</v>
      </c>
      <c r="G1050" s="27">
        <v>13875</v>
      </c>
      <c r="H1050" s="27">
        <v>2591</v>
      </c>
      <c r="I1050" s="27">
        <v>16466</v>
      </c>
      <c r="L1050" s="68">
        <v>0.315</v>
      </c>
      <c r="M1050" s="62">
        <v>3.5000000000000003E-2</v>
      </c>
    </row>
    <row r="1051" spans="1:13">
      <c r="A1051" s="14" t="s">
        <v>74</v>
      </c>
      <c r="B1051" s="27">
        <v>111000</v>
      </c>
      <c r="C1051" s="7">
        <v>10</v>
      </c>
      <c r="D1051" s="27">
        <v>29148</v>
      </c>
      <c r="E1051" s="27">
        <v>140148</v>
      </c>
      <c r="F1051" s="27">
        <v>3238</v>
      </c>
      <c r="G1051" s="27">
        <v>11100</v>
      </c>
      <c r="H1051" s="27">
        <v>2591</v>
      </c>
      <c r="I1051" s="27">
        <v>13691</v>
      </c>
      <c r="L1051" s="68">
        <v>0.315</v>
      </c>
      <c r="M1051" s="62">
        <v>3.5000000000000003E-2</v>
      </c>
    </row>
    <row r="1052" spans="1:13">
      <c r="A1052" s="14" t="s">
        <v>74</v>
      </c>
      <c r="B1052" s="27">
        <v>111000</v>
      </c>
      <c r="C1052" s="7">
        <v>12</v>
      </c>
      <c r="D1052" s="27">
        <v>34978</v>
      </c>
      <c r="E1052" s="27">
        <v>145978</v>
      </c>
      <c r="F1052" s="27">
        <v>3886</v>
      </c>
      <c r="G1052" s="27">
        <v>9250</v>
      </c>
      <c r="H1052" s="27">
        <v>2591</v>
      </c>
      <c r="I1052" s="27">
        <v>11841</v>
      </c>
      <c r="L1052" s="68">
        <v>0.315</v>
      </c>
      <c r="M1052" s="62">
        <v>3.5000000000000003E-2</v>
      </c>
    </row>
    <row r="1053" spans="1:13">
      <c r="A1053" s="14" t="s">
        <v>74</v>
      </c>
      <c r="B1053" s="27">
        <v>111000</v>
      </c>
      <c r="C1053" s="7">
        <v>14</v>
      </c>
      <c r="D1053" s="27">
        <v>40799</v>
      </c>
      <c r="E1053" s="27">
        <v>151799</v>
      </c>
      <c r="F1053" s="27">
        <v>4533</v>
      </c>
      <c r="G1053" s="27">
        <v>7929</v>
      </c>
      <c r="H1053" s="27">
        <v>2590</v>
      </c>
      <c r="I1053" s="27">
        <v>10519</v>
      </c>
      <c r="L1053" s="68">
        <v>0.315</v>
      </c>
      <c r="M1053" s="62">
        <v>3.5000000000000003E-2</v>
      </c>
    </row>
    <row r="1054" spans="1:13">
      <c r="A1054" s="14" t="s">
        <v>74</v>
      </c>
      <c r="B1054" s="27">
        <v>111000</v>
      </c>
      <c r="C1054" s="7">
        <v>16</v>
      </c>
      <c r="D1054" s="27">
        <v>46629</v>
      </c>
      <c r="E1054" s="27">
        <v>157629</v>
      </c>
      <c r="F1054" s="27">
        <v>5181</v>
      </c>
      <c r="G1054" s="27">
        <v>6938</v>
      </c>
      <c r="H1054" s="27">
        <v>2590</v>
      </c>
      <c r="I1054" s="27">
        <v>9528</v>
      </c>
      <c r="L1054" s="68">
        <v>0.315</v>
      </c>
      <c r="M1054" s="62">
        <v>3.5000000000000003E-2</v>
      </c>
    </row>
    <row r="1055" spans="1:13">
      <c r="A1055" s="14" t="s">
        <v>74</v>
      </c>
      <c r="B1055" s="27">
        <v>111000</v>
      </c>
      <c r="C1055" s="7">
        <v>18</v>
      </c>
      <c r="D1055" s="27">
        <v>52454</v>
      </c>
      <c r="E1055" s="27">
        <v>163454</v>
      </c>
      <c r="F1055" s="27">
        <v>5828</v>
      </c>
      <c r="G1055" s="27">
        <v>6167</v>
      </c>
      <c r="H1055" s="27">
        <v>2590</v>
      </c>
      <c r="I1055" s="27">
        <v>8757</v>
      </c>
      <c r="L1055" s="68">
        <v>0.315</v>
      </c>
      <c r="M1055" s="62">
        <v>3.5000000000000003E-2</v>
      </c>
    </row>
    <row r="1056" spans="1:13">
      <c r="A1056" s="14" t="s">
        <v>74</v>
      </c>
      <c r="B1056" s="27">
        <v>111000</v>
      </c>
      <c r="C1056" s="7">
        <v>20</v>
      </c>
      <c r="D1056" s="27">
        <v>58296</v>
      </c>
      <c r="E1056" s="27">
        <v>169296</v>
      </c>
      <c r="F1056" s="27">
        <v>6476</v>
      </c>
      <c r="G1056" s="27">
        <v>5550</v>
      </c>
      <c r="H1056" s="27">
        <v>2591</v>
      </c>
      <c r="I1056" s="27">
        <v>8141</v>
      </c>
      <c r="L1056" s="68">
        <v>0.315</v>
      </c>
      <c r="M1056" s="62">
        <v>3.5000000000000003E-2</v>
      </c>
    </row>
    <row r="1057" spans="1:13">
      <c r="A1057" s="14" t="s">
        <v>74</v>
      </c>
      <c r="B1057" s="27">
        <v>111000</v>
      </c>
      <c r="C1057" s="7">
        <v>22</v>
      </c>
      <c r="D1057" s="27">
        <v>64115</v>
      </c>
      <c r="E1057" s="27">
        <v>175115</v>
      </c>
      <c r="F1057" s="27">
        <v>7123</v>
      </c>
      <c r="G1057" s="27">
        <v>5046</v>
      </c>
      <c r="H1057" s="27">
        <v>2590</v>
      </c>
      <c r="I1057" s="27">
        <v>7636</v>
      </c>
      <c r="L1057" s="68">
        <v>0.315</v>
      </c>
      <c r="M1057" s="62">
        <v>3.5000000000000003E-2</v>
      </c>
    </row>
    <row r="1058" spans="1:13">
      <c r="A1058" s="14" t="s">
        <v>74</v>
      </c>
      <c r="B1058" s="27">
        <v>111000</v>
      </c>
      <c r="C1058" s="7">
        <v>24</v>
      </c>
      <c r="D1058" s="27">
        <v>69955</v>
      </c>
      <c r="E1058" s="27">
        <v>180955</v>
      </c>
      <c r="F1058" s="27">
        <v>7771</v>
      </c>
      <c r="G1058" s="27">
        <v>4625</v>
      </c>
      <c r="H1058" s="27">
        <v>2591</v>
      </c>
      <c r="I1058" s="27">
        <v>7216</v>
      </c>
      <c r="L1058" s="68">
        <v>0.315</v>
      </c>
      <c r="M1058" s="62">
        <v>3.5000000000000003E-2</v>
      </c>
    </row>
    <row r="1059" spans="1:13">
      <c r="A1059" s="14" t="s">
        <v>74</v>
      </c>
      <c r="B1059" s="27">
        <v>112000</v>
      </c>
      <c r="C1059" s="7">
        <v>4</v>
      </c>
      <c r="D1059" s="27">
        <v>11763</v>
      </c>
      <c r="E1059" s="27">
        <v>123763</v>
      </c>
      <c r="F1059" s="27">
        <v>1307</v>
      </c>
      <c r="G1059" s="27">
        <v>28000</v>
      </c>
      <c r="H1059" s="27">
        <v>2614</v>
      </c>
      <c r="I1059" s="27">
        <v>30614</v>
      </c>
      <c r="L1059" s="68">
        <v>0.315</v>
      </c>
      <c r="M1059" s="62">
        <v>3.5000000000000003E-2</v>
      </c>
    </row>
    <row r="1060" spans="1:13">
      <c r="A1060" s="14" t="s">
        <v>74</v>
      </c>
      <c r="B1060" s="27">
        <v>112000</v>
      </c>
      <c r="C1060" s="7">
        <v>6</v>
      </c>
      <c r="D1060" s="27">
        <v>17647</v>
      </c>
      <c r="E1060" s="27">
        <v>129647</v>
      </c>
      <c r="F1060" s="27">
        <v>1961</v>
      </c>
      <c r="G1060" s="27">
        <v>18667</v>
      </c>
      <c r="H1060" s="27">
        <v>2614</v>
      </c>
      <c r="I1060" s="27">
        <v>21281</v>
      </c>
      <c r="L1060" s="68">
        <v>0.315</v>
      </c>
      <c r="M1060" s="62">
        <v>3.5000000000000003E-2</v>
      </c>
    </row>
    <row r="1061" spans="1:13">
      <c r="A1061" s="14" t="s">
        <v>74</v>
      </c>
      <c r="B1061" s="27">
        <v>112000</v>
      </c>
      <c r="C1061" s="7">
        <v>8</v>
      </c>
      <c r="D1061" s="27">
        <v>23526</v>
      </c>
      <c r="E1061" s="27">
        <v>135526</v>
      </c>
      <c r="F1061" s="27">
        <v>2614</v>
      </c>
      <c r="G1061" s="27">
        <v>14000</v>
      </c>
      <c r="H1061" s="27">
        <v>2614</v>
      </c>
      <c r="I1061" s="27">
        <v>16614</v>
      </c>
      <c r="L1061" s="68">
        <v>0.315</v>
      </c>
      <c r="M1061" s="62">
        <v>3.5000000000000003E-2</v>
      </c>
    </row>
    <row r="1062" spans="1:13">
      <c r="A1062" s="14" t="s">
        <v>74</v>
      </c>
      <c r="B1062" s="27">
        <v>112000</v>
      </c>
      <c r="C1062" s="7">
        <v>10</v>
      </c>
      <c r="D1062" s="27">
        <v>29407</v>
      </c>
      <c r="E1062" s="27">
        <v>141407</v>
      </c>
      <c r="F1062" s="27">
        <v>3267</v>
      </c>
      <c r="G1062" s="27">
        <v>11200</v>
      </c>
      <c r="H1062" s="27">
        <v>2614</v>
      </c>
      <c r="I1062" s="27">
        <v>13814</v>
      </c>
      <c r="L1062" s="68">
        <v>0.315</v>
      </c>
      <c r="M1062" s="62">
        <v>3.5000000000000003E-2</v>
      </c>
    </row>
    <row r="1063" spans="1:13">
      <c r="A1063" s="14" t="s">
        <v>74</v>
      </c>
      <c r="B1063" s="27">
        <v>112000</v>
      </c>
      <c r="C1063" s="7">
        <v>12</v>
      </c>
      <c r="D1063" s="27">
        <v>35285</v>
      </c>
      <c r="E1063" s="27">
        <v>147285</v>
      </c>
      <c r="F1063" s="27">
        <v>3921</v>
      </c>
      <c r="G1063" s="27">
        <v>9334</v>
      </c>
      <c r="H1063" s="27">
        <v>2613</v>
      </c>
      <c r="I1063" s="27">
        <v>11947</v>
      </c>
      <c r="L1063" s="68">
        <v>0.315</v>
      </c>
      <c r="M1063" s="62">
        <v>3.5000000000000003E-2</v>
      </c>
    </row>
    <row r="1064" spans="1:13">
      <c r="A1064" s="14" t="s">
        <v>74</v>
      </c>
      <c r="B1064" s="27">
        <v>112000</v>
      </c>
      <c r="C1064" s="7">
        <v>14</v>
      </c>
      <c r="D1064" s="27">
        <v>41170</v>
      </c>
      <c r="E1064" s="27">
        <v>153170</v>
      </c>
      <c r="F1064" s="27">
        <v>4574</v>
      </c>
      <c r="G1064" s="27">
        <v>8000</v>
      </c>
      <c r="H1064" s="27">
        <v>2614</v>
      </c>
      <c r="I1064" s="27">
        <v>10614</v>
      </c>
      <c r="L1064" s="68">
        <v>0.315</v>
      </c>
      <c r="M1064" s="62">
        <v>3.5000000000000003E-2</v>
      </c>
    </row>
    <row r="1065" spans="1:13">
      <c r="A1065" s="14" t="s">
        <v>74</v>
      </c>
      <c r="B1065" s="27">
        <v>112000</v>
      </c>
      <c r="C1065" s="7">
        <v>16</v>
      </c>
      <c r="D1065" s="27">
        <v>47051</v>
      </c>
      <c r="E1065" s="27">
        <v>159051</v>
      </c>
      <c r="F1065" s="27">
        <v>5227</v>
      </c>
      <c r="G1065" s="27">
        <v>7000</v>
      </c>
      <c r="H1065" s="27">
        <v>2614</v>
      </c>
      <c r="I1065" s="27">
        <v>9614</v>
      </c>
      <c r="L1065" s="68">
        <v>0.315</v>
      </c>
      <c r="M1065" s="62">
        <v>3.5000000000000003E-2</v>
      </c>
    </row>
    <row r="1066" spans="1:13">
      <c r="A1066" s="14" t="s">
        <v>74</v>
      </c>
      <c r="B1066" s="27">
        <v>112000</v>
      </c>
      <c r="C1066" s="7">
        <v>18</v>
      </c>
      <c r="D1066" s="27">
        <v>52929</v>
      </c>
      <c r="E1066" s="27">
        <v>164929</v>
      </c>
      <c r="F1066" s="27">
        <v>5881</v>
      </c>
      <c r="G1066" s="27">
        <v>6223</v>
      </c>
      <c r="H1066" s="27">
        <v>2613</v>
      </c>
      <c r="I1066" s="27">
        <v>8836</v>
      </c>
      <c r="L1066" s="68">
        <v>0.315</v>
      </c>
      <c r="M1066" s="62">
        <v>3.5000000000000003E-2</v>
      </c>
    </row>
    <row r="1067" spans="1:13">
      <c r="A1067" s="14" t="s">
        <v>74</v>
      </c>
      <c r="B1067" s="27">
        <v>112000</v>
      </c>
      <c r="C1067" s="7">
        <v>20</v>
      </c>
      <c r="D1067" s="27">
        <v>58814</v>
      </c>
      <c r="E1067" s="27">
        <v>170814</v>
      </c>
      <c r="F1067" s="27">
        <v>6534</v>
      </c>
      <c r="G1067" s="27">
        <v>5600</v>
      </c>
      <c r="H1067" s="27">
        <v>2614</v>
      </c>
      <c r="I1067" s="27">
        <v>8214</v>
      </c>
      <c r="L1067" s="68">
        <v>0.315</v>
      </c>
      <c r="M1067" s="62">
        <v>3.5000000000000003E-2</v>
      </c>
    </row>
    <row r="1068" spans="1:13">
      <c r="A1068" s="14" t="s">
        <v>74</v>
      </c>
      <c r="B1068" s="27">
        <v>112000</v>
      </c>
      <c r="C1068" s="7">
        <v>22</v>
      </c>
      <c r="D1068" s="27">
        <v>64697</v>
      </c>
      <c r="E1068" s="27">
        <v>176697</v>
      </c>
      <c r="F1068" s="27">
        <v>7187</v>
      </c>
      <c r="G1068" s="27">
        <v>5091</v>
      </c>
      <c r="H1068" s="27">
        <v>2614</v>
      </c>
      <c r="I1068" s="27">
        <v>7705</v>
      </c>
      <c r="L1068" s="68">
        <v>0.315</v>
      </c>
      <c r="M1068" s="62">
        <v>3.5000000000000003E-2</v>
      </c>
    </row>
    <row r="1069" spans="1:13">
      <c r="A1069" s="14" t="s">
        <v>74</v>
      </c>
      <c r="B1069" s="27">
        <v>112000</v>
      </c>
      <c r="C1069" s="7">
        <v>24</v>
      </c>
      <c r="D1069" s="27">
        <v>70585</v>
      </c>
      <c r="E1069" s="27">
        <v>182585</v>
      </c>
      <c r="F1069" s="27">
        <v>7841</v>
      </c>
      <c r="G1069" s="27">
        <v>4667</v>
      </c>
      <c r="H1069" s="27">
        <v>2614</v>
      </c>
      <c r="I1069" s="27">
        <v>7281</v>
      </c>
      <c r="L1069" s="68">
        <v>0.315</v>
      </c>
      <c r="M1069" s="62">
        <v>3.5000000000000003E-2</v>
      </c>
    </row>
    <row r="1070" spans="1:13">
      <c r="A1070" s="14" t="s">
        <v>74</v>
      </c>
      <c r="B1070" s="27">
        <v>113000</v>
      </c>
      <c r="C1070" s="7">
        <v>4</v>
      </c>
      <c r="D1070" s="27">
        <v>11867</v>
      </c>
      <c r="E1070" s="27">
        <v>124867</v>
      </c>
      <c r="F1070" s="27">
        <v>1319</v>
      </c>
      <c r="G1070" s="27">
        <v>28250</v>
      </c>
      <c r="H1070" s="27">
        <v>2637</v>
      </c>
      <c r="I1070" s="27">
        <v>30887</v>
      </c>
      <c r="L1070" s="68">
        <v>0.315</v>
      </c>
      <c r="M1070" s="62">
        <v>3.5000000000000003E-2</v>
      </c>
    </row>
    <row r="1071" spans="1:13">
      <c r="A1071" s="14" t="s">
        <v>74</v>
      </c>
      <c r="B1071" s="27">
        <v>113000</v>
      </c>
      <c r="C1071" s="7">
        <v>6</v>
      </c>
      <c r="D1071" s="27">
        <v>17804</v>
      </c>
      <c r="E1071" s="27">
        <v>130804</v>
      </c>
      <c r="F1071" s="27">
        <v>1978</v>
      </c>
      <c r="G1071" s="27">
        <v>18834</v>
      </c>
      <c r="H1071" s="27">
        <v>2637</v>
      </c>
      <c r="I1071" s="27">
        <v>21471</v>
      </c>
      <c r="L1071" s="68">
        <v>0.315</v>
      </c>
      <c r="M1071" s="62">
        <v>3.5000000000000003E-2</v>
      </c>
    </row>
    <row r="1072" spans="1:13">
      <c r="A1072" s="14" t="s">
        <v>74</v>
      </c>
      <c r="B1072" s="27">
        <v>113000</v>
      </c>
      <c r="C1072" s="7">
        <v>8</v>
      </c>
      <c r="D1072" s="27">
        <v>23733</v>
      </c>
      <c r="E1072" s="27">
        <v>136733</v>
      </c>
      <c r="F1072" s="27">
        <v>2637</v>
      </c>
      <c r="G1072" s="27">
        <v>14125</v>
      </c>
      <c r="H1072" s="27">
        <v>2637</v>
      </c>
      <c r="I1072" s="27">
        <v>16762</v>
      </c>
      <c r="L1072" s="68">
        <v>0.315</v>
      </c>
      <c r="M1072" s="62">
        <v>3.5000000000000003E-2</v>
      </c>
    </row>
    <row r="1073" spans="1:13">
      <c r="A1073" s="14" t="s">
        <v>74</v>
      </c>
      <c r="B1073" s="27">
        <v>113000</v>
      </c>
      <c r="C1073" s="7">
        <v>10</v>
      </c>
      <c r="D1073" s="27">
        <v>29666</v>
      </c>
      <c r="E1073" s="27">
        <v>142666</v>
      </c>
      <c r="F1073" s="27">
        <v>3296</v>
      </c>
      <c r="G1073" s="27">
        <v>11300</v>
      </c>
      <c r="H1073" s="27">
        <v>2637</v>
      </c>
      <c r="I1073" s="27">
        <v>13937</v>
      </c>
      <c r="L1073" s="68">
        <v>0.315</v>
      </c>
      <c r="M1073" s="62">
        <v>3.5000000000000003E-2</v>
      </c>
    </row>
    <row r="1074" spans="1:13">
      <c r="A1074" s="14" t="s">
        <v>74</v>
      </c>
      <c r="B1074" s="27">
        <v>113000</v>
      </c>
      <c r="C1074" s="7">
        <v>12</v>
      </c>
      <c r="D1074" s="27">
        <v>35604</v>
      </c>
      <c r="E1074" s="27">
        <v>148604</v>
      </c>
      <c r="F1074" s="27">
        <v>3956</v>
      </c>
      <c r="G1074" s="27">
        <v>9417</v>
      </c>
      <c r="H1074" s="27">
        <v>2637</v>
      </c>
      <c r="I1074" s="27">
        <v>12054</v>
      </c>
      <c r="L1074" s="68">
        <v>0.315</v>
      </c>
      <c r="M1074" s="62">
        <v>3.5000000000000003E-2</v>
      </c>
    </row>
    <row r="1075" spans="1:13">
      <c r="A1075" s="14" t="s">
        <v>74</v>
      </c>
      <c r="B1075" s="27">
        <v>113000</v>
      </c>
      <c r="C1075" s="7">
        <v>14</v>
      </c>
      <c r="D1075" s="27">
        <v>41541</v>
      </c>
      <c r="E1075" s="27">
        <v>154541</v>
      </c>
      <c r="F1075" s="27">
        <v>4615</v>
      </c>
      <c r="G1075" s="27">
        <v>8072</v>
      </c>
      <c r="H1075" s="27">
        <v>2637</v>
      </c>
      <c r="I1075" s="27">
        <v>10709</v>
      </c>
      <c r="L1075" s="68">
        <v>0.315</v>
      </c>
      <c r="M1075" s="62">
        <v>3.5000000000000003E-2</v>
      </c>
    </row>
    <row r="1076" spans="1:13">
      <c r="A1076" s="14" t="s">
        <v>74</v>
      </c>
      <c r="B1076" s="27">
        <v>113000</v>
      </c>
      <c r="C1076" s="7">
        <v>16</v>
      </c>
      <c r="D1076" s="27">
        <v>47474</v>
      </c>
      <c r="E1076" s="27">
        <v>160474</v>
      </c>
      <c r="F1076" s="27">
        <v>5274</v>
      </c>
      <c r="G1076" s="27">
        <v>7063</v>
      </c>
      <c r="H1076" s="27">
        <v>2637</v>
      </c>
      <c r="I1076" s="27">
        <v>9700</v>
      </c>
      <c r="L1076" s="68">
        <v>0.315</v>
      </c>
      <c r="M1076" s="62">
        <v>3.5000000000000003E-2</v>
      </c>
    </row>
    <row r="1077" spans="1:13">
      <c r="A1077" s="14" t="s">
        <v>74</v>
      </c>
      <c r="B1077" s="27">
        <v>113000</v>
      </c>
      <c r="C1077" s="7">
        <v>18</v>
      </c>
      <c r="D1077" s="27">
        <v>53403</v>
      </c>
      <c r="E1077" s="27">
        <v>166403</v>
      </c>
      <c r="F1077" s="27">
        <v>5933</v>
      </c>
      <c r="G1077" s="27">
        <v>6278</v>
      </c>
      <c r="H1077" s="27">
        <v>2637</v>
      </c>
      <c r="I1077" s="27">
        <v>8915</v>
      </c>
      <c r="L1077" s="68">
        <v>0.315</v>
      </c>
      <c r="M1077" s="62">
        <v>3.5000000000000003E-2</v>
      </c>
    </row>
    <row r="1078" spans="1:13">
      <c r="A1078" s="14" t="s">
        <v>74</v>
      </c>
      <c r="B1078" s="27">
        <v>113000</v>
      </c>
      <c r="C1078" s="7">
        <v>20</v>
      </c>
      <c r="D1078" s="27">
        <v>59332</v>
      </c>
      <c r="E1078" s="27">
        <v>172332</v>
      </c>
      <c r="F1078" s="27">
        <v>6592</v>
      </c>
      <c r="G1078" s="27">
        <v>5650</v>
      </c>
      <c r="H1078" s="27">
        <v>2637</v>
      </c>
      <c r="I1078" s="27">
        <v>8287</v>
      </c>
      <c r="L1078" s="68">
        <v>0.315</v>
      </c>
      <c r="M1078" s="62">
        <v>3.5000000000000003E-2</v>
      </c>
    </row>
    <row r="1079" spans="1:13">
      <c r="A1079" s="14" t="s">
        <v>74</v>
      </c>
      <c r="B1079" s="27">
        <v>113000</v>
      </c>
      <c r="C1079" s="7">
        <v>22</v>
      </c>
      <c r="D1079" s="27">
        <v>65279</v>
      </c>
      <c r="E1079" s="27">
        <v>178279</v>
      </c>
      <c r="F1079" s="27">
        <v>7251</v>
      </c>
      <c r="G1079" s="27">
        <v>5137</v>
      </c>
      <c r="H1079" s="27">
        <v>2637</v>
      </c>
      <c r="I1079" s="27">
        <v>7774</v>
      </c>
      <c r="L1079" s="68">
        <v>0.315</v>
      </c>
      <c r="M1079" s="62">
        <v>3.5000000000000003E-2</v>
      </c>
    </row>
    <row r="1080" spans="1:13">
      <c r="A1080" s="14" t="s">
        <v>74</v>
      </c>
      <c r="B1080" s="27">
        <v>113000</v>
      </c>
      <c r="C1080" s="7">
        <v>24</v>
      </c>
      <c r="D1080" s="27">
        <v>71215</v>
      </c>
      <c r="E1080" s="27">
        <v>184215</v>
      </c>
      <c r="F1080" s="27">
        <v>7911</v>
      </c>
      <c r="G1080" s="27">
        <v>4709</v>
      </c>
      <c r="H1080" s="27">
        <v>2637</v>
      </c>
      <c r="I1080" s="27">
        <v>7346</v>
      </c>
      <c r="L1080" s="68">
        <v>0.315</v>
      </c>
      <c r="M1080" s="62">
        <v>3.5000000000000003E-2</v>
      </c>
    </row>
    <row r="1081" spans="1:13">
      <c r="A1081" s="14" t="s">
        <v>74</v>
      </c>
      <c r="B1081" s="27">
        <v>114000</v>
      </c>
      <c r="C1081" s="7">
        <v>4</v>
      </c>
      <c r="D1081" s="27">
        <v>11975</v>
      </c>
      <c r="E1081" s="27">
        <v>125975</v>
      </c>
      <c r="F1081" s="27">
        <v>1331</v>
      </c>
      <c r="G1081" s="27">
        <v>28500</v>
      </c>
      <c r="H1081" s="27">
        <v>2661</v>
      </c>
      <c r="I1081" s="27">
        <v>31161</v>
      </c>
      <c r="L1081" s="68">
        <v>0.315</v>
      </c>
      <c r="M1081" s="62">
        <v>3.5000000000000003E-2</v>
      </c>
    </row>
    <row r="1082" spans="1:13">
      <c r="A1082" s="14" t="s">
        <v>74</v>
      </c>
      <c r="B1082" s="27">
        <v>114000</v>
      </c>
      <c r="C1082" s="7">
        <v>6</v>
      </c>
      <c r="D1082" s="27">
        <v>17962</v>
      </c>
      <c r="E1082" s="27">
        <v>131962</v>
      </c>
      <c r="F1082" s="27">
        <v>1996</v>
      </c>
      <c r="G1082" s="27">
        <v>19000</v>
      </c>
      <c r="H1082" s="27">
        <v>2661</v>
      </c>
      <c r="I1082" s="27">
        <v>21661</v>
      </c>
      <c r="L1082" s="68">
        <v>0.315</v>
      </c>
      <c r="M1082" s="62">
        <v>3.5000000000000003E-2</v>
      </c>
    </row>
    <row r="1083" spans="1:13">
      <c r="A1083" s="14" t="s">
        <v>74</v>
      </c>
      <c r="B1083" s="27">
        <v>114000</v>
      </c>
      <c r="C1083" s="7">
        <v>8</v>
      </c>
      <c r="D1083" s="27">
        <v>23949</v>
      </c>
      <c r="E1083" s="27">
        <v>137949</v>
      </c>
      <c r="F1083" s="27">
        <v>2661</v>
      </c>
      <c r="G1083" s="27">
        <v>14250</v>
      </c>
      <c r="H1083" s="27">
        <v>2661</v>
      </c>
      <c r="I1083" s="27">
        <v>16911</v>
      </c>
      <c r="L1083" s="68">
        <v>0.315</v>
      </c>
      <c r="M1083" s="62">
        <v>3.5000000000000003E-2</v>
      </c>
    </row>
    <row r="1084" spans="1:13">
      <c r="A1084" s="14" t="s">
        <v>74</v>
      </c>
      <c r="B1084" s="27">
        <v>114000</v>
      </c>
      <c r="C1084" s="7">
        <v>10</v>
      </c>
      <c r="D1084" s="27">
        <v>29936</v>
      </c>
      <c r="E1084" s="27">
        <v>143936</v>
      </c>
      <c r="F1084" s="27">
        <v>3326</v>
      </c>
      <c r="G1084" s="27">
        <v>11400</v>
      </c>
      <c r="H1084" s="27">
        <v>2661</v>
      </c>
      <c r="I1084" s="27">
        <v>14061</v>
      </c>
      <c r="L1084" s="68">
        <v>0.315</v>
      </c>
      <c r="M1084" s="62">
        <v>3.5000000000000003E-2</v>
      </c>
    </row>
    <row r="1085" spans="1:13">
      <c r="A1085" s="14" t="s">
        <v>74</v>
      </c>
      <c r="B1085" s="27">
        <v>114000</v>
      </c>
      <c r="C1085" s="7">
        <v>12</v>
      </c>
      <c r="D1085" s="27">
        <v>35923</v>
      </c>
      <c r="E1085" s="27">
        <v>149923</v>
      </c>
      <c r="F1085" s="27">
        <v>3991</v>
      </c>
      <c r="G1085" s="27">
        <v>9500</v>
      </c>
      <c r="H1085" s="27">
        <v>2661</v>
      </c>
      <c r="I1085" s="27">
        <v>12161</v>
      </c>
      <c r="L1085" s="68">
        <v>0.315</v>
      </c>
      <c r="M1085" s="62">
        <v>3.5000000000000003E-2</v>
      </c>
    </row>
    <row r="1086" spans="1:13">
      <c r="A1086" s="14" t="s">
        <v>74</v>
      </c>
      <c r="B1086" s="27">
        <v>114000</v>
      </c>
      <c r="C1086" s="7">
        <v>14</v>
      </c>
      <c r="D1086" s="27">
        <v>41898</v>
      </c>
      <c r="E1086" s="27">
        <v>155898</v>
      </c>
      <c r="F1086" s="27">
        <v>4656</v>
      </c>
      <c r="G1086" s="27">
        <v>8143</v>
      </c>
      <c r="H1086" s="27">
        <v>2660</v>
      </c>
      <c r="I1086" s="27">
        <v>10803</v>
      </c>
      <c r="L1086" s="68">
        <v>0.315</v>
      </c>
      <c r="M1086" s="62">
        <v>3.5000000000000003E-2</v>
      </c>
    </row>
    <row r="1087" spans="1:13">
      <c r="A1087" s="14" t="s">
        <v>74</v>
      </c>
      <c r="B1087" s="27">
        <v>114000</v>
      </c>
      <c r="C1087" s="7">
        <v>16</v>
      </c>
      <c r="D1087" s="27">
        <v>47897</v>
      </c>
      <c r="E1087" s="27">
        <v>161897</v>
      </c>
      <c r="F1087" s="27">
        <v>5321</v>
      </c>
      <c r="G1087" s="27">
        <v>7125</v>
      </c>
      <c r="H1087" s="27">
        <v>2661</v>
      </c>
      <c r="I1087" s="27">
        <v>9786</v>
      </c>
      <c r="L1087" s="68">
        <v>0.315</v>
      </c>
      <c r="M1087" s="62">
        <v>3.5000000000000003E-2</v>
      </c>
    </row>
    <row r="1088" spans="1:13">
      <c r="A1088" s="14" t="s">
        <v>74</v>
      </c>
      <c r="B1088" s="27">
        <v>114000</v>
      </c>
      <c r="C1088" s="7">
        <v>18</v>
      </c>
      <c r="D1088" s="27">
        <v>53878</v>
      </c>
      <c r="E1088" s="27">
        <v>167878</v>
      </c>
      <c r="F1088" s="27">
        <v>5986</v>
      </c>
      <c r="G1088" s="27">
        <v>6334</v>
      </c>
      <c r="H1088" s="27">
        <v>2660</v>
      </c>
      <c r="I1088" s="27">
        <v>8994</v>
      </c>
      <c r="L1088" s="68">
        <v>0.315</v>
      </c>
      <c r="M1088" s="62">
        <v>3.5000000000000003E-2</v>
      </c>
    </row>
    <row r="1089" spans="1:13">
      <c r="A1089" s="14" t="s">
        <v>74</v>
      </c>
      <c r="B1089" s="27">
        <v>114000</v>
      </c>
      <c r="C1089" s="7">
        <v>20</v>
      </c>
      <c r="D1089" s="27">
        <v>59871</v>
      </c>
      <c r="E1089" s="27">
        <v>173871</v>
      </c>
      <c r="F1089" s="27">
        <v>6651</v>
      </c>
      <c r="G1089" s="27">
        <v>5700</v>
      </c>
      <c r="H1089" s="27">
        <v>2661</v>
      </c>
      <c r="I1089" s="27">
        <v>8361</v>
      </c>
      <c r="L1089" s="68">
        <v>0.315</v>
      </c>
      <c r="M1089" s="62">
        <v>3.5000000000000003E-2</v>
      </c>
    </row>
    <row r="1090" spans="1:13">
      <c r="A1090" s="14" t="s">
        <v>74</v>
      </c>
      <c r="B1090" s="27">
        <v>114000</v>
      </c>
      <c r="C1090" s="7">
        <v>22</v>
      </c>
      <c r="D1090" s="27">
        <v>65840</v>
      </c>
      <c r="E1090" s="27">
        <v>179840</v>
      </c>
      <c r="F1090" s="27">
        <v>7316</v>
      </c>
      <c r="G1090" s="27">
        <v>5182</v>
      </c>
      <c r="H1090" s="27">
        <v>2660</v>
      </c>
      <c r="I1090" s="27">
        <v>7842</v>
      </c>
      <c r="L1090" s="68">
        <v>0.315</v>
      </c>
      <c r="M1090" s="62">
        <v>3.5000000000000003E-2</v>
      </c>
    </row>
    <row r="1091" spans="1:13">
      <c r="A1091" s="14" t="s">
        <v>74</v>
      </c>
      <c r="B1091" s="27">
        <v>114000</v>
      </c>
      <c r="C1091" s="7">
        <v>24</v>
      </c>
      <c r="D1091" s="27">
        <v>71845</v>
      </c>
      <c r="E1091" s="27">
        <v>185845</v>
      </c>
      <c r="F1091" s="27">
        <v>7981</v>
      </c>
      <c r="G1091" s="27">
        <v>4750</v>
      </c>
      <c r="H1091" s="27">
        <v>2661</v>
      </c>
      <c r="I1091" s="27">
        <v>7411</v>
      </c>
      <c r="L1091" s="68">
        <v>0.315</v>
      </c>
      <c r="M1091" s="62">
        <v>3.5000000000000003E-2</v>
      </c>
    </row>
    <row r="1092" spans="1:13">
      <c r="A1092" s="14" t="s">
        <v>74</v>
      </c>
      <c r="B1092" s="27">
        <v>115000</v>
      </c>
      <c r="C1092" s="7">
        <v>4</v>
      </c>
      <c r="D1092" s="27">
        <v>12078</v>
      </c>
      <c r="E1092" s="27">
        <v>127078</v>
      </c>
      <c r="F1092" s="27">
        <v>1342</v>
      </c>
      <c r="G1092" s="27">
        <v>28750</v>
      </c>
      <c r="H1092" s="27">
        <v>2684</v>
      </c>
      <c r="I1092" s="27">
        <v>31434</v>
      </c>
      <c r="L1092" s="68">
        <v>0.315</v>
      </c>
      <c r="M1092" s="62">
        <v>3.5000000000000003E-2</v>
      </c>
    </row>
    <row r="1093" spans="1:13">
      <c r="A1093" s="14" t="s">
        <v>74</v>
      </c>
      <c r="B1093" s="27">
        <v>115000</v>
      </c>
      <c r="C1093" s="7">
        <v>6</v>
      </c>
      <c r="D1093" s="27">
        <v>18119</v>
      </c>
      <c r="E1093" s="27">
        <v>133119</v>
      </c>
      <c r="F1093" s="27">
        <v>2013</v>
      </c>
      <c r="G1093" s="27">
        <v>19167</v>
      </c>
      <c r="H1093" s="27">
        <v>2684</v>
      </c>
      <c r="I1093" s="27">
        <v>21851</v>
      </c>
      <c r="L1093" s="68">
        <v>0.315</v>
      </c>
      <c r="M1093" s="62">
        <v>3.5000000000000003E-2</v>
      </c>
    </row>
    <row r="1094" spans="1:13">
      <c r="A1094" s="14" t="s">
        <v>74</v>
      </c>
      <c r="B1094" s="27">
        <v>115000</v>
      </c>
      <c r="C1094" s="7">
        <v>8</v>
      </c>
      <c r="D1094" s="27">
        <v>24156</v>
      </c>
      <c r="E1094" s="27">
        <v>139156</v>
      </c>
      <c r="F1094" s="27">
        <v>2684</v>
      </c>
      <c r="G1094" s="27">
        <v>14375</v>
      </c>
      <c r="H1094" s="27">
        <v>2684</v>
      </c>
      <c r="I1094" s="27">
        <v>17059</v>
      </c>
      <c r="L1094" s="68">
        <v>0.315</v>
      </c>
      <c r="M1094" s="62">
        <v>3.5000000000000003E-2</v>
      </c>
    </row>
    <row r="1095" spans="1:13">
      <c r="A1095" s="14" t="s">
        <v>74</v>
      </c>
      <c r="B1095" s="27">
        <v>115000</v>
      </c>
      <c r="C1095" s="7">
        <v>10</v>
      </c>
      <c r="D1095" s="27">
        <v>30195</v>
      </c>
      <c r="E1095" s="27">
        <v>145195</v>
      </c>
      <c r="F1095" s="27">
        <v>3355</v>
      </c>
      <c r="G1095" s="27">
        <v>11500</v>
      </c>
      <c r="H1095" s="27">
        <v>2684</v>
      </c>
      <c r="I1095" s="27">
        <v>14184</v>
      </c>
      <c r="L1095" s="68">
        <v>0.315</v>
      </c>
      <c r="M1095" s="62">
        <v>3.5000000000000003E-2</v>
      </c>
    </row>
    <row r="1096" spans="1:13">
      <c r="A1096" s="14" t="s">
        <v>74</v>
      </c>
      <c r="B1096" s="27">
        <v>115000</v>
      </c>
      <c r="C1096" s="7">
        <v>12</v>
      </c>
      <c r="D1096" s="27">
        <v>36230</v>
      </c>
      <c r="E1096" s="27">
        <v>151230</v>
      </c>
      <c r="F1096" s="27">
        <v>4026</v>
      </c>
      <c r="G1096" s="27">
        <v>9584</v>
      </c>
      <c r="H1096" s="27">
        <v>2683</v>
      </c>
      <c r="I1096" s="27">
        <v>12267</v>
      </c>
      <c r="L1096" s="68">
        <v>0.315</v>
      </c>
      <c r="M1096" s="62">
        <v>3.5000000000000003E-2</v>
      </c>
    </row>
    <row r="1097" spans="1:13">
      <c r="A1097" s="14" t="s">
        <v>74</v>
      </c>
      <c r="B1097" s="27">
        <v>115000</v>
      </c>
      <c r="C1097" s="7">
        <v>14</v>
      </c>
      <c r="D1097" s="27">
        <v>42268</v>
      </c>
      <c r="E1097" s="27">
        <v>157268</v>
      </c>
      <c r="F1097" s="27">
        <v>4696</v>
      </c>
      <c r="G1097" s="27">
        <v>8215</v>
      </c>
      <c r="H1097" s="27">
        <v>2683</v>
      </c>
      <c r="I1097" s="27">
        <v>10898</v>
      </c>
      <c r="L1097" s="68">
        <v>0.315</v>
      </c>
      <c r="M1097" s="62">
        <v>3.5000000000000003E-2</v>
      </c>
    </row>
    <row r="1098" spans="1:13">
      <c r="A1098" s="14" t="s">
        <v>74</v>
      </c>
      <c r="B1098" s="27">
        <v>115000</v>
      </c>
      <c r="C1098" s="7">
        <v>16</v>
      </c>
      <c r="D1098" s="27">
        <v>48303</v>
      </c>
      <c r="E1098" s="27">
        <v>163303</v>
      </c>
      <c r="F1098" s="27">
        <v>5367</v>
      </c>
      <c r="G1098" s="27">
        <v>7188</v>
      </c>
      <c r="H1098" s="27">
        <v>2683</v>
      </c>
      <c r="I1098" s="27">
        <v>9871</v>
      </c>
      <c r="L1098" s="68">
        <v>0.315</v>
      </c>
      <c r="M1098" s="62">
        <v>3.5000000000000003E-2</v>
      </c>
    </row>
    <row r="1099" spans="1:13">
      <c r="A1099" s="14" t="s">
        <v>74</v>
      </c>
      <c r="B1099" s="27">
        <v>115000</v>
      </c>
      <c r="C1099" s="7">
        <v>18</v>
      </c>
      <c r="D1099" s="27">
        <v>54352</v>
      </c>
      <c r="E1099" s="27">
        <v>169352</v>
      </c>
      <c r="F1099" s="27">
        <v>6038</v>
      </c>
      <c r="G1099" s="27">
        <v>6389</v>
      </c>
      <c r="H1099" s="27">
        <v>2684</v>
      </c>
      <c r="I1099" s="27">
        <v>9073</v>
      </c>
      <c r="L1099" s="68">
        <v>0.315</v>
      </c>
      <c r="M1099" s="62">
        <v>3.5000000000000003E-2</v>
      </c>
    </row>
    <row r="1100" spans="1:13">
      <c r="A1100" s="14" t="s">
        <v>74</v>
      </c>
      <c r="B1100" s="27">
        <v>115000</v>
      </c>
      <c r="C1100" s="7">
        <v>20</v>
      </c>
      <c r="D1100" s="27">
        <v>60389</v>
      </c>
      <c r="E1100" s="27">
        <v>175389</v>
      </c>
      <c r="F1100" s="27">
        <v>6709</v>
      </c>
      <c r="G1100" s="27">
        <v>5750</v>
      </c>
      <c r="H1100" s="27">
        <v>2684</v>
      </c>
      <c r="I1100" s="27">
        <v>8434</v>
      </c>
      <c r="L1100" s="68">
        <v>0.315</v>
      </c>
      <c r="M1100" s="62">
        <v>3.5000000000000003E-2</v>
      </c>
    </row>
    <row r="1101" spans="1:13">
      <c r="A1101" s="14" t="s">
        <v>74</v>
      </c>
      <c r="B1101" s="27">
        <v>115000</v>
      </c>
      <c r="C1101" s="7">
        <v>22</v>
      </c>
      <c r="D1101" s="27">
        <v>66422</v>
      </c>
      <c r="E1101" s="27">
        <v>181422</v>
      </c>
      <c r="F1101" s="27">
        <v>7380</v>
      </c>
      <c r="G1101" s="27">
        <v>5228</v>
      </c>
      <c r="H1101" s="27">
        <v>2683</v>
      </c>
      <c r="I1101" s="27">
        <v>7911</v>
      </c>
      <c r="L1101" s="68">
        <v>0.315</v>
      </c>
      <c r="M1101" s="62">
        <v>3.5000000000000003E-2</v>
      </c>
    </row>
    <row r="1102" spans="1:13">
      <c r="A1102" s="14" t="s">
        <v>74</v>
      </c>
      <c r="B1102" s="27">
        <v>115000</v>
      </c>
      <c r="C1102" s="7">
        <v>24</v>
      </c>
      <c r="D1102" s="27">
        <v>72475</v>
      </c>
      <c r="E1102" s="27">
        <v>187475</v>
      </c>
      <c r="F1102" s="27">
        <v>8051</v>
      </c>
      <c r="G1102" s="27">
        <v>4792</v>
      </c>
      <c r="H1102" s="27">
        <v>2684</v>
      </c>
      <c r="I1102" s="27">
        <v>7476</v>
      </c>
      <c r="L1102" s="68">
        <v>0.315</v>
      </c>
      <c r="M1102" s="62">
        <v>3.5000000000000003E-2</v>
      </c>
    </row>
    <row r="1103" spans="1:13">
      <c r="A1103" s="14" t="s">
        <v>74</v>
      </c>
      <c r="B1103" s="27">
        <v>116000</v>
      </c>
      <c r="C1103" s="7">
        <v>4</v>
      </c>
      <c r="D1103" s="27">
        <v>12182</v>
      </c>
      <c r="E1103" s="27">
        <v>128182</v>
      </c>
      <c r="F1103" s="27">
        <v>1354</v>
      </c>
      <c r="G1103" s="27">
        <v>29000</v>
      </c>
      <c r="H1103" s="27">
        <v>2707</v>
      </c>
      <c r="I1103" s="27">
        <v>31707</v>
      </c>
      <c r="L1103" s="68">
        <v>0.315</v>
      </c>
      <c r="M1103" s="62">
        <v>3.5000000000000003E-2</v>
      </c>
    </row>
    <row r="1104" spans="1:13">
      <c r="A1104" s="14" t="s">
        <v>74</v>
      </c>
      <c r="B1104" s="27">
        <v>116000</v>
      </c>
      <c r="C1104" s="7">
        <v>6</v>
      </c>
      <c r="D1104" s="27">
        <v>18277</v>
      </c>
      <c r="E1104" s="27">
        <v>134277</v>
      </c>
      <c r="F1104" s="27">
        <v>2031</v>
      </c>
      <c r="G1104" s="27">
        <v>19334</v>
      </c>
      <c r="H1104" s="27">
        <v>2707</v>
      </c>
      <c r="I1104" s="27">
        <v>22041</v>
      </c>
      <c r="L1104" s="68">
        <v>0.315</v>
      </c>
      <c r="M1104" s="62">
        <v>3.5000000000000003E-2</v>
      </c>
    </row>
    <row r="1105" spans="1:13">
      <c r="A1105" s="14" t="s">
        <v>74</v>
      </c>
      <c r="B1105" s="27">
        <v>116000</v>
      </c>
      <c r="C1105" s="7">
        <v>8</v>
      </c>
      <c r="D1105" s="27">
        <v>24363</v>
      </c>
      <c r="E1105" s="27">
        <v>140363</v>
      </c>
      <c r="F1105" s="27">
        <v>2707</v>
      </c>
      <c r="G1105" s="27">
        <v>14500</v>
      </c>
      <c r="H1105" s="27">
        <v>2707</v>
      </c>
      <c r="I1105" s="27">
        <v>17207</v>
      </c>
      <c r="L1105" s="68">
        <v>0.315</v>
      </c>
      <c r="M1105" s="62">
        <v>3.5000000000000003E-2</v>
      </c>
    </row>
    <row r="1106" spans="1:13">
      <c r="A1106" s="14" t="s">
        <v>74</v>
      </c>
      <c r="B1106" s="27">
        <v>116000</v>
      </c>
      <c r="C1106" s="7">
        <v>10</v>
      </c>
      <c r="D1106" s="27">
        <v>30454</v>
      </c>
      <c r="E1106" s="27">
        <v>146454</v>
      </c>
      <c r="F1106" s="27">
        <v>3384</v>
      </c>
      <c r="G1106" s="27">
        <v>11600</v>
      </c>
      <c r="H1106" s="27">
        <v>2707</v>
      </c>
      <c r="I1106" s="27">
        <v>14307</v>
      </c>
      <c r="L1106" s="68">
        <v>0.315</v>
      </c>
      <c r="M1106" s="62">
        <v>3.5000000000000003E-2</v>
      </c>
    </row>
    <row r="1107" spans="1:13">
      <c r="A1107" s="14" t="s">
        <v>74</v>
      </c>
      <c r="B1107" s="27">
        <v>116000</v>
      </c>
      <c r="C1107" s="7">
        <v>12</v>
      </c>
      <c r="D1107" s="27">
        <v>36549</v>
      </c>
      <c r="E1107" s="27">
        <v>152549</v>
      </c>
      <c r="F1107" s="27">
        <v>4061</v>
      </c>
      <c r="G1107" s="27">
        <v>9667</v>
      </c>
      <c r="H1107" s="27">
        <v>2707</v>
      </c>
      <c r="I1107" s="27">
        <v>12374</v>
      </c>
      <c r="L1107" s="68">
        <v>0.315</v>
      </c>
      <c r="M1107" s="62">
        <v>3.5000000000000003E-2</v>
      </c>
    </row>
    <row r="1108" spans="1:13">
      <c r="A1108" s="14" t="s">
        <v>74</v>
      </c>
      <c r="B1108" s="27">
        <v>116000</v>
      </c>
      <c r="C1108" s="7">
        <v>14</v>
      </c>
      <c r="D1108" s="27">
        <v>42639</v>
      </c>
      <c r="E1108" s="27">
        <v>158639</v>
      </c>
      <c r="F1108" s="27">
        <v>4737</v>
      </c>
      <c r="G1108" s="27">
        <v>8286</v>
      </c>
      <c r="H1108" s="27">
        <v>2707</v>
      </c>
      <c r="I1108" s="27">
        <v>10993</v>
      </c>
      <c r="L1108" s="68">
        <v>0.315</v>
      </c>
      <c r="M1108" s="62">
        <v>3.5000000000000003E-2</v>
      </c>
    </row>
    <row r="1109" spans="1:13">
      <c r="A1109" s="14" t="s">
        <v>74</v>
      </c>
      <c r="B1109" s="27">
        <v>116000</v>
      </c>
      <c r="C1109" s="7">
        <v>16</v>
      </c>
      <c r="D1109" s="27">
        <v>48726</v>
      </c>
      <c r="E1109" s="27">
        <v>164726</v>
      </c>
      <c r="F1109" s="27">
        <v>5414</v>
      </c>
      <c r="G1109" s="27">
        <v>7250</v>
      </c>
      <c r="H1109" s="27">
        <v>2707</v>
      </c>
      <c r="I1109" s="27">
        <v>9957</v>
      </c>
      <c r="L1109" s="68">
        <v>0.315</v>
      </c>
      <c r="M1109" s="62">
        <v>3.5000000000000003E-2</v>
      </c>
    </row>
    <row r="1110" spans="1:13">
      <c r="A1110" s="14" t="s">
        <v>74</v>
      </c>
      <c r="B1110" s="27">
        <v>116000</v>
      </c>
      <c r="C1110" s="7">
        <v>18</v>
      </c>
      <c r="D1110" s="27">
        <v>54827</v>
      </c>
      <c r="E1110" s="27">
        <v>170827</v>
      </c>
      <c r="F1110" s="27">
        <v>6091</v>
      </c>
      <c r="G1110" s="27">
        <v>6445</v>
      </c>
      <c r="H1110" s="27">
        <v>2707</v>
      </c>
      <c r="I1110" s="27">
        <v>9152</v>
      </c>
      <c r="L1110" s="68">
        <v>0.315</v>
      </c>
      <c r="M1110" s="62">
        <v>3.5000000000000003E-2</v>
      </c>
    </row>
    <row r="1111" spans="1:13">
      <c r="A1111" s="14" t="s">
        <v>74</v>
      </c>
      <c r="B1111" s="27">
        <v>116000</v>
      </c>
      <c r="C1111" s="7">
        <v>20</v>
      </c>
      <c r="D1111" s="27">
        <v>60907</v>
      </c>
      <c r="E1111" s="27">
        <v>176907</v>
      </c>
      <c r="F1111" s="27">
        <v>6767</v>
      </c>
      <c r="G1111" s="27">
        <v>5800</v>
      </c>
      <c r="H1111" s="27">
        <v>2707</v>
      </c>
      <c r="I1111" s="27">
        <v>8507</v>
      </c>
      <c r="L1111" s="68">
        <v>0.315</v>
      </c>
      <c r="M1111" s="62">
        <v>3.5000000000000003E-2</v>
      </c>
    </row>
    <row r="1112" spans="1:13">
      <c r="A1112" s="14" t="s">
        <v>74</v>
      </c>
      <c r="B1112" s="27">
        <v>116000</v>
      </c>
      <c r="C1112" s="7">
        <v>22</v>
      </c>
      <c r="D1112" s="27">
        <v>67004</v>
      </c>
      <c r="E1112" s="27">
        <v>183004</v>
      </c>
      <c r="F1112" s="27">
        <v>7444</v>
      </c>
      <c r="G1112" s="27">
        <v>5273</v>
      </c>
      <c r="H1112" s="27">
        <v>2707</v>
      </c>
      <c r="I1112" s="27">
        <v>7980</v>
      </c>
      <c r="L1112" s="68">
        <v>0.315</v>
      </c>
      <c r="M1112" s="62">
        <v>3.5000000000000003E-2</v>
      </c>
    </row>
    <row r="1113" spans="1:13">
      <c r="A1113" s="14" t="s">
        <v>74</v>
      </c>
      <c r="B1113" s="27">
        <v>116000</v>
      </c>
      <c r="C1113" s="7">
        <v>24</v>
      </c>
      <c r="D1113" s="27">
        <v>73105</v>
      </c>
      <c r="E1113" s="27">
        <v>189105</v>
      </c>
      <c r="F1113" s="27">
        <v>8121</v>
      </c>
      <c r="G1113" s="27">
        <v>4834</v>
      </c>
      <c r="H1113" s="27">
        <v>2707</v>
      </c>
      <c r="I1113" s="27">
        <v>7541</v>
      </c>
      <c r="L1113" s="68">
        <v>0.315</v>
      </c>
      <c r="M1113" s="62">
        <v>3.5000000000000003E-2</v>
      </c>
    </row>
    <row r="1114" spans="1:13">
      <c r="A1114" s="14" t="s">
        <v>74</v>
      </c>
      <c r="B1114" s="27">
        <v>117000</v>
      </c>
      <c r="C1114" s="7">
        <v>4</v>
      </c>
      <c r="D1114" s="27">
        <v>12290</v>
      </c>
      <c r="E1114" s="27">
        <v>129290</v>
      </c>
      <c r="F1114" s="27">
        <v>1366</v>
      </c>
      <c r="G1114" s="27">
        <v>29250</v>
      </c>
      <c r="H1114" s="27">
        <v>2731</v>
      </c>
      <c r="I1114" s="27">
        <v>31981</v>
      </c>
      <c r="L1114" s="68">
        <v>0.315</v>
      </c>
      <c r="M1114" s="62">
        <v>3.5000000000000003E-2</v>
      </c>
    </row>
    <row r="1115" spans="1:13">
      <c r="A1115" s="14" t="s">
        <v>74</v>
      </c>
      <c r="B1115" s="27">
        <v>117000</v>
      </c>
      <c r="C1115" s="7">
        <v>6</v>
      </c>
      <c r="D1115" s="27">
        <v>18434</v>
      </c>
      <c r="E1115" s="27">
        <v>135434</v>
      </c>
      <c r="F1115" s="27">
        <v>2048</v>
      </c>
      <c r="G1115" s="27">
        <v>19500</v>
      </c>
      <c r="H1115" s="27">
        <v>2731</v>
      </c>
      <c r="I1115" s="27">
        <v>22231</v>
      </c>
      <c r="L1115" s="68">
        <v>0.315</v>
      </c>
      <c r="M1115" s="62">
        <v>3.5000000000000003E-2</v>
      </c>
    </row>
    <row r="1116" spans="1:13">
      <c r="A1116" s="14" t="s">
        <v>74</v>
      </c>
      <c r="B1116" s="27">
        <v>117000</v>
      </c>
      <c r="C1116" s="7">
        <v>8</v>
      </c>
      <c r="D1116" s="27">
        <v>24579</v>
      </c>
      <c r="E1116" s="27">
        <v>141579</v>
      </c>
      <c r="F1116" s="27">
        <v>2731</v>
      </c>
      <c r="G1116" s="27">
        <v>14625</v>
      </c>
      <c r="H1116" s="27">
        <v>2731</v>
      </c>
      <c r="I1116" s="27">
        <v>17356</v>
      </c>
      <c r="L1116" s="68">
        <v>0.315</v>
      </c>
      <c r="M1116" s="62">
        <v>3.5000000000000003E-2</v>
      </c>
    </row>
    <row r="1117" spans="1:13">
      <c r="A1117" s="14" t="s">
        <v>74</v>
      </c>
      <c r="B1117" s="27">
        <v>117000</v>
      </c>
      <c r="C1117" s="7">
        <v>10</v>
      </c>
      <c r="D1117" s="27">
        <v>30723</v>
      </c>
      <c r="E1117" s="27">
        <v>147723</v>
      </c>
      <c r="F1117" s="27">
        <v>3413</v>
      </c>
      <c r="G1117" s="27">
        <v>11700</v>
      </c>
      <c r="H1117" s="27">
        <v>2731</v>
      </c>
      <c r="I1117" s="27">
        <v>14431</v>
      </c>
      <c r="L1117" s="68">
        <v>0.315</v>
      </c>
      <c r="M1117" s="62">
        <v>3.5000000000000003E-2</v>
      </c>
    </row>
    <row r="1118" spans="1:13">
      <c r="A1118" s="14" t="s">
        <v>74</v>
      </c>
      <c r="B1118" s="27">
        <v>117000</v>
      </c>
      <c r="C1118" s="7">
        <v>12</v>
      </c>
      <c r="D1118" s="27">
        <v>36868</v>
      </c>
      <c r="E1118" s="27">
        <v>153868</v>
      </c>
      <c r="F1118" s="27">
        <v>4096</v>
      </c>
      <c r="G1118" s="27">
        <v>9750</v>
      </c>
      <c r="H1118" s="27">
        <v>2731</v>
      </c>
      <c r="I1118" s="27">
        <v>12481</v>
      </c>
      <c r="L1118" s="68">
        <v>0.315</v>
      </c>
      <c r="M1118" s="62">
        <v>3.5000000000000003E-2</v>
      </c>
    </row>
    <row r="1119" spans="1:13">
      <c r="A1119" s="14" t="s">
        <v>74</v>
      </c>
      <c r="B1119" s="27">
        <v>117000</v>
      </c>
      <c r="C1119" s="7">
        <v>14</v>
      </c>
      <c r="D1119" s="27">
        <v>43010</v>
      </c>
      <c r="E1119" s="27">
        <v>160010</v>
      </c>
      <c r="F1119" s="27">
        <v>4778</v>
      </c>
      <c r="G1119" s="27">
        <v>8358</v>
      </c>
      <c r="H1119" s="27">
        <v>2730</v>
      </c>
      <c r="I1119" s="27">
        <v>11088</v>
      </c>
      <c r="L1119" s="68">
        <v>0.315</v>
      </c>
      <c r="M1119" s="62">
        <v>3.5000000000000003E-2</v>
      </c>
    </row>
    <row r="1120" spans="1:13">
      <c r="A1120" s="14" t="s">
        <v>74</v>
      </c>
      <c r="B1120" s="27">
        <v>117000</v>
      </c>
      <c r="C1120" s="7">
        <v>16</v>
      </c>
      <c r="D1120" s="27">
        <v>49149</v>
      </c>
      <c r="E1120" s="27">
        <v>166149</v>
      </c>
      <c r="F1120" s="27">
        <v>5461</v>
      </c>
      <c r="G1120" s="27">
        <v>7313</v>
      </c>
      <c r="H1120" s="27">
        <v>2730</v>
      </c>
      <c r="I1120" s="27">
        <v>10043</v>
      </c>
      <c r="L1120" s="68">
        <v>0.315</v>
      </c>
      <c r="M1120" s="62">
        <v>3.5000000000000003E-2</v>
      </c>
    </row>
    <row r="1121" spans="1:13">
      <c r="A1121" s="14" t="s">
        <v>74</v>
      </c>
      <c r="B1121" s="27">
        <v>117000</v>
      </c>
      <c r="C1121" s="7">
        <v>18</v>
      </c>
      <c r="D1121" s="27">
        <v>55301</v>
      </c>
      <c r="E1121" s="27">
        <v>172301</v>
      </c>
      <c r="F1121" s="27">
        <v>6143</v>
      </c>
      <c r="G1121" s="27">
        <v>6500</v>
      </c>
      <c r="H1121" s="27">
        <v>2731</v>
      </c>
      <c r="I1121" s="27">
        <v>9231</v>
      </c>
      <c r="L1121" s="68">
        <v>0.315</v>
      </c>
      <c r="M1121" s="62">
        <v>3.5000000000000003E-2</v>
      </c>
    </row>
    <row r="1122" spans="1:13">
      <c r="A1122" s="14" t="s">
        <v>74</v>
      </c>
      <c r="B1122" s="27">
        <v>117000</v>
      </c>
      <c r="C1122" s="7">
        <v>20</v>
      </c>
      <c r="D1122" s="27">
        <v>61446</v>
      </c>
      <c r="E1122" s="27">
        <v>178446</v>
      </c>
      <c r="F1122" s="27">
        <v>6826</v>
      </c>
      <c r="G1122" s="27">
        <v>5850</v>
      </c>
      <c r="H1122" s="27">
        <v>2731</v>
      </c>
      <c r="I1122" s="27">
        <v>8581</v>
      </c>
      <c r="L1122" s="68">
        <v>0.315</v>
      </c>
      <c r="M1122" s="62">
        <v>3.5000000000000003E-2</v>
      </c>
    </row>
    <row r="1123" spans="1:13">
      <c r="A1123" s="14" t="s">
        <v>74</v>
      </c>
      <c r="B1123" s="27">
        <v>117000</v>
      </c>
      <c r="C1123" s="7">
        <v>22</v>
      </c>
      <c r="D1123" s="27">
        <v>67586</v>
      </c>
      <c r="E1123" s="27">
        <v>184586</v>
      </c>
      <c r="F1123" s="27">
        <v>7508</v>
      </c>
      <c r="G1123" s="27">
        <v>5319</v>
      </c>
      <c r="H1123" s="27">
        <v>2730</v>
      </c>
      <c r="I1123" s="27">
        <v>8049</v>
      </c>
      <c r="L1123" s="68">
        <v>0.315</v>
      </c>
      <c r="M1123" s="62">
        <v>3.5000000000000003E-2</v>
      </c>
    </row>
    <row r="1124" spans="1:13">
      <c r="A1124" s="14" t="s">
        <v>74</v>
      </c>
      <c r="B1124" s="27">
        <v>117000</v>
      </c>
      <c r="C1124" s="7">
        <v>24</v>
      </c>
      <c r="D1124" s="27">
        <v>73735</v>
      </c>
      <c r="E1124" s="27">
        <v>190735</v>
      </c>
      <c r="F1124" s="27">
        <v>8191</v>
      </c>
      <c r="G1124" s="27">
        <v>4875</v>
      </c>
      <c r="H1124" s="27">
        <v>2731</v>
      </c>
      <c r="I1124" s="27">
        <v>7606</v>
      </c>
      <c r="L1124" s="68">
        <v>0.315</v>
      </c>
      <c r="M1124" s="62">
        <v>3.5000000000000003E-2</v>
      </c>
    </row>
    <row r="1125" spans="1:13">
      <c r="A1125" s="14" t="s">
        <v>74</v>
      </c>
      <c r="B1125" s="27">
        <v>118000</v>
      </c>
      <c r="C1125" s="7">
        <v>4</v>
      </c>
      <c r="D1125" s="27">
        <v>12393</v>
      </c>
      <c r="E1125" s="27">
        <v>130393</v>
      </c>
      <c r="F1125" s="27">
        <v>1377</v>
      </c>
      <c r="G1125" s="27">
        <v>29500</v>
      </c>
      <c r="H1125" s="27">
        <v>2754</v>
      </c>
      <c r="I1125" s="27">
        <v>32254</v>
      </c>
      <c r="L1125" s="68">
        <v>0.315</v>
      </c>
      <c r="M1125" s="62">
        <v>3.5000000000000003E-2</v>
      </c>
    </row>
    <row r="1126" spans="1:13">
      <c r="A1126" s="14" t="s">
        <v>74</v>
      </c>
      <c r="B1126" s="27">
        <v>118000</v>
      </c>
      <c r="C1126" s="7">
        <v>6</v>
      </c>
      <c r="D1126" s="27">
        <v>18592</v>
      </c>
      <c r="E1126" s="27">
        <v>136592</v>
      </c>
      <c r="F1126" s="27">
        <v>2066</v>
      </c>
      <c r="G1126" s="27">
        <v>19667</v>
      </c>
      <c r="H1126" s="27">
        <v>2754</v>
      </c>
      <c r="I1126" s="27">
        <v>22421</v>
      </c>
      <c r="L1126" s="68">
        <v>0.315</v>
      </c>
      <c r="M1126" s="62">
        <v>3.5000000000000003E-2</v>
      </c>
    </row>
    <row r="1127" spans="1:13">
      <c r="A1127" s="14" t="s">
        <v>74</v>
      </c>
      <c r="B1127" s="27">
        <v>118000</v>
      </c>
      <c r="C1127" s="7">
        <v>8</v>
      </c>
      <c r="D1127" s="27">
        <v>24786</v>
      </c>
      <c r="E1127" s="27">
        <v>142786</v>
      </c>
      <c r="F1127" s="27">
        <v>2754</v>
      </c>
      <c r="G1127" s="27">
        <v>14750</v>
      </c>
      <c r="H1127" s="27">
        <v>2754</v>
      </c>
      <c r="I1127" s="27">
        <v>17504</v>
      </c>
      <c r="L1127" s="68">
        <v>0.315</v>
      </c>
      <c r="M1127" s="62">
        <v>3.5000000000000003E-2</v>
      </c>
    </row>
    <row r="1128" spans="1:13">
      <c r="A1128" s="14" t="s">
        <v>74</v>
      </c>
      <c r="B1128" s="27">
        <v>118000</v>
      </c>
      <c r="C1128" s="7">
        <v>10</v>
      </c>
      <c r="D1128" s="27">
        <v>30982</v>
      </c>
      <c r="E1128" s="27">
        <v>148982</v>
      </c>
      <c r="F1128" s="27">
        <v>3442</v>
      </c>
      <c r="G1128" s="27">
        <v>11800</v>
      </c>
      <c r="H1128" s="27">
        <v>2754</v>
      </c>
      <c r="I1128" s="27">
        <v>14554</v>
      </c>
      <c r="L1128" s="68">
        <v>0.315</v>
      </c>
      <c r="M1128" s="62">
        <v>3.5000000000000003E-2</v>
      </c>
    </row>
    <row r="1129" spans="1:13">
      <c r="A1129" s="14" t="s">
        <v>74</v>
      </c>
      <c r="B1129" s="27">
        <v>118000</v>
      </c>
      <c r="C1129" s="7">
        <v>12</v>
      </c>
      <c r="D1129" s="27">
        <v>37175</v>
      </c>
      <c r="E1129" s="27">
        <v>155175</v>
      </c>
      <c r="F1129" s="27">
        <v>4131</v>
      </c>
      <c r="G1129" s="27">
        <v>9834</v>
      </c>
      <c r="H1129" s="27">
        <v>2753</v>
      </c>
      <c r="I1129" s="27">
        <v>12587</v>
      </c>
      <c r="L1129" s="68">
        <v>0.315</v>
      </c>
      <c r="M1129" s="62">
        <v>3.5000000000000003E-2</v>
      </c>
    </row>
    <row r="1130" spans="1:13">
      <c r="A1130" s="14" t="s">
        <v>74</v>
      </c>
      <c r="B1130" s="27">
        <v>118000</v>
      </c>
      <c r="C1130" s="7">
        <v>14</v>
      </c>
      <c r="D1130" s="27">
        <v>43367</v>
      </c>
      <c r="E1130" s="27">
        <v>161367</v>
      </c>
      <c r="F1130" s="27">
        <v>4819</v>
      </c>
      <c r="G1130" s="27">
        <v>8429</v>
      </c>
      <c r="H1130" s="27">
        <v>2753</v>
      </c>
      <c r="I1130" s="27">
        <v>11182</v>
      </c>
      <c r="L1130" s="68">
        <v>0.315</v>
      </c>
      <c r="M1130" s="62">
        <v>3.5000000000000003E-2</v>
      </c>
    </row>
    <row r="1131" spans="1:13">
      <c r="A1131" s="14" t="s">
        <v>74</v>
      </c>
      <c r="B1131" s="27">
        <v>118000</v>
      </c>
      <c r="C1131" s="7">
        <v>16</v>
      </c>
      <c r="D1131" s="27">
        <v>49571</v>
      </c>
      <c r="E1131" s="27">
        <v>167571</v>
      </c>
      <c r="F1131" s="27">
        <v>5507</v>
      </c>
      <c r="G1131" s="27">
        <v>7375</v>
      </c>
      <c r="H1131" s="27">
        <v>2754</v>
      </c>
      <c r="I1131" s="27">
        <v>10129</v>
      </c>
      <c r="L1131" s="68">
        <v>0.315</v>
      </c>
      <c r="M1131" s="62">
        <v>3.5000000000000003E-2</v>
      </c>
    </row>
    <row r="1132" spans="1:13">
      <c r="A1132" s="14" t="s">
        <v>74</v>
      </c>
      <c r="B1132" s="27">
        <v>118000</v>
      </c>
      <c r="C1132" s="7">
        <v>18</v>
      </c>
      <c r="D1132" s="27">
        <v>55758</v>
      </c>
      <c r="E1132" s="27">
        <v>173758</v>
      </c>
      <c r="F1132" s="27">
        <v>6196</v>
      </c>
      <c r="G1132" s="27">
        <v>6556</v>
      </c>
      <c r="H1132" s="27">
        <v>2753</v>
      </c>
      <c r="I1132" s="27">
        <v>9309</v>
      </c>
      <c r="L1132" s="68">
        <v>0.315</v>
      </c>
      <c r="M1132" s="62">
        <v>3.5000000000000003E-2</v>
      </c>
    </row>
    <row r="1133" spans="1:13">
      <c r="A1133" s="14" t="s">
        <v>74</v>
      </c>
      <c r="B1133" s="27">
        <v>118000</v>
      </c>
      <c r="C1133" s="7">
        <v>20</v>
      </c>
      <c r="D1133" s="27">
        <v>61964</v>
      </c>
      <c r="E1133" s="27">
        <v>179964</v>
      </c>
      <c r="F1133" s="27">
        <v>6884</v>
      </c>
      <c r="G1133" s="27">
        <v>5900</v>
      </c>
      <c r="H1133" s="27">
        <v>2754</v>
      </c>
      <c r="I1133" s="27">
        <v>8654</v>
      </c>
      <c r="L1133" s="68">
        <v>0.315</v>
      </c>
      <c r="M1133" s="62">
        <v>3.5000000000000003E-2</v>
      </c>
    </row>
    <row r="1134" spans="1:13">
      <c r="A1134" s="14" t="s">
        <v>74</v>
      </c>
      <c r="B1134" s="27">
        <v>118000</v>
      </c>
      <c r="C1134" s="7">
        <v>22</v>
      </c>
      <c r="D1134" s="27">
        <v>68146</v>
      </c>
      <c r="E1134" s="27">
        <v>186146</v>
      </c>
      <c r="F1134" s="27">
        <v>7572</v>
      </c>
      <c r="G1134" s="27">
        <v>5364</v>
      </c>
      <c r="H1134" s="27">
        <v>2753</v>
      </c>
      <c r="I1134" s="27">
        <v>8117</v>
      </c>
      <c r="L1134" s="68">
        <v>0.315</v>
      </c>
      <c r="M1134" s="62">
        <v>3.5000000000000003E-2</v>
      </c>
    </row>
    <row r="1135" spans="1:13">
      <c r="A1135" s="14" t="s">
        <v>74</v>
      </c>
      <c r="B1135" s="27">
        <v>118000</v>
      </c>
      <c r="C1135" s="7">
        <v>24</v>
      </c>
      <c r="D1135" s="27">
        <v>74365</v>
      </c>
      <c r="E1135" s="27">
        <v>192365</v>
      </c>
      <c r="F1135" s="27">
        <v>8261</v>
      </c>
      <c r="G1135" s="27">
        <v>4917</v>
      </c>
      <c r="H1135" s="27">
        <v>2754</v>
      </c>
      <c r="I1135" s="27">
        <v>7671</v>
      </c>
      <c r="L1135" s="68">
        <v>0.315</v>
      </c>
      <c r="M1135" s="62">
        <v>3.5000000000000003E-2</v>
      </c>
    </row>
    <row r="1136" spans="1:13">
      <c r="A1136" s="14" t="s">
        <v>74</v>
      </c>
      <c r="B1136" s="27">
        <v>119000</v>
      </c>
      <c r="C1136" s="7">
        <v>4</v>
      </c>
      <c r="D1136" s="27">
        <v>12497</v>
      </c>
      <c r="E1136" s="27">
        <v>131497</v>
      </c>
      <c r="F1136" s="27">
        <v>1389</v>
      </c>
      <c r="G1136" s="27">
        <v>29750</v>
      </c>
      <c r="H1136" s="27">
        <v>2777</v>
      </c>
      <c r="I1136" s="27">
        <v>32527</v>
      </c>
      <c r="L1136" s="68">
        <v>0.315</v>
      </c>
      <c r="M1136" s="62">
        <v>3.5000000000000003E-2</v>
      </c>
    </row>
    <row r="1137" spans="1:13">
      <c r="A1137" s="14" t="s">
        <v>74</v>
      </c>
      <c r="B1137" s="27">
        <v>119000</v>
      </c>
      <c r="C1137" s="7">
        <v>6</v>
      </c>
      <c r="D1137" s="27">
        <v>18749</v>
      </c>
      <c r="E1137" s="27">
        <v>137749</v>
      </c>
      <c r="F1137" s="27">
        <v>2083</v>
      </c>
      <c r="G1137" s="27">
        <v>19834</v>
      </c>
      <c r="H1137" s="27">
        <v>2777</v>
      </c>
      <c r="I1137" s="27">
        <v>22611</v>
      </c>
      <c r="L1137" s="68">
        <v>0.315</v>
      </c>
      <c r="M1137" s="62">
        <v>3.5000000000000003E-2</v>
      </c>
    </row>
    <row r="1138" spans="1:13">
      <c r="A1138" s="14" t="s">
        <v>74</v>
      </c>
      <c r="B1138" s="27">
        <v>119000</v>
      </c>
      <c r="C1138" s="7">
        <v>8</v>
      </c>
      <c r="D1138" s="27">
        <v>24993</v>
      </c>
      <c r="E1138" s="27">
        <v>143993</v>
      </c>
      <c r="F1138" s="27">
        <v>2777</v>
      </c>
      <c r="G1138" s="27">
        <v>14875</v>
      </c>
      <c r="H1138" s="27">
        <v>2777</v>
      </c>
      <c r="I1138" s="27">
        <v>17652</v>
      </c>
      <c r="L1138" s="68">
        <v>0.315</v>
      </c>
      <c r="M1138" s="62">
        <v>3.5000000000000003E-2</v>
      </c>
    </row>
    <row r="1139" spans="1:13">
      <c r="A1139" s="14" t="s">
        <v>74</v>
      </c>
      <c r="B1139" s="27">
        <v>119000</v>
      </c>
      <c r="C1139" s="7">
        <v>10</v>
      </c>
      <c r="D1139" s="27">
        <v>31241</v>
      </c>
      <c r="E1139" s="27">
        <v>150241</v>
      </c>
      <c r="F1139" s="27">
        <v>3471</v>
      </c>
      <c r="G1139" s="27">
        <v>11900</v>
      </c>
      <c r="H1139" s="27">
        <v>2777</v>
      </c>
      <c r="I1139" s="27">
        <v>14677</v>
      </c>
      <c r="L1139" s="68">
        <v>0.315</v>
      </c>
      <c r="M1139" s="62">
        <v>3.5000000000000003E-2</v>
      </c>
    </row>
    <row r="1140" spans="1:13">
      <c r="A1140" s="14" t="s">
        <v>74</v>
      </c>
      <c r="B1140" s="27">
        <v>119000</v>
      </c>
      <c r="C1140" s="7">
        <v>12</v>
      </c>
      <c r="D1140" s="27">
        <v>37494</v>
      </c>
      <c r="E1140" s="27">
        <v>156494</v>
      </c>
      <c r="F1140" s="27">
        <v>4166</v>
      </c>
      <c r="G1140" s="27">
        <v>9917</v>
      </c>
      <c r="H1140" s="27">
        <v>2777</v>
      </c>
      <c r="I1140" s="27">
        <v>12694</v>
      </c>
      <c r="L1140" s="68">
        <v>0.315</v>
      </c>
      <c r="M1140" s="62">
        <v>3.5000000000000003E-2</v>
      </c>
    </row>
    <row r="1141" spans="1:13">
      <c r="A1141" s="14" t="s">
        <v>74</v>
      </c>
      <c r="B1141" s="27">
        <v>119000</v>
      </c>
      <c r="C1141" s="7">
        <v>14</v>
      </c>
      <c r="D1141" s="27">
        <v>43738</v>
      </c>
      <c r="E1141" s="27">
        <v>162738</v>
      </c>
      <c r="F1141" s="27">
        <v>4860</v>
      </c>
      <c r="G1141" s="27">
        <v>8500</v>
      </c>
      <c r="H1141" s="27">
        <v>2777</v>
      </c>
      <c r="I1141" s="27">
        <v>11277</v>
      </c>
      <c r="L1141" s="68">
        <v>0.315</v>
      </c>
      <c r="M1141" s="62">
        <v>3.5000000000000003E-2</v>
      </c>
    </row>
    <row r="1142" spans="1:13">
      <c r="A1142" s="14" t="s">
        <v>74</v>
      </c>
      <c r="B1142" s="27">
        <v>119000</v>
      </c>
      <c r="C1142" s="7">
        <v>16</v>
      </c>
      <c r="D1142" s="27">
        <v>49994</v>
      </c>
      <c r="E1142" s="27">
        <v>168994</v>
      </c>
      <c r="F1142" s="27">
        <v>5554</v>
      </c>
      <c r="G1142" s="27">
        <v>7438</v>
      </c>
      <c r="H1142" s="27">
        <v>2777</v>
      </c>
      <c r="I1142" s="27">
        <v>10215</v>
      </c>
      <c r="L1142" s="68">
        <v>0.315</v>
      </c>
      <c r="M1142" s="62">
        <v>3.5000000000000003E-2</v>
      </c>
    </row>
    <row r="1143" spans="1:13">
      <c r="A1143" s="14" t="s">
        <v>74</v>
      </c>
      <c r="B1143" s="27">
        <v>119000</v>
      </c>
      <c r="C1143" s="7">
        <v>18</v>
      </c>
      <c r="D1143" s="27">
        <v>56232</v>
      </c>
      <c r="E1143" s="27">
        <v>175232</v>
      </c>
      <c r="F1143" s="27">
        <v>6248</v>
      </c>
      <c r="G1143" s="27">
        <v>6612</v>
      </c>
      <c r="H1143" s="27">
        <v>2776</v>
      </c>
      <c r="I1143" s="27">
        <v>9388</v>
      </c>
      <c r="L1143" s="68">
        <v>0.315</v>
      </c>
      <c r="M1143" s="62">
        <v>3.5000000000000003E-2</v>
      </c>
    </row>
    <row r="1144" spans="1:13">
      <c r="A1144" s="14" t="s">
        <v>74</v>
      </c>
      <c r="B1144" s="27">
        <v>119000</v>
      </c>
      <c r="C1144" s="7">
        <v>20</v>
      </c>
      <c r="D1144" s="27">
        <v>62482</v>
      </c>
      <c r="E1144" s="27">
        <v>181482</v>
      </c>
      <c r="F1144" s="27">
        <v>6942</v>
      </c>
      <c r="G1144" s="27">
        <v>5950</v>
      </c>
      <c r="H1144" s="27">
        <v>2777</v>
      </c>
      <c r="I1144" s="27">
        <v>8727</v>
      </c>
      <c r="L1144" s="68">
        <v>0.315</v>
      </c>
      <c r="M1144" s="62">
        <v>3.5000000000000003E-2</v>
      </c>
    </row>
    <row r="1145" spans="1:13">
      <c r="A1145" s="14" t="s">
        <v>74</v>
      </c>
      <c r="B1145" s="27">
        <v>119000</v>
      </c>
      <c r="C1145" s="7">
        <v>22</v>
      </c>
      <c r="D1145" s="27">
        <v>68728</v>
      </c>
      <c r="E1145" s="27">
        <v>187728</v>
      </c>
      <c r="F1145" s="27">
        <v>7636</v>
      </c>
      <c r="G1145" s="27">
        <v>5410</v>
      </c>
      <c r="H1145" s="27">
        <v>2776</v>
      </c>
      <c r="I1145" s="27">
        <v>8186</v>
      </c>
      <c r="L1145" s="68">
        <v>0.315</v>
      </c>
      <c r="M1145" s="62">
        <v>3.5000000000000003E-2</v>
      </c>
    </row>
    <row r="1146" spans="1:13">
      <c r="A1146" s="14" t="s">
        <v>74</v>
      </c>
      <c r="B1146" s="27">
        <v>119000</v>
      </c>
      <c r="C1146" s="7">
        <v>24</v>
      </c>
      <c r="D1146" s="27">
        <v>74995</v>
      </c>
      <c r="E1146" s="27">
        <v>193995</v>
      </c>
      <c r="F1146" s="27">
        <v>8331</v>
      </c>
      <c r="G1146" s="27">
        <v>4959</v>
      </c>
      <c r="H1146" s="27">
        <v>2777</v>
      </c>
      <c r="I1146" s="27">
        <v>7736</v>
      </c>
      <c r="L1146" s="68">
        <v>0.315</v>
      </c>
      <c r="M1146" s="62">
        <v>3.5000000000000003E-2</v>
      </c>
    </row>
    <row r="1147" spans="1:13">
      <c r="A1147" s="14" t="s">
        <v>74</v>
      </c>
      <c r="B1147" s="27">
        <v>120000</v>
      </c>
      <c r="C1147" s="7">
        <v>4</v>
      </c>
      <c r="D1147" s="27">
        <v>12605</v>
      </c>
      <c r="E1147" s="27">
        <v>132605</v>
      </c>
      <c r="F1147" s="27">
        <v>1401</v>
      </c>
      <c r="G1147" s="27">
        <v>30000</v>
      </c>
      <c r="H1147" s="27">
        <v>2801</v>
      </c>
      <c r="I1147" s="27">
        <v>32801</v>
      </c>
      <c r="L1147" s="68">
        <v>0.315</v>
      </c>
      <c r="M1147" s="62">
        <v>3.5000000000000003E-2</v>
      </c>
    </row>
    <row r="1148" spans="1:13">
      <c r="A1148" s="14" t="s">
        <v>74</v>
      </c>
      <c r="B1148" s="27">
        <v>120000</v>
      </c>
      <c r="C1148" s="7">
        <v>6</v>
      </c>
      <c r="D1148" s="27">
        <v>18907</v>
      </c>
      <c r="E1148" s="27">
        <v>138907</v>
      </c>
      <c r="F1148" s="27">
        <v>2101</v>
      </c>
      <c r="G1148" s="27">
        <v>20000</v>
      </c>
      <c r="H1148" s="27">
        <v>2801</v>
      </c>
      <c r="I1148" s="27">
        <v>22801</v>
      </c>
      <c r="L1148" s="68">
        <v>0.315</v>
      </c>
      <c r="M1148" s="62">
        <v>3.5000000000000003E-2</v>
      </c>
    </row>
    <row r="1149" spans="1:13">
      <c r="A1149" s="14" t="s">
        <v>74</v>
      </c>
      <c r="B1149" s="27">
        <v>120000</v>
      </c>
      <c r="C1149" s="7">
        <v>8</v>
      </c>
      <c r="D1149" s="27">
        <v>25209</v>
      </c>
      <c r="E1149" s="27">
        <v>145209</v>
      </c>
      <c r="F1149" s="27">
        <v>2801</v>
      </c>
      <c r="G1149" s="27">
        <v>15000</v>
      </c>
      <c r="H1149" s="27">
        <v>2801</v>
      </c>
      <c r="I1149" s="27">
        <v>17801</v>
      </c>
      <c r="L1149" s="68">
        <v>0.315</v>
      </c>
      <c r="M1149" s="62">
        <v>3.5000000000000003E-2</v>
      </c>
    </row>
    <row r="1150" spans="1:13">
      <c r="A1150" s="14" t="s">
        <v>74</v>
      </c>
      <c r="B1150" s="27">
        <v>120000</v>
      </c>
      <c r="C1150" s="7">
        <v>10</v>
      </c>
      <c r="D1150" s="27">
        <v>31511</v>
      </c>
      <c r="E1150" s="27">
        <v>151511</v>
      </c>
      <c r="F1150" s="27">
        <v>3501</v>
      </c>
      <c r="G1150" s="27">
        <v>12000</v>
      </c>
      <c r="H1150" s="27">
        <v>2801</v>
      </c>
      <c r="I1150" s="27">
        <v>14801</v>
      </c>
      <c r="L1150" s="68">
        <v>0.315</v>
      </c>
      <c r="M1150" s="62">
        <v>3.5000000000000003E-2</v>
      </c>
    </row>
    <row r="1151" spans="1:13">
      <c r="A1151" s="14" t="s">
        <v>74</v>
      </c>
      <c r="B1151" s="27">
        <v>120000</v>
      </c>
      <c r="C1151" s="7">
        <v>12</v>
      </c>
      <c r="D1151" s="27">
        <v>37813</v>
      </c>
      <c r="E1151" s="27">
        <v>157813</v>
      </c>
      <c r="F1151" s="27">
        <v>4201</v>
      </c>
      <c r="G1151" s="27">
        <v>10000</v>
      </c>
      <c r="H1151" s="27">
        <v>2801</v>
      </c>
      <c r="I1151" s="27">
        <v>12801</v>
      </c>
      <c r="L1151" s="68">
        <v>0.315</v>
      </c>
      <c r="M1151" s="62">
        <v>3.5000000000000003E-2</v>
      </c>
    </row>
    <row r="1152" spans="1:13">
      <c r="A1152" s="14" t="s">
        <v>74</v>
      </c>
      <c r="B1152" s="27">
        <v>120000</v>
      </c>
      <c r="C1152" s="7">
        <v>14</v>
      </c>
      <c r="D1152" s="27">
        <v>44109</v>
      </c>
      <c r="E1152" s="27">
        <v>164109</v>
      </c>
      <c r="F1152" s="27">
        <v>4901</v>
      </c>
      <c r="G1152" s="27">
        <v>8572</v>
      </c>
      <c r="H1152" s="27">
        <v>2800</v>
      </c>
      <c r="I1152" s="27">
        <v>11372</v>
      </c>
      <c r="L1152" s="68">
        <v>0.315</v>
      </c>
      <c r="M1152" s="62">
        <v>3.5000000000000003E-2</v>
      </c>
    </row>
    <row r="1153" spans="1:13">
      <c r="A1153" s="14" t="s">
        <v>74</v>
      </c>
      <c r="B1153" s="27">
        <v>120000</v>
      </c>
      <c r="C1153" s="7">
        <v>16</v>
      </c>
      <c r="D1153" s="27">
        <v>50417</v>
      </c>
      <c r="E1153" s="27">
        <v>170417</v>
      </c>
      <c r="F1153" s="27">
        <v>5601</v>
      </c>
      <c r="G1153" s="27">
        <v>7500</v>
      </c>
      <c r="H1153" s="27">
        <v>2801</v>
      </c>
      <c r="I1153" s="27">
        <v>10301</v>
      </c>
      <c r="L1153" s="68">
        <v>0.315</v>
      </c>
      <c r="M1153" s="62">
        <v>3.5000000000000003E-2</v>
      </c>
    </row>
    <row r="1154" spans="1:13">
      <c r="A1154" s="14" t="s">
        <v>74</v>
      </c>
      <c r="B1154" s="27">
        <v>120000</v>
      </c>
      <c r="C1154" s="7">
        <v>18</v>
      </c>
      <c r="D1154" s="27">
        <v>56707</v>
      </c>
      <c r="E1154" s="27">
        <v>176707</v>
      </c>
      <c r="F1154" s="27">
        <v>6301</v>
      </c>
      <c r="G1154" s="27">
        <v>6667</v>
      </c>
      <c r="H1154" s="27">
        <v>2800</v>
      </c>
      <c r="I1154" s="27">
        <v>9467</v>
      </c>
      <c r="L1154" s="68">
        <v>0.315</v>
      </c>
      <c r="M1154" s="62">
        <v>3.5000000000000003E-2</v>
      </c>
    </row>
    <row r="1155" spans="1:13">
      <c r="A1155" s="14" t="s">
        <v>74</v>
      </c>
      <c r="B1155" s="27">
        <v>120000</v>
      </c>
      <c r="C1155" s="7">
        <v>20</v>
      </c>
      <c r="D1155" s="27">
        <v>63021</v>
      </c>
      <c r="E1155" s="27">
        <v>183021</v>
      </c>
      <c r="F1155" s="27">
        <v>7001</v>
      </c>
      <c r="G1155" s="27">
        <v>6000</v>
      </c>
      <c r="H1155" s="27">
        <v>2801</v>
      </c>
      <c r="I1155" s="27">
        <v>8801</v>
      </c>
      <c r="L1155" s="68">
        <v>0.315</v>
      </c>
      <c r="M1155" s="62">
        <v>3.5000000000000003E-2</v>
      </c>
    </row>
    <row r="1156" spans="1:13">
      <c r="A1156" s="14" t="s">
        <v>74</v>
      </c>
      <c r="B1156" s="27">
        <v>120000</v>
      </c>
      <c r="C1156" s="7">
        <v>22</v>
      </c>
      <c r="D1156" s="27">
        <v>69311</v>
      </c>
      <c r="E1156" s="27">
        <v>189311</v>
      </c>
      <c r="F1156" s="27">
        <v>7701</v>
      </c>
      <c r="G1156" s="27">
        <v>5455</v>
      </c>
      <c r="H1156" s="27">
        <v>2800</v>
      </c>
      <c r="I1156" s="27">
        <v>8255</v>
      </c>
      <c r="L1156" s="68">
        <v>0.315</v>
      </c>
      <c r="M1156" s="62">
        <v>3.5000000000000003E-2</v>
      </c>
    </row>
    <row r="1157" spans="1:13">
      <c r="A1157" s="14" t="s">
        <v>74</v>
      </c>
      <c r="B1157" s="27">
        <v>120000</v>
      </c>
      <c r="C1157" s="7">
        <v>24</v>
      </c>
      <c r="D1157" s="27">
        <v>75625</v>
      </c>
      <c r="E1157" s="27">
        <v>195625</v>
      </c>
      <c r="F1157" s="27">
        <v>8401</v>
      </c>
      <c r="G1157" s="27">
        <v>5000</v>
      </c>
      <c r="H1157" s="27">
        <v>2801</v>
      </c>
      <c r="I1157" s="27">
        <v>7801</v>
      </c>
      <c r="L1157" s="68">
        <v>0.315</v>
      </c>
      <c r="M1157" s="62">
        <v>3.5000000000000003E-2</v>
      </c>
    </row>
    <row r="1158" spans="1:13">
      <c r="A1158" s="14" t="s">
        <v>74</v>
      </c>
      <c r="B1158" s="27">
        <v>121000</v>
      </c>
      <c r="C1158" s="7">
        <v>4</v>
      </c>
      <c r="D1158" s="27">
        <v>12708</v>
      </c>
      <c r="E1158" s="27">
        <v>133708</v>
      </c>
      <c r="F1158" s="27">
        <v>1412</v>
      </c>
      <c r="G1158" s="27">
        <v>30250</v>
      </c>
      <c r="H1158" s="27">
        <v>2824</v>
      </c>
      <c r="I1158" s="27">
        <v>33074</v>
      </c>
      <c r="L1158" s="68">
        <v>0.315</v>
      </c>
      <c r="M1158" s="62">
        <v>3.5000000000000003E-2</v>
      </c>
    </row>
    <row r="1159" spans="1:13">
      <c r="A1159" s="14" t="s">
        <v>74</v>
      </c>
      <c r="B1159" s="27">
        <v>121000</v>
      </c>
      <c r="C1159" s="7">
        <v>6</v>
      </c>
      <c r="D1159" s="27">
        <v>19064</v>
      </c>
      <c r="E1159" s="27">
        <v>140064</v>
      </c>
      <c r="F1159" s="27">
        <v>2118</v>
      </c>
      <c r="G1159" s="27">
        <v>20167</v>
      </c>
      <c r="H1159" s="27">
        <v>2824</v>
      </c>
      <c r="I1159" s="27">
        <v>22991</v>
      </c>
      <c r="L1159" s="68">
        <v>0.315</v>
      </c>
      <c r="M1159" s="62">
        <v>3.5000000000000003E-2</v>
      </c>
    </row>
    <row r="1160" spans="1:13">
      <c r="A1160" s="14" t="s">
        <v>74</v>
      </c>
      <c r="B1160" s="27">
        <v>121000</v>
      </c>
      <c r="C1160" s="7">
        <v>8</v>
      </c>
      <c r="D1160" s="27">
        <v>25416</v>
      </c>
      <c r="E1160" s="27">
        <v>146416</v>
      </c>
      <c r="F1160" s="27">
        <v>2824</v>
      </c>
      <c r="G1160" s="27">
        <v>15125</v>
      </c>
      <c r="H1160" s="27">
        <v>2824</v>
      </c>
      <c r="I1160" s="27">
        <v>17949</v>
      </c>
      <c r="L1160" s="68">
        <v>0.315</v>
      </c>
      <c r="M1160" s="62">
        <v>3.5000000000000003E-2</v>
      </c>
    </row>
    <row r="1161" spans="1:13">
      <c r="A1161" s="14" t="s">
        <v>74</v>
      </c>
      <c r="B1161" s="27">
        <v>121000</v>
      </c>
      <c r="C1161" s="7">
        <v>10</v>
      </c>
      <c r="D1161" s="27">
        <v>31770</v>
      </c>
      <c r="E1161" s="27">
        <v>152770</v>
      </c>
      <c r="F1161" s="27">
        <v>3530</v>
      </c>
      <c r="G1161" s="27">
        <v>12100</v>
      </c>
      <c r="H1161" s="27">
        <v>2824</v>
      </c>
      <c r="I1161" s="27">
        <v>14924</v>
      </c>
      <c r="L1161" s="68">
        <v>0.315</v>
      </c>
      <c r="M1161" s="62">
        <v>3.5000000000000003E-2</v>
      </c>
    </row>
    <row r="1162" spans="1:13">
      <c r="A1162" s="14" t="s">
        <v>74</v>
      </c>
      <c r="B1162" s="27">
        <v>121000</v>
      </c>
      <c r="C1162" s="7">
        <v>12</v>
      </c>
      <c r="D1162" s="27">
        <v>38120</v>
      </c>
      <c r="E1162" s="27">
        <v>159120</v>
      </c>
      <c r="F1162" s="27">
        <v>4236</v>
      </c>
      <c r="G1162" s="27">
        <v>10084</v>
      </c>
      <c r="H1162" s="27">
        <v>2823</v>
      </c>
      <c r="I1162" s="27">
        <v>12907</v>
      </c>
      <c r="L1162" s="68">
        <v>0.315</v>
      </c>
      <c r="M1162" s="62">
        <v>3.5000000000000003E-2</v>
      </c>
    </row>
    <row r="1163" spans="1:13">
      <c r="A1163" s="14" t="s">
        <v>74</v>
      </c>
      <c r="B1163" s="27">
        <v>121000</v>
      </c>
      <c r="C1163" s="7">
        <v>14</v>
      </c>
      <c r="D1163" s="27">
        <v>44479</v>
      </c>
      <c r="E1163" s="27">
        <v>165479</v>
      </c>
      <c r="F1163" s="27">
        <v>4941</v>
      </c>
      <c r="G1163" s="27">
        <v>8643</v>
      </c>
      <c r="H1163" s="27">
        <v>2824</v>
      </c>
      <c r="I1163" s="27">
        <v>11467</v>
      </c>
      <c r="L1163" s="68">
        <v>0.315</v>
      </c>
      <c r="M1163" s="62">
        <v>3.5000000000000003E-2</v>
      </c>
    </row>
    <row r="1164" spans="1:13">
      <c r="A1164" s="14" t="s">
        <v>74</v>
      </c>
      <c r="B1164" s="27">
        <v>121000</v>
      </c>
      <c r="C1164" s="7">
        <v>16</v>
      </c>
      <c r="D1164" s="27">
        <v>50823</v>
      </c>
      <c r="E1164" s="27">
        <v>171823</v>
      </c>
      <c r="F1164" s="27">
        <v>5647</v>
      </c>
      <c r="G1164" s="27">
        <v>7563</v>
      </c>
      <c r="H1164" s="27">
        <v>2823</v>
      </c>
      <c r="I1164" s="27">
        <v>10386</v>
      </c>
      <c r="L1164" s="68">
        <v>0.315</v>
      </c>
      <c r="M1164" s="62">
        <v>3.5000000000000003E-2</v>
      </c>
    </row>
    <row r="1165" spans="1:13">
      <c r="A1165" s="14" t="s">
        <v>74</v>
      </c>
      <c r="B1165" s="27">
        <v>121000</v>
      </c>
      <c r="C1165" s="7">
        <v>18</v>
      </c>
      <c r="D1165" s="27">
        <v>57181</v>
      </c>
      <c r="E1165" s="27">
        <v>178181</v>
      </c>
      <c r="F1165" s="27">
        <v>6353</v>
      </c>
      <c r="G1165" s="27">
        <v>6723</v>
      </c>
      <c r="H1165" s="27">
        <v>2823</v>
      </c>
      <c r="I1165" s="27">
        <v>9546</v>
      </c>
      <c r="L1165" s="68">
        <v>0.315</v>
      </c>
      <c r="M1165" s="62">
        <v>3.5000000000000003E-2</v>
      </c>
    </row>
    <row r="1166" spans="1:13">
      <c r="A1166" s="14" t="s">
        <v>74</v>
      </c>
      <c r="B1166" s="27">
        <v>121000</v>
      </c>
      <c r="C1166" s="7">
        <v>20</v>
      </c>
      <c r="D1166" s="27">
        <v>63539</v>
      </c>
      <c r="E1166" s="27">
        <v>184539</v>
      </c>
      <c r="F1166" s="27">
        <v>7059</v>
      </c>
      <c r="G1166" s="27">
        <v>6050</v>
      </c>
      <c r="H1166" s="27">
        <v>2824</v>
      </c>
      <c r="I1166" s="27">
        <v>8874</v>
      </c>
      <c r="L1166" s="68">
        <v>0.315</v>
      </c>
      <c r="M1166" s="62">
        <v>3.5000000000000003E-2</v>
      </c>
    </row>
    <row r="1167" spans="1:13">
      <c r="A1167" s="14" t="s">
        <v>74</v>
      </c>
      <c r="B1167" s="27">
        <v>121000</v>
      </c>
      <c r="C1167" s="7">
        <v>22</v>
      </c>
      <c r="D1167" s="27">
        <v>69893</v>
      </c>
      <c r="E1167" s="27">
        <v>190893</v>
      </c>
      <c r="F1167" s="27">
        <v>7765</v>
      </c>
      <c r="G1167" s="27">
        <v>5500</v>
      </c>
      <c r="H1167" s="27">
        <v>2824</v>
      </c>
      <c r="I1167" s="27">
        <v>8324</v>
      </c>
      <c r="L1167" s="68">
        <v>0.315</v>
      </c>
      <c r="M1167" s="62">
        <v>3.5000000000000003E-2</v>
      </c>
    </row>
    <row r="1168" spans="1:13">
      <c r="A1168" s="14" t="s">
        <v>74</v>
      </c>
      <c r="B1168" s="27">
        <v>121000</v>
      </c>
      <c r="C1168" s="7">
        <v>24</v>
      </c>
      <c r="D1168" s="27">
        <v>76255</v>
      </c>
      <c r="E1168" s="27">
        <v>197255</v>
      </c>
      <c r="F1168" s="27">
        <v>8471</v>
      </c>
      <c r="G1168" s="27">
        <v>5042</v>
      </c>
      <c r="H1168" s="27">
        <v>2824</v>
      </c>
      <c r="I1168" s="27">
        <v>7866</v>
      </c>
      <c r="L1168" s="68">
        <v>0.315</v>
      </c>
      <c r="M1168" s="62">
        <v>3.5000000000000003E-2</v>
      </c>
    </row>
    <row r="1169" spans="1:13">
      <c r="A1169" s="14" t="s">
        <v>74</v>
      </c>
      <c r="B1169" s="27">
        <v>122000</v>
      </c>
      <c r="C1169" s="7">
        <v>4</v>
      </c>
      <c r="D1169" s="27">
        <v>12812</v>
      </c>
      <c r="E1169" s="27">
        <v>134812</v>
      </c>
      <c r="F1169" s="27">
        <v>1424</v>
      </c>
      <c r="G1169" s="27">
        <v>30500</v>
      </c>
      <c r="H1169" s="27">
        <v>2847</v>
      </c>
      <c r="I1169" s="27">
        <v>33347</v>
      </c>
      <c r="L1169" s="68">
        <v>0.315</v>
      </c>
      <c r="M1169" s="62">
        <v>3.5000000000000003E-2</v>
      </c>
    </row>
    <row r="1170" spans="1:13">
      <c r="A1170" s="14" t="s">
        <v>74</v>
      </c>
      <c r="B1170" s="27">
        <v>122000</v>
      </c>
      <c r="C1170" s="7">
        <v>6</v>
      </c>
      <c r="D1170" s="27">
        <v>19222</v>
      </c>
      <c r="E1170" s="27">
        <v>141222</v>
      </c>
      <c r="F1170" s="27">
        <v>2136</v>
      </c>
      <c r="G1170" s="27">
        <v>20334</v>
      </c>
      <c r="H1170" s="27">
        <v>2847</v>
      </c>
      <c r="I1170" s="27">
        <v>23181</v>
      </c>
      <c r="L1170" s="68">
        <v>0.315</v>
      </c>
      <c r="M1170" s="62">
        <v>3.5000000000000003E-2</v>
      </c>
    </row>
    <row r="1171" spans="1:13">
      <c r="A1171" s="14" t="s">
        <v>74</v>
      </c>
      <c r="B1171" s="27">
        <v>122000</v>
      </c>
      <c r="C1171" s="7">
        <v>8</v>
      </c>
      <c r="D1171" s="27">
        <v>25623</v>
      </c>
      <c r="E1171" s="27">
        <v>147623</v>
      </c>
      <c r="F1171" s="27">
        <v>2847</v>
      </c>
      <c r="G1171" s="27">
        <v>15250</v>
      </c>
      <c r="H1171" s="27">
        <v>2847</v>
      </c>
      <c r="I1171" s="27">
        <v>18097</v>
      </c>
      <c r="L1171" s="68">
        <v>0.315</v>
      </c>
      <c r="M1171" s="62">
        <v>3.5000000000000003E-2</v>
      </c>
    </row>
    <row r="1172" spans="1:13">
      <c r="A1172" s="14" t="s">
        <v>74</v>
      </c>
      <c r="B1172" s="27">
        <v>122000</v>
      </c>
      <c r="C1172" s="7">
        <v>10</v>
      </c>
      <c r="D1172" s="27">
        <v>32029</v>
      </c>
      <c r="E1172" s="27">
        <v>154029</v>
      </c>
      <c r="F1172" s="27">
        <v>3559</v>
      </c>
      <c r="G1172" s="27">
        <v>12200</v>
      </c>
      <c r="H1172" s="27">
        <v>2847</v>
      </c>
      <c r="I1172" s="27">
        <v>15047</v>
      </c>
      <c r="L1172" s="68">
        <v>0.315</v>
      </c>
      <c r="M1172" s="62">
        <v>3.5000000000000003E-2</v>
      </c>
    </row>
    <row r="1173" spans="1:13">
      <c r="A1173" s="14" t="s">
        <v>74</v>
      </c>
      <c r="B1173" s="27">
        <v>122000</v>
      </c>
      <c r="C1173" s="7">
        <v>12</v>
      </c>
      <c r="D1173" s="27">
        <v>38439</v>
      </c>
      <c r="E1173" s="27">
        <v>160439</v>
      </c>
      <c r="F1173" s="27">
        <v>4271</v>
      </c>
      <c r="G1173" s="27">
        <v>10167</v>
      </c>
      <c r="H1173" s="27">
        <v>2847</v>
      </c>
      <c r="I1173" s="27">
        <v>13014</v>
      </c>
      <c r="L1173" s="68">
        <v>0.315</v>
      </c>
      <c r="M1173" s="62">
        <v>3.5000000000000003E-2</v>
      </c>
    </row>
    <row r="1174" spans="1:13">
      <c r="A1174" s="14" t="s">
        <v>74</v>
      </c>
      <c r="B1174" s="27">
        <v>122000</v>
      </c>
      <c r="C1174" s="7">
        <v>14</v>
      </c>
      <c r="D1174" s="27">
        <v>44836</v>
      </c>
      <c r="E1174" s="27">
        <v>166836</v>
      </c>
      <c r="F1174" s="27">
        <v>4982</v>
      </c>
      <c r="G1174" s="27">
        <v>8715</v>
      </c>
      <c r="H1174" s="27">
        <v>2846</v>
      </c>
      <c r="I1174" s="27">
        <v>11561</v>
      </c>
      <c r="L1174" s="68">
        <v>0.315</v>
      </c>
      <c r="M1174" s="62">
        <v>3.5000000000000003E-2</v>
      </c>
    </row>
    <row r="1175" spans="1:13">
      <c r="A1175" s="14" t="s">
        <v>74</v>
      </c>
      <c r="B1175" s="27">
        <v>122000</v>
      </c>
      <c r="C1175" s="7">
        <v>16</v>
      </c>
      <c r="D1175" s="27">
        <v>51246</v>
      </c>
      <c r="E1175" s="27">
        <v>173246</v>
      </c>
      <c r="F1175" s="27">
        <v>5694</v>
      </c>
      <c r="G1175" s="27">
        <v>7625</v>
      </c>
      <c r="H1175" s="27">
        <v>2847</v>
      </c>
      <c r="I1175" s="27">
        <v>10472</v>
      </c>
      <c r="L1175" s="68">
        <v>0.315</v>
      </c>
      <c r="M1175" s="62">
        <v>3.5000000000000003E-2</v>
      </c>
    </row>
    <row r="1176" spans="1:13">
      <c r="A1176" s="14" t="s">
        <v>74</v>
      </c>
      <c r="B1176" s="27">
        <v>122000</v>
      </c>
      <c r="C1176" s="7">
        <v>18</v>
      </c>
      <c r="D1176" s="27">
        <v>57656</v>
      </c>
      <c r="E1176" s="27">
        <v>179656</v>
      </c>
      <c r="F1176" s="27">
        <v>6406</v>
      </c>
      <c r="G1176" s="27">
        <v>6778</v>
      </c>
      <c r="H1176" s="27">
        <v>2847</v>
      </c>
      <c r="I1176" s="27">
        <v>9625</v>
      </c>
      <c r="L1176" s="68">
        <v>0.315</v>
      </c>
      <c r="M1176" s="62">
        <v>3.5000000000000003E-2</v>
      </c>
    </row>
    <row r="1177" spans="1:13">
      <c r="A1177" s="14" t="s">
        <v>74</v>
      </c>
      <c r="B1177" s="27">
        <v>122000</v>
      </c>
      <c r="C1177" s="7">
        <v>20</v>
      </c>
      <c r="D1177" s="27">
        <v>64057</v>
      </c>
      <c r="E1177" s="27">
        <v>186057</v>
      </c>
      <c r="F1177" s="27">
        <v>7117</v>
      </c>
      <c r="G1177" s="27">
        <v>6100</v>
      </c>
      <c r="H1177" s="27">
        <v>2847</v>
      </c>
      <c r="I1177" s="27">
        <v>8947</v>
      </c>
      <c r="L1177" s="68">
        <v>0.315</v>
      </c>
      <c r="M1177" s="62">
        <v>3.5000000000000003E-2</v>
      </c>
    </row>
    <row r="1178" spans="1:13">
      <c r="A1178" s="14" t="s">
        <v>74</v>
      </c>
      <c r="B1178" s="27">
        <v>122000</v>
      </c>
      <c r="C1178" s="7">
        <v>22</v>
      </c>
      <c r="D1178" s="27">
        <v>70475</v>
      </c>
      <c r="E1178" s="27">
        <v>192475</v>
      </c>
      <c r="F1178" s="27">
        <v>7829</v>
      </c>
      <c r="G1178" s="27">
        <v>5546</v>
      </c>
      <c r="H1178" s="27">
        <v>2847</v>
      </c>
      <c r="I1178" s="27">
        <v>8393</v>
      </c>
      <c r="L1178" s="68">
        <v>0.315</v>
      </c>
      <c r="M1178" s="62">
        <v>3.5000000000000003E-2</v>
      </c>
    </row>
    <row r="1179" spans="1:13">
      <c r="A1179" s="14" t="s">
        <v>74</v>
      </c>
      <c r="B1179" s="27">
        <v>122000</v>
      </c>
      <c r="C1179" s="7">
        <v>24</v>
      </c>
      <c r="D1179" s="27">
        <v>76885</v>
      </c>
      <c r="E1179" s="27">
        <v>198885</v>
      </c>
      <c r="F1179" s="27">
        <v>8541</v>
      </c>
      <c r="G1179" s="27">
        <v>5084</v>
      </c>
      <c r="H1179" s="27">
        <v>2847</v>
      </c>
      <c r="I1179" s="27">
        <v>7931</v>
      </c>
      <c r="L1179" s="68">
        <v>0.315</v>
      </c>
      <c r="M1179" s="62">
        <v>3.5000000000000003E-2</v>
      </c>
    </row>
    <row r="1180" spans="1:13">
      <c r="A1180" s="14" t="s">
        <v>74</v>
      </c>
      <c r="B1180" s="27">
        <v>123000</v>
      </c>
      <c r="C1180" s="7">
        <v>4</v>
      </c>
      <c r="D1180" s="27">
        <v>12920</v>
      </c>
      <c r="E1180" s="27">
        <v>135920</v>
      </c>
      <c r="F1180" s="27">
        <v>1436</v>
      </c>
      <c r="G1180" s="27">
        <v>30750</v>
      </c>
      <c r="H1180" s="27">
        <v>2871</v>
      </c>
      <c r="I1180" s="27">
        <v>33621</v>
      </c>
      <c r="L1180" s="68">
        <v>0.315</v>
      </c>
      <c r="M1180" s="62">
        <v>3.5000000000000003E-2</v>
      </c>
    </row>
    <row r="1181" spans="1:13">
      <c r="A1181" s="14" t="s">
        <v>74</v>
      </c>
      <c r="B1181" s="27">
        <v>123000</v>
      </c>
      <c r="C1181" s="7">
        <v>6</v>
      </c>
      <c r="D1181" s="27">
        <v>19379</v>
      </c>
      <c r="E1181" s="27">
        <v>142379</v>
      </c>
      <c r="F1181" s="27">
        <v>2153</v>
      </c>
      <c r="G1181" s="27">
        <v>20500</v>
      </c>
      <c r="H1181" s="27">
        <v>2871</v>
      </c>
      <c r="I1181" s="27">
        <v>23371</v>
      </c>
      <c r="L1181" s="68">
        <v>0.315</v>
      </c>
      <c r="M1181" s="62">
        <v>3.5000000000000003E-2</v>
      </c>
    </row>
    <row r="1182" spans="1:13">
      <c r="A1182" s="14" t="s">
        <v>74</v>
      </c>
      <c r="B1182" s="27">
        <v>123000</v>
      </c>
      <c r="C1182" s="7">
        <v>8</v>
      </c>
      <c r="D1182" s="27">
        <v>25839</v>
      </c>
      <c r="E1182" s="27">
        <v>148839</v>
      </c>
      <c r="F1182" s="27">
        <v>2871</v>
      </c>
      <c r="G1182" s="27">
        <v>15375</v>
      </c>
      <c r="H1182" s="27">
        <v>2871</v>
      </c>
      <c r="I1182" s="27">
        <v>18246</v>
      </c>
      <c r="L1182" s="68">
        <v>0.315</v>
      </c>
      <c r="M1182" s="62">
        <v>3.5000000000000003E-2</v>
      </c>
    </row>
    <row r="1183" spans="1:13">
      <c r="A1183" s="14" t="s">
        <v>74</v>
      </c>
      <c r="B1183" s="27">
        <v>123000</v>
      </c>
      <c r="C1183" s="7">
        <v>10</v>
      </c>
      <c r="D1183" s="27">
        <v>32298</v>
      </c>
      <c r="E1183" s="27">
        <v>155298</v>
      </c>
      <c r="F1183" s="27">
        <v>3588</v>
      </c>
      <c r="G1183" s="27">
        <v>12300</v>
      </c>
      <c r="H1183" s="27">
        <v>2871</v>
      </c>
      <c r="I1183" s="27">
        <v>15171</v>
      </c>
      <c r="L1183" s="68">
        <v>0.315</v>
      </c>
      <c r="M1183" s="62">
        <v>3.5000000000000003E-2</v>
      </c>
    </row>
    <row r="1184" spans="1:13">
      <c r="A1184" s="14" t="s">
        <v>74</v>
      </c>
      <c r="B1184" s="27">
        <v>123000</v>
      </c>
      <c r="C1184" s="7">
        <v>12</v>
      </c>
      <c r="D1184" s="27">
        <v>38758</v>
      </c>
      <c r="E1184" s="27">
        <v>161758</v>
      </c>
      <c r="F1184" s="27">
        <v>4306</v>
      </c>
      <c r="G1184" s="27">
        <v>10250</v>
      </c>
      <c r="H1184" s="27">
        <v>2871</v>
      </c>
      <c r="I1184" s="27">
        <v>13121</v>
      </c>
      <c r="L1184" s="68">
        <v>0.315</v>
      </c>
      <c r="M1184" s="62">
        <v>3.5000000000000003E-2</v>
      </c>
    </row>
    <row r="1185" spans="1:13">
      <c r="A1185" s="14" t="s">
        <v>74</v>
      </c>
      <c r="B1185" s="27">
        <v>123000</v>
      </c>
      <c r="C1185" s="7">
        <v>14</v>
      </c>
      <c r="D1185" s="27">
        <v>45207</v>
      </c>
      <c r="E1185" s="27">
        <v>168207</v>
      </c>
      <c r="F1185" s="27">
        <v>5023</v>
      </c>
      <c r="G1185" s="27">
        <v>8786</v>
      </c>
      <c r="H1185" s="27">
        <v>2870</v>
      </c>
      <c r="I1185" s="27">
        <v>11656</v>
      </c>
      <c r="L1185" s="68">
        <v>0.315</v>
      </c>
      <c r="M1185" s="62">
        <v>3.5000000000000003E-2</v>
      </c>
    </row>
    <row r="1186" spans="1:13">
      <c r="A1186" s="14" t="s">
        <v>74</v>
      </c>
      <c r="B1186" s="27">
        <v>123000</v>
      </c>
      <c r="C1186" s="7">
        <v>16</v>
      </c>
      <c r="D1186" s="27">
        <v>51669</v>
      </c>
      <c r="E1186" s="27">
        <v>174669</v>
      </c>
      <c r="F1186" s="27">
        <v>5741</v>
      </c>
      <c r="G1186" s="27">
        <v>7688</v>
      </c>
      <c r="H1186" s="27">
        <v>2870</v>
      </c>
      <c r="I1186" s="27">
        <v>10558</v>
      </c>
      <c r="L1186" s="68">
        <v>0.315</v>
      </c>
      <c r="M1186" s="62">
        <v>3.5000000000000003E-2</v>
      </c>
    </row>
    <row r="1187" spans="1:13">
      <c r="A1187" s="14" t="s">
        <v>74</v>
      </c>
      <c r="B1187" s="27">
        <v>123000</v>
      </c>
      <c r="C1187" s="7">
        <v>18</v>
      </c>
      <c r="D1187" s="27">
        <v>58130</v>
      </c>
      <c r="E1187" s="27">
        <v>181130</v>
      </c>
      <c r="F1187" s="27">
        <v>6458</v>
      </c>
      <c r="G1187" s="27">
        <v>6834</v>
      </c>
      <c r="H1187" s="27">
        <v>2870</v>
      </c>
      <c r="I1187" s="27">
        <v>9704</v>
      </c>
      <c r="L1187" s="68">
        <v>0.315</v>
      </c>
      <c r="M1187" s="62">
        <v>3.5000000000000003E-2</v>
      </c>
    </row>
    <row r="1188" spans="1:13">
      <c r="A1188" s="14" t="s">
        <v>74</v>
      </c>
      <c r="B1188" s="27">
        <v>123000</v>
      </c>
      <c r="C1188" s="7">
        <v>20</v>
      </c>
      <c r="D1188" s="27">
        <v>64596</v>
      </c>
      <c r="E1188" s="27">
        <v>187596</v>
      </c>
      <c r="F1188" s="27">
        <v>7176</v>
      </c>
      <c r="G1188" s="27">
        <v>6150</v>
      </c>
      <c r="H1188" s="27">
        <v>2871</v>
      </c>
      <c r="I1188" s="27">
        <v>9021</v>
      </c>
      <c r="L1188" s="68">
        <v>0.315</v>
      </c>
      <c r="M1188" s="62">
        <v>3.5000000000000003E-2</v>
      </c>
    </row>
    <row r="1189" spans="1:13">
      <c r="A1189" s="14" t="s">
        <v>74</v>
      </c>
      <c r="B1189" s="27">
        <v>123000</v>
      </c>
      <c r="C1189" s="7">
        <v>22</v>
      </c>
      <c r="D1189" s="27">
        <v>71035</v>
      </c>
      <c r="E1189" s="27">
        <v>194035</v>
      </c>
      <c r="F1189" s="27">
        <v>7893</v>
      </c>
      <c r="G1189" s="27">
        <v>5591</v>
      </c>
      <c r="H1189" s="27">
        <v>2870</v>
      </c>
      <c r="I1189" s="27">
        <v>8461</v>
      </c>
      <c r="L1189" s="68">
        <v>0.315</v>
      </c>
      <c r="M1189" s="62">
        <v>3.5000000000000003E-2</v>
      </c>
    </row>
    <row r="1190" spans="1:13">
      <c r="A1190" s="14" t="s">
        <v>74</v>
      </c>
      <c r="B1190" s="27">
        <v>123000</v>
      </c>
      <c r="C1190" s="7">
        <v>24</v>
      </c>
      <c r="D1190" s="27">
        <v>77515</v>
      </c>
      <c r="E1190" s="27">
        <v>200515</v>
      </c>
      <c r="F1190" s="27">
        <v>8611</v>
      </c>
      <c r="G1190" s="27">
        <v>5125</v>
      </c>
      <c r="H1190" s="27">
        <v>2871</v>
      </c>
      <c r="I1190" s="27">
        <v>7996</v>
      </c>
      <c r="L1190" s="68">
        <v>0.315</v>
      </c>
      <c r="M1190" s="62">
        <v>3.5000000000000003E-2</v>
      </c>
    </row>
    <row r="1191" spans="1:13">
      <c r="A1191" s="14" t="s">
        <v>74</v>
      </c>
      <c r="B1191" s="27">
        <v>124000</v>
      </c>
      <c r="C1191" s="7">
        <v>4</v>
      </c>
      <c r="D1191" s="27">
        <v>13023</v>
      </c>
      <c r="E1191" s="27">
        <v>137023</v>
      </c>
      <c r="F1191" s="27">
        <v>1447</v>
      </c>
      <c r="G1191" s="27">
        <v>31000</v>
      </c>
      <c r="H1191" s="27">
        <v>2894</v>
      </c>
      <c r="I1191" s="27">
        <v>33894</v>
      </c>
      <c r="L1191" s="68">
        <v>0.315</v>
      </c>
      <c r="M1191" s="62">
        <v>3.5000000000000003E-2</v>
      </c>
    </row>
    <row r="1192" spans="1:13">
      <c r="A1192" s="14" t="s">
        <v>74</v>
      </c>
      <c r="B1192" s="27">
        <v>124000</v>
      </c>
      <c r="C1192" s="7">
        <v>6</v>
      </c>
      <c r="D1192" s="27">
        <v>19537</v>
      </c>
      <c r="E1192" s="27">
        <v>143537</v>
      </c>
      <c r="F1192" s="27">
        <v>2171</v>
      </c>
      <c r="G1192" s="27">
        <v>20667</v>
      </c>
      <c r="H1192" s="27">
        <v>2894</v>
      </c>
      <c r="I1192" s="27">
        <v>23561</v>
      </c>
      <c r="L1192" s="68">
        <v>0.315</v>
      </c>
      <c r="M1192" s="62">
        <v>3.5000000000000003E-2</v>
      </c>
    </row>
    <row r="1193" spans="1:13">
      <c r="A1193" s="14" t="s">
        <v>74</v>
      </c>
      <c r="B1193" s="27">
        <v>124000</v>
      </c>
      <c r="C1193" s="7">
        <v>8</v>
      </c>
      <c r="D1193" s="27">
        <v>26046</v>
      </c>
      <c r="E1193" s="27">
        <v>150046</v>
      </c>
      <c r="F1193" s="27">
        <v>2894</v>
      </c>
      <c r="G1193" s="27">
        <v>15500</v>
      </c>
      <c r="H1193" s="27">
        <v>2894</v>
      </c>
      <c r="I1193" s="27">
        <v>18394</v>
      </c>
      <c r="L1193" s="68">
        <v>0.315</v>
      </c>
      <c r="M1193" s="62">
        <v>3.5000000000000003E-2</v>
      </c>
    </row>
    <row r="1194" spans="1:13">
      <c r="A1194" s="14" t="s">
        <v>74</v>
      </c>
      <c r="B1194" s="27">
        <v>124000</v>
      </c>
      <c r="C1194" s="7">
        <v>10</v>
      </c>
      <c r="D1194" s="27">
        <v>32557</v>
      </c>
      <c r="E1194" s="27">
        <v>156557</v>
      </c>
      <c r="F1194" s="27">
        <v>3617</v>
      </c>
      <c r="G1194" s="27">
        <v>12400</v>
      </c>
      <c r="H1194" s="27">
        <v>2894</v>
      </c>
      <c r="I1194" s="27">
        <v>15294</v>
      </c>
      <c r="L1194" s="68">
        <v>0.315</v>
      </c>
      <c r="M1194" s="62">
        <v>3.5000000000000003E-2</v>
      </c>
    </row>
    <row r="1195" spans="1:13">
      <c r="A1195" s="14" t="s">
        <v>74</v>
      </c>
      <c r="B1195" s="27">
        <v>124000</v>
      </c>
      <c r="C1195" s="7">
        <v>12</v>
      </c>
      <c r="D1195" s="27">
        <v>39065</v>
      </c>
      <c r="E1195" s="27">
        <v>163065</v>
      </c>
      <c r="F1195" s="27">
        <v>4341</v>
      </c>
      <c r="G1195" s="27">
        <v>10334</v>
      </c>
      <c r="H1195" s="27">
        <v>2893</v>
      </c>
      <c r="I1195" s="27">
        <v>13227</v>
      </c>
      <c r="L1195" s="68">
        <v>0.315</v>
      </c>
      <c r="M1195" s="62">
        <v>3.5000000000000003E-2</v>
      </c>
    </row>
    <row r="1196" spans="1:13">
      <c r="A1196" s="14" t="s">
        <v>74</v>
      </c>
      <c r="B1196" s="27">
        <v>124000</v>
      </c>
      <c r="C1196" s="7">
        <v>14</v>
      </c>
      <c r="D1196" s="27">
        <v>45578</v>
      </c>
      <c r="E1196" s="27">
        <v>169578</v>
      </c>
      <c r="F1196" s="27">
        <v>5064</v>
      </c>
      <c r="G1196" s="27">
        <v>8858</v>
      </c>
      <c r="H1196" s="27">
        <v>2893</v>
      </c>
      <c r="I1196" s="27">
        <v>11751</v>
      </c>
      <c r="L1196" s="68">
        <v>0.315</v>
      </c>
      <c r="M1196" s="62">
        <v>3.5000000000000003E-2</v>
      </c>
    </row>
    <row r="1197" spans="1:13">
      <c r="A1197" s="14" t="s">
        <v>74</v>
      </c>
      <c r="B1197" s="27">
        <v>124000</v>
      </c>
      <c r="C1197" s="7">
        <v>16</v>
      </c>
      <c r="D1197" s="27">
        <v>52091</v>
      </c>
      <c r="E1197" s="27">
        <v>176091</v>
      </c>
      <c r="F1197" s="27">
        <v>5787</v>
      </c>
      <c r="G1197" s="27">
        <v>7750</v>
      </c>
      <c r="H1197" s="27">
        <v>2894</v>
      </c>
      <c r="I1197" s="27">
        <v>10644</v>
      </c>
      <c r="L1197" s="68">
        <v>0.315</v>
      </c>
      <c r="M1197" s="62">
        <v>3.5000000000000003E-2</v>
      </c>
    </row>
    <row r="1198" spans="1:13">
      <c r="A1198" s="14" t="s">
        <v>74</v>
      </c>
      <c r="B1198" s="27">
        <v>124000</v>
      </c>
      <c r="C1198" s="7">
        <v>18</v>
      </c>
      <c r="D1198" s="27">
        <v>58605</v>
      </c>
      <c r="E1198" s="27">
        <v>182605</v>
      </c>
      <c r="F1198" s="27">
        <v>6511</v>
      </c>
      <c r="G1198" s="27">
        <v>6889</v>
      </c>
      <c r="H1198" s="27">
        <v>2894</v>
      </c>
      <c r="I1198" s="27">
        <v>9783</v>
      </c>
      <c r="L1198" s="68">
        <v>0.315</v>
      </c>
      <c r="M1198" s="62">
        <v>3.5000000000000003E-2</v>
      </c>
    </row>
    <row r="1199" spans="1:13">
      <c r="A1199" s="14" t="s">
        <v>74</v>
      </c>
      <c r="B1199" s="27">
        <v>124000</v>
      </c>
      <c r="C1199" s="7">
        <v>20</v>
      </c>
      <c r="D1199" s="27">
        <v>65114</v>
      </c>
      <c r="E1199" s="27">
        <v>189114</v>
      </c>
      <c r="F1199" s="27">
        <v>7234</v>
      </c>
      <c r="G1199" s="27">
        <v>6200</v>
      </c>
      <c r="H1199" s="27">
        <v>2894</v>
      </c>
      <c r="I1199" s="27">
        <v>9094</v>
      </c>
      <c r="L1199" s="68">
        <v>0.315</v>
      </c>
      <c r="M1199" s="62">
        <v>3.5000000000000003E-2</v>
      </c>
    </row>
    <row r="1200" spans="1:13">
      <c r="A1200" s="14" t="s">
        <v>74</v>
      </c>
      <c r="B1200" s="27">
        <v>124000</v>
      </c>
      <c r="C1200" s="7">
        <v>22</v>
      </c>
      <c r="D1200" s="27">
        <v>71617</v>
      </c>
      <c r="E1200" s="27">
        <v>195617</v>
      </c>
      <c r="F1200" s="27">
        <v>7957</v>
      </c>
      <c r="G1200" s="27">
        <v>5637</v>
      </c>
      <c r="H1200" s="27">
        <v>2893</v>
      </c>
      <c r="I1200" s="27">
        <v>8530</v>
      </c>
      <c r="L1200" s="68">
        <v>0.315</v>
      </c>
      <c r="M1200" s="62">
        <v>3.5000000000000003E-2</v>
      </c>
    </row>
    <row r="1201" spans="1:13">
      <c r="A1201" s="14" t="s">
        <v>74</v>
      </c>
      <c r="B1201" s="27">
        <v>124000</v>
      </c>
      <c r="C1201" s="7">
        <v>24</v>
      </c>
      <c r="D1201" s="27">
        <v>78145</v>
      </c>
      <c r="E1201" s="27">
        <v>202145</v>
      </c>
      <c r="F1201" s="27">
        <v>8681</v>
      </c>
      <c r="G1201" s="27">
        <v>5167</v>
      </c>
      <c r="H1201" s="27">
        <v>2894</v>
      </c>
      <c r="I1201" s="27">
        <v>8061</v>
      </c>
      <c r="L1201" s="68">
        <v>0.315</v>
      </c>
      <c r="M1201" s="62">
        <v>3.5000000000000003E-2</v>
      </c>
    </row>
    <row r="1202" spans="1:13">
      <c r="A1202" s="14" t="s">
        <v>74</v>
      </c>
      <c r="B1202" s="27">
        <v>125000</v>
      </c>
      <c r="C1202" s="7">
        <v>4</v>
      </c>
      <c r="D1202" s="27">
        <v>13127</v>
      </c>
      <c r="E1202" s="27">
        <v>138127</v>
      </c>
      <c r="F1202" s="27">
        <v>1459</v>
      </c>
      <c r="G1202" s="27">
        <v>31250</v>
      </c>
      <c r="H1202" s="27">
        <v>2917</v>
      </c>
      <c r="I1202" s="27">
        <v>34167</v>
      </c>
      <c r="L1202" s="68">
        <v>0.315</v>
      </c>
      <c r="M1202" s="62">
        <v>3.5000000000000003E-2</v>
      </c>
    </row>
    <row r="1203" spans="1:13">
      <c r="A1203" s="14" t="s">
        <v>74</v>
      </c>
      <c r="B1203" s="27">
        <v>125000</v>
      </c>
      <c r="C1203" s="7">
        <v>6</v>
      </c>
      <c r="D1203" s="27">
        <v>19694</v>
      </c>
      <c r="E1203" s="27">
        <v>144694</v>
      </c>
      <c r="F1203" s="27">
        <v>2188</v>
      </c>
      <c r="G1203" s="27">
        <v>20834</v>
      </c>
      <c r="H1203" s="27">
        <v>2917</v>
      </c>
      <c r="I1203" s="27">
        <v>23751</v>
      </c>
      <c r="L1203" s="68">
        <v>0.315</v>
      </c>
      <c r="M1203" s="62">
        <v>3.5000000000000003E-2</v>
      </c>
    </row>
    <row r="1204" spans="1:13">
      <c r="A1204" s="14" t="s">
        <v>74</v>
      </c>
      <c r="B1204" s="27">
        <v>125000</v>
      </c>
      <c r="C1204" s="7">
        <v>8</v>
      </c>
      <c r="D1204" s="27">
        <v>26253</v>
      </c>
      <c r="E1204" s="27">
        <v>151253</v>
      </c>
      <c r="F1204" s="27">
        <v>2917</v>
      </c>
      <c r="G1204" s="27">
        <v>15625</v>
      </c>
      <c r="H1204" s="27">
        <v>2917</v>
      </c>
      <c r="I1204" s="27">
        <v>18542</v>
      </c>
      <c r="L1204" s="68">
        <v>0.315</v>
      </c>
      <c r="M1204" s="62">
        <v>3.5000000000000003E-2</v>
      </c>
    </row>
    <row r="1205" spans="1:13">
      <c r="A1205" s="14" t="s">
        <v>74</v>
      </c>
      <c r="B1205" s="27">
        <v>125000</v>
      </c>
      <c r="C1205" s="7">
        <v>10</v>
      </c>
      <c r="D1205" s="27">
        <v>32816</v>
      </c>
      <c r="E1205" s="27">
        <v>157816</v>
      </c>
      <c r="F1205" s="27">
        <v>3646</v>
      </c>
      <c r="G1205" s="27">
        <v>12500</v>
      </c>
      <c r="H1205" s="27">
        <v>2917</v>
      </c>
      <c r="I1205" s="27">
        <v>15417</v>
      </c>
      <c r="L1205" s="68">
        <v>0.315</v>
      </c>
      <c r="M1205" s="62">
        <v>3.5000000000000003E-2</v>
      </c>
    </row>
    <row r="1206" spans="1:13">
      <c r="A1206" s="14" t="s">
        <v>74</v>
      </c>
      <c r="B1206" s="27">
        <v>125000</v>
      </c>
      <c r="C1206" s="7">
        <v>12</v>
      </c>
      <c r="D1206" s="27">
        <v>39384</v>
      </c>
      <c r="E1206" s="27">
        <v>164384</v>
      </c>
      <c r="F1206" s="27">
        <v>4376</v>
      </c>
      <c r="G1206" s="27">
        <v>10417</v>
      </c>
      <c r="H1206" s="27">
        <v>2917</v>
      </c>
      <c r="I1206" s="27">
        <v>13334</v>
      </c>
      <c r="L1206" s="68">
        <v>0.315</v>
      </c>
      <c r="M1206" s="62">
        <v>3.5000000000000003E-2</v>
      </c>
    </row>
    <row r="1207" spans="1:13">
      <c r="A1207" s="14" t="s">
        <v>74</v>
      </c>
      <c r="B1207" s="27">
        <v>125000</v>
      </c>
      <c r="C1207" s="7">
        <v>14</v>
      </c>
      <c r="D1207" s="27">
        <v>45949</v>
      </c>
      <c r="E1207" s="27">
        <v>170949</v>
      </c>
      <c r="F1207" s="27">
        <v>5105</v>
      </c>
      <c r="G1207" s="27">
        <v>8929</v>
      </c>
      <c r="H1207" s="27">
        <v>2917</v>
      </c>
      <c r="I1207" s="27">
        <v>11846</v>
      </c>
      <c r="L1207" s="68">
        <v>0.315</v>
      </c>
      <c r="M1207" s="62">
        <v>3.5000000000000003E-2</v>
      </c>
    </row>
    <row r="1208" spans="1:13">
      <c r="A1208" s="14" t="s">
        <v>74</v>
      </c>
      <c r="B1208" s="27">
        <v>125000</v>
      </c>
      <c r="C1208" s="7">
        <v>16</v>
      </c>
      <c r="D1208" s="27">
        <v>52514</v>
      </c>
      <c r="E1208" s="27">
        <v>177514</v>
      </c>
      <c r="F1208" s="27">
        <v>5834</v>
      </c>
      <c r="G1208" s="27">
        <v>7813</v>
      </c>
      <c r="H1208" s="27">
        <v>2917</v>
      </c>
      <c r="I1208" s="27">
        <v>10730</v>
      </c>
      <c r="L1208" s="68">
        <v>0.315</v>
      </c>
      <c r="M1208" s="62">
        <v>3.5000000000000003E-2</v>
      </c>
    </row>
    <row r="1209" spans="1:13">
      <c r="A1209" s="14" t="s">
        <v>74</v>
      </c>
      <c r="B1209" s="27">
        <v>125000</v>
      </c>
      <c r="C1209" s="7">
        <v>18</v>
      </c>
      <c r="D1209" s="27">
        <v>59079</v>
      </c>
      <c r="E1209" s="27">
        <v>184079</v>
      </c>
      <c r="F1209" s="27">
        <v>6563</v>
      </c>
      <c r="G1209" s="27">
        <v>6945</v>
      </c>
      <c r="H1209" s="27">
        <v>2917</v>
      </c>
      <c r="I1209" s="27">
        <v>9862</v>
      </c>
      <c r="L1209" s="68">
        <v>0.315</v>
      </c>
      <c r="M1209" s="62">
        <v>3.5000000000000003E-2</v>
      </c>
    </row>
    <row r="1210" spans="1:13">
      <c r="A1210" s="14" t="s">
        <v>74</v>
      </c>
      <c r="B1210" s="27">
        <v>125000</v>
      </c>
      <c r="C1210" s="7">
        <v>20</v>
      </c>
      <c r="D1210" s="27">
        <v>65632</v>
      </c>
      <c r="E1210" s="27">
        <v>190632</v>
      </c>
      <c r="F1210" s="27">
        <v>7292</v>
      </c>
      <c r="G1210" s="27">
        <v>6250</v>
      </c>
      <c r="H1210" s="27">
        <v>2917</v>
      </c>
      <c r="I1210" s="27">
        <v>9167</v>
      </c>
      <c r="L1210" s="68">
        <v>0.315</v>
      </c>
      <c r="M1210" s="62">
        <v>3.5000000000000003E-2</v>
      </c>
    </row>
    <row r="1211" spans="1:13">
      <c r="A1211" s="14" t="s">
        <v>74</v>
      </c>
      <c r="B1211" s="27">
        <v>125000</v>
      </c>
      <c r="C1211" s="7">
        <v>22</v>
      </c>
      <c r="D1211" s="27">
        <v>72199</v>
      </c>
      <c r="E1211" s="27">
        <v>197199</v>
      </c>
      <c r="F1211" s="27">
        <v>8021</v>
      </c>
      <c r="G1211" s="27">
        <v>5682</v>
      </c>
      <c r="H1211" s="27">
        <v>2917</v>
      </c>
      <c r="I1211" s="27">
        <v>8599</v>
      </c>
      <c r="L1211" s="68">
        <v>0.315</v>
      </c>
      <c r="M1211" s="62">
        <v>3.5000000000000003E-2</v>
      </c>
    </row>
    <row r="1212" spans="1:13">
      <c r="A1212" s="14" t="s">
        <v>74</v>
      </c>
      <c r="B1212" s="27">
        <v>125000</v>
      </c>
      <c r="C1212" s="7">
        <v>24</v>
      </c>
      <c r="D1212" s="27">
        <v>78775</v>
      </c>
      <c r="E1212" s="27">
        <v>203775</v>
      </c>
      <c r="F1212" s="27">
        <v>8751</v>
      </c>
      <c r="G1212" s="27">
        <v>5209</v>
      </c>
      <c r="H1212" s="27">
        <v>2917</v>
      </c>
      <c r="I1212" s="27">
        <v>8126</v>
      </c>
      <c r="L1212" s="68">
        <v>0.315</v>
      </c>
      <c r="M1212" s="62">
        <v>3.5000000000000003E-2</v>
      </c>
    </row>
    <row r="1213" spans="1:13">
      <c r="A1213" s="14" t="s">
        <v>74</v>
      </c>
      <c r="B1213" s="27">
        <v>126000</v>
      </c>
      <c r="C1213" s="7">
        <v>4</v>
      </c>
      <c r="D1213" s="27">
        <v>13235</v>
      </c>
      <c r="E1213" s="27">
        <v>139235</v>
      </c>
      <c r="F1213" s="27">
        <v>1471</v>
      </c>
      <c r="G1213" s="27">
        <v>31500</v>
      </c>
      <c r="H1213" s="27">
        <v>2941</v>
      </c>
      <c r="I1213" s="27">
        <v>34441</v>
      </c>
      <c r="L1213" s="68">
        <v>0.315</v>
      </c>
      <c r="M1213" s="62">
        <v>3.5000000000000003E-2</v>
      </c>
    </row>
    <row r="1214" spans="1:13">
      <c r="A1214" s="14" t="s">
        <v>74</v>
      </c>
      <c r="B1214" s="27">
        <v>126000</v>
      </c>
      <c r="C1214" s="7">
        <v>6</v>
      </c>
      <c r="D1214" s="27">
        <v>19852</v>
      </c>
      <c r="E1214" s="27">
        <v>145852</v>
      </c>
      <c r="F1214" s="27">
        <v>2206</v>
      </c>
      <c r="G1214" s="27">
        <v>21000</v>
      </c>
      <c r="H1214" s="27">
        <v>2941</v>
      </c>
      <c r="I1214" s="27">
        <v>23941</v>
      </c>
      <c r="L1214" s="68">
        <v>0.315</v>
      </c>
      <c r="M1214" s="62">
        <v>3.5000000000000003E-2</v>
      </c>
    </row>
    <row r="1215" spans="1:13">
      <c r="A1215" s="14" t="s">
        <v>74</v>
      </c>
      <c r="B1215" s="27">
        <v>126000</v>
      </c>
      <c r="C1215" s="7">
        <v>8</v>
      </c>
      <c r="D1215" s="27">
        <v>26469</v>
      </c>
      <c r="E1215" s="27">
        <v>152469</v>
      </c>
      <c r="F1215" s="27">
        <v>2941</v>
      </c>
      <c r="G1215" s="27">
        <v>15750</v>
      </c>
      <c r="H1215" s="27">
        <v>2941</v>
      </c>
      <c r="I1215" s="27">
        <v>18691</v>
      </c>
      <c r="L1215" s="68">
        <v>0.315</v>
      </c>
      <c r="M1215" s="62">
        <v>3.5000000000000003E-2</v>
      </c>
    </row>
    <row r="1216" spans="1:13">
      <c r="A1216" s="14" t="s">
        <v>74</v>
      </c>
      <c r="B1216" s="27">
        <v>126000</v>
      </c>
      <c r="C1216" s="7">
        <v>10</v>
      </c>
      <c r="D1216" s="27">
        <v>33086</v>
      </c>
      <c r="E1216" s="27">
        <v>159086</v>
      </c>
      <c r="F1216" s="27">
        <v>3676</v>
      </c>
      <c r="G1216" s="27">
        <v>12600</v>
      </c>
      <c r="H1216" s="27">
        <v>2941</v>
      </c>
      <c r="I1216" s="27">
        <v>15541</v>
      </c>
      <c r="L1216" s="68">
        <v>0.315</v>
      </c>
      <c r="M1216" s="62">
        <v>3.5000000000000003E-2</v>
      </c>
    </row>
    <row r="1217" spans="1:13">
      <c r="A1217" s="14" t="s">
        <v>74</v>
      </c>
      <c r="B1217" s="27">
        <v>126000</v>
      </c>
      <c r="C1217" s="7">
        <v>12</v>
      </c>
      <c r="D1217" s="27">
        <v>39703</v>
      </c>
      <c r="E1217" s="27">
        <v>165703</v>
      </c>
      <c r="F1217" s="27">
        <v>4411</v>
      </c>
      <c r="G1217" s="27">
        <v>10500</v>
      </c>
      <c r="H1217" s="27">
        <v>2941</v>
      </c>
      <c r="I1217" s="27">
        <v>13441</v>
      </c>
      <c r="L1217" s="68">
        <v>0.315</v>
      </c>
      <c r="M1217" s="62">
        <v>3.5000000000000003E-2</v>
      </c>
    </row>
    <row r="1218" spans="1:13">
      <c r="A1218" s="14" t="s">
        <v>74</v>
      </c>
      <c r="B1218" s="27">
        <v>126000</v>
      </c>
      <c r="C1218" s="7">
        <v>14</v>
      </c>
      <c r="D1218" s="27">
        <v>46320</v>
      </c>
      <c r="E1218" s="27">
        <v>172320</v>
      </c>
      <c r="F1218" s="27">
        <v>5146</v>
      </c>
      <c r="G1218" s="27">
        <v>9000</v>
      </c>
      <c r="H1218" s="27">
        <v>2941</v>
      </c>
      <c r="I1218" s="27">
        <v>11941</v>
      </c>
      <c r="L1218" s="68">
        <v>0.315</v>
      </c>
      <c r="M1218" s="62">
        <v>3.5000000000000003E-2</v>
      </c>
    </row>
    <row r="1219" spans="1:13">
      <c r="A1219" s="14" t="s">
        <v>74</v>
      </c>
      <c r="B1219" s="27">
        <v>126000</v>
      </c>
      <c r="C1219" s="7">
        <v>16</v>
      </c>
      <c r="D1219" s="27">
        <v>52937</v>
      </c>
      <c r="E1219" s="27">
        <v>178937</v>
      </c>
      <c r="F1219" s="27">
        <v>5881</v>
      </c>
      <c r="G1219" s="27">
        <v>7875</v>
      </c>
      <c r="H1219" s="27">
        <v>2941</v>
      </c>
      <c r="I1219" s="27">
        <v>10816</v>
      </c>
      <c r="L1219" s="68">
        <v>0.315</v>
      </c>
      <c r="M1219" s="62">
        <v>3.5000000000000003E-2</v>
      </c>
    </row>
    <row r="1220" spans="1:13">
      <c r="A1220" s="14" t="s">
        <v>74</v>
      </c>
      <c r="B1220" s="27">
        <v>126000</v>
      </c>
      <c r="C1220" s="7">
        <v>18</v>
      </c>
      <c r="D1220" s="27">
        <v>59554</v>
      </c>
      <c r="E1220" s="27">
        <v>185554</v>
      </c>
      <c r="F1220" s="27">
        <v>6616</v>
      </c>
      <c r="G1220" s="27">
        <v>7000</v>
      </c>
      <c r="H1220" s="27">
        <v>2941</v>
      </c>
      <c r="I1220" s="27">
        <v>9941</v>
      </c>
      <c r="L1220" s="68">
        <v>0.315</v>
      </c>
      <c r="M1220" s="62">
        <v>3.5000000000000003E-2</v>
      </c>
    </row>
    <row r="1221" spans="1:13">
      <c r="A1221" s="14" t="s">
        <v>74</v>
      </c>
      <c r="B1221" s="27">
        <v>126000</v>
      </c>
      <c r="C1221" s="7">
        <v>20</v>
      </c>
      <c r="D1221" s="27">
        <v>66171</v>
      </c>
      <c r="E1221" s="27">
        <v>192171</v>
      </c>
      <c r="F1221" s="27">
        <v>7351</v>
      </c>
      <c r="G1221" s="27">
        <v>6300</v>
      </c>
      <c r="H1221" s="27">
        <v>2941</v>
      </c>
      <c r="I1221" s="27">
        <v>9241</v>
      </c>
      <c r="L1221" s="68">
        <v>0.315</v>
      </c>
      <c r="M1221" s="62">
        <v>3.5000000000000003E-2</v>
      </c>
    </row>
    <row r="1222" spans="1:13">
      <c r="A1222" s="14" t="s">
        <v>74</v>
      </c>
      <c r="B1222" s="27">
        <v>126000</v>
      </c>
      <c r="C1222" s="7">
        <v>22</v>
      </c>
      <c r="D1222" s="27">
        <v>72782</v>
      </c>
      <c r="E1222" s="27">
        <v>198782</v>
      </c>
      <c r="F1222" s="27">
        <v>8086</v>
      </c>
      <c r="G1222" s="27">
        <v>5728</v>
      </c>
      <c r="H1222" s="27">
        <v>2940</v>
      </c>
      <c r="I1222" s="27">
        <v>8668</v>
      </c>
      <c r="L1222" s="68">
        <v>0.315</v>
      </c>
      <c r="M1222" s="62">
        <v>3.5000000000000003E-2</v>
      </c>
    </row>
    <row r="1223" spans="1:13">
      <c r="A1223" s="14" t="s">
        <v>74</v>
      </c>
      <c r="B1223" s="27">
        <v>126000</v>
      </c>
      <c r="C1223" s="7">
        <v>24</v>
      </c>
      <c r="D1223" s="27">
        <v>79405</v>
      </c>
      <c r="E1223" s="27">
        <v>205405</v>
      </c>
      <c r="F1223" s="27">
        <v>8821</v>
      </c>
      <c r="G1223" s="27">
        <v>5250</v>
      </c>
      <c r="H1223" s="27">
        <v>2941</v>
      </c>
      <c r="I1223" s="27">
        <v>8191</v>
      </c>
      <c r="L1223" s="68">
        <v>0.315</v>
      </c>
      <c r="M1223" s="62">
        <v>3.5000000000000003E-2</v>
      </c>
    </row>
    <row r="1224" spans="1:13">
      <c r="A1224" s="14" t="s">
        <v>74</v>
      </c>
      <c r="B1224" s="27">
        <v>127000</v>
      </c>
      <c r="C1224" s="7">
        <v>4</v>
      </c>
      <c r="D1224" s="27">
        <v>13338</v>
      </c>
      <c r="E1224" s="27">
        <v>140338</v>
      </c>
      <c r="F1224" s="27">
        <v>1482</v>
      </c>
      <c r="G1224" s="27">
        <v>31750</v>
      </c>
      <c r="H1224" s="27">
        <v>2964</v>
      </c>
      <c r="I1224" s="27">
        <v>34714</v>
      </c>
      <c r="L1224" s="68">
        <v>0.315</v>
      </c>
      <c r="M1224" s="62">
        <v>3.5000000000000003E-2</v>
      </c>
    </row>
    <row r="1225" spans="1:13">
      <c r="A1225" s="14" t="s">
        <v>74</v>
      </c>
      <c r="B1225" s="27">
        <v>127000</v>
      </c>
      <c r="C1225" s="7">
        <v>6</v>
      </c>
      <c r="D1225" s="27">
        <v>20009</v>
      </c>
      <c r="E1225" s="27">
        <v>147009</v>
      </c>
      <c r="F1225" s="27">
        <v>2223</v>
      </c>
      <c r="G1225" s="27">
        <v>21167</v>
      </c>
      <c r="H1225" s="27">
        <v>2964</v>
      </c>
      <c r="I1225" s="27">
        <v>24131</v>
      </c>
      <c r="L1225" s="68">
        <v>0.315</v>
      </c>
      <c r="M1225" s="62">
        <v>3.5000000000000003E-2</v>
      </c>
    </row>
    <row r="1226" spans="1:13">
      <c r="A1226" s="14" t="s">
        <v>74</v>
      </c>
      <c r="B1226" s="27">
        <v>127000</v>
      </c>
      <c r="C1226" s="7">
        <v>8</v>
      </c>
      <c r="D1226" s="27">
        <v>26676</v>
      </c>
      <c r="E1226" s="27">
        <v>153676</v>
      </c>
      <c r="F1226" s="27">
        <v>2964</v>
      </c>
      <c r="G1226" s="27">
        <v>15875</v>
      </c>
      <c r="H1226" s="27">
        <v>2964</v>
      </c>
      <c r="I1226" s="27">
        <v>18839</v>
      </c>
      <c r="L1226" s="68">
        <v>0.315</v>
      </c>
      <c r="M1226" s="62">
        <v>3.5000000000000003E-2</v>
      </c>
    </row>
    <row r="1227" spans="1:13">
      <c r="A1227" s="14" t="s">
        <v>74</v>
      </c>
      <c r="B1227" s="27">
        <v>127000</v>
      </c>
      <c r="C1227" s="7">
        <v>10</v>
      </c>
      <c r="D1227" s="27">
        <v>33345</v>
      </c>
      <c r="E1227" s="27">
        <v>160345</v>
      </c>
      <c r="F1227" s="27">
        <v>3705</v>
      </c>
      <c r="G1227" s="27">
        <v>12700</v>
      </c>
      <c r="H1227" s="27">
        <v>2964</v>
      </c>
      <c r="I1227" s="27">
        <v>15664</v>
      </c>
      <c r="L1227" s="68">
        <v>0.315</v>
      </c>
      <c r="M1227" s="62">
        <v>3.5000000000000003E-2</v>
      </c>
    </row>
    <row r="1228" spans="1:13">
      <c r="A1228" s="14" t="s">
        <v>74</v>
      </c>
      <c r="B1228" s="27">
        <v>127000</v>
      </c>
      <c r="C1228" s="7">
        <v>12</v>
      </c>
      <c r="D1228" s="27">
        <v>40010</v>
      </c>
      <c r="E1228" s="27">
        <v>167010</v>
      </c>
      <c r="F1228" s="27">
        <v>4446</v>
      </c>
      <c r="G1228" s="27">
        <v>10584</v>
      </c>
      <c r="H1228" s="27">
        <v>2963</v>
      </c>
      <c r="I1228" s="27">
        <v>13547</v>
      </c>
      <c r="L1228" s="68">
        <v>0.315</v>
      </c>
      <c r="M1228" s="62">
        <v>3.5000000000000003E-2</v>
      </c>
    </row>
    <row r="1229" spans="1:13">
      <c r="A1229" s="14" t="s">
        <v>74</v>
      </c>
      <c r="B1229" s="27">
        <v>127000</v>
      </c>
      <c r="C1229" s="7">
        <v>14</v>
      </c>
      <c r="D1229" s="27">
        <v>46676</v>
      </c>
      <c r="E1229" s="27">
        <v>173676</v>
      </c>
      <c r="F1229" s="27">
        <v>5186</v>
      </c>
      <c r="G1229" s="27">
        <v>9072</v>
      </c>
      <c r="H1229" s="27">
        <v>2963</v>
      </c>
      <c r="I1229" s="27">
        <v>12035</v>
      </c>
      <c r="L1229" s="68">
        <v>0.315</v>
      </c>
      <c r="M1229" s="62">
        <v>3.5000000000000003E-2</v>
      </c>
    </row>
    <row r="1230" spans="1:13">
      <c r="A1230" s="14" t="s">
        <v>74</v>
      </c>
      <c r="B1230" s="27">
        <v>127000</v>
      </c>
      <c r="C1230" s="7">
        <v>16</v>
      </c>
      <c r="D1230" s="27">
        <v>53343</v>
      </c>
      <c r="E1230" s="27">
        <v>180343</v>
      </c>
      <c r="F1230" s="27">
        <v>5927</v>
      </c>
      <c r="G1230" s="27">
        <v>7938</v>
      </c>
      <c r="H1230" s="27">
        <v>2963</v>
      </c>
      <c r="I1230" s="27">
        <v>10901</v>
      </c>
      <c r="L1230" s="68">
        <v>0.315</v>
      </c>
      <c r="M1230" s="62">
        <v>3.5000000000000003E-2</v>
      </c>
    </row>
    <row r="1231" spans="1:13">
      <c r="A1231" s="14" t="s">
        <v>74</v>
      </c>
      <c r="B1231" s="27">
        <v>127000</v>
      </c>
      <c r="C1231" s="7">
        <v>18</v>
      </c>
      <c r="D1231" s="27">
        <v>60010</v>
      </c>
      <c r="E1231" s="27">
        <v>187010</v>
      </c>
      <c r="F1231" s="27">
        <v>6668</v>
      </c>
      <c r="G1231" s="27">
        <v>7056</v>
      </c>
      <c r="H1231" s="27">
        <v>2963</v>
      </c>
      <c r="I1231" s="27">
        <v>10019</v>
      </c>
      <c r="L1231" s="68">
        <v>0.315</v>
      </c>
      <c r="M1231" s="62">
        <v>3.5000000000000003E-2</v>
      </c>
    </row>
    <row r="1232" spans="1:13">
      <c r="A1232" s="14" t="s">
        <v>74</v>
      </c>
      <c r="B1232" s="27">
        <v>127000</v>
      </c>
      <c r="C1232" s="7">
        <v>20</v>
      </c>
      <c r="D1232" s="27">
        <v>66689</v>
      </c>
      <c r="E1232" s="27">
        <v>193689</v>
      </c>
      <c r="F1232" s="27">
        <v>7409</v>
      </c>
      <c r="G1232" s="27">
        <v>6350</v>
      </c>
      <c r="H1232" s="27">
        <v>2964</v>
      </c>
      <c r="I1232" s="27">
        <v>9314</v>
      </c>
      <c r="L1232" s="68">
        <v>0.315</v>
      </c>
      <c r="M1232" s="62">
        <v>3.5000000000000003E-2</v>
      </c>
    </row>
    <row r="1233" spans="1:13">
      <c r="A1233" s="14" t="s">
        <v>74</v>
      </c>
      <c r="B1233" s="27">
        <v>127000</v>
      </c>
      <c r="C1233" s="7">
        <v>22</v>
      </c>
      <c r="D1233" s="27">
        <v>73364</v>
      </c>
      <c r="E1233" s="27">
        <v>200364</v>
      </c>
      <c r="F1233" s="27">
        <v>8150</v>
      </c>
      <c r="G1233" s="27">
        <v>5773</v>
      </c>
      <c r="H1233" s="27">
        <v>2964</v>
      </c>
      <c r="I1233" s="27">
        <v>8737</v>
      </c>
      <c r="L1233" s="68">
        <v>0.315</v>
      </c>
      <c r="M1233" s="62">
        <v>3.5000000000000003E-2</v>
      </c>
    </row>
    <row r="1234" spans="1:13">
      <c r="A1234" s="14" t="s">
        <v>74</v>
      </c>
      <c r="B1234" s="27">
        <v>127000</v>
      </c>
      <c r="C1234" s="7">
        <v>24</v>
      </c>
      <c r="D1234" s="27">
        <v>80035</v>
      </c>
      <c r="E1234" s="27">
        <v>207035</v>
      </c>
      <c r="F1234" s="27">
        <v>8891</v>
      </c>
      <c r="G1234" s="27">
        <v>5292</v>
      </c>
      <c r="H1234" s="27">
        <v>2964</v>
      </c>
      <c r="I1234" s="27">
        <v>8256</v>
      </c>
      <c r="L1234" s="68">
        <v>0.315</v>
      </c>
      <c r="M1234" s="62">
        <v>3.5000000000000003E-2</v>
      </c>
    </row>
    <row r="1235" spans="1:13">
      <c r="A1235" s="14" t="s">
        <v>74</v>
      </c>
      <c r="B1235" s="27">
        <v>128000</v>
      </c>
      <c r="C1235" s="7">
        <v>4</v>
      </c>
      <c r="D1235" s="27">
        <v>13442</v>
      </c>
      <c r="E1235" s="27">
        <v>141442</v>
      </c>
      <c r="F1235" s="27">
        <v>1494</v>
      </c>
      <c r="G1235" s="27">
        <v>32000</v>
      </c>
      <c r="H1235" s="27">
        <v>2987</v>
      </c>
      <c r="I1235" s="27">
        <v>34987</v>
      </c>
      <c r="L1235" s="68">
        <v>0.315</v>
      </c>
      <c r="M1235" s="62">
        <v>3.5000000000000003E-2</v>
      </c>
    </row>
    <row r="1236" spans="1:13">
      <c r="A1236" s="14" t="s">
        <v>74</v>
      </c>
      <c r="B1236" s="27">
        <v>128000</v>
      </c>
      <c r="C1236" s="7">
        <v>6</v>
      </c>
      <c r="D1236" s="27">
        <v>20167</v>
      </c>
      <c r="E1236" s="27">
        <v>148167</v>
      </c>
      <c r="F1236" s="27">
        <v>2241</v>
      </c>
      <c r="G1236" s="27">
        <v>21334</v>
      </c>
      <c r="H1236" s="27">
        <v>2987</v>
      </c>
      <c r="I1236" s="27">
        <v>24321</v>
      </c>
      <c r="L1236" s="68">
        <v>0.315</v>
      </c>
      <c r="M1236" s="62">
        <v>3.5000000000000003E-2</v>
      </c>
    </row>
    <row r="1237" spans="1:13">
      <c r="A1237" s="14" t="s">
        <v>74</v>
      </c>
      <c r="B1237" s="27">
        <v>128000</v>
      </c>
      <c r="C1237" s="7">
        <v>8</v>
      </c>
      <c r="D1237" s="27">
        <v>26883</v>
      </c>
      <c r="E1237" s="27">
        <v>154883</v>
      </c>
      <c r="F1237" s="27">
        <v>2987</v>
      </c>
      <c r="G1237" s="27">
        <v>16000</v>
      </c>
      <c r="H1237" s="27">
        <v>2987</v>
      </c>
      <c r="I1237" s="27">
        <v>18987</v>
      </c>
      <c r="L1237" s="68">
        <v>0.315</v>
      </c>
      <c r="M1237" s="62">
        <v>3.5000000000000003E-2</v>
      </c>
    </row>
    <row r="1238" spans="1:13">
      <c r="A1238" s="14" t="s">
        <v>74</v>
      </c>
      <c r="B1238" s="27">
        <v>128000</v>
      </c>
      <c r="C1238" s="7">
        <v>10</v>
      </c>
      <c r="D1238" s="27">
        <v>33604</v>
      </c>
      <c r="E1238" s="27">
        <v>161604</v>
      </c>
      <c r="F1238" s="27">
        <v>3734</v>
      </c>
      <c r="G1238" s="27">
        <v>12800</v>
      </c>
      <c r="H1238" s="27">
        <v>2987</v>
      </c>
      <c r="I1238" s="27">
        <v>15787</v>
      </c>
      <c r="L1238" s="68">
        <v>0.315</v>
      </c>
      <c r="M1238" s="62">
        <v>3.5000000000000003E-2</v>
      </c>
    </row>
    <row r="1239" spans="1:13">
      <c r="A1239" s="14" t="s">
        <v>74</v>
      </c>
      <c r="B1239" s="27">
        <v>128000</v>
      </c>
      <c r="C1239" s="7">
        <v>12</v>
      </c>
      <c r="D1239" s="27">
        <v>40329</v>
      </c>
      <c r="E1239" s="27">
        <v>168329</v>
      </c>
      <c r="F1239" s="27">
        <v>4481</v>
      </c>
      <c r="G1239" s="27">
        <v>10667</v>
      </c>
      <c r="H1239" s="27">
        <v>2987</v>
      </c>
      <c r="I1239" s="27">
        <v>13654</v>
      </c>
      <c r="L1239" s="68">
        <v>0.315</v>
      </c>
      <c r="M1239" s="62">
        <v>3.5000000000000003E-2</v>
      </c>
    </row>
    <row r="1240" spans="1:13">
      <c r="A1240" s="14" t="s">
        <v>74</v>
      </c>
      <c r="B1240" s="27">
        <v>128000</v>
      </c>
      <c r="C1240" s="7">
        <v>14</v>
      </c>
      <c r="D1240" s="27">
        <v>47047</v>
      </c>
      <c r="E1240" s="27">
        <v>175047</v>
      </c>
      <c r="F1240" s="27">
        <v>5227</v>
      </c>
      <c r="G1240" s="27">
        <v>9143</v>
      </c>
      <c r="H1240" s="27">
        <v>2987</v>
      </c>
      <c r="I1240" s="27">
        <v>12130</v>
      </c>
      <c r="L1240" s="68">
        <v>0.315</v>
      </c>
      <c r="M1240" s="62">
        <v>3.5000000000000003E-2</v>
      </c>
    </row>
    <row r="1241" spans="1:13">
      <c r="A1241" s="14" t="s">
        <v>74</v>
      </c>
      <c r="B1241" s="27">
        <v>128000</v>
      </c>
      <c r="C1241" s="7">
        <v>16</v>
      </c>
      <c r="D1241" s="27">
        <v>53766</v>
      </c>
      <c r="E1241" s="27">
        <v>181766</v>
      </c>
      <c r="F1241" s="27">
        <v>5974</v>
      </c>
      <c r="G1241" s="27">
        <v>8000</v>
      </c>
      <c r="H1241" s="27">
        <v>2987</v>
      </c>
      <c r="I1241" s="27">
        <v>10987</v>
      </c>
      <c r="L1241" s="68">
        <v>0.315</v>
      </c>
      <c r="M1241" s="62">
        <v>3.5000000000000003E-2</v>
      </c>
    </row>
    <row r="1242" spans="1:13">
      <c r="A1242" s="14" t="s">
        <v>74</v>
      </c>
      <c r="B1242" s="27">
        <v>128000</v>
      </c>
      <c r="C1242" s="7">
        <v>18</v>
      </c>
      <c r="D1242" s="27">
        <v>60485</v>
      </c>
      <c r="E1242" s="27">
        <v>188485</v>
      </c>
      <c r="F1242" s="27">
        <v>6721</v>
      </c>
      <c r="G1242" s="27">
        <v>7112</v>
      </c>
      <c r="H1242" s="27">
        <v>2986</v>
      </c>
      <c r="I1242" s="27">
        <v>10098</v>
      </c>
      <c r="L1242" s="68">
        <v>0.315</v>
      </c>
      <c r="M1242" s="62">
        <v>3.5000000000000003E-2</v>
      </c>
    </row>
    <row r="1243" spans="1:13">
      <c r="A1243" s="14" t="s">
        <v>74</v>
      </c>
      <c r="B1243" s="27">
        <v>128000</v>
      </c>
      <c r="C1243" s="7">
        <v>20</v>
      </c>
      <c r="D1243" s="27">
        <v>67207</v>
      </c>
      <c r="E1243" s="27">
        <v>195207</v>
      </c>
      <c r="F1243" s="27">
        <v>7467</v>
      </c>
      <c r="G1243" s="27">
        <v>6400</v>
      </c>
      <c r="H1243" s="27">
        <v>2987</v>
      </c>
      <c r="I1243" s="27">
        <v>9387</v>
      </c>
      <c r="L1243" s="68">
        <v>0.315</v>
      </c>
      <c r="M1243" s="62">
        <v>3.5000000000000003E-2</v>
      </c>
    </row>
    <row r="1244" spans="1:13">
      <c r="A1244" s="14" t="s">
        <v>74</v>
      </c>
      <c r="B1244" s="27">
        <v>128000</v>
      </c>
      <c r="C1244" s="7">
        <v>22</v>
      </c>
      <c r="D1244" s="27">
        <v>73924</v>
      </c>
      <c r="E1244" s="27">
        <v>201924</v>
      </c>
      <c r="F1244" s="27">
        <v>8214</v>
      </c>
      <c r="G1244" s="27">
        <v>5819</v>
      </c>
      <c r="H1244" s="27">
        <v>2986</v>
      </c>
      <c r="I1244" s="27">
        <v>8805</v>
      </c>
      <c r="L1244" s="68">
        <v>0.315</v>
      </c>
      <c r="M1244" s="62">
        <v>3.5000000000000003E-2</v>
      </c>
    </row>
    <row r="1245" spans="1:13">
      <c r="A1245" s="14" t="s">
        <v>74</v>
      </c>
      <c r="B1245" s="27">
        <v>128000</v>
      </c>
      <c r="C1245" s="7">
        <v>24</v>
      </c>
      <c r="D1245" s="27">
        <v>80665</v>
      </c>
      <c r="E1245" s="27">
        <v>208665</v>
      </c>
      <c r="F1245" s="27">
        <v>8961</v>
      </c>
      <c r="G1245" s="27">
        <v>5334</v>
      </c>
      <c r="H1245" s="27">
        <v>2987</v>
      </c>
      <c r="I1245" s="27">
        <v>8321</v>
      </c>
      <c r="L1245" s="68">
        <v>0.315</v>
      </c>
      <c r="M1245" s="62">
        <v>3.5000000000000003E-2</v>
      </c>
    </row>
    <row r="1246" spans="1:13">
      <c r="A1246" s="14" t="s">
        <v>74</v>
      </c>
      <c r="B1246" s="27">
        <v>129000</v>
      </c>
      <c r="C1246" s="7">
        <v>4</v>
      </c>
      <c r="D1246" s="27">
        <v>13550</v>
      </c>
      <c r="E1246" s="27">
        <v>142550</v>
      </c>
      <c r="F1246" s="27">
        <v>1506</v>
      </c>
      <c r="G1246" s="27">
        <v>32250</v>
      </c>
      <c r="H1246" s="27">
        <v>3011</v>
      </c>
      <c r="I1246" s="27">
        <v>35261</v>
      </c>
      <c r="L1246" s="68">
        <v>0.315</v>
      </c>
      <c r="M1246" s="62">
        <v>3.5000000000000003E-2</v>
      </c>
    </row>
    <row r="1247" spans="1:13">
      <c r="A1247" s="14" t="s">
        <v>74</v>
      </c>
      <c r="B1247" s="27">
        <v>129000</v>
      </c>
      <c r="C1247" s="7">
        <v>6</v>
      </c>
      <c r="D1247" s="27">
        <v>20324</v>
      </c>
      <c r="E1247" s="27">
        <v>149324</v>
      </c>
      <c r="F1247" s="27">
        <v>2258</v>
      </c>
      <c r="G1247" s="27">
        <v>21500</v>
      </c>
      <c r="H1247" s="27">
        <v>3011</v>
      </c>
      <c r="I1247" s="27">
        <v>24511</v>
      </c>
      <c r="L1247" s="68">
        <v>0.315</v>
      </c>
      <c r="M1247" s="62">
        <v>3.5000000000000003E-2</v>
      </c>
    </row>
    <row r="1248" spans="1:13">
      <c r="A1248" s="14" t="s">
        <v>74</v>
      </c>
      <c r="B1248" s="27">
        <v>129000</v>
      </c>
      <c r="C1248" s="7">
        <v>8</v>
      </c>
      <c r="D1248" s="27">
        <v>27099</v>
      </c>
      <c r="E1248" s="27">
        <v>156099</v>
      </c>
      <c r="F1248" s="27">
        <v>3011</v>
      </c>
      <c r="G1248" s="27">
        <v>16125</v>
      </c>
      <c r="H1248" s="27">
        <v>3011</v>
      </c>
      <c r="I1248" s="27">
        <v>19136</v>
      </c>
      <c r="L1248" s="68">
        <v>0.315</v>
      </c>
      <c r="M1248" s="62">
        <v>3.5000000000000003E-2</v>
      </c>
    </row>
    <row r="1249" spans="1:13">
      <c r="A1249" s="14" t="s">
        <v>74</v>
      </c>
      <c r="B1249" s="27">
        <v>129000</v>
      </c>
      <c r="C1249" s="7">
        <v>10</v>
      </c>
      <c r="D1249" s="27">
        <v>33873</v>
      </c>
      <c r="E1249" s="27">
        <v>162873</v>
      </c>
      <c r="F1249" s="27">
        <v>3763</v>
      </c>
      <c r="G1249" s="27">
        <v>12900</v>
      </c>
      <c r="H1249" s="27">
        <v>3011</v>
      </c>
      <c r="I1249" s="27">
        <v>15911</v>
      </c>
      <c r="L1249" s="68">
        <v>0.315</v>
      </c>
      <c r="M1249" s="62">
        <v>3.5000000000000003E-2</v>
      </c>
    </row>
    <row r="1250" spans="1:13">
      <c r="A1250" s="14" t="s">
        <v>74</v>
      </c>
      <c r="B1250" s="27">
        <v>129000</v>
      </c>
      <c r="C1250" s="7">
        <v>12</v>
      </c>
      <c r="D1250" s="27">
        <v>40648</v>
      </c>
      <c r="E1250" s="27">
        <v>169648</v>
      </c>
      <c r="F1250" s="27">
        <v>4516</v>
      </c>
      <c r="G1250" s="27">
        <v>10750</v>
      </c>
      <c r="H1250" s="27">
        <v>3011</v>
      </c>
      <c r="I1250" s="27">
        <v>13761</v>
      </c>
      <c r="L1250" s="68">
        <v>0.315</v>
      </c>
      <c r="M1250" s="62">
        <v>3.5000000000000003E-2</v>
      </c>
    </row>
    <row r="1251" spans="1:13">
      <c r="A1251" s="14" t="s">
        <v>74</v>
      </c>
      <c r="B1251" s="27">
        <v>129000</v>
      </c>
      <c r="C1251" s="7">
        <v>14</v>
      </c>
      <c r="D1251" s="27">
        <v>47418</v>
      </c>
      <c r="E1251" s="27">
        <v>176418</v>
      </c>
      <c r="F1251" s="27">
        <v>5268</v>
      </c>
      <c r="G1251" s="27">
        <v>9215</v>
      </c>
      <c r="H1251" s="27">
        <v>3010</v>
      </c>
      <c r="I1251" s="27">
        <v>12225</v>
      </c>
      <c r="L1251" s="68">
        <v>0.315</v>
      </c>
      <c r="M1251" s="62">
        <v>3.5000000000000003E-2</v>
      </c>
    </row>
    <row r="1252" spans="1:13">
      <c r="A1252" s="14" t="s">
        <v>74</v>
      </c>
      <c r="B1252" s="27">
        <v>129000</v>
      </c>
      <c r="C1252" s="7">
        <v>16</v>
      </c>
      <c r="D1252" s="27">
        <v>54189</v>
      </c>
      <c r="E1252" s="27">
        <v>183189</v>
      </c>
      <c r="F1252" s="27">
        <v>6021</v>
      </c>
      <c r="G1252" s="27">
        <v>8063</v>
      </c>
      <c r="H1252" s="27">
        <v>3010</v>
      </c>
      <c r="I1252" s="27">
        <v>11073</v>
      </c>
      <c r="L1252" s="68">
        <v>0.315</v>
      </c>
      <c r="M1252" s="62">
        <v>3.5000000000000003E-2</v>
      </c>
    </row>
    <row r="1253" spans="1:13">
      <c r="A1253" s="14" t="s">
        <v>74</v>
      </c>
      <c r="B1253" s="27">
        <v>129000</v>
      </c>
      <c r="C1253" s="7">
        <v>18</v>
      </c>
      <c r="D1253" s="27">
        <v>60959</v>
      </c>
      <c r="E1253" s="27">
        <v>189959</v>
      </c>
      <c r="F1253" s="27">
        <v>6773</v>
      </c>
      <c r="G1253" s="27">
        <v>7167</v>
      </c>
      <c r="H1253" s="27">
        <v>3010</v>
      </c>
      <c r="I1253" s="27">
        <v>10177</v>
      </c>
      <c r="L1253" s="68">
        <v>0.315</v>
      </c>
      <c r="M1253" s="62">
        <v>3.5000000000000003E-2</v>
      </c>
    </row>
    <row r="1254" spans="1:13">
      <c r="A1254" s="14" t="s">
        <v>74</v>
      </c>
      <c r="B1254" s="27">
        <v>129000</v>
      </c>
      <c r="C1254" s="7">
        <v>20</v>
      </c>
      <c r="D1254" s="27">
        <v>67746</v>
      </c>
      <c r="E1254" s="27">
        <v>196746</v>
      </c>
      <c r="F1254" s="27">
        <v>7526</v>
      </c>
      <c r="G1254" s="27">
        <v>6450</v>
      </c>
      <c r="H1254" s="27">
        <v>3011</v>
      </c>
      <c r="I1254" s="27">
        <v>9461</v>
      </c>
      <c r="L1254" s="68">
        <v>0.315</v>
      </c>
      <c r="M1254" s="62">
        <v>3.5000000000000003E-2</v>
      </c>
    </row>
    <row r="1255" spans="1:13">
      <c r="A1255" s="14" t="s">
        <v>74</v>
      </c>
      <c r="B1255" s="27">
        <v>129000</v>
      </c>
      <c r="C1255" s="7">
        <v>22</v>
      </c>
      <c r="D1255" s="27">
        <v>74506</v>
      </c>
      <c r="E1255" s="27">
        <v>203506</v>
      </c>
      <c r="F1255" s="27">
        <v>8278</v>
      </c>
      <c r="G1255" s="27">
        <v>5864</v>
      </c>
      <c r="H1255" s="27">
        <v>3010</v>
      </c>
      <c r="I1255" s="27">
        <v>8874</v>
      </c>
      <c r="L1255" s="68">
        <v>0.315</v>
      </c>
      <c r="M1255" s="62">
        <v>3.5000000000000003E-2</v>
      </c>
    </row>
    <row r="1256" spans="1:13">
      <c r="A1256" s="14" t="s">
        <v>74</v>
      </c>
      <c r="B1256" s="27">
        <v>129000</v>
      </c>
      <c r="C1256" s="7">
        <v>24</v>
      </c>
      <c r="D1256" s="27">
        <v>81295</v>
      </c>
      <c r="E1256" s="27">
        <v>210295</v>
      </c>
      <c r="F1256" s="27">
        <v>9031</v>
      </c>
      <c r="G1256" s="27">
        <v>5375</v>
      </c>
      <c r="H1256" s="27">
        <v>3011</v>
      </c>
      <c r="I1256" s="27">
        <v>8386</v>
      </c>
      <c r="L1256" s="68">
        <v>0.315</v>
      </c>
      <c r="M1256" s="62">
        <v>3.5000000000000003E-2</v>
      </c>
    </row>
    <row r="1257" spans="1:13">
      <c r="A1257" s="14" t="s">
        <v>74</v>
      </c>
      <c r="B1257" s="27">
        <v>130000</v>
      </c>
      <c r="C1257" s="7">
        <v>4</v>
      </c>
      <c r="D1257" s="27">
        <v>13653</v>
      </c>
      <c r="E1257" s="27">
        <v>143653</v>
      </c>
      <c r="F1257" s="27">
        <v>1517</v>
      </c>
      <c r="G1257" s="27">
        <v>32500</v>
      </c>
      <c r="H1257" s="27">
        <v>3034</v>
      </c>
      <c r="I1257" s="27">
        <v>35534</v>
      </c>
      <c r="L1257" s="68">
        <v>0.315</v>
      </c>
      <c r="M1257" s="62">
        <v>3.5000000000000003E-2</v>
      </c>
    </row>
    <row r="1258" spans="1:13">
      <c r="A1258" s="14" t="s">
        <v>74</v>
      </c>
      <c r="B1258" s="27">
        <v>130000</v>
      </c>
      <c r="C1258" s="7">
        <v>6</v>
      </c>
      <c r="D1258" s="27">
        <v>20482</v>
      </c>
      <c r="E1258" s="27">
        <v>150482</v>
      </c>
      <c r="F1258" s="27">
        <v>2276</v>
      </c>
      <c r="G1258" s="27">
        <v>21667</v>
      </c>
      <c r="H1258" s="27">
        <v>3034</v>
      </c>
      <c r="I1258" s="27">
        <v>24701</v>
      </c>
      <c r="L1258" s="68">
        <v>0.315</v>
      </c>
      <c r="M1258" s="62">
        <v>3.5000000000000003E-2</v>
      </c>
    </row>
    <row r="1259" spans="1:13">
      <c r="A1259" s="14" t="s">
        <v>74</v>
      </c>
      <c r="B1259" s="27">
        <v>130000</v>
      </c>
      <c r="C1259" s="7">
        <v>8</v>
      </c>
      <c r="D1259" s="27">
        <v>27306</v>
      </c>
      <c r="E1259" s="27">
        <v>157306</v>
      </c>
      <c r="F1259" s="27">
        <v>3034</v>
      </c>
      <c r="G1259" s="27">
        <v>16250</v>
      </c>
      <c r="H1259" s="27">
        <v>3034</v>
      </c>
      <c r="I1259" s="27">
        <v>19284</v>
      </c>
      <c r="L1259" s="68">
        <v>0.315</v>
      </c>
      <c r="M1259" s="62">
        <v>3.5000000000000003E-2</v>
      </c>
    </row>
    <row r="1260" spans="1:13">
      <c r="A1260" s="14" t="s">
        <v>74</v>
      </c>
      <c r="B1260" s="27">
        <v>130000</v>
      </c>
      <c r="C1260" s="7">
        <v>10</v>
      </c>
      <c r="D1260" s="27">
        <v>34132</v>
      </c>
      <c r="E1260" s="27">
        <v>164132</v>
      </c>
      <c r="F1260" s="27">
        <v>3792</v>
      </c>
      <c r="G1260" s="27">
        <v>13000</v>
      </c>
      <c r="H1260" s="27">
        <v>3034</v>
      </c>
      <c r="I1260" s="27">
        <v>16034</v>
      </c>
      <c r="L1260" s="68">
        <v>0.315</v>
      </c>
      <c r="M1260" s="62">
        <v>3.5000000000000003E-2</v>
      </c>
    </row>
    <row r="1261" spans="1:13">
      <c r="A1261" s="14" t="s">
        <v>74</v>
      </c>
      <c r="B1261" s="27">
        <v>130000</v>
      </c>
      <c r="C1261" s="7">
        <v>12</v>
      </c>
      <c r="D1261" s="27">
        <v>40955</v>
      </c>
      <c r="E1261" s="27">
        <v>170955</v>
      </c>
      <c r="F1261" s="27">
        <v>4551</v>
      </c>
      <c r="G1261" s="27">
        <v>10834</v>
      </c>
      <c r="H1261" s="27">
        <v>3033</v>
      </c>
      <c r="I1261" s="27">
        <v>13867</v>
      </c>
      <c r="L1261" s="68">
        <v>0.315</v>
      </c>
      <c r="M1261" s="62">
        <v>3.5000000000000003E-2</v>
      </c>
    </row>
    <row r="1262" spans="1:13">
      <c r="A1262" s="14" t="s">
        <v>74</v>
      </c>
      <c r="B1262" s="27">
        <v>130000</v>
      </c>
      <c r="C1262" s="7">
        <v>14</v>
      </c>
      <c r="D1262" s="27">
        <v>47789</v>
      </c>
      <c r="E1262" s="27">
        <v>177789</v>
      </c>
      <c r="F1262" s="27">
        <v>5309</v>
      </c>
      <c r="G1262" s="27">
        <v>9286</v>
      </c>
      <c r="H1262" s="27">
        <v>3034</v>
      </c>
      <c r="I1262" s="27">
        <v>12320</v>
      </c>
      <c r="L1262" s="68">
        <v>0.315</v>
      </c>
      <c r="M1262" s="62">
        <v>3.5000000000000003E-2</v>
      </c>
    </row>
    <row r="1263" spans="1:13">
      <c r="A1263" s="14" t="s">
        <v>74</v>
      </c>
      <c r="B1263" s="27">
        <v>130000</v>
      </c>
      <c r="C1263" s="7">
        <v>16</v>
      </c>
      <c r="D1263" s="27">
        <v>54611</v>
      </c>
      <c r="E1263" s="27">
        <v>184611</v>
      </c>
      <c r="F1263" s="27">
        <v>6067</v>
      </c>
      <c r="G1263" s="27">
        <v>8125</v>
      </c>
      <c r="H1263" s="27">
        <v>3034</v>
      </c>
      <c r="I1263" s="27">
        <v>11159</v>
      </c>
      <c r="L1263" s="68">
        <v>0.315</v>
      </c>
      <c r="M1263" s="62">
        <v>3.5000000000000003E-2</v>
      </c>
    </row>
    <row r="1264" spans="1:13">
      <c r="A1264" s="14" t="s">
        <v>74</v>
      </c>
      <c r="B1264" s="27">
        <v>130000</v>
      </c>
      <c r="C1264" s="7">
        <v>18</v>
      </c>
      <c r="D1264" s="27">
        <v>61434</v>
      </c>
      <c r="E1264" s="27">
        <v>191434</v>
      </c>
      <c r="F1264" s="27">
        <v>6826</v>
      </c>
      <c r="G1264" s="27">
        <v>7223</v>
      </c>
      <c r="H1264" s="27">
        <v>3033</v>
      </c>
      <c r="I1264" s="27">
        <v>10256</v>
      </c>
      <c r="L1264" s="68">
        <v>0.315</v>
      </c>
      <c r="M1264" s="62">
        <v>3.5000000000000003E-2</v>
      </c>
    </row>
    <row r="1265" spans="1:13">
      <c r="A1265" s="14" t="s">
        <v>74</v>
      </c>
      <c r="B1265" s="27">
        <v>130000</v>
      </c>
      <c r="C1265" s="7">
        <v>20</v>
      </c>
      <c r="D1265" s="27">
        <v>68264</v>
      </c>
      <c r="E1265" s="27">
        <v>198264</v>
      </c>
      <c r="F1265" s="27">
        <v>7584</v>
      </c>
      <c r="G1265" s="27">
        <v>6500</v>
      </c>
      <c r="H1265" s="27">
        <v>3034</v>
      </c>
      <c r="I1265" s="27">
        <v>9534</v>
      </c>
      <c r="L1265" s="68">
        <v>0.315</v>
      </c>
      <c r="M1265" s="62">
        <v>3.5000000000000003E-2</v>
      </c>
    </row>
    <row r="1266" spans="1:13">
      <c r="A1266" s="14" t="s">
        <v>74</v>
      </c>
      <c r="B1266" s="27">
        <v>130000</v>
      </c>
      <c r="C1266" s="7">
        <v>22</v>
      </c>
      <c r="D1266" s="27">
        <v>75088</v>
      </c>
      <c r="E1266" s="27">
        <v>205088</v>
      </c>
      <c r="F1266" s="27">
        <v>8342</v>
      </c>
      <c r="G1266" s="27">
        <v>5910</v>
      </c>
      <c r="H1266" s="27">
        <v>3033</v>
      </c>
      <c r="I1266" s="27">
        <v>8943</v>
      </c>
      <c r="L1266" s="68">
        <v>0.315</v>
      </c>
      <c r="M1266" s="62">
        <v>3.5000000000000003E-2</v>
      </c>
    </row>
    <row r="1267" spans="1:13">
      <c r="A1267" s="14" t="s">
        <v>74</v>
      </c>
      <c r="B1267" s="27">
        <v>130000</v>
      </c>
      <c r="C1267" s="7">
        <v>24</v>
      </c>
      <c r="D1267" s="27">
        <v>81925</v>
      </c>
      <c r="E1267" s="27">
        <v>211925</v>
      </c>
      <c r="F1267" s="27">
        <v>9101</v>
      </c>
      <c r="G1267" s="27">
        <v>5417</v>
      </c>
      <c r="H1267" s="27">
        <v>3034</v>
      </c>
      <c r="I1267" s="27">
        <v>8451</v>
      </c>
      <c r="L1267" s="68">
        <v>0.315</v>
      </c>
      <c r="M1267" s="62">
        <v>3.5000000000000003E-2</v>
      </c>
    </row>
    <row r="1268" spans="1:13">
      <c r="A1268" s="14" t="s">
        <v>74</v>
      </c>
      <c r="B1268" s="27">
        <v>131000</v>
      </c>
      <c r="C1268" s="7">
        <v>4</v>
      </c>
      <c r="D1268" s="27">
        <v>13757</v>
      </c>
      <c r="E1268" s="27">
        <v>144757</v>
      </c>
      <c r="F1268" s="27">
        <v>1529</v>
      </c>
      <c r="G1268" s="27">
        <v>32750</v>
      </c>
      <c r="H1268" s="27">
        <v>3057</v>
      </c>
      <c r="I1268" s="27">
        <v>35807</v>
      </c>
      <c r="L1268" s="68">
        <v>0.315</v>
      </c>
      <c r="M1268" s="62">
        <v>3.5000000000000003E-2</v>
      </c>
    </row>
    <row r="1269" spans="1:13">
      <c r="A1269" s="14" t="s">
        <v>74</v>
      </c>
      <c r="B1269" s="27">
        <v>131000</v>
      </c>
      <c r="C1269" s="7">
        <v>6</v>
      </c>
      <c r="D1269" s="27">
        <v>20639</v>
      </c>
      <c r="E1269" s="27">
        <v>151639</v>
      </c>
      <c r="F1269" s="27">
        <v>2293</v>
      </c>
      <c r="G1269" s="27">
        <v>21834</v>
      </c>
      <c r="H1269" s="27">
        <v>3057</v>
      </c>
      <c r="I1269" s="27">
        <v>24891</v>
      </c>
      <c r="L1269" s="68">
        <v>0.315</v>
      </c>
      <c r="M1269" s="62">
        <v>3.5000000000000003E-2</v>
      </c>
    </row>
    <row r="1270" spans="1:13">
      <c r="A1270" s="14" t="s">
        <v>74</v>
      </c>
      <c r="B1270" s="27">
        <v>131000</v>
      </c>
      <c r="C1270" s="7">
        <v>8</v>
      </c>
      <c r="D1270" s="27">
        <v>27513</v>
      </c>
      <c r="E1270" s="27">
        <v>158513</v>
      </c>
      <c r="F1270" s="27">
        <v>3057</v>
      </c>
      <c r="G1270" s="27">
        <v>16375</v>
      </c>
      <c r="H1270" s="27">
        <v>3057</v>
      </c>
      <c r="I1270" s="27">
        <v>19432</v>
      </c>
      <c r="L1270" s="68">
        <v>0.315</v>
      </c>
      <c r="M1270" s="62">
        <v>3.5000000000000003E-2</v>
      </c>
    </row>
    <row r="1271" spans="1:13">
      <c r="A1271" s="14" t="s">
        <v>74</v>
      </c>
      <c r="B1271" s="27">
        <v>131000</v>
      </c>
      <c r="C1271" s="7">
        <v>10</v>
      </c>
      <c r="D1271" s="27">
        <v>34391</v>
      </c>
      <c r="E1271" s="27">
        <v>165391</v>
      </c>
      <c r="F1271" s="27">
        <v>3821</v>
      </c>
      <c r="G1271" s="27">
        <v>13100</v>
      </c>
      <c r="H1271" s="27">
        <v>3057</v>
      </c>
      <c r="I1271" s="27">
        <v>16157</v>
      </c>
      <c r="L1271" s="68">
        <v>0.315</v>
      </c>
      <c r="M1271" s="62">
        <v>3.5000000000000003E-2</v>
      </c>
    </row>
    <row r="1272" spans="1:13">
      <c r="A1272" s="14" t="s">
        <v>74</v>
      </c>
      <c r="B1272" s="27">
        <v>131000</v>
      </c>
      <c r="C1272" s="7">
        <v>12</v>
      </c>
      <c r="D1272" s="27">
        <v>41274</v>
      </c>
      <c r="E1272" s="27">
        <v>172274</v>
      </c>
      <c r="F1272" s="27">
        <v>4586</v>
      </c>
      <c r="G1272" s="27">
        <v>10917</v>
      </c>
      <c r="H1272" s="27">
        <v>3057</v>
      </c>
      <c r="I1272" s="27">
        <v>13974</v>
      </c>
      <c r="L1272" s="68">
        <v>0.315</v>
      </c>
      <c r="M1272" s="62">
        <v>3.5000000000000003E-2</v>
      </c>
    </row>
    <row r="1273" spans="1:13">
      <c r="A1273" s="14" t="s">
        <v>74</v>
      </c>
      <c r="B1273" s="27">
        <v>131000</v>
      </c>
      <c r="C1273" s="7">
        <v>14</v>
      </c>
      <c r="D1273" s="27">
        <v>48146</v>
      </c>
      <c r="E1273" s="27">
        <v>179146</v>
      </c>
      <c r="F1273" s="27">
        <v>5350</v>
      </c>
      <c r="G1273" s="27">
        <v>9358</v>
      </c>
      <c r="H1273" s="27">
        <v>3056</v>
      </c>
      <c r="I1273" s="27">
        <v>12414</v>
      </c>
      <c r="L1273" s="68">
        <v>0.315</v>
      </c>
      <c r="M1273" s="62">
        <v>3.5000000000000003E-2</v>
      </c>
    </row>
    <row r="1274" spans="1:13">
      <c r="A1274" s="14" t="s">
        <v>74</v>
      </c>
      <c r="B1274" s="27">
        <v>131000</v>
      </c>
      <c r="C1274" s="7">
        <v>16</v>
      </c>
      <c r="D1274" s="27">
        <v>55034</v>
      </c>
      <c r="E1274" s="27">
        <v>186034</v>
      </c>
      <c r="F1274" s="27">
        <v>6114</v>
      </c>
      <c r="G1274" s="27">
        <v>8188</v>
      </c>
      <c r="H1274" s="27">
        <v>3057</v>
      </c>
      <c r="I1274" s="27">
        <v>11245</v>
      </c>
      <c r="L1274" s="68">
        <v>0.315</v>
      </c>
      <c r="M1274" s="62">
        <v>3.5000000000000003E-2</v>
      </c>
    </row>
    <row r="1275" spans="1:13">
      <c r="A1275" s="14" t="s">
        <v>74</v>
      </c>
      <c r="B1275" s="27">
        <v>131000</v>
      </c>
      <c r="C1275" s="7">
        <v>18</v>
      </c>
      <c r="D1275" s="27">
        <v>61908</v>
      </c>
      <c r="E1275" s="27">
        <v>192908</v>
      </c>
      <c r="F1275" s="27">
        <v>6878</v>
      </c>
      <c r="G1275" s="27">
        <v>7278</v>
      </c>
      <c r="H1275" s="27">
        <v>3057</v>
      </c>
      <c r="I1275" s="27">
        <v>10335</v>
      </c>
      <c r="L1275" s="68">
        <v>0.315</v>
      </c>
      <c r="M1275" s="62">
        <v>3.5000000000000003E-2</v>
      </c>
    </row>
    <row r="1276" spans="1:13">
      <c r="A1276" s="14" t="s">
        <v>74</v>
      </c>
      <c r="B1276" s="27">
        <v>131000</v>
      </c>
      <c r="C1276" s="7">
        <v>20</v>
      </c>
      <c r="D1276" s="27">
        <v>68782</v>
      </c>
      <c r="E1276" s="27">
        <v>199782</v>
      </c>
      <c r="F1276" s="27">
        <v>7642</v>
      </c>
      <c r="G1276" s="27">
        <v>6550</v>
      </c>
      <c r="H1276" s="27">
        <v>3057</v>
      </c>
      <c r="I1276" s="27">
        <v>9607</v>
      </c>
      <c r="L1276" s="68">
        <v>0.315</v>
      </c>
      <c r="M1276" s="62">
        <v>3.5000000000000003E-2</v>
      </c>
    </row>
    <row r="1277" spans="1:13">
      <c r="A1277" s="14" t="s">
        <v>74</v>
      </c>
      <c r="B1277" s="27">
        <v>131000</v>
      </c>
      <c r="C1277" s="7">
        <v>22</v>
      </c>
      <c r="D1277" s="27">
        <v>75670</v>
      </c>
      <c r="E1277" s="27">
        <v>206670</v>
      </c>
      <c r="F1277" s="27">
        <v>8406</v>
      </c>
      <c r="G1277" s="27">
        <v>5955</v>
      </c>
      <c r="H1277" s="27">
        <v>3057</v>
      </c>
      <c r="I1277" s="27">
        <v>9012</v>
      </c>
      <c r="L1277" s="68">
        <v>0.315</v>
      </c>
      <c r="M1277" s="62">
        <v>3.5000000000000003E-2</v>
      </c>
    </row>
    <row r="1278" spans="1:13">
      <c r="A1278" s="14" t="s">
        <v>74</v>
      </c>
      <c r="B1278" s="27">
        <v>131000</v>
      </c>
      <c r="C1278" s="7">
        <v>24</v>
      </c>
      <c r="D1278" s="27">
        <v>82555</v>
      </c>
      <c r="E1278" s="27">
        <v>213555</v>
      </c>
      <c r="F1278" s="27">
        <v>9171</v>
      </c>
      <c r="G1278" s="27">
        <v>5459</v>
      </c>
      <c r="H1278" s="27">
        <v>3057</v>
      </c>
      <c r="I1278" s="27">
        <v>8516</v>
      </c>
      <c r="L1278" s="68">
        <v>0.315</v>
      </c>
      <c r="M1278" s="62">
        <v>3.5000000000000003E-2</v>
      </c>
    </row>
    <row r="1279" spans="1:13">
      <c r="A1279" s="14" t="s">
        <v>74</v>
      </c>
      <c r="B1279" s="27">
        <v>132000</v>
      </c>
      <c r="C1279" s="7">
        <v>4</v>
      </c>
      <c r="D1279" s="27">
        <v>13865</v>
      </c>
      <c r="E1279" s="27">
        <v>145865</v>
      </c>
      <c r="F1279" s="27">
        <v>1541</v>
      </c>
      <c r="G1279" s="27">
        <v>33000</v>
      </c>
      <c r="H1279" s="27">
        <v>3081</v>
      </c>
      <c r="I1279" s="27">
        <v>36081</v>
      </c>
      <c r="L1279" s="68">
        <v>0.315</v>
      </c>
      <c r="M1279" s="62">
        <v>3.5000000000000003E-2</v>
      </c>
    </row>
    <row r="1280" spans="1:13">
      <c r="A1280" s="14" t="s">
        <v>74</v>
      </c>
      <c r="B1280" s="27">
        <v>132000</v>
      </c>
      <c r="C1280" s="7">
        <v>6</v>
      </c>
      <c r="D1280" s="27">
        <v>20797</v>
      </c>
      <c r="E1280" s="27">
        <v>152797</v>
      </c>
      <c r="F1280" s="27">
        <v>2311</v>
      </c>
      <c r="G1280" s="27">
        <v>22000</v>
      </c>
      <c r="H1280" s="27">
        <v>3081</v>
      </c>
      <c r="I1280" s="27">
        <v>25081</v>
      </c>
      <c r="L1280" s="68">
        <v>0.315</v>
      </c>
      <c r="M1280" s="62">
        <v>3.5000000000000003E-2</v>
      </c>
    </row>
    <row r="1281" spans="1:13">
      <c r="A1281" s="14" t="s">
        <v>74</v>
      </c>
      <c r="B1281" s="27">
        <v>132000</v>
      </c>
      <c r="C1281" s="7">
        <v>8</v>
      </c>
      <c r="D1281" s="27">
        <v>27729</v>
      </c>
      <c r="E1281" s="27">
        <v>159729</v>
      </c>
      <c r="F1281" s="27">
        <v>3081</v>
      </c>
      <c r="G1281" s="27">
        <v>16500</v>
      </c>
      <c r="H1281" s="27">
        <v>3081</v>
      </c>
      <c r="I1281" s="27">
        <v>19581</v>
      </c>
      <c r="L1281" s="68">
        <v>0.315</v>
      </c>
      <c r="M1281" s="62">
        <v>3.5000000000000003E-2</v>
      </c>
    </row>
    <row r="1282" spans="1:13">
      <c r="A1282" s="14" t="s">
        <v>74</v>
      </c>
      <c r="B1282" s="27">
        <v>132000</v>
      </c>
      <c r="C1282" s="7">
        <v>10</v>
      </c>
      <c r="D1282" s="27">
        <v>34661</v>
      </c>
      <c r="E1282" s="27">
        <v>166661</v>
      </c>
      <c r="F1282" s="27">
        <v>3851</v>
      </c>
      <c r="G1282" s="27">
        <v>13200</v>
      </c>
      <c r="H1282" s="27">
        <v>3081</v>
      </c>
      <c r="I1282" s="27">
        <v>16281</v>
      </c>
      <c r="L1282" s="68">
        <v>0.315</v>
      </c>
      <c r="M1282" s="62">
        <v>3.5000000000000003E-2</v>
      </c>
    </row>
    <row r="1283" spans="1:13">
      <c r="A1283" s="14" t="s">
        <v>74</v>
      </c>
      <c r="B1283" s="27">
        <v>132000</v>
      </c>
      <c r="C1283" s="7">
        <v>12</v>
      </c>
      <c r="D1283" s="27">
        <v>41593</v>
      </c>
      <c r="E1283" s="27">
        <v>173593</v>
      </c>
      <c r="F1283" s="27">
        <v>4621</v>
      </c>
      <c r="G1283" s="27">
        <v>11000</v>
      </c>
      <c r="H1283" s="27">
        <v>3081</v>
      </c>
      <c r="I1283" s="27">
        <v>14081</v>
      </c>
      <c r="L1283" s="68">
        <v>0.315</v>
      </c>
      <c r="M1283" s="62">
        <v>3.5000000000000003E-2</v>
      </c>
    </row>
    <row r="1284" spans="1:13">
      <c r="A1284" s="14" t="s">
        <v>74</v>
      </c>
      <c r="B1284" s="27">
        <v>132000</v>
      </c>
      <c r="C1284" s="7">
        <v>14</v>
      </c>
      <c r="D1284" s="27">
        <v>48517</v>
      </c>
      <c r="E1284" s="27">
        <v>180517</v>
      </c>
      <c r="F1284" s="27">
        <v>5391</v>
      </c>
      <c r="G1284" s="27">
        <v>9429</v>
      </c>
      <c r="H1284" s="27">
        <v>3080</v>
      </c>
      <c r="I1284" s="27">
        <v>12509</v>
      </c>
      <c r="L1284" s="68">
        <v>0.315</v>
      </c>
      <c r="M1284" s="62">
        <v>3.5000000000000003E-2</v>
      </c>
    </row>
    <row r="1285" spans="1:13">
      <c r="A1285" s="14" t="s">
        <v>74</v>
      </c>
      <c r="B1285" s="27">
        <v>132000</v>
      </c>
      <c r="C1285" s="7">
        <v>16</v>
      </c>
      <c r="D1285" s="27">
        <v>55457</v>
      </c>
      <c r="E1285" s="27">
        <v>187457</v>
      </c>
      <c r="F1285" s="27">
        <v>6161</v>
      </c>
      <c r="G1285" s="27">
        <v>8250</v>
      </c>
      <c r="H1285" s="27">
        <v>3081</v>
      </c>
      <c r="I1285" s="27">
        <v>11331</v>
      </c>
      <c r="L1285" s="68">
        <v>0.315</v>
      </c>
      <c r="M1285" s="62">
        <v>3.5000000000000003E-2</v>
      </c>
    </row>
    <row r="1286" spans="1:13">
      <c r="A1286" s="14" t="s">
        <v>74</v>
      </c>
      <c r="B1286" s="27">
        <v>132000</v>
      </c>
      <c r="C1286" s="7">
        <v>18</v>
      </c>
      <c r="D1286" s="27">
        <v>62383</v>
      </c>
      <c r="E1286" s="27">
        <v>194383</v>
      </c>
      <c r="F1286" s="27">
        <v>6931</v>
      </c>
      <c r="G1286" s="27">
        <v>7334</v>
      </c>
      <c r="H1286" s="27">
        <v>3080</v>
      </c>
      <c r="I1286" s="27">
        <v>10414</v>
      </c>
      <c r="L1286" s="68">
        <v>0.315</v>
      </c>
      <c r="M1286" s="62">
        <v>3.5000000000000003E-2</v>
      </c>
    </row>
    <row r="1287" spans="1:13">
      <c r="A1287" s="14" t="s">
        <v>74</v>
      </c>
      <c r="B1287" s="27">
        <v>132000</v>
      </c>
      <c r="C1287" s="7">
        <v>20</v>
      </c>
      <c r="D1287" s="27">
        <v>69321</v>
      </c>
      <c r="E1287" s="27">
        <v>201321</v>
      </c>
      <c r="F1287" s="27">
        <v>7701</v>
      </c>
      <c r="G1287" s="27">
        <v>6600</v>
      </c>
      <c r="H1287" s="27">
        <v>3081</v>
      </c>
      <c r="I1287" s="27">
        <v>9681</v>
      </c>
      <c r="L1287" s="68">
        <v>0.315</v>
      </c>
      <c r="M1287" s="62">
        <v>3.5000000000000003E-2</v>
      </c>
    </row>
    <row r="1288" spans="1:13">
      <c r="A1288" s="14" t="s">
        <v>74</v>
      </c>
      <c r="B1288" s="27">
        <v>132000</v>
      </c>
      <c r="C1288" s="7">
        <v>22</v>
      </c>
      <c r="D1288" s="27">
        <v>76253</v>
      </c>
      <c r="E1288" s="27">
        <v>208253</v>
      </c>
      <c r="F1288" s="27">
        <v>8471</v>
      </c>
      <c r="G1288" s="27">
        <v>6000</v>
      </c>
      <c r="H1288" s="27">
        <v>3081</v>
      </c>
      <c r="I1288" s="27">
        <v>9081</v>
      </c>
      <c r="L1288" s="68">
        <v>0.315</v>
      </c>
      <c r="M1288" s="62">
        <v>3.5000000000000003E-2</v>
      </c>
    </row>
    <row r="1289" spans="1:13">
      <c r="A1289" s="14" t="s">
        <v>74</v>
      </c>
      <c r="B1289" s="27">
        <v>132000</v>
      </c>
      <c r="C1289" s="7">
        <v>24</v>
      </c>
      <c r="D1289" s="27">
        <v>83185</v>
      </c>
      <c r="E1289" s="27">
        <v>215185</v>
      </c>
      <c r="F1289" s="27">
        <v>9241</v>
      </c>
      <c r="G1289" s="27">
        <v>5500</v>
      </c>
      <c r="H1289" s="27">
        <v>3081</v>
      </c>
      <c r="I1289" s="27">
        <v>8581</v>
      </c>
      <c r="L1289" s="68">
        <v>0.315</v>
      </c>
      <c r="M1289" s="62">
        <v>3.5000000000000003E-2</v>
      </c>
    </row>
    <row r="1290" spans="1:13">
      <c r="A1290" s="14" t="s">
        <v>74</v>
      </c>
      <c r="B1290" s="27">
        <v>133000</v>
      </c>
      <c r="C1290" s="7">
        <v>4</v>
      </c>
      <c r="D1290" s="27">
        <v>13968</v>
      </c>
      <c r="E1290" s="27">
        <v>146968</v>
      </c>
      <c r="F1290" s="27">
        <v>1552</v>
      </c>
      <c r="G1290" s="27">
        <v>33250</v>
      </c>
      <c r="H1290" s="27">
        <v>3104</v>
      </c>
      <c r="I1290" s="27">
        <v>36354</v>
      </c>
      <c r="L1290" s="68">
        <v>0.315</v>
      </c>
      <c r="M1290" s="62">
        <v>3.5000000000000003E-2</v>
      </c>
    </row>
    <row r="1291" spans="1:13">
      <c r="A1291" s="14" t="s">
        <v>74</v>
      </c>
      <c r="B1291" s="27">
        <v>133000</v>
      </c>
      <c r="C1291" s="7">
        <v>6</v>
      </c>
      <c r="D1291" s="27">
        <v>20954</v>
      </c>
      <c r="E1291" s="27">
        <v>153954</v>
      </c>
      <c r="F1291" s="27">
        <v>2328</v>
      </c>
      <c r="G1291" s="27">
        <v>22167</v>
      </c>
      <c r="H1291" s="27">
        <v>3104</v>
      </c>
      <c r="I1291" s="27">
        <v>25271</v>
      </c>
      <c r="L1291" s="68">
        <v>0.315</v>
      </c>
      <c r="M1291" s="62">
        <v>3.5000000000000003E-2</v>
      </c>
    </row>
    <row r="1292" spans="1:13">
      <c r="A1292" s="14" t="s">
        <v>74</v>
      </c>
      <c r="B1292" s="27">
        <v>133000</v>
      </c>
      <c r="C1292" s="7">
        <v>8</v>
      </c>
      <c r="D1292" s="27">
        <v>27936</v>
      </c>
      <c r="E1292" s="27">
        <v>160936</v>
      </c>
      <c r="F1292" s="27">
        <v>3104</v>
      </c>
      <c r="G1292" s="27">
        <v>16625</v>
      </c>
      <c r="H1292" s="27">
        <v>3104</v>
      </c>
      <c r="I1292" s="27">
        <v>19729</v>
      </c>
      <c r="L1292" s="68">
        <v>0.315</v>
      </c>
      <c r="M1292" s="62">
        <v>3.5000000000000003E-2</v>
      </c>
    </row>
    <row r="1293" spans="1:13">
      <c r="A1293" s="14" t="s">
        <v>74</v>
      </c>
      <c r="B1293" s="27">
        <v>133000</v>
      </c>
      <c r="C1293" s="7">
        <v>10</v>
      </c>
      <c r="D1293" s="27">
        <v>34920</v>
      </c>
      <c r="E1293" s="27">
        <v>167920</v>
      </c>
      <c r="F1293" s="27">
        <v>3880</v>
      </c>
      <c r="G1293" s="27">
        <v>13300</v>
      </c>
      <c r="H1293" s="27">
        <v>3104</v>
      </c>
      <c r="I1293" s="27">
        <v>16404</v>
      </c>
      <c r="L1293" s="68">
        <v>0.315</v>
      </c>
      <c r="M1293" s="62">
        <v>3.5000000000000003E-2</v>
      </c>
    </row>
    <row r="1294" spans="1:13">
      <c r="A1294" s="14" t="s">
        <v>74</v>
      </c>
      <c r="B1294" s="27">
        <v>133000</v>
      </c>
      <c r="C1294" s="7">
        <v>12</v>
      </c>
      <c r="D1294" s="27">
        <v>41900</v>
      </c>
      <c r="E1294" s="27">
        <v>174900</v>
      </c>
      <c r="F1294" s="27">
        <v>4656</v>
      </c>
      <c r="G1294" s="27">
        <v>11084</v>
      </c>
      <c r="H1294" s="27">
        <v>3103</v>
      </c>
      <c r="I1294" s="27">
        <v>14187</v>
      </c>
      <c r="L1294" s="68">
        <v>0.315</v>
      </c>
      <c r="M1294" s="62">
        <v>3.5000000000000003E-2</v>
      </c>
    </row>
    <row r="1295" spans="1:13">
      <c r="A1295" s="14" t="s">
        <v>74</v>
      </c>
      <c r="B1295" s="27">
        <v>133000</v>
      </c>
      <c r="C1295" s="7">
        <v>14</v>
      </c>
      <c r="D1295" s="27">
        <v>48887</v>
      </c>
      <c r="E1295" s="27">
        <v>181887</v>
      </c>
      <c r="F1295" s="27">
        <v>5431</v>
      </c>
      <c r="G1295" s="27">
        <v>9500</v>
      </c>
      <c r="H1295" s="27">
        <v>3104</v>
      </c>
      <c r="I1295" s="27">
        <v>12604</v>
      </c>
      <c r="L1295" s="68">
        <v>0.315</v>
      </c>
      <c r="M1295" s="62">
        <v>3.5000000000000003E-2</v>
      </c>
    </row>
    <row r="1296" spans="1:13">
      <c r="A1296" s="14" t="s">
        <v>74</v>
      </c>
      <c r="B1296" s="27">
        <v>133000</v>
      </c>
      <c r="C1296" s="7">
        <v>16</v>
      </c>
      <c r="D1296" s="27">
        <v>55863</v>
      </c>
      <c r="E1296" s="27">
        <v>188863</v>
      </c>
      <c r="F1296" s="27">
        <v>6207</v>
      </c>
      <c r="G1296" s="27">
        <v>8313</v>
      </c>
      <c r="H1296" s="27">
        <v>3103</v>
      </c>
      <c r="I1296" s="27">
        <v>11416</v>
      </c>
      <c r="L1296" s="68">
        <v>0.315</v>
      </c>
      <c r="M1296" s="62">
        <v>3.5000000000000003E-2</v>
      </c>
    </row>
    <row r="1297" spans="1:13">
      <c r="A1297" s="14" t="s">
        <v>74</v>
      </c>
      <c r="B1297" s="27">
        <v>133000</v>
      </c>
      <c r="C1297" s="7">
        <v>18</v>
      </c>
      <c r="D1297" s="27">
        <v>62857</v>
      </c>
      <c r="E1297" s="27">
        <v>195857</v>
      </c>
      <c r="F1297" s="27">
        <v>6983</v>
      </c>
      <c r="G1297" s="27">
        <v>7389</v>
      </c>
      <c r="H1297" s="27">
        <v>3104</v>
      </c>
      <c r="I1297" s="27">
        <v>10493</v>
      </c>
      <c r="L1297" s="68">
        <v>0.315</v>
      </c>
      <c r="M1297" s="62">
        <v>3.5000000000000003E-2</v>
      </c>
    </row>
    <row r="1298" spans="1:13">
      <c r="A1298" s="14" t="s">
        <v>74</v>
      </c>
      <c r="B1298" s="27">
        <v>133000</v>
      </c>
      <c r="C1298" s="7">
        <v>20</v>
      </c>
      <c r="D1298" s="27">
        <v>69839</v>
      </c>
      <c r="E1298" s="27">
        <v>202839</v>
      </c>
      <c r="F1298" s="27">
        <v>7759</v>
      </c>
      <c r="G1298" s="27">
        <v>6650</v>
      </c>
      <c r="H1298" s="27">
        <v>3104</v>
      </c>
      <c r="I1298" s="27">
        <v>9754</v>
      </c>
      <c r="L1298" s="68">
        <v>0.315</v>
      </c>
      <c r="M1298" s="62">
        <v>3.5000000000000003E-2</v>
      </c>
    </row>
    <row r="1299" spans="1:13">
      <c r="A1299" s="14" t="s">
        <v>74</v>
      </c>
      <c r="B1299" s="27">
        <v>133000</v>
      </c>
      <c r="C1299" s="7">
        <v>22</v>
      </c>
      <c r="D1299" s="27">
        <v>76813</v>
      </c>
      <c r="E1299" s="27">
        <v>209813</v>
      </c>
      <c r="F1299" s="27">
        <v>8535</v>
      </c>
      <c r="G1299" s="27">
        <v>6046</v>
      </c>
      <c r="H1299" s="27">
        <v>3103</v>
      </c>
      <c r="I1299" s="27">
        <v>9149</v>
      </c>
      <c r="L1299" s="68">
        <v>0.315</v>
      </c>
      <c r="M1299" s="62">
        <v>3.5000000000000003E-2</v>
      </c>
    </row>
    <row r="1300" spans="1:13">
      <c r="A1300" s="14" t="s">
        <v>74</v>
      </c>
      <c r="B1300" s="27">
        <v>133000</v>
      </c>
      <c r="C1300" s="7">
        <v>24</v>
      </c>
      <c r="D1300" s="27">
        <v>83815</v>
      </c>
      <c r="E1300" s="27">
        <v>216815</v>
      </c>
      <c r="F1300" s="27">
        <v>9311</v>
      </c>
      <c r="G1300" s="27">
        <v>5542</v>
      </c>
      <c r="H1300" s="27">
        <v>3104</v>
      </c>
      <c r="I1300" s="27">
        <v>8646</v>
      </c>
      <c r="L1300" s="68">
        <v>0.315</v>
      </c>
      <c r="M1300" s="62">
        <v>3.5000000000000003E-2</v>
      </c>
    </row>
    <row r="1301" spans="1:13">
      <c r="A1301" s="14" t="s">
        <v>74</v>
      </c>
      <c r="B1301" s="27">
        <v>134000</v>
      </c>
      <c r="C1301" s="7">
        <v>4</v>
      </c>
      <c r="D1301" s="27">
        <v>14072</v>
      </c>
      <c r="E1301" s="27">
        <v>148072</v>
      </c>
      <c r="F1301" s="27">
        <v>1564</v>
      </c>
      <c r="G1301" s="27">
        <v>33500</v>
      </c>
      <c r="H1301" s="27">
        <v>3127</v>
      </c>
      <c r="I1301" s="27">
        <v>36627</v>
      </c>
      <c r="L1301" s="68">
        <v>0.315</v>
      </c>
      <c r="M1301" s="62">
        <v>3.5000000000000003E-2</v>
      </c>
    </row>
    <row r="1302" spans="1:13">
      <c r="A1302" s="14" t="s">
        <v>74</v>
      </c>
      <c r="B1302" s="27">
        <v>134000</v>
      </c>
      <c r="C1302" s="7">
        <v>6</v>
      </c>
      <c r="D1302" s="27">
        <v>21112</v>
      </c>
      <c r="E1302" s="27">
        <v>155112</v>
      </c>
      <c r="F1302" s="27">
        <v>2346</v>
      </c>
      <c r="G1302" s="27">
        <v>22334</v>
      </c>
      <c r="H1302" s="27">
        <v>3127</v>
      </c>
      <c r="I1302" s="27">
        <v>25461</v>
      </c>
      <c r="L1302" s="68">
        <v>0.315</v>
      </c>
      <c r="M1302" s="62">
        <v>3.5000000000000003E-2</v>
      </c>
    </row>
    <row r="1303" spans="1:13">
      <c r="A1303" s="14" t="s">
        <v>74</v>
      </c>
      <c r="B1303" s="27">
        <v>134000</v>
      </c>
      <c r="C1303" s="7">
        <v>8</v>
      </c>
      <c r="D1303" s="27">
        <v>28143</v>
      </c>
      <c r="E1303" s="27">
        <v>162143</v>
      </c>
      <c r="F1303" s="27">
        <v>3127</v>
      </c>
      <c r="G1303" s="27">
        <v>16750</v>
      </c>
      <c r="H1303" s="27">
        <v>3127</v>
      </c>
      <c r="I1303" s="27">
        <v>19877</v>
      </c>
      <c r="L1303" s="68">
        <v>0.315</v>
      </c>
      <c r="M1303" s="62">
        <v>3.5000000000000003E-2</v>
      </c>
    </row>
    <row r="1304" spans="1:13">
      <c r="A1304" s="14" t="s">
        <v>74</v>
      </c>
      <c r="B1304" s="27">
        <v>134000</v>
      </c>
      <c r="C1304" s="7">
        <v>10</v>
      </c>
      <c r="D1304" s="27">
        <v>35179</v>
      </c>
      <c r="E1304" s="27">
        <v>169179</v>
      </c>
      <c r="F1304" s="27">
        <v>3909</v>
      </c>
      <c r="G1304" s="27">
        <v>13400</v>
      </c>
      <c r="H1304" s="27">
        <v>3127</v>
      </c>
      <c r="I1304" s="27">
        <v>16527</v>
      </c>
      <c r="L1304" s="68">
        <v>0.315</v>
      </c>
      <c r="M1304" s="62">
        <v>3.5000000000000003E-2</v>
      </c>
    </row>
    <row r="1305" spans="1:13">
      <c r="A1305" s="14" t="s">
        <v>74</v>
      </c>
      <c r="B1305" s="27">
        <v>134000</v>
      </c>
      <c r="C1305" s="7">
        <v>12</v>
      </c>
      <c r="D1305" s="27">
        <v>42219</v>
      </c>
      <c r="E1305" s="27">
        <v>176219</v>
      </c>
      <c r="F1305" s="27">
        <v>4691</v>
      </c>
      <c r="G1305" s="27">
        <v>11167</v>
      </c>
      <c r="H1305" s="27">
        <v>3127</v>
      </c>
      <c r="I1305" s="27">
        <v>14294</v>
      </c>
      <c r="L1305" s="68">
        <v>0.315</v>
      </c>
      <c r="M1305" s="62">
        <v>3.5000000000000003E-2</v>
      </c>
    </row>
    <row r="1306" spans="1:13">
      <c r="A1306" s="14" t="s">
        <v>74</v>
      </c>
      <c r="B1306" s="27">
        <v>134000</v>
      </c>
      <c r="C1306" s="7">
        <v>14</v>
      </c>
      <c r="D1306" s="27">
        <v>49258</v>
      </c>
      <c r="E1306" s="27">
        <v>183258</v>
      </c>
      <c r="F1306" s="27">
        <v>5472</v>
      </c>
      <c r="G1306" s="27">
        <v>9572</v>
      </c>
      <c r="H1306" s="27">
        <v>3127</v>
      </c>
      <c r="I1306" s="27">
        <v>12699</v>
      </c>
      <c r="L1306" s="68">
        <v>0.315</v>
      </c>
      <c r="M1306" s="62">
        <v>3.5000000000000003E-2</v>
      </c>
    </row>
    <row r="1307" spans="1:13">
      <c r="A1307" s="14" t="s">
        <v>74</v>
      </c>
      <c r="B1307" s="27">
        <v>134000</v>
      </c>
      <c r="C1307" s="7">
        <v>16</v>
      </c>
      <c r="D1307" s="27">
        <v>56286</v>
      </c>
      <c r="E1307" s="27">
        <v>190286</v>
      </c>
      <c r="F1307" s="27">
        <v>6254</v>
      </c>
      <c r="G1307" s="27">
        <v>8375</v>
      </c>
      <c r="H1307" s="27">
        <v>3127</v>
      </c>
      <c r="I1307" s="27">
        <v>11502</v>
      </c>
      <c r="L1307" s="68">
        <v>0.315</v>
      </c>
      <c r="M1307" s="62">
        <v>3.5000000000000003E-2</v>
      </c>
    </row>
    <row r="1308" spans="1:13">
      <c r="A1308" s="14" t="s">
        <v>74</v>
      </c>
      <c r="B1308" s="27">
        <v>134000</v>
      </c>
      <c r="C1308" s="7">
        <v>18</v>
      </c>
      <c r="D1308" s="27">
        <v>63332</v>
      </c>
      <c r="E1308" s="27">
        <v>197332</v>
      </c>
      <c r="F1308" s="27">
        <v>7036</v>
      </c>
      <c r="G1308" s="27">
        <v>7445</v>
      </c>
      <c r="H1308" s="27">
        <v>3127</v>
      </c>
      <c r="I1308" s="27">
        <v>10572</v>
      </c>
      <c r="L1308" s="68">
        <v>0.315</v>
      </c>
      <c r="M1308" s="62">
        <v>3.5000000000000003E-2</v>
      </c>
    </row>
    <row r="1309" spans="1:13">
      <c r="A1309" s="14" t="s">
        <v>74</v>
      </c>
      <c r="B1309" s="27">
        <v>134000</v>
      </c>
      <c r="C1309" s="7">
        <v>20</v>
      </c>
      <c r="D1309" s="27">
        <v>70357</v>
      </c>
      <c r="E1309" s="27">
        <v>204357</v>
      </c>
      <c r="F1309" s="27">
        <v>7817</v>
      </c>
      <c r="G1309" s="27">
        <v>6700</v>
      </c>
      <c r="H1309" s="27">
        <v>3127</v>
      </c>
      <c r="I1309" s="27">
        <v>9827</v>
      </c>
      <c r="L1309" s="68">
        <v>0.315</v>
      </c>
      <c r="M1309" s="62">
        <v>3.5000000000000003E-2</v>
      </c>
    </row>
    <row r="1310" spans="1:13">
      <c r="A1310" s="14" t="s">
        <v>74</v>
      </c>
      <c r="B1310" s="27">
        <v>134000</v>
      </c>
      <c r="C1310" s="7">
        <v>22</v>
      </c>
      <c r="D1310" s="27">
        <v>77395</v>
      </c>
      <c r="E1310" s="27">
        <v>211395</v>
      </c>
      <c r="F1310" s="27">
        <v>8599</v>
      </c>
      <c r="G1310" s="27">
        <v>6091</v>
      </c>
      <c r="H1310" s="27">
        <v>3127</v>
      </c>
      <c r="I1310" s="27">
        <v>9218</v>
      </c>
      <c r="L1310" s="68">
        <v>0.315</v>
      </c>
      <c r="M1310" s="62">
        <v>3.5000000000000003E-2</v>
      </c>
    </row>
    <row r="1311" spans="1:13">
      <c r="A1311" s="14" t="s">
        <v>74</v>
      </c>
      <c r="B1311" s="27">
        <v>134000</v>
      </c>
      <c r="C1311" s="7">
        <v>24</v>
      </c>
      <c r="D1311" s="27">
        <v>84445</v>
      </c>
      <c r="E1311" s="27">
        <v>218445</v>
      </c>
      <c r="F1311" s="27">
        <v>9381</v>
      </c>
      <c r="G1311" s="27">
        <v>5584</v>
      </c>
      <c r="H1311" s="27">
        <v>3127</v>
      </c>
      <c r="I1311" s="27">
        <v>8711</v>
      </c>
      <c r="L1311" s="68">
        <v>0.315</v>
      </c>
      <c r="M1311" s="62">
        <v>3.5000000000000003E-2</v>
      </c>
    </row>
    <row r="1312" spans="1:13">
      <c r="A1312" s="14" t="s">
        <v>74</v>
      </c>
      <c r="B1312" s="27">
        <v>135000</v>
      </c>
      <c r="C1312" s="7">
        <v>4</v>
      </c>
      <c r="D1312" s="27">
        <v>14180</v>
      </c>
      <c r="E1312" s="27">
        <v>149180</v>
      </c>
      <c r="F1312" s="27">
        <v>1576</v>
      </c>
      <c r="G1312" s="27">
        <v>33750</v>
      </c>
      <c r="H1312" s="27">
        <v>3151</v>
      </c>
      <c r="I1312" s="27">
        <v>36901</v>
      </c>
      <c r="L1312" s="68">
        <v>0.315</v>
      </c>
      <c r="M1312" s="62">
        <v>3.5000000000000003E-2</v>
      </c>
    </row>
    <row r="1313" spans="1:13">
      <c r="A1313" s="14" t="s">
        <v>74</v>
      </c>
      <c r="B1313" s="27">
        <v>135000</v>
      </c>
      <c r="C1313" s="7">
        <v>6</v>
      </c>
      <c r="D1313" s="27">
        <v>21269</v>
      </c>
      <c r="E1313" s="27">
        <v>156269</v>
      </c>
      <c r="F1313" s="27">
        <v>2363</v>
      </c>
      <c r="G1313" s="27">
        <v>22500</v>
      </c>
      <c r="H1313" s="27">
        <v>3151</v>
      </c>
      <c r="I1313" s="27">
        <v>25651</v>
      </c>
      <c r="L1313" s="68">
        <v>0.315</v>
      </c>
      <c r="M1313" s="62">
        <v>3.5000000000000003E-2</v>
      </c>
    </row>
    <row r="1314" spans="1:13">
      <c r="A1314" s="14" t="s">
        <v>74</v>
      </c>
      <c r="B1314" s="27">
        <v>135000</v>
      </c>
      <c r="C1314" s="7">
        <v>8</v>
      </c>
      <c r="D1314" s="27">
        <v>28359</v>
      </c>
      <c r="E1314" s="27">
        <v>163359</v>
      </c>
      <c r="F1314" s="27">
        <v>3151</v>
      </c>
      <c r="G1314" s="27">
        <v>16875</v>
      </c>
      <c r="H1314" s="27">
        <v>3151</v>
      </c>
      <c r="I1314" s="27">
        <v>20026</v>
      </c>
      <c r="L1314" s="68">
        <v>0.315</v>
      </c>
      <c r="M1314" s="62">
        <v>3.5000000000000003E-2</v>
      </c>
    </row>
    <row r="1315" spans="1:13">
      <c r="A1315" s="14" t="s">
        <v>74</v>
      </c>
      <c r="B1315" s="27">
        <v>135000</v>
      </c>
      <c r="C1315" s="7">
        <v>10</v>
      </c>
      <c r="D1315" s="27">
        <v>35448</v>
      </c>
      <c r="E1315" s="27">
        <v>170448</v>
      </c>
      <c r="F1315" s="27">
        <v>3938</v>
      </c>
      <c r="G1315" s="27">
        <v>13500</v>
      </c>
      <c r="H1315" s="27">
        <v>3151</v>
      </c>
      <c r="I1315" s="27">
        <v>16651</v>
      </c>
      <c r="L1315" s="68">
        <v>0.315</v>
      </c>
      <c r="M1315" s="62">
        <v>3.5000000000000003E-2</v>
      </c>
    </row>
    <row r="1316" spans="1:13">
      <c r="A1316" s="14" t="s">
        <v>74</v>
      </c>
      <c r="B1316" s="27">
        <v>135000</v>
      </c>
      <c r="C1316" s="7">
        <v>12</v>
      </c>
      <c r="D1316" s="27">
        <v>42538</v>
      </c>
      <c r="E1316" s="27">
        <v>177538</v>
      </c>
      <c r="F1316" s="27">
        <v>4726</v>
      </c>
      <c r="G1316" s="27">
        <v>11250</v>
      </c>
      <c r="H1316" s="27">
        <v>3151</v>
      </c>
      <c r="I1316" s="27">
        <v>14401</v>
      </c>
      <c r="L1316" s="68">
        <v>0.315</v>
      </c>
      <c r="M1316" s="62">
        <v>3.5000000000000003E-2</v>
      </c>
    </row>
    <row r="1317" spans="1:13">
      <c r="A1317" s="14" t="s">
        <v>74</v>
      </c>
      <c r="B1317" s="27">
        <v>135000</v>
      </c>
      <c r="C1317" s="7">
        <v>14</v>
      </c>
      <c r="D1317" s="27">
        <v>49615</v>
      </c>
      <c r="E1317" s="27">
        <v>184615</v>
      </c>
      <c r="F1317" s="27">
        <v>5513</v>
      </c>
      <c r="G1317" s="27">
        <v>9643</v>
      </c>
      <c r="H1317" s="27">
        <v>3150</v>
      </c>
      <c r="I1317" s="27">
        <v>12793</v>
      </c>
      <c r="L1317" s="68">
        <v>0.315</v>
      </c>
      <c r="M1317" s="62">
        <v>3.5000000000000003E-2</v>
      </c>
    </row>
    <row r="1318" spans="1:13">
      <c r="A1318" s="14" t="s">
        <v>74</v>
      </c>
      <c r="B1318" s="27">
        <v>135000</v>
      </c>
      <c r="C1318" s="7">
        <v>16</v>
      </c>
      <c r="D1318" s="27">
        <v>56709</v>
      </c>
      <c r="E1318" s="27">
        <v>191709</v>
      </c>
      <c r="F1318" s="27">
        <v>6301</v>
      </c>
      <c r="G1318" s="27">
        <v>8438</v>
      </c>
      <c r="H1318" s="27">
        <v>3150</v>
      </c>
      <c r="I1318" s="27">
        <v>11588</v>
      </c>
      <c r="L1318" s="68">
        <v>0.315</v>
      </c>
      <c r="M1318" s="62">
        <v>3.5000000000000003E-2</v>
      </c>
    </row>
    <row r="1319" spans="1:13">
      <c r="A1319" s="14" t="s">
        <v>74</v>
      </c>
      <c r="B1319" s="27">
        <v>135000</v>
      </c>
      <c r="C1319" s="7">
        <v>18</v>
      </c>
      <c r="D1319" s="27">
        <v>63806</v>
      </c>
      <c r="E1319" s="27">
        <v>198806</v>
      </c>
      <c r="F1319" s="27">
        <v>7088</v>
      </c>
      <c r="G1319" s="27">
        <v>7500</v>
      </c>
      <c r="H1319" s="27">
        <v>3151</v>
      </c>
      <c r="I1319" s="27">
        <v>10651</v>
      </c>
      <c r="L1319" s="68">
        <v>0.315</v>
      </c>
      <c r="M1319" s="62">
        <v>3.5000000000000003E-2</v>
      </c>
    </row>
    <row r="1320" spans="1:13">
      <c r="A1320" s="14" t="s">
        <v>74</v>
      </c>
      <c r="B1320" s="27">
        <v>135000</v>
      </c>
      <c r="C1320" s="7">
        <v>20</v>
      </c>
      <c r="D1320" s="27">
        <v>70896</v>
      </c>
      <c r="E1320" s="27">
        <v>205896</v>
      </c>
      <c r="F1320" s="27">
        <v>7876</v>
      </c>
      <c r="G1320" s="27">
        <v>6750</v>
      </c>
      <c r="H1320" s="27">
        <v>3151</v>
      </c>
      <c r="I1320" s="27">
        <v>9901</v>
      </c>
      <c r="L1320" s="68">
        <v>0.315</v>
      </c>
      <c r="M1320" s="62">
        <v>3.5000000000000003E-2</v>
      </c>
    </row>
    <row r="1321" spans="1:13">
      <c r="A1321" s="14" t="s">
        <v>74</v>
      </c>
      <c r="B1321" s="27">
        <v>135000</v>
      </c>
      <c r="C1321" s="7">
        <v>22</v>
      </c>
      <c r="D1321" s="27">
        <v>77977</v>
      </c>
      <c r="E1321" s="27">
        <v>212977</v>
      </c>
      <c r="F1321" s="27">
        <v>8663</v>
      </c>
      <c r="G1321" s="27">
        <v>6137</v>
      </c>
      <c r="H1321" s="27">
        <v>3150</v>
      </c>
      <c r="I1321" s="27">
        <v>9287</v>
      </c>
      <c r="L1321" s="68">
        <v>0.315</v>
      </c>
      <c r="M1321" s="62">
        <v>3.5000000000000003E-2</v>
      </c>
    </row>
    <row r="1322" spans="1:13">
      <c r="A1322" s="14" t="s">
        <v>74</v>
      </c>
      <c r="B1322" s="27">
        <v>135000</v>
      </c>
      <c r="C1322" s="7">
        <v>24</v>
      </c>
      <c r="D1322" s="27">
        <v>85075</v>
      </c>
      <c r="E1322" s="27">
        <v>220075</v>
      </c>
      <c r="F1322" s="27">
        <v>9451</v>
      </c>
      <c r="G1322" s="27">
        <v>5625</v>
      </c>
      <c r="H1322" s="27">
        <v>3151</v>
      </c>
      <c r="I1322" s="27">
        <v>8776</v>
      </c>
      <c r="L1322" s="68">
        <v>0.315</v>
      </c>
      <c r="M1322" s="62">
        <v>3.5000000000000003E-2</v>
      </c>
    </row>
    <row r="1323" spans="1:13">
      <c r="A1323" s="14" t="s">
        <v>74</v>
      </c>
      <c r="B1323" s="27">
        <v>136000</v>
      </c>
      <c r="C1323" s="7">
        <v>4</v>
      </c>
      <c r="D1323" s="27">
        <v>14283</v>
      </c>
      <c r="E1323" s="27">
        <v>150283</v>
      </c>
      <c r="F1323" s="27">
        <v>1587</v>
      </c>
      <c r="G1323" s="27">
        <v>34000</v>
      </c>
      <c r="H1323" s="27">
        <v>3174</v>
      </c>
      <c r="I1323" s="27">
        <v>37174</v>
      </c>
      <c r="L1323" s="68">
        <v>0.315</v>
      </c>
      <c r="M1323" s="62">
        <v>3.5000000000000003E-2</v>
      </c>
    </row>
    <row r="1324" spans="1:13">
      <c r="A1324" s="14" t="s">
        <v>74</v>
      </c>
      <c r="B1324" s="27">
        <v>136000</v>
      </c>
      <c r="C1324" s="7">
        <v>6</v>
      </c>
      <c r="D1324" s="27">
        <v>21427</v>
      </c>
      <c r="E1324" s="27">
        <v>157427</v>
      </c>
      <c r="F1324" s="27">
        <v>2381</v>
      </c>
      <c r="G1324" s="27">
        <v>22667</v>
      </c>
      <c r="H1324" s="27">
        <v>3174</v>
      </c>
      <c r="I1324" s="27">
        <v>25841</v>
      </c>
      <c r="L1324" s="68">
        <v>0.315</v>
      </c>
      <c r="M1324" s="62">
        <v>3.5000000000000003E-2</v>
      </c>
    </row>
    <row r="1325" spans="1:13">
      <c r="A1325" s="14" t="s">
        <v>74</v>
      </c>
      <c r="B1325" s="27">
        <v>136000</v>
      </c>
      <c r="C1325" s="7">
        <v>8</v>
      </c>
      <c r="D1325" s="27">
        <v>28566</v>
      </c>
      <c r="E1325" s="27">
        <v>164566</v>
      </c>
      <c r="F1325" s="27">
        <v>3174</v>
      </c>
      <c r="G1325" s="27">
        <v>17000</v>
      </c>
      <c r="H1325" s="27">
        <v>3174</v>
      </c>
      <c r="I1325" s="27">
        <v>20174</v>
      </c>
      <c r="L1325" s="68">
        <v>0.315</v>
      </c>
      <c r="M1325" s="62">
        <v>3.5000000000000003E-2</v>
      </c>
    </row>
    <row r="1326" spans="1:13">
      <c r="A1326" s="14" t="s">
        <v>74</v>
      </c>
      <c r="B1326" s="27">
        <v>136000</v>
      </c>
      <c r="C1326" s="7">
        <v>10</v>
      </c>
      <c r="D1326" s="27">
        <v>35707</v>
      </c>
      <c r="E1326" s="27">
        <v>171707</v>
      </c>
      <c r="F1326" s="27">
        <v>3967</v>
      </c>
      <c r="G1326" s="27">
        <v>13600</v>
      </c>
      <c r="H1326" s="27">
        <v>3174</v>
      </c>
      <c r="I1326" s="27">
        <v>16774</v>
      </c>
      <c r="L1326" s="68">
        <v>0.315</v>
      </c>
      <c r="M1326" s="62">
        <v>3.5000000000000003E-2</v>
      </c>
    </row>
    <row r="1327" spans="1:13">
      <c r="A1327" s="14" t="s">
        <v>74</v>
      </c>
      <c r="B1327" s="27">
        <v>136000</v>
      </c>
      <c r="C1327" s="7">
        <v>12</v>
      </c>
      <c r="D1327" s="27">
        <v>42845</v>
      </c>
      <c r="E1327" s="27">
        <v>178845</v>
      </c>
      <c r="F1327" s="27">
        <v>4761</v>
      </c>
      <c r="G1327" s="27">
        <v>11334</v>
      </c>
      <c r="H1327" s="27">
        <v>3173</v>
      </c>
      <c r="I1327" s="27">
        <v>14507</v>
      </c>
      <c r="L1327" s="68">
        <v>0.315</v>
      </c>
      <c r="M1327" s="62">
        <v>3.5000000000000003E-2</v>
      </c>
    </row>
    <row r="1328" spans="1:13">
      <c r="A1328" s="14" t="s">
        <v>74</v>
      </c>
      <c r="B1328" s="27">
        <v>136000</v>
      </c>
      <c r="C1328" s="7">
        <v>14</v>
      </c>
      <c r="D1328" s="27">
        <v>49986</v>
      </c>
      <c r="E1328" s="27">
        <v>185986</v>
      </c>
      <c r="F1328" s="27">
        <v>5554</v>
      </c>
      <c r="G1328" s="27">
        <v>9715</v>
      </c>
      <c r="H1328" s="27">
        <v>3173</v>
      </c>
      <c r="I1328" s="27">
        <v>12888</v>
      </c>
      <c r="L1328" s="68">
        <v>0.315</v>
      </c>
      <c r="M1328" s="62">
        <v>3.5000000000000003E-2</v>
      </c>
    </row>
    <row r="1329" spans="1:13">
      <c r="A1329" s="14" t="s">
        <v>74</v>
      </c>
      <c r="B1329" s="27">
        <v>136000</v>
      </c>
      <c r="C1329" s="7">
        <v>16</v>
      </c>
      <c r="D1329" s="27">
        <v>57131</v>
      </c>
      <c r="E1329" s="27">
        <v>193131</v>
      </c>
      <c r="F1329" s="27">
        <v>6347</v>
      </c>
      <c r="G1329" s="27">
        <v>8500</v>
      </c>
      <c r="H1329" s="27">
        <v>3174</v>
      </c>
      <c r="I1329" s="27">
        <v>11674</v>
      </c>
      <c r="L1329" s="68">
        <v>0.315</v>
      </c>
      <c r="M1329" s="62">
        <v>3.5000000000000003E-2</v>
      </c>
    </row>
    <row r="1330" spans="1:13">
      <c r="A1330" s="14" t="s">
        <v>74</v>
      </c>
      <c r="B1330" s="27">
        <v>136000</v>
      </c>
      <c r="C1330" s="7">
        <v>18</v>
      </c>
      <c r="D1330" s="27">
        <v>64263</v>
      </c>
      <c r="E1330" s="27">
        <v>200263</v>
      </c>
      <c r="F1330" s="27">
        <v>7141</v>
      </c>
      <c r="G1330" s="27">
        <v>7556</v>
      </c>
      <c r="H1330" s="27">
        <v>3173</v>
      </c>
      <c r="I1330" s="27">
        <v>10729</v>
      </c>
      <c r="L1330" s="68">
        <v>0.315</v>
      </c>
      <c r="M1330" s="62">
        <v>3.5000000000000003E-2</v>
      </c>
    </row>
    <row r="1331" spans="1:13">
      <c r="A1331" s="14" t="s">
        <v>74</v>
      </c>
      <c r="B1331" s="27">
        <v>136000</v>
      </c>
      <c r="C1331" s="7">
        <v>20</v>
      </c>
      <c r="D1331" s="27">
        <v>71414</v>
      </c>
      <c r="E1331" s="27">
        <v>207414</v>
      </c>
      <c r="F1331" s="27">
        <v>7934</v>
      </c>
      <c r="G1331" s="27">
        <v>6800</v>
      </c>
      <c r="H1331" s="27">
        <v>3174</v>
      </c>
      <c r="I1331" s="27">
        <v>9974</v>
      </c>
      <c r="L1331" s="68">
        <v>0.315</v>
      </c>
      <c r="M1331" s="62">
        <v>3.5000000000000003E-2</v>
      </c>
    </row>
    <row r="1332" spans="1:13">
      <c r="A1332" s="14" t="s">
        <v>74</v>
      </c>
      <c r="B1332" s="27">
        <v>136000</v>
      </c>
      <c r="C1332" s="7">
        <v>22</v>
      </c>
      <c r="D1332" s="27">
        <v>78559</v>
      </c>
      <c r="E1332" s="27">
        <v>214559</v>
      </c>
      <c r="F1332" s="27">
        <v>8727</v>
      </c>
      <c r="G1332" s="27">
        <v>6182</v>
      </c>
      <c r="H1332" s="27">
        <v>3174</v>
      </c>
      <c r="I1332" s="27">
        <v>9356</v>
      </c>
      <c r="L1332" s="68">
        <v>0.315</v>
      </c>
      <c r="M1332" s="62">
        <v>3.5000000000000003E-2</v>
      </c>
    </row>
    <row r="1333" spans="1:13">
      <c r="A1333" s="14" t="s">
        <v>74</v>
      </c>
      <c r="B1333" s="27">
        <v>136000</v>
      </c>
      <c r="C1333" s="7">
        <v>24</v>
      </c>
      <c r="D1333" s="27">
        <v>85705</v>
      </c>
      <c r="E1333" s="27">
        <v>221705</v>
      </c>
      <c r="F1333" s="27">
        <v>9521</v>
      </c>
      <c r="G1333" s="27">
        <v>5667</v>
      </c>
      <c r="H1333" s="27">
        <v>3174</v>
      </c>
      <c r="I1333" s="27">
        <v>8841</v>
      </c>
      <c r="L1333" s="68">
        <v>0.315</v>
      </c>
      <c r="M1333" s="62">
        <v>3.5000000000000003E-2</v>
      </c>
    </row>
    <row r="1334" spans="1:13">
      <c r="A1334" s="14" t="s">
        <v>74</v>
      </c>
      <c r="B1334" s="27">
        <v>137000</v>
      </c>
      <c r="C1334" s="7">
        <v>4</v>
      </c>
      <c r="D1334" s="27">
        <v>14387</v>
      </c>
      <c r="E1334" s="27">
        <v>151387</v>
      </c>
      <c r="F1334" s="27">
        <v>1599</v>
      </c>
      <c r="G1334" s="27">
        <v>34250</v>
      </c>
      <c r="H1334" s="27">
        <v>3197</v>
      </c>
      <c r="I1334" s="27">
        <v>37447</v>
      </c>
      <c r="L1334" s="68">
        <v>0.315</v>
      </c>
      <c r="M1334" s="62">
        <v>3.5000000000000003E-2</v>
      </c>
    </row>
    <row r="1335" spans="1:13">
      <c r="A1335" s="14" t="s">
        <v>74</v>
      </c>
      <c r="B1335" s="27">
        <v>137000</v>
      </c>
      <c r="C1335" s="7">
        <v>6</v>
      </c>
      <c r="D1335" s="27">
        <v>21584</v>
      </c>
      <c r="E1335" s="27">
        <v>158584</v>
      </c>
      <c r="F1335" s="27">
        <v>2398</v>
      </c>
      <c r="G1335" s="27">
        <v>22834</v>
      </c>
      <c r="H1335" s="27">
        <v>3197</v>
      </c>
      <c r="I1335" s="27">
        <v>26031</v>
      </c>
      <c r="L1335" s="68">
        <v>0.315</v>
      </c>
      <c r="M1335" s="62">
        <v>3.5000000000000003E-2</v>
      </c>
    </row>
    <row r="1336" spans="1:13">
      <c r="A1336" s="14" t="s">
        <v>74</v>
      </c>
      <c r="B1336" s="27">
        <v>137000</v>
      </c>
      <c r="C1336" s="7">
        <v>8</v>
      </c>
      <c r="D1336" s="27">
        <v>28773</v>
      </c>
      <c r="E1336" s="27">
        <v>165773</v>
      </c>
      <c r="F1336" s="27">
        <v>3197</v>
      </c>
      <c r="G1336" s="27">
        <v>17125</v>
      </c>
      <c r="H1336" s="27">
        <v>3197</v>
      </c>
      <c r="I1336" s="27">
        <v>20322</v>
      </c>
      <c r="L1336" s="68">
        <v>0.315</v>
      </c>
      <c r="M1336" s="62">
        <v>3.5000000000000003E-2</v>
      </c>
    </row>
    <row r="1337" spans="1:13">
      <c r="A1337" s="14" t="s">
        <v>74</v>
      </c>
      <c r="B1337" s="27">
        <v>137000</v>
      </c>
      <c r="C1337" s="7">
        <v>10</v>
      </c>
      <c r="D1337" s="27">
        <v>35966</v>
      </c>
      <c r="E1337" s="27">
        <v>172966</v>
      </c>
      <c r="F1337" s="27">
        <v>3996</v>
      </c>
      <c r="G1337" s="27">
        <v>13700</v>
      </c>
      <c r="H1337" s="27">
        <v>3197</v>
      </c>
      <c r="I1337" s="27">
        <v>16897</v>
      </c>
      <c r="L1337" s="68">
        <v>0.315</v>
      </c>
      <c r="M1337" s="62">
        <v>3.5000000000000003E-2</v>
      </c>
    </row>
    <row r="1338" spans="1:13">
      <c r="A1338" s="14" t="s">
        <v>74</v>
      </c>
      <c r="B1338" s="27">
        <v>137000</v>
      </c>
      <c r="C1338" s="7">
        <v>12</v>
      </c>
      <c r="D1338" s="27">
        <v>43164</v>
      </c>
      <c r="E1338" s="27">
        <v>180164</v>
      </c>
      <c r="F1338" s="27">
        <v>4796</v>
      </c>
      <c r="G1338" s="27">
        <v>11417</v>
      </c>
      <c r="H1338" s="27">
        <v>3197</v>
      </c>
      <c r="I1338" s="27">
        <v>14614</v>
      </c>
      <c r="L1338" s="68">
        <v>0.315</v>
      </c>
      <c r="M1338" s="62">
        <v>3.5000000000000003E-2</v>
      </c>
    </row>
    <row r="1339" spans="1:13">
      <c r="A1339" s="14" t="s">
        <v>74</v>
      </c>
      <c r="B1339" s="27">
        <v>137000</v>
      </c>
      <c r="C1339" s="7">
        <v>14</v>
      </c>
      <c r="D1339" s="27">
        <v>50357</v>
      </c>
      <c r="E1339" s="27">
        <v>187357</v>
      </c>
      <c r="F1339" s="27">
        <v>5595</v>
      </c>
      <c r="G1339" s="27">
        <v>9786</v>
      </c>
      <c r="H1339" s="27">
        <v>3197</v>
      </c>
      <c r="I1339" s="27">
        <v>12983</v>
      </c>
      <c r="L1339" s="68">
        <v>0.315</v>
      </c>
      <c r="M1339" s="62">
        <v>3.5000000000000003E-2</v>
      </c>
    </row>
    <row r="1340" spans="1:13">
      <c r="A1340" s="14" t="s">
        <v>74</v>
      </c>
      <c r="B1340" s="27">
        <v>137000</v>
      </c>
      <c r="C1340" s="7">
        <v>16</v>
      </c>
      <c r="D1340" s="27">
        <v>57554</v>
      </c>
      <c r="E1340" s="27">
        <v>194554</v>
      </c>
      <c r="F1340" s="27">
        <v>6394</v>
      </c>
      <c r="G1340" s="27">
        <v>8563</v>
      </c>
      <c r="H1340" s="27">
        <v>3197</v>
      </c>
      <c r="I1340" s="27">
        <v>11760</v>
      </c>
      <c r="L1340" s="68">
        <v>0.315</v>
      </c>
      <c r="M1340" s="62">
        <v>3.5000000000000003E-2</v>
      </c>
    </row>
    <row r="1341" spans="1:13">
      <c r="A1341" s="14" t="s">
        <v>74</v>
      </c>
      <c r="B1341" s="27">
        <v>137000</v>
      </c>
      <c r="C1341" s="7">
        <v>18</v>
      </c>
      <c r="D1341" s="27">
        <v>64737</v>
      </c>
      <c r="E1341" s="27">
        <v>201737</v>
      </c>
      <c r="F1341" s="27">
        <v>7193</v>
      </c>
      <c r="G1341" s="27">
        <v>7612</v>
      </c>
      <c r="H1341" s="27">
        <v>3196</v>
      </c>
      <c r="I1341" s="27">
        <v>10808</v>
      </c>
      <c r="L1341" s="68">
        <v>0.315</v>
      </c>
      <c r="M1341" s="62">
        <v>3.5000000000000003E-2</v>
      </c>
    </row>
    <row r="1342" spans="1:13">
      <c r="A1342" s="14" t="s">
        <v>74</v>
      </c>
      <c r="B1342" s="27">
        <v>137000</v>
      </c>
      <c r="C1342" s="7">
        <v>20</v>
      </c>
      <c r="D1342" s="27">
        <v>71932</v>
      </c>
      <c r="E1342" s="27">
        <v>208932</v>
      </c>
      <c r="F1342" s="27">
        <v>7992</v>
      </c>
      <c r="G1342" s="27">
        <v>6850</v>
      </c>
      <c r="H1342" s="27">
        <v>3197</v>
      </c>
      <c r="I1342" s="27">
        <v>10047</v>
      </c>
      <c r="L1342" s="68">
        <v>0.315</v>
      </c>
      <c r="M1342" s="62">
        <v>3.5000000000000003E-2</v>
      </c>
    </row>
    <row r="1343" spans="1:13">
      <c r="A1343" s="14" t="s">
        <v>74</v>
      </c>
      <c r="B1343" s="27">
        <v>137000</v>
      </c>
      <c r="C1343" s="7">
        <v>22</v>
      </c>
      <c r="D1343" s="27">
        <v>79119</v>
      </c>
      <c r="E1343" s="27">
        <v>216119</v>
      </c>
      <c r="F1343" s="27">
        <v>8791</v>
      </c>
      <c r="G1343" s="27">
        <v>6228</v>
      </c>
      <c r="H1343" s="27">
        <v>3196</v>
      </c>
      <c r="I1343" s="27">
        <v>9424</v>
      </c>
      <c r="L1343" s="68">
        <v>0.315</v>
      </c>
      <c r="M1343" s="62">
        <v>3.5000000000000003E-2</v>
      </c>
    </row>
    <row r="1344" spans="1:13">
      <c r="A1344" s="14" t="s">
        <v>74</v>
      </c>
      <c r="B1344" s="27">
        <v>137000</v>
      </c>
      <c r="C1344" s="7">
        <v>24</v>
      </c>
      <c r="D1344" s="27">
        <v>86335</v>
      </c>
      <c r="E1344" s="27">
        <v>223335</v>
      </c>
      <c r="F1344" s="27">
        <v>9591</v>
      </c>
      <c r="G1344" s="27">
        <v>5709</v>
      </c>
      <c r="H1344" s="27">
        <v>3197</v>
      </c>
      <c r="I1344" s="27">
        <v>8906</v>
      </c>
      <c r="L1344" s="68">
        <v>0.315</v>
      </c>
      <c r="M1344" s="62">
        <v>3.5000000000000003E-2</v>
      </c>
    </row>
    <row r="1345" spans="1:13">
      <c r="A1345" s="14" t="s">
        <v>74</v>
      </c>
      <c r="B1345" s="27">
        <v>138000</v>
      </c>
      <c r="C1345" s="7">
        <v>4</v>
      </c>
      <c r="D1345" s="27">
        <v>14495</v>
      </c>
      <c r="E1345" s="27">
        <v>152495</v>
      </c>
      <c r="F1345" s="27">
        <v>1611</v>
      </c>
      <c r="G1345" s="27">
        <v>34500</v>
      </c>
      <c r="H1345" s="27">
        <v>3221</v>
      </c>
      <c r="I1345" s="27">
        <v>37721</v>
      </c>
      <c r="L1345" s="68">
        <v>0.315</v>
      </c>
      <c r="M1345" s="62">
        <v>3.5000000000000003E-2</v>
      </c>
    </row>
    <row r="1346" spans="1:13">
      <c r="A1346" s="14" t="s">
        <v>74</v>
      </c>
      <c r="B1346" s="27">
        <v>138000</v>
      </c>
      <c r="C1346" s="7">
        <v>6</v>
      </c>
      <c r="D1346" s="27">
        <v>21742</v>
      </c>
      <c r="E1346" s="27">
        <v>159742</v>
      </c>
      <c r="F1346" s="27">
        <v>2416</v>
      </c>
      <c r="G1346" s="27">
        <v>23000</v>
      </c>
      <c r="H1346" s="27">
        <v>3221</v>
      </c>
      <c r="I1346" s="27">
        <v>26221</v>
      </c>
      <c r="L1346" s="68">
        <v>0.315</v>
      </c>
      <c r="M1346" s="62">
        <v>3.5000000000000003E-2</v>
      </c>
    </row>
    <row r="1347" spans="1:13">
      <c r="A1347" s="14" t="s">
        <v>74</v>
      </c>
      <c r="B1347" s="27">
        <v>138000</v>
      </c>
      <c r="C1347" s="7">
        <v>8</v>
      </c>
      <c r="D1347" s="27">
        <v>28989</v>
      </c>
      <c r="E1347" s="27">
        <v>166989</v>
      </c>
      <c r="F1347" s="27">
        <v>3221</v>
      </c>
      <c r="G1347" s="27">
        <v>17250</v>
      </c>
      <c r="H1347" s="27">
        <v>3221</v>
      </c>
      <c r="I1347" s="27">
        <v>20471</v>
      </c>
      <c r="L1347" s="68">
        <v>0.315</v>
      </c>
      <c r="M1347" s="62">
        <v>3.5000000000000003E-2</v>
      </c>
    </row>
    <row r="1348" spans="1:13">
      <c r="A1348" s="14" t="s">
        <v>74</v>
      </c>
      <c r="B1348" s="27">
        <v>138000</v>
      </c>
      <c r="C1348" s="7">
        <v>10</v>
      </c>
      <c r="D1348" s="27">
        <v>36236</v>
      </c>
      <c r="E1348" s="27">
        <v>174236</v>
      </c>
      <c r="F1348" s="27">
        <v>4026</v>
      </c>
      <c r="G1348" s="27">
        <v>13800</v>
      </c>
      <c r="H1348" s="27">
        <v>3221</v>
      </c>
      <c r="I1348" s="27">
        <v>17021</v>
      </c>
      <c r="L1348" s="68">
        <v>0.315</v>
      </c>
      <c r="M1348" s="62">
        <v>3.5000000000000003E-2</v>
      </c>
    </row>
    <row r="1349" spans="1:13">
      <c r="A1349" s="14" t="s">
        <v>74</v>
      </c>
      <c r="B1349" s="27">
        <v>138000</v>
      </c>
      <c r="C1349" s="7">
        <v>12</v>
      </c>
      <c r="D1349" s="27">
        <v>43483</v>
      </c>
      <c r="E1349" s="27">
        <v>181483</v>
      </c>
      <c r="F1349" s="27">
        <v>4831</v>
      </c>
      <c r="G1349" s="27">
        <v>11500</v>
      </c>
      <c r="H1349" s="27">
        <v>3221</v>
      </c>
      <c r="I1349" s="27">
        <v>14721</v>
      </c>
      <c r="L1349" s="68">
        <v>0.315</v>
      </c>
      <c r="M1349" s="62">
        <v>3.5000000000000003E-2</v>
      </c>
    </row>
    <row r="1350" spans="1:13">
      <c r="A1350" s="14" t="s">
        <v>74</v>
      </c>
      <c r="B1350" s="27">
        <v>138000</v>
      </c>
      <c r="C1350" s="7">
        <v>14</v>
      </c>
      <c r="D1350" s="27">
        <v>50728</v>
      </c>
      <c r="E1350" s="27">
        <v>188728</v>
      </c>
      <c r="F1350" s="27">
        <v>5636</v>
      </c>
      <c r="G1350" s="27">
        <v>9858</v>
      </c>
      <c r="H1350" s="27">
        <v>3220</v>
      </c>
      <c r="I1350" s="27">
        <v>13078</v>
      </c>
      <c r="L1350" s="68">
        <v>0.315</v>
      </c>
      <c r="M1350" s="62">
        <v>3.5000000000000003E-2</v>
      </c>
    </row>
    <row r="1351" spans="1:13">
      <c r="A1351" s="14" t="s">
        <v>74</v>
      </c>
      <c r="B1351" s="27">
        <v>138000</v>
      </c>
      <c r="C1351" s="7">
        <v>16</v>
      </c>
      <c r="D1351" s="27">
        <v>57977</v>
      </c>
      <c r="E1351" s="27">
        <v>195977</v>
      </c>
      <c r="F1351" s="27">
        <v>6441</v>
      </c>
      <c r="G1351" s="27">
        <v>8625</v>
      </c>
      <c r="H1351" s="27">
        <v>3221</v>
      </c>
      <c r="I1351" s="27">
        <v>11846</v>
      </c>
      <c r="L1351" s="68">
        <v>0.315</v>
      </c>
      <c r="M1351" s="62">
        <v>3.5000000000000003E-2</v>
      </c>
    </row>
    <row r="1352" spans="1:13">
      <c r="A1352" s="14" t="s">
        <v>74</v>
      </c>
      <c r="B1352" s="27">
        <v>138000</v>
      </c>
      <c r="C1352" s="7">
        <v>18</v>
      </c>
      <c r="D1352" s="27">
        <v>65212</v>
      </c>
      <c r="E1352" s="27">
        <v>203212</v>
      </c>
      <c r="F1352" s="27">
        <v>7246</v>
      </c>
      <c r="G1352" s="27">
        <v>7667</v>
      </c>
      <c r="H1352" s="27">
        <v>3220</v>
      </c>
      <c r="I1352" s="27">
        <v>10887</v>
      </c>
      <c r="L1352" s="68">
        <v>0.315</v>
      </c>
      <c r="M1352" s="62">
        <v>3.5000000000000003E-2</v>
      </c>
    </row>
    <row r="1353" spans="1:13">
      <c r="A1353" s="14" t="s">
        <v>74</v>
      </c>
      <c r="B1353" s="27">
        <v>138000</v>
      </c>
      <c r="C1353" s="7">
        <v>20</v>
      </c>
      <c r="D1353" s="27">
        <v>72471</v>
      </c>
      <c r="E1353" s="27">
        <v>210471</v>
      </c>
      <c r="F1353" s="27">
        <v>8051</v>
      </c>
      <c r="G1353" s="27">
        <v>6900</v>
      </c>
      <c r="H1353" s="27">
        <v>3221</v>
      </c>
      <c r="I1353" s="27">
        <v>10121</v>
      </c>
      <c r="L1353" s="68">
        <v>0.315</v>
      </c>
      <c r="M1353" s="62">
        <v>3.5000000000000003E-2</v>
      </c>
    </row>
    <row r="1354" spans="1:13">
      <c r="A1354" s="14" t="s">
        <v>74</v>
      </c>
      <c r="B1354" s="27">
        <v>138000</v>
      </c>
      <c r="C1354" s="7">
        <v>22</v>
      </c>
      <c r="D1354" s="27">
        <v>79702</v>
      </c>
      <c r="E1354" s="27">
        <v>217702</v>
      </c>
      <c r="F1354" s="27">
        <v>8856</v>
      </c>
      <c r="G1354" s="27">
        <v>6273</v>
      </c>
      <c r="H1354" s="27">
        <v>3220</v>
      </c>
      <c r="I1354" s="27">
        <v>9493</v>
      </c>
      <c r="L1354" s="68">
        <v>0.315</v>
      </c>
      <c r="M1354" s="62">
        <v>3.5000000000000003E-2</v>
      </c>
    </row>
    <row r="1355" spans="1:13">
      <c r="A1355" s="14" t="s">
        <v>74</v>
      </c>
      <c r="B1355" s="27">
        <v>138000</v>
      </c>
      <c r="C1355" s="7">
        <v>24</v>
      </c>
      <c r="D1355" s="27">
        <v>86965</v>
      </c>
      <c r="E1355" s="27">
        <v>224965</v>
      </c>
      <c r="F1355" s="27">
        <v>9661</v>
      </c>
      <c r="G1355" s="27">
        <v>5750</v>
      </c>
      <c r="H1355" s="27">
        <v>3221</v>
      </c>
      <c r="I1355" s="27">
        <v>8971</v>
      </c>
      <c r="L1355" s="68">
        <v>0.315</v>
      </c>
      <c r="M1355" s="62">
        <v>3.5000000000000003E-2</v>
      </c>
    </row>
    <row r="1356" spans="1:13">
      <c r="A1356" s="14" t="s">
        <v>74</v>
      </c>
      <c r="B1356" s="27">
        <v>139000</v>
      </c>
      <c r="C1356" s="7">
        <v>4</v>
      </c>
      <c r="D1356" s="27">
        <v>14598</v>
      </c>
      <c r="E1356" s="27">
        <v>153598</v>
      </c>
      <c r="F1356" s="27">
        <v>1622</v>
      </c>
      <c r="G1356" s="27">
        <v>34750</v>
      </c>
      <c r="H1356" s="27">
        <v>3244</v>
      </c>
      <c r="I1356" s="27">
        <v>37994</v>
      </c>
      <c r="L1356" s="68">
        <v>0.315</v>
      </c>
      <c r="M1356" s="62">
        <v>3.5000000000000003E-2</v>
      </c>
    </row>
    <row r="1357" spans="1:13">
      <c r="A1357" s="14" t="s">
        <v>74</v>
      </c>
      <c r="B1357" s="27">
        <v>139000</v>
      </c>
      <c r="C1357" s="7">
        <v>6</v>
      </c>
      <c r="D1357" s="27">
        <v>21899</v>
      </c>
      <c r="E1357" s="27">
        <v>160899</v>
      </c>
      <c r="F1357" s="27">
        <v>2433</v>
      </c>
      <c r="G1357" s="27">
        <v>23167</v>
      </c>
      <c r="H1357" s="27">
        <v>3244</v>
      </c>
      <c r="I1357" s="27">
        <v>26411</v>
      </c>
      <c r="L1357" s="68">
        <v>0.315</v>
      </c>
      <c r="M1357" s="62">
        <v>3.5000000000000003E-2</v>
      </c>
    </row>
    <row r="1358" spans="1:13">
      <c r="A1358" s="14" t="s">
        <v>74</v>
      </c>
      <c r="B1358" s="27">
        <v>139000</v>
      </c>
      <c r="C1358" s="7">
        <v>8</v>
      </c>
      <c r="D1358" s="27">
        <v>29196</v>
      </c>
      <c r="E1358" s="27">
        <v>168196</v>
      </c>
      <c r="F1358" s="27">
        <v>3244</v>
      </c>
      <c r="G1358" s="27">
        <v>17375</v>
      </c>
      <c r="H1358" s="27">
        <v>3244</v>
      </c>
      <c r="I1358" s="27">
        <v>20619</v>
      </c>
      <c r="L1358" s="68">
        <v>0.315</v>
      </c>
      <c r="M1358" s="62">
        <v>3.5000000000000003E-2</v>
      </c>
    </row>
    <row r="1359" spans="1:13">
      <c r="A1359" s="14" t="s">
        <v>74</v>
      </c>
      <c r="B1359" s="27">
        <v>139000</v>
      </c>
      <c r="C1359" s="7">
        <v>10</v>
      </c>
      <c r="D1359" s="27">
        <v>36495</v>
      </c>
      <c r="E1359" s="27">
        <v>175495</v>
      </c>
      <c r="F1359" s="27">
        <v>4055</v>
      </c>
      <c r="G1359" s="27">
        <v>13900</v>
      </c>
      <c r="H1359" s="27">
        <v>3244</v>
      </c>
      <c r="I1359" s="27">
        <v>17144</v>
      </c>
      <c r="L1359" s="68">
        <v>0.315</v>
      </c>
      <c r="M1359" s="62">
        <v>3.5000000000000003E-2</v>
      </c>
    </row>
    <row r="1360" spans="1:13">
      <c r="A1360" s="14" t="s">
        <v>74</v>
      </c>
      <c r="B1360" s="27">
        <v>139000</v>
      </c>
      <c r="C1360" s="7">
        <v>12</v>
      </c>
      <c r="D1360" s="27">
        <v>43790</v>
      </c>
      <c r="E1360" s="27">
        <v>182790</v>
      </c>
      <c r="F1360" s="27">
        <v>4866</v>
      </c>
      <c r="G1360" s="27">
        <v>11584</v>
      </c>
      <c r="H1360" s="27">
        <v>3243</v>
      </c>
      <c r="I1360" s="27">
        <v>14827</v>
      </c>
      <c r="L1360" s="68">
        <v>0.315</v>
      </c>
      <c r="M1360" s="62">
        <v>3.5000000000000003E-2</v>
      </c>
    </row>
    <row r="1361" spans="1:13">
      <c r="A1361" s="14" t="s">
        <v>74</v>
      </c>
      <c r="B1361" s="27">
        <v>139000</v>
      </c>
      <c r="C1361" s="7">
        <v>14</v>
      </c>
      <c r="D1361" s="27">
        <v>51084</v>
      </c>
      <c r="E1361" s="27">
        <v>190084</v>
      </c>
      <c r="F1361" s="27">
        <v>5676</v>
      </c>
      <c r="G1361" s="27">
        <v>9929</v>
      </c>
      <c r="H1361" s="27">
        <v>3243</v>
      </c>
      <c r="I1361" s="27">
        <v>13172</v>
      </c>
      <c r="L1361" s="68">
        <v>0.315</v>
      </c>
      <c r="M1361" s="62">
        <v>3.5000000000000003E-2</v>
      </c>
    </row>
    <row r="1362" spans="1:13">
      <c r="A1362" s="14" t="s">
        <v>74</v>
      </c>
      <c r="B1362" s="27">
        <v>139000</v>
      </c>
      <c r="C1362" s="7">
        <v>16</v>
      </c>
      <c r="D1362" s="27">
        <v>58383</v>
      </c>
      <c r="E1362" s="27">
        <v>197383</v>
      </c>
      <c r="F1362" s="27">
        <v>6487</v>
      </c>
      <c r="G1362" s="27">
        <v>8688</v>
      </c>
      <c r="H1362" s="27">
        <v>3243</v>
      </c>
      <c r="I1362" s="27">
        <v>11931</v>
      </c>
      <c r="L1362" s="68">
        <v>0.315</v>
      </c>
      <c r="M1362" s="62">
        <v>3.5000000000000003E-2</v>
      </c>
    </row>
    <row r="1363" spans="1:13">
      <c r="A1363" s="14" t="s">
        <v>74</v>
      </c>
      <c r="B1363" s="27">
        <v>139000</v>
      </c>
      <c r="C1363" s="7">
        <v>18</v>
      </c>
      <c r="D1363" s="27">
        <v>65686</v>
      </c>
      <c r="E1363" s="27">
        <v>204686</v>
      </c>
      <c r="F1363" s="27">
        <v>7298</v>
      </c>
      <c r="G1363" s="27">
        <v>7723</v>
      </c>
      <c r="H1363" s="27">
        <v>3243</v>
      </c>
      <c r="I1363" s="27">
        <v>10966</v>
      </c>
      <c r="L1363" s="68">
        <v>0.315</v>
      </c>
      <c r="M1363" s="62">
        <v>3.5000000000000003E-2</v>
      </c>
    </row>
    <row r="1364" spans="1:13">
      <c r="A1364" s="14" t="s">
        <v>74</v>
      </c>
      <c r="B1364" s="27">
        <v>139000</v>
      </c>
      <c r="C1364" s="7">
        <v>20</v>
      </c>
      <c r="D1364" s="27">
        <v>72989</v>
      </c>
      <c r="E1364" s="27">
        <v>211989</v>
      </c>
      <c r="F1364" s="27">
        <v>8109</v>
      </c>
      <c r="G1364" s="27">
        <v>6950</v>
      </c>
      <c r="H1364" s="27">
        <v>3244</v>
      </c>
      <c r="I1364" s="27">
        <v>10194</v>
      </c>
      <c r="L1364" s="68">
        <v>0.315</v>
      </c>
      <c r="M1364" s="62">
        <v>3.5000000000000003E-2</v>
      </c>
    </row>
    <row r="1365" spans="1:13">
      <c r="A1365" s="14" t="s">
        <v>74</v>
      </c>
      <c r="B1365" s="27">
        <v>139000</v>
      </c>
      <c r="C1365" s="7">
        <v>22</v>
      </c>
      <c r="D1365" s="27">
        <v>80284</v>
      </c>
      <c r="E1365" s="27">
        <v>219284</v>
      </c>
      <c r="F1365" s="27">
        <v>8920</v>
      </c>
      <c r="G1365" s="27">
        <v>6319</v>
      </c>
      <c r="H1365" s="27">
        <v>3243</v>
      </c>
      <c r="I1365" s="27">
        <v>9562</v>
      </c>
      <c r="L1365" s="68">
        <v>0.315</v>
      </c>
      <c r="M1365" s="62">
        <v>3.5000000000000003E-2</v>
      </c>
    </row>
    <row r="1366" spans="1:13">
      <c r="A1366" s="14" t="s">
        <v>74</v>
      </c>
      <c r="B1366" s="27">
        <v>139000</v>
      </c>
      <c r="C1366" s="7">
        <v>24</v>
      </c>
      <c r="D1366" s="27">
        <v>87595</v>
      </c>
      <c r="E1366" s="27">
        <v>226595</v>
      </c>
      <c r="F1366" s="27">
        <v>9731</v>
      </c>
      <c r="G1366" s="27">
        <v>5792</v>
      </c>
      <c r="H1366" s="27">
        <v>3244</v>
      </c>
      <c r="I1366" s="27">
        <v>9036</v>
      </c>
      <c r="L1366" s="68">
        <v>0.315</v>
      </c>
      <c r="M1366" s="62">
        <v>3.5000000000000003E-2</v>
      </c>
    </row>
    <row r="1367" spans="1:13">
      <c r="A1367" s="14" t="s">
        <v>74</v>
      </c>
      <c r="B1367" s="27">
        <v>140000</v>
      </c>
      <c r="C1367" s="7">
        <v>4</v>
      </c>
      <c r="D1367" s="27">
        <v>14702</v>
      </c>
      <c r="E1367" s="27">
        <v>154702</v>
      </c>
      <c r="F1367" s="27">
        <v>1634</v>
      </c>
      <c r="G1367" s="27">
        <v>35000</v>
      </c>
      <c r="H1367" s="27">
        <v>3267</v>
      </c>
      <c r="I1367" s="27">
        <v>38267</v>
      </c>
      <c r="L1367" s="68">
        <v>0.315</v>
      </c>
      <c r="M1367" s="62">
        <v>3.5000000000000003E-2</v>
      </c>
    </row>
    <row r="1368" spans="1:13">
      <c r="A1368" s="14" t="s">
        <v>74</v>
      </c>
      <c r="B1368" s="27">
        <v>140000</v>
      </c>
      <c r="C1368" s="7">
        <v>6</v>
      </c>
      <c r="D1368" s="27">
        <v>22057</v>
      </c>
      <c r="E1368" s="27">
        <v>162057</v>
      </c>
      <c r="F1368" s="27">
        <v>2451</v>
      </c>
      <c r="G1368" s="27">
        <v>23334</v>
      </c>
      <c r="H1368" s="27">
        <v>3267</v>
      </c>
      <c r="I1368" s="27">
        <v>26601</v>
      </c>
      <c r="L1368" s="68">
        <v>0.315</v>
      </c>
      <c r="M1368" s="62">
        <v>3.5000000000000003E-2</v>
      </c>
    </row>
    <row r="1369" spans="1:13">
      <c r="A1369" s="14" t="s">
        <v>74</v>
      </c>
      <c r="B1369" s="27">
        <v>140000</v>
      </c>
      <c r="C1369" s="7">
        <v>8</v>
      </c>
      <c r="D1369" s="27">
        <v>29403</v>
      </c>
      <c r="E1369" s="27">
        <v>169403</v>
      </c>
      <c r="F1369" s="27">
        <v>3267</v>
      </c>
      <c r="G1369" s="27">
        <v>17500</v>
      </c>
      <c r="H1369" s="27">
        <v>3267</v>
      </c>
      <c r="I1369" s="27">
        <v>20767</v>
      </c>
      <c r="L1369" s="68">
        <v>0.315</v>
      </c>
      <c r="M1369" s="62">
        <v>3.5000000000000003E-2</v>
      </c>
    </row>
    <row r="1370" spans="1:13">
      <c r="A1370" s="14" t="s">
        <v>74</v>
      </c>
      <c r="B1370" s="27">
        <v>140000</v>
      </c>
      <c r="C1370" s="7">
        <v>10</v>
      </c>
      <c r="D1370" s="27">
        <v>36754</v>
      </c>
      <c r="E1370" s="27">
        <v>176754</v>
      </c>
      <c r="F1370" s="27">
        <v>4084</v>
      </c>
      <c r="G1370" s="27">
        <v>14000</v>
      </c>
      <c r="H1370" s="27">
        <v>3267</v>
      </c>
      <c r="I1370" s="27">
        <v>17267</v>
      </c>
      <c r="L1370" s="68">
        <v>0.315</v>
      </c>
      <c r="M1370" s="62">
        <v>3.5000000000000003E-2</v>
      </c>
    </row>
    <row r="1371" spans="1:13">
      <c r="A1371" s="14" t="s">
        <v>74</v>
      </c>
      <c r="B1371" s="27">
        <v>140000</v>
      </c>
      <c r="C1371" s="7">
        <v>12</v>
      </c>
      <c r="D1371" s="27">
        <v>44109</v>
      </c>
      <c r="E1371" s="27">
        <v>184109</v>
      </c>
      <c r="F1371" s="27">
        <v>4901</v>
      </c>
      <c r="G1371" s="27">
        <v>11667</v>
      </c>
      <c r="H1371" s="27">
        <v>3267</v>
      </c>
      <c r="I1371" s="27">
        <v>14934</v>
      </c>
      <c r="L1371" s="68">
        <v>0.315</v>
      </c>
      <c r="M1371" s="62">
        <v>3.5000000000000003E-2</v>
      </c>
    </row>
    <row r="1372" spans="1:13">
      <c r="A1372" s="14" t="s">
        <v>74</v>
      </c>
      <c r="B1372" s="27">
        <v>140000</v>
      </c>
      <c r="C1372" s="7">
        <v>14</v>
      </c>
      <c r="D1372" s="27">
        <v>51455</v>
      </c>
      <c r="E1372" s="27">
        <v>191455</v>
      </c>
      <c r="F1372" s="27">
        <v>5717</v>
      </c>
      <c r="G1372" s="27">
        <v>10000</v>
      </c>
      <c r="H1372" s="27">
        <v>3267</v>
      </c>
      <c r="I1372" s="27">
        <v>13267</v>
      </c>
      <c r="L1372" s="68">
        <v>0.315</v>
      </c>
      <c r="M1372" s="62">
        <v>3.5000000000000003E-2</v>
      </c>
    </row>
    <row r="1373" spans="1:13">
      <c r="A1373" s="14" t="s">
        <v>74</v>
      </c>
      <c r="B1373" s="27">
        <v>140000</v>
      </c>
      <c r="C1373" s="7">
        <v>16</v>
      </c>
      <c r="D1373" s="27">
        <v>58806</v>
      </c>
      <c r="E1373" s="27">
        <v>198806</v>
      </c>
      <c r="F1373" s="27">
        <v>6534</v>
      </c>
      <c r="G1373" s="27">
        <v>8750</v>
      </c>
      <c r="H1373" s="27">
        <v>3267</v>
      </c>
      <c r="I1373" s="27">
        <v>12017</v>
      </c>
      <c r="L1373" s="68">
        <v>0.315</v>
      </c>
      <c r="M1373" s="62">
        <v>3.5000000000000003E-2</v>
      </c>
    </row>
    <row r="1374" spans="1:13">
      <c r="A1374" s="14" t="s">
        <v>74</v>
      </c>
      <c r="B1374" s="27">
        <v>140000</v>
      </c>
      <c r="C1374" s="7">
        <v>18</v>
      </c>
      <c r="D1374" s="27">
        <v>66161</v>
      </c>
      <c r="E1374" s="27">
        <v>206161</v>
      </c>
      <c r="F1374" s="27">
        <v>7351</v>
      </c>
      <c r="G1374" s="27">
        <v>7778</v>
      </c>
      <c r="H1374" s="27">
        <v>3267</v>
      </c>
      <c r="I1374" s="27">
        <v>11045</v>
      </c>
      <c r="L1374" s="68">
        <v>0.315</v>
      </c>
      <c r="M1374" s="62">
        <v>3.5000000000000003E-2</v>
      </c>
    </row>
    <row r="1375" spans="1:13">
      <c r="A1375" s="14" t="s">
        <v>74</v>
      </c>
      <c r="B1375" s="27">
        <v>140000</v>
      </c>
      <c r="C1375" s="7">
        <v>20</v>
      </c>
      <c r="D1375" s="27">
        <v>73507</v>
      </c>
      <c r="E1375" s="27">
        <v>213507</v>
      </c>
      <c r="F1375" s="27">
        <v>8167</v>
      </c>
      <c r="G1375" s="27">
        <v>7000</v>
      </c>
      <c r="H1375" s="27">
        <v>3267</v>
      </c>
      <c r="I1375" s="27">
        <v>10267</v>
      </c>
      <c r="L1375" s="68">
        <v>0.315</v>
      </c>
      <c r="M1375" s="62">
        <v>3.5000000000000003E-2</v>
      </c>
    </row>
    <row r="1376" spans="1:13">
      <c r="A1376" s="14" t="s">
        <v>74</v>
      </c>
      <c r="B1376" s="27">
        <v>140000</v>
      </c>
      <c r="C1376" s="7">
        <v>22</v>
      </c>
      <c r="D1376" s="27">
        <v>80866</v>
      </c>
      <c r="E1376" s="27">
        <v>220866</v>
      </c>
      <c r="F1376" s="27">
        <v>8984</v>
      </c>
      <c r="G1376" s="27">
        <v>6364</v>
      </c>
      <c r="H1376" s="27">
        <v>3267</v>
      </c>
      <c r="I1376" s="27">
        <v>9631</v>
      </c>
      <c r="L1376" s="68">
        <v>0.315</v>
      </c>
      <c r="M1376" s="62">
        <v>3.5000000000000003E-2</v>
      </c>
    </row>
    <row r="1377" spans="1:13">
      <c r="A1377" s="14" t="s">
        <v>74</v>
      </c>
      <c r="B1377" s="27">
        <v>140000</v>
      </c>
      <c r="C1377" s="7">
        <v>24</v>
      </c>
      <c r="D1377" s="27">
        <v>88225</v>
      </c>
      <c r="E1377" s="27">
        <v>228225</v>
      </c>
      <c r="F1377" s="27">
        <v>9801</v>
      </c>
      <c r="G1377" s="27">
        <v>5834</v>
      </c>
      <c r="H1377" s="27">
        <v>3267</v>
      </c>
      <c r="I1377" s="27">
        <v>9101</v>
      </c>
      <c r="L1377" s="68">
        <v>0.315</v>
      </c>
      <c r="M1377" s="62">
        <v>3.5000000000000003E-2</v>
      </c>
    </row>
    <row r="1378" spans="1:13">
      <c r="A1378" s="14" t="s">
        <v>74</v>
      </c>
      <c r="B1378" s="27">
        <v>141000</v>
      </c>
      <c r="C1378" s="7">
        <v>4</v>
      </c>
      <c r="D1378" s="27">
        <v>14810</v>
      </c>
      <c r="E1378" s="27">
        <v>155810</v>
      </c>
      <c r="F1378" s="27">
        <v>1646</v>
      </c>
      <c r="G1378" s="27">
        <v>35250</v>
      </c>
      <c r="H1378" s="27">
        <v>3291</v>
      </c>
      <c r="I1378" s="27">
        <v>38541</v>
      </c>
      <c r="L1378" s="68">
        <v>0.315</v>
      </c>
      <c r="M1378" s="62">
        <v>3.5000000000000003E-2</v>
      </c>
    </row>
    <row r="1379" spans="1:13">
      <c r="A1379" s="14" t="s">
        <v>74</v>
      </c>
      <c r="B1379" s="27">
        <v>141000</v>
      </c>
      <c r="C1379" s="7">
        <v>6</v>
      </c>
      <c r="D1379" s="27">
        <v>22214</v>
      </c>
      <c r="E1379" s="27">
        <v>163214</v>
      </c>
      <c r="F1379" s="27">
        <v>2468</v>
      </c>
      <c r="G1379" s="27">
        <v>23500</v>
      </c>
      <c r="H1379" s="27">
        <v>3291</v>
      </c>
      <c r="I1379" s="27">
        <v>26791</v>
      </c>
      <c r="L1379" s="68">
        <v>0.315</v>
      </c>
      <c r="M1379" s="62">
        <v>3.5000000000000003E-2</v>
      </c>
    </row>
    <row r="1380" spans="1:13">
      <c r="A1380" s="14" t="s">
        <v>74</v>
      </c>
      <c r="B1380" s="27">
        <v>141000</v>
      </c>
      <c r="C1380" s="7">
        <v>8</v>
      </c>
      <c r="D1380" s="27">
        <v>29619</v>
      </c>
      <c r="E1380" s="27">
        <v>170619</v>
      </c>
      <c r="F1380" s="27">
        <v>3291</v>
      </c>
      <c r="G1380" s="27">
        <v>17625</v>
      </c>
      <c r="H1380" s="27">
        <v>3291</v>
      </c>
      <c r="I1380" s="27">
        <v>20916</v>
      </c>
      <c r="L1380" s="68">
        <v>0.315</v>
      </c>
      <c r="M1380" s="62">
        <v>3.5000000000000003E-2</v>
      </c>
    </row>
    <row r="1381" spans="1:13">
      <c r="A1381" s="14" t="s">
        <v>74</v>
      </c>
      <c r="B1381" s="27">
        <v>141000</v>
      </c>
      <c r="C1381" s="7">
        <v>10</v>
      </c>
      <c r="D1381" s="27">
        <v>37023</v>
      </c>
      <c r="E1381" s="27">
        <v>178023</v>
      </c>
      <c r="F1381" s="27">
        <v>4113</v>
      </c>
      <c r="G1381" s="27">
        <v>14100</v>
      </c>
      <c r="H1381" s="27">
        <v>3291</v>
      </c>
      <c r="I1381" s="27">
        <v>17391</v>
      </c>
      <c r="L1381" s="68">
        <v>0.315</v>
      </c>
      <c r="M1381" s="62">
        <v>3.5000000000000003E-2</v>
      </c>
    </row>
    <row r="1382" spans="1:13">
      <c r="A1382" s="14" t="s">
        <v>74</v>
      </c>
      <c r="B1382" s="27">
        <v>141000</v>
      </c>
      <c r="C1382" s="7">
        <v>12</v>
      </c>
      <c r="D1382" s="27">
        <v>44428</v>
      </c>
      <c r="E1382" s="27">
        <v>185428</v>
      </c>
      <c r="F1382" s="27">
        <v>4936</v>
      </c>
      <c r="G1382" s="27">
        <v>11750</v>
      </c>
      <c r="H1382" s="27">
        <v>3291</v>
      </c>
      <c r="I1382" s="27">
        <v>15041</v>
      </c>
      <c r="L1382" s="68">
        <v>0.315</v>
      </c>
      <c r="M1382" s="62">
        <v>3.5000000000000003E-2</v>
      </c>
    </row>
    <row r="1383" spans="1:13">
      <c r="A1383" s="14" t="s">
        <v>74</v>
      </c>
      <c r="B1383" s="27">
        <v>141000</v>
      </c>
      <c r="C1383" s="7">
        <v>14</v>
      </c>
      <c r="D1383" s="27">
        <v>51826</v>
      </c>
      <c r="E1383" s="27">
        <v>192826</v>
      </c>
      <c r="F1383" s="27">
        <v>5758</v>
      </c>
      <c r="G1383" s="27">
        <v>10072</v>
      </c>
      <c r="H1383" s="27">
        <v>3290</v>
      </c>
      <c r="I1383" s="27">
        <v>13362</v>
      </c>
      <c r="L1383" s="68">
        <v>0.315</v>
      </c>
      <c r="M1383" s="62">
        <v>3.5000000000000003E-2</v>
      </c>
    </row>
    <row r="1384" spans="1:13">
      <c r="A1384" s="14" t="s">
        <v>74</v>
      </c>
      <c r="B1384" s="27">
        <v>141000</v>
      </c>
      <c r="C1384" s="7">
        <v>16</v>
      </c>
      <c r="D1384" s="27">
        <v>59229</v>
      </c>
      <c r="E1384" s="27">
        <v>200229</v>
      </c>
      <c r="F1384" s="27">
        <v>6581</v>
      </c>
      <c r="G1384" s="27">
        <v>8813</v>
      </c>
      <c r="H1384" s="27">
        <v>3290</v>
      </c>
      <c r="I1384" s="27">
        <v>12103</v>
      </c>
      <c r="L1384" s="68">
        <v>0.315</v>
      </c>
      <c r="M1384" s="62">
        <v>3.5000000000000003E-2</v>
      </c>
    </row>
    <row r="1385" spans="1:13">
      <c r="A1385" s="14" t="s">
        <v>74</v>
      </c>
      <c r="B1385" s="27">
        <v>141000</v>
      </c>
      <c r="C1385" s="7">
        <v>18</v>
      </c>
      <c r="D1385" s="27">
        <v>66635</v>
      </c>
      <c r="E1385" s="27">
        <v>207635</v>
      </c>
      <c r="F1385" s="27">
        <v>7403</v>
      </c>
      <c r="G1385" s="27">
        <v>7834</v>
      </c>
      <c r="H1385" s="27">
        <v>3290</v>
      </c>
      <c r="I1385" s="27">
        <v>11124</v>
      </c>
      <c r="L1385" s="68">
        <v>0.315</v>
      </c>
      <c r="M1385" s="62">
        <v>3.5000000000000003E-2</v>
      </c>
    </row>
    <row r="1386" spans="1:13">
      <c r="A1386" s="14" t="s">
        <v>74</v>
      </c>
      <c r="B1386" s="27">
        <v>141000</v>
      </c>
      <c r="C1386" s="7">
        <v>20</v>
      </c>
      <c r="D1386" s="27">
        <v>74046</v>
      </c>
      <c r="E1386" s="27">
        <v>215046</v>
      </c>
      <c r="F1386" s="27">
        <v>8226</v>
      </c>
      <c r="G1386" s="27">
        <v>7050</v>
      </c>
      <c r="H1386" s="27">
        <v>3291</v>
      </c>
      <c r="I1386" s="27">
        <v>10341</v>
      </c>
      <c r="L1386" s="68">
        <v>0.315</v>
      </c>
      <c r="M1386" s="62">
        <v>3.5000000000000003E-2</v>
      </c>
    </row>
    <row r="1387" spans="1:13">
      <c r="A1387" s="14" t="s">
        <v>74</v>
      </c>
      <c r="B1387" s="27">
        <v>141000</v>
      </c>
      <c r="C1387" s="7">
        <v>22</v>
      </c>
      <c r="D1387" s="27">
        <v>81448</v>
      </c>
      <c r="E1387" s="27">
        <v>222448</v>
      </c>
      <c r="F1387" s="27">
        <v>9048</v>
      </c>
      <c r="G1387" s="27">
        <v>6410</v>
      </c>
      <c r="H1387" s="27">
        <v>3290</v>
      </c>
      <c r="I1387" s="27">
        <v>9700</v>
      </c>
      <c r="L1387" s="68">
        <v>0.315</v>
      </c>
      <c r="M1387" s="62">
        <v>3.5000000000000003E-2</v>
      </c>
    </row>
    <row r="1388" spans="1:13">
      <c r="A1388" s="14" t="s">
        <v>74</v>
      </c>
      <c r="B1388" s="27">
        <v>141000</v>
      </c>
      <c r="C1388" s="7">
        <v>24</v>
      </c>
      <c r="D1388" s="27">
        <v>88855</v>
      </c>
      <c r="E1388" s="27">
        <v>229855</v>
      </c>
      <c r="F1388" s="27">
        <v>9871</v>
      </c>
      <c r="G1388" s="27">
        <v>5875</v>
      </c>
      <c r="H1388" s="27">
        <v>3291</v>
      </c>
      <c r="I1388" s="27">
        <v>9166</v>
      </c>
      <c r="L1388" s="68">
        <v>0.315</v>
      </c>
      <c r="M1388" s="62">
        <v>3.5000000000000003E-2</v>
      </c>
    </row>
    <row r="1389" spans="1:13">
      <c r="A1389" s="14" t="s">
        <v>74</v>
      </c>
      <c r="B1389" s="27">
        <v>142000</v>
      </c>
      <c r="C1389" s="7">
        <v>4</v>
      </c>
      <c r="D1389" s="27">
        <v>14913</v>
      </c>
      <c r="E1389" s="27">
        <v>156913</v>
      </c>
      <c r="F1389" s="27">
        <v>1657</v>
      </c>
      <c r="G1389" s="27">
        <v>35500</v>
      </c>
      <c r="H1389" s="27">
        <v>3314</v>
      </c>
      <c r="I1389" s="27">
        <v>38814</v>
      </c>
      <c r="L1389" s="68">
        <v>0.315</v>
      </c>
      <c r="M1389" s="62">
        <v>3.5000000000000003E-2</v>
      </c>
    </row>
    <row r="1390" spans="1:13">
      <c r="A1390" s="14" t="s">
        <v>74</v>
      </c>
      <c r="B1390" s="27">
        <v>142000</v>
      </c>
      <c r="C1390" s="7">
        <v>6</v>
      </c>
      <c r="D1390" s="27">
        <v>22372</v>
      </c>
      <c r="E1390" s="27">
        <v>164372</v>
      </c>
      <c r="F1390" s="27">
        <v>2486</v>
      </c>
      <c r="G1390" s="27">
        <v>23667</v>
      </c>
      <c r="H1390" s="27">
        <v>3314</v>
      </c>
      <c r="I1390" s="27">
        <v>26981</v>
      </c>
      <c r="L1390" s="68">
        <v>0.315</v>
      </c>
      <c r="M1390" s="62">
        <v>3.5000000000000003E-2</v>
      </c>
    </row>
    <row r="1391" spans="1:13">
      <c r="A1391" s="14" t="s">
        <v>74</v>
      </c>
      <c r="B1391" s="27">
        <v>142000</v>
      </c>
      <c r="C1391" s="7">
        <v>8</v>
      </c>
      <c r="D1391" s="27">
        <v>29826</v>
      </c>
      <c r="E1391" s="27">
        <v>171826</v>
      </c>
      <c r="F1391" s="27">
        <v>3314</v>
      </c>
      <c r="G1391" s="27">
        <v>17750</v>
      </c>
      <c r="H1391" s="27">
        <v>3314</v>
      </c>
      <c r="I1391" s="27">
        <v>21064</v>
      </c>
      <c r="L1391" s="68">
        <v>0.315</v>
      </c>
      <c r="M1391" s="62">
        <v>3.5000000000000003E-2</v>
      </c>
    </row>
    <row r="1392" spans="1:13">
      <c r="A1392" s="14" t="s">
        <v>74</v>
      </c>
      <c r="B1392" s="27">
        <v>142000</v>
      </c>
      <c r="C1392" s="7">
        <v>10</v>
      </c>
      <c r="D1392" s="27">
        <v>37282</v>
      </c>
      <c r="E1392" s="27">
        <v>179282</v>
      </c>
      <c r="F1392" s="27">
        <v>4142</v>
      </c>
      <c r="G1392" s="27">
        <v>14200</v>
      </c>
      <c r="H1392" s="27">
        <v>3314</v>
      </c>
      <c r="I1392" s="27">
        <v>17514</v>
      </c>
      <c r="L1392" s="68">
        <v>0.315</v>
      </c>
      <c r="M1392" s="62">
        <v>3.5000000000000003E-2</v>
      </c>
    </row>
    <row r="1393" spans="1:13">
      <c r="A1393" s="14" t="s">
        <v>74</v>
      </c>
      <c r="B1393" s="27">
        <v>142000</v>
      </c>
      <c r="C1393" s="7">
        <v>12</v>
      </c>
      <c r="D1393" s="27">
        <v>44735</v>
      </c>
      <c r="E1393" s="27">
        <v>186735</v>
      </c>
      <c r="F1393" s="27">
        <v>4971</v>
      </c>
      <c r="G1393" s="27">
        <v>11834</v>
      </c>
      <c r="H1393" s="27">
        <v>3313</v>
      </c>
      <c r="I1393" s="27">
        <v>15147</v>
      </c>
      <c r="L1393" s="68">
        <v>0.315</v>
      </c>
      <c r="M1393" s="62">
        <v>3.5000000000000003E-2</v>
      </c>
    </row>
    <row r="1394" spans="1:13">
      <c r="A1394" s="14" t="s">
        <v>74</v>
      </c>
      <c r="B1394" s="27">
        <v>142000</v>
      </c>
      <c r="C1394" s="7">
        <v>14</v>
      </c>
      <c r="D1394" s="27">
        <v>52197</v>
      </c>
      <c r="E1394" s="27">
        <v>194197</v>
      </c>
      <c r="F1394" s="27">
        <v>5799</v>
      </c>
      <c r="G1394" s="27">
        <v>10143</v>
      </c>
      <c r="H1394" s="27">
        <v>3314</v>
      </c>
      <c r="I1394" s="27">
        <v>13457</v>
      </c>
      <c r="L1394" s="68">
        <v>0.315</v>
      </c>
      <c r="M1394" s="62">
        <v>3.5000000000000003E-2</v>
      </c>
    </row>
    <row r="1395" spans="1:13">
      <c r="A1395" s="14" t="s">
        <v>74</v>
      </c>
      <c r="B1395" s="27">
        <v>142000</v>
      </c>
      <c r="C1395" s="7">
        <v>16</v>
      </c>
      <c r="D1395" s="27">
        <v>59651</v>
      </c>
      <c r="E1395" s="27">
        <v>201651</v>
      </c>
      <c r="F1395" s="27">
        <v>6627</v>
      </c>
      <c r="G1395" s="27">
        <v>8875</v>
      </c>
      <c r="H1395" s="27">
        <v>3314</v>
      </c>
      <c r="I1395" s="27">
        <v>12189</v>
      </c>
      <c r="L1395" s="68">
        <v>0.315</v>
      </c>
      <c r="M1395" s="62">
        <v>3.5000000000000003E-2</v>
      </c>
    </row>
    <row r="1396" spans="1:13">
      <c r="A1396" s="14" t="s">
        <v>74</v>
      </c>
      <c r="B1396" s="27">
        <v>142000</v>
      </c>
      <c r="C1396" s="7">
        <v>18</v>
      </c>
      <c r="D1396" s="27">
        <v>67110</v>
      </c>
      <c r="E1396" s="27">
        <v>209110</v>
      </c>
      <c r="F1396" s="27">
        <v>7456</v>
      </c>
      <c r="G1396" s="27">
        <v>7889</v>
      </c>
      <c r="H1396" s="27">
        <v>3314</v>
      </c>
      <c r="I1396" s="27">
        <v>11203</v>
      </c>
      <c r="L1396" s="68">
        <v>0.315</v>
      </c>
      <c r="M1396" s="62">
        <v>3.5000000000000003E-2</v>
      </c>
    </row>
    <row r="1397" spans="1:13">
      <c r="A1397" s="14" t="s">
        <v>74</v>
      </c>
      <c r="B1397" s="27">
        <v>142000</v>
      </c>
      <c r="C1397" s="7">
        <v>20</v>
      </c>
      <c r="D1397" s="27">
        <v>74564</v>
      </c>
      <c r="E1397" s="27">
        <v>216564</v>
      </c>
      <c r="F1397" s="27">
        <v>8284</v>
      </c>
      <c r="G1397" s="27">
        <v>7100</v>
      </c>
      <c r="H1397" s="27">
        <v>3314</v>
      </c>
      <c r="I1397" s="27">
        <v>10414</v>
      </c>
      <c r="L1397" s="68">
        <v>0.315</v>
      </c>
      <c r="M1397" s="62">
        <v>3.5000000000000003E-2</v>
      </c>
    </row>
    <row r="1398" spans="1:13">
      <c r="A1398" s="14" t="s">
        <v>74</v>
      </c>
      <c r="B1398" s="27">
        <v>142000</v>
      </c>
      <c r="C1398" s="7">
        <v>22</v>
      </c>
      <c r="D1398" s="27">
        <v>82008</v>
      </c>
      <c r="E1398" s="27">
        <v>224008</v>
      </c>
      <c r="F1398" s="27">
        <v>9112</v>
      </c>
      <c r="G1398" s="27">
        <v>6455</v>
      </c>
      <c r="H1398" s="27">
        <v>3313</v>
      </c>
      <c r="I1398" s="27">
        <v>9768</v>
      </c>
      <c r="L1398" s="68">
        <v>0.315</v>
      </c>
      <c r="M1398" s="62">
        <v>3.5000000000000003E-2</v>
      </c>
    </row>
    <row r="1399" spans="1:13">
      <c r="A1399" s="14" t="s">
        <v>74</v>
      </c>
      <c r="B1399" s="27">
        <v>142000</v>
      </c>
      <c r="C1399" s="7">
        <v>24</v>
      </c>
      <c r="D1399" s="27">
        <v>89485</v>
      </c>
      <c r="E1399" s="27">
        <v>231485</v>
      </c>
      <c r="F1399" s="27">
        <v>9941</v>
      </c>
      <c r="G1399" s="27">
        <v>5917</v>
      </c>
      <c r="H1399" s="27">
        <v>3314</v>
      </c>
      <c r="I1399" s="27">
        <v>9231</v>
      </c>
      <c r="L1399" s="68">
        <v>0.315</v>
      </c>
      <c r="M1399" s="62">
        <v>3.5000000000000003E-2</v>
      </c>
    </row>
    <row r="1400" spans="1:13">
      <c r="A1400" s="14" t="s">
        <v>74</v>
      </c>
      <c r="B1400" s="27">
        <v>143000</v>
      </c>
      <c r="C1400" s="7">
        <v>4</v>
      </c>
      <c r="D1400" s="27">
        <v>15017</v>
      </c>
      <c r="E1400" s="27">
        <v>158017</v>
      </c>
      <c r="F1400" s="27">
        <v>1669</v>
      </c>
      <c r="G1400" s="27">
        <v>35750</v>
      </c>
      <c r="H1400" s="27">
        <v>3337</v>
      </c>
      <c r="I1400" s="27">
        <v>39087</v>
      </c>
      <c r="L1400" s="68">
        <v>0.315</v>
      </c>
      <c r="M1400" s="62">
        <v>3.5000000000000003E-2</v>
      </c>
    </row>
    <row r="1401" spans="1:13">
      <c r="A1401" s="14" t="s">
        <v>74</v>
      </c>
      <c r="B1401" s="27">
        <v>143000</v>
      </c>
      <c r="C1401" s="7">
        <v>6</v>
      </c>
      <c r="D1401" s="27">
        <v>22529</v>
      </c>
      <c r="E1401" s="27">
        <v>165529</v>
      </c>
      <c r="F1401" s="27">
        <v>2503</v>
      </c>
      <c r="G1401" s="27">
        <v>23834</v>
      </c>
      <c r="H1401" s="27">
        <v>3337</v>
      </c>
      <c r="I1401" s="27">
        <v>27171</v>
      </c>
      <c r="L1401" s="68">
        <v>0.315</v>
      </c>
      <c r="M1401" s="62">
        <v>3.5000000000000003E-2</v>
      </c>
    </row>
    <row r="1402" spans="1:13">
      <c r="A1402" s="14" t="s">
        <v>74</v>
      </c>
      <c r="B1402" s="27">
        <v>143000</v>
      </c>
      <c r="C1402" s="7">
        <v>8</v>
      </c>
      <c r="D1402" s="27">
        <v>30033</v>
      </c>
      <c r="E1402" s="27">
        <v>173033</v>
      </c>
      <c r="F1402" s="27">
        <v>3337</v>
      </c>
      <c r="G1402" s="27">
        <v>17875</v>
      </c>
      <c r="H1402" s="27">
        <v>3337</v>
      </c>
      <c r="I1402" s="27">
        <v>21212</v>
      </c>
      <c r="L1402" s="68">
        <v>0.315</v>
      </c>
      <c r="M1402" s="62">
        <v>3.5000000000000003E-2</v>
      </c>
    </row>
    <row r="1403" spans="1:13">
      <c r="A1403" s="14" t="s">
        <v>74</v>
      </c>
      <c r="B1403" s="27">
        <v>143000</v>
      </c>
      <c r="C1403" s="7">
        <v>10</v>
      </c>
      <c r="D1403" s="27">
        <v>37541</v>
      </c>
      <c r="E1403" s="27">
        <v>180541</v>
      </c>
      <c r="F1403" s="27">
        <v>4171</v>
      </c>
      <c r="G1403" s="27">
        <v>14300</v>
      </c>
      <c r="H1403" s="27">
        <v>3337</v>
      </c>
      <c r="I1403" s="27">
        <v>17637</v>
      </c>
      <c r="L1403" s="68">
        <v>0.315</v>
      </c>
      <c r="M1403" s="62">
        <v>3.5000000000000003E-2</v>
      </c>
    </row>
    <row r="1404" spans="1:13">
      <c r="A1404" s="14" t="s">
        <v>74</v>
      </c>
      <c r="B1404" s="27">
        <v>143000</v>
      </c>
      <c r="C1404" s="7">
        <v>12</v>
      </c>
      <c r="D1404" s="27">
        <v>45054</v>
      </c>
      <c r="E1404" s="27">
        <v>188054</v>
      </c>
      <c r="F1404" s="27">
        <v>5006</v>
      </c>
      <c r="G1404" s="27">
        <v>11917</v>
      </c>
      <c r="H1404" s="27">
        <v>3337</v>
      </c>
      <c r="I1404" s="27">
        <v>15254</v>
      </c>
      <c r="L1404" s="68">
        <v>0.315</v>
      </c>
      <c r="M1404" s="62">
        <v>3.5000000000000003E-2</v>
      </c>
    </row>
    <row r="1405" spans="1:13">
      <c r="A1405" s="14" t="s">
        <v>74</v>
      </c>
      <c r="B1405" s="27">
        <v>143000</v>
      </c>
      <c r="C1405" s="7">
        <v>14</v>
      </c>
      <c r="D1405" s="27">
        <v>52554</v>
      </c>
      <c r="E1405" s="27">
        <v>195554</v>
      </c>
      <c r="F1405" s="27">
        <v>5840</v>
      </c>
      <c r="G1405" s="27">
        <v>10215</v>
      </c>
      <c r="H1405" s="27">
        <v>3336</v>
      </c>
      <c r="I1405" s="27">
        <v>13551</v>
      </c>
      <c r="L1405" s="68">
        <v>0.315</v>
      </c>
      <c r="M1405" s="62">
        <v>3.5000000000000003E-2</v>
      </c>
    </row>
    <row r="1406" spans="1:13">
      <c r="A1406" s="14" t="s">
        <v>74</v>
      </c>
      <c r="B1406" s="27">
        <v>143000</v>
      </c>
      <c r="C1406" s="7">
        <v>16</v>
      </c>
      <c r="D1406" s="27">
        <v>60074</v>
      </c>
      <c r="E1406" s="27">
        <v>203074</v>
      </c>
      <c r="F1406" s="27">
        <v>6674</v>
      </c>
      <c r="G1406" s="27">
        <v>8938</v>
      </c>
      <c r="H1406" s="27">
        <v>3337</v>
      </c>
      <c r="I1406" s="27">
        <v>12275</v>
      </c>
      <c r="L1406" s="68">
        <v>0.315</v>
      </c>
      <c r="M1406" s="62">
        <v>3.5000000000000003E-2</v>
      </c>
    </row>
    <row r="1407" spans="1:13">
      <c r="A1407" s="14" t="s">
        <v>74</v>
      </c>
      <c r="B1407" s="27">
        <v>143000</v>
      </c>
      <c r="C1407" s="7">
        <v>18</v>
      </c>
      <c r="D1407" s="27">
        <v>67584</v>
      </c>
      <c r="E1407" s="27">
        <v>210584</v>
      </c>
      <c r="F1407" s="27">
        <v>7508</v>
      </c>
      <c r="G1407" s="27">
        <v>7945</v>
      </c>
      <c r="H1407" s="27">
        <v>3337</v>
      </c>
      <c r="I1407" s="27">
        <v>11282</v>
      </c>
      <c r="L1407" s="68">
        <v>0.315</v>
      </c>
      <c r="M1407" s="62">
        <v>3.5000000000000003E-2</v>
      </c>
    </row>
    <row r="1408" spans="1:13">
      <c r="A1408" s="14" t="s">
        <v>74</v>
      </c>
      <c r="B1408" s="27">
        <v>143000</v>
      </c>
      <c r="C1408" s="7">
        <v>20</v>
      </c>
      <c r="D1408" s="27">
        <v>75082</v>
      </c>
      <c r="E1408" s="27">
        <v>218082</v>
      </c>
      <c r="F1408" s="27">
        <v>8342</v>
      </c>
      <c r="G1408" s="27">
        <v>7150</v>
      </c>
      <c r="H1408" s="27">
        <v>3337</v>
      </c>
      <c r="I1408" s="27">
        <v>10487</v>
      </c>
      <c r="L1408" s="68">
        <v>0.315</v>
      </c>
      <c r="M1408" s="62">
        <v>3.5000000000000003E-2</v>
      </c>
    </row>
    <row r="1409" spans="1:13">
      <c r="A1409" s="14" t="s">
        <v>74</v>
      </c>
      <c r="B1409" s="27">
        <v>143000</v>
      </c>
      <c r="C1409" s="7">
        <v>22</v>
      </c>
      <c r="D1409" s="27">
        <v>82590</v>
      </c>
      <c r="E1409" s="27">
        <v>225590</v>
      </c>
      <c r="F1409" s="27">
        <v>9176</v>
      </c>
      <c r="G1409" s="27">
        <v>6500</v>
      </c>
      <c r="H1409" s="27">
        <v>3337</v>
      </c>
      <c r="I1409" s="27">
        <v>9837</v>
      </c>
      <c r="L1409" s="68">
        <v>0.315</v>
      </c>
      <c r="M1409" s="62">
        <v>3.5000000000000003E-2</v>
      </c>
    </row>
    <row r="1410" spans="1:13">
      <c r="A1410" s="14" t="s">
        <v>74</v>
      </c>
      <c r="B1410" s="27">
        <v>143000</v>
      </c>
      <c r="C1410" s="7">
        <v>24</v>
      </c>
      <c r="D1410" s="27">
        <v>90115</v>
      </c>
      <c r="E1410" s="27">
        <v>233115</v>
      </c>
      <c r="F1410" s="27">
        <v>10011</v>
      </c>
      <c r="G1410" s="27">
        <v>5959</v>
      </c>
      <c r="H1410" s="27">
        <v>3337</v>
      </c>
      <c r="I1410" s="27">
        <v>9296</v>
      </c>
      <c r="L1410" s="68">
        <v>0.315</v>
      </c>
      <c r="M1410" s="62">
        <v>3.5000000000000003E-2</v>
      </c>
    </row>
    <row r="1411" spans="1:13">
      <c r="A1411" s="14" t="s">
        <v>74</v>
      </c>
      <c r="B1411" s="27">
        <v>144000</v>
      </c>
      <c r="C1411" s="7">
        <v>4</v>
      </c>
      <c r="D1411" s="27">
        <v>15125</v>
      </c>
      <c r="E1411" s="27">
        <v>159125</v>
      </c>
      <c r="F1411" s="27">
        <v>1681</v>
      </c>
      <c r="G1411" s="27">
        <v>36000</v>
      </c>
      <c r="H1411" s="27">
        <v>3361</v>
      </c>
      <c r="I1411" s="27">
        <v>39361</v>
      </c>
      <c r="L1411" s="68">
        <v>0.315</v>
      </c>
      <c r="M1411" s="62">
        <v>3.5000000000000003E-2</v>
      </c>
    </row>
    <row r="1412" spans="1:13">
      <c r="A1412" s="14" t="s">
        <v>74</v>
      </c>
      <c r="B1412" s="27">
        <v>144000</v>
      </c>
      <c r="C1412" s="7">
        <v>6</v>
      </c>
      <c r="D1412" s="27">
        <v>22687</v>
      </c>
      <c r="E1412" s="27">
        <v>166687</v>
      </c>
      <c r="F1412" s="27">
        <v>2521</v>
      </c>
      <c r="G1412" s="27">
        <v>24000</v>
      </c>
      <c r="H1412" s="27">
        <v>3361</v>
      </c>
      <c r="I1412" s="27">
        <v>27361</v>
      </c>
      <c r="L1412" s="68">
        <v>0.315</v>
      </c>
      <c r="M1412" s="62">
        <v>3.5000000000000003E-2</v>
      </c>
    </row>
    <row r="1413" spans="1:13">
      <c r="A1413" s="14" t="s">
        <v>74</v>
      </c>
      <c r="B1413" s="27">
        <v>144000</v>
      </c>
      <c r="C1413" s="7">
        <v>8</v>
      </c>
      <c r="D1413" s="27">
        <v>30249</v>
      </c>
      <c r="E1413" s="27">
        <v>174249</v>
      </c>
      <c r="F1413" s="27">
        <v>3361</v>
      </c>
      <c r="G1413" s="27">
        <v>18000</v>
      </c>
      <c r="H1413" s="27">
        <v>3361</v>
      </c>
      <c r="I1413" s="27">
        <v>21361</v>
      </c>
      <c r="L1413" s="68">
        <v>0.315</v>
      </c>
      <c r="M1413" s="62">
        <v>3.5000000000000003E-2</v>
      </c>
    </row>
    <row r="1414" spans="1:13">
      <c r="A1414" s="14" t="s">
        <v>74</v>
      </c>
      <c r="B1414" s="27">
        <v>144000</v>
      </c>
      <c r="C1414" s="7">
        <v>10</v>
      </c>
      <c r="D1414" s="27">
        <v>37811</v>
      </c>
      <c r="E1414" s="27">
        <v>181811</v>
      </c>
      <c r="F1414" s="27">
        <v>4201</v>
      </c>
      <c r="G1414" s="27">
        <v>14400</v>
      </c>
      <c r="H1414" s="27">
        <v>3361</v>
      </c>
      <c r="I1414" s="27">
        <v>17761</v>
      </c>
      <c r="L1414" s="68">
        <v>0.315</v>
      </c>
      <c r="M1414" s="62">
        <v>3.5000000000000003E-2</v>
      </c>
    </row>
    <row r="1415" spans="1:13">
      <c r="A1415" s="14" t="s">
        <v>74</v>
      </c>
      <c r="B1415" s="27">
        <v>144000</v>
      </c>
      <c r="C1415" s="7">
        <v>12</v>
      </c>
      <c r="D1415" s="27">
        <v>45373</v>
      </c>
      <c r="E1415" s="27">
        <v>189373</v>
      </c>
      <c r="F1415" s="27">
        <v>5041</v>
      </c>
      <c r="G1415" s="27">
        <v>12000</v>
      </c>
      <c r="H1415" s="27">
        <v>3361</v>
      </c>
      <c r="I1415" s="27">
        <v>15361</v>
      </c>
      <c r="L1415" s="68">
        <v>0.315</v>
      </c>
      <c r="M1415" s="62">
        <v>3.5000000000000003E-2</v>
      </c>
    </row>
    <row r="1416" spans="1:13">
      <c r="A1416" s="14" t="s">
        <v>74</v>
      </c>
      <c r="B1416" s="27">
        <v>144000</v>
      </c>
      <c r="C1416" s="7">
        <v>14</v>
      </c>
      <c r="D1416" s="27">
        <v>52925</v>
      </c>
      <c r="E1416" s="27">
        <v>196925</v>
      </c>
      <c r="F1416" s="27">
        <v>5881</v>
      </c>
      <c r="G1416" s="27">
        <v>10286</v>
      </c>
      <c r="H1416" s="27">
        <v>3360</v>
      </c>
      <c r="I1416" s="27">
        <v>13646</v>
      </c>
      <c r="L1416" s="68">
        <v>0.315</v>
      </c>
      <c r="M1416" s="62">
        <v>3.5000000000000003E-2</v>
      </c>
    </row>
    <row r="1417" spans="1:13">
      <c r="A1417" s="14" t="s">
        <v>74</v>
      </c>
      <c r="B1417" s="27">
        <v>144000</v>
      </c>
      <c r="C1417" s="7">
        <v>16</v>
      </c>
      <c r="D1417" s="27">
        <v>60497</v>
      </c>
      <c r="E1417" s="27">
        <v>204497</v>
      </c>
      <c r="F1417" s="27">
        <v>6721</v>
      </c>
      <c r="G1417" s="27">
        <v>9000</v>
      </c>
      <c r="H1417" s="27">
        <v>3361</v>
      </c>
      <c r="I1417" s="27">
        <v>12361</v>
      </c>
      <c r="L1417" s="68">
        <v>0.315</v>
      </c>
      <c r="M1417" s="62">
        <v>3.5000000000000003E-2</v>
      </c>
    </row>
    <row r="1418" spans="1:13">
      <c r="A1418" s="14" t="s">
        <v>74</v>
      </c>
      <c r="B1418" s="27">
        <v>144000</v>
      </c>
      <c r="C1418" s="7">
        <v>18</v>
      </c>
      <c r="D1418" s="27">
        <v>68059</v>
      </c>
      <c r="E1418" s="27">
        <v>212059</v>
      </c>
      <c r="F1418" s="27">
        <v>7561</v>
      </c>
      <c r="G1418" s="27">
        <v>8000</v>
      </c>
      <c r="H1418" s="27">
        <v>3361</v>
      </c>
      <c r="I1418" s="27">
        <v>11361</v>
      </c>
      <c r="L1418" s="68">
        <v>0.315</v>
      </c>
      <c r="M1418" s="62">
        <v>3.5000000000000003E-2</v>
      </c>
    </row>
    <row r="1419" spans="1:13">
      <c r="A1419" s="14" t="s">
        <v>74</v>
      </c>
      <c r="B1419" s="27">
        <v>144000</v>
      </c>
      <c r="C1419" s="7">
        <v>20</v>
      </c>
      <c r="D1419" s="27">
        <v>75621</v>
      </c>
      <c r="E1419" s="27">
        <v>219621</v>
      </c>
      <c r="F1419" s="27">
        <v>8401</v>
      </c>
      <c r="G1419" s="27">
        <v>7200</v>
      </c>
      <c r="H1419" s="27">
        <v>3361</v>
      </c>
      <c r="I1419" s="27">
        <v>10561</v>
      </c>
      <c r="L1419" s="68">
        <v>0.315</v>
      </c>
      <c r="M1419" s="62">
        <v>3.5000000000000003E-2</v>
      </c>
    </row>
    <row r="1420" spans="1:13">
      <c r="A1420" s="14" t="s">
        <v>74</v>
      </c>
      <c r="B1420" s="27">
        <v>144000</v>
      </c>
      <c r="C1420" s="7">
        <v>22</v>
      </c>
      <c r="D1420" s="27">
        <v>83173</v>
      </c>
      <c r="E1420" s="27">
        <v>227173</v>
      </c>
      <c r="F1420" s="27">
        <v>9241</v>
      </c>
      <c r="G1420" s="27">
        <v>6546</v>
      </c>
      <c r="H1420" s="27">
        <v>3360</v>
      </c>
      <c r="I1420" s="27">
        <v>9906</v>
      </c>
      <c r="L1420" s="68">
        <v>0.315</v>
      </c>
      <c r="M1420" s="62">
        <v>3.5000000000000003E-2</v>
      </c>
    </row>
    <row r="1421" spans="1:13">
      <c r="A1421" s="14" t="s">
        <v>74</v>
      </c>
      <c r="B1421" s="27">
        <v>144000</v>
      </c>
      <c r="C1421" s="7">
        <v>24</v>
      </c>
      <c r="D1421" s="27">
        <v>90745</v>
      </c>
      <c r="E1421" s="27">
        <v>234745</v>
      </c>
      <c r="F1421" s="27">
        <v>10081</v>
      </c>
      <c r="G1421" s="27">
        <v>6000</v>
      </c>
      <c r="H1421" s="27">
        <v>3361</v>
      </c>
      <c r="I1421" s="27">
        <v>9361</v>
      </c>
      <c r="L1421" s="68">
        <v>0.315</v>
      </c>
      <c r="M1421" s="62">
        <v>3.5000000000000003E-2</v>
      </c>
    </row>
    <row r="1422" spans="1:13">
      <c r="A1422" s="14" t="s">
        <v>74</v>
      </c>
      <c r="B1422" s="27">
        <v>145000</v>
      </c>
      <c r="C1422" s="7">
        <v>4</v>
      </c>
      <c r="D1422" s="27">
        <v>15228</v>
      </c>
      <c r="E1422" s="27">
        <v>160228</v>
      </c>
      <c r="F1422" s="27">
        <v>1692</v>
      </c>
      <c r="G1422" s="27">
        <v>36250</v>
      </c>
      <c r="H1422" s="27">
        <v>3384</v>
      </c>
      <c r="I1422" s="27">
        <v>39634</v>
      </c>
      <c r="L1422" s="68">
        <v>0.315</v>
      </c>
      <c r="M1422" s="62">
        <v>3.5000000000000003E-2</v>
      </c>
    </row>
    <row r="1423" spans="1:13">
      <c r="A1423" s="14" t="s">
        <v>74</v>
      </c>
      <c r="B1423" s="27">
        <v>145000</v>
      </c>
      <c r="C1423" s="7">
        <v>6</v>
      </c>
      <c r="D1423" s="27">
        <v>22844</v>
      </c>
      <c r="E1423" s="27">
        <v>167844</v>
      </c>
      <c r="F1423" s="27">
        <v>2538</v>
      </c>
      <c r="G1423" s="27">
        <v>24167</v>
      </c>
      <c r="H1423" s="27">
        <v>3384</v>
      </c>
      <c r="I1423" s="27">
        <v>27551</v>
      </c>
      <c r="L1423" s="68">
        <v>0.315</v>
      </c>
      <c r="M1423" s="62">
        <v>3.5000000000000003E-2</v>
      </c>
    </row>
    <row r="1424" spans="1:13">
      <c r="A1424" s="14" t="s">
        <v>74</v>
      </c>
      <c r="B1424" s="27">
        <v>145000</v>
      </c>
      <c r="C1424" s="7">
        <v>8</v>
      </c>
      <c r="D1424" s="27">
        <v>30456</v>
      </c>
      <c r="E1424" s="27">
        <v>175456</v>
      </c>
      <c r="F1424" s="27">
        <v>3384</v>
      </c>
      <c r="G1424" s="27">
        <v>18125</v>
      </c>
      <c r="H1424" s="27">
        <v>3384</v>
      </c>
      <c r="I1424" s="27">
        <v>21509</v>
      </c>
      <c r="L1424" s="68">
        <v>0.315</v>
      </c>
      <c r="M1424" s="62">
        <v>3.5000000000000003E-2</v>
      </c>
    </row>
    <row r="1425" spans="1:13">
      <c r="A1425" s="14" t="s">
        <v>74</v>
      </c>
      <c r="B1425" s="27">
        <v>145000</v>
      </c>
      <c r="C1425" s="7">
        <v>10</v>
      </c>
      <c r="D1425" s="27">
        <v>38070</v>
      </c>
      <c r="E1425" s="27">
        <v>183070</v>
      </c>
      <c r="F1425" s="27">
        <v>4230</v>
      </c>
      <c r="G1425" s="27">
        <v>14500</v>
      </c>
      <c r="H1425" s="27">
        <v>3384</v>
      </c>
      <c r="I1425" s="27">
        <v>17884</v>
      </c>
      <c r="L1425" s="68">
        <v>0.315</v>
      </c>
      <c r="M1425" s="62">
        <v>3.5000000000000003E-2</v>
      </c>
    </row>
    <row r="1426" spans="1:13">
      <c r="A1426" s="14" t="s">
        <v>74</v>
      </c>
      <c r="B1426" s="27">
        <v>145000</v>
      </c>
      <c r="C1426" s="7">
        <v>12</v>
      </c>
      <c r="D1426" s="27">
        <v>45680</v>
      </c>
      <c r="E1426" s="27">
        <v>190680</v>
      </c>
      <c r="F1426" s="27">
        <v>5076</v>
      </c>
      <c r="G1426" s="27">
        <v>12084</v>
      </c>
      <c r="H1426" s="27">
        <v>3383</v>
      </c>
      <c r="I1426" s="27">
        <v>15467</v>
      </c>
      <c r="L1426" s="68">
        <v>0.315</v>
      </c>
      <c r="M1426" s="62">
        <v>3.5000000000000003E-2</v>
      </c>
    </row>
    <row r="1427" spans="1:13">
      <c r="A1427" s="14" t="s">
        <v>74</v>
      </c>
      <c r="B1427" s="27">
        <v>145000</v>
      </c>
      <c r="C1427" s="7">
        <v>14</v>
      </c>
      <c r="D1427" s="27">
        <v>53295</v>
      </c>
      <c r="E1427" s="27">
        <v>198295</v>
      </c>
      <c r="F1427" s="27">
        <v>5921</v>
      </c>
      <c r="G1427" s="27">
        <v>10358</v>
      </c>
      <c r="H1427" s="27">
        <v>3383</v>
      </c>
      <c r="I1427" s="27">
        <v>13741</v>
      </c>
      <c r="L1427" s="68">
        <v>0.315</v>
      </c>
      <c r="M1427" s="62">
        <v>3.5000000000000003E-2</v>
      </c>
    </row>
    <row r="1428" spans="1:13">
      <c r="A1428" s="14" t="s">
        <v>74</v>
      </c>
      <c r="B1428" s="27">
        <v>145000</v>
      </c>
      <c r="C1428" s="7">
        <v>16</v>
      </c>
      <c r="D1428" s="27">
        <v>60903</v>
      </c>
      <c r="E1428" s="27">
        <v>205903</v>
      </c>
      <c r="F1428" s="27">
        <v>6767</v>
      </c>
      <c r="G1428" s="27">
        <v>9063</v>
      </c>
      <c r="H1428" s="27">
        <v>3383</v>
      </c>
      <c r="I1428" s="27">
        <v>12446</v>
      </c>
      <c r="L1428" s="68">
        <v>0.315</v>
      </c>
      <c r="M1428" s="62">
        <v>3.5000000000000003E-2</v>
      </c>
    </row>
    <row r="1429" spans="1:13">
      <c r="A1429" s="14" t="s">
        <v>74</v>
      </c>
      <c r="B1429" s="27">
        <v>145000</v>
      </c>
      <c r="C1429" s="7">
        <v>18</v>
      </c>
      <c r="D1429" s="27">
        <v>68515</v>
      </c>
      <c r="E1429" s="27">
        <v>213515</v>
      </c>
      <c r="F1429" s="27">
        <v>7613</v>
      </c>
      <c r="G1429" s="27">
        <v>8056</v>
      </c>
      <c r="H1429" s="27">
        <v>3383</v>
      </c>
      <c r="I1429" s="27">
        <v>11439</v>
      </c>
      <c r="L1429" s="68">
        <v>0.315</v>
      </c>
      <c r="M1429" s="62">
        <v>3.5000000000000003E-2</v>
      </c>
    </row>
    <row r="1430" spans="1:13">
      <c r="A1430" s="14" t="s">
        <v>74</v>
      </c>
      <c r="B1430" s="27">
        <v>145000</v>
      </c>
      <c r="C1430" s="7">
        <v>20</v>
      </c>
      <c r="D1430" s="27">
        <v>76139</v>
      </c>
      <c r="E1430" s="27">
        <v>221139</v>
      </c>
      <c r="F1430" s="27">
        <v>8459</v>
      </c>
      <c r="G1430" s="27">
        <v>7250</v>
      </c>
      <c r="H1430" s="27">
        <v>3384</v>
      </c>
      <c r="I1430" s="27">
        <v>10634</v>
      </c>
      <c r="L1430" s="68">
        <v>0.315</v>
      </c>
      <c r="M1430" s="62">
        <v>3.5000000000000003E-2</v>
      </c>
    </row>
    <row r="1431" spans="1:13">
      <c r="A1431" s="14" t="s">
        <v>74</v>
      </c>
      <c r="B1431" s="27">
        <v>145000</v>
      </c>
      <c r="C1431" s="7">
        <v>22</v>
      </c>
      <c r="D1431" s="27">
        <v>83755</v>
      </c>
      <c r="E1431" s="27">
        <v>228755</v>
      </c>
      <c r="F1431" s="27">
        <v>9305</v>
      </c>
      <c r="G1431" s="27">
        <v>6591</v>
      </c>
      <c r="H1431" s="27">
        <v>3384</v>
      </c>
      <c r="I1431" s="27">
        <v>9975</v>
      </c>
      <c r="L1431" s="68">
        <v>0.315</v>
      </c>
      <c r="M1431" s="62">
        <v>3.5000000000000003E-2</v>
      </c>
    </row>
    <row r="1432" spans="1:13">
      <c r="A1432" s="14" t="s">
        <v>74</v>
      </c>
      <c r="B1432" s="27">
        <v>145000</v>
      </c>
      <c r="C1432" s="7">
        <v>24</v>
      </c>
      <c r="D1432" s="27">
        <v>91375</v>
      </c>
      <c r="E1432" s="27">
        <v>236375</v>
      </c>
      <c r="F1432" s="27">
        <v>10151</v>
      </c>
      <c r="G1432" s="27">
        <v>6042</v>
      </c>
      <c r="H1432" s="27">
        <v>3384</v>
      </c>
      <c r="I1432" s="27">
        <v>9426</v>
      </c>
      <c r="L1432" s="68">
        <v>0.315</v>
      </c>
      <c r="M1432" s="62">
        <v>3.5000000000000003E-2</v>
      </c>
    </row>
    <row r="1433" spans="1:13">
      <c r="A1433" s="14" t="s">
        <v>74</v>
      </c>
      <c r="B1433" s="27">
        <v>146000</v>
      </c>
      <c r="C1433" s="7">
        <v>4</v>
      </c>
      <c r="D1433" s="27">
        <v>15332</v>
      </c>
      <c r="E1433" s="27">
        <v>161332</v>
      </c>
      <c r="F1433" s="27">
        <v>1704</v>
      </c>
      <c r="G1433" s="27">
        <v>36500</v>
      </c>
      <c r="H1433" s="27">
        <v>3407</v>
      </c>
      <c r="I1433" s="27">
        <v>39907</v>
      </c>
      <c r="L1433" s="68">
        <v>0.315</v>
      </c>
      <c r="M1433" s="62">
        <v>3.5000000000000003E-2</v>
      </c>
    </row>
    <row r="1434" spans="1:13">
      <c r="A1434" s="14" t="s">
        <v>74</v>
      </c>
      <c r="B1434" s="27">
        <v>146000</v>
      </c>
      <c r="C1434" s="7">
        <v>6</v>
      </c>
      <c r="D1434" s="27">
        <v>23002</v>
      </c>
      <c r="E1434" s="27">
        <v>169002</v>
      </c>
      <c r="F1434" s="27">
        <v>2556</v>
      </c>
      <c r="G1434" s="27">
        <v>24334</v>
      </c>
      <c r="H1434" s="27">
        <v>3407</v>
      </c>
      <c r="I1434" s="27">
        <v>27741</v>
      </c>
      <c r="L1434" s="68">
        <v>0.315</v>
      </c>
      <c r="M1434" s="62">
        <v>3.5000000000000003E-2</v>
      </c>
    </row>
    <row r="1435" spans="1:13">
      <c r="A1435" s="14" t="s">
        <v>74</v>
      </c>
      <c r="B1435" s="27">
        <v>146000</v>
      </c>
      <c r="C1435" s="7">
        <v>8</v>
      </c>
      <c r="D1435" s="27">
        <v>30663</v>
      </c>
      <c r="E1435" s="27">
        <v>176663</v>
      </c>
      <c r="F1435" s="27">
        <v>3407</v>
      </c>
      <c r="G1435" s="27">
        <v>18250</v>
      </c>
      <c r="H1435" s="27">
        <v>3407</v>
      </c>
      <c r="I1435" s="27">
        <v>21657</v>
      </c>
      <c r="L1435" s="68">
        <v>0.315</v>
      </c>
      <c r="M1435" s="62">
        <v>3.5000000000000003E-2</v>
      </c>
    </row>
    <row r="1436" spans="1:13">
      <c r="A1436" s="14" t="s">
        <v>74</v>
      </c>
      <c r="B1436" s="27">
        <v>146000</v>
      </c>
      <c r="C1436" s="7">
        <v>10</v>
      </c>
      <c r="D1436" s="27">
        <v>38329</v>
      </c>
      <c r="E1436" s="27">
        <v>184329</v>
      </c>
      <c r="F1436" s="27">
        <v>4259</v>
      </c>
      <c r="G1436" s="27">
        <v>14600</v>
      </c>
      <c r="H1436" s="27">
        <v>3407</v>
      </c>
      <c r="I1436" s="27">
        <v>18007</v>
      </c>
      <c r="L1436" s="68">
        <v>0.315</v>
      </c>
      <c r="M1436" s="62">
        <v>3.5000000000000003E-2</v>
      </c>
    </row>
    <row r="1437" spans="1:13">
      <c r="A1437" s="14" t="s">
        <v>74</v>
      </c>
      <c r="B1437" s="27">
        <v>146000</v>
      </c>
      <c r="C1437" s="7">
        <v>12</v>
      </c>
      <c r="D1437" s="27">
        <v>45999</v>
      </c>
      <c r="E1437" s="27">
        <v>191999</v>
      </c>
      <c r="F1437" s="27">
        <v>5111</v>
      </c>
      <c r="G1437" s="27">
        <v>12167</v>
      </c>
      <c r="H1437" s="27">
        <v>3407</v>
      </c>
      <c r="I1437" s="27">
        <v>15574</v>
      </c>
      <c r="L1437" s="68">
        <v>0.315</v>
      </c>
      <c r="M1437" s="62">
        <v>3.5000000000000003E-2</v>
      </c>
    </row>
    <row r="1438" spans="1:13">
      <c r="A1438" s="14" t="s">
        <v>74</v>
      </c>
      <c r="B1438" s="27">
        <v>146000</v>
      </c>
      <c r="C1438" s="7">
        <v>14</v>
      </c>
      <c r="D1438" s="27">
        <v>53666</v>
      </c>
      <c r="E1438" s="27">
        <v>199666</v>
      </c>
      <c r="F1438" s="27">
        <v>5962</v>
      </c>
      <c r="G1438" s="27">
        <v>10429</v>
      </c>
      <c r="H1438" s="27">
        <v>3407</v>
      </c>
      <c r="I1438" s="27">
        <v>13836</v>
      </c>
      <c r="L1438" s="68">
        <v>0.315</v>
      </c>
      <c r="M1438" s="62">
        <v>3.5000000000000003E-2</v>
      </c>
    </row>
    <row r="1439" spans="1:13">
      <c r="A1439" s="14" t="s">
        <v>74</v>
      </c>
      <c r="B1439" s="27">
        <v>146000</v>
      </c>
      <c r="C1439" s="7">
        <v>16</v>
      </c>
      <c r="D1439" s="27">
        <v>61326</v>
      </c>
      <c r="E1439" s="27">
        <v>207326</v>
      </c>
      <c r="F1439" s="27">
        <v>6814</v>
      </c>
      <c r="G1439" s="27">
        <v>9125</v>
      </c>
      <c r="H1439" s="27">
        <v>3407</v>
      </c>
      <c r="I1439" s="27">
        <v>12532</v>
      </c>
      <c r="L1439" s="68">
        <v>0.315</v>
      </c>
      <c r="M1439" s="62">
        <v>3.5000000000000003E-2</v>
      </c>
    </row>
    <row r="1440" spans="1:13">
      <c r="A1440" s="14" t="s">
        <v>74</v>
      </c>
      <c r="B1440" s="27">
        <v>146000</v>
      </c>
      <c r="C1440" s="7">
        <v>18</v>
      </c>
      <c r="D1440" s="27">
        <v>68990</v>
      </c>
      <c r="E1440" s="27">
        <v>214990</v>
      </c>
      <c r="F1440" s="27">
        <v>7666</v>
      </c>
      <c r="G1440" s="27">
        <v>8112</v>
      </c>
      <c r="H1440" s="27">
        <v>3406</v>
      </c>
      <c r="I1440" s="27">
        <v>11518</v>
      </c>
      <c r="L1440" s="68">
        <v>0.315</v>
      </c>
      <c r="M1440" s="62">
        <v>3.5000000000000003E-2</v>
      </c>
    </row>
    <row r="1441" spans="1:13">
      <c r="A1441" s="14" t="s">
        <v>74</v>
      </c>
      <c r="B1441" s="27">
        <v>146000</v>
      </c>
      <c r="C1441" s="7">
        <v>20</v>
      </c>
      <c r="D1441" s="27">
        <v>76657</v>
      </c>
      <c r="E1441" s="27">
        <v>222657</v>
      </c>
      <c r="F1441" s="27">
        <v>8517</v>
      </c>
      <c r="G1441" s="27">
        <v>7300</v>
      </c>
      <c r="H1441" s="27">
        <v>3407</v>
      </c>
      <c r="I1441" s="27">
        <v>10707</v>
      </c>
      <c r="L1441" s="68">
        <v>0.315</v>
      </c>
      <c r="M1441" s="62">
        <v>3.5000000000000003E-2</v>
      </c>
    </row>
    <row r="1442" spans="1:13">
      <c r="A1442" s="14" t="s">
        <v>74</v>
      </c>
      <c r="B1442" s="27">
        <v>146000</v>
      </c>
      <c r="C1442" s="7">
        <v>22</v>
      </c>
      <c r="D1442" s="27">
        <v>84337</v>
      </c>
      <c r="E1442" s="27">
        <v>230337</v>
      </c>
      <c r="F1442" s="27">
        <v>9369</v>
      </c>
      <c r="G1442" s="27">
        <v>6637</v>
      </c>
      <c r="H1442" s="27">
        <v>3407</v>
      </c>
      <c r="I1442" s="27">
        <v>10044</v>
      </c>
      <c r="L1442" s="68">
        <v>0.315</v>
      </c>
      <c r="M1442" s="62">
        <v>3.5000000000000003E-2</v>
      </c>
    </row>
    <row r="1443" spans="1:13">
      <c r="A1443" s="14" t="s">
        <v>74</v>
      </c>
      <c r="B1443" s="27">
        <v>146000</v>
      </c>
      <c r="C1443" s="7">
        <v>24</v>
      </c>
      <c r="D1443" s="27">
        <v>92005</v>
      </c>
      <c r="E1443" s="27">
        <v>238005</v>
      </c>
      <c r="F1443" s="27">
        <v>10221</v>
      </c>
      <c r="G1443" s="27">
        <v>6084</v>
      </c>
      <c r="H1443" s="27">
        <v>3407</v>
      </c>
      <c r="I1443" s="27">
        <v>9491</v>
      </c>
      <c r="L1443" s="68">
        <v>0.315</v>
      </c>
      <c r="M1443" s="62">
        <v>3.5000000000000003E-2</v>
      </c>
    </row>
    <row r="1444" spans="1:13">
      <c r="A1444" s="14" t="s">
        <v>74</v>
      </c>
      <c r="B1444" s="27">
        <v>147000</v>
      </c>
      <c r="C1444" s="7">
        <v>4</v>
      </c>
      <c r="D1444" s="27">
        <v>15440</v>
      </c>
      <c r="E1444" s="27">
        <v>162440</v>
      </c>
      <c r="F1444" s="27">
        <v>1716</v>
      </c>
      <c r="G1444" s="27">
        <v>36750</v>
      </c>
      <c r="H1444" s="27">
        <v>3431</v>
      </c>
      <c r="I1444" s="27">
        <v>40181</v>
      </c>
      <c r="L1444" s="68">
        <v>0.315</v>
      </c>
      <c r="M1444" s="62">
        <v>3.5000000000000003E-2</v>
      </c>
    </row>
    <row r="1445" spans="1:13">
      <c r="A1445" s="14" t="s">
        <v>74</v>
      </c>
      <c r="B1445" s="27">
        <v>147000</v>
      </c>
      <c r="C1445" s="7">
        <v>6</v>
      </c>
      <c r="D1445" s="27">
        <v>23159</v>
      </c>
      <c r="E1445" s="27">
        <v>170159</v>
      </c>
      <c r="F1445" s="27">
        <v>2573</v>
      </c>
      <c r="G1445" s="27">
        <v>24500</v>
      </c>
      <c r="H1445" s="27">
        <v>3431</v>
      </c>
      <c r="I1445" s="27">
        <v>27931</v>
      </c>
      <c r="L1445" s="68">
        <v>0.315</v>
      </c>
      <c r="M1445" s="62">
        <v>3.5000000000000003E-2</v>
      </c>
    </row>
    <row r="1446" spans="1:13">
      <c r="A1446" s="14" t="s">
        <v>74</v>
      </c>
      <c r="B1446" s="27">
        <v>147000</v>
      </c>
      <c r="C1446" s="7">
        <v>8</v>
      </c>
      <c r="D1446" s="27">
        <v>30879</v>
      </c>
      <c r="E1446" s="27">
        <v>177879</v>
      </c>
      <c r="F1446" s="27">
        <v>3431</v>
      </c>
      <c r="G1446" s="27">
        <v>18375</v>
      </c>
      <c r="H1446" s="27">
        <v>3431</v>
      </c>
      <c r="I1446" s="27">
        <v>21806</v>
      </c>
      <c r="L1446" s="68">
        <v>0.315</v>
      </c>
      <c r="M1446" s="62">
        <v>3.5000000000000003E-2</v>
      </c>
    </row>
    <row r="1447" spans="1:13">
      <c r="A1447" s="14" t="s">
        <v>74</v>
      </c>
      <c r="B1447" s="27">
        <v>147000</v>
      </c>
      <c r="C1447" s="7">
        <v>10</v>
      </c>
      <c r="D1447" s="27">
        <v>38598</v>
      </c>
      <c r="E1447" s="27">
        <v>185598</v>
      </c>
      <c r="F1447" s="27">
        <v>4288</v>
      </c>
      <c r="G1447" s="27">
        <v>14700</v>
      </c>
      <c r="H1447" s="27">
        <v>3431</v>
      </c>
      <c r="I1447" s="27">
        <v>18131</v>
      </c>
      <c r="L1447" s="68">
        <v>0.315</v>
      </c>
      <c r="M1447" s="62">
        <v>3.5000000000000003E-2</v>
      </c>
    </row>
    <row r="1448" spans="1:13">
      <c r="A1448" s="14" t="s">
        <v>74</v>
      </c>
      <c r="B1448" s="27">
        <v>147000</v>
      </c>
      <c r="C1448" s="7">
        <v>12</v>
      </c>
      <c r="D1448" s="27">
        <v>46318</v>
      </c>
      <c r="E1448" s="27">
        <v>193318</v>
      </c>
      <c r="F1448" s="27">
        <v>5146</v>
      </c>
      <c r="G1448" s="27">
        <v>12250</v>
      </c>
      <c r="H1448" s="27">
        <v>3431</v>
      </c>
      <c r="I1448" s="27">
        <v>15681</v>
      </c>
      <c r="L1448" s="68">
        <v>0.315</v>
      </c>
      <c r="M1448" s="62">
        <v>3.5000000000000003E-2</v>
      </c>
    </row>
    <row r="1449" spans="1:13">
      <c r="A1449" s="14" t="s">
        <v>74</v>
      </c>
      <c r="B1449" s="27">
        <v>147000</v>
      </c>
      <c r="C1449" s="7">
        <v>14</v>
      </c>
      <c r="D1449" s="27">
        <v>54037</v>
      </c>
      <c r="E1449" s="27">
        <v>201037</v>
      </c>
      <c r="F1449" s="27">
        <v>6003</v>
      </c>
      <c r="G1449" s="27">
        <v>10500</v>
      </c>
      <c r="H1449" s="27">
        <v>3431</v>
      </c>
      <c r="I1449" s="27">
        <v>13931</v>
      </c>
      <c r="L1449" s="68">
        <v>0.315</v>
      </c>
      <c r="M1449" s="62">
        <v>3.5000000000000003E-2</v>
      </c>
    </row>
    <row r="1450" spans="1:13">
      <c r="A1450" s="14" t="s">
        <v>74</v>
      </c>
      <c r="B1450" s="27">
        <v>147000</v>
      </c>
      <c r="C1450" s="7">
        <v>16</v>
      </c>
      <c r="D1450" s="27">
        <v>61749</v>
      </c>
      <c r="E1450" s="27">
        <v>208749</v>
      </c>
      <c r="F1450" s="27">
        <v>6861</v>
      </c>
      <c r="G1450" s="27">
        <v>9188</v>
      </c>
      <c r="H1450" s="27">
        <v>3430</v>
      </c>
      <c r="I1450" s="27">
        <v>12618</v>
      </c>
      <c r="L1450" s="68">
        <v>0.315</v>
      </c>
      <c r="M1450" s="62">
        <v>3.5000000000000003E-2</v>
      </c>
    </row>
    <row r="1451" spans="1:13">
      <c r="A1451" s="14" t="s">
        <v>74</v>
      </c>
      <c r="B1451" s="27">
        <v>147000</v>
      </c>
      <c r="C1451" s="7">
        <v>18</v>
      </c>
      <c r="D1451" s="27">
        <v>69464</v>
      </c>
      <c r="E1451" s="27">
        <v>216464</v>
      </c>
      <c r="F1451" s="27">
        <v>7718</v>
      </c>
      <c r="G1451" s="27">
        <v>8167</v>
      </c>
      <c r="H1451" s="27">
        <v>3430</v>
      </c>
      <c r="I1451" s="27">
        <v>11597</v>
      </c>
      <c r="L1451" s="68">
        <v>0.315</v>
      </c>
      <c r="M1451" s="62">
        <v>3.5000000000000003E-2</v>
      </c>
    </row>
    <row r="1452" spans="1:13">
      <c r="A1452" s="14" t="s">
        <v>74</v>
      </c>
      <c r="B1452" s="27">
        <v>147000</v>
      </c>
      <c r="C1452" s="7">
        <v>20</v>
      </c>
      <c r="D1452" s="27">
        <v>77196</v>
      </c>
      <c r="E1452" s="27">
        <v>224196</v>
      </c>
      <c r="F1452" s="27">
        <v>8576</v>
      </c>
      <c r="G1452" s="27">
        <v>7350</v>
      </c>
      <c r="H1452" s="27">
        <v>3431</v>
      </c>
      <c r="I1452" s="27">
        <v>10781</v>
      </c>
      <c r="L1452" s="68">
        <v>0.315</v>
      </c>
      <c r="M1452" s="62">
        <v>3.5000000000000003E-2</v>
      </c>
    </row>
    <row r="1453" spans="1:13">
      <c r="A1453" s="14" t="s">
        <v>74</v>
      </c>
      <c r="B1453" s="27">
        <v>147000</v>
      </c>
      <c r="C1453" s="7">
        <v>22</v>
      </c>
      <c r="D1453" s="27">
        <v>84897</v>
      </c>
      <c r="E1453" s="27">
        <v>231897</v>
      </c>
      <c r="F1453" s="27">
        <v>9433</v>
      </c>
      <c r="G1453" s="27">
        <v>6682</v>
      </c>
      <c r="H1453" s="27">
        <v>3430</v>
      </c>
      <c r="I1453" s="27">
        <v>10112</v>
      </c>
      <c r="L1453" s="68">
        <v>0.315</v>
      </c>
      <c r="M1453" s="62">
        <v>3.5000000000000003E-2</v>
      </c>
    </row>
    <row r="1454" spans="1:13">
      <c r="A1454" s="14" t="s">
        <v>74</v>
      </c>
      <c r="B1454" s="27">
        <v>147000</v>
      </c>
      <c r="C1454" s="7">
        <v>24</v>
      </c>
      <c r="D1454" s="27">
        <v>92635</v>
      </c>
      <c r="E1454" s="27">
        <v>239635</v>
      </c>
      <c r="F1454" s="27">
        <v>10291</v>
      </c>
      <c r="G1454" s="27">
        <v>6125</v>
      </c>
      <c r="H1454" s="27">
        <v>3431</v>
      </c>
      <c r="I1454" s="27">
        <v>9556</v>
      </c>
      <c r="L1454" s="68">
        <v>0.315</v>
      </c>
      <c r="M1454" s="62">
        <v>3.5000000000000003E-2</v>
      </c>
    </row>
    <row r="1455" spans="1:13">
      <c r="A1455" s="14" t="s">
        <v>74</v>
      </c>
      <c r="B1455" s="27">
        <v>148000</v>
      </c>
      <c r="C1455" s="7">
        <v>4</v>
      </c>
      <c r="D1455" s="27">
        <v>15543</v>
      </c>
      <c r="E1455" s="27">
        <v>163543</v>
      </c>
      <c r="F1455" s="27">
        <v>1727</v>
      </c>
      <c r="G1455" s="27">
        <v>37000</v>
      </c>
      <c r="H1455" s="27">
        <v>3454</v>
      </c>
      <c r="I1455" s="27">
        <v>40454</v>
      </c>
      <c r="L1455" s="68">
        <v>0.315</v>
      </c>
      <c r="M1455" s="62">
        <v>3.5000000000000003E-2</v>
      </c>
    </row>
    <row r="1456" spans="1:13">
      <c r="A1456" s="14" t="s">
        <v>74</v>
      </c>
      <c r="B1456" s="27">
        <v>148000</v>
      </c>
      <c r="C1456" s="7">
        <v>6</v>
      </c>
      <c r="D1456" s="27">
        <v>23317</v>
      </c>
      <c r="E1456" s="27">
        <v>171317</v>
      </c>
      <c r="F1456" s="27">
        <v>2591</v>
      </c>
      <c r="G1456" s="27">
        <v>24667</v>
      </c>
      <c r="H1456" s="27">
        <v>3454</v>
      </c>
      <c r="I1456" s="27">
        <v>28121</v>
      </c>
      <c r="L1456" s="68">
        <v>0.315</v>
      </c>
      <c r="M1456" s="62">
        <v>3.5000000000000003E-2</v>
      </c>
    </row>
    <row r="1457" spans="1:13">
      <c r="A1457" s="14" t="s">
        <v>74</v>
      </c>
      <c r="B1457" s="27">
        <v>148000</v>
      </c>
      <c r="C1457" s="7">
        <v>8</v>
      </c>
      <c r="D1457" s="27">
        <v>31086</v>
      </c>
      <c r="E1457" s="27">
        <v>179086</v>
      </c>
      <c r="F1457" s="27">
        <v>3454</v>
      </c>
      <c r="G1457" s="27">
        <v>18500</v>
      </c>
      <c r="H1457" s="27">
        <v>3454</v>
      </c>
      <c r="I1457" s="27">
        <v>21954</v>
      </c>
      <c r="L1457" s="68">
        <v>0.315</v>
      </c>
      <c r="M1457" s="62">
        <v>3.5000000000000003E-2</v>
      </c>
    </row>
    <row r="1458" spans="1:13">
      <c r="A1458" s="14" t="s">
        <v>74</v>
      </c>
      <c r="B1458" s="27">
        <v>148000</v>
      </c>
      <c r="C1458" s="7">
        <v>10</v>
      </c>
      <c r="D1458" s="27">
        <v>38857</v>
      </c>
      <c r="E1458" s="27">
        <v>186857</v>
      </c>
      <c r="F1458" s="27">
        <v>4317</v>
      </c>
      <c r="G1458" s="27">
        <v>14800</v>
      </c>
      <c r="H1458" s="27">
        <v>3454</v>
      </c>
      <c r="I1458" s="27">
        <v>18254</v>
      </c>
      <c r="L1458" s="68">
        <v>0.315</v>
      </c>
      <c r="M1458" s="62">
        <v>3.5000000000000003E-2</v>
      </c>
    </row>
    <row r="1459" spans="1:13">
      <c r="A1459" s="14" t="s">
        <v>74</v>
      </c>
      <c r="B1459" s="27">
        <v>148000</v>
      </c>
      <c r="C1459" s="7">
        <v>12</v>
      </c>
      <c r="D1459" s="27">
        <v>46625</v>
      </c>
      <c r="E1459" s="27">
        <v>194625</v>
      </c>
      <c r="F1459" s="27">
        <v>5181</v>
      </c>
      <c r="G1459" s="27">
        <v>12334</v>
      </c>
      <c r="H1459" s="27">
        <v>3453</v>
      </c>
      <c r="I1459" s="27">
        <v>15787</v>
      </c>
      <c r="L1459" s="68">
        <v>0.315</v>
      </c>
      <c r="M1459" s="62">
        <v>3.5000000000000003E-2</v>
      </c>
    </row>
    <row r="1460" spans="1:13">
      <c r="A1460" s="14" t="s">
        <v>74</v>
      </c>
      <c r="B1460" s="27">
        <v>148000</v>
      </c>
      <c r="C1460" s="7">
        <v>14</v>
      </c>
      <c r="D1460" s="27">
        <v>54394</v>
      </c>
      <c r="E1460" s="27">
        <v>202394</v>
      </c>
      <c r="F1460" s="27">
        <v>6044</v>
      </c>
      <c r="G1460" s="27">
        <v>10572</v>
      </c>
      <c r="H1460" s="27">
        <v>3453</v>
      </c>
      <c r="I1460" s="27">
        <v>14025</v>
      </c>
      <c r="L1460" s="68">
        <v>0.315</v>
      </c>
      <c r="M1460" s="62">
        <v>3.5000000000000003E-2</v>
      </c>
    </row>
    <row r="1461" spans="1:13">
      <c r="A1461" s="14" t="s">
        <v>74</v>
      </c>
      <c r="B1461" s="27">
        <v>148000</v>
      </c>
      <c r="C1461" s="7">
        <v>16</v>
      </c>
      <c r="D1461" s="27">
        <v>62171</v>
      </c>
      <c r="E1461" s="27">
        <v>210171</v>
      </c>
      <c r="F1461" s="27">
        <v>6907</v>
      </c>
      <c r="G1461" s="27">
        <v>9250</v>
      </c>
      <c r="H1461" s="27">
        <v>3454</v>
      </c>
      <c r="I1461" s="27">
        <v>12704</v>
      </c>
      <c r="L1461" s="68">
        <v>0.315</v>
      </c>
      <c r="M1461" s="62">
        <v>3.5000000000000003E-2</v>
      </c>
    </row>
    <row r="1462" spans="1:13">
      <c r="A1462" s="14" t="s">
        <v>74</v>
      </c>
      <c r="B1462" s="27">
        <v>148000</v>
      </c>
      <c r="C1462" s="7">
        <v>18</v>
      </c>
      <c r="D1462" s="27">
        <v>69939</v>
      </c>
      <c r="E1462" s="27">
        <v>217939</v>
      </c>
      <c r="F1462" s="27">
        <v>7771</v>
      </c>
      <c r="G1462" s="27">
        <v>8223</v>
      </c>
      <c r="H1462" s="27">
        <v>3453</v>
      </c>
      <c r="I1462" s="27">
        <v>11676</v>
      </c>
      <c r="L1462" s="68">
        <v>0.315</v>
      </c>
      <c r="M1462" s="62">
        <v>3.5000000000000003E-2</v>
      </c>
    </row>
    <row r="1463" spans="1:13">
      <c r="A1463" s="14" t="s">
        <v>74</v>
      </c>
      <c r="B1463" s="27">
        <v>148000</v>
      </c>
      <c r="C1463" s="7">
        <v>20</v>
      </c>
      <c r="D1463" s="27">
        <v>77714</v>
      </c>
      <c r="E1463" s="27">
        <v>225714</v>
      </c>
      <c r="F1463" s="27">
        <v>8634</v>
      </c>
      <c r="G1463" s="27">
        <v>7400</v>
      </c>
      <c r="H1463" s="27">
        <v>3454</v>
      </c>
      <c r="I1463" s="27">
        <v>10854</v>
      </c>
      <c r="L1463" s="68">
        <v>0.315</v>
      </c>
      <c r="M1463" s="62">
        <v>3.5000000000000003E-2</v>
      </c>
    </row>
    <row r="1464" spans="1:13">
      <c r="A1464" s="14" t="s">
        <v>74</v>
      </c>
      <c r="B1464" s="27">
        <v>148000</v>
      </c>
      <c r="C1464" s="7">
        <v>22</v>
      </c>
      <c r="D1464" s="27">
        <v>85479</v>
      </c>
      <c r="E1464" s="27">
        <v>233479</v>
      </c>
      <c r="F1464" s="27">
        <v>9497</v>
      </c>
      <c r="G1464" s="27">
        <v>6728</v>
      </c>
      <c r="H1464" s="27">
        <v>3453</v>
      </c>
      <c r="I1464" s="27">
        <v>10181</v>
      </c>
      <c r="L1464" s="68">
        <v>0.315</v>
      </c>
      <c r="M1464" s="62">
        <v>3.5000000000000003E-2</v>
      </c>
    </row>
    <row r="1465" spans="1:13">
      <c r="A1465" s="14" t="s">
        <v>74</v>
      </c>
      <c r="B1465" s="27">
        <v>148000</v>
      </c>
      <c r="C1465" s="7">
        <v>24</v>
      </c>
      <c r="D1465" s="27">
        <v>93265</v>
      </c>
      <c r="E1465" s="27">
        <v>241265</v>
      </c>
      <c r="F1465" s="27">
        <v>10361</v>
      </c>
      <c r="G1465" s="27">
        <v>6167</v>
      </c>
      <c r="H1465" s="27">
        <v>3454</v>
      </c>
      <c r="I1465" s="27">
        <v>9621</v>
      </c>
      <c r="L1465" s="68">
        <v>0.315</v>
      </c>
      <c r="M1465" s="62">
        <v>3.5000000000000003E-2</v>
      </c>
    </row>
    <row r="1466" spans="1:13">
      <c r="A1466" s="14" t="s">
        <v>74</v>
      </c>
      <c r="B1466" s="27">
        <v>149000</v>
      </c>
      <c r="C1466" s="7">
        <v>4</v>
      </c>
      <c r="D1466" s="27">
        <v>15647</v>
      </c>
      <c r="E1466" s="27">
        <v>164647</v>
      </c>
      <c r="F1466" s="27">
        <v>1739</v>
      </c>
      <c r="G1466" s="27">
        <v>37250</v>
      </c>
      <c r="H1466" s="27">
        <v>3477</v>
      </c>
      <c r="I1466" s="27">
        <v>40727</v>
      </c>
      <c r="L1466" s="68">
        <v>0.315</v>
      </c>
      <c r="M1466" s="62">
        <v>3.5000000000000003E-2</v>
      </c>
    </row>
    <row r="1467" spans="1:13">
      <c r="A1467" s="14" t="s">
        <v>74</v>
      </c>
      <c r="B1467" s="27">
        <v>149000</v>
      </c>
      <c r="C1467" s="7">
        <v>6</v>
      </c>
      <c r="D1467" s="27">
        <v>23474</v>
      </c>
      <c r="E1467" s="27">
        <v>172474</v>
      </c>
      <c r="F1467" s="27">
        <v>2608</v>
      </c>
      <c r="G1467" s="27">
        <v>24834</v>
      </c>
      <c r="H1467" s="27">
        <v>3477</v>
      </c>
      <c r="I1467" s="27">
        <v>28311</v>
      </c>
      <c r="L1467" s="68">
        <v>0.315</v>
      </c>
      <c r="M1467" s="62">
        <v>3.5000000000000003E-2</v>
      </c>
    </row>
    <row r="1468" spans="1:13">
      <c r="A1468" s="14" t="s">
        <v>74</v>
      </c>
      <c r="B1468" s="27">
        <v>149000</v>
      </c>
      <c r="C1468" s="7">
        <v>8</v>
      </c>
      <c r="D1468" s="27">
        <v>31293</v>
      </c>
      <c r="E1468" s="27">
        <v>180293</v>
      </c>
      <c r="F1468" s="27">
        <v>3477</v>
      </c>
      <c r="G1468" s="27">
        <v>18625</v>
      </c>
      <c r="H1468" s="27">
        <v>3477</v>
      </c>
      <c r="I1468" s="27">
        <v>22102</v>
      </c>
      <c r="L1468" s="68">
        <v>0.315</v>
      </c>
      <c r="M1468" s="62">
        <v>3.5000000000000003E-2</v>
      </c>
    </row>
    <row r="1469" spans="1:13">
      <c r="A1469" s="14" t="s">
        <v>74</v>
      </c>
      <c r="B1469" s="27">
        <v>149000</v>
      </c>
      <c r="C1469" s="7">
        <v>10</v>
      </c>
      <c r="D1469" s="27">
        <v>39116</v>
      </c>
      <c r="E1469" s="27">
        <v>188116</v>
      </c>
      <c r="F1469" s="27">
        <v>4346</v>
      </c>
      <c r="G1469" s="27">
        <v>14900</v>
      </c>
      <c r="H1469" s="27">
        <v>3477</v>
      </c>
      <c r="I1469" s="27">
        <v>18377</v>
      </c>
      <c r="L1469" s="68">
        <v>0.315</v>
      </c>
      <c r="M1469" s="62">
        <v>3.5000000000000003E-2</v>
      </c>
    </row>
    <row r="1470" spans="1:13">
      <c r="A1470" s="14" t="s">
        <v>74</v>
      </c>
      <c r="B1470" s="27">
        <v>149000</v>
      </c>
      <c r="C1470" s="7">
        <v>12</v>
      </c>
      <c r="D1470" s="27">
        <v>46944</v>
      </c>
      <c r="E1470" s="27">
        <v>195944</v>
      </c>
      <c r="F1470" s="27">
        <v>5216</v>
      </c>
      <c r="G1470" s="27">
        <v>12417</v>
      </c>
      <c r="H1470" s="27">
        <v>3477</v>
      </c>
      <c r="I1470" s="27">
        <v>15894</v>
      </c>
      <c r="L1470" s="68">
        <v>0.315</v>
      </c>
      <c r="M1470" s="62">
        <v>3.5000000000000003E-2</v>
      </c>
    </row>
    <row r="1471" spans="1:13">
      <c r="A1471" s="14" t="s">
        <v>74</v>
      </c>
      <c r="B1471" s="27">
        <v>149000</v>
      </c>
      <c r="C1471" s="7">
        <v>14</v>
      </c>
      <c r="D1471" s="27">
        <v>54765</v>
      </c>
      <c r="E1471" s="27">
        <v>203765</v>
      </c>
      <c r="F1471" s="27">
        <v>6085</v>
      </c>
      <c r="G1471" s="27">
        <v>10643</v>
      </c>
      <c r="H1471" s="27">
        <v>3477</v>
      </c>
      <c r="I1471" s="27">
        <v>14120</v>
      </c>
      <c r="L1471" s="68">
        <v>0.315</v>
      </c>
      <c r="M1471" s="62">
        <v>3.5000000000000003E-2</v>
      </c>
    </row>
    <row r="1472" spans="1:13">
      <c r="A1472" s="14" t="s">
        <v>74</v>
      </c>
      <c r="B1472" s="27">
        <v>149000</v>
      </c>
      <c r="C1472" s="7">
        <v>16</v>
      </c>
      <c r="D1472" s="27">
        <v>62594</v>
      </c>
      <c r="E1472" s="27">
        <v>211594</v>
      </c>
      <c r="F1472" s="27">
        <v>6954</v>
      </c>
      <c r="G1472" s="27">
        <v>9313</v>
      </c>
      <c r="H1472" s="27">
        <v>3477</v>
      </c>
      <c r="I1472" s="27">
        <v>12790</v>
      </c>
      <c r="L1472" s="68">
        <v>0.315</v>
      </c>
      <c r="M1472" s="62">
        <v>3.5000000000000003E-2</v>
      </c>
    </row>
    <row r="1473" spans="1:13">
      <c r="A1473" s="14" t="s">
        <v>74</v>
      </c>
      <c r="B1473" s="27">
        <v>149000</v>
      </c>
      <c r="C1473" s="7">
        <v>18</v>
      </c>
      <c r="D1473" s="27">
        <v>70413</v>
      </c>
      <c r="E1473" s="27">
        <v>219413</v>
      </c>
      <c r="F1473" s="27">
        <v>7823</v>
      </c>
      <c r="G1473" s="27">
        <v>8278</v>
      </c>
      <c r="H1473" s="27">
        <v>3477</v>
      </c>
      <c r="I1473" s="27">
        <v>11755</v>
      </c>
      <c r="L1473" s="68">
        <v>0.315</v>
      </c>
      <c r="M1473" s="62">
        <v>3.5000000000000003E-2</v>
      </c>
    </row>
    <row r="1474" spans="1:13">
      <c r="A1474" s="14" t="s">
        <v>74</v>
      </c>
      <c r="B1474" s="27">
        <v>149000</v>
      </c>
      <c r="C1474" s="7">
        <v>20</v>
      </c>
      <c r="D1474" s="27">
        <v>78232</v>
      </c>
      <c r="E1474" s="27">
        <v>227232</v>
      </c>
      <c r="F1474" s="27">
        <v>8692</v>
      </c>
      <c r="G1474" s="27">
        <v>7450</v>
      </c>
      <c r="H1474" s="27">
        <v>3477</v>
      </c>
      <c r="I1474" s="27">
        <v>10927</v>
      </c>
      <c r="L1474" s="68">
        <v>0.315</v>
      </c>
      <c r="M1474" s="62">
        <v>3.5000000000000003E-2</v>
      </c>
    </row>
    <row r="1475" spans="1:13">
      <c r="A1475" s="14" t="s">
        <v>74</v>
      </c>
      <c r="B1475" s="27">
        <v>149000</v>
      </c>
      <c r="C1475" s="7">
        <v>22</v>
      </c>
      <c r="D1475" s="27">
        <v>86061</v>
      </c>
      <c r="E1475" s="27">
        <v>235061</v>
      </c>
      <c r="F1475" s="27">
        <v>9561</v>
      </c>
      <c r="G1475" s="27">
        <v>6773</v>
      </c>
      <c r="H1475" s="27">
        <v>3477</v>
      </c>
      <c r="I1475" s="27">
        <v>10250</v>
      </c>
      <c r="L1475" s="68">
        <v>0.315</v>
      </c>
      <c r="M1475" s="62">
        <v>3.5000000000000003E-2</v>
      </c>
    </row>
    <row r="1476" spans="1:13">
      <c r="A1476" s="14" t="s">
        <v>74</v>
      </c>
      <c r="B1476" s="27">
        <v>149000</v>
      </c>
      <c r="C1476" s="7">
        <v>24</v>
      </c>
      <c r="D1476" s="27">
        <v>93895</v>
      </c>
      <c r="E1476" s="27">
        <v>242895</v>
      </c>
      <c r="F1476" s="27">
        <v>10431</v>
      </c>
      <c r="G1476" s="27">
        <v>6209</v>
      </c>
      <c r="H1476" s="27">
        <v>3477</v>
      </c>
      <c r="I1476" s="27">
        <v>9686</v>
      </c>
      <c r="L1476" s="68">
        <v>0.315</v>
      </c>
      <c r="M1476" s="62">
        <v>3.5000000000000003E-2</v>
      </c>
    </row>
    <row r="1477" spans="1:13">
      <c r="A1477" s="14" t="s">
        <v>74</v>
      </c>
      <c r="B1477" s="27">
        <v>150000</v>
      </c>
      <c r="C1477" s="7">
        <v>4</v>
      </c>
      <c r="D1477" s="27">
        <v>15755</v>
      </c>
      <c r="E1477" s="27">
        <v>165755</v>
      </c>
      <c r="F1477" s="27">
        <v>1751</v>
      </c>
      <c r="G1477" s="27">
        <v>37500</v>
      </c>
      <c r="H1477" s="27">
        <v>3501</v>
      </c>
      <c r="I1477" s="27">
        <v>41001</v>
      </c>
      <c r="L1477" s="68">
        <v>0.315</v>
      </c>
      <c r="M1477" s="62">
        <v>3.5000000000000003E-2</v>
      </c>
    </row>
    <row r="1478" spans="1:13">
      <c r="A1478" s="14" t="s">
        <v>74</v>
      </c>
      <c r="B1478" s="27">
        <v>150000</v>
      </c>
      <c r="C1478" s="7">
        <v>6</v>
      </c>
      <c r="D1478" s="27">
        <v>23632</v>
      </c>
      <c r="E1478" s="27">
        <v>173632</v>
      </c>
      <c r="F1478" s="27">
        <v>2626</v>
      </c>
      <c r="G1478" s="27">
        <v>25000</v>
      </c>
      <c r="H1478" s="27">
        <v>3501</v>
      </c>
      <c r="I1478" s="27">
        <v>28501</v>
      </c>
      <c r="L1478" s="68">
        <v>0.315</v>
      </c>
      <c r="M1478" s="62">
        <v>3.5000000000000003E-2</v>
      </c>
    </row>
    <row r="1479" spans="1:13">
      <c r="A1479" s="14" t="s">
        <v>74</v>
      </c>
      <c r="B1479" s="27">
        <v>150000</v>
      </c>
      <c r="C1479" s="7">
        <v>8</v>
      </c>
      <c r="D1479" s="27">
        <v>31509</v>
      </c>
      <c r="E1479" s="27">
        <v>181509</v>
      </c>
      <c r="F1479" s="27">
        <v>3501</v>
      </c>
      <c r="G1479" s="27">
        <v>18750</v>
      </c>
      <c r="H1479" s="27">
        <v>3501</v>
      </c>
      <c r="I1479" s="27">
        <v>22251</v>
      </c>
      <c r="L1479" s="68">
        <v>0.315</v>
      </c>
      <c r="M1479" s="62">
        <v>3.5000000000000003E-2</v>
      </c>
    </row>
    <row r="1480" spans="1:13">
      <c r="A1480" s="14" t="s">
        <v>74</v>
      </c>
      <c r="B1480" s="27">
        <v>150000</v>
      </c>
      <c r="C1480" s="7">
        <v>10</v>
      </c>
      <c r="D1480" s="27">
        <v>39386</v>
      </c>
      <c r="E1480" s="27">
        <v>189386</v>
      </c>
      <c r="F1480" s="27">
        <v>4376</v>
      </c>
      <c r="G1480" s="27">
        <v>15000</v>
      </c>
      <c r="H1480" s="27">
        <v>3501</v>
      </c>
      <c r="I1480" s="27">
        <v>18501</v>
      </c>
      <c r="L1480" s="68">
        <v>0.315</v>
      </c>
      <c r="M1480" s="62">
        <v>3.5000000000000003E-2</v>
      </c>
    </row>
    <row r="1481" spans="1:13">
      <c r="A1481" s="14" t="s">
        <v>74</v>
      </c>
      <c r="B1481" s="27">
        <v>150000</v>
      </c>
      <c r="C1481" s="7">
        <v>12</v>
      </c>
      <c r="D1481" s="27">
        <v>47263</v>
      </c>
      <c r="E1481" s="27">
        <v>197263</v>
      </c>
      <c r="F1481" s="27">
        <v>5251</v>
      </c>
      <c r="G1481" s="27">
        <v>12500</v>
      </c>
      <c r="H1481" s="27">
        <v>3501</v>
      </c>
      <c r="I1481" s="27">
        <v>16001</v>
      </c>
      <c r="L1481" s="68">
        <v>0.315</v>
      </c>
      <c r="M1481" s="62">
        <v>3.5000000000000003E-2</v>
      </c>
    </row>
    <row r="1482" spans="1:13">
      <c r="A1482" s="14" t="s">
        <v>74</v>
      </c>
      <c r="B1482" s="27">
        <v>150000</v>
      </c>
      <c r="C1482" s="7">
        <v>14</v>
      </c>
      <c r="D1482" s="27">
        <v>55136</v>
      </c>
      <c r="E1482" s="27">
        <v>205136</v>
      </c>
      <c r="F1482" s="27">
        <v>6126</v>
      </c>
      <c r="G1482" s="27">
        <v>10715</v>
      </c>
      <c r="H1482" s="27">
        <v>3500</v>
      </c>
      <c r="I1482" s="27">
        <v>14215</v>
      </c>
      <c r="L1482" s="68">
        <v>0.315</v>
      </c>
      <c r="M1482" s="62">
        <v>3.5000000000000003E-2</v>
      </c>
    </row>
    <row r="1483" spans="1:13">
      <c r="A1483" s="14" t="s">
        <v>74</v>
      </c>
      <c r="B1483" s="27">
        <v>150000</v>
      </c>
      <c r="C1483" s="7">
        <v>16</v>
      </c>
      <c r="D1483" s="27">
        <v>63017</v>
      </c>
      <c r="E1483" s="27">
        <v>213017</v>
      </c>
      <c r="F1483" s="27">
        <v>7001</v>
      </c>
      <c r="G1483" s="27">
        <v>9375</v>
      </c>
      <c r="H1483" s="27">
        <v>3501</v>
      </c>
      <c r="I1483" s="27">
        <v>12876</v>
      </c>
      <c r="L1483" s="68">
        <v>0.315</v>
      </c>
      <c r="M1483" s="62">
        <v>3.5000000000000003E-2</v>
      </c>
    </row>
    <row r="1484" spans="1:13">
      <c r="A1484" s="14" t="s">
        <v>74</v>
      </c>
      <c r="B1484" s="27">
        <v>150000</v>
      </c>
      <c r="C1484" s="7">
        <v>18</v>
      </c>
      <c r="D1484" s="27">
        <v>70888</v>
      </c>
      <c r="E1484" s="27">
        <v>220888</v>
      </c>
      <c r="F1484" s="27">
        <v>7876</v>
      </c>
      <c r="G1484" s="27">
        <v>8334</v>
      </c>
      <c r="H1484" s="27">
        <v>3500</v>
      </c>
      <c r="I1484" s="27">
        <v>11834</v>
      </c>
      <c r="L1484" s="68">
        <v>0.315</v>
      </c>
      <c r="M1484" s="62">
        <v>3.5000000000000003E-2</v>
      </c>
    </row>
    <row r="1485" spans="1:13">
      <c r="A1485" s="14" t="s">
        <v>74</v>
      </c>
      <c r="B1485" s="27">
        <v>150000</v>
      </c>
      <c r="C1485" s="7">
        <v>20</v>
      </c>
      <c r="D1485" s="27">
        <v>78771</v>
      </c>
      <c r="E1485" s="27">
        <v>228771</v>
      </c>
      <c r="F1485" s="27">
        <v>8751</v>
      </c>
      <c r="G1485" s="27">
        <v>7500</v>
      </c>
      <c r="H1485" s="27">
        <v>3501</v>
      </c>
      <c r="I1485" s="27">
        <v>11001</v>
      </c>
      <c r="L1485" s="68">
        <v>0.315</v>
      </c>
      <c r="M1485" s="62">
        <v>3.5000000000000003E-2</v>
      </c>
    </row>
    <row r="1486" spans="1:13">
      <c r="A1486" s="14" t="s">
        <v>74</v>
      </c>
      <c r="B1486" s="27">
        <v>150000</v>
      </c>
      <c r="C1486" s="7">
        <v>22</v>
      </c>
      <c r="D1486" s="27">
        <v>86644</v>
      </c>
      <c r="E1486" s="27">
        <v>236644</v>
      </c>
      <c r="F1486" s="27">
        <v>9626</v>
      </c>
      <c r="G1486" s="27">
        <v>6819</v>
      </c>
      <c r="H1486" s="27">
        <v>3500</v>
      </c>
      <c r="I1486" s="27">
        <v>10319</v>
      </c>
      <c r="L1486" s="68">
        <v>0.315</v>
      </c>
      <c r="M1486" s="62">
        <v>3.5000000000000003E-2</v>
      </c>
    </row>
    <row r="1487" spans="1:13">
      <c r="A1487" s="14" t="s">
        <v>74</v>
      </c>
      <c r="B1487" s="27">
        <v>150000</v>
      </c>
      <c r="C1487" s="7">
        <v>24</v>
      </c>
      <c r="D1487" s="27">
        <v>94525</v>
      </c>
      <c r="E1487" s="27">
        <v>244525</v>
      </c>
      <c r="F1487" s="27">
        <v>10501</v>
      </c>
      <c r="G1487" s="27">
        <v>6250</v>
      </c>
      <c r="H1487" s="27">
        <v>3501</v>
      </c>
      <c r="I1487" s="27">
        <v>9751</v>
      </c>
      <c r="L1487" s="68">
        <v>0.315</v>
      </c>
      <c r="M1487" s="62">
        <v>3.5000000000000003E-2</v>
      </c>
    </row>
  </sheetData>
  <sheetProtection sheet="1" objects="1" scenarios="1"/>
  <customSheetViews>
    <customSheetView guid="{C21A23A0-5E4B-49EF-9668-7A34EED7C046}" scale="90" showPageBreaks="1" printArea="1" hiddenColumns="1" state="hidden" view="pageBreakPreview">
      <pane xSplit="2" ySplit="3" topLeftCell="C378" activePane="bottomRight" state="frozen"/>
      <selection pane="bottomRight" activeCell="K385" sqref="K385"/>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1"/>
      <headerFooter alignWithMargins="0"/>
    </customSheetView>
    <customSheetView guid="{2C5FA454-FE55-4494-8B5D-EAB5787FFC52}" scale="90" showPageBreaks="1" printArea="1" hiddenColumns="1" state="hidden" view="pageBreakPreview">
      <pane xSplit="2" ySplit="3" topLeftCell="C4" activePane="bottomRight" state="frozen"/>
      <selection pane="bottomRight" activeCell="M1" sqref="M1"/>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2"/>
      <headerFooter alignWithMargins="0"/>
    </customSheetView>
  </customSheetViews>
  <mergeCells count="12">
    <mergeCell ref="M2:M3"/>
    <mergeCell ref="A2:A3"/>
    <mergeCell ref="B1:I1"/>
    <mergeCell ref="L2:L3"/>
    <mergeCell ref="B2:B3"/>
    <mergeCell ref="C2:C3"/>
    <mergeCell ref="D2:D3"/>
    <mergeCell ref="E2:E3"/>
    <mergeCell ref="F2:F3"/>
    <mergeCell ref="G2:I2"/>
    <mergeCell ref="K2:K3"/>
    <mergeCell ref="J2:J3"/>
  </mergeCells>
  <printOptions horizontalCentered="1" verticalCentered="1"/>
  <pageMargins left="0" right="0" top="0.15748031496062992" bottom="0.15748031496062992" header="0" footer="0.19685039370078741"/>
  <pageSetup paperSize="9" scale="51" fitToHeight="10" orientation="portrait" r:id="rId3"/>
  <headerFooter alignWithMargins="0"/>
  <rowBreaks count="17" manualBreakCount="17">
    <brk id="43" max="12" man="1"/>
    <brk id="99" max="12" man="1"/>
    <brk id="147" max="12" man="1"/>
    <brk id="187" max="12" man="1"/>
    <brk id="227" max="12" man="1"/>
    <brk id="283" max="12" man="1"/>
    <brk id="349" max="12" man="1"/>
    <brk id="404" max="12" man="1"/>
    <brk id="459" max="12" man="1"/>
    <brk id="514" max="12" man="1"/>
    <brk id="569" max="12" man="1"/>
    <brk id="624" max="12" man="1"/>
    <brk id="679" max="12" man="1"/>
    <brk id="745" max="12" man="1"/>
    <brk id="800" max="12" man="1"/>
    <brk id="855" max="12" man="1"/>
    <brk id="910" max="12"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17</vt:i4>
      </vt:variant>
    </vt:vector>
  </HeadingPairs>
  <TitlesOfParts>
    <vt:vector size="32" baseType="lpstr">
      <vt:lpstr>عقد</vt:lpstr>
      <vt:lpstr>تفصيلي</vt:lpstr>
      <vt:lpstr>Control</vt:lpstr>
      <vt:lpstr>الكفالة</vt:lpstr>
      <vt:lpstr>السند</vt:lpstr>
      <vt:lpstr>الاقرارات</vt:lpstr>
      <vt:lpstr>تامين</vt:lpstr>
      <vt:lpstr>افصاح</vt:lpstr>
      <vt:lpstr>الاقساط</vt:lpstr>
      <vt:lpstr>قوائم</vt:lpstr>
      <vt:lpstr>افصاح-مواعيد</vt:lpstr>
      <vt:lpstr>Data Validation</vt:lpstr>
      <vt:lpstr>الفيزا</vt:lpstr>
      <vt:lpstr>21%</vt:lpstr>
      <vt:lpstr>31%</vt:lpstr>
      <vt:lpstr>افصاح!code</vt:lpstr>
      <vt:lpstr>تامين!code</vt:lpstr>
      <vt:lpstr>تفصيلي!code</vt:lpstr>
      <vt:lpstr>'21%'!Print_Area</vt:lpstr>
      <vt:lpstr>'31%'!Print_Area</vt:lpstr>
      <vt:lpstr>افصاح!Print_Area</vt:lpstr>
      <vt:lpstr>'افصاح-مواعيد'!Print_Area</vt:lpstr>
      <vt:lpstr>الاقرارات!Print_Area</vt:lpstr>
      <vt:lpstr>السند!Print_Area</vt:lpstr>
      <vt:lpstr>الفيزا!Print_Area</vt:lpstr>
      <vt:lpstr>الكفالة!Print_Area</vt:lpstr>
      <vt:lpstr>'جدول الاقساط'!Print_Area</vt:lpstr>
      <vt:lpstr>عقد!Print_Area</vt:lpstr>
      <vt:lpstr>قوائم!Print_Area</vt:lpstr>
      <vt:lpstr>'21%'!Print_Titles</vt:lpstr>
      <vt:lpstr>'31%'!Print_Titles</vt:lpstr>
      <vt:lpstr>'جدول الاقساط'!Print_Titles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Peter</dc:creator>
  <cp:lastModifiedBy>Peter</cp:lastModifiedBy>
  <cp:lastPrinted>2025-08-06T07:27:26Z</cp:lastPrinted>
  <dcterms:created xsi:type="dcterms:W3CDTF">2006-01-30T15:37:11Z</dcterms:created>
  <dcterms:modified xsi:type="dcterms:W3CDTF">2025-08-11T02:31:09Z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
  </property>
  <property fmtid="{D5CDD505-2E9C-101B-9397-08002B2CF9AE}" pid="3" name="Workbook type">
    <vt:lpwstr/>
  </property>
  <property fmtid="{D5CDD505-2E9C-101B-9397-08002B2CF9AE}" pid="4" name="Workbook version">
    <vt:lpwstr/>
  </property>
</Properties>
</file>