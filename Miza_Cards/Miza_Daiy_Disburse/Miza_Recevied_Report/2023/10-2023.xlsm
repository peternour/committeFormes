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64011"/>
  <bookViews>
    <workbookView xWindow="0" yWindow="5352" windowWidth="22272" windowHeight="12648"/>
  </bookViews>
  <sheets>
    <sheet name="Sheet1" sheetId="1" r:id="rId1"/>
  </sheets>
  <definedNames>
    <definedName name="_xlnm._FilterDatabase" localSheetId="0" hidden="1">Sheet1!$A$1:$P$1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29" i="1" l="1"/>
  <c r="G71" i="1"/>
  <c r="G59" i="1"/>
  <c r="G36" i="1"/>
  <c r="G37" i="1"/>
  <c r="G19" i="1"/>
  <c r="G38" i="1"/>
  <c r="G39" i="1"/>
  <c r="G60" i="1"/>
  <c r="G30" i="1"/>
  <c r="G20" i="1"/>
  <c r="G61" i="1"/>
  <c r="G40" i="1"/>
  <c r="G41" i="1"/>
  <c r="G31" i="1"/>
  <c r="G72" i="1"/>
  <c r="G32" i="1"/>
  <c r="G42" i="1"/>
  <c r="G62" i="1"/>
  <c r="G63" i="1"/>
  <c r="G10" i="1"/>
  <c r="G43" i="1"/>
  <c r="G44" i="1"/>
  <c r="G45" i="1"/>
  <c r="G64" i="1"/>
  <c r="G65" i="1"/>
  <c r="G33" i="1"/>
  <c r="G46" i="1"/>
  <c r="G66" i="1"/>
  <c r="G67" i="1"/>
  <c r="G73" i="1"/>
  <c r="G11" i="1"/>
  <c r="G68" i="1"/>
  <c r="G47" i="1"/>
  <c r="G69" i="1"/>
  <c r="G74" i="1"/>
  <c r="G34" i="1"/>
  <c r="G12" i="1"/>
  <c r="G2" i="1"/>
  <c r="G21" i="1"/>
  <c r="G35" i="1"/>
  <c r="G48" i="1"/>
  <c r="G22" i="1"/>
  <c r="G49" i="1"/>
  <c r="G70" i="1"/>
  <c r="G50" i="1"/>
  <c r="G51" i="1"/>
  <c r="G13" i="1"/>
  <c r="G14" i="1"/>
  <c r="G15" i="1"/>
  <c r="G52" i="1"/>
  <c r="G53" i="1"/>
  <c r="G16" i="1"/>
  <c r="G17" i="1"/>
  <c r="G23" i="1"/>
  <c r="G24" i="1"/>
  <c r="G25" i="1"/>
  <c r="G18" i="1"/>
  <c r="G54" i="1"/>
  <c r="G55" i="1"/>
  <c r="G26" i="1"/>
  <c r="G56" i="1"/>
  <c r="G57" i="1"/>
  <c r="G58" i="1"/>
  <c r="G27" i="1"/>
  <c r="G28" i="1"/>
  <c r="O34" i="1"/>
  <c r="O12" i="1"/>
  <c r="O2" i="1"/>
  <c r="O21" i="1"/>
  <c r="O35" i="1"/>
  <c r="O48" i="1"/>
  <c r="O22" i="1"/>
  <c r="O49" i="1"/>
  <c r="O70" i="1"/>
  <c r="O50" i="1"/>
  <c r="O51" i="1"/>
  <c r="O13" i="1"/>
  <c r="O14" i="1"/>
  <c r="O15" i="1"/>
  <c r="O52" i="1"/>
  <c r="O53" i="1"/>
  <c r="O16" i="1"/>
  <c r="O17" i="1"/>
  <c r="O23" i="1"/>
  <c r="O24" i="1"/>
  <c r="O25" i="1"/>
  <c r="O18" i="1"/>
  <c r="O54" i="1"/>
  <c r="O55" i="1"/>
  <c r="O26" i="1"/>
  <c r="O56" i="1"/>
  <c r="O57" i="1"/>
  <c r="O58" i="1"/>
  <c r="O27" i="1"/>
  <c r="O28" i="1"/>
  <c r="O29" i="1"/>
  <c r="O71" i="1"/>
  <c r="O59" i="1"/>
  <c r="O36" i="1"/>
  <c r="O37" i="1"/>
  <c r="O19" i="1"/>
  <c r="O38" i="1"/>
  <c r="O39" i="1"/>
  <c r="O60" i="1"/>
  <c r="O30" i="1"/>
  <c r="O20" i="1"/>
  <c r="O61" i="1"/>
  <c r="O40" i="1"/>
  <c r="O41" i="1"/>
  <c r="O31" i="1"/>
  <c r="O72" i="1"/>
  <c r="O32" i="1"/>
  <c r="O42" i="1"/>
  <c r="O62" i="1"/>
  <c r="O63" i="1"/>
  <c r="O10" i="1"/>
  <c r="O43" i="1"/>
  <c r="O44" i="1"/>
  <c r="O45" i="1"/>
  <c r="O64" i="1"/>
  <c r="O65" i="1"/>
  <c r="O33" i="1"/>
  <c r="O46" i="1"/>
  <c r="O66" i="1"/>
  <c r="O67" i="1"/>
  <c r="O73" i="1"/>
  <c r="O11" i="1"/>
  <c r="O68" i="1"/>
  <c r="O47" i="1"/>
  <c r="O69" i="1"/>
  <c r="O74" i="1"/>
</calcChain>
</file>

<file path=xl/sharedStrings.xml><?xml version="1.0" encoding="utf-8"?>
<sst xmlns="http://schemas.openxmlformats.org/spreadsheetml/2006/main" count="653" uniqueCount="354">
  <si>
    <t>اسم العميل</t>
  </si>
  <si>
    <t xml:space="preserve">رقم كارت ميزه </t>
  </si>
  <si>
    <t xml:space="preserve">الرقم القومي </t>
  </si>
  <si>
    <t>رقم الموبايل</t>
  </si>
  <si>
    <t>0313</t>
  </si>
  <si>
    <t>5078</t>
  </si>
  <si>
    <t>م</t>
  </si>
  <si>
    <t>الاخصائي</t>
  </si>
  <si>
    <t>كود العميل</t>
  </si>
  <si>
    <t>خانه1</t>
  </si>
  <si>
    <t>خانه2</t>
  </si>
  <si>
    <t>خانه3</t>
  </si>
  <si>
    <t>خانه4</t>
  </si>
  <si>
    <t>رقم المحمول</t>
  </si>
  <si>
    <t>مبلغ القرض</t>
  </si>
  <si>
    <t>التمويل</t>
  </si>
  <si>
    <t>المدة</t>
  </si>
  <si>
    <t>6505</t>
  </si>
  <si>
    <t>7858</t>
  </si>
  <si>
    <t>2663</t>
  </si>
  <si>
    <t>9572</t>
  </si>
  <si>
    <t>0189</t>
  </si>
  <si>
    <t>8984</t>
  </si>
  <si>
    <t>9325</t>
  </si>
  <si>
    <t>6861</t>
  </si>
  <si>
    <t>مادونا مرقس عدلي صهيون</t>
  </si>
  <si>
    <t>محروس عبدالفضيل اسماعيل سليمان</t>
  </si>
  <si>
    <t>ممدوح وديع حسب الله موسي</t>
  </si>
  <si>
    <t>محمد بدير عبدالحفيظ احمد</t>
  </si>
  <si>
    <t>ممدوح كحول محمد عبادي</t>
  </si>
  <si>
    <t>محمد عبدالرحيم محمد عبدالرحيم</t>
  </si>
  <si>
    <t>هيصه محمود عبدالله محمد</t>
  </si>
  <si>
    <t>مرتضي مبارك رمضان جادالكريم</t>
  </si>
  <si>
    <t>حسن ابوالوفا شيبه الحمد اسماعيل</t>
  </si>
  <si>
    <t>غبريال كمال فهمي ميخائيل</t>
  </si>
  <si>
    <t>احمد عبدالحميد صبري محمود</t>
  </si>
  <si>
    <t>محمد احمد عبدالرحيم محمود</t>
  </si>
  <si>
    <t>احمد محمد دكروني محمد</t>
  </si>
  <si>
    <t>ميلاد عياد فاروق لبيب</t>
  </si>
  <si>
    <t>ثروت صفوت خلف حبيب</t>
  </si>
  <si>
    <t>دوابه السيد علي اسماعيل</t>
  </si>
  <si>
    <t>عمر محمود احمد مهران</t>
  </si>
  <si>
    <t>خالد شحات سليم حسين</t>
  </si>
  <si>
    <t>نجلاء شوقي عبدالمنصف علي</t>
  </si>
  <si>
    <t>الهام تغيان عبدالشافي بهلول</t>
  </si>
  <si>
    <t>مني فرج محمد علي</t>
  </si>
  <si>
    <t>محمود محمد علي احمد</t>
  </si>
  <si>
    <t>اقبال فتحي خليفه احمد</t>
  </si>
  <si>
    <t>سلوي فتحي خليفه احمد</t>
  </si>
  <si>
    <t>محمود عبدالمجلي رضوان ابراهيم</t>
  </si>
  <si>
    <t>نجوي عبدالرازق حسين اسماعيل</t>
  </si>
  <si>
    <t>طاهر ابوالوفا يوسف بكري</t>
  </si>
  <si>
    <t>قرشي سالم محمد علي</t>
  </si>
  <si>
    <t>صبري محمد عوض حسين</t>
  </si>
  <si>
    <t>لبس نور العبد بسطا</t>
  </si>
  <si>
    <t>يوسف سعد رسلان محمد</t>
  </si>
  <si>
    <t>هبه دكروني قنديل محمود</t>
  </si>
  <si>
    <t>سونيه حمدي عمر محمد</t>
  </si>
  <si>
    <t>سمير نعيم فوزي سمسوم</t>
  </si>
  <si>
    <t>كيرلس بخيت اسكاروس اقلاديوس</t>
  </si>
  <si>
    <t>جابر محمد جاد الصغير</t>
  </si>
  <si>
    <t>كيرلس ايليا خير بقطر</t>
  </si>
  <si>
    <t>سعاد احمد مصطفي احمد</t>
  </si>
  <si>
    <t>احمد عاطف نورالدين عطاي</t>
  </si>
  <si>
    <t>مكاريوس لبس نور العبد</t>
  </si>
  <si>
    <t>بهاء شحات محمد احمد</t>
  </si>
  <si>
    <t>منال بركات ابراهيم محمود</t>
  </si>
  <si>
    <t>حسين محمد عبدالنعيم محمد حسين</t>
  </si>
  <si>
    <t>رضه زكي عباده محمد</t>
  </si>
  <si>
    <t>اشرف عبدالحفيظ محمد عبدالباقي</t>
  </si>
  <si>
    <t>رانيا السيد احمد عطيه</t>
  </si>
  <si>
    <t>مريم دياب محمود جمعه</t>
  </si>
  <si>
    <t>دياب طه الطاهر عبدالله</t>
  </si>
  <si>
    <t>محمد رفعت بدري عبدالرازق</t>
  </si>
  <si>
    <t>احمد عبدالموجود طه محمود</t>
  </si>
  <si>
    <t>سهير حسن عبدالمنصف عبدالظاهر</t>
  </si>
  <si>
    <t>مدلين رمزي فوزي حكيم</t>
  </si>
  <si>
    <t>زينب محمد يحيي احمد</t>
  </si>
  <si>
    <t>احمد محمد صديق احمد</t>
  </si>
  <si>
    <t>يوحنا نعيم ناجي مشرقي</t>
  </si>
  <si>
    <t>وجيه زاهر يوسف برسموس</t>
  </si>
  <si>
    <t>علاء محمد حلمي يوسف</t>
  </si>
  <si>
    <t>بيتر رضا فهيم محارب</t>
  </si>
  <si>
    <t>احمد عبدالرزاق الطيب محمد</t>
  </si>
  <si>
    <t>حارس لويز سامي بطرس</t>
  </si>
  <si>
    <t>ابراهيم محمود خميس فرج</t>
  </si>
  <si>
    <t>احلام عبدالعال الصغير حفني</t>
  </si>
  <si>
    <t>حمام فهمي تغيان جادالكريم</t>
  </si>
  <si>
    <t>سناء نورالدين عطاي عبدالنعيم</t>
  </si>
  <si>
    <t>ساندي ناجي جرجس يعقوب</t>
  </si>
  <si>
    <t>01211397882</t>
  </si>
  <si>
    <t>01064396234</t>
  </si>
  <si>
    <t>01029191118</t>
  </si>
  <si>
    <t>01012804397</t>
  </si>
  <si>
    <t>01021246310</t>
  </si>
  <si>
    <t>01122851966</t>
  </si>
  <si>
    <t>01008201367</t>
  </si>
  <si>
    <t>01004628921</t>
  </si>
  <si>
    <t>01008763445</t>
  </si>
  <si>
    <t>01100379569</t>
  </si>
  <si>
    <t>01001984121</t>
  </si>
  <si>
    <t>01065616865</t>
  </si>
  <si>
    <t>01144114874</t>
  </si>
  <si>
    <t>01287762077</t>
  </si>
  <si>
    <t>01226721513</t>
  </si>
  <si>
    <t>01120912780</t>
  </si>
  <si>
    <t>01093140137</t>
  </si>
  <si>
    <t>01062560790</t>
  </si>
  <si>
    <t>01028092029</t>
  </si>
  <si>
    <t>01096383426</t>
  </si>
  <si>
    <t>01008845156</t>
  </si>
  <si>
    <t>01008720108</t>
  </si>
  <si>
    <t>01065932264</t>
  </si>
  <si>
    <t>01152904494</t>
  </si>
  <si>
    <t>01067845377</t>
  </si>
  <si>
    <t>01127663512</t>
  </si>
  <si>
    <t>01007264324</t>
  </si>
  <si>
    <t>01000819885</t>
  </si>
  <si>
    <t>01221919752</t>
  </si>
  <si>
    <t>01098306860</t>
  </si>
  <si>
    <t>01122784350</t>
  </si>
  <si>
    <t>01022889814</t>
  </si>
  <si>
    <t>01273097642</t>
  </si>
  <si>
    <t>01280698107</t>
  </si>
  <si>
    <t>01156618003</t>
  </si>
  <si>
    <t>01270692266</t>
  </si>
  <si>
    <t>01008349721</t>
  </si>
  <si>
    <t>01017138299</t>
  </si>
  <si>
    <t>01016212168</t>
  </si>
  <si>
    <t>01123256266</t>
  </si>
  <si>
    <t>01060595159</t>
  </si>
  <si>
    <t>01100273863</t>
  </si>
  <si>
    <t>01014010233</t>
  </si>
  <si>
    <t>01153760695</t>
  </si>
  <si>
    <t>01018076453</t>
  </si>
  <si>
    <t>01067614949</t>
  </si>
  <si>
    <t>01026314718</t>
  </si>
  <si>
    <t>01100351406</t>
  </si>
  <si>
    <t>01066962244</t>
  </si>
  <si>
    <t>01275707261</t>
  </si>
  <si>
    <t>01007440727</t>
  </si>
  <si>
    <t>01114384596</t>
  </si>
  <si>
    <t>01271005046</t>
  </si>
  <si>
    <t>01280009683</t>
  </si>
  <si>
    <t>01068829064</t>
  </si>
  <si>
    <t>01272219004</t>
  </si>
  <si>
    <t>01012162565</t>
  </si>
  <si>
    <t>01288773014</t>
  </si>
  <si>
    <t>01093038813</t>
  </si>
  <si>
    <t>01050189597</t>
  </si>
  <si>
    <t>01021181705</t>
  </si>
  <si>
    <t>01281838903</t>
  </si>
  <si>
    <t>01228796654</t>
  </si>
  <si>
    <t>ابانوب عاطف سعدى</t>
  </si>
  <si>
    <t>هدرا وحيد دكران</t>
  </si>
  <si>
    <t>كيرلس عاطف ثابت</t>
  </si>
  <si>
    <t>ابانوب سعيد وصفى</t>
  </si>
  <si>
    <t>اميل رفعت حبيب بساده</t>
  </si>
  <si>
    <t>نصحى مقار نصحى</t>
  </si>
  <si>
    <t>البنك الاهلى المصري</t>
  </si>
  <si>
    <t>ايدي في ايدك</t>
  </si>
  <si>
    <t>بنك مصر</t>
  </si>
  <si>
    <t>تمكين السيدات اجتماعياً واقتصادياً</t>
  </si>
  <si>
    <t xml:space="preserve">محمد عزت محمد صادق </t>
  </si>
  <si>
    <t>غير مدرج بهذا الكشف</t>
  </si>
  <si>
    <t>1018</t>
  </si>
  <si>
    <t>6326</t>
  </si>
  <si>
    <t>1898</t>
  </si>
  <si>
    <t>9101</t>
  </si>
  <si>
    <t>2098</t>
  </si>
  <si>
    <t>2615</t>
  </si>
  <si>
    <t>6542</t>
  </si>
  <si>
    <t>3491</t>
  </si>
  <si>
    <t>7761</t>
  </si>
  <si>
    <t>8526</t>
  </si>
  <si>
    <t>2644</t>
  </si>
  <si>
    <t>7027</t>
  </si>
  <si>
    <t>0634</t>
  </si>
  <si>
    <t>9532</t>
  </si>
  <si>
    <t>5390</t>
  </si>
  <si>
    <t>6598</t>
  </si>
  <si>
    <t>4170</t>
  </si>
  <si>
    <t>9179</t>
  </si>
  <si>
    <t>8728</t>
  </si>
  <si>
    <t>8203</t>
  </si>
  <si>
    <t>7827</t>
  </si>
  <si>
    <t>0707</t>
  </si>
  <si>
    <t>8282</t>
  </si>
  <si>
    <t>2584</t>
  </si>
  <si>
    <t>8926</t>
  </si>
  <si>
    <t>3972</t>
  </si>
  <si>
    <t>4168</t>
  </si>
  <si>
    <t>0222</t>
  </si>
  <si>
    <t>6179</t>
  </si>
  <si>
    <t>9035</t>
  </si>
  <si>
    <t>4474</t>
  </si>
  <si>
    <t>5287</t>
  </si>
  <si>
    <t>6668</t>
  </si>
  <si>
    <t>4539</t>
  </si>
  <si>
    <t>7040</t>
  </si>
  <si>
    <t>5459</t>
  </si>
  <si>
    <t>4884</t>
  </si>
  <si>
    <t>4706</t>
  </si>
  <si>
    <t>7291</t>
  </si>
  <si>
    <t>9044</t>
  </si>
  <si>
    <t>7731</t>
  </si>
  <si>
    <t>3888</t>
  </si>
  <si>
    <t>0029</t>
  </si>
  <si>
    <t>0922</t>
  </si>
  <si>
    <t>2052</t>
  </si>
  <si>
    <t>1314</t>
  </si>
  <si>
    <t>6243</t>
  </si>
  <si>
    <t>1638</t>
  </si>
  <si>
    <t>4361</t>
  </si>
  <si>
    <t>3726</t>
  </si>
  <si>
    <t>8376</t>
  </si>
  <si>
    <t>1823</t>
  </si>
  <si>
    <t>1293</t>
  </si>
  <si>
    <t>9623</t>
  </si>
  <si>
    <t>1761</t>
  </si>
  <si>
    <t>9642</t>
  </si>
  <si>
    <t>5257</t>
  </si>
  <si>
    <t>7382</t>
  </si>
  <si>
    <t>6238</t>
  </si>
  <si>
    <t>3110</t>
  </si>
  <si>
    <t>8793</t>
  </si>
  <si>
    <t>8922</t>
  </si>
  <si>
    <t>8345</t>
  </si>
  <si>
    <t>3900</t>
  </si>
  <si>
    <t>7194</t>
  </si>
  <si>
    <t>1130</t>
  </si>
  <si>
    <t>4160</t>
  </si>
  <si>
    <t>1947</t>
  </si>
  <si>
    <t>7870</t>
  </si>
  <si>
    <t>3020</t>
  </si>
  <si>
    <t>8078</t>
  </si>
  <si>
    <t>1493</t>
  </si>
  <si>
    <t>2001</t>
  </si>
  <si>
    <t>0144</t>
  </si>
  <si>
    <t>2301</t>
  </si>
  <si>
    <t>6270</t>
  </si>
  <si>
    <t>1601</t>
  </si>
  <si>
    <t>4035</t>
  </si>
  <si>
    <t>4451</t>
  </si>
  <si>
    <t>9799</t>
  </si>
  <si>
    <t>3667</t>
  </si>
  <si>
    <t>9759</t>
  </si>
  <si>
    <t>5926</t>
  </si>
  <si>
    <t>4019</t>
  </si>
  <si>
    <t>1163</t>
  </si>
  <si>
    <t>2454</t>
  </si>
  <si>
    <t>9857</t>
  </si>
  <si>
    <t>6976</t>
  </si>
  <si>
    <t>1490</t>
  </si>
  <si>
    <t>2337</t>
  </si>
  <si>
    <t>3804</t>
  </si>
  <si>
    <t>4925</t>
  </si>
  <si>
    <t>6785</t>
  </si>
  <si>
    <t>2726</t>
  </si>
  <si>
    <t>2029</t>
  </si>
  <si>
    <t>7109</t>
  </si>
  <si>
    <t>1795</t>
  </si>
  <si>
    <t>1084</t>
  </si>
  <si>
    <t>7760</t>
  </si>
  <si>
    <t>6164</t>
  </si>
  <si>
    <t>7234</t>
  </si>
  <si>
    <t>9102</t>
  </si>
  <si>
    <t>8892</t>
  </si>
  <si>
    <t>7312</t>
  </si>
  <si>
    <t>2846</t>
  </si>
  <si>
    <t>0320</t>
  </si>
  <si>
    <t>1037</t>
  </si>
  <si>
    <t>8395</t>
  </si>
  <si>
    <t>7262</t>
  </si>
  <si>
    <t>0527</t>
  </si>
  <si>
    <t>4164</t>
  </si>
  <si>
    <t>6868</t>
  </si>
  <si>
    <t>4552</t>
  </si>
  <si>
    <t>8211</t>
  </si>
  <si>
    <t>3213</t>
  </si>
  <si>
    <t>2993</t>
  </si>
  <si>
    <t>5024</t>
  </si>
  <si>
    <t>5553</t>
  </si>
  <si>
    <t>1006</t>
  </si>
  <si>
    <t>8234</t>
  </si>
  <si>
    <t>1387</t>
  </si>
  <si>
    <t>6901</t>
  </si>
  <si>
    <t>8685</t>
  </si>
  <si>
    <t>أ نصحى تعليمات أ سامح</t>
  </si>
  <si>
    <t>01147961321</t>
  </si>
  <si>
    <t>7989</t>
  </si>
  <si>
    <t>7201</t>
  </si>
  <si>
    <t>6248</t>
  </si>
  <si>
    <t>3563</t>
  </si>
  <si>
    <t>5379</t>
  </si>
  <si>
    <t>5058</t>
  </si>
  <si>
    <t>8389</t>
  </si>
  <si>
    <t>5050</t>
  </si>
  <si>
    <t>3038</t>
  </si>
  <si>
    <t>9447</t>
  </si>
  <si>
    <t>5183</t>
  </si>
  <si>
    <t>3018</t>
  </si>
  <si>
    <t>1663</t>
  </si>
  <si>
    <t>2406</t>
  </si>
  <si>
    <t>5863</t>
  </si>
  <si>
    <t>9699</t>
  </si>
  <si>
    <t>5199</t>
  </si>
  <si>
    <t>5627</t>
  </si>
  <si>
    <t>9019</t>
  </si>
  <si>
    <t>7532</t>
  </si>
  <si>
    <t>5115</t>
  </si>
  <si>
    <t>6535</t>
  </si>
  <si>
    <t>6089</t>
  </si>
  <si>
    <t>0454</t>
  </si>
  <si>
    <t>مارك وديع فؤاد زكي</t>
  </si>
  <si>
    <t>6511-5410-0313-5078</t>
  </si>
  <si>
    <t>٠١٢١٠٩٤٧٢٤٦</t>
  </si>
  <si>
    <t>نصحى مقار</t>
  </si>
  <si>
    <t>6511</t>
  </si>
  <si>
    <t>5410</t>
  </si>
  <si>
    <t>بنك مصر-فرعية</t>
  </si>
  <si>
    <t>بطرس موسي فكري بشاره</t>
  </si>
  <si>
    <t>6004-4326-0313-5078</t>
  </si>
  <si>
    <t>٠١٢٢٤٤٥١٣٨٥</t>
  </si>
  <si>
    <t>اميل رفعت</t>
  </si>
  <si>
    <t>6004</t>
  </si>
  <si>
    <t>4326</t>
  </si>
  <si>
    <t>كرستين صفوت لطفي خليل</t>
  </si>
  <si>
    <t>0829-6293-0313-5078</t>
  </si>
  <si>
    <t>٠١٢١٠٩٤٧٢١٧</t>
  </si>
  <si>
    <t>0829</t>
  </si>
  <si>
    <t>6293</t>
  </si>
  <si>
    <t>هاني حمدي حفني مرسي</t>
  </si>
  <si>
    <t>0105-9276-0313-5078</t>
  </si>
  <si>
    <t>٠١٠٠٦٩٤٢٧٦١</t>
  </si>
  <si>
    <t>ابانوب عاطف</t>
  </si>
  <si>
    <t>0105</t>
  </si>
  <si>
    <t>9276</t>
  </si>
  <si>
    <t>عائشه محمد عبدالقادر احمد</t>
  </si>
  <si>
    <t>2630-4079-0313-5078</t>
  </si>
  <si>
    <t>٠١٠١٥٨٩٣٥٥٩</t>
  </si>
  <si>
    <t>2630</t>
  </si>
  <si>
    <t>4079</t>
  </si>
  <si>
    <t xml:space="preserve">مريم زغلول عبدالمسيح العبد </t>
  </si>
  <si>
    <t>8501-4734-0313-5078</t>
  </si>
  <si>
    <t>هدرا وحيد</t>
  </si>
  <si>
    <t>8501</t>
  </si>
  <si>
    <t>4734</t>
  </si>
  <si>
    <t>برسوم زغلول عبدالمسيح العبد</t>
  </si>
  <si>
    <t>6295-3938-0313-5078</t>
  </si>
  <si>
    <t>٠١٢٢٣٦٥٣٢٣٠</t>
  </si>
  <si>
    <t>6295</t>
  </si>
  <si>
    <t>3938</t>
  </si>
  <si>
    <t>01208330535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</si>
</sst>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Calibri"/>
      <family val="2"/>
      <scheme val="minor"/>
    </font>
    <font>
      <sz val="11"/>
      <color rgb="FF00206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0">
    <xf numFmtId="0" fontId="0" fillId="0" borderId="0" xfId="0"/>
    <xf numFmtId="0" fontId="0" fillId="0" borderId="0" xfId="0" applyBorder="1"/>
    <xf numFmtId="49" fontId="0" fillId="0" borderId="0" xfId="0" applyNumberFormat="1" applyBorder="1" applyAlignment="1">
      <alignment readingOrder="1"/>
    </xf>
    <xf numFmtId="49" fontId="0" fillId="0" borderId="0" xfId="0" applyNumberFormat="1" applyAlignment="1">
      <alignment readingOrder="1"/>
    </xf>
    <xf numFmtId="1" fontId="0" fillId="0" borderId="0" xfId="0" applyNumberFormat="1" applyBorder="1" applyAlignment="1">
      <alignment readingOrder="2"/>
    </xf>
    <xf numFmtId="1" fontId="0" fillId="0" borderId="0" xfId="0" applyNumberFormat="1" applyAlignment="1">
      <alignment readingOrder="2"/>
    </xf>
    <xf numFmtId="0" fontId="0" fillId="0" borderId="0" xfId="0" applyAlignment="1">
      <alignment readingOrder="2"/>
    </xf>
    <xf numFmtId="1" fontId="0" fillId="0" borderId="0" xfId="0" applyNumberFormat="1" applyBorder="1" applyAlignment="1"/>
    <xf numFmtId="1" fontId="0" fillId="0" borderId="0" xfId="0" applyNumberFormat="1" applyAlignment="1"/>
    <xf numFmtId="0" fontId="0" fillId="0" borderId="0" xfId="0" applyAlignment="1">
      <alignment readingOrder="1"/>
    </xf>
    <xf numFmtId="1" fontId="0" fillId="0" borderId="0" xfId="0" applyNumberFormat="1" applyBorder="1" applyAlignment="1">
      <alignment readingOrder="1"/>
    </xf>
    <xf numFmtId="1" fontId="0" fillId="0" borderId="0" xfId="0" applyNumberFormat="1" applyAlignment="1">
      <alignment readingOrder="1"/>
    </xf>
    <xf numFmtId="0" fontId="0" fillId="0" borderId="0" xfId="0" applyFill="1" applyBorder="1"/>
    <xf numFmtId="49" fontId="0" fillId="0" borderId="0" xfId="0" applyNumberFormat="1" applyFont="1" applyAlignment="1">
      <alignment horizontal="left" readingOrder="1"/>
    </xf>
    <xf numFmtId="49" fontId="0" fillId="0" borderId="0" xfId="0" applyNumberFormat="1" applyFont="1" applyAlignment="1">
      <alignment readingOrder="1"/>
    </xf>
    <xf numFmtId="1" fontId="0" fillId="0" borderId="0" xfId="0" applyNumberFormat="1" applyFill="1" applyAlignment="1"/>
    <xf numFmtId="0" fontId="0" fillId="0" borderId="0" xfId="0" applyFill="1" applyAlignment="1">
      <alignment readingOrder="1"/>
    </xf>
    <xf numFmtId="1" fontId="1" fillId="0" borderId="0" xfId="0" applyNumberFormat="1" applyFont="1" applyFill="1" applyAlignment="1"/>
    <xf numFmtId="49" fontId="1" fillId="0" borderId="0" xfId="0" applyNumberFormat="1" applyFont="1" applyAlignment="1">
      <alignment readingOrder="1"/>
    </xf>
    <xf numFmtId="0" fontId="1" fillId="0" borderId="0" xfId="0" applyFont="1"/>
    <xf numFmtId="49" fontId="1" fillId="0" borderId="0" xfId="0" applyNumberFormat="1" applyFont="1" applyAlignment="1">
      <alignment horizontal="left" readingOrder="1"/>
    </xf>
    <xf numFmtId="0" fontId="1" fillId="0" borderId="0" xfId="0" applyFont="1" applyAlignment="1">
      <alignment readingOrder="2"/>
    </xf>
    <xf numFmtId="0" fontId="1" fillId="0" borderId="0" xfId="0" applyFont="1" applyFill="1" applyAlignment="1">
      <alignment readingOrder="1"/>
    </xf>
    <xf numFmtId="49" fontId="1" fillId="0" borderId="0" xfId="0" applyNumberFormat="1" applyFont="1" applyFill="1" applyAlignment="1">
      <alignment readingOrder="1"/>
    </xf>
    <xf numFmtId="0" fontId="0" fillId="0" borderId="0" xfId="0" applyFill="1"/>
    <xf numFmtId="1" fontId="0" fillId="0" borderId="0" xfId="0" applyNumberFormat="1" applyFill="1" applyAlignment="1">
      <alignment readingOrder="1"/>
    </xf>
    <xf numFmtId="1" fontId="0" fillId="0" borderId="0" xfId="0" applyNumberFormat="1" applyFill="1" applyAlignment="1">
      <alignment readingOrder="2"/>
    </xf>
    <xf numFmtId="0" fontId="1" fillId="0" borderId="0" xfId="0" applyFont="1" applyFill="1"/>
    <xf numFmtId="49" fontId="1" fillId="0" borderId="0" xfId="0" applyNumberFormat="1" applyFont="1" applyFill="1" applyAlignment="1">
      <alignment horizontal="left" readingOrder="1"/>
    </xf>
    <xf numFmtId="0" fontId="1" fillId="0" borderId="0" xfId="0" applyFont="1" applyFill="1" applyAlignment="1">
      <alignment readingOrder="2"/>
    </xf>
  </cellXfs>
  <cellStyles count="1">
    <cellStyle name="Normal" xfId="0" builtinId="0"/>
  </cellStyles>
  <dxfs count="6">
    <dxf>
      <fill>
        <patternFill patternType="solid">
          <fgColor rgb="FF92D050"/>
          <bgColor rgb="FF000000"/>
        </patternFill>
      </fill>
    </dxf>
    <dxf>
      <fill>
        <patternFill>
          <bgColor rgb="FF00B050"/>
        </patternFill>
      </fill>
    </dxf>
    <dxf>
      <fill>
        <patternFill>
          <bgColor theme="7" tint="0.59996337778862885"/>
        </patternFill>
      </fill>
    </dxf>
    <dxf>
      <fill>
        <patternFill>
          <bgColor rgb="FF00B0F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R357"/>
  <sheetViews>
    <sheetView rightToLeft="1" tabSelected="1" zoomScale="85" zoomScaleNormal="85" workbookViewId="0">
      <selection activeCell="C17" sqref="C17"/>
    </sheetView>
  </sheetViews>
  <sheetFormatPr defaultRowHeight="14.4" x14ac:dyDescent="0.3"/>
  <cols>
    <col min="1" max="1" width="4.109375" bestFit="1" customWidth="1"/>
    <col min="2" max="2" width="10.44140625" bestFit="1" customWidth="1"/>
    <col min="3" max="3" width="32.6640625" bestFit="1" customWidth="1"/>
    <col min="4" max="4" width="18.33203125" style="11" customWidth="1"/>
    <col min="5" max="5" width="12" style="5" bestFit="1" customWidth="1"/>
    <col min="6" max="6" width="12" style="5" hidden="1" customWidth="1"/>
    <col min="7" max="7" width="24" style="8" customWidth="1"/>
    <col min="8" max="8" width="15.33203125" style="3" customWidth="1"/>
    <col min="9" max="9" width="18.5546875" bestFit="1" customWidth="1"/>
    <col min="10" max="11" width="7.33203125" style="14" customWidth="1"/>
    <col min="12" max="13" width="7.33203125" style="13" customWidth="1"/>
    <col min="14" max="14" width="4.88671875" style="6" customWidth="1"/>
    <col min="15" max="15" width="9.44140625" style="9" customWidth="1"/>
    <col min="16" max="16" width="25.44140625" bestFit="1" customWidth="1"/>
  </cols>
  <sheetData>
    <row r="1" spans="1:16" x14ac:dyDescent="0.3">
      <c r="A1" s="1" t="s">
        <v>6</v>
      </c>
      <c r="B1" s="1" t="s">
        <v>8</v>
      </c>
      <c r="C1" s="1" t="s">
        <v>0</v>
      </c>
      <c r="D1" s="10" t="s">
        <v>2</v>
      </c>
      <c r="E1" s="4" t="s">
        <v>14</v>
      </c>
      <c r="F1" s="4" t="s">
        <v>16</v>
      </c>
      <c r="G1" s="7" t="s">
        <v>1</v>
      </c>
      <c r="H1" s="2" t="s">
        <v>3</v>
      </c>
      <c r="I1" t="s">
        <v>7</v>
      </c>
      <c r="J1" s="14" t="s">
        <v>12</v>
      </c>
      <c r="K1" s="14" t="s">
        <v>11</v>
      </c>
      <c r="L1" s="13" t="s">
        <v>10</v>
      </c>
      <c r="M1" s="13" t="s">
        <v>9</v>
      </c>
      <c r="O1" s="9" t="s">
        <v>13</v>
      </c>
      <c r="P1" t="s">
        <v>15</v>
      </c>
    </row>
    <row r="2" spans="1:16" x14ac:dyDescent="0.3">
      <c r="A2" s="12">
        <v>3</v>
      </c>
      <c r="B2">
        <v>4632</v>
      </c>
      <c r="C2" t="s">
        <v>27</v>
      </c>
      <c r="D2" s="11">
        <v>27511242700356</v>
      </c>
      <c r="E2" s="5">
        <v>20000</v>
      </c>
      <c r="F2" s="5">
        <v>18</v>
      </c>
      <c r="G2" s="17" t="str">
        <f>CONCATENATE(J2,"-",K2,"-",L2,"-",M2)</f>
        <v>8984-9325-0313-5078</v>
      </c>
      <c r="H2" s="18" t="s">
        <v>92</v>
      </c>
      <c r="I2" s="19" t="s">
        <v>155</v>
      </c>
      <c r="J2" s="18" t="s">
        <v>22</v>
      </c>
      <c r="K2" s="18" t="s">
        <v>23</v>
      </c>
      <c r="L2" s="20" t="s">
        <v>4</v>
      </c>
      <c r="M2" s="20" t="s">
        <v>5</v>
      </c>
      <c r="N2" s="21"/>
      <c r="O2" s="22">
        <f>LEN(H2)</f>
        <v>11</v>
      </c>
      <c r="P2" t="s">
        <v>159</v>
      </c>
    </row>
    <row r="3" spans="1:16" x14ac:dyDescent="0.3">
      <c r="A3" s="12"/>
      <c r="B3">
        <v>5482</v>
      </c>
      <c r="C3" t="s">
        <v>314</v>
      </c>
      <c r="D3" s="11">
        <v>29608182701316</v>
      </c>
      <c r="E3" s="5">
        <v>20000</v>
      </c>
      <c r="F3" s="5">
        <v>18</v>
      </c>
      <c r="G3" s="15" t="s">
        <v>315</v>
      </c>
      <c r="H3" s="3" t="s">
        <v>316</v>
      </c>
      <c r="I3" t="s">
        <v>317</v>
      </c>
      <c r="J3" s="14" t="s">
        <v>318</v>
      </c>
      <c r="K3" s="14" t="s">
        <v>319</v>
      </c>
      <c r="L3" s="13" t="s">
        <v>4</v>
      </c>
      <c r="M3" s="13" t="s">
        <v>5</v>
      </c>
      <c r="O3" s="16">
        <v>11</v>
      </c>
      <c r="P3" t="s">
        <v>320</v>
      </c>
    </row>
    <row r="4" spans="1:16" x14ac:dyDescent="0.3">
      <c r="A4" s="12"/>
      <c r="B4">
        <v>5483</v>
      </c>
      <c r="C4" t="s">
        <v>321</v>
      </c>
      <c r="D4" s="11">
        <v>28007292700415</v>
      </c>
      <c r="E4" s="5">
        <v>10000</v>
      </c>
      <c r="F4" s="5">
        <v>18</v>
      </c>
      <c r="G4" s="15" t="s">
        <v>322</v>
      </c>
      <c r="H4" s="3" t="s">
        <v>323</v>
      </c>
      <c r="I4" t="s">
        <v>324</v>
      </c>
      <c r="J4" s="14" t="s">
        <v>325</v>
      </c>
      <c r="K4" s="14" t="s">
        <v>326</v>
      </c>
      <c r="L4" s="13" t="s">
        <v>4</v>
      </c>
      <c r="M4" s="13" t="s">
        <v>5</v>
      </c>
      <c r="O4" s="16">
        <v>11</v>
      </c>
      <c r="P4" t="s">
        <v>320</v>
      </c>
    </row>
    <row r="5" spans="1:16" x14ac:dyDescent="0.3">
      <c r="A5" s="12"/>
      <c r="B5">
        <v>5484</v>
      </c>
      <c r="C5" t="s">
        <v>327</v>
      </c>
      <c r="D5" s="11">
        <v>29711242701081</v>
      </c>
      <c r="E5" s="5">
        <v>20000</v>
      </c>
      <c r="F5" s="5">
        <v>18</v>
      </c>
      <c r="G5" s="15" t="s">
        <v>328</v>
      </c>
      <c r="H5" s="3" t="s">
        <v>329</v>
      </c>
      <c r="I5" t="s">
        <v>317</v>
      </c>
      <c r="J5" s="14" t="s">
        <v>330</v>
      </c>
      <c r="K5" s="14" t="s">
        <v>331</v>
      </c>
      <c r="L5" s="13" t="s">
        <v>4</v>
      </c>
      <c r="M5" s="13" t="s">
        <v>5</v>
      </c>
      <c r="O5" s="16">
        <v>11</v>
      </c>
      <c r="P5" t="s">
        <v>320</v>
      </c>
    </row>
    <row r="6" spans="1:16" x14ac:dyDescent="0.3">
      <c r="A6" s="12"/>
      <c r="B6">
        <v>5485</v>
      </c>
      <c r="C6" t="s">
        <v>332</v>
      </c>
      <c r="D6" s="11">
        <v>27310132700452</v>
      </c>
      <c r="E6" s="5">
        <v>10000</v>
      </c>
      <c r="F6" s="5">
        <v>18</v>
      </c>
      <c r="G6" s="15" t="s">
        <v>333</v>
      </c>
      <c r="H6" s="3" t="s">
        <v>334</v>
      </c>
      <c r="I6" t="s">
        <v>335</v>
      </c>
      <c r="J6" s="14" t="s">
        <v>336</v>
      </c>
      <c r="K6" s="14" t="s">
        <v>337</v>
      </c>
      <c r="L6" s="13" t="s">
        <v>4</v>
      </c>
      <c r="M6" s="13" t="s">
        <v>5</v>
      </c>
      <c r="O6" s="16">
        <v>11</v>
      </c>
      <c r="P6" t="s">
        <v>320</v>
      </c>
    </row>
    <row r="7" spans="1:16" x14ac:dyDescent="0.3">
      <c r="A7" s="12"/>
      <c r="B7">
        <v>5486</v>
      </c>
      <c r="C7" t="s">
        <v>338</v>
      </c>
      <c r="D7" s="11">
        <v>29102192701208</v>
      </c>
      <c r="E7" s="5">
        <v>20000</v>
      </c>
      <c r="F7" s="5">
        <v>18</v>
      </c>
      <c r="G7" s="15" t="s">
        <v>339</v>
      </c>
      <c r="H7" s="3" t="s">
        <v>340</v>
      </c>
      <c r="I7" t="s">
        <v>335</v>
      </c>
      <c r="J7" s="14" t="s">
        <v>341</v>
      </c>
      <c r="K7" s="14" t="s">
        <v>342</v>
      </c>
      <c r="L7" s="13" t="s">
        <v>4</v>
      </c>
      <c r="M7" s="13" t="s">
        <v>5</v>
      </c>
      <c r="O7" s="16">
        <v>11</v>
      </c>
      <c r="P7" t="s">
        <v>320</v>
      </c>
    </row>
    <row r="8" spans="1:16" x14ac:dyDescent="0.3">
      <c r="A8" s="12"/>
      <c r="B8">
        <v>5487</v>
      </c>
      <c r="C8" t="s">
        <v>343</v>
      </c>
      <c r="D8" s="11">
        <v>26712072702326</v>
      </c>
      <c r="E8" s="5">
        <v>20000</v>
      </c>
      <c r="F8" s="5">
        <v>18</v>
      </c>
      <c r="G8" s="15" t="s">
        <v>344</v>
      </c>
      <c r="H8" s="3" t="s">
        <v>353</v>
      </c>
      <c r="I8" t="s">
        <v>345</v>
      </c>
      <c r="J8" s="14" t="s">
        <v>346</v>
      </c>
      <c r="K8" s="14" t="s">
        <v>347</v>
      </c>
      <c r="L8" s="13" t="s">
        <v>4</v>
      </c>
      <c r="M8" s="13" t="s">
        <v>5</v>
      </c>
      <c r="O8" s="16">
        <v>11</v>
      </c>
      <c r="P8" t="s">
        <v>320</v>
      </c>
    </row>
    <row r="9" spans="1:16" x14ac:dyDescent="0.3">
      <c r="A9" s="12"/>
      <c r="B9">
        <v>5488</v>
      </c>
      <c r="C9" t="s">
        <v>348</v>
      </c>
      <c r="D9" s="11">
        <v>27010052702531</v>
      </c>
      <c r="E9" s="5">
        <v>20000</v>
      </c>
      <c r="F9" s="5">
        <v>18</v>
      </c>
      <c r="G9" s="15" t="s">
        <v>349</v>
      </c>
      <c r="H9" s="3" t="s">
        <v>350</v>
      </c>
      <c r="I9" t="s">
        <v>345</v>
      </c>
      <c r="J9" s="14" t="s">
        <v>351</v>
      </c>
      <c r="K9" s="14" t="s">
        <v>352</v>
      </c>
      <c r="L9" s="13" t="s">
        <v>4</v>
      </c>
      <c r="M9" s="13" t="s">
        <v>5</v>
      </c>
      <c r="O9" s="16">
        <v>11</v>
      </c>
      <c r="P9" t="s">
        <v>320</v>
      </c>
    </row>
    <row r="10" spans="1:16" x14ac:dyDescent="0.3">
      <c r="A10" s="12">
        <v>51</v>
      </c>
      <c r="B10">
        <v>4008</v>
      </c>
      <c r="C10" t="s">
        <v>75</v>
      </c>
      <c r="D10" s="11">
        <v>29612042701984</v>
      </c>
      <c r="E10" s="5">
        <v>25000</v>
      </c>
      <c r="F10" s="5">
        <v>18</v>
      </c>
      <c r="G10" s="17" t="str">
        <f>CONCATENATE(J10,"-",K10,"-",L10,"-",M10)</f>
        <v>1795-7109-0313-5078</v>
      </c>
      <c r="H10" s="18" t="s">
        <v>138</v>
      </c>
      <c r="I10" s="19" t="s">
        <v>154</v>
      </c>
      <c r="J10" s="18" t="s">
        <v>261</v>
      </c>
      <c r="K10" s="18" t="s">
        <v>260</v>
      </c>
      <c r="L10" s="20" t="s">
        <v>4</v>
      </c>
      <c r="M10" s="20" t="s">
        <v>5</v>
      </c>
      <c r="N10" s="21"/>
      <c r="O10" s="22">
        <f>LEN(H10)</f>
        <v>11</v>
      </c>
      <c r="P10" t="s">
        <v>161</v>
      </c>
    </row>
    <row r="11" spans="1:16" x14ac:dyDescent="0.3">
      <c r="A11" s="12">
        <v>62</v>
      </c>
      <c r="B11">
        <v>4798</v>
      </c>
      <c r="C11" t="s">
        <v>86</v>
      </c>
      <c r="D11" s="11">
        <v>27010102700764</v>
      </c>
      <c r="E11" s="5">
        <v>20000</v>
      </c>
      <c r="F11" s="5">
        <v>18</v>
      </c>
      <c r="G11" s="17" t="str">
        <f>CONCATENATE(J11,"-",K11,"-",L11,"-",M11)</f>
        <v>1006-5553-0313-5078</v>
      </c>
      <c r="H11" s="18" t="s">
        <v>149</v>
      </c>
      <c r="I11" s="19" t="s">
        <v>157</v>
      </c>
      <c r="J11" s="18" t="s">
        <v>283</v>
      </c>
      <c r="K11" s="18" t="s">
        <v>282</v>
      </c>
      <c r="L11" s="20" t="s">
        <v>4</v>
      </c>
      <c r="M11" s="20" t="s">
        <v>5</v>
      </c>
      <c r="N11" s="21"/>
      <c r="O11" s="22">
        <f>LEN(H11)</f>
        <v>11</v>
      </c>
      <c r="P11" t="s">
        <v>161</v>
      </c>
    </row>
    <row r="12" spans="1:16" x14ac:dyDescent="0.3">
      <c r="A12" s="12">
        <v>2</v>
      </c>
      <c r="B12">
        <v>5451</v>
      </c>
      <c r="C12" t="s">
        <v>26</v>
      </c>
      <c r="D12" s="11">
        <v>27809092700459</v>
      </c>
      <c r="E12" s="5">
        <v>20000</v>
      </c>
      <c r="F12" s="5">
        <v>18</v>
      </c>
      <c r="G12" s="17" t="str">
        <f>CONCATENATE(J12,"-",K12,"-",L12,"-",M12)</f>
        <v>9101-1898-0313-5078</v>
      </c>
      <c r="H12" s="18" t="s">
        <v>91</v>
      </c>
      <c r="I12" s="19" t="s">
        <v>154</v>
      </c>
      <c r="J12" s="18" t="s">
        <v>168</v>
      </c>
      <c r="K12" s="18" t="s">
        <v>167</v>
      </c>
      <c r="L12" s="20" t="s">
        <v>4</v>
      </c>
      <c r="M12" s="20" t="s">
        <v>5</v>
      </c>
      <c r="N12" s="21"/>
      <c r="O12" s="22">
        <f>LEN(H12)</f>
        <v>11</v>
      </c>
      <c r="P12" t="s">
        <v>159</v>
      </c>
    </row>
    <row r="13" spans="1:16" x14ac:dyDescent="0.3">
      <c r="A13" s="12">
        <v>12</v>
      </c>
      <c r="B13">
        <v>5480</v>
      </c>
      <c r="C13" t="s">
        <v>36</v>
      </c>
      <c r="D13" s="11">
        <v>28307010204554</v>
      </c>
      <c r="E13" s="5">
        <v>20000</v>
      </c>
      <c r="F13" s="5">
        <v>18</v>
      </c>
      <c r="G13" s="17" t="str">
        <f>CONCATENATE(J13,"-",K13,"-",L13,"-",M13)</f>
        <v>0707-7827-0313-5078</v>
      </c>
      <c r="H13" s="18" t="s">
        <v>101</v>
      </c>
      <c r="I13" s="19" t="s">
        <v>158</v>
      </c>
      <c r="J13" s="18" t="s">
        <v>186</v>
      </c>
      <c r="K13" s="18" t="s">
        <v>185</v>
      </c>
      <c r="L13" s="20" t="s">
        <v>4</v>
      </c>
      <c r="M13" s="20" t="s">
        <v>5</v>
      </c>
      <c r="N13" s="21"/>
      <c r="O13" s="22">
        <f>LEN(H13)</f>
        <v>11</v>
      </c>
      <c r="P13" t="s">
        <v>159</v>
      </c>
    </row>
    <row r="14" spans="1:16" x14ac:dyDescent="0.3">
      <c r="A14" s="12">
        <v>13</v>
      </c>
      <c r="B14">
        <v>4237</v>
      </c>
      <c r="C14" t="s">
        <v>37</v>
      </c>
      <c r="D14" s="11">
        <v>28704232700818</v>
      </c>
      <c r="E14" s="5">
        <v>20000</v>
      </c>
      <c r="F14" s="5">
        <v>18</v>
      </c>
      <c r="G14" s="17" t="str">
        <f>CONCATENATE(J14,"-",K14,"-",L14,"-",M14)</f>
        <v>2584-8282-0313-5078</v>
      </c>
      <c r="H14" s="18" t="s">
        <v>102</v>
      </c>
      <c r="I14" s="19" t="s">
        <v>157</v>
      </c>
      <c r="J14" s="18" t="s">
        <v>188</v>
      </c>
      <c r="K14" s="18" t="s">
        <v>187</v>
      </c>
      <c r="L14" s="20" t="s">
        <v>4</v>
      </c>
      <c r="M14" s="20" t="s">
        <v>5</v>
      </c>
      <c r="N14" s="21"/>
      <c r="O14" s="22">
        <f>LEN(H14)</f>
        <v>11</v>
      </c>
      <c r="P14" t="s">
        <v>159</v>
      </c>
    </row>
    <row r="15" spans="1:16" x14ac:dyDescent="0.3">
      <c r="A15" s="12">
        <v>14</v>
      </c>
      <c r="B15">
        <v>4560</v>
      </c>
      <c r="C15" t="s">
        <v>38</v>
      </c>
      <c r="D15" s="11">
        <v>27911082700999</v>
      </c>
      <c r="E15" s="5">
        <v>20000</v>
      </c>
      <c r="F15" s="5">
        <v>18</v>
      </c>
      <c r="G15" s="17" t="str">
        <f>CONCATENATE(J15,"-",K15,"-",L15,"-",M15)</f>
        <v>3972-8926-0313-5078</v>
      </c>
      <c r="H15" s="18" t="s">
        <v>103</v>
      </c>
      <c r="I15" s="19" t="s">
        <v>158</v>
      </c>
      <c r="J15" s="18" t="s">
        <v>190</v>
      </c>
      <c r="K15" s="18" t="s">
        <v>189</v>
      </c>
      <c r="L15" s="20" t="s">
        <v>4</v>
      </c>
      <c r="M15" s="20" t="s">
        <v>5</v>
      </c>
      <c r="N15" s="21"/>
      <c r="O15" s="22">
        <f>LEN(H15)</f>
        <v>11</v>
      </c>
      <c r="P15" t="s">
        <v>159</v>
      </c>
    </row>
    <row r="16" spans="1:16" x14ac:dyDescent="0.3">
      <c r="A16" s="12">
        <v>17</v>
      </c>
      <c r="B16">
        <v>4742</v>
      </c>
      <c r="C16" t="s">
        <v>41</v>
      </c>
      <c r="D16" s="11">
        <v>28111152702053</v>
      </c>
      <c r="E16" s="5">
        <v>20000</v>
      </c>
      <c r="F16" s="5">
        <v>18</v>
      </c>
      <c r="G16" s="17" t="str">
        <f>CONCATENATE(J16,"-",K16,"-",L16,"-",M16)</f>
        <v>5115-6535-0313-5078</v>
      </c>
      <c r="H16" s="18" t="s">
        <v>106</v>
      </c>
      <c r="I16" s="19" t="s">
        <v>155</v>
      </c>
      <c r="J16" s="18" t="s">
        <v>310</v>
      </c>
      <c r="K16" s="18" t="s">
        <v>311</v>
      </c>
      <c r="L16" s="20" t="s">
        <v>4</v>
      </c>
      <c r="M16" s="20" t="s">
        <v>5</v>
      </c>
      <c r="N16" s="21"/>
      <c r="O16" s="22">
        <f>LEN(H16)</f>
        <v>11</v>
      </c>
      <c r="P16" t="s">
        <v>159</v>
      </c>
    </row>
    <row r="17" spans="1:16" x14ac:dyDescent="0.3">
      <c r="A17" s="12">
        <v>18</v>
      </c>
      <c r="B17">
        <v>5470</v>
      </c>
      <c r="C17" t="s">
        <v>42</v>
      </c>
      <c r="D17" s="11">
        <v>27605082700375</v>
      </c>
      <c r="E17" s="5">
        <v>20000</v>
      </c>
      <c r="F17" s="5">
        <v>18</v>
      </c>
      <c r="G17" s="17" t="str">
        <f>CONCATENATE(J17,"-",K17,"-",L17,"-",M17)</f>
        <v>4539-6668-0313-5078</v>
      </c>
      <c r="H17" s="18" t="s">
        <v>107</v>
      </c>
      <c r="I17" s="19" t="s">
        <v>156</v>
      </c>
      <c r="J17" s="18" t="s">
        <v>198</v>
      </c>
      <c r="K17" s="18" t="s">
        <v>197</v>
      </c>
      <c r="L17" s="20" t="s">
        <v>4</v>
      </c>
      <c r="M17" s="20" t="s">
        <v>5</v>
      </c>
      <c r="N17" s="21"/>
      <c r="O17" s="22">
        <f>LEN(H17)</f>
        <v>11</v>
      </c>
      <c r="P17" t="s">
        <v>159</v>
      </c>
    </row>
    <row r="18" spans="1:16" x14ac:dyDescent="0.3">
      <c r="A18" s="12">
        <v>22</v>
      </c>
      <c r="B18">
        <v>5467</v>
      </c>
      <c r="C18" t="s">
        <v>46</v>
      </c>
      <c r="D18" s="11">
        <v>26510192700899</v>
      </c>
      <c r="E18" s="5">
        <v>15000</v>
      </c>
      <c r="F18" s="5">
        <v>18</v>
      </c>
      <c r="G18" s="17" t="str">
        <f>CONCATENATE(J18,"-",K18,"-",L18,"-",M18)</f>
        <v>3888-7731-0313-5078</v>
      </c>
      <c r="H18" s="18" t="s">
        <v>289</v>
      </c>
      <c r="I18" s="19" t="s">
        <v>157</v>
      </c>
      <c r="J18" s="18" t="s">
        <v>206</v>
      </c>
      <c r="K18" s="18" t="s">
        <v>205</v>
      </c>
      <c r="L18" s="20" t="s">
        <v>4</v>
      </c>
      <c r="M18" s="20" t="s">
        <v>5</v>
      </c>
      <c r="N18" s="21"/>
      <c r="O18" s="22">
        <f>LEN(H18)</f>
        <v>11</v>
      </c>
      <c r="P18" t="s">
        <v>160</v>
      </c>
    </row>
    <row r="19" spans="1:16" x14ac:dyDescent="0.3">
      <c r="A19" s="12">
        <v>36</v>
      </c>
      <c r="B19">
        <v>5468</v>
      </c>
      <c r="C19" t="s">
        <v>60</v>
      </c>
      <c r="D19" s="11">
        <v>27504022700456</v>
      </c>
      <c r="E19" s="5">
        <v>10000</v>
      </c>
      <c r="F19" s="5">
        <v>18</v>
      </c>
      <c r="G19" s="17" t="str">
        <f>CONCATENATE(J19,"-",K19,"-",L19,"-",M19)</f>
        <v>3020-7870-0313-5078</v>
      </c>
      <c r="H19" s="18" t="s">
        <v>124</v>
      </c>
      <c r="I19" s="19" t="s">
        <v>157</v>
      </c>
      <c r="J19" s="18" t="s">
        <v>234</v>
      </c>
      <c r="K19" s="18" t="s">
        <v>233</v>
      </c>
      <c r="L19" s="20" t="s">
        <v>4</v>
      </c>
      <c r="M19" s="20" t="s">
        <v>5</v>
      </c>
      <c r="N19" s="21"/>
      <c r="O19" s="22">
        <f>LEN(H19)</f>
        <v>11</v>
      </c>
      <c r="P19" t="s">
        <v>160</v>
      </c>
    </row>
    <row r="20" spans="1:16" x14ac:dyDescent="0.3">
      <c r="A20" s="12">
        <v>41</v>
      </c>
      <c r="B20">
        <v>5469</v>
      </c>
      <c r="C20" t="s">
        <v>65</v>
      </c>
      <c r="D20" s="11">
        <v>28410012706013</v>
      </c>
      <c r="E20" s="5">
        <v>20000</v>
      </c>
      <c r="F20" s="5">
        <v>18</v>
      </c>
      <c r="G20" s="17" t="str">
        <f>CONCATENATE(J20,"-",K20,"-",L20,"-",M20)</f>
        <v>9799-4451-0313-5078</v>
      </c>
      <c r="H20" s="18" t="s">
        <v>129</v>
      </c>
      <c r="I20" s="19" t="s">
        <v>158</v>
      </c>
      <c r="J20" s="18" t="s">
        <v>244</v>
      </c>
      <c r="K20" s="18" t="s">
        <v>243</v>
      </c>
      <c r="L20" s="20" t="s">
        <v>4</v>
      </c>
      <c r="M20" s="20" t="s">
        <v>5</v>
      </c>
      <c r="N20" s="21"/>
      <c r="O20" s="22">
        <f>LEN(H20)</f>
        <v>11</v>
      </c>
      <c r="P20" t="s">
        <v>161</v>
      </c>
    </row>
    <row r="21" spans="1:16" x14ac:dyDescent="0.3">
      <c r="A21" s="12">
        <v>4</v>
      </c>
      <c r="B21">
        <v>3784</v>
      </c>
      <c r="C21" t="s">
        <v>28</v>
      </c>
      <c r="D21" s="11">
        <v>28612102700792</v>
      </c>
      <c r="E21" s="5">
        <v>29000</v>
      </c>
      <c r="F21" s="5">
        <v>12</v>
      </c>
      <c r="G21" s="17" t="str">
        <f>CONCATENATE(J21,"-",K21,"-",L21,"-",M21)</f>
        <v>5627-5199-0313-5078</v>
      </c>
      <c r="H21" s="18" t="s">
        <v>93</v>
      </c>
      <c r="I21" s="19" t="s">
        <v>156</v>
      </c>
      <c r="J21" s="18" t="s">
        <v>307</v>
      </c>
      <c r="K21" s="18" t="s">
        <v>306</v>
      </c>
      <c r="L21" s="20" t="s">
        <v>4</v>
      </c>
      <c r="M21" s="20" t="s">
        <v>5</v>
      </c>
      <c r="N21" s="21"/>
      <c r="O21" s="22">
        <f>LEN(H21)</f>
        <v>11</v>
      </c>
      <c r="P21" t="s">
        <v>159</v>
      </c>
    </row>
    <row r="22" spans="1:16" x14ac:dyDescent="0.3">
      <c r="A22" s="12">
        <v>7</v>
      </c>
      <c r="B22">
        <v>4109</v>
      </c>
      <c r="C22" t="s">
        <v>31</v>
      </c>
      <c r="D22" s="11">
        <v>28305212700909</v>
      </c>
      <c r="E22" s="5">
        <v>20000</v>
      </c>
      <c r="F22" s="5">
        <v>18</v>
      </c>
      <c r="G22" s="17" t="str">
        <f>CONCATENATE(J22,"-",K22,"-",L22,"-",M22)</f>
        <v>7027-2644-0313-5078</v>
      </c>
      <c r="H22" s="18" t="s">
        <v>96</v>
      </c>
      <c r="I22" s="19" t="s">
        <v>157</v>
      </c>
      <c r="J22" s="18" t="s">
        <v>176</v>
      </c>
      <c r="K22" s="18" t="s">
        <v>175</v>
      </c>
      <c r="L22" s="20" t="s">
        <v>4</v>
      </c>
      <c r="M22" s="20" t="s">
        <v>5</v>
      </c>
      <c r="N22" s="21"/>
      <c r="O22" s="22">
        <f>LEN(H22)</f>
        <v>11</v>
      </c>
      <c r="P22" t="s">
        <v>159</v>
      </c>
    </row>
    <row r="23" spans="1:16" x14ac:dyDescent="0.3">
      <c r="A23" s="12">
        <v>19</v>
      </c>
      <c r="B23">
        <v>5478</v>
      </c>
      <c r="C23" t="s">
        <v>43</v>
      </c>
      <c r="D23" s="11">
        <v>29501262701369</v>
      </c>
      <c r="E23" s="5">
        <v>15000</v>
      </c>
      <c r="F23" s="5">
        <v>18</v>
      </c>
      <c r="G23" s="17" t="str">
        <f>CONCATENATE(J23,"-",K23,"-",L23,"-",M23)</f>
        <v>5459-7040-0313-5078</v>
      </c>
      <c r="H23" s="18" t="s">
        <v>108</v>
      </c>
      <c r="I23" s="19" t="s">
        <v>153</v>
      </c>
      <c r="J23" s="18" t="s">
        <v>200</v>
      </c>
      <c r="K23" s="18" t="s">
        <v>199</v>
      </c>
      <c r="L23" s="20" t="s">
        <v>4</v>
      </c>
      <c r="M23" s="20" t="s">
        <v>5</v>
      </c>
      <c r="N23" s="21"/>
      <c r="O23" s="22">
        <f>LEN(H23)</f>
        <v>11</v>
      </c>
      <c r="P23" t="s">
        <v>160</v>
      </c>
    </row>
    <row r="24" spans="1:16" x14ac:dyDescent="0.3">
      <c r="A24" s="12">
        <v>20</v>
      </c>
      <c r="B24">
        <v>5477</v>
      </c>
      <c r="C24" t="s">
        <v>44</v>
      </c>
      <c r="D24" s="11">
        <v>27203132700745</v>
      </c>
      <c r="E24" s="5">
        <v>10000</v>
      </c>
      <c r="F24" s="5">
        <v>18</v>
      </c>
      <c r="G24" s="17" t="str">
        <f>CONCATENATE(J24,"-",K24,"-",L24,"-",M24)</f>
        <v>4706-4884-0313-5078</v>
      </c>
      <c r="H24" s="18" t="s">
        <v>109</v>
      </c>
      <c r="I24" s="19" t="s">
        <v>155</v>
      </c>
      <c r="J24" s="18" t="s">
        <v>202</v>
      </c>
      <c r="K24" s="18" t="s">
        <v>201</v>
      </c>
      <c r="L24" s="20" t="s">
        <v>4</v>
      </c>
      <c r="M24" s="20" t="s">
        <v>5</v>
      </c>
      <c r="N24" s="21"/>
      <c r="O24" s="22">
        <f>LEN(H24)</f>
        <v>11</v>
      </c>
      <c r="P24" t="s">
        <v>160</v>
      </c>
    </row>
    <row r="25" spans="1:16" x14ac:dyDescent="0.3">
      <c r="A25" s="12">
        <v>21</v>
      </c>
      <c r="B25">
        <v>5475</v>
      </c>
      <c r="C25" t="s">
        <v>45</v>
      </c>
      <c r="D25" s="11">
        <v>28409102701268</v>
      </c>
      <c r="E25" s="5">
        <v>15000</v>
      </c>
      <c r="F25" s="5">
        <v>18</v>
      </c>
      <c r="G25" s="17" t="str">
        <f>CONCATENATE(J25,"-",K25,"-",L25,"-",M25)</f>
        <v>9044-7291-0313-5078</v>
      </c>
      <c r="H25" s="18" t="s">
        <v>110</v>
      </c>
      <c r="I25" s="19" t="s">
        <v>153</v>
      </c>
      <c r="J25" s="18" t="s">
        <v>204</v>
      </c>
      <c r="K25" s="18" t="s">
        <v>203</v>
      </c>
      <c r="L25" s="20" t="s">
        <v>4</v>
      </c>
      <c r="M25" s="20" t="s">
        <v>5</v>
      </c>
      <c r="N25" s="21"/>
      <c r="O25" s="22">
        <f>LEN(H25)</f>
        <v>11</v>
      </c>
      <c r="P25" t="s">
        <v>160</v>
      </c>
    </row>
    <row r="26" spans="1:16" x14ac:dyDescent="0.3">
      <c r="A26" s="12">
        <v>25</v>
      </c>
      <c r="B26">
        <v>4578</v>
      </c>
      <c r="C26" t="s">
        <v>49</v>
      </c>
      <c r="D26" s="11">
        <v>28407262700991</v>
      </c>
      <c r="E26" s="5">
        <v>15000</v>
      </c>
      <c r="F26" s="5">
        <v>18</v>
      </c>
      <c r="G26" s="17" t="str">
        <f>CONCATENATE(J26,"-",K26,"-",L26,"-",M26)</f>
        <v>6089-0454-0313-5078</v>
      </c>
      <c r="H26" s="18" t="s">
        <v>113</v>
      </c>
      <c r="I26" s="19" t="s">
        <v>158</v>
      </c>
      <c r="J26" s="18" t="s">
        <v>312</v>
      </c>
      <c r="K26" s="18" t="s">
        <v>313</v>
      </c>
      <c r="L26" s="20" t="s">
        <v>4</v>
      </c>
      <c r="M26" s="20" t="s">
        <v>5</v>
      </c>
      <c r="N26" s="21"/>
      <c r="O26" s="22">
        <f>LEN(H26)</f>
        <v>11</v>
      </c>
      <c r="P26" t="s">
        <v>160</v>
      </c>
    </row>
    <row r="27" spans="1:16" x14ac:dyDescent="0.3">
      <c r="A27" s="12">
        <v>29</v>
      </c>
      <c r="B27">
        <v>3171</v>
      </c>
      <c r="C27" t="s">
        <v>53</v>
      </c>
      <c r="D27" s="11">
        <v>28204032701337</v>
      </c>
      <c r="E27" s="5">
        <v>15000</v>
      </c>
      <c r="F27" s="5">
        <v>18</v>
      </c>
      <c r="G27" s="17" t="str">
        <f>CONCATENATE(J27,"-",K27,"-",L27,"-",M27)</f>
        <v>9642-1761-0313-5078</v>
      </c>
      <c r="H27" s="18" t="s">
        <v>117</v>
      </c>
      <c r="I27" s="19" t="s">
        <v>153</v>
      </c>
      <c r="J27" s="18" t="s">
        <v>220</v>
      </c>
      <c r="K27" s="18" t="s">
        <v>219</v>
      </c>
      <c r="L27" s="20" t="s">
        <v>4</v>
      </c>
      <c r="M27" s="20" t="s">
        <v>5</v>
      </c>
      <c r="N27" s="21"/>
      <c r="O27" s="22">
        <f>LEN(H27)</f>
        <v>11</v>
      </c>
      <c r="P27" t="s">
        <v>160</v>
      </c>
    </row>
    <row r="28" spans="1:16" x14ac:dyDescent="0.3">
      <c r="A28" s="12">
        <v>30</v>
      </c>
      <c r="B28">
        <v>5453</v>
      </c>
      <c r="C28" t="s">
        <v>54</v>
      </c>
      <c r="D28" s="11">
        <v>26312132700273</v>
      </c>
      <c r="E28" s="5">
        <v>20000</v>
      </c>
      <c r="F28" s="5">
        <v>18</v>
      </c>
      <c r="G28" s="17" t="str">
        <f>CONCATENATE(J28,"-",K28,"-",L28,"-",M28)</f>
        <v>7382-5257-0313-5078</v>
      </c>
      <c r="H28" s="18" t="s">
        <v>118</v>
      </c>
      <c r="I28" s="19" t="s">
        <v>154</v>
      </c>
      <c r="J28" s="18" t="s">
        <v>222</v>
      </c>
      <c r="K28" s="18" t="s">
        <v>221</v>
      </c>
      <c r="L28" s="20" t="s">
        <v>4</v>
      </c>
      <c r="M28" s="20" t="s">
        <v>5</v>
      </c>
      <c r="N28" s="21"/>
      <c r="O28" s="22">
        <f>LEN(H28)</f>
        <v>11</v>
      </c>
      <c r="P28" t="s">
        <v>160</v>
      </c>
    </row>
    <row r="29" spans="1:16" x14ac:dyDescent="0.3">
      <c r="A29" s="12">
        <v>31</v>
      </c>
      <c r="B29">
        <v>5481</v>
      </c>
      <c r="C29" t="s">
        <v>55</v>
      </c>
      <c r="D29" s="11">
        <v>29110302700817</v>
      </c>
      <c r="E29" s="5">
        <v>15000</v>
      </c>
      <c r="F29" s="5">
        <v>18</v>
      </c>
      <c r="G29" s="17" t="str">
        <f>CONCATENATE(J29,"-",K29,"-",L29,"-",M29)</f>
        <v>7532-9019-0313-5078</v>
      </c>
      <c r="H29" s="18" t="s">
        <v>119</v>
      </c>
      <c r="I29" s="19" t="s">
        <v>155</v>
      </c>
      <c r="J29" s="18" t="s">
        <v>309</v>
      </c>
      <c r="K29" s="18" t="s">
        <v>308</v>
      </c>
      <c r="L29" s="20" t="s">
        <v>4</v>
      </c>
      <c r="M29" s="20" t="s">
        <v>5</v>
      </c>
      <c r="N29" s="21"/>
      <c r="O29" s="22">
        <f>LEN(H29)</f>
        <v>11</v>
      </c>
      <c r="P29" t="s">
        <v>160</v>
      </c>
    </row>
    <row r="30" spans="1:16" x14ac:dyDescent="0.3">
      <c r="A30" s="12">
        <v>40</v>
      </c>
      <c r="B30">
        <v>5456</v>
      </c>
      <c r="C30" t="s">
        <v>64</v>
      </c>
      <c r="D30" s="11">
        <v>30108112700714</v>
      </c>
      <c r="E30" s="5">
        <v>20000</v>
      </c>
      <c r="F30" s="5">
        <v>18</v>
      </c>
      <c r="G30" s="17" t="str">
        <f>CONCATENATE(J30,"-",K30,"-",L30,"-",M30)</f>
        <v>4035-1601-0313-5078</v>
      </c>
      <c r="H30" s="18" t="s">
        <v>128</v>
      </c>
      <c r="I30" s="19" t="s">
        <v>154</v>
      </c>
      <c r="J30" s="18" t="s">
        <v>242</v>
      </c>
      <c r="K30" s="18" t="s">
        <v>241</v>
      </c>
      <c r="L30" s="20" t="s">
        <v>4</v>
      </c>
      <c r="M30" s="20" t="s">
        <v>5</v>
      </c>
      <c r="N30" s="21"/>
      <c r="O30" s="22">
        <f>LEN(H30)</f>
        <v>11</v>
      </c>
      <c r="P30" t="s">
        <v>160</v>
      </c>
    </row>
    <row r="31" spans="1:16" x14ac:dyDescent="0.3">
      <c r="A31" s="12">
        <v>45</v>
      </c>
      <c r="B31">
        <v>5479</v>
      </c>
      <c r="C31" t="s">
        <v>69</v>
      </c>
      <c r="D31" s="11">
        <v>29706182700851</v>
      </c>
      <c r="E31" s="5">
        <v>20000</v>
      </c>
      <c r="F31" s="5">
        <v>18</v>
      </c>
      <c r="G31" s="17" t="str">
        <f>CONCATENATE(J31,"-",K31,"-",L31,"-",M31)</f>
        <v>9857-2454-0313-5078</v>
      </c>
      <c r="H31" s="18" t="s">
        <v>132</v>
      </c>
      <c r="I31" s="19" t="s">
        <v>153</v>
      </c>
      <c r="J31" s="18" t="s">
        <v>251</v>
      </c>
      <c r="K31" s="18" t="s">
        <v>250</v>
      </c>
      <c r="L31" s="20" t="s">
        <v>4</v>
      </c>
      <c r="M31" s="20" t="s">
        <v>5</v>
      </c>
      <c r="N31" s="21"/>
      <c r="O31" s="22">
        <f>LEN(H31)</f>
        <v>11</v>
      </c>
      <c r="P31" t="s">
        <v>161</v>
      </c>
    </row>
    <row r="32" spans="1:16" x14ac:dyDescent="0.3">
      <c r="A32" s="12">
        <v>47</v>
      </c>
      <c r="B32">
        <v>5449</v>
      </c>
      <c r="C32" t="s">
        <v>71</v>
      </c>
      <c r="D32" s="11">
        <v>28512272700482</v>
      </c>
      <c r="E32" s="5">
        <v>20000</v>
      </c>
      <c r="F32" s="5">
        <v>18</v>
      </c>
      <c r="G32" s="17" t="str">
        <f>CONCATENATE(J32,"-",K32,"-",L32,"-",M32)</f>
        <v>3804-2337-0313-5078</v>
      </c>
      <c r="H32" s="18" t="s">
        <v>134</v>
      </c>
      <c r="I32" s="19" t="s">
        <v>154</v>
      </c>
      <c r="J32" s="18" t="s">
        <v>255</v>
      </c>
      <c r="K32" s="18" t="s">
        <v>254</v>
      </c>
      <c r="L32" s="20" t="s">
        <v>4</v>
      </c>
      <c r="M32" s="20" t="s">
        <v>5</v>
      </c>
      <c r="N32" s="21"/>
      <c r="O32" s="22">
        <f>LEN(H32)</f>
        <v>11</v>
      </c>
      <c r="P32" t="s">
        <v>161</v>
      </c>
    </row>
    <row r="33" spans="1:16" x14ac:dyDescent="0.3">
      <c r="A33" s="12">
        <v>57</v>
      </c>
      <c r="B33">
        <v>5476</v>
      </c>
      <c r="C33" t="s">
        <v>81</v>
      </c>
      <c r="D33" s="11">
        <v>28212202701593</v>
      </c>
      <c r="E33" s="5">
        <v>20000</v>
      </c>
      <c r="F33" s="5">
        <v>18</v>
      </c>
      <c r="G33" s="17" t="str">
        <f>CONCATENATE(J33,"-",K33,"-",L33,"-",M33)</f>
        <v>6868-4164-0313-5078</v>
      </c>
      <c r="H33" s="18" t="s">
        <v>144</v>
      </c>
      <c r="I33" s="19" t="s">
        <v>155</v>
      </c>
      <c r="J33" s="18" t="s">
        <v>276</v>
      </c>
      <c r="K33" s="18" t="s">
        <v>275</v>
      </c>
      <c r="L33" s="20" t="s">
        <v>4</v>
      </c>
      <c r="M33" s="20" t="s">
        <v>5</v>
      </c>
      <c r="N33" s="21"/>
      <c r="O33" s="22">
        <f>LEN(H33)</f>
        <v>11</v>
      </c>
      <c r="P33" t="s">
        <v>161</v>
      </c>
    </row>
    <row r="34" spans="1:16" x14ac:dyDescent="0.3">
      <c r="A34" s="12">
        <v>1</v>
      </c>
      <c r="B34">
        <v>5460</v>
      </c>
      <c r="C34" t="s">
        <v>25</v>
      </c>
      <c r="D34" s="11">
        <v>30205202703564</v>
      </c>
      <c r="E34" s="5">
        <v>20000</v>
      </c>
      <c r="F34" s="5">
        <v>18</v>
      </c>
      <c r="G34" s="17" t="str">
        <f>CONCATENATE(J34,"-",K34,"-",L34,"-",M34)</f>
        <v>6326-1018-0313-5078</v>
      </c>
      <c r="H34" s="18" t="s">
        <v>90</v>
      </c>
      <c r="I34" s="19" t="s">
        <v>153</v>
      </c>
      <c r="J34" s="18" t="s">
        <v>166</v>
      </c>
      <c r="K34" s="18" t="s">
        <v>165</v>
      </c>
      <c r="L34" s="20" t="s">
        <v>4</v>
      </c>
      <c r="M34" s="20" t="s">
        <v>5</v>
      </c>
      <c r="N34" s="21"/>
      <c r="O34" s="22">
        <f>LEN(H34)</f>
        <v>11</v>
      </c>
      <c r="P34" t="s">
        <v>159</v>
      </c>
    </row>
    <row r="35" spans="1:16" x14ac:dyDescent="0.3">
      <c r="A35" s="12">
        <v>5</v>
      </c>
      <c r="B35">
        <v>5464</v>
      </c>
      <c r="C35" t="s">
        <v>29</v>
      </c>
      <c r="D35" s="11">
        <v>28609152702051</v>
      </c>
      <c r="E35" s="5">
        <v>20000</v>
      </c>
      <c r="F35" s="5">
        <v>18</v>
      </c>
      <c r="G35" s="17" t="str">
        <f>CONCATENATE(J35,"-",K35,"-",L35,"-",M35)</f>
        <v>3491-6542-0313-5078</v>
      </c>
      <c r="H35" s="18" t="s">
        <v>94</v>
      </c>
      <c r="I35" s="19" t="s">
        <v>155</v>
      </c>
      <c r="J35" s="18" t="s">
        <v>172</v>
      </c>
      <c r="K35" s="18" t="s">
        <v>171</v>
      </c>
      <c r="L35" s="20" t="s">
        <v>4</v>
      </c>
      <c r="M35" s="20" t="s">
        <v>5</v>
      </c>
      <c r="N35" s="21"/>
      <c r="O35" s="22">
        <f>LEN(H35)</f>
        <v>11</v>
      </c>
      <c r="P35" t="s">
        <v>159</v>
      </c>
    </row>
    <row r="36" spans="1:16" x14ac:dyDescent="0.3">
      <c r="A36" s="12">
        <v>34</v>
      </c>
      <c r="B36">
        <v>2743</v>
      </c>
      <c r="C36" t="s">
        <v>58</v>
      </c>
      <c r="D36" s="11">
        <v>28012132700218</v>
      </c>
      <c r="E36" s="5">
        <v>10000</v>
      </c>
      <c r="F36" s="5">
        <v>12</v>
      </c>
      <c r="G36" s="17" t="str">
        <f>CONCATENATE(J36,"-",K36,"-",L36,"-",M36)</f>
        <v>1130-7194-0313-5078</v>
      </c>
      <c r="H36" s="18" t="s">
        <v>122</v>
      </c>
      <c r="I36" s="19" t="s">
        <v>154</v>
      </c>
      <c r="J36" s="18" t="s">
        <v>230</v>
      </c>
      <c r="K36" s="18" t="s">
        <v>229</v>
      </c>
      <c r="L36" s="20" t="s">
        <v>4</v>
      </c>
      <c r="M36" s="20" t="s">
        <v>5</v>
      </c>
      <c r="N36" s="21"/>
      <c r="O36" s="22">
        <f>LEN(H36)</f>
        <v>11</v>
      </c>
      <c r="P36" t="s">
        <v>160</v>
      </c>
    </row>
    <row r="37" spans="1:16" x14ac:dyDescent="0.3">
      <c r="A37" s="12">
        <v>35</v>
      </c>
      <c r="B37">
        <v>5474</v>
      </c>
      <c r="C37" t="s">
        <v>59</v>
      </c>
      <c r="D37" s="11">
        <v>30209262701418</v>
      </c>
      <c r="E37" s="5">
        <v>12000</v>
      </c>
      <c r="F37" s="5">
        <v>12</v>
      </c>
      <c r="G37" s="17" t="str">
        <f>CONCATENATE(J37,"-",K37,"-",L37,"-",M37)</f>
        <v>1947-4160-0313-5078</v>
      </c>
      <c r="H37" s="18" t="s">
        <v>123</v>
      </c>
      <c r="I37" s="19" t="s">
        <v>153</v>
      </c>
      <c r="J37" s="18" t="s">
        <v>232</v>
      </c>
      <c r="K37" s="18" t="s">
        <v>231</v>
      </c>
      <c r="L37" s="20" t="s">
        <v>4</v>
      </c>
      <c r="M37" s="20" t="s">
        <v>5</v>
      </c>
      <c r="N37" s="21"/>
      <c r="O37" s="22">
        <f>LEN(H37)</f>
        <v>11</v>
      </c>
      <c r="P37" t="s">
        <v>160</v>
      </c>
    </row>
    <row r="38" spans="1:16" x14ac:dyDescent="0.3">
      <c r="A38" s="12">
        <v>37</v>
      </c>
      <c r="B38">
        <v>5457</v>
      </c>
      <c r="C38" t="s">
        <v>61</v>
      </c>
      <c r="D38" s="11">
        <v>28801312701276</v>
      </c>
      <c r="E38" s="5">
        <v>10000</v>
      </c>
      <c r="F38" s="5">
        <v>18</v>
      </c>
      <c r="G38" s="17" t="str">
        <f>CONCATENATE(J38,"-",K38,"-",L38,"-",M38)</f>
        <v>1493-8078-0313-5078</v>
      </c>
      <c r="H38" s="18" t="s">
        <v>125</v>
      </c>
      <c r="I38" s="19" t="s">
        <v>153</v>
      </c>
      <c r="J38" s="18" t="s">
        <v>236</v>
      </c>
      <c r="K38" s="18" t="s">
        <v>235</v>
      </c>
      <c r="L38" s="20" t="s">
        <v>4</v>
      </c>
      <c r="M38" s="20" t="s">
        <v>5</v>
      </c>
      <c r="N38" s="21"/>
      <c r="O38" s="22">
        <f>LEN(H38)</f>
        <v>11</v>
      </c>
      <c r="P38" t="s">
        <v>160</v>
      </c>
    </row>
    <row r="39" spans="1:16" x14ac:dyDescent="0.3">
      <c r="A39" s="12">
        <v>38</v>
      </c>
      <c r="B39">
        <v>5471</v>
      </c>
      <c r="C39" t="s">
        <v>62</v>
      </c>
      <c r="D39" s="11">
        <v>27406222700181</v>
      </c>
      <c r="E39" s="5">
        <v>20000</v>
      </c>
      <c r="F39" s="5">
        <v>18</v>
      </c>
      <c r="G39" s="17" t="str">
        <f>CONCATENATE(J39,"-",K39,"-",L39,"-",M39)</f>
        <v>0144-2001-0313-5078</v>
      </c>
      <c r="H39" s="18" t="s">
        <v>126</v>
      </c>
      <c r="I39" s="19" t="s">
        <v>156</v>
      </c>
      <c r="J39" s="18" t="s">
        <v>238</v>
      </c>
      <c r="K39" s="18" t="s">
        <v>237</v>
      </c>
      <c r="L39" s="20" t="s">
        <v>4</v>
      </c>
      <c r="M39" s="20" t="s">
        <v>5</v>
      </c>
      <c r="N39" s="21"/>
      <c r="O39" s="22">
        <f>LEN(H39)</f>
        <v>11</v>
      </c>
      <c r="P39" t="s">
        <v>160</v>
      </c>
    </row>
    <row r="40" spans="1:16" x14ac:dyDescent="0.3">
      <c r="A40" s="12">
        <v>43</v>
      </c>
      <c r="B40">
        <v>3776</v>
      </c>
      <c r="C40" t="s">
        <v>67</v>
      </c>
      <c r="D40" s="11">
        <v>26109212700177</v>
      </c>
      <c r="E40" s="5">
        <v>29000</v>
      </c>
      <c r="F40" s="5">
        <v>18</v>
      </c>
      <c r="G40" s="17" t="str">
        <f>CONCATENATE(J40,"-",K40,"-",L40,"-",M40)</f>
        <v>9699-5863-0313-5078</v>
      </c>
      <c r="H40" s="18" t="s">
        <v>126</v>
      </c>
      <c r="I40" s="19" t="s">
        <v>156</v>
      </c>
      <c r="J40" s="18" t="s">
        <v>305</v>
      </c>
      <c r="K40" s="18" t="s">
        <v>304</v>
      </c>
      <c r="L40" s="20" t="s">
        <v>4</v>
      </c>
      <c r="M40" s="20" t="s">
        <v>5</v>
      </c>
      <c r="N40" s="21"/>
      <c r="O40" s="22">
        <f>LEN(H40)</f>
        <v>11</v>
      </c>
      <c r="P40" t="s">
        <v>161</v>
      </c>
    </row>
    <row r="41" spans="1:16" x14ac:dyDescent="0.3">
      <c r="A41" s="12">
        <v>44</v>
      </c>
      <c r="B41">
        <v>2469</v>
      </c>
      <c r="C41" t="s">
        <v>68</v>
      </c>
      <c r="D41" s="11">
        <v>26412222700684</v>
      </c>
      <c r="E41" s="5">
        <v>29000</v>
      </c>
      <c r="F41" s="5">
        <v>18</v>
      </c>
      <c r="G41" s="17" t="str">
        <f>CONCATENATE(J41,"-",K41,"-",L41,"-",M41)</f>
        <v>1163-4019-0313-5078</v>
      </c>
      <c r="H41" s="18" t="s">
        <v>131</v>
      </c>
      <c r="I41" s="19" t="s">
        <v>156</v>
      </c>
      <c r="J41" s="18" t="s">
        <v>249</v>
      </c>
      <c r="K41" s="18" t="s">
        <v>248</v>
      </c>
      <c r="L41" s="20" t="s">
        <v>4</v>
      </c>
      <c r="M41" s="20" t="s">
        <v>5</v>
      </c>
      <c r="N41" s="21"/>
      <c r="O41" s="22">
        <f>LEN(H41)</f>
        <v>11</v>
      </c>
      <c r="P41" t="s">
        <v>161</v>
      </c>
    </row>
    <row r="42" spans="1:16" x14ac:dyDescent="0.3">
      <c r="A42" s="12">
        <v>48</v>
      </c>
      <c r="B42">
        <v>4873</v>
      </c>
      <c r="C42" t="s">
        <v>72</v>
      </c>
      <c r="D42" s="11">
        <v>27608212700878</v>
      </c>
      <c r="E42" s="5">
        <v>25000</v>
      </c>
      <c r="F42" s="5">
        <v>18</v>
      </c>
      <c r="G42" s="17" t="str">
        <f>CONCATENATE(J42,"-",K42,"-",L42,"-",M42)</f>
        <v>6785-4925-0313-5078</v>
      </c>
      <c r="H42" s="18" t="s">
        <v>135</v>
      </c>
      <c r="I42" s="19" t="s">
        <v>158</v>
      </c>
      <c r="J42" s="18" t="s">
        <v>257</v>
      </c>
      <c r="K42" s="18" t="s">
        <v>256</v>
      </c>
      <c r="L42" s="20" t="s">
        <v>4</v>
      </c>
      <c r="M42" s="20" t="s">
        <v>5</v>
      </c>
      <c r="N42" s="21"/>
      <c r="O42" s="22">
        <f>LEN(H42)</f>
        <v>11</v>
      </c>
      <c r="P42" t="s">
        <v>161</v>
      </c>
    </row>
    <row r="43" spans="1:16" x14ac:dyDescent="0.3">
      <c r="A43" s="12">
        <v>52</v>
      </c>
      <c r="B43">
        <v>4542</v>
      </c>
      <c r="C43" t="s">
        <v>76</v>
      </c>
      <c r="D43" s="11">
        <v>28210142700441</v>
      </c>
      <c r="E43" s="5">
        <v>29000</v>
      </c>
      <c r="F43" s="5">
        <v>18</v>
      </c>
      <c r="G43" s="17" t="str">
        <f>CONCATENATE(J43,"-",K43,"-",L43,"-",M43)</f>
        <v>3018-5183-0313-5078</v>
      </c>
      <c r="H43" s="18" t="s">
        <v>139</v>
      </c>
      <c r="I43" s="19" t="s">
        <v>158</v>
      </c>
      <c r="J43" s="18" t="s">
        <v>301</v>
      </c>
      <c r="K43" s="18" t="s">
        <v>300</v>
      </c>
      <c r="L43" s="20" t="s">
        <v>4</v>
      </c>
      <c r="M43" s="20" t="s">
        <v>5</v>
      </c>
      <c r="N43" s="21"/>
      <c r="O43" s="22">
        <f>LEN(H43)</f>
        <v>11</v>
      </c>
      <c r="P43" t="s">
        <v>161</v>
      </c>
    </row>
    <row r="44" spans="1:16" x14ac:dyDescent="0.3">
      <c r="A44" s="12">
        <v>53</v>
      </c>
      <c r="B44">
        <v>4820</v>
      </c>
      <c r="C44" t="s">
        <v>77</v>
      </c>
      <c r="D44" s="11">
        <v>29909012717889</v>
      </c>
      <c r="E44" s="5">
        <v>20000</v>
      </c>
      <c r="F44" s="5">
        <v>18</v>
      </c>
      <c r="G44" s="17" t="str">
        <f>CONCATENATE(J44,"-",K44,"-",L44,"-",M44)</f>
        <v>7234-6164-0313-5078</v>
      </c>
      <c r="H44" s="18" t="s">
        <v>140</v>
      </c>
      <c r="I44" s="19" t="s">
        <v>153</v>
      </c>
      <c r="J44" s="18" t="s">
        <v>265</v>
      </c>
      <c r="K44" s="18" t="s">
        <v>264</v>
      </c>
      <c r="L44" s="20" t="s">
        <v>4</v>
      </c>
      <c r="M44" s="20" t="s">
        <v>5</v>
      </c>
      <c r="N44" s="21"/>
      <c r="O44" s="22">
        <f>LEN(H44)</f>
        <v>11</v>
      </c>
      <c r="P44" t="s">
        <v>161</v>
      </c>
    </row>
    <row r="45" spans="1:16" x14ac:dyDescent="0.3">
      <c r="A45" s="12">
        <v>54</v>
      </c>
      <c r="B45">
        <v>1032</v>
      </c>
      <c r="C45" t="s">
        <v>78</v>
      </c>
      <c r="D45" s="11">
        <v>28710182700617</v>
      </c>
      <c r="E45" s="5">
        <v>29000</v>
      </c>
      <c r="F45" s="5">
        <v>18</v>
      </c>
      <c r="G45" s="17" t="str">
        <f>CONCATENATE(J45,"-",K45,"-",L45,"-",M45)</f>
        <v>8892-9102-0313-5078</v>
      </c>
      <c r="H45" s="18" t="s">
        <v>141</v>
      </c>
      <c r="I45" s="19" t="s">
        <v>156</v>
      </c>
      <c r="J45" s="18" t="s">
        <v>267</v>
      </c>
      <c r="K45" s="18" t="s">
        <v>266</v>
      </c>
      <c r="L45" s="20" t="s">
        <v>4</v>
      </c>
      <c r="M45" s="20" t="s">
        <v>5</v>
      </c>
      <c r="N45" s="21"/>
      <c r="O45" s="22">
        <f>LEN(H45)</f>
        <v>11</v>
      </c>
      <c r="P45" t="s">
        <v>161</v>
      </c>
    </row>
    <row r="46" spans="1:16" x14ac:dyDescent="0.3">
      <c r="A46" s="12">
        <v>58</v>
      </c>
      <c r="B46">
        <v>4977</v>
      </c>
      <c r="C46" t="s">
        <v>82</v>
      </c>
      <c r="D46" s="11">
        <v>29201202701315</v>
      </c>
      <c r="E46" s="5">
        <v>50000</v>
      </c>
      <c r="F46" s="5">
        <v>18</v>
      </c>
      <c r="G46" s="17" t="str">
        <f>CONCATENATE(J46,"-",K46,"-",L46,"-",M46)</f>
        <v>2406-1663-0313-5078</v>
      </c>
      <c r="H46" s="18" t="s">
        <v>145</v>
      </c>
      <c r="I46" s="19" t="s">
        <v>155</v>
      </c>
      <c r="J46" s="18" t="s">
        <v>303</v>
      </c>
      <c r="K46" s="18" t="s">
        <v>302</v>
      </c>
      <c r="L46" s="20" t="s">
        <v>4</v>
      </c>
      <c r="M46" s="20" t="s">
        <v>5</v>
      </c>
      <c r="N46" s="21"/>
      <c r="O46" s="22">
        <f>LEN(H46)</f>
        <v>11</v>
      </c>
      <c r="P46" t="s">
        <v>161</v>
      </c>
    </row>
    <row r="47" spans="1:16" x14ac:dyDescent="0.3">
      <c r="A47" s="12">
        <v>64</v>
      </c>
      <c r="B47">
        <v>2331</v>
      </c>
      <c r="C47" t="s">
        <v>88</v>
      </c>
      <c r="D47" s="11">
        <v>26601030104589</v>
      </c>
      <c r="E47" s="5">
        <v>20000</v>
      </c>
      <c r="F47" s="5">
        <v>18</v>
      </c>
      <c r="G47" s="17" t="str">
        <f>CONCATENATE(J47,"-",K47,"-",L47,"-",M47)</f>
        <v>8685-6901-0313-5078</v>
      </c>
      <c r="H47" s="18" t="s">
        <v>151</v>
      </c>
      <c r="I47" s="19" t="s">
        <v>153</v>
      </c>
      <c r="J47" s="18" t="s">
        <v>287</v>
      </c>
      <c r="K47" s="18" t="s">
        <v>286</v>
      </c>
      <c r="L47" s="20" t="s">
        <v>4</v>
      </c>
      <c r="M47" s="20" t="s">
        <v>5</v>
      </c>
      <c r="N47" s="21"/>
      <c r="O47" s="22">
        <f>LEN(H47)</f>
        <v>11</v>
      </c>
      <c r="P47" t="s">
        <v>161</v>
      </c>
    </row>
    <row r="48" spans="1:16" x14ac:dyDescent="0.3">
      <c r="A48" s="12">
        <v>6</v>
      </c>
      <c r="B48">
        <v>5461</v>
      </c>
      <c r="C48" t="s">
        <v>30</v>
      </c>
      <c r="D48" s="11">
        <v>29103062700991</v>
      </c>
      <c r="E48" s="5">
        <v>20000</v>
      </c>
      <c r="F48" s="5">
        <v>18</v>
      </c>
      <c r="G48" s="17" t="str">
        <f>CONCATENATE(J48,"-",K48,"-",L48,"-",M48)</f>
        <v>8526-7761-0313-5078</v>
      </c>
      <c r="H48" s="18" t="s">
        <v>95</v>
      </c>
      <c r="I48" s="19" t="s">
        <v>153</v>
      </c>
      <c r="J48" s="18" t="s">
        <v>174</v>
      </c>
      <c r="K48" s="18" t="s">
        <v>173</v>
      </c>
      <c r="L48" s="20" t="s">
        <v>4</v>
      </c>
      <c r="M48" s="20" t="s">
        <v>5</v>
      </c>
      <c r="N48" s="21"/>
      <c r="O48" s="22">
        <f>LEN(H48)</f>
        <v>11</v>
      </c>
      <c r="P48" t="s">
        <v>159</v>
      </c>
    </row>
    <row r="49" spans="1:18" x14ac:dyDescent="0.3">
      <c r="A49" s="12">
        <v>8</v>
      </c>
      <c r="B49">
        <v>5452</v>
      </c>
      <c r="C49" t="s">
        <v>32</v>
      </c>
      <c r="D49" s="11">
        <v>28402082700214</v>
      </c>
      <c r="E49" s="5">
        <v>20000</v>
      </c>
      <c r="F49" s="5">
        <v>18</v>
      </c>
      <c r="G49" s="17" t="str">
        <f>CONCATENATE(J49,"-",K49,"-",L49,"-",M49)</f>
        <v>9532-0634-0313-5078</v>
      </c>
      <c r="H49" s="18" t="s">
        <v>97</v>
      </c>
      <c r="I49" s="19" t="s">
        <v>154</v>
      </c>
      <c r="J49" s="18" t="s">
        <v>178</v>
      </c>
      <c r="K49" s="18" t="s">
        <v>177</v>
      </c>
      <c r="L49" s="20" t="s">
        <v>4</v>
      </c>
      <c r="M49" s="20" t="s">
        <v>5</v>
      </c>
      <c r="N49" s="21"/>
      <c r="O49" s="22">
        <f>LEN(H49)</f>
        <v>11</v>
      </c>
      <c r="P49" t="s">
        <v>159</v>
      </c>
    </row>
    <row r="50" spans="1:18" x14ac:dyDescent="0.3">
      <c r="A50" s="12">
        <v>10</v>
      </c>
      <c r="B50">
        <v>4718</v>
      </c>
      <c r="C50" t="s">
        <v>34</v>
      </c>
      <c r="D50" s="11">
        <v>27907182700433</v>
      </c>
      <c r="E50" s="5">
        <v>20000</v>
      </c>
      <c r="F50" s="5">
        <v>18</v>
      </c>
      <c r="G50" s="17" t="str">
        <f>CONCATENATE(J50,"-",K50,"-",L50,"-",M50)</f>
        <v>9179-4170-0313-5078</v>
      </c>
      <c r="H50" s="18" t="s">
        <v>99</v>
      </c>
      <c r="I50" s="19" t="s">
        <v>153</v>
      </c>
      <c r="J50" s="18" t="s">
        <v>182</v>
      </c>
      <c r="K50" s="18" t="s">
        <v>181</v>
      </c>
      <c r="L50" s="20" t="s">
        <v>4</v>
      </c>
      <c r="M50" s="20" t="s">
        <v>5</v>
      </c>
      <c r="N50" s="21"/>
      <c r="O50" s="22">
        <f>LEN(H50)</f>
        <v>11</v>
      </c>
      <c r="P50" t="s">
        <v>159</v>
      </c>
    </row>
    <row r="51" spans="1:18" x14ac:dyDescent="0.3">
      <c r="A51" s="12">
        <v>11</v>
      </c>
      <c r="B51">
        <v>5455</v>
      </c>
      <c r="C51" t="s">
        <v>35</v>
      </c>
      <c r="D51" s="11">
        <v>30008172701855</v>
      </c>
      <c r="E51" s="5">
        <v>20000</v>
      </c>
      <c r="F51" s="5">
        <v>12</v>
      </c>
      <c r="G51" s="17" t="str">
        <f>CONCATENATE(J51,"-",K51,"-",L51,"-",M51)</f>
        <v>8203-8728-0313-5078</v>
      </c>
      <c r="H51" s="18" t="s">
        <v>100</v>
      </c>
      <c r="I51" s="19" t="s">
        <v>154</v>
      </c>
      <c r="J51" s="18" t="s">
        <v>184</v>
      </c>
      <c r="K51" s="18" t="s">
        <v>183</v>
      </c>
      <c r="L51" s="20" t="s">
        <v>4</v>
      </c>
      <c r="M51" s="20" t="s">
        <v>5</v>
      </c>
      <c r="N51" s="21"/>
      <c r="O51" s="22">
        <f>LEN(H51)</f>
        <v>11</v>
      </c>
      <c r="P51" t="s">
        <v>159</v>
      </c>
    </row>
    <row r="52" spans="1:18" x14ac:dyDescent="0.3">
      <c r="A52" s="12">
        <v>15</v>
      </c>
      <c r="B52">
        <v>4586</v>
      </c>
      <c r="C52" t="s">
        <v>39</v>
      </c>
      <c r="D52" s="11">
        <v>28611292701114</v>
      </c>
      <c r="E52" s="5">
        <v>29000</v>
      </c>
      <c r="F52" s="5">
        <v>18</v>
      </c>
      <c r="G52" s="17" t="str">
        <f>CONCATENATE(J52,"-",K52,"-",L52,"-",M52)</f>
        <v>5058-5379-0313-5078</v>
      </c>
      <c r="H52" s="18" t="s">
        <v>104</v>
      </c>
      <c r="I52" s="19" t="s">
        <v>156</v>
      </c>
      <c r="J52" s="18" t="s">
        <v>295</v>
      </c>
      <c r="K52" s="18" t="s">
        <v>294</v>
      </c>
      <c r="L52" s="20" t="s">
        <v>4</v>
      </c>
      <c r="M52" s="20" t="s">
        <v>5</v>
      </c>
      <c r="N52" s="21"/>
      <c r="O52" s="22">
        <f>LEN(H52)</f>
        <v>11</v>
      </c>
      <c r="P52" t="s">
        <v>159</v>
      </c>
    </row>
    <row r="53" spans="1:18" x14ac:dyDescent="0.3">
      <c r="A53" s="12">
        <v>16</v>
      </c>
      <c r="B53">
        <v>5466</v>
      </c>
      <c r="C53" t="s">
        <v>40</v>
      </c>
      <c r="D53" s="11">
        <v>28104142700561</v>
      </c>
      <c r="E53" s="5">
        <v>20000</v>
      </c>
      <c r="F53" s="5">
        <v>18</v>
      </c>
      <c r="G53" s="17" t="str">
        <f>CONCATENATE(J53,"-",K53,"-",L53,"-",M53)</f>
        <v>9035-6179-0313-5078</v>
      </c>
      <c r="H53" s="18" t="s">
        <v>105</v>
      </c>
      <c r="I53" s="19" t="s">
        <v>157</v>
      </c>
      <c r="J53" s="18" t="s">
        <v>194</v>
      </c>
      <c r="K53" s="18" t="s">
        <v>193</v>
      </c>
      <c r="L53" s="20" t="s">
        <v>4</v>
      </c>
      <c r="M53" s="20" t="s">
        <v>5</v>
      </c>
      <c r="N53" s="21"/>
      <c r="O53" s="22">
        <f>LEN(H53)</f>
        <v>11</v>
      </c>
      <c r="P53" t="s">
        <v>159</v>
      </c>
    </row>
    <row r="54" spans="1:18" x14ac:dyDescent="0.3">
      <c r="A54" s="12">
        <v>23</v>
      </c>
      <c r="B54">
        <v>5462</v>
      </c>
      <c r="C54" t="s">
        <v>47</v>
      </c>
      <c r="D54" s="11">
        <v>29611162701302</v>
      </c>
      <c r="E54" s="5">
        <v>15000</v>
      </c>
      <c r="F54" s="5">
        <v>18</v>
      </c>
      <c r="G54" s="17" t="str">
        <f>CONCATENATE(J54,"-",K54,"-",L54,"-",M54)</f>
        <v>0922-0029-0313-5078</v>
      </c>
      <c r="H54" s="18" t="s">
        <v>111</v>
      </c>
      <c r="I54" s="19" t="s">
        <v>153</v>
      </c>
      <c r="J54" s="18" t="s">
        <v>208</v>
      </c>
      <c r="K54" s="18" t="s">
        <v>207</v>
      </c>
      <c r="L54" s="20" t="s">
        <v>4</v>
      </c>
      <c r="M54" s="20" t="s">
        <v>5</v>
      </c>
      <c r="N54" s="21"/>
      <c r="O54" s="22">
        <f>LEN(H54)</f>
        <v>11</v>
      </c>
      <c r="P54" t="s">
        <v>160</v>
      </c>
    </row>
    <row r="55" spans="1:18" x14ac:dyDescent="0.3">
      <c r="A55" s="12">
        <v>24</v>
      </c>
      <c r="B55">
        <v>5459</v>
      </c>
      <c r="C55" t="s">
        <v>48</v>
      </c>
      <c r="D55" s="11">
        <v>29906052700424</v>
      </c>
      <c r="E55" s="5">
        <v>15000</v>
      </c>
      <c r="F55" s="5">
        <v>18</v>
      </c>
      <c r="G55" s="17" t="str">
        <f>CONCATENATE(J55,"-",K55,"-",L55,"-",M55)</f>
        <v>1314-2052-0313-5078</v>
      </c>
      <c r="H55" s="18" t="s">
        <v>112</v>
      </c>
      <c r="I55" s="19" t="s">
        <v>153</v>
      </c>
      <c r="J55" s="18" t="s">
        <v>210</v>
      </c>
      <c r="K55" s="18" t="s">
        <v>209</v>
      </c>
      <c r="L55" s="20" t="s">
        <v>4</v>
      </c>
      <c r="M55" s="20" t="s">
        <v>5</v>
      </c>
      <c r="N55" s="21"/>
      <c r="O55" s="22">
        <f>LEN(H55)</f>
        <v>11</v>
      </c>
      <c r="P55" t="s">
        <v>160</v>
      </c>
    </row>
    <row r="56" spans="1:18" x14ac:dyDescent="0.3">
      <c r="A56" s="12">
        <v>26</v>
      </c>
      <c r="B56">
        <v>4512</v>
      </c>
      <c r="C56" t="s">
        <v>50</v>
      </c>
      <c r="D56" s="11">
        <v>27411092701249</v>
      </c>
      <c r="E56" s="5">
        <v>15000</v>
      </c>
      <c r="F56" s="5">
        <v>18</v>
      </c>
      <c r="G56" s="17" t="str">
        <f>CONCATENATE(J56,"-",K56,"-",L56,"-",M56)</f>
        <v>3726-4361-0313-5078</v>
      </c>
      <c r="H56" s="18" t="s">
        <v>114</v>
      </c>
      <c r="I56" s="19" t="s">
        <v>153</v>
      </c>
      <c r="J56" s="18" t="s">
        <v>214</v>
      </c>
      <c r="K56" s="18" t="s">
        <v>213</v>
      </c>
      <c r="L56" s="20" t="s">
        <v>4</v>
      </c>
      <c r="M56" s="20" t="s">
        <v>5</v>
      </c>
      <c r="N56" s="21"/>
      <c r="O56" s="22">
        <f>LEN(H56)</f>
        <v>11</v>
      </c>
      <c r="P56" t="s">
        <v>160</v>
      </c>
    </row>
    <row r="57" spans="1:18" x14ac:dyDescent="0.3">
      <c r="A57" s="12">
        <v>27</v>
      </c>
      <c r="B57">
        <v>4171</v>
      </c>
      <c r="C57" t="s">
        <v>51</v>
      </c>
      <c r="D57" s="11">
        <v>29110092700631</v>
      </c>
      <c r="E57" s="5">
        <v>15000</v>
      </c>
      <c r="F57" s="5">
        <v>18</v>
      </c>
      <c r="G57" s="17" t="str">
        <f>CONCATENATE(J57,"-",K57,"-",L57,"-",M57)</f>
        <v>9447-3038-0313-5078</v>
      </c>
      <c r="H57" s="18" t="s">
        <v>115</v>
      </c>
      <c r="I57" s="19" t="s">
        <v>153</v>
      </c>
      <c r="J57" s="18" t="s">
        <v>299</v>
      </c>
      <c r="K57" s="18" t="s">
        <v>298</v>
      </c>
      <c r="L57" s="20" t="s">
        <v>4</v>
      </c>
      <c r="M57" s="20" t="s">
        <v>5</v>
      </c>
      <c r="N57" s="21"/>
      <c r="O57" s="22">
        <f>LEN(H57)</f>
        <v>11</v>
      </c>
      <c r="P57" t="s">
        <v>160</v>
      </c>
    </row>
    <row r="58" spans="1:18" x14ac:dyDescent="0.3">
      <c r="A58" s="12">
        <v>28</v>
      </c>
      <c r="B58">
        <v>3704</v>
      </c>
      <c r="C58" t="s">
        <v>52</v>
      </c>
      <c r="D58" s="11">
        <v>27701022702211</v>
      </c>
      <c r="E58" s="5">
        <v>10000</v>
      </c>
      <c r="F58" s="5">
        <v>18</v>
      </c>
      <c r="G58" s="17" t="str">
        <f>CONCATENATE(J58,"-",K58,"-",L58,"-",M58)</f>
        <v>9623-1293-0313-5078</v>
      </c>
      <c r="H58" s="18" t="s">
        <v>116</v>
      </c>
      <c r="I58" s="19" t="s">
        <v>158</v>
      </c>
      <c r="J58" s="18" t="s">
        <v>218</v>
      </c>
      <c r="K58" s="18" t="s">
        <v>217</v>
      </c>
      <c r="L58" s="20" t="s">
        <v>4</v>
      </c>
      <c r="M58" s="20" t="s">
        <v>5</v>
      </c>
      <c r="N58" s="21"/>
      <c r="O58" s="22">
        <f>LEN(H58)</f>
        <v>11</v>
      </c>
      <c r="P58" t="s">
        <v>160</v>
      </c>
    </row>
    <row r="59" spans="1:18" x14ac:dyDescent="0.3">
      <c r="A59" s="12">
        <v>33</v>
      </c>
      <c r="B59">
        <v>4910</v>
      </c>
      <c r="C59" t="s">
        <v>57</v>
      </c>
      <c r="D59" s="11">
        <v>28703142701444</v>
      </c>
      <c r="E59" s="5">
        <v>15000</v>
      </c>
      <c r="F59" s="5">
        <v>12</v>
      </c>
      <c r="G59" s="17" t="str">
        <f>CONCATENATE(J59,"-",K59,"-",L59,"-",M59)</f>
        <v>3563-6248-0313-5078</v>
      </c>
      <c r="H59" s="18" t="s">
        <v>121</v>
      </c>
      <c r="I59" s="19" t="s">
        <v>155</v>
      </c>
      <c r="J59" s="18" t="s">
        <v>293</v>
      </c>
      <c r="K59" s="18" t="s">
        <v>292</v>
      </c>
      <c r="L59" s="20" t="s">
        <v>4</v>
      </c>
      <c r="M59" s="20" t="s">
        <v>5</v>
      </c>
      <c r="N59" s="21"/>
      <c r="O59" s="22">
        <f>LEN(H59)</f>
        <v>11</v>
      </c>
      <c r="P59" t="s">
        <v>160</v>
      </c>
    </row>
    <row r="60" spans="1:18" x14ac:dyDescent="0.3">
      <c r="A60" s="12">
        <v>39</v>
      </c>
      <c r="B60">
        <v>3157</v>
      </c>
      <c r="C60" t="s">
        <v>63</v>
      </c>
      <c r="D60" s="11">
        <v>29101152701055</v>
      </c>
      <c r="E60" s="5">
        <v>15000</v>
      </c>
      <c r="F60" s="5">
        <v>18</v>
      </c>
      <c r="G60" s="17" t="str">
        <f>CONCATENATE(J60,"-",K60,"-",L60,"-",M60)</f>
        <v>6270-2301-0313-5078</v>
      </c>
      <c r="H60" s="18" t="s">
        <v>127</v>
      </c>
      <c r="I60" s="19" t="s">
        <v>153</v>
      </c>
      <c r="J60" s="18" t="s">
        <v>240</v>
      </c>
      <c r="K60" s="18" t="s">
        <v>239</v>
      </c>
      <c r="L60" s="20" t="s">
        <v>4</v>
      </c>
      <c r="M60" s="20" t="s">
        <v>5</v>
      </c>
      <c r="N60" s="21"/>
      <c r="O60" s="22">
        <f>LEN(H60)</f>
        <v>11</v>
      </c>
      <c r="P60" t="s">
        <v>160</v>
      </c>
    </row>
    <row r="61" spans="1:18" x14ac:dyDescent="0.3">
      <c r="A61" s="12">
        <v>42</v>
      </c>
      <c r="B61">
        <v>4330</v>
      </c>
      <c r="C61" t="s">
        <v>66</v>
      </c>
      <c r="D61" s="11">
        <v>28401172701469</v>
      </c>
      <c r="E61" s="5">
        <v>29000</v>
      </c>
      <c r="F61" s="5">
        <v>18</v>
      </c>
      <c r="G61" s="17" t="str">
        <f>CONCATENATE(J61,"-",K61,"-",L61,"-",M61)</f>
        <v>9759-3667-0313-5078</v>
      </c>
      <c r="H61" s="18" t="s">
        <v>130</v>
      </c>
      <c r="I61" s="19" t="s">
        <v>158</v>
      </c>
      <c r="J61" s="18" t="s">
        <v>246</v>
      </c>
      <c r="K61" s="18" t="s">
        <v>245</v>
      </c>
      <c r="L61" s="20" t="s">
        <v>4</v>
      </c>
      <c r="M61" s="20" t="s">
        <v>5</v>
      </c>
      <c r="N61" s="21"/>
      <c r="O61" s="22">
        <f>LEN(H61)</f>
        <v>11</v>
      </c>
      <c r="P61" t="s">
        <v>161</v>
      </c>
      <c r="Q61" s="24"/>
      <c r="R61" s="24"/>
    </row>
    <row r="62" spans="1:18" x14ac:dyDescent="0.3">
      <c r="A62" s="12">
        <v>49</v>
      </c>
      <c r="B62">
        <v>4985</v>
      </c>
      <c r="C62" t="s">
        <v>73</v>
      </c>
      <c r="D62" s="11">
        <v>29603172701715</v>
      </c>
      <c r="E62" s="5">
        <v>25000</v>
      </c>
      <c r="F62" s="5">
        <v>18</v>
      </c>
      <c r="G62" s="17" t="str">
        <f>CONCATENATE(J62,"-",K62,"-",L62,"-",M62)</f>
        <v>5050-8389-0313-5078</v>
      </c>
      <c r="H62" s="18" t="s">
        <v>136</v>
      </c>
      <c r="I62" s="19" t="s">
        <v>158</v>
      </c>
      <c r="J62" s="18" t="s">
        <v>297</v>
      </c>
      <c r="K62" s="18" t="s">
        <v>296</v>
      </c>
      <c r="L62" s="20" t="s">
        <v>4</v>
      </c>
      <c r="M62" s="20" t="s">
        <v>5</v>
      </c>
      <c r="N62" s="21"/>
      <c r="O62" s="22">
        <f>LEN(H62)</f>
        <v>11</v>
      </c>
      <c r="P62" t="s">
        <v>161</v>
      </c>
    </row>
    <row r="63" spans="1:18" x14ac:dyDescent="0.3">
      <c r="A63" s="12">
        <v>50</v>
      </c>
      <c r="B63">
        <v>4191</v>
      </c>
      <c r="C63" t="s">
        <v>74</v>
      </c>
      <c r="D63" s="11">
        <v>28211102700992</v>
      </c>
      <c r="E63" s="5">
        <v>25000</v>
      </c>
      <c r="F63" s="5">
        <v>18</v>
      </c>
      <c r="G63" s="17" t="str">
        <f>CONCATENATE(J63,"-",K63,"-",L63,"-",M63)</f>
        <v>9572-0189-0313-5078</v>
      </c>
      <c r="H63" s="18" t="s">
        <v>137</v>
      </c>
      <c r="I63" s="19" t="s">
        <v>157</v>
      </c>
      <c r="J63" s="23" t="s">
        <v>20</v>
      </c>
      <c r="K63" s="18" t="s">
        <v>21</v>
      </c>
      <c r="L63" s="20" t="s">
        <v>4</v>
      </c>
      <c r="M63" s="20" t="s">
        <v>5</v>
      </c>
      <c r="N63" s="21"/>
      <c r="O63" s="22">
        <f>LEN(H63)</f>
        <v>11</v>
      </c>
      <c r="P63" t="s">
        <v>161</v>
      </c>
    </row>
    <row r="64" spans="1:18" x14ac:dyDescent="0.3">
      <c r="A64" s="12">
        <v>55</v>
      </c>
      <c r="B64">
        <v>3962</v>
      </c>
      <c r="C64" t="s">
        <v>79</v>
      </c>
      <c r="D64" s="11">
        <v>28208082701431</v>
      </c>
      <c r="E64" s="5">
        <v>29000</v>
      </c>
      <c r="F64" s="5">
        <v>18</v>
      </c>
      <c r="G64" s="17" t="str">
        <f>CONCATENATE(J64,"-",K64,"-",L64,"-",M64)</f>
        <v>2846-7312-0313-5078</v>
      </c>
      <c r="H64" s="18" t="s">
        <v>142</v>
      </c>
      <c r="I64" s="19" t="s">
        <v>158</v>
      </c>
      <c r="J64" s="18" t="s">
        <v>269</v>
      </c>
      <c r="K64" s="18" t="s">
        <v>268</v>
      </c>
      <c r="L64" s="20" t="s">
        <v>4</v>
      </c>
      <c r="M64" s="20" t="s">
        <v>5</v>
      </c>
      <c r="N64" s="21"/>
      <c r="O64" s="22">
        <f>LEN(H64)</f>
        <v>11</v>
      </c>
      <c r="P64" t="s">
        <v>161</v>
      </c>
    </row>
    <row r="65" spans="1:16" x14ac:dyDescent="0.3">
      <c r="A65" s="12">
        <v>56</v>
      </c>
      <c r="B65">
        <v>1435</v>
      </c>
      <c r="C65" t="s">
        <v>80</v>
      </c>
      <c r="D65" s="11">
        <v>27312042701576</v>
      </c>
      <c r="E65" s="5">
        <v>50000</v>
      </c>
      <c r="F65" s="5">
        <v>18</v>
      </c>
      <c r="G65" s="17" t="str">
        <f>CONCATENATE(J65,"-",K65,"-",L65,"-",M65)</f>
        <v>0527-7262-0313-5078</v>
      </c>
      <c r="H65" s="18" t="s">
        <v>143</v>
      </c>
      <c r="I65" s="19" t="s">
        <v>157</v>
      </c>
      <c r="J65" s="18" t="s">
        <v>274</v>
      </c>
      <c r="K65" s="18" t="s">
        <v>273</v>
      </c>
      <c r="L65" s="20" t="s">
        <v>4</v>
      </c>
      <c r="M65" s="20" t="s">
        <v>5</v>
      </c>
      <c r="N65" s="21"/>
      <c r="O65" s="22">
        <f>LEN(H65)</f>
        <v>11</v>
      </c>
      <c r="P65" t="s">
        <v>161</v>
      </c>
    </row>
    <row r="66" spans="1:16" s="24" customFormat="1" x14ac:dyDescent="0.3">
      <c r="A66" s="12">
        <v>59</v>
      </c>
      <c r="B66">
        <v>2915</v>
      </c>
      <c r="C66" t="s">
        <v>83</v>
      </c>
      <c r="D66" s="11">
        <v>28409152702478</v>
      </c>
      <c r="E66" s="5">
        <v>50000</v>
      </c>
      <c r="F66" s="5">
        <v>18</v>
      </c>
      <c r="G66" s="17" t="str">
        <f>CONCATENATE(J66,"-",K66,"-",L66,"-",M66)</f>
        <v>6505-6861-0313-5078</v>
      </c>
      <c r="H66" s="18" t="s">
        <v>146</v>
      </c>
      <c r="I66" s="19" t="s">
        <v>157</v>
      </c>
      <c r="J66" s="23" t="s">
        <v>17</v>
      </c>
      <c r="K66" s="18" t="s">
        <v>24</v>
      </c>
      <c r="L66" s="20" t="s">
        <v>4</v>
      </c>
      <c r="M66" s="20" t="s">
        <v>5</v>
      </c>
      <c r="N66" s="21"/>
      <c r="O66" s="22">
        <f>LEN(H66)</f>
        <v>11</v>
      </c>
      <c r="P66" t="s">
        <v>161</v>
      </c>
    </row>
    <row r="67" spans="1:16" x14ac:dyDescent="0.3">
      <c r="A67" s="12">
        <v>60</v>
      </c>
      <c r="B67">
        <v>2654</v>
      </c>
      <c r="C67" t="s">
        <v>84</v>
      </c>
      <c r="D67" s="11">
        <v>28701282700071</v>
      </c>
      <c r="E67" s="5">
        <v>50000</v>
      </c>
      <c r="F67" s="5">
        <v>18</v>
      </c>
      <c r="G67" s="17" t="str">
        <f>CONCATENATE(J67,"-",K67,"-",L67,"-",M67)</f>
        <v>7201-7989-0313-5078</v>
      </c>
      <c r="H67" s="18" t="s">
        <v>147</v>
      </c>
      <c r="I67" s="19" t="s">
        <v>154</v>
      </c>
      <c r="J67" s="18" t="s">
        <v>291</v>
      </c>
      <c r="K67" s="18" t="s">
        <v>290</v>
      </c>
      <c r="L67" s="20" t="s">
        <v>4</v>
      </c>
      <c r="M67" s="20" t="s">
        <v>5</v>
      </c>
      <c r="N67" s="21"/>
      <c r="O67" s="22">
        <f>LEN(H67)</f>
        <v>11</v>
      </c>
      <c r="P67" t="s">
        <v>161</v>
      </c>
    </row>
    <row r="68" spans="1:16" x14ac:dyDescent="0.3">
      <c r="A68" s="12">
        <v>63</v>
      </c>
      <c r="B68">
        <v>1316</v>
      </c>
      <c r="C68" t="s">
        <v>87</v>
      </c>
      <c r="D68" s="11">
        <v>27801062700135</v>
      </c>
      <c r="E68" s="5">
        <v>40000</v>
      </c>
      <c r="F68" s="5">
        <v>18</v>
      </c>
      <c r="G68" s="17" t="str">
        <f>CONCATENATE(J68,"-",K68,"-",L68,"-",M68)</f>
        <v>1387-8234-0313-5078</v>
      </c>
      <c r="H68" s="18" t="s">
        <v>150</v>
      </c>
      <c r="I68" s="19" t="s">
        <v>154</v>
      </c>
      <c r="J68" s="18" t="s">
        <v>285</v>
      </c>
      <c r="K68" s="18" t="s">
        <v>284</v>
      </c>
      <c r="L68" s="20" t="s">
        <v>4</v>
      </c>
      <c r="M68" s="20" t="s">
        <v>5</v>
      </c>
      <c r="N68" s="21"/>
      <c r="O68" s="22">
        <f>LEN(H68)</f>
        <v>11</v>
      </c>
      <c r="P68" t="s">
        <v>161</v>
      </c>
    </row>
    <row r="69" spans="1:16" x14ac:dyDescent="0.3">
      <c r="A69" s="12">
        <v>65</v>
      </c>
      <c r="B69" s="24">
        <v>5465</v>
      </c>
      <c r="C69" s="24" t="s">
        <v>89</v>
      </c>
      <c r="D69" s="25">
        <v>30207012713183</v>
      </c>
      <c r="E69" s="26">
        <v>15000</v>
      </c>
      <c r="F69" s="26">
        <v>18</v>
      </c>
      <c r="G69" s="17" t="str">
        <f>CONCATENATE(J69,"-",K69,"-",L69,"-",M69)</f>
        <v>8395-1037-0320-5078</v>
      </c>
      <c r="H69" s="23" t="s">
        <v>152</v>
      </c>
      <c r="I69" s="27" t="s">
        <v>155</v>
      </c>
      <c r="J69" s="23" t="s">
        <v>272</v>
      </c>
      <c r="K69" s="23" t="s">
        <v>271</v>
      </c>
      <c r="L69" s="28" t="s">
        <v>270</v>
      </c>
      <c r="M69" s="28" t="s">
        <v>5</v>
      </c>
      <c r="N69" s="29"/>
      <c r="O69" s="22">
        <f>LEN(H69)</f>
        <v>11</v>
      </c>
      <c r="P69" s="24" t="s">
        <v>162</v>
      </c>
    </row>
    <row r="70" spans="1:16" x14ac:dyDescent="0.3">
      <c r="A70" s="12">
        <v>9</v>
      </c>
      <c r="B70">
        <v>5472</v>
      </c>
      <c r="C70" t="s">
        <v>33</v>
      </c>
      <c r="D70" s="11">
        <v>28301302701615</v>
      </c>
      <c r="E70" s="5">
        <v>20000</v>
      </c>
      <c r="F70" s="5">
        <v>18</v>
      </c>
      <c r="G70" s="17" t="str">
        <f>CONCATENATE(J70,"-",K70,"-",L70,"-",M70)</f>
        <v>6598-5390-0313-5078</v>
      </c>
      <c r="H70" s="18" t="s">
        <v>98</v>
      </c>
      <c r="I70" s="19" t="s">
        <v>158</v>
      </c>
      <c r="J70" s="18" t="s">
        <v>180</v>
      </c>
      <c r="K70" s="18" t="s">
        <v>179</v>
      </c>
      <c r="L70" s="20" t="s">
        <v>4</v>
      </c>
      <c r="M70" s="20" t="s">
        <v>5</v>
      </c>
      <c r="N70" s="21"/>
      <c r="O70" s="22">
        <f>LEN(H70)</f>
        <v>11</v>
      </c>
      <c r="P70" t="s">
        <v>159</v>
      </c>
    </row>
    <row r="71" spans="1:16" x14ac:dyDescent="0.3">
      <c r="A71" s="12">
        <v>32</v>
      </c>
      <c r="B71">
        <v>5450</v>
      </c>
      <c r="C71" t="s">
        <v>56</v>
      </c>
      <c r="D71" s="11">
        <v>29110082800882</v>
      </c>
      <c r="E71" s="5">
        <v>10000</v>
      </c>
      <c r="F71" s="5">
        <v>18</v>
      </c>
      <c r="G71" s="17" t="str">
        <f>CONCATENATE(J71,"-",K71,"-",L71,"-",M71)</f>
        <v>8922-8793-0313-5078</v>
      </c>
      <c r="H71" s="18" t="s">
        <v>120</v>
      </c>
      <c r="I71" s="19" t="s">
        <v>154</v>
      </c>
      <c r="J71" s="18" t="s">
        <v>226</v>
      </c>
      <c r="K71" s="18" t="s">
        <v>225</v>
      </c>
      <c r="L71" s="20" t="s">
        <v>4</v>
      </c>
      <c r="M71" s="20" t="s">
        <v>5</v>
      </c>
      <c r="N71" s="21"/>
      <c r="O71" s="22">
        <f>LEN(H71)</f>
        <v>11</v>
      </c>
      <c r="P71" t="s">
        <v>160</v>
      </c>
    </row>
    <row r="72" spans="1:16" x14ac:dyDescent="0.3">
      <c r="A72" s="12">
        <v>46</v>
      </c>
      <c r="B72">
        <v>5463</v>
      </c>
      <c r="C72" t="s">
        <v>70</v>
      </c>
      <c r="D72" s="11">
        <v>29901102703789</v>
      </c>
      <c r="E72" s="5">
        <v>20000</v>
      </c>
      <c r="F72" s="5">
        <v>18</v>
      </c>
      <c r="G72" s="17" t="str">
        <f>CONCATENATE(J72,"-",K72,"-",L72,"-",M72)</f>
        <v>1490-6976-0313-5078</v>
      </c>
      <c r="H72" s="18" t="s">
        <v>133</v>
      </c>
      <c r="I72" s="19" t="s">
        <v>155</v>
      </c>
      <c r="J72" s="18" t="s">
        <v>253</v>
      </c>
      <c r="K72" s="18" t="s">
        <v>252</v>
      </c>
      <c r="L72" s="20" t="s">
        <v>4</v>
      </c>
      <c r="M72" s="20" t="s">
        <v>5</v>
      </c>
      <c r="N72" s="21"/>
      <c r="O72" s="22">
        <f>LEN(H72)</f>
        <v>11</v>
      </c>
      <c r="P72" t="s">
        <v>161</v>
      </c>
    </row>
    <row r="73" spans="1:16" x14ac:dyDescent="0.3">
      <c r="A73" s="12">
        <v>61</v>
      </c>
      <c r="B73">
        <v>5454</v>
      </c>
      <c r="C73" t="s">
        <v>85</v>
      </c>
      <c r="D73" s="11">
        <v>27912100203295</v>
      </c>
      <c r="E73" s="5">
        <v>20000</v>
      </c>
      <c r="F73" s="5">
        <v>18</v>
      </c>
      <c r="G73" s="17" t="str">
        <f>CONCATENATE(J73,"-",K73,"-",L73,"-",M73)</f>
        <v>5024-5024-0313-5078</v>
      </c>
      <c r="H73" s="18" t="s">
        <v>148</v>
      </c>
      <c r="I73" s="19" t="s">
        <v>154</v>
      </c>
      <c r="J73" s="18" t="s">
        <v>281</v>
      </c>
      <c r="K73" s="18" t="s">
        <v>281</v>
      </c>
      <c r="L73" s="20" t="s">
        <v>4</v>
      </c>
      <c r="M73" s="20" t="s">
        <v>5</v>
      </c>
      <c r="N73" s="21"/>
      <c r="O73" s="22">
        <f>LEN(H73)</f>
        <v>11</v>
      </c>
      <c r="P73" t="s">
        <v>161</v>
      </c>
    </row>
    <row r="74" spans="1:16" x14ac:dyDescent="0.3">
      <c r="A74" s="12">
        <v>66</v>
      </c>
      <c r="C74" t="s">
        <v>163</v>
      </c>
      <c r="D74" s="11" t="s">
        <v>164</v>
      </c>
      <c r="G74" s="17" t="str">
        <f>CONCATENATE(J74,"-",K74,"-",L74,"-",M74)</f>
        <v>7858-2663-0313-5078</v>
      </c>
      <c r="H74" s="18"/>
      <c r="I74" s="19"/>
      <c r="J74" s="18" t="s">
        <v>18</v>
      </c>
      <c r="K74" s="18" t="s">
        <v>19</v>
      </c>
      <c r="L74" s="20" t="s">
        <v>4</v>
      </c>
      <c r="M74" s="20" t="s">
        <v>5</v>
      </c>
      <c r="N74" s="21"/>
      <c r="O74" s="22">
        <f>LEN(H74)</f>
        <v>0</v>
      </c>
      <c r="P74" t="s">
        <v>288</v>
      </c>
    </row>
    <row r="75" spans="1:16" x14ac:dyDescent="0.3">
      <c r="A75" s="12"/>
      <c r="G75" s="15"/>
      <c r="O75" s="16"/>
    </row>
    <row r="76" spans="1:16" x14ac:dyDescent="0.3">
      <c r="A76" s="12"/>
      <c r="G76" s="15"/>
      <c r="O76" s="16"/>
    </row>
    <row r="77" spans="1:16" x14ac:dyDescent="0.3">
      <c r="A77" s="12"/>
      <c r="B77">
        <v>5483</v>
      </c>
      <c r="G77" s="15"/>
      <c r="O77" s="16"/>
    </row>
    <row r="78" spans="1:16" x14ac:dyDescent="0.3">
      <c r="A78" s="12"/>
      <c r="B78">
        <v>4632</v>
      </c>
      <c r="G78" s="15"/>
      <c r="O78" s="16"/>
    </row>
    <row r="79" spans="1:16" x14ac:dyDescent="0.3">
      <c r="A79" s="12"/>
      <c r="B79">
        <v>5484</v>
      </c>
      <c r="G79" s="15"/>
      <c r="O79" s="16"/>
    </row>
    <row r="80" spans="1:16" x14ac:dyDescent="0.3">
      <c r="A80" s="12"/>
      <c r="B80">
        <v>5482</v>
      </c>
      <c r="G80" s="15"/>
      <c r="O80" s="16"/>
    </row>
    <row r="81" spans="1:15" x14ac:dyDescent="0.3">
      <c r="A81" s="12"/>
      <c r="B81">
        <v>5486</v>
      </c>
      <c r="G81" s="15"/>
      <c r="O81" s="16"/>
    </row>
    <row r="82" spans="1:15" x14ac:dyDescent="0.3">
      <c r="A82" s="12"/>
      <c r="B82">
        <v>5487</v>
      </c>
      <c r="G82" s="15"/>
      <c r="O82" s="16"/>
    </row>
    <row r="83" spans="1:15" x14ac:dyDescent="0.3">
      <c r="A83" s="12"/>
      <c r="B83">
        <v>5488</v>
      </c>
      <c r="G83" s="15"/>
      <c r="O83" s="16"/>
    </row>
    <row r="84" spans="1:15" x14ac:dyDescent="0.3">
      <c r="A84" s="12"/>
      <c r="B84">
        <v>5485</v>
      </c>
      <c r="G84" s="15"/>
      <c r="O84" s="16"/>
    </row>
    <row r="85" spans="1:15" x14ac:dyDescent="0.3">
      <c r="A85" s="12"/>
      <c r="G85" s="15"/>
      <c r="O85" s="16"/>
    </row>
    <row r="86" spans="1:15" x14ac:dyDescent="0.3">
      <c r="A86" s="12"/>
      <c r="G86" s="15"/>
      <c r="O86" s="16"/>
    </row>
    <row r="87" spans="1:15" x14ac:dyDescent="0.3">
      <c r="A87" s="12"/>
      <c r="G87" s="15"/>
      <c r="O87" s="16"/>
    </row>
    <row r="88" spans="1:15" x14ac:dyDescent="0.3">
      <c r="A88" s="12"/>
      <c r="G88" s="15"/>
      <c r="O88" s="16"/>
    </row>
    <row r="89" spans="1:15" x14ac:dyDescent="0.3">
      <c r="A89" s="12"/>
      <c r="G89" s="15"/>
      <c r="O89" s="16"/>
    </row>
    <row r="90" spans="1:15" x14ac:dyDescent="0.3">
      <c r="A90" s="12"/>
      <c r="G90" s="15"/>
      <c r="O90" s="16"/>
    </row>
    <row r="91" spans="1:15" x14ac:dyDescent="0.3">
      <c r="A91" s="12"/>
      <c r="G91" s="15"/>
      <c r="O91" s="16"/>
    </row>
    <row r="92" spans="1:15" x14ac:dyDescent="0.3">
      <c r="A92" s="12"/>
      <c r="G92" s="15"/>
      <c r="O92" s="16"/>
    </row>
    <row r="93" spans="1:15" x14ac:dyDescent="0.3">
      <c r="A93" s="12"/>
      <c r="G93" s="15"/>
      <c r="O93" s="16"/>
    </row>
    <row r="94" spans="1:15" x14ac:dyDescent="0.3">
      <c r="A94" s="12"/>
      <c r="G94" s="15"/>
      <c r="O94" s="16"/>
    </row>
    <row r="95" spans="1:15" x14ac:dyDescent="0.3">
      <c r="A95" s="12"/>
      <c r="G95" s="15"/>
      <c r="O95" s="16"/>
    </row>
    <row r="96" spans="1:15" x14ac:dyDescent="0.3">
      <c r="A96" s="12"/>
      <c r="G96" s="15"/>
      <c r="O96" s="16"/>
    </row>
    <row r="97" spans="1:15" x14ac:dyDescent="0.3">
      <c r="A97" s="12"/>
      <c r="G97" s="15"/>
      <c r="O97" s="16"/>
    </row>
    <row r="98" spans="1:15" x14ac:dyDescent="0.3">
      <c r="A98" s="12"/>
      <c r="G98" s="15"/>
      <c r="J98" s="14" t="s">
        <v>280</v>
      </c>
      <c r="K98" s="14" t="s">
        <v>279</v>
      </c>
      <c r="L98" s="13" t="s">
        <v>4</v>
      </c>
      <c r="M98" s="13" t="s">
        <v>5</v>
      </c>
      <c r="O98" s="16"/>
    </row>
    <row r="99" spans="1:15" x14ac:dyDescent="0.3">
      <c r="A99" s="12"/>
      <c r="G99" s="15"/>
      <c r="J99" s="14" t="s">
        <v>228</v>
      </c>
      <c r="K99" s="14" t="s">
        <v>227</v>
      </c>
      <c r="L99" s="13" t="s">
        <v>4</v>
      </c>
      <c r="M99" s="13" t="s">
        <v>5</v>
      </c>
      <c r="O99" s="16"/>
    </row>
    <row r="100" spans="1:15" x14ac:dyDescent="0.3">
      <c r="A100" s="12"/>
      <c r="G100" s="15"/>
      <c r="J100" s="14" t="s">
        <v>192</v>
      </c>
      <c r="K100" s="14" t="s">
        <v>191</v>
      </c>
      <c r="L100" s="13" t="s">
        <v>4</v>
      </c>
      <c r="M100" s="13" t="s">
        <v>5</v>
      </c>
      <c r="O100" s="16"/>
    </row>
    <row r="101" spans="1:15" x14ac:dyDescent="0.3">
      <c r="A101" s="12"/>
      <c r="G101" s="15"/>
      <c r="J101" s="14" t="s">
        <v>259</v>
      </c>
      <c r="K101" s="14" t="s">
        <v>258</v>
      </c>
      <c r="L101" s="13" t="s">
        <v>4</v>
      </c>
      <c r="M101" s="13" t="s">
        <v>5</v>
      </c>
      <c r="O101" s="16"/>
    </row>
    <row r="102" spans="1:15" x14ac:dyDescent="0.3">
      <c r="A102" s="12"/>
      <c r="G102" s="15"/>
      <c r="J102" s="14" t="s">
        <v>216</v>
      </c>
      <c r="K102" s="14" t="s">
        <v>215</v>
      </c>
      <c r="L102" s="13" t="s">
        <v>4</v>
      </c>
      <c r="M102" s="13" t="s">
        <v>5</v>
      </c>
      <c r="O102" s="16"/>
    </row>
    <row r="103" spans="1:15" x14ac:dyDescent="0.3">
      <c r="A103" s="12"/>
      <c r="G103" s="15"/>
      <c r="J103" s="14" t="s">
        <v>263</v>
      </c>
      <c r="K103" s="14" t="s">
        <v>262</v>
      </c>
      <c r="L103" s="13" t="s">
        <v>4</v>
      </c>
      <c r="M103" s="13" t="s">
        <v>5</v>
      </c>
      <c r="O103" s="16"/>
    </row>
    <row r="104" spans="1:15" x14ac:dyDescent="0.3">
      <c r="A104" s="12"/>
      <c r="G104" s="15"/>
      <c r="J104" s="14" t="s">
        <v>278</v>
      </c>
      <c r="K104" s="14" t="s">
        <v>277</v>
      </c>
      <c r="L104" s="13" t="s">
        <v>4</v>
      </c>
      <c r="M104" s="13" t="s">
        <v>5</v>
      </c>
      <c r="O104" s="16"/>
    </row>
    <row r="105" spans="1:15" x14ac:dyDescent="0.3">
      <c r="A105" s="12"/>
      <c r="G105" s="15"/>
      <c r="J105" s="14" t="s">
        <v>247</v>
      </c>
      <c r="K105" s="14" t="s">
        <v>192</v>
      </c>
      <c r="L105" s="13" t="s">
        <v>4</v>
      </c>
      <c r="M105" s="13" t="s">
        <v>5</v>
      </c>
      <c r="O105" s="16"/>
    </row>
    <row r="106" spans="1:15" x14ac:dyDescent="0.3">
      <c r="A106" s="12"/>
      <c r="G106" s="15"/>
      <c r="J106" s="14" t="s">
        <v>170</v>
      </c>
      <c r="K106" s="14" t="s">
        <v>169</v>
      </c>
      <c r="L106" s="13" t="s">
        <v>4</v>
      </c>
      <c r="M106" s="13" t="s">
        <v>5</v>
      </c>
      <c r="O106" s="16"/>
    </row>
    <row r="107" spans="1:15" x14ac:dyDescent="0.3">
      <c r="A107" s="12"/>
      <c r="G107" s="15"/>
      <c r="J107" s="14" t="s">
        <v>224</v>
      </c>
      <c r="K107" s="14" t="s">
        <v>223</v>
      </c>
      <c r="L107" s="13" t="s">
        <v>4</v>
      </c>
      <c r="M107" s="13" t="s">
        <v>5</v>
      </c>
      <c r="O107" s="16"/>
    </row>
    <row r="108" spans="1:15" x14ac:dyDescent="0.3">
      <c r="A108" s="12"/>
      <c r="G108" s="15"/>
      <c r="J108" s="14" t="s">
        <v>196</v>
      </c>
      <c r="K108" s="14" t="s">
        <v>195</v>
      </c>
      <c r="L108" s="13" t="s">
        <v>4</v>
      </c>
      <c r="M108" s="13" t="s">
        <v>5</v>
      </c>
      <c r="O108" s="16"/>
    </row>
    <row r="109" spans="1:15" x14ac:dyDescent="0.3">
      <c r="A109" s="12"/>
      <c r="G109" s="15"/>
      <c r="J109" s="14" t="s">
        <v>212</v>
      </c>
      <c r="K109" s="14" t="s">
        <v>211</v>
      </c>
      <c r="L109" s="13" t="s">
        <v>4</v>
      </c>
      <c r="M109" s="13" t="s">
        <v>5</v>
      </c>
      <c r="O109" s="16"/>
    </row>
    <row r="110" spans="1:15" x14ac:dyDescent="0.3">
      <c r="A110" s="12"/>
      <c r="G110" s="15"/>
      <c r="O110" s="16"/>
    </row>
    <row r="111" spans="1:15" x14ac:dyDescent="0.3">
      <c r="A111" s="12"/>
      <c r="G111" s="15"/>
      <c r="O111" s="16"/>
    </row>
    <row r="112" spans="1:15" x14ac:dyDescent="0.3">
      <c r="A112" s="12"/>
      <c r="G112" s="15"/>
      <c r="O112" s="16"/>
    </row>
    <row r="113" spans="1:15" x14ac:dyDescent="0.3">
      <c r="A113" s="12"/>
      <c r="G113" s="15"/>
      <c r="O113" s="16"/>
    </row>
    <row r="114" spans="1:15" x14ac:dyDescent="0.3">
      <c r="A114" s="12"/>
      <c r="G114" s="15"/>
      <c r="O114" s="16"/>
    </row>
    <row r="115" spans="1:15" x14ac:dyDescent="0.3">
      <c r="A115" s="12"/>
      <c r="G115" s="15"/>
      <c r="O115" s="16"/>
    </row>
    <row r="116" spans="1:15" x14ac:dyDescent="0.3">
      <c r="A116" s="12"/>
      <c r="G116" s="15"/>
      <c r="O116" s="16"/>
    </row>
    <row r="117" spans="1:15" x14ac:dyDescent="0.3">
      <c r="A117" s="12"/>
      <c r="G117" s="15"/>
      <c r="O117" s="16"/>
    </row>
    <row r="118" spans="1:15" x14ac:dyDescent="0.3">
      <c r="A118" s="12"/>
      <c r="G118" s="15"/>
      <c r="O118" s="16"/>
    </row>
    <row r="119" spans="1:15" x14ac:dyDescent="0.3">
      <c r="A119" s="12"/>
      <c r="G119" s="15"/>
      <c r="O119" s="16"/>
    </row>
    <row r="120" spans="1:15" x14ac:dyDescent="0.3">
      <c r="A120" s="12"/>
      <c r="G120" s="15"/>
      <c r="O120" s="16"/>
    </row>
    <row r="121" spans="1:15" x14ac:dyDescent="0.3">
      <c r="A121" s="12"/>
      <c r="G121" s="15"/>
      <c r="O121" s="16"/>
    </row>
    <row r="122" spans="1:15" x14ac:dyDescent="0.3">
      <c r="A122" s="12"/>
      <c r="G122" s="15"/>
      <c r="O122" s="16"/>
    </row>
    <row r="123" spans="1:15" x14ac:dyDescent="0.3">
      <c r="A123" s="12"/>
      <c r="G123" s="15"/>
      <c r="O123" s="16"/>
    </row>
    <row r="124" spans="1:15" x14ac:dyDescent="0.3">
      <c r="A124" s="12"/>
      <c r="G124" s="15"/>
      <c r="O124" s="16"/>
    </row>
    <row r="125" spans="1:15" x14ac:dyDescent="0.3">
      <c r="A125" s="12"/>
      <c r="G125" s="15"/>
      <c r="O125" s="16"/>
    </row>
    <row r="126" spans="1:15" x14ac:dyDescent="0.3">
      <c r="A126" s="12"/>
      <c r="G126" s="15"/>
      <c r="O126" s="16"/>
    </row>
    <row r="127" spans="1:15" x14ac:dyDescent="0.3">
      <c r="A127" s="12"/>
      <c r="G127" s="15"/>
      <c r="O127" s="16"/>
    </row>
    <row r="128" spans="1:15" x14ac:dyDescent="0.3">
      <c r="A128" s="12"/>
      <c r="G128" s="15"/>
      <c r="O128" s="16"/>
    </row>
    <row r="129" spans="1:15" x14ac:dyDescent="0.3">
      <c r="A129" s="12"/>
      <c r="G129" s="15"/>
      <c r="O129" s="16"/>
    </row>
    <row r="130" spans="1:15" x14ac:dyDescent="0.3">
      <c r="A130" s="12"/>
      <c r="G130" s="15"/>
      <c r="O130" s="16"/>
    </row>
    <row r="131" spans="1:15" x14ac:dyDescent="0.3">
      <c r="A131" s="12"/>
      <c r="G131" s="15"/>
      <c r="O131" s="16"/>
    </row>
    <row r="132" spans="1:15" x14ac:dyDescent="0.3">
      <c r="A132" s="12"/>
      <c r="G132" s="15"/>
      <c r="O132" s="16"/>
    </row>
    <row r="133" spans="1:15" x14ac:dyDescent="0.3">
      <c r="A133" s="12"/>
      <c r="G133" s="15"/>
      <c r="O133" s="16"/>
    </row>
    <row r="134" spans="1:15" x14ac:dyDescent="0.3">
      <c r="A134" s="12"/>
      <c r="G134" s="15"/>
      <c r="O134" s="16"/>
    </row>
    <row r="135" spans="1:15" x14ac:dyDescent="0.3">
      <c r="A135" s="12"/>
      <c r="G135" s="15"/>
      <c r="O135" s="16"/>
    </row>
    <row r="136" spans="1:15" x14ac:dyDescent="0.3">
      <c r="A136" s="12"/>
      <c r="G136" s="15"/>
      <c r="O136" s="16"/>
    </row>
    <row r="137" spans="1:15" x14ac:dyDescent="0.3">
      <c r="A137" s="12"/>
      <c r="G137" s="15"/>
      <c r="O137" s="16"/>
    </row>
    <row r="138" spans="1:15" x14ac:dyDescent="0.3">
      <c r="A138" s="12"/>
      <c r="G138" s="15"/>
      <c r="O138" s="16"/>
    </row>
    <row r="139" spans="1:15" x14ac:dyDescent="0.3">
      <c r="A139" s="12"/>
      <c r="G139" s="15"/>
      <c r="O139" s="16"/>
    </row>
    <row r="140" spans="1:15" x14ac:dyDescent="0.3">
      <c r="A140" s="12"/>
      <c r="G140" s="15"/>
      <c r="O140" s="16"/>
    </row>
    <row r="141" spans="1:15" x14ac:dyDescent="0.3">
      <c r="A141" s="12"/>
      <c r="G141" s="15"/>
      <c r="O141" s="16"/>
    </row>
    <row r="142" spans="1:15" x14ac:dyDescent="0.3">
      <c r="A142" s="12"/>
      <c r="G142" s="15"/>
      <c r="O142" s="16"/>
    </row>
    <row r="143" spans="1:15" x14ac:dyDescent="0.3">
      <c r="A143" s="12"/>
      <c r="G143" s="15"/>
      <c r="O143" s="16"/>
    </row>
    <row r="144" spans="1:15" x14ac:dyDescent="0.3">
      <c r="A144" s="12"/>
      <c r="G144" s="15"/>
      <c r="O144" s="16"/>
    </row>
    <row r="145" spans="1:15" x14ac:dyDescent="0.3">
      <c r="A145" s="12"/>
      <c r="G145" s="15"/>
      <c r="O145" s="16"/>
    </row>
    <row r="146" spans="1:15" x14ac:dyDescent="0.3">
      <c r="A146" s="12"/>
      <c r="G146" s="15"/>
      <c r="O146" s="16"/>
    </row>
    <row r="147" spans="1:15" x14ac:dyDescent="0.3">
      <c r="A147" s="12"/>
      <c r="G147" s="15"/>
      <c r="O147" s="16"/>
    </row>
    <row r="148" spans="1:15" x14ac:dyDescent="0.3">
      <c r="A148" s="12"/>
      <c r="G148" s="15"/>
      <c r="O148" s="16"/>
    </row>
    <row r="149" spans="1:15" x14ac:dyDescent="0.3">
      <c r="A149" s="12"/>
      <c r="G149" s="15"/>
      <c r="O149" s="16"/>
    </row>
    <row r="150" spans="1:15" x14ac:dyDescent="0.3">
      <c r="A150" s="12"/>
      <c r="G150" s="15"/>
      <c r="O150" s="16"/>
    </row>
    <row r="151" spans="1:15" x14ac:dyDescent="0.3">
      <c r="A151" s="12"/>
      <c r="G151" s="15"/>
      <c r="O151" s="16"/>
    </row>
    <row r="152" spans="1:15" x14ac:dyDescent="0.3">
      <c r="A152" s="12"/>
      <c r="G152" s="15"/>
      <c r="O152" s="16"/>
    </row>
    <row r="153" spans="1:15" x14ac:dyDescent="0.3">
      <c r="A153" s="12"/>
      <c r="G153" s="15"/>
      <c r="O153" s="16"/>
    </row>
    <row r="154" spans="1:15" x14ac:dyDescent="0.3">
      <c r="A154" s="12"/>
      <c r="G154" s="15"/>
      <c r="O154" s="16"/>
    </row>
    <row r="155" spans="1:15" x14ac:dyDescent="0.3">
      <c r="A155" s="12"/>
      <c r="G155" s="15"/>
      <c r="O155" s="16"/>
    </row>
    <row r="156" spans="1:15" x14ac:dyDescent="0.3">
      <c r="A156" s="12"/>
      <c r="G156" s="15"/>
      <c r="O156" s="16"/>
    </row>
    <row r="157" spans="1:15" x14ac:dyDescent="0.3">
      <c r="A157" s="12"/>
      <c r="G157" s="15"/>
      <c r="O157" s="16"/>
    </row>
    <row r="158" spans="1:15" x14ac:dyDescent="0.3">
      <c r="A158" s="12"/>
      <c r="G158" s="15"/>
      <c r="O158" s="16"/>
    </row>
    <row r="159" spans="1:15" x14ac:dyDescent="0.3">
      <c r="A159" s="12"/>
      <c r="G159" s="15"/>
      <c r="O159" s="16"/>
    </row>
    <row r="160" spans="1:15" x14ac:dyDescent="0.3">
      <c r="A160" s="12"/>
      <c r="G160" s="15"/>
      <c r="O160" s="16"/>
    </row>
    <row r="161" spans="1:15" x14ac:dyDescent="0.3">
      <c r="A161" s="12"/>
      <c r="G161" s="15"/>
      <c r="O161" s="16"/>
    </row>
    <row r="162" spans="1:15" x14ac:dyDescent="0.3">
      <c r="A162" s="12"/>
      <c r="G162" s="15"/>
      <c r="O162" s="16"/>
    </row>
    <row r="163" spans="1:15" x14ac:dyDescent="0.3">
      <c r="A163" s="12"/>
      <c r="G163" s="15"/>
      <c r="O163" s="16"/>
    </row>
    <row r="164" spans="1:15" x14ac:dyDescent="0.3">
      <c r="A164" s="12"/>
      <c r="G164" s="15"/>
      <c r="O164" s="16"/>
    </row>
    <row r="165" spans="1:15" x14ac:dyDescent="0.3">
      <c r="A165" s="12"/>
      <c r="G165" s="15"/>
      <c r="O165" s="16"/>
    </row>
    <row r="166" spans="1:15" x14ac:dyDescent="0.3">
      <c r="A166" s="12"/>
      <c r="G166" s="15"/>
      <c r="O166" s="16"/>
    </row>
    <row r="167" spans="1:15" x14ac:dyDescent="0.3">
      <c r="A167" s="12"/>
      <c r="G167" s="15"/>
      <c r="O167" s="16"/>
    </row>
    <row r="168" spans="1:15" x14ac:dyDescent="0.3">
      <c r="A168" s="12"/>
      <c r="G168" s="15"/>
      <c r="O168" s="16"/>
    </row>
    <row r="169" spans="1:15" x14ac:dyDescent="0.3">
      <c r="A169" s="12"/>
      <c r="G169" s="15"/>
      <c r="O169" s="16"/>
    </row>
    <row r="170" spans="1:15" x14ac:dyDescent="0.3">
      <c r="A170" s="12"/>
      <c r="G170" s="15"/>
      <c r="O170" s="16"/>
    </row>
    <row r="171" spans="1:15" x14ac:dyDescent="0.3">
      <c r="A171" s="12"/>
      <c r="G171" s="15"/>
      <c r="O171" s="16"/>
    </row>
    <row r="172" spans="1:15" x14ac:dyDescent="0.3">
      <c r="A172" s="12"/>
      <c r="G172" s="15"/>
      <c r="O172" s="16"/>
    </row>
    <row r="173" spans="1:15" x14ac:dyDescent="0.3">
      <c r="A173" s="12"/>
      <c r="G173" s="15"/>
      <c r="O173" s="16"/>
    </row>
    <row r="174" spans="1:15" x14ac:dyDescent="0.3">
      <c r="A174" s="12"/>
      <c r="G174" s="15"/>
      <c r="O174" s="16"/>
    </row>
    <row r="175" spans="1:15" x14ac:dyDescent="0.3">
      <c r="A175" s="12"/>
      <c r="G175" s="15"/>
      <c r="O175" s="16"/>
    </row>
    <row r="176" spans="1:15" x14ac:dyDescent="0.3">
      <c r="A176" s="12"/>
      <c r="G176" s="15"/>
      <c r="O176" s="16"/>
    </row>
    <row r="177" spans="1:15" x14ac:dyDescent="0.3">
      <c r="A177" s="12"/>
      <c r="G177" s="15"/>
      <c r="O177" s="16"/>
    </row>
    <row r="178" spans="1:15" x14ac:dyDescent="0.3">
      <c r="A178" s="12"/>
      <c r="G178" s="15"/>
      <c r="O178" s="16"/>
    </row>
    <row r="179" spans="1:15" x14ac:dyDescent="0.3">
      <c r="A179" s="12"/>
      <c r="G179" s="15"/>
      <c r="O179" s="16"/>
    </row>
    <row r="180" spans="1:15" x14ac:dyDescent="0.3">
      <c r="A180" s="12"/>
      <c r="G180" s="15"/>
      <c r="O180" s="16"/>
    </row>
    <row r="181" spans="1:15" x14ac:dyDescent="0.3">
      <c r="A181" s="12"/>
      <c r="G181" s="15"/>
      <c r="O181" s="16"/>
    </row>
    <row r="182" spans="1:15" x14ac:dyDescent="0.3">
      <c r="A182" s="12"/>
      <c r="G182" s="15"/>
      <c r="O182" s="16"/>
    </row>
    <row r="183" spans="1:15" x14ac:dyDescent="0.3">
      <c r="A183" s="12"/>
      <c r="G183" s="15"/>
      <c r="O183" s="16"/>
    </row>
    <row r="184" spans="1:15" x14ac:dyDescent="0.3">
      <c r="A184" s="12"/>
      <c r="G184" s="15"/>
      <c r="O184" s="16"/>
    </row>
    <row r="185" spans="1:15" x14ac:dyDescent="0.3">
      <c r="A185" s="12"/>
      <c r="G185" s="15"/>
      <c r="O185" s="16"/>
    </row>
    <row r="186" spans="1:15" x14ac:dyDescent="0.3">
      <c r="A186" s="12"/>
      <c r="G186" s="15"/>
      <c r="O186" s="16"/>
    </row>
    <row r="187" spans="1:15" x14ac:dyDescent="0.3">
      <c r="A187" s="12"/>
      <c r="G187" s="15"/>
      <c r="O187" s="16"/>
    </row>
    <row r="188" spans="1:15" x14ac:dyDescent="0.3">
      <c r="A188" s="12"/>
      <c r="G188" s="15"/>
      <c r="O188" s="16"/>
    </row>
    <row r="189" spans="1:15" x14ac:dyDescent="0.3">
      <c r="A189" s="12"/>
      <c r="G189" s="15"/>
      <c r="O189" s="16"/>
    </row>
    <row r="190" spans="1:15" x14ac:dyDescent="0.3">
      <c r="A190" s="12"/>
      <c r="G190" s="15"/>
      <c r="O190" s="16"/>
    </row>
    <row r="191" spans="1:15" x14ac:dyDescent="0.3">
      <c r="A191" s="12"/>
      <c r="G191" s="15"/>
      <c r="O191" s="16"/>
    </row>
    <row r="192" spans="1:15" x14ac:dyDescent="0.3">
      <c r="A192" s="12"/>
      <c r="G192" s="15"/>
      <c r="O192" s="16"/>
    </row>
    <row r="193" spans="1:15" x14ac:dyDescent="0.3">
      <c r="A193" s="12"/>
      <c r="G193" s="15"/>
      <c r="O193" s="16"/>
    </row>
    <row r="194" spans="1:15" x14ac:dyDescent="0.3">
      <c r="A194" s="12"/>
      <c r="G194" s="15"/>
      <c r="O194" s="16"/>
    </row>
    <row r="195" spans="1:15" x14ac:dyDescent="0.3">
      <c r="A195" s="12"/>
      <c r="G195" s="15"/>
      <c r="O195" s="16"/>
    </row>
    <row r="196" spans="1:15" x14ac:dyDescent="0.3">
      <c r="A196" s="12"/>
      <c r="G196" s="15"/>
      <c r="O196" s="16"/>
    </row>
    <row r="197" spans="1:15" x14ac:dyDescent="0.3">
      <c r="A197" s="12"/>
      <c r="G197" s="15"/>
      <c r="O197" s="16"/>
    </row>
    <row r="198" spans="1:15" x14ac:dyDescent="0.3">
      <c r="A198" s="12"/>
      <c r="G198" s="15"/>
      <c r="O198" s="16"/>
    </row>
    <row r="199" spans="1:15" x14ac:dyDescent="0.3">
      <c r="A199" s="12"/>
      <c r="G199" s="15"/>
      <c r="O199" s="16"/>
    </row>
    <row r="200" spans="1:15" x14ac:dyDescent="0.3">
      <c r="A200" s="12"/>
      <c r="G200" s="15"/>
      <c r="O200" s="16"/>
    </row>
    <row r="201" spans="1:15" x14ac:dyDescent="0.3">
      <c r="A201" s="12"/>
      <c r="G201" s="15"/>
      <c r="O201" s="16"/>
    </row>
    <row r="202" spans="1:15" x14ac:dyDescent="0.3">
      <c r="A202" s="12"/>
      <c r="G202" s="15"/>
      <c r="O202" s="16"/>
    </row>
    <row r="203" spans="1:15" x14ac:dyDescent="0.3">
      <c r="A203" s="12"/>
      <c r="G203" s="15"/>
      <c r="O203" s="16"/>
    </row>
    <row r="204" spans="1:15" x14ac:dyDescent="0.3">
      <c r="A204" s="12"/>
      <c r="G204" s="15"/>
      <c r="O204" s="16"/>
    </row>
    <row r="205" spans="1:15" x14ac:dyDescent="0.3">
      <c r="A205" s="12"/>
      <c r="G205" s="15"/>
      <c r="O205" s="16"/>
    </row>
    <row r="206" spans="1:15" x14ac:dyDescent="0.3">
      <c r="A206" s="12"/>
      <c r="G206" s="15"/>
      <c r="O206" s="16"/>
    </row>
    <row r="207" spans="1:15" x14ac:dyDescent="0.3">
      <c r="A207" s="12"/>
      <c r="G207" s="15"/>
      <c r="O207" s="16"/>
    </row>
    <row r="208" spans="1:15" x14ac:dyDescent="0.3">
      <c r="A208" s="12"/>
      <c r="G208" s="15"/>
      <c r="O208" s="16"/>
    </row>
    <row r="209" spans="1:15" x14ac:dyDescent="0.3">
      <c r="A209" s="12"/>
      <c r="G209" s="15"/>
      <c r="O209" s="16"/>
    </row>
    <row r="210" spans="1:15" x14ac:dyDescent="0.3">
      <c r="A210" s="12"/>
      <c r="G210" s="15"/>
      <c r="O210" s="16"/>
    </row>
    <row r="211" spans="1:15" x14ac:dyDescent="0.3">
      <c r="A211" s="12"/>
      <c r="G211" s="15"/>
      <c r="O211" s="16"/>
    </row>
    <row r="212" spans="1:15" x14ac:dyDescent="0.3">
      <c r="A212" s="12"/>
      <c r="G212" s="15"/>
      <c r="O212" s="16"/>
    </row>
    <row r="213" spans="1:15" x14ac:dyDescent="0.3">
      <c r="A213" s="12"/>
      <c r="G213" s="15"/>
      <c r="O213" s="16"/>
    </row>
    <row r="214" spans="1:15" x14ac:dyDescent="0.3">
      <c r="A214" s="12"/>
      <c r="G214" s="15"/>
      <c r="O214" s="16"/>
    </row>
    <row r="215" spans="1:15" x14ac:dyDescent="0.3">
      <c r="A215" s="12"/>
      <c r="G215" s="15"/>
      <c r="O215" s="16"/>
    </row>
    <row r="216" spans="1:15" x14ac:dyDescent="0.3">
      <c r="A216" s="12"/>
      <c r="G216" s="15"/>
      <c r="O216" s="16"/>
    </row>
    <row r="217" spans="1:15" x14ac:dyDescent="0.3">
      <c r="A217" s="12"/>
      <c r="G217" s="15"/>
      <c r="O217" s="16"/>
    </row>
    <row r="218" spans="1:15" x14ac:dyDescent="0.3">
      <c r="A218" s="12"/>
      <c r="G218" s="15"/>
      <c r="O218" s="16"/>
    </row>
    <row r="219" spans="1:15" x14ac:dyDescent="0.3">
      <c r="A219" s="12"/>
      <c r="G219" s="15"/>
      <c r="O219" s="16"/>
    </row>
    <row r="220" spans="1:15" x14ac:dyDescent="0.3">
      <c r="A220" s="12"/>
      <c r="G220" s="15"/>
      <c r="O220" s="16"/>
    </row>
    <row r="221" spans="1:15" x14ac:dyDescent="0.3">
      <c r="A221" s="12"/>
      <c r="G221" s="15"/>
      <c r="O221" s="16"/>
    </row>
    <row r="222" spans="1:15" x14ac:dyDescent="0.3">
      <c r="A222" s="12"/>
      <c r="G222" s="15"/>
      <c r="O222" s="16"/>
    </row>
    <row r="223" spans="1:15" x14ac:dyDescent="0.3">
      <c r="A223" s="12"/>
      <c r="G223" s="15"/>
      <c r="O223" s="16"/>
    </row>
    <row r="224" spans="1:15" x14ac:dyDescent="0.3">
      <c r="A224" s="12"/>
      <c r="G224" s="15"/>
      <c r="O224" s="16"/>
    </row>
    <row r="225" spans="1:15" x14ac:dyDescent="0.3">
      <c r="A225" s="12"/>
      <c r="G225" s="15"/>
      <c r="O225" s="16"/>
    </row>
    <row r="226" spans="1:15" x14ac:dyDescent="0.3">
      <c r="A226" s="12"/>
      <c r="G226" s="15"/>
      <c r="O226" s="16"/>
    </row>
    <row r="227" spans="1:15" x14ac:dyDescent="0.3">
      <c r="A227" s="12"/>
      <c r="G227" s="15"/>
      <c r="O227" s="16"/>
    </row>
    <row r="228" spans="1:15" x14ac:dyDescent="0.3">
      <c r="A228" s="12"/>
      <c r="G228" s="15"/>
      <c r="O228" s="16"/>
    </row>
    <row r="229" spans="1:15" x14ac:dyDescent="0.3">
      <c r="A229" s="12"/>
      <c r="G229" s="15"/>
      <c r="O229" s="16"/>
    </row>
    <row r="230" spans="1:15" x14ac:dyDescent="0.3">
      <c r="A230" s="12"/>
      <c r="G230" s="15"/>
      <c r="O230" s="16"/>
    </row>
    <row r="231" spans="1:15" x14ac:dyDescent="0.3">
      <c r="A231" s="12"/>
      <c r="G231" s="15"/>
      <c r="O231" s="16"/>
    </row>
    <row r="232" spans="1:15" x14ac:dyDescent="0.3">
      <c r="A232" s="12"/>
      <c r="G232" s="15"/>
      <c r="O232" s="16"/>
    </row>
    <row r="233" spans="1:15" x14ac:dyDescent="0.3">
      <c r="A233" s="12"/>
      <c r="G233" s="15"/>
      <c r="O233" s="16"/>
    </row>
    <row r="234" spans="1:15" x14ac:dyDescent="0.3">
      <c r="A234" s="12"/>
      <c r="G234" s="15"/>
      <c r="O234" s="16"/>
    </row>
    <row r="235" spans="1:15" x14ac:dyDescent="0.3">
      <c r="A235" s="12"/>
      <c r="G235" s="15"/>
      <c r="O235" s="16"/>
    </row>
    <row r="236" spans="1:15" x14ac:dyDescent="0.3">
      <c r="A236" s="12"/>
      <c r="G236" s="15"/>
      <c r="O236" s="16"/>
    </row>
    <row r="237" spans="1:15" x14ac:dyDescent="0.3">
      <c r="A237" s="12"/>
      <c r="G237" s="15"/>
      <c r="O237" s="16"/>
    </row>
    <row r="238" spans="1:15" x14ac:dyDescent="0.3">
      <c r="A238" s="12"/>
      <c r="G238" s="15"/>
      <c r="O238" s="16"/>
    </row>
    <row r="239" spans="1:15" x14ac:dyDescent="0.3">
      <c r="A239" s="12"/>
      <c r="G239" s="15"/>
      <c r="O239" s="16"/>
    </row>
    <row r="240" spans="1:15" x14ac:dyDescent="0.3">
      <c r="A240" s="12"/>
      <c r="G240" s="15"/>
      <c r="O240" s="16"/>
    </row>
    <row r="241" spans="1:15" x14ac:dyDescent="0.3">
      <c r="A241" s="12"/>
      <c r="G241" s="15"/>
      <c r="O241" s="16"/>
    </row>
    <row r="242" spans="1:15" x14ac:dyDescent="0.3">
      <c r="A242" s="12"/>
      <c r="G242" s="15"/>
      <c r="O242" s="16"/>
    </row>
    <row r="243" spans="1:15" x14ac:dyDescent="0.3">
      <c r="A243" s="12"/>
      <c r="G243" s="15"/>
      <c r="O243" s="16"/>
    </row>
    <row r="244" spans="1:15" x14ac:dyDescent="0.3">
      <c r="A244" s="12"/>
      <c r="G244" s="15"/>
      <c r="O244" s="16"/>
    </row>
    <row r="245" spans="1:15" x14ac:dyDescent="0.3">
      <c r="A245" s="12"/>
      <c r="G245" s="15"/>
      <c r="O245" s="16"/>
    </row>
    <row r="246" spans="1:15" x14ac:dyDescent="0.3">
      <c r="A246" s="12"/>
      <c r="G246" s="15"/>
      <c r="O246" s="16"/>
    </row>
    <row r="247" spans="1:15" x14ac:dyDescent="0.3">
      <c r="A247" s="12"/>
      <c r="G247" s="15"/>
      <c r="O247" s="16"/>
    </row>
    <row r="248" spans="1:15" x14ac:dyDescent="0.3">
      <c r="A248" s="12"/>
      <c r="G248" s="15"/>
      <c r="O248" s="16"/>
    </row>
    <row r="249" spans="1:15" x14ac:dyDescent="0.3">
      <c r="A249" s="12"/>
      <c r="G249" s="15"/>
      <c r="O249" s="16"/>
    </row>
    <row r="250" spans="1:15" x14ac:dyDescent="0.3">
      <c r="A250" s="12"/>
      <c r="G250" s="15"/>
      <c r="O250" s="16"/>
    </row>
    <row r="251" spans="1:15" x14ac:dyDescent="0.3">
      <c r="A251" s="12"/>
      <c r="G251" s="15"/>
      <c r="O251" s="16"/>
    </row>
    <row r="252" spans="1:15" x14ac:dyDescent="0.3">
      <c r="A252" s="12"/>
      <c r="G252" s="15"/>
      <c r="O252" s="16"/>
    </row>
    <row r="253" spans="1:15" x14ac:dyDescent="0.3">
      <c r="A253" s="12"/>
      <c r="G253" s="15"/>
      <c r="O253" s="16"/>
    </row>
    <row r="254" spans="1:15" x14ac:dyDescent="0.3">
      <c r="A254" s="12"/>
      <c r="G254" s="15"/>
      <c r="O254" s="16"/>
    </row>
    <row r="255" spans="1:15" x14ac:dyDescent="0.3">
      <c r="A255" s="12"/>
      <c r="G255" s="15"/>
      <c r="O255" s="16"/>
    </row>
    <row r="256" spans="1:15" x14ac:dyDescent="0.3">
      <c r="A256" s="12"/>
      <c r="G256" s="15"/>
      <c r="O256" s="16"/>
    </row>
    <row r="257" spans="1:15" x14ac:dyDescent="0.3">
      <c r="A257" s="12"/>
      <c r="G257" s="15"/>
      <c r="O257" s="16"/>
    </row>
    <row r="258" spans="1:15" x14ac:dyDescent="0.3">
      <c r="A258" s="12"/>
      <c r="G258" s="15"/>
      <c r="O258" s="16"/>
    </row>
    <row r="259" spans="1:15" x14ac:dyDescent="0.3">
      <c r="A259" s="12"/>
      <c r="G259" s="15"/>
      <c r="O259" s="16"/>
    </row>
    <row r="260" spans="1:15" x14ac:dyDescent="0.3">
      <c r="A260" s="12"/>
      <c r="G260" s="15"/>
      <c r="O260" s="16"/>
    </row>
    <row r="261" spans="1:15" x14ac:dyDescent="0.3">
      <c r="A261" s="12"/>
      <c r="G261" s="15"/>
      <c r="O261" s="16"/>
    </row>
    <row r="262" spans="1:15" x14ac:dyDescent="0.3">
      <c r="A262" s="12"/>
      <c r="G262" s="15"/>
      <c r="O262" s="16"/>
    </row>
    <row r="263" spans="1:15" x14ac:dyDescent="0.3">
      <c r="A263" s="12"/>
      <c r="G263" s="15"/>
      <c r="O263" s="16"/>
    </row>
    <row r="264" spans="1:15" x14ac:dyDescent="0.3">
      <c r="A264" s="12"/>
      <c r="G264" s="15"/>
      <c r="O264" s="16"/>
    </row>
    <row r="265" spans="1:15" x14ac:dyDescent="0.3">
      <c r="A265" s="12"/>
      <c r="G265" s="15"/>
      <c r="O265" s="16"/>
    </row>
    <row r="266" spans="1:15" x14ac:dyDescent="0.3">
      <c r="A266" s="12"/>
      <c r="G266" s="15"/>
      <c r="O266" s="16"/>
    </row>
    <row r="267" spans="1:15" x14ac:dyDescent="0.3">
      <c r="A267" s="12"/>
      <c r="G267" s="15"/>
      <c r="O267" s="16"/>
    </row>
    <row r="268" spans="1:15" x14ac:dyDescent="0.3">
      <c r="A268" s="12"/>
      <c r="G268" s="15"/>
      <c r="O268" s="16"/>
    </row>
    <row r="269" spans="1:15" x14ac:dyDescent="0.3">
      <c r="A269" s="12"/>
      <c r="G269" s="15"/>
      <c r="O269" s="16"/>
    </row>
    <row r="270" spans="1:15" x14ac:dyDescent="0.3">
      <c r="A270" s="12"/>
      <c r="G270" s="15"/>
      <c r="O270" s="16"/>
    </row>
    <row r="271" spans="1:15" x14ac:dyDescent="0.3">
      <c r="A271" s="12"/>
      <c r="G271" s="15"/>
      <c r="O271" s="16"/>
    </row>
    <row r="272" spans="1:15" x14ac:dyDescent="0.3">
      <c r="A272" s="12"/>
      <c r="G272" s="15"/>
      <c r="O272" s="16"/>
    </row>
    <row r="273" spans="1:15" x14ac:dyDescent="0.3">
      <c r="A273" s="12"/>
      <c r="G273" s="15"/>
      <c r="O273" s="16"/>
    </row>
    <row r="274" spans="1:15" x14ac:dyDescent="0.3">
      <c r="A274" s="12"/>
      <c r="G274" s="15"/>
      <c r="O274" s="16"/>
    </row>
    <row r="275" spans="1:15" x14ac:dyDescent="0.3">
      <c r="A275" s="12"/>
      <c r="G275" s="15"/>
      <c r="O275" s="16"/>
    </row>
    <row r="276" spans="1:15" x14ac:dyDescent="0.3">
      <c r="A276" s="12"/>
      <c r="G276" s="15"/>
      <c r="O276" s="16"/>
    </row>
    <row r="277" spans="1:15" x14ac:dyDescent="0.3">
      <c r="A277" s="12"/>
      <c r="G277" s="15"/>
      <c r="O277" s="16"/>
    </row>
    <row r="278" spans="1:15" x14ac:dyDescent="0.3">
      <c r="A278" s="12"/>
      <c r="G278" s="15"/>
      <c r="O278" s="16"/>
    </row>
    <row r="279" spans="1:15" x14ac:dyDescent="0.3">
      <c r="A279" s="12"/>
      <c r="G279" s="15"/>
      <c r="O279" s="16"/>
    </row>
    <row r="280" spans="1:15" x14ac:dyDescent="0.3">
      <c r="A280" s="12"/>
      <c r="G280" s="15"/>
      <c r="O280" s="16"/>
    </row>
    <row r="281" spans="1:15" x14ac:dyDescent="0.3">
      <c r="A281" s="12"/>
      <c r="G281" s="15"/>
      <c r="O281" s="16"/>
    </row>
    <row r="282" spans="1:15" x14ac:dyDescent="0.3">
      <c r="A282" s="12"/>
      <c r="G282" s="15"/>
      <c r="O282" s="16"/>
    </row>
    <row r="283" spans="1:15" x14ac:dyDescent="0.3">
      <c r="A283" s="12"/>
      <c r="G283" s="15"/>
      <c r="O283" s="16"/>
    </row>
    <row r="284" spans="1:15" x14ac:dyDescent="0.3">
      <c r="A284" s="12"/>
      <c r="G284" s="15"/>
      <c r="O284" s="16"/>
    </row>
    <row r="285" spans="1:15" x14ac:dyDescent="0.3">
      <c r="A285" s="12"/>
      <c r="G285" s="15"/>
      <c r="O285" s="16"/>
    </row>
    <row r="286" spans="1:15" x14ac:dyDescent="0.3">
      <c r="A286" s="12"/>
      <c r="G286" s="15"/>
      <c r="O286" s="16"/>
    </row>
    <row r="287" spans="1:15" x14ac:dyDescent="0.3">
      <c r="A287" s="12"/>
      <c r="G287" s="15"/>
      <c r="O287" s="16"/>
    </row>
    <row r="288" spans="1:15" x14ac:dyDescent="0.3">
      <c r="A288" s="12"/>
      <c r="G288" s="15"/>
      <c r="O288" s="16"/>
    </row>
    <row r="289" spans="1:15" x14ac:dyDescent="0.3">
      <c r="A289" s="12"/>
      <c r="G289" s="15"/>
      <c r="O289" s="16"/>
    </row>
    <row r="290" spans="1:15" x14ac:dyDescent="0.3">
      <c r="A290" s="12"/>
      <c r="G290" s="15"/>
      <c r="O290" s="16"/>
    </row>
    <row r="291" spans="1:15" x14ac:dyDescent="0.3">
      <c r="A291" s="12"/>
      <c r="G291" s="15"/>
      <c r="O291" s="16"/>
    </row>
    <row r="292" spans="1:15" x14ac:dyDescent="0.3">
      <c r="A292" s="12"/>
      <c r="G292" s="15"/>
      <c r="O292" s="16"/>
    </row>
    <row r="293" spans="1:15" x14ac:dyDescent="0.3">
      <c r="A293" s="12"/>
      <c r="G293" s="15"/>
      <c r="O293" s="16"/>
    </row>
    <row r="294" spans="1:15" x14ac:dyDescent="0.3">
      <c r="A294" s="12"/>
      <c r="G294" s="15"/>
      <c r="O294" s="16"/>
    </row>
    <row r="295" spans="1:15" x14ac:dyDescent="0.3">
      <c r="A295" s="12"/>
      <c r="G295" s="15"/>
      <c r="O295" s="16"/>
    </row>
    <row r="296" spans="1:15" x14ac:dyDescent="0.3">
      <c r="A296" s="12"/>
      <c r="G296" s="15"/>
      <c r="O296" s="16"/>
    </row>
    <row r="297" spans="1:15" x14ac:dyDescent="0.3">
      <c r="A297" s="12"/>
      <c r="G297" s="15"/>
      <c r="O297" s="16"/>
    </row>
    <row r="298" spans="1:15" x14ac:dyDescent="0.3">
      <c r="A298" s="12"/>
      <c r="G298" s="15"/>
      <c r="O298" s="16"/>
    </row>
    <row r="299" spans="1:15" x14ac:dyDescent="0.3">
      <c r="A299" s="12"/>
      <c r="G299" s="15"/>
      <c r="O299" s="16"/>
    </row>
    <row r="300" spans="1:15" x14ac:dyDescent="0.3">
      <c r="A300" s="12"/>
      <c r="G300" s="15"/>
      <c r="O300" s="16"/>
    </row>
    <row r="301" spans="1:15" x14ac:dyDescent="0.3">
      <c r="A301" s="12"/>
      <c r="G301" s="15"/>
      <c r="O301" s="16"/>
    </row>
    <row r="302" spans="1:15" x14ac:dyDescent="0.3">
      <c r="A302" s="12"/>
      <c r="G302" s="15"/>
      <c r="O302" s="16"/>
    </row>
    <row r="303" spans="1:15" x14ac:dyDescent="0.3">
      <c r="A303" s="12"/>
      <c r="G303" s="15"/>
      <c r="O303" s="16"/>
    </row>
    <row r="304" spans="1:15" x14ac:dyDescent="0.3">
      <c r="A304" s="12"/>
      <c r="G304" s="15"/>
      <c r="O304" s="16"/>
    </row>
    <row r="305" spans="1:15" x14ac:dyDescent="0.3">
      <c r="A305" s="12"/>
      <c r="G305" s="15"/>
      <c r="O305" s="16"/>
    </row>
    <row r="306" spans="1:15" x14ac:dyDescent="0.3">
      <c r="A306" s="12"/>
      <c r="G306" s="15"/>
      <c r="O306" s="16"/>
    </row>
    <row r="307" spans="1:15" x14ac:dyDescent="0.3">
      <c r="A307" s="12"/>
      <c r="G307" s="15"/>
      <c r="O307" s="16"/>
    </row>
    <row r="308" spans="1:15" x14ac:dyDescent="0.3">
      <c r="A308" s="12"/>
      <c r="G308" s="15"/>
      <c r="O308" s="16"/>
    </row>
    <row r="309" spans="1:15" x14ac:dyDescent="0.3">
      <c r="A309" s="12"/>
      <c r="G309" s="15"/>
      <c r="O309" s="16"/>
    </row>
    <row r="310" spans="1:15" x14ac:dyDescent="0.3">
      <c r="A310" s="12"/>
      <c r="G310" s="15"/>
      <c r="O310" s="16"/>
    </row>
    <row r="311" spans="1:15" x14ac:dyDescent="0.3">
      <c r="A311" s="12"/>
      <c r="G311" s="15"/>
      <c r="O311" s="16"/>
    </row>
    <row r="312" spans="1:15" x14ac:dyDescent="0.3">
      <c r="A312" s="12"/>
      <c r="G312" s="15"/>
      <c r="O312" s="16"/>
    </row>
    <row r="313" spans="1:15" x14ac:dyDescent="0.3">
      <c r="A313" s="12"/>
      <c r="G313" s="15"/>
      <c r="O313" s="16"/>
    </row>
    <row r="314" spans="1:15" x14ac:dyDescent="0.3">
      <c r="A314" s="12"/>
      <c r="G314" s="15"/>
      <c r="O314" s="16"/>
    </row>
    <row r="315" spans="1:15" x14ac:dyDescent="0.3">
      <c r="A315" s="12"/>
      <c r="G315" s="15"/>
      <c r="O315" s="16"/>
    </row>
    <row r="316" spans="1:15" x14ac:dyDescent="0.3">
      <c r="A316" s="12"/>
      <c r="G316" s="15"/>
      <c r="O316" s="16"/>
    </row>
    <row r="317" spans="1:15" x14ac:dyDescent="0.3">
      <c r="A317" s="12"/>
      <c r="G317" s="15"/>
      <c r="O317" s="16"/>
    </row>
    <row r="318" spans="1:15" x14ac:dyDescent="0.3">
      <c r="A318" s="12"/>
      <c r="G318" s="15"/>
      <c r="O318" s="16"/>
    </row>
    <row r="319" spans="1:15" x14ac:dyDescent="0.3">
      <c r="A319" s="12"/>
      <c r="G319" s="15"/>
      <c r="O319" s="16"/>
    </row>
    <row r="320" spans="1:15" x14ac:dyDescent="0.3">
      <c r="A320" s="12"/>
      <c r="G320" s="15"/>
      <c r="O320" s="16"/>
    </row>
    <row r="321" spans="1:15" x14ac:dyDescent="0.3">
      <c r="A321" s="12"/>
      <c r="G321" s="15"/>
      <c r="O321" s="16"/>
    </row>
    <row r="322" spans="1:15" x14ac:dyDescent="0.3">
      <c r="A322" s="12"/>
      <c r="G322" s="15"/>
      <c r="O322" s="16"/>
    </row>
    <row r="323" spans="1:15" x14ac:dyDescent="0.3">
      <c r="A323" s="12"/>
      <c r="G323" s="15"/>
      <c r="O323" s="16"/>
    </row>
    <row r="324" spans="1:15" x14ac:dyDescent="0.3">
      <c r="A324" s="12"/>
      <c r="G324" s="15"/>
      <c r="O324" s="16"/>
    </row>
    <row r="325" spans="1:15" x14ac:dyDescent="0.3">
      <c r="A325" s="12"/>
      <c r="G325" s="15"/>
      <c r="O325" s="16"/>
    </row>
    <row r="326" spans="1:15" x14ac:dyDescent="0.3">
      <c r="A326" s="12"/>
      <c r="G326" s="15"/>
      <c r="O326" s="16"/>
    </row>
    <row r="327" spans="1:15" x14ac:dyDescent="0.3">
      <c r="A327" s="12"/>
      <c r="G327" s="15"/>
      <c r="O327" s="16"/>
    </row>
    <row r="328" spans="1:15" x14ac:dyDescent="0.3">
      <c r="A328" s="12"/>
      <c r="G328" s="15"/>
      <c r="O328" s="16"/>
    </row>
    <row r="329" spans="1:15" x14ac:dyDescent="0.3">
      <c r="A329" s="12"/>
      <c r="G329" s="15"/>
      <c r="O329" s="16"/>
    </row>
    <row r="330" spans="1:15" x14ac:dyDescent="0.3">
      <c r="A330" s="12"/>
      <c r="G330" s="15"/>
      <c r="O330" s="16"/>
    </row>
    <row r="331" spans="1:15" x14ac:dyDescent="0.3">
      <c r="A331" s="12"/>
      <c r="G331" s="15"/>
      <c r="O331" s="16"/>
    </row>
    <row r="332" spans="1:15" x14ac:dyDescent="0.3">
      <c r="A332" s="12"/>
      <c r="G332" s="15"/>
      <c r="O332" s="16"/>
    </row>
    <row r="333" spans="1:15" x14ac:dyDescent="0.3">
      <c r="A333" s="12"/>
      <c r="G333" s="15"/>
      <c r="O333" s="16"/>
    </row>
    <row r="334" spans="1:15" x14ac:dyDescent="0.3">
      <c r="A334" s="12"/>
      <c r="G334" s="15"/>
      <c r="O334" s="16"/>
    </row>
    <row r="335" spans="1:15" x14ac:dyDescent="0.3">
      <c r="A335" s="12"/>
      <c r="G335" s="15"/>
      <c r="O335" s="16"/>
    </row>
    <row r="336" spans="1:15" x14ac:dyDescent="0.3">
      <c r="A336" s="12"/>
      <c r="G336" s="15"/>
      <c r="O336" s="16"/>
    </row>
    <row r="337" spans="1:15" x14ac:dyDescent="0.3">
      <c r="A337" s="12"/>
      <c r="G337" s="15"/>
      <c r="O337" s="16"/>
    </row>
    <row r="338" spans="1:15" x14ac:dyDescent="0.3">
      <c r="A338" s="12"/>
      <c r="G338" s="15"/>
      <c r="O338" s="16"/>
    </row>
    <row r="339" spans="1:15" x14ac:dyDescent="0.3">
      <c r="A339" s="12"/>
      <c r="G339" s="15"/>
      <c r="O339" s="16"/>
    </row>
    <row r="340" spans="1:15" x14ac:dyDescent="0.3">
      <c r="A340" s="12"/>
      <c r="G340" s="15"/>
      <c r="O340" s="16"/>
    </row>
    <row r="341" spans="1:15" x14ac:dyDescent="0.3">
      <c r="A341" s="12"/>
      <c r="G341" s="15"/>
      <c r="O341" s="16"/>
    </row>
    <row r="342" spans="1:15" x14ac:dyDescent="0.3">
      <c r="A342" s="12"/>
      <c r="G342" s="15"/>
      <c r="O342" s="16"/>
    </row>
    <row r="343" spans="1:15" x14ac:dyDescent="0.3">
      <c r="A343" s="12"/>
      <c r="G343" s="15"/>
      <c r="O343" s="16"/>
    </row>
    <row r="344" spans="1:15" x14ac:dyDescent="0.3">
      <c r="A344" s="12"/>
      <c r="G344" s="15"/>
      <c r="O344" s="16"/>
    </row>
    <row r="345" spans="1:15" x14ac:dyDescent="0.3">
      <c r="A345" s="12"/>
      <c r="G345" s="15"/>
      <c r="O345" s="16"/>
    </row>
    <row r="346" spans="1:15" x14ac:dyDescent="0.3">
      <c r="G346" s="15"/>
      <c r="O346" s="16"/>
    </row>
    <row r="347" spans="1:15" x14ac:dyDescent="0.3">
      <c r="G347" s="15"/>
      <c r="O347" s="16"/>
    </row>
    <row r="348" spans="1:15" x14ac:dyDescent="0.3">
      <c r="G348" s="15"/>
      <c r="O348" s="16"/>
    </row>
    <row r="349" spans="1:15" x14ac:dyDescent="0.3">
      <c r="G349" s="15"/>
      <c r="O349" s="16"/>
    </row>
    <row r="350" spans="1:15" x14ac:dyDescent="0.3">
      <c r="G350" s="15"/>
      <c r="O350" s="16"/>
    </row>
    <row r="351" spans="1:15" x14ac:dyDescent="0.3">
      <c r="G351" s="15"/>
      <c r="O351" s="16"/>
    </row>
    <row r="352" spans="1:15" x14ac:dyDescent="0.3">
      <c r="G352" s="15"/>
      <c r="O352" s="16"/>
    </row>
    <row r="353" spans="7:15" x14ac:dyDescent="0.3">
      <c r="G353" s="15"/>
      <c r="O353" s="16"/>
    </row>
    <row r="354" spans="7:15" x14ac:dyDescent="0.3">
      <c r="G354" s="15"/>
      <c r="O354" s="16"/>
    </row>
    <row r="355" spans="7:15" x14ac:dyDescent="0.3">
      <c r="G355" s="15"/>
      <c r="O355" s="16"/>
    </row>
    <row r="356" spans="7:15" x14ac:dyDescent="0.3">
      <c r="G356" s="15"/>
      <c r="O356" s="16"/>
    </row>
    <row r="357" spans="7:15" x14ac:dyDescent="0.3">
      <c r="G357" s="15"/>
    </row>
  </sheetData>
  <autoFilter ref="A1:P1">
    <sortState ref="A2:P74">
      <sortCondition sortBy="cellColor" ref="B1" dxfId="0"/>
    </sortState>
  </autoFilter>
  <conditionalFormatting sqref="C1:C1048576">
    <cfRule type="duplicateValues" dxfId="5" priority="6"/>
  </conditionalFormatting>
  <conditionalFormatting sqref="B1:B1048576">
    <cfRule type="duplicateValues" dxfId="4" priority="5"/>
  </conditionalFormatting>
  <conditionalFormatting sqref="K1:K1048576">
    <cfRule type="duplicateValues" dxfId="3" priority="2"/>
  </conditionalFormatting>
  <conditionalFormatting sqref="A1:O1 O2:O356 G2:G357 B2:F311 A2:A345 H2:N311">
    <cfRule type="expression" dxfId="2" priority="1">
      <formula>ROW()=CELL("row")</formula>
    </cfRule>
  </conditionalFormatting>
  <conditionalFormatting sqref="J1:J1048576">
    <cfRule type="duplicateValues" dxfId="1" priority="13"/>
  </conditionalFormatting>
  <pageMargins left="0" right="0" top="0" bottom="0" header="0" footer="0"/>
  <pageSetup scale="110"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2023-10-19T08:54:31Z</dcterms:modified>
</cp:coreProperties>
</file>