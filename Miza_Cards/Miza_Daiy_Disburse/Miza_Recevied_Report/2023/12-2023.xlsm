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5352" windowWidth="22272" windowHeight="12648"/>
  </bookViews>
  <sheets>
    <sheet name="Sheet1" sheetId="1" r:id="rId1"/>
  </sheets>
  <definedNames>
    <definedName name="_xlnm._FilterDatabase" localSheetId="0" hidden="1">Sheet1!$A$1:$P$91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5" i="1" l="1"/>
  <c r="O86" i="1"/>
  <c r="O6" i="1"/>
  <c r="O87" i="1"/>
  <c r="O7" i="1"/>
  <c r="O8" i="1"/>
  <c r="O9" i="1"/>
  <c r="O2" i="1"/>
  <c r="O10" i="1"/>
  <c r="O11" i="1"/>
  <c r="O12" i="1"/>
  <c r="O88" i="1"/>
  <c r="O13" i="1"/>
  <c r="O14" i="1"/>
  <c r="O3" i="1"/>
  <c r="O51" i="1"/>
  <c r="O89" i="1"/>
  <c r="O15" i="1"/>
  <c r="O90" i="1"/>
  <c r="O16" i="1"/>
  <c r="O91" i="1"/>
  <c r="G5" i="1"/>
  <c r="G86" i="1"/>
  <c r="G6" i="1"/>
  <c r="G87" i="1"/>
  <c r="G7" i="1"/>
  <c r="G8" i="1"/>
  <c r="G9" i="1"/>
  <c r="G2" i="1"/>
  <c r="G10" i="1"/>
  <c r="G11" i="1"/>
  <c r="G12" i="1"/>
  <c r="G88" i="1"/>
  <c r="G13" i="1"/>
  <c r="G14" i="1"/>
  <c r="G3" i="1"/>
  <c r="G51" i="1"/>
  <c r="G89" i="1"/>
  <c r="G15" i="1"/>
  <c r="G90" i="1"/>
  <c r="G16" i="1"/>
  <c r="G91" i="1"/>
  <c r="G85" i="1" l="1"/>
  <c r="G84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83" i="1"/>
  <c r="G82" i="1"/>
  <c r="G81" i="1"/>
  <c r="G80" i="1"/>
  <c r="G79" i="1"/>
  <c r="G78" i="1"/>
  <c r="G77" i="1"/>
  <c r="G76" i="1"/>
  <c r="G75" i="1"/>
  <c r="O75" i="1"/>
  <c r="O76" i="1"/>
  <c r="O77" i="1"/>
  <c r="O78" i="1"/>
  <c r="O79" i="1"/>
  <c r="O80" i="1"/>
  <c r="O81" i="1"/>
  <c r="O82" i="1"/>
  <c r="O83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84" i="1"/>
  <c r="O85" i="1"/>
  <c r="G60" i="1" l="1"/>
  <c r="G61" i="1"/>
  <c r="G62" i="1"/>
  <c r="G63" i="1"/>
  <c r="G64" i="1"/>
  <c r="G65" i="1"/>
  <c r="G4" i="1"/>
  <c r="G66" i="1"/>
  <c r="G67" i="1"/>
  <c r="G68" i="1"/>
  <c r="G69" i="1"/>
  <c r="G70" i="1"/>
  <c r="G71" i="1"/>
  <c r="G72" i="1"/>
  <c r="G73" i="1"/>
  <c r="G74" i="1"/>
  <c r="O59" i="1"/>
  <c r="O60" i="1"/>
  <c r="O61" i="1"/>
  <c r="O62" i="1"/>
  <c r="O63" i="1"/>
  <c r="O64" i="1"/>
  <c r="O65" i="1"/>
  <c r="O4" i="1"/>
  <c r="O66" i="1"/>
  <c r="O67" i="1"/>
  <c r="O68" i="1"/>
  <c r="O69" i="1"/>
  <c r="O70" i="1"/>
  <c r="O71" i="1"/>
  <c r="O72" i="1"/>
  <c r="O73" i="1"/>
  <c r="O74" i="1"/>
  <c r="O52" i="1" l="1"/>
  <c r="O53" i="1"/>
  <c r="O54" i="1"/>
  <c r="O55" i="1"/>
  <c r="O56" i="1"/>
  <c r="O57" i="1"/>
  <c r="O58" i="1"/>
  <c r="G52" i="1"/>
  <c r="G53" i="1"/>
  <c r="G54" i="1"/>
  <c r="G55" i="1"/>
  <c r="G56" i="1"/>
  <c r="G57" i="1"/>
  <c r="G58" i="1"/>
  <c r="G59" i="1"/>
</calcChain>
</file>

<file path=xl/sharedStrings.xml><?xml version="1.0" encoding="utf-8"?>
<sst xmlns="http://schemas.openxmlformats.org/spreadsheetml/2006/main" count="792" uniqueCount="421">
  <si>
    <t>اسم العميل</t>
  </si>
  <si>
    <t xml:space="preserve">رقم كارت ميزه </t>
  </si>
  <si>
    <t xml:space="preserve">الرقم القومي </t>
  </si>
  <si>
    <t>رقم الموبايل</t>
  </si>
  <si>
    <t>0313</t>
  </si>
  <si>
    <t>5078</t>
  </si>
  <si>
    <t>م</t>
  </si>
  <si>
    <t>الاخصائي</t>
  </si>
  <si>
    <t>كود العميل</t>
  </si>
  <si>
    <t>خانه1</t>
  </si>
  <si>
    <t>خانه2</t>
  </si>
  <si>
    <t>خانه3</t>
  </si>
  <si>
    <t>خانه4</t>
  </si>
  <si>
    <t>مبلغ القرض</t>
  </si>
  <si>
    <t>التمويل</t>
  </si>
  <si>
    <t>المدة</t>
  </si>
  <si>
    <t>4552</t>
  </si>
  <si>
    <t>0222</t>
  </si>
  <si>
    <t>8211</t>
  </si>
  <si>
    <t>2029</t>
  </si>
  <si>
    <t>2726</t>
  </si>
  <si>
    <t>4168</t>
  </si>
  <si>
    <t>2993</t>
  </si>
  <si>
    <t>3213</t>
  </si>
  <si>
    <t>5287</t>
  </si>
  <si>
    <t>4474</t>
  </si>
  <si>
    <t>1823</t>
  </si>
  <si>
    <t>8376</t>
  </si>
  <si>
    <t>1282</t>
  </si>
  <si>
    <t>0245</t>
  </si>
  <si>
    <t>3187</t>
  </si>
  <si>
    <t>1617</t>
  </si>
  <si>
    <t>6891</t>
  </si>
  <si>
    <t>5766</t>
  </si>
  <si>
    <t>3640</t>
  </si>
  <si>
    <t>3124</t>
  </si>
  <si>
    <t>7495</t>
  </si>
  <si>
    <t>2056</t>
  </si>
  <si>
    <t>0890</t>
  </si>
  <si>
    <t>7107</t>
  </si>
  <si>
    <t>3884</t>
  </si>
  <si>
    <t>2005</t>
  </si>
  <si>
    <t>9034</t>
  </si>
  <si>
    <t>4277</t>
  </si>
  <si>
    <t>0923</t>
  </si>
  <si>
    <t>0004</t>
  </si>
  <si>
    <t>7652</t>
  </si>
  <si>
    <t>9602</t>
  </si>
  <si>
    <t>8079</t>
  </si>
  <si>
    <t>8587</t>
  </si>
  <si>
    <t>8716</t>
  </si>
  <si>
    <t>6691</t>
  </si>
  <si>
    <t>4456</t>
  </si>
  <si>
    <t>8965</t>
  </si>
  <si>
    <t>6332</t>
  </si>
  <si>
    <t>2152</t>
  </si>
  <si>
    <t>4671</t>
  </si>
  <si>
    <t>1064</t>
  </si>
  <si>
    <t>6154</t>
  </si>
  <si>
    <t>5535</t>
  </si>
  <si>
    <t>2973</t>
  </si>
  <si>
    <t>1962</t>
  </si>
  <si>
    <t>4301</t>
  </si>
  <si>
    <t>6496</t>
  </si>
  <si>
    <t>3752</t>
  </si>
  <si>
    <t>6258</t>
  </si>
  <si>
    <t>1556</t>
  </si>
  <si>
    <t>4677</t>
  </si>
  <si>
    <t>5273</t>
  </si>
  <si>
    <t>8810</t>
  </si>
  <si>
    <t>2654</t>
  </si>
  <si>
    <t>7040</t>
  </si>
  <si>
    <t>1276</t>
  </si>
  <si>
    <t>4179</t>
  </si>
  <si>
    <t>6011</t>
  </si>
  <si>
    <t>2966</t>
  </si>
  <si>
    <t>1723</t>
  </si>
  <si>
    <t>8153</t>
  </si>
  <si>
    <t>1329</t>
  </si>
  <si>
    <t>0752</t>
  </si>
  <si>
    <t>0426</t>
  </si>
  <si>
    <t>7777</t>
  </si>
  <si>
    <t>1078</t>
  </si>
  <si>
    <t>1340</t>
  </si>
  <si>
    <t>6716</t>
  </si>
  <si>
    <t>7948</t>
  </si>
  <si>
    <t>6460</t>
  </si>
  <si>
    <t>5353</t>
  </si>
  <si>
    <t>8086</t>
  </si>
  <si>
    <t>0628</t>
  </si>
  <si>
    <t>2018</t>
  </si>
  <si>
    <t>8023</t>
  </si>
  <si>
    <t>4212</t>
  </si>
  <si>
    <t>0590</t>
  </si>
  <si>
    <t>0520</t>
  </si>
  <si>
    <t>2088</t>
  </si>
  <si>
    <t>8194</t>
  </si>
  <si>
    <t>2771</t>
  </si>
  <si>
    <t>0311</t>
  </si>
  <si>
    <t>3170</t>
  </si>
  <si>
    <t>6114</t>
  </si>
  <si>
    <t>2137</t>
  </si>
  <si>
    <t>4990</t>
  </si>
  <si>
    <t>6397</t>
  </si>
  <si>
    <t>6377</t>
  </si>
  <si>
    <t>2436</t>
  </si>
  <si>
    <t>8293</t>
  </si>
  <si>
    <t>5428</t>
  </si>
  <si>
    <t>5806</t>
  </si>
  <si>
    <t>5077</t>
  </si>
  <si>
    <t>3757</t>
  </si>
  <si>
    <t>5840</t>
  </si>
  <si>
    <t>7570</t>
  </si>
  <si>
    <t>4765</t>
  </si>
  <si>
    <t>2408</t>
  </si>
  <si>
    <t>0168</t>
  </si>
  <si>
    <t>3682</t>
  </si>
  <si>
    <t>3811</t>
  </si>
  <si>
    <t>8162</t>
  </si>
  <si>
    <t>6028</t>
  </si>
  <si>
    <t>5402</t>
  </si>
  <si>
    <t>1058</t>
  </si>
  <si>
    <t>5047</t>
  </si>
  <si>
    <t>5407</t>
  </si>
  <si>
    <t>3384</t>
  </si>
  <si>
    <t>7342</t>
  </si>
  <si>
    <t>2832</t>
  </si>
  <si>
    <t>9827</t>
  </si>
  <si>
    <t>3435</t>
  </si>
  <si>
    <t>4306</t>
  </si>
  <si>
    <t>محمود محمد عبدالعظيم علي</t>
  </si>
  <si>
    <t>هدرا وحيد</t>
  </si>
  <si>
    <t>01008676256</t>
  </si>
  <si>
    <t>5669</t>
  </si>
  <si>
    <t>0405</t>
  </si>
  <si>
    <t>ابانوب سيف فايق بلامون</t>
  </si>
  <si>
    <t>ظريف رمزي فرح غطاس</t>
  </si>
  <si>
    <t>جرجس فايز فكري جويد</t>
  </si>
  <si>
    <t>رائد عبدالمرضي احمد ضرار</t>
  </si>
  <si>
    <t>بضابا مفيد صليب محارب</t>
  </si>
  <si>
    <t>ثروت زكي علام اسماعيل</t>
  </si>
  <si>
    <t>سيد ابراهيم محمود ابراهيم</t>
  </si>
  <si>
    <t>عماد ابوبكر ابوالفضل كرام</t>
  </si>
  <si>
    <t>تادرس صفوت ملقي تادرس</t>
  </si>
  <si>
    <t>عبير كمال سالم شمروخ</t>
  </si>
  <si>
    <t>ايه صلاح محمد جادالله</t>
  </si>
  <si>
    <t>احمد عدلي نورالدين عبدالمطلب</t>
  </si>
  <si>
    <t>رندا ميخائيل شفيق مجاهد</t>
  </si>
  <si>
    <t>ريمون سمير بهنام داود</t>
  </si>
  <si>
    <t>عبدالمعز عبدالصبور شاكر محمد</t>
  </si>
  <si>
    <t>ناهد عباس علي سليم</t>
  </si>
  <si>
    <t>هاله النحاس عبده حفني</t>
  </si>
  <si>
    <t>مجدي روماني فكري نواس</t>
  </si>
  <si>
    <t>سمير عبدالفتاح عبدالشافي ابراهيم</t>
  </si>
  <si>
    <t>محمد حلمي عباس مقبولي</t>
  </si>
  <si>
    <t>كريمه نجيب عباس مقبولي</t>
  </si>
  <si>
    <t>سعيد شنوده عزيز رزق</t>
  </si>
  <si>
    <t>المنشاوي محمد ابراهيم حسانين</t>
  </si>
  <si>
    <t>اسعد احمد عبدالعزيز نورالدين</t>
  </si>
  <si>
    <t>ورده يعقوب شنوده اسحق</t>
  </si>
  <si>
    <t>فوزي فايز فكري جويد</t>
  </si>
  <si>
    <t>سناء وصفي مصري سيدهم</t>
  </si>
  <si>
    <t>سيده فتحي السيد محمود</t>
  </si>
  <si>
    <t>محمود عامر فؤاد متولي</t>
  </si>
  <si>
    <t>نبيل سعد احمد حسين</t>
  </si>
  <si>
    <t>احمد عثمان جابر محمد</t>
  </si>
  <si>
    <t>سهام علي محمد سلام</t>
  </si>
  <si>
    <t>01114200648</t>
  </si>
  <si>
    <t>01004729446</t>
  </si>
  <si>
    <t>01551242184</t>
  </si>
  <si>
    <t>01013650912</t>
  </si>
  <si>
    <t>01225520804</t>
  </si>
  <si>
    <t>01016530225</t>
  </si>
  <si>
    <t>01062622242</t>
  </si>
  <si>
    <t>01099398140</t>
  </si>
  <si>
    <t>01224109501</t>
  </si>
  <si>
    <t>01144030341</t>
  </si>
  <si>
    <t>01065742673</t>
  </si>
  <si>
    <t>01124275471</t>
  </si>
  <si>
    <t>01207310269</t>
  </si>
  <si>
    <t>01221818483</t>
  </si>
  <si>
    <t>01029792778</t>
  </si>
  <si>
    <t>01032071293</t>
  </si>
  <si>
    <t>01099712976</t>
  </si>
  <si>
    <t>01201576819</t>
  </si>
  <si>
    <t>01026376278</t>
  </si>
  <si>
    <t>01141793381</t>
  </si>
  <si>
    <t>01283313658</t>
  </si>
  <si>
    <t>01068174026</t>
  </si>
  <si>
    <t>01098871777</t>
  </si>
  <si>
    <t>01221832214</t>
  </si>
  <si>
    <t>01154833407</t>
  </si>
  <si>
    <t>01225858099</t>
  </si>
  <si>
    <t>01027859825</t>
  </si>
  <si>
    <t>01090907580</t>
  </si>
  <si>
    <t>01141582657</t>
  </si>
  <si>
    <t>01007650943</t>
  </si>
  <si>
    <t>01090078040</t>
  </si>
  <si>
    <t>اميل رفعت حبيب بساده</t>
  </si>
  <si>
    <t>هدرا وحيد دكران</t>
  </si>
  <si>
    <t>ابانوب عاطف سعدى</t>
  </si>
  <si>
    <t>نصحى مقار نصحى</t>
  </si>
  <si>
    <t>كيرلس عاطف ثابت</t>
  </si>
  <si>
    <t>مينا مخلف نسيم</t>
  </si>
  <si>
    <t>ابانوب سعيد وصفى</t>
  </si>
  <si>
    <t>اميل معوض فخرى</t>
  </si>
  <si>
    <t>بنك مصر</t>
  </si>
  <si>
    <t>روماني توفيق لوندي منصور</t>
  </si>
  <si>
    <t>عفاف مرضي الفنص غبريال</t>
  </si>
  <si>
    <t>ناهد ابوزيد عبدالنبي ابوالمجد</t>
  </si>
  <si>
    <t>نورالدين عبدالحميد احمد يوسف</t>
  </si>
  <si>
    <t>لطفي مهود علي محمد</t>
  </si>
  <si>
    <t>صموئيل راغب ناشد جريس</t>
  </si>
  <si>
    <t>صفاء حكم الله وزيري حفني</t>
  </si>
  <si>
    <t>داود سعد داود جورجيوس</t>
  </si>
  <si>
    <t>ايمان رمضان عثمان بطيخ</t>
  </si>
  <si>
    <t>حليمه نورالدين فهمي احمد</t>
  </si>
  <si>
    <t>عماد محمود احمد عبداللطيف</t>
  </si>
  <si>
    <t>ولاء عبدالحميد علي صالح</t>
  </si>
  <si>
    <t>عبدالصبور عبدالستار شحات وهب الله</t>
  </si>
  <si>
    <t>عمر محمود عبدالرازق ابراهيم</t>
  </si>
  <si>
    <t>خالد سعد محمود محمد</t>
  </si>
  <si>
    <t>هبه ثروت محمد احمد</t>
  </si>
  <si>
    <t>سامح اسعد مكرم دكسيس</t>
  </si>
  <si>
    <t>ولاء لطفي طوابي ربيعي</t>
  </si>
  <si>
    <t>ايه حامد عبدالكريم اسماعيل</t>
  </si>
  <si>
    <t>سيد محمود رياض صديق</t>
  </si>
  <si>
    <t>محمد عمر علي عثمان</t>
  </si>
  <si>
    <t>01009284610</t>
  </si>
  <si>
    <t>01062484278</t>
  </si>
  <si>
    <t>01030328892</t>
  </si>
  <si>
    <t>01025222548</t>
  </si>
  <si>
    <t>01229316521</t>
  </si>
  <si>
    <t>01019370522</t>
  </si>
  <si>
    <t>01227705804</t>
  </si>
  <si>
    <t>01112816461</t>
  </si>
  <si>
    <t>01501335449</t>
  </si>
  <si>
    <t>01008619025</t>
  </si>
  <si>
    <t>01060359817</t>
  </si>
  <si>
    <t>01012104679</t>
  </si>
  <si>
    <t>01027038567</t>
  </si>
  <si>
    <t>01155657118</t>
  </si>
  <si>
    <t>01223325333</t>
  </si>
  <si>
    <t>01066385307</t>
  </si>
  <si>
    <t>01099741044</t>
  </si>
  <si>
    <t>01063174594</t>
  </si>
  <si>
    <t>01121591052</t>
  </si>
  <si>
    <t>ايدي</t>
  </si>
  <si>
    <t>صفوت ملقي تادرس يوسف</t>
  </si>
  <si>
    <t>عادل ممدوح صبحي لبيب</t>
  </si>
  <si>
    <t>يسريه عبدالباري عبدالسلام سلام</t>
  </si>
  <si>
    <t>حنا جاد الرب وردخان تواضروس</t>
  </si>
  <si>
    <t>رفعت سعداوي خضر محمد</t>
  </si>
  <si>
    <t>فوزيه صبحي كامل عبدالمسيح</t>
  </si>
  <si>
    <t>اسامه علي حافظ سيد</t>
  </si>
  <si>
    <t>حسن عبدالعزيز حسن سليمان</t>
  </si>
  <si>
    <t>رافت رمزي ميرهم دوس</t>
  </si>
  <si>
    <t>ايمن ميلاد طوني بشاي</t>
  </si>
  <si>
    <t>مرثا عطيه عبدالملاك عجايبي</t>
  </si>
  <si>
    <t>طوني ميلاد طوني بشاي</t>
  </si>
  <si>
    <t>احمد خليفه علي احمد</t>
  </si>
  <si>
    <t>01227807618</t>
  </si>
  <si>
    <t>01275361328</t>
  </si>
  <si>
    <t>01142908841</t>
  </si>
  <si>
    <t>01272510558</t>
  </si>
  <si>
    <t>01008825148</t>
  </si>
  <si>
    <t>01222972025</t>
  </si>
  <si>
    <t>01005144339</t>
  </si>
  <si>
    <t>01201766737</t>
  </si>
  <si>
    <t>01226814861</t>
  </si>
  <si>
    <t>01207869569</t>
  </si>
  <si>
    <t>01155559183</t>
  </si>
  <si>
    <t>01115983379</t>
  </si>
  <si>
    <t>اهلي</t>
  </si>
  <si>
    <t>كيرلس ثروت تامر توفيق</t>
  </si>
  <si>
    <t>دميانه عطيه عبدالملاك عجايبي</t>
  </si>
  <si>
    <t>01289053304</t>
  </si>
  <si>
    <t xml:space="preserve">تمكين </t>
  </si>
  <si>
    <t>6305</t>
  </si>
  <si>
    <t>0122</t>
  </si>
  <si>
    <t>4266</t>
  </si>
  <si>
    <t>1817</t>
  </si>
  <si>
    <t>5507</t>
  </si>
  <si>
    <t>2518</t>
  </si>
  <si>
    <t>5040</t>
  </si>
  <si>
    <t>8517</t>
  </si>
  <si>
    <t>9396</t>
  </si>
  <si>
    <t>6049</t>
  </si>
  <si>
    <t>0784</t>
  </si>
  <si>
    <t>6475</t>
  </si>
  <si>
    <t>7345</t>
  </si>
  <si>
    <t>0494</t>
  </si>
  <si>
    <t>0233</t>
  </si>
  <si>
    <t>01095407103</t>
  </si>
  <si>
    <t>6937</t>
  </si>
  <si>
    <t>5341</t>
  </si>
  <si>
    <t>0320</t>
  </si>
  <si>
    <t>0907</t>
  </si>
  <si>
    <t>1316</t>
  </si>
  <si>
    <t>5018</t>
  </si>
  <si>
    <t>3114</t>
  </si>
  <si>
    <t>9198</t>
  </si>
  <si>
    <t>1546</t>
  </si>
  <si>
    <t>4213</t>
  </si>
  <si>
    <t>1720</t>
  </si>
  <si>
    <t>0314</t>
  </si>
  <si>
    <t>7194</t>
  </si>
  <si>
    <t>2324</t>
  </si>
  <si>
    <t>5499</t>
  </si>
  <si>
    <t>1356</t>
  </si>
  <si>
    <t>6706</t>
  </si>
  <si>
    <t>5779</t>
  </si>
  <si>
    <t>3133</t>
  </si>
  <si>
    <t>5352</t>
  </si>
  <si>
    <t>3864</t>
  </si>
  <si>
    <t>0810</t>
  </si>
  <si>
    <t>2400</t>
  </si>
  <si>
    <t>01270251248</t>
  </si>
  <si>
    <t>كروت فاضيه</t>
  </si>
  <si>
    <t>#</t>
  </si>
  <si>
    <t>7954</t>
  </si>
  <si>
    <t>3763</t>
  </si>
  <si>
    <t>4570</t>
  </si>
  <si>
    <t>4754</t>
  </si>
  <si>
    <t>5662</t>
  </si>
  <si>
    <t>0717</t>
  </si>
  <si>
    <t>9162</t>
  </si>
  <si>
    <t>8378</t>
  </si>
  <si>
    <t>السيد عبدالمقصود محمود محمد</t>
  </si>
  <si>
    <t>وائل عطيتو اسكندر جوهر</t>
  </si>
  <si>
    <t>هدي ابوالمجد عبدالقادر اكرام</t>
  </si>
  <si>
    <t>مريم لوكاس بندري عبدالملاك</t>
  </si>
  <si>
    <t>احمد حماد سليمان سلام</t>
  </si>
  <si>
    <t>عبير عادل مكرم دكسيس</t>
  </si>
  <si>
    <t>رامي رسمي عجيب دكسيس</t>
  </si>
  <si>
    <t>مروه حكم الله وزيري حفني</t>
  </si>
  <si>
    <t>ايمان عبدالفتاح حسين احمد</t>
  </si>
  <si>
    <t>منتصر عبدالراضي ابراهيم رسلان</t>
  </si>
  <si>
    <t>محمد طارق سليم محمدعمر</t>
  </si>
  <si>
    <t>كامله عبدربه صهيون سلوانس</t>
  </si>
  <si>
    <t>هيلانه صفوت جرجس شهدي</t>
  </si>
  <si>
    <t>عبدالمسيح ادور اطناسوس جورجيوس</t>
  </si>
  <si>
    <t>مسعود فلامون نسيم موسي</t>
  </si>
  <si>
    <t>محمد عبدالرحمن عبداللاه حماد</t>
  </si>
  <si>
    <t>ايمان رشدي عبدالتواب محمود</t>
  </si>
  <si>
    <t>احمد محمد احمد محمد</t>
  </si>
  <si>
    <t>نجوي اندراوس مجاهد نخله</t>
  </si>
  <si>
    <t>ابراهيم عبدالكريم سليم عبدالرحمن</t>
  </si>
  <si>
    <t>كيرلس ثروت اسكندر يعقوب</t>
  </si>
  <si>
    <t>اميل رفعت</t>
  </si>
  <si>
    <t>7724</t>
  </si>
  <si>
    <t>3036</t>
  </si>
  <si>
    <t>٠١٢٢٨٧٧٩٠٢٤</t>
  </si>
  <si>
    <t>3816</t>
  </si>
  <si>
    <t>2531</t>
  </si>
  <si>
    <t>٠١١٢٤٥٣٩٥٢٥</t>
  </si>
  <si>
    <t>ابانوب عاطف</t>
  </si>
  <si>
    <t>2623</t>
  </si>
  <si>
    <t>4235</t>
  </si>
  <si>
    <t>5038</t>
  </si>
  <si>
    <t>0227</t>
  </si>
  <si>
    <t>٠١٠٦٤١٨٥٩٥٦</t>
  </si>
  <si>
    <t>3569</t>
  </si>
  <si>
    <t>8222</t>
  </si>
  <si>
    <t>مينا مخلف</t>
  </si>
  <si>
    <t>9464</t>
  </si>
  <si>
    <t>7888</t>
  </si>
  <si>
    <t>٠١٢٨٩٥٦٦٥٠١</t>
  </si>
  <si>
    <t>8457</t>
  </si>
  <si>
    <t>0017</t>
  </si>
  <si>
    <t>٠١١٤٨٩٣٤٦٦٠</t>
  </si>
  <si>
    <t>2615</t>
  </si>
  <si>
    <t>2098</t>
  </si>
  <si>
    <t>٠١٠٣٣٥٩٢٣٣٨</t>
  </si>
  <si>
    <t>3900</t>
  </si>
  <si>
    <t>8345</t>
  </si>
  <si>
    <t>٠١٠١٧٢٢٦٣٥٥</t>
  </si>
  <si>
    <t>كيرلس عاطف</t>
  </si>
  <si>
    <t>2923</t>
  </si>
  <si>
    <t>6690</t>
  </si>
  <si>
    <t>٠١٠٩٠٩٣٩٥٧٦</t>
  </si>
  <si>
    <t>٠١٢١١٤١٧٧٨٨</t>
  </si>
  <si>
    <t>4794</t>
  </si>
  <si>
    <t>2469</t>
  </si>
  <si>
    <t>٠١٢٢٩٤٦٦٥٢٥</t>
  </si>
  <si>
    <t>نصحى مقار</t>
  </si>
  <si>
    <t>1099</t>
  </si>
  <si>
    <t>7243</t>
  </si>
  <si>
    <t>٠١٢٨٦٦٩١٩٤٦</t>
  </si>
  <si>
    <t>1197</t>
  </si>
  <si>
    <t>6931</t>
  </si>
  <si>
    <t>٠١٢٢٢٢٥٨١٣٤</t>
  </si>
  <si>
    <t>6595</t>
  </si>
  <si>
    <t>0238</t>
  </si>
  <si>
    <t>٠١٠٠٤٠١٤٨٢٨</t>
  </si>
  <si>
    <t>8841</t>
  </si>
  <si>
    <t>6860</t>
  </si>
  <si>
    <t>٠١٥٠٣٥٨٩٩٢٩</t>
  </si>
  <si>
    <t>6355</t>
  </si>
  <si>
    <t>0105</t>
  </si>
  <si>
    <t>٠١٠٣٠٠٣٢٤٢٦</t>
  </si>
  <si>
    <t>4025</t>
  </si>
  <si>
    <t>7014</t>
  </si>
  <si>
    <t>٠١٠٦٨٠٩٨٤٠٥</t>
  </si>
  <si>
    <t>1416</t>
  </si>
  <si>
    <t>9120</t>
  </si>
  <si>
    <t>٠١٠١٥٩٥١٦٤٣</t>
  </si>
  <si>
    <t>8346</t>
  </si>
  <si>
    <t>7488</t>
  </si>
  <si>
    <t>٠١٠٢٧١٦١٠١٩</t>
  </si>
  <si>
    <t>0193</t>
  </si>
  <si>
    <t>4775</t>
  </si>
  <si>
    <t>مصر-فرعية</t>
  </si>
  <si>
    <t>ايدي-فرعية</t>
  </si>
  <si>
    <t>2332</t>
  </si>
  <si>
    <t>3999</t>
  </si>
  <si>
    <t>01114960683</t>
  </si>
  <si>
    <t>01022078315</t>
  </si>
  <si>
    <t>6525</t>
  </si>
  <si>
    <t>0159</t>
  </si>
  <si>
    <t>01211397882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</si>
</sst>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22">
    <xf numFmtId="0" fontId="0" fillId="0" borderId="0" xfId="0"/>
    <xf numFmtId="49" fontId="0" fillId="0" borderId="0" xfId="0" applyNumberFormat="1" applyFont="1" applyAlignment="1">
      <alignment horizontal="left" readingOrder="1"/>
    </xf>
    <xf numFmtId="49" fontId="0" fillId="0" borderId="0" xfId="0" applyNumberFormat="1" applyFont="1" applyAlignment="1">
      <alignment readingOrder="1"/>
    </xf>
    <xf numFmtId="0" fontId="0" fillId="0" borderId="0" xfId="0" applyFont="1" applyBorder="1"/>
    <xf numFmtId="1" fontId="0" fillId="0" borderId="0" xfId="0" applyNumberFormat="1" applyFont="1" applyBorder="1" applyAlignment="1">
      <alignment readingOrder="1"/>
    </xf>
    <xf numFmtId="1" fontId="0" fillId="0" borderId="0" xfId="0" applyNumberFormat="1" applyFont="1" applyBorder="1" applyAlignment="1">
      <alignment readingOrder="2"/>
    </xf>
    <xf numFmtId="1" fontId="0" fillId="0" borderId="0" xfId="0" applyNumberFormat="1" applyFont="1" applyBorder="1" applyAlignment="1"/>
    <xf numFmtId="49" fontId="0" fillId="0" borderId="0" xfId="0" applyNumberFormat="1" applyFont="1" applyBorder="1" applyAlignment="1">
      <alignment readingOrder="1"/>
    </xf>
    <xf numFmtId="0" fontId="0" fillId="0" borderId="0" xfId="0" applyFont="1"/>
    <xf numFmtId="0" fontId="0" fillId="0" borderId="0" xfId="0" applyFont="1" applyAlignment="1">
      <alignment readingOrder="2"/>
    </xf>
    <xf numFmtId="0" fontId="0" fillId="0" borderId="0" xfId="0" applyFont="1" applyAlignment="1">
      <alignment readingOrder="1"/>
    </xf>
    <xf numFmtId="0" fontId="0" fillId="0" borderId="0" xfId="0" applyFont="1" applyFill="1" applyBorder="1"/>
    <xf numFmtId="1" fontId="0" fillId="0" borderId="0" xfId="0" applyNumberFormat="1" applyFont="1" applyAlignment="1">
      <alignment readingOrder="1"/>
    </xf>
    <xf numFmtId="1" fontId="0" fillId="0" borderId="0" xfId="0" applyNumberFormat="1" applyFont="1" applyAlignment="1">
      <alignment readingOrder="2"/>
    </xf>
    <xf numFmtId="1" fontId="0" fillId="0" borderId="0" xfId="0" applyNumberFormat="1" applyFont="1" applyFill="1" applyAlignment="1"/>
    <xf numFmtId="49" fontId="0" fillId="0" borderId="0" xfId="0" applyNumberFormat="1" applyFont="1"/>
    <xf numFmtId="0" fontId="0" fillId="0" borderId="0" xfId="0" applyFont="1" applyFill="1" applyAlignment="1">
      <alignment readingOrder="1"/>
    </xf>
    <xf numFmtId="1" fontId="0" fillId="0" borderId="0" xfId="0" applyNumberFormat="1" applyFont="1" applyAlignment="1"/>
    <xf numFmtId="49" fontId="0" fillId="2" borderId="1" xfId="0" applyNumberFormat="1" applyFont="1" applyFill="1" applyBorder="1" applyAlignment="1">
      <alignment readingOrder="1"/>
    </xf>
    <xf numFmtId="49" fontId="0" fillId="2" borderId="1" xfId="0" applyNumberFormat="1" applyFont="1" applyFill="1" applyBorder="1" applyAlignment="1">
      <alignment horizontal="left" readingOrder="1"/>
    </xf>
    <xf numFmtId="0" fontId="0" fillId="2" borderId="1" xfId="0" applyFont="1" applyFill="1" applyBorder="1"/>
    <xf numFmtId="0" fontId="0" fillId="0" borderId="0" xfId="0" applyFont="1" applyAlignment="1">
      <alignment horizontal="center"/>
    </xf>
  </cellXfs>
  <cellStyles count="2">
    <cellStyle name="Normal" xfId="0" builtinId="0"/>
    <cellStyle name="Normal 3" xfId="1"/>
  </cellStyles>
  <dxfs count="16"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theme="7" tint="0.59996337778862885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7" tint="0.59996337778862885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 patternType="solid">
          <fgColor rgb="FF92D05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184"/>
  <sheetViews>
    <sheetView rightToLeft="1" tabSelected="1" topLeftCell="A40" zoomScale="85" zoomScaleNormal="85" workbookViewId="0">
      <selection activeCell="M51" sqref="J51:M51"/>
    </sheetView>
  </sheetViews>
  <sheetFormatPr defaultRowHeight="14.4" x14ac:dyDescent="0.3"/>
  <cols>
    <col min="1" max="1" width="4.109375" style="8" bestFit="1" customWidth="1"/>
    <col min="2" max="2" width="10.44140625" style="8" bestFit="1" customWidth="1"/>
    <col min="3" max="3" width="28.88671875" style="8" bestFit="1" customWidth="1"/>
    <col min="4" max="4" width="18.33203125" style="12" customWidth="1"/>
    <col min="5" max="5" width="12" style="13" bestFit="1" customWidth="1"/>
    <col min="6" max="6" width="7.21875" style="13" hidden="1" customWidth="1"/>
    <col min="7" max="7" width="24.21875" style="17" customWidth="1"/>
    <col min="8" max="8" width="15.33203125" style="2" customWidth="1"/>
    <col min="9" max="9" width="19.5546875" style="8" customWidth="1"/>
    <col min="10" max="11" width="7.33203125" style="2" customWidth="1"/>
    <col min="12" max="13" width="7.33203125" style="1" customWidth="1"/>
    <col min="14" max="14" width="4.88671875" style="9" customWidth="1"/>
    <col min="15" max="15" width="4.5546875" style="10" bestFit="1" customWidth="1"/>
    <col min="16" max="16" width="8.44140625" style="8" bestFit="1" customWidth="1"/>
    <col min="17" max="20" width="6" style="8" customWidth="1"/>
    <col min="21" max="16384" width="8.88671875" style="8"/>
  </cols>
  <sheetData>
    <row r="1" spans="1:20" x14ac:dyDescent="0.3">
      <c r="A1" s="3" t="s">
        <v>6</v>
      </c>
      <c r="B1" s="3" t="s">
        <v>8</v>
      </c>
      <c r="C1" s="3" t="s">
        <v>0</v>
      </c>
      <c r="D1" s="4" t="s">
        <v>2</v>
      </c>
      <c r="E1" s="5" t="s">
        <v>13</v>
      </c>
      <c r="F1" s="5" t="s">
        <v>15</v>
      </c>
      <c r="G1" s="6" t="s">
        <v>1</v>
      </c>
      <c r="H1" s="7" t="s">
        <v>3</v>
      </c>
      <c r="I1" s="8" t="s">
        <v>7</v>
      </c>
      <c r="J1" s="2" t="s">
        <v>12</v>
      </c>
      <c r="K1" s="2" t="s">
        <v>11</v>
      </c>
      <c r="L1" s="1" t="s">
        <v>10</v>
      </c>
      <c r="M1" s="1" t="s">
        <v>9</v>
      </c>
      <c r="O1" s="10" t="s">
        <v>319</v>
      </c>
      <c r="P1" s="8" t="s">
        <v>14</v>
      </c>
      <c r="Q1" s="21" t="s">
        <v>318</v>
      </c>
      <c r="R1" s="21"/>
      <c r="S1" s="21"/>
      <c r="T1" s="21"/>
    </row>
    <row r="2" spans="1:20" x14ac:dyDescent="0.3">
      <c r="A2" s="11">
        <v>77</v>
      </c>
      <c r="B2" s="8">
        <v>5598</v>
      </c>
      <c r="C2" s="8" t="s">
        <v>335</v>
      </c>
      <c r="D2" s="12">
        <v>28711092102644</v>
      </c>
      <c r="E2" s="13">
        <v>15000</v>
      </c>
      <c r="F2" s="13">
        <v>12</v>
      </c>
      <c r="G2" s="14" t="str">
        <f t="shared" ref="G2:G33" si="0">CONCATENATE(J2,"-",K2,"-",L2,"-",M2)</f>
        <v>2615-2098-0313-5078</v>
      </c>
      <c r="H2" s="2" t="s">
        <v>370</v>
      </c>
      <c r="I2" s="8" t="s">
        <v>364</v>
      </c>
      <c r="J2" s="2" t="s">
        <v>371</v>
      </c>
      <c r="K2" s="2" t="s">
        <v>372</v>
      </c>
      <c r="L2" s="1" t="s">
        <v>4</v>
      </c>
      <c r="M2" s="1" t="s">
        <v>5</v>
      </c>
      <c r="O2" s="16">
        <f t="shared" ref="O2:O33" si="1">LEN(H2)</f>
        <v>11</v>
      </c>
      <c r="P2" s="8" t="s">
        <v>413</v>
      </c>
      <c r="Q2" s="18" t="s">
        <v>45</v>
      </c>
      <c r="R2" s="18" t="s">
        <v>46</v>
      </c>
      <c r="S2" s="19" t="s">
        <v>4</v>
      </c>
      <c r="T2" s="19" t="s">
        <v>5</v>
      </c>
    </row>
    <row r="3" spans="1:20" x14ac:dyDescent="0.3">
      <c r="A3" s="11">
        <v>84</v>
      </c>
      <c r="B3" s="8">
        <v>5607</v>
      </c>
      <c r="C3" s="8" t="s">
        <v>342</v>
      </c>
      <c r="D3" s="12">
        <v>26711222702234</v>
      </c>
      <c r="E3" s="13">
        <v>20000</v>
      </c>
      <c r="F3" s="13">
        <v>12</v>
      </c>
      <c r="G3" s="14" t="str">
        <f t="shared" si="0"/>
        <v>6595-0238-0313-5078</v>
      </c>
      <c r="H3" s="2" t="s">
        <v>391</v>
      </c>
      <c r="I3" s="8" t="s">
        <v>364</v>
      </c>
      <c r="J3" s="2" t="s">
        <v>392</v>
      </c>
      <c r="K3" s="2" t="s">
        <v>393</v>
      </c>
      <c r="L3" s="1" t="s">
        <v>4</v>
      </c>
      <c r="M3" s="1" t="s">
        <v>5</v>
      </c>
      <c r="O3" s="16">
        <f t="shared" si="1"/>
        <v>11</v>
      </c>
      <c r="P3" s="8" t="s">
        <v>413</v>
      </c>
      <c r="Q3" s="18" t="s">
        <v>71</v>
      </c>
      <c r="R3" s="18" t="s">
        <v>70</v>
      </c>
      <c r="S3" s="19" t="s">
        <v>4</v>
      </c>
      <c r="T3" s="19" t="s">
        <v>5</v>
      </c>
    </row>
    <row r="4" spans="1:20" x14ac:dyDescent="0.3">
      <c r="A4" s="11">
        <v>15</v>
      </c>
      <c r="B4" s="8">
        <v>5583</v>
      </c>
      <c r="C4" s="8" t="s">
        <v>148</v>
      </c>
      <c r="D4" s="12">
        <v>28704122701037</v>
      </c>
      <c r="E4" s="13">
        <v>20000</v>
      </c>
      <c r="F4" s="13">
        <v>18</v>
      </c>
      <c r="G4" s="14" t="str">
        <f t="shared" si="0"/>
        <v>2056-0890-0313-5078</v>
      </c>
      <c r="H4" s="2" t="s">
        <v>180</v>
      </c>
      <c r="I4" s="8" t="s">
        <v>201</v>
      </c>
      <c r="J4" s="2" t="s">
        <v>37</v>
      </c>
      <c r="K4" s="2" t="s">
        <v>38</v>
      </c>
      <c r="L4" s="1" t="s">
        <v>4</v>
      </c>
      <c r="M4" s="1" t="s">
        <v>5</v>
      </c>
      <c r="O4" s="16">
        <f t="shared" si="1"/>
        <v>11</v>
      </c>
      <c r="P4" s="8" t="s">
        <v>206</v>
      </c>
      <c r="Q4" s="18" t="s">
        <v>43</v>
      </c>
      <c r="R4" s="18" t="s">
        <v>44</v>
      </c>
      <c r="S4" s="19" t="s">
        <v>4</v>
      </c>
      <c r="T4" s="19" t="s">
        <v>5</v>
      </c>
    </row>
    <row r="5" spans="1:20" x14ac:dyDescent="0.3">
      <c r="A5" s="11">
        <v>70</v>
      </c>
      <c r="B5" s="8">
        <v>2773</v>
      </c>
      <c r="C5" s="8" t="s">
        <v>328</v>
      </c>
      <c r="D5" s="12">
        <v>27705242700576</v>
      </c>
      <c r="E5" s="13">
        <v>20000</v>
      </c>
      <c r="F5" s="13">
        <v>18</v>
      </c>
      <c r="G5" s="14" t="str">
        <f t="shared" si="0"/>
        <v>7724-3036-0313-5078</v>
      </c>
      <c r="H5" s="2" t="s">
        <v>416</v>
      </c>
      <c r="I5" s="8" t="s">
        <v>349</v>
      </c>
      <c r="J5" s="2" t="s">
        <v>350</v>
      </c>
      <c r="K5" s="2" t="s">
        <v>351</v>
      </c>
      <c r="L5" s="1" t="s">
        <v>4</v>
      </c>
      <c r="M5" s="1" t="s">
        <v>5</v>
      </c>
      <c r="O5" s="16">
        <f t="shared" si="1"/>
        <v>11</v>
      </c>
      <c r="P5" s="8" t="s">
        <v>412</v>
      </c>
      <c r="Q5" s="18" t="s">
        <v>68</v>
      </c>
      <c r="R5" s="18" t="s">
        <v>69</v>
      </c>
      <c r="S5" s="19" t="s">
        <v>4</v>
      </c>
      <c r="T5" s="19" t="s">
        <v>5</v>
      </c>
    </row>
    <row r="6" spans="1:20" x14ac:dyDescent="0.3">
      <c r="A6" s="11">
        <v>72</v>
      </c>
      <c r="B6" s="8">
        <v>4620</v>
      </c>
      <c r="C6" s="8" t="s">
        <v>330</v>
      </c>
      <c r="D6" s="12">
        <v>26606042701746</v>
      </c>
      <c r="E6" s="13">
        <v>15000</v>
      </c>
      <c r="F6" s="13">
        <v>18</v>
      </c>
      <c r="G6" s="14" t="str">
        <f t="shared" si="0"/>
        <v>2623-4235-0313-5078</v>
      </c>
      <c r="H6" s="2" t="s">
        <v>355</v>
      </c>
      <c r="I6" s="8" t="s">
        <v>356</v>
      </c>
      <c r="J6" s="2" t="s">
        <v>357</v>
      </c>
      <c r="K6" s="2" t="s">
        <v>358</v>
      </c>
      <c r="L6" s="1" t="s">
        <v>4</v>
      </c>
      <c r="M6" s="1" t="s">
        <v>5</v>
      </c>
      <c r="O6" s="16">
        <f t="shared" si="1"/>
        <v>11</v>
      </c>
      <c r="P6" s="8" t="s">
        <v>412</v>
      </c>
      <c r="Q6" s="18" t="s">
        <v>26</v>
      </c>
      <c r="R6" s="18" t="s">
        <v>27</v>
      </c>
      <c r="S6" s="19" t="s">
        <v>4</v>
      </c>
      <c r="T6" s="19" t="s">
        <v>5</v>
      </c>
    </row>
    <row r="7" spans="1:20" x14ac:dyDescent="0.3">
      <c r="A7" s="11">
        <v>74</v>
      </c>
      <c r="B7" s="8">
        <v>5595</v>
      </c>
      <c r="C7" s="8" t="s">
        <v>332</v>
      </c>
      <c r="D7" s="12">
        <v>26408062700537</v>
      </c>
      <c r="E7" s="13">
        <v>15000</v>
      </c>
      <c r="F7" s="13">
        <v>18</v>
      </c>
      <c r="G7" s="14" t="str">
        <f t="shared" si="0"/>
        <v>3569-8222-0313-5078</v>
      </c>
      <c r="H7" s="2" t="s">
        <v>361</v>
      </c>
      <c r="I7" s="8" t="s">
        <v>356</v>
      </c>
      <c r="J7" s="2" t="s">
        <v>362</v>
      </c>
      <c r="K7" s="2" t="s">
        <v>363</v>
      </c>
      <c r="L7" s="1" t="s">
        <v>4</v>
      </c>
      <c r="M7" s="1" t="s">
        <v>5</v>
      </c>
      <c r="O7" s="16">
        <f t="shared" si="1"/>
        <v>11</v>
      </c>
      <c r="P7" s="8" t="s">
        <v>412</v>
      </c>
      <c r="Q7" s="18" t="s">
        <v>125</v>
      </c>
      <c r="R7" s="18" t="s">
        <v>124</v>
      </c>
      <c r="S7" s="19" t="s">
        <v>4</v>
      </c>
      <c r="T7" s="19" t="s">
        <v>5</v>
      </c>
    </row>
    <row r="8" spans="1:20" x14ac:dyDescent="0.3">
      <c r="A8" s="11">
        <v>75</v>
      </c>
      <c r="B8" s="8">
        <v>5596</v>
      </c>
      <c r="C8" s="8" t="s">
        <v>333</v>
      </c>
      <c r="D8" s="12">
        <v>30004092702146</v>
      </c>
      <c r="E8" s="13">
        <v>20000</v>
      </c>
      <c r="F8" s="13">
        <v>18</v>
      </c>
      <c r="G8" s="14" t="str">
        <f t="shared" si="0"/>
        <v>9464-7888-0313-5078</v>
      </c>
      <c r="H8" s="2" t="s">
        <v>417</v>
      </c>
      <c r="I8" s="8" t="s">
        <v>364</v>
      </c>
      <c r="J8" s="2" t="s">
        <v>365</v>
      </c>
      <c r="K8" s="2" t="s">
        <v>366</v>
      </c>
      <c r="L8" s="1" t="s">
        <v>4</v>
      </c>
      <c r="M8" s="1" t="s">
        <v>5</v>
      </c>
      <c r="O8" s="16">
        <f t="shared" si="1"/>
        <v>11</v>
      </c>
      <c r="P8" s="8" t="s">
        <v>412</v>
      </c>
      <c r="Q8" s="18" t="s">
        <v>53</v>
      </c>
      <c r="R8" s="18" t="s">
        <v>54</v>
      </c>
      <c r="S8" s="19" t="s">
        <v>4</v>
      </c>
      <c r="T8" s="19" t="s">
        <v>5</v>
      </c>
    </row>
    <row r="9" spans="1:20" x14ac:dyDescent="0.3">
      <c r="A9" s="11">
        <v>76</v>
      </c>
      <c r="B9" s="8">
        <v>5597</v>
      </c>
      <c r="C9" s="8" t="s">
        <v>334</v>
      </c>
      <c r="D9" s="12">
        <v>29111062700713</v>
      </c>
      <c r="E9" s="13">
        <v>20000</v>
      </c>
      <c r="F9" s="13">
        <v>18</v>
      </c>
      <c r="G9" s="14" t="str">
        <f t="shared" si="0"/>
        <v>8457-0017-0313-5078</v>
      </c>
      <c r="H9" s="2" t="s">
        <v>367</v>
      </c>
      <c r="I9" s="8" t="s">
        <v>364</v>
      </c>
      <c r="J9" s="2" t="s">
        <v>368</v>
      </c>
      <c r="K9" s="2" t="s">
        <v>369</v>
      </c>
      <c r="L9" s="1" t="s">
        <v>4</v>
      </c>
      <c r="M9" s="1" t="s">
        <v>5</v>
      </c>
      <c r="O9" s="16">
        <f t="shared" si="1"/>
        <v>11</v>
      </c>
      <c r="P9" s="8" t="s">
        <v>412</v>
      </c>
      <c r="Q9" s="18" t="s">
        <v>56</v>
      </c>
      <c r="R9" s="18" t="s">
        <v>55</v>
      </c>
      <c r="S9" s="19" t="s">
        <v>4</v>
      </c>
      <c r="T9" s="19" t="s">
        <v>5</v>
      </c>
    </row>
    <row r="10" spans="1:20" x14ac:dyDescent="0.3">
      <c r="A10" s="11">
        <v>78</v>
      </c>
      <c r="B10" s="8">
        <v>5599</v>
      </c>
      <c r="C10" s="8" t="s">
        <v>336</v>
      </c>
      <c r="D10" s="12">
        <v>27503272700366</v>
      </c>
      <c r="E10" s="13">
        <v>20000</v>
      </c>
      <c r="F10" s="13">
        <v>18</v>
      </c>
      <c r="G10" s="14" t="str">
        <f t="shared" si="0"/>
        <v>3900-8345-0313-5078</v>
      </c>
      <c r="H10" s="2" t="s">
        <v>373</v>
      </c>
      <c r="I10" s="8" t="s">
        <v>356</v>
      </c>
      <c r="J10" s="2" t="s">
        <v>374</v>
      </c>
      <c r="K10" s="2" t="s">
        <v>375</v>
      </c>
      <c r="L10" s="1" t="s">
        <v>4</v>
      </c>
      <c r="M10" s="1" t="s">
        <v>5</v>
      </c>
      <c r="O10" s="16">
        <f t="shared" si="1"/>
        <v>11</v>
      </c>
      <c r="P10" s="8" t="s">
        <v>412</v>
      </c>
      <c r="Q10" s="18" t="s">
        <v>24</v>
      </c>
      <c r="R10" s="18" t="s">
        <v>25</v>
      </c>
      <c r="S10" s="19" t="s">
        <v>4</v>
      </c>
      <c r="T10" s="19" t="s">
        <v>5</v>
      </c>
    </row>
    <row r="11" spans="1:20" x14ac:dyDescent="0.3">
      <c r="A11" s="11">
        <v>79</v>
      </c>
      <c r="B11" s="8">
        <v>5601</v>
      </c>
      <c r="C11" s="8" t="s">
        <v>337</v>
      </c>
      <c r="D11" s="12">
        <v>28001122701711</v>
      </c>
      <c r="E11" s="13">
        <v>10000</v>
      </c>
      <c r="F11" s="13">
        <v>18</v>
      </c>
      <c r="G11" s="14" t="str">
        <f t="shared" si="0"/>
        <v>2923-6690-0313-5078</v>
      </c>
      <c r="H11" s="2" t="s">
        <v>376</v>
      </c>
      <c r="I11" s="8" t="s">
        <v>377</v>
      </c>
      <c r="J11" s="2" t="s">
        <v>378</v>
      </c>
      <c r="K11" s="2" t="s">
        <v>379</v>
      </c>
      <c r="L11" s="1" t="s">
        <v>4</v>
      </c>
      <c r="M11" s="1" t="s">
        <v>5</v>
      </c>
      <c r="O11" s="16">
        <f t="shared" si="1"/>
        <v>11</v>
      </c>
      <c r="P11" s="8" t="s">
        <v>412</v>
      </c>
      <c r="Q11" s="20" t="s">
        <v>121</v>
      </c>
      <c r="R11" s="20" t="s">
        <v>120</v>
      </c>
      <c r="S11" s="20" t="s">
        <v>4</v>
      </c>
      <c r="T11" s="20" t="s">
        <v>5</v>
      </c>
    </row>
    <row r="12" spans="1:20" x14ac:dyDescent="0.3">
      <c r="A12" s="11">
        <v>80</v>
      </c>
      <c r="B12" s="8">
        <v>5602</v>
      </c>
      <c r="C12" s="8" t="s">
        <v>338</v>
      </c>
      <c r="D12" s="12">
        <v>28811232700151</v>
      </c>
      <c r="E12" s="13">
        <v>20000</v>
      </c>
      <c r="F12" s="13">
        <v>18</v>
      </c>
      <c r="G12" s="14" t="str">
        <f t="shared" si="0"/>
        <v>2332-3999-0313-5078</v>
      </c>
      <c r="H12" s="2" t="s">
        <v>380</v>
      </c>
      <c r="I12" s="8" t="s">
        <v>131</v>
      </c>
      <c r="J12" s="2" t="s">
        <v>414</v>
      </c>
      <c r="K12" s="2" t="s">
        <v>415</v>
      </c>
      <c r="L12" s="1" t="s">
        <v>4</v>
      </c>
      <c r="M12" s="1" t="s">
        <v>5</v>
      </c>
      <c r="O12" s="16">
        <f t="shared" si="1"/>
        <v>11</v>
      </c>
      <c r="P12" s="8" t="s">
        <v>412</v>
      </c>
      <c r="Q12" s="20"/>
      <c r="R12" s="20"/>
      <c r="S12" s="20"/>
      <c r="T12" s="20"/>
    </row>
    <row r="13" spans="1:20" x14ac:dyDescent="0.3">
      <c r="A13" s="11">
        <v>82</v>
      </c>
      <c r="B13" s="8">
        <v>5605</v>
      </c>
      <c r="C13" s="8" t="s">
        <v>340</v>
      </c>
      <c r="D13" s="12">
        <v>30109272600224</v>
      </c>
      <c r="E13" s="13">
        <v>20000</v>
      </c>
      <c r="F13" s="13">
        <v>18</v>
      </c>
      <c r="G13" s="14" t="str">
        <f t="shared" si="0"/>
        <v>1099-7243-0313-5078</v>
      </c>
      <c r="H13" s="2" t="s">
        <v>384</v>
      </c>
      <c r="I13" s="8" t="s">
        <v>385</v>
      </c>
      <c r="J13" s="2" t="s">
        <v>386</v>
      </c>
      <c r="K13" s="2" t="s">
        <v>387</v>
      </c>
      <c r="L13" s="1" t="s">
        <v>4</v>
      </c>
      <c r="M13" s="1" t="s">
        <v>5</v>
      </c>
      <c r="O13" s="16">
        <f t="shared" si="1"/>
        <v>11</v>
      </c>
      <c r="P13" s="8" t="s">
        <v>412</v>
      </c>
      <c r="Q13" s="20"/>
      <c r="R13" s="20"/>
      <c r="S13" s="20"/>
      <c r="T13" s="20"/>
    </row>
    <row r="14" spans="1:20" x14ac:dyDescent="0.3">
      <c r="A14" s="11">
        <v>83</v>
      </c>
      <c r="B14" s="8">
        <v>5606</v>
      </c>
      <c r="C14" s="8" t="s">
        <v>341</v>
      </c>
      <c r="D14" s="12">
        <v>29105022701393</v>
      </c>
      <c r="E14" s="13">
        <v>20000</v>
      </c>
      <c r="F14" s="13">
        <v>18</v>
      </c>
      <c r="G14" s="14" t="str">
        <f t="shared" si="0"/>
        <v>1197-6931-0313-5078</v>
      </c>
      <c r="H14" s="2" t="s">
        <v>388</v>
      </c>
      <c r="I14" s="8" t="s">
        <v>385</v>
      </c>
      <c r="J14" s="2" t="s">
        <v>389</v>
      </c>
      <c r="K14" s="2" t="s">
        <v>390</v>
      </c>
      <c r="L14" s="1" t="s">
        <v>4</v>
      </c>
      <c r="M14" s="1" t="s">
        <v>5</v>
      </c>
      <c r="O14" s="16">
        <f t="shared" si="1"/>
        <v>11</v>
      </c>
      <c r="P14" s="8" t="s">
        <v>412</v>
      </c>
      <c r="Q14" s="20"/>
      <c r="R14" s="20"/>
      <c r="S14" s="20"/>
      <c r="T14" s="20"/>
    </row>
    <row r="15" spans="1:20" x14ac:dyDescent="0.3">
      <c r="A15" s="11">
        <v>87</v>
      </c>
      <c r="B15" s="8">
        <v>5610</v>
      </c>
      <c r="C15" s="8" t="s">
        <v>345</v>
      </c>
      <c r="D15" s="12">
        <v>28706272700872</v>
      </c>
      <c r="E15" s="13">
        <v>20000</v>
      </c>
      <c r="F15" s="13">
        <v>18</v>
      </c>
      <c r="G15" s="14" t="str">
        <f t="shared" si="0"/>
        <v>4025-7014-0313-5078</v>
      </c>
      <c r="H15" s="2" t="s">
        <v>400</v>
      </c>
      <c r="I15" s="8" t="s">
        <v>356</v>
      </c>
      <c r="J15" s="2" t="s">
        <v>401</v>
      </c>
      <c r="K15" s="2" t="s">
        <v>402</v>
      </c>
      <c r="L15" s="1" t="s">
        <v>4</v>
      </c>
      <c r="M15" s="1" t="s">
        <v>5</v>
      </c>
      <c r="O15" s="16">
        <f t="shared" si="1"/>
        <v>11</v>
      </c>
      <c r="P15" s="8" t="s">
        <v>412</v>
      </c>
      <c r="Q15" s="20"/>
      <c r="R15" s="20"/>
      <c r="S15" s="20"/>
      <c r="T15" s="20"/>
    </row>
    <row r="16" spans="1:20" x14ac:dyDescent="0.3">
      <c r="A16" s="11">
        <v>89</v>
      </c>
      <c r="B16" s="8">
        <v>5612</v>
      </c>
      <c r="C16" s="8" t="s">
        <v>347</v>
      </c>
      <c r="D16" s="12">
        <v>28305232700611</v>
      </c>
      <c r="E16" s="13">
        <v>20000</v>
      </c>
      <c r="F16" s="13">
        <v>18</v>
      </c>
      <c r="G16" s="14" t="str">
        <f t="shared" si="0"/>
        <v>8346-7488-0313-5078</v>
      </c>
      <c r="H16" s="2" t="s">
        <v>406</v>
      </c>
      <c r="I16" s="8" t="s">
        <v>356</v>
      </c>
      <c r="J16" s="2" t="s">
        <v>407</v>
      </c>
      <c r="K16" s="2" t="s">
        <v>408</v>
      </c>
      <c r="L16" s="1" t="s">
        <v>4</v>
      </c>
      <c r="M16" s="1" t="s">
        <v>5</v>
      </c>
      <c r="O16" s="16">
        <f t="shared" si="1"/>
        <v>11</v>
      </c>
      <c r="P16" s="8" t="s">
        <v>412</v>
      </c>
      <c r="Q16" s="20"/>
      <c r="R16" s="20"/>
      <c r="S16" s="20"/>
      <c r="T16" s="20"/>
    </row>
    <row r="17" spans="1:20" x14ac:dyDescent="0.3">
      <c r="A17" s="11">
        <v>55</v>
      </c>
      <c r="B17" s="8">
        <v>1124</v>
      </c>
      <c r="C17" s="8" t="s">
        <v>248</v>
      </c>
      <c r="D17" s="12">
        <v>27203072701011</v>
      </c>
      <c r="E17" s="13">
        <v>20000</v>
      </c>
      <c r="F17" s="13">
        <v>12</v>
      </c>
      <c r="G17" s="14" t="str">
        <f t="shared" si="0"/>
        <v>6377-2436-0313-5078</v>
      </c>
      <c r="H17" s="2" t="s">
        <v>261</v>
      </c>
      <c r="I17" s="8" t="s">
        <v>203</v>
      </c>
      <c r="J17" s="2" t="s">
        <v>104</v>
      </c>
      <c r="K17" s="2" t="s">
        <v>105</v>
      </c>
      <c r="L17" s="1" t="s">
        <v>4</v>
      </c>
      <c r="M17" s="1" t="s">
        <v>5</v>
      </c>
      <c r="O17" s="16">
        <f t="shared" si="1"/>
        <v>11</v>
      </c>
      <c r="P17" s="8" t="s">
        <v>273</v>
      </c>
      <c r="Q17" s="20"/>
      <c r="R17" s="20"/>
      <c r="S17" s="20"/>
      <c r="T17" s="20"/>
    </row>
    <row r="18" spans="1:20" x14ac:dyDescent="0.3">
      <c r="A18" s="11">
        <v>56</v>
      </c>
      <c r="B18" s="8">
        <v>2744</v>
      </c>
      <c r="C18" s="8" t="s">
        <v>249</v>
      </c>
      <c r="D18" s="12">
        <v>28502202700196</v>
      </c>
      <c r="E18" s="13">
        <v>20000</v>
      </c>
      <c r="F18" s="13">
        <v>12</v>
      </c>
      <c r="G18" s="14" t="str">
        <f t="shared" si="0"/>
        <v>5428-8293-0313-5078</v>
      </c>
      <c r="H18" s="2" t="s">
        <v>262</v>
      </c>
      <c r="I18" s="8" t="s">
        <v>199</v>
      </c>
      <c r="J18" s="2" t="s">
        <v>107</v>
      </c>
      <c r="K18" s="2" t="s">
        <v>106</v>
      </c>
      <c r="L18" s="1" t="s">
        <v>4</v>
      </c>
      <c r="M18" s="1" t="s">
        <v>5</v>
      </c>
      <c r="O18" s="16">
        <f t="shared" si="1"/>
        <v>11</v>
      </c>
      <c r="P18" s="8" t="s">
        <v>273</v>
      </c>
      <c r="Q18" s="20"/>
      <c r="R18" s="20"/>
      <c r="S18" s="20"/>
      <c r="T18" s="20"/>
    </row>
    <row r="19" spans="1:20" x14ac:dyDescent="0.3">
      <c r="A19" s="11">
        <v>57</v>
      </c>
      <c r="B19" s="8">
        <v>4782</v>
      </c>
      <c r="C19" s="8" t="s">
        <v>250</v>
      </c>
      <c r="D19" s="12">
        <v>29112042700781</v>
      </c>
      <c r="E19" s="13">
        <v>20000</v>
      </c>
      <c r="F19" s="13">
        <v>18</v>
      </c>
      <c r="G19" s="14" t="str">
        <f t="shared" si="0"/>
        <v>5077-5806-0313-5078</v>
      </c>
      <c r="H19" s="2" t="s">
        <v>263</v>
      </c>
      <c r="I19" s="8" t="s">
        <v>200</v>
      </c>
      <c r="J19" s="2" t="s">
        <v>109</v>
      </c>
      <c r="K19" s="2" t="s">
        <v>108</v>
      </c>
      <c r="L19" s="1" t="s">
        <v>4</v>
      </c>
      <c r="M19" s="1" t="s">
        <v>5</v>
      </c>
      <c r="O19" s="16">
        <f t="shared" si="1"/>
        <v>11</v>
      </c>
      <c r="P19" s="8" t="s">
        <v>273</v>
      </c>
      <c r="Q19" s="20"/>
      <c r="R19" s="20"/>
      <c r="S19" s="20"/>
      <c r="T19" s="20"/>
    </row>
    <row r="20" spans="1:20" x14ac:dyDescent="0.3">
      <c r="A20" s="11">
        <v>58</v>
      </c>
      <c r="B20" s="8">
        <v>5051</v>
      </c>
      <c r="C20" s="8" t="s">
        <v>251</v>
      </c>
      <c r="D20" s="12">
        <v>29001282701338</v>
      </c>
      <c r="E20" s="13">
        <v>20000</v>
      </c>
      <c r="F20" s="13">
        <v>12</v>
      </c>
      <c r="G20" s="14" t="str">
        <f t="shared" si="0"/>
        <v>4754-4570-0313-5078</v>
      </c>
      <c r="H20" s="2" t="s">
        <v>264</v>
      </c>
      <c r="I20" s="8" t="s">
        <v>198</v>
      </c>
      <c r="J20" s="2" t="s">
        <v>323</v>
      </c>
      <c r="K20" s="2" t="s">
        <v>322</v>
      </c>
      <c r="L20" s="1" t="s">
        <v>4</v>
      </c>
      <c r="M20" s="1" t="s">
        <v>5</v>
      </c>
      <c r="O20" s="16">
        <f t="shared" si="1"/>
        <v>11</v>
      </c>
      <c r="P20" s="8" t="s">
        <v>273</v>
      </c>
      <c r="Q20" s="20"/>
      <c r="R20" s="20"/>
      <c r="S20" s="20"/>
      <c r="T20" s="20"/>
    </row>
    <row r="21" spans="1:20" x14ac:dyDescent="0.3">
      <c r="A21" s="11">
        <v>59</v>
      </c>
      <c r="B21" s="8">
        <v>5560</v>
      </c>
      <c r="C21" s="8" t="s">
        <v>252</v>
      </c>
      <c r="D21" s="12">
        <v>26507262700793</v>
      </c>
      <c r="E21" s="13">
        <v>20000</v>
      </c>
      <c r="F21" s="13">
        <v>12</v>
      </c>
      <c r="G21" s="14" t="str">
        <f t="shared" si="0"/>
        <v>4765-7570-0313-5078</v>
      </c>
      <c r="H21" s="2" t="s">
        <v>265</v>
      </c>
      <c r="I21" s="8" t="s">
        <v>203</v>
      </c>
      <c r="J21" s="2" t="s">
        <v>113</v>
      </c>
      <c r="K21" s="2" t="s">
        <v>112</v>
      </c>
      <c r="L21" s="1" t="s">
        <v>4</v>
      </c>
      <c r="M21" s="1" t="s">
        <v>5</v>
      </c>
      <c r="O21" s="16">
        <f t="shared" si="1"/>
        <v>11</v>
      </c>
      <c r="P21" s="8" t="s">
        <v>273</v>
      </c>
      <c r="Q21" s="20"/>
      <c r="R21" s="20"/>
      <c r="S21" s="20"/>
      <c r="T21" s="20"/>
    </row>
    <row r="22" spans="1:20" x14ac:dyDescent="0.3">
      <c r="A22" s="11">
        <v>60</v>
      </c>
      <c r="B22" s="8">
        <v>5570</v>
      </c>
      <c r="C22" s="8" t="s">
        <v>253</v>
      </c>
      <c r="D22" s="12">
        <v>28804132700084</v>
      </c>
      <c r="E22" s="13">
        <v>20000</v>
      </c>
      <c r="F22" s="13">
        <v>6</v>
      </c>
      <c r="G22" s="14" t="str">
        <f t="shared" si="0"/>
        <v>2408-0168-0313-5078</v>
      </c>
      <c r="H22" s="2" t="s">
        <v>266</v>
      </c>
      <c r="I22" s="8" t="s">
        <v>204</v>
      </c>
      <c r="J22" s="2" t="s">
        <v>114</v>
      </c>
      <c r="K22" s="2" t="s">
        <v>115</v>
      </c>
      <c r="L22" s="1" t="s">
        <v>4</v>
      </c>
      <c r="M22" s="1" t="s">
        <v>5</v>
      </c>
      <c r="O22" s="16">
        <f t="shared" si="1"/>
        <v>11</v>
      </c>
      <c r="P22" s="8" t="s">
        <v>273</v>
      </c>
      <c r="Q22" s="20"/>
      <c r="R22" s="20"/>
      <c r="S22" s="20"/>
      <c r="T22" s="20"/>
    </row>
    <row r="23" spans="1:20" x14ac:dyDescent="0.3">
      <c r="A23" s="11">
        <v>61</v>
      </c>
      <c r="B23" s="8">
        <v>5589</v>
      </c>
      <c r="C23" s="8" t="s">
        <v>254</v>
      </c>
      <c r="D23" s="12">
        <v>27912242702396</v>
      </c>
      <c r="E23" s="13">
        <v>20000</v>
      </c>
      <c r="F23" s="13">
        <v>12</v>
      </c>
      <c r="G23" s="14" t="str">
        <f t="shared" si="0"/>
        <v>3811-3682-0313-5078</v>
      </c>
      <c r="H23" s="2" t="s">
        <v>267</v>
      </c>
      <c r="I23" s="8" t="s">
        <v>205</v>
      </c>
      <c r="J23" s="2" t="s">
        <v>117</v>
      </c>
      <c r="K23" s="2" t="s">
        <v>116</v>
      </c>
      <c r="L23" s="1" t="s">
        <v>4</v>
      </c>
      <c r="M23" s="1" t="s">
        <v>5</v>
      </c>
      <c r="O23" s="16">
        <f t="shared" si="1"/>
        <v>11</v>
      </c>
      <c r="P23" s="8" t="s">
        <v>273</v>
      </c>
      <c r="Q23" s="20"/>
      <c r="R23" s="20"/>
      <c r="S23" s="20"/>
      <c r="T23" s="20"/>
    </row>
    <row r="24" spans="1:20" x14ac:dyDescent="0.3">
      <c r="A24" s="11">
        <v>62</v>
      </c>
      <c r="B24" s="8">
        <v>5591</v>
      </c>
      <c r="C24" s="8" t="s">
        <v>255</v>
      </c>
      <c r="D24" s="12">
        <v>28105232701091</v>
      </c>
      <c r="E24" s="13">
        <v>20000</v>
      </c>
      <c r="F24" s="13">
        <v>12</v>
      </c>
      <c r="G24" s="14" t="str">
        <f t="shared" si="0"/>
        <v>8162-6028-0313-5078</v>
      </c>
      <c r="H24" s="2" t="s">
        <v>268</v>
      </c>
      <c r="I24" s="8" t="s">
        <v>205</v>
      </c>
      <c r="J24" s="2" t="s">
        <v>118</v>
      </c>
      <c r="K24" s="2" t="s">
        <v>119</v>
      </c>
      <c r="L24" s="1" t="s">
        <v>4</v>
      </c>
      <c r="M24" s="1" t="s">
        <v>5</v>
      </c>
      <c r="O24" s="16">
        <f t="shared" si="1"/>
        <v>11</v>
      </c>
      <c r="P24" s="8" t="s">
        <v>273</v>
      </c>
      <c r="Q24" s="20"/>
      <c r="R24" s="20"/>
      <c r="S24" s="20"/>
      <c r="T24" s="20"/>
    </row>
    <row r="25" spans="1:20" x14ac:dyDescent="0.3">
      <c r="A25" s="11">
        <v>63</v>
      </c>
      <c r="B25" s="8">
        <v>1611</v>
      </c>
      <c r="C25" s="8" t="s">
        <v>256</v>
      </c>
      <c r="D25" s="12">
        <v>27612192700971</v>
      </c>
      <c r="E25" s="13">
        <v>50000</v>
      </c>
      <c r="F25" s="13">
        <v>6</v>
      </c>
      <c r="G25" s="14" t="str">
        <f t="shared" si="0"/>
        <v>3763-7954-0313-5078</v>
      </c>
      <c r="H25" s="2" t="s">
        <v>266</v>
      </c>
      <c r="I25" s="8" t="s">
        <v>204</v>
      </c>
      <c r="J25" s="2" t="s">
        <v>321</v>
      </c>
      <c r="K25" s="2" t="s">
        <v>320</v>
      </c>
      <c r="L25" s="1" t="s">
        <v>4</v>
      </c>
      <c r="M25" s="1" t="s">
        <v>5</v>
      </c>
      <c r="O25" s="16">
        <f t="shared" si="1"/>
        <v>11</v>
      </c>
      <c r="P25" s="8" t="s">
        <v>273</v>
      </c>
      <c r="Q25" s="20"/>
      <c r="R25" s="20"/>
      <c r="S25" s="20"/>
      <c r="T25" s="20"/>
    </row>
    <row r="26" spans="1:20" x14ac:dyDescent="0.3">
      <c r="A26" s="11">
        <v>64</v>
      </c>
      <c r="B26" s="8">
        <v>1923</v>
      </c>
      <c r="C26" s="8" t="s">
        <v>257</v>
      </c>
      <c r="D26" s="12">
        <v>27202082700599</v>
      </c>
      <c r="E26" s="13">
        <v>29000</v>
      </c>
      <c r="F26" s="13">
        <v>12</v>
      </c>
      <c r="G26" s="14" t="str">
        <f t="shared" si="0"/>
        <v>8378-9162-0313-5078</v>
      </c>
      <c r="H26" s="2" t="s">
        <v>269</v>
      </c>
      <c r="I26" s="8" t="s">
        <v>198</v>
      </c>
      <c r="J26" s="2" t="s">
        <v>327</v>
      </c>
      <c r="K26" s="2" t="s">
        <v>326</v>
      </c>
      <c r="L26" s="1" t="s">
        <v>4</v>
      </c>
      <c r="M26" s="1" t="s">
        <v>5</v>
      </c>
      <c r="O26" s="16">
        <f t="shared" si="1"/>
        <v>11</v>
      </c>
      <c r="P26" s="8" t="s">
        <v>273</v>
      </c>
      <c r="Q26" s="20"/>
      <c r="R26" s="20"/>
      <c r="S26" s="20"/>
      <c r="T26" s="20"/>
    </row>
    <row r="27" spans="1:20" x14ac:dyDescent="0.3">
      <c r="A27" s="11">
        <v>65</v>
      </c>
      <c r="B27" s="8">
        <v>2990</v>
      </c>
      <c r="C27" s="8" t="s">
        <v>258</v>
      </c>
      <c r="D27" s="12">
        <v>29207012701902</v>
      </c>
      <c r="E27" s="13">
        <v>50000</v>
      </c>
      <c r="F27" s="13">
        <v>6</v>
      </c>
      <c r="G27" s="14" t="str">
        <f t="shared" si="0"/>
        <v>1356-6706-0313-5078</v>
      </c>
      <c r="H27" s="2" t="s">
        <v>270</v>
      </c>
      <c r="I27" s="8" t="s">
        <v>198</v>
      </c>
      <c r="J27" s="2" t="s">
        <v>309</v>
      </c>
      <c r="K27" s="2" t="s">
        <v>310</v>
      </c>
      <c r="L27" s="1" t="s">
        <v>4</v>
      </c>
      <c r="M27" s="1" t="s">
        <v>5</v>
      </c>
      <c r="O27" s="16">
        <f t="shared" si="1"/>
        <v>11</v>
      </c>
      <c r="P27" s="8" t="s">
        <v>273</v>
      </c>
      <c r="Q27" s="20"/>
      <c r="R27" s="20"/>
      <c r="S27" s="20"/>
      <c r="T27" s="20"/>
    </row>
    <row r="28" spans="1:20" x14ac:dyDescent="0.3">
      <c r="A28" s="11">
        <v>66</v>
      </c>
      <c r="B28" s="8">
        <v>5054</v>
      </c>
      <c r="C28" s="8" t="s">
        <v>259</v>
      </c>
      <c r="D28" s="12">
        <v>28202012701591</v>
      </c>
      <c r="E28" s="13">
        <v>50000</v>
      </c>
      <c r="F28" s="13">
        <v>12</v>
      </c>
      <c r="G28" s="14" t="str">
        <f t="shared" si="0"/>
        <v>0717-5662-0313-5078</v>
      </c>
      <c r="H28" s="2" t="s">
        <v>271</v>
      </c>
      <c r="I28" s="8" t="s">
        <v>198</v>
      </c>
      <c r="J28" s="2" t="s">
        <v>325</v>
      </c>
      <c r="K28" s="2" t="s">
        <v>324</v>
      </c>
      <c r="L28" s="1" t="s">
        <v>4</v>
      </c>
      <c r="M28" s="1" t="s">
        <v>5</v>
      </c>
      <c r="O28" s="16">
        <f t="shared" si="1"/>
        <v>11</v>
      </c>
      <c r="P28" s="8" t="s">
        <v>273</v>
      </c>
      <c r="Q28" s="20"/>
      <c r="R28" s="20"/>
      <c r="S28" s="20"/>
      <c r="T28" s="20"/>
    </row>
    <row r="29" spans="1:20" x14ac:dyDescent="0.3">
      <c r="A29" s="11">
        <v>67</v>
      </c>
      <c r="B29" s="8">
        <v>5109</v>
      </c>
      <c r="C29" s="8" t="s">
        <v>260</v>
      </c>
      <c r="D29" s="12">
        <v>28711212701652</v>
      </c>
      <c r="E29" s="13">
        <v>25000</v>
      </c>
      <c r="F29" s="13">
        <v>12</v>
      </c>
      <c r="G29" s="14" t="str">
        <f t="shared" si="0"/>
        <v>4306-3435-0313-5078</v>
      </c>
      <c r="H29" s="2" t="s">
        <v>272</v>
      </c>
      <c r="I29" s="8" t="s">
        <v>200</v>
      </c>
      <c r="J29" s="2" t="s">
        <v>129</v>
      </c>
      <c r="K29" s="2" t="s">
        <v>128</v>
      </c>
      <c r="L29" s="1" t="s">
        <v>4</v>
      </c>
      <c r="M29" s="1" t="s">
        <v>5</v>
      </c>
      <c r="O29" s="16">
        <f t="shared" si="1"/>
        <v>11</v>
      </c>
      <c r="P29" s="8" t="s">
        <v>273</v>
      </c>
      <c r="Q29" s="20"/>
      <c r="R29" s="20"/>
      <c r="S29" s="20"/>
      <c r="T29" s="20"/>
    </row>
    <row r="30" spans="1:20" x14ac:dyDescent="0.3">
      <c r="A30" s="11">
        <v>34</v>
      </c>
      <c r="B30" s="8">
        <v>89</v>
      </c>
      <c r="C30" s="8" t="s">
        <v>207</v>
      </c>
      <c r="D30" s="12">
        <v>27811082700153</v>
      </c>
      <c r="E30" s="13">
        <v>15000</v>
      </c>
      <c r="F30" s="13">
        <v>18</v>
      </c>
      <c r="G30" s="14" t="str">
        <f t="shared" si="0"/>
        <v>3752-6496-0313-5078</v>
      </c>
      <c r="H30" s="2" t="s">
        <v>317</v>
      </c>
      <c r="I30" s="8" t="s">
        <v>204</v>
      </c>
      <c r="J30" s="2" t="s">
        <v>64</v>
      </c>
      <c r="K30" s="2" t="s">
        <v>63</v>
      </c>
      <c r="L30" s="1" t="s">
        <v>4</v>
      </c>
      <c r="M30" s="1" t="s">
        <v>5</v>
      </c>
      <c r="O30" s="16">
        <f t="shared" si="1"/>
        <v>11</v>
      </c>
      <c r="P30" s="8" t="s">
        <v>247</v>
      </c>
      <c r="Q30" s="20"/>
      <c r="R30" s="20"/>
      <c r="S30" s="20"/>
      <c r="T30" s="20"/>
    </row>
    <row r="31" spans="1:20" x14ac:dyDescent="0.3">
      <c r="A31" s="11">
        <v>35</v>
      </c>
      <c r="B31" s="8">
        <v>465</v>
      </c>
      <c r="C31" s="8" t="s">
        <v>208</v>
      </c>
      <c r="D31" s="12">
        <v>28505052700302</v>
      </c>
      <c r="E31" s="13">
        <v>15000</v>
      </c>
      <c r="F31" s="13">
        <v>18</v>
      </c>
      <c r="G31" s="14" t="str">
        <f t="shared" si="0"/>
        <v>6258-1556-0313-5078</v>
      </c>
      <c r="H31" s="2" t="s">
        <v>228</v>
      </c>
      <c r="I31" s="8" t="s">
        <v>204</v>
      </c>
      <c r="J31" s="2" t="s">
        <v>65</v>
      </c>
      <c r="K31" s="2" t="s">
        <v>66</v>
      </c>
      <c r="L31" s="1" t="s">
        <v>4</v>
      </c>
      <c r="M31" s="1" t="s">
        <v>5</v>
      </c>
      <c r="O31" s="16">
        <f t="shared" si="1"/>
        <v>11</v>
      </c>
      <c r="P31" s="8" t="s">
        <v>247</v>
      </c>
      <c r="Q31" s="20"/>
      <c r="R31" s="20"/>
      <c r="S31" s="20"/>
      <c r="T31" s="20"/>
    </row>
    <row r="32" spans="1:20" x14ac:dyDescent="0.3">
      <c r="A32" s="11">
        <v>36</v>
      </c>
      <c r="B32" s="8">
        <v>3514</v>
      </c>
      <c r="C32" s="8" t="s">
        <v>209</v>
      </c>
      <c r="D32" s="12">
        <v>28906282700748</v>
      </c>
      <c r="E32" s="13">
        <v>15000</v>
      </c>
      <c r="F32" s="13">
        <v>18</v>
      </c>
      <c r="G32" s="14" t="str">
        <f t="shared" si="0"/>
        <v>6496-4677-0313-5078</v>
      </c>
      <c r="H32" s="2" t="s">
        <v>229</v>
      </c>
      <c r="I32" s="8" t="s">
        <v>201</v>
      </c>
      <c r="J32" s="2" t="s">
        <v>63</v>
      </c>
      <c r="K32" s="2" t="s">
        <v>67</v>
      </c>
      <c r="L32" s="1" t="s">
        <v>4</v>
      </c>
      <c r="M32" s="1" t="s">
        <v>5</v>
      </c>
      <c r="O32" s="16">
        <f t="shared" si="1"/>
        <v>11</v>
      </c>
      <c r="P32" s="8" t="s">
        <v>247</v>
      </c>
      <c r="Q32" s="20"/>
      <c r="R32" s="20"/>
      <c r="S32" s="20"/>
      <c r="T32" s="20"/>
    </row>
    <row r="33" spans="1:20" x14ac:dyDescent="0.3">
      <c r="A33" s="11">
        <v>37</v>
      </c>
      <c r="B33" s="8">
        <v>4717</v>
      </c>
      <c r="C33" s="8" t="s">
        <v>210</v>
      </c>
      <c r="D33" s="12">
        <v>28501172701234</v>
      </c>
      <c r="E33" s="13">
        <v>15000</v>
      </c>
      <c r="F33" s="13">
        <v>18</v>
      </c>
      <c r="G33" s="14" t="str">
        <f t="shared" si="0"/>
        <v>7194-0314-0313-5078</v>
      </c>
      <c r="H33" s="2" t="s">
        <v>230</v>
      </c>
      <c r="I33" s="8" t="s">
        <v>201</v>
      </c>
      <c r="J33" s="2" t="s">
        <v>306</v>
      </c>
      <c r="K33" s="2" t="s">
        <v>305</v>
      </c>
      <c r="L33" s="1" t="s">
        <v>4</v>
      </c>
      <c r="M33" s="1" t="s">
        <v>5</v>
      </c>
      <c r="O33" s="16">
        <f t="shared" si="1"/>
        <v>11</v>
      </c>
      <c r="P33" s="8" t="s">
        <v>247</v>
      </c>
      <c r="Q33" s="20"/>
      <c r="R33" s="20"/>
      <c r="S33" s="20"/>
      <c r="T33" s="20"/>
    </row>
    <row r="34" spans="1:20" x14ac:dyDescent="0.3">
      <c r="A34" s="11">
        <v>38</v>
      </c>
      <c r="B34" s="8">
        <v>4933</v>
      </c>
      <c r="C34" s="8" t="s">
        <v>211</v>
      </c>
      <c r="D34" s="12">
        <v>27901012705696</v>
      </c>
      <c r="E34" s="13">
        <v>15000</v>
      </c>
      <c r="F34" s="13">
        <v>18</v>
      </c>
      <c r="G34" s="14" t="str">
        <f t="shared" ref="G34:G65" si="2">CONCATENATE(J34,"-",K34,"-",L34,"-",M34)</f>
        <v>1546-9198-0313-5078</v>
      </c>
      <c r="H34" s="2" t="s">
        <v>231</v>
      </c>
      <c r="I34" s="8" t="s">
        <v>200</v>
      </c>
      <c r="J34" s="2" t="s">
        <v>302</v>
      </c>
      <c r="K34" s="2" t="s">
        <v>301</v>
      </c>
      <c r="L34" s="1" t="s">
        <v>4</v>
      </c>
      <c r="M34" s="1" t="s">
        <v>5</v>
      </c>
      <c r="O34" s="16">
        <f t="shared" ref="O34:O65" si="3">LEN(H34)</f>
        <v>11</v>
      </c>
      <c r="P34" s="8" t="s">
        <v>247</v>
      </c>
      <c r="Q34" s="20"/>
      <c r="R34" s="20"/>
      <c r="S34" s="20"/>
      <c r="T34" s="20"/>
    </row>
    <row r="35" spans="1:20" x14ac:dyDescent="0.3">
      <c r="A35" s="11">
        <v>39</v>
      </c>
      <c r="B35" s="8">
        <v>5558</v>
      </c>
      <c r="C35" s="8" t="s">
        <v>212</v>
      </c>
      <c r="D35" s="12">
        <v>27011192700691</v>
      </c>
      <c r="E35" s="13">
        <v>20000</v>
      </c>
      <c r="F35" s="13">
        <v>12</v>
      </c>
      <c r="G35" s="14" t="str">
        <f t="shared" si="2"/>
        <v>1276-4179-0313-5078</v>
      </c>
      <c r="H35" s="2" t="s">
        <v>232</v>
      </c>
      <c r="I35" s="8" t="s">
        <v>202</v>
      </c>
      <c r="J35" s="2" t="s">
        <v>72</v>
      </c>
      <c r="K35" s="2" t="s">
        <v>73</v>
      </c>
      <c r="L35" s="1" t="s">
        <v>4</v>
      </c>
      <c r="M35" s="1" t="s">
        <v>5</v>
      </c>
      <c r="O35" s="16">
        <f t="shared" si="3"/>
        <v>11</v>
      </c>
      <c r="P35" s="8" t="s">
        <v>247</v>
      </c>
      <c r="Q35" s="20"/>
      <c r="R35" s="20"/>
      <c r="S35" s="20"/>
      <c r="T35" s="20"/>
    </row>
    <row r="36" spans="1:20" x14ac:dyDescent="0.3">
      <c r="A36" s="11">
        <v>40</v>
      </c>
      <c r="B36" s="8">
        <v>5563</v>
      </c>
      <c r="C36" s="8" t="s">
        <v>213</v>
      </c>
      <c r="D36" s="12">
        <v>28404152700945</v>
      </c>
      <c r="E36" s="13">
        <v>15000</v>
      </c>
      <c r="F36" s="13">
        <v>12</v>
      </c>
      <c r="G36" s="14" t="str">
        <f t="shared" si="2"/>
        <v>2966-6011-0313-5078</v>
      </c>
      <c r="H36" s="2" t="s">
        <v>233</v>
      </c>
      <c r="I36" s="8" t="s">
        <v>203</v>
      </c>
      <c r="J36" s="2" t="s">
        <v>75</v>
      </c>
      <c r="K36" s="2" t="s">
        <v>74</v>
      </c>
      <c r="L36" s="1" t="s">
        <v>4</v>
      </c>
      <c r="M36" s="1" t="s">
        <v>5</v>
      </c>
      <c r="O36" s="16">
        <f t="shared" si="3"/>
        <v>11</v>
      </c>
      <c r="P36" s="8" t="s">
        <v>247</v>
      </c>
      <c r="Q36" s="20"/>
      <c r="R36" s="20"/>
      <c r="S36" s="20"/>
      <c r="T36" s="20"/>
    </row>
    <row r="37" spans="1:20" x14ac:dyDescent="0.3">
      <c r="A37" s="11">
        <v>41</v>
      </c>
      <c r="B37" s="8">
        <v>5564</v>
      </c>
      <c r="C37" s="8" t="s">
        <v>214</v>
      </c>
      <c r="D37" s="12">
        <v>26603122701292</v>
      </c>
      <c r="E37" s="13">
        <v>10000</v>
      </c>
      <c r="F37" s="13">
        <v>12</v>
      </c>
      <c r="G37" s="14" t="str">
        <f t="shared" si="2"/>
        <v>1723-8153-0313-5078</v>
      </c>
      <c r="H37" s="2" t="s">
        <v>234</v>
      </c>
      <c r="I37" s="8" t="s">
        <v>202</v>
      </c>
      <c r="J37" s="2" t="s">
        <v>76</v>
      </c>
      <c r="K37" s="2" t="s">
        <v>77</v>
      </c>
      <c r="L37" s="1" t="s">
        <v>4</v>
      </c>
      <c r="M37" s="1" t="s">
        <v>5</v>
      </c>
      <c r="O37" s="16">
        <f t="shared" si="3"/>
        <v>11</v>
      </c>
      <c r="P37" s="8" t="s">
        <v>247</v>
      </c>
      <c r="Q37" s="20"/>
      <c r="R37" s="20"/>
      <c r="S37" s="20"/>
      <c r="T37" s="20"/>
    </row>
    <row r="38" spans="1:20" x14ac:dyDescent="0.3">
      <c r="A38" s="11">
        <v>42</v>
      </c>
      <c r="B38" s="8">
        <v>5566</v>
      </c>
      <c r="C38" s="8" t="s">
        <v>215</v>
      </c>
      <c r="D38" s="12">
        <v>29111102701726</v>
      </c>
      <c r="E38" s="13">
        <v>15000</v>
      </c>
      <c r="F38" s="13">
        <v>18</v>
      </c>
      <c r="G38" s="14" t="str">
        <f t="shared" si="2"/>
        <v>0752-1329-0313-5078</v>
      </c>
      <c r="H38" s="2" t="s">
        <v>235</v>
      </c>
      <c r="I38" s="8" t="s">
        <v>202</v>
      </c>
      <c r="J38" s="2" t="s">
        <v>79</v>
      </c>
      <c r="K38" s="2" t="s">
        <v>78</v>
      </c>
      <c r="L38" s="1" t="s">
        <v>4</v>
      </c>
      <c r="M38" s="1" t="s">
        <v>5</v>
      </c>
      <c r="O38" s="16">
        <f t="shared" si="3"/>
        <v>11</v>
      </c>
      <c r="P38" s="8" t="s">
        <v>247</v>
      </c>
      <c r="Q38" s="20"/>
      <c r="R38" s="20"/>
      <c r="S38" s="20"/>
      <c r="T38" s="20"/>
    </row>
    <row r="39" spans="1:20" x14ac:dyDescent="0.3">
      <c r="A39" s="11">
        <v>43</v>
      </c>
      <c r="B39" s="8">
        <v>5567</v>
      </c>
      <c r="C39" s="8" t="s">
        <v>216</v>
      </c>
      <c r="D39" s="12">
        <v>29401052701281</v>
      </c>
      <c r="E39" s="13">
        <v>10000</v>
      </c>
      <c r="F39" s="13">
        <v>12</v>
      </c>
      <c r="G39" s="14" t="str">
        <f t="shared" si="2"/>
        <v>0426-7777-0313-5078</v>
      </c>
      <c r="H39" s="2" t="s">
        <v>236</v>
      </c>
      <c r="I39" s="8" t="s">
        <v>202</v>
      </c>
      <c r="J39" s="2" t="s">
        <v>80</v>
      </c>
      <c r="K39" s="2" t="s">
        <v>81</v>
      </c>
      <c r="L39" s="1" t="s">
        <v>4</v>
      </c>
      <c r="M39" s="1" t="s">
        <v>5</v>
      </c>
      <c r="O39" s="16">
        <f t="shared" si="3"/>
        <v>11</v>
      </c>
      <c r="P39" s="8" t="s">
        <v>247</v>
      </c>
      <c r="Q39" s="20"/>
      <c r="R39" s="20"/>
      <c r="S39" s="20"/>
      <c r="T39" s="20"/>
    </row>
    <row r="40" spans="1:20" x14ac:dyDescent="0.3">
      <c r="A40" s="11">
        <v>44</v>
      </c>
      <c r="B40" s="8">
        <v>5568</v>
      </c>
      <c r="C40" s="8" t="s">
        <v>217</v>
      </c>
      <c r="D40" s="12">
        <v>28404252700217</v>
      </c>
      <c r="E40" s="13">
        <v>10000</v>
      </c>
      <c r="F40" s="13">
        <v>12</v>
      </c>
      <c r="G40" s="14" t="str">
        <f t="shared" si="2"/>
        <v>1340-1078-0313-5078</v>
      </c>
      <c r="H40" s="2" t="s">
        <v>237</v>
      </c>
      <c r="I40" s="8" t="s">
        <v>204</v>
      </c>
      <c r="J40" s="2" t="s">
        <v>83</v>
      </c>
      <c r="K40" s="2" t="s">
        <v>82</v>
      </c>
      <c r="L40" s="1" t="s">
        <v>4</v>
      </c>
      <c r="M40" s="1" t="s">
        <v>5</v>
      </c>
      <c r="O40" s="16">
        <f t="shared" si="3"/>
        <v>11</v>
      </c>
      <c r="P40" s="8" t="s">
        <v>247</v>
      </c>
      <c r="Q40" s="20"/>
      <c r="R40" s="20"/>
      <c r="S40" s="20"/>
      <c r="T40" s="20"/>
    </row>
    <row r="41" spans="1:20" x14ac:dyDescent="0.3">
      <c r="A41" s="11">
        <v>45</v>
      </c>
      <c r="B41" s="8">
        <v>5572</v>
      </c>
      <c r="C41" s="8" t="s">
        <v>218</v>
      </c>
      <c r="D41" s="12">
        <v>29904042704607</v>
      </c>
      <c r="E41" s="13">
        <v>20000</v>
      </c>
      <c r="F41" s="13">
        <v>18</v>
      </c>
      <c r="G41" s="14" t="str">
        <f t="shared" si="2"/>
        <v>6716-7948-0313-5078</v>
      </c>
      <c r="H41" s="2" t="s">
        <v>238</v>
      </c>
      <c r="I41" s="8" t="s">
        <v>204</v>
      </c>
      <c r="J41" s="2" t="s">
        <v>84</v>
      </c>
      <c r="K41" s="2" t="s">
        <v>85</v>
      </c>
      <c r="L41" s="1" t="s">
        <v>4</v>
      </c>
      <c r="M41" s="1" t="s">
        <v>5</v>
      </c>
      <c r="O41" s="16">
        <f t="shared" si="3"/>
        <v>11</v>
      </c>
      <c r="P41" s="8" t="s">
        <v>247</v>
      </c>
      <c r="Q41" s="20"/>
      <c r="R41" s="20"/>
      <c r="S41" s="20"/>
      <c r="T41" s="20"/>
    </row>
    <row r="42" spans="1:20" x14ac:dyDescent="0.3">
      <c r="A42" s="11">
        <v>46</v>
      </c>
      <c r="B42" s="8">
        <v>5574</v>
      </c>
      <c r="C42" s="8" t="s">
        <v>219</v>
      </c>
      <c r="D42" s="12">
        <v>27311172701539</v>
      </c>
      <c r="E42" s="13">
        <v>10000</v>
      </c>
      <c r="F42" s="13">
        <v>12</v>
      </c>
      <c r="G42" s="14" t="str">
        <f t="shared" si="2"/>
        <v>5353-6460-0313-5078</v>
      </c>
      <c r="H42" s="2" t="s">
        <v>239</v>
      </c>
      <c r="I42" s="8" t="s">
        <v>200</v>
      </c>
      <c r="J42" s="2" t="s">
        <v>87</v>
      </c>
      <c r="K42" s="2" t="s">
        <v>86</v>
      </c>
      <c r="L42" s="1" t="s">
        <v>4</v>
      </c>
      <c r="M42" s="1" t="s">
        <v>5</v>
      </c>
      <c r="O42" s="16">
        <f t="shared" si="3"/>
        <v>11</v>
      </c>
      <c r="P42" s="8" t="s">
        <v>247</v>
      </c>
      <c r="Q42" s="20"/>
      <c r="R42" s="20"/>
      <c r="S42" s="20"/>
      <c r="T42" s="20"/>
    </row>
    <row r="43" spans="1:20" x14ac:dyDescent="0.3">
      <c r="A43" s="11">
        <v>47</v>
      </c>
      <c r="B43" s="8">
        <v>5575</v>
      </c>
      <c r="C43" s="8" t="s">
        <v>220</v>
      </c>
      <c r="D43" s="12">
        <v>30001112700715</v>
      </c>
      <c r="E43" s="13">
        <v>5000</v>
      </c>
      <c r="F43" s="13">
        <v>18</v>
      </c>
      <c r="G43" s="14" t="str">
        <f t="shared" si="2"/>
        <v>8086-0628-0313-5078</v>
      </c>
      <c r="H43" s="2" t="s">
        <v>240</v>
      </c>
      <c r="I43" s="8" t="s">
        <v>199</v>
      </c>
      <c r="J43" s="2" t="s">
        <v>88</v>
      </c>
      <c r="K43" s="2" t="s">
        <v>89</v>
      </c>
      <c r="L43" s="1" t="s">
        <v>4</v>
      </c>
      <c r="M43" s="1" t="s">
        <v>5</v>
      </c>
      <c r="O43" s="16">
        <f t="shared" si="3"/>
        <v>11</v>
      </c>
      <c r="P43" s="8" t="s">
        <v>247</v>
      </c>
      <c r="Q43" s="20"/>
      <c r="R43" s="20"/>
      <c r="S43" s="20"/>
      <c r="T43" s="20"/>
    </row>
    <row r="44" spans="1:20" x14ac:dyDescent="0.3">
      <c r="A44" s="11">
        <v>48</v>
      </c>
      <c r="B44" s="8">
        <v>5579</v>
      </c>
      <c r="C44" s="8" t="s">
        <v>221</v>
      </c>
      <c r="D44" s="12">
        <v>27003032701052</v>
      </c>
      <c r="E44" s="13">
        <v>15000</v>
      </c>
      <c r="F44" s="13">
        <v>18</v>
      </c>
      <c r="G44" s="14" t="str">
        <f t="shared" si="2"/>
        <v>8023-2018-0313-5078</v>
      </c>
      <c r="H44" s="2" t="s">
        <v>241</v>
      </c>
      <c r="I44" s="8" t="s">
        <v>200</v>
      </c>
      <c r="J44" s="2" t="s">
        <v>91</v>
      </c>
      <c r="K44" s="2" t="s">
        <v>90</v>
      </c>
      <c r="L44" s="1" t="s">
        <v>4</v>
      </c>
      <c r="M44" s="1" t="s">
        <v>5</v>
      </c>
      <c r="O44" s="16">
        <f t="shared" si="3"/>
        <v>11</v>
      </c>
      <c r="P44" s="8" t="s">
        <v>247</v>
      </c>
      <c r="Q44" s="20"/>
      <c r="R44" s="20"/>
      <c r="S44" s="20"/>
      <c r="T44" s="20"/>
    </row>
    <row r="45" spans="1:20" x14ac:dyDescent="0.3">
      <c r="A45" s="11">
        <v>49</v>
      </c>
      <c r="B45" s="8">
        <v>5582</v>
      </c>
      <c r="C45" s="8" t="s">
        <v>222</v>
      </c>
      <c r="D45" s="12">
        <v>30101012745708</v>
      </c>
      <c r="E45" s="13">
        <v>5000</v>
      </c>
      <c r="F45" s="13">
        <v>12</v>
      </c>
      <c r="G45" s="14" t="str">
        <f t="shared" si="2"/>
        <v>4212-0590-0313-5078</v>
      </c>
      <c r="H45" s="2" t="s">
        <v>293</v>
      </c>
      <c r="I45" s="8" t="s">
        <v>201</v>
      </c>
      <c r="J45" s="2" t="s">
        <v>92</v>
      </c>
      <c r="K45" s="2" t="s">
        <v>93</v>
      </c>
      <c r="L45" s="1" t="s">
        <v>4</v>
      </c>
      <c r="M45" s="1" t="s">
        <v>5</v>
      </c>
      <c r="O45" s="16">
        <f t="shared" si="3"/>
        <v>11</v>
      </c>
      <c r="P45" s="8" t="s">
        <v>247</v>
      </c>
      <c r="Q45" s="20"/>
      <c r="R45" s="20"/>
      <c r="S45" s="20"/>
      <c r="T45" s="20"/>
    </row>
    <row r="46" spans="1:20" x14ac:dyDescent="0.3">
      <c r="A46" s="11">
        <v>50</v>
      </c>
      <c r="B46" s="8">
        <v>5586</v>
      </c>
      <c r="C46" s="8" t="s">
        <v>223</v>
      </c>
      <c r="D46" s="12">
        <v>29009122701154</v>
      </c>
      <c r="E46" s="13">
        <v>20000</v>
      </c>
      <c r="F46" s="13">
        <v>18</v>
      </c>
      <c r="G46" s="14" t="str">
        <f t="shared" si="2"/>
        <v>2088-0520-0313-5078</v>
      </c>
      <c r="H46" s="2" t="s">
        <v>242</v>
      </c>
      <c r="I46" s="8" t="s">
        <v>203</v>
      </c>
      <c r="J46" s="2" t="s">
        <v>95</v>
      </c>
      <c r="K46" s="2" t="s">
        <v>94</v>
      </c>
      <c r="L46" s="1" t="s">
        <v>4</v>
      </c>
      <c r="M46" s="1" t="s">
        <v>5</v>
      </c>
      <c r="O46" s="16">
        <f t="shared" si="3"/>
        <v>11</v>
      </c>
      <c r="P46" s="8" t="s">
        <v>247</v>
      </c>
      <c r="Q46" s="20"/>
      <c r="R46" s="20"/>
      <c r="S46" s="20"/>
      <c r="T46" s="20"/>
    </row>
    <row r="47" spans="1:20" x14ac:dyDescent="0.3">
      <c r="A47" s="11">
        <v>51</v>
      </c>
      <c r="B47" s="8">
        <v>5587</v>
      </c>
      <c r="C47" s="8" t="s">
        <v>224</v>
      </c>
      <c r="D47" s="12">
        <v>30109062702288</v>
      </c>
      <c r="E47" s="13">
        <v>10000</v>
      </c>
      <c r="F47" s="13">
        <v>18</v>
      </c>
      <c r="G47" s="14" t="str">
        <f t="shared" si="2"/>
        <v>8194-2771-0313-5078</v>
      </c>
      <c r="H47" s="2" t="s">
        <v>243</v>
      </c>
      <c r="I47" s="8" t="s">
        <v>203</v>
      </c>
      <c r="J47" s="2" t="s">
        <v>96</v>
      </c>
      <c r="K47" s="2" t="s">
        <v>97</v>
      </c>
      <c r="L47" s="1" t="s">
        <v>4</v>
      </c>
      <c r="M47" s="1" t="s">
        <v>5</v>
      </c>
      <c r="O47" s="16">
        <f t="shared" si="3"/>
        <v>11</v>
      </c>
      <c r="P47" s="8" t="s">
        <v>247</v>
      </c>
      <c r="Q47" s="20"/>
      <c r="R47" s="20"/>
      <c r="S47" s="20"/>
      <c r="T47" s="20"/>
    </row>
    <row r="48" spans="1:20" x14ac:dyDescent="0.3">
      <c r="A48" s="11">
        <v>52</v>
      </c>
      <c r="B48" s="8">
        <v>5588</v>
      </c>
      <c r="C48" s="8" t="s">
        <v>225</v>
      </c>
      <c r="D48" s="12">
        <v>29712022700081</v>
      </c>
      <c r="E48" s="13">
        <v>20000</v>
      </c>
      <c r="F48" s="13">
        <v>18</v>
      </c>
      <c r="G48" s="14" t="str">
        <f t="shared" si="2"/>
        <v>3170-0311-0313-5078</v>
      </c>
      <c r="H48" s="2" t="s">
        <v>244</v>
      </c>
      <c r="I48" s="8" t="s">
        <v>201</v>
      </c>
      <c r="J48" s="2" t="s">
        <v>99</v>
      </c>
      <c r="K48" s="2" t="s">
        <v>98</v>
      </c>
      <c r="L48" s="1" t="s">
        <v>4</v>
      </c>
      <c r="M48" s="1" t="s">
        <v>5</v>
      </c>
      <c r="O48" s="16">
        <f t="shared" si="3"/>
        <v>11</v>
      </c>
      <c r="P48" s="8" t="s">
        <v>247</v>
      </c>
      <c r="Q48" s="20"/>
      <c r="R48" s="20"/>
      <c r="S48" s="20"/>
      <c r="T48" s="20"/>
    </row>
    <row r="49" spans="1:20" x14ac:dyDescent="0.3">
      <c r="A49" s="11">
        <v>53</v>
      </c>
      <c r="B49" s="8">
        <v>5590</v>
      </c>
      <c r="C49" s="8" t="s">
        <v>226</v>
      </c>
      <c r="D49" s="12">
        <v>27710012703278</v>
      </c>
      <c r="E49" s="13">
        <v>10000</v>
      </c>
      <c r="F49" s="13">
        <v>12</v>
      </c>
      <c r="G49" s="14" t="str">
        <f t="shared" si="2"/>
        <v>2137-6114-0313-5078</v>
      </c>
      <c r="H49" s="2" t="s">
        <v>245</v>
      </c>
      <c r="I49" s="8" t="s">
        <v>205</v>
      </c>
      <c r="J49" s="2" t="s">
        <v>101</v>
      </c>
      <c r="K49" s="2" t="s">
        <v>100</v>
      </c>
      <c r="L49" s="1" t="s">
        <v>4</v>
      </c>
      <c r="M49" s="1" t="s">
        <v>5</v>
      </c>
      <c r="O49" s="16">
        <f t="shared" si="3"/>
        <v>11</v>
      </c>
      <c r="P49" s="8" t="s">
        <v>247</v>
      </c>
      <c r="Q49" s="20"/>
      <c r="R49" s="20"/>
      <c r="S49" s="20"/>
      <c r="T49" s="20"/>
    </row>
    <row r="50" spans="1:20" x14ac:dyDescent="0.3">
      <c r="A50" s="11">
        <v>54</v>
      </c>
      <c r="B50" s="8">
        <v>5594</v>
      </c>
      <c r="C50" s="8" t="s">
        <v>227</v>
      </c>
      <c r="D50" s="12">
        <v>28612272704296</v>
      </c>
      <c r="E50" s="13">
        <v>11000</v>
      </c>
      <c r="F50" s="13">
        <v>18</v>
      </c>
      <c r="G50" s="14" t="str">
        <f t="shared" si="2"/>
        <v>6397-4990-0313-5078</v>
      </c>
      <c r="H50" s="2" t="s">
        <v>246</v>
      </c>
      <c r="I50" s="8" t="s">
        <v>200</v>
      </c>
      <c r="J50" s="2" t="s">
        <v>103</v>
      </c>
      <c r="K50" s="2" t="s">
        <v>102</v>
      </c>
      <c r="L50" s="1" t="s">
        <v>4</v>
      </c>
      <c r="M50" s="1" t="s">
        <v>5</v>
      </c>
      <c r="O50" s="16">
        <f t="shared" si="3"/>
        <v>11</v>
      </c>
      <c r="P50" s="8" t="s">
        <v>247</v>
      </c>
      <c r="Q50" s="20"/>
      <c r="R50" s="20"/>
      <c r="S50" s="20"/>
      <c r="T50" s="20"/>
    </row>
    <row r="51" spans="1:20" x14ac:dyDescent="0.3">
      <c r="A51" s="11">
        <v>85</v>
      </c>
      <c r="B51" s="8">
        <v>5608</v>
      </c>
      <c r="C51" s="8" t="s">
        <v>343</v>
      </c>
      <c r="D51" s="12">
        <v>27004082701734</v>
      </c>
      <c r="E51" s="13">
        <v>20000</v>
      </c>
      <c r="F51" s="13">
        <v>12</v>
      </c>
      <c r="G51" s="14" t="str">
        <f t="shared" si="2"/>
        <v>8841-6860-0313-5078</v>
      </c>
      <c r="H51" s="2" t="s">
        <v>394</v>
      </c>
      <c r="I51" s="8" t="s">
        <v>377</v>
      </c>
      <c r="J51" s="2" t="s">
        <v>395</v>
      </c>
      <c r="K51" s="2" t="s">
        <v>396</v>
      </c>
      <c r="L51" s="1" t="s">
        <v>4</v>
      </c>
      <c r="M51" s="1" t="s">
        <v>5</v>
      </c>
      <c r="O51" s="16">
        <f t="shared" si="3"/>
        <v>11</v>
      </c>
      <c r="P51" s="8" t="s">
        <v>413</v>
      </c>
      <c r="Q51" s="20"/>
      <c r="R51" s="20"/>
      <c r="S51" s="20"/>
      <c r="T51" s="20"/>
    </row>
    <row r="52" spans="1:20" x14ac:dyDescent="0.3">
      <c r="A52" s="11">
        <v>1</v>
      </c>
      <c r="B52" s="8">
        <v>4553</v>
      </c>
      <c r="C52" s="8" t="s">
        <v>130</v>
      </c>
      <c r="D52" s="12">
        <v>27405232700558</v>
      </c>
      <c r="E52" s="13">
        <v>50000</v>
      </c>
      <c r="F52" s="13">
        <v>18</v>
      </c>
      <c r="G52" s="14" t="str">
        <f t="shared" si="2"/>
        <v>0405-5669-0313-5078</v>
      </c>
      <c r="H52" s="15" t="s">
        <v>132</v>
      </c>
      <c r="I52" s="8" t="s">
        <v>131</v>
      </c>
      <c r="J52" s="2" t="s">
        <v>134</v>
      </c>
      <c r="K52" s="2" t="s">
        <v>133</v>
      </c>
      <c r="L52" s="1" t="s">
        <v>4</v>
      </c>
      <c r="M52" s="1" t="s">
        <v>5</v>
      </c>
      <c r="O52" s="16">
        <f t="shared" si="3"/>
        <v>11</v>
      </c>
      <c r="P52" s="8" t="s">
        <v>206</v>
      </c>
      <c r="Q52" s="20"/>
      <c r="R52" s="20"/>
      <c r="S52" s="20"/>
      <c r="T52" s="20"/>
    </row>
    <row r="53" spans="1:20" x14ac:dyDescent="0.3">
      <c r="A53" s="11">
        <v>2</v>
      </c>
      <c r="B53" s="8">
        <v>3865</v>
      </c>
      <c r="C53" s="8" t="s">
        <v>135</v>
      </c>
      <c r="D53" s="12">
        <v>29212272700334</v>
      </c>
      <c r="E53" s="13">
        <v>20000</v>
      </c>
      <c r="F53" s="13">
        <v>18</v>
      </c>
      <c r="G53" s="14" t="str">
        <f t="shared" si="2"/>
        <v>8211-4552-0313-5078</v>
      </c>
      <c r="H53" s="2" t="s">
        <v>167</v>
      </c>
      <c r="I53" s="8" t="s">
        <v>198</v>
      </c>
      <c r="J53" s="2" t="s">
        <v>18</v>
      </c>
      <c r="K53" s="2" t="s">
        <v>16</v>
      </c>
      <c r="L53" s="1" t="s">
        <v>4</v>
      </c>
      <c r="M53" s="1" t="s">
        <v>5</v>
      </c>
      <c r="O53" s="16">
        <f t="shared" si="3"/>
        <v>11</v>
      </c>
      <c r="P53" s="8" t="s">
        <v>206</v>
      </c>
      <c r="Q53" s="20"/>
      <c r="R53" s="20"/>
      <c r="S53" s="20"/>
      <c r="T53" s="20"/>
    </row>
    <row r="54" spans="1:20" x14ac:dyDescent="0.3">
      <c r="A54" s="11">
        <v>3</v>
      </c>
      <c r="B54" s="8">
        <v>3876</v>
      </c>
      <c r="C54" s="8" t="s">
        <v>136</v>
      </c>
      <c r="D54" s="12">
        <v>26507012700411</v>
      </c>
      <c r="E54" s="13">
        <v>20000</v>
      </c>
      <c r="F54" s="13">
        <v>18</v>
      </c>
      <c r="G54" s="14" t="str">
        <f t="shared" si="2"/>
        <v>2029-2726-0313-5078</v>
      </c>
      <c r="H54" s="2" t="s">
        <v>168</v>
      </c>
      <c r="I54" s="8" t="s">
        <v>199</v>
      </c>
      <c r="J54" s="2" t="s">
        <v>19</v>
      </c>
      <c r="K54" s="2" t="s">
        <v>20</v>
      </c>
      <c r="L54" s="1" t="s">
        <v>4</v>
      </c>
      <c r="M54" s="1" t="s">
        <v>5</v>
      </c>
      <c r="O54" s="16">
        <f t="shared" si="3"/>
        <v>11</v>
      </c>
      <c r="P54" s="8" t="s">
        <v>206</v>
      </c>
      <c r="Q54" s="20"/>
      <c r="R54" s="20"/>
      <c r="S54" s="20"/>
      <c r="T54" s="20"/>
    </row>
    <row r="55" spans="1:20" x14ac:dyDescent="0.3">
      <c r="A55" s="11">
        <v>4</v>
      </c>
      <c r="B55" s="8">
        <v>4085</v>
      </c>
      <c r="C55" s="8" t="s">
        <v>137</v>
      </c>
      <c r="D55" s="12">
        <v>29011212701034</v>
      </c>
      <c r="E55" s="13">
        <v>15000</v>
      </c>
      <c r="F55" s="13">
        <v>18</v>
      </c>
      <c r="G55" s="14" t="str">
        <f t="shared" si="2"/>
        <v>0222-4168-0313-5078</v>
      </c>
      <c r="H55" s="2" t="s">
        <v>169</v>
      </c>
      <c r="I55" s="8" t="s">
        <v>198</v>
      </c>
      <c r="J55" s="2" t="s">
        <v>17</v>
      </c>
      <c r="K55" s="2" t="s">
        <v>21</v>
      </c>
      <c r="L55" s="1" t="s">
        <v>4</v>
      </c>
      <c r="M55" s="1" t="s">
        <v>5</v>
      </c>
      <c r="O55" s="16">
        <f t="shared" si="3"/>
        <v>11</v>
      </c>
      <c r="P55" s="8" t="s">
        <v>206</v>
      </c>
      <c r="Q55" s="20"/>
      <c r="R55" s="20"/>
      <c r="S55" s="20"/>
      <c r="T55" s="20"/>
    </row>
    <row r="56" spans="1:20" x14ac:dyDescent="0.3">
      <c r="A56" s="11">
        <v>5</v>
      </c>
      <c r="B56" s="8">
        <v>4461</v>
      </c>
      <c r="C56" s="8" t="s">
        <v>138</v>
      </c>
      <c r="D56" s="12">
        <v>29901032702518</v>
      </c>
      <c r="E56" s="13">
        <v>20000</v>
      </c>
      <c r="F56" s="13">
        <v>18</v>
      </c>
      <c r="G56" s="14" t="str">
        <f t="shared" si="2"/>
        <v>2993-3213-0313-5078</v>
      </c>
      <c r="H56" s="2" t="s">
        <v>170</v>
      </c>
      <c r="I56" s="8" t="s">
        <v>200</v>
      </c>
      <c r="J56" s="2" t="s">
        <v>22</v>
      </c>
      <c r="K56" s="2" t="s">
        <v>23</v>
      </c>
      <c r="L56" s="1" t="s">
        <v>4</v>
      </c>
      <c r="M56" s="1" t="s">
        <v>5</v>
      </c>
      <c r="O56" s="16">
        <f t="shared" si="3"/>
        <v>11</v>
      </c>
      <c r="P56" s="8" t="s">
        <v>206</v>
      </c>
      <c r="Q56" s="20"/>
      <c r="R56" s="20"/>
      <c r="S56" s="20"/>
      <c r="T56" s="20"/>
    </row>
    <row r="57" spans="1:20" x14ac:dyDescent="0.3">
      <c r="A57" s="11">
        <v>6</v>
      </c>
      <c r="B57" s="8">
        <v>4790</v>
      </c>
      <c r="C57" s="8" t="s">
        <v>139</v>
      </c>
      <c r="D57" s="12">
        <v>26308302701612</v>
      </c>
      <c r="E57" s="13">
        <v>20000</v>
      </c>
      <c r="F57" s="13">
        <v>18</v>
      </c>
      <c r="G57" s="14" t="str">
        <f t="shared" si="2"/>
        <v>0122-6305-0313-5078</v>
      </c>
      <c r="H57" s="2" t="s">
        <v>171</v>
      </c>
      <c r="I57" s="8" t="s">
        <v>201</v>
      </c>
      <c r="J57" s="2" t="s">
        <v>279</v>
      </c>
      <c r="K57" s="2" t="s">
        <v>278</v>
      </c>
      <c r="L57" s="1" t="s">
        <v>4</v>
      </c>
      <c r="M57" s="1" t="s">
        <v>5</v>
      </c>
      <c r="O57" s="16">
        <f t="shared" si="3"/>
        <v>11</v>
      </c>
      <c r="P57" s="8" t="s">
        <v>206</v>
      </c>
      <c r="Q57" s="20"/>
      <c r="R57" s="20"/>
      <c r="S57" s="20"/>
      <c r="T57" s="20"/>
    </row>
    <row r="58" spans="1:20" x14ac:dyDescent="0.3">
      <c r="A58" s="11">
        <v>7</v>
      </c>
      <c r="B58" s="8">
        <v>4854</v>
      </c>
      <c r="C58" s="8" t="s">
        <v>140</v>
      </c>
      <c r="D58" s="12">
        <v>27910272700654</v>
      </c>
      <c r="E58" s="13">
        <v>20000</v>
      </c>
      <c r="F58" s="13">
        <v>18</v>
      </c>
      <c r="G58" s="14" t="str">
        <f t="shared" si="2"/>
        <v>2400-0810-0313-5078</v>
      </c>
      <c r="H58" s="2" t="s">
        <v>172</v>
      </c>
      <c r="I58" s="8" t="s">
        <v>200</v>
      </c>
      <c r="J58" s="2" t="s">
        <v>316</v>
      </c>
      <c r="K58" s="2" t="s">
        <v>315</v>
      </c>
      <c r="L58" s="1" t="s">
        <v>4</v>
      </c>
      <c r="M58" s="1" t="s">
        <v>5</v>
      </c>
      <c r="O58" s="16">
        <f t="shared" si="3"/>
        <v>11</v>
      </c>
      <c r="P58" s="8" t="s">
        <v>206</v>
      </c>
      <c r="Q58" s="20"/>
      <c r="R58" s="20"/>
      <c r="S58" s="20"/>
      <c r="T58" s="20"/>
    </row>
    <row r="59" spans="1:20" x14ac:dyDescent="0.3">
      <c r="A59" s="11">
        <v>8</v>
      </c>
      <c r="B59" s="8">
        <v>4896</v>
      </c>
      <c r="C59" s="8" t="s">
        <v>141</v>
      </c>
      <c r="D59" s="12">
        <v>28912262700539</v>
      </c>
      <c r="E59" s="13">
        <v>20000</v>
      </c>
      <c r="F59" s="13">
        <v>18</v>
      </c>
      <c r="G59" s="14" t="str">
        <f t="shared" si="2"/>
        <v>5499-2324-0313-5078</v>
      </c>
      <c r="H59" s="2" t="s">
        <v>173</v>
      </c>
      <c r="I59" s="8" t="s">
        <v>202</v>
      </c>
      <c r="J59" s="2" t="s">
        <v>308</v>
      </c>
      <c r="K59" s="2" t="s">
        <v>307</v>
      </c>
      <c r="L59" s="1" t="s">
        <v>4</v>
      </c>
      <c r="M59" s="1" t="s">
        <v>5</v>
      </c>
      <c r="O59" s="16">
        <f t="shared" si="3"/>
        <v>11</v>
      </c>
      <c r="P59" s="8" t="s">
        <v>206</v>
      </c>
      <c r="Q59" s="20" t="s">
        <v>110</v>
      </c>
      <c r="R59" s="20" t="s">
        <v>111</v>
      </c>
      <c r="S59" s="20" t="s">
        <v>4</v>
      </c>
      <c r="T59" s="20" t="s">
        <v>5</v>
      </c>
    </row>
    <row r="60" spans="1:20" x14ac:dyDescent="0.3">
      <c r="A60" s="11">
        <v>9</v>
      </c>
      <c r="B60" s="8">
        <v>5559</v>
      </c>
      <c r="C60" s="8" t="s">
        <v>142</v>
      </c>
      <c r="D60" s="12">
        <v>28205292700675</v>
      </c>
      <c r="E60" s="13">
        <v>20000</v>
      </c>
      <c r="F60" s="13">
        <v>18</v>
      </c>
      <c r="G60" s="14" t="str">
        <f t="shared" si="2"/>
        <v>7345-6475-0313-5078</v>
      </c>
      <c r="H60" s="2" t="s">
        <v>174</v>
      </c>
      <c r="I60" s="8" t="s">
        <v>203</v>
      </c>
      <c r="J60" s="2" t="s">
        <v>290</v>
      </c>
      <c r="K60" s="2" t="s">
        <v>289</v>
      </c>
      <c r="L60" s="1" t="s">
        <v>4</v>
      </c>
      <c r="M60" s="1" t="s">
        <v>5</v>
      </c>
      <c r="O60" s="16">
        <f t="shared" si="3"/>
        <v>11</v>
      </c>
      <c r="P60" s="8" t="s">
        <v>206</v>
      </c>
      <c r="Q60" s="20"/>
      <c r="R60" s="20"/>
      <c r="S60" s="20"/>
      <c r="T60" s="20"/>
    </row>
    <row r="61" spans="1:20" x14ac:dyDescent="0.3">
      <c r="A61" s="11">
        <v>10</v>
      </c>
      <c r="B61" s="8">
        <v>5561</v>
      </c>
      <c r="C61" s="8" t="s">
        <v>143</v>
      </c>
      <c r="D61" s="12">
        <v>30006012708532</v>
      </c>
      <c r="E61" s="13">
        <v>20000</v>
      </c>
      <c r="F61" s="13">
        <v>18</v>
      </c>
      <c r="G61" s="14" t="str">
        <f t="shared" si="2"/>
        <v>1282-0245-0313-5078</v>
      </c>
      <c r="H61" s="2" t="s">
        <v>175</v>
      </c>
      <c r="I61" s="8" t="s">
        <v>203</v>
      </c>
      <c r="J61" s="2" t="s">
        <v>28</v>
      </c>
      <c r="K61" s="2" t="s">
        <v>29</v>
      </c>
      <c r="L61" s="1" t="s">
        <v>4</v>
      </c>
      <c r="M61" s="1" t="s">
        <v>5</v>
      </c>
      <c r="O61" s="16">
        <f t="shared" si="3"/>
        <v>11</v>
      </c>
      <c r="P61" s="8" t="s">
        <v>206</v>
      </c>
      <c r="Q61" s="20"/>
      <c r="R61" s="20"/>
      <c r="S61" s="20"/>
      <c r="T61" s="20"/>
    </row>
    <row r="62" spans="1:20" x14ac:dyDescent="0.3">
      <c r="A62" s="11">
        <v>11</v>
      </c>
      <c r="B62" s="8">
        <v>5565</v>
      </c>
      <c r="C62" s="8" t="s">
        <v>144</v>
      </c>
      <c r="D62" s="12">
        <v>28803292701269</v>
      </c>
      <c r="E62" s="13">
        <v>20000</v>
      </c>
      <c r="F62" s="13">
        <v>18</v>
      </c>
      <c r="G62" s="14" t="str">
        <f t="shared" si="2"/>
        <v>3187-1617-0313-5078</v>
      </c>
      <c r="H62" s="2" t="s">
        <v>176</v>
      </c>
      <c r="I62" s="8" t="s">
        <v>202</v>
      </c>
      <c r="J62" s="2" t="s">
        <v>30</v>
      </c>
      <c r="K62" s="2" t="s">
        <v>31</v>
      </c>
      <c r="L62" s="1" t="s">
        <v>4</v>
      </c>
      <c r="M62" s="1" t="s">
        <v>5</v>
      </c>
      <c r="O62" s="16">
        <f t="shared" si="3"/>
        <v>11</v>
      </c>
      <c r="P62" s="8" t="s">
        <v>206</v>
      </c>
      <c r="Q62" s="20"/>
      <c r="R62" s="20"/>
      <c r="S62" s="20"/>
      <c r="T62" s="20"/>
    </row>
    <row r="63" spans="1:20" x14ac:dyDescent="0.3">
      <c r="A63" s="11">
        <v>12</v>
      </c>
      <c r="B63" s="8">
        <v>5569</v>
      </c>
      <c r="C63" s="8" t="s">
        <v>145</v>
      </c>
      <c r="D63" s="12">
        <v>29709012702301</v>
      </c>
      <c r="E63" s="13">
        <v>20000</v>
      </c>
      <c r="F63" s="13">
        <v>18</v>
      </c>
      <c r="G63" s="14" t="str">
        <f t="shared" si="2"/>
        <v>6891-5766-0313-5078</v>
      </c>
      <c r="H63" s="2" t="s">
        <v>177</v>
      </c>
      <c r="I63" s="8" t="s">
        <v>204</v>
      </c>
      <c r="J63" s="2" t="s">
        <v>32</v>
      </c>
      <c r="K63" s="2" t="s">
        <v>33</v>
      </c>
      <c r="L63" s="1" t="s">
        <v>4</v>
      </c>
      <c r="M63" s="1" t="s">
        <v>5</v>
      </c>
      <c r="O63" s="16">
        <f t="shared" si="3"/>
        <v>11</v>
      </c>
      <c r="P63" s="8" t="s">
        <v>206</v>
      </c>
      <c r="Q63" s="20"/>
      <c r="R63" s="20"/>
      <c r="S63" s="20"/>
      <c r="T63" s="20"/>
    </row>
    <row r="64" spans="1:20" x14ac:dyDescent="0.3">
      <c r="A64" s="11">
        <v>13</v>
      </c>
      <c r="B64" s="8">
        <v>5573</v>
      </c>
      <c r="C64" s="8" t="s">
        <v>146</v>
      </c>
      <c r="D64" s="12">
        <v>29106292700239</v>
      </c>
      <c r="E64" s="13">
        <v>20000</v>
      </c>
      <c r="F64" s="13">
        <v>18</v>
      </c>
      <c r="G64" s="14" t="str">
        <f t="shared" si="2"/>
        <v>3640-0222-0313-5078</v>
      </c>
      <c r="H64" s="2" t="s">
        <v>178</v>
      </c>
      <c r="I64" s="8" t="s">
        <v>199</v>
      </c>
      <c r="J64" s="2" t="s">
        <v>34</v>
      </c>
      <c r="K64" s="2" t="s">
        <v>17</v>
      </c>
      <c r="L64" s="1" t="s">
        <v>4</v>
      </c>
      <c r="M64" s="1" t="s">
        <v>5</v>
      </c>
      <c r="O64" s="16">
        <f t="shared" si="3"/>
        <v>11</v>
      </c>
      <c r="P64" s="8" t="s">
        <v>206</v>
      </c>
      <c r="Q64" s="20"/>
      <c r="R64" s="20"/>
      <c r="S64" s="20"/>
      <c r="T64" s="20"/>
    </row>
    <row r="65" spans="1:20" x14ac:dyDescent="0.3">
      <c r="A65" s="11">
        <v>14</v>
      </c>
      <c r="B65" s="8">
        <v>5581</v>
      </c>
      <c r="C65" s="8" t="s">
        <v>147</v>
      </c>
      <c r="D65" s="12">
        <v>29811022700828</v>
      </c>
      <c r="E65" s="13">
        <v>20000</v>
      </c>
      <c r="F65" s="13">
        <v>18</v>
      </c>
      <c r="G65" s="14" t="str">
        <f t="shared" si="2"/>
        <v>3124-7495-0313-5078</v>
      </c>
      <c r="H65" s="2" t="s">
        <v>179</v>
      </c>
      <c r="I65" s="8" t="s">
        <v>201</v>
      </c>
      <c r="J65" s="2" t="s">
        <v>35</v>
      </c>
      <c r="K65" s="2" t="s">
        <v>36</v>
      </c>
      <c r="L65" s="1" t="s">
        <v>4</v>
      </c>
      <c r="M65" s="1" t="s">
        <v>5</v>
      </c>
      <c r="O65" s="16">
        <f t="shared" si="3"/>
        <v>11</v>
      </c>
      <c r="P65" s="8" t="s">
        <v>206</v>
      </c>
      <c r="Q65" s="20" t="s">
        <v>122</v>
      </c>
      <c r="R65" s="20" t="s">
        <v>123</v>
      </c>
      <c r="S65" s="20" t="s">
        <v>4</v>
      </c>
      <c r="T65" s="20" t="s">
        <v>5</v>
      </c>
    </row>
    <row r="66" spans="1:20" x14ac:dyDescent="0.3">
      <c r="A66" s="11">
        <v>16</v>
      </c>
      <c r="B66" s="8">
        <v>5584</v>
      </c>
      <c r="C66" s="8" t="s">
        <v>149</v>
      </c>
      <c r="D66" s="12">
        <v>29609092702212</v>
      </c>
      <c r="E66" s="13">
        <v>20000</v>
      </c>
      <c r="F66" s="13">
        <v>18</v>
      </c>
      <c r="G66" s="14" t="str">
        <f t="shared" ref="G66:G91" si="4">CONCATENATE(J66,"-",K66,"-",L66,"-",M66)</f>
        <v>0784-6049-0313-5078</v>
      </c>
      <c r="H66" s="2" t="s">
        <v>181</v>
      </c>
      <c r="I66" s="8" t="s">
        <v>201</v>
      </c>
      <c r="J66" s="2" t="s">
        <v>288</v>
      </c>
      <c r="K66" s="2" t="s">
        <v>287</v>
      </c>
      <c r="L66" s="1" t="s">
        <v>4</v>
      </c>
      <c r="M66" s="1" t="s">
        <v>5</v>
      </c>
      <c r="O66" s="16">
        <f t="shared" ref="O66:O91" si="5">LEN(H66)</f>
        <v>11</v>
      </c>
      <c r="P66" s="8" t="s">
        <v>206</v>
      </c>
      <c r="Q66" s="20"/>
      <c r="R66" s="20"/>
      <c r="S66" s="20"/>
      <c r="T66" s="20"/>
    </row>
    <row r="67" spans="1:20" x14ac:dyDescent="0.3">
      <c r="A67" s="11">
        <v>17</v>
      </c>
      <c r="B67" s="8">
        <v>5585</v>
      </c>
      <c r="C67" s="8" t="s">
        <v>150</v>
      </c>
      <c r="D67" s="12">
        <v>28705102702084</v>
      </c>
      <c r="E67" s="13">
        <v>20000</v>
      </c>
      <c r="F67" s="13">
        <v>18</v>
      </c>
      <c r="G67" s="14" t="str">
        <f t="shared" si="4"/>
        <v>7107-3884-0313-5078</v>
      </c>
      <c r="H67" s="2" t="s">
        <v>182</v>
      </c>
      <c r="I67" s="8" t="s">
        <v>202</v>
      </c>
      <c r="J67" s="2" t="s">
        <v>39</v>
      </c>
      <c r="K67" s="2" t="s">
        <v>40</v>
      </c>
      <c r="L67" s="1" t="s">
        <v>4</v>
      </c>
      <c r="M67" s="1" t="s">
        <v>5</v>
      </c>
      <c r="O67" s="16">
        <f t="shared" si="5"/>
        <v>11</v>
      </c>
      <c r="P67" s="8" t="s">
        <v>206</v>
      </c>
      <c r="Q67" s="20" t="s">
        <v>126</v>
      </c>
      <c r="R67" s="20" t="s">
        <v>127</v>
      </c>
      <c r="S67" s="20" t="s">
        <v>4</v>
      </c>
      <c r="T67" s="20" t="s">
        <v>5</v>
      </c>
    </row>
    <row r="68" spans="1:20" x14ac:dyDescent="0.3">
      <c r="A68" s="11">
        <v>18</v>
      </c>
      <c r="B68" s="8">
        <v>5592</v>
      </c>
      <c r="C68" s="8" t="s">
        <v>151</v>
      </c>
      <c r="D68" s="12">
        <v>28407152705229</v>
      </c>
      <c r="E68" s="13">
        <v>20000</v>
      </c>
      <c r="F68" s="13">
        <v>18</v>
      </c>
      <c r="G68" s="14" t="str">
        <f t="shared" si="4"/>
        <v>2005-9034-0313-5078</v>
      </c>
      <c r="H68" s="2" t="s">
        <v>183</v>
      </c>
      <c r="I68" s="8" t="s">
        <v>205</v>
      </c>
      <c r="J68" s="2" t="s">
        <v>41</v>
      </c>
      <c r="K68" s="2" t="s">
        <v>42</v>
      </c>
      <c r="L68" s="1" t="s">
        <v>4</v>
      </c>
      <c r="M68" s="1" t="s">
        <v>5</v>
      </c>
      <c r="O68" s="16">
        <f t="shared" si="5"/>
        <v>11</v>
      </c>
      <c r="P68" s="8" t="s">
        <v>206</v>
      </c>
      <c r="Q68" s="20"/>
      <c r="R68" s="20"/>
      <c r="S68" s="20"/>
      <c r="T68" s="20"/>
    </row>
    <row r="69" spans="1:20" x14ac:dyDescent="0.3">
      <c r="A69" s="11">
        <v>19</v>
      </c>
      <c r="B69" s="8">
        <v>75</v>
      </c>
      <c r="C69" s="8" t="s">
        <v>152</v>
      </c>
      <c r="D69" s="12">
        <v>27707022701159</v>
      </c>
      <c r="E69" s="13">
        <v>25000</v>
      </c>
      <c r="F69" s="13">
        <v>18</v>
      </c>
      <c r="G69" s="14" t="str">
        <f t="shared" si="4"/>
        <v>1720-4213-0313-5078</v>
      </c>
      <c r="H69" s="2" t="s">
        <v>184</v>
      </c>
      <c r="I69" s="8" t="s">
        <v>199</v>
      </c>
      <c r="J69" s="2" t="s">
        <v>304</v>
      </c>
      <c r="K69" s="2" t="s">
        <v>303</v>
      </c>
      <c r="L69" s="1" t="s">
        <v>4</v>
      </c>
      <c r="M69" s="1" t="s">
        <v>5</v>
      </c>
      <c r="O69" s="16">
        <f t="shared" si="5"/>
        <v>11</v>
      </c>
      <c r="P69" s="8" t="s">
        <v>206</v>
      </c>
      <c r="Q69" s="20"/>
      <c r="R69" s="20"/>
      <c r="S69" s="20"/>
      <c r="T69" s="20"/>
    </row>
    <row r="70" spans="1:20" x14ac:dyDescent="0.3">
      <c r="A70" s="11">
        <v>20</v>
      </c>
      <c r="B70" s="8">
        <v>617</v>
      </c>
      <c r="C70" s="8" t="s">
        <v>153</v>
      </c>
      <c r="D70" s="12">
        <v>27402262700791</v>
      </c>
      <c r="E70" s="13">
        <v>29000</v>
      </c>
      <c r="F70" s="13">
        <v>18</v>
      </c>
      <c r="G70" s="14" t="str">
        <f t="shared" si="4"/>
        <v>5341-6937-0313-5078</v>
      </c>
      <c r="H70" s="2" t="s">
        <v>185</v>
      </c>
      <c r="I70" s="8" t="s">
        <v>199</v>
      </c>
      <c r="J70" s="2" t="s">
        <v>295</v>
      </c>
      <c r="K70" s="2" t="s">
        <v>294</v>
      </c>
      <c r="L70" s="1" t="s">
        <v>4</v>
      </c>
      <c r="M70" s="1" t="s">
        <v>5</v>
      </c>
      <c r="O70" s="16">
        <f t="shared" si="5"/>
        <v>11</v>
      </c>
      <c r="P70" s="8" t="s">
        <v>206</v>
      </c>
      <c r="Q70" s="20"/>
      <c r="R70" s="20"/>
      <c r="S70" s="20"/>
      <c r="T70" s="20"/>
    </row>
    <row r="71" spans="1:20" x14ac:dyDescent="0.3">
      <c r="A71" s="11">
        <v>21</v>
      </c>
      <c r="B71" s="8">
        <v>838</v>
      </c>
      <c r="C71" s="8" t="s">
        <v>154</v>
      </c>
      <c r="D71" s="12">
        <v>27512272700799</v>
      </c>
      <c r="E71" s="13">
        <v>25000</v>
      </c>
      <c r="F71" s="13">
        <v>18</v>
      </c>
      <c r="G71" s="14" t="str">
        <f t="shared" si="4"/>
        <v>9602-8079-0313-5078</v>
      </c>
      <c r="H71" s="2" t="s">
        <v>186</v>
      </c>
      <c r="I71" s="8" t="s">
        <v>204</v>
      </c>
      <c r="J71" s="2" t="s">
        <v>47</v>
      </c>
      <c r="K71" s="2" t="s">
        <v>48</v>
      </c>
      <c r="L71" s="1" t="s">
        <v>4</v>
      </c>
      <c r="M71" s="1" t="s">
        <v>5</v>
      </c>
      <c r="O71" s="16">
        <f t="shared" si="5"/>
        <v>11</v>
      </c>
      <c r="P71" s="8" t="s">
        <v>206</v>
      </c>
      <c r="Q71" s="20"/>
      <c r="R71" s="20"/>
      <c r="S71" s="20"/>
      <c r="T71" s="20"/>
    </row>
    <row r="72" spans="1:20" x14ac:dyDescent="0.3">
      <c r="A72" s="11">
        <v>22</v>
      </c>
      <c r="B72" s="8">
        <v>1072</v>
      </c>
      <c r="C72" s="8" t="s">
        <v>155</v>
      </c>
      <c r="D72" s="12">
        <v>27908042700286</v>
      </c>
      <c r="E72" s="13">
        <v>25000</v>
      </c>
      <c r="F72" s="13">
        <v>18</v>
      </c>
      <c r="G72" s="14" t="str">
        <f t="shared" si="4"/>
        <v>8587-8716-0313-5078</v>
      </c>
      <c r="H72" s="2" t="s">
        <v>186</v>
      </c>
      <c r="I72" s="8" t="s">
        <v>204</v>
      </c>
      <c r="J72" s="2" t="s">
        <v>49</v>
      </c>
      <c r="K72" s="2" t="s">
        <v>50</v>
      </c>
      <c r="L72" s="1" t="s">
        <v>4</v>
      </c>
      <c r="M72" s="1" t="s">
        <v>5</v>
      </c>
      <c r="O72" s="16">
        <f t="shared" si="5"/>
        <v>11</v>
      </c>
      <c r="P72" s="8" t="s">
        <v>206</v>
      </c>
      <c r="Q72" s="20"/>
      <c r="R72" s="20"/>
      <c r="S72" s="20"/>
      <c r="T72" s="20"/>
    </row>
    <row r="73" spans="1:20" x14ac:dyDescent="0.3">
      <c r="A73" s="11">
        <v>23</v>
      </c>
      <c r="B73" s="8">
        <v>2284</v>
      </c>
      <c r="C73" s="8" t="s">
        <v>156</v>
      </c>
      <c r="D73" s="12">
        <v>26011270100759</v>
      </c>
      <c r="E73" s="13">
        <v>29000</v>
      </c>
      <c r="F73" s="13">
        <v>18</v>
      </c>
      <c r="G73" s="14" t="str">
        <f t="shared" si="4"/>
        <v>6691-4456-0313-5078</v>
      </c>
      <c r="H73" s="2" t="s">
        <v>187</v>
      </c>
      <c r="I73" s="8" t="s">
        <v>199</v>
      </c>
      <c r="J73" s="2" t="s">
        <v>51</v>
      </c>
      <c r="K73" s="2" t="s">
        <v>52</v>
      </c>
      <c r="L73" s="1" t="s">
        <v>4</v>
      </c>
      <c r="M73" s="1" t="s">
        <v>5</v>
      </c>
      <c r="O73" s="16">
        <f t="shared" si="5"/>
        <v>11</v>
      </c>
      <c r="P73" s="8" t="s">
        <v>206</v>
      </c>
      <c r="Q73" s="20"/>
      <c r="R73" s="20"/>
      <c r="S73" s="20"/>
      <c r="T73" s="20"/>
    </row>
    <row r="74" spans="1:20" x14ac:dyDescent="0.3">
      <c r="A74" s="11">
        <v>24</v>
      </c>
      <c r="B74" s="8">
        <v>2295</v>
      </c>
      <c r="C74" s="8" t="s">
        <v>157</v>
      </c>
      <c r="D74" s="12">
        <v>27712042701817</v>
      </c>
      <c r="E74" s="13">
        <v>25000</v>
      </c>
      <c r="F74" s="13">
        <v>18</v>
      </c>
      <c r="G74" s="14" t="str">
        <f t="shared" si="4"/>
        <v>3133-5779-0313-5078</v>
      </c>
      <c r="H74" s="2" t="s">
        <v>188</v>
      </c>
      <c r="I74" s="8" t="s">
        <v>199</v>
      </c>
      <c r="J74" s="2" t="s">
        <v>312</v>
      </c>
      <c r="K74" s="2" t="s">
        <v>311</v>
      </c>
      <c r="L74" s="1" t="s">
        <v>4</v>
      </c>
      <c r="M74" s="1" t="s">
        <v>5</v>
      </c>
      <c r="O74" s="16">
        <f t="shared" si="5"/>
        <v>11</v>
      </c>
      <c r="P74" s="8" t="s">
        <v>206</v>
      </c>
      <c r="Q74" s="20"/>
      <c r="R74" s="20"/>
      <c r="S74" s="20"/>
      <c r="T74" s="20"/>
    </row>
    <row r="75" spans="1:20" x14ac:dyDescent="0.3">
      <c r="A75" s="11">
        <v>25</v>
      </c>
      <c r="B75" s="8">
        <v>3442</v>
      </c>
      <c r="C75" s="8" t="s">
        <v>158</v>
      </c>
      <c r="D75" s="12">
        <v>28905092700176</v>
      </c>
      <c r="E75" s="13">
        <v>29000</v>
      </c>
      <c r="F75" s="13">
        <v>18</v>
      </c>
      <c r="G75" s="14" t="str">
        <f t="shared" si="4"/>
        <v>3864-5352-0313-5078</v>
      </c>
      <c r="H75" s="2" t="s">
        <v>189</v>
      </c>
      <c r="I75" s="8" t="s">
        <v>204</v>
      </c>
      <c r="J75" s="2" t="s">
        <v>314</v>
      </c>
      <c r="K75" s="2" t="s">
        <v>313</v>
      </c>
      <c r="L75" s="1" t="s">
        <v>4</v>
      </c>
      <c r="M75" s="1" t="s">
        <v>5</v>
      </c>
      <c r="O75" s="16">
        <f t="shared" si="5"/>
        <v>11</v>
      </c>
      <c r="P75" s="8" t="s">
        <v>206</v>
      </c>
      <c r="Q75" s="20"/>
      <c r="R75" s="20"/>
      <c r="S75" s="20"/>
      <c r="T75" s="20"/>
    </row>
    <row r="76" spans="1:20" x14ac:dyDescent="0.3">
      <c r="A76" s="11">
        <v>26</v>
      </c>
      <c r="B76" s="8">
        <v>3712</v>
      </c>
      <c r="C76" s="8" t="s">
        <v>159</v>
      </c>
      <c r="D76" s="12">
        <v>28012162700263</v>
      </c>
      <c r="E76" s="13">
        <v>29000</v>
      </c>
      <c r="F76" s="13">
        <v>18</v>
      </c>
      <c r="G76" s="14" t="str">
        <f t="shared" si="4"/>
        <v>6154-1064-0313-5078</v>
      </c>
      <c r="H76" s="2" t="s">
        <v>190</v>
      </c>
      <c r="I76" s="8" t="s">
        <v>198</v>
      </c>
      <c r="J76" s="2" t="s">
        <v>58</v>
      </c>
      <c r="K76" s="2" t="s">
        <v>57</v>
      </c>
      <c r="L76" s="1" t="s">
        <v>4</v>
      </c>
      <c r="M76" s="1" t="s">
        <v>5</v>
      </c>
      <c r="O76" s="16">
        <f t="shared" si="5"/>
        <v>11</v>
      </c>
      <c r="P76" s="8" t="s">
        <v>206</v>
      </c>
      <c r="Q76" s="20"/>
      <c r="R76" s="20"/>
      <c r="S76" s="20"/>
      <c r="T76" s="20"/>
    </row>
    <row r="77" spans="1:20" x14ac:dyDescent="0.3">
      <c r="A77" s="11">
        <v>27</v>
      </c>
      <c r="B77" s="8">
        <v>3932</v>
      </c>
      <c r="C77" s="8" t="s">
        <v>160</v>
      </c>
      <c r="D77" s="12">
        <v>29609162702193</v>
      </c>
      <c r="E77" s="13">
        <v>25000</v>
      </c>
      <c r="F77" s="13">
        <v>18</v>
      </c>
      <c r="G77" s="14" t="str">
        <f t="shared" si="4"/>
        <v>5535-2973-0313-5078</v>
      </c>
      <c r="H77" s="2" t="s">
        <v>191</v>
      </c>
      <c r="I77" s="8" t="s">
        <v>198</v>
      </c>
      <c r="J77" s="2" t="s">
        <v>59</v>
      </c>
      <c r="K77" s="2" t="s">
        <v>60</v>
      </c>
      <c r="L77" s="1" t="s">
        <v>4</v>
      </c>
      <c r="M77" s="1" t="s">
        <v>5</v>
      </c>
      <c r="O77" s="16">
        <f t="shared" si="5"/>
        <v>11</v>
      </c>
      <c r="P77" s="8" t="s">
        <v>206</v>
      </c>
      <c r="Q77" s="20"/>
      <c r="R77" s="20"/>
      <c r="S77" s="20"/>
      <c r="T77" s="20"/>
    </row>
    <row r="78" spans="1:20" x14ac:dyDescent="0.3">
      <c r="A78" s="11">
        <v>28</v>
      </c>
      <c r="B78" s="8">
        <v>4169</v>
      </c>
      <c r="C78" s="8" t="s">
        <v>161</v>
      </c>
      <c r="D78" s="12">
        <v>26811182700726</v>
      </c>
      <c r="E78" s="13">
        <v>25000</v>
      </c>
      <c r="F78" s="13">
        <v>18</v>
      </c>
      <c r="G78" s="14" t="str">
        <f t="shared" si="4"/>
        <v>9396-8517-0313-5078</v>
      </c>
      <c r="H78" s="2" t="s">
        <v>192</v>
      </c>
      <c r="I78" s="8" t="s">
        <v>198</v>
      </c>
      <c r="J78" s="2" t="s">
        <v>286</v>
      </c>
      <c r="K78" s="2" t="s">
        <v>285</v>
      </c>
      <c r="L78" s="1" t="s">
        <v>4</v>
      </c>
      <c r="M78" s="1" t="s">
        <v>5</v>
      </c>
      <c r="O78" s="16">
        <f t="shared" si="5"/>
        <v>11</v>
      </c>
      <c r="P78" s="8" t="s">
        <v>206</v>
      </c>
      <c r="Q78" s="20"/>
      <c r="R78" s="20"/>
      <c r="S78" s="20"/>
      <c r="T78" s="20"/>
    </row>
    <row r="79" spans="1:20" x14ac:dyDescent="0.3">
      <c r="A79" s="11">
        <v>29</v>
      </c>
      <c r="B79" s="8">
        <v>4186</v>
      </c>
      <c r="C79" s="8" t="s">
        <v>162</v>
      </c>
      <c r="D79" s="12">
        <v>28109222701021</v>
      </c>
      <c r="E79" s="13">
        <v>29000</v>
      </c>
      <c r="F79" s="13">
        <v>18</v>
      </c>
      <c r="G79" s="14" t="str">
        <f t="shared" si="4"/>
        <v>1078-5507-0313-5078</v>
      </c>
      <c r="H79" s="2" t="s">
        <v>193</v>
      </c>
      <c r="I79" s="8" t="s">
        <v>201</v>
      </c>
      <c r="J79" s="2" t="s">
        <v>82</v>
      </c>
      <c r="K79" s="2" t="s">
        <v>282</v>
      </c>
      <c r="L79" s="1" t="s">
        <v>4</v>
      </c>
      <c r="M79" s="1" t="s">
        <v>5</v>
      </c>
      <c r="O79" s="16">
        <f t="shared" si="5"/>
        <v>11</v>
      </c>
      <c r="P79" s="8" t="s">
        <v>206</v>
      </c>
      <c r="Q79" s="20"/>
      <c r="R79" s="20"/>
      <c r="S79" s="20"/>
      <c r="T79" s="20"/>
    </row>
    <row r="80" spans="1:20" x14ac:dyDescent="0.3">
      <c r="A80" s="11">
        <v>30</v>
      </c>
      <c r="B80" s="8">
        <v>4523</v>
      </c>
      <c r="C80" s="8" t="s">
        <v>163</v>
      </c>
      <c r="D80" s="12">
        <v>29209122701251</v>
      </c>
      <c r="E80" s="13">
        <v>25000</v>
      </c>
      <c r="F80" s="13">
        <v>18</v>
      </c>
      <c r="G80" s="14" t="str">
        <f t="shared" si="4"/>
        <v>4301-1962-0313-5078</v>
      </c>
      <c r="H80" s="2" t="s">
        <v>194</v>
      </c>
      <c r="I80" s="8" t="s">
        <v>201</v>
      </c>
      <c r="J80" s="2" t="s">
        <v>62</v>
      </c>
      <c r="K80" s="2" t="s">
        <v>61</v>
      </c>
      <c r="L80" s="1" t="s">
        <v>4</v>
      </c>
      <c r="M80" s="1" t="s">
        <v>5</v>
      </c>
      <c r="O80" s="16">
        <f t="shared" si="5"/>
        <v>11</v>
      </c>
      <c r="P80" s="8" t="s">
        <v>206</v>
      </c>
      <c r="Q80" s="20"/>
      <c r="R80" s="20"/>
      <c r="S80" s="20"/>
      <c r="T80" s="20"/>
    </row>
    <row r="81" spans="1:20" x14ac:dyDescent="0.3">
      <c r="A81" s="11">
        <v>31</v>
      </c>
      <c r="B81" s="8">
        <v>4704</v>
      </c>
      <c r="C81" s="8" t="s">
        <v>164</v>
      </c>
      <c r="D81" s="12">
        <v>28410132700957</v>
      </c>
      <c r="E81" s="13">
        <v>25000</v>
      </c>
      <c r="F81" s="13">
        <v>18</v>
      </c>
      <c r="G81" s="14" t="str">
        <f t="shared" si="4"/>
        <v>5040-2518-0313-5078</v>
      </c>
      <c r="H81" s="2" t="s">
        <v>195</v>
      </c>
      <c r="I81" s="8" t="s">
        <v>198</v>
      </c>
      <c r="J81" s="2" t="s">
        <v>284</v>
      </c>
      <c r="K81" s="2" t="s">
        <v>283</v>
      </c>
      <c r="L81" s="1" t="s">
        <v>4</v>
      </c>
      <c r="M81" s="1" t="s">
        <v>5</v>
      </c>
      <c r="O81" s="16">
        <f t="shared" si="5"/>
        <v>11</v>
      </c>
      <c r="P81" s="8" t="s">
        <v>206</v>
      </c>
      <c r="Q81" s="20"/>
      <c r="R81" s="20"/>
      <c r="S81" s="20"/>
      <c r="T81" s="20"/>
    </row>
    <row r="82" spans="1:20" x14ac:dyDescent="0.3">
      <c r="A82" s="11">
        <v>32</v>
      </c>
      <c r="B82" s="8">
        <v>4725</v>
      </c>
      <c r="C82" s="8" t="s">
        <v>165</v>
      </c>
      <c r="D82" s="12">
        <v>29001012714993</v>
      </c>
      <c r="E82" s="13">
        <v>50000</v>
      </c>
      <c r="F82" s="13">
        <v>18</v>
      </c>
      <c r="G82" s="14" t="str">
        <f t="shared" si="4"/>
        <v>1817-4266-0313-5078</v>
      </c>
      <c r="H82" s="2" t="s">
        <v>196</v>
      </c>
      <c r="I82" s="8" t="s">
        <v>201</v>
      </c>
      <c r="J82" s="2" t="s">
        <v>281</v>
      </c>
      <c r="K82" s="2" t="s">
        <v>280</v>
      </c>
      <c r="L82" s="1" t="s">
        <v>4</v>
      </c>
      <c r="M82" s="1" t="s">
        <v>5</v>
      </c>
      <c r="O82" s="16">
        <f t="shared" si="5"/>
        <v>11</v>
      </c>
      <c r="P82" s="8" t="s">
        <v>206</v>
      </c>
      <c r="Q82" s="20"/>
      <c r="R82" s="20"/>
      <c r="S82" s="20"/>
      <c r="T82" s="20"/>
    </row>
    <row r="83" spans="1:20" x14ac:dyDescent="0.3">
      <c r="A83" s="11">
        <v>33</v>
      </c>
      <c r="B83" s="8">
        <v>4741</v>
      </c>
      <c r="C83" s="8" t="s">
        <v>166</v>
      </c>
      <c r="D83" s="12">
        <v>29110122700266</v>
      </c>
      <c r="E83" s="13">
        <v>25000</v>
      </c>
      <c r="F83" s="13">
        <v>18</v>
      </c>
      <c r="G83" s="14" t="str">
        <f t="shared" si="4"/>
        <v>0233-0494-0313-5078</v>
      </c>
      <c r="H83" s="2" t="s">
        <v>197</v>
      </c>
      <c r="I83" s="8" t="s">
        <v>201</v>
      </c>
      <c r="J83" s="2" t="s">
        <v>292</v>
      </c>
      <c r="K83" s="2" t="s">
        <v>291</v>
      </c>
      <c r="L83" s="1" t="s">
        <v>4</v>
      </c>
      <c r="M83" s="1" t="s">
        <v>5</v>
      </c>
      <c r="O83" s="16">
        <f t="shared" si="5"/>
        <v>11</v>
      </c>
      <c r="P83" s="8" t="s">
        <v>206</v>
      </c>
      <c r="Q83" s="20"/>
      <c r="R83" s="20"/>
      <c r="S83" s="20"/>
      <c r="T83" s="20"/>
    </row>
    <row r="84" spans="1:20" x14ac:dyDescent="0.3">
      <c r="A84" s="11">
        <v>68</v>
      </c>
      <c r="B84" s="8">
        <v>5010</v>
      </c>
      <c r="C84" s="8" t="s">
        <v>274</v>
      </c>
      <c r="D84" s="12">
        <v>29803222700978</v>
      </c>
      <c r="E84" s="13">
        <v>15000</v>
      </c>
      <c r="F84" s="13">
        <v>12</v>
      </c>
      <c r="G84" s="14" t="str">
        <f t="shared" si="4"/>
        <v>1316-0907-0320-5078</v>
      </c>
      <c r="H84" s="2" t="s">
        <v>132</v>
      </c>
      <c r="I84" s="8" t="s">
        <v>202</v>
      </c>
      <c r="J84" s="2" t="s">
        <v>298</v>
      </c>
      <c r="K84" s="2" t="s">
        <v>297</v>
      </c>
      <c r="L84" s="1" t="s">
        <v>296</v>
      </c>
      <c r="M84" s="1" t="s">
        <v>5</v>
      </c>
      <c r="O84" s="16">
        <f t="shared" si="5"/>
        <v>11</v>
      </c>
      <c r="P84" s="8" t="s">
        <v>277</v>
      </c>
      <c r="Q84" s="20"/>
      <c r="R84" s="20"/>
      <c r="S84" s="20"/>
      <c r="T84" s="20"/>
    </row>
    <row r="85" spans="1:20" x14ac:dyDescent="0.3">
      <c r="A85" s="11">
        <v>69</v>
      </c>
      <c r="B85" s="8">
        <v>5001</v>
      </c>
      <c r="C85" s="8" t="s">
        <v>275</v>
      </c>
      <c r="D85" s="12">
        <v>29802012705164</v>
      </c>
      <c r="E85" s="13">
        <v>29000</v>
      </c>
      <c r="F85" s="13">
        <v>12</v>
      </c>
      <c r="G85" s="14" t="str">
        <f t="shared" si="4"/>
        <v>3114-0907-0320-5018</v>
      </c>
      <c r="H85" s="2" t="s">
        <v>276</v>
      </c>
      <c r="I85" s="8" t="s">
        <v>202</v>
      </c>
      <c r="J85" s="2" t="s">
        <v>300</v>
      </c>
      <c r="K85" s="2" t="s">
        <v>297</v>
      </c>
      <c r="L85" s="1" t="s">
        <v>296</v>
      </c>
      <c r="M85" s="1" t="s">
        <v>299</v>
      </c>
      <c r="O85" s="16">
        <f t="shared" si="5"/>
        <v>11</v>
      </c>
      <c r="P85" s="8" t="s">
        <v>277</v>
      </c>
      <c r="Q85" s="20"/>
      <c r="R85" s="20"/>
      <c r="S85" s="20"/>
      <c r="T85" s="20"/>
    </row>
    <row r="86" spans="1:20" x14ac:dyDescent="0.3">
      <c r="A86" s="11">
        <v>71</v>
      </c>
      <c r="B86" s="8">
        <v>3369</v>
      </c>
      <c r="C86" s="8" t="s">
        <v>329</v>
      </c>
      <c r="D86" s="12">
        <v>28808302700152</v>
      </c>
      <c r="E86" s="13">
        <v>20000</v>
      </c>
      <c r="F86" s="13">
        <v>18</v>
      </c>
      <c r="G86" s="14" t="str">
        <f t="shared" si="4"/>
        <v>3816-2531-0313-5078</v>
      </c>
      <c r="H86" s="2" t="s">
        <v>352</v>
      </c>
      <c r="I86" s="8" t="s">
        <v>131</v>
      </c>
      <c r="J86" s="2" t="s">
        <v>353</v>
      </c>
      <c r="K86" s="2" t="s">
        <v>354</v>
      </c>
      <c r="L86" s="1" t="s">
        <v>4</v>
      </c>
      <c r="M86" s="1" t="s">
        <v>5</v>
      </c>
      <c r="O86" s="16">
        <f t="shared" si="5"/>
        <v>11</v>
      </c>
      <c r="P86" s="8" t="s">
        <v>412</v>
      </c>
      <c r="Q86" s="20"/>
      <c r="R86" s="20"/>
      <c r="S86" s="20"/>
      <c r="T86" s="20"/>
    </row>
    <row r="87" spans="1:20" x14ac:dyDescent="0.3">
      <c r="A87" s="11">
        <v>73</v>
      </c>
      <c r="B87" s="8">
        <v>4851</v>
      </c>
      <c r="C87" s="8" t="s">
        <v>331</v>
      </c>
      <c r="D87" s="12">
        <v>28110152700968</v>
      </c>
      <c r="E87" s="13">
        <v>15000</v>
      </c>
      <c r="F87" s="13">
        <v>18</v>
      </c>
      <c r="G87" s="14" t="str">
        <f t="shared" si="4"/>
        <v>6525-0159-0313-5078</v>
      </c>
      <c r="H87" s="2" t="s">
        <v>420</v>
      </c>
      <c r="I87" s="8" t="s">
        <v>356</v>
      </c>
      <c r="J87" s="2" t="s">
        <v>418</v>
      </c>
      <c r="K87" s="2" t="s">
        <v>419</v>
      </c>
      <c r="L87" s="1" t="s">
        <v>4</v>
      </c>
      <c r="M87" s="1" t="s">
        <v>5</v>
      </c>
      <c r="O87" s="16">
        <f t="shared" si="5"/>
        <v>11</v>
      </c>
      <c r="P87" s="8" t="s">
        <v>412</v>
      </c>
      <c r="Q87" s="20" t="s">
        <v>359</v>
      </c>
      <c r="R87" s="20" t="s">
        <v>360</v>
      </c>
      <c r="S87" s="20" t="s">
        <v>4</v>
      </c>
      <c r="T87" s="20" t="s">
        <v>5</v>
      </c>
    </row>
    <row r="88" spans="1:20" x14ac:dyDescent="0.3">
      <c r="A88" s="11">
        <v>81</v>
      </c>
      <c r="B88" s="8">
        <v>5604</v>
      </c>
      <c r="C88" s="8" t="s">
        <v>339</v>
      </c>
      <c r="D88" s="12">
        <v>26512302703247</v>
      </c>
      <c r="E88" s="13">
        <v>20000</v>
      </c>
      <c r="F88" s="13">
        <v>18</v>
      </c>
      <c r="G88" s="14" t="str">
        <f t="shared" si="4"/>
        <v>4794-2469-0313-5078</v>
      </c>
      <c r="H88" s="2" t="s">
        <v>381</v>
      </c>
      <c r="I88" s="8" t="s">
        <v>349</v>
      </c>
      <c r="J88" s="2" t="s">
        <v>382</v>
      </c>
      <c r="K88" s="2" t="s">
        <v>383</v>
      </c>
      <c r="L88" s="1" t="s">
        <v>4</v>
      </c>
      <c r="M88" s="1" t="s">
        <v>5</v>
      </c>
      <c r="O88" s="16">
        <f t="shared" si="5"/>
        <v>11</v>
      </c>
      <c r="P88" s="8" t="s">
        <v>412</v>
      </c>
      <c r="Q88" s="20"/>
      <c r="R88" s="20"/>
      <c r="S88" s="20"/>
      <c r="T88" s="20"/>
    </row>
    <row r="89" spans="1:20" x14ac:dyDescent="0.3">
      <c r="A89" s="11">
        <v>86</v>
      </c>
      <c r="B89" s="8">
        <v>5609</v>
      </c>
      <c r="C89" s="8" t="s">
        <v>344</v>
      </c>
      <c r="D89" s="12">
        <v>28103022703004</v>
      </c>
      <c r="E89" s="13">
        <v>10000</v>
      </c>
      <c r="F89" s="13">
        <v>18</v>
      </c>
      <c r="G89" s="14" t="str">
        <f t="shared" si="4"/>
        <v>6355-0105-0313-5078</v>
      </c>
      <c r="H89" s="2" t="s">
        <v>397</v>
      </c>
      <c r="I89" s="8" t="s">
        <v>131</v>
      </c>
      <c r="J89" s="2" t="s">
        <v>398</v>
      </c>
      <c r="K89" s="2" t="s">
        <v>399</v>
      </c>
      <c r="L89" s="1" t="s">
        <v>4</v>
      </c>
      <c r="M89" s="1" t="s">
        <v>5</v>
      </c>
      <c r="O89" s="16">
        <f t="shared" si="5"/>
        <v>11</v>
      </c>
      <c r="P89" s="8" t="s">
        <v>412</v>
      </c>
      <c r="Q89" s="20"/>
      <c r="R89" s="20"/>
      <c r="S89" s="20"/>
      <c r="T89" s="20"/>
    </row>
    <row r="90" spans="1:20" x14ac:dyDescent="0.3">
      <c r="A90" s="11">
        <v>88</v>
      </c>
      <c r="B90" s="8">
        <v>5611</v>
      </c>
      <c r="C90" s="8" t="s">
        <v>346</v>
      </c>
      <c r="D90" s="12">
        <v>28706112700183</v>
      </c>
      <c r="E90" s="13">
        <v>20000</v>
      </c>
      <c r="F90" s="13">
        <v>18</v>
      </c>
      <c r="G90" s="14" t="str">
        <f t="shared" si="4"/>
        <v>1416-9120-0313-5078</v>
      </c>
      <c r="H90" s="2" t="s">
        <v>403</v>
      </c>
      <c r="I90" s="8" t="s">
        <v>364</v>
      </c>
      <c r="J90" s="2" t="s">
        <v>404</v>
      </c>
      <c r="K90" s="2" t="s">
        <v>405</v>
      </c>
      <c r="L90" s="1" t="s">
        <v>4</v>
      </c>
      <c r="M90" s="1" t="s">
        <v>5</v>
      </c>
      <c r="O90" s="16">
        <f t="shared" si="5"/>
        <v>11</v>
      </c>
      <c r="P90" s="8" t="s">
        <v>412</v>
      </c>
      <c r="Q90" s="20"/>
      <c r="R90" s="20"/>
      <c r="S90" s="20"/>
      <c r="T90" s="20"/>
    </row>
    <row r="91" spans="1:20" x14ac:dyDescent="0.3">
      <c r="A91" s="11">
        <v>90</v>
      </c>
      <c r="B91" s="8">
        <v>5613</v>
      </c>
      <c r="C91" s="8" t="s">
        <v>348</v>
      </c>
      <c r="D91" s="12">
        <v>29702182701851</v>
      </c>
      <c r="E91" s="13">
        <v>20000</v>
      </c>
      <c r="F91" s="13">
        <v>18</v>
      </c>
      <c r="G91" s="14" t="str">
        <f t="shared" si="4"/>
        <v>0193-4775-0313-5078</v>
      </c>
      <c r="H91" s="2" t="s">
        <v>409</v>
      </c>
      <c r="I91" s="8" t="s">
        <v>356</v>
      </c>
      <c r="J91" s="2" t="s">
        <v>410</v>
      </c>
      <c r="K91" s="2" t="s">
        <v>411</v>
      </c>
      <c r="L91" s="1" t="s">
        <v>4</v>
      </c>
      <c r="M91" s="1" t="s">
        <v>5</v>
      </c>
      <c r="O91" s="16">
        <f t="shared" si="5"/>
        <v>11</v>
      </c>
      <c r="P91" s="8" t="s">
        <v>412</v>
      </c>
      <c r="Q91" s="20"/>
      <c r="R91" s="20"/>
      <c r="S91" s="20"/>
      <c r="T91" s="20"/>
    </row>
    <row r="92" spans="1:20" x14ac:dyDescent="0.3">
      <c r="A92" s="11"/>
      <c r="G92" s="14"/>
      <c r="O92" s="16"/>
    </row>
    <row r="93" spans="1:20" x14ac:dyDescent="0.3">
      <c r="A93" s="11"/>
      <c r="G93" s="14"/>
      <c r="O93" s="16"/>
    </row>
    <row r="94" spans="1:20" x14ac:dyDescent="0.3">
      <c r="A94" s="11"/>
      <c r="G94" s="14"/>
      <c r="O94" s="16"/>
    </row>
    <row r="95" spans="1:20" x14ac:dyDescent="0.3">
      <c r="A95" s="11"/>
      <c r="B95" s="8">
        <v>5608</v>
      </c>
      <c r="G95" s="14"/>
      <c r="O95" s="16"/>
    </row>
    <row r="96" spans="1:20" x14ac:dyDescent="0.3">
      <c r="A96" s="11"/>
      <c r="G96" s="14"/>
      <c r="O96" s="16"/>
    </row>
    <row r="97" spans="1:15" x14ac:dyDescent="0.3">
      <c r="A97" s="11"/>
      <c r="G97" s="14"/>
      <c r="O97" s="16"/>
    </row>
    <row r="98" spans="1:15" x14ac:dyDescent="0.3">
      <c r="A98" s="11"/>
      <c r="G98" s="14"/>
      <c r="O98" s="16"/>
    </row>
    <row r="99" spans="1:15" x14ac:dyDescent="0.3">
      <c r="A99" s="11"/>
      <c r="G99" s="14"/>
      <c r="O99" s="16"/>
    </row>
    <row r="100" spans="1:15" x14ac:dyDescent="0.3">
      <c r="A100" s="11"/>
      <c r="G100" s="14"/>
      <c r="O100" s="16"/>
    </row>
    <row r="101" spans="1:15" x14ac:dyDescent="0.3">
      <c r="A101" s="11"/>
      <c r="G101" s="14"/>
      <c r="O101" s="16"/>
    </row>
    <row r="102" spans="1:15" x14ac:dyDescent="0.3">
      <c r="A102" s="11"/>
      <c r="G102" s="14"/>
      <c r="O102" s="16"/>
    </row>
    <row r="103" spans="1:15" x14ac:dyDescent="0.3">
      <c r="A103" s="11"/>
      <c r="G103" s="14"/>
      <c r="O103" s="16"/>
    </row>
    <row r="104" spans="1:15" x14ac:dyDescent="0.3">
      <c r="A104" s="11"/>
      <c r="G104" s="14"/>
      <c r="O104" s="16"/>
    </row>
    <row r="105" spans="1:15" x14ac:dyDescent="0.3">
      <c r="A105" s="11"/>
      <c r="G105" s="14"/>
      <c r="O105" s="16"/>
    </row>
    <row r="106" spans="1:15" x14ac:dyDescent="0.3">
      <c r="A106" s="11"/>
      <c r="G106" s="14"/>
      <c r="O106" s="16"/>
    </row>
    <row r="107" spans="1:15" x14ac:dyDescent="0.3">
      <c r="A107" s="11"/>
      <c r="G107" s="14"/>
      <c r="O107" s="16"/>
    </row>
    <row r="108" spans="1:15" x14ac:dyDescent="0.3">
      <c r="A108" s="11"/>
      <c r="G108" s="14"/>
      <c r="O108" s="16"/>
    </row>
    <row r="109" spans="1:15" x14ac:dyDescent="0.3">
      <c r="A109" s="11"/>
      <c r="G109" s="14"/>
      <c r="O109" s="16"/>
    </row>
    <row r="110" spans="1:15" x14ac:dyDescent="0.3">
      <c r="A110" s="11"/>
      <c r="G110" s="14"/>
      <c r="O110" s="16"/>
    </row>
    <row r="111" spans="1:15" x14ac:dyDescent="0.3">
      <c r="A111" s="11"/>
      <c r="G111" s="14"/>
      <c r="O111" s="16"/>
    </row>
    <row r="112" spans="1:15" x14ac:dyDescent="0.3">
      <c r="A112" s="11"/>
      <c r="G112" s="14"/>
      <c r="O112" s="16"/>
    </row>
    <row r="113" spans="1:15" x14ac:dyDescent="0.3">
      <c r="A113" s="11"/>
      <c r="G113" s="14"/>
      <c r="O113" s="16"/>
    </row>
    <row r="114" spans="1:15" x14ac:dyDescent="0.3">
      <c r="A114" s="11"/>
      <c r="G114" s="14"/>
      <c r="O114" s="16"/>
    </row>
    <row r="115" spans="1:15" x14ac:dyDescent="0.3">
      <c r="A115" s="11"/>
      <c r="G115" s="14"/>
      <c r="O115" s="16"/>
    </row>
    <row r="116" spans="1:15" x14ac:dyDescent="0.3">
      <c r="A116" s="11"/>
      <c r="G116" s="14"/>
      <c r="O116" s="16"/>
    </row>
    <row r="117" spans="1:15" x14ac:dyDescent="0.3">
      <c r="A117" s="11"/>
      <c r="G117" s="14"/>
      <c r="O117" s="16"/>
    </row>
    <row r="118" spans="1:15" x14ac:dyDescent="0.3">
      <c r="A118" s="11"/>
      <c r="G118" s="14"/>
      <c r="O118" s="16"/>
    </row>
    <row r="119" spans="1:15" x14ac:dyDescent="0.3">
      <c r="A119" s="11"/>
      <c r="G119" s="14"/>
      <c r="O119" s="16"/>
    </row>
    <row r="120" spans="1:15" x14ac:dyDescent="0.3">
      <c r="A120" s="11"/>
      <c r="G120" s="14"/>
      <c r="O120" s="16"/>
    </row>
    <row r="121" spans="1:15" x14ac:dyDescent="0.3">
      <c r="A121" s="11"/>
      <c r="G121" s="14"/>
      <c r="O121" s="16"/>
    </row>
    <row r="122" spans="1:15" x14ac:dyDescent="0.3">
      <c r="A122" s="11"/>
      <c r="G122" s="14"/>
      <c r="O122" s="16"/>
    </row>
    <row r="123" spans="1:15" x14ac:dyDescent="0.3">
      <c r="A123" s="11"/>
      <c r="G123" s="14"/>
      <c r="O123" s="16"/>
    </row>
    <row r="124" spans="1:15" x14ac:dyDescent="0.3">
      <c r="A124" s="11"/>
      <c r="G124" s="14"/>
      <c r="O124" s="16"/>
    </row>
    <row r="125" spans="1:15" x14ac:dyDescent="0.3">
      <c r="A125" s="11"/>
      <c r="G125" s="14"/>
      <c r="O125" s="16"/>
    </row>
    <row r="126" spans="1:15" x14ac:dyDescent="0.3">
      <c r="A126" s="11"/>
      <c r="G126" s="14"/>
      <c r="O126" s="16"/>
    </row>
    <row r="127" spans="1:15" x14ac:dyDescent="0.3">
      <c r="A127" s="11"/>
      <c r="G127" s="14"/>
      <c r="O127" s="16"/>
    </row>
    <row r="128" spans="1:15" x14ac:dyDescent="0.3">
      <c r="A128" s="11"/>
      <c r="G128" s="14"/>
      <c r="O128" s="16"/>
    </row>
    <row r="129" spans="1:15" x14ac:dyDescent="0.3">
      <c r="A129" s="11"/>
      <c r="G129" s="14"/>
      <c r="O129" s="16"/>
    </row>
    <row r="130" spans="1:15" x14ac:dyDescent="0.3">
      <c r="A130" s="11"/>
      <c r="G130" s="14"/>
      <c r="O130" s="16"/>
    </row>
    <row r="131" spans="1:15" x14ac:dyDescent="0.3">
      <c r="A131" s="11"/>
      <c r="G131" s="14"/>
      <c r="O131" s="16"/>
    </row>
    <row r="132" spans="1:15" x14ac:dyDescent="0.3">
      <c r="A132" s="11"/>
      <c r="G132" s="14"/>
      <c r="O132" s="16"/>
    </row>
    <row r="133" spans="1:15" x14ac:dyDescent="0.3">
      <c r="A133" s="11"/>
      <c r="G133" s="14"/>
      <c r="O133" s="16"/>
    </row>
    <row r="134" spans="1:15" x14ac:dyDescent="0.3">
      <c r="A134" s="11"/>
      <c r="G134" s="14"/>
      <c r="O134" s="16"/>
    </row>
    <row r="135" spans="1:15" x14ac:dyDescent="0.3">
      <c r="A135" s="11"/>
      <c r="G135" s="14"/>
      <c r="O135" s="16"/>
    </row>
    <row r="136" spans="1:15" x14ac:dyDescent="0.3">
      <c r="A136" s="11"/>
      <c r="G136" s="14"/>
      <c r="O136" s="16"/>
    </row>
    <row r="137" spans="1:15" x14ac:dyDescent="0.3">
      <c r="A137" s="11"/>
      <c r="G137" s="14"/>
      <c r="O137" s="16"/>
    </row>
    <row r="138" spans="1:15" x14ac:dyDescent="0.3">
      <c r="A138" s="11"/>
      <c r="G138" s="14"/>
      <c r="O138" s="16"/>
    </row>
    <row r="139" spans="1:15" x14ac:dyDescent="0.3">
      <c r="A139" s="11"/>
      <c r="G139" s="14"/>
      <c r="O139" s="16"/>
    </row>
    <row r="140" spans="1:15" x14ac:dyDescent="0.3">
      <c r="A140" s="11"/>
      <c r="G140" s="14"/>
      <c r="O140" s="16"/>
    </row>
    <row r="141" spans="1:15" x14ac:dyDescent="0.3">
      <c r="A141" s="11"/>
      <c r="G141" s="14"/>
      <c r="O141" s="16"/>
    </row>
    <row r="142" spans="1:15" x14ac:dyDescent="0.3">
      <c r="A142" s="11"/>
      <c r="G142" s="14"/>
      <c r="O142" s="16"/>
    </row>
    <row r="143" spans="1:15" x14ac:dyDescent="0.3">
      <c r="A143" s="11"/>
      <c r="G143" s="14"/>
      <c r="O143" s="16"/>
    </row>
    <row r="144" spans="1:15" x14ac:dyDescent="0.3">
      <c r="A144" s="11"/>
      <c r="G144" s="14"/>
      <c r="O144" s="16"/>
    </row>
    <row r="145" spans="1:15" x14ac:dyDescent="0.3">
      <c r="A145" s="11"/>
      <c r="G145" s="14"/>
      <c r="O145" s="16"/>
    </row>
    <row r="146" spans="1:15" x14ac:dyDescent="0.3">
      <c r="A146" s="11"/>
      <c r="G146" s="14"/>
      <c r="O146" s="16"/>
    </row>
    <row r="147" spans="1:15" x14ac:dyDescent="0.3">
      <c r="A147" s="11"/>
      <c r="G147" s="14"/>
      <c r="O147" s="16"/>
    </row>
    <row r="148" spans="1:15" x14ac:dyDescent="0.3">
      <c r="A148" s="11"/>
      <c r="G148" s="14"/>
      <c r="O148" s="16"/>
    </row>
    <row r="149" spans="1:15" x14ac:dyDescent="0.3">
      <c r="A149" s="11"/>
      <c r="G149" s="14"/>
      <c r="O149" s="16"/>
    </row>
    <row r="150" spans="1:15" x14ac:dyDescent="0.3">
      <c r="A150" s="11"/>
      <c r="G150" s="14"/>
      <c r="O150" s="16"/>
    </row>
    <row r="151" spans="1:15" x14ac:dyDescent="0.3">
      <c r="A151" s="11"/>
      <c r="G151" s="14"/>
      <c r="O151" s="16"/>
    </row>
    <row r="152" spans="1:15" x14ac:dyDescent="0.3">
      <c r="A152" s="11"/>
      <c r="G152" s="14"/>
      <c r="O152" s="16"/>
    </row>
    <row r="153" spans="1:15" x14ac:dyDescent="0.3">
      <c r="A153" s="11"/>
      <c r="G153" s="14"/>
      <c r="O153" s="16"/>
    </row>
    <row r="154" spans="1:15" x14ac:dyDescent="0.3">
      <c r="A154" s="11"/>
      <c r="G154" s="14"/>
      <c r="O154" s="16"/>
    </row>
    <row r="155" spans="1:15" x14ac:dyDescent="0.3">
      <c r="A155" s="11"/>
      <c r="G155" s="14"/>
      <c r="O155" s="16"/>
    </row>
    <row r="156" spans="1:15" x14ac:dyDescent="0.3">
      <c r="A156" s="11"/>
      <c r="G156" s="14"/>
      <c r="O156" s="16"/>
    </row>
    <row r="157" spans="1:15" x14ac:dyDescent="0.3">
      <c r="A157" s="11"/>
      <c r="G157" s="14"/>
      <c r="O157" s="16"/>
    </row>
    <row r="158" spans="1:15" x14ac:dyDescent="0.3">
      <c r="A158" s="11"/>
      <c r="G158" s="14"/>
      <c r="O158" s="16"/>
    </row>
    <row r="159" spans="1:15" x14ac:dyDescent="0.3">
      <c r="A159" s="11"/>
      <c r="G159" s="14"/>
      <c r="O159" s="16"/>
    </row>
    <row r="160" spans="1:15" x14ac:dyDescent="0.3">
      <c r="A160" s="11"/>
      <c r="G160" s="14"/>
      <c r="O160" s="16"/>
    </row>
    <row r="161" spans="1:15" x14ac:dyDescent="0.3">
      <c r="A161" s="11"/>
      <c r="G161" s="14"/>
      <c r="O161" s="16"/>
    </row>
    <row r="162" spans="1:15" x14ac:dyDescent="0.3">
      <c r="A162" s="11"/>
      <c r="G162" s="14"/>
      <c r="O162" s="16"/>
    </row>
    <row r="163" spans="1:15" x14ac:dyDescent="0.3">
      <c r="A163" s="11"/>
      <c r="G163" s="14"/>
      <c r="O163" s="16"/>
    </row>
    <row r="164" spans="1:15" x14ac:dyDescent="0.3">
      <c r="A164" s="11"/>
      <c r="G164" s="14"/>
      <c r="O164" s="16"/>
    </row>
    <row r="165" spans="1:15" x14ac:dyDescent="0.3">
      <c r="A165" s="11"/>
      <c r="G165" s="14"/>
      <c r="O165" s="16"/>
    </row>
    <row r="166" spans="1:15" x14ac:dyDescent="0.3">
      <c r="A166" s="11"/>
      <c r="G166" s="14"/>
      <c r="O166" s="16"/>
    </row>
    <row r="167" spans="1:15" x14ac:dyDescent="0.3">
      <c r="A167" s="11"/>
      <c r="G167" s="14"/>
      <c r="O167" s="16"/>
    </row>
    <row r="168" spans="1:15" x14ac:dyDescent="0.3">
      <c r="A168" s="11"/>
      <c r="G168" s="14"/>
      <c r="O168" s="16"/>
    </row>
    <row r="169" spans="1:15" x14ac:dyDescent="0.3">
      <c r="A169" s="11"/>
      <c r="G169" s="14"/>
      <c r="O169" s="16"/>
    </row>
    <row r="170" spans="1:15" x14ac:dyDescent="0.3">
      <c r="A170" s="11"/>
      <c r="G170" s="14"/>
      <c r="O170" s="16"/>
    </row>
    <row r="171" spans="1:15" x14ac:dyDescent="0.3">
      <c r="A171" s="11"/>
      <c r="G171" s="14"/>
      <c r="O171" s="16"/>
    </row>
    <row r="172" spans="1:15" x14ac:dyDescent="0.3">
      <c r="A172" s="11"/>
      <c r="G172" s="14"/>
      <c r="O172" s="16"/>
    </row>
    <row r="173" spans="1:15" x14ac:dyDescent="0.3">
      <c r="G173" s="14"/>
      <c r="O173" s="16"/>
    </row>
    <row r="174" spans="1:15" x14ac:dyDescent="0.3">
      <c r="G174" s="14"/>
      <c r="O174" s="16"/>
    </row>
    <row r="175" spans="1:15" x14ac:dyDescent="0.3">
      <c r="G175" s="14"/>
      <c r="O175" s="16"/>
    </row>
    <row r="176" spans="1:15" x14ac:dyDescent="0.3">
      <c r="G176" s="14"/>
      <c r="O176" s="16"/>
    </row>
    <row r="177" spans="7:15" x14ac:dyDescent="0.3">
      <c r="G177" s="14"/>
      <c r="O177" s="16"/>
    </row>
    <row r="178" spans="7:15" x14ac:dyDescent="0.3">
      <c r="G178" s="14"/>
      <c r="O178" s="16"/>
    </row>
    <row r="179" spans="7:15" x14ac:dyDescent="0.3">
      <c r="G179" s="14"/>
      <c r="O179" s="16"/>
    </row>
    <row r="180" spans="7:15" x14ac:dyDescent="0.3">
      <c r="G180" s="14"/>
      <c r="O180" s="16"/>
    </row>
    <row r="181" spans="7:15" x14ac:dyDescent="0.3">
      <c r="G181" s="14"/>
      <c r="O181" s="16"/>
    </row>
    <row r="182" spans="7:15" x14ac:dyDescent="0.3">
      <c r="G182" s="14"/>
      <c r="O182" s="16"/>
    </row>
    <row r="183" spans="7:15" x14ac:dyDescent="0.3">
      <c r="G183" s="14"/>
      <c r="O183" s="16"/>
    </row>
    <row r="184" spans="7:15" x14ac:dyDescent="0.3">
      <c r="G184" s="14"/>
    </row>
  </sheetData>
  <autoFilter ref="A1:P91">
    <sortState ref="A2:P91">
      <sortCondition sortBy="cellColor" ref="B1:B91" dxfId="15"/>
    </sortState>
  </autoFilter>
  <mergeCells count="1">
    <mergeCell ref="Q1:T1"/>
  </mergeCells>
  <conditionalFormatting sqref="C1:C1048576">
    <cfRule type="duplicateValues" dxfId="14" priority="16"/>
  </conditionalFormatting>
  <conditionalFormatting sqref="K85:K1048576 K1:K29 K31:K80 K82:K83">
    <cfRule type="duplicateValues" dxfId="13" priority="12"/>
  </conditionalFormatting>
  <conditionalFormatting sqref="A1:O1 H2:O9 H10:N29 H84:I84 N84 H30:I30 N30 H31:N80 B2:F70 C71:F91 B84 H85:N138 B92:F138 G2:G184 O10:O183 A2:A172 H82:N83 H81:I81 L81:N81">
    <cfRule type="expression" dxfId="12" priority="11">
      <formula>ROW()=CELL("row")</formula>
    </cfRule>
  </conditionalFormatting>
  <conditionalFormatting sqref="J85:J1048576 J1:J29 J31:J80 J82:J83">
    <cfRule type="duplicateValues" dxfId="11" priority="23"/>
  </conditionalFormatting>
  <conditionalFormatting sqref="J84">
    <cfRule type="duplicateValues" dxfId="10" priority="10"/>
  </conditionalFormatting>
  <conditionalFormatting sqref="K84">
    <cfRule type="duplicateValues" dxfId="9" priority="9"/>
  </conditionalFormatting>
  <conditionalFormatting sqref="J30">
    <cfRule type="duplicateValues" dxfId="8" priority="8"/>
  </conditionalFormatting>
  <conditionalFormatting sqref="K30">
    <cfRule type="duplicateValues" dxfId="7" priority="7"/>
  </conditionalFormatting>
  <conditionalFormatting sqref="R2:R10">
    <cfRule type="duplicateValues" dxfId="6" priority="5"/>
  </conditionalFormatting>
  <conditionalFormatting sqref="Q2:T10">
    <cfRule type="expression" dxfId="5" priority="4">
      <formula>ROW()=CELL("row")</formula>
    </cfRule>
  </conditionalFormatting>
  <conditionalFormatting sqref="Q2:Q10">
    <cfRule type="duplicateValues" dxfId="4" priority="6"/>
  </conditionalFormatting>
  <conditionalFormatting sqref="B1:B1048576">
    <cfRule type="duplicateValues" dxfId="3" priority="33"/>
  </conditionalFormatting>
  <conditionalFormatting sqref="J81:K81">
    <cfRule type="expression" dxfId="2" priority="1">
      <formula>ROW()=CELL("row")</formula>
    </cfRule>
  </conditionalFormatting>
  <conditionalFormatting sqref="K81">
    <cfRule type="duplicateValues" dxfId="1" priority="2"/>
  </conditionalFormatting>
  <conditionalFormatting sqref="J81">
    <cfRule type="duplicateValues" dxfId="0" priority="3"/>
  </conditionalFormatting>
  <pageMargins left="0" right="0" top="0" bottom="0" header="0" footer="0"/>
  <pageSetup scale="11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2024-08-12T09:08:40Z</dcterms:modified>
</cp:coreProperties>
</file>