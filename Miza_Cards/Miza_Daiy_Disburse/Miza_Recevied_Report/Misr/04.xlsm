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1" l="1"/>
  <c r="N24" i="1"/>
  <c r="N31" i="1"/>
  <c r="N25" i="1"/>
  <c r="N22" i="1" l="1"/>
  <c r="N21" i="1" l="1"/>
  <c r="N17" i="1"/>
  <c r="N18" i="1"/>
  <c r="N19" i="1"/>
  <c r="N20" i="1"/>
  <c r="N30" i="1"/>
  <c r="F2" i="1" l="1"/>
  <c r="F26" i="1"/>
  <c r="F3" i="1"/>
  <c r="F4" i="1"/>
  <c r="F5" i="1"/>
  <c r="F6" i="1"/>
  <c r="F7" i="1"/>
  <c r="F8" i="1"/>
  <c r="F9" i="1"/>
  <c r="F10" i="1"/>
  <c r="F11" i="1"/>
  <c r="F12" i="1"/>
  <c r="F27" i="1"/>
  <c r="F13" i="1"/>
  <c r="F14" i="1"/>
  <c r="F15" i="1"/>
  <c r="F28" i="1"/>
  <c r="F29" i="1"/>
  <c r="F16" i="1"/>
  <c r="F17" i="1"/>
  <c r="F18" i="1"/>
  <c r="F19" i="1"/>
  <c r="F20" i="1"/>
  <c r="F30" i="1"/>
  <c r="F21" i="1"/>
  <c r="F22" i="1"/>
  <c r="F23" i="1"/>
  <c r="F24" i="1"/>
  <c r="F31" i="1"/>
  <c r="F25" i="1"/>
  <c r="N2" i="1"/>
  <c r="N26" i="1"/>
  <c r="N3" i="1"/>
  <c r="N4" i="1"/>
  <c r="N5" i="1"/>
  <c r="N6" i="1"/>
  <c r="N7" i="1"/>
  <c r="N8" i="1"/>
  <c r="N9" i="1"/>
  <c r="N10" i="1"/>
  <c r="N11" i="1"/>
  <c r="N12" i="1"/>
  <c r="N27" i="1"/>
  <c r="N13" i="1"/>
  <c r="N14" i="1"/>
  <c r="N15" i="1"/>
  <c r="N28" i="1"/>
  <c r="N29" i="1"/>
  <c r="N16" i="1"/>
</calcChain>
</file>

<file path=xl/sharedStrings.xml><?xml version="1.0" encoding="utf-8"?>
<sst xmlns="http://schemas.openxmlformats.org/spreadsheetml/2006/main" count="268" uniqueCount="185">
  <si>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</si>
  <si>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</si>
  <si>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</si>
  <si>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</si>
  <si>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</si>
  <si>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</si>
  <si>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</si>
  <si>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</si>
  <si>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</si>
  <si>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</si>
  <si>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</si>
  <si>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</si>
  <si>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</si>
  <si>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</si>
  <si>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</si>
  <si>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8958</t>
  </si>
  <si>
    <t>التمويل</t>
  </si>
  <si>
    <t>4845</t>
  </si>
  <si>
    <t>1244</t>
  </si>
  <si>
    <t>0803</t>
  </si>
  <si>
    <t>8694</t>
  </si>
  <si>
    <t>4687</t>
  </si>
  <si>
    <t>3210</t>
  </si>
  <si>
    <t>6533</t>
  </si>
  <si>
    <t>6461</t>
  </si>
  <si>
    <t>3373</t>
  </si>
  <si>
    <t>7162</t>
  </si>
  <si>
    <t>7253</t>
  </si>
  <si>
    <t>3018</t>
  </si>
  <si>
    <t>3527</t>
  </si>
  <si>
    <t>4992</t>
  </si>
  <si>
    <t>2386</t>
  </si>
  <si>
    <t>4988</t>
  </si>
  <si>
    <t>9441</t>
  </si>
  <si>
    <t>9527</t>
  </si>
  <si>
    <t>9084</t>
  </si>
  <si>
    <t>7256</t>
  </si>
  <si>
    <t>3099</t>
  </si>
  <si>
    <t>4212</t>
  </si>
  <si>
    <t>9823</t>
  </si>
  <si>
    <t>2198</t>
  </si>
  <si>
    <t>7616</t>
  </si>
  <si>
    <t>9078</t>
  </si>
  <si>
    <t>5765</t>
  </si>
  <si>
    <t>5727</t>
  </si>
  <si>
    <t>0551</t>
  </si>
  <si>
    <t>6924</t>
  </si>
  <si>
    <t>1536</t>
  </si>
  <si>
    <t>1163</t>
  </si>
  <si>
    <t>3397</t>
  </si>
  <si>
    <t>4542</t>
  </si>
  <si>
    <t>0578</t>
  </si>
  <si>
    <t>6312</t>
  </si>
  <si>
    <t>6525</t>
  </si>
  <si>
    <t>8365</t>
  </si>
  <si>
    <t>3954</t>
  </si>
  <si>
    <t>5345</t>
  </si>
  <si>
    <t>1355</t>
  </si>
  <si>
    <t>8672</t>
  </si>
  <si>
    <t>9363</t>
  </si>
  <si>
    <t>0731</t>
  </si>
  <si>
    <t>7272</t>
  </si>
  <si>
    <t>6121</t>
  </si>
  <si>
    <t>1052</t>
  </si>
  <si>
    <t>1977</t>
  </si>
  <si>
    <t>4788</t>
  </si>
  <si>
    <t>8167</t>
  </si>
  <si>
    <t>9308</t>
  </si>
  <si>
    <t>4809</t>
  </si>
  <si>
    <t>3962</t>
  </si>
  <si>
    <t>5511</t>
  </si>
  <si>
    <t>8747</t>
  </si>
  <si>
    <t>7347</t>
  </si>
  <si>
    <t>7387</t>
  </si>
  <si>
    <t>3976</t>
  </si>
  <si>
    <t>1048</t>
  </si>
  <si>
    <t>7922</t>
  </si>
  <si>
    <t>9418</t>
  </si>
  <si>
    <t>4592</t>
  </si>
  <si>
    <t>4147</t>
  </si>
  <si>
    <t>1139</t>
  </si>
  <si>
    <t>8011</t>
  </si>
  <si>
    <t>5651</t>
  </si>
  <si>
    <t>9042</t>
  </si>
  <si>
    <t>5269</t>
  </si>
  <si>
    <t>5371</t>
  </si>
  <si>
    <t>6604</t>
  </si>
  <si>
    <t>1417</t>
  </si>
  <si>
    <t>7066</t>
  </si>
  <si>
    <t>5573</t>
  </si>
  <si>
    <t>7664</t>
  </si>
  <si>
    <t>5742</t>
  </si>
  <si>
    <t>2749</t>
  </si>
  <si>
    <t>0386</t>
  </si>
  <si>
    <t>1273</t>
  </si>
  <si>
    <t>9319</t>
  </si>
  <si>
    <t>6663</t>
  </si>
  <si>
    <t>2377</t>
  </si>
  <si>
    <t>0934</t>
  </si>
  <si>
    <t>1668</t>
  </si>
  <si>
    <t>3862</t>
  </si>
  <si>
    <t>عبدالنبي محمد عرابي احمد</t>
  </si>
  <si>
    <t>وائل اميل عطا بضابا</t>
  </si>
  <si>
    <t>رزيقي فرج الله فرج طانيوس</t>
  </si>
  <si>
    <t>اشرف حسن حمدالله احمد</t>
  </si>
  <si>
    <t>احمد صابر فهيم حسين</t>
  </si>
  <si>
    <t>هيام عاطف عبدالحميد احمد علي</t>
  </si>
  <si>
    <t>هاله عطيه امير عثمان</t>
  </si>
  <si>
    <t>٠١١١٢٩٨٨٢٣٠</t>
  </si>
  <si>
    <t>٠١٢٢٤٤٣٧٠٢٢</t>
  </si>
  <si>
    <t>٠١٢٢١٦٢٤١١٨</t>
  </si>
  <si>
    <t>٠١١٢٥١٢٦٣٠٩</t>
  </si>
  <si>
    <t>٠١٠١٨٠٨١٧٧٦</t>
  </si>
  <si>
    <t>٠١٠٩٩٧٦٧٢٠٣</t>
  </si>
  <si>
    <t>٠١٠٦١٦٣٨٧٤٤</t>
  </si>
  <si>
    <t>اميل رفعت</t>
  </si>
  <si>
    <t>هدرا وحيد</t>
  </si>
  <si>
    <t>ابانوب عاطف</t>
  </si>
  <si>
    <t>نصحى مقار</t>
  </si>
  <si>
    <t>ابانوب سعيد</t>
  </si>
  <si>
    <t>سامح اسكندر فندي صدراك</t>
  </si>
  <si>
    <t>حسين عبد الفتاح ابراهيم ابوهريره</t>
  </si>
  <si>
    <t>محمد عبدالرازق عبدالشافي علي</t>
  </si>
  <si>
    <t>سعدات احمد حسن عبدالجليل</t>
  </si>
  <si>
    <t>نافع نور صليب عطيه</t>
  </si>
  <si>
    <t>اسلام خليفه علام محمد</t>
  </si>
  <si>
    <t>محمد عبدالعاطي عبدالحكيم اسماعيل</t>
  </si>
  <si>
    <t>ناهد عبدالراضي امير محمد</t>
  </si>
  <si>
    <t>احمد شحاته محمد ابراهيم</t>
  </si>
  <si>
    <t>امل محمود سلامه يوسف</t>
  </si>
  <si>
    <t>٠١١١٥٧٤٥٤٠٦</t>
  </si>
  <si>
    <t>٠١٠٠٨٧٢٥٤١٢</t>
  </si>
  <si>
    <t>٠١٢٨٨٣٩٩٩٤٣</t>
  </si>
  <si>
    <t>٠١٠١٥٦١٧٢٦١</t>
  </si>
  <si>
    <t>٠١٠٠٨٨٩٢٥٦٣</t>
  </si>
  <si>
    <t>٠١٠٩٤٠٧٤٤٩١</t>
  </si>
  <si>
    <t>٠١٠٦٠٤٨٠٥٣٧</t>
  </si>
  <si>
    <t>٠١٠٠٥٨٢٣٥٢٦</t>
  </si>
  <si>
    <t>٠١٠١٧٥٦٦٣٨٩</t>
  </si>
  <si>
    <t>٠١٠١٣٧٣٩١٣٨</t>
  </si>
  <si>
    <t>كيرلس عاطف</t>
  </si>
  <si>
    <t>حسانين حسين حسانين قسم الله</t>
  </si>
  <si>
    <t>حماده السيد محمود علي</t>
  </si>
  <si>
    <t>عادل عبدالله مسعود عبدالله</t>
  </si>
  <si>
    <t>مكاريوس عبدالمسيح زكي عجايبي</t>
  </si>
  <si>
    <t>علاء حداد حداد حسين</t>
  </si>
  <si>
    <t>بسمه نبيل ابوالحمد صغير</t>
  </si>
  <si>
    <t>امال رجب تمام سيد</t>
  </si>
  <si>
    <t>اسلام ناجح فؤاد فهيم</t>
  </si>
  <si>
    <t>٠١٠٩١٣٠٢٤٩١</t>
  </si>
  <si>
    <t>٠١١١٣١٦١٢٨١</t>
  </si>
  <si>
    <t>٠١٢٧٦١٦٣٣٧٥</t>
  </si>
  <si>
    <t>٠١٢٨٥٩٩٠٧٧٦</t>
  </si>
  <si>
    <t>٠١١٢١٦٠٣٣٩٠</t>
  </si>
  <si>
    <t>٠١٠٣٢٠٧٠٥٩٧</t>
  </si>
  <si>
    <t>٠١١٤٧٨٧٣٥٤٢</t>
  </si>
  <si>
    <t>٠١١٢٤٧٠٤٨٧٥</t>
  </si>
  <si>
    <t>بركات شكري علي سليمان</t>
  </si>
  <si>
    <t>حبيب عبدالسيد طوني بشاي</t>
  </si>
  <si>
    <t>عفت حبيب عبدالسيد طومي</t>
  </si>
  <si>
    <t>مبروكه سعدالدين حامد محمد</t>
  </si>
  <si>
    <t>فيفي فاروق زكي عيسي</t>
  </si>
  <si>
    <t>٠١٠٦٦٥٢٤١٢٢</t>
  </si>
  <si>
    <t>٠١٠٩٥٨٤٨٤٢٨</t>
  </si>
  <si>
    <t>٠١٢٨١٠٧٨٠٤٣</t>
  </si>
  <si>
    <t>٠١٠٠٨٦٧٨٧٠٦</t>
  </si>
  <si>
    <t>6598</t>
  </si>
  <si>
    <t>5150</t>
  </si>
  <si>
    <t>3972</t>
  </si>
  <si>
    <t>8668</t>
  </si>
  <si>
    <t>9179</t>
  </si>
  <si>
    <t>9102</t>
  </si>
  <si>
    <t>0995</t>
  </si>
  <si>
    <t>5475</t>
  </si>
  <si>
    <t>9532</t>
  </si>
  <si>
    <t>1241</t>
  </si>
  <si>
    <t>4431</t>
  </si>
  <si>
    <t>1247</t>
  </si>
  <si>
    <t>2171</t>
  </si>
  <si>
    <t>3364</t>
  </si>
  <si>
    <t>6896</t>
  </si>
  <si>
    <t>4940</t>
  </si>
  <si>
    <t>8682</t>
  </si>
  <si>
    <t>1593</t>
  </si>
  <si>
    <t>1527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</si>
</sst>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49" fontId="0" fillId="2" borderId="0" xfId="0" applyNumberFormat="1" applyFont="1" applyFill="1" applyAlignment="1">
      <alignment readingOrder="1"/>
    </xf>
    <xf numFmtId="49" fontId="0" fillId="2" borderId="0" xfId="0" applyNumberFormat="1" applyFont="1" applyFill="1" applyAlignment="1">
      <alignment horizontal="left" readingOrder="1"/>
    </xf>
    <xf numFmtId="0" fontId="0" fillId="2" borderId="0" xfId="0" applyFill="1" applyAlignment="1">
      <alignment readingOrder="2"/>
    </xf>
    <xf numFmtId="0" fontId="0" fillId="2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8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00B050"/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rightToLeft="1" tabSelected="1" topLeftCell="B32" zoomScaleNormal="100" workbookViewId="0">
      <selection activeCell="F68" sqref="F68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16</v>
      </c>
    </row>
    <row r="2" spans="1:15" x14ac:dyDescent="0.3">
      <c r="A2" s="12">
        <v>3</v>
      </c>
      <c r="B2" s="21">
        <v>2049</v>
      </c>
      <c r="C2" t="s">
        <v>101</v>
      </c>
      <c r="D2" s="11">
        <v>27701082701192</v>
      </c>
      <c r="E2" s="5">
        <v>20000</v>
      </c>
      <c r="F2" s="15" t="str">
        <f>CONCATENATE(I2,"-",J2,"-",K2,"-",L2)</f>
        <v>3210-4687-0313-5078</v>
      </c>
      <c r="G2" s="3" t="s">
        <v>108</v>
      </c>
      <c r="H2" t="s">
        <v>117</v>
      </c>
      <c r="I2" s="14" t="s">
        <v>22</v>
      </c>
      <c r="J2" s="14" t="s">
        <v>21</v>
      </c>
      <c r="K2" s="13" t="s">
        <v>4</v>
      </c>
      <c r="L2" s="13" t="s">
        <v>5</v>
      </c>
      <c r="N2" s="16">
        <f>LEN(G2)</f>
        <v>11</v>
      </c>
    </row>
    <row r="3" spans="1:15" x14ac:dyDescent="0.3">
      <c r="A3" s="12">
        <v>5</v>
      </c>
      <c r="B3" s="21">
        <v>2942</v>
      </c>
      <c r="C3" t="s">
        <v>103</v>
      </c>
      <c r="D3" s="11">
        <v>29001072701912</v>
      </c>
      <c r="E3" s="5">
        <v>20000</v>
      </c>
      <c r="F3" s="15" t="str">
        <f>CONCATENATE(I3,"-",J3,"-",K3,"-",L3)</f>
        <v>7162-3373-0313-5078</v>
      </c>
      <c r="G3" s="3" t="s">
        <v>110</v>
      </c>
      <c r="H3" t="s">
        <v>118</v>
      </c>
      <c r="I3" s="14" t="s">
        <v>26</v>
      </c>
      <c r="J3" s="14" t="s">
        <v>25</v>
      </c>
      <c r="K3" s="13" t="s">
        <v>4</v>
      </c>
      <c r="L3" s="13" t="s">
        <v>5</v>
      </c>
      <c r="N3" s="16">
        <f>LEN(G3)</f>
        <v>11</v>
      </c>
    </row>
    <row r="4" spans="1:15" x14ac:dyDescent="0.3">
      <c r="A4" s="12">
        <v>7</v>
      </c>
      <c r="B4" s="21">
        <v>3131</v>
      </c>
      <c r="C4" t="s">
        <v>104</v>
      </c>
      <c r="D4" s="11">
        <v>27607212701053</v>
      </c>
      <c r="E4" s="5">
        <v>25000</v>
      </c>
      <c r="F4" s="15" t="str">
        <f>CONCATENATE(I4,"-",J4,"-",K4,"-",L4)</f>
        <v>3527-3018-0313-5078</v>
      </c>
      <c r="G4" s="3" t="s">
        <v>111</v>
      </c>
      <c r="H4" t="s">
        <v>115</v>
      </c>
      <c r="I4" s="14" t="s">
        <v>29</v>
      </c>
      <c r="J4" s="14" t="s">
        <v>28</v>
      </c>
      <c r="K4" s="13" t="s">
        <v>4</v>
      </c>
      <c r="L4" s="13" t="s">
        <v>5</v>
      </c>
      <c r="N4" s="16">
        <f>LEN(G4)</f>
        <v>11</v>
      </c>
    </row>
    <row r="5" spans="1:15" x14ac:dyDescent="0.3">
      <c r="A5" s="12">
        <v>8</v>
      </c>
      <c r="B5" s="21">
        <v>3204</v>
      </c>
      <c r="C5" t="s">
        <v>105</v>
      </c>
      <c r="D5" s="11">
        <v>28501162705878</v>
      </c>
      <c r="E5" s="5">
        <v>50000</v>
      </c>
      <c r="F5" s="15" t="str">
        <f>CONCATENATE(I5,"-",J5,"-",K5,"-",L5)</f>
        <v>2386-4992-0313-5078</v>
      </c>
      <c r="G5" s="3" t="s">
        <v>112</v>
      </c>
      <c r="H5" t="s">
        <v>117</v>
      </c>
      <c r="I5" s="14" t="s">
        <v>31</v>
      </c>
      <c r="J5" s="14" t="s">
        <v>30</v>
      </c>
      <c r="K5" s="13" t="s">
        <v>4</v>
      </c>
      <c r="L5" s="13" t="s">
        <v>5</v>
      </c>
      <c r="N5" s="16">
        <f>LEN(G5)</f>
        <v>11</v>
      </c>
    </row>
    <row r="6" spans="1:15" x14ac:dyDescent="0.3">
      <c r="A6" s="12">
        <v>13</v>
      </c>
      <c r="B6" s="21">
        <v>3945</v>
      </c>
      <c r="C6" t="s">
        <v>106</v>
      </c>
      <c r="D6" s="11">
        <v>28705262700126</v>
      </c>
      <c r="E6" s="5">
        <v>40000</v>
      </c>
      <c r="F6" s="15" t="str">
        <f>CONCATENATE(I6,"-",J6,"-",K6,"-",L6)</f>
        <v>3099-7256-0313-5078</v>
      </c>
      <c r="G6" s="3" t="s">
        <v>113</v>
      </c>
      <c r="H6" t="s">
        <v>119</v>
      </c>
      <c r="I6" s="14" t="s">
        <v>37</v>
      </c>
      <c r="J6" s="14" t="s">
        <v>36</v>
      </c>
      <c r="K6" s="13" t="s">
        <v>4</v>
      </c>
      <c r="L6" s="13" t="s">
        <v>5</v>
      </c>
      <c r="N6" s="16">
        <f>LEN(G6)</f>
        <v>11</v>
      </c>
    </row>
    <row r="7" spans="1:15" x14ac:dyDescent="0.3">
      <c r="A7" s="12">
        <v>14</v>
      </c>
      <c r="B7" s="21">
        <v>4215</v>
      </c>
      <c r="C7" t="s">
        <v>107</v>
      </c>
      <c r="D7" s="11">
        <v>27702072700526</v>
      </c>
      <c r="E7" s="5">
        <v>20000</v>
      </c>
      <c r="F7" s="15" t="str">
        <f>CONCATENATE(I7,"-",J7,"-",K7,"-",L7)</f>
        <v>9823-4212-0313-5078</v>
      </c>
      <c r="G7" s="3" t="s">
        <v>114</v>
      </c>
      <c r="H7" t="s">
        <v>118</v>
      </c>
      <c r="I7" s="14" t="s">
        <v>39</v>
      </c>
      <c r="J7" s="14" t="s">
        <v>38</v>
      </c>
      <c r="K7" s="13" t="s">
        <v>4</v>
      </c>
      <c r="L7" s="13" t="s">
        <v>5</v>
      </c>
      <c r="N7" s="16">
        <f>LEN(G7)</f>
        <v>11</v>
      </c>
    </row>
    <row r="8" spans="1:15" x14ac:dyDescent="0.3">
      <c r="A8" s="12">
        <v>17</v>
      </c>
      <c r="B8" s="21">
        <v>4377</v>
      </c>
      <c r="C8" t="s">
        <v>120</v>
      </c>
      <c r="D8" s="11">
        <v>28305032700137</v>
      </c>
      <c r="E8" s="5">
        <v>20000</v>
      </c>
      <c r="F8" s="15" t="str">
        <f>CONCATENATE(I8,"-",J8,"-",K8,"-",L8)</f>
        <v>5765-9078-0313-5078</v>
      </c>
      <c r="G8" s="3" t="s">
        <v>130</v>
      </c>
      <c r="H8" t="s">
        <v>119</v>
      </c>
      <c r="I8" s="14" t="s">
        <v>43</v>
      </c>
      <c r="J8" s="14" t="s">
        <v>42</v>
      </c>
      <c r="K8" s="13" t="s">
        <v>4</v>
      </c>
      <c r="L8" s="13" t="s">
        <v>5</v>
      </c>
      <c r="N8" s="16">
        <f>LEN(G8)</f>
        <v>11</v>
      </c>
    </row>
    <row r="9" spans="1:15" x14ac:dyDescent="0.3">
      <c r="A9" s="12">
        <v>19</v>
      </c>
      <c r="B9" s="21">
        <v>4444</v>
      </c>
      <c r="C9" t="s">
        <v>121</v>
      </c>
      <c r="D9" s="11">
        <v>28409102700512</v>
      </c>
      <c r="E9" s="5">
        <v>20000</v>
      </c>
      <c r="F9" s="15" t="str">
        <f>CONCATENATE(I9,"-",J9,"-",K9,"-",L9)</f>
        <v>0551-0803-0313-5078</v>
      </c>
      <c r="G9" s="3" t="s">
        <v>131</v>
      </c>
      <c r="H9" t="s">
        <v>118</v>
      </c>
      <c r="I9" s="14" t="s">
        <v>45</v>
      </c>
      <c r="J9" s="14" t="s">
        <v>19</v>
      </c>
      <c r="K9" s="13" t="s">
        <v>4</v>
      </c>
      <c r="L9" s="13" t="s">
        <v>5</v>
      </c>
      <c r="N9" s="16">
        <f>LEN(G9)</f>
        <v>11</v>
      </c>
    </row>
    <row r="10" spans="1:15" x14ac:dyDescent="0.3">
      <c r="A10" s="12">
        <v>21</v>
      </c>
      <c r="B10" s="21">
        <v>4499</v>
      </c>
      <c r="C10" t="s">
        <v>122</v>
      </c>
      <c r="D10" s="11">
        <v>28112032700878</v>
      </c>
      <c r="E10" s="5">
        <v>20000</v>
      </c>
      <c r="F10" s="15" t="str">
        <f>CONCATENATE(I10,"-",J10,"-",K10,"-",L10)</f>
        <v>1163-1536-0313-5078</v>
      </c>
      <c r="G10" s="3" t="s">
        <v>132</v>
      </c>
      <c r="H10" t="s">
        <v>115</v>
      </c>
      <c r="I10" s="14" t="s">
        <v>48</v>
      </c>
      <c r="J10" s="14" t="s">
        <v>47</v>
      </c>
      <c r="K10" s="13" t="s">
        <v>4</v>
      </c>
      <c r="L10" s="13" t="s">
        <v>5</v>
      </c>
      <c r="N10" s="16">
        <f>LEN(G10)</f>
        <v>11</v>
      </c>
    </row>
    <row r="11" spans="1:15" x14ac:dyDescent="0.3">
      <c r="A11" s="12">
        <v>22</v>
      </c>
      <c r="B11" s="21">
        <v>4532</v>
      </c>
      <c r="C11" t="s">
        <v>123</v>
      </c>
      <c r="D11" s="11">
        <v>28008092700441</v>
      </c>
      <c r="E11" s="5">
        <v>15000</v>
      </c>
      <c r="F11" s="15" t="str">
        <f>CONCATENATE(I11,"-",J11,"-",K11,"-",L11)</f>
        <v>4542-3397-0313-5078</v>
      </c>
      <c r="G11" s="3" t="s">
        <v>133</v>
      </c>
      <c r="H11" t="s">
        <v>117</v>
      </c>
      <c r="I11" s="14" t="s">
        <v>50</v>
      </c>
      <c r="J11" s="14" t="s">
        <v>49</v>
      </c>
      <c r="K11" s="13" t="s">
        <v>4</v>
      </c>
      <c r="L11" s="13" t="s">
        <v>5</v>
      </c>
      <c r="N11" s="16">
        <f>LEN(G11)</f>
        <v>11</v>
      </c>
    </row>
    <row r="12" spans="1:15" x14ac:dyDescent="0.3">
      <c r="A12" s="12">
        <v>23</v>
      </c>
      <c r="B12" s="21">
        <v>4612</v>
      </c>
      <c r="C12" t="s">
        <v>124</v>
      </c>
      <c r="D12" s="11">
        <v>26808122700734</v>
      </c>
      <c r="E12" s="5">
        <v>20000</v>
      </c>
      <c r="F12" s="15" t="str">
        <f>CONCATENATE(I12,"-",J12,"-",K12,"-",L12)</f>
        <v>6312-0578-0313-5078</v>
      </c>
      <c r="G12" s="3" t="s">
        <v>134</v>
      </c>
      <c r="H12" t="s">
        <v>140</v>
      </c>
      <c r="I12" s="14" t="s">
        <v>52</v>
      </c>
      <c r="J12" s="14" t="s">
        <v>51</v>
      </c>
      <c r="K12" s="13" t="s">
        <v>4</v>
      </c>
      <c r="L12" s="13" t="s">
        <v>5</v>
      </c>
      <c r="N12" s="16">
        <f>LEN(G12)</f>
        <v>11</v>
      </c>
    </row>
    <row r="13" spans="1:15" x14ac:dyDescent="0.3">
      <c r="A13" s="12">
        <v>26</v>
      </c>
      <c r="B13" s="21">
        <v>5127</v>
      </c>
      <c r="C13" t="s">
        <v>126</v>
      </c>
      <c r="D13" s="11">
        <v>29305192702059</v>
      </c>
      <c r="E13" s="5">
        <v>15000</v>
      </c>
      <c r="F13" s="15" t="str">
        <f>CONCATENATE(I13,"-",J13,"-",K13,"-",L13)</f>
        <v>1355-5345-0313-5078</v>
      </c>
      <c r="G13" s="3" t="s">
        <v>136</v>
      </c>
      <c r="H13" t="s">
        <v>116</v>
      </c>
      <c r="I13" s="14" t="s">
        <v>57</v>
      </c>
      <c r="J13" s="14" t="s">
        <v>56</v>
      </c>
      <c r="K13" s="13" t="s">
        <v>4</v>
      </c>
      <c r="L13" s="13" t="s">
        <v>5</v>
      </c>
      <c r="N13" s="16">
        <f>LEN(G13)</f>
        <v>11</v>
      </c>
    </row>
    <row r="14" spans="1:15" x14ac:dyDescent="0.3">
      <c r="A14" s="12">
        <v>27</v>
      </c>
      <c r="B14" s="21">
        <v>5130</v>
      </c>
      <c r="C14" t="s">
        <v>127</v>
      </c>
      <c r="D14" s="11">
        <v>27510112701184</v>
      </c>
      <c r="E14" s="5">
        <v>15000</v>
      </c>
      <c r="F14" s="15" t="str">
        <f>CONCATENATE(I14,"-",J14,"-",K14,"-",L14)</f>
        <v>9363-8672-0313-5078</v>
      </c>
      <c r="G14" s="3" t="s">
        <v>137</v>
      </c>
      <c r="H14" t="s">
        <v>116</v>
      </c>
      <c r="I14" s="14" t="s">
        <v>59</v>
      </c>
      <c r="J14" s="14" t="s">
        <v>58</v>
      </c>
      <c r="K14" s="13" t="s">
        <v>4</v>
      </c>
      <c r="L14" s="13" t="s">
        <v>5</v>
      </c>
      <c r="N14" s="16">
        <f>LEN(G14)</f>
        <v>11</v>
      </c>
    </row>
    <row r="15" spans="1:15" x14ac:dyDescent="0.3">
      <c r="A15" s="12">
        <v>28</v>
      </c>
      <c r="B15" s="21">
        <v>5134</v>
      </c>
      <c r="C15" t="s">
        <v>128</v>
      </c>
      <c r="D15" s="11">
        <v>28506232700617</v>
      </c>
      <c r="E15" s="5">
        <v>15000</v>
      </c>
      <c r="F15" s="15" t="str">
        <f>CONCATENATE(I15,"-",J15,"-",K15,"-",L15)</f>
        <v>7272-0731-0313-5078</v>
      </c>
      <c r="G15" s="3" t="s">
        <v>138</v>
      </c>
      <c r="H15" t="s">
        <v>116</v>
      </c>
      <c r="I15" s="14" t="s">
        <v>61</v>
      </c>
      <c r="J15" s="14" t="s">
        <v>60</v>
      </c>
      <c r="K15" s="13" t="s">
        <v>4</v>
      </c>
      <c r="L15" s="13" t="s">
        <v>5</v>
      </c>
      <c r="N15" s="16">
        <f>LEN(G15)</f>
        <v>11</v>
      </c>
    </row>
    <row r="16" spans="1:15" x14ac:dyDescent="0.3">
      <c r="A16" s="12">
        <v>35</v>
      </c>
      <c r="B16" s="21">
        <v>5176</v>
      </c>
      <c r="C16" t="s">
        <v>142</v>
      </c>
      <c r="D16" s="11">
        <v>28501152701033</v>
      </c>
      <c r="E16" s="5">
        <v>15000</v>
      </c>
      <c r="F16" s="15" t="str">
        <f>CONCATENATE(I16,"-",J16,"-",K16,"-",L16)</f>
        <v>8747-5511-0313-5078</v>
      </c>
      <c r="G16" s="3" t="s">
        <v>150</v>
      </c>
      <c r="H16" t="s">
        <v>116</v>
      </c>
      <c r="I16" s="14" t="s">
        <v>71</v>
      </c>
      <c r="J16" s="14" t="s">
        <v>70</v>
      </c>
      <c r="K16" s="13" t="s">
        <v>4</v>
      </c>
      <c r="L16" s="13" t="s">
        <v>5</v>
      </c>
      <c r="N16" s="16">
        <f>LEN(G16)</f>
        <v>11</v>
      </c>
    </row>
    <row r="17" spans="1:14" x14ac:dyDescent="0.3">
      <c r="A17" s="12">
        <v>37</v>
      </c>
      <c r="B17" s="21">
        <v>5178</v>
      </c>
      <c r="C17" t="s">
        <v>143</v>
      </c>
      <c r="D17" s="11">
        <v>29309232701153</v>
      </c>
      <c r="E17" s="5">
        <v>20000</v>
      </c>
      <c r="F17" s="15" t="str">
        <f>CONCATENATE(I17,"-",J17,"-",K17,"-",L17)</f>
        <v>7387-3976-0313-5078</v>
      </c>
      <c r="G17" s="3" t="s">
        <v>151</v>
      </c>
      <c r="H17" t="s">
        <v>140</v>
      </c>
      <c r="I17" s="14" t="s">
        <v>73</v>
      </c>
      <c r="J17" s="14" t="s">
        <v>74</v>
      </c>
      <c r="K17" s="13" t="s">
        <v>4</v>
      </c>
      <c r="L17" s="13" t="s">
        <v>5</v>
      </c>
      <c r="N17" s="16">
        <f>LEN(G17)</f>
        <v>11</v>
      </c>
    </row>
    <row r="18" spans="1:14" x14ac:dyDescent="0.3">
      <c r="A18" s="12">
        <v>38</v>
      </c>
      <c r="B18" s="21">
        <v>5179</v>
      </c>
      <c r="C18" t="s">
        <v>144</v>
      </c>
      <c r="D18" s="11">
        <v>29107112700739</v>
      </c>
      <c r="E18" s="5">
        <v>20000</v>
      </c>
      <c r="F18" s="15" t="str">
        <f>CONCATENATE(I18,"-",J18,"-",K18,"-",L18)</f>
        <v>1048-7922-0313-5078</v>
      </c>
      <c r="G18" s="3" t="s">
        <v>152</v>
      </c>
      <c r="H18" t="s">
        <v>140</v>
      </c>
      <c r="I18" s="14" t="s">
        <v>75</v>
      </c>
      <c r="J18" s="14" t="s">
        <v>76</v>
      </c>
      <c r="K18" s="13" t="s">
        <v>4</v>
      </c>
      <c r="L18" s="13" t="s">
        <v>5</v>
      </c>
      <c r="N18" s="16">
        <f>LEN(G18)</f>
        <v>11</v>
      </c>
    </row>
    <row r="19" spans="1:14" x14ac:dyDescent="0.3">
      <c r="A19" s="12">
        <v>40</v>
      </c>
      <c r="B19" s="21">
        <v>5182</v>
      </c>
      <c r="C19" t="s">
        <v>145</v>
      </c>
      <c r="D19" s="11">
        <v>27903012701677</v>
      </c>
      <c r="E19" s="5">
        <v>15000</v>
      </c>
      <c r="F19" s="15" t="str">
        <f>CONCATENATE(I19,"-",J19,"-",K19,"-",L19)</f>
        <v>4592-4147-0313-5078</v>
      </c>
      <c r="G19" s="3" t="s">
        <v>153</v>
      </c>
      <c r="H19" t="s">
        <v>116</v>
      </c>
      <c r="I19" s="14" t="s">
        <v>78</v>
      </c>
      <c r="J19" s="14" t="s">
        <v>79</v>
      </c>
      <c r="K19" s="13" t="s">
        <v>4</v>
      </c>
      <c r="L19" s="13" t="s">
        <v>5</v>
      </c>
      <c r="N19" s="16">
        <f>LEN(G19)</f>
        <v>11</v>
      </c>
    </row>
    <row r="20" spans="1:14" x14ac:dyDescent="0.3">
      <c r="A20" s="12">
        <v>41</v>
      </c>
      <c r="B20" s="21">
        <v>5185</v>
      </c>
      <c r="C20" t="s">
        <v>146</v>
      </c>
      <c r="D20" s="11">
        <v>30106092800846</v>
      </c>
      <c r="E20" s="5">
        <v>20000</v>
      </c>
      <c r="F20" s="15" t="str">
        <f>CONCATENATE(I20,"-",J20,"-",K20,"-",L20)</f>
        <v>1139-8011-0313-5078</v>
      </c>
      <c r="G20" s="3" t="s">
        <v>154</v>
      </c>
      <c r="H20" t="s">
        <v>117</v>
      </c>
      <c r="I20" s="14" t="s">
        <v>80</v>
      </c>
      <c r="J20" s="14" t="s">
        <v>81</v>
      </c>
      <c r="K20" s="13" t="s">
        <v>4</v>
      </c>
      <c r="L20" s="13" t="s">
        <v>5</v>
      </c>
      <c r="N20" s="16">
        <f>LEN(G20)</f>
        <v>11</v>
      </c>
    </row>
    <row r="21" spans="1:14" x14ac:dyDescent="0.3">
      <c r="A21" s="12">
        <v>45</v>
      </c>
      <c r="B21" s="21">
        <v>5198</v>
      </c>
      <c r="C21" t="s">
        <v>148</v>
      </c>
      <c r="D21" s="11">
        <v>29902162701935</v>
      </c>
      <c r="E21" s="5">
        <v>15000</v>
      </c>
      <c r="F21" s="15" t="str">
        <f>CONCATENATE(I21,"-",J21,"-",K21,"-",L21)</f>
        <v>1417-6604-0313-5078</v>
      </c>
      <c r="G21" s="3" t="s">
        <v>156</v>
      </c>
      <c r="H21" t="s">
        <v>115</v>
      </c>
      <c r="I21" s="14" t="s">
        <v>87</v>
      </c>
      <c r="J21" s="14" t="s">
        <v>86</v>
      </c>
      <c r="K21" s="13" t="s">
        <v>4</v>
      </c>
      <c r="L21" s="13" t="s">
        <v>5</v>
      </c>
      <c r="N21" s="16">
        <f>LEN(G21)</f>
        <v>11</v>
      </c>
    </row>
    <row r="22" spans="1:14" x14ac:dyDescent="0.3">
      <c r="A22" s="12">
        <v>48</v>
      </c>
      <c r="B22" s="21">
        <v>5205</v>
      </c>
      <c r="C22" t="s">
        <v>157</v>
      </c>
      <c r="D22" s="11">
        <v>27008292701996</v>
      </c>
      <c r="E22" s="5">
        <v>20000</v>
      </c>
      <c r="F22" s="15" t="str">
        <f>CONCATENATE(I22,"-",J22,"-",K22,"-",L22)</f>
        <v>5573-7066-0313-5078</v>
      </c>
      <c r="G22" s="3" t="s">
        <v>162</v>
      </c>
      <c r="H22" t="s">
        <v>119</v>
      </c>
      <c r="I22" s="14" t="s">
        <v>89</v>
      </c>
      <c r="J22" s="14" t="s">
        <v>88</v>
      </c>
      <c r="K22" s="13" t="s">
        <v>4</v>
      </c>
      <c r="L22" s="13" t="s">
        <v>5</v>
      </c>
      <c r="N22" s="16">
        <f>LEN(G22)</f>
        <v>11</v>
      </c>
    </row>
    <row r="23" spans="1:14" x14ac:dyDescent="0.3">
      <c r="A23" s="12">
        <v>52</v>
      </c>
      <c r="B23" s="21">
        <v>5210</v>
      </c>
      <c r="C23" t="s">
        <v>158</v>
      </c>
      <c r="D23" s="11">
        <v>26904292700614</v>
      </c>
      <c r="E23" s="5">
        <v>15000</v>
      </c>
      <c r="F23" s="15" t="str">
        <f>CONCATENATE(I23,"-",J23,"-",K23,"-",L23)</f>
        <v>1273-0386-0313-5078</v>
      </c>
      <c r="G23" s="3" t="s">
        <v>163</v>
      </c>
      <c r="H23" t="s">
        <v>115</v>
      </c>
      <c r="I23" s="14" t="s">
        <v>94</v>
      </c>
      <c r="J23" s="14" t="s">
        <v>93</v>
      </c>
      <c r="K23" s="13" t="s">
        <v>4</v>
      </c>
      <c r="L23" s="13" t="s">
        <v>5</v>
      </c>
      <c r="N23" s="16">
        <f>LEN(G23)</f>
        <v>11</v>
      </c>
    </row>
    <row r="24" spans="1:14" x14ac:dyDescent="0.3">
      <c r="A24" s="12">
        <v>53</v>
      </c>
      <c r="B24" s="21">
        <v>5211</v>
      </c>
      <c r="C24" t="s">
        <v>159</v>
      </c>
      <c r="D24" s="11">
        <v>29107242700935</v>
      </c>
      <c r="E24" s="5">
        <v>20000</v>
      </c>
      <c r="F24" s="15" t="str">
        <f>CONCATENATE(I24,"-",J24,"-",K24,"-",L24)</f>
        <v>6663-9319-0313-5078</v>
      </c>
      <c r="G24" s="3" t="s">
        <v>164</v>
      </c>
      <c r="H24" t="s">
        <v>115</v>
      </c>
      <c r="I24" s="14" t="s">
        <v>96</v>
      </c>
      <c r="J24" s="14" t="s">
        <v>95</v>
      </c>
      <c r="K24" s="13" t="s">
        <v>4</v>
      </c>
      <c r="L24" s="13" t="s">
        <v>5</v>
      </c>
      <c r="N24" s="16">
        <f>LEN(G24)</f>
        <v>11</v>
      </c>
    </row>
    <row r="25" spans="1:14" x14ac:dyDescent="0.3">
      <c r="A25" s="12">
        <v>55</v>
      </c>
      <c r="B25" s="21">
        <v>5213</v>
      </c>
      <c r="C25" t="s">
        <v>161</v>
      </c>
      <c r="D25" s="11">
        <v>28906272702467</v>
      </c>
      <c r="E25" s="5">
        <v>20000</v>
      </c>
      <c r="F25" s="15" t="str">
        <f>CONCATENATE(I25,"-",J25,"-",K25,"-",L25)</f>
        <v>3862-1668-0313-5078</v>
      </c>
      <c r="G25" s="3" t="s">
        <v>130</v>
      </c>
      <c r="H25" t="s">
        <v>119</v>
      </c>
      <c r="I25" s="14" t="s">
        <v>100</v>
      </c>
      <c r="J25" s="14" t="s">
        <v>99</v>
      </c>
      <c r="K25" s="13" t="s">
        <v>4</v>
      </c>
      <c r="L25" s="13" t="s">
        <v>5</v>
      </c>
      <c r="N25" s="16">
        <f>LEN(G25)</f>
        <v>11</v>
      </c>
    </row>
    <row r="26" spans="1:14" x14ac:dyDescent="0.3">
      <c r="A26" s="12">
        <v>4</v>
      </c>
      <c r="B26" s="21">
        <v>2633</v>
      </c>
      <c r="C26" t="s">
        <v>102</v>
      </c>
      <c r="D26" s="11">
        <v>28203052700195</v>
      </c>
      <c r="E26" s="5">
        <v>20000</v>
      </c>
      <c r="F26" s="15" t="str">
        <f>CONCATENATE(I26,"-",J26,"-",K26,"-",L26)</f>
        <v>6461-6533-0313-5078</v>
      </c>
      <c r="G26" s="3" t="s">
        <v>109</v>
      </c>
      <c r="H26" t="s">
        <v>118</v>
      </c>
      <c r="I26" s="14" t="s">
        <v>24</v>
      </c>
      <c r="J26" s="14" t="s">
        <v>23</v>
      </c>
      <c r="K26" s="13" t="s">
        <v>4</v>
      </c>
      <c r="L26" s="13" t="s">
        <v>5</v>
      </c>
      <c r="N26" s="16">
        <f>LEN(G26)</f>
        <v>11</v>
      </c>
    </row>
    <row r="27" spans="1:14" x14ac:dyDescent="0.3">
      <c r="A27" s="12">
        <v>25</v>
      </c>
      <c r="B27" s="21">
        <v>5125</v>
      </c>
      <c r="C27" t="s">
        <v>125</v>
      </c>
      <c r="D27" s="11">
        <v>30009202703374</v>
      </c>
      <c r="E27" s="5">
        <v>15000</v>
      </c>
      <c r="F27" s="15" t="str">
        <f>CONCATENATE(I27,"-",J27,"-",K27,"-",L27)</f>
        <v>3954-8365-0313-5078</v>
      </c>
      <c r="G27" s="3" t="s">
        <v>135</v>
      </c>
      <c r="H27" t="s">
        <v>140</v>
      </c>
      <c r="I27" s="14" t="s">
        <v>55</v>
      </c>
      <c r="J27" s="14" t="s">
        <v>54</v>
      </c>
      <c r="K27" s="13" t="s">
        <v>4</v>
      </c>
      <c r="L27" s="13" t="s">
        <v>5</v>
      </c>
      <c r="N27" s="16">
        <f>LEN(G27)</f>
        <v>11</v>
      </c>
    </row>
    <row r="28" spans="1:14" x14ac:dyDescent="0.3">
      <c r="A28" s="12">
        <v>30</v>
      </c>
      <c r="B28" s="21">
        <v>5168</v>
      </c>
      <c r="C28" t="s">
        <v>129</v>
      </c>
      <c r="D28" s="11">
        <v>29003052700882</v>
      </c>
      <c r="E28" s="5">
        <v>20000</v>
      </c>
      <c r="F28" s="15" t="str">
        <f>CONCATENATE(I28,"-",J28,"-",K28,"-",L28)</f>
        <v>1977-1052-0313-5078</v>
      </c>
      <c r="G28" s="3" t="s">
        <v>139</v>
      </c>
      <c r="H28" t="s">
        <v>117</v>
      </c>
      <c r="I28" s="14" t="s">
        <v>64</v>
      </c>
      <c r="J28" s="14" t="s">
        <v>63</v>
      </c>
      <c r="K28" s="13" t="s">
        <v>4</v>
      </c>
      <c r="L28" s="13" t="s">
        <v>5</v>
      </c>
      <c r="N28" s="16">
        <f>LEN(G28)</f>
        <v>11</v>
      </c>
    </row>
    <row r="29" spans="1:14" x14ac:dyDescent="0.3">
      <c r="A29" s="12">
        <v>32</v>
      </c>
      <c r="B29" s="21">
        <v>5170</v>
      </c>
      <c r="C29" t="s">
        <v>141</v>
      </c>
      <c r="D29" s="11">
        <v>28408052701656</v>
      </c>
      <c r="E29" s="5">
        <v>20000</v>
      </c>
      <c r="F29" s="15" t="str">
        <f>CONCATENATE(I29,"-",J29,"-",K29,"-",L29)</f>
        <v>9308-8167-0313-5078</v>
      </c>
      <c r="G29" s="3" t="s">
        <v>149</v>
      </c>
      <c r="H29" t="s">
        <v>117</v>
      </c>
      <c r="I29" s="14" t="s">
        <v>67</v>
      </c>
      <c r="J29" s="14" t="s">
        <v>66</v>
      </c>
      <c r="K29" s="13" t="s">
        <v>4</v>
      </c>
      <c r="L29" s="13" t="s">
        <v>5</v>
      </c>
      <c r="N29" s="16">
        <f>LEN(G29)</f>
        <v>11</v>
      </c>
    </row>
    <row r="30" spans="1:14" x14ac:dyDescent="0.3">
      <c r="A30" s="12">
        <v>42</v>
      </c>
      <c r="B30" s="21">
        <v>5186</v>
      </c>
      <c r="C30" t="s">
        <v>147</v>
      </c>
      <c r="D30" s="11">
        <v>27106262701527</v>
      </c>
      <c r="E30" s="5">
        <v>15000</v>
      </c>
      <c r="F30" s="15" t="str">
        <f>CONCATENATE(I30,"-",J30,"-",K30,"-",L30)</f>
        <v>5651-9042-0313-5078</v>
      </c>
      <c r="G30" s="3" t="s">
        <v>155</v>
      </c>
      <c r="H30" t="s">
        <v>116</v>
      </c>
      <c r="I30" s="14" t="s">
        <v>82</v>
      </c>
      <c r="J30" s="14" t="s">
        <v>83</v>
      </c>
      <c r="K30" s="13" t="s">
        <v>4</v>
      </c>
      <c r="L30" s="13" t="s">
        <v>5</v>
      </c>
      <c r="N30" s="16">
        <f>LEN(G30)</f>
        <v>11</v>
      </c>
    </row>
    <row r="31" spans="1:14" x14ac:dyDescent="0.3">
      <c r="A31" s="12">
        <v>54</v>
      </c>
      <c r="B31" s="21">
        <v>5212</v>
      </c>
      <c r="C31" t="s">
        <v>160</v>
      </c>
      <c r="D31" s="11">
        <v>27012292701586</v>
      </c>
      <c r="E31" s="5">
        <v>15000</v>
      </c>
      <c r="F31" s="15" t="str">
        <f>CONCATENATE(I31,"-",J31,"-",K31,"-",L31)</f>
        <v>0934-2377-0313-5078</v>
      </c>
      <c r="G31" s="3" t="s">
        <v>165</v>
      </c>
      <c r="H31" t="s">
        <v>119</v>
      </c>
      <c r="I31" s="17" t="s">
        <v>98</v>
      </c>
      <c r="J31" s="17" t="s">
        <v>97</v>
      </c>
      <c r="K31" s="18" t="s">
        <v>4</v>
      </c>
      <c r="L31" s="18" t="s">
        <v>5</v>
      </c>
      <c r="M31" s="19"/>
      <c r="N31" s="20">
        <f>LEN(G31)</f>
        <v>11</v>
      </c>
    </row>
    <row r="32" spans="1:14" x14ac:dyDescent="0.3">
      <c r="A32" s="12"/>
      <c r="N32" s="16"/>
    </row>
    <row r="33" spans="1:14" x14ac:dyDescent="0.3">
      <c r="A33" s="12"/>
      <c r="N33" s="16"/>
    </row>
    <row r="34" spans="1:14" x14ac:dyDescent="0.3">
      <c r="A34" s="12"/>
      <c r="N34" s="16"/>
    </row>
    <row r="35" spans="1:14" x14ac:dyDescent="0.3">
      <c r="A35" s="12"/>
      <c r="N35" s="16"/>
    </row>
    <row r="36" spans="1:14" x14ac:dyDescent="0.3">
      <c r="A36" s="12"/>
      <c r="N36" s="16"/>
    </row>
    <row r="37" spans="1:14" x14ac:dyDescent="0.3">
      <c r="A37" s="12"/>
      <c r="N37" s="16"/>
    </row>
    <row r="38" spans="1:14" x14ac:dyDescent="0.3">
      <c r="A38" s="12"/>
    </row>
    <row r="39" spans="1:14" x14ac:dyDescent="0.3">
      <c r="A39" s="12"/>
      <c r="I39" s="14" t="s">
        <v>20</v>
      </c>
    </row>
    <row r="40" spans="1:14" x14ac:dyDescent="0.3">
      <c r="A40" s="12"/>
      <c r="I40" s="14" t="s">
        <v>15</v>
      </c>
    </row>
    <row r="41" spans="1:14" x14ac:dyDescent="0.3">
      <c r="A41" s="12"/>
      <c r="I41" s="14" t="s">
        <v>27</v>
      </c>
    </row>
    <row r="42" spans="1:14" x14ac:dyDescent="0.3">
      <c r="A42" s="12"/>
      <c r="I42" s="14" t="s">
        <v>32</v>
      </c>
    </row>
    <row r="43" spans="1:14" x14ac:dyDescent="0.3">
      <c r="A43" s="12"/>
      <c r="I43" s="14" t="s">
        <v>33</v>
      </c>
    </row>
    <row r="44" spans="1:14" x14ac:dyDescent="0.3">
      <c r="A44" s="12"/>
      <c r="I44" s="14" t="s">
        <v>34</v>
      </c>
    </row>
    <row r="45" spans="1:14" x14ac:dyDescent="0.3">
      <c r="A45" s="12"/>
      <c r="I45" s="14" t="s">
        <v>35</v>
      </c>
    </row>
    <row r="46" spans="1:14" x14ac:dyDescent="0.3">
      <c r="A46" s="12"/>
      <c r="I46" s="14" t="s">
        <v>40</v>
      </c>
    </row>
    <row r="47" spans="1:14" x14ac:dyDescent="0.3">
      <c r="A47" s="12"/>
      <c r="I47" s="14" t="s">
        <v>41</v>
      </c>
    </row>
    <row r="48" spans="1:14" x14ac:dyDescent="0.3">
      <c r="A48" s="12"/>
      <c r="I48" s="14" t="s">
        <v>44</v>
      </c>
    </row>
    <row r="49" spans="1:9" x14ac:dyDescent="0.3">
      <c r="A49" s="12"/>
      <c r="I49" s="14" t="s">
        <v>46</v>
      </c>
    </row>
    <row r="50" spans="1:9" x14ac:dyDescent="0.3">
      <c r="A50" s="12"/>
      <c r="I50" s="14" t="s">
        <v>53</v>
      </c>
    </row>
    <row r="51" spans="1:9" x14ac:dyDescent="0.3">
      <c r="A51" s="12"/>
      <c r="I51" s="14" t="s">
        <v>62</v>
      </c>
    </row>
    <row r="52" spans="1:9" x14ac:dyDescent="0.3">
      <c r="A52" s="12"/>
      <c r="I52" s="14" t="s">
        <v>65</v>
      </c>
    </row>
    <row r="53" spans="1:9" x14ac:dyDescent="0.3">
      <c r="A53" s="12"/>
      <c r="I53" s="14" t="s">
        <v>68</v>
      </c>
    </row>
    <row r="54" spans="1:9" x14ac:dyDescent="0.3">
      <c r="A54" s="12"/>
      <c r="I54" s="14" t="s">
        <v>69</v>
      </c>
    </row>
    <row r="55" spans="1:9" x14ac:dyDescent="0.3">
      <c r="I55" s="14" t="s">
        <v>72</v>
      </c>
    </row>
    <row r="56" spans="1:9" x14ac:dyDescent="0.3">
      <c r="I56" s="14" t="s">
        <v>77</v>
      </c>
    </row>
    <row r="57" spans="1:9" x14ac:dyDescent="0.3">
      <c r="I57" s="14" t="s">
        <v>84</v>
      </c>
    </row>
    <row r="58" spans="1:9" x14ac:dyDescent="0.3">
      <c r="I58" s="14" t="s">
        <v>85</v>
      </c>
    </row>
    <row r="59" spans="1:9" x14ac:dyDescent="0.3">
      <c r="I59" s="14" t="s">
        <v>17</v>
      </c>
    </row>
    <row r="60" spans="1:9" x14ac:dyDescent="0.3">
      <c r="I60" s="14" t="s">
        <v>18</v>
      </c>
    </row>
    <row r="61" spans="1:9" x14ac:dyDescent="0.3">
      <c r="I61" s="14" t="s">
        <v>90</v>
      </c>
    </row>
    <row r="62" spans="1:9" x14ac:dyDescent="0.3">
      <c r="I62" s="14" t="s">
        <v>91</v>
      </c>
    </row>
    <row r="63" spans="1:9" x14ac:dyDescent="0.3">
      <c r="I63" s="14" t="s">
        <v>92</v>
      </c>
    </row>
    <row r="64" spans="1:9" x14ac:dyDescent="0.3">
      <c r="I64" s="14" t="s">
        <v>166</v>
      </c>
    </row>
    <row r="65" spans="9:9" x14ac:dyDescent="0.3">
      <c r="I65" s="14" t="s">
        <v>167</v>
      </c>
    </row>
    <row r="66" spans="9:9" x14ac:dyDescent="0.3">
      <c r="I66" s="14" t="s">
        <v>168</v>
      </c>
    </row>
    <row r="67" spans="9:9" x14ac:dyDescent="0.3">
      <c r="I67" s="14" t="s">
        <v>169</v>
      </c>
    </row>
    <row r="68" spans="9:9" x14ac:dyDescent="0.3">
      <c r="I68" s="14" t="s">
        <v>170</v>
      </c>
    </row>
    <row r="69" spans="9:9" x14ac:dyDescent="0.3">
      <c r="I69" s="14" t="s">
        <v>171</v>
      </c>
    </row>
    <row r="70" spans="9:9" x14ac:dyDescent="0.3">
      <c r="I70" s="14" t="s">
        <v>172</v>
      </c>
    </row>
    <row r="71" spans="9:9" x14ac:dyDescent="0.3">
      <c r="I71" s="14" t="s">
        <v>173</v>
      </c>
    </row>
    <row r="72" spans="9:9" x14ac:dyDescent="0.3">
      <c r="I72" s="14" t="s">
        <v>174</v>
      </c>
    </row>
    <row r="73" spans="9:9" x14ac:dyDescent="0.3">
      <c r="I73" s="14" t="s">
        <v>175</v>
      </c>
    </row>
    <row r="74" spans="9:9" x14ac:dyDescent="0.3">
      <c r="I74" s="14" t="s">
        <v>176</v>
      </c>
    </row>
    <row r="75" spans="9:9" x14ac:dyDescent="0.3">
      <c r="I75" s="14" t="s">
        <v>177</v>
      </c>
    </row>
    <row r="76" spans="9:9" x14ac:dyDescent="0.3">
      <c r="I76" s="14" t="s">
        <v>178</v>
      </c>
    </row>
    <row r="77" spans="9:9" x14ac:dyDescent="0.3">
      <c r="I77" s="14" t="s">
        <v>179</v>
      </c>
    </row>
    <row r="78" spans="9:9" x14ac:dyDescent="0.3">
      <c r="I78" s="14" t="s">
        <v>180</v>
      </c>
    </row>
    <row r="79" spans="9:9" x14ac:dyDescent="0.3">
      <c r="I79" s="14" t="s">
        <v>181</v>
      </c>
    </row>
    <row r="80" spans="9:9" x14ac:dyDescent="0.3">
      <c r="I80" s="14" t="s">
        <v>182</v>
      </c>
    </row>
    <row r="81" spans="9:9" x14ac:dyDescent="0.3">
      <c r="I81" s="14" t="s">
        <v>183</v>
      </c>
    </row>
    <row r="82" spans="9:9" x14ac:dyDescent="0.3">
      <c r="I82" s="14" t="s">
        <v>184</v>
      </c>
    </row>
  </sheetData>
  <autoFilter ref="A1:O1">
    <sortState ref="A2:O56">
      <sortCondition sortBy="cellColor" ref="I1" dxfId="6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654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2023-05-25T11:49:35Z</dcterms:modified>
</cp:coreProperties>
</file>