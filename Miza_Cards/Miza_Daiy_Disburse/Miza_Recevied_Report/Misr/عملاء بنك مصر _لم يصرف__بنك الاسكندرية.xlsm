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3600" windowWidth="22260" windowHeight="12648"/>
  </bookViews>
  <sheets>
    <sheet name="Sheet1" sheetId="1" r:id="rId1"/>
  </sheets>
  <definedNames>
    <definedName name="_xlnm._FilterDatabase" localSheetId="0">Sheet1!$A$1:$O$1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7" i="1" l="1"/>
  <c r="N58" i="1"/>
  <c r="N59" i="1"/>
  <c r="N60" i="1"/>
  <c r="N61" i="1"/>
  <c r="N62" i="1"/>
  <c r="N63" i="1"/>
  <c r="P57" i="1" l="1"/>
  <c r="P58" i="1"/>
  <c r="P59" i="1"/>
  <c r="P60" i="1"/>
  <c r="P61" i="1"/>
  <c r="P62" i="1"/>
  <c r="P63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25" i="1" l="1"/>
  <c r="F26" i="1"/>
  <c r="F28" i="1"/>
  <c r="F31" i="1"/>
  <c r="F32" i="1"/>
  <c r="F33" i="1"/>
  <c r="F34" i="1"/>
  <c r="F35" i="1"/>
  <c r="F36" i="1"/>
  <c r="F37" i="1"/>
  <c r="F39" i="1"/>
  <c r="F40" i="1"/>
  <c r="F24" i="1"/>
  <c r="F30" i="1"/>
  <c r="F41" i="1"/>
  <c r="F42" i="1"/>
  <c r="F11" i="1"/>
  <c r="F12" i="1"/>
  <c r="F13" i="1"/>
  <c r="F17" i="1"/>
  <c r="F19" i="1"/>
  <c r="F7" i="1"/>
  <c r="F8" i="1"/>
  <c r="F9" i="1"/>
  <c r="F44" i="1"/>
  <c r="F45" i="1"/>
  <c r="F46" i="1"/>
  <c r="F47" i="1"/>
  <c r="F3" i="1"/>
  <c r="F4" i="1"/>
  <c r="F5" i="1"/>
  <c r="F48" i="1"/>
  <c r="F6" i="1"/>
  <c r="F49" i="1"/>
  <c r="F50" i="1"/>
  <c r="F51" i="1"/>
  <c r="F52" i="1"/>
  <c r="F53" i="1"/>
  <c r="F54" i="1"/>
  <c r="F55" i="1"/>
  <c r="F56" i="1"/>
  <c r="F10" i="1"/>
  <c r="F14" i="1"/>
  <c r="F15" i="1"/>
  <c r="F16" i="1"/>
  <c r="F18" i="1"/>
  <c r="F20" i="1"/>
  <c r="F22" i="1"/>
  <c r="F23" i="1"/>
  <c r="F27" i="1"/>
  <c r="F29" i="1"/>
  <c r="F38" i="1"/>
  <c r="F43" i="1"/>
  <c r="F2" i="1"/>
  <c r="F21" i="1"/>
  <c r="N5" i="1" l="1"/>
  <c r="N46" i="1"/>
  <c r="N8" i="1"/>
  <c r="N24" i="1"/>
  <c r="N50" i="1"/>
  <c r="N30" i="1"/>
  <c r="N3" i="1" l="1"/>
  <c r="N29" i="1"/>
  <c r="N7" i="1" l="1"/>
  <c r="N23" i="1"/>
  <c r="N49" i="1"/>
  <c r="N18" i="1"/>
  <c r="N35" i="1"/>
  <c r="N36" i="1"/>
  <c r="N40" i="1"/>
  <c r="N19" i="1"/>
  <c r="N31" i="1"/>
  <c r="N56" i="1"/>
  <c r="N28" i="1"/>
  <c r="N12" i="1"/>
  <c r="P49" i="1" l="1"/>
  <c r="P55" i="1"/>
  <c r="P7" i="1"/>
  <c r="P42" i="1"/>
  <c r="P34" i="1"/>
  <c r="P19" i="1"/>
  <c r="P2" i="1"/>
  <c r="P32" i="1"/>
  <c r="P56" i="1"/>
  <c r="P46" i="1"/>
  <c r="P17" i="1"/>
  <c r="P18" i="1"/>
  <c r="P3" i="1"/>
  <c r="P12" i="1"/>
  <c r="P30" i="1"/>
  <c r="P21" i="1"/>
  <c r="P4" i="1"/>
  <c r="P52" i="1"/>
  <c r="P54" i="1"/>
  <c r="P13" i="1"/>
  <c r="P50" i="1"/>
  <c r="P26" i="1"/>
  <c r="P8" i="1"/>
  <c r="P28" i="1"/>
  <c r="P41" i="1"/>
  <c r="P35" i="1"/>
  <c r="P47" i="1"/>
  <c r="P22" i="1"/>
  <c r="P38" i="1"/>
  <c r="P39" i="1"/>
  <c r="P27" i="1"/>
  <c r="P40" i="1"/>
  <c r="P9" i="1"/>
  <c r="P44" i="1"/>
  <c r="P45" i="1"/>
  <c r="P48" i="1"/>
  <c r="P10" i="1"/>
  <c r="P11" i="1"/>
  <c r="P14" i="1"/>
  <c r="P23" i="1"/>
  <c r="P6" i="1"/>
  <c r="P43" i="1"/>
  <c r="P5" i="1"/>
  <c r="P20" i="1"/>
  <c r="P24" i="1"/>
  <c r="P51" i="1"/>
  <c r="P36" i="1"/>
  <c r="P31" i="1"/>
  <c r="P53" i="1"/>
  <c r="P33" i="1"/>
  <c r="P29" i="1"/>
  <c r="P25" i="1"/>
  <c r="P15" i="1"/>
  <c r="P37" i="1"/>
  <c r="P16" i="1"/>
  <c r="N20" i="1"/>
  <c r="N43" i="1"/>
  <c r="N32" i="1"/>
  <c r="N55" i="1"/>
  <c r="N48" i="1"/>
  <c r="N11" i="1"/>
  <c r="N21" i="1"/>
  <c r="N4" i="1"/>
  <c r="N2" i="1"/>
  <c r="N15" i="1"/>
  <c r="N41" i="1"/>
  <c r="N42" i="1"/>
  <c r="N25" i="1"/>
  <c r="N37" i="1"/>
  <c r="N47" i="1"/>
  <c r="N13" i="1"/>
  <c r="N26" i="1"/>
  <c r="N27" i="1"/>
  <c r="N38" i="1"/>
  <c r="N39" i="1"/>
  <c r="N22" i="1"/>
  <c r="N9" i="1"/>
  <c r="N33" i="1"/>
  <c r="N45" i="1"/>
  <c r="N54" i="1"/>
  <c r="N6" i="1"/>
  <c r="N16" i="1"/>
  <c r="N17" i="1"/>
  <c r="N51" i="1"/>
  <c r="N52" i="1"/>
  <c r="N44" i="1"/>
  <c r="N53" i="1"/>
  <c r="N34" i="1"/>
  <c r="N10" i="1"/>
  <c r="N14" i="1"/>
</calcChain>
</file>

<file path=xl/sharedStrings.xml><?xml version="1.0" encoding="utf-8"?>
<sst xmlns="http://schemas.openxmlformats.org/spreadsheetml/2006/main" count="504" uniqueCount="208">
  <si>
    <t>اسم العميل</t>
  </si>
  <si>
    <t xml:space="preserve">رقم كارت ميزه </t>
  </si>
  <si>
    <t xml:space="preserve">الرقم القومي </t>
  </si>
  <si>
    <t>رقم الموبايل</t>
  </si>
  <si>
    <t>5078</t>
  </si>
  <si>
    <t>م</t>
  </si>
  <si>
    <t>الاخصائي</t>
  </si>
  <si>
    <t>كود العميل</t>
  </si>
  <si>
    <t>خانه1</t>
  </si>
  <si>
    <t>خانه2</t>
  </si>
  <si>
    <t>خانه3</t>
  </si>
  <si>
    <t>خانه4</t>
  </si>
  <si>
    <t>رقم المحمول</t>
  </si>
  <si>
    <t>مبلغ القرض</t>
  </si>
  <si>
    <t>التمويل</t>
  </si>
  <si>
    <t>فوزي نعيم اسكندر تاوضروس</t>
  </si>
  <si>
    <t>سناء احمد مصطفي عامر</t>
  </si>
  <si>
    <t>عبدالنبي محمد عرابي احمد</t>
  </si>
  <si>
    <t>وائل اميل عطا بضابا</t>
  </si>
  <si>
    <t>رزيقي فرج الله فرج طانيوس</t>
  </si>
  <si>
    <t>بسمه عبدالحفيظ سليم احمد</t>
  </si>
  <si>
    <t>اشرف حسن حمدالله احمد</t>
  </si>
  <si>
    <t>احمد صابر فهيم حسين</t>
  </si>
  <si>
    <t>حنان عبدالنعيم صالح عيسي</t>
  </si>
  <si>
    <t>ريمون روماني زاهر شنوده</t>
  </si>
  <si>
    <t>جرجس فكتر جاد مقار</t>
  </si>
  <si>
    <t>ريمون فتحي وليم امين</t>
  </si>
  <si>
    <t>هيام عاطف عبدالحميد احمد علي</t>
  </si>
  <si>
    <t>هاله عطيه امير عثمان</t>
  </si>
  <si>
    <t>سامح ادور صبري زكري</t>
  </si>
  <si>
    <t>٠١١١٥٦٠٥٠٥١</t>
  </si>
  <si>
    <t>٠١٢٢٦٢٣٧٢٤٥</t>
  </si>
  <si>
    <t>٠١١١٢٩٨٨٢٣٠</t>
  </si>
  <si>
    <t>٠١٢٢٤٤٣٧٠٢٢</t>
  </si>
  <si>
    <t>٠١٢٢١٦٢٤١١٨</t>
  </si>
  <si>
    <t>٠١٢٨١٨٣٨٩٠٣</t>
  </si>
  <si>
    <t>٠١١٢٥١٢٦٣٠٩</t>
  </si>
  <si>
    <t>٠١٠١٨٠٨١٧٧٦</t>
  </si>
  <si>
    <t>٠١٢٠٨٩١٥٩٤٨</t>
  </si>
  <si>
    <t>٠١٢٢١٣٧٨٥٢٣</t>
  </si>
  <si>
    <t>٠١٢٢٤١١٤٠٧٩</t>
  </si>
  <si>
    <t>٠١٠٩٩٧٦٧٢٠٣</t>
  </si>
  <si>
    <t>٠١٠٦١٦٣٨٧٤٤</t>
  </si>
  <si>
    <t>اميل رفعت</t>
  </si>
  <si>
    <t>هدرا وحيد</t>
  </si>
  <si>
    <t>ابانوب عاطف</t>
  </si>
  <si>
    <t>نصحى مقار</t>
  </si>
  <si>
    <t>ابانوب سعيد</t>
  </si>
  <si>
    <t>وفاء عبدالموجود محمد جادالكريم</t>
  </si>
  <si>
    <t>سامح اسكندر فندي صدراك</t>
  </si>
  <si>
    <t>مارينا يوسف رسمي حكيم</t>
  </si>
  <si>
    <t>حسين عبد الفتاح ابراهيم ابوهريره</t>
  </si>
  <si>
    <t>رزيقي هاني فتحي يعقوب</t>
  </si>
  <si>
    <t>محمد عبدالرازق عبدالشافي علي</t>
  </si>
  <si>
    <t>سعدات احمد حسن عبدالجليل</t>
  </si>
  <si>
    <t>نافع نور صليب عطيه</t>
  </si>
  <si>
    <t>محمد زكي احمد عبدالرحيم</t>
  </si>
  <si>
    <t>اسلام خليفه علام محمد</t>
  </si>
  <si>
    <t>محمد عبدالعاطي عبدالحكيم اسماعيل</t>
  </si>
  <si>
    <t>ناهد عبدالراضي امير محمد</t>
  </si>
  <si>
    <t>احمد شحاته محمد ابراهيم</t>
  </si>
  <si>
    <t>ممدوح ماضي محمد المهدي</t>
  </si>
  <si>
    <t>امل محمود سلامه يوسف</t>
  </si>
  <si>
    <t>كريم الكسان نعيم ابراهيم</t>
  </si>
  <si>
    <t>٠١٠٦٨٦٢٨١٧٧</t>
  </si>
  <si>
    <t>٠١١١٥٧٤٥٤٠٦</t>
  </si>
  <si>
    <t>٠١٢٧٦٦٢١٢٢٨</t>
  </si>
  <si>
    <t>٠١٠٠٨٧٢٥٤١٢</t>
  </si>
  <si>
    <t>٠١٥٥٥٠٩٧٠٥٨</t>
  </si>
  <si>
    <t>٠١٢٨٨٣٩٩٩٤٣</t>
  </si>
  <si>
    <t>٠١٠١٥٦١٧٢٦١</t>
  </si>
  <si>
    <t>٠١٠٠٨٨٩٢٥٦٣</t>
  </si>
  <si>
    <t>٠١٠٦٠٤٢٩٠٩٢</t>
  </si>
  <si>
    <t>٠١٠٩٤٠٧٤٤٩١</t>
  </si>
  <si>
    <t>٠١٠٦٠٤٨٠٥٣٧</t>
  </si>
  <si>
    <t>٠١٠٠٥٨٢٣٥٢٦</t>
  </si>
  <si>
    <t>٠١٠١٧٥٦٦٣٨٩</t>
  </si>
  <si>
    <t>٠١٠٦١٤٣٤١٨٩</t>
  </si>
  <si>
    <t>٠١٠١٣٧٣٩١٣٨</t>
  </si>
  <si>
    <t>٠١٢٨٥٩٥٥٣١٧</t>
  </si>
  <si>
    <t>كيرلس عاطف</t>
  </si>
  <si>
    <t>حسانين حسين حسانين قسم الله</t>
  </si>
  <si>
    <t>رفاعي عباس علي سليم</t>
  </si>
  <si>
    <t>حسنيه ابوالعلا سليم ابوالعلا</t>
  </si>
  <si>
    <t>حماده السيد محمود علي</t>
  </si>
  <si>
    <t>عبدالحميد محمد عامر محمد</t>
  </si>
  <si>
    <t>عادل عبدالله مسعود عبدالله</t>
  </si>
  <si>
    <t>مكاريوس عبدالمسيح زكي عجايبي</t>
  </si>
  <si>
    <t>زهره عبدالمعز لبيب الطاهر</t>
  </si>
  <si>
    <t>علاء حداد حداد حسين</t>
  </si>
  <si>
    <t>بسمه نبيل ابوالحمد صغير</t>
  </si>
  <si>
    <t>امال رجب تمام سيد</t>
  </si>
  <si>
    <t>شيماء احمد سيد مصطفي</t>
  </si>
  <si>
    <t>سامي ياسر حلمي فهمي</t>
  </si>
  <si>
    <t>اسلام ناجح فؤاد فهيم</t>
  </si>
  <si>
    <t>كريمه احمد كمال محمد محمد</t>
  </si>
  <si>
    <t>منال محمودالناجي محمد حميد</t>
  </si>
  <si>
    <t>٠١٠٩١٣٠٢٤٩١</t>
  </si>
  <si>
    <t>٠١٠٦١٨٠٩٨٧٥</t>
  </si>
  <si>
    <t>٠١٠٩٢٦٧٦٢٧٠</t>
  </si>
  <si>
    <t>٠١١١٣١٦١٢٨١</t>
  </si>
  <si>
    <t>٠١٠٠٥٣٦٩٨٦٨</t>
  </si>
  <si>
    <t>٠١٢٧٦١٦٣٣٧٥</t>
  </si>
  <si>
    <t>٠١٢٨٥٩٩٠٧٧٦</t>
  </si>
  <si>
    <t>٠١٥٥٨٦١٠٢٥٠</t>
  </si>
  <si>
    <t>٠١١٢١٦٠٣٣٩٠</t>
  </si>
  <si>
    <t>٠١٠٣٢٠٧٠٥٩٧</t>
  </si>
  <si>
    <t>٠١١٤٧٨٧٣٥٤٢</t>
  </si>
  <si>
    <t>٠١١١٦٧٤٢٠١٠</t>
  </si>
  <si>
    <t>٠١١٥١٢٦٨٣٢٢</t>
  </si>
  <si>
    <t>٠١١٢٤٧٠٤٨٧٥</t>
  </si>
  <si>
    <t>٠١١٥٠٣٧٦٨٧٠</t>
  </si>
  <si>
    <t>٠١١٢٠٩٤٩٦٢٢</t>
  </si>
  <si>
    <t>بركات شكري علي سليمان</t>
  </si>
  <si>
    <t>محمود محمد مياس عمر</t>
  </si>
  <si>
    <t>حسن ابوالمجد علي سالم</t>
  </si>
  <si>
    <t>محمد محمود طايع صادق</t>
  </si>
  <si>
    <t>حبيب عبدالسيد طوني بشاي</t>
  </si>
  <si>
    <t>عفت حبيب عبدالسيد طومي</t>
  </si>
  <si>
    <t>مبروكه سعدالدين حامد محمد</t>
  </si>
  <si>
    <t>فيفي فاروق زكي عيسي</t>
  </si>
  <si>
    <t>٠١٠١١٣٩٤٣٢٤</t>
  </si>
  <si>
    <t>٠١٠٢٨٨٦٧٩٢١</t>
  </si>
  <si>
    <t>٠١١١٥٣٢٢٣٩٠</t>
  </si>
  <si>
    <t>٠١٠٩٥٨٤٨٤٢٨</t>
  </si>
  <si>
    <t>٠١٢٨١٠٧٨٠٤٣</t>
  </si>
  <si>
    <t>٠١٠٠٨٦٧٨٧٠٦</t>
  </si>
  <si>
    <t>0320</t>
  </si>
  <si>
    <t>0877</t>
  </si>
  <si>
    <t>3458</t>
  </si>
  <si>
    <t>3334</t>
  </si>
  <si>
    <t>3136</t>
  </si>
  <si>
    <t>3482</t>
  </si>
  <si>
    <t>3516</t>
  </si>
  <si>
    <t>3540</t>
  </si>
  <si>
    <t>3300</t>
  </si>
  <si>
    <t>3243</t>
  </si>
  <si>
    <t>3557</t>
  </si>
  <si>
    <t>3367</t>
  </si>
  <si>
    <t>3425</t>
  </si>
  <si>
    <t>3128</t>
  </si>
  <si>
    <t>3391</t>
  </si>
  <si>
    <t>3383</t>
  </si>
  <si>
    <t>3441</t>
  </si>
  <si>
    <t>3474</t>
  </si>
  <si>
    <t>3508</t>
  </si>
  <si>
    <t>3532</t>
  </si>
  <si>
    <t>3565</t>
  </si>
  <si>
    <t>3094</t>
  </si>
  <si>
    <t>3433</t>
  </si>
  <si>
    <t>3193</t>
  </si>
  <si>
    <t>3102</t>
  </si>
  <si>
    <t>3466</t>
  </si>
  <si>
    <t>3490</t>
  </si>
  <si>
    <t>3375</t>
  </si>
  <si>
    <t>3342</t>
  </si>
  <si>
    <t>3409</t>
  </si>
  <si>
    <t>3169</t>
  </si>
  <si>
    <t>3284</t>
  </si>
  <si>
    <t>3227</t>
  </si>
  <si>
    <t>3250</t>
  </si>
  <si>
    <t>3318</t>
  </si>
  <si>
    <t>3326</t>
  </si>
  <si>
    <t>3359</t>
  </si>
  <si>
    <t>3219</t>
  </si>
  <si>
    <t>3185</t>
  </si>
  <si>
    <t>3151</t>
  </si>
  <si>
    <t>3524</t>
  </si>
  <si>
    <t>3086</t>
  </si>
  <si>
    <t>3110</t>
  </si>
  <si>
    <t>3144</t>
  </si>
  <si>
    <t>3201</t>
  </si>
  <si>
    <t>3417</t>
  </si>
  <si>
    <t>3235</t>
  </si>
  <si>
    <t>3268</t>
  </si>
  <si>
    <t>3292</t>
  </si>
  <si>
    <t>01066866470</t>
  </si>
  <si>
    <t>01274728462</t>
  </si>
  <si>
    <t>01228145616</t>
  </si>
  <si>
    <t>01006524122</t>
  </si>
  <si>
    <t>3177</t>
  </si>
  <si>
    <t>ايدي في ايدك</t>
  </si>
  <si>
    <t>البنك الاهلي</t>
  </si>
  <si>
    <t>مؤجلين</t>
  </si>
  <si>
    <t>الكارت</t>
  </si>
  <si>
    <t>لجنة _2</t>
  </si>
  <si>
    <t>مريم عبدالله عبدالشهيد رزق الله</t>
  </si>
  <si>
    <t>3078</t>
  </si>
  <si>
    <t>جميل حنا شرقاوي حنا</t>
  </si>
  <si>
    <t>وفاء ابوالمجد عزام حمدان</t>
  </si>
  <si>
    <t>محمد جمال محمد حسان</t>
  </si>
  <si>
    <t>ولاء جمال الدين علي ابوالدهب</t>
  </si>
  <si>
    <t>ممدوح سعيد عجايبي شنوده</t>
  </si>
  <si>
    <t>ضحي عبدالوهاب ابوالوفا محمد</t>
  </si>
  <si>
    <t>٠١٢٢١٨٤٤١٥٩</t>
  </si>
  <si>
    <t>٠١٠٦٨٤٥٥٦٢٢</t>
  </si>
  <si>
    <t>٠١٢٧٣١٥٨٥٧٩</t>
  </si>
  <si>
    <t>٠١٠٢١٦٨٦٨٨٨</t>
  </si>
  <si>
    <t>٠١١٥٢٨٣٣٧٩٤</t>
  </si>
  <si>
    <t>٠١٢٨٢٢٣٤٦٦٥</t>
  </si>
  <si>
    <t>٠١٠٦٩٥٦٥١٥٠</t>
  </si>
  <si>
    <t>لجنة _3</t>
  </si>
  <si>
    <t>2278</t>
  </si>
  <si>
    <t>3961</t>
  </si>
  <si>
    <t>2872</t>
  </si>
  <si>
    <t>3953</t>
  </si>
  <si>
    <t>2864</t>
  </si>
  <si>
    <t>2898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</si>
</sst>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Border="1"/>
    <xf numFmtId="49" fontId="0" fillId="0" borderId="0" xfId="0" applyNumberFormat="1" applyBorder="1" applyAlignment="1">
      <alignment readingOrder="1"/>
    </xf>
    <xf numFmtId="49" fontId="0" fillId="0" borderId="0" xfId="0" applyNumberFormat="1" applyAlignment="1">
      <alignment readingOrder="1"/>
    </xf>
    <xf numFmtId="1" fontId="0" fillId="0" borderId="0" xfId="0" applyNumberFormat="1" applyBorder="1" applyAlignment="1">
      <alignment readingOrder="2"/>
    </xf>
    <xf numFmtId="1" fontId="0" fillId="0" borderId="0" xfId="0" applyNumberFormat="1" applyAlignment="1">
      <alignment readingOrder="2"/>
    </xf>
    <xf numFmtId="0" fontId="0" fillId="0" borderId="0" xfId="0" applyAlignment="1">
      <alignment readingOrder="2"/>
    </xf>
    <xf numFmtId="1" fontId="0" fillId="0" borderId="0" xfId="0" applyNumberFormat="1" applyBorder="1" applyAlignment="1"/>
    <xf numFmtId="1" fontId="0" fillId="0" borderId="0" xfId="0" applyNumberFormat="1" applyAlignment="1"/>
    <xf numFmtId="0" fontId="0" fillId="0" borderId="0" xfId="0" applyAlignment="1">
      <alignment readingOrder="1"/>
    </xf>
    <xf numFmtId="1" fontId="0" fillId="0" borderId="0" xfId="0" applyNumberFormat="1" applyBorder="1" applyAlignment="1">
      <alignment readingOrder="1"/>
    </xf>
    <xf numFmtId="1" fontId="0" fillId="0" borderId="0" xfId="0" applyNumberFormat="1" applyAlignment="1">
      <alignment readingOrder="1"/>
    </xf>
    <xf numFmtId="0" fontId="0" fillId="0" borderId="0" xfId="0" applyFill="1" applyBorder="1"/>
    <xf numFmtId="49" fontId="0" fillId="0" borderId="0" xfId="0" applyNumberFormat="1" applyFont="1" applyAlignment="1">
      <alignment horizontal="left" readingOrder="1"/>
    </xf>
    <xf numFmtId="49" fontId="0" fillId="0" borderId="0" xfId="0" applyNumberFormat="1" applyFont="1" applyAlignment="1">
      <alignment readingOrder="1"/>
    </xf>
    <xf numFmtId="1" fontId="0" fillId="0" borderId="0" xfId="0" applyNumberFormat="1" applyFill="1" applyAlignment="1"/>
    <xf numFmtId="0" fontId="0" fillId="0" borderId="0" xfId="0" applyFill="1" applyAlignment="1">
      <alignment readingOrder="1"/>
    </xf>
    <xf numFmtId="164" fontId="0" fillId="0" borderId="0" xfId="0" applyNumberFormat="1"/>
    <xf numFmtId="49" fontId="0" fillId="0" borderId="0" xfId="0" applyNumberFormat="1" applyFont="1" applyFill="1" applyAlignment="1">
      <alignment readingOrder="1"/>
    </xf>
    <xf numFmtId="49" fontId="0" fillId="0" borderId="0" xfId="0" applyNumberFormat="1" applyFont="1" applyFill="1" applyAlignment="1">
      <alignment horizontal="left" readingOrder="1"/>
    </xf>
    <xf numFmtId="0" fontId="0" fillId="0" borderId="0" xfId="0" applyFill="1" applyAlignment="1">
      <alignment readingOrder="2"/>
    </xf>
    <xf numFmtId="164" fontId="0" fillId="0" borderId="0" xfId="0" applyNumberFormat="1" applyFill="1"/>
    <xf numFmtId="0" fontId="0" fillId="0" borderId="0" xfId="0" applyFill="1"/>
    <xf numFmtId="164" fontId="0" fillId="0" borderId="0" xfId="0" applyNumberFormat="1" applyAlignment="1">
      <alignment wrapText="1"/>
    </xf>
  </cellXfs>
  <cellStyles count="1">
    <cellStyle name="Normal" xfId="0" builtinId="0"/>
  </cellStyles>
  <dxfs count="5">
    <dxf>
      <fill>
        <patternFill>
          <bgColor theme="7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 patternType="solid">
          <fgColor rgb="FF92D05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00"/>
  <sheetViews>
    <sheetView rightToLeft="1" tabSelected="1" topLeftCell="A42" zoomScale="115" zoomScaleNormal="115" workbookViewId="0">
      <selection activeCell="E64" sqref="E64"/>
    </sheetView>
  </sheetViews>
  <sheetFormatPr defaultRowHeight="14.4" x14ac:dyDescent="0.3"/>
  <cols>
    <col min="1" max="1" width="4.109375" bestFit="1" customWidth="1"/>
    <col min="2" max="2" width="10.5546875" bestFit="1" customWidth="1"/>
    <col min="3" max="3" width="27.6640625" bestFit="1" customWidth="1"/>
    <col min="4" max="4" width="18.33203125" style="11" customWidth="1"/>
    <col min="5" max="5" width="15.6640625" style="5" bestFit="1" customWidth="1"/>
    <col min="6" max="6" width="26" customWidth="1"/>
    <col min="7" max="7" width="15.33203125" style="3" customWidth="1"/>
    <col min="8" max="8" width="13.33203125" customWidth="1"/>
    <col min="9" max="10" width="7.33203125" style="14" customWidth="1"/>
    <col min="11" max="12" width="7.33203125" style="13" customWidth="1"/>
    <col min="13" max="13" width="4.88671875" style="6" customWidth="1"/>
    <col min="14" max="14" width="9.5546875" style="9" customWidth="1"/>
    <col min="15" max="15" width="15.109375" customWidth="1"/>
    <col min="16" max="16" width="21.109375" style="8" bestFit="1" customWidth="1"/>
  </cols>
  <sheetData>
    <row r="1" spans="1:16" x14ac:dyDescent="0.3">
      <c r="A1" s="1" t="s">
        <v>5</v>
      </c>
      <c r="B1" s="1" t="s">
        <v>7</v>
      </c>
      <c r="C1" s="1" t="s">
        <v>0</v>
      </c>
      <c r="D1" s="10" t="s">
        <v>2</v>
      </c>
      <c r="E1" s="4" t="s">
        <v>13</v>
      </c>
      <c r="F1" s="22" t="s">
        <v>184</v>
      </c>
      <c r="G1" s="2" t="s">
        <v>3</v>
      </c>
      <c r="H1" t="s">
        <v>6</v>
      </c>
      <c r="I1" s="14" t="s">
        <v>11</v>
      </c>
      <c r="J1" s="14" t="s">
        <v>10</v>
      </c>
      <c r="K1" s="13" t="s">
        <v>9</v>
      </c>
      <c r="L1" s="13" t="s">
        <v>8</v>
      </c>
      <c r="N1" s="9" t="s">
        <v>12</v>
      </c>
      <c r="O1" t="s">
        <v>14</v>
      </c>
      <c r="P1" s="7" t="s">
        <v>1</v>
      </c>
    </row>
    <row r="2" spans="1:16" x14ac:dyDescent="0.3">
      <c r="A2" s="12">
        <v>38</v>
      </c>
      <c r="B2" s="21">
        <v>3372</v>
      </c>
      <c r="C2" t="s">
        <v>23</v>
      </c>
      <c r="D2" s="11">
        <v>28412012700522</v>
      </c>
      <c r="E2" s="5">
        <v>20000</v>
      </c>
      <c r="F2" t="str">
        <f t="shared" ref="F2:F33" si="0">CONCATENATE(L2,K2,J2,I2)</f>
        <v>5078032008773136</v>
      </c>
      <c r="G2" s="3" t="s">
        <v>176</v>
      </c>
      <c r="H2" t="s">
        <v>47</v>
      </c>
      <c r="I2" s="14" t="s">
        <v>131</v>
      </c>
      <c r="J2" s="14" t="s">
        <v>128</v>
      </c>
      <c r="K2" s="13" t="s">
        <v>127</v>
      </c>
      <c r="L2" s="13" t="s">
        <v>4</v>
      </c>
      <c r="N2" s="16">
        <f t="shared" ref="N2:N33" si="1">LEN(G2)</f>
        <v>11</v>
      </c>
      <c r="O2" t="s">
        <v>182</v>
      </c>
      <c r="P2" s="15" t="str">
        <f t="shared" ref="P2:P33" si="2">CONCATENATE(I2,"-",J2,"-",K2,"-",L2)</f>
        <v>3136-0877-0320-5078</v>
      </c>
    </row>
    <row r="3" spans="1:16" x14ac:dyDescent="0.3">
      <c r="A3" s="12">
        <v>43</v>
      </c>
      <c r="B3" s="21">
        <v>5205</v>
      </c>
      <c r="C3" t="s">
        <v>113</v>
      </c>
      <c r="D3" s="11">
        <v>27008292701996</v>
      </c>
      <c r="E3" s="5">
        <v>20000</v>
      </c>
      <c r="F3" t="str">
        <f t="shared" si="0"/>
        <v>5078032008773441</v>
      </c>
      <c r="G3" s="3" t="s">
        <v>179</v>
      </c>
      <c r="H3" t="s">
        <v>47</v>
      </c>
      <c r="I3" s="14" t="s">
        <v>143</v>
      </c>
      <c r="J3" s="14" t="s">
        <v>128</v>
      </c>
      <c r="K3" s="13" t="s">
        <v>127</v>
      </c>
      <c r="L3" s="13" t="s">
        <v>4</v>
      </c>
      <c r="N3" s="16">
        <f t="shared" si="1"/>
        <v>11</v>
      </c>
      <c r="O3" t="s">
        <v>185</v>
      </c>
      <c r="P3" s="15" t="str">
        <f t="shared" si="2"/>
        <v>3441-0877-0320-5078</v>
      </c>
    </row>
    <row r="4" spans="1:16" x14ac:dyDescent="0.3">
      <c r="A4" s="12">
        <v>44</v>
      </c>
      <c r="B4" s="21">
        <v>3204</v>
      </c>
      <c r="C4" t="s">
        <v>22</v>
      </c>
      <c r="D4" s="11">
        <v>28501162705878</v>
      </c>
      <c r="E4" s="5">
        <v>50000</v>
      </c>
      <c r="F4" t="str">
        <f t="shared" si="0"/>
        <v>5078032008773334</v>
      </c>
      <c r="G4" s="3" t="s">
        <v>37</v>
      </c>
      <c r="H4" t="s">
        <v>45</v>
      </c>
      <c r="I4" s="14" t="s">
        <v>130</v>
      </c>
      <c r="J4" s="14" t="s">
        <v>128</v>
      </c>
      <c r="K4" s="13" t="s">
        <v>127</v>
      </c>
      <c r="L4" s="13" t="s">
        <v>4</v>
      </c>
      <c r="N4" s="16">
        <f t="shared" si="1"/>
        <v>11</v>
      </c>
      <c r="O4" t="s">
        <v>185</v>
      </c>
      <c r="P4" s="15" t="str">
        <f t="shared" si="2"/>
        <v>3334-0877-0320-5078</v>
      </c>
    </row>
    <row r="5" spans="1:16" x14ac:dyDescent="0.3">
      <c r="A5" s="12">
        <v>45</v>
      </c>
      <c r="B5" s="21">
        <v>5207</v>
      </c>
      <c r="C5" t="s">
        <v>115</v>
      </c>
      <c r="D5" s="11">
        <v>27505202700736</v>
      </c>
      <c r="E5" s="5">
        <v>20000</v>
      </c>
      <c r="F5" t="str">
        <f t="shared" si="0"/>
        <v>5078032008773557</v>
      </c>
      <c r="G5" s="3" t="s">
        <v>122</v>
      </c>
      <c r="H5" t="s">
        <v>80</v>
      </c>
      <c r="I5" s="14" t="s">
        <v>137</v>
      </c>
      <c r="J5" s="14" t="s">
        <v>128</v>
      </c>
      <c r="K5" s="13" t="s">
        <v>127</v>
      </c>
      <c r="L5" s="13" t="s">
        <v>4</v>
      </c>
      <c r="N5" s="16">
        <f t="shared" si="1"/>
        <v>11</v>
      </c>
      <c r="O5" t="s">
        <v>185</v>
      </c>
      <c r="P5" s="15" t="str">
        <f t="shared" si="2"/>
        <v>3557-0877-0320-5078</v>
      </c>
    </row>
    <row r="6" spans="1:16" x14ac:dyDescent="0.3">
      <c r="A6" s="12">
        <v>47</v>
      </c>
      <c r="B6" s="21">
        <v>5127</v>
      </c>
      <c r="C6" t="s">
        <v>58</v>
      </c>
      <c r="D6" s="11">
        <v>29305192702059</v>
      </c>
      <c r="E6" s="5">
        <v>15000</v>
      </c>
      <c r="F6" t="str">
        <f t="shared" si="0"/>
        <v>5078032008773342</v>
      </c>
      <c r="G6" s="3" t="s">
        <v>74</v>
      </c>
      <c r="H6" t="s">
        <v>44</v>
      </c>
      <c r="I6" s="14" t="s">
        <v>155</v>
      </c>
      <c r="J6" s="14" t="s">
        <v>128</v>
      </c>
      <c r="K6" s="13" t="s">
        <v>127</v>
      </c>
      <c r="L6" s="13" t="s">
        <v>4</v>
      </c>
      <c r="N6" s="16">
        <f t="shared" si="1"/>
        <v>11</v>
      </c>
      <c r="O6" t="s">
        <v>185</v>
      </c>
      <c r="P6" s="15" t="str">
        <f t="shared" si="2"/>
        <v>3342-0877-0320-5078</v>
      </c>
    </row>
    <row r="7" spans="1:16" x14ac:dyDescent="0.3">
      <c r="A7" s="12">
        <v>1</v>
      </c>
      <c r="B7" s="21">
        <v>5198</v>
      </c>
      <c r="C7" t="s">
        <v>94</v>
      </c>
      <c r="D7" s="11">
        <v>29902162701935</v>
      </c>
      <c r="E7" s="5">
        <v>15000</v>
      </c>
      <c r="F7" t="str">
        <f t="shared" si="0"/>
        <v>5078032008773201</v>
      </c>
      <c r="G7" s="3" t="s">
        <v>110</v>
      </c>
      <c r="H7" t="s">
        <v>43</v>
      </c>
      <c r="I7" s="14" t="s">
        <v>171</v>
      </c>
      <c r="J7" s="14" t="s">
        <v>128</v>
      </c>
      <c r="K7" s="13" t="s">
        <v>127</v>
      </c>
      <c r="L7" s="13" t="s">
        <v>4</v>
      </c>
      <c r="N7" s="16">
        <f t="shared" si="1"/>
        <v>11</v>
      </c>
      <c r="O7" t="s">
        <v>181</v>
      </c>
      <c r="P7" s="15" t="str">
        <f t="shared" si="2"/>
        <v>3201-0877-0320-5078</v>
      </c>
    </row>
    <row r="8" spans="1:16" x14ac:dyDescent="0.3">
      <c r="A8" s="12">
        <v>2</v>
      </c>
      <c r="B8" s="21">
        <v>5210</v>
      </c>
      <c r="C8" t="s">
        <v>117</v>
      </c>
      <c r="D8" s="11">
        <v>26904292700614</v>
      </c>
      <c r="E8" s="5">
        <v>15000</v>
      </c>
      <c r="F8" t="str">
        <f t="shared" si="0"/>
        <v>5078032008773110</v>
      </c>
      <c r="G8" s="3" t="s">
        <v>124</v>
      </c>
      <c r="H8" t="s">
        <v>43</v>
      </c>
      <c r="I8" s="14" t="s">
        <v>169</v>
      </c>
      <c r="J8" s="14" t="s">
        <v>128</v>
      </c>
      <c r="K8" s="13" t="s">
        <v>127</v>
      </c>
      <c r="L8" s="13" t="s">
        <v>4</v>
      </c>
      <c r="N8" s="16">
        <f t="shared" si="1"/>
        <v>11</v>
      </c>
      <c r="O8" t="s">
        <v>181</v>
      </c>
      <c r="P8" s="15" t="str">
        <f t="shared" si="2"/>
        <v>3110-0877-0320-5078</v>
      </c>
    </row>
    <row r="9" spans="1:16" x14ac:dyDescent="0.3">
      <c r="A9" s="12">
        <v>3</v>
      </c>
      <c r="B9" s="21">
        <v>4532</v>
      </c>
      <c r="C9" t="s">
        <v>54</v>
      </c>
      <c r="D9" s="11">
        <v>28008092700441</v>
      </c>
      <c r="E9" s="5">
        <v>15000</v>
      </c>
      <c r="F9" t="str">
        <f t="shared" si="0"/>
        <v>5078032008773300</v>
      </c>
      <c r="G9" s="3" t="s">
        <v>70</v>
      </c>
      <c r="H9" t="s">
        <v>45</v>
      </c>
      <c r="I9" s="14" t="s">
        <v>135</v>
      </c>
      <c r="J9" s="14" t="s">
        <v>128</v>
      </c>
      <c r="K9" s="13" t="s">
        <v>127</v>
      </c>
      <c r="L9" s="13" t="s">
        <v>4</v>
      </c>
      <c r="N9" s="16">
        <f t="shared" si="1"/>
        <v>11</v>
      </c>
      <c r="O9" t="s">
        <v>181</v>
      </c>
      <c r="P9" s="15" t="str">
        <f t="shared" si="2"/>
        <v>3300-0877-0320-5078</v>
      </c>
    </row>
    <row r="10" spans="1:16" x14ac:dyDescent="0.3">
      <c r="A10" s="12">
        <v>4</v>
      </c>
      <c r="B10" s="21">
        <v>5172</v>
      </c>
      <c r="C10" t="s">
        <v>83</v>
      </c>
      <c r="D10" s="11">
        <v>28804192700806</v>
      </c>
      <c r="E10" s="5">
        <v>15000</v>
      </c>
      <c r="F10" t="str">
        <f t="shared" si="0"/>
        <v>5078032008773540</v>
      </c>
      <c r="G10" s="3" t="s">
        <v>99</v>
      </c>
      <c r="H10" t="s">
        <v>45</v>
      </c>
      <c r="I10" s="14" t="s">
        <v>134</v>
      </c>
      <c r="J10" s="14" t="s">
        <v>128</v>
      </c>
      <c r="K10" s="13" t="s">
        <v>127</v>
      </c>
      <c r="L10" s="13" t="s">
        <v>4</v>
      </c>
      <c r="N10" s="16">
        <f t="shared" si="1"/>
        <v>11</v>
      </c>
      <c r="O10" t="s">
        <v>181</v>
      </c>
      <c r="P10" s="15" t="str">
        <f t="shared" si="2"/>
        <v>3540-0877-0320-5078</v>
      </c>
    </row>
    <row r="11" spans="1:16" x14ac:dyDescent="0.3">
      <c r="A11" s="12">
        <v>5</v>
      </c>
      <c r="B11" s="21">
        <v>3044</v>
      </c>
      <c r="C11" t="s">
        <v>20</v>
      </c>
      <c r="D11" s="11">
        <v>29502012707244</v>
      </c>
      <c r="E11" s="5">
        <v>15000</v>
      </c>
      <c r="F11" t="str">
        <f t="shared" si="0"/>
        <v>5078032008773458</v>
      </c>
      <c r="G11" s="3" t="s">
        <v>35</v>
      </c>
      <c r="H11" t="s">
        <v>45</v>
      </c>
      <c r="I11" s="14" t="s">
        <v>129</v>
      </c>
      <c r="J11" s="14" t="s">
        <v>128</v>
      </c>
      <c r="K11" s="13" t="s">
        <v>127</v>
      </c>
      <c r="L11" s="13" t="s">
        <v>4</v>
      </c>
      <c r="N11" s="16">
        <f t="shared" si="1"/>
        <v>11</v>
      </c>
      <c r="O11" t="s">
        <v>181</v>
      </c>
      <c r="P11" s="15" t="str">
        <f t="shared" si="2"/>
        <v>3458-0877-0320-5078</v>
      </c>
    </row>
    <row r="12" spans="1:16" x14ac:dyDescent="0.3">
      <c r="A12" s="12">
        <v>6</v>
      </c>
      <c r="B12" s="21">
        <v>5191</v>
      </c>
      <c r="C12" t="s">
        <v>93</v>
      </c>
      <c r="D12" s="11">
        <v>30003072700299</v>
      </c>
      <c r="E12" s="5">
        <v>15000</v>
      </c>
      <c r="F12" t="str">
        <f t="shared" si="0"/>
        <v>5078032008773128</v>
      </c>
      <c r="G12" s="3" t="s">
        <v>109</v>
      </c>
      <c r="H12" t="s">
        <v>80</v>
      </c>
      <c r="I12" s="14" t="s">
        <v>140</v>
      </c>
      <c r="J12" s="14" t="s">
        <v>128</v>
      </c>
      <c r="K12" s="13" t="s">
        <v>127</v>
      </c>
      <c r="L12" s="13" t="s">
        <v>4</v>
      </c>
      <c r="N12" s="16">
        <f t="shared" si="1"/>
        <v>11</v>
      </c>
      <c r="O12" t="s">
        <v>181</v>
      </c>
      <c r="P12" s="15" t="str">
        <f t="shared" si="2"/>
        <v>3128-0877-0320-5078</v>
      </c>
    </row>
    <row r="13" spans="1:16" x14ac:dyDescent="0.3">
      <c r="A13" s="12">
        <v>7</v>
      </c>
      <c r="B13" s="21">
        <v>4324</v>
      </c>
      <c r="C13" t="s">
        <v>48</v>
      </c>
      <c r="D13" s="11">
        <v>27701012709242</v>
      </c>
      <c r="E13" s="5">
        <v>16000</v>
      </c>
      <c r="F13" t="str">
        <f t="shared" si="0"/>
        <v>5078032008773151</v>
      </c>
      <c r="G13" s="3" t="s">
        <v>64</v>
      </c>
      <c r="H13" t="s">
        <v>46</v>
      </c>
      <c r="I13" s="14" t="s">
        <v>166</v>
      </c>
      <c r="J13" s="14" t="s">
        <v>128</v>
      </c>
      <c r="K13" s="13" t="s">
        <v>127</v>
      </c>
      <c r="L13" s="13" t="s">
        <v>4</v>
      </c>
      <c r="N13" s="16">
        <f t="shared" si="1"/>
        <v>11</v>
      </c>
      <c r="O13" t="s">
        <v>181</v>
      </c>
      <c r="P13" s="15" t="str">
        <f t="shared" si="2"/>
        <v>3151-0877-0320-5078</v>
      </c>
    </row>
    <row r="14" spans="1:16" x14ac:dyDescent="0.3">
      <c r="A14" s="12">
        <v>8</v>
      </c>
      <c r="B14" s="21">
        <v>5176</v>
      </c>
      <c r="C14" t="s">
        <v>84</v>
      </c>
      <c r="D14" s="11">
        <v>28501152701033</v>
      </c>
      <c r="E14" s="5">
        <v>15000</v>
      </c>
      <c r="F14" t="str">
        <f t="shared" si="0"/>
        <v>5078032008773193</v>
      </c>
      <c r="G14" s="3" t="s">
        <v>100</v>
      </c>
      <c r="H14" t="s">
        <v>44</v>
      </c>
      <c r="I14" s="14" t="s">
        <v>150</v>
      </c>
      <c r="J14" s="14" t="s">
        <v>128</v>
      </c>
      <c r="K14" s="13" t="s">
        <v>127</v>
      </c>
      <c r="L14" s="13" t="s">
        <v>4</v>
      </c>
      <c r="N14" s="16">
        <f t="shared" si="1"/>
        <v>11</v>
      </c>
      <c r="O14" t="s">
        <v>181</v>
      </c>
      <c r="P14" s="15" t="str">
        <f t="shared" si="2"/>
        <v>3193-0877-0320-5078</v>
      </c>
    </row>
    <row r="15" spans="1:16" x14ac:dyDescent="0.3">
      <c r="A15" s="12">
        <v>9</v>
      </c>
      <c r="B15" s="21">
        <v>3378</v>
      </c>
      <c r="C15" t="s">
        <v>24</v>
      </c>
      <c r="D15" s="11">
        <v>29702062700771</v>
      </c>
      <c r="E15" s="5">
        <v>15000</v>
      </c>
      <c r="F15" t="str">
        <f t="shared" si="0"/>
        <v>5078032008773490</v>
      </c>
      <c r="G15" s="3" t="s">
        <v>38</v>
      </c>
      <c r="H15" t="s">
        <v>44</v>
      </c>
      <c r="I15" s="14" t="s">
        <v>153</v>
      </c>
      <c r="J15" s="14" t="s">
        <v>128</v>
      </c>
      <c r="K15" s="13" t="s">
        <v>127</v>
      </c>
      <c r="L15" s="13" t="s">
        <v>4</v>
      </c>
      <c r="N15" s="16">
        <f t="shared" si="1"/>
        <v>11</v>
      </c>
      <c r="O15" t="s">
        <v>181</v>
      </c>
      <c r="P15" s="15" t="str">
        <f t="shared" si="2"/>
        <v>3490-0877-0320-5078</v>
      </c>
    </row>
    <row r="16" spans="1:16" x14ac:dyDescent="0.3">
      <c r="A16" s="12">
        <v>10</v>
      </c>
      <c r="B16" s="21">
        <v>5130</v>
      </c>
      <c r="C16" t="s">
        <v>59</v>
      </c>
      <c r="D16" s="11">
        <v>27510112701184</v>
      </c>
      <c r="E16" s="5">
        <v>15000</v>
      </c>
      <c r="F16" t="str">
        <f t="shared" si="0"/>
        <v>5078032008773284</v>
      </c>
      <c r="G16" s="3" t="s">
        <v>75</v>
      </c>
      <c r="H16" t="s">
        <v>44</v>
      </c>
      <c r="I16" s="14" t="s">
        <v>158</v>
      </c>
      <c r="J16" s="14" t="s">
        <v>128</v>
      </c>
      <c r="K16" s="13" t="s">
        <v>127</v>
      </c>
      <c r="L16" s="13" t="s">
        <v>4</v>
      </c>
      <c r="N16" s="16">
        <f t="shared" si="1"/>
        <v>11</v>
      </c>
      <c r="O16" t="s">
        <v>181</v>
      </c>
      <c r="P16" s="15" t="str">
        <f t="shared" si="2"/>
        <v>3284-0877-0320-5078</v>
      </c>
    </row>
    <row r="17" spans="1:16" x14ac:dyDescent="0.3">
      <c r="A17" s="12">
        <v>11</v>
      </c>
      <c r="B17" s="21">
        <v>5134</v>
      </c>
      <c r="C17" t="s">
        <v>60</v>
      </c>
      <c r="D17" s="11">
        <v>28506232700617</v>
      </c>
      <c r="E17" s="5">
        <v>15000</v>
      </c>
      <c r="F17" t="str">
        <f t="shared" si="0"/>
        <v>5078032008773227</v>
      </c>
      <c r="G17" s="3" t="s">
        <v>76</v>
      </c>
      <c r="H17" t="s">
        <v>44</v>
      </c>
      <c r="I17" s="14" t="s">
        <v>159</v>
      </c>
      <c r="J17" s="14" t="s">
        <v>128</v>
      </c>
      <c r="K17" s="13" t="s">
        <v>127</v>
      </c>
      <c r="L17" s="13" t="s">
        <v>4</v>
      </c>
      <c r="N17" s="16">
        <f t="shared" si="1"/>
        <v>11</v>
      </c>
      <c r="O17" t="s">
        <v>181</v>
      </c>
      <c r="P17" s="15" t="str">
        <f t="shared" si="2"/>
        <v>3227-0877-0320-5078</v>
      </c>
    </row>
    <row r="18" spans="1:16" x14ac:dyDescent="0.3">
      <c r="A18" s="12">
        <v>12</v>
      </c>
      <c r="B18" s="21">
        <v>5177</v>
      </c>
      <c r="C18" t="s">
        <v>85</v>
      </c>
      <c r="D18" s="11">
        <v>29011182700551</v>
      </c>
      <c r="E18" s="5">
        <v>20000</v>
      </c>
      <c r="F18" t="str">
        <f t="shared" si="0"/>
        <v>5078032008773409</v>
      </c>
      <c r="G18" s="3" t="s">
        <v>101</v>
      </c>
      <c r="H18" t="s">
        <v>44</v>
      </c>
      <c r="I18" s="14" t="s">
        <v>156</v>
      </c>
      <c r="J18" s="14" t="s">
        <v>128</v>
      </c>
      <c r="K18" s="13" t="s">
        <v>127</v>
      </c>
      <c r="L18" s="13" t="s">
        <v>4</v>
      </c>
      <c r="N18" s="16">
        <f t="shared" si="1"/>
        <v>11</v>
      </c>
      <c r="O18" t="s">
        <v>181</v>
      </c>
      <c r="P18" s="15" t="str">
        <f t="shared" si="2"/>
        <v>3409-0877-0320-5078</v>
      </c>
    </row>
    <row r="19" spans="1:16" x14ac:dyDescent="0.3">
      <c r="A19" s="12">
        <v>13</v>
      </c>
      <c r="B19" s="21">
        <v>5182</v>
      </c>
      <c r="C19" t="s">
        <v>89</v>
      </c>
      <c r="D19" s="11">
        <v>27903012701677</v>
      </c>
      <c r="E19" s="5">
        <v>15000</v>
      </c>
      <c r="F19" t="str">
        <f t="shared" si="0"/>
        <v>5078032008773169</v>
      </c>
      <c r="G19" s="3" t="s">
        <v>105</v>
      </c>
      <c r="H19" t="s">
        <v>44</v>
      </c>
      <c r="I19" s="14" t="s">
        <v>157</v>
      </c>
      <c r="J19" s="14" t="s">
        <v>128</v>
      </c>
      <c r="K19" s="13" t="s">
        <v>127</v>
      </c>
      <c r="L19" s="13" t="s">
        <v>4</v>
      </c>
      <c r="N19" s="16">
        <f t="shared" si="1"/>
        <v>11</v>
      </c>
      <c r="O19" t="s">
        <v>181</v>
      </c>
      <c r="P19" s="15" t="str">
        <f t="shared" si="2"/>
        <v>3169-0877-0320-5078</v>
      </c>
    </row>
    <row r="20" spans="1:16" x14ac:dyDescent="0.3">
      <c r="A20" s="12">
        <v>14</v>
      </c>
      <c r="B20" s="21">
        <v>360</v>
      </c>
      <c r="C20" t="s">
        <v>15</v>
      </c>
      <c r="D20" s="11">
        <v>27106102701857</v>
      </c>
      <c r="E20" s="5">
        <v>50000</v>
      </c>
      <c r="F20" t="str">
        <f t="shared" si="0"/>
        <v>5078032008773177</v>
      </c>
      <c r="G20" s="3" t="s">
        <v>30</v>
      </c>
      <c r="H20" t="s">
        <v>43</v>
      </c>
      <c r="I20" s="14" t="s">
        <v>180</v>
      </c>
      <c r="J20" s="14" t="s">
        <v>128</v>
      </c>
      <c r="K20" s="13" t="s">
        <v>127</v>
      </c>
      <c r="L20" s="13" t="s">
        <v>4</v>
      </c>
      <c r="N20" s="16">
        <f t="shared" si="1"/>
        <v>11</v>
      </c>
      <c r="O20" t="s">
        <v>182</v>
      </c>
      <c r="P20" s="15" t="str">
        <f t="shared" si="2"/>
        <v>3177-0877-0320-5078</v>
      </c>
    </row>
    <row r="21" spans="1:16" x14ac:dyDescent="0.3">
      <c r="A21" s="12">
        <v>15</v>
      </c>
      <c r="B21" s="21">
        <v>3131</v>
      </c>
      <c r="C21" t="s">
        <v>21</v>
      </c>
      <c r="D21" s="11">
        <v>27607212701053</v>
      </c>
      <c r="E21" s="5">
        <v>25000</v>
      </c>
      <c r="F21" t="str">
        <f t="shared" si="0"/>
        <v>5078032008773292</v>
      </c>
      <c r="G21" s="3" t="s">
        <v>36</v>
      </c>
      <c r="H21" t="s">
        <v>43</v>
      </c>
      <c r="I21" s="14" t="s">
        <v>175</v>
      </c>
      <c r="J21" s="14" t="s">
        <v>128</v>
      </c>
      <c r="K21" s="13" t="s">
        <v>127</v>
      </c>
      <c r="L21" s="13" t="s">
        <v>4</v>
      </c>
      <c r="N21" s="16">
        <f t="shared" si="1"/>
        <v>11</v>
      </c>
      <c r="O21" t="s">
        <v>182</v>
      </c>
      <c r="P21" s="15" t="str">
        <f t="shared" si="2"/>
        <v>3292-0877-0320-5078</v>
      </c>
    </row>
    <row r="22" spans="1:16" x14ac:dyDescent="0.3">
      <c r="A22" s="12">
        <v>16</v>
      </c>
      <c r="B22" s="21">
        <v>4499</v>
      </c>
      <c r="C22" t="s">
        <v>53</v>
      </c>
      <c r="D22" s="11">
        <v>28112032700878</v>
      </c>
      <c r="E22" s="5">
        <v>20000</v>
      </c>
      <c r="F22" t="str">
        <f t="shared" si="0"/>
        <v>5078032008773417</v>
      </c>
      <c r="G22" s="3" t="s">
        <v>69</v>
      </c>
      <c r="H22" t="s">
        <v>43</v>
      </c>
      <c r="I22" s="14" t="s">
        <v>172</v>
      </c>
      <c r="J22" s="14" t="s">
        <v>128</v>
      </c>
      <c r="K22" s="13" t="s">
        <v>127</v>
      </c>
      <c r="L22" s="13" t="s">
        <v>4</v>
      </c>
      <c r="N22" s="16">
        <f t="shared" si="1"/>
        <v>11</v>
      </c>
      <c r="O22" t="s">
        <v>182</v>
      </c>
      <c r="P22" s="15" t="str">
        <f t="shared" si="2"/>
        <v>3417-0877-0320-5078</v>
      </c>
    </row>
    <row r="23" spans="1:16" x14ac:dyDescent="0.3">
      <c r="A23" s="12">
        <v>17</v>
      </c>
      <c r="B23" s="21">
        <v>5199</v>
      </c>
      <c r="C23" t="s">
        <v>95</v>
      </c>
      <c r="D23" s="11">
        <v>28009292701929</v>
      </c>
      <c r="E23" s="5">
        <v>20000</v>
      </c>
      <c r="F23" t="str">
        <f t="shared" si="0"/>
        <v>5078032008773144</v>
      </c>
      <c r="G23" s="3" t="s">
        <v>111</v>
      </c>
      <c r="H23" t="s">
        <v>43</v>
      </c>
      <c r="I23" s="14" t="s">
        <v>170</v>
      </c>
      <c r="J23" s="14" t="s">
        <v>128</v>
      </c>
      <c r="K23" s="13" t="s">
        <v>127</v>
      </c>
      <c r="L23" s="13" t="s">
        <v>4</v>
      </c>
      <c r="N23" s="16">
        <f t="shared" si="1"/>
        <v>11</v>
      </c>
      <c r="O23" t="s">
        <v>182</v>
      </c>
      <c r="P23" s="15" t="str">
        <f t="shared" si="2"/>
        <v>3144-0877-0320-5078</v>
      </c>
    </row>
    <row r="24" spans="1:16" x14ac:dyDescent="0.3">
      <c r="A24" s="12">
        <v>18</v>
      </c>
      <c r="B24" s="21">
        <v>5211</v>
      </c>
      <c r="C24" t="s">
        <v>118</v>
      </c>
      <c r="D24" s="11">
        <v>29107242700935</v>
      </c>
      <c r="E24" s="5">
        <v>20000</v>
      </c>
      <c r="F24" t="str">
        <f t="shared" si="0"/>
        <v>5078032008773235</v>
      </c>
      <c r="G24" s="3" t="s">
        <v>125</v>
      </c>
      <c r="H24" t="s">
        <v>43</v>
      </c>
      <c r="I24" s="14" t="s">
        <v>173</v>
      </c>
      <c r="J24" s="14" t="s">
        <v>128</v>
      </c>
      <c r="K24" s="13" t="s">
        <v>127</v>
      </c>
      <c r="L24" s="13" t="s">
        <v>4</v>
      </c>
      <c r="N24" s="16">
        <f t="shared" si="1"/>
        <v>11</v>
      </c>
      <c r="O24" t="s">
        <v>182</v>
      </c>
      <c r="P24" s="15" t="str">
        <f t="shared" si="2"/>
        <v>3235-0877-0320-5078</v>
      </c>
    </row>
    <row r="25" spans="1:16" x14ac:dyDescent="0.3">
      <c r="A25" s="12">
        <v>19</v>
      </c>
      <c r="B25" s="21">
        <v>3945</v>
      </c>
      <c r="C25" t="s">
        <v>27</v>
      </c>
      <c r="D25" s="11">
        <v>28705262700126</v>
      </c>
      <c r="E25" s="5">
        <v>40000</v>
      </c>
      <c r="F25" t="str">
        <f t="shared" si="0"/>
        <v>5078032008773102</v>
      </c>
      <c r="G25" s="3" t="s">
        <v>41</v>
      </c>
      <c r="H25" t="s">
        <v>47</v>
      </c>
      <c r="I25" s="14" t="s">
        <v>151</v>
      </c>
      <c r="J25" s="14" t="s">
        <v>128</v>
      </c>
      <c r="K25" s="13" t="s">
        <v>127</v>
      </c>
      <c r="L25" s="13" t="s">
        <v>4</v>
      </c>
      <c r="N25" s="16">
        <f t="shared" si="1"/>
        <v>11</v>
      </c>
      <c r="O25" t="s">
        <v>182</v>
      </c>
      <c r="P25" s="15" t="str">
        <f t="shared" si="2"/>
        <v>3102-0877-0320-5078</v>
      </c>
    </row>
    <row r="26" spans="1:16" x14ac:dyDescent="0.3">
      <c r="A26" s="12">
        <v>20</v>
      </c>
      <c r="B26" s="21">
        <v>4377</v>
      </c>
      <c r="C26" t="s">
        <v>49</v>
      </c>
      <c r="D26" s="11">
        <v>28305032700137</v>
      </c>
      <c r="E26" s="5">
        <v>20000</v>
      </c>
      <c r="F26" t="str">
        <f t="shared" si="0"/>
        <v>5078032008773094</v>
      </c>
      <c r="G26" s="3" t="s">
        <v>178</v>
      </c>
      <c r="H26" t="s">
        <v>47</v>
      </c>
      <c r="I26" s="14" t="s">
        <v>148</v>
      </c>
      <c r="J26" s="14" t="s">
        <v>128</v>
      </c>
      <c r="K26" s="13" t="s">
        <v>127</v>
      </c>
      <c r="L26" s="13" t="s">
        <v>4</v>
      </c>
      <c r="N26" s="16">
        <f t="shared" si="1"/>
        <v>11</v>
      </c>
      <c r="O26" t="s">
        <v>182</v>
      </c>
      <c r="P26" s="15" t="str">
        <f t="shared" si="2"/>
        <v>3094-0877-0320-5078</v>
      </c>
    </row>
    <row r="27" spans="1:16" x14ac:dyDescent="0.3">
      <c r="A27" s="12">
        <v>21</v>
      </c>
      <c r="B27" s="21">
        <v>4414</v>
      </c>
      <c r="C27" t="s">
        <v>50</v>
      </c>
      <c r="D27" s="11">
        <v>29712012700902</v>
      </c>
      <c r="E27" s="5">
        <v>25000</v>
      </c>
      <c r="F27" t="str">
        <f t="shared" si="0"/>
        <v>5078032008773508</v>
      </c>
      <c r="G27" s="3" t="s">
        <v>66</v>
      </c>
      <c r="H27" t="s">
        <v>47</v>
      </c>
      <c r="I27" s="14" t="s">
        <v>145</v>
      </c>
      <c r="J27" s="14" t="s">
        <v>128</v>
      </c>
      <c r="K27" s="13" t="s">
        <v>127</v>
      </c>
      <c r="L27" s="13" t="s">
        <v>4</v>
      </c>
      <c r="N27" s="16">
        <f t="shared" si="1"/>
        <v>11</v>
      </c>
      <c r="O27" t="s">
        <v>182</v>
      </c>
      <c r="P27" s="15" t="str">
        <f t="shared" si="2"/>
        <v>3508-0877-0320-5078</v>
      </c>
    </row>
    <row r="28" spans="1:16" x14ac:dyDescent="0.3">
      <c r="A28" s="12">
        <v>22</v>
      </c>
      <c r="B28" s="21">
        <v>5190</v>
      </c>
      <c r="C28" t="s">
        <v>92</v>
      </c>
      <c r="D28" s="11">
        <v>29701062701606</v>
      </c>
      <c r="E28" s="5">
        <v>20000</v>
      </c>
      <c r="F28" t="str">
        <f t="shared" si="0"/>
        <v>5078032008773474</v>
      </c>
      <c r="G28" s="3" t="s">
        <v>108</v>
      </c>
      <c r="H28" t="s">
        <v>47</v>
      </c>
      <c r="I28" s="14" t="s">
        <v>144</v>
      </c>
      <c r="J28" s="14" t="s">
        <v>128</v>
      </c>
      <c r="K28" s="13" t="s">
        <v>127</v>
      </c>
      <c r="L28" s="13" t="s">
        <v>4</v>
      </c>
      <c r="N28" s="16">
        <f t="shared" si="1"/>
        <v>11</v>
      </c>
      <c r="O28" t="s">
        <v>182</v>
      </c>
      <c r="P28" s="15" t="str">
        <f t="shared" si="2"/>
        <v>3474-0877-0320-5078</v>
      </c>
    </row>
    <row r="29" spans="1:16" x14ac:dyDescent="0.3">
      <c r="A29" s="12">
        <v>23</v>
      </c>
      <c r="B29" s="21">
        <v>5206</v>
      </c>
      <c r="C29" t="s">
        <v>114</v>
      </c>
      <c r="D29" s="11">
        <v>28303152700472</v>
      </c>
      <c r="E29" s="5">
        <v>20000</v>
      </c>
      <c r="F29" t="str">
        <f t="shared" si="0"/>
        <v>5078032008773383</v>
      </c>
      <c r="G29" s="3" t="s">
        <v>121</v>
      </c>
      <c r="H29" t="s">
        <v>47</v>
      </c>
      <c r="I29" s="14" t="s">
        <v>142</v>
      </c>
      <c r="J29" s="14" t="s">
        <v>128</v>
      </c>
      <c r="K29" s="13" t="s">
        <v>127</v>
      </c>
      <c r="L29" s="13" t="s">
        <v>4</v>
      </c>
      <c r="N29" s="16">
        <f t="shared" si="1"/>
        <v>11</v>
      </c>
      <c r="O29" t="s">
        <v>182</v>
      </c>
      <c r="P29" s="15" t="str">
        <f t="shared" si="2"/>
        <v>3383-0877-0320-5078</v>
      </c>
    </row>
    <row r="30" spans="1:16" x14ac:dyDescent="0.3">
      <c r="A30" s="12">
        <v>24</v>
      </c>
      <c r="B30" s="21">
        <v>5213</v>
      </c>
      <c r="C30" t="s">
        <v>120</v>
      </c>
      <c r="D30" s="11">
        <v>28906272702467</v>
      </c>
      <c r="E30" s="5">
        <v>20000</v>
      </c>
      <c r="F30" t="str">
        <f t="shared" si="0"/>
        <v>5078032008773565</v>
      </c>
      <c r="G30" s="3" t="s">
        <v>65</v>
      </c>
      <c r="H30" t="s">
        <v>47</v>
      </c>
      <c r="I30" s="14" t="s">
        <v>147</v>
      </c>
      <c r="J30" s="14" t="s">
        <v>128</v>
      </c>
      <c r="K30" s="13" t="s">
        <v>127</v>
      </c>
      <c r="L30" s="13" t="s">
        <v>4</v>
      </c>
      <c r="N30" s="16">
        <f t="shared" si="1"/>
        <v>11</v>
      </c>
      <c r="O30" t="s">
        <v>182</v>
      </c>
      <c r="P30" s="15" t="str">
        <f t="shared" si="2"/>
        <v>3565-0877-0320-5078</v>
      </c>
    </row>
    <row r="31" spans="1:16" x14ac:dyDescent="0.3">
      <c r="A31" s="12">
        <v>25</v>
      </c>
      <c r="B31" s="21">
        <v>5185</v>
      </c>
      <c r="C31" t="s">
        <v>90</v>
      </c>
      <c r="D31" s="11">
        <v>30106092800846</v>
      </c>
      <c r="E31" s="5">
        <v>20000</v>
      </c>
      <c r="F31" t="str">
        <f t="shared" si="0"/>
        <v>5078032008773516</v>
      </c>
      <c r="G31" s="3" t="s">
        <v>106</v>
      </c>
      <c r="H31" t="s">
        <v>45</v>
      </c>
      <c r="I31" s="14" t="s">
        <v>133</v>
      </c>
      <c r="J31" s="14" t="s">
        <v>128</v>
      </c>
      <c r="K31" s="13" t="s">
        <v>127</v>
      </c>
      <c r="L31" s="13" t="s">
        <v>4</v>
      </c>
      <c r="N31" s="16">
        <f t="shared" si="1"/>
        <v>11</v>
      </c>
      <c r="O31" t="s">
        <v>182</v>
      </c>
      <c r="P31" s="15" t="str">
        <f t="shared" si="2"/>
        <v>3516-0877-0320-5078</v>
      </c>
    </row>
    <row r="32" spans="1:16" x14ac:dyDescent="0.3">
      <c r="A32" s="12">
        <v>26</v>
      </c>
      <c r="B32" s="21">
        <v>2049</v>
      </c>
      <c r="C32" t="s">
        <v>17</v>
      </c>
      <c r="D32" s="11">
        <v>27701082701192</v>
      </c>
      <c r="E32" s="5">
        <v>20000</v>
      </c>
      <c r="F32" t="str">
        <f t="shared" si="0"/>
        <v>5078032008773482</v>
      </c>
      <c r="G32" s="3" t="s">
        <v>32</v>
      </c>
      <c r="H32" t="s">
        <v>45</v>
      </c>
      <c r="I32" s="14" t="s">
        <v>132</v>
      </c>
      <c r="J32" s="14" t="s">
        <v>128</v>
      </c>
      <c r="K32" s="13" t="s">
        <v>127</v>
      </c>
      <c r="L32" s="13" t="s">
        <v>4</v>
      </c>
      <c r="N32" s="16">
        <f t="shared" si="1"/>
        <v>11</v>
      </c>
      <c r="O32" t="s">
        <v>182</v>
      </c>
      <c r="P32" s="15" t="str">
        <f t="shared" si="2"/>
        <v>3482-0877-0320-5078</v>
      </c>
    </row>
    <row r="33" spans="1:16" x14ac:dyDescent="0.3">
      <c r="A33" s="12">
        <v>27</v>
      </c>
      <c r="B33" s="21">
        <v>4612</v>
      </c>
      <c r="C33" t="s">
        <v>55</v>
      </c>
      <c r="D33" s="11">
        <v>26808122700734</v>
      </c>
      <c r="E33" s="5">
        <v>20000</v>
      </c>
      <c r="F33" t="str">
        <f t="shared" si="0"/>
        <v>5078032008773425</v>
      </c>
      <c r="G33" s="3" t="s">
        <v>71</v>
      </c>
      <c r="H33" t="s">
        <v>80</v>
      </c>
      <c r="I33" s="14" t="s">
        <v>139</v>
      </c>
      <c r="J33" s="14" t="s">
        <v>128</v>
      </c>
      <c r="K33" s="13" t="s">
        <v>127</v>
      </c>
      <c r="L33" s="13" t="s">
        <v>4</v>
      </c>
      <c r="N33" s="16">
        <f t="shared" si="1"/>
        <v>11</v>
      </c>
      <c r="O33" t="s">
        <v>182</v>
      </c>
      <c r="P33" s="15" t="str">
        <f t="shared" si="2"/>
        <v>3425-0877-0320-5078</v>
      </c>
    </row>
    <row r="34" spans="1:16" x14ac:dyDescent="0.3">
      <c r="A34" s="12">
        <v>28</v>
      </c>
      <c r="B34" s="21">
        <v>5171</v>
      </c>
      <c r="C34" t="s">
        <v>82</v>
      </c>
      <c r="D34" s="11">
        <v>28112012702335</v>
      </c>
      <c r="E34" s="5">
        <v>20000</v>
      </c>
      <c r="F34" t="str">
        <f t="shared" ref="F34:F97" si="3">CONCATENATE(L34,K34,J34,I34)</f>
        <v>5078032008773243</v>
      </c>
      <c r="G34" s="3" t="s">
        <v>98</v>
      </c>
      <c r="H34" t="s">
        <v>80</v>
      </c>
      <c r="I34" s="14" t="s">
        <v>136</v>
      </c>
      <c r="J34" s="14" t="s">
        <v>128</v>
      </c>
      <c r="K34" s="13" t="s">
        <v>127</v>
      </c>
      <c r="L34" s="13" t="s">
        <v>4</v>
      </c>
      <c r="N34" s="16">
        <f t="shared" ref="N34:N63" si="4">LEN(G34)</f>
        <v>11</v>
      </c>
      <c r="O34" t="s">
        <v>182</v>
      </c>
      <c r="P34" s="15" t="str">
        <f t="shared" ref="P34:P63" si="5">CONCATENATE(I34,"-",J34,"-",K34,"-",L34)</f>
        <v>3243-0877-0320-5078</v>
      </c>
    </row>
    <row r="35" spans="1:16" x14ac:dyDescent="0.3">
      <c r="A35" s="12">
        <v>29</v>
      </c>
      <c r="B35" s="21">
        <v>5178</v>
      </c>
      <c r="C35" t="s">
        <v>86</v>
      </c>
      <c r="D35" s="11">
        <v>29309232701153</v>
      </c>
      <c r="E35" s="5">
        <v>20000</v>
      </c>
      <c r="F35" t="str">
        <f t="shared" si="3"/>
        <v>5078032008773391</v>
      </c>
      <c r="G35" s="3" t="s">
        <v>102</v>
      </c>
      <c r="H35" t="s">
        <v>80</v>
      </c>
      <c r="I35" s="14" t="s">
        <v>141</v>
      </c>
      <c r="J35" s="14" t="s">
        <v>128</v>
      </c>
      <c r="K35" s="13" t="s">
        <v>127</v>
      </c>
      <c r="L35" s="13" t="s">
        <v>4</v>
      </c>
      <c r="N35" s="16">
        <f t="shared" si="4"/>
        <v>11</v>
      </c>
      <c r="O35" t="s">
        <v>182</v>
      </c>
      <c r="P35" s="15" t="str">
        <f t="shared" si="5"/>
        <v>3391-0877-0320-5078</v>
      </c>
    </row>
    <row r="36" spans="1:16" x14ac:dyDescent="0.3">
      <c r="A36" s="12">
        <v>30</v>
      </c>
      <c r="B36" s="21">
        <v>5179</v>
      </c>
      <c r="C36" t="s">
        <v>87</v>
      </c>
      <c r="D36" s="11">
        <v>29107112700739</v>
      </c>
      <c r="E36" s="5">
        <v>20000</v>
      </c>
      <c r="F36" t="str">
        <f t="shared" si="3"/>
        <v>5078032008773367</v>
      </c>
      <c r="G36" s="3" t="s">
        <v>103</v>
      </c>
      <c r="H36" t="s">
        <v>80</v>
      </c>
      <c r="I36" s="14" t="s">
        <v>138</v>
      </c>
      <c r="J36" s="14" t="s">
        <v>128</v>
      </c>
      <c r="K36" s="13" t="s">
        <v>127</v>
      </c>
      <c r="L36" s="13" t="s">
        <v>4</v>
      </c>
      <c r="N36" s="16">
        <f t="shared" si="4"/>
        <v>11</v>
      </c>
      <c r="O36" t="s">
        <v>182</v>
      </c>
      <c r="P36" s="15" t="str">
        <f t="shared" si="5"/>
        <v>3367-0877-0320-5078</v>
      </c>
    </row>
    <row r="37" spans="1:16" x14ac:dyDescent="0.3">
      <c r="A37" s="12">
        <v>31</v>
      </c>
      <c r="B37" s="21">
        <v>4215</v>
      </c>
      <c r="C37" t="s">
        <v>28</v>
      </c>
      <c r="D37" s="11">
        <v>27702072700526</v>
      </c>
      <c r="E37" s="5">
        <v>20000</v>
      </c>
      <c r="F37" t="str">
        <f t="shared" si="3"/>
        <v>5078032008773219</v>
      </c>
      <c r="G37" s="3" t="s">
        <v>42</v>
      </c>
      <c r="H37" t="s">
        <v>46</v>
      </c>
      <c r="I37" s="14" t="s">
        <v>164</v>
      </c>
      <c r="J37" s="14" t="s">
        <v>128</v>
      </c>
      <c r="K37" s="13" t="s">
        <v>127</v>
      </c>
      <c r="L37" s="13" t="s">
        <v>4</v>
      </c>
      <c r="N37" s="16">
        <f t="shared" si="4"/>
        <v>11</v>
      </c>
      <c r="O37" t="s">
        <v>182</v>
      </c>
      <c r="P37" s="15" t="str">
        <f t="shared" si="5"/>
        <v>3219-0877-0320-5078</v>
      </c>
    </row>
    <row r="38" spans="1:16" x14ac:dyDescent="0.3">
      <c r="A38" s="12">
        <v>32</v>
      </c>
      <c r="B38" s="21">
        <v>4444</v>
      </c>
      <c r="C38" t="s">
        <v>51</v>
      </c>
      <c r="D38" s="11">
        <v>28409102700512</v>
      </c>
      <c r="E38" s="5">
        <v>20000</v>
      </c>
      <c r="F38" t="str">
        <f t="shared" si="3"/>
        <v>5078032008773359</v>
      </c>
      <c r="G38" s="3" t="s">
        <v>67</v>
      </c>
      <c r="H38" t="s">
        <v>46</v>
      </c>
      <c r="I38" s="14" t="s">
        <v>163</v>
      </c>
      <c r="J38" s="14" t="s">
        <v>128</v>
      </c>
      <c r="K38" s="13" t="s">
        <v>127</v>
      </c>
      <c r="L38" s="13" t="s">
        <v>4</v>
      </c>
      <c r="N38" s="16">
        <f t="shared" si="4"/>
        <v>11</v>
      </c>
      <c r="O38" t="s">
        <v>182</v>
      </c>
      <c r="P38" s="15" t="str">
        <f t="shared" si="5"/>
        <v>3359-0877-0320-5078</v>
      </c>
    </row>
    <row r="39" spans="1:16" x14ac:dyDescent="0.3">
      <c r="A39" s="12">
        <v>33</v>
      </c>
      <c r="B39" s="21">
        <v>4447</v>
      </c>
      <c r="C39" t="s">
        <v>52</v>
      </c>
      <c r="D39" s="11">
        <v>29210012706476</v>
      </c>
      <c r="E39" s="5">
        <v>29000</v>
      </c>
      <c r="F39" t="str">
        <f t="shared" si="3"/>
        <v>5078032008773326</v>
      </c>
      <c r="G39" s="3" t="s">
        <v>68</v>
      </c>
      <c r="H39" t="s">
        <v>46</v>
      </c>
      <c r="I39" s="14" t="s">
        <v>162</v>
      </c>
      <c r="J39" s="14" t="s">
        <v>128</v>
      </c>
      <c r="K39" s="13" t="s">
        <v>127</v>
      </c>
      <c r="L39" s="13" t="s">
        <v>4</v>
      </c>
      <c r="N39" s="16">
        <f t="shared" si="4"/>
        <v>11</v>
      </c>
      <c r="O39" t="s">
        <v>182</v>
      </c>
      <c r="P39" s="15" t="str">
        <f t="shared" si="5"/>
        <v>3326-0877-0320-5078</v>
      </c>
    </row>
    <row r="40" spans="1:16" x14ac:dyDescent="0.3">
      <c r="A40" s="12">
        <v>34</v>
      </c>
      <c r="B40" s="21">
        <v>5180</v>
      </c>
      <c r="C40" t="s">
        <v>88</v>
      </c>
      <c r="D40" s="11">
        <v>29410162702923</v>
      </c>
      <c r="E40" s="5">
        <v>20000</v>
      </c>
      <c r="F40" t="str">
        <f t="shared" si="3"/>
        <v>5078032008773318</v>
      </c>
      <c r="G40" s="3" t="s">
        <v>104</v>
      </c>
      <c r="H40" t="s">
        <v>46</v>
      </c>
      <c r="I40" s="14" t="s">
        <v>161</v>
      </c>
      <c r="J40" s="14" t="s">
        <v>128</v>
      </c>
      <c r="K40" s="13" t="s">
        <v>127</v>
      </c>
      <c r="L40" s="13" t="s">
        <v>4</v>
      </c>
      <c r="N40" s="16">
        <f t="shared" si="4"/>
        <v>11</v>
      </c>
      <c r="O40" t="s">
        <v>182</v>
      </c>
      <c r="P40" s="15" t="str">
        <f t="shared" si="5"/>
        <v>3318-0877-0320-5078</v>
      </c>
    </row>
    <row r="41" spans="1:16" x14ac:dyDescent="0.3">
      <c r="A41" s="12">
        <v>35</v>
      </c>
      <c r="B41" s="21">
        <v>3756</v>
      </c>
      <c r="C41" t="s">
        <v>25</v>
      </c>
      <c r="D41" s="11">
        <v>27807122700537</v>
      </c>
      <c r="E41" s="5">
        <v>20000</v>
      </c>
      <c r="F41" t="str">
        <f t="shared" si="3"/>
        <v>5078032008773466</v>
      </c>
      <c r="G41" s="3" t="s">
        <v>39</v>
      </c>
      <c r="H41" t="s">
        <v>44</v>
      </c>
      <c r="I41" s="14" t="s">
        <v>152</v>
      </c>
      <c r="J41" s="14" t="s">
        <v>128</v>
      </c>
      <c r="K41" s="13" t="s">
        <v>127</v>
      </c>
      <c r="L41" s="13" t="s">
        <v>4</v>
      </c>
      <c r="N41" s="16">
        <f t="shared" si="4"/>
        <v>11</v>
      </c>
      <c r="O41" t="s">
        <v>182</v>
      </c>
      <c r="P41" s="15" t="str">
        <f t="shared" si="5"/>
        <v>3466-0877-0320-5078</v>
      </c>
    </row>
    <row r="42" spans="1:16" x14ac:dyDescent="0.3">
      <c r="A42" s="12">
        <v>36</v>
      </c>
      <c r="B42" s="21">
        <v>3758</v>
      </c>
      <c r="C42" t="s">
        <v>26</v>
      </c>
      <c r="D42" s="11">
        <v>28604032700053</v>
      </c>
      <c r="E42" s="5">
        <v>20000</v>
      </c>
      <c r="F42" t="str">
        <f t="shared" si="3"/>
        <v>5078032008773433</v>
      </c>
      <c r="G42" s="3" t="s">
        <v>40</v>
      </c>
      <c r="H42" t="s">
        <v>44</v>
      </c>
      <c r="I42" s="14" t="s">
        <v>149</v>
      </c>
      <c r="J42" s="14" t="s">
        <v>128</v>
      </c>
      <c r="K42" s="13" t="s">
        <v>127</v>
      </c>
      <c r="L42" s="13" t="s">
        <v>4</v>
      </c>
      <c r="N42" s="16">
        <f t="shared" si="4"/>
        <v>11</v>
      </c>
      <c r="O42" t="s">
        <v>182</v>
      </c>
      <c r="P42" s="15" t="str">
        <f t="shared" si="5"/>
        <v>3433-0877-0320-5078</v>
      </c>
    </row>
    <row r="43" spans="1:16" x14ac:dyDescent="0.3">
      <c r="A43" s="12">
        <v>37</v>
      </c>
      <c r="B43" s="21">
        <v>1285</v>
      </c>
      <c r="C43" t="s">
        <v>16</v>
      </c>
      <c r="D43" s="11">
        <v>25909142700169</v>
      </c>
      <c r="E43" s="5">
        <v>29000</v>
      </c>
      <c r="F43" t="str">
        <f t="shared" si="3"/>
        <v>5078032008773250</v>
      </c>
      <c r="G43" s="3" t="s">
        <v>31</v>
      </c>
      <c r="H43" t="s">
        <v>44</v>
      </c>
      <c r="I43" s="14" t="s">
        <v>160</v>
      </c>
      <c r="J43" s="14" t="s">
        <v>128</v>
      </c>
      <c r="K43" s="13" t="s">
        <v>127</v>
      </c>
      <c r="L43" s="13" t="s">
        <v>4</v>
      </c>
      <c r="N43" s="16">
        <f t="shared" si="4"/>
        <v>11</v>
      </c>
      <c r="O43" t="s">
        <v>182</v>
      </c>
      <c r="P43" s="15" t="str">
        <f t="shared" si="5"/>
        <v>3250-0877-0320-5078</v>
      </c>
    </row>
    <row r="44" spans="1:16" x14ac:dyDescent="0.3">
      <c r="A44" s="12">
        <v>39</v>
      </c>
      <c r="B44" s="21">
        <v>5169</v>
      </c>
      <c r="C44" t="s">
        <v>63</v>
      </c>
      <c r="D44" s="11">
        <v>29510012714391</v>
      </c>
      <c r="E44" s="5">
        <v>20000</v>
      </c>
      <c r="F44" t="str">
        <f t="shared" si="3"/>
        <v>5078032008773524</v>
      </c>
      <c r="G44" s="3" t="s">
        <v>79</v>
      </c>
      <c r="H44" t="s">
        <v>80</v>
      </c>
      <c r="I44" s="14" t="s">
        <v>167</v>
      </c>
      <c r="J44" s="14" t="s">
        <v>128</v>
      </c>
      <c r="K44" s="13" t="s">
        <v>127</v>
      </c>
      <c r="L44" s="13" t="s">
        <v>4</v>
      </c>
      <c r="N44" s="16">
        <f t="shared" si="4"/>
        <v>11</v>
      </c>
      <c r="O44" t="s">
        <v>183</v>
      </c>
      <c r="P44" s="15" t="str">
        <f t="shared" si="5"/>
        <v>3524-0877-0320-5078</v>
      </c>
    </row>
    <row r="45" spans="1:16" x14ac:dyDescent="0.3">
      <c r="A45" s="12">
        <v>40</v>
      </c>
      <c r="B45" s="21">
        <v>4641</v>
      </c>
      <c r="C45" t="s">
        <v>56</v>
      </c>
      <c r="D45" s="11">
        <v>27611202701231</v>
      </c>
      <c r="E45" s="5">
        <v>29000</v>
      </c>
      <c r="F45" t="str">
        <f t="shared" si="3"/>
        <v>5078032008773268</v>
      </c>
      <c r="G45" s="3" t="s">
        <v>72</v>
      </c>
      <c r="H45" t="s">
        <v>43</v>
      </c>
      <c r="I45" s="14" t="s">
        <v>174</v>
      </c>
      <c r="J45" s="14" t="s">
        <v>128</v>
      </c>
      <c r="K45" s="13" t="s">
        <v>127</v>
      </c>
      <c r="L45" s="13" t="s">
        <v>4</v>
      </c>
      <c r="N45" s="16">
        <f t="shared" si="4"/>
        <v>11</v>
      </c>
      <c r="O45" t="s">
        <v>185</v>
      </c>
      <c r="P45" s="15" t="str">
        <f t="shared" si="5"/>
        <v>3268-0877-0320-5078</v>
      </c>
    </row>
    <row r="46" spans="1:16" x14ac:dyDescent="0.3">
      <c r="A46" s="12">
        <v>41</v>
      </c>
      <c r="B46" s="21">
        <v>5208</v>
      </c>
      <c r="C46" t="s">
        <v>116</v>
      </c>
      <c r="D46" s="11">
        <v>28104062701213</v>
      </c>
      <c r="E46" s="5">
        <v>20000</v>
      </c>
      <c r="F46" t="str">
        <f t="shared" si="3"/>
        <v>5078032008773086</v>
      </c>
      <c r="G46" s="3" t="s">
        <v>123</v>
      </c>
      <c r="H46" t="s">
        <v>43</v>
      </c>
      <c r="I46" s="14" t="s">
        <v>168</v>
      </c>
      <c r="J46" s="14" t="s">
        <v>128</v>
      </c>
      <c r="K46" s="13" t="s">
        <v>127</v>
      </c>
      <c r="L46" s="13" t="s">
        <v>4</v>
      </c>
      <c r="N46" s="16">
        <f t="shared" si="4"/>
        <v>11</v>
      </c>
      <c r="O46" t="s">
        <v>185</v>
      </c>
      <c r="P46" s="15" t="str">
        <f t="shared" si="5"/>
        <v>3086-0877-0320-5078</v>
      </c>
    </row>
    <row r="47" spans="1:16" x14ac:dyDescent="0.3">
      <c r="A47" s="12">
        <v>42</v>
      </c>
      <c r="B47" s="21">
        <v>4309</v>
      </c>
      <c r="C47" t="s">
        <v>29</v>
      </c>
      <c r="D47" s="11">
        <v>28602052700111</v>
      </c>
      <c r="E47" s="5">
        <v>20000</v>
      </c>
      <c r="F47" t="str">
        <f t="shared" si="3"/>
        <v>5078032008773532</v>
      </c>
      <c r="G47" s="3" t="s">
        <v>177</v>
      </c>
      <c r="H47" t="s">
        <v>47</v>
      </c>
      <c r="I47" s="14" t="s">
        <v>146</v>
      </c>
      <c r="J47" s="14" t="s">
        <v>128</v>
      </c>
      <c r="K47" s="13" t="s">
        <v>127</v>
      </c>
      <c r="L47" s="13" t="s">
        <v>4</v>
      </c>
      <c r="N47" s="16">
        <f t="shared" si="4"/>
        <v>11</v>
      </c>
      <c r="O47" t="s">
        <v>183</v>
      </c>
      <c r="P47" s="15" t="str">
        <f t="shared" si="5"/>
        <v>3532-0877-0320-5078</v>
      </c>
    </row>
    <row r="48" spans="1:16" x14ac:dyDescent="0.3">
      <c r="A48" s="12">
        <v>46</v>
      </c>
      <c r="B48" s="21">
        <v>2942</v>
      </c>
      <c r="C48" t="s">
        <v>19</v>
      </c>
      <c r="D48" s="11">
        <v>29001072701912</v>
      </c>
      <c r="E48" s="5">
        <v>20000</v>
      </c>
      <c r="F48" t="str">
        <f t="shared" si="3"/>
        <v>5078032008773185</v>
      </c>
      <c r="G48" s="3" t="s">
        <v>34</v>
      </c>
      <c r="H48" t="s">
        <v>46</v>
      </c>
      <c r="I48" s="14" t="s">
        <v>165</v>
      </c>
      <c r="J48" s="14" t="s">
        <v>128</v>
      </c>
      <c r="K48" s="13" t="s">
        <v>127</v>
      </c>
      <c r="L48" s="13" t="s">
        <v>4</v>
      </c>
      <c r="N48" s="16">
        <f t="shared" si="4"/>
        <v>11</v>
      </c>
      <c r="O48" t="s">
        <v>185</v>
      </c>
      <c r="P48" s="15" t="str">
        <f t="shared" si="5"/>
        <v>3185-0877-0320-5078</v>
      </c>
    </row>
    <row r="49" spans="1:16" x14ac:dyDescent="0.3">
      <c r="A49" s="12">
        <v>48</v>
      </c>
      <c r="B49" s="21">
        <v>5204</v>
      </c>
      <c r="C49" t="s">
        <v>96</v>
      </c>
      <c r="D49" s="11">
        <v>30101152703487</v>
      </c>
      <c r="E49" s="5">
        <v>15000</v>
      </c>
      <c r="F49" t="str">
        <f t="shared" si="3"/>
        <v>5078032008773375</v>
      </c>
      <c r="G49" s="3" t="s">
        <v>112</v>
      </c>
      <c r="H49" t="s">
        <v>44</v>
      </c>
      <c r="I49" s="14" t="s">
        <v>154</v>
      </c>
      <c r="J49" s="14" t="s">
        <v>128</v>
      </c>
      <c r="K49" s="13" t="s">
        <v>127</v>
      </c>
      <c r="L49" s="13" t="s">
        <v>4</v>
      </c>
      <c r="N49" s="16">
        <f t="shared" si="4"/>
        <v>11</v>
      </c>
      <c r="O49" t="s">
        <v>183</v>
      </c>
      <c r="P49" s="15" t="str">
        <f t="shared" si="5"/>
        <v>3375-0877-0320-5078</v>
      </c>
    </row>
    <row r="50" spans="1:16" x14ac:dyDescent="0.3">
      <c r="A50" s="12">
        <v>49</v>
      </c>
      <c r="B50" s="21">
        <v>5212</v>
      </c>
      <c r="C50" t="s">
        <v>119</v>
      </c>
      <c r="D50" s="11">
        <v>27012292701586</v>
      </c>
      <c r="E50" s="5">
        <v>15000</v>
      </c>
      <c r="F50" t="str">
        <f t="shared" si="3"/>
        <v>507803200877</v>
      </c>
      <c r="G50" s="3" t="s">
        <v>126</v>
      </c>
      <c r="H50" t="s">
        <v>47</v>
      </c>
      <c r="I50" s="18"/>
      <c r="J50" s="18" t="s">
        <v>128</v>
      </c>
      <c r="K50" s="19" t="s">
        <v>127</v>
      </c>
      <c r="L50" s="19" t="s">
        <v>4</v>
      </c>
      <c r="M50" s="20"/>
      <c r="N50" s="16">
        <f t="shared" si="4"/>
        <v>11</v>
      </c>
      <c r="O50" t="s">
        <v>183</v>
      </c>
      <c r="P50" s="15" t="str">
        <f t="shared" si="5"/>
        <v>-0877-0320-5078</v>
      </c>
    </row>
    <row r="51" spans="1:16" x14ac:dyDescent="0.3">
      <c r="A51" s="12">
        <v>50</v>
      </c>
      <c r="B51" s="21">
        <v>5167</v>
      </c>
      <c r="C51" t="s">
        <v>61</v>
      </c>
      <c r="D51" s="11">
        <v>27210142700456</v>
      </c>
      <c r="E51" s="5">
        <v>20000</v>
      </c>
      <c r="F51" t="str">
        <f t="shared" si="3"/>
        <v>507803200877</v>
      </c>
      <c r="G51" s="3" t="s">
        <v>77</v>
      </c>
      <c r="H51" t="s">
        <v>45</v>
      </c>
      <c r="J51" s="14" t="s">
        <v>128</v>
      </c>
      <c r="K51" s="13" t="s">
        <v>127</v>
      </c>
      <c r="L51" s="13" t="s">
        <v>4</v>
      </c>
      <c r="N51" s="16">
        <f t="shared" si="4"/>
        <v>11</v>
      </c>
      <c r="O51" t="s">
        <v>183</v>
      </c>
      <c r="P51" s="15" t="str">
        <f t="shared" si="5"/>
        <v>-0877-0320-5078</v>
      </c>
    </row>
    <row r="52" spans="1:16" x14ac:dyDescent="0.3">
      <c r="A52" s="12">
        <v>51</v>
      </c>
      <c r="B52" s="21">
        <v>5168</v>
      </c>
      <c r="C52" t="s">
        <v>62</v>
      </c>
      <c r="D52" s="11">
        <v>29003052700882</v>
      </c>
      <c r="E52" s="5">
        <v>20000</v>
      </c>
      <c r="F52" t="str">
        <f t="shared" si="3"/>
        <v>507803200877</v>
      </c>
      <c r="G52" s="3" t="s">
        <v>78</v>
      </c>
      <c r="H52" t="s">
        <v>45</v>
      </c>
      <c r="J52" s="14" t="s">
        <v>128</v>
      </c>
      <c r="K52" s="13" t="s">
        <v>127</v>
      </c>
      <c r="L52" s="13" t="s">
        <v>4</v>
      </c>
      <c r="N52" s="16">
        <f t="shared" si="4"/>
        <v>11</v>
      </c>
      <c r="O52" t="s">
        <v>183</v>
      </c>
      <c r="P52" s="15" t="str">
        <f t="shared" si="5"/>
        <v>-0877-0320-5078</v>
      </c>
    </row>
    <row r="53" spans="1:16" x14ac:dyDescent="0.3">
      <c r="A53" s="12">
        <v>52</v>
      </c>
      <c r="B53" s="21">
        <v>5170</v>
      </c>
      <c r="C53" t="s">
        <v>81</v>
      </c>
      <c r="D53" s="11">
        <v>28408052701656</v>
      </c>
      <c r="E53" s="5">
        <v>20000</v>
      </c>
      <c r="F53" t="str">
        <f t="shared" si="3"/>
        <v>507803200877</v>
      </c>
      <c r="G53" s="3" t="s">
        <v>97</v>
      </c>
      <c r="H53" t="s">
        <v>45</v>
      </c>
      <c r="J53" s="14" t="s">
        <v>128</v>
      </c>
      <c r="K53" s="13" t="s">
        <v>127</v>
      </c>
      <c r="L53" s="13" t="s">
        <v>4</v>
      </c>
      <c r="N53" s="16">
        <f t="shared" si="4"/>
        <v>11</v>
      </c>
      <c r="O53" t="s">
        <v>183</v>
      </c>
      <c r="P53" s="15" t="str">
        <f t="shared" si="5"/>
        <v>-0877-0320-5078</v>
      </c>
    </row>
    <row r="54" spans="1:16" x14ac:dyDescent="0.3">
      <c r="A54" s="12">
        <v>53</v>
      </c>
      <c r="B54" s="21">
        <v>5125</v>
      </c>
      <c r="C54" t="s">
        <v>57</v>
      </c>
      <c r="D54" s="11">
        <v>30009202703374</v>
      </c>
      <c r="E54" s="5">
        <v>15000</v>
      </c>
      <c r="F54" t="str">
        <f t="shared" si="3"/>
        <v>507803200877</v>
      </c>
      <c r="G54" s="3" t="s">
        <v>73</v>
      </c>
      <c r="H54" t="s">
        <v>80</v>
      </c>
      <c r="J54" s="14" t="s">
        <v>128</v>
      </c>
      <c r="K54" s="13" t="s">
        <v>127</v>
      </c>
      <c r="L54" s="13" t="s">
        <v>4</v>
      </c>
      <c r="N54" s="16">
        <f t="shared" si="4"/>
        <v>11</v>
      </c>
      <c r="O54" t="s">
        <v>183</v>
      </c>
      <c r="P54" s="15" t="str">
        <f t="shared" si="5"/>
        <v>-0877-0320-5078</v>
      </c>
    </row>
    <row r="55" spans="1:16" x14ac:dyDescent="0.3">
      <c r="A55" s="12">
        <v>54</v>
      </c>
      <c r="B55" s="21">
        <v>2633</v>
      </c>
      <c r="C55" t="s">
        <v>18</v>
      </c>
      <c r="D55" s="11">
        <v>28203052700195</v>
      </c>
      <c r="E55" s="5">
        <v>20000</v>
      </c>
      <c r="F55" t="str">
        <f t="shared" si="3"/>
        <v>507803200877</v>
      </c>
      <c r="G55" s="3" t="s">
        <v>33</v>
      </c>
      <c r="H55" t="s">
        <v>46</v>
      </c>
      <c r="J55" s="14" t="s">
        <v>128</v>
      </c>
      <c r="K55" s="13" t="s">
        <v>127</v>
      </c>
      <c r="L55" s="13" t="s">
        <v>4</v>
      </c>
      <c r="N55" s="16">
        <f t="shared" si="4"/>
        <v>11</v>
      </c>
      <c r="O55" t="s">
        <v>183</v>
      </c>
      <c r="P55" s="15" t="str">
        <f t="shared" si="5"/>
        <v>-0877-0320-5078</v>
      </c>
    </row>
    <row r="56" spans="1:16" x14ac:dyDescent="0.3">
      <c r="A56" s="12">
        <v>55</v>
      </c>
      <c r="B56" s="17">
        <v>5186</v>
      </c>
      <c r="C56" t="s">
        <v>91</v>
      </c>
      <c r="D56" s="11">
        <v>27106262701527</v>
      </c>
      <c r="E56" s="5">
        <v>15000</v>
      </c>
      <c r="F56" t="str">
        <f t="shared" si="3"/>
        <v>507803200877</v>
      </c>
      <c r="G56" s="3" t="s">
        <v>107</v>
      </c>
      <c r="H56" t="s">
        <v>44</v>
      </c>
      <c r="J56" s="14" t="s">
        <v>128</v>
      </c>
      <c r="K56" s="13" t="s">
        <v>127</v>
      </c>
      <c r="L56" s="13" t="s">
        <v>4</v>
      </c>
      <c r="N56" s="16">
        <f t="shared" si="4"/>
        <v>11</v>
      </c>
      <c r="O56" t="s">
        <v>183</v>
      </c>
      <c r="P56" s="15" t="str">
        <f t="shared" si="5"/>
        <v>-0877-0320-5078</v>
      </c>
    </row>
    <row r="57" spans="1:16" x14ac:dyDescent="0.3">
      <c r="A57" s="12">
        <v>56</v>
      </c>
      <c r="B57" s="17">
        <v>2274</v>
      </c>
      <c r="C57" t="s">
        <v>188</v>
      </c>
      <c r="D57" s="11">
        <v>26306122701514</v>
      </c>
      <c r="E57" s="5">
        <v>10000</v>
      </c>
      <c r="F57" t="str">
        <f t="shared" si="3"/>
        <v>5078032008772278</v>
      </c>
      <c r="G57" s="3" t="s">
        <v>194</v>
      </c>
      <c r="H57" t="s">
        <v>46</v>
      </c>
      <c r="I57" s="14" t="s">
        <v>202</v>
      </c>
      <c r="J57" s="14" t="s">
        <v>128</v>
      </c>
      <c r="K57" s="13" t="s">
        <v>127</v>
      </c>
      <c r="L57" s="13" t="s">
        <v>4</v>
      </c>
      <c r="N57" s="16">
        <f t="shared" si="4"/>
        <v>11</v>
      </c>
      <c r="O57" t="s">
        <v>201</v>
      </c>
      <c r="P57" s="15" t="str">
        <f t="shared" si="5"/>
        <v>2278-0877-0320-5078</v>
      </c>
    </row>
    <row r="58" spans="1:16" x14ac:dyDescent="0.3">
      <c r="A58" s="12">
        <v>57</v>
      </c>
      <c r="B58" s="17">
        <v>4407</v>
      </c>
      <c r="C58" t="s">
        <v>189</v>
      </c>
      <c r="D58" s="11">
        <v>29509092704881</v>
      </c>
      <c r="E58" s="5">
        <v>7000</v>
      </c>
      <c r="F58" t="str">
        <f t="shared" si="3"/>
        <v>5078032008773961</v>
      </c>
      <c r="G58" s="3" t="s">
        <v>195</v>
      </c>
      <c r="H58" t="s">
        <v>45</v>
      </c>
      <c r="I58" s="14" t="s">
        <v>203</v>
      </c>
      <c r="J58" s="14" t="s">
        <v>128</v>
      </c>
      <c r="K58" s="13" t="s">
        <v>127</v>
      </c>
      <c r="L58" s="13" t="s">
        <v>4</v>
      </c>
      <c r="N58" s="16">
        <f t="shared" si="4"/>
        <v>11</v>
      </c>
      <c r="O58" t="s">
        <v>201</v>
      </c>
      <c r="P58" s="15" t="str">
        <f t="shared" si="5"/>
        <v>3961-0877-0320-5078</v>
      </c>
    </row>
    <row r="59" spans="1:16" x14ac:dyDescent="0.3">
      <c r="A59" s="12">
        <v>58</v>
      </c>
      <c r="B59" s="17">
        <v>5214</v>
      </c>
      <c r="C59" t="s">
        <v>186</v>
      </c>
      <c r="D59" s="11">
        <v>26509012702068</v>
      </c>
      <c r="E59" s="5">
        <v>15000</v>
      </c>
      <c r="F59" t="str">
        <f t="shared" si="3"/>
        <v>5078032008773078</v>
      </c>
      <c r="G59" s="3" t="s">
        <v>196</v>
      </c>
      <c r="H59" t="s">
        <v>46</v>
      </c>
      <c r="I59" s="14" t="s">
        <v>187</v>
      </c>
      <c r="J59" s="14" t="s">
        <v>128</v>
      </c>
      <c r="K59" s="13" t="s">
        <v>127</v>
      </c>
      <c r="L59" s="13" t="s">
        <v>4</v>
      </c>
      <c r="N59" s="16">
        <f t="shared" si="4"/>
        <v>11</v>
      </c>
      <c r="O59" t="s">
        <v>201</v>
      </c>
      <c r="P59" s="15" t="str">
        <f t="shared" si="5"/>
        <v>3078-0877-0320-5078</v>
      </c>
    </row>
    <row r="60" spans="1:16" x14ac:dyDescent="0.3">
      <c r="A60" s="12">
        <v>59</v>
      </c>
      <c r="B60" s="17">
        <v>5215</v>
      </c>
      <c r="C60" t="s">
        <v>190</v>
      </c>
      <c r="D60" s="11">
        <v>29805012701257</v>
      </c>
      <c r="E60" s="5">
        <v>10000</v>
      </c>
      <c r="F60" t="str">
        <f t="shared" si="3"/>
        <v>5078032008772872</v>
      </c>
      <c r="G60" s="3" t="s">
        <v>197</v>
      </c>
      <c r="H60" t="s">
        <v>80</v>
      </c>
      <c r="I60" s="14" t="s">
        <v>204</v>
      </c>
      <c r="J60" s="14" t="s">
        <v>128</v>
      </c>
      <c r="K60" s="13" t="s">
        <v>127</v>
      </c>
      <c r="L60" s="13" t="s">
        <v>4</v>
      </c>
      <c r="N60" s="16">
        <f t="shared" si="4"/>
        <v>11</v>
      </c>
      <c r="O60" t="s">
        <v>201</v>
      </c>
      <c r="P60" s="15" t="str">
        <f t="shared" si="5"/>
        <v>2872-0877-0320-5078</v>
      </c>
    </row>
    <row r="61" spans="1:16" x14ac:dyDescent="0.3">
      <c r="A61" s="12">
        <v>60</v>
      </c>
      <c r="B61" s="17">
        <v>5216</v>
      </c>
      <c r="C61" t="s">
        <v>191</v>
      </c>
      <c r="D61" s="11">
        <v>29710122701782</v>
      </c>
      <c r="E61" s="5">
        <v>10000</v>
      </c>
      <c r="F61" t="str">
        <f t="shared" si="3"/>
        <v>5078032008773953</v>
      </c>
      <c r="G61" s="3" t="s">
        <v>198</v>
      </c>
      <c r="H61" t="s">
        <v>45</v>
      </c>
      <c r="I61" s="14" t="s">
        <v>205</v>
      </c>
      <c r="J61" s="14" t="s">
        <v>128</v>
      </c>
      <c r="K61" s="13" t="s">
        <v>127</v>
      </c>
      <c r="L61" s="13" t="s">
        <v>4</v>
      </c>
      <c r="N61" s="16">
        <f t="shared" si="4"/>
        <v>11</v>
      </c>
      <c r="O61" t="s">
        <v>201</v>
      </c>
      <c r="P61" s="15" t="str">
        <f t="shared" si="5"/>
        <v>3953-0877-0320-5078</v>
      </c>
    </row>
    <row r="62" spans="1:16" x14ac:dyDescent="0.3">
      <c r="A62" s="12">
        <v>61</v>
      </c>
      <c r="B62" s="23">
        <v>5217</v>
      </c>
      <c r="C62" t="s">
        <v>192</v>
      </c>
      <c r="D62" s="11">
        <v>26906170100511</v>
      </c>
      <c r="E62" s="5">
        <v>15000</v>
      </c>
      <c r="F62" t="str">
        <f t="shared" si="3"/>
        <v>5078032008772864</v>
      </c>
      <c r="G62" s="3" t="s">
        <v>199</v>
      </c>
      <c r="H62" t="s">
        <v>46</v>
      </c>
      <c r="I62" s="14" t="s">
        <v>206</v>
      </c>
      <c r="J62" s="14" t="s">
        <v>128</v>
      </c>
      <c r="K62" s="13" t="s">
        <v>127</v>
      </c>
      <c r="L62" s="13" t="s">
        <v>4</v>
      </c>
      <c r="N62" s="16">
        <f t="shared" si="4"/>
        <v>11</v>
      </c>
      <c r="O62" t="s">
        <v>201</v>
      </c>
      <c r="P62" s="15" t="str">
        <f t="shared" si="5"/>
        <v>2864-0877-0320-5078</v>
      </c>
    </row>
    <row r="63" spans="1:16" x14ac:dyDescent="0.3">
      <c r="A63" s="12">
        <v>62</v>
      </c>
      <c r="B63" s="17">
        <v>5218</v>
      </c>
      <c r="C63" t="s">
        <v>193</v>
      </c>
      <c r="D63" s="11">
        <v>30203012703883</v>
      </c>
      <c r="E63" s="5">
        <v>8000</v>
      </c>
      <c r="F63" t="str">
        <f t="shared" si="3"/>
        <v>5078032008772898</v>
      </c>
      <c r="G63" s="3" t="s">
        <v>200</v>
      </c>
      <c r="H63" t="s">
        <v>80</v>
      </c>
      <c r="I63" s="14" t="s">
        <v>207</v>
      </c>
      <c r="J63" s="14" t="s">
        <v>128</v>
      </c>
      <c r="K63" s="13" t="s">
        <v>127</v>
      </c>
      <c r="L63" s="13" t="s">
        <v>4</v>
      </c>
      <c r="N63" s="16">
        <f t="shared" si="4"/>
        <v>11</v>
      </c>
      <c r="O63" t="s">
        <v>201</v>
      </c>
      <c r="P63" s="15" t="str">
        <f t="shared" si="5"/>
        <v>2898-0877-0320-5078</v>
      </c>
    </row>
    <row r="64" spans="1:16" x14ac:dyDescent="0.3">
      <c r="A64" s="12"/>
      <c r="B64" s="17"/>
      <c r="F64" t="str">
        <f t="shared" si="3"/>
        <v/>
      </c>
    </row>
    <row r="65" spans="1:6" x14ac:dyDescent="0.3">
      <c r="A65" s="12"/>
      <c r="B65" s="17"/>
      <c r="F65" t="str">
        <f t="shared" si="3"/>
        <v/>
      </c>
    </row>
    <row r="66" spans="1:6" x14ac:dyDescent="0.3">
      <c r="A66" s="12"/>
      <c r="B66" s="17"/>
      <c r="F66" t="str">
        <f t="shared" si="3"/>
        <v/>
      </c>
    </row>
    <row r="67" spans="1:6" x14ac:dyDescent="0.3">
      <c r="A67" s="12"/>
      <c r="B67" s="17"/>
      <c r="F67" t="str">
        <f t="shared" si="3"/>
        <v/>
      </c>
    </row>
    <row r="68" spans="1:6" x14ac:dyDescent="0.3">
      <c r="A68" s="12"/>
      <c r="B68" s="17"/>
      <c r="F68" t="str">
        <f t="shared" si="3"/>
        <v/>
      </c>
    </row>
    <row r="69" spans="1:6" x14ac:dyDescent="0.3">
      <c r="A69" s="12"/>
      <c r="B69" s="17"/>
      <c r="F69" t="str">
        <f t="shared" si="3"/>
        <v/>
      </c>
    </row>
    <row r="70" spans="1:6" x14ac:dyDescent="0.3">
      <c r="A70" s="12"/>
      <c r="B70" s="17"/>
      <c r="F70" t="str">
        <f t="shared" si="3"/>
        <v/>
      </c>
    </row>
    <row r="71" spans="1:6" x14ac:dyDescent="0.3">
      <c r="A71" s="12"/>
      <c r="B71" s="17"/>
      <c r="F71" t="str">
        <f t="shared" si="3"/>
        <v/>
      </c>
    </row>
    <row r="72" spans="1:6" x14ac:dyDescent="0.3">
      <c r="A72" s="12"/>
      <c r="B72" s="17"/>
      <c r="F72" t="str">
        <f t="shared" si="3"/>
        <v/>
      </c>
    </row>
    <row r="73" spans="1:6" x14ac:dyDescent="0.3">
      <c r="A73" s="12"/>
      <c r="B73" s="17"/>
      <c r="F73" t="str">
        <f t="shared" si="3"/>
        <v/>
      </c>
    </row>
    <row r="74" spans="1:6" x14ac:dyDescent="0.3">
      <c r="A74" s="12"/>
      <c r="B74" s="17"/>
      <c r="F74" t="str">
        <f t="shared" si="3"/>
        <v/>
      </c>
    </row>
    <row r="75" spans="1:6" x14ac:dyDescent="0.3">
      <c r="A75" s="12"/>
      <c r="B75" s="17"/>
      <c r="F75" t="str">
        <f t="shared" si="3"/>
        <v/>
      </c>
    </row>
    <row r="76" spans="1:6" x14ac:dyDescent="0.3">
      <c r="A76" s="12"/>
      <c r="B76" s="17"/>
      <c r="F76" t="str">
        <f t="shared" si="3"/>
        <v/>
      </c>
    </row>
    <row r="77" spans="1:6" x14ac:dyDescent="0.3">
      <c r="A77" s="12"/>
      <c r="B77" s="17"/>
      <c r="F77" t="str">
        <f t="shared" si="3"/>
        <v/>
      </c>
    </row>
    <row r="78" spans="1:6" x14ac:dyDescent="0.3">
      <c r="A78" s="12"/>
      <c r="B78" s="17"/>
      <c r="F78" t="str">
        <f t="shared" si="3"/>
        <v/>
      </c>
    </row>
    <row r="79" spans="1:6" x14ac:dyDescent="0.3">
      <c r="A79" s="12"/>
      <c r="B79" s="17"/>
      <c r="F79" t="str">
        <f t="shared" si="3"/>
        <v/>
      </c>
    </row>
    <row r="80" spans="1:6" x14ac:dyDescent="0.3">
      <c r="B80" s="17"/>
      <c r="F80" t="str">
        <f t="shared" si="3"/>
        <v/>
      </c>
    </row>
    <row r="81" spans="2:6" x14ac:dyDescent="0.3">
      <c r="B81" s="17"/>
      <c r="F81" t="str">
        <f t="shared" si="3"/>
        <v/>
      </c>
    </row>
    <row r="82" spans="2:6" x14ac:dyDescent="0.3">
      <c r="B82" s="17"/>
      <c r="F82" t="str">
        <f t="shared" si="3"/>
        <v/>
      </c>
    </row>
    <row r="83" spans="2:6" x14ac:dyDescent="0.3">
      <c r="B83" s="17"/>
      <c r="F83" t="str">
        <f t="shared" si="3"/>
        <v/>
      </c>
    </row>
    <row r="84" spans="2:6" x14ac:dyDescent="0.3">
      <c r="B84" s="17"/>
      <c r="F84" t="str">
        <f t="shared" si="3"/>
        <v/>
      </c>
    </row>
    <row r="85" spans="2:6" x14ac:dyDescent="0.3">
      <c r="B85" s="17"/>
      <c r="F85" t="str">
        <f t="shared" si="3"/>
        <v/>
      </c>
    </row>
    <row r="86" spans="2:6" x14ac:dyDescent="0.3">
      <c r="B86" s="17"/>
      <c r="F86" t="str">
        <f t="shared" si="3"/>
        <v/>
      </c>
    </row>
    <row r="87" spans="2:6" x14ac:dyDescent="0.3">
      <c r="B87" s="17"/>
      <c r="F87" t="str">
        <f t="shared" si="3"/>
        <v/>
      </c>
    </row>
    <row r="88" spans="2:6" x14ac:dyDescent="0.3">
      <c r="B88" s="17"/>
      <c r="F88" t="str">
        <f t="shared" si="3"/>
        <v/>
      </c>
    </row>
    <row r="89" spans="2:6" x14ac:dyDescent="0.3">
      <c r="B89" s="17"/>
      <c r="F89" t="str">
        <f t="shared" si="3"/>
        <v/>
      </c>
    </row>
    <row r="90" spans="2:6" x14ac:dyDescent="0.3">
      <c r="B90" s="17"/>
      <c r="F90" t="str">
        <f t="shared" si="3"/>
        <v/>
      </c>
    </row>
    <row r="91" spans="2:6" x14ac:dyDescent="0.3">
      <c r="B91" s="17"/>
      <c r="F91" t="str">
        <f t="shared" si="3"/>
        <v/>
      </c>
    </row>
    <row r="92" spans="2:6" x14ac:dyDescent="0.3">
      <c r="B92" s="17"/>
      <c r="F92" t="str">
        <f t="shared" si="3"/>
        <v/>
      </c>
    </row>
    <row r="93" spans="2:6" x14ac:dyDescent="0.3">
      <c r="B93" s="17"/>
      <c r="F93" t="str">
        <f t="shared" si="3"/>
        <v/>
      </c>
    </row>
    <row r="94" spans="2:6" x14ac:dyDescent="0.3">
      <c r="B94" s="17"/>
      <c r="F94" t="str">
        <f t="shared" si="3"/>
        <v/>
      </c>
    </row>
    <row r="95" spans="2:6" x14ac:dyDescent="0.3">
      <c r="B95" s="17"/>
      <c r="F95" t="str">
        <f t="shared" si="3"/>
        <v/>
      </c>
    </row>
    <row r="96" spans="2:6" x14ac:dyDescent="0.3">
      <c r="B96" s="17"/>
      <c r="F96" t="str">
        <f t="shared" si="3"/>
        <v/>
      </c>
    </row>
    <row r="97" spans="2:6" x14ac:dyDescent="0.3">
      <c r="B97" s="17"/>
      <c r="F97" t="str">
        <f t="shared" si="3"/>
        <v/>
      </c>
    </row>
    <row r="98" spans="2:6" x14ac:dyDescent="0.3">
      <c r="B98" s="17"/>
      <c r="F98" t="str">
        <f t="shared" ref="F98" si="6">CONCATENATE(L98,K98,J98,I98)</f>
        <v/>
      </c>
    </row>
    <row r="99" spans="2:6" x14ac:dyDescent="0.3">
      <c r="B99" s="17"/>
    </row>
    <row r="100" spans="2:6" x14ac:dyDescent="0.3">
      <c r="B100" s="17"/>
    </row>
  </sheetData>
  <autoFilter ref="A1:O1">
    <sortState ref="A2:O56">
      <sortCondition sortBy="cellColor" ref="B1" dxfId="4"/>
    </sortState>
  </autoFilter>
  <conditionalFormatting sqref="C1:C1048576">
    <cfRule type="duplicateValues" dxfId="3" priority="6"/>
  </conditionalFormatting>
  <conditionalFormatting sqref="B1:B1048576">
    <cfRule type="duplicateValues" dxfId="2" priority="5"/>
  </conditionalFormatting>
  <conditionalFormatting sqref="I1:I1048576">
    <cfRule type="duplicateValues" dxfId="1" priority="4"/>
  </conditionalFormatting>
  <conditionalFormatting sqref="A1:E679 P1:P679 G1:N679">
    <cfRule type="expression" dxfId="0" priority="1">
      <formula>ROW()=CELL("row")</formula>
    </cfRule>
  </conditionalFormatting>
  <printOptions horizontalCentered="1"/>
  <pageMargins left="0" right="0" top="0" bottom="0" header="0" footer="0"/>
  <pageSetup paperSize="9" orientation="landscape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2023-05-17T11:50:37Z</dcterms:modified>
</cp:coreProperties>
</file>